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478e37146b32f35/Desktop/Rototec/Proyectos/RRHH/Sistema Nuevo/"/>
    </mc:Choice>
  </mc:AlternateContent>
  <xr:revisionPtr revIDLastSave="0" documentId="13_ncr:1_{3B32AA72-037D-4C64-B159-D42BE801550F}" xr6:coauthVersionLast="47" xr6:coauthVersionMax="47" xr10:uidLastSave="{00000000-0000-0000-0000-000000000000}"/>
  <bookViews>
    <workbookView xWindow="-120" yWindow="-120" windowWidth="29040" windowHeight="15720" firstSheet="1" activeTab="4" xr2:uid="{00000000-000D-0000-FFFF-FFFF00000000}"/>
  </bookViews>
  <sheets>
    <sheet name="00_Instrucciones" sheetId="1" r:id="rId1"/>
    <sheet name="01_Ficha_Colaborador" sheetId="2" r:id="rId2"/>
    <sheet name="02_Catalogos" sheetId="3" r:id="rId3"/>
    <sheet name="03_Incidencias" sheetId="4" r:id="rId4"/>
    <sheet name="04 Calculo Nomina" sheetId="18" r:id="rId5"/>
    <sheet name="05_Historial_Movimientos" sheetId="7" r:id="rId6"/>
    <sheet name="07_Parametros" sheetId="5" r:id="rId7"/>
    <sheet name="06_Reportes_Query" sheetId="8" r:id="rId8"/>
    <sheet name="08_Casos_Prueba" sheetId="9" r:id="rId9"/>
    <sheet name="09_Ciclo_Vida" sheetId="10" r:id="rId10"/>
    <sheet name="10_FMP" sheetId="11" r:id="rId11"/>
    <sheet name="11_Alta_Onboarding" sheetId="12" r:id="rId12"/>
    <sheet name="12_Matriz_Autoridad" sheetId="13" r:id="rId13"/>
    <sheet name="13_KPI_Bono" sheetId="14" r:id="rId14"/>
    <sheet name="14_Expediente_Digital" sheetId="15" r:id="rId15"/>
    <sheet name="15_Desvinculacion" sheetId="16" r:id="rId16"/>
    <sheet name="16_Requerimientos_IT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18" l="1"/>
  <c r="K14" i="18"/>
  <c r="AB14" i="18"/>
  <c r="AA14" i="18"/>
  <c r="Z14" i="18"/>
  <c r="Y14" i="18"/>
  <c r="X14" i="18"/>
  <c r="W14" i="18"/>
  <c r="U14" i="18"/>
  <c r="T14" i="18"/>
  <c r="S14" i="18"/>
  <c r="R14" i="18"/>
  <c r="Q14" i="18"/>
  <c r="P14" i="18"/>
  <c r="N14" i="18"/>
  <c r="L14" i="18"/>
  <c r="J14" i="18"/>
  <c r="I14" i="18"/>
  <c r="H14" i="18"/>
  <c r="F14" i="18"/>
  <c r="G14" i="18"/>
  <c r="O11" i="18" l="1"/>
  <c r="O12" i="18"/>
  <c r="O13" i="18"/>
  <c r="O10" i="18"/>
  <c r="AC10" i="18"/>
  <c r="AC11" i="18"/>
  <c r="AD11" i="18" s="1"/>
  <c r="AC12" i="18"/>
  <c r="AD12" i="18" s="1"/>
  <c r="AC13" i="18"/>
  <c r="AD13" i="18" s="1"/>
  <c r="M5" i="14"/>
  <c r="AC14" i="18" l="1"/>
  <c r="V10" i="18"/>
  <c r="V14" i="18" s="1"/>
  <c r="O14" i="18"/>
  <c r="AD10" i="18" l="1"/>
  <c r="AD14" i="1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Arlines Odalys Escobar Hernandez</author>
  </authors>
  <commentList>
    <comment ref="AF7" authorId="0" shapeId="0" xr:uid="{D9C5DA6A-7633-4282-A9C1-83042FD929D9}">
      <text>
        <r>
          <rPr>
            <b/>
            <sz val="9"/>
            <color indexed="81"/>
            <rFont val="Tahoma"/>
            <family val="2"/>
          </rPr>
          <t>Arlines Odalys Escobar Hernandez:</t>
        </r>
        <r>
          <rPr>
            <sz val="9"/>
            <color indexed="81"/>
            <rFont val="Tahoma"/>
            <family val="2"/>
          </rPr>
          <t xml:space="preserve">
Debe de generarse en el calculo por que no hay cuentas contables y centros de costos</t>
        </r>
      </text>
    </comment>
  </commentList>
</comments>
</file>

<file path=xl/sharedStrings.xml><?xml version="1.0" encoding="utf-8"?>
<sst xmlns="http://schemas.openxmlformats.org/spreadsheetml/2006/main" count="1835" uniqueCount="1021">
  <si>
    <t>MODELO FUNCIONAL – GESTIÓN DE COLABORADORES Y NÓMINA ROTOTEC</t>
  </si>
  <si>
    <t>Principio de diseño: registrar una vez y reutilizar muchas veces. El modelo prioriza agilidad, control útil, trazabilidad, accountability y soporte documental/legal sin burocracia innecesaria.</t>
  </si>
  <si>
    <t>Hoja / módulo</t>
  </si>
  <si>
    <t>Objetivo</t>
  </si>
  <si>
    <t>Carga</t>
  </si>
  <si>
    <t>Clave para IT</t>
  </si>
  <si>
    <t>Prioridad</t>
  </si>
  <si>
    <t>Responsable funcional</t>
  </si>
  <si>
    <t>Observación</t>
  </si>
  <si>
    <t>01_Ficha_Colaborador</t>
  </si>
  <si>
    <t>Maestro único del colaborador y datos para reportes legales/gerenciales</t>
  </si>
  <si>
    <t>Manual + catálogos</t>
  </si>
  <si>
    <t>Conservar histórico de cambios</t>
  </si>
  <si>
    <t>Crítica</t>
  </si>
  <si>
    <t>Talento Humano</t>
  </si>
  <si>
    <t>No sobreescribir datos históricos sensibles</t>
  </si>
  <si>
    <t>02_Catalogos</t>
  </si>
  <si>
    <t>Valores parametrizables para listas y reglas</t>
  </si>
  <si>
    <t>Parametrización</t>
  </si>
  <si>
    <t>Evitar texto libre cuando exista catálogo</t>
  </si>
  <si>
    <t>Alta</t>
  </si>
  <si>
    <t>TH + IT</t>
  </si>
  <si>
    <t>Base para queries/reportes</t>
  </si>
  <si>
    <t>03_Incidencias</t>
  </si>
  <si>
    <t>Movimientos que afectan nómina</t>
  </si>
  <si>
    <t>Manual / importación / integración</t>
  </si>
  <si>
    <t>Cada incidencia debe tener período, fecha, cantidad/monto, autorización y estado</t>
  </si>
  <si>
    <t>TH / Nómina</t>
  </si>
  <si>
    <t>Solo incidencias aprobadas pasan a cálculo</t>
  </si>
  <si>
    <t>04_Calculo_Nomina</t>
  </si>
  <si>
    <t>Motor de cálculo y salida de nómina</t>
  </si>
  <si>
    <t>Automático + excepciones manuales</t>
  </si>
  <si>
    <t>No permitir editar resultados calculados sin trazabilidad</t>
  </si>
  <si>
    <t>IT + Nómina</t>
  </si>
  <si>
    <t>Incluye fórmulas de referencia</t>
  </si>
  <si>
    <t>05_Historial_Movimientos</t>
  </si>
  <si>
    <t>Auditoría laboral y salarial</t>
  </si>
  <si>
    <t>Automático</t>
  </si>
  <si>
    <t>Registrar valor anterior/nuevo, vigencia y usuario</t>
  </si>
  <si>
    <t>IT</t>
  </si>
  <si>
    <t>No borrar historial</t>
  </si>
  <si>
    <t>06_Reportes_Query</t>
  </si>
  <si>
    <t>Listado de reportes y campos de salida</t>
  </si>
  <si>
    <t>Query / exportación</t>
  </si>
  <si>
    <t>Exportable a Excel</t>
  </si>
  <si>
    <t>Filtros por período, área, puesto, centro de costo</t>
  </si>
  <si>
    <t>07_Parametros</t>
  </si>
  <si>
    <t>Variables configurables del motor</t>
  </si>
  <si>
    <t>No quemar porcentajes/tasas dentro del código</t>
  </si>
  <si>
    <t>Actualizar cuando cambie normativa o política</t>
  </si>
  <si>
    <t>08_Casos_Prueba</t>
  </si>
  <si>
    <t>Validación antes de producción</t>
  </si>
  <si>
    <t>Pruebas</t>
  </si>
  <si>
    <t>Comparar contra cálculo manual vigente</t>
  </si>
  <si>
    <t>Aprobación antes de go-live</t>
  </si>
  <si>
    <t>01. FICHA MAESTRA DEL COLABORADOR</t>
  </si>
  <si>
    <t>DATOS DE TURNO / JORNADA PARA NÓMINA</t>
  </si>
  <si>
    <t>Diccionario de campos sugeridos. 'Histórico = Sí' significa que el sistema debe conservar cada cambio con fecha de vigencia, no solo reemplazar el dato.</t>
  </si>
  <si>
    <t>Turno asignado</t>
  </si>
  <si>
    <t>Horario programado</t>
  </si>
  <si>
    <t>Jornada cálculo</t>
  </si>
  <si>
    <t>Divisor valor hora</t>
  </si>
  <si>
    <t>Día descanso</t>
  </si>
  <si>
    <t>Vigencia desde</t>
  </si>
  <si>
    <t>Día</t>
  </si>
  <si>
    <t>06:00–18:00</t>
  </si>
  <si>
    <t>Diurna</t>
  </si>
  <si>
    <t>Domingo</t>
  </si>
  <si>
    <t>Sábado según programación</t>
  </si>
  <si>
    <t>Sección</t>
  </si>
  <si>
    <t>Campo</t>
  </si>
  <si>
    <t>Tipo</t>
  </si>
  <si>
    <t>Obligatorio</t>
  </si>
  <si>
    <t>Origen</t>
  </si>
  <si>
    <t>Histórico</t>
  </si>
  <si>
    <t>Uso / reporte</t>
  </si>
  <si>
    <t>Validación / regla</t>
  </si>
  <si>
    <t>Observación IT</t>
  </si>
  <si>
    <t>Identificación</t>
  </si>
  <si>
    <t>ID colaborador</t>
  </si>
  <si>
    <t>Texto/Número</t>
  </si>
  <si>
    <t>Sí</t>
  </si>
  <si>
    <t>Sistema</t>
  </si>
  <si>
    <t>No</t>
  </si>
  <si>
    <t>Llave única</t>
  </si>
  <si>
    <t>Único, no reutilizable</t>
  </si>
  <si>
    <t>Código de empleado</t>
  </si>
  <si>
    <t>Texto</t>
  </si>
  <si>
    <t>Manual/Sistema</t>
  </si>
  <si>
    <t>Nómina y reportes</t>
  </si>
  <si>
    <t>Único</t>
  </si>
  <si>
    <t>Primer nombre</t>
  </si>
  <si>
    <t>Manual</t>
  </si>
  <si>
    <t>Reportes legales</t>
  </si>
  <si>
    <t>No vacío</t>
  </si>
  <si>
    <t>Segundo nombre</t>
  </si>
  <si>
    <t>Primer apellido</t>
  </si>
  <si>
    <t>Segundo apellido</t>
  </si>
  <si>
    <t>Apellido de casada</t>
  </si>
  <si>
    <t>Nombre completo</t>
  </si>
  <si>
    <t>Calculado</t>
  </si>
  <si>
    <t>Todos</t>
  </si>
  <si>
    <t>Concatenación nombres/apellidos</t>
  </si>
  <si>
    <t>No digitar</t>
  </si>
  <si>
    <t>DPI / documento</t>
  </si>
  <si>
    <t>Expediente/reportes</t>
  </si>
  <si>
    <t>Único; conservar ceros</t>
  </si>
  <si>
    <t>NIT</t>
  </si>
  <si>
    <t>Reportes fiscales</t>
  </si>
  <si>
    <t>Formato texto</t>
  </si>
  <si>
    <t>No. afiliación IGSS</t>
  </si>
  <si>
    <t>Reportes laborales</t>
  </si>
  <si>
    <t>Fecha nacimiento</t>
  </si>
  <si>
    <t>Fecha</t>
  </si>
  <si>
    <t>Edad/reportes</t>
  </si>
  <si>
    <t>Fecha válida</t>
  </si>
  <si>
    <t>Sexo (según reporte requerido)</t>
  </si>
  <si>
    <t>Catálogo</t>
  </si>
  <si>
    <t>Estado civil</t>
  </si>
  <si>
    <t>Ficha</t>
  </si>
  <si>
    <t>Contacto</t>
  </si>
  <si>
    <t>Dirección</t>
  </si>
  <si>
    <t>Ficha/reportes</t>
  </si>
  <si>
    <t>Municipio</t>
  </si>
  <si>
    <t>Reportes</t>
  </si>
  <si>
    <t>Departamento</t>
  </si>
  <si>
    <t>Teléfono</t>
  </si>
  <si>
    <t>Correo personal</t>
  </si>
  <si>
    <t>Formato email</t>
  </si>
  <si>
    <t>Contacto emergencia</t>
  </si>
  <si>
    <t>Emergencia</t>
  </si>
  <si>
    <t>Teléfono emergencia</t>
  </si>
  <si>
    <t>Laboral</t>
  </si>
  <si>
    <t>Fecha ingreso</t>
  </si>
  <si>
    <t>Antigüedad/libro salarios</t>
  </si>
  <si>
    <t>Fecha baja</t>
  </si>
  <si>
    <t>Bajas/reportes</t>
  </si>
  <si>
    <t>No menor a ingreso</t>
  </si>
  <si>
    <t>Motivo baja</t>
  </si>
  <si>
    <t>Rotación</t>
  </si>
  <si>
    <t>Requerido si fecha baja</t>
  </si>
  <si>
    <t>Estado colaborador</t>
  </si>
  <si>
    <t>Sistema/Manual</t>
  </si>
  <si>
    <t>Headcount</t>
  </si>
  <si>
    <t>Activo/Inactivo/Suspendido</t>
  </si>
  <si>
    <t>Empresa / razón social</t>
  </si>
  <si>
    <t>Nómina/reportes</t>
  </si>
  <si>
    <t>Sede</t>
  </si>
  <si>
    <t>Área / gerencia</t>
  </si>
  <si>
    <t>Organigrama/reportes</t>
  </si>
  <si>
    <t>Centro de costo</t>
  </si>
  <si>
    <t>Contabilidad</t>
  </si>
  <si>
    <t>Puesto</t>
  </si>
  <si>
    <t>Libro salarios/reportes</t>
  </si>
  <si>
    <t>ID plaza</t>
  </si>
  <si>
    <t>Recomendado</t>
  </si>
  <si>
    <t>Dotación</t>
  </si>
  <si>
    <t>Único por plaza</t>
  </si>
  <si>
    <t>Jefe inmediato ID</t>
  </si>
  <si>
    <t>Organigrama</t>
  </si>
  <si>
    <t>Debe existir como colaborador activo</t>
  </si>
  <si>
    <t>Tipo contrato</t>
  </si>
  <si>
    <t>Fecha fin contrato</t>
  </si>
  <si>
    <t>Condicional</t>
  </si>
  <si>
    <t>Alertas</t>
  </si>
  <si>
    <t>Obligatoria si aplica</t>
  </si>
  <si>
    <t>Jornada</t>
  </si>
  <si>
    <t>Nómina</t>
  </si>
  <si>
    <t>Turno</t>
  </si>
  <si>
    <t>Asistencia/nómina</t>
  </si>
  <si>
    <t>Periodicidad pago</t>
  </si>
  <si>
    <t>Quincenal/Mensual/etc.</t>
  </si>
  <si>
    <t>Salarial</t>
  </si>
  <si>
    <t>Salario base vigente</t>
  </si>
  <si>
    <t>Moneda</t>
  </si>
  <si>
    <t>Manual autorizado</t>
  </si>
  <si>
    <t>Nómina/libro salarios</t>
  </si>
  <si>
    <t>Mayor a 0; fecha vigencia</t>
  </si>
  <si>
    <t>Bonificación incentivo fija</t>
  </si>
  <si>
    <t>Parametrizable</t>
  </si>
  <si>
    <t>Otras bonificaciones fijas</t>
  </si>
  <si>
    <t>Detalle por concepto</t>
  </si>
  <si>
    <t>Fecha vigencia salario</t>
  </si>
  <si>
    <t>Historial salarial</t>
  </si>
  <si>
    <t>Forma de pago</t>
  </si>
  <si>
    <t>Pago</t>
  </si>
  <si>
    <t>Transferencia/Cheque/etc.</t>
  </si>
  <si>
    <t>Bancario</t>
  </si>
  <si>
    <t>Banco</t>
  </si>
  <si>
    <t>Requerido si transferencia</t>
  </si>
  <si>
    <t>Tipo cuenta</t>
  </si>
  <si>
    <t>No. cuenta</t>
  </si>
  <si>
    <t>Manual restringido</t>
  </si>
  <si>
    <t>Cambio con auditoría</t>
  </si>
  <si>
    <t>Dato sensible</t>
  </si>
  <si>
    <t>Legal</t>
  </si>
  <si>
    <t>Embargo / retención activa</t>
  </si>
  <si>
    <t>Sí/No</t>
  </si>
  <si>
    <t>Debe existir expediente/orden</t>
  </si>
  <si>
    <t>Tipo retención</t>
  </si>
  <si>
    <t>Monto / % retención</t>
  </si>
  <si>
    <t>Número</t>
  </si>
  <si>
    <t>Según documento soporte</t>
  </si>
  <si>
    <t>Fecha inicio retención</t>
  </si>
  <si>
    <t>Fecha fin retención</t>
  </si>
  <si>
    <t>Control</t>
  </si>
  <si>
    <t>Usuario creación</t>
  </si>
  <si>
    <t>Auditoría</t>
  </si>
  <si>
    <t>Fecha/hora creación</t>
  </si>
  <si>
    <t>FechaHora</t>
  </si>
  <si>
    <t>Usuario última modificación</t>
  </si>
  <si>
    <t>Fecha/hora modificación</t>
  </si>
  <si>
    <t>02. CATÁLOGOS Y PARAMETRIZACIONES</t>
  </si>
  <si>
    <t>Evitar texto libre en campos críticos. IT puede convertir estos catálogos en tablas maestras administrables.</t>
  </si>
  <si>
    <t>Ejemplos / valores iniciales</t>
  </si>
  <si>
    <t>Quién mantiene</t>
  </si>
  <si>
    <t>Afecta cálculo</t>
  </si>
  <si>
    <t>Activo; Inactivo; Suspendido</t>
  </si>
  <si>
    <t>TH</t>
  </si>
  <si>
    <t>Solo Activo entra a nómina ordinaria salvo regla definida</t>
  </si>
  <si>
    <t>Indefinido; Plazo fijo; Obra determinada; Otro</t>
  </si>
  <si>
    <t>Diurna; Mixta; Nocturna; Otra</t>
  </si>
  <si>
    <t>Vincular reglas de horas</t>
  </si>
  <si>
    <t>Turno 1; Turno 2; Turno 3; Administrativo</t>
  </si>
  <si>
    <t>Vincular horario/marcaje</t>
  </si>
  <si>
    <t>Quincenal; Mensual; Semanal</t>
  </si>
  <si>
    <t>Motor debe soportar período</t>
  </si>
  <si>
    <t>Tipo incidencia</t>
  </si>
  <si>
    <t>Ver hoja 03_Incidencias</t>
  </si>
  <si>
    <t>TH/Nómina</t>
  </si>
  <si>
    <t>Código único</t>
  </si>
  <si>
    <t>Área / Departamento / Puesto</t>
  </si>
  <si>
    <t>Estructura organizacional vigente</t>
  </si>
  <si>
    <t>Conservar histórico</t>
  </si>
  <si>
    <t>Catálogo contable</t>
  </si>
  <si>
    <t>Finanzas</t>
  </si>
  <si>
    <t>Para póliza/reporte</t>
  </si>
  <si>
    <t>Renuncia; Despido; Abandono; Fin contrato; Otros</t>
  </si>
  <si>
    <t>Banco / tipo cuenta</t>
  </si>
  <si>
    <t>Catálogo vigente</t>
  </si>
  <si>
    <t>Archivo bancario</t>
  </si>
  <si>
    <t>Estado incidencia</t>
  </si>
  <si>
    <t>Borrador; Pendiente; Aprobada; Rechazada; Procesada</t>
  </si>
  <si>
    <t>Solo Aprobada se calcula</t>
  </si>
  <si>
    <t>03. CATÁLOGO DE INCIDENCIAS DE NÓMINA</t>
  </si>
  <si>
    <t>REGLA PARA IT – HE</t>
  </si>
  <si>
    <t>Cada registro debe quedar asociado a colaborador + período + fecha(s) + concepto + cantidad/monto + autorización. Solo estado APROBADA afecta el cálculo.</t>
  </si>
  <si>
    <t>La incidencia debe identificar la jornada base del colaborador y/o tipo aplicable, tomar el divisor correspondiente (8/7/6), calcular valor hora y aplicar factor HE vigente. Conservar fecha, horas, autorización y trazabilidad.</t>
  </si>
  <si>
    <t>Código</t>
  </si>
  <si>
    <t>Incidencia</t>
  </si>
  <si>
    <t>Unidad captura</t>
  </si>
  <si>
    <t>Carga sugerida</t>
  </si>
  <si>
    <t>¿Afecta nómina?</t>
  </si>
  <si>
    <t>Signo</t>
  </si>
  <si>
    <t>Base / regla de cálculo</t>
  </si>
  <si>
    <t>¿Requiere aprobación?</t>
  </si>
  <si>
    <t>Campo manual mínimo</t>
  </si>
  <si>
    <t>Dato adicional HE</t>
  </si>
  <si>
    <t>Regla</t>
  </si>
  <si>
    <t>ING_HE_DIURNA</t>
  </si>
  <si>
    <t>Horas extra diurnas</t>
  </si>
  <si>
    <t>Ingreso</t>
  </si>
  <si>
    <t>Horas</t>
  </si>
  <si>
    <t>Manual/Asistencia</t>
  </si>
  <si>
    <t>+</t>
  </si>
  <si>
    <t>Valor hora ordinaria × factor HE × horas aprobadas</t>
  </si>
  <si>
    <t>Factor parametrizable</t>
  </si>
  <si>
    <t>Jornada base</t>
  </si>
  <si>
    <t>Ficha colaborador</t>
  </si>
  <si>
    <t>Diurna / Mixta / Nocturna</t>
  </si>
  <si>
    <t>ING_HE_MIXTA</t>
  </si>
  <si>
    <t>Horas extra mixtas</t>
  </si>
  <si>
    <t>Valor hora ordinaria × factor parametrizado × horas</t>
  </si>
  <si>
    <t>Fecha y hora inicio-fin</t>
  </si>
  <si>
    <t>Marcaje/Manual</t>
  </si>
  <si>
    <t>Permite validar clasificación y exceso</t>
  </si>
  <si>
    <t>ING_HE_NOCT</t>
  </si>
  <si>
    <t>Horas extra nocturnas</t>
  </si>
  <si>
    <t>Horas aprobadas</t>
  </si>
  <si>
    <t>Jefatura</t>
  </si>
  <si>
    <t>Solo aprobadas llegan a nómina</t>
  </si>
  <si>
    <t>ING_BONO_VAR</t>
  </si>
  <si>
    <t>Bono variable / KPI</t>
  </si>
  <si>
    <t>Monto</t>
  </si>
  <si>
    <t>Manual/Importación</t>
  </si>
  <si>
    <t>Monto aprobado</t>
  </si>
  <si>
    <t>Guardar período y soporte</t>
  </si>
  <si>
    <t>Parámetro</t>
  </si>
  <si>
    <t>8 diurna / 7 mixta / 6 nocturna</t>
  </si>
  <si>
    <t>ING_COMISION</t>
  </si>
  <si>
    <t>Comisión</t>
  </si>
  <si>
    <t>Factor recargo</t>
  </si>
  <si>
    <t>Parámetro por vigencia</t>
  </si>
  <si>
    <t>Mínimo legal 1.5; permitir condición más favorable</t>
  </si>
  <si>
    <t>ING_RETRO</t>
  </si>
  <si>
    <t>Retroactivo salarial</t>
  </si>
  <si>
    <t>Diferencia autorizada</t>
  </si>
  <si>
    <t>Guardar motivo/período origen</t>
  </si>
  <si>
    <t>ING_OTRO</t>
  </si>
  <si>
    <t>Otro ingreso</t>
  </si>
  <si>
    <t>Monto + concepto</t>
  </si>
  <si>
    <t>Catálogo de conceptos</t>
  </si>
  <si>
    <t>EGR_AUS_SG</t>
  </si>
  <si>
    <t>Ausencia sin goce</t>
  </si>
  <si>
    <t>Egreso</t>
  </si>
  <si>
    <t>Días/Horas</t>
  </si>
  <si>
    <t>-</t>
  </si>
  <si>
    <t>Salario base / divisor parametrizado × días/horas</t>
  </si>
  <si>
    <t>Días u horas</t>
  </si>
  <si>
    <t>No quemar divisor</t>
  </si>
  <si>
    <t>EGR_TARDANZA</t>
  </si>
  <si>
    <t>Tardanza descontable</t>
  </si>
  <si>
    <t>Minutos/Horas</t>
  </si>
  <si>
    <t>Asistencia</t>
  </si>
  <si>
    <t>Valor minuto/hora × tiempo autorizado para descuento</t>
  </si>
  <si>
    <t>Según política</t>
  </si>
  <si>
    <t>EGR_PRESTAMO</t>
  </si>
  <si>
    <t>Cuota préstamo</t>
  </si>
  <si>
    <t>Automático/Manual</t>
  </si>
  <si>
    <t>Cuota programada</t>
  </si>
  <si>
    <t>No/Control</t>
  </si>
  <si>
    <t>Monto si excepción</t>
  </si>
  <si>
    <t>Saldo y cuotas</t>
  </si>
  <si>
    <t>EGR_ANTICIPO</t>
  </si>
  <si>
    <t>Anticipo</t>
  </si>
  <si>
    <t>Monto autorizado</t>
  </si>
  <si>
    <t>EGR_EMBARGO</t>
  </si>
  <si>
    <t>Embargo / retención judicial</t>
  </si>
  <si>
    <t>Monto/%</t>
  </si>
  <si>
    <t>Según orden y parámetros aplicables</t>
  </si>
  <si>
    <t>Monto/% + expediente</t>
  </si>
  <si>
    <t>No automatizar regla sin validar documento</t>
  </si>
  <si>
    <t>EGR_OTRO</t>
  </si>
  <si>
    <t>Otro descuento autorizado</t>
  </si>
  <si>
    <t>Guardar autorización</t>
  </si>
  <si>
    <t>INF_VAC</t>
  </si>
  <si>
    <t>Vacaciones gozadas</t>
  </si>
  <si>
    <t>Informativa/según regla</t>
  </si>
  <si>
    <t>Días</t>
  </si>
  <si>
    <t>Manual/Módulo</t>
  </si>
  <si>
    <t>Puede</t>
  </si>
  <si>
    <t>±</t>
  </si>
  <si>
    <t>Según política y tratamiento configurado</t>
  </si>
  <si>
    <t>Fechas/días</t>
  </si>
  <si>
    <t>Debe actualizar saldo</t>
  </si>
  <si>
    <t>INF_SUSP</t>
  </si>
  <si>
    <t>Suspensión</t>
  </si>
  <si>
    <t>Informativa/egreso</t>
  </si>
  <si>
    <t>Según tipo de suspensión y regla parametrizada</t>
  </si>
  <si>
    <t>Fechas/tipo</t>
  </si>
  <si>
    <t>Separar tipos</t>
  </si>
  <si>
    <t>INF_ALTA</t>
  </si>
  <si>
    <t>Ingreso en período</t>
  </si>
  <si>
    <t>Informativa</t>
  </si>
  <si>
    <t>Prorratea</t>
  </si>
  <si>
    <t>Salario proporcional según fecha ingreso y regla</t>
  </si>
  <si>
    <t>INF_BAJA</t>
  </si>
  <si>
    <t>Baja en período</t>
  </si>
  <si>
    <t>Salario proporcional hasta fecha baja + liquidación aparte</t>
  </si>
  <si>
    <t>Fecha baja/motivo</t>
  </si>
  <si>
    <t>07. PARÁMETROS DEL MOTOR DE NÓMINA</t>
  </si>
  <si>
    <t>Valores de demostración para que IT vea la lógica. Deben ser configurables por vigencia; validar con Nómina/Contabilidad y normativa aplicable antes de producción.</t>
  </si>
  <si>
    <t>Valor demo</t>
  </si>
  <si>
    <t>Unidad</t>
  </si>
  <si>
    <t>Uso</t>
  </si>
  <si>
    <t>Editable por</t>
  </si>
  <si>
    <t>Nota</t>
  </si>
  <si>
    <t>Divisor días salario mensual</t>
  </si>
  <si>
    <t>días</t>
  </si>
  <si>
    <t>Salario diario = salario base / divisor</t>
  </si>
  <si>
    <t>Administrador nómina</t>
  </si>
  <si>
    <t>Horas jornada diaria demo</t>
  </si>
  <si>
    <t>horas</t>
  </si>
  <si>
    <t>Valor hora = salario diario / horas jornada</t>
  </si>
  <si>
    <t>Parametrizar por jornada si corresponde</t>
  </si>
  <si>
    <t>Factor hora extra demo</t>
  </si>
  <si>
    <t>factor</t>
  </si>
  <si>
    <t>HE = valor hora × factor × horas</t>
  </si>
  <si>
    <t>Validar regla aplicable</t>
  </si>
  <si>
    <t>Tasa IGSS laboral demo</t>
  </si>
  <si>
    <t>%</t>
  </si>
  <si>
    <t>Deducción IGSS laboral sobre base afecta</t>
  </si>
  <si>
    <t>Valor de referencia: validar vigencia antes de producción</t>
  </si>
  <si>
    <t>Bonificación incentivo demo</t>
  </si>
  <si>
    <t>Q/mes</t>
  </si>
  <si>
    <t>Valor fijo referencial</t>
  </si>
  <si>
    <t>Debe poder manejar vigencia/prorrateo</t>
  </si>
  <si>
    <t>ISR</t>
  </si>
  <si>
    <t>Según tabla vigente</t>
  </si>
  <si>
    <t>tabla</t>
  </si>
  <si>
    <t>Cálculo por procedimiento legal vigente</t>
  </si>
  <si>
    <t>Implementar tabla/algoritmo por vigencia; no hardcodear en plantilla</t>
  </si>
  <si>
    <t>Redondeo moneda</t>
  </si>
  <si>
    <t>decimales</t>
  </si>
  <si>
    <t>Resultados monetarios</t>
  </si>
  <si>
    <t>JORNADAS / HORAS EXTRA</t>
  </si>
  <si>
    <t>CONFIGURACIÓN OPERATIVA ROTOTEC – TURNOS</t>
  </si>
  <si>
    <t>Jornada diurna - horas ordinarias/día</t>
  </si>
  <si>
    <t>Valor hora diurna = salario diario / 8</t>
  </si>
  <si>
    <t>Código de Trabajo art. 116; parametrizable por vigencia</t>
  </si>
  <si>
    <t>Horario L-V</t>
  </si>
  <si>
    <t>Sábado</t>
  </si>
  <si>
    <t>Jornada para valor hora</t>
  </si>
  <si>
    <t>Jornada mixta - horas ordinarias/día</t>
  </si>
  <si>
    <t>Valor hora mixta = salario diario / 7</t>
  </si>
  <si>
    <t>Código de Trabajo art. 117</t>
  </si>
  <si>
    <t>06:00/07:00–14:00 aprox.; puede extenderse</t>
  </si>
  <si>
    <t>Descanso / planta cerrada</t>
  </si>
  <si>
    <t>Jornada nocturna - horas ordinarias/día</t>
  </si>
  <si>
    <t>Valor hora nocturna = salario diario / 6</t>
  </si>
  <si>
    <t>Código de Trabajo art. 116</t>
  </si>
  <si>
    <t>Noche</t>
  </si>
  <si>
    <t>18:00–06:00</t>
  </si>
  <si>
    <t>Sale sábado 06:00; no reingresa sábado noche</t>
  </si>
  <si>
    <t>Nocturna</t>
  </si>
  <si>
    <t>Recargo mínimo HE</t>
  </si>
  <si>
    <t>Pago HE = valor hora ordinaria de la jornada × 1.5 × horas extra</t>
  </si>
  <si>
    <t>Mínimo legal de 50% adicional; validar políticas más favorables</t>
  </si>
  <si>
    <t>Horario diurno</t>
  </si>
  <si>
    <t>06:00-18:00</t>
  </si>
  <si>
    <t>rango</t>
  </si>
  <si>
    <t>Clasificación de jornada/horas</t>
  </si>
  <si>
    <t>IMPORTANTE: el horario operativo de 12 horas NO se usa como divisor del valor hora. El divisor depende de la jornada aplicable (8 diurna, 7 mixta, 6 nocturna). Las horas ordinarias/extraordinarias deben clasificarse y aprobarse por separado.</t>
  </si>
  <si>
    <t>Horario nocturno</t>
  </si>
  <si>
    <t>18:00-06:00</t>
  </si>
  <si>
    <t>Regla jornada mixta</t>
  </si>
  <si>
    <t>&lt;4 horas nocturnas</t>
  </si>
  <si>
    <t>regla</t>
  </si>
  <si>
    <t>Si jornada mixta incluye 4 o más horas nocturnas, tratar como nocturna</t>
  </si>
  <si>
    <t>ID</t>
  </si>
  <si>
    <t>Nombre</t>
  </si>
  <si>
    <t>Salario base</t>
  </si>
  <si>
    <t>Horas extra</t>
  </si>
  <si>
    <t>Comisiones</t>
  </si>
  <si>
    <t>Otros ingresos</t>
  </si>
  <si>
    <t>Préstamos</t>
  </si>
  <si>
    <t>Anticipos</t>
  </si>
  <si>
    <t>Embargos</t>
  </si>
  <si>
    <t>Otros descuentos</t>
  </si>
  <si>
    <t>Salario diario</t>
  </si>
  <si>
    <t>Salario ordinario período</t>
  </si>
  <si>
    <t>Valor hora</t>
  </si>
  <si>
    <t>Total ingresos</t>
  </si>
  <si>
    <t>Total egresos</t>
  </si>
  <si>
    <t>Líquido a pagar</t>
  </si>
  <si>
    <t>0001</t>
  </si>
  <si>
    <t>Resultado</t>
  </si>
  <si>
    <t>Fórmula funcional</t>
  </si>
  <si>
    <t>Ficha + Parámetro</t>
  </si>
  <si>
    <t>Ficha + Incidencias</t>
  </si>
  <si>
    <t>Salario diario / horas jornada</t>
  </si>
  <si>
    <t>Puede variar por jornada</t>
  </si>
  <si>
    <t>Incidencias + Parámetro</t>
  </si>
  <si>
    <t>Base IGSS</t>
  </si>
  <si>
    <t>Cada concepto debe tener bandera afecta/no afecta</t>
  </si>
  <si>
    <t>Procedimiento/tabla vigente</t>
  </si>
  <si>
    <t>Parámetros fiscales</t>
  </si>
  <si>
    <t>Solo ajuste autorizado</t>
  </si>
  <si>
    <t>IGSS + ISR + préstamos + anticipos + embargos + otros descuentos</t>
  </si>
  <si>
    <t>Validar topes/reglas</t>
  </si>
  <si>
    <t>Líquido</t>
  </si>
  <si>
    <t>Total ingresos - total egresos</t>
  </si>
  <si>
    <t>No negativo sin alerta</t>
  </si>
  <si>
    <t>05. HISTORIAL Y AUDITORÍA</t>
  </si>
  <si>
    <t>Tabla que el sistema debe alimentar automáticamente cuando cambie información laboral, salarial, bancaria o sensible.</t>
  </si>
  <si>
    <t>ID movimiento</t>
  </si>
  <si>
    <t>Fecha/hora</t>
  </si>
  <si>
    <t>Tipo movimiento</t>
  </si>
  <si>
    <t>Valor anterior</t>
  </si>
  <si>
    <t>Valor nuevo</t>
  </si>
  <si>
    <t>Fecha vigencia</t>
  </si>
  <si>
    <t>Usuario</t>
  </si>
  <si>
    <t>Motivo / autorización</t>
  </si>
  <si>
    <t>MOV-0001</t>
  </si>
  <si>
    <t>Cambio salarial</t>
  </si>
  <si>
    <t>5500</t>
  </si>
  <si>
    <t>6000</t>
  </si>
  <si>
    <t>usuario.th</t>
  </si>
  <si>
    <t>Promoción / autorización</t>
  </si>
  <si>
    <t>MOV-0002</t>
  </si>
  <si>
    <t>Cambio organizacional</t>
  </si>
  <si>
    <t>Operario I</t>
  </si>
  <si>
    <t>Operario II</t>
  </si>
  <si>
    <t>Movimiento interno</t>
  </si>
  <si>
    <t>06. REPORTES / QUERIES REQUERIDOS</t>
  </si>
  <si>
    <t>Salidas mínimas que TH debe poder descargar a Excel sin pedir desarrollo cada vez. Los reportes legales deben construirse con los campos exigidos por el formato oficial vigente.</t>
  </si>
  <si>
    <t>Reporte / query</t>
  </si>
  <si>
    <t>Filtros mínimos</t>
  </si>
  <si>
    <t>Campos mínimos</t>
  </si>
  <si>
    <t>Fuente</t>
  </si>
  <si>
    <t>Frecuencia</t>
  </si>
  <si>
    <t>Exportable</t>
  </si>
  <si>
    <t>Nota para IT</t>
  </si>
  <si>
    <t>Nómina detallada</t>
  </si>
  <si>
    <t>Período; empresa; sede; área; centro costo</t>
  </si>
  <si>
    <t>ID; nombre; puesto; salario; ingresos por concepto; egresos por concepto; líquido</t>
  </si>
  <si>
    <t>Ficha + Incidencias + Cálculo</t>
  </si>
  <si>
    <t>Cada nómina</t>
  </si>
  <si>
    <t>Una columna por concepto y totales</t>
  </si>
  <si>
    <t>Comparativo de nómina</t>
  </si>
  <si>
    <t>Período actual/anterior; área</t>
  </si>
  <si>
    <t>ID; nombre; total anterior; total actual; variación Q; variación %; causa</t>
  </si>
  <si>
    <t>Cálculo</t>
  </si>
  <si>
    <t>Detectar excepciones</t>
  </si>
  <si>
    <t>Libro de salarios</t>
  </si>
  <si>
    <t>Año/período; empresa</t>
  </si>
  <si>
    <t>Datos de identificación/laborales + remuneraciones y deducciones requeridas por formato vigente</t>
  </si>
  <si>
    <t>Ficha + Cálculo + Historial</t>
  </si>
  <si>
    <t>Según obligación</t>
  </si>
  <si>
    <t>Mapear contra formato oficial vigente</t>
  </si>
  <si>
    <t>Informe del empleador</t>
  </si>
  <si>
    <t>Año; empresa</t>
  </si>
  <si>
    <t>Datos requeridos por formulario oficial vigente, alimentados desde ficha y nómina</t>
  </si>
  <si>
    <t>Ficha + Cálculo</t>
  </si>
  <si>
    <t>Anual/según obligación</t>
  </si>
  <si>
    <t>No duplicar captura; parametrizar layout</t>
  </si>
  <si>
    <t>Colaborador; rango fechas</t>
  </si>
  <si>
    <t>Fecha vigencia; puesto; salario anterior/nuevo; usuario; motivo</t>
  </si>
  <si>
    <t>Historial</t>
  </si>
  <si>
    <t>A demanda</t>
  </si>
  <si>
    <t>Historial laboral</t>
  </si>
  <si>
    <t>Colaborador</t>
  </si>
  <si>
    <t>Área; puesto; jefe; sede; centro costo; fechas vigencia</t>
  </si>
  <si>
    <t>Fecha corte; área; puesto</t>
  </si>
  <si>
    <t>Autorizado; activo; vacante; suspendido</t>
  </si>
  <si>
    <t>Ficha/Plazas</t>
  </si>
  <si>
    <t>Mensual</t>
  </si>
  <si>
    <t>Requiere maestro de plazas</t>
  </si>
  <si>
    <t>Altas y bajas</t>
  </si>
  <si>
    <t>Rango fechas; área; motivo</t>
  </si>
  <si>
    <t>ID; nombre; ingreso; baja; motivo; antigüedad</t>
  </si>
  <si>
    <t>Período; área; puesto; colaborador</t>
  </si>
  <si>
    <t>Horas; factor; monto; autorizador; centro costo</t>
  </si>
  <si>
    <t>Incidencias + Cálculo</t>
  </si>
  <si>
    <t>Ausentismo/incidencias</t>
  </si>
  <si>
    <t>Período; área</t>
  </si>
  <si>
    <t>Tipo; fecha; cantidad; monto; estado; autorización</t>
  </si>
  <si>
    <t>Incidencias</t>
  </si>
  <si>
    <t>Media</t>
  </si>
  <si>
    <t>Vacaciones</t>
  </si>
  <si>
    <t>Fecha corte; área</t>
  </si>
  <si>
    <t>Saldo; gozadas; pendientes; vencimientos si aplica</t>
  </si>
  <si>
    <t>Módulo vacaciones</t>
  </si>
  <si>
    <t>Costo nómina</t>
  </si>
  <si>
    <t>Período; centro costo</t>
  </si>
  <si>
    <t>Ingresos; cargas patronales; provisiones/otros configurados; total</t>
  </si>
  <si>
    <t>Datos bancarios para pago</t>
  </si>
  <si>
    <t>Período; banco</t>
  </si>
  <si>
    <t>ID; nombre; banco; cuenta; monto líquido</t>
  </si>
  <si>
    <t>Acceso restringido</t>
  </si>
  <si>
    <t>08. CASOS DE PRUEBA / UAT</t>
  </si>
  <si>
    <t>Antes del go-live, correr estos casos contra el Excel manual vigente y documentar diferencias. No pasar a producción hasta aprobar resultados.</t>
  </si>
  <si>
    <t>Caso</t>
  </si>
  <si>
    <t>Escenario</t>
  </si>
  <si>
    <t>Qué validar</t>
  </si>
  <si>
    <t>Resultado esperado</t>
  </si>
  <si>
    <t>Resultado sistema</t>
  </si>
  <si>
    <t>Estado</t>
  </si>
  <si>
    <t>CP-01</t>
  </si>
  <si>
    <t>Mes completo sin incidencias</t>
  </si>
  <si>
    <t>Salario ordinario, bono fijo, IGSS/ISR</t>
  </si>
  <si>
    <t>Coincide con cálculo validado</t>
  </si>
  <si>
    <t>Pendiente</t>
  </si>
  <si>
    <t>CP-02</t>
  </si>
  <si>
    <t>Ingreso a mitad de período</t>
  </si>
  <si>
    <t>Prorrateo salario/bonos según regla</t>
  </si>
  <si>
    <t>Coincide con regla aprobada</t>
  </si>
  <si>
    <t>CP-03</t>
  </si>
  <si>
    <t>Baja a mitad de período</t>
  </si>
  <si>
    <t>Pago hasta fecha baja y conceptos finales</t>
  </si>
  <si>
    <t>CP-04</t>
  </si>
  <si>
    <t>Horas aprobadas, factor, base</t>
  </si>
  <si>
    <t>Solo horas aprobadas se pagan</t>
  </si>
  <si>
    <t>CP-05</t>
  </si>
  <si>
    <t>Descuento días/horas</t>
  </si>
  <si>
    <t>Descuento correcto</t>
  </si>
  <si>
    <t>CP-06</t>
  </si>
  <si>
    <t>Bono variable + comisión</t>
  </si>
  <si>
    <t>Suma conceptos y bases afectas</t>
  </si>
  <si>
    <t>Correcto y auditable</t>
  </si>
  <si>
    <t>CP-07</t>
  </si>
  <si>
    <t>Préstamo + anticipo</t>
  </si>
  <si>
    <t>Deducciones y saldo</t>
  </si>
  <si>
    <t>No duplica cuotas</t>
  </si>
  <si>
    <t>CP-08</t>
  </si>
  <si>
    <t>Embargo/retención</t>
  </si>
  <si>
    <t>Regla según orden parametrizada</t>
  </si>
  <si>
    <t>Correcto y trazable</t>
  </si>
  <si>
    <t>CP-09</t>
  </si>
  <si>
    <t>Cambio salarial en período</t>
  </si>
  <si>
    <t>Vigencias / retroactivo</t>
  </si>
  <si>
    <t>Respeta fechas</t>
  </si>
  <si>
    <t>CP-10</t>
  </si>
  <si>
    <t>Cambio de cuenta bancaria</t>
  </si>
  <si>
    <t>Auditoría y archivo pago</t>
  </si>
  <si>
    <t>Cambio autorizado y trazable</t>
  </si>
  <si>
    <t>CP-11</t>
  </si>
  <si>
    <t>Reproceso nómina</t>
  </si>
  <si>
    <t>Versiones y diferencias</t>
  </si>
  <si>
    <t>No pierde versión anterior</t>
  </si>
  <si>
    <t>CP-12</t>
  </si>
  <si>
    <t>Colaborador inactivo</t>
  </si>
  <si>
    <t>Exclusión nómina ordinaria</t>
  </si>
  <si>
    <t>No aparece salvo pago final autorizado</t>
  </si>
  <si>
    <t>CP-13</t>
  </si>
  <si>
    <t>HE jornada diurna</t>
  </si>
  <si>
    <t>Divisor 8 + factor vigente</t>
  </si>
  <si>
    <t>Valor hora y HE correctos</t>
  </si>
  <si>
    <t>CP-14</t>
  </si>
  <si>
    <t>HE jornada mixta</t>
  </si>
  <si>
    <t>Divisor 7 + factor vigente</t>
  </si>
  <si>
    <t>CP-15</t>
  </si>
  <si>
    <t>HE jornada nocturna</t>
  </si>
  <si>
    <t>Divisor 6 + factor vigente</t>
  </si>
  <si>
    <t>CP-16</t>
  </si>
  <si>
    <t>Jornada mixta con 4+ horas nocturnas</t>
  </si>
  <si>
    <t>Clasificación legal</t>
  </si>
  <si>
    <t>Se trata como jornada nocturna</t>
  </si>
  <si>
    <t>CP-17</t>
  </si>
  <si>
    <t>Turno Día L-V 06:00–18:00</t>
  </si>
  <si>
    <t>Turno operativo + jornada Diurna</t>
  </si>
  <si>
    <t>Valor hora usa divisor 8, nunca 12</t>
  </si>
  <si>
    <t>CP-18</t>
  </si>
  <si>
    <t>Turno Noche L-V 18:00–06:00</t>
  </si>
  <si>
    <t>Turno operativo + jornada Nocturna</t>
  </si>
  <si>
    <t>Valor hora usa divisor 6, nunca 12</t>
  </si>
  <si>
    <t>CP-19</t>
  </si>
  <si>
    <t>Turno Día sábado 06:00–14:00</t>
  </si>
  <si>
    <t>Programación sábado</t>
  </si>
  <si>
    <t>Marcaje se compara contra horario programado</t>
  </si>
  <si>
    <t>CP-20</t>
  </si>
  <si>
    <t>Turno Día sábado 07:00–14:00</t>
  </si>
  <si>
    <t>Programación sábado alternativa</t>
  </si>
  <si>
    <t>CP-21</t>
  </si>
  <si>
    <t>Extensión sábado después de 14:00</t>
  </si>
  <si>
    <t>Excepción/HE</t>
  </si>
  <si>
    <t>Diferencia queda pendiente de autorización y solo aprobada pasa a nómina</t>
  </si>
  <si>
    <t>CP-22</t>
  </si>
  <si>
    <t>Turno Noche sale sábado 06:00</t>
  </si>
  <si>
    <t>Cierre semanal</t>
  </si>
  <si>
    <t>No genera ausencia ni expectativa de ingreso sábado 18:00</t>
  </si>
  <si>
    <t>09. CICLO DE VIDA DEL COLABORADOR</t>
  </si>
  <si>
    <t>Flujo objetivo: cada evento relevante deja un registro único, aprobación cuando corresponda y actualización automática de maestros/históricos.</t>
  </si>
  <si>
    <t>Etapa</t>
  </si>
  <si>
    <t>Registro mínimo</t>
  </si>
  <si>
    <t>Disparador</t>
  </si>
  <si>
    <t>Responsable</t>
  </si>
  <si>
    <t>Aprobación</t>
  </si>
  <si>
    <t>Actualiza sistema</t>
  </si>
  <si>
    <t>Soporte expediente</t>
  </si>
  <si>
    <t>Regla de agilidad/control</t>
  </si>
  <si>
    <t>Planificación</t>
  </si>
  <si>
    <t>Requisición / autorización de plaza</t>
  </si>
  <si>
    <t>Necesidad de cobertura</t>
  </si>
  <si>
    <t>Jefatura + TH</t>
  </si>
  <si>
    <t>Según matriz de autoridad</t>
  </si>
  <si>
    <t>Plaza/estatus</t>
  </si>
  <si>
    <t>Digital</t>
  </si>
  <si>
    <t>No iniciar reclutamiento sin plaza o excepción autorizada</t>
  </si>
  <si>
    <t>Selección</t>
  </si>
  <si>
    <t>Expediente de selección + decisión</t>
  </si>
  <si>
    <t>Candidato finalista</t>
  </si>
  <si>
    <t>TH/Jefatura</t>
  </si>
  <si>
    <t>Jefatura / GG según nivel</t>
  </si>
  <si>
    <t>Candidato</t>
  </si>
  <si>
    <t>Conservar solo evidencia necesaria</t>
  </si>
  <si>
    <t>Oferta</t>
  </si>
  <si>
    <t>Propuesta laboral</t>
  </si>
  <si>
    <t>Candidato seleccionado</t>
  </si>
  <si>
    <t>TH/GG</t>
  </si>
  <si>
    <t>Autoridad definida</t>
  </si>
  <si>
    <t>Pre-alta</t>
  </si>
  <si>
    <t>Para puestos con KPI, anexar regla de variable</t>
  </si>
  <si>
    <t>Alta / Ficha de ingreso</t>
  </si>
  <si>
    <t>Aceptación de oferta</t>
  </si>
  <si>
    <t>Control documental</t>
  </si>
  <si>
    <t>Maestro colaborador</t>
  </si>
  <si>
    <t>Físico/digital</t>
  </si>
  <si>
    <t>Capturar una sola vez</t>
  </si>
  <si>
    <t>Contratación</t>
  </si>
  <si>
    <t>Contrato + documentos requeridos</t>
  </si>
  <si>
    <t>Fecha de ingreso</t>
  </si>
  <si>
    <t>Empresa/colaborador</t>
  </si>
  <si>
    <t>Datos contractuales</t>
  </si>
  <si>
    <t>Control de completitud</t>
  </si>
  <si>
    <t>Onboarding</t>
  </si>
  <si>
    <t>Checklist de integración</t>
  </si>
  <si>
    <t>TH/Jefe/IT/SSO</t>
  </si>
  <si>
    <t>Según actividad</t>
  </si>
  <si>
    <t>Estado onboarding</t>
  </si>
  <si>
    <t>Responsables y fechas</t>
  </si>
  <si>
    <t>Movimiento</t>
  </si>
  <si>
    <t>Ficha Única de Movimiento</t>
  </si>
  <si>
    <t>Cambio laboral/salarial</t>
  </si>
  <si>
    <t>Jefe/TH</t>
  </si>
  <si>
    <t>Según matriz</t>
  </si>
  <si>
    <t>Historial + maestro</t>
  </si>
  <si>
    <t>Nunca sobreescribir histórico</t>
  </si>
  <si>
    <t>Registro de incidencia</t>
  </si>
  <si>
    <t>Evento de nómina</t>
  </si>
  <si>
    <t>Jefe/TH/Nómina</t>
  </si>
  <si>
    <t>Según concepto</t>
  </si>
  <si>
    <t>Digital si requiere soporte</t>
  </si>
  <si>
    <t>Solo aprobadas afectan cálculo</t>
  </si>
  <si>
    <t>Desempeño</t>
  </si>
  <si>
    <t>Acuerdo/resultado KPI</t>
  </si>
  <si>
    <t>Período de medición</t>
  </si>
  <si>
    <t>Jefe</t>
  </si>
  <si>
    <t>Bono variable</t>
  </si>
  <si>
    <t>Fuente y regla de cálculo visibles</t>
  </si>
  <si>
    <t>Desarrollo</t>
  </si>
  <si>
    <t>Capacitación/certificación</t>
  </si>
  <si>
    <t>Plan/escuela Rototec</t>
  </si>
  <si>
    <t>Responsable formación</t>
  </si>
  <si>
    <t>Según programa</t>
  </si>
  <si>
    <t>Historial formación</t>
  </si>
  <si>
    <t>Trazar máquina/competencia/vigencia</t>
  </si>
  <si>
    <t>Salida</t>
  </si>
  <si>
    <t>Ficha de desvinculación + checklist</t>
  </si>
  <si>
    <t>Fin relación</t>
  </si>
  <si>
    <t>TH/Jefe</t>
  </si>
  <si>
    <t>Baja + nómina final</t>
  </si>
  <si>
    <t>Bloqueo accesos, activos, documentos y cierre</t>
  </si>
  <si>
    <t>10. FICHA ÚNICA DE MOVIMIENTO DE PERSONAL (FMP)</t>
  </si>
  <si>
    <t>Un solo registro para ingreso y cambios. IT debe guardar situación anterior, nueva situación, fecha efectiva, aprobaciones y usuario que ejecutó el cambio.</t>
  </si>
  <si>
    <t>Fecha efectiva</t>
  </si>
  <si>
    <t>Campo / dimensión</t>
  </si>
  <si>
    <t>Motivo</t>
  </si>
  <si>
    <t>Solicita</t>
  </si>
  <si>
    <t>Revisa TH</t>
  </si>
  <si>
    <t>Autoriza</t>
  </si>
  <si>
    <t>Procesa</t>
  </si>
  <si>
    <t>Fecha proceso</t>
  </si>
  <si>
    <t>Soporte / ID documento</t>
  </si>
  <si>
    <t>Ajuste autorizado</t>
  </si>
  <si>
    <t>Jefe área</t>
  </si>
  <si>
    <t>GG</t>
  </si>
  <si>
    <t>DOC-0001</t>
  </si>
  <si>
    <t>11. ALTA Y ONBOARDING – CHECKLIST ÚNICO</t>
  </si>
  <si>
    <t>Control mínimo para integrar a una persona sin doble digitación. Los datos maestros se capturan en la ficha; aquí se controla completitud, responsables y evidencia.</t>
  </si>
  <si>
    <t>Bloque</t>
  </si>
  <si>
    <t>Requisito / actividad</t>
  </si>
  <si>
    <t>Fecha límite</t>
  </si>
  <si>
    <t>ID documento / evidencia</t>
  </si>
  <si>
    <t>Alimenta sistema</t>
  </si>
  <si>
    <t>Identidad</t>
  </si>
  <si>
    <t>DPI / documento de identificación</t>
  </si>
  <si>
    <t>Afiliación IGSS / gestión correspondiente</t>
  </si>
  <si>
    <t>Dirección, teléfono, emergencia</t>
  </si>
  <si>
    <t>Puesto, área, jefe, sede, centro costo, jornada/turno</t>
  </si>
  <si>
    <t>Compensación</t>
  </si>
  <si>
    <t>Salario, bonificaciones fijas, periodicidad</t>
  </si>
  <si>
    <t>Ficha/Nómina</t>
  </si>
  <si>
    <t>Regla KPI/bono variable si aplica</t>
  </si>
  <si>
    <t>Jefe + TH</t>
  </si>
  <si>
    <t>KPI</t>
  </si>
  <si>
    <t>Propuesta laboral si aplica</t>
  </si>
  <si>
    <t>Expediente</t>
  </si>
  <si>
    <t>Contrato / documento contractual</t>
  </si>
  <si>
    <t>Banco/cuenta/forma de pago</t>
  </si>
  <si>
    <t>Según forma pago</t>
  </si>
  <si>
    <t>Organización</t>
  </si>
  <si>
    <t>Descriptor de puesto vigente</t>
  </si>
  <si>
    <t>Inducción corporativa</t>
  </si>
  <si>
    <t>Inducción al puesto / técnica</t>
  </si>
  <si>
    <t>Jefe/Formador</t>
  </si>
  <si>
    <t>Capacitación</t>
  </si>
  <si>
    <t>Accesos</t>
  </si>
  <si>
    <t>Correo/sistemas/permisos</t>
  </si>
  <si>
    <t>Según puesto</t>
  </si>
  <si>
    <t>IT/Jefe</t>
  </si>
  <si>
    <t>Activos</t>
  </si>
  <si>
    <t>Equipo, herramientas, uniforme/EPP</t>
  </si>
  <si>
    <t>12. MATRIZ DE AUTORIDAD Y APROBACIONES</t>
  </si>
  <si>
    <t>Definir quién solicita, revisa, autoriza y ejecuta. Los nombres/cargos definitivos deben acordarse con GG. Evita instrucciones informales sin trazabilidad.</t>
  </si>
  <si>
    <t>Proceso / movimiento</t>
  </si>
  <si>
    <t>Revisa / valida</t>
  </si>
  <si>
    <t>Ejecuta en sistema</t>
  </si>
  <si>
    <t>Evidencia mínima</t>
  </si>
  <si>
    <t>Nueva plaza / reemplazo</t>
  </si>
  <si>
    <t>Según nivel / GG</t>
  </si>
  <si>
    <t>Requisición</t>
  </si>
  <si>
    <t>ID + fecha + aprobador</t>
  </si>
  <si>
    <t>Jefatura/TH</t>
  </si>
  <si>
    <t>Según nivel</t>
  </si>
  <si>
    <t>Oferta/alta/contrato</t>
  </si>
  <si>
    <t>No activar sin campos críticos</t>
  </si>
  <si>
    <t>Cambio de puesto/promoción</t>
  </si>
  <si>
    <t>FMP</t>
  </si>
  <si>
    <t>GG / autoridad definida</t>
  </si>
  <si>
    <t>FMP/autorización</t>
  </si>
  <si>
    <t>Histórico salarial</t>
  </si>
  <si>
    <t>Bono KPI</t>
  </si>
  <si>
    <t>Resultado KPI</t>
  </si>
  <si>
    <t>Fuente + cálculo + aprobación</t>
  </si>
  <si>
    <t>Incidencia aprobada</t>
  </si>
  <si>
    <t>No pagar borradores</t>
  </si>
  <si>
    <t>Cambio bancario</t>
  </si>
  <si>
    <t>Control definido</t>
  </si>
  <si>
    <t>Solicitud/validación</t>
  </si>
  <si>
    <t>Auditoría obligatoria</t>
  </si>
  <si>
    <t>Desvinculación</t>
  </si>
  <si>
    <t>TH/Nómina/IT</t>
  </si>
  <si>
    <t>FMP + checklist salida</t>
  </si>
  <si>
    <t>Baja accesos/activos</t>
  </si>
  <si>
    <t>13. CONTROL DE KPI Y COMPENSACIÓN VARIABLE</t>
  </si>
  <si>
    <t>Para puestos con bono por cumplimiento. La nómina recibe únicamente el monto aprobado proveniente de este registro; no instrucciones informales.</t>
  </si>
  <si>
    <t>ID acuerdo</t>
  </si>
  <si>
    <t>Período</t>
  </si>
  <si>
    <t>Meta</t>
  </si>
  <si>
    <t>Peso %</t>
  </si>
  <si>
    <t>Fuente de medición</t>
  </si>
  <si>
    <t>% cumplimiento</t>
  </si>
  <si>
    <t>Regla pago</t>
  </si>
  <si>
    <t>Bono potencial</t>
  </si>
  <si>
    <t>Bono ganado</t>
  </si>
  <si>
    <t>KPI-0001</t>
  </si>
  <si>
    <t>Puesto ejemplo</t>
  </si>
  <si>
    <t>2026-Q4</t>
  </si>
  <si>
    <t>Indicador ejemplo</t>
  </si>
  <si>
    <t>Fuente definida</t>
  </si>
  <si>
    <t>Ejemplo: según esquema aprobado</t>
  </si>
  <si>
    <t>14. ÍNDICE DE EXPEDIENTE FÍSICO / DIGITAL</t>
  </si>
  <si>
    <t>Índice simple para que cada documento tenga categoría, ID, fecha, versión y ubicación. No duplicar documentos innecesariamente; restringir acceso a información sensible.</t>
  </si>
  <si>
    <t>ID documento</t>
  </si>
  <si>
    <t>Categoría</t>
  </si>
  <si>
    <t>Documento</t>
  </si>
  <si>
    <t>Versión</t>
  </si>
  <si>
    <t>Ubicación / enlace</t>
  </si>
  <si>
    <t>Físico</t>
  </si>
  <si>
    <t>Acceso / observación</t>
  </si>
  <si>
    <t>02 Contratación</t>
  </si>
  <si>
    <t>Contrato de trabajo</t>
  </si>
  <si>
    <t>1</t>
  </si>
  <si>
    <t>TH restringido</t>
  </si>
  <si>
    <t>DOC-0002</t>
  </si>
  <si>
    <t>03 Compensación y movimientos</t>
  </si>
  <si>
    <t>FMP cambio salarial</t>
  </si>
  <si>
    <t>15. CHECKLIST DE DESVINCULACIÓN</t>
  </si>
  <si>
    <t>Cierre coordinado entre TH, Nómina, IT y responsables de activos. Mantener motivo, fecha efectiva, documentos y evidencias con acceso adecuado.</t>
  </si>
  <si>
    <t>Actividad</t>
  </si>
  <si>
    <t>Fecha objetivo</t>
  </si>
  <si>
    <t>Evidencia / ID</t>
  </si>
  <si>
    <t>Actualiza</t>
  </si>
  <si>
    <t>FMP de desvinculación</t>
  </si>
  <si>
    <t>Historial/Ficha</t>
  </si>
  <si>
    <t>Fecha y motivo de baja registrados</t>
  </si>
  <si>
    <t>Ficha/Reportes</t>
  </si>
  <si>
    <t>Cálculo final / conceptos pendientes</t>
  </si>
  <si>
    <t>Bloqueo de accesos</t>
  </si>
  <si>
    <t>Devolución de activos/herramientas</t>
  </si>
  <si>
    <t>Documentación de cierre aplicable</t>
  </si>
  <si>
    <t>Entrevista de salida</t>
  </si>
  <si>
    <t>Reporte salida</t>
  </si>
  <si>
    <t>Cierre expediente</t>
  </si>
  <si>
    <t>16. REQUERIMIENTOS TRANSVERSALES PARA IT</t>
  </si>
  <si>
    <t>Controles mínimos del desarrollo/configuración. El objetivo es agilidad con trazabilidad: automatizar controles, no trasladar burocracia del papel al sistema.</t>
  </si>
  <si>
    <t>Requerimiento</t>
  </si>
  <si>
    <t>Aplica a</t>
  </si>
  <si>
    <t>Criterio aceptación</t>
  </si>
  <si>
    <t>Evita</t>
  </si>
  <si>
    <t>Dueño funcional</t>
  </si>
  <si>
    <t>REQ-01</t>
  </si>
  <si>
    <t>ID único e irrepetible por colaborador</t>
  </si>
  <si>
    <t>Todo</t>
  </si>
  <si>
    <t>Mismo ID en todos los módulos/reportes</t>
  </si>
  <si>
    <t>Duplicados</t>
  </si>
  <si>
    <t>REQ-02</t>
  </si>
  <si>
    <t>Histórico por vigencia; no sobreescritura</t>
  </si>
  <si>
    <t>Ficha/FMP/Nómina</t>
  </si>
  <si>
    <t>Consulta valor anterior/nuevo y fechas</t>
  </si>
  <si>
    <t>Pérdida trazabilidad</t>
  </si>
  <si>
    <t>REQ-03</t>
  </si>
  <si>
    <t>Bitácora de usuario/fecha/hora</t>
  </si>
  <si>
    <t>Cambios sensibles</t>
  </si>
  <si>
    <t>Auditoría descargable</t>
  </si>
  <si>
    <t>Cambios sin responsable</t>
  </si>
  <si>
    <t>REQ-04</t>
  </si>
  <si>
    <t>Estados y aprobaciones configurables</t>
  </si>
  <si>
    <t>Incidencias/KPI/FMP</t>
  </si>
  <si>
    <t>Solo aprobado impacta nómina</t>
  </si>
  <si>
    <t>Pagos no autorizados</t>
  </si>
  <si>
    <t>REQ-05</t>
  </si>
  <si>
    <t>Adjuntar o referenciar soporte por ID</t>
  </si>
  <si>
    <t>Movimientos/incidencias</t>
  </si>
  <si>
    <t>Registro enlazado a evidencia</t>
  </si>
  <si>
    <t>Documentos perdidos</t>
  </si>
  <si>
    <t>REQ-06</t>
  </si>
  <si>
    <t>Catálogos en vez de texto libre</t>
  </si>
  <si>
    <t>Maestros</t>
  </si>
  <si>
    <t>Valores normalizados</t>
  </si>
  <si>
    <t>Reportes inconsistentes</t>
  </si>
  <si>
    <t>TH/IT</t>
  </si>
  <si>
    <t>REQ-07</t>
  </si>
  <si>
    <t>Parámetros por vigencia</t>
  </si>
  <si>
    <t>Tasas/factores con fecha desde/hasta</t>
  </si>
  <si>
    <t>Hardcode</t>
  </si>
  <si>
    <t>Nómina/IT</t>
  </si>
  <si>
    <t>REQ-08</t>
  </si>
  <si>
    <t>Control de versiones de nómina</t>
  </si>
  <si>
    <t>Reproceso conserva versión previa</t>
  </si>
  <si>
    <t>Pérdida auditoría</t>
  </si>
  <si>
    <t>REQ-09</t>
  </si>
  <si>
    <t>Reporte de excepciones</t>
  </si>
  <si>
    <t>Variaciones y alertas automáticas</t>
  </si>
  <si>
    <t>Revisión manual total</t>
  </si>
  <si>
    <t>REQ-10</t>
  </si>
  <si>
    <t>Roles y accesos por perfil</t>
  </si>
  <si>
    <t>Datos sensibles restringidos</t>
  </si>
  <si>
    <t>Acceso indebido</t>
  </si>
  <si>
    <t>IT/TH</t>
  </si>
  <si>
    <t>REQ-11</t>
  </si>
  <si>
    <t>Exportación Excel de queries</t>
  </si>
  <si>
    <t>Usuario TH descarga sin pedir a IT</t>
  </si>
  <si>
    <t>Dependencia operativa</t>
  </si>
  <si>
    <t>REQ-12</t>
  </si>
  <si>
    <t>Fecha efectiva separada de fecha de registro</t>
  </si>
  <si>
    <t>FMP/Ficha</t>
  </si>
  <si>
    <t>Movimientos retro/futuros trazables</t>
  </si>
  <si>
    <t>Errores de vigencia</t>
  </si>
  <si>
    <t>REQ-13</t>
  </si>
  <si>
    <t>Validaciones de completitud y duplicidad</t>
  </si>
  <si>
    <t>Alta/Ficha</t>
  </si>
  <si>
    <t>Alertas antes de activar/procesar</t>
  </si>
  <si>
    <t>Datos incompletos</t>
  </si>
  <si>
    <t>REQ-15</t>
  </si>
  <si>
    <t>Catálogo de turnos Rototec con vigencia: Día 06:00–18:00 y Noche 18:00–06:00; permitir futuros cambios sin alterar históricos.</t>
  </si>
  <si>
    <t>Asistencia/Nómina</t>
  </si>
  <si>
    <t>Turno asignado por colaborador y fecha efectiva; conserva histórico.</t>
  </si>
  <si>
    <t>Cálculos erróneos por horarios hardcodeados</t>
  </si>
  <si>
    <t>REQ-16</t>
  </si>
  <si>
    <t>Separar turno operativo de jornada usada para valor hora.</t>
  </si>
  <si>
    <t>Turno Día asigna jornada Diurna/divisor 8; Turno Noche asigna Nocturna/divisor 6; Mixta queda parametrizable.</t>
  </si>
  <si>
    <t>Dividir salario entre 12 por error</t>
  </si>
  <si>
    <t>REQ-17</t>
  </si>
  <si>
    <t>Programación especial de sábado por turno.</t>
  </si>
  <si>
    <t>Día permite horario sábado 06:00/07:00–14:00 y extensión autorizada; Noche finaliza sábado 06:00 y no genera ingreso sábado noche.</t>
  </si>
  <si>
    <t>HE/ausencias falsas</t>
  </si>
  <si>
    <t>TH/Operaciones</t>
  </si>
  <si>
    <t>REQ-18</t>
  </si>
  <si>
    <t>Detectar diferencias entre horario programado y marcaje real y generar excepción para aprobación.</t>
  </si>
  <si>
    <t>Asistencia/Incidencias</t>
  </si>
  <si>
    <t>Diferencia queda pendiente; solo HE aprobadas pasan a nómina.</t>
  </si>
  <si>
    <t>Pago automático sin autorización</t>
  </si>
  <si>
    <t>REQ-19</t>
  </si>
  <si>
    <t>Acumulado semanal de horas ordinarias y extraordinarias por colaborador.</t>
  </si>
  <si>
    <t>Consulta semanal muestra ordinarias, HE detectadas, HE aprobadas y total.</t>
  </si>
  <si>
    <t>Falta de trazabilidad y control</t>
  </si>
  <si>
    <t>Codigo Colaborador</t>
  </si>
  <si>
    <t xml:space="preserve">Días </t>
  </si>
  <si>
    <t>Salario Ordinario</t>
  </si>
  <si>
    <t>Coordinador de nomina</t>
  </si>
  <si>
    <t>Contreras Galindo, Maria Jose</t>
  </si>
  <si>
    <t>Pacach, Oliverio</t>
  </si>
  <si>
    <t>Gerente de recursos humanos</t>
  </si>
  <si>
    <t>IGSS</t>
  </si>
  <si>
    <t>Steven</t>
  </si>
  <si>
    <t xml:space="preserve">Ingresos </t>
  </si>
  <si>
    <t>Deducciones</t>
  </si>
  <si>
    <t>Validar bases legales y parámetros antes de producción.</t>
  </si>
  <si>
    <t>Salario ordinario / 30  * dias laborados</t>
  </si>
  <si>
    <t>No, el calculo lo debe dar el sistema.</t>
  </si>
  <si>
    <t>Salario diario * (días período - días no pagados)</t>
  </si>
  <si>
    <t xml:space="preserve">Planilla No. 15 </t>
  </si>
  <si>
    <t>ROTOTEC, S.A.</t>
  </si>
  <si>
    <t>1ra Quincena de octubre 2026</t>
  </si>
  <si>
    <t>Periodo del 1 de octubre al 15 de octubre 2026</t>
  </si>
  <si>
    <t>Para los nuevos ingresos o bajas, el calculo debe ser correspondiente a los dias efectivos dentro del perido</t>
  </si>
  <si>
    <t>Valor hora × factor (1.5) × horas aprobadas</t>
  </si>
  <si>
    <t xml:space="preserve">Horas extras </t>
  </si>
  <si>
    <t>Jornada Diurna (valor hora = Salario ordinario / 30 / 8 * 1.5)
Jornada Nocturna (valor hora = Salario ordinario / 30 / 6 * 1.5)
Jornada Mixta (valor hora = Salario ordinario / 30 / 7 * 1.5)</t>
  </si>
  <si>
    <t>Horas/factor si excepción
Parametrizar el ingreso de horas extras individual y carga masiva</t>
  </si>
  <si>
    <t>Sumatoria de todos los ingresos</t>
  </si>
  <si>
    <t>Sumatoria de conceptos configurados como afectos por tasa vigente (4.83%)</t>
  </si>
  <si>
    <t>Total Ingresos</t>
  </si>
  <si>
    <t>Total Deducciones</t>
  </si>
  <si>
    <t>Bonificación DTO 37-2001</t>
  </si>
  <si>
    <t>Ingresos uno a uno</t>
  </si>
  <si>
    <t>Bonos variables, comisiones, KPI´s, otros ingresos.</t>
  </si>
  <si>
    <t xml:space="preserve">Incidencias </t>
  </si>
  <si>
    <t>Ingreso manual</t>
  </si>
  <si>
    <t xml:space="preserve">Deducciones </t>
  </si>
  <si>
    <t>Prestamos, embargos y anticipos.</t>
  </si>
  <si>
    <t>Auditable
Carga masiva una vez al año para descuento mensual</t>
  </si>
  <si>
    <t xml:space="preserve">Incidencia / parametrizarlo a cuotas </t>
  </si>
  <si>
    <t>Otras deducciones, una o sumatoria de todos las deducciones bajo este mismo concepto.</t>
  </si>
  <si>
    <t>Calculo</t>
  </si>
  <si>
    <t>Calculo + catálogo conceptos</t>
  </si>
  <si>
    <t>PROV. VACACIONES 4.17%</t>
  </si>
  <si>
    <t>PROV. BONO 14 8.3333%</t>
  </si>
  <si>
    <t>PROV. AGUINALDO 8.333%</t>
  </si>
  <si>
    <t>PROV. INDEMNIZACION 9.72%</t>
  </si>
  <si>
    <t>IGSS 10.67%</t>
  </si>
  <si>
    <t>IRTRA 1%</t>
  </si>
  <si>
    <t>INTECAP 1%</t>
  </si>
  <si>
    <t>Cargas patronales y provisiones</t>
  </si>
  <si>
    <t>Es igual a suma de ordinario+vacaciones*4.47%</t>
  </si>
  <si>
    <t>Es igual a suma de ordinario+vacaciones*8.33%</t>
  </si>
  <si>
    <t>Es igual a suma de ordinario, vacaciones, horas extras comisiones *10.67%</t>
  </si>
  <si>
    <t>Es igual a suma de ordinario, vacaciones, horas extras comisiones *1%</t>
  </si>
  <si>
    <t>Es igual a suma de ordinario+vacaciones+horas extras generales+comisiones *9.72%</t>
  </si>
  <si>
    <t>Area: Recursos Humanos</t>
  </si>
  <si>
    <t>Totales</t>
  </si>
  <si>
    <t xml:space="preserve">Analista </t>
  </si>
  <si>
    <t>Reclutador</t>
  </si>
  <si>
    <t>Kimberly</t>
  </si>
  <si>
    <t>H/E Diurna Cantidad</t>
  </si>
  <si>
    <t>H/E Diurna Q.</t>
  </si>
  <si>
    <t>H/E Nocturna Cantidad</t>
  </si>
  <si>
    <t>H/E Nocturna Q.</t>
  </si>
  <si>
    <t>H/E Mixta Cantidad</t>
  </si>
  <si>
    <t>H/E Mixta Q.</t>
  </si>
  <si>
    <t>Pago total de horas extras</t>
  </si>
  <si>
    <t>HCA: 4</t>
  </si>
  <si>
    <t>BOLSON DE BONIF. MAQUINAS</t>
  </si>
  <si>
    <t>BONO POR RENDIMIENTO ACABADOS</t>
  </si>
  <si>
    <t>BONO KILOMETRAJE</t>
  </si>
  <si>
    <t xml:space="preserve">Bono KPI </t>
  </si>
  <si>
    <t xml:space="preserve">Vacaciones Q. </t>
  </si>
  <si>
    <t>Salario ordinario / 30  * dias laborados * dias de vacaciones</t>
  </si>
  <si>
    <t>Forma de carga dias,individual y masivo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</si>
</sst>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Q&quot;* #,##0.00_-;\-&quot;Q&quot;* #,##0.00_-;_-&quot;Q&quot;* &quot;-&quot;??_-;_-@_-"/>
    <numFmt numFmtId="164" formatCode="yyyy\-mm\-dd\ hh:mm"/>
    <numFmt numFmtId="165" formatCode="yyyy\-mm\-dd"/>
    <numFmt numFmtId="166" formatCode="&quot;Q&quot;\ #,##0.00"/>
  </numFmts>
  <fonts count="14">
    <font>
      <sz val="11"/>
      <name val="Carlito"/>
    </font>
    <font>
      <b/>
      <sz val="16"/>
      <color rgb="FFFFFFFF"/>
      <name val="Carlito"/>
    </font>
    <font>
      <i/>
      <sz val="11"/>
      <color rgb="FF1F1F1F"/>
      <name val="Carlito"/>
    </font>
    <font>
      <b/>
      <sz val="11"/>
      <color rgb="FFFFFFFF"/>
      <name val="Carlito"/>
    </font>
    <font>
      <i/>
      <sz val="11"/>
      <name val="Carlito"/>
    </font>
    <font>
      <b/>
      <sz val="11"/>
      <name val="Carlito"/>
    </font>
    <font>
      <sz val="10"/>
      <name val="Arial"/>
      <family val="2"/>
    </font>
    <font>
      <sz val="12"/>
      <color theme="0"/>
      <name val="Arial"/>
      <family val="2"/>
    </font>
    <font>
      <sz val="10"/>
      <color rgb="FFFFFFFF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11"/>
      <name val="Carlito"/>
    </font>
  </fonts>
  <fills count="1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3" fillId="0" borderId="0" applyFont="0" applyFill="0" applyBorder="0" applyAlignment="0" applyProtection="0"/>
  </cellStyleXfs>
  <cellXfs count="66">
    <xf numFmtId="0" fontId="0" fillId="0" borderId="0" xfId="0"/>
    <xf numFmtId="0" fontId="0" fillId="0" borderId="0" xfId="0" applyAlignment="1">
      <alignment wrapText="1"/>
    </xf>
    <xf numFmtId="165" fontId="0" fillId="0" borderId="0" xfId="0" applyNumberFormat="1"/>
    <xf numFmtId="0" fontId="0" fillId="0" borderId="0" xfId="0" applyAlignment="1">
      <alignment vertical="top"/>
    </xf>
    <xf numFmtId="0" fontId="3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  <xf numFmtId="164" fontId="0" fillId="0" borderId="0" xfId="0" applyNumberFormat="1" applyAlignment="1">
      <alignment vertical="top" wrapText="1"/>
    </xf>
    <xf numFmtId="165" fontId="0" fillId="0" borderId="0" xfId="0" applyNumberFormat="1" applyAlignment="1">
      <alignment vertical="top" wrapText="1"/>
    </xf>
    <xf numFmtId="16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0" fontId="3" fillId="5" borderId="0" xfId="0" applyFont="1" applyFill="1" applyAlignment="1">
      <alignment horizontal="center" vertical="top" wrapText="1"/>
    </xf>
    <xf numFmtId="9" fontId="0" fillId="0" borderId="0" xfId="0" applyNumberFormat="1" applyAlignment="1">
      <alignment vertical="top" wrapText="1"/>
    </xf>
    <xf numFmtId="166" fontId="0" fillId="0" borderId="0" xfId="0" applyNumberFormat="1" applyAlignment="1">
      <alignment vertical="top" wrapText="1"/>
    </xf>
    <xf numFmtId="9" fontId="0" fillId="0" borderId="0" xfId="0" applyNumberFormat="1" applyAlignment="1">
      <alignment vertical="top"/>
    </xf>
    <xf numFmtId="166" fontId="0" fillId="0" borderId="0" xfId="0" applyNumberFormat="1" applyAlignment="1">
      <alignment vertical="top"/>
    </xf>
    <xf numFmtId="0" fontId="3" fillId="7" borderId="0" xfId="0" applyFont="1" applyFill="1" applyAlignment="1">
      <alignment vertical="top" wrapText="1"/>
    </xf>
    <xf numFmtId="0" fontId="3" fillId="8" borderId="0" xfId="0" applyFont="1" applyFill="1" applyAlignment="1">
      <alignment vertical="top" wrapText="1"/>
    </xf>
    <xf numFmtId="0" fontId="3" fillId="11" borderId="0" xfId="0" applyFont="1" applyFill="1" applyAlignment="1">
      <alignment vertical="top" wrapText="1"/>
    </xf>
    <xf numFmtId="0" fontId="3" fillId="11" borderId="0" xfId="0" applyFont="1" applyFill="1" applyAlignment="1">
      <alignment wrapText="1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8" fillId="2" borderId="2" xfId="0" applyFont="1" applyFill="1" applyBorder="1" applyAlignment="1">
      <alignment horizontal="center" vertical="center" wrapText="1"/>
    </xf>
    <xf numFmtId="0" fontId="8" fillId="14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166" fontId="6" fillId="0" borderId="2" xfId="0" applyNumberFormat="1" applyFont="1" applyBorder="1" applyAlignment="1">
      <alignment vertical="center" wrapText="1"/>
    </xf>
    <xf numFmtId="2" fontId="6" fillId="0" borderId="2" xfId="0" applyNumberFormat="1" applyFont="1" applyBorder="1" applyAlignment="1">
      <alignment vertical="center" wrapText="1"/>
    </xf>
    <xf numFmtId="2" fontId="6" fillId="0" borderId="0" xfId="0" applyNumberFormat="1" applyFont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4" fontId="11" fillId="0" borderId="2" xfId="0" applyNumberFormat="1" applyFont="1" applyBorder="1" applyAlignment="1">
      <alignment horizontal="left" vertical="top" wrapText="1" shrinkToFit="1"/>
    </xf>
    <xf numFmtId="0" fontId="6" fillId="0" borderId="0" xfId="0" applyFont="1" applyAlignment="1">
      <alignment horizontal="left"/>
    </xf>
    <xf numFmtId="0" fontId="6" fillId="0" borderId="7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44" fontId="6" fillId="0" borderId="0" xfId="1" applyFont="1" applyAlignment="1">
      <alignment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6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13" borderId="2" xfId="0" applyFont="1" applyFill="1" applyBorder="1" applyAlignment="1">
      <alignment horizontal="center" vertical="top"/>
    </xf>
    <xf numFmtId="0" fontId="7" fillId="14" borderId="2" xfId="0" applyFont="1" applyFill="1" applyBorder="1" applyAlignment="1">
      <alignment horizontal="center" vertical="top"/>
    </xf>
    <xf numFmtId="0" fontId="8" fillId="15" borderId="2" xfId="0" applyFont="1" applyFill="1" applyBorder="1" applyAlignment="1">
      <alignment horizontal="center" vertical="center" wrapText="1"/>
    </xf>
    <xf numFmtId="0" fontId="12" fillId="16" borderId="2" xfId="0" applyFont="1" applyFill="1" applyBorder="1" applyAlignment="1">
      <alignment horizontal="center" vertical="center"/>
    </xf>
    <xf numFmtId="0" fontId="12" fillId="16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top"/>
    </xf>
    <xf numFmtId="0" fontId="0" fillId="0" borderId="0" xfId="0" applyAlignment="1">
      <alignment vertical="top"/>
    </xf>
    <xf numFmtId="0" fontId="2" fillId="3" borderId="0" xfId="0" applyFont="1" applyFill="1" applyAlignment="1">
      <alignment vertical="top" wrapText="1"/>
    </xf>
    <xf numFmtId="0" fontId="3" fillId="10" borderId="0" xfId="0" applyFont="1" applyFill="1" applyAlignment="1">
      <alignment vertical="top" wrapText="1"/>
    </xf>
    <xf numFmtId="0" fontId="3" fillId="10" borderId="0" xfId="0" applyFont="1" applyFill="1" applyAlignment="1">
      <alignment wrapText="1"/>
    </xf>
    <xf numFmtId="0" fontId="3" fillId="8" borderId="0" xfId="0" applyFont="1" applyFill="1" applyAlignment="1">
      <alignment vertical="top" wrapText="1"/>
    </xf>
    <xf numFmtId="0" fontId="0" fillId="9" borderId="0" xfId="0" applyFill="1" applyAlignment="1">
      <alignment vertical="top" wrapText="1"/>
    </xf>
    <xf numFmtId="0" fontId="5" fillId="12" borderId="0" xfId="0" applyFont="1" applyFill="1" applyAlignment="1">
      <alignment vertical="top" wrapText="1"/>
    </xf>
    <xf numFmtId="0" fontId="1" fillId="5" borderId="0" xfId="0" applyFont="1" applyFill="1" applyAlignment="1">
      <alignment vertical="top"/>
    </xf>
    <xf numFmtId="0" fontId="4" fillId="6" borderId="0" xfId="0" applyFont="1" applyFill="1" applyAlignment="1">
      <alignment vertical="top" wrapText="1"/>
    </xf>
  </cellXfs>
  <cellStyles count="2">
    <cellStyle name="Moneda" xfId="1" builtinId="4"/>
    <cellStyle name="Normal" xfId="0" builtinId="0"/>
  </cellStyles>
  <dxfs count="3"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200"/>
  <sheetViews>
    <sheetView workbookViewId="0">
      <selection activeCell="A11" sqref="A11"/>
    </sheetView>
  </sheetViews>
  <sheetFormatPr baseColWidth="10" defaultColWidth="8.75" defaultRowHeight="14.25"/>
  <cols>
    <col min="1" max="1" width="22" customWidth="1"/>
    <col min="2" max="2" width="38" customWidth="1"/>
    <col min="3" max="3" width="20" customWidth="1"/>
    <col min="4" max="4" width="35" customWidth="1"/>
    <col min="5" max="5" width="12" customWidth="1"/>
    <col min="6" max="6" width="22" customWidth="1"/>
    <col min="7" max="7" width="32" customWidth="1"/>
  </cols>
  <sheetData>
    <row r="1" spans="1:52" ht="22.35" customHeight="1">
      <c r="A1" s="56" t="s">
        <v>0</v>
      </c>
      <c r="B1" s="57"/>
      <c r="C1" s="57"/>
      <c r="D1" s="57"/>
      <c r="E1" s="57"/>
      <c r="F1" s="57"/>
      <c r="G1" s="57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</row>
    <row r="2" spans="1:52" ht="28.15" customHeight="1">
      <c r="A2" s="58" t="s">
        <v>1</v>
      </c>
      <c r="B2" s="57"/>
      <c r="C2" s="57"/>
      <c r="D2" s="57"/>
      <c r="E2" s="57"/>
      <c r="F2" s="57"/>
      <c r="G2" s="57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</row>
    <row r="3" spans="1:5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</row>
    <row r="4" spans="1:52" ht="1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</row>
    <row r="5" spans="1:52" ht="28.5">
      <c r="A5" s="5" t="s">
        <v>9</v>
      </c>
      <c r="B5" s="5" t="s">
        <v>10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15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</row>
    <row r="6" spans="1:52">
      <c r="A6" s="5" t="s">
        <v>16</v>
      </c>
      <c r="B6" s="5" t="s">
        <v>17</v>
      </c>
      <c r="C6" s="5" t="s">
        <v>18</v>
      </c>
      <c r="D6" s="5" t="s">
        <v>19</v>
      </c>
      <c r="E6" s="5" t="s">
        <v>20</v>
      </c>
      <c r="F6" s="5" t="s">
        <v>21</v>
      </c>
      <c r="G6" s="5" t="s">
        <v>22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</row>
    <row r="7" spans="1:52" ht="42.75">
      <c r="A7" s="5" t="s">
        <v>23</v>
      </c>
      <c r="B7" s="5" t="s">
        <v>24</v>
      </c>
      <c r="C7" s="5" t="s">
        <v>25</v>
      </c>
      <c r="D7" s="5" t="s">
        <v>26</v>
      </c>
      <c r="E7" s="5" t="s">
        <v>13</v>
      </c>
      <c r="F7" s="5" t="s">
        <v>27</v>
      </c>
      <c r="G7" s="5" t="s">
        <v>28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</row>
    <row r="8" spans="1:52" ht="28.5">
      <c r="A8" s="5" t="s">
        <v>29</v>
      </c>
      <c r="B8" s="5" t="s">
        <v>30</v>
      </c>
      <c r="C8" s="5" t="s">
        <v>31</v>
      </c>
      <c r="D8" s="5" t="s">
        <v>32</v>
      </c>
      <c r="E8" s="5" t="s">
        <v>13</v>
      </c>
      <c r="F8" s="5" t="s">
        <v>33</v>
      </c>
      <c r="G8" s="5" t="s">
        <v>34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</row>
    <row r="9" spans="1:52" ht="28.5">
      <c r="A9" s="5" t="s">
        <v>35</v>
      </c>
      <c r="B9" s="5" t="s">
        <v>36</v>
      </c>
      <c r="C9" s="5" t="s">
        <v>37</v>
      </c>
      <c r="D9" s="5" t="s">
        <v>38</v>
      </c>
      <c r="E9" s="5" t="s">
        <v>13</v>
      </c>
      <c r="F9" s="5" t="s">
        <v>39</v>
      </c>
      <c r="G9" s="5" t="s">
        <v>40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</row>
    <row r="10" spans="1:52" ht="28.5">
      <c r="A10" s="5" t="s">
        <v>41</v>
      </c>
      <c r="B10" s="5" t="s">
        <v>42</v>
      </c>
      <c r="C10" s="5" t="s">
        <v>43</v>
      </c>
      <c r="D10" s="5" t="s">
        <v>44</v>
      </c>
      <c r="E10" s="5" t="s">
        <v>20</v>
      </c>
      <c r="F10" s="5" t="s">
        <v>39</v>
      </c>
      <c r="G10" s="5" t="s">
        <v>45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</row>
    <row r="11" spans="1:52" ht="28.5">
      <c r="A11" s="5" t="s">
        <v>46</v>
      </c>
      <c r="B11" s="5" t="s">
        <v>47</v>
      </c>
      <c r="C11" s="5" t="s">
        <v>18</v>
      </c>
      <c r="D11" s="5" t="s">
        <v>48</v>
      </c>
      <c r="E11" s="5" t="s">
        <v>13</v>
      </c>
      <c r="F11" s="5" t="s">
        <v>33</v>
      </c>
      <c r="G11" s="5" t="s">
        <v>49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</row>
    <row r="12" spans="1:52">
      <c r="A12" s="5" t="s">
        <v>50</v>
      </c>
      <c r="B12" s="5" t="s">
        <v>51</v>
      </c>
      <c r="C12" s="5" t="s">
        <v>52</v>
      </c>
      <c r="D12" s="5" t="s">
        <v>53</v>
      </c>
      <c r="E12" s="5" t="s">
        <v>13</v>
      </c>
      <c r="F12" s="5" t="s">
        <v>21</v>
      </c>
      <c r="G12" s="5" t="s">
        <v>54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</row>
    <row r="13" spans="1:5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</row>
    <row r="14" spans="1:5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</row>
    <row r="15" spans="1:5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</row>
    <row r="16" spans="1:5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</row>
    <row r="17" spans="1:5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</row>
    <row r="18" spans="1:5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</row>
    <row r="19" spans="1:5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</row>
    <row r="20" spans="1:5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</row>
    <row r="21" spans="1:5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</row>
    <row r="22" spans="1:5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</row>
    <row r="23" spans="1:5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</row>
    <row r="24" spans="1:5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</row>
    <row r="25" spans="1:5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</row>
    <row r="26" spans="1:5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</row>
    <row r="27" spans="1:5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</row>
    <row r="28" spans="1:5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</row>
    <row r="29" spans="1:5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</row>
    <row r="30" spans="1:5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</row>
    <row r="31" spans="1:5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</row>
    <row r="32" spans="1:5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</row>
    <row r="33" spans="1:5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</row>
    <row r="34" spans="1:5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</row>
    <row r="35" spans="1:5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</row>
    <row r="36" spans="1:5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</row>
    <row r="37" spans="1:5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</row>
    <row r="38" spans="1:5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</row>
    <row r="39" spans="1:5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</row>
    <row r="40" spans="1:5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</row>
    <row r="41" spans="1:5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</row>
    <row r="42" spans="1:5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</row>
    <row r="43" spans="1:5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</row>
    <row r="44" spans="1:5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</row>
    <row r="45" spans="1:5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</row>
    <row r="46" spans="1:5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</row>
    <row r="47" spans="1:5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</row>
    <row r="48" spans="1:5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</row>
    <row r="49" spans="1:5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</row>
    <row r="50" spans="1:5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</row>
    <row r="51" spans="1:5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</row>
    <row r="52" spans="1: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</row>
    <row r="53" spans="1:5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</row>
    <row r="54" spans="1:5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</row>
    <row r="55" spans="1:5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</row>
    <row r="56" spans="1:5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</row>
    <row r="57" spans="1:5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</row>
    <row r="58" spans="1:5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</row>
    <row r="59" spans="1:5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</row>
    <row r="60" spans="1:5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</row>
    <row r="61" spans="1:5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</row>
    <row r="62" spans="1:5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</row>
    <row r="63" spans="1:5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</row>
    <row r="64" spans="1:5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</row>
    <row r="65" spans="1:5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</row>
    <row r="66" spans="1:5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</row>
    <row r="67" spans="1:5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</row>
    <row r="68" spans="1:5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</row>
    <row r="69" spans="1:5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</row>
    <row r="70" spans="1:5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</row>
    <row r="71" spans="1:5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</row>
    <row r="72" spans="1:5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</row>
    <row r="73" spans="1:5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</row>
    <row r="74" spans="1:5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</row>
    <row r="75" spans="1:5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</row>
    <row r="76" spans="1:5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</row>
    <row r="77" spans="1:5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</row>
    <row r="78" spans="1:5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</row>
    <row r="79" spans="1:5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</row>
    <row r="80" spans="1:5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</row>
    <row r="81" spans="1:5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</row>
    <row r="82" spans="1:5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</row>
    <row r="83" spans="1:5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</row>
    <row r="84" spans="1:5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</row>
    <row r="85" spans="1:5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</row>
    <row r="86" spans="1:5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</row>
    <row r="87" spans="1:5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</row>
    <row r="88" spans="1:5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</row>
    <row r="89" spans="1:5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</row>
    <row r="90" spans="1:5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</row>
    <row r="91" spans="1:5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</row>
    <row r="92" spans="1:5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</row>
    <row r="93" spans="1:5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</row>
    <row r="94" spans="1:5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</row>
    <row r="95" spans="1:5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</row>
    <row r="96" spans="1:5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</row>
    <row r="97" spans="1:5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</row>
    <row r="98" spans="1:5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</row>
    <row r="99" spans="1:5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</row>
    <row r="100" spans="1:5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</row>
    <row r="101" spans="1:5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</row>
    <row r="102" spans="1:5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</row>
    <row r="103" spans="1:5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</row>
    <row r="104" spans="1:5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</row>
    <row r="105" spans="1:5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</row>
    <row r="106" spans="1:5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</row>
    <row r="107" spans="1:5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</row>
    <row r="108" spans="1:5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</row>
    <row r="109" spans="1:5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</row>
    <row r="110" spans="1:5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</row>
    <row r="111" spans="1:5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</row>
    <row r="112" spans="1:5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</row>
    <row r="113" spans="1:5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</row>
    <row r="114" spans="1:5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</row>
    <row r="115" spans="1:5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</row>
    <row r="116" spans="1:5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</row>
    <row r="117" spans="1:5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</row>
    <row r="118" spans="1:5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</row>
    <row r="119" spans="1:5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</row>
    <row r="120" spans="1:5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</row>
    <row r="121" spans="1:5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</row>
    <row r="122" spans="1:5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</row>
    <row r="123" spans="1:5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</row>
    <row r="124" spans="1:5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</row>
    <row r="125" spans="1:5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</row>
    <row r="126" spans="1:5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</row>
    <row r="127" spans="1:5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</row>
    <row r="128" spans="1:5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</row>
    <row r="129" spans="1:5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</row>
    <row r="130" spans="1:5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</row>
    <row r="131" spans="1:5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</row>
    <row r="132" spans="1:5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</row>
    <row r="133" spans="1:5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</row>
    <row r="134" spans="1:5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</row>
    <row r="135" spans="1:5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</row>
    <row r="136" spans="1:5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</row>
    <row r="137" spans="1:5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</row>
    <row r="138" spans="1:5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</row>
    <row r="139" spans="1:5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</row>
    <row r="140" spans="1:5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</row>
    <row r="141" spans="1:5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</row>
    <row r="142" spans="1:5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</row>
    <row r="143" spans="1:5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</row>
    <row r="144" spans="1:5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</row>
    <row r="145" spans="1:5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</row>
    <row r="146" spans="1:5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</row>
    <row r="147" spans="1:5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</row>
    <row r="148" spans="1:5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</row>
    <row r="149" spans="1:5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</row>
    <row r="150" spans="1:5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</row>
    <row r="151" spans="1:5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</row>
    <row r="152" spans="1: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</row>
    <row r="153" spans="1:5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</row>
    <row r="154" spans="1:5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</row>
    <row r="155" spans="1:5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</row>
    <row r="156" spans="1:5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</row>
    <row r="157" spans="1:5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</row>
    <row r="158" spans="1:5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</row>
    <row r="159" spans="1:5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</row>
    <row r="160" spans="1:5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</row>
    <row r="161" spans="1:5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</row>
    <row r="162" spans="1:5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</row>
    <row r="163" spans="1:5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</row>
    <row r="164" spans="1:5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</row>
    <row r="165" spans="1:5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</row>
    <row r="166" spans="1:5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</row>
    <row r="167" spans="1:5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</row>
    <row r="168" spans="1:5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</row>
    <row r="169" spans="1:5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</row>
    <row r="170" spans="1:5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</row>
    <row r="171" spans="1:5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</row>
    <row r="172" spans="1:5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</row>
    <row r="173" spans="1:5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</row>
    <row r="174" spans="1:5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</row>
    <row r="175" spans="1:5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</row>
    <row r="176" spans="1:5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</row>
    <row r="177" spans="1:5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</row>
    <row r="178" spans="1:5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</row>
    <row r="179" spans="1:5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</row>
    <row r="180" spans="1:5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</row>
    <row r="181" spans="1:5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</row>
    <row r="182" spans="1:5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</row>
    <row r="183" spans="1:5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</row>
    <row r="184" spans="1:5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</row>
    <row r="185" spans="1:5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</row>
    <row r="186" spans="1:5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</row>
    <row r="187" spans="1:5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</row>
    <row r="188" spans="1:5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</row>
    <row r="189" spans="1:5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</row>
    <row r="190" spans="1:5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</row>
    <row r="191" spans="1:5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</row>
    <row r="192" spans="1:5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</row>
    <row r="193" spans="1:5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</row>
    <row r="194" spans="1:5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</row>
    <row r="195" spans="1:5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</row>
    <row r="196" spans="1:5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</row>
    <row r="197" spans="1:5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</row>
    <row r="198" spans="1:5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</row>
    <row r="199" spans="1:5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</row>
    <row r="200" spans="1:5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</row>
  </sheetData>
  <mergeCells count="2">
    <mergeCell ref="A1:G1"/>
    <mergeCell ref="A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F200"/>
  <sheetViews>
    <sheetView workbookViewId="0">
      <selection activeCell="C5" sqref="C5"/>
    </sheetView>
  </sheetViews>
  <sheetFormatPr baseColWidth="10" defaultColWidth="8.75" defaultRowHeight="14.25"/>
  <cols>
    <col min="1" max="1" width="18" customWidth="1"/>
    <col min="2" max="2" width="28" customWidth="1"/>
    <col min="3" max="3" width="15" customWidth="1"/>
    <col min="4" max="4" width="12" customWidth="1"/>
    <col min="5" max="5" width="20" customWidth="1"/>
    <col min="6" max="6" width="12" customWidth="1"/>
    <col min="7" max="7" width="28" customWidth="1"/>
    <col min="8" max="8" width="32" customWidth="1"/>
    <col min="9" max="9" width="26" customWidth="1"/>
    <col min="52" max="52" width="18" customWidth="1"/>
    <col min="53" max="53" width="20" customWidth="1"/>
    <col min="54" max="56" width="18" customWidth="1"/>
    <col min="57" max="57" width="16" customWidth="1"/>
    <col min="58" max="58" width="32" customWidth="1"/>
  </cols>
  <sheetData>
    <row r="1" spans="1:58" ht="22.35" customHeight="1">
      <c r="A1" s="56" t="s">
        <v>55</v>
      </c>
      <c r="B1" s="57"/>
      <c r="C1" s="57"/>
      <c r="D1" s="57"/>
      <c r="E1" s="57"/>
      <c r="F1" s="57"/>
      <c r="G1" s="57"/>
      <c r="H1" s="57"/>
      <c r="I1" s="57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59" t="s">
        <v>56</v>
      </c>
      <c r="BA1" s="60"/>
      <c r="BB1" s="60"/>
      <c r="BC1" s="60"/>
      <c r="BD1" s="60"/>
      <c r="BE1" s="60"/>
      <c r="BF1" s="60"/>
    </row>
    <row r="2" spans="1:58" ht="28.15" customHeight="1">
      <c r="A2" s="58" t="s">
        <v>57</v>
      </c>
      <c r="B2" s="57"/>
      <c r="C2" s="57"/>
      <c r="D2" s="57"/>
      <c r="E2" s="57"/>
      <c r="F2" s="57"/>
      <c r="G2" s="57"/>
      <c r="H2" s="57"/>
      <c r="I2" s="57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18" t="s">
        <v>58</v>
      </c>
      <c r="BA2" s="19" t="s">
        <v>59</v>
      </c>
      <c r="BB2" s="19" t="s">
        <v>60</v>
      </c>
      <c r="BC2" s="19" t="s">
        <v>61</v>
      </c>
      <c r="BD2" s="19" t="s">
        <v>62</v>
      </c>
      <c r="BE2" s="19" t="s">
        <v>63</v>
      </c>
      <c r="BF2" s="19" t="s">
        <v>8</v>
      </c>
    </row>
    <row r="3" spans="1:58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5" t="s">
        <v>64</v>
      </c>
      <c r="BA3" s="1" t="s">
        <v>65</v>
      </c>
      <c r="BB3" s="1" t="s">
        <v>66</v>
      </c>
      <c r="BC3" s="1">
        <v>8</v>
      </c>
      <c r="BD3" s="1" t="s">
        <v>67</v>
      </c>
      <c r="BE3" s="1"/>
      <c r="BF3" s="1" t="s">
        <v>68</v>
      </c>
    </row>
    <row r="4" spans="1:58" ht="15">
      <c r="A4" s="4" t="s">
        <v>69</v>
      </c>
      <c r="B4" s="4" t="s">
        <v>70</v>
      </c>
      <c r="C4" s="4" t="s">
        <v>71</v>
      </c>
      <c r="D4" s="4" t="s">
        <v>72</v>
      </c>
      <c r="E4" s="4" t="s">
        <v>73</v>
      </c>
      <c r="F4" s="4" t="s">
        <v>74</v>
      </c>
      <c r="G4" s="4" t="s">
        <v>75</v>
      </c>
      <c r="H4" s="4" t="s">
        <v>76</v>
      </c>
      <c r="I4" s="4" t="s">
        <v>77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5"/>
      <c r="BA4" s="1"/>
      <c r="BB4" s="1"/>
      <c r="BC4" s="1"/>
      <c r="BD4" s="1"/>
      <c r="BE4" s="1"/>
      <c r="BF4" s="1"/>
    </row>
    <row r="5" spans="1:58">
      <c r="A5" s="5" t="s">
        <v>78</v>
      </c>
      <c r="B5" s="5" t="s">
        <v>79</v>
      </c>
      <c r="C5" s="5" t="s">
        <v>80</v>
      </c>
      <c r="D5" s="5" t="s">
        <v>81</v>
      </c>
      <c r="E5" s="5" t="s">
        <v>82</v>
      </c>
      <c r="F5" s="5" t="s">
        <v>83</v>
      </c>
      <c r="G5" s="5" t="s">
        <v>84</v>
      </c>
      <c r="H5" s="5" t="s">
        <v>85</v>
      </c>
      <c r="I5" s="5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5"/>
      <c r="BA5" s="1"/>
      <c r="BB5" s="1"/>
      <c r="BC5" s="1"/>
      <c r="BD5" s="1"/>
      <c r="BE5" s="1"/>
      <c r="BF5" s="1"/>
    </row>
    <row r="6" spans="1:58">
      <c r="A6" s="5" t="s">
        <v>78</v>
      </c>
      <c r="B6" s="5" t="s">
        <v>86</v>
      </c>
      <c r="C6" s="5" t="s">
        <v>87</v>
      </c>
      <c r="D6" s="5" t="s">
        <v>81</v>
      </c>
      <c r="E6" s="5" t="s">
        <v>88</v>
      </c>
      <c r="F6" s="5" t="s">
        <v>83</v>
      </c>
      <c r="G6" s="5" t="s">
        <v>89</v>
      </c>
      <c r="H6" s="5" t="s">
        <v>90</v>
      </c>
      <c r="I6" s="5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5"/>
      <c r="BA6" s="1"/>
      <c r="BB6" s="1"/>
      <c r="BC6" s="1"/>
      <c r="BD6" s="1"/>
      <c r="BE6" s="1"/>
      <c r="BF6" s="1"/>
    </row>
    <row r="7" spans="1:58">
      <c r="A7" s="5" t="s">
        <v>78</v>
      </c>
      <c r="B7" s="5" t="s">
        <v>91</v>
      </c>
      <c r="C7" s="5" t="s">
        <v>87</v>
      </c>
      <c r="D7" s="5" t="s">
        <v>81</v>
      </c>
      <c r="E7" s="5" t="s">
        <v>92</v>
      </c>
      <c r="F7" s="5" t="s">
        <v>83</v>
      </c>
      <c r="G7" s="5" t="s">
        <v>93</v>
      </c>
      <c r="H7" s="5" t="s">
        <v>94</v>
      </c>
      <c r="I7" s="5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5"/>
      <c r="BA7" s="1"/>
      <c r="BB7" s="1"/>
      <c r="BC7" s="1"/>
      <c r="BD7" s="1"/>
      <c r="BE7" s="1"/>
      <c r="BF7" s="1"/>
    </row>
    <row r="8" spans="1:58">
      <c r="A8" s="5" t="s">
        <v>78</v>
      </c>
      <c r="B8" s="5" t="s">
        <v>95</v>
      </c>
      <c r="C8" s="5" t="s">
        <v>87</v>
      </c>
      <c r="D8" s="5" t="s">
        <v>83</v>
      </c>
      <c r="E8" s="5" t="s">
        <v>92</v>
      </c>
      <c r="F8" s="5" t="s">
        <v>83</v>
      </c>
      <c r="G8" s="5" t="s">
        <v>93</v>
      </c>
      <c r="H8" s="5"/>
      <c r="I8" s="5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5"/>
      <c r="BA8" s="1"/>
      <c r="BB8" s="1"/>
      <c r="BC8" s="1"/>
      <c r="BD8" s="1"/>
      <c r="BE8" s="1"/>
      <c r="BF8" s="1"/>
    </row>
    <row r="9" spans="1:58">
      <c r="A9" s="5" t="s">
        <v>78</v>
      </c>
      <c r="B9" s="5" t="s">
        <v>96</v>
      </c>
      <c r="C9" s="5" t="s">
        <v>87</v>
      </c>
      <c r="D9" s="5" t="s">
        <v>81</v>
      </c>
      <c r="E9" s="5" t="s">
        <v>92</v>
      </c>
      <c r="F9" s="5" t="s">
        <v>83</v>
      </c>
      <c r="G9" s="5" t="s">
        <v>93</v>
      </c>
      <c r="H9" s="5" t="s">
        <v>94</v>
      </c>
      <c r="I9" s="5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5"/>
      <c r="BA9" s="1"/>
      <c r="BB9" s="1"/>
      <c r="BC9" s="1"/>
      <c r="BD9" s="1"/>
      <c r="BE9" s="1"/>
      <c r="BF9" s="1"/>
    </row>
    <row r="10" spans="1:58">
      <c r="A10" s="5" t="s">
        <v>78</v>
      </c>
      <c r="B10" s="5" t="s">
        <v>97</v>
      </c>
      <c r="C10" s="5" t="s">
        <v>87</v>
      </c>
      <c r="D10" s="5" t="s">
        <v>83</v>
      </c>
      <c r="E10" s="5" t="s">
        <v>92</v>
      </c>
      <c r="F10" s="5" t="s">
        <v>83</v>
      </c>
      <c r="G10" s="5" t="s">
        <v>93</v>
      </c>
      <c r="H10" s="5"/>
      <c r="I10" s="5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5"/>
      <c r="BA10" s="1"/>
      <c r="BB10" s="1"/>
      <c r="BC10" s="1"/>
      <c r="BD10" s="1"/>
      <c r="BE10" s="1"/>
      <c r="BF10" s="1"/>
    </row>
    <row r="11" spans="1:58">
      <c r="A11" s="5" t="s">
        <v>78</v>
      </c>
      <c r="B11" s="5" t="s">
        <v>98</v>
      </c>
      <c r="C11" s="5" t="s">
        <v>87</v>
      </c>
      <c r="D11" s="5" t="s">
        <v>83</v>
      </c>
      <c r="E11" s="5" t="s">
        <v>92</v>
      </c>
      <c r="F11" s="5" t="s">
        <v>83</v>
      </c>
      <c r="G11" s="5" t="s">
        <v>93</v>
      </c>
      <c r="H11" s="5"/>
      <c r="I11" s="5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</row>
    <row r="12" spans="1:58">
      <c r="A12" s="5" t="s">
        <v>78</v>
      </c>
      <c r="B12" s="5" t="s">
        <v>99</v>
      </c>
      <c r="C12" s="5" t="s">
        <v>100</v>
      </c>
      <c r="D12" s="5" t="s">
        <v>81</v>
      </c>
      <c r="E12" s="5" t="s">
        <v>82</v>
      </c>
      <c r="F12" s="5" t="s">
        <v>83</v>
      </c>
      <c r="G12" s="5" t="s">
        <v>101</v>
      </c>
      <c r="H12" s="5" t="s">
        <v>102</v>
      </c>
      <c r="I12" s="5" t="s">
        <v>103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</row>
    <row r="13" spans="1:58">
      <c r="A13" s="5" t="s">
        <v>78</v>
      </c>
      <c r="B13" s="5" t="s">
        <v>104</v>
      </c>
      <c r="C13" s="5" t="s">
        <v>87</v>
      </c>
      <c r="D13" s="5" t="s">
        <v>81</v>
      </c>
      <c r="E13" s="5" t="s">
        <v>92</v>
      </c>
      <c r="F13" s="5" t="s">
        <v>83</v>
      </c>
      <c r="G13" s="5" t="s">
        <v>105</v>
      </c>
      <c r="H13" s="5" t="s">
        <v>106</v>
      </c>
      <c r="I13" s="5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</row>
    <row r="14" spans="1:58">
      <c r="A14" s="5" t="s">
        <v>78</v>
      </c>
      <c r="B14" s="5" t="s">
        <v>107</v>
      </c>
      <c r="C14" s="5" t="s">
        <v>87</v>
      </c>
      <c r="D14" s="5" t="s">
        <v>81</v>
      </c>
      <c r="E14" s="5" t="s">
        <v>92</v>
      </c>
      <c r="F14" s="5" t="s">
        <v>83</v>
      </c>
      <c r="G14" s="5" t="s">
        <v>108</v>
      </c>
      <c r="H14" s="5" t="s">
        <v>109</v>
      </c>
      <c r="I14" s="5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</row>
    <row r="15" spans="1:58">
      <c r="A15" s="5" t="s">
        <v>78</v>
      </c>
      <c r="B15" s="5" t="s">
        <v>110</v>
      </c>
      <c r="C15" s="5" t="s">
        <v>87</v>
      </c>
      <c r="D15" s="5" t="s">
        <v>81</v>
      </c>
      <c r="E15" s="5" t="s">
        <v>92</v>
      </c>
      <c r="F15" s="5" t="s">
        <v>83</v>
      </c>
      <c r="G15" s="5" t="s">
        <v>111</v>
      </c>
      <c r="H15" s="5" t="s">
        <v>109</v>
      </c>
      <c r="I15" s="5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</row>
    <row r="16" spans="1:58">
      <c r="A16" s="5" t="s">
        <v>78</v>
      </c>
      <c r="B16" s="5" t="s">
        <v>112</v>
      </c>
      <c r="C16" s="5" t="s">
        <v>113</v>
      </c>
      <c r="D16" s="5" t="s">
        <v>81</v>
      </c>
      <c r="E16" s="5" t="s">
        <v>92</v>
      </c>
      <c r="F16" s="5" t="s">
        <v>83</v>
      </c>
      <c r="G16" s="5" t="s">
        <v>114</v>
      </c>
      <c r="H16" s="5" t="s">
        <v>115</v>
      </c>
      <c r="I16" s="5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</row>
    <row r="17" spans="1:52">
      <c r="A17" s="5" t="s">
        <v>78</v>
      </c>
      <c r="B17" s="5" t="s">
        <v>116</v>
      </c>
      <c r="C17" s="5" t="s">
        <v>117</v>
      </c>
      <c r="D17" s="5" t="s">
        <v>81</v>
      </c>
      <c r="E17" s="5" t="s">
        <v>92</v>
      </c>
      <c r="F17" s="5" t="s">
        <v>83</v>
      </c>
      <c r="G17" s="5" t="s">
        <v>93</v>
      </c>
      <c r="H17" s="5" t="s">
        <v>117</v>
      </c>
      <c r="I17" s="5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</row>
    <row r="18" spans="1:52">
      <c r="A18" s="5" t="s">
        <v>78</v>
      </c>
      <c r="B18" s="5" t="s">
        <v>118</v>
      </c>
      <c r="C18" s="5" t="s">
        <v>117</v>
      </c>
      <c r="D18" s="5" t="s">
        <v>83</v>
      </c>
      <c r="E18" s="5" t="s">
        <v>92</v>
      </c>
      <c r="F18" s="5" t="s">
        <v>81</v>
      </c>
      <c r="G18" s="5" t="s">
        <v>119</v>
      </c>
      <c r="H18" s="5" t="s">
        <v>117</v>
      </c>
      <c r="I18" s="5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</row>
    <row r="19" spans="1:52">
      <c r="A19" s="5" t="s">
        <v>120</v>
      </c>
      <c r="B19" s="5" t="s">
        <v>121</v>
      </c>
      <c r="C19" s="5" t="s">
        <v>87</v>
      </c>
      <c r="D19" s="5" t="s">
        <v>81</v>
      </c>
      <c r="E19" s="5" t="s">
        <v>92</v>
      </c>
      <c r="F19" s="5" t="s">
        <v>81</v>
      </c>
      <c r="G19" s="5" t="s">
        <v>122</v>
      </c>
      <c r="H19" s="5" t="s">
        <v>87</v>
      </c>
      <c r="I19" s="5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</row>
    <row r="20" spans="1:52">
      <c r="A20" s="5" t="s">
        <v>120</v>
      </c>
      <c r="B20" s="5" t="s">
        <v>123</v>
      </c>
      <c r="C20" s="5" t="s">
        <v>117</v>
      </c>
      <c r="D20" s="5" t="s">
        <v>81</v>
      </c>
      <c r="E20" s="5" t="s">
        <v>92</v>
      </c>
      <c r="F20" s="5" t="s">
        <v>81</v>
      </c>
      <c r="G20" s="5" t="s">
        <v>124</v>
      </c>
      <c r="H20" s="5" t="s">
        <v>117</v>
      </c>
      <c r="I20" s="5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</row>
    <row r="21" spans="1:52">
      <c r="A21" s="5" t="s">
        <v>120</v>
      </c>
      <c r="B21" s="5" t="s">
        <v>125</v>
      </c>
      <c r="C21" s="5" t="s">
        <v>117</v>
      </c>
      <c r="D21" s="5" t="s">
        <v>81</v>
      </c>
      <c r="E21" s="5" t="s">
        <v>92</v>
      </c>
      <c r="F21" s="5" t="s">
        <v>81</v>
      </c>
      <c r="G21" s="5" t="s">
        <v>124</v>
      </c>
      <c r="H21" s="5" t="s">
        <v>117</v>
      </c>
      <c r="I21" s="5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</row>
    <row r="22" spans="1:52">
      <c r="A22" s="5" t="s">
        <v>120</v>
      </c>
      <c r="B22" s="5" t="s">
        <v>126</v>
      </c>
      <c r="C22" s="5" t="s">
        <v>87</v>
      </c>
      <c r="D22" s="5" t="s">
        <v>81</v>
      </c>
      <c r="E22" s="5" t="s">
        <v>92</v>
      </c>
      <c r="F22" s="5" t="s">
        <v>81</v>
      </c>
      <c r="G22" s="5" t="s">
        <v>120</v>
      </c>
      <c r="H22" s="5" t="s">
        <v>87</v>
      </c>
      <c r="I22" s="5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</row>
    <row r="23" spans="1:52">
      <c r="A23" s="5" t="s">
        <v>120</v>
      </c>
      <c r="B23" s="5" t="s">
        <v>127</v>
      </c>
      <c r="C23" s="5" t="s">
        <v>87</v>
      </c>
      <c r="D23" s="5" t="s">
        <v>83</v>
      </c>
      <c r="E23" s="5" t="s">
        <v>92</v>
      </c>
      <c r="F23" s="5" t="s">
        <v>81</v>
      </c>
      <c r="G23" s="5" t="s">
        <v>120</v>
      </c>
      <c r="H23" s="5" t="s">
        <v>128</v>
      </c>
      <c r="I23" s="5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</row>
    <row r="24" spans="1:52">
      <c r="A24" s="5" t="s">
        <v>120</v>
      </c>
      <c r="B24" s="5" t="s">
        <v>129</v>
      </c>
      <c r="C24" s="5" t="s">
        <v>87</v>
      </c>
      <c r="D24" s="5" t="s">
        <v>81</v>
      </c>
      <c r="E24" s="5" t="s">
        <v>92</v>
      </c>
      <c r="F24" s="5" t="s">
        <v>81</v>
      </c>
      <c r="G24" s="5" t="s">
        <v>130</v>
      </c>
      <c r="H24" s="5" t="s">
        <v>87</v>
      </c>
      <c r="I24" s="5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</row>
    <row r="25" spans="1:52">
      <c r="A25" s="5" t="s">
        <v>120</v>
      </c>
      <c r="B25" s="5" t="s">
        <v>131</v>
      </c>
      <c r="C25" s="5" t="s">
        <v>87</v>
      </c>
      <c r="D25" s="5" t="s">
        <v>81</v>
      </c>
      <c r="E25" s="5" t="s">
        <v>92</v>
      </c>
      <c r="F25" s="5" t="s">
        <v>81</v>
      </c>
      <c r="G25" s="5" t="s">
        <v>130</v>
      </c>
      <c r="H25" s="5" t="s">
        <v>87</v>
      </c>
      <c r="I25" s="5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</row>
    <row r="26" spans="1:52">
      <c r="A26" s="5" t="s">
        <v>132</v>
      </c>
      <c r="B26" s="5" t="s">
        <v>133</v>
      </c>
      <c r="C26" s="5" t="s">
        <v>113</v>
      </c>
      <c r="D26" s="5" t="s">
        <v>81</v>
      </c>
      <c r="E26" s="5" t="s">
        <v>92</v>
      </c>
      <c r="F26" s="5" t="s">
        <v>81</v>
      </c>
      <c r="G26" s="5" t="s">
        <v>134</v>
      </c>
      <c r="H26" s="5" t="s">
        <v>115</v>
      </c>
      <c r="I26" s="5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</row>
    <row r="27" spans="1:52">
      <c r="A27" s="5" t="s">
        <v>132</v>
      </c>
      <c r="B27" s="5" t="s">
        <v>135</v>
      </c>
      <c r="C27" s="5" t="s">
        <v>113</v>
      </c>
      <c r="D27" s="5" t="s">
        <v>83</v>
      </c>
      <c r="E27" s="5" t="s">
        <v>92</v>
      </c>
      <c r="F27" s="5" t="s">
        <v>81</v>
      </c>
      <c r="G27" s="5" t="s">
        <v>136</v>
      </c>
      <c r="H27" s="5" t="s">
        <v>137</v>
      </c>
      <c r="I27" s="5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</row>
    <row r="28" spans="1:52">
      <c r="A28" s="5" t="s">
        <v>132</v>
      </c>
      <c r="B28" s="5" t="s">
        <v>138</v>
      </c>
      <c r="C28" s="5" t="s">
        <v>117</v>
      </c>
      <c r="D28" s="5" t="s">
        <v>83</v>
      </c>
      <c r="E28" s="5" t="s">
        <v>92</v>
      </c>
      <c r="F28" s="5" t="s">
        <v>81</v>
      </c>
      <c r="G28" s="5" t="s">
        <v>139</v>
      </c>
      <c r="H28" s="5" t="s">
        <v>140</v>
      </c>
      <c r="I28" s="5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</row>
    <row r="29" spans="1:52">
      <c r="A29" s="5" t="s">
        <v>132</v>
      </c>
      <c r="B29" s="5" t="s">
        <v>141</v>
      </c>
      <c r="C29" s="5" t="s">
        <v>117</v>
      </c>
      <c r="D29" s="5" t="s">
        <v>81</v>
      </c>
      <c r="E29" s="5" t="s">
        <v>142</v>
      </c>
      <c r="F29" s="5" t="s">
        <v>81</v>
      </c>
      <c r="G29" s="5" t="s">
        <v>143</v>
      </c>
      <c r="H29" s="5" t="s">
        <v>144</v>
      </c>
      <c r="I29" s="5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</row>
    <row r="30" spans="1:52">
      <c r="A30" s="5" t="s">
        <v>132</v>
      </c>
      <c r="B30" s="5" t="s">
        <v>145</v>
      </c>
      <c r="C30" s="5" t="s">
        <v>117</v>
      </c>
      <c r="D30" s="5" t="s">
        <v>81</v>
      </c>
      <c r="E30" s="5" t="s">
        <v>92</v>
      </c>
      <c r="F30" s="5" t="s">
        <v>81</v>
      </c>
      <c r="G30" s="5" t="s">
        <v>146</v>
      </c>
      <c r="H30" s="5" t="s">
        <v>117</v>
      </c>
      <c r="I30" s="5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</row>
    <row r="31" spans="1:52">
      <c r="A31" s="5" t="s">
        <v>132</v>
      </c>
      <c r="B31" s="5" t="s">
        <v>147</v>
      </c>
      <c r="C31" s="5" t="s">
        <v>117</v>
      </c>
      <c r="D31" s="5" t="s">
        <v>81</v>
      </c>
      <c r="E31" s="5" t="s">
        <v>92</v>
      </c>
      <c r="F31" s="5" t="s">
        <v>81</v>
      </c>
      <c r="G31" s="5" t="s">
        <v>124</v>
      </c>
      <c r="H31" s="5" t="s">
        <v>117</v>
      </c>
      <c r="I31" s="5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</row>
    <row r="32" spans="1:52">
      <c r="A32" s="5" t="s">
        <v>132</v>
      </c>
      <c r="B32" s="5" t="s">
        <v>148</v>
      </c>
      <c r="C32" s="5" t="s">
        <v>117</v>
      </c>
      <c r="D32" s="5" t="s">
        <v>81</v>
      </c>
      <c r="E32" s="5" t="s">
        <v>92</v>
      </c>
      <c r="F32" s="5" t="s">
        <v>81</v>
      </c>
      <c r="G32" s="5" t="s">
        <v>149</v>
      </c>
      <c r="H32" s="5" t="s">
        <v>117</v>
      </c>
      <c r="I32" s="5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</row>
    <row r="33" spans="1:52">
      <c r="A33" s="5" t="s">
        <v>132</v>
      </c>
      <c r="B33" s="5" t="s">
        <v>125</v>
      </c>
      <c r="C33" s="5" t="s">
        <v>117</v>
      </c>
      <c r="D33" s="5" t="s">
        <v>81</v>
      </c>
      <c r="E33" s="5" t="s">
        <v>92</v>
      </c>
      <c r="F33" s="5" t="s">
        <v>81</v>
      </c>
      <c r="G33" s="5" t="s">
        <v>124</v>
      </c>
      <c r="H33" s="5" t="s">
        <v>117</v>
      </c>
      <c r="I33" s="5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</row>
    <row r="34" spans="1:52">
      <c r="A34" s="5" t="s">
        <v>132</v>
      </c>
      <c r="B34" s="5" t="s">
        <v>150</v>
      </c>
      <c r="C34" s="5" t="s">
        <v>117</v>
      </c>
      <c r="D34" s="5" t="s">
        <v>81</v>
      </c>
      <c r="E34" s="5" t="s">
        <v>92</v>
      </c>
      <c r="F34" s="5" t="s">
        <v>81</v>
      </c>
      <c r="G34" s="5" t="s">
        <v>151</v>
      </c>
      <c r="H34" s="5" t="s">
        <v>117</v>
      </c>
      <c r="I34" s="5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</row>
    <row r="35" spans="1:52">
      <c r="A35" s="5" t="s">
        <v>132</v>
      </c>
      <c r="B35" s="5" t="s">
        <v>152</v>
      </c>
      <c r="C35" s="5" t="s">
        <v>117</v>
      </c>
      <c r="D35" s="5" t="s">
        <v>81</v>
      </c>
      <c r="E35" s="5" t="s">
        <v>92</v>
      </c>
      <c r="F35" s="5" t="s">
        <v>81</v>
      </c>
      <c r="G35" s="5" t="s">
        <v>153</v>
      </c>
      <c r="H35" s="5" t="s">
        <v>117</v>
      </c>
      <c r="I35" s="5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</row>
    <row r="36" spans="1:52" ht="28.5">
      <c r="A36" s="5" t="s">
        <v>132</v>
      </c>
      <c r="B36" s="5" t="s">
        <v>154</v>
      </c>
      <c r="C36" s="5" t="s">
        <v>87</v>
      </c>
      <c r="D36" s="5" t="s">
        <v>155</v>
      </c>
      <c r="E36" s="5" t="s">
        <v>88</v>
      </c>
      <c r="F36" s="5" t="s">
        <v>81</v>
      </c>
      <c r="G36" s="5" t="s">
        <v>156</v>
      </c>
      <c r="H36" s="5" t="s">
        <v>157</v>
      </c>
      <c r="I36" s="5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</row>
    <row r="37" spans="1:52">
      <c r="A37" s="5" t="s">
        <v>132</v>
      </c>
      <c r="B37" s="5" t="s">
        <v>158</v>
      </c>
      <c r="C37" s="5" t="s">
        <v>87</v>
      </c>
      <c r="D37" s="5" t="s">
        <v>81</v>
      </c>
      <c r="E37" s="5" t="s">
        <v>92</v>
      </c>
      <c r="F37" s="5" t="s">
        <v>81</v>
      </c>
      <c r="G37" s="5" t="s">
        <v>159</v>
      </c>
      <c r="H37" s="5" t="s">
        <v>160</v>
      </c>
      <c r="I37" s="5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</row>
    <row r="38" spans="1:52">
      <c r="A38" s="5" t="s">
        <v>132</v>
      </c>
      <c r="B38" s="5" t="s">
        <v>161</v>
      </c>
      <c r="C38" s="5" t="s">
        <v>117</v>
      </c>
      <c r="D38" s="5" t="s">
        <v>81</v>
      </c>
      <c r="E38" s="5" t="s">
        <v>92</v>
      </c>
      <c r="F38" s="5" t="s">
        <v>81</v>
      </c>
      <c r="G38" s="5" t="s">
        <v>124</v>
      </c>
      <c r="H38" s="5" t="s">
        <v>117</v>
      </c>
      <c r="I38" s="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</row>
    <row r="39" spans="1:52">
      <c r="A39" s="5" t="s">
        <v>132</v>
      </c>
      <c r="B39" s="5" t="s">
        <v>162</v>
      </c>
      <c r="C39" s="5" t="s">
        <v>113</v>
      </c>
      <c r="D39" s="5" t="s">
        <v>163</v>
      </c>
      <c r="E39" s="5" t="s">
        <v>92</v>
      </c>
      <c r="F39" s="5" t="s">
        <v>81</v>
      </c>
      <c r="G39" s="5" t="s">
        <v>164</v>
      </c>
      <c r="H39" s="5" t="s">
        <v>165</v>
      </c>
      <c r="I39" s="5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</row>
    <row r="40" spans="1:52">
      <c r="A40" s="5" t="s">
        <v>132</v>
      </c>
      <c r="B40" s="5" t="s">
        <v>166</v>
      </c>
      <c r="C40" s="5" t="s">
        <v>117</v>
      </c>
      <c r="D40" s="5" t="s">
        <v>81</v>
      </c>
      <c r="E40" s="5" t="s">
        <v>92</v>
      </c>
      <c r="F40" s="5" t="s">
        <v>81</v>
      </c>
      <c r="G40" s="5" t="s">
        <v>167</v>
      </c>
      <c r="H40" s="5" t="s">
        <v>117</v>
      </c>
      <c r="I40" s="5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</row>
    <row r="41" spans="1:52">
      <c r="A41" s="5" t="s">
        <v>132</v>
      </c>
      <c r="B41" s="5" t="s">
        <v>168</v>
      </c>
      <c r="C41" s="5" t="s">
        <v>117</v>
      </c>
      <c r="D41" s="5" t="s">
        <v>81</v>
      </c>
      <c r="E41" s="5" t="s">
        <v>92</v>
      </c>
      <c r="F41" s="5" t="s">
        <v>81</v>
      </c>
      <c r="G41" s="5" t="s">
        <v>169</v>
      </c>
      <c r="H41" s="5" t="s">
        <v>117</v>
      </c>
      <c r="I41" s="5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</row>
    <row r="42" spans="1:52">
      <c r="A42" s="5" t="s">
        <v>132</v>
      </c>
      <c r="B42" s="5" t="s">
        <v>170</v>
      </c>
      <c r="C42" s="5" t="s">
        <v>117</v>
      </c>
      <c r="D42" s="5" t="s">
        <v>81</v>
      </c>
      <c r="E42" s="5" t="s">
        <v>92</v>
      </c>
      <c r="F42" s="5" t="s">
        <v>81</v>
      </c>
      <c r="G42" s="5" t="s">
        <v>167</v>
      </c>
      <c r="H42" s="5" t="s">
        <v>171</v>
      </c>
      <c r="I42" s="5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</row>
    <row r="43" spans="1:52">
      <c r="A43" s="5" t="s">
        <v>172</v>
      </c>
      <c r="B43" s="5" t="s">
        <v>173</v>
      </c>
      <c r="C43" s="5" t="s">
        <v>174</v>
      </c>
      <c r="D43" s="5" t="s">
        <v>81</v>
      </c>
      <c r="E43" s="5" t="s">
        <v>175</v>
      </c>
      <c r="F43" s="5" t="s">
        <v>81</v>
      </c>
      <c r="G43" s="5" t="s">
        <v>176</v>
      </c>
      <c r="H43" s="5" t="s">
        <v>177</v>
      </c>
      <c r="I43" s="5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</row>
    <row r="44" spans="1:52">
      <c r="A44" s="5" t="s">
        <v>172</v>
      </c>
      <c r="B44" s="5" t="s">
        <v>178</v>
      </c>
      <c r="C44" s="5" t="s">
        <v>174</v>
      </c>
      <c r="D44" s="5" t="s">
        <v>81</v>
      </c>
      <c r="E44" s="5" t="s">
        <v>175</v>
      </c>
      <c r="F44" s="5" t="s">
        <v>81</v>
      </c>
      <c r="G44" s="5" t="s">
        <v>176</v>
      </c>
      <c r="H44" s="5" t="s">
        <v>179</v>
      </c>
      <c r="I44" s="5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</row>
    <row r="45" spans="1:52">
      <c r="A45" s="5" t="s">
        <v>172</v>
      </c>
      <c r="B45" s="5" t="s">
        <v>180</v>
      </c>
      <c r="C45" s="5" t="s">
        <v>174</v>
      </c>
      <c r="D45" s="5" t="s">
        <v>83</v>
      </c>
      <c r="E45" s="5" t="s">
        <v>175</v>
      </c>
      <c r="F45" s="5" t="s">
        <v>81</v>
      </c>
      <c r="G45" s="5" t="s">
        <v>167</v>
      </c>
      <c r="H45" s="5" t="s">
        <v>181</v>
      </c>
      <c r="I45" s="5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</row>
    <row r="46" spans="1:52">
      <c r="A46" s="5" t="s">
        <v>172</v>
      </c>
      <c r="B46" s="5" t="s">
        <v>182</v>
      </c>
      <c r="C46" s="5" t="s">
        <v>113</v>
      </c>
      <c r="D46" s="5" t="s">
        <v>81</v>
      </c>
      <c r="E46" s="5" t="s">
        <v>175</v>
      </c>
      <c r="F46" s="5" t="s">
        <v>81</v>
      </c>
      <c r="G46" s="5" t="s">
        <v>183</v>
      </c>
      <c r="H46" s="5" t="s">
        <v>115</v>
      </c>
      <c r="I46" s="5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</row>
    <row r="47" spans="1:52">
      <c r="A47" s="5" t="s">
        <v>172</v>
      </c>
      <c r="B47" s="5" t="s">
        <v>184</v>
      </c>
      <c r="C47" s="5" t="s">
        <v>117</v>
      </c>
      <c r="D47" s="5" t="s">
        <v>81</v>
      </c>
      <c r="E47" s="5" t="s">
        <v>92</v>
      </c>
      <c r="F47" s="5" t="s">
        <v>81</v>
      </c>
      <c r="G47" s="5" t="s">
        <v>185</v>
      </c>
      <c r="H47" s="5" t="s">
        <v>186</v>
      </c>
      <c r="I47" s="5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</row>
    <row r="48" spans="1:52">
      <c r="A48" s="5" t="s">
        <v>187</v>
      </c>
      <c r="B48" s="5" t="s">
        <v>188</v>
      </c>
      <c r="C48" s="5" t="s">
        <v>117</v>
      </c>
      <c r="D48" s="5" t="s">
        <v>163</v>
      </c>
      <c r="E48" s="5" t="s">
        <v>92</v>
      </c>
      <c r="F48" s="5" t="s">
        <v>81</v>
      </c>
      <c r="G48" s="5" t="s">
        <v>185</v>
      </c>
      <c r="H48" s="5" t="s">
        <v>189</v>
      </c>
      <c r="I48" s="5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</row>
    <row r="49" spans="1:52">
      <c r="A49" s="5" t="s">
        <v>187</v>
      </c>
      <c r="B49" s="5" t="s">
        <v>190</v>
      </c>
      <c r="C49" s="5" t="s">
        <v>117</v>
      </c>
      <c r="D49" s="5" t="s">
        <v>163</v>
      </c>
      <c r="E49" s="5" t="s">
        <v>92</v>
      </c>
      <c r="F49" s="5" t="s">
        <v>81</v>
      </c>
      <c r="G49" s="5" t="s">
        <v>185</v>
      </c>
      <c r="H49" s="5" t="s">
        <v>117</v>
      </c>
      <c r="I49" s="5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</row>
    <row r="50" spans="1:52">
      <c r="A50" s="5" t="s">
        <v>187</v>
      </c>
      <c r="B50" s="5" t="s">
        <v>191</v>
      </c>
      <c r="C50" s="5" t="s">
        <v>87</v>
      </c>
      <c r="D50" s="5" t="s">
        <v>163</v>
      </c>
      <c r="E50" s="5" t="s">
        <v>192</v>
      </c>
      <c r="F50" s="5" t="s">
        <v>81</v>
      </c>
      <c r="G50" s="5" t="s">
        <v>185</v>
      </c>
      <c r="H50" s="5" t="s">
        <v>193</v>
      </c>
      <c r="I50" s="5" t="s">
        <v>194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</row>
    <row r="51" spans="1:52">
      <c r="A51" s="5" t="s">
        <v>195</v>
      </c>
      <c r="B51" s="5" t="s">
        <v>196</v>
      </c>
      <c r="C51" s="5" t="s">
        <v>197</v>
      </c>
      <c r="D51" s="5" t="s">
        <v>81</v>
      </c>
      <c r="E51" s="5" t="s">
        <v>192</v>
      </c>
      <c r="F51" s="5" t="s">
        <v>81</v>
      </c>
      <c r="G51" s="5" t="s">
        <v>167</v>
      </c>
      <c r="H51" s="5" t="s">
        <v>198</v>
      </c>
      <c r="I51" s="5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</row>
    <row r="52" spans="1:52">
      <c r="A52" s="5" t="s">
        <v>195</v>
      </c>
      <c r="B52" s="5" t="s">
        <v>199</v>
      </c>
      <c r="C52" s="5" t="s">
        <v>117</v>
      </c>
      <c r="D52" s="5" t="s">
        <v>163</v>
      </c>
      <c r="E52" s="5" t="s">
        <v>192</v>
      </c>
      <c r="F52" s="5" t="s">
        <v>81</v>
      </c>
      <c r="G52" s="5" t="s">
        <v>167</v>
      </c>
      <c r="H52" s="5" t="s">
        <v>117</v>
      </c>
      <c r="I52" s="5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</row>
    <row r="53" spans="1:52">
      <c r="A53" s="5" t="s">
        <v>195</v>
      </c>
      <c r="B53" s="5" t="s">
        <v>200</v>
      </c>
      <c r="C53" s="5" t="s">
        <v>201</v>
      </c>
      <c r="D53" s="5" t="s">
        <v>163</v>
      </c>
      <c r="E53" s="5" t="s">
        <v>192</v>
      </c>
      <c r="F53" s="5" t="s">
        <v>81</v>
      </c>
      <c r="G53" s="5" t="s">
        <v>167</v>
      </c>
      <c r="H53" s="5" t="s">
        <v>202</v>
      </c>
      <c r="I53" s="5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</row>
    <row r="54" spans="1:52">
      <c r="A54" s="5" t="s">
        <v>195</v>
      </c>
      <c r="B54" s="5" t="s">
        <v>203</v>
      </c>
      <c r="C54" s="5" t="s">
        <v>113</v>
      </c>
      <c r="D54" s="5" t="s">
        <v>163</v>
      </c>
      <c r="E54" s="5" t="s">
        <v>192</v>
      </c>
      <c r="F54" s="5" t="s">
        <v>81</v>
      </c>
      <c r="G54" s="5" t="s">
        <v>167</v>
      </c>
      <c r="H54" s="5" t="s">
        <v>115</v>
      </c>
      <c r="I54" s="5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</row>
    <row r="55" spans="1:52">
      <c r="A55" s="5" t="s">
        <v>195</v>
      </c>
      <c r="B55" s="5" t="s">
        <v>204</v>
      </c>
      <c r="C55" s="5" t="s">
        <v>113</v>
      </c>
      <c r="D55" s="5" t="s">
        <v>83</v>
      </c>
      <c r="E55" s="5" t="s">
        <v>192</v>
      </c>
      <c r="F55" s="5" t="s">
        <v>81</v>
      </c>
      <c r="G55" s="5" t="s">
        <v>167</v>
      </c>
      <c r="H55" s="5" t="s">
        <v>115</v>
      </c>
      <c r="I55" s="5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</row>
    <row r="56" spans="1:52">
      <c r="A56" s="5" t="s">
        <v>205</v>
      </c>
      <c r="B56" s="5" t="s">
        <v>206</v>
      </c>
      <c r="C56" s="5" t="s">
        <v>87</v>
      </c>
      <c r="D56" s="5" t="s">
        <v>81</v>
      </c>
      <c r="E56" s="5" t="s">
        <v>82</v>
      </c>
      <c r="F56" s="5" t="s">
        <v>83</v>
      </c>
      <c r="G56" s="5" t="s">
        <v>207</v>
      </c>
      <c r="H56" s="5" t="s">
        <v>37</v>
      </c>
      <c r="I56" s="5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</row>
    <row r="57" spans="1:52">
      <c r="A57" s="5" t="s">
        <v>205</v>
      </c>
      <c r="B57" s="5" t="s">
        <v>208</v>
      </c>
      <c r="C57" s="5" t="s">
        <v>209</v>
      </c>
      <c r="D57" s="5" t="s">
        <v>81</v>
      </c>
      <c r="E57" s="5" t="s">
        <v>82</v>
      </c>
      <c r="F57" s="5" t="s">
        <v>83</v>
      </c>
      <c r="G57" s="5" t="s">
        <v>207</v>
      </c>
      <c r="H57" s="5" t="s">
        <v>37</v>
      </c>
      <c r="I57" s="5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</row>
    <row r="58" spans="1:52">
      <c r="A58" s="5" t="s">
        <v>205</v>
      </c>
      <c r="B58" s="5" t="s">
        <v>210</v>
      </c>
      <c r="C58" s="5" t="s">
        <v>87</v>
      </c>
      <c r="D58" s="5" t="s">
        <v>81</v>
      </c>
      <c r="E58" s="5" t="s">
        <v>82</v>
      </c>
      <c r="F58" s="5" t="s">
        <v>83</v>
      </c>
      <c r="G58" s="5" t="s">
        <v>207</v>
      </c>
      <c r="H58" s="5" t="s">
        <v>37</v>
      </c>
      <c r="I58" s="5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</row>
    <row r="59" spans="1:52">
      <c r="A59" s="5" t="s">
        <v>205</v>
      </c>
      <c r="B59" s="5" t="s">
        <v>211</v>
      </c>
      <c r="C59" s="5" t="s">
        <v>209</v>
      </c>
      <c r="D59" s="5" t="s">
        <v>81</v>
      </c>
      <c r="E59" s="5" t="s">
        <v>82</v>
      </c>
      <c r="F59" s="5" t="s">
        <v>83</v>
      </c>
      <c r="G59" s="5" t="s">
        <v>207</v>
      </c>
      <c r="H59" s="5" t="s">
        <v>37</v>
      </c>
      <c r="I59" s="5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</row>
    <row r="60" spans="1:5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</row>
    <row r="61" spans="1:5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</row>
    <row r="62" spans="1:5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</row>
    <row r="63" spans="1:5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</row>
    <row r="64" spans="1:5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</row>
    <row r="65" spans="1:5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</row>
    <row r="66" spans="1:5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</row>
    <row r="67" spans="1:5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</row>
    <row r="68" spans="1:5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</row>
    <row r="69" spans="1:5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</row>
    <row r="70" spans="1:5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</row>
    <row r="71" spans="1:5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</row>
    <row r="72" spans="1:5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</row>
    <row r="73" spans="1:5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</row>
    <row r="74" spans="1:5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</row>
    <row r="75" spans="1:5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</row>
    <row r="76" spans="1:5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</row>
    <row r="77" spans="1:5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</row>
    <row r="78" spans="1:5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</row>
    <row r="79" spans="1:5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</row>
    <row r="80" spans="1:5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</row>
    <row r="81" spans="1:5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</row>
    <row r="82" spans="1:5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</row>
    <row r="83" spans="1:5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</row>
    <row r="84" spans="1:5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</row>
    <row r="85" spans="1:5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</row>
    <row r="86" spans="1:5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</row>
    <row r="87" spans="1:5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</row>
    <row r="88" spans="1:5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</row>
    <row r="89" spans="1:5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</row>
    <row r="90" spans="1:5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</row>
    <row r="91" spans="1:5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</row>
    <row r="92" spans="1:5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</row>
    <row r="93" spans="1:5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</row>
    <row r="94" spans="1:5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</row>
    <row r="95" spans="1:5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</row>
    <row r="96" spans="1:5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</row>
    <row r="97" spans="1:5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</row>
    <row r="98" spans="1:5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</row>
    <row r="99" spans="1:5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</row>
    <row r="100" spans="1:5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</row>
    <row r="101" spans="1:5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</row>
    <row r="102" spans="1:5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</row>
    <row r="103" spans="1:5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</row>
    <row r="104" spans="1:5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</row>
    <row r="105" spans="1:5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</row>
    <row r="106" spans="1:5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</row>
    <row r="107" spans="1:5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</row>
    <row r="108" spans="1:5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</row>
    <row r="109" spans="1:5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</row>
    <row r="110" spans="1:5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</row>
    <row r="111" spans="1:5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</row>
    <row r="112" spans="1:5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</row>
    <row r="113" spans="1:5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</row>
    <row r="114" spans="1:5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</row>
    <row r="115" spans="1:5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</row>
    <row r="116" spans="1:5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</row>
    <row r="117" spans="1:5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</row>
    <row r="118" spans="1:5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</row>
    <row r="119" spans="1:5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</row>
    <row r="120" spans="1:5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</row>
    <row r="121" spans="1:5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</row>
    <row r="122" spans="1:5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</row>
    <row r="123" spans="1:5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</row>
    <row r="124" spans="1:5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</row>
    <row r="125" spans="1:5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</row>
    <row r="126" spans="1:5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</row>
    <row r="127" spans="1:5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</row>
    <row r="128" spans="1:5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</row>
    <row r="129" spans="1:5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</row>
    <row r="130" spans="1:5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</row>
    <row r="131" spans="1:5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</row>
    <row r="132" spans="1:5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</row>
    <row r="133" spans="1:5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</row>
    <row r="134" spans="1:5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</row>
    <row r="135" spans="1:5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</row>
    <row r="136" spans="1:5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</row>
    <row r="137" spans="1:5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</row>
    <row r="138" spans="1:5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</row>
    <row r="139" spans="1:5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</row>
    <row r="140" spans="1:5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</row>
    <row r="141" spans="1:5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</row>
    <row r="142" spans="1:5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</row>
    <row r="143" spans="1:5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</row>
    <row r="144" spans="1:5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</row>
    <row r="145" spans="1:5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</row>
    <row r="146" spans="1:5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</row>
    <row r="147" spans="1:5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</row>
    <row r="148" spans="1:5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</row>
    <row r="149" spans="1:5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</row>
    <row r="150" spans="1:5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</row>
    <row r="151" spans="1:5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</row>
    <row r="152" spans="1: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</row>
    <row r="153" spans="1:5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</row>
    <row r="154" spans="1:5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</row>
    <row r="155" spans="1:5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</row>
    <row r="156" spans="1:5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</row>
    <row r="157" spans="1:5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</row>
    <row r="158" spans="1:5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</row>
    <row r="159" spans="1:5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</row>
    <row r="160" spans="1:5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</row>
    <row r="161" spans="1:5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</row>
    <row r="162" spans="1:5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</row>
    <row r="163" spans="1:5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</row>
    <row r="164" spans="1:5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</row>
    <row r="165" spans="1:5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</row>
    <row r="166" spans="1:5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</row>
    <row r="167" spans="1:5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</row>
    <row r="168" spans="1:5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</row>
    <row r="169" spans="1:5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</row>
    <row r="170" spans="1:5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</row>
    <row r="171" spans="1:5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</row>
    <row r="172" spans="1:5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</row>
    <row r="173" spans="1:5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</row>
    <row r="174" spans="1:5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</row>
    <row r="175" spans="1:5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</row>
    <row r="176" spans="1:5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</row>
    <row r="177" spans="1:5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</row>
    <row r="178" spans="1:5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</row>
    <row r="179" spans="1:5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</row>
    <row r="180" spans="1:5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</row>
    <row r="181" spans="1:5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</row>
    <row r="182" spans="1:5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</row>
    <row r="183" spans="1:5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</row>
    <row r="184" spans="1:5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</row>
    <row r="185" spans="1:5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</row>
    <row r="186" spans="1:5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</row>
    <row r="187" spans="1:5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</row>
    <row r="188" spans="1:5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</row>
    <row r="189" spans="1:5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</row>
    <row r="190" spans="1:5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</row>
    <row r="191" spans="1:5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</row>
    <row r="192" spans="1:5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</row>
    <row r="193" spans="1:5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</row>
    <row r="194" spans="1:5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</row>
    <row r="195" spans="1:5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</row>
    <row r="196" spans="1:5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</row>
    <row r="197" spans="1:5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</row>
    <row r="198" spans="1:5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</row>
    <row r="199" spans="1:5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</row>
    <row r="200" spans="1:5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</row>
  </sheetData>
  <mergeCells count="3">
    <mergeCell ref="A1:I1"/>
    <mergeCell ref="A2:I2"/>
    <mergeCell ref="AZ1:BF1"/>
  </mergeCells>
  <dataValidations count="2">
    <dataValidation type="list" sqref="AZ3:AZ200" xr:uid="{00000000-0002-0000-0100-000000000000}">
      <formula1>"Día,Noche,Otro"</formula1>
    </dataValidation>
    <dataValidation type="list" sqref="BB3:BB200" xr:uid="{00000000-0002-0000-0100-000001000000}">
      <formula1>"Diurna,Mixta,Nocturna"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200"/>
  <sheetViews>
    <sheetView workbookViewId="0">
      <selection activeCell="D14" sqref="D14"/>
    </sheetView>
  </sheetViews>
  <sheetFormatPr baseColWidth="10" defaultColWidth="8.75" defaultRowHeight="14.25"/>
  <cols>
    <col min="1" max="1" width="24" customWidth="1"/>
    <col min="2" max="2" width="45" customWidth="1"/>
    <col min="3" max="3" width="20" customWidth="1"/>
    <col min="4" max="4" width="15" customWidth="1"/>
    <col min="5" max="5" width="35" customWidth="1"/>
  </cols>
  <sheetData>
    <row r="1" spans="1:52" ht="22.35" customHeight="1">
      <c r="A1" s="56" t="s">
        <v>212</v>
      </c>
      <c r="B1" s="57"/>
      <c r="C1" s="57"/>
      <c r="D1" s="57"/>
      <c r="E1" s="57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</row>
    <row r="2" spans="1:52" ht="28.15" customHeight="1">
      <c r="A2" s="58" t="s">
        <v>213</v>
      </c>
      <c r="B2" s="57"/>
      <c r="C2" s="57"/>
      <c r="D2" s="57"/>
      <c r="E2" s="57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</row>
    <row r="3" spans="1:5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</row>
    <row r="4" spans="1:52" ht="15">
      <c r="A4" s="4" t="s">
        <v>117</v>
      </c>
      <c r="B4" s="4" t="s">
        <v>214</v>
      </c>
      <c r="C4" s="4" t="s">
        <v>215</v>
      </c>
      <c r="D4" s="4" t="s">
        <v>216</v>
      </c>
      <c r="E4" s="4" t="s">
        <v>8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</row>
    <row r="5" spans="1:52" ht="28.5">
      <c r="A5" s="5" t="s">
        <v>141</v>
      </c>
      <c r="B5" s="5" t="s">
        <v>217</v>
      </c>
      <c r="C5" s="5" t="s">
        <v>218</v>
      </c>
      <c r="D5" s="5" t="s">
        <v>81</v>
      </c>
      <c r="E5" s="5" t="s">
        <v>219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</row>
    <row r="6" spans="1:52">
      <c r="A6" s="5" t="s">
        <v>161</v>
      </c>
      <c r="B6" s="5" t="s">
        <v>220</v>
      </c>
      <c r="C6" s="5" t="s">
        <v>218</v>
      </c>
      <c r="D6" s="5" t="s">
        <v>83</v>
      </c>
      <c r="E6" s="5" t="s">
        <v>179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</row>
    <row r="7" spans="1:52">
      <c r="A7" s="5" t="s">
        <v>166</v>
      </c>
      <c r="B7" s="5" t="s">
        <v>221</v>
      </c>
      <c r="C7" s="5" t="s">
        <v>218</v>
      </c>
      <c r="D7" s="5" t="s">
        <v>81</v>
      </c>
      <c r="E7" s="5" t="s">
        <v>222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</row>
    <row r="8" spans="1:52">
      <c r="A8" s="5" t="s">
        <v>168</v>
      </c>
      <c r="B8" s="5" t="s">
        <v>223</v>
      </c>
      <c r="C8" s="5" t="s">
        <v>218</v>
      </c>
      <c r="D8" s="5" t="s">
        <v>81</v>
      </c>
      <c r="E8" s="5" t="s">
        <v>224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</row>
    <row r="9" spans="1:52">
      <c r="A9" s="5" t="s">
        <v>170</v>
      </c>
      <c r="B9" s="5" t="s">
        <v>225</v>
      </c>
      <c r="C9" s="5" t="s">
        <v>167</v>
      </c>
      <c r="D9" s="5" t="s">
        <v>81</v>
      </c>
      <c r="E9" s="5" t="s">
        <v>226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</row>
    <row r="10" spans="1:52">
      <c r="A10" s="5" t="s">
        <v>227</v>
      </c>
      <c r="B10" s="5" t="s">
        <v>228</v>
      </c>
      <c r="C10" s="5" t="s">
        <v>229</v>
      </c>
      <c r="D10" s="5" t="s">
        <v>81</v>
      </c>
      <c r="E10" s="5" t="s">
        <v>230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</row>
    <row r="11" spans="1:52" ht="28.5">
      <c r="A11" s="5" t="s">
        <v>231</v>
      </c>
      <c r="B11" s="5" t="s">
        <v>232</v>
      </c>
      <c r="C11" s="5" t="s">
        <v>218</v>
      </c>
      <c r="D11" s="5" t="s">
        <v>83</v>
      </c>
      <c r="E11" s="5" t="s">
        <v>233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</row>
    <row r="12" spans="1:52">
      <c r="A12" s="5" t="s">
        <v>150</v>
      </c>
      <c r="B12" s="5" t="s">
        <v>234</v>
      </c>
      <c r="C12" s="5" t="s">
        <v>235</v>
      </c>
      <c r="D12" s="5" t="s">
        <v>83</v>
      </c>
      <c r="E12" s="5" t="s">
        <v>236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</row>
    <row r="13" spans="1:52">
      <c r="A13" s="5" t="s">
        <v>138</v>
      </c>
      <c r="B13" s="5" t="s">
        <v>237</v>
      </c>
      <c r="C13" s="5" t="s">
        <v>218</v>
      </c>
      <c r="D13" s="5" t="s">
        <v>83</v>
      </c>
      <c r="E13" s="5" t="s">
        <v>139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</row>
    <row r="14" spans="1:52">
      <c r="A14" s="5" t="s">
        <v>238</v>
      </c>
      <c r="B14" s="5" t="s">
        <v>239</v>
      </c>
      <c r="C14" s="5" t="s">
        <v>167</v>
      </c>
      <c r="D14" s="5" t="s">
        <v>83</v>
      </c>
      <c r="E14" s="5" t="s">
        <v>240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</row>
    <row r="15" spans="1:52" ht="28.5">
      <c r="A15" s="5" t="s">
        <v>241</v>
      </c>
      <c r="B15" s="5" t="s">
        <v>242</v>
      </c>
      <c r="C15" s="5" t="s">
        <v>82</v>
      </c>
      <c r="D15" s="5" t="s">
        <v>81</v>
      </c>
      <c r="E15" s="5" t="s">
        <v>243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</row>
    <row r="16" spans="1:52">
      <c r="A16" s="5"/>
      <c r="B16" s="5"/>
      <c r="C16" s="5"/>
      <c r="D16" s="5"/>
      <c r="E16" s="5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</row>
    <row r="17" spans="1:52">
      <c r="A17" s="5"/>
      <c r="B17" s="5"/>
      <c r="C17" s="5"/>
      <c r="D17" s="5"/>
      <c r="E17" s="5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</row>
    <row r="18" spans="1:52">
      <c r="A18" s="5"/>
      <c r="B18" s="5"/>
      <c r="C18" s="5"/>
      <c r="D18" s="5"/>
      <c r="E18" s="5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</row>
    <row r="19" spans="1:52">
      <c r="A19" s="5"/>
      <c r="B19" s="5"/>
      <c r="C19" s="5"/>
      <c r="D19" s="5"/>
      <c r="E19" s="5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</row>
    <row r="20" spans="1:52">
      <c r="A20" s="5"/>
      <c r="B20" s="5"/>
      <c r="C20" s="5"/>
      <c r="D20" s="5"/>
      <c r="E20" s="5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</row>
    <row r="21" spans="1:5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</row>
    <row r="22" spans="1:5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</row>
    <row r="23" spans="1:5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</row>
    <row r="24" spans="1:5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</row>
    <row r="25" spans="1:5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</row>
    <row r="26" spans="1:5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</row>
    <row r="27" spans="1:5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</row>
    <row r="28" spans="1:5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</row>
    <row r="29" spans="1:5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</row>
    <row r="30" spans="1:5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</row>
    <row r="31" spans="1:5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</row>
    <row r="32" spans="1:5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</row>
    <row r="33" spans="1:5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</row>
    <row r="34" spans="1:5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</row>
    <row r="35" spans="1:5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</row>
    <row r="36" spans="1:5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</row>
    <row r="37" spans="1:5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</row>
    <row r="38" spans="1:5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</row>
    <row r="39" spans="1:5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</row>
    <row r="40" spans="1:5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</row>
    <row r="41" spans="1:5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</row>
    <row r="42" spans="1:5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</row>
    <row r="43" spans="1:5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</row>
    <row r="44" spans="1:5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</row>
    <row r="45" spans="1:5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</row>
    <row r="46" spans="1:5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</row>
    <row r="47" spans="1:5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</row>
    <row r="48" spans="1:5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</row>
    <row r="49" spans="1:5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</row>
    <row r="50" spans="1:5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</row>
    <row r="51" spans="1:5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</row>
    <row r="52" spans="1: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</row>
    <row r="53" spans="1:5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</row>
    <row r="54" spans="1:5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</row>
    <row r="55" spans="1:5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</row>
    <row r="56" spans="1:5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</row>
    <row r="57" spans="1:5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</row>
    <row r="58" spans="1:5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</row>
    <row r="59" spans="1:5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</row>
    <row r="60" spans="1:5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</row>
    <row r="61" spans="1:5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</row>
    <row r="62" spans="1:5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</row>
    <row r="63" spans="1:5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</row>
    <row r="64" spans="1:5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</row>
    <row r="65" spans="1:5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</row>
    <row r="66" spans="1:5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</row>
    <row r="67" spans="1:5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</row>
    <row r="68" spans="1:5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</row>
    <row r="69" spans="1:5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</row>
    <row r="70" spans="1:5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</row>
    <row r="71" spans="1:5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</row>
    <row r="72" spans="1:5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</row>
    <row r="73" spans="1:5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</row>
    <row r="74" spans="1:5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</row>
    <row r="75" spans="1:5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</row>
    <row r="76" spans="1:5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</row>
    <row r="77" spans="1:5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</row>
    <row r="78" spans="1:5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</row>
    <row r="79" spans="1:5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</row>
    <row r="80" spans="1:5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</row>
    <row r="81" spans="1:5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</row>
    <row r="82" spans="1:5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</row>
    <row r="83" spans="1:5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</row>
    <row r="84" spans="1:5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</row>
    <row r="85" spans="1:5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</row>
    <row r="86" spans="1:5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</row>
    <row r="87" spans="1:5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</row>
    <row r="88" spans="1:5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</row>
    <row r="89" spans="1:5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</row>
    <row r="90" spans="1:5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</row>
    <row r="91" spans="1:5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</row>
    <row r="92" spans="1:5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</row>
    <row r="93" spans="1:5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</row>
    <row r="94" spans="1:5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</row>
    <row r="95" spans="1:5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</row>
    <row r="96" spans="1:5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</row>
    <row r="97" spans="1:5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</row>
    <row r="98" spans="1:5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</row>
    <row r="99" spans="1:5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</row>
    <row r="100" spans="1:5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</row>
    <row r="101" spans="1:5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</row>
    <row r="102" spans="1:5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</row>
    <row r="103" spans="1:5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</row>
    <row r="104" spans="1:5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</row>
    <row r="105" spans="1:5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</row>
    <row r="106" spans="1:5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</row>
    <row r="107" spans="1:5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</row>
    <row r="108" spans="1:5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</row>
    <row r="109" spans="1:5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</row>
    <row r="110" spans="1:5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</row>
    <row r="111" spans="1:5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</row>
    <row r="112" spans="1:5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</row>
    <row r="113" spans="1:5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</row>
    <row r="114" spans="1:5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</row>
    <row r="115" spans="1:5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</row>
    <row r="116" spans="1:5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</row>
    <row r="117" spans="1:5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</row>
    <row r="118" spans="1:5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</row>
    <row r="119" spans="1:5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</row>
    <row r="120" spans="1:5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</row>
    <row r="121" spans="1:5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</row>
    <row r="122" spans="1:5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</row>
    <row r="123" spans="1:5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</row>
    <row r="124" spans="1:5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</row>
    <row r="125" spans="1:5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</row>
    <row r="126" spans="1:5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</row>
    <row r="127" spans="1:5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</row>
    <row r="128" spans="1:5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</row>
    <row r="129" spans="1:5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</row>
    <row r="130" spans="1:5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</row>
    <row r="131" spans="1:5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</row>
    <row r="132" spans="1:5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</row>
    <row r="133" spans="1:5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</row>
    <row r="134" spans="1:5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</row>
    <row r="135" spans="1:5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</row>
    <row r="136" spans="1:5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</row>
    <row r="137" spans="1:5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</row>
    <row r="138" spans="1:5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</row>
    <row r="139" spans="1:5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</row>
    <row r="140" spans="1:5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</row>
    <row r="141" spans="1:5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</row>
    <row r="142" spans="1:5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</row>
    <row r="143" spans="1:5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</row>
    <row r="144" spans="1:5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</row>
    <row r="145" spans="1:5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</row>
    <row r="146" spans="1:5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</row>
    <row r="147" spans="1:5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</row>
    <row r="148" spans="1:5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</row>
    <row r="149" spans="1:5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</row>
    <row r="150" spans="1:5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</row>
    <row r="151" spans="1:5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</row>
    <row r="152" spans="1: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</row>
    <row r="153" spans="1:5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</row>
    <row r="154" spans="1:5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</row>
    <row r="155" spans="1:5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</row>
    <row r="156" spans="1:5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</row>
    <row r="157" spans="1:5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</row>
    <row r="158" spans="1:5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</row>
    <row r="159" spans="1:5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</row>
    <row r="160" spans="1:5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</row>
    <row r="161" spans="1:5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</row>
    <row r="162" spans="1:5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</row>
    <row r="163" spans="1:5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</row>
    <row r="164" spans="1:5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</row>
    <row r="165" spans="1:5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</row>
    <row r="166" spans="1:5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</row>
    <row r="167" spans="1:5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</row>
    <row r="168" spans="1:5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</row>
    <row r="169" spans="1:5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</row>
    <row r="170" spans="1:5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</row>
    <row r="171" spans="1:5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</row>
    <row r="172" spans="1:5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</row>
    <row r="173" spans="1:5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</row>
    <row r="174" spans="1:5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</row>
    <row r="175" spans="1:5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</row>
    <row r="176" spans="1:5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</row>
    <row r="177" spans="1:5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</row>
    <row r="178" spans="1:5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</row>
    <row r="179" spans="1:5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</row>
    <row r="180" spans="1:5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</row>
    <row r="181" spans="1:5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</row>
    <row r="182" spans="1:5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</row>
    <row r="183" spans="1:5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</row>
    <row r="184" spans="1:5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</row>
    <row r="185" spans="1:5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</row>
    <row r="186" spans="1:5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</row>
    <row r="187" spans="1:5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</row>
    <row r="188" spans="1:5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</row>
    <row r="189" spans="1:5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</row>
    <row r="190" spans="1:5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</row>
    <row r="191" spans="1:5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</row>
    <row r="192" spans="1:5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</row>
    <row r="193" spans="1:5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</row>
    <row r="194" spans="1:5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</row>
    <row r="195" spans="1:5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</row>
    <row r="196" spans="1:5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</row>
    <row r="197" spans="1:5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</row>
    <row r="198" spans="1:5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</row>
    <row r="199" spans="1:5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</row>
    <row r="200" spans="1:5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</row>
  </sheetData>
  <mergeCells count="2">
    <mergeCell ref="A1:E1"/>
    <mergeCell ref="A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200"/>
  <sheetViews>
    <sheetView workbookViewId="0">
      <selection activeCell="D13" sqref="D13"/>
    </sheetView>
  </sheetViews>
  <sheetFormatPr baseColWidth="10" defaultColWidth="8.75" defaultRowHeight="14.25"/>
  <cols>
    <col min="1" max="1" width="16" customWidth="1"/>
    <col min="2" max="2" width="27" customWidth="1"/>
    <col min="3" max="4" width="18" customWidth="1"/>
    <col min="5" max="5" width="22" customWidth="1"/>
    <col min="6" max="6" width="16" customWidth="1"/>
    <col min="7" max="7" width="10" customWidth="1"/>
    <col min="8" max="8" width="42" customWidth="1"/>
    <col min="9" max="9" width="18" customWidth="1"/>
    <col min="10" max="10" width="26" customWidth="1"/>
    <col min="11" max="11" width="30" customWidth="1"/>
    <col min="12" max="13" width="24" customWidth="1"/>
    <col min="14" max="14" width="45" customWidth="1"/>
  </cols>
  <sheetData>
    <row r="1" spans="1:52" ht="22.35" customHeight="1">
      <c r="A1" s="56" t="s">
        <v>244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61" t="s">
        <v>245</v>
      </c>
      <c r="M1" s="61"/>
      <c r="N1" s="61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</row>
    <row r="2" spans="1:52" ht="28.15" customHeight="1">
      <c r="A2" s="58" t="s">
        <v>246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62" t="s">
        <v>247</v>
      </c>
      <c r="M2" s="62"/>
      <c r="N2" s="62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</row>
    <row r="3" spans="1:5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5"/>
      <c r="M3" s="5"/>
      <c r="N3" s="5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</row>
    <row r="4" spans="1:52" ht="30">
      <c r="A4" s="4" t="s">
        <v>248</v>
      </c>
      <c r="B4" s="4" t="s">
        <v>249</v>
      </c>
      <c r="C4" s="4" t="s">
        <v>71</v>
      </c>
      <c r="D4" s="4" t="s">
        <v>250</v>
      </c>
      <c r="E4" s="4" t="s">
        <v>251</v>
      </c>
      <c r="F4" s="4" t="s">
        <v>252</v>
      </c>
      <c r="G4" s="4" t="s">
        <v>253</v>
      </c>
      <c r="H4" s="4" t="s">
        <v>254</v>
      </c>
      <c r="I4" s="4" t="s">
        <v>255</v>
      </c>
      <c r="J4" s="4" t="s">
        <v>256</v>
      </c>
      <c r="K4" s="4" t="s">
        <v>77</v>
      </c>
      <c r="L4" s="17" t="s">
        <v>257</v>
      </c>
      <c r="M4" s="17" t="s">
        <v>73</v>
      </c>
      <c r="N4" s="17" t="s">
        <v>258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</row>
    <row r="5" spans="1:52" ht="28.5">
      <c r="A5" s="5" t="s">
        <v>259</v>
      </c>
      <c r="B5" s="5" t="s">
        <v>260</v>
      </c>
      <c r="C5" s="5" t="s">
        <v>261</v>
      </c>
      <c r="D5" s="5" t="s">
        <v>262</v>
      </c>
      <c r="E5" s="5" t="s">
        <v>263</v>
      </c>
      <c r="F5" s="5" t="s">
        <v>81</v>
      </c>
      <c r="G5" s="5" t="s">
        <v>264</v>
      </c>
      <c r="H5" s="5" t="s">
        <v>265</v>
      </c>
      <c r="I5" s="5" t="s">
        <v>81</v>
      </c>
      <c r="J5" s="5" t="s">
        <v>262</v>
      </c>
      <c r="K5" s="5" t="s">
        <v>266</v>
      </c>
      <c r="L5" s="5" t="s">
        <v>267</v>
      </c>
      <c r="M5" s="5" t="s">
        <v>268</v>
      </c>
      <c r="N5" s="5" t="s">
        <v>269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</row>
    <row r="6" spans="1:52" ht="28.5">
      <c r="A6" s="5" t="s">
        <v>270</v>
      </c>
      <c r="B6" s="5" t="s">
        <v>271</v>
      </c>
      <c r="C6" s="5" t="s">
        <v>261</v>
      </c>
      <c r="D6" s="5" t="s">
        <v>262</v>
      </c>
      <c r="E6" s="5" t="s">
        <v>263</v>
      </c>
      <c r="F6" s="5" t="s">
        <v>81</v>
      </c>
      <c r="G6" s="5" t="s">
        <v>264</v>
      </c>
      <c r="H6" s="5" t="s">
        <v>272</v>
      </c>
      <c r="I6" s="5" t="s">
        <v>81</v>
      </c>
      <c r="J6" s="5" t="s">
        <v>262</v>
      </c>
      <c r="K6" s="5"/>
      <c r="L6" s="5" t="s">
        <v>273</v>
      </c>
      <c r="M6" s="5" t="s">
        <v>274</v>
      </c>
      <c r="N6" s="5" t="s">
        <v>275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</row>
    <row r="7" spans="1:52" ht="28.5">
      <c r="A7" s="5" t="s">
        <v>276</v>
      </c>
      <c r="B7" s="5" t="s">
        <v>277</v>
      </c>
      <c r="C7" s="5" t="s">
        <v>261</v>
      </c>
      <c r="D7" s="5" t="s">
        <v>262</v>
      </c>
      <c r="E7" s="5" t="s">
        <v>263</v>
      </c>
      <c r="F7" s="5" t="s">
        <v>81</v>
      </c>
      <c r="G7" s="5" t="s">
        <v>264</v>
      </c>
      <c r="H7" s="5" t="s">
        <v>272</v>
      </c>
      <c r="I7" s="5" t="s">
        <v>81</v>
      </c>
      <c r="J7" s="5" t="s">
        <v>262</v>
      </c>
      <c r="K7" s="5"/>
      <c r="L7" s="5" t="s">
        <v>278</v>
      </c>
      <c r="M7" s="5" t="s">
        <v>279</v>
      </c>
      <c r="N7" s="5" t="s">
        <v>280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</row>
    <row r="8" spans="1:52">
      <c r="A8" s="5" t="s">
        <v>281</v>
      </c>
      <c r="B8" s="5" t="s">
        <v>282</v>
      </c>
      <c r="C8" s="5" t="s">
        <v>261</v>
      </c>
      <c r="D8" s="5" t="s">
        <v>283</v>
      </c>
      <c r="E8" s="5" t="s">
        <v>284</v>
      </c>
      <c r="F8" s="5" t="s">
        <v>81</v>
      </c>
      <c r="G8" s="5" t="s">
        <v>264</v>
      </c>
      <c r="H8" s="5" t="s">
        <v>285</v>
      </c>
      <c r="I8" s="5" t="s">
        <v>81</v>
      </c>
      <c r="J8" s="5" t="s">
        <v>283</v>
      </c>
      <c r="K8" s="5" t="s">
        <v>286</v>
      </c>
      <c r="L8" s="5" t="s">
        <v>61</v>
      </c>
      <c r="M8" s="5" t="s">
        <v>287</v>
      </c>
      <c r="N8" s="5" t="s">
        <v>288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</row>
    <row r="9" spans="1:52">
      <c r="A9" s="5" t="s">
        <v>289</v>
      </c>
      <c r="B9" s="5" t="s">
        <v>290</v>
      </c>
      <c r="C9" s="5" t="s">
        <v>261</v>
      </c>
      <c r="D9" s="5" t="s">
        <v>283</v>
      </c>
      <c r="E9" s="5" t="s">
        <v>284</v>
      </c>
      <c r="F9" s="5" t="s">
        <v>81</v>
      </c>
      <c r="G9" s="5" t="s">
        <v>264</v>
      </c>
      <c r="H9" s="5" t="s">
        <v>285</v>
      </c>
      <c r="I9" s="5" t="s">
        <v>81</v>
      </c>
      <c r="J9" s="5" t="s">
        <v>283</v>
      </c>
      <c r="K9" s="5"/>
      <c r="L9" s="5" t="s">
        <v>291</v>
      </c>
      <c r="M9" s="5" t="s">
        <v>292</v>
      </c>
      <c r="N9" s="5" t="s">
        <v>293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</row>
    <row r="10" spans="1:52">
      <c r="A10" s="5" t="s">
        <v>294</v>
      </c>
      <c r="B10" s="5" t="s">
        <v>295</v>
      </c>
      <c r="C10" s="5" t="s">
        <v>261</v>
      </c>
      <c r="D10" s="5" t="s">
        <v>283</v>
      </c>
      <c r="E10" s="5" t="s">
        <v>92</v>
      </c>
      <c r="F10" s="5" t="s">
        <v>81</v>
      </c>
      <c r="G10" s="5" t="s">
        <v>264</v>
      </c>
      <c r="H10" s="5" t="s">
        <v>296</v>
      </c>
      <c r="I10" s="5" t="s">
        <v>81</v>
      </c>
      <c r="J10" s="5" t="s">
        <v>283</v>
      </c>
      <c r="K10" s="5" t="s">
        <v>297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</row>
    <row r="11" spans="1:52">
      <c r="A11" s="5" t="s">
        <v>298</v>
      </c>
      <c r="B11" s="5" t="s">
        <v>299</v>
      </c>
      <c r="C11" s="5" t="s">
        <v>261</v>
      </c>
      <c r="D11" s="5" t="s">
        <v>283</v>
      </c>
      <c r="E11" s="5" t="s">
        <v>92</v>
      </c>
      <c r="F11" s="5" t="s">
        <v>81</v>
      </c>
      <c r="G11" s="5" t="s">
        <v>264</v>
      </c>
      <c r="H11" s="5" t="s">
        <v>285</v>
      </c>
      <c r="I11" s="5" t="s">
        <v>81</v>
      </c>
      <c r="J11" s="5" t="s">
        <v>300</v>
      </c>
      <c r="K11" s="5" t="s">
        <v>301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</row>
    <row r="12" spans="1:52">
      <c r="A12" s="5" t="s">
        <v>302</v>
      </c>
      <c r="B12" s="5" t="s">
        <v>303</v>
      </c>
      <c r="C12" s="5" t="s">
        <v>304</v>
      </c>
      <c r="D12" s="5" t="s">
        <v>305</v>
      </c>
      <c r="E12" s="5" t="s">
        <v>263</v>
      </c>
      <c r="F12" s="5" t="s">
        <v>81</v>
      </c>
      <c r="G12" s="5" t="s">
        <v>306</v>
      </c>
      <c r="H12" s="5" t="s">
        <v>307</v>
      </c>
      <c r="I12" s="5" t="s">
        <v>81</v>
      </c>
      <c r="J12" s="5" t="s">
        <v>308</v>
      </c>
      <c r="K12" s="5" t="s">
        <v>309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</row>
    <row r="13" spans="1:52" ht="28.5">
      <c r="A13" s="5" t="s">
        <v>310</v>
      </c>
      <c r="B13" s="5" t="s">
        <v>311</v>
      </c>
      <c r="C13" s="5" t="s">
        <v>304</v>
      </c>
      <c r="D13" s="5" t="s">
        <v>312</v>
      </c>
      <c r="E13" s="5" t="s">
        <v>313</v>
      </c>
      <c r="F13" s="5" t="s">
        <v>81</v>
      </c>
      <c r="G13" s="5" t="s">
        <v>306</v>
      </c>
      <c r="H13" s="5" t="s">
        <v>314</v>
      </c>
      <c r="I13" s="5" t="s">
        <v>81</v>
      </c>
      <c r="J13" s="5" t="s">
        <v>312</v>
      </c>
      <c r="K13" s="5" t="s">
        <v>315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</row>
    <row r="14" spans="1:52" ht="28.5">
      <c r="A14" s="5" t="s">
        <v>316</v>
      </c>
      <c r="B14" s="5" t="s">
        <v>317</v>
      </c>
      <c r="C14" s="5" t="s">
        <v>304</v>
      </c>
      <c r="D14" s="5" t="s">
        <v>283</v>
      </c>
      <c r="E14" s="5" t="s">
        <v>318</v>
      </c>
      <c r="F14" s="5" t="s">
        <v>81</v>
      </c>
      <c r="G14" s="5" t="s">
        <v>306</v>
      </c>
      <c r="H14" s="5" t="s">
        <v>319</v>
      </c>
      <c r="I14" s="5" t="s">
        <v>320</v>
      </c>
      <c r="J14" s="5" t="s">
        <v>321</v>
      </c>
      <c r="K14" s="5" t="s">
        <v>322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</row>
    <row r="15" spans="1:52">
      <c r="A15" s="5" t="s">
        <v>323</v>
      </c>
      <c r="B15" s="5" t="s">
        <v>324</v>
      </c>
      <c r="C15" s="5" t="s">
        <v>304</v>
      </c>
      <c r="D15" s="5" t="s">
        <v>283</v>
      </c>
      <c r="E15" s="5" t="s">
        <v>92</v>
      </c>
      <c r="F15" s="5" t="s">
        <v>81</v>
      </c>
      <c r="G15" s="5" t="s">
        <v>306</v>
      </c>
      <c r="H15" s="5" t="s">
        <v>325</v>
      </c>
      <c r="I15" s="5" t="s">
        <v>81</v>
      </c>
      <c r="J15" s="5" t="s">
        <v>283</v>
      </c>
      <c r="K15" s="5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</row>
    <row r="16" spans="1:52" ht="28.5">
      <c r="A16" s="5" t="s">
        <v>326</v>
      </c>
      <c r="B16" s="5" t="s">
        <v>327</v>
      </c>
      <c r="C16" s="5" t="s">
        <v>304</v>
      </c>
      <c r="D16" s="5" t="s">
        <v>328</v>
      </c>
      <c r="E16" s="5" t="s">
        <v>318</v>
      </c>
      <c r="F16" s="5" t="s">
        <v>81</v>
      </c>
      <c r="G16" s="5" t="s">
        <v>306</v>
      </c>
      <c r="H16" s="5" t="s">
        <v>329</v>
      </c>
      <c r="I16" s="5" t="s">
        <v>81</v>
      </c>
      <c r="J16" s="5" t="s">
        <v>330</v>
      </c>
      <c r="K16" s="5" t="s">
        <v>331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</row>
    <row r="17" spans="1:52">
      <c r="A17" s="5" t="s">
        <v>332</v>
      </c>
      <c r="B17" s="5" t="s">
        <v>333</v>
      </c>
      <c r="C17" s="5" t="s">
        <v>304</v>
      </c>
      <c r="D17" s="5" t="s">
        <v>283</v>
      </c>
      <c r="E17" s="5" t="s">
        <v>92</v>
      </c>
      <c r="F17" s="5" t="s">
        <v>81</v>
      </c>
      <c r="G17" s="5" t="s">
        <v>306</v>
      </c>
      <c r="H17" s="5" t="s">
        <v>325</v>
      </c>
      <c r="I17" s="5" t="s">
        <v>81</v>
      </c>
      <c r="J17" s="5" t="s">
        <v>300</v>
      </c>
      <c r="K17" s="5" t="s">
        <v>334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</row>
    <row r="18" spans="1:52" ht="28.5">
      <c r="A18" s="5" t="s">
        <v>335</v>
      </c>
      <c r="B18" s="5" t="s">
        <v>336</v>
      </c>
      <c r="C18" s="5" t="s">
        <v>337</v>
      </c>
      <c r="D18" s="5" t="s">
        <v>338</v>
      </c>
      <c r="E18" s="5" t="s">
        <v>339</v>
      </c>
      <c r="F18" s="5" t="s">
        <v>340</v>
      </c>
      <c r="G18" s="5" t="s">
        <v>341</v>
      </c>
      <c r="H18" s="5" t="s">
        <v>342</v>
      </c>
      <c r="I18" s="5" t="s">
        <v>81</v>
      </c>
      <c r="J18" s="5" t="s">
        <v>343</v>
      </c>
      <c r="K18" s="5" t="s">
        <v>344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</row>
    <row r="19" spans="1:52">
      <c r="A19" s="5" t="s">
        <v>345</v>
      </c>
      <c r="B19" s="5" t="s">
        <v>346</v>
      </c>
      <c r="C19" s="5" t="s">
        <v>347</v>
      </c>
      <c r="D19" s="5" t="s">
        <v>338</v>
      </c>
      <c r="E19" s="5" t="s">
        <v>92</v>
      </c>
      <c r="F19" s="5" t="s">
        <v>81</v>
      </c>
      <c r="G19" s="5" t="s">
        <v>341</v>
      </c>
      <c r="H19" s="5" t="s">
        <v>348</v>
      </c>
      <c r="I19" s="5" t="s">
        <v>81</v>
      </c>
      <c r="J19" s="5" t="s">
        <v>349</v>
      </c>
      <c r="K19" s="5" t="s">
        <v>350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</row>
    <row r="20" spans="1:52">
      <c r="A20" s="5" t="s">
        <v>351</v>
      </c>
      <c r="B20" s="5" t="s">
        <v>352</v>
      </c>
      <c r="C20" s="5" t="s">
        <v>353</v>
      </c>
      <c r="D20" s="5" t="s">
        <v>113</v>
      </c>
      <c r="E20" s="5" t="s">
        <v>119</v>
      </c>
      <c r="F20" s="5" t="s">
        <v>81</v>
      </c>
      <c r="G20" s="5" t="s">
        <v>354</v>
      </c>
      <c r="H20" s="5" t="s">
        <v>355</v>
      </c>
      <c r="I20" s="5" t="s">
        <v>83</v>
      </c>
      <c r="J20" s="5" t="s">
        <v>133</v>
      </c>
      <c r="K20" s="5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</row>
    <row r="21" spans="1:52" ht="28.5">
      <c r="A21" s="5" t="s">
        <v>356</v>
      </c>
      <c r="B21" s="5" t="s">
        <v>357</v>
      </c>
      <c r="C21" s="5" t="s">
        <v>353</v>
      </c>
      <c r="D21" s="5" t="s">
        <v>113</v>
      </c>
      <c r="E21" s="5" t="s">
        <v>119</v>
      </c>
      <c r="F21" s="5" t="s">
        <v>81</v>
      </c>
      <c r="G21" s="5" t="s">
        <v>354</v>
      </c>
      <c r="H21" s="5" t="s">
        <v>358</v>
      </c>
      <c r="I21" s="5" t="s">
        <v>81</v>
      </c>
      <c r="J21" s="5" t="s">
        <v>359</v>
      </c>
      <c r="K21" s="5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</row>
    <row r="22" spans="1:5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</row>
    <row r="23" spans="1:5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</row>
    <row r="24" spans="1:5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</row>
    <row r="25" spans="1:5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</row>
    <row r="26" spans="1:5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</row>
    <row r="27" spans="1:5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</row>
    <row r="28" spans="1:5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</row>
    <row r="29" spans="1:5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</row>
    <row r="30" spans="1:5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</row>
    <row r="31" spans="1:5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</row>
    <row r="32" spans="1:5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</row>
    <row r="33" spans="1:5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</row>
    <row r="34" spans="1:5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</row>
    <row r="35" spans="1:5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</row>
    <row r="36" spans="1:5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</row>
    <row r="37" spans="1:5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</row>
    <row r="38" spans="1:5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</row>
    <row r="39" spans="1:5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</row>
    <row r="40" spans="1:5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</row>
    <row r="41" spans="1:5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</row>
    <row r="42" spans="1:5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</row>
    <row r="43" spans="1:5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</row>
    <row r="44" spans="1:5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</row>
    <row r="45" spans="1:5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</row>
    <row r="46" spans="1:5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</row>
    <row r="47" spans="1:5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</row>
    <row r="48" spans="1:5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</row>
    <row r="49" spans="1:5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</row>
    <row r="50" spans="1:5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</row>
    <row r="51" spans="1:5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</row>
    <row r="52" spans="1: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</row>
    <row r="53" spans="1:5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</row>
    <row r="54" spans="1:5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</row>
    <row r="55" spans="1:5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</row>
    <row r="56" spans="1:5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</row>
    <row r="57" spans="1:5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</row>
    <row r="58" spans="1:5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</row>
    <row r="59" spans="1:5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</row>
    <row r="60" spans="1:5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</row>
    <row r="61" spans="1:5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</row>
    <row r="62" spans="1:5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</row>
    <row r="63" spans="1:5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</row>
    <row r="64" spans="1:5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</row>
    <row r="65" spans="1:5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</row>
    <row r="66" spans="1:5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</row>
    <row r="67" spans="1:5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</row>
    <row r="68" spans="1:5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</row>
    <row r="69" spans="1:5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</row>
    <row r="70" spans="1:5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</row>
    <row r="71" spans="1:5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</row>
    <row r="72" spans="1:5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</row>
    <row r="73" spans="1:5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</row>
    <row r="74" spans="1:5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</row>
    <row r="75" spans="1:5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</row>
    <row r="76" spans="1:5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</row>
    <row r="77" spans="1:5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</row>
    <row r="78" spans="1:5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</row>
    <row r="79" spans="1:5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</row>
    <row r="80" spans="1:5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</row>
    <row r="81" spans="1:5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</row>
    <row r="82" spans="1:5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</row>
    <row r="83" spans="1:5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</row>
    <row r="84" spans="1:5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</row>
    <row r="85" spans="1:5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</row>
    <row r="86" spans="1:5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</row>
    <row r="87" spans="1:5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</row>
    <row r="88" spans="1:5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</row>
    <row r="89" spans="1:5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</row>
    <row r="90" spans="1:5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</row>
    <row r="91" spans="1:5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</row>
    <row r="92" spans="1:5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</row>
    <row r="93" spans="1:5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</row>
    <row r="94" spans="1:5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</row>
    <row r="95" spans="1:5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</row>
    <row r="96" spans="1:5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</row>
    <row r="97" spans="1:5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</row>
    <row r="98" spans="1:5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</row>
    <row r="99" spans="1:5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</row>
    <row r="100" spans="1:5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</row>
    <row r="101" spans="1:5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</row>
    <row r="102" spans="1:5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</row>
    <row r="103" spans="1:5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</row>
    <row r="104" spans="1:5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</row>
    <row r="105" spans="1:5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</row>
    <row r="106" spans="1:5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</row>
    <row r="107" spans="1:5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</row>
    <row r="108" spans="1:5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</row>
    <row r="109" spans="1:5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</row>
    <row r="110" spans="1:5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</row>
    <row r="111" spans="1:5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</row>
    <row r="112" spans="1:5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</row>
    <row r="113" spans="1:5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</row>
    <row r="114" spans="1:5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</row>
    <row r="115" spans="1:5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</row>
    <row r="116" spans="1:5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</row>
    <row r="117" spans="1:5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</row>
    <row r="118" spans="1:5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</row>
    <row r="119" spans="1:5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</row>
    <row r="120" spans="1:5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</row>
    <row r="121" spans="1:5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</row>
    <row r="122" spans="1:5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</row>
    <row r="123" spans="1:5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</row>
    <row r="124" spans="1:5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</row>
    <row r="125" spans="1:5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</row>
    <row r="126" spans="1:5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</row>
    <row r="127" spans="1:5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</row>
    <row r="128" spans="1:5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</row>
    <row r="129" spans="1:5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</row>
    <row r="130" spans="1:5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</row>
    <row r="131" spans="1:5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</row>
    <row r="132" spans="1:5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</row>
    <row r="133" spans="1:5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</row>
    <row r="134" spans="1:5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</row>
    <row r="135" spans="1:5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</row>
    <row r="136" spans="1:5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</row>
    <row r="137" spans="1:5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</row>
    <row r="138" spans="1:5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</row>
    <row r="139" spans="1:5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</row>
    <row r="140" spans="1:5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</row>
    <row r="141" spans="1:5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</row>
    <row r="142" spans="1:5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</row>
    <row r="143" spans="1:5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</row>
    <row r="144" spans="1:5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</row>
    <row r="145" spans="1:5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</row>
    <row r="146" spans="1:5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</row>
    <row r="147" spans="1:5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</row>
    <row r="148" spans="1:5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</row>
    <row r="149" spans="1:5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</row>
    <row r="150" spans="1:5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</row>
    <row r="151" spans="1:5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</row>
    <row r="152" spans="1: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</row>
    <row r="153" spans="1:5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</row>
    <row r="154" spans="1:5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</row>
    <row r="155" spans="1:5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</row>
    <row r="156" spans="1:5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</row>
    <row r="157" spans="1:5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</row>
    <row r="158" spans="1:5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</row>
    <row r="159" spans="1:5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</row>
    <row r="160" spans="1:5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</row>
    <row r="161" spans="1:5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</row>
    <row r="162" spans="1:5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</row>
    <row r="163" spans="1:5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</row>
    <row r="164" spans="1:5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</row>
    <row r="165" spans="1:5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</row>
    <row r="166" spans="1:5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</row>
    <row r="167" spans="1:5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</row>
    <row r="168" spans="1:5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</row>
    <row r="169" spans="1:5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</row>
    <row r="170" spans="1:5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</row>
    <row r="171" spans="1:5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</row>
    <row r="172" spans="1:5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</row>
    <row r="173" spans="1:5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</row>
    <row r="174" spans="1:5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</row>
    <row r="175" spans="1:5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</row>
    <row r="176" spans="1:5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</row>
    <row r="177" spans="1:5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</row>
    <row r="178" spans="1:5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</row>
    <row r="179" spans="1:5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</row>
    <row r="180" spans="1:5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</row>
    <row r="181" spans="1:5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</row>
    <row r="182" spans="1:5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</row>
    <row r="183" spans="1:5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</row>
    <row r="184" spans="1:5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</row>
    <row r="185" spans="1:5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</row>
    <row r="186" spans="1:5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</row>
    <row r="187" spans="1:5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</row>
    <row r="188" spans="1:5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</row>
    <row r="189" spans="1:5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</row>
    <row r="190" spans="1:5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</row>
    <row r="191" spans="1:5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</row>
    <row r="192" spans="1:5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</row>
    <row r="193" spans="1:5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</row>
    <row r="194" spans="1:5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</row>
    <row r="195" spans="1:5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</row>
    <row r="196" spans="1:5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</row>
    <row r="197" spans="1:5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</row>
    <row r="198" spans="1:5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</row>
    <row r="199" spans="1:5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</row>
    <row r="200" spans="1:5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</row>
  </sheetData>
  <mergeCells count="4">
    <mergeCell ref="A1:K1"/>
    <mergeCell ref="A2:K2"/>
    <mergeCell ref="L1:N1"/>
    <mergeCell ref="L2:N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B4B9C-EEE6-4947-9E1C-4BD3B353770D}">
  <dimension ref="A1:AL202"/>
  <sheetViews>
    <sheetView showGridLines="0" tabSelected="1" workbookViewId="0">
      <selection activeCell="K22" sqref="K22"/>
    </sheetView>
  </sheetViews>
  <sheetFormatPr baseColWidth="10" defaultColWidth="8.75" defaultRowHeight="12.75"/>
  <cols>
    <col min="1" max="1" width="13.75" style="25" customWidth="1"/>
    <col min="2" max="3" width="26" style="22" customWidth="1"/>
    <col min="4" max="4" width="20.625" style="22" customWidth="1"/>
    <col min="5" max="5" width="12.25" style="22" customWidth="1"/>
    <col min="6" max="8" width="18.5" style="22" customWidth="1"/>
    <col min="9" max="11" width="9.25" style="22" customWidth="1"/>
    <col min="12" max="12" width="9.625" style="22" customWidth="1"/>
    <col min="13" max="14" width="9.25" style="22" customWidth="1"/>
    <col min="15" max="15" width="14" style="22" customWidth="1"/>
    <col min="16" max="16" width="15.375" style="22" customWidth="1"/>
    <col min="17" max="30" width="14" style="22" customWidth="1"/>
    <col min="31" max="31" width="4" style="22" customWidth="1"/>
    <col min="32" max="32" width="16.625" style="22" customWidth="1"/>
    <col min="33" max="33" width="18.375" style="22" customWidth="1"/>
    <col min="34" max="34" width="18.625" style="22" customWidth="1"/>
    <col min="35" max="35" width="29.375" style="22" customWidth="1"/>
    <col min="36" max="36" width="28.5" style="22" customWidth="1"/>
    <col min="37" max="37" width="23.875" style="22" customWidth="1"/>
    <col min="38" max="38" width="26.25" style="22" customWidth="1"/>
    <col min="39" max="16384" width="8.75" style="22"/>
  </cols>
  <sheetData>
    <row r="1" spans="1:38">
      <c r="A1" s="43" t="s">
        <v>964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</row>
    <row r="2" spans="1:38">
      <c r="A2" s="43" t="s">
        <v>963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</row>
    <row r="3" spans="1:38">
      <c r="A3" s="43" t="s">
        <v>965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</row>
    <row r="4" spans="1:38">
      <c r="A4" s="43" t="s">
        <v>966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</row>
    <row r="6" spans="1:38">
      <c r="A6" s="44" t="s">
        <v>1001</v>
      </c>
      <c r="B6" s="44"/>
    </row>
    <row r="7" spans="1:38">
      <c r="A7" s="39" t="s">
        <v>1013</v>
      </c>
      <c r="AF7" s="22" t="s">
        <v>995</v>
      </c>
    </row>
    <row r="8" spans="1:38" ht="15">
      <c r="A8" s="48" t="s">
        <v>948</v>
      </c>
      <c r="B8" s="48" t="s">
        <v>430</v>
      </c>
      <c r="C8" s="48" t="s">
        <v>152</v>
      </c>
      <c r="D8" s="48" t="s">
        <v>949</v>
      </c>
      <c r="E8" s="48" t="s">
        <v>539</v>
      </c>
      <c r="F8" s="51" t="s">
        <v>957</v>
      </c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2" t="s">
        <v>958</v>
      </c>
      <c r="X8" s="52"/>
      <c r="Y8" s="52"/>
      <c r="Z8" s="52"/>
      <c r="AA8" s="52"/>
      <c r="AB8" s="52"/>
      <c r="AC8" s="52"/>
      <c r="AD8" s="53" t="s">
        <v>444</v>
      </c>
      <c r="AE8" s="20"/>
      <c r="AF8" s="55" t="s">
        <v>988</v>
      </c>
      <c r="AG8" s="55" t="s">
        <v>989</v>
      </c>
      <c r="AH8" s="55" t="s">
        <v>990</v>
      </c>
      <c r="AI8" s="55" t="s">
        <v>991</v>
      </c>
      <c r="AJ8" s="54" t="s">
        <v>992</v>
      </c>
      <c r="AK8" s="54" t="s">
        <v>993</v>
      </c>
      <c r="AL8" s="54" t="s">
        <v>994</v>
      </c>
    </row>
    <row r="9" spans="1:38" s="21" customFormat="1" ht="38.25">
      <c r="A9" s="49"/>
      <c r="B9" s="49"/>
      <c r="C9" s="49"/>
      <c r="D9" s="49"/>
      <c r="E9" s="49"/>
      <c r="F9" s="26" t="s">
        <v>950</v>
      </c>
      <c r="G9" s="26" t="s">
        <v>1018</v>
      </c>
      <c r="H9" s="26" t="s">
        <v>976</v>
      </c>
      <c r="I9" s="26" t="s">
        <v>1006</v>
      </c>
      <c r="J9" s="26" t="s">
        <v>1007</v>
      </c>
      <c r="K9" s="26" t="s">
        <v>1008</v>
      </c>
      <c r="L9" s="26" t="s">
        <v>1009</v>
      </c>
      <c r="M9" s="26" t="s">
        <v>1010</v>
      </c>
      <c r="N9" s="26" t="s">
        <v>1011</v>
      </c>
      <c r="O9" s="26" t="s">
        <v>1012</v>
      </c>
      <c r="P9" s="26" t="s">
        <v>1014</v>
      </c>
      <c r="Q9" s="26" t="s">
        <v>1015</v>
      </c>
      <c r="R9" s="26" t="s">
        <v>1016</v>
      </c>
      <c r="S9" s="26" t="s">
        <v>1017</v>
      </c>
      <c r="T9" s="26" t="s">
        <v>433</v>
      </c>
      <c r="U9" s="26" t="s">
        <v>434</v>
      </c>
      <c r="V9" s="26" t="s">
        <v>974</v>
      </c>
      <c r="W9" s="27" t="s">
        <v>435</v>
      </c>
      <c r="X9" s="27" t="s">
        <v>436</v>
      </c>
      <c r="Y9" s="27" t="s">
        <v>437</v>
      </c>
      <c r="Z9" s="27" t="s">
        <v>438</v>
      </c>
      <c r="AA9" s="27" t="s">
        <v>955</v>
      </c>
      <c r="AB9" s="27" t="s">
        <v>387</v>
      </c>
      <c r="AC9" s="27" t="s">
        <v>975</v>
      </c>
      <c r="AD9" s="53"/>
      <c r="AF9" s="55"/>
      <c r="AG9" s="55"/>
      <c r="AH9" s="55"/>
      <c r="AI9" s="55"/>
      <c r="AJ9" s="54"/>
      <c r="AK9" s="54"/>
      <c r="AL9" s="54"/>
    </row>
    <row r="10" spans="1:38" s="21" customFormat="1" ht="22.9" customHeight="1">
      <c r="A10" s="29">
        <v>100001</v>
      </c>
      <c r="B10" s="30" t="s">
        <v>953</v>
      </c>
      <c r="C10" s="30" t="s">
        <v>951</v>
      </c>
      <c r="D10" s="32">
        <v>29</v>
      </c>
      <c r="E10" s="32">
        <v>1</v>
      </c>
      <c r="F10" s="32"/>
      <c r="G10" s="32"/>
      <c r="H10" s="32"/>
      <c r="I10" s="32"/>
      <c r="J10" s="32"/>
      <c r="K10" s="32"/>
      <c r="L10" s="32"/>
      <c r="M10" s="32"/>
      <c r="N10" s="32"/>
      <c r="O10" s="32">
        <f>+J10+L10+N10</f>
        <v>0</v>
      </c>
      <c r="P10" s="32"/>
      <c r="Q10" s="32"/>
      <c r="R10" s="32"/>
      <c r="S10" s="32"/>
      <c r="T10" s="32"/>
      <c r="U10" s="31">
        <v>0</v>
      </c>
      <c r="V10" s="31">
        <f>ROUND(F10+H10+O10+P10+Q10+R10+S10+U10+T10,2)</f>
        <v>0</v>
      </c>
      <c r="W10" s="31">
        <v>200</v>
      </c>
      <c r="X10" s="31">
        <v>0</v>
      </c>
      <c r="Y10" s="31">
        <v>0</v>
      </c>
      <c r="Z10" s="31">
        <v>0</v>
      </c>
      <c r="AA10" s="31"/>
      <c r="AB10" s="31"/>
      <c r="AC10" s="31">
        <f>ROUND(Y10+Z10+W10+X10+AA10+AB10,2)</f>
        <v>200</v>
      </c>
      <c r="AD10" s="31">
        <f>ROUND(V10-AC10,2)</f>
        <v>-200</v>
      </c>
      <c r="AF10" s="38" t="s">
        <v>996</v>
      </c>
      <c r="AG10" s="38" t="s">
        <v>997</v>
      </c>
      <c r="AH10" s="38" t="s">
        <v>997</v>
      </c>
      <c r="AI10" s="38" t="s">
        <v>1000</v>
      </c>
      <c r="AJ10" s="38" t="s">
        <v>998</v>
      </c>
      <c r="AK10" s="38" t="s">
        <v>999</v>
      </c>
      <c r="AL10" s="38" t="s">
        <v>999</v>
      </c>
    </row>
    <row r="11" spans="1:38" s="21" customFormat="1" ht="22.9" customHeight="1">
      <c r="A11" s="29">
        <v>100002</v>
      </c>
      <c r="B11" s="30" t="s">
        <v>952</v>
      </c>
      <c r="C11" s="30" t="s">
        <v>954</v>
      </c>
      <c r="D11" s="32">
        <v>30</v>
      </c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>
        <f t="shared" ref="O11:O13" si="0">+J11+L11+N11</f>
        <v>0</v>
      </c>
      <c r="P11" s="32"/>
      <c r="Q11" s="32"/>
      <c r="R11" s="32"/>
      <c r="S11" s="32"/>
      <c r="T11" s="32"/>
      <c r="U11" s="31"/>
      <c r="V11" s="31"/>
      <c r="W11" s="31"/>
      <c r="X11" s="31"/>
      <c r="Y11" s="31"/>
      <c r="Z11" s="31"/>
      <c r="AA11" s="31"/>
      <c r="AB11" s="31"/>
      <c r="AC11" s="31">
        <f t="shared" ref="AC11:AC13" si="1">ROUND(Y11+Z11+W11+X11,2)</f>
        <v>0</v>
      </c>
      <c r="AD11" s="31">
        <f t="shared" ref="AD11:AD13" si="2">ROUND(V11-AC11,2)</f>
        <v>0</v>
      </c>
    </row>
    <row r="12" spans="1:38" s="21" customFormat="1" ht="22.9" customHeight="1">
      <c r="A12" s="29">
        <v>100003</v>
      </c>
      <c r="B12" s="30" t="s">
        <v>956</v>
      </c>
      <c r="C12" s="30" t="s">
        <v>1003</v>
      </c>
      <c r="D12" s="32">
        <v>30</v>
      </c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>
        <f t="shared" si="0"/>
        <v>0</v>
      </c>
      <c r="P12" s="32"/>
      <c r="Q12" s="32"/>
      <c r="R12" s="32"/>
      <c r="S12" s="32"/>
      <c r="T12" s="32"/>
      <c r="U12" s="31"/>
      <c r="V12" s="31"/>
      <c r="W12" s="31"/>
      <c r="X12" s="31"/>
      <c r="Y12" s="31"/>
      <c r="Z12" s="31"/>
      <c r="AA12" s="31"/>
      <c r="AB12" s="31"/>
      <c r="AC12" s="31">
        <f t="shared" si="1"/>
        <v>0</v>
      </c>
      <c r="AD12" s="31">
        <f t="shared" si="2"/>
        <v>0</v>
      </c>
    </row>
    <row r="13" spans="1:38" s="21" customFormat="1" ht="22.9" customHeight="1">
      <c r="A13" s="29">
        <v>100004</v>
      </c>
      <c r="B13" s="30" t="s">
        <v>1005</v>
      </c>
      <c r="C13" s="30" t="s">
        <v>1004</v>
      </c>
      <c r="D13" s="32">
        <v>30</v>
      </c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>
        <f t="shared" si="0"/>
        <v>0</v>
      </c>
      <c r="P13" s="32"/>
      <c r="Q13" s="32"/>
      <c r="R13" s="32"/>
      <c r="S13" s="32"/>
      <c r="T13" s="32"/>
      <c r="U13" s="31"/>
      <c r="V13" s="31"/>
      <c r="W13" s="31"/>
      <c r="X13" s="31"/>
      <c r="Y13" s="31"/>
      <c r="Z13" s="31"/>
      <c r="AA13" s="31"/>
      <c r="AB13" s="31"/>
      <c r="AC13" s="31">
        <f t="shared" si="1"/>
        <v>0</v>
      </c>
      <c r="AD13" s="31">
        <f t="shared" si="2"/>
        <v>0</v>
      </c>
    </row>
    <row r="14" spans="1:38" s="21" customFormat="1">
      <c r="A14" s="24" t="s">
        <v>1002</v>
      </c>
      <c r="F14" s="42">
        <f t="shared" ref="F14:N14" si="3">SUM(F10:F13)</f>
        <v>0</v>
      </c>
      <c r="G14" s="42">
        <f t="shared" si="3"/>
        <v>0</v>
      </c>
      <c r="H14" s="42">
        <f t="shared" si="3"/>
        <v>0</v>
      </c>
      <c r="I14" s="33">
        <f t="shared" si="3"/>
        <v>0</v>
      </c>
      <c r="J14" s="42">
        <f t="shared" si="3"/>
        <v>0</v>
      </c>
      <c r="K14" s="33">
        <f t="shared" si="3"/>
        <v>0</v>
      </c>
      <c r="L14" s="42">
        <f t="shared" si="3"/>
        <v>0</v>
      </c>
      <c r="M14" s="33">
        <f t="shared" si="3"/>
        <v>0</v>
      </c>
      <c r="N14" s="42">
        <f t="shared" si="3"/>
        <v>0</v>
      </c>
      <c r="O14" s="33">
        <f t="shared" ref="O14" si="4">SUM(O10:O13)</f>
        <v>0</v>
      </c>
      <c r="P14" s="42">
        <f t="shared" ref="P14:V14" si="5">SUM(P10:P13)</f>
        <v>0</v>
      </c>
      <c r="Q14" s="42">
        <f t="shared" si="5"/>
        <v>0</v>
      </c>
      <c r="R14" s="42">
        <f t="shared" si="5"/>
        <v>0</v>
      </c>
      <c r="S14" s="42">
        <f t="shared" si="5"/>
        <v>0</v>
      </c>
      <c r="T14" s="42">
        <f t="shared" si="5"/>
        <v>0</v>
      </c>
      <c r="U14" s="42">
        <f t="shared" si="5"/>
        <v>0</v>
      </c>
      <c r="V14" s="42">
        <f t="shared" si="5"/>
        <v>0</v>
      </c>
      <c r="W14" s="42">
        <f t="shared" ref="W14:AD14" si="6">SUM(W10:W13)</f>
        <v>200</v>
      </c>
      <c r="X14" s="42">
        <f t="shared" si="6"/>
        <v>0</v>
      </c>
      <c r="Y14" s="42">
        <f t="shared" si="6"/>
        <v>0</v>
      </c>
      <c r="Z14" s="42">
        <f t="shared" si="6"/>
        <v>0</v>
      </c>
      <c r="AA14" s="42">
        <f t="shared" si="6"/>
        <v>0</v>
      </c>
      <c r="AB14" s="42">
        <f t="shared" si="6"/>
        <v>0</v>
      </c>
      <c r="AC14" s="42">
        <f t="shared" si="6"/>
        <v>200</v>
      </c>
      <c r="AD14" s="42">
        <f t="shared" si="6"/>
        <v>-200</v>
      </c>
    </row>
    <row r="15" spans="1:38" s="21" customFormat="1">
      <c r="A15" s="24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</row>
    <row r="16" spans="1:38" s="21" customFormat="1">
      <c r="A16" s="24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</row>
    <row r="17" spans="1:30" s="21" customFormat="1" ht="23.25" customHeight="1">
      <c r="A17" s="50" t="s">
        <v>959</v>
      </c>
      <c r="B17" s="50"/>
      <c r="C17" s="50"/>
      <c r="D17" s="50"/>
      <c r="E17" s="50"/>
      <c r="F17" s="50"/>
      <c r="G17" s="50"/>
      <c r="H17" s="50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</row>
    <row r="18" spans="1:30" s="21" customFormat="1" ht="24.75" customHeight="1">
      <c r="A18" s="26" t="s">
        <v>446</v>
      </c>
      <c r="B18" s="26" t="s">
        <v>447</v>
      </c>
      <c r="C18" s="26" t="s">
        <v>73</v>
      </c>
      <c r="D18" s="26" t="s">
        <v>92</v>
      </c>
      <c r="E18" s="28" t="s">
        <v>8</v>
      </c>
      <c r="F18" s="36"/>
      <c r="G18" s="36"/>
      <c r="H18" s="36"/>
      <c r="J18" s="33"/>
      <c r="K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</row>
    <row r="19" spans="1:30" s="21" customFormat="1" ht="47.25" customHeight="1">
      <c r="A19" s="29" t="s">
        <v>439</v>
      </c>
      <c r="B19" s="30" t="s">
        <v>960</v>
      </c>
      <c r="C19" s="30" t="s">
        <v>448</v>
      </c>
      <c r="D19" s="30" t="s">
        <v>961</v>
      </c>
      <c r="E19" s="45"/>
      <c r="F19" s="46"/>
      <c r="G19" s="46"/>
      <c r="H19" s="47"/>
      <c r="J19" s="33"/>
      <c r="K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</row>
    <row r="20" spans="1:30" s="21" customFormat="1" ht="47.25" customHeight="1">
      <c r="A20" s="29" t="s">
        <v>440</v>
      </c>
      <c r="B20" s="30" t="s">
        <v>962</v>
      </c>
      <c r="C20" s="30" t="s">
        <v>449</v>
      </c>
      <c r="D20" s="30" t="s">
        <v>961</v>
      </c>
      <c r="E20" s="45" t="s">
        <v>967</v>
      </c>
      <c r="F20" s="46"/>
      <c r="G20" s="46"/>
      <c r="H20" s="47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</row>
    <row r="21" spans="1:30" s="21" customFormat="1" ht="47.25" customHeight="1">
      <c r="A21" s="29" t="s">
        <v>539</v>
      </c>
      <c r="B21" s="30" t="s">
        <v>1019</v>
      </c>
      <c r="C21" s="30" t="s">
        <v>449</v>
      </c>
      <c r="D21" s="30" t="s">
        <v>961</v>
      </c>
      <c r="E21" s="37" t="s">
        <v>1020</v>
      </c>
      <c r="F21" s="40"/>
      <c r="G21" s="40"/>
      <c r="H21" s="41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</row>
    <row r="22" spans="1:30" s="21" customFormat="1" ht="47.25" customHeight="1">
      <c r="A22" s="29" t="s">
        <v>441</v>
      </c>
      <c r="B22" s="30" t="s">
        <v>450</v>
      </c>
      <c r="C22" s="30" t="s">
        <v>448</v>
      </c>
      <c r="D22" s="30" t="s">
        <v>83</v>
      </c>
      <c r="E22" s="45" t="s">
        <v>451</v>
      </c>
      <c r="F22" s="46"/>
      <c r="G22" s="46"/>
      <c r="H22" s="47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</row>
    <row r="23" spans="1:30" s="21" customFormat="1" ht="47.25" customHeight="1">
      <c r="A23" s="29" t="s">
        <v>969</v>
      </c>
      <c r="B23" s="30" t="s">
        <v>968</v>
      </c>
      <c r="C23" s="30" t="s">
        <v>452</v>
      </c>
      <c r="D23" s="30" t="s">
        <v>971</v>
      </c>
      <c r="E23" s="45" t="s">
        <v>970</v>
      </c>
      <c r="F23" s="46"/>
      <c r="G23" s="46"/>
      <c r="H23" s="47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</row>
    <row r="24" spans="1:30" s="21" customFormat="1" ht="47.25" customHeight="1">
      <c r="A24" s="29" t="s">
        <v>977</v>
      </c>
      <c r="B24" s="30" t="s">
        <v>978</v>
      </c>
      <c r="C24" s="30" t="s">
        <v>979</v>
      </c>
      <c r="D24" s="30" t="s">
        <v>980</v>
      </c>
      <c r="E24" s="45"/>
      <c r="F24" s="46"/>
      <c r="G24" s="46"/>
      <c r="H24" s="47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</row>
    <row r="25" spans="1:30" s="21" customFormat="1" ht="47.25" customHeight="1">
      <c r="A25" s="29" t="s">
        <v>981</v>
      </c>
      <c r="B25" s="30" t="s">
        <v>982</v>
      </c>
      <c r="C25" s="30" t="s">
        <v>984</v>
      </c>
      <c r="D25" s="30" t="s">
        <v>980</v>
      </c>
      <c r="E25" s="45"/>
      <c r="F25" s="46"/>
      <c r="G25" s="46"/>
      <c r="H25" s="47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</row>
    <row r="26" spans="1:30" s="21" customFormat="1" ht="47.25" customHeight="1">
      <c r="A26" s="29" t="s">
        <v>981</v>
      </c>
      <c r="B26" s="30" t="s">
        <v>985</v>
      </c>
      <c r="C26" s="30" t="s">
        <v>249</v>
      </c>
      <c r="D26" s="30" t="s">
        <v>980</v>
      </c>
      <c r="E26" s="45"/>
      <c r="F26" s="46"/>
      <c r="G26" s="46"/>
      <c r="H26" s="47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</row>
    <row r="27" spans="1:30" s="21" customFormat="1" ht="47.25" customHeight="1">
      <c r="A27" s="34" t="s">
        <v>442</v>
      </c>
      <c r="B27" s="30" t="s">
        <v>972</v>
      </c>
      <c r="C27" s="35" t="s">
        <v>986</v>
      </c>
      <c r="D27" s="35" t="s">
        <v>83</v>
      </c>
      <c r="E27" s="45"/>
      <c r="F27" s="46"/>
      <c r="G27" s="46"/>
      <c r="H27" s="47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</row>
    <row r="28" spans="1:30" s="21" customFormat="1" ht="47.25" customHeight="1">
      <c r="A28" s="34" t="s">
        <v>453</v>
      </c>
      <c r="B28" s="30" t="s">
        <v>973</v>
      </c>
      <c r="C28" s="35" t="s">
        <v>987</v>
      </c>
      <c r="D28" s="35" t="s">
        <v>83</v>
      </c>
      <c r="E28" s="45" t="s">
        <v>454</v>
      </c>
      <c r="F28" s="46"/>
      <c r="G28" s="46"/>
      <c r="H28" s="47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</row>
    <row r="29" spans="1:30" s="21" customFormat="1" ht="47.25" customHeight="1">
      <c r="A29" s="34" t="s">
        <v>387</v>
      </c>
      <c r="B29" s="30" t="s">
        <v>455</v>
      </c>
      <c r="C29" s="35" t="s">
        <v>456</v>
      </c>
      <c r="D29" s="35" t="s">
        <v>457</v>
      </c>
      <c r="E29" s="45" t="s">
        <v>983</v>
      </c>
      <c r="F29" s="46"/>
      <c r="G29" s="46"/>
      <c r="H29" s="47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</row>
    <row r="30" spans="1:30" s="21" customFormat="1" ht="47.25" customHeight="1">
      <c r="A30" s="34" t="s">
        <v>443</v>
      </c>
      <c r="B30" s="30" t="s">
        <v>458</v>
      </c>
      <c r="C30" s="35" t="s">
        <v>986</v>
      </c>
      <c r="D30" s="35" t="s">
        <v>83</v>
      </c>
      <c r="E30" s="45" t="s">
        <v>459</v>
      </c>
      <c r="F30" s="46"/>
      <c r="G30" s="46"/>
      <c r="H30" s="47"/>
    </row>
    <row r="31" spans="1:30" s="21" customFormat="1" ht="47.25" customHeight="1">
      <c r="A31" s="34" t="s">
        <v>460</v>
      </c>
      <c r="B31" s="30" t="s">
        <v>461</v>
      </c>
      <c r="C31" s="35" t="s">
        <v>986</v>
      </c>
      <c r="D31" s="35" t="s">
        <v>83</v>
      </c>
      <c r="E31" s="45" t="s">
        <v>462</v>
      </c>
      <c r="F31" s="46"/>
      <c r="G31" s="46"/>
      <c r="H31" s="47"/>
    </row>
    <row r="32" spans="1:30" s="21" customFormat="1" ht="28.5" customHeight="1"/>
    <row r="33" spans="1:1" s="21" customFormat="1" ht="47.45" customHeight="1"/>
    <row r="34" spans="1:1" s="21" customFormat="1" ht="47.45" customHeight="1"/>
    <row r="35" spans="1:1" s="21" customFormat="1" ht="56.45" customHeight="1"/>
    <row r="36" spans="1:1" s="21" customFormat="1" ht="56.45" customHeight="1"/>
    <row r="37" spans="1:1" s="21" customFormat="1" ht="56.45" customHeight="1"/>
    <row r="38" spans="1:1" s="21" customFormat="1" ht="56.45" customHeight="1"/>
    <row r="39" spans="1:1" s="21" customFormat="1" ht="47.45" customHeight="1"/>
    <row r="40" spans="1:1" s="21" customFormat="1" ht="47.45" customHeight="1"/>
    <row r="41" spans="1:1" s="21" customFormat="1" ht="47.45" customHeight="1"/>
    <row r="42" spans="1:1" s="21" customFormat="1" ht="47.45" customHeight="1"/>
    <row r="43" spans="1:1" s="21" customFormat="1" ht="47.45" customHeight="1"/>
    <row r="44" spans="1:1" s="21" customFormat="1" ht="22.9" customHeight="1">
      <c r="A44" s="24"/>
    </row>
    <row r="45" spans="1:1" s="21" customFormat="1" ht="22.9" customHeight="1">
      <c r="A45" s="24"/>
    </row>
    <row r="46" spans="1:1" s="21" customFormat="1" ht="22.9" customHeight="1">
      <c r="A46" s="24"/>
    </row>
    <row r="47" spans="1:1" s="21" customFormat="1" ht="22.9" customHeight="1">
      <c r="A47" s="24"/>
    </row>
    <row r="48" spans="1:1" s="21" customFormat="1" ht="22.9" customHeight="1">
      <c r="A48" s="24"/>
    </row>
    <row r="49" spans="1:1" s="21" customFormat="1" ht="22.9" customHeight="1">
      <c r="A49" s="24"/>
    </row>
    <row r="50" spans="1:1" s="21" customFormat="1" ht="22.9" customHeight="1">
      <c r="A50" s="24"/>
    </row>
    <row r="51" spans="1:1" s="21" customFormat="1" ht="22.9" customHeight="1">
      <c r="A51" s="24"/>
    </row>
    <row r="52" spans="1:1" s="21" customFormat="1" ht="22.9" customHeight="1">
      <c r="A52" s="24"/>
    </row>
    <row r="53" spans="1:1" s="21" customFormat="1" ht="22.9" customHeight="1">
      <c r="A53" s="24"/>
    </row>
    <row r="54" spans="1:1" s="21" customFormat="1" ht="22.9" customHeight="1">
      <c r="A54" s="24"/>
    </row>
    <row r="55" spans="1:1" s="21" customFormat="1" ht="22.9" customHeight="1">
      <c r="A55" s="24"/>
    </row>
    <row r="56" spans="1:1" s="21" customFormat="1" ht="22.9" customHeight="1">
      <c r="A56" s="24"/>
    </row>
    <row r="57" spans="1:1" s="21" customFormat="1" ht="22.9" customHeight="1">
      <c r="A57" s="24"/>
    </row>
    <row r="58" spans="1:1" s="21" customFormat="1" ht="22.9" customHeight="1">
      <c r="A58" s="24"/>
    </row>
    <row r="59" spans="1:1" s="21" customFormat="1" ht="22.9" customHeight="1">
      <c r="A59" s="24"/>
    </row>
    <row r="60" spans="1:1" s="21" customFormat="1" ht="22.9" customHeight="1">
      <c r="A60" s="24"/>
    </row>
    <row r="61" spans="1:1" s="21" customFormat="1" ht="22.9" customHeight="1">
      <c r="A61" s="24"/>
    </row>
    <row r="62" spans="1:1" s="21" customFormat="1" ht="22.9" customHeight="1">
      <c r="A62" s="24"/>
    </row>
    <row r="63" spans="1:1" s="21" customFormat="1" ht="22.9" customHeight="1">
      <c r="A63" s="24"/>
    </row>
    <row r="64" spans="1:1" s="21" customFormat="1" ht="22.9" customHeight="1">
      <c r="A64" s="24"/>
    </row>
    <row r="65" spans="1:1" s="21" customFormat="1" ht="22.9" customHeight="1">
      <c r="A65" s="24"/>
    </row>
    <row r="66" spans="1:1" s="21" customFormat="1" ht="22.9" customHeight="1">
      <c r="A66" s="24"/>
    </row>
    <row r="67" spans="1:1" s="21" customFormat="1" ht="22.9" customHeight="1">
      <c r="A67" s="24"/>
    </row>
    <row r="68" spans="1:1" s="21" customFormat="1" ht="22.9" customHeight="1">
      <c r="A68" s="24"/>
    </row>
    <row r="69" spans="1:1" s="21" customFormat="1" ht="22.9" customHeight="1">
      <c r="A69" s="24"/>
    </row>
    <row r="70" spans="1:1" s="21" customFormat="1" ht="22.9" customHeight="1">
      <c r="A70" s="24"/>
    </row>
    <row r="71" spans="1:1" s="21" customFormat="1" ht="22.9" customHeight="1">
      <c r="A71" s="24"/>
    </row>
    <row r="72" spans="1:1" s="21" customFormat="1" ht="22.9" customHeight="1">
      <c r="A72" s="24"/>
    </row>
    <row r="73" spans="1:1" s="21" customFormat="1" ht="22.9" customHeight="1">
      <c r="A73" s="24"/>
    </row>
    <row r="74" spans="1:1" s="21" customFormat="1" ht="22.9" customHeight="1">
      <c r="A74" s="24"/>
    </row>
    <row r="75" spans="1:1" s="21" customFormat="1" ht="22.9" customHeight="1">
      <c r="A75" s="24"/>
    </row>
    <row r="76" spans="1:1" s="21" customFormat="1" ht="22.9" customHeight="1">
      <c r="A76" s="24"/>
    </row>
    <row r="77" spans="1:1" s="21" customFormat="1" ht="22.9" customHeight="1">
      <c r="A77" s="24"/>
    </row>
    <row r="78" spans="1:1" s="21" customFormat="1" ht="22.9" customHeight="1">
      <c r="A78" s="24"/>
    </row>
    <row r="79" spans="1:1" s="21" customFormat="1" ht="22.9" customHeight="1">
      <c r="A79" s="24"/>
    </row>
    <row r="80" spans="1:1" s="21" customFormat="1" ht="22.9" customHeight="1">
      <c r="A80" s="24"/>
    </row>
    <row r="81" spans="1:1" s="21" customFormat="1" ht="22.9" customHeight="1">
      <c r="A81" s="24"/>
    </row>
    <row r="82" spans="1:1" s="21" customFormat="1" ht="22.9" customHeight="1">
      <c r="A82" s="24"/>
    </row>
    <row r="83" spans="1:1" s="21" customFormat="1" ht="22.9" customHeight="1">
      <c r="A83" s="24"/>
    </row>
    <row r="84" spans="1:1" s="21" customFormat="1" ht="22.9" customHeight="1">
      <c r="A84" s="24"/>
    </row>
    <row r="85" spans="1:1" s="21" customFormat="1" ht="22.9" customHeight="1">
      <c r="A85" s="24"/>
    </row>
    <row r="86" spans="1:1" s="21" customFormat="1" ht="22.9" customHeight="1">
      <c r="A86" s="24"/>
    </row>
    <row r="87" spans="1:1" s="21" customFormat="1" ht="22.9" customHeight="1">
      <c r="A87" s="24"/>
    </row>
    <row r="88" spans="1:1" s="21" customFormat="1" ht="22.9" customHeight="1">
      <c r="A88" s="24"/>
    </row>
    <row r="89" spans="1:1" s="21" customFormat="1" ht="22.9" customHeight="1">
      <c r="A89" s="24"/>
    </row>
    <row r="90" spans="1:1" s="21" customFormat="1" ht="22.9" customHeight="1">
      <c r="A90" s="24"/>
    </row>
    <row r="91" spans="1:1" s="21" customFormat="1" ht="22.9" customHeight="1">
      <c r="A91" s="24"/>
    </row>
    <row r="92" spans="1:1" s="21" customFormat="1" ht="22.9" customHeight="1">
      <c r="A92" s="24"/>
    </row>
    <row r="93" spans="1:1" s="21" customFormat="1" ht="22.9" customHeight="1">
      <c r="A93" s="24"/>
    </row>
    <row r="94" spans="1:1" s="21" customFormat="1" ht="22.9" customHeight="1">
      <c r="A94" s="24"/>
    </row>
    <row r="95" spans="1:1" s="21" customFormat="1" ht="22.9" customHeight="1">
      <c r="A95" s="24"/>
    </row>
    <row r="96" spans="1:1" s="21" customFormat="1" ht="22.9" customHeight="1">
      <c r="A96" s="24"/>
    </row>
    <row r="97" spans="1:1" s="21" customFormat="1" ht="22.9" customHeight="1">
      <c r="A97" s="24"/>
    </row>
    <row r="98" spans="1:1" s="21" customFormat="1" ht="22.9" customHeight="1">
      <c r="A98" s="24"/>
    </row>
    <row r="99" spans="1:1" s="21" customFormat="1" ht="22.9" customHeight="1">
      <c r="A99" s="24"/>
    </row>
    <row r="100" spans="1:1" s="21" customFormat="1" ht="22.9" customHeight="1">
      <c r="A100" s="24"/>
    </row>
    <row r="101" spans="1:1" s="21" customFormat="1" ht="22.9" customHeight="1">
      <c r="A101" s="24"/>
    </row>
    <row r="102" spans="1:1" s="21" customFormat="1" ht="22.9" customHeight="1">
      <c r="A102" s="24"/>
    </row>
    <row r="103" spans="1:1" s="21" customFormat="1" ht="22.9" customHeight="1">
      <c r="A103" s="24"/>
    </row>
    <row r="104" spans="1:1" s="21" customFormat="1" ht="22.9" customHeight="1">
      <c r="A104" s="24"/>
    </row>
    <row r="105" spans="1:1" s="21" customFormat="1" ht="22.9" customHeight="1">
      <c r="A105" s="24"/>
    </row>
    <row r="106" spans="1:1" s="21" customFormat="1" ht="22.9" customHeight="1">
      <c r="A106" s="24"/>
    </row>
    <row r="107" spans="1:1" s="21" customFormat="1" ht="22.9" customHeight="1">
      <c r="A107" s="24"/>
    </row>
    <row r="108" spans="1:1" s="21" customFormat="1" ht="22.9" customHeight="1">
      <c r="A108" s="24"/>
    </row>
    <row r="109" spans="1:1" s="21" customFormat="1" ht="22.9" customHeight="1">
      <c r="A109" s="24"/>
    </row>
    <row r="110" spans="1:1" s="21" customFormat="1" ht="22.9" customHeight="1">
      <c r="A110" s="24"/>
    </row>
    <row r="111" spans="1:1" s="21" customFormat="1" ht="22.9" customHeight="1">
      <c r="A111" s="24"/>
    </row>
    <row r="112" spans="1:1" s="21" customFormat="1" ht="22.9" customHeight="1">
      <c r="A112" s="24"/>
    </row>
    <row r="113" spans="1:1" s="21" customFormat="1" ht="22.9" customHeight="1">
      <c r="A113" s="24"/>
    </row>
    <row r="114" spans="1:1" s="21" customFormat="1" ht="22.9" customHeight="1">
      <c r="A114" s="24"/>
    </row>
    <row r="115" spans="1:1" s="21" customFormat="1" ht="22.9" customHeight="1">
      <c r="A115" s="24"/>
    </row>
    <row r="116" spans="1:1" s="21" customFormat="1" ht="22.9" customHeight="1">
      <c r="A116" s="24"/>
    </row>
    <row r="117" spans="1:1" s="21" customFormat="1" ht="22.9" customHeight="1">
      <c r="A117" s="24"/>
    </row>
    <row r="118" spans="1:1" s="21" customFormat="1" ht="22.9" customHeight="1">
      <c r="A118" s="24"/>
    </row>
    <row r="119" spans="1:1" s="21" customFormat="1" ht="22.9" customHeight="1">
      <c r="A119" s="24"/>
    </row>
    <row r="120" spans="1:1" s="21" customFormat="1" ht="22.9" customHeight="1">
      <c r="A120" s="24"/>
    </row>
    <row r="121" spans="1:1" s="21" customFormat="1" ht="22.9" customHeight="1">
      <c r="A121" s="24"/>
    </row>
    <row r="122" spans="1:1" s="21" customFormat="1" ht="22.9" customHeight="1">
      <c r="A122" s="24"/>
    </row>
    <row r="123" spans="1:1" s="21" customFormat="1" ht="22.9" customHeight="1">
      <c r="A123" s="24"/>
    </row>
    <row r="124" spans="1:1" s="21" customFormat="1" ht="22.9" customHeight="1">
      <c r="A124" s="24"/>
    </row>
    <row r="125" spans="1:1" s="21" customFormat="1" ht="22.9" customHeight="1">
      <c r="A125" s="24"/>
    </row>
    <row r="126" spans="1:1" s="21" customFormat="1" ht="22.9" customHeight="1">
      <c r="A126" s="24"/>
    </row>
    <row r="127" spans="1:1" s="21" customFormat="1" ht="22.9" customHeight="1">
      <c r="A127" s="24"/>
    </row>
    <row r="128" spans="1:1" s="21" customFormat="1" ht="22.9" customHeight="1">
      <c r="A128" s="24"/>
    </row>
    <row r="129" spans="1:1" s="21" customFormat="1" ht="22.9" customHeight="1">
      <c r="A129" s="24"/>
    </row>
    <row r="130" spans="1:1" s="21" customFormat="1" ht="22.9" customHeight="1">
      <c r="A130" s="24"/>
    </row>
    <row r="131" spans="1:1" s="21" customFormat="1" ht="22.9" customHeight="1">
      <c r="A131" s="24"/>
    </row>
    <row r="132" spans="1:1" s="21" customFormat="1" ht="22.9" customHeight="1">
      <c r="A132" s="24"/>
    </row>
    <row r="133" spans="1:1" s="21" customFormat="1" ht="22.9" customHeight="1">
      <c r="A133" s="24"/>
    </row>
    <row r="134" spans="1:1" s="21" customFormat="1" ht="22.9" customHeight="1">
      <c r="A134" s="24"/>
    </row>
    <row r="135" spans="1:1" s="21" customFormat="1" ht="22.9" customHeight="1">
      <c r="A135" s="24"/>
    </row>
    <row r="136" spans="1:1" s="21" customFormat="1" ht="22.9" customHeight="1">
      <c r="A136" s="24"/>
    </row>
    <row r="137" spans="1:1" s="21" customFormat="1" ht="22.9" customHeight="1">
      <c r="A137" s="24"/>
    </row>
    <row r="138" spans="1:1" s="21" customFormat="1" ht="22.9" customHeight="1">
      <c r="A138" s="24"/>
    </row>
    <row r="139" spans="1:1" s="21" customFormat="1" ht="22.9" customHeight="1">
      <c r="A139" s="24"/>
    </row>
    <row r="140" spans="1:1" s="21" customFormat="1" ht="22.9" customHeight="1">
      <c r="A140" s="24"/>
    </row>
    <row r="141" spans="1:1" s="21" customFormat="1" ht="22.9" customHeight="1">
      <c r="A141" s="24"/>
    </row>
    <row r="142" spans="1:1" s="21" customFormat="1" ht="22.9" customHeight="1">
      <c r="A142" s="24"/>
    </row>
    <row r="143" spans="1:1" s="21" customFormat="1" ht="22.9" customHeight="1">
      <c r="A143" s="24"/>
    </row>
    <row r="144" spans="1:1" s="21" customFormat="1" ht="22.9" customHeight="1">
      <c r="A144" s="24"/>
    </row>
    <row r="145" spans="1:31" s="21" customFormat="1" ht="22.9" customHeight="1">
      <c r="A145" s="24"/>
    </row>
    <row r="146" spans="1:31" s="21" customFormat="1" ht="22.9" customHeight="1">
      <c r="A146" s="24"/>
    </row>
    <row r="147" spans="1:31" s="21" customFormat="1" ht="22.9" customHeight="1">
      <c r="A147" s="24"/>
    </row>
    <row r="148" spans="1:31" s="21" customFormat="1" ht="22.9" customHeight="1">
      <c r="A148" s="24"/>
    </row>
    <row r="149" spans="1:31" s="21" customFormat="1" ht="22.9" customHeight="1">
      <c r="A149" s="24"/>
    </row>
    <row r="150" spans="1:31">
      <c r="A150" s="23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</row>
    <row r="151" spans="1:31">
      <c r="A151" s="23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</row>
    <row r="152" spans="1:31">
      <c r="A152" s="23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</row>
    <row r="153" spans="1:31">
      <c r="A153" s="23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</row>
    <row r="154" spans="1:31">
      <c r="A154" s="23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</row>
    <row r="155" spans="1:31">
      <c r="A155" s="23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</row>
    <row r="156" spans="1:31">
      <c r="A156" s="23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</row>
    <row r="157" spans="1:31">
      <c r="A157" s="23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</row>
    <row r="158" spans="1:31">
      <c r="A158" s="23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</row>
    <row r="159" spans="1:31">
      <c r="A159" s="23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</row>
    <row r="160" spans="1:31">
      <c r="A160" s="23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</row>
    <row r="161" spans="1:31">
      <c r="A161" s="23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</row>
    <row r="162" spans="1:31">
      <c r="A162" s="23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</row>
    <row r="163" spans="1:31">
      <c r="A163" s="23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</row>
    <row r="164" spans="1:31">
      <c r="A164" s="23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</row>
    <row r="165" spans="1:31">
      <c r="A165" s="23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</row>
    <row r="166" spans="1:31">
      <c r="A166" s="23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</row>
    <row r="167" spans="1:31">
      <c r="A167" s="23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</row>
    <row r="168" spans="1:31">
      <c r="A168" s="23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</row>
    <row r="169" spans="1:31">
      <c r="A169" s="23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</row>
    <row r="170" spans="1:31">
      <c r="A170" s="23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</row>
    <row r="171" spans="1:31">
      <c r="A171" s="23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</row>
    <row r="172" spans="1:31">
      <c r="A172" s="23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</row>
    <row r="173" spans="1:31">
      <c r="A173" s="23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</row>
    <row r="174" spans="1:31">
      <c r="A174" s="23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</row>
    <row r="175" spans="1:31">
      <c r="A175" s="23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</row>
    <row r="176" spans="1:31">
      <c r="A176" s="23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</row>
    <row r="177" spans="1:31">
      <c r="A177" s="23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</row>
    <row r="178" spans="1:31">
      <c r="A178" s="23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</row>
    <row r="179" spans="1:31">
      <c r="A179" s="23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</row>
    <row r="180" spans="1:31">
      <c r="A180" s="23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</row>
    <row r="181" spans="1:31">
      <c r="A181" s="23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</row>
    <row r="182" spans="1:31">
      <c r="A182" s="23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</row>
    <row r="183" spans="1:31">
      <c r="A183" s="23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</row>
    <row r="184" spans="1:31">
      <c r="A184" s="23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</row>
    <row r="185" spans="1:31">
      <c r="A185" s="23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</row>
    <row r="186" spans="1:31">
      <c r="A186" s="23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</row>
    <row r="187" spans="1:31">
      <c r="A187" s="23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</row>
    <row r="188" spans="1:31">
      <c r="A188" s="23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</row>
    <row r="189" spans="1:31">
      <c r="A189" s="23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</row>
    <row r="190" spans="1:31">
      <c r="A190" s="23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</row>
    <row r="191" spans="1:31">
      <c r="A191" s="23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</row>
    <row r="192" spans="1:31">
      <c r="A192" s="23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</row>
    <row r="193" spans="1:31">
      <c r="A193" s="23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</row>
    <row r="194" spans="1:31">
      <c r="A194" s="23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</row>
    <row r="195" spans="1:31">
      <c r="A195" s="23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</row>
    <row r="196" spans="1:31">
      <c r="A196" s="23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</row>
    <row r="197" spans="1:31">
      <c r="A197" s="23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</row>
    <row r="198" spans="1:31">
      <c r="A198" s="23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</row>
    <row r="199" spans="1:31">
      <c r="A199" s="23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</row>
    <row r="200" spans="1:31">
      <c r="A200" s="23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</row>
    <row r="201" spans="1:31">
      <c r="A201" s="23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</row>
    <row r="202" spans="1:31">
      <c r="A202" s="23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</row>
  </sheetData>
  <mergeCells count="33">
    <mergeCell ref="AL8:AL9"/>
    <mergeCell ref="AF8:AF9"/>
    <mergeCell ref="AG8:AG9"/>
    <mergeCell ref="AH8:AH9"/>
    <mergeCell ref="AI8:AI9"/>
    <mergeCell ref="AJ8:AJ9"/>
    <mergeCell ref="AK8:AK9"/>
    <mergeCell ref="E31:H31"/>
    <mergeCell ref="D8:D9"/>
    <mergeCell ref="A8:A9"/>
    <mergeCell ref="B8:B9"/>
    <mergeCell ref="C8:C9"/>
    <mergeCell ref="E22:H22"/>
    <mergeCell ref="E23:H23"/>
    <mergeCell ref="E24:H24"/>
    <mergeCell ref="E25:H25"/>
    <mergeCell ref="E26:H26"/>
    <mergeCell ref="E27:H27"/>
    <mergeCell ref="E28:H28"/>
    <mergeCell ref="E30:H30"/>
    <mergeCell ref="F8:V8"/>
    <mergeCell ref="E29:H29"/>
    <mergeCell ref="A1:AD1"/>
    <mergeCell ref="A6:B6"/>
    <mergeCell ref="E19:H19"/>
    <mergeCell ref="E20:H20"/>
    <mergeCell ref="E8:E9"/>
    <mergeCell ref="A17:H17"/>
    <mergeCell ref="A2:AD2"/>
    <mergeCell ref="A3:AD3"/>
    <mergeCell ref="A4:AD4"/>
    <mergeCell ref="W8:AC8"/>
    <mergeCell ref="AD8:AD9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Z200"/>
  <sheetViews>
    <sheetView workbookViewId="0">
      <selection activeCell="G26" sqref="G26"/>
    </sheetView>
  </sheetViews>
  <sheetFormatPr baseColWidth="10" defaultColWidth="8.75" defaultRowHeight="14.25"/>
  <cols>
    <col min="1" max="1" width="16" customWidth="1"/>
    <col min="2" max="2" width="14" customWidth="1"/>
    <col min="3" max="3" width="20" customWidth="1"/>
    <col min="4" max="4" width="24" customWidth="1"/>
    <col min="5" max="7" width="22" customWidth="1"/>
    <col min="8" max="8" width="16" customWidth="1"/>
    <col min="9" max="9" width="18" customWidth="1"/>
    <col min="10" max="10" width="32" customWidth="1"/>
  </cols>
  <sheetData>
    <row r="1" spans="1:52" ht="22.35" customHeight="1">
      <c r="A1" s="56" t="s">
        <v>463</v>
      </c>
      <c r="B1" s="57"/>
      <c r="C1" s="57"/>
      <c r="D1" s="57"/>
      <c r="E1" s="57"/>
      <c r="F1" s="57"/>
      <c r="G1" s="57"/>
      <c r="H1" s="57"/>
      <c r="I1" s="57"/>
      <c r="J1" s="57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</row>
    <row r="2" spans="1:52" ht="28.15" customHeight="1">
      <c r="A2" s="58" t="s">
        <v>464</v>
      </c>
      <c r="B2" s="57"/>
      <c r="C2" s="57"/>
      <c r="D2" s="57"/>
      <c r="E2" s="57"/>
      <c r="F2" s="57"/>
      <c r="G2" s="57"/>
      <c r="H2" s="57"/>
      <c r="I2" s="57"/>
      <c r="J2" s="57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</row>
    <row r="3" spans="1:5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</row>
    <row r="4" spans="1:52" ht="15">
      <c r="A4" s="4" t="s">
        <v>465</v>
      </c>
      <c r="B4" s="4" t="s">
        <v>79</v>
      </c>
      <c r="C4" s="4" t="s">
        <v>466</v>
      </c>
      <c r="D4" s="4" t="s">
        <v>467</v>
      </c>
      <c r="E4" s="4" t="s">
        <v>70</v>
      </c>
      <c r="F4" s="4" t="s">
        <v>468</v>
      </c>
      <c r="G4" s="4" t="s">
        <v>469</v>
      </c>
      <c r="H4" s="4" t="s">
        <v>470</v>
      </c>
      <c r="I4" s="4" t="s">
        <v>471</v>
      </c>
      <c r="J4" s="4" t="s">
        <v>472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</row>
    <row r="5" spans="1:52">
      <c r="A5" s="5" t="s">
        <v>473</v>
      </c>
      <c r="B5" s="5" t="s">
        <v>445</v>
      </c>
      <c r="C5" s="7">
        <v>46266.416666666664</v>
      </c>
      <c r="D5" s="5" t="s">
        <v>474</v>
      </c>
      <c r="E5" s="5" t="s">
        <v>431</v>
      </c>
      <c r="F5" s="5" t="s">
        <v>475</v>
      </c>
      <c r="G5" s="5" t="s">
        <v>476</v>
      </c>
      <c r="H5" s="8">
        <v>46266</v>
      </c>
      <c r="I5" s="5" t="s">
        <v>477</v>
      </c>
      <c r="J5" s="5" t="s">
        <v>478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</row>
    <row r="6" spans="1:52">
      <c r="A6" s="5" t="s">
        <v>479</v>
      </c>
      <c r="B6" s="5" t="s">
        <v>445</v>
      </c>
      <c r="C6" s="7">
        <v>46275.395833333336</v>
      </c>
      <c r="D6" s="5" t="s">
        <v>480</v>
      </c>
      <c r="E6" s="5" t="s">
        <v>152</v>
      </c>
      <c r="F6" s="5" t="s">
        <v>481</v>
      </c>
      <c r="G6" s="5" t="s">
        <v>482</v>
      </c>
      <c r="H6" s="8">
        <v>46275</v>
      </c>
      <c r="I6" s="5" t="s">
        <v>477</v>
      </c>
      <c r="J6" s="5" t="s">
        <v>483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</row>
    <row r="7" spans="1:52">
      <c r="A7" s="5"/>
      <c r="B7" s="5"/>
      <c r="C7" s="7"/>
      <c r="D7" s="5"/>
      <c r="E7" s="5"/>
      <c r="F7" s="5"/>
      <c r="G7" s="5"/>
      <c r="H7" s="8"/>
      <c r="I7" s="5"/>
      <c r="J7" s="5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</row>
    <row r="8" spans="1:52">
      <c r="A8" s="5"/>
      <c r="B8" s="5"/>
      <c r="C8" s="7"/>
      <c r="D8" s="5"/>
      <c r="E8" s="5"/>
      <c r="F8" s="5"/>
      <c r="G8" s="5"/>
      <c r="H8" s="8"/>
      <c r="I8" s="5"/>
      <c r="J8" s="5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</row>
    <row r="9" spans="1:52">
      <c r="A9" s="5"/>
      <c r="B9" s="5"/>
      <c r="C9" s="7"/>
      <c r="D9" s="5"/>
      <c r="E9" s="5"/>
      <c r="F9" s="5"/>
      <c r="G9" s="5"/>
      <c r="H9" s="8"/>
      <c r="I9" s="5"/>
      <c r="J9" s="5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</row>
    <row r="10" spans="1:52">
      <c r="A10" s="5"/>
      <c r="B10" s="5"/>
      <c r="C10" s="7"/>
      <c r="D10" s="5"/>
      <c r="E10" s="5"/>
      <c r="F10" s="5"/>
      <c r="G10" s="5"/>
      <c r="H10" s="8"/>
      <c r="I10" s="5"/>
      <c r="J10" s="5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</row>
    <row r="11" spans="1:52">
      <c r="A11" s="5"/>
      <c r="B11" s="5"/>
      <c r="C11" s="7"/>
      <c r="D11" s="5"/>
      <c r="E11" s="5"/>
      <c r="F11" s="5"/>
      <c r="G11" s="5"/>
      <c r="H11" s="8"/>
      <c r="I11" s="5"/>
      <c r="J11" s="5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</row>
    <row r="12" spans="1:52">
      <c r="A12" s="5"/>
      <c r="B12" s="5"/>
      <c r="C12" s="7"/>
      <c r="D12" s="5"/>
      <c r="E12" s="5"/>
      <c r="F12" s="5"/>
      <c r="G12" s="5"/>
      <c r="H12" s="8"/>
      <c r="I12" s="5"/>
      <c r="J12" s="5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</row>
    <row r="13" spans="1:52">
      <c r="A13" s="5"/>
      <c r="B13" s="5"/>
      <c r="C13" s="7"/>
      <c r="D13" s="5"/>
      <c r="E13" s="5"/>
      <c r="F13" s="5"/>
      <c r="G13" s="5"/>
      <c r="H13" s="8"/>
      <c r="I13" s="5"/>
      <c r="J13" s="5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</row>
    <row r="14" spans="1:52">
      <c r="A14" s="5"/>
      <c r="B14" s="5"/>
      <c r="C14" s="7"/>
      <c r="D14" s="5"/>
      <c r="E14" s="5"/>
      <c r="F14" s="5"/>
      <c r="G14" s="5"/>
      <c r="H14" s="8"/>
      <c r="I14" s="5"/>
      <c r="J14" s="5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</row>
    <row r="15" spans="1:52">
      <c r="A15" s="5"/>
      <c r="B15" s="5"/>
      <c r="C15" s="7"/>
      <c r="D15" s="5"/>
      <c r="E15" s="5"/>
      <c r="F15" s="5"/>
      <c r="G15" s="5"/>
      <c r="H15" s="8"/>
      <c r="I15" s="5"/>
      <c r="J15" s="5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</row>
    <row r="16" spans="1:52">
      <c r="A16" s="5"/>
      <c r="B16" s="5"/>
      <c r="C16" s="7"/>
      <c r="D16" s="5"/>
      <c r="E16" s="5"/>
      <c r="F16" s="5"/>
      <c r="G16" s="5"/>
      <c r="H16" s="8"/>
      <c r="I16" s="5"/>
      <c r="J16" s="5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</row>
    <row r="17" spans="1:52">
      <c r="A17" s="5"/>
      <c r="B17" s="5"/>
      <c r="C17" s="7"/>
      <c r="D17" s="5"/>
      <c r="E17" s="5"/>
      <c r="F17" s="5"/>
      <c r="G17" s="5"/>
      <c r="H17" s="8"/>
      <c r="I17" s="5"/>
      <c r="J17" s="5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</row>
    <row r="18" spans="1:52">
      <c r="A18" s="5"/>
      <c r="B18" s="5"/>
      <c r="C18" s="7"/>
      <c r="D18" s="5"/>
      <c r="E18" s="5"/>
      <c r="F18" s="5"/>
      <c r="G18" s="5"/>
      <c r="H18" s="8"/>
      <c r="I18" s="5"/>
      <c r="J18" s="5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</row>
    <row r="19" spans="1:52">
      <c r="A19" s="5"/>
      <c r="B19" s="5"/>
      <c r="C19" s="7"/>
      <c r="D19" s="5"/>
      <c r="E19" s="5"/>
      <c r="F19" s="5"/>
      <c r="G19" s="5"/>
      <c r="H19" s="8"/>
      <c r="I19" s="5"/>
      <c r="J19" s="5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</row>
    <row r="20" spans="1:52">
      <c r="A20" s="5"/>
      <c r="B20" s="5"/>
      <c r="C20" s="7"/>
      <c r="D20" s="5"/>
      <c r="E20" s="5"/>
      <c r="F20" s="5"/>
      <c r="G20" s="5"/>
      <c r="H20" s="8"/>
      <c r="I20" s="5"/>
      <c r="J20" s="5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</row>
    <row r="21" spans="1:52">
      <c r="A21" s="3"/>
      <c r="B21" s="3"/>
      <c r="C21" s="9"/>
      <c r="D21" s="3"/>
      <c r="E21" s="3"/>
      <c r="F21" s="3"/>
      <c r="G21" s="3"/>
      <c r="H21" s="10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</row>
    <row r="22" spans="1:52">
      <c r="A22" s="3"/>
      <c r="B22" s="3"/>
      <c r="C22" s="9"/>
      <c r="D22" s="3"/>
      <c r="E22" s="3"/>
      <c r="F22" s="3"/>
      <c r="G22" s="3"/>
      <c r="H22" s="10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</row>
    <row r="23" spans="1:52">
      <c r="A23" s="3"/>
      <c r="B23" s="3"/>
      <c r="C23" s="9"/>
      <c r="D23" s="3"/>
      <c r="E23" s="3"/>
      <c r="F23" s="3"/>
      <c r="G23" s="3"/>
      <c r="H23" s="10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</row>
    <row r="24" spans="1:52">
      <c r="A24" s="3"/>
      <c r="B24" s="3"/>
      <c r="C24" s="9"/>
      <c r="D24" s="3"/>
      <c r="E24" s="3"/>
      <c r="F24" s="3"/>
      <c r="G24" s="3"/>
      <c r="H24" s="10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</row>
    <row r="25" spans="1:52">
      <c r="A25" s="3"/>
      <c r="B25" s="3"/>
      <c r="C25" s="9"/>
      <c r="D25" s="3"/>
      <c r="E25" s="3"/>
      <c r="F25" s="3"/>
      <c r="G25" s="3"/>
      <c r="H25" s="10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</row>
    <row r="26" spans="1:52">
      <c r="A26" s="3"/>
      <c r="B26" s="3"/>
      <c r="C26" s="9"/>
      <c r="D26" s="3"/>
      <c r="E26" s="3"/>
      <c r="F26" s="3"/>
      <c r="G26" s="3"/>
      <c r="H26" s="10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</row>
    <row r="27" spans="1:52">
      <c r="A27" s="3"/>
      <c r="B27" s="3"/>
      <c r="C27" s="9"/>
      <c r="D27" s="3"/>
      <c r="E27" s="3"/>
      <c r="F27" s="3"/>
      <c r="G27" s="3"/>
      <c r="H27" s="10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</row>
    <row r="28" spans="1:52">
      <c r="A28" s="3"/>
      <c r="B28" s="3"/>
      <c r="C28" s="9"/>
      <c r="D28" s="3"/>
      <c r="E28" s="3"/>
      <c r="F28" s="3"/>
      <c r="G28" s="3"/>
      <c r="H28" s="10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</row>
    <row r="29" spans="1:52">
      <c r="A29" s="3"/>
      <c r="B29" s="3"/>
      <c r="C29" s="9"/>
      <c r="D29" s="3"/>
      <c r="E29" s="3"/>
      <c r="F29" s="3"/>
      <c r="G29" s="3"/>
      <c r="H29" s="10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</row>
    <row r="30" spans="1:52">
      <c r="A30" s="3"/>
      <c r="B30" s="3"/>
      <c r="C30" s="9"/>
      <c r="D30" s="3"/>
      <c r="E30" s="3"/>
      <c r="F30" s="3"/>
      <c r="G30" s="3"/>
      <c r="H30" s="10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</row>
    <row r="31" spans="1:52">
      <c r="A31" s="3"/>
      <c r="B31" s="3"/>
      <c r="C31" s="9"/>
      <c r="D31" s="3"/>
      <c r="E31" s="3"/>
      <c r="F31" s="3"/>
      <c r="G31" s="3"/>
      <c r="H31" s="10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</row>
    <row r="32" spans="1:52">
      <c r="A32" s="3"/>
      <c r="B32" s="3"/>
      <c r="C32" s="9"/>
      <c r="D32" s="3"/>
      <c r="E32" s="3"/>
      <c r="F32" s="3"/>
      <c r="G32" s="3"/>
      <c r="H32" s="10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</row>
    <row r="33" spans="1:52">
      <c r="A33" s="3"/>
      <c r="B33" s="3"/>
      <c r="C33" s="9"/>
      <c r="D33" s="3"/>
      <c r="E33" s="3"/>
      <c r="F33" s="3"/>
      <c r="G33" s="3"/>
      <c r="H33" s="10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</row>
    <row r="34" spans="1:52">
      <c r="A34" s="3"/>
      <c r="B34" s="3"/>
      <c r="C34" s="9"/>
      <c r="D34" s="3"/>
      <c r="E34" s="3"/>
      <c r="F34" s="3"/>
      <c r="G34" s="3"/>
      <c r="H34" s="10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</row>
    <row r="35" spans="1:52">
      <c r="A35" s="3"/>
      <c r="B35" s="3"/>
      <c r="C35" s="9"/>
      <c r="D35" s="3"/>
      <c r="E35" s="3"/>
      <c r="F35" s="3"/>
      <c r="G35" s="3"/>
      <c r="H35" s="10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</row>
    <row r="36" spans="1:52">
      <c r="A36" s="3"/>
      <c r="B36" s="3"/>
      <c r="C36" s="9"/>
      <c r="D36" s="3"/>
      <c r="E36" s="3"/>
      <c r="F36" s="3"/>
      <c r="G36" s="3"/>
      <c r="H36" s="10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</row>
    <row r="37" spans="1:52">
      <c r="A37" s="3"/>
      <c r="B37" s="3"/>
      <c r="C37" s="9"/>
      <c r="D37" s="3"/>
      <c r="E37" s="3"/>
      <c r="F37" s="3"/>
      <c r="G37" s="3"/>
      <c r="H37" s="10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</row>
    <row r="38" spans="1:52">
      <c r="A38" s="3"/>
      <c r="B38" s="3"/>
      <c r="C38" s="9"/>
      <c r="D38" s="3"/>
      <c r="E38" s="3"/>
      <c r="F38" s="3"/>
      <c r="G38" s="3"/>
      <c r="H38" s="10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</row>
    <row r="39" spans="1:52">
      <c r="A39" s="3"/>
      <c r="B39" s="3"/>
      <c r="C39" s="9"/>
      <c r="D39" s="3"/>
      <c r="E39" s="3"/>
      <c r="F39" s="3"/>
      <c r="G39" s="3"/>
      <c r="H39" s="10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</row>
    <row r="40" spans="1:52">
      <c r="A40" s="3"/>
      <c r="B40" s="3"/>
      <c r="C40" s="9"/>
      <c r="D40" s="3"/>
      <c r="E40" s="3"/>
      <c r="F40" s="3"/>
      <c r="G40" s="3"/>
      <c r="H40" s="10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</row>
    <row r="41" spans="1:52">
      <c r="A41" s="3"/>
      <c r="B41" s="3"/>
      <c r="C41" s="9"/>
      <c r="D41" s="3"/>
      <c r="E41" s="3"/>
      <c r="F41" s="3"/>
      <c r="G41" s="3"/>
      <c r="H41" s="10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</row>
    <row r="42" spans="1:52">
      <c r="A42" s="3"/>
      <c r="B42" s="3"/>
      <c r="C42" s="9"/>
      <c r="D42" s="3"/>
      <c r="E42" s="3"/>
      <c r="F42" s="3"/>
      <c r="G42" s="3"/>
      <c r="H42" s="10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</row>
    <row r="43" spans="1:52">
      <c r="A43" s="3"/>
      <c r="B43" s="3"/>
      <c r="C43" s="9"/>
      <c r="D43" s="3"/>
      <c r="E43" s="3"/>
      <c r="F43" s="3"/>
      <c r="G43" s="3"/>
      <c r="H43" s="10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</row>
    <row r="44" spans="1:52">
      <c r="A44" s="3"/>
      <c r="B44" s="3"/>
      <c r="C44" s="9"/>
      <c r="D44" s="3"/>
      <c r="E44" s="3"/>
      <c r="F44" s="3"/>
      <c r="G44" s="3"/>
      <c r="H44" s="10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</row>
    <row r="45" spans="1:52">
      <c r="A45" s="3"/>
      <c r="B45" s="3"/>
      <c r="C45" s="9"/>
      <c r="D45" s="3"/>
      <c r="E45" s="3"/>
      <c r="F45" s="3"/>
      <c r="G45" s="3"/>
      <c r="H45" s="10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</row>
    <row r="46" spans="1:52">
      <c r="A46" s="3"/>
      <c r="B46" s="3"/>
      <c r="C46" s="9"/>
      <c r="D46" s="3"/>
      <c r="E46" s="3"/>
      <c r="F46" s="3"/>
      <c r="G46" s="3"/>
      <c r="H46" s="10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</row>
    <row r="47" spans="1:52">
      <c r="A47" s="3"/>
      <c r="B47" s="3"/>
      <c r="C47" s="9"/>
      <c r="D47" s="3"/>
      <c r="E47" s="3"/>
      <c r="F47" s="3"/>
      <c r="G47" s="3"/>
      <c r="H47" s="10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</row>
    <row r="48" spans="1:52">
      <c r="A48" s="3"/>
      <c r="B48" s="3"/>
      <c r="C48" s="9"/>
      <c r="D48" s="3"/>
      <c r="E48" s="3"/>
      <c r="F48" s="3"/>
      <c r="G48" s="3"/>
      <c r="H48" s="10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</row>
    <row r="49" spans="1:52">
      <c r="A49" s="3"/>
      <c r="B49" s="3"/>
      <c r="C49" s="9"/>
      <c r="D49" s="3"/>
      <c r="E49" s="3"/>
      <c r="F49" s="3"/>
      <c r="G49" s="3"/>
      <c r="H49" s="10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</row>
    <row r="50" spans="1:52">
      <c r="A50" s="3"/>
      <c r="B50" s="3"/>
      <c r="C50" s="9"/>
      <c r="D50" s="3"/>
      <c r="E50" s="3"/>
      <c r="F50" s="3"/>
      <c r="G50" s="3"/>
      <c r="H50" s="10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</row>
    <row r="51" spans="1:52">
      <c r="A51" s="3"/>
      <c r="B51" s="3"/>
      <c r="C51" s="9"/>
      <c r="D51" s="3"/>
      <c r="E51" s="3"/>
      <c r="F51" s="3"/>
      <c r="G51" s="3"/>
      <c r="H51" s="10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</row>
    <row r="52" spans="1:52">
      <c r="A52" s="3"/>
      <c r="B52" s="3"/>
      <c r="C52" s="9"/>
      <c r="D52" s="3"/>
      <c r="E52" s="3"/>
      <c r="F52" s="3"/>
      <c r="G52" s="3"/>
      <c r="H52" s="10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</row>
    <row r="53" spans="1:52">
      <c r="A53" s="3"/>
      <c r="B53" s="3"/>
      <c r="C53" s="9"/>
      <c r="D53" s="3"/>
      <c r="E53" s="3"/>
      <c r="F53" s="3"/>
      <c r="G53" s="3"/>
      <c r="H53" s="10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</row>
    <row r="54" spans="1:52">
      <c r="A54" s="3"/>
      <c r="B54" s="3"/>
      <c r="C54" s="9"/>
      <c r="D54" s="3"/>
      <c r="E54" s="3"/>
      <c r="F54" s="3"/>
      <c r="G54" s="3"/>
      <c r="H54" s="10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</row>
    <row r="55" spans="1:52">
      <c r="A55" s="3"/>
      <c r="B55" s="3"/>
      <c r="C55" s="9"/>
      <c r="D55" s="3"/>
      <c r="E55" s="3"/>
      <c r="F55" s="3"/>
      <c r="G55" s="3"/>
      <c r="H55" s="10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</row>
    <row r="56" spans="1:52">
      <c r="A56" s="3"/>
      <c r="B56" s="3"/>
      <c r="C56" s="9"/>
      <c r="D56" s="3"/>
      <c r="E56" s="3"/>
      <c r="F56" s="3"/>
      <c r="G56" s="3"/>
      <c r="H56" s="10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</row>
    <row r="57" spans="1:52">
      <c r="A57" s="3"/>
      <c r="B57" s="3"/>
      <c r="C57" s="9"/>
      <c r="D57" s="3"/>
      <c r="E57" s="3"/>
      <c r="F57" s="3"/>
      <c r="G57" s="3"/>
      <c r="H57" s="10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</row>
    <row r="58" spans="1:52">
      <c r="A58" s="3"/>
      <c r="B58" s="3"/>
      <c r="C58" s="9"/>
      <c r="D58" s="3"/>
      <c r="E58" s="3"/>
      <c r="F58" s="3"/>
      <c r="G58" s="3"/>
      <c r="H58" s="10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</row>
    <row r="59" spans="1:52">
      <c r="A59" s="3"/>
      <c r="B59" s="3"/>
      <c r="C59" s="9"/>
      <c r="D59" s="3"/>
      <c r="E59" s="3"/>
      <c r="F59" s="3"/>
      <c r="G59" s="3"/>
      <c r="H59" s="10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</row>
    <row r="60" spans="1:52">
      <c r="A60" s="3"/>
      <c r="B60" s="3"/>
      <c r="C60" s="9"/>
      <c r="D60" s="3"/>
      <c r="E60" s="3"/>
      <c r="F60" s="3"/>
      <c r="G60" s="3"/>
      <c r="H60" s="10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</row>
    <row r="61" spans="1:52">
      <c r="A61" s="3"/>
      <c r="B61" s="3"/>
      <c r="C61" s="9"/>
      <c r="D61" s="3"/>
      <c r="E61" s="3"/>
      <c r="F61" s="3"/>
      <c r="G61" s="3"/>
      <c r="H61" s="10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</row>
    <row r="62" spans="1:52">
      <c r="A62" s="3"/>
      <c r="B62" s="3"/>
      <c r="C62" s="9"/>
      <c r="D62" s="3"/>
      <c r="E62" s="3"/>
      <c r="F62" s="3"/>
      <c r="G62" s="3"/>
      <c r="H62" s="10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</row>
    <row r="63" spans="1:52">
      <c r="A63" s="3"/>
      <c r="B63" s="3"/>
      <c r="C63" s="9"/>
      <c r="D63" s="3"/>
      <c r="E63" s="3"/>
      <c r="F63" s="3"/>
      <c r="G63" s="3"/>
      <c r="H63" s="10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</row>
    <row r="64" spans="1:52">
      <c r="A64" s="3"/>
      <c r="B64" s="3"/>
      <c r="C64" s="9"/>
      <c r="D64" s="3"/>
      <c r="E64" s="3"/>
      <c r="F64" s="3"/>
      <c r="G64" s="3"/>
      <c r="H64" s="10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</row>
    <row r="65" spans="1:52">
      <c r="A65" s="3"/>
      <c r="B65" s="3"/>
      <c r="C65" s="9"/>
      <c r="D65" s="3"/>
      <c r="E65" s="3"/>
      <c r="F65" s="3"/>
      <c r="G65" s="3"/>
      <c r="H65" s="10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</row>
    <row r="66" spans="1:52">
      <c r="A66" s="3"/>
      <c r="B66" s="3"/>
      <c r="C66" s="9"/>
      <c r="D66" s="3"/>
      <c r="E66" s="3"/>
      <c r="F66" s="3"/>
      <c r="G66" s="3"/>
      <c r="H66" s="10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</row>
    <row r="67" spans="1:52">
      <c r="A67" s="3"/>
      <c r="B67" s="3"/>
      <c r="C67" s="9"/>
      <c r="D67" s="3"/>
      <c r="E67" s="3"/>
      <c r="F67" s="3"/>
      <c r="G67" s="3"/>
      <c r="H67" s="10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</row>
    <row r="68" spans="1:52">
      <c r="A68" s="3"/>
      <c r="B68" s="3"/>
      <c r="C68" s="9"/>
      <c r="D68" s="3"/>
      <c r="E68" s="3"/>
      <c r="F68" s="3"/>
      <c r="G68" s="3"/>
      <c r="H68" s="10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</row>
    <row r="69" spans="1:52">
      <c r="A69" s="3"/>
      <c r="B69" s="3"/>
      <c r="C69" s="9"/>
      <c r="D69" s="3"/>
      <c r="E69" s="3"/>
      <c r="F69" s="3"/>
      <c r="G69" s="3"/>
      <c r="H69" s="10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</row>
    <row r="70" spans="1:52">
      <c r="A70" s="3"/>
      <c r="B70" s="3"/>
      <c r="C70" s="9"/>
      <c r="D70" s="3"/>
      <c r="E70" s="3"/>
      <c r="F70" s="3"/>
      <c r="G70" s="3"/>
      <c r="H70" s="10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</row>
    <row r="71" spans="1:52">
      <c r="A71" s="3"/>
      <c r="B71" s="3"/>
      <c r="C71" s="9"/>
      <c r="D71" s="3"/>
      <c r="E71" s="3"/>
      <c r="F71" s="3"/>
      <c r="G71" s="3"/>
      <c r="H71" s="10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</row>
    <row r="72" spans="1:52">
      <c r="A72" s="3"/>
      <c r="B72" s="3"/>
      <c r="C72" s="9"/>
      <c r="D72" s="3"/>
      <c r="E72" s="3"/>
      <c r="F72" s="3"/>
      <c r="G72" s="3"/>
      <c r="H72" s="10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</row>
    <row r="73" spans="1:52">
      <c r="A73" s="3"/>
      <c r="B73" s="3"/>
      <c r="C73" s="9"/>
      <c r="D73" s="3"/>
      <c r="E73" s="3"/>
      <c r="F73" s="3"/>
      <c r="G73" s="3"/>
      <c r="H73" s="10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</row>
    <row r="74" spans="1:52">
      <c r="A74" s="3"/>
      <c r="B74" s="3"/>
      <c r="C74" s="9"/>
      <c r="D74" s="3"/>
      <c r="E74" s="3"/>
      <c r="F74" s="3"/>
      <c r="G74" s="3"/>
      <c r="H74" s="10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</row>
    <row r="75" spans="1:52">
      <c r="A75" s="3"/>
      <c r="B75" s="3"/>
      <c r="C75" s="9"/>
      <c r="D75" s="3"/>
      <c r="E75" s="3"/>
      <c r="F75" s="3"/>
      <c r="G75" s="3"/>
      <c r="H75" s="10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</row>
    <row r="76" spans="1:52">
      <c r="A76" s="3"/>
      <c r="B76" s="3"/>
      <c r="C76" s="9"/>
      <c r="D76" s="3"/>
      <c r="E76" s="3"/>
      <c r="F76" s="3"/>
      <c r="G76" s="3"/>
      <c r="H76" s="10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</row>
    <row r="77" spans="1:52">
      <c r="A77" s="3"/>
      <c r="B77" s="3"/>
      <c r="C77" s="9"/>
      <c r="D77" s="3"/>
      <c r="E77" s="3"/>
      <c r="F77" s="3"/>
      <c r="G77" s="3"/>
      <c r="H77" s="10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</row>
    <row r="78" spans="1:52">
      <c r="A78" s="3"/>
      <c r="B78" s="3"/>
      <c r="C78" s="9"/>
      <c r="D78" s="3"/>
      <c r="E78" s="3"/>
      <c r="F78" s="3"/>
      <c r="G78" s="3"/>
      <c r="H78" s="10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</row>
    <row r="79" spans="1:52">
      <c r="A79" s="3"/>
      <c r="B79" s="3"/>
      <c r="C79" s="9"/>
      <c r="D79" s="3"/>
      <c r="E79" s="3"/>
      <c r="F79" s="3"/>
      <c r="G79" s="3"/>
      <c r="H79" s="10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</row>
    <row r="80" spans="1:52">
      <c r="A80" s="3"/>
      <c r="B80" s="3"/>
      <c r="C80" s="9"/>
      <c r="D80" s="3"/>
      <c r="E80" s="3"/>
      <c r="F80" s="3"/>
      <c r="G80" s="3"/>
      <c r="H80" s="10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</row>
    <row r="81" spans="1:52">
      <c r="A81" s="3"/>
      <c r="B81" s="3"/>
      <c r="C81" s="9"/>
      <c r="D81" s="3"/>
      <c r="E81" s="3"/>
      <c r="F81" s="3"/>
      <c r="G81" s="3"/>
      <c r="H81" s="10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</row>
    <row r="82" spans="1:52">
      <c r="A82" s="3"/>
      <c r="B82" s="3"/>
      <c r="C82" s="9"/>
      <c r="D82" s="3"/>
      <c r="E82" s="3"/>
      <c r="F82" s="3"/>
      <c r="G82" s="3"/>
      <c r="H82" s="10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</row>
    <row r="83" spans="1:52">
      <c r="A83" s="3"/>
      <c r="B83" s="3"/>
      <c r="C83" s="9"/>
      <c r="D83" s="3"/>
      <c r="E83" s="3"/>
      <c r="F83" s="3"/>
      <c r="G83" s="3"/>
      <c r="H83" s="10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</row>
    <row r="84" spans="1:52">
      <c r="A84" s="3"/>
      <c r="B84" s="3"/>
      <c r="C84" s="9"/>
      <c r="D84" s="3"/>
      <c r="E84" s="3"/>
      <c r="F84" s="3"/>
      <c r="G84" s="3"/>
      <c r="H84" s="10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</row>
    <row r="85" spans="1:52">
      <c r="A85" s="3"/>
      <c r="B85" s="3"/>
      <c r="C85" s="9"/>
      <c r="D85" s="3"/>
      <c r="E85" s="3"/>
      <c r="F85" s="3"/>
      <c r="G85" s="3"/>
      <c r="H85" s="10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</row>
    <row r="86" spans="1:52">
      <c r="A86" s="3"/>
      <c r="B86" s="3"/>
      <c r="C86" s="9"/>
      <c r="D86" s="3"/>
      <c r="E86" s="3"/>
      <c r="F86" s="3"/>
      <c r="G86" s="3"/>
      <c r="H86" s="10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</row>
    <row r="87" spans="1:52">
      <c r="A87" s="3"/>
      <c r="B87" s="3"/>
      <c r="C87" s="9"/>
      <c r="D87" s="3"/>
      <c r="E87" s="3"/>
      <c r="F87" s="3"/>
      <c r="G87" s="3"/>
      <c r="H87" s="10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</row>
    <row r="88" spans="1:52">
      <c r="A88" s="3"/>
      <c r="B88" s="3"/>
      <c r="C88" s="9"/>
      <c r="D88" s="3"/>
      <c r="E88" s="3"/>
      <c r="F88" s="3"/>
      <c r="G88" s="3"/>
      <c r="H88" s="10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</row>
    <row r="89" spans="1:52">
      <c r="A89" s="3"/>
      <c r="B89" s="3"/>
      <c r="C89" s="9"/>
      <c r="D89" s="3"/>
      <c r="E89" s="3"/>
      <c r="F89" s="3"/>
      <c r="G89" s="3"/>
      <c r="H89" s="10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</row>
    <row r="90" spans="1:52">
      <c r="A90" s="3"/>
      <c r="B90" s="3"/>
      <c r="C90" s="9"/>
      <c r="D90" s="3"/>
      <c r="E90" s="3"/>
      <c r="F90" s="3"/>
      <c r="G90" s="3"/>
      <c r="H90" s="10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</row>
    <row r="91" spans="1:52">
      <c r="A91" s="3"/>
      <c r="B91" s="3"/>
      <c r="C91" s="9"/>
      <c r="D91" s="3"/>
      <c r="E91" s="3"/>
      <c r="F91" s="3"/>
      <c r="G91" s="3"/>
      <c r="H91" s="10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</row>
    <row r="92" spans="1:52">
      <c r="A92" s="3"/>
      <c r="B92" s="3"/>
      <c r="C92" s="9"/>
      <c r="D92" s="3"/>
      <c r="E92" s="3"/>
      <c r="F92" s="3"/>
      <c r="G92" s="3"/>
      <c r="H92" s="10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</row>
    <row r="93" spans="1:52">
      <c r="A93" s="3"/>
      <c r="B93" s="3"/>
      <c r="C93" s="9"/>
      <c r="D93" s="3"/>
      <c r="E93" s="3"/>
      <c r="F93" s="3"/>
      <c r="G93" s="3"/>
      <c r="H93" s="10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</row>
    <row r="94" spans="1:52">
      <c r="A94" s="3"/>
      <c r="B94" s="3"/>
      <c r="C94" s="9"/>
      <c r="D94" s="3"/>
      <c r="E94" s="3"/>
      <c r="F94" s="3"/>
      <c r="G94" s="3"/>
      <c r="H94" s="10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</row>
    <row r="95" spans="1:52">
      <c r="A95" s="3"/>
      <c r="B95" s="3"/>
      <c r="C95" s="9"/>
      <c r="D95" s="3"/>
      <c r="E95" s="3"/>
      <c r="F95" s="3"/>
      <c r="G95" s="3"/>
      <c r="H95" s="10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</row>
    <row r="96" spans="1:52">
      <c r="A96" s="3"/>
      <c r="B96" s="3"/>
      <c r="C96" s="9"/>
      <c r="D96" s="3"/>
      <c r="E96" s="3"/>
      <c r="F96" s="3"/>
      <c r="G96" s="3"/>
      <c r="H96" s="10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</row>
    <row r="97" spans="1:52">
      <c r="A97" s="3"/>
      <c r="B97" s="3"/>
      <c r="C97" s="9"/>
      <c r="D97" s="3"/>
      <c r="E97" s="3"/>
      <c r="F97" s="3"/>
      <c r="G97" s="3"/>
      <c r="H97" s="10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</row>
    <row r="98" spans="1:52">
      <c r="A98" s="3"/>
      <c r="B98" s="3"/>
      <c r="C98" s="9"/>
      <c r="D98" s="3"/>
      <c r="E98" s="3"/>
      <c r="F98" s="3"/>
      <c r="G98" s="3"/>
      <c r="H98" s="10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</row>
    <row r="99" spans="1:52">
      <c r="A99" s="3"/>
      <c r="B99" s="3"/>
      <c r="C99" s="9"/>
      <c r="D99" s="3"/>
      <c r="E99" s="3"/>
      <c r="F99" s="3"/>
      <c r="G99" s="3"/>
      <c r="H99" s="10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</row>
    <row r="100" spans="1:52">
      <c r="A100" s="3"/>
      <c r="B100" s="3"/>
      <c r="C100" s="9"/>
      <c r="D100" s="3"/>
      <c r="E100" s="3"/>
      <c r="F100" s="3"/>
      <c r="G100" s="3"/>
      <c r="H100" s="10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</row>
    <row r="101" spans="1:5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</row>
    <row r="102" spans="1:5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</row>
    <row r="103" spans="1:5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</row>
    <row r="104" spans="1:5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</row>
    <row r="105" spans="1:5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</row>
    <row r="106" spans="1:5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</row>
    <row r="107" spans="1:5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</row>
    <row r="108" spans="1:5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</row>
    <row r="109" spans="1:5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</row>
    <row r="110" spans="1:5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</row>
    <row r="111" spans="1:5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</row>
    <row r="112" spans="1:5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</row>
    <row r="113" spans="1:5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</row>
    <row r="114" spans="1:5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</row>
    <row r="115" spans="1:5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</row>
    <row r="116" spans="1:5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</row>
    <row r="117" spans="1:5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</row>
    <row r="118" spans="1:5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</row>
    <row r="119" spans="1:5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</row>
    <row r="120" spans="1:5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</row>
    <row r="121" spans="1:5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</row>
    <row r="122" spans="1:5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</row>
    <row r="123" spans="1:5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</row>
    <row r="124" spans="1:5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</row>
    <row r="125" spans="1:5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</row>
    <row r="126" spans="1:5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</row>
    <row r="127" spans="1:5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</row>
    <row r="128" spans="1:5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</row>
    <row r="129" spans="1:5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</row>
    <row r="130" spans="1:5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</row>
    <row r="131" spans="1:5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</row>
    <row r="132" spans="1:5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</row>
    <row r="133" spans="1:5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</row>
    <row r="134" spans="1:5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</row>
    <row r="135" spans="1:5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</row>
    <row r="136" spans="1:5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</row>
    <row r="137" spans="1:5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</row>
    <row r="138" spans="1:5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</row>
    <row r="139" spans="1:5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</row>
    <row r="140" spans="1:5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</row>
    <row r="141" spans="1:5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</row>
    <row r="142" spans="1:5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</row>
    <row r="143" spans="1:5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</row>
    <row r="144" spans="1:5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</row>
    <row r="145" spans="1:5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</row>
    <row r="146" spans="1:5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</row>
    <row r="147" spans="1:5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</row>
    <row r="148" spans="1:5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</row>
    <row r="149" spans="1:5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</row>
    <row r="150" spans="1:5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</row>
    <row r="151" spans="1:5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</row>
    <row r="152" spans="1: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</row>
    <row r="153" spans="1:5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</row>
    <row r="154" spans="1:5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</row>
    <row r="155" spans="1:5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</row>
    <row r="156" spans="1:5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</row>
    <row r="157" spans="1:5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</row>
    <row r="158" spans="1:5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</row>
    <row r="159" spans="1:5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</row>
    <row r="160" spans="1:5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</row>
    <row r="161" spans="1:5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</row>
    <row r="162" spans="1:5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</row>
    <row r="163" spans="1:5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</row>
    <row r="164" spans="1:5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</row>
    <row r="165" spans="1:5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</row>
    <row r="166" spans="1:5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</row>
    <row r="167" spans="1:5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</row>
    <row r="168" spans="1:5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</row>
    <row r="169" spans="1:5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</row>
    <row r="170" spans="1:5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</row>
    <row r="171" spans="1:5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</row>
    <row r="172" spans="1:5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</row>
    <row r="173" spans="1:5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</row>
    <row r="174" spans="1:5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</row>
    <row r="175" spans="1:5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</row>
    <row r="176" spans="1:5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</row>
    <row r="177" spans="1:5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</row>
    <row r="178" spans="1:5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</row>
    <row r="179" spans="1:5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</row>
    <row r="180" spans="1:5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</row>
    <row r="181" spans="1:5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</row>
    <row r="182" spans="1:5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</row>
    <row r="183" spans="1:5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</row>
    <row r="184" spans="1:5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</row>
    <row r="185" spans="1:5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</row>
    <row r="186" spans="1:5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</row>
    <row r="187" spans="1:5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</row>
    <row r="188" spans="1:5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</row>
    <row r="189" spans="1:5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</row>
    <row r="190" spans="1:5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</row>
    <row r="191" spans="1:5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</row>
    <row r="192" spans="1:5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</row>
    <row r="193" spans="1:5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</row>
    <row r="194" spans="1:5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</row>
    <row r="195" spans="1:5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</row>
    <row r="196" spans="1:5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</row>
    <row r="197" spans="1:5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</row>
    <row r="198" spans="1:5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</row>
    <row r="199" spans="1:5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</row>
    <row r="200" spans="1:5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</row>
  </sheetData>
  <mergeCells count="2">
    <mergeCell ref="A1:J1"/>
    <mergeCell ref="A2:J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Z200"/>
  <sheetViews>
    <sheetView workbookViewId="0">
      <selection activeCell="D16" sqref="D16"/>
    </sheetView>
  </sheetViews>
  <sheetFormatPr baseColWidth="10" defaultColWidth="8.75" defaultRowHeight="14.25"/>
  <cols>
    <col min="1" max="1" width="30" customWidth="1"/>
    <col min="2" max="2" width="18" customWidth="1"/>
    <col min="3" max="3" width="15" customWidth="1"/>
    <col min="4" max="4" width="35" customWidth="1"/>
    <col min="5" max="5" width="24" customWidth="1"/>
    <col min="6" max="6" width="42" customWidth="1"/>
    <col min="8" max="8" width="16" customWidth="1"/>
    <col min="9" max="9" width="20" customWidth="1"/>
    <col min="10" max="10" width="34" customWidth="1"/>
    <col min="11" max="11" width="25" customWidth="1"/>
    <col min="12" max="12" width="24" customWidth="1"/>
    <col min="13" max="13" width="18" customWidth="1"/>
  </cols>
  <sheetData>
    <row r="1" spans="1:52" ht="22.35" customHeight="1">
      <c r="A1" s="56" t="s">
        <v>360</v>
      </c>
      <c r="B1" s="57"/>
      <c r="C1" s="57"/>
      <c r="D1" s="57"/>
      <c r="E1" s="57"/>
      <c r="F1" s="57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</row>
    <row r="2" spans="1:52" ht="28.15" customHeight="1">
      <c r="A2" s="58" t="s">
        <v>361</v>
      </c>
      <c r="B2" s="57"/>
      <c r="C2" s="57"/>
      <c r="D2" s="57"/>
      <c r="E2" s="57"/>
      <c r="F2" s="57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</row>
    <row r="3" spans="1:5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</row>
    <row r="4" spans="1:52" ht="15">
      <c r="A4" s="4" t="s">
        <v>287</v>
      </c>
      <c r="B4" s="4" t="s">
        <v>362</v>
      </c>
      <c r="C4" s="4" t="s">
        <v>363</v>
      </c>
      <c r="D4" s="4" t="s">
        <v>364</v>
      </c>
      <c r="E4" s="4" t="s">
        <v>365</v>
      </c>
      <c r="F4" s="4" t="s">
        <v>366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</row>
    <row r="5" spans="1:52">
      <c r="A5" s="5" t="s">
        <v>367</v>
      </c>
      <c r="B5" s="6">
        <v>30</v>
      </c>
      <c r="C5" s="5" t="s">
        <v>368</v>
      </c>
      <c r="D5" s="5" t="s">
        <v>369</v>
      </c>
      <c r="E5" s="5" t="s">
        <v>370</v>
      </c>
      <c r="F5" s="5" t="s">
        <v>179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</row>
    <row r="6" spans="1:52">
      <c r="A6" s="5" t="s">
        <v>371</v>
      </c>
      <c r="B6" s="6">
        <v>8</v>
      </c>
      <c r="C6" s="5" t="s">
        <v>372</v>
      </c>
      <c r="D6" s="5" t="s">
        <v>373</v>
      </c>
      <c r="E6" s="5" t="s">
        <v>370</v>
      </c>
      <c r="F6" s="5" t="s">
        <v>374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</row>
    <row r="7" spans="1:52">
      <c r="A7" s="5" t="s">
        <v>375</v>
      </c>
      <c r="B7" s="6">
        <v>1.5</v>
      </c>
      <c r="C7" s="5" t="s">
        <v>376</v>
      </c>
      <c r="D7" s="5" t="s">
        <v>377</v>
      </c>
      <c r="E7" s="5" t="s">
        <v>370</v>
      </c>
      <c r="F7" s="5" t="s">
        <v>378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</row>
    <row r="8" spans="1:52" ht="28.5">
      <c r="A8" s="5" t="s">
        <v>379</v>
      </c>
      <c r="B8" s="6">
        <v>4.8300000000000003E-2</v>
      </c>
      <c r="C8" s="5" t="s">
        <v>380</v>
      </c>
      <c r="D8" s="5" t="s">
        <v>381</v>
      </c>
      <c r="E8" s="5" t="s">
        <v>370</v>
      </c>
      <c r="F8" s="5" t="s">
        <v>382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</row>
    <row r="9" spans="1:52">
      <c r="A9" s="5" t="s">
        <v>383</v>
      </c>
      <c r="B9" s="6">
        <v>250</v>
      </c>
      <c r="C9" s="5" t="s">
        <v>384</v>
      </c>
      <c r="D9" s="5" t="s">
        <v>385</v>
      </c>
      <c r="E9" s="5" t="s">
        <v>370</v>
      </c>
      <c r="F9" s="5" t="s">
        <v>386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</row>
    <row r="10" spans="1:52" ht="28.5">
      <c r="A10" s="5" t="s">
        <v>387</v>
      </c>
      <c r="B10" s="6" t="s">
        <v>388</v>
      </c>
      <c r="C10" s="5" t="s">
        <v>389</v>
      </c>
      <c r="D10" s="5" t="s">
        <v>390</v>
      </c>
      <c r="E10" s="5" t="s">
        <v>370</v>
      </c>
      <c r="F10" s="5" t="s">
        <v>391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</row>
    <row r="11" spans="1:52">
      <c r="A11" s="5" t="s">
        <v>392</v>
      </c>
      <c r="B11" s="6">
        <v>2</v>
      </c>
      <c r="C11" s="5" t="s">
        <v>393</v>
      </c>
      <c r="D11" s="5" t="s">
        <v>394</v>
      </c>
      <c r="E11" s="5" t="s">
        <v>82</v>
      </c>
      <c r="F11" s="5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</row>
    <row r="12" spans="1:52">
      <c r="A12" s="5"/>
      <c r="B12" s="5"/>
      <c r="C12" s="5"/>
      <c r="D12" s="5"/>
      <c r="E12" s="5"/>
      <c r="F12" s="5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</row>
    <row r="13" spans="1:52">
      <c r="A13" s="5"/>
      <c r="B13" s="5"/>
      <c r="C13" s="5"/>
      <c r="D13" s="5"/>
      <c r="E13" s="5"/>
      <c r="F13" s="5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</row>
    <row r="14" spans="1:52" ht="15">
      <c r="A14" s="16" t="s">
        <v>395</v>
      </c>
      <c r="B14" s="16"/>
      <c r="C14" s="16"/>
      <c r="D14" s="16"/>
      <c r="E14" s="16"/>
      <c r="F14" s="16"/>
      <c r="G14" s="3"/>
      <c r="H14" s="59" t="s">
        <v>396</v>
      </c>
      <c r="I14" s="59"/>
      <c r="J14" s="59"/>
      <c r="K14" s="59"/>
      <c r="L14" s="59"/>
      <c r="M14" s="59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</row>
    <row r="15" spans="1:52" ht="28.5">
      <c r="A15" s="5" t="s">
        <v>397</v>
      </c>
      <c r="B15" s="5">
        <v>8</v>
      </c>
      <c r="C15" s="5" t="s">
        <v>372</v>
      </c>
      <c r="D15" s="5" t="s">
        <v>398</v>
      </c>
      <c r="E15" s="5" t="s">
        <v>370</v>
      </c>
      <c r="F15" s="5" t="s">
        <v>399</v>
      </c>
      <c r="G15" s="3"/>
      <c r="H15" s="18" t="s">
        <v>168</v>
      </c>
      <c r="I15" s="18" t="s">
        <v>400</v>
      </c>
      <c r="J15" s="18" t="s">
        <v>401</v>
      </c>
      <c r="K15" s="18" t="s">
        <v>67</v>
      </c>
      <c r="L15" s="18" t="s">
        <v>402</v>
      </c>
      <c r="M15" s="18" t="s">
        <v>61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</row>
    <row r="16" spans="1:52" ht="28.5">
      <c r="A16" s="5" t="s">
        <v>403</v>
      </c>
      <c r="B16" s="5">
        <v>7</v>
      </c>
      <c r="C16" s="5" t="s">
        <v>372</v>
      </c>
      <c r="D16" s="5" t="s">
        <v>404</v>
      </c>
      <c r="E16" s="5" t="s">
        <v>370</v>
      </c>
      <c r="F16" s="5" t="s">
        <v>405</v>
      </c>
      <c r="G16" s="3"/>
      <c r="H16" s="5" t="s">
        <v>64</v>
      </c>
      <c r="I16" s="5" t="s">
        <v>65</v>
      </c>
      <c r="J16" s="5" t="s">
        <v>406</v>
      </c>
      <c r="K16" s="5" t="s">
        <v>407</v>
      </c>
      <c r="L16" s="5" t="s">
        <v>66</v>
      </c>
      <c r="M16" s="5">
        <v>8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</row>
    <row r="17" spans="1:52" ht="28.5">
      <c r="A17" s="5" t="s">
        <v>408</v>
      </c>
      <c r="B17" s="5">
        <v>6</v>
      </c>
      <c r="C17" s="5" t="s">
        <v>372</v>
      </c>
      <c r="D17" s="5" t="s">
        <v>409</v>
      </c>
      <c r="E17" s="5" t="s">
        <v>370</v>
      </c>
      <c r="F17" s="5" t="s">
        <v>410</v>
      </c>
      <c r="G17" s="3"/>
      <c r="H17" s="5" t="s">
        <v>411</v>
      </c>
      <c r="I17" s="5" t="s">
        <v>412</v>
      </c>
      <c r="J17" s="5" t="s">
        <v>413</v>
      </c>
      <c r="K17" s="5" t="s">
        <v>407</v>
      </c>
      <c r="L17" s="5" t="s">
        <v>414</v>
      </c>
      <c r="M17" s="5">
        <v>6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</row>
    <row r="18" spans="1:52" ht="28.5">
      <c r="A18" s="5" t="s">
        <v>415</v>
      </c>
      <c r="B18" s="5">
        <v>1.5</v>
      </c>
      <c r="C18" s="5" t="s">
        <v>376</v>
      </c>
      <c r="D18" s="5" t="s">
        <v>416</v>
      </c>
      <c r="E18" s="5" t="s">
        <v>370</v>
      </c>
      <c r="F18" s="5" t="s">
        <v>417</v>
      </c>
      <c r="G18" s="3"/>
      <c r="H18" s="5"/>
      <c r="I18" s="5"/>
      <c r="J18" s="5"/>
      <c r="K18" s="5"/>
      <c r="L18" s="5"/>
      <c r="M18" s="5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</row>
    <row r="19" spans="1:52" ht="15">
      <c r="A19" s="5" t="s">
        <v>418</v>
      </c>
      <c r="B19" s="5" t="s">
        <v>419</v>
      </c>
      <c r="C19" s="5" t="s">
        <v>420</v>
      </c>
      <c r="D19" s="5" t="s">
        <v>421</v>
      </c>
      <c r="E19" s="5" t="s">
        <v>82</v>
      </c>
      <c r="F19" s="5" t="s">
        <v>410</v>
      </c>
      <c r="G19" s="3"/>
      <c r="H19" s="63" t="s">
        <v>422</v>
      </c>
      <c r="I19" s="63"/>
      <c r="J19" s="63"/>
      <c r="K19" s="63"/>
      <c r="L19" s="63"/>
      <c r="M19" s="6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</row>
    <row r="20" spans="1:52">
      <c r="A20" s="5" t="s">
        <v>423</v>
      </c>
      <c r="B20" s="5" t="s">
        <v>424</v>
      </c>
      <c r="C20" s="5" t="s">
        <v>420</v>
      </c>
      <c r="D20" s="5" t="s">
        <v>421</v>
      </c>
      <c r="E20" s="5" t="s">
        <v>82</v>
      </c>
      <c r="F20" s="5" t="s">
        <v>410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</row>
    <row r="21" spans="1:52" ht="28.5">
      <c r="A21" s="5" t="s">
        <v>425</v>
      </c>
      <c r="B21" s="5" t="s">
        <v>426</v>
      </c>
      <c r="C21" s="5" t="s">
        <v>427</v>
      </c>
      <c r="D21" s="5" t="s">
        <v>428</v>
      </c>
      <c r="E21" s="5" t="s">
        <v>82</v>
      </c>
      <c r="F21" s="5" t="s">
        <v>405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</row>
    <row r="22" spans="1:5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</row>
    <row r="23" spans="1:5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</row>
    <row r="24" spans="1:5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</row>
    <row r="25" spans="1:5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</row>
    <row r="26" spans="1:5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</row>
    <row r="27" spans="1:5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</row>
    <row r="28" spans="1:5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</row>
    <row r="29" spans="1:5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</row>
    <row r="30" spans="1:5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</row>
    <row r="31" spans="1:5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</row>
    <row r="32" spans="1:5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</row>
    <row r="33" spans="1:5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</row>
    <row r="34" spans="1:5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</row>
    <row r="35" spans="1:5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</row>
    <row r="36" spans="1:5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</row>
    <row r="37" spans="1:5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</row>
    <row r="38" spans="1:5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</row>
    <row r="39" spans="1:5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</row>
    <row r="40" spans="1:5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</row>
    <row r="41" spans="1:5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</row>
    <row r="42" spans="1:5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</row>
    <row r="43" spans="1:5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</row>
    <row r="44" spans="1:5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</row>
    <row r="45" spans="1:5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</row>
    <row r="46" spans="1:5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</row>
    <row r="47" spans="1:5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</row>
    <row r="48" spans="1:5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</row>
    <row r="49" spans="1:5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</row>
    <row r="50" spans="1:5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</row>
    <row r="51" spans="1:5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</row>
    <row r="52" spans="1: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</row>
    <row r="53" spans="1:5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</row>
    <row r="54" spans="1:5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</row>
    <row r="55" spans="1:5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</row>
    <row r="56" spans="1:5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</row>
    <row r="57" spans="1:5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</row>
    <row r="58" spans="1:5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</row>
    <row r="59" spans="1:5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</row>
    <row r="60" spans="1:5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</row>
    <row r="61" spans="1:5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</row>
    <row r="62" spans="1:5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</row>
    <row r="63" spans="1:5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</row>
    <row r="64" spans="1:5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</row>
    <row r="65" spans="1:5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</row>
    <row r="66" spans="1:5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</row>
    <row r="67" spans="1:5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</row>
    <row r="68" spans="1:5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</row>
    <row r="69" spans="1:5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</row>
    <row r="70" spans="1:5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</row>
    <row r="71" spans="1:5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</row>
    <row r="72" spans="1:5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</row>
    <row r="73" spans="1:5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</row>
    <row r="74" spans="1:5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</row>
    <row r="75" spans="1:5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</row>
    <row r="76" spans="1:5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</row>
    <row r="77" spans="1:5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</row>
    <row r="78" spans="1:5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</row>
    <row r="79" spans="1:5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</row>
    <row r="80" spans="1:5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</row>
    <row r="81" spans="1:5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</row>
    <row r="82" spans="1:5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</row>
    <row r="83" spans="1:5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</row>
    <row r="84" spans="1:5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</row>
    <row r="85" spans="1:5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</row>
    <row r="86" spans="1:5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</row>
    <row r="87" spans="1:5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</row>
    <row r="88" spans="1:5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</row>
    <row r="89" spans="1:5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</row>
    <row r="90" spans="1:5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</row>
    <row r="91" spans="1:5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</row>
    <row r="92" spans="1:5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</row>
    <row r="93" spans="1:5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</row>
    <row r="94" spans="1:5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</row>
    <row r="95" spans="1:5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</row>
    <row r="96" spans="1:5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</row>
    <row r="97" spans="1:5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</row>
    <row r="98" spans="1:5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</row>
    <row r="99" spans="1:5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</row>
    <row r="100" spans="1:5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</row>
    <row r="101" spans="1:5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</row>
    <row r="102" spans="1:5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</row>
    <row r="103" spans="1:5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</row>
    <row r="104" spans="1:5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</row>
    <row r="105" spans="1:5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</row>
    <row r="106" spans="1:5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</row>
    <row r="107" spans="1:5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</row>
    <row r="108" spans="1:5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</row>
    <row r="109" spans="1:5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</row>
    <row r="110" spans="1:5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</row>
    <row r="111" spans="1:5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</row>
    <row r="112" spans="1:5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</row>
    <row r="113" spans="1:5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</row>
    <row r="114" spans="1:5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</row>
    <row r="115" spans="1:5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</row>
    <row r="116" spans="1:5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</row>
    <row r="117" spans="1:5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</row>
    <row r="118" spans="1:5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</row>
    <row r="119" spans="1:5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</row>
    <row r="120" spans="1:5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</row>
    <row r="121" spans="1:5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</row>
    <row r="122" spans="1:5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</row>
    <row r="123" spans="1:5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</row>
    <row r="124" spans="1:5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</row>
    <row r="125" spans="1:5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</row>
    <row r="126" spans="1:5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</row>
    <row r="127" spans="1:5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</row>
    <row r="128" spans="1:5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</row>
    <row r="129" spans="1:5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</row>
    <row r="130" spans="1:5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</row>
    <row r="131" spans="1:5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</row>
    <row r="132" spans="1:5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</row>
    <row r="133" spans="1:5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</row>
    <row r="134" spans="1:5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</row>
    <row r="135" spans="1:5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</row>
    <row r="136" spans="1:5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</row>
    <row r="137" spans="1:5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</row>
    <row r="138" spans="1:5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</row>
    <row r="139" spans="1:5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</row>
    <row r="140" spans="1:5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</row>
    <row r="141" spans="1:5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</row>
    <row r="142" spans="1:5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</row>
    <row r="143" spans="1:5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</row>
    <row r="144" spans="1:5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</row>
    <row r="145" spans="1:5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</row>
    <row r="146" spans="1:5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</row>
    <row r="147" spans="1:5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</row>
    <row r="148" spans="1:5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</row>
    <row r="149" spans="1:5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</row>
    <row r="150" spans="1:5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</row>
    <row r="151" spans="1:5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</row>
    <row r="152" spans="1: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</row>
    <row r="153" spans="1:5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</row>
    <row r="154" spans="1:5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</row>
    <row r="155" spans="1:5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</row>
    <row r="156" spans="1:5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</row>
    <row r="157" spans="1:5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</row>
    <row r="158" spans="1:5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</row>
    <row r="159" spans="1:5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</row>
    <row r="160" spans="1:5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</row>
    <row r="161" spans="1:5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</row>
    <row r="162" spans="1:5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</row>
    <row r="163" spans="1:5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</row>
    <row r="164" spans="1:5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</row>
    <row r="165" spans="1:5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</row>
    <row r="166" spans="1:5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</row>
    <row r="167" spans="1:5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</row>
    <row r="168" spans="1:5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</row>
    <row r="169" spans="1:5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</row>
    <row r="170" spans="1:5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</row>
    <row r="171" spans="1:5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</row>
    <row r="172" spans="1:5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</row>
    <row r="173" spans="1:5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</row>
    <row r="174" spans="1:5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</row>
    <row r="175" spans="1:5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</row>
    <row r="176" spans="1:5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</row>
    <row r="177" spans="1:5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</row>
    <row r="178" spans="1:5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</row>
    <row r="179" spans="1:5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</row>
    <row r="180" spans="1:5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</row>
    <row r="181" spans="1:5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</row>
    <row r="182" spans="1:5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</row>
    <row r="183" spans="1:5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</row>
    <row r="184" spans="1:5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</row>
    <row r="185" spans="1:5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</row>
    <row r="186" spans="1:5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</row>
    <row r="187" spans="1:5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</row>
    <row r="188" spans="1:5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</row>
    <row r="189" spans="1:5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</row>
    <row r="190" spans="1:5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</row>
    <row r="191" spans="1:5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</row>
    <row r="192" spans="1:5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</row>
    <row r="193" spans="1:5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</row>
    <row r="194" spans="1:5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</row>
    <row r="195" spans="1:5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</row>
    <row r="196" spans="1:5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</row>
    <row r="197" spans="1:5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</row>
    <row r="198" spans="1:5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</row>
    <row r="199" spans="1:5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</row>
    <row r="200" spans="1:5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</row>
  </sheetData>
  <mergeCells count="4">
    <mergeCell ref="A1:F1"/>
    <mergeCell ref="A2:F2"/>
    <mergeCell ref="H14:M14"/>
    <mergeCell ref="H19:M1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Z200"/>
  <sheetViews>
    <sheetView workbookViewId="0">
      <selection activeCell="C19" sqref="C19"/>
    </sheetView>
  </sheetViews>
  <sheetFormatPr baseColWidth="10" defaultColWidth="8.75" defaultRowHeight="14.25"/>
  <cols>
    <col min="1" max="1" width="28" customWidth="1"/>
    <col min="2" max="2" width="30" customWidth="1"/>
    <col min="3" max="3" width="55" customWidth="1"/>
    <col min="4" max="4" width="28" customWidth="1"/>
    <col min="5" max="5" width="18" customWidth="1"/>
    <col min="6" max="7" width="12" customWidth="1"/>
    <col min="8" max="8" width="40" customWidth="1"/>
  </cols>
  <sheetData>
    <row r="1" spans="1:52" ht="22.35" customHeight="1">
      <c r="A1" s="56" t="s">
        <v>484</v>
      </c>
      <c r="B1" s="57"/>
      <c r="C1" s="57"/>
      <c r="D1" s="57"/>
      <c r="E1" s="57"/>
      <c r="F1" s="57"/>
      <c r="G1" s="57"/>
      <c r="H1" s="57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</row>
    <row r="2" spans="1:52" ht="28.15" customHeight="1">
      <c r="A2" s="58" t="s">
        <v>485</v>
      </c>
      <c r="B2" s="57"/>
      <c r="C2" s="57"/>
      <c r="D2" s="57"/>
      <c r="E2" s="57"/>
      <c r="F2" s="57"/>
      <c r="G2" s="57"/>
      <c r="H2" s="57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</row>
    <row r="3" spans="1:5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</row>
    <row r="4" spans="1:52" ht="15">
      <c r="A4" s="4" t="s">
        <v>486</v>
      </c>
      <c r="B4" s="4" t="s">
        <v>487</v>
      </c>
      <c r="C4" s="4" t="s">
        <v>488</v>
      </c>
      <c r="D4" s="4" t="s">
        <v>489</v>
      </c>
      <c r="E4" s="4" t="s">
        <v>490</v>
      </c>
      <c r="F4" s="4" t="s">
        <v>491</v>
      </c>
      <c r="G4" s="4" t="s">
        <v>6</v>
      </c>
      <c r="H4" s="4" t="s">
        <v>492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</row>
    <row r="5" spans="1:52" ht="28.5">
      <c r="A5" s="5" t="s">
        <v>493</v>
      </c>
      <c r="B5" s="5" t="s">
        <v>494</v>
      </c>
      <c r="C5" s="5" t="s">
        <v>495</v>
      </c>
      <c r="D5" s="5" t="s">
        <v>496</v>
      </c>
      <c r="E5" s="5" t="s">
        <v>497</v>
      </c>
      <c r="F5" s="5" t="s">
        <v>81</v>
      </c>
      <c r="G5" s="5" t="s">
        <v>13</v>
      </c>
      <c r="H5" s="5" t="s">
        <v>498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</row>
    <row r="6" spans="1:52" ht="28.5">
      <c r="A6" s="5" t="s">
        <v>499</v>
      </c>
      <c r="B6" s="5" t="s">
        <v>500</v>
      </c>
      <c r="C6" s="5" t="s">
        <v>501</v>
      </c>
      <c r="D6" s="5" t="s">
        <v>502</v>
      </c>
      <c r="E6" s="5" t="s">
        <v>497</v>
      </c>
      <c r="F6" s="5" t="s">
        <v>81</v>
      </c>
      <c r="G6" s="5" t="s">
        <v>20</v>
      </c>
      <c r="H6" s="5" t="s">
        <v>503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</row>
    <row r="7" spans="1:52" ht="28.5">
      <c r="A7" s="5" t="s">
        <v>504</v>
      </c>
      <c r="B7" s="5" t="s">
        <v>505</v>
      </c>
      <c r="C7" s="5" t="s">
        <v>506</v>
      </c>
      <c r="D7" s="5" t="s">
        <v>507</v>
      </c>
      <c r="E7" s="5" t="s">
        <v>508</v>
      </c>
      <c r="F7" s="5" t="s">
        <v>81</v>
      </c>
      <c r="G7" s="5" t="s">
        <v>13</v>
      </c>
      <c r="H7" s="5" t="s">
        <v>509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</row>
    <row r="8" spans="1:52" ht="28.5">
      <c r="A8" s="5" t="s">
        <v>510</v>
      </c>
      <c r="B8" s="5" t="s">
        <v>511</v>
      </c>
      <c r="C8" s="5" t="s">
        <v>512</v>
      </c>
      <c r="D8" s="5" t="s">
        <v>513</v>
      </c>
      <c r="E8" s="5" t="s">
        <v>514</v>
      </c>
      <c r="F8" s="5" t="s">
        <v>81</v>
      </c>
      <c r="G8" s="5" t="s">
        <v>13</v>
      </c>
      <c r="H8" s="5" t="s">
        <v>515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</row>
    <row r="9" spans="1:52">
      <c r="A9" s="5" t="s">
        <v>183</v>
      </c>
      <c r="B9" s="5" t="s">
        <v>516</v>
      </c>
      <c r="C9" s="5" t="s">
        <v>517</v>
      </c>
      <c r="D9" s="5" t="s">
        <v>518</v>
      </c>
      <c r="E9" s="5" t="s">
        <v>519</v>
      </c>
      <c r="F9" s="5" t="s">
        <v>81</v>
      </c>
      <c r="G9" s="5" t="s">
        <v>20</v>
      </c>
      <c r="H9" s="5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</row>
    <row r="10" spans="1:52">
      <c r="A10" s="5" t="s">
        <v>520</v>
      </c>
      <c r="B10" s="5" t="s">
        <v>521</v>
      </c>
      <c r="C10" s="5" t="s">
        <v>522</v>
      </c>
      <c r="D10" s="5" t="s">
        <v>518</v>
      </c>
      <c r="E10" s="5" t="s">
        <v>519</v>
      </c>
      <c r="F10" s="5" t="s">
        <v>81</v>
      </c>
      <c r="G10" s="5" t="s">
        <v>20</v>
      </c>
      <c r="H10" s="5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</row>
    <row r="11" spans="1:52">
      <c r="A11" s="5" t="s">
        <v>143</v>
      </c>
      <c r="B11" s="5" t="s">
        <v>523</v>
      </c>
      <c r="C11" s="5" t="s">
        <v>524</v>
      </c>
      <c r="D11" s="5" t="s">
        <v>525</v>
      </c>
      <c r="E11" s="5" t="s">
        <v>526</v>
      </c>
      <c r="F11" s="5" t="s">
        <v>81</v>
      </c>
      <c r="G11" s="5" t="s">
        <v>20</v>
      </c>
      <c r="H11" s="5" t="s">
        <v>527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</row>
    <row r="12" spans="1:52">
      <c r="A12" s="5" t="s">
        <v>528</v>
      </c>
      <c r="B12" s="5" t="s">
        <v>529</v>
      </c>
      <c r="C12" s="5" t="s">
        <v>530</v>
      </c>
      <c r="D12" s="5" t="s">
        <v>119</v>
      </c>
      <c r="E12" s="5" t="s">
        <v>526</v>
      </c>
      <c r="F12" s="5" t="s">
        <v>81</v>
      </c>
      <c r="G12" s="5" t="s">
        <v>20</v>
      </c>
      <c r="H12" s="5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</row>
    <row r="13" spans="1:52">
      <c r="A13" s="5" t="s">
        <v>432</v>
      </c>
      <c r="B13" s="5" t="s">
        <v>531</v>
      </c>
      <c r="C13" s="5" t="s">
        <v>532</v>
      </c>
      <c r="D13" s="5" t="s">
        <v>533</v>
      </c>
      <c r="E13" s="5" t="s">
        <v>497</v>
      </c>
      <c r="F13" s="5" t="s">
        <v>81</v>
      </c>
      <c r="G13" s="5" t="s">
        <v>20</v>
      </c>
      <c r="H13" s="5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</row>
    <row r="14" spans="1:52">
      <c r="A14" s="5" t="s">
        <v>534</v>
      </c>
      <c r="B14" s="5" t="s">
        <v>535</v>
      </c>
      <c r="C14" s="5" t="s">
        <v>536</v>
      </c>
      <c r="D14" s="5" t="s">
        <v>537</v>
      </c>
      <c r="E14" s="5" t="s">
        <v>526</v>
      </c>
      <c r="F14" s="5" t="s">
        <v>81</v>
      </c>
      <c r="G14" s="5" t="s">
        <v>538</v>
      </c>
      <c r="H14" s="5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</row>
    <row r="15" spans="1:52">
      <c r="A15" s="5" t="s">
        <v>539</v>
      </c>
      <c r="B15" s="5" t="s">
        <v>540</v>
      </c>
      <c r="C15" s="5" t="s">
        <v>541</v>
      </c>
      <c r="D15" s="5" t="s">
        <v>542</v>
      </c>
      <c r="E15" s="5" t="s">
        <v>526</v>
      </c>
      <c r="F15" s="5" t="s">
        <v>81</v>
      </c>
      <c r="G15" s="5" t="s">
        <v>20</v>
      </c>
      <c r="H15" s="5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</row>
    <row r="16" spans="1:52">
      <c r="A16" s="5" t="s">
        <v>543</v>
      </c>
      <c r="B16" s="5" t="s">
        <v>544</v>
      </c>
      <c r="C16" s="5" t="s">
        <v>545</v>
      </c>
      <c r="D16" s="5" t="s">
        <v>502</v>
      </c>
      <c r="E16" s="5" t="s">
        <v>526</v>
      </c>
      <c r="F16" s="5" t="s">
        <v>81</v>
      </c>
      <c r="G16" s="5" t="s">
        <v>20</v>
      </c>
      <c r="H16" s="5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</row>
    <row r="17" spans="1:52">
      <c r="A17" s="5" t="s">
        <v>546</v>
      </c>
      <c r="B17" s="5" t="s">
        <v>547</v>
      </c>
      <c r="C17" s="5" t="s">
        <v>548</v>
      </c>
      <c r="D17" s="5" t="s">
        <v>513</v>
      </c>
      <c r="E17" s="5" t="s">
        <v>497</v>
      </c>
      <c r="F17" s="5" t="s">
        <v>81</v>
      </c>
      <c r="G17" s="5" t="s">
        <v>13</v>
      </c>
      <c r="H17" s="5" t="s">
        <v>549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</row>
    <row r="18" spans="1:5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</row>
    <row r="19" spans="1:5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</row>
    <row r="20" spans="1:5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</row>
    <row r="21" spans="1:5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</row>
    <row r="22" spans="1:5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</row>
    <row r="23" spans="1:5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</row>
    <row r="24" spans="1:5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</row>
    <row r="25" spans="1:5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</row>
    <row r="26" spans="1:5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</row>
    <row r="27" spans="1:5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</row>
    <row r="28" spans="1:5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</row>
    <row r="29" spans="1:5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</row>
    <row r="30" spans="1:5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</row>
    <row r="31" spans="1:5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</row>
    <row r="32" spans="1:5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</row>
    <row r="33" spans="1:5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</row>
    <row r="34" spans="1:5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</row>
    <row r="35" spans="1:5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</row>
    <row r="36" spans="1:5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</row>
    <row r="37" spans="1:5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</row>
    <row r="38" spans="1:5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</row>
    <row r="39" spans="1:5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</row>
    <row r="40" spans="1:5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</row>
    <row r="41" spans="1:5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</row>
    <row r="42" spans="1:5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</row>
    <row r="43" spans="1:5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</row>
    <row r="44" spans="1:5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</row>
    <row r="45" spans="1:5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</row>
    <row r="46" spans="1:5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</row>
    <row r="47" spans="1:5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</row>
    <row r="48" spans="1:5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</row>
    <row r="49" spans="1:5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</row>
    <row r="50" spans="1:5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</row>
    <row r="51" spans="1:5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</row>
    <row r="52" spans="1: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</row>
    <row r="53" spans="1:5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</row>
    <row r="54" spans="1:5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</row>
    <row r="55" spans="1:5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</row>
    <row r="56" spans="1:5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</row>
    <row r="57" spans="1:5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</row>
    <row r="58" spans="1:5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</row>
    <row r="59" spans="1:5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</row>
    <row r="60" spans="1:5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</row>
    <row r="61" spans="1:5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</row>
    <row r="62" spans="1:5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</row>
    <row r="63" spans="1:5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</row>
    <row r="64" spans="1:5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</row>
    <row r="65" spans="1:5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</row>
    <row r="66" spans="1:5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</row>
    <row r="67" spans="1:5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</row>
    <row r="68" spans="1:5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</row>
    <row r="69" spans="1:5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</row>
    <row r="70" spans="1:5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</row>
    <row r="71" spans="1:5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</row>
    <row r="72" spans="1:5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</row>
    <row r="73" spans="1:5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</row>
    <row r="74" spans="1:5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</row>
    <row r="75" spans="1:5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</row>
    <row r="76" spans="1:5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</row>
    <row r="77" spans="1:5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</row>
    <row r="78" spans="1:5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</row>
    <row r="79" spans="1:5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</row>
    <row r="80" spans="1:5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</row>
    <row r="81" spans="1:5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</row>
    <row r="82" spans="1:5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</row>
    <row r="83" spans="1:5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</row>
    <row r="84" spans="1:5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</row>
    <row r="85" spans="1:5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</row>
    <row r="86" spans="1:5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</row>
    <row r="87" spans="1:5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</row>
    <row r="88" spans="1:5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</row>
    <row r="89" spans="1:5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</row>
    <row r="90" spans="1:5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</row>
    <row r="91" spans="1:5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</row>
    <row r="92" spans="1:5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</row>
    <row r="93" spans="1:5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</row>
    <row r="94" spans="1:5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</row>
    <row r="95" spans="1:5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</row>
    <row r="96" spans="1:5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</row>
    <row r="97" spans="1:5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</row>
    <row r="98" spans="1:5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</row>
    <row r="99" spans="1:5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</row>
    <row r="100" spans="1:5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</row>
    <row r="101" spans="1:5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</row>
    <row r="102" spans="1:5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</row>
    <row r="103" spans="1:5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</row>
    <row r="104" spans="1:5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</row>
    <row r="105" spans="1:5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</row>
    <row r="106" spans="1:5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</row>
    <row r="107" spans="1:5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</row>
    <row r="108" spans="1:5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</row>
    <row r="109" spans="1:5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</row>
    <row r="110" spans="1:5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</row>
    <row r="111" spans="1:5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</row>
    <row r="112" spans="1:5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</row>
    <row r="113" spans="1:5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</row>
    <row r="114" spans="1:5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</row>
    <row r="115" spans="1:5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</row>
    <row r="116" spans="1:5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</row>
    <row r="117" spans="1:5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</row>
    <row r="118" spans="1:5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</row>
    <row r="119" spans="1:5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</row>
    <row r="120" spans="1:5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</row>
    <row r="121" spans="1:5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</row>
    <row r="122" spans="1:5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</row>
    <row r="123" spans="1:5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</row>
    <row r="124" spans="1:5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</row>
    <row r="125" spans="1:5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</row>
    <row r="126" spans="1:5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</row>
    <row r="127" spans="1:5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</row>
    <row r="128" spans="1:5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</row>
    <row r="129" spans="1:5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</row>
    <row r="130" spans="1:5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</row>
    <row r="131" spans="1:5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</row>
    <row r="132" spans="1:5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</row>
    <row r="133" spans="1:5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</row>
    <row r="134" spans="1:5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</row>
    <row r="135" spans="1:5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</row>
    <row r="136" spans="1:5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</row>
    <row r="137" spans="1:5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</row>
    <row r="138" spans="1:5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</row>
    <row r="139" spans="1:5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</row>
    <row r="140" spans="1:5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</row>
    <row r="141" spans="1:5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</row>
    <row r="142" spans="1:5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</row>
    <row r="143" spans="1:5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</row>
    <row r="144" spans="1:5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</row>
    <row r="145" spans="1:5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</row>
    <row r="146" spans="1:5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</row>
    <row r="147" spans="1:5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</row>
    <row r="148" spans="1:5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</row>
    <row r="149" spans="1:5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</row>
    <row r="150" spans="1:5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</row>
    <row r="151" spans="1:5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</row>
    <row r="152" spans="1: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</row>
    <row r="153" spans="1:5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</row>
    <row r="154" spans="1:5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</row>
    <row r="155" spans="1:5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</row>
    <row r="156" spans="1:5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</row>
    <row r="157" spans="1:5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</row>
    <row r="158" spans="1:5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</row>
    <row r="159" spans="1:5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</row>
    <row r="160" spans="1:5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</row>
    <row r="161" spans="1:5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</row>
    <row r="162" spans="1:5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</row>
    <row r="163" spans="1:5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</row>
    <row r="164" spans="1:5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</row>
    <row r="165" spans="1:5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</row>
    <row r="166" spans="1:5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</row>
    <row r="167" spans="1:5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</row>
    <row r="168" spans="1:5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</row>
    <row r="169" spans="1:5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</row>
    <row r="170" spans="1:5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</row>
    <row r="171" spans="1:5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</row>
    <row r="172" spans="1:5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</row>
    <row r="173" spans="1:5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</row>
    <row r="174" spans="1:5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</row>
    <row r="175" spans="1:5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</row>
    <row r="176" spans="1:5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</row>
    <row r="177" spans="1:5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</row>
    <row r="178" spans="1:5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</row>
    <row r="179" spans="1:5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</row>
    <row r="180" spans="1:5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</row>
    <row r="181" spans="1:5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</row>
    <row r="182" spans="1:5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</row>
    <row r="183" spans="1:5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</row>
    <row r="184" spans="1:5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</row>
    <row r="185" spans="1:5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</row>
    <row r="186" spans="1:5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</row>
    <row r="187" spans="1:5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</row>
    <row r="188" spans="1:5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</row>
    <row r="189" spans="1:5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</row>
    <row r="190" spans="1:5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</row>
    <row r="191" spans="1:5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</row>
    <row r="192" spans="1:5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</row>
    <row r="193" spans="1:5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</row>
    <row r="194" spans="1:5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</row>
    <row r="195" spans="1:5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</row>
    <row r="196" spans="1:5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</row>
    <row r="197" spans="1:5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</row>
    <row r="198" spans="1:5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</row>
    <row r="199" spans="1:5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</row>
    <row r="200" spans="1:5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</row>
  </sheetData>
  <mergeCells count="2">
    <mergeCell ref="A1:H1"/>
    <mergeCell ref="A2: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Z200"/>
  <sheetViews>
    <sheetView topLeftCell="A2" workbookViewId="0">
      <selection activeCell="G15" sqref="G15"/>
    </sheetView>
  </sheetViews>
  <sheetFormatPr baseColWidth="10" defaultColWidth="8.75" defaultRowHeight="14.25"/>
  <cols>
    <col min="1" max="1" width="12" customWidth="1"/>
    <col min="2" max="2" width="30" customWidth="1"/>
    <col min="3" max="4" width="35" customWidth="1"/>
    <col min="5" max="5" width="25" customWidth="1"/>
    <col min="6" max="6" width="18" customWidth="1"/>
    <col min="7" max="7" width="30" customWidth="1"/>
  </cols>
  <sheetData>
    <row r="1" spans="1:52" ht="22.35" customHeight="1">
      <c r="A1" s="56" t="s">
        <v>550</v>
      </c>
      <c r="B1" s="57"/>
      <c r="C1" s="57"/>
      <c r="D1" s="57"/>
      <c r="E1" s="57"/>
      <c r="F1" s="57"/>
      <c r="G1" s="57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</row>
    <row r="2" spans="1:52" ht="28.15" customHeight="1">
      <c r="A2" s="58" t="s">
        <v>551</v>
      </c>
      <c r="B2" s="57"/>
      <c r="C2" s="57"/>
      <c r="D2" s="57"/>
      <c r="E2" s="57"/>
      <c r="F2" s="57"/>
      <c r="G2" s="57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</row>
    <row r="3" spans="1:5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</row>
    <row r="4" spans="1:52" ht="15">
      <c r="A4" s="4" t="s">
        <v>552</v>
      </c>
      <c r="B4" s="4" t="s">
        <v>553</v>
      </c>
      <c r="C4" s="4" t="s">
        <v>554</v>
      </c>
      <c r="D4" s="4" t="s">
        <v>555</v>
      </c>
      <c r="E4" s="4" t="s">
        <v>556</v>
      </c>
      <c r="F4" s="4" t="s">
        <v>557</v>
      </c>
      <c r="G4" s="4" t="s">
        <v>8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</row>
    <row r="5" spans="1:52">
      <c r="A5" s="5" t="s">
        <v>558</v>
      </c>
      <c r="B5" s="5" t="s">
        <v>559</v>
      </c>
      <c r="C5" s="5" t="s">
        <v>560</v>
      </c>
      <c r="D5" s="5" t="s">
        <v>561</v>
      </c>
      <c r="E5" s="5"/>
      <c r="F5" s="5" t="s">
        <v>562</v>
      </c>
      <c r="G5" s="5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</row>
    <row r="6" spans="1:52">
      <c r="A6" s="5" t="s">
        <v>563</v>
      </c>
      <c r="B6" s="5" t="s">
        <v>564</v>
      </c>
      <c r="C6" s="5" t="s">
        <v>565</v>
      </c>
      <c r="D6" s="5" t="s">
        <v>566</v>
      </c>
      <c r="E6" s="5"/>
      <c r="F6" s="5" t="s">
        <v>562</v>
      </c>
      <c r="G6" s="5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</row>
    <row r="7" spans="1:52" ht="28.5">
      <c r="A7" s="5" t="s">
        <v>567</v>
      </c>
      <c r="B7" s="5" t="s">
        <v>568</v>
      </c>
      <c r="C7" s="5" t="s">
        <v>569</v>
      </c>
      <c r="D7" s="5" t="s">
        <v>566</v>
      </c>
      <c r="E7" s="5"/>
      <c r="F7" s="5" t="s">
        <v>562</v>
      </c>
      <c r="G7" s="5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</row>
    <row r="8" spans="1:52">
      <c r="A8" s="5" t="s">
        <v>570</v>
      </c>
      <c r="B8" s="5" t="s">
        <v>432</v>
      </c>
      <c r="C8" s="5" t="s">
        <v>571</v>
      </c>
      <c r="D8" s="5" t="s">
        <v>572</v>
      </c>
      <c r="E8" s="5"/>
      <c r="F8" s="5" t="s">
        <v>562</v>
      </c>
      <c r="G8" s="5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</row>
    <row r="9" spans="1:52">
      <c r="A9" s="5" t="s">
        <v>573</v>
      </c>
      <c r="B9" s="5" t="s">
        <v>303</v>
      </c>
      <c r="C9" s="5" t="s">
        <v>574</v>
      </c>
      <c r="D9" s="5" t="s">
        <v>575</v>
      </c>
      <c r="E9" s="5"/>
      <c r="F9" s="5" t="s">
        <v>562</v>
      </c>
      <c r="G9" s="5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</row>
    <row r="10" spans="1:52">
      <c r="A10" s="5" t="s">
        <v>576</v>
      </c>
      <c r="B10" s="5" t="s">
        <v>577</v>
      </c>
      <c r="C10" s="5" t="s">
        <v>578</v>
      </c>
      <c r="D10" s="5" t="s">
        <v>579</v>
      </c>
      <c r="E10" s="5"/>
      <c r="F10" s="5" t="s">
        <v>562</v>
      </c>
      <c r="G10" s="5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</row>
    <row r="11" spans="1:52">
      <c r="A11" s="5" t="s">
        <v>580</v>
      </c>
      <c r="B11" s="5" t="s">
        <v>581</v>
      </c>
      <c r="C11" s="5" t="s">
        <v>582</v>
      </c>
      <c r="D11" s="5" t="s">
        <v>583</v>
      </c>
      <c r="E11" s="5"/>
      <c r="F11" s="5" t="s">
        <v>562</v>
      </c>
      <c r="G11" s="5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</row>
    <row r="12" spans="1:52">
      <c r="A12" s="5" t="s">
        <v>584</v>
      </c>
      <c r="B12" s="5" t="s">
        <v>585</v>
      </c>
      <c r="C12" s="5" t="s">
        <v>586</v>
      </c>
      <c r="D12" s="5" t="s">
        <v>587</v>
      </c>
      <c r="E12" s="5"/>
      <c r="F12" s="5" t="s">
        <v>562</v>
      </c>
      <c r="G12" s="5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</row>
    <row r="13" spans="1:52">
      <c r="A13" s="5" t="s">
        <v>588</v>
      </c>
      <c r="B13" s="5" t="s">
        <v>589</v>
      </c>
      <c r="C13" s="5" t="s">
        <v>590</v>
      </c>
      <c r="D13" s="5" t="s">
        <v>591</v>
      </c>
      <c r="E13" s="5"/>
      <c r="F13" s="5" t="s">
        <v>562</v>
      </c>
      <c r="G13" s="5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</row>
    <row r="14" spans="1:52">
      <c r="A14" s="5" t="s">
        <v>592</v>
      </c>
      <c r="B14" s="5" t="s">
        <v>593</v>
      </c>
      <c r="C14" s="5" t="s">
        <v>594</v>
      </c>
      <c r="D14" s="5" t="s">
        <v>595</v>
      </c>
      <c r="E14" s="5"/>
      <c r="F14" s="5" t="s">
        <v>562</v>
      </c>
      <c r="G14" s="5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</row>
    <row r="15" spans="1:52">
      <c r="A15" s="5" t="s">
        <v>596</v>
      </c>
      <c r="B15" s="5" t="s">
        <v>597</v>
      </c>
      <c r="C15" s="5" t="s">
        <v>598</v>
      </c>
      <c r="D15" s="5" t="s">
        <v>599</v>
      </c>
      <c r="E15" s="5"/>
      <c r="F15" s="5" t="s">
        <v>562</v>
      </c>
      <c r="G15" s="5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</row>
    <row r="16" spans="1:52">
      <c r="A16" s="5" t="s">
        <v>600</v>
      </c>
      <c r="B16" s="5" t="s">
        <v>601</v>
      </c>
      <c r="C16" s="5" t="s">
        <v>602</v>
      </c>
      <c r="D16" s="5" t="s">
        <v>603</v>
      </c>
      <c r="E16" s="5"/>
      <c r="F16" s="5" t="s">
        <v>562</v>
      </c>
      <c r="G16" s="5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</row>
    <row r="17" spans="1:52">
      <c r="A17" s="3" t="s">
        <v>604</v>
      </c>
      <c r="B17" s="3" t="s">
        <v>605</v>
      </c>
      <c r="C17" s="3" t="s">
        <v>606</v>
      </c>
      <c r="D17" s="3" t="s">
        <v>607</v>
      </c>
      <c r="E17" s="3"/>
      <c r="F17" s="3" t="s">
        <v>562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</row>
    <row r="18" spans="1:52">
      <c r="A18" s="3" t="s">
        <v>608</v>
      </c>
      <c r="B18" s="3" t="s">
        <v>609</v>
      </c>
      <c r="C18" s="3" t="s">
        <v>610</v>
      </c>
      <c r="D18" s="3" t="s">
        <v>607</v>
      </c>
      <c r="E18" s="3"/>
      <c r="F18" s="3" t="s">
        <v>562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</row>
    <row r="19" spans="1:52">
      <c r="A19" s="3" t="s">
        <v>611</v>
      </c>
      <c r="B19" s="3" t="s">
        <v>612</v>
      </c>
      <c r="C19" s="3" t="s">
        <v>613</v>
      </c>
      <c r="D19" s="3" t="s">
        <v>607</v>
      </c>
      <c r="E19" s="3"/>
      <c r="F19" s="3" t="s">
        <v>562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</row>
    <row r="20" spans="1:52">
      <c r="A20" s="3" t="s">
        <v>614</v>
      </c>
      <c r="B20" s="3" t="s">
        <v>615</v>
      </c>
      <c r="C20" s="3" t="s">
        <v>616</v>
      </c>
      <c r="D20" s="3" t="s">
        <v>617</v>
      </c>
      <c r="E20" s="3"/>
      <c r="F20" s="3" t="s">
        <v>562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</row>
    <row r="21" spans="1:52">
      <c r="A21" s="3" t="s">
        <v>618</v>
      </c>
      <c r="B21" s="3" t="s">
        <v>619</v>
      </c>
      <c r="C21" s="3" t="s">
        <v>620</v>
      </c>
      <c r="D21" s="3" t="s">
        <v>621</v>
      </c>
      <c r="E21" s="3"/>
      <c r="F21" s="3" t="s">
        <v>562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</row>
    <row r="22" spans="1:52">
      <c r="A22" s="3" t="s">
        <v>622</v>
      </c>
      <c r="B22" s="3" t="s">
        <v>623</v>
      </c>
      <c r="C22" s="3" t="s">
        <v>624</v>
      </c>
      <c r="D22" s="3" t="s">
        <v>625</v>
      </c>
      <c r="E22" s="3"/>
      <c r="F22" s="3" t="s">
        <v>562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</row>
    <row r="23" spans="1:52">
      <c r="A23" s="3" t="s">
        <v>626</v>
      </c>
      <c r="B23" s="3" t="s">
        <v>627</v>
      </c>
      <c r="C23" s="3" t="s">
        <v>628</v>
      </c>
      <c r="D23" s="3" t="s">
        <v>629</v>
      </c>
      <c r="E23" s="3"/>
      <c r="F23" s="3" t="s">
        <v>562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</row>
    <row r="24" spans="1:52">
      <c r="A24" s="3" t="s">
        <v>630</v>
      </c>
      <c r="B24" s="3" t="s">
        <v>631</v>
      </c>
      <c r="C24" s="3" t="s">
        <v>632</v>
      </c>
      <c r="D24" s="3" t="s">
        <v>629</v>
      </c>
      <c r="E24" s="3"/>
      <c r="F24" s="3" t="s">
        <v>562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</row>
    <row r="25" spans="1:52">
      <c r="A25" s="3" t="s">
        <v>633</v>
      </c>
      <c r="B25" s="3" t="s">
        <v>634</v>
      </c>
      <c r="C25" s="3" t="s">
        <v>635</v>
      </c>
      <c r="D25" s="3" t="s">
        <v>636</v>
      </c>
      <c r="E25" s="3"/>
      <c r="F25" s="3" t="s">
        <v>562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</row>
    <row r="26" spans="1:52">
      <c r="A26" s="3" t="s">
        <v>637</v>
      </c>
      <c r="B26" s="3" t="s">
        <v>638</v>
      </c>
      <c r="C26" s="3" t="s">
        <v>639</v>
      </c>
      <c r="D26" s="3" t="s">
        <v>640</v>
      </c>
      <c r="E26" s="3"/>
      <c r="F26" s="3" t="s">
        <v>562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</row>
    <row r="27" spans="1:5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</row>
    <row r="28" spans="1:5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</row>
    <row r="29" spans="1:5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</row>
    <row r="30" spans="1:5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</row>
    <row r="31" spans="1:5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</row>
    <row r="32" spans="1:5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</row>
    <row r="33" spans="1:5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</row>
    <row r="34" spans="1:5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</row>
    <row r="35" spans="1:5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</row>
    <row r="36" spans="1:5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</row>
    <row r="37" spans="1:5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</row>
    <row r="38" spans="1:5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</row>
    <row r="39" spans="1:5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</row>
    <row r="40" spans="1:5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</row>
    <row r="41" spans="1:5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</row>
    <row r="42" spans="1:5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</row>
    <row r="43" spans="1:5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</row>
    <row r="44" spans="1:5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</row>
    <row r="45" spans="1:5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</row>
    <row r="46" spans="1:5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</row>
    <row r="47" spans="1:5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</row>
    <row r="48" spans="1:5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</row>
    <row r="49" spans="1:5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</row>
    <row r="50" spans="1:5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</row>
    <row r="51" spans="1:5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</row>
    <row r="52" spans="1: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</row>
    <row r="53" spans="1:5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</row>
    <row r="54" spans="1:5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</row>
    <row r="55" spans="1:5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</row>
    <row r="56" spans="1:5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</row>
    <row r="57" spans="1:5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</row>
    <row r="58" spans="1:5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</row>
    <row r="59" spans="1:5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</row>
    <row r="60" spans="1:5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</row>
    <row r="61" spans="1:5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</row>
    <row r="62" spans="1:5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</row>
    <row r="63" spans="1:5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</row>
    <row r="64" spans="1:5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</row>
    <row r="65" spans="1:5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</row>
    <row r="66" spans="1:5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</row>
    <row r="67" spans="1:5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</row>
    <row r="68" spans="1:5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</row>
    <row r="69" spans="1:5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</row>
    <row r="70" spans="1:5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</row>
    <row r="71" spans="1:5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</row>
    <row r="72" spans="1:5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</row>
    <row r="73" spans="1:5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</row>
    <row r="74" spans="1:5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</row>
    <row r="75" spans="1:5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</row>
    <row r="76" spans="1:5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</row>
    <row r="77" spans="1:5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</row>
    <row r="78" spans="1:5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</row>
    <row r="79" spans="1:5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</row>
    <row r="80" spans="1:5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</row>
    <row r="81" spans="1:5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</row>
    <row r="82" spans="1:5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</row>
    <row r="83" spans="1:5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</row>
    <row r="84" spans="1:5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</row>
    <row r="85" spans="1:5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</row>
    <row r="86" spans="1:5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</row>
    <row r="87" spans="1:5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</row>
    <row r="88" spans="1:5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</row>
    <row r="89" spans="1:5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</row>
    <row r="90" spans="1:5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</row>
    <row r="91" spans="1:5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</row>
    <row r="92" spans="1:5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</row>
    <row r="93" spans="1:5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</row>
    <row r="94" spans="1:5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</row>
    <row r="95" spans="1:5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</row>
    <row r="96" spans="1:5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</row>
    <row r="97" spans="1:5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</row>
    <row r="98" spans="1:5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</row>
    <row r="99" spans="1:5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</row>
    <row r="100" spans="1:5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</row>
    <row r="101" spans="1:5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</row>
    <row r="102" spans="1:5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</row>
    <row r="103" spans="1:5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</row>
    <row r="104" spans="1:5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</row>
    <row r="105" spans="1:5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</row>
    <row r="106" spans="1:5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</row>
    <row r="107" spans="1:5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</row>
    <row r="108" spans="1:5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</row>
    <row r="109" spans="1:5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</row>
    <row r="110" spans="1:5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</row>
    <row r="111" spans="1:5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</row>
    <row r="112" spans="1:5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</row>
    <row r="113" spans="1:5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</row>
    <row r="114" spans="1:5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</row>
    <row r="115" spans="1:5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</row>
    <row r="116" spans="1:5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</row>
    <row r="117" spans="1:5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</row>
    <row r="118" spans="1:5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</row>
    <row r="119" spans="1:5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</row>
    <row r="120" spans="1:5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</row>
    <row r="121" spans="1:5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</row>
    <row r="122" spans="1:5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</row>
    <row r="123" spans="1:5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</row>
    <row r="124" spans="1:5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</row>
    <row r="125" spans="1:5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</row>
    <row r="126" spans="1:5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</row>
    <row r="127" spans="1:5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</row>
    <row r="128" spans="1:5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</row>
    <row r="129" spans="1:5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</row>
    <row r="130" spans="1:5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</row>
    <row r="131" spans="1:5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</row>
    <row r="132" spans="1:5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</row>
    <row r="133" spans="1:5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</row>
    <row r="134" spans="1:5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</row>
    <row r="135" spans="1:5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</row>
    <row r="136" spans="1:5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</row>
    <row r="137" spans="1:5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</row>
    <row r="138" spans="1:5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</row>
    <row r="139" spans="1:5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</row>
    <row r="140" spans="1:5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</row>
    <row r="141" spans="1:5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</row>
    <row r="142" spans="1:5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</row>
    <row r="143" spans="1:5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</row>
    <row r="144" spans="1:5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</row>
    <row r="145" spans="1:5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</row>
    <row r="146" spans="1:5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</row>
    <row r="147" spans="1:5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</row>
    <row r="148" spans="1:5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</row>
    <row r="149" spans="1:5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</row>
    <row r="150" spans="1:5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</row>
    <row r="151" spans="1:5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</row>
    <row r="152" spans="1: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</row>
    <row r="153" spans="1:5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</row>
    <row r="154" spans="1:5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</row>
    <row r="155" spans="1:5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</row>
    <row r="156" spans="1:5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</row>
    <row r="157" spans="1:5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</row>
    <row r="158" spans="1:5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</row>
    <row r="159" spans="1:5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</row>
    <row r="160" spans="1:5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</row>
    <row r="161" spans="1:5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</row>
    <row r="162" spans="1:5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</row>
    <row r="163" spans="1:5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</row>
    <row r="164" spans="1:5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</row>
    <row r="165" spans="1:5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</row>
    <row r="166" spans="1:5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</row>
    <row r="167" spans="1:5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</row>
    <row r="168" spans="1:5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</row>
    <row r="169" spans="1:5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</row>
    <row r="170" spans="1:5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</row>
    <row r="171" spans="1:5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</row>
    <row r="172" spans="1:5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</row>
    <row r="173" spans="1:5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</row>
    <row r="174" spans="1:5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</row>
    <row r="175" spans="1:5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</row>
    <row r="176" spans="1:5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</row>
    <row r="177" spans="1:5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</row>
    <row r="178" spans="1:5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</row>
    <row r="179" spans="1:5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</row>
    <row r="180" spans="1:5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</row>
    <row r="181" spans="1:5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</row>
    <row r="182" spans="1:5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</row>
    <row r="183" spans="1:5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</row>
    <row r="184" spans="1:5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</row>
    <row r="185" spans="1:5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</row>
    <row r="186" spans="1:5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</row>
    <row r="187" spans="1:5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</row>
    <row r="188" spans="1:5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</row>
    <row r="189" spans="1:5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</row>
    <row r="190" spans="1:5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</row>
    <row r="191" spans="1:5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</row>
    <row r="192" spans="1:5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</row>
    <row r="193" spans="1:5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</row>
    <row r="194" spans="1:5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</row>
    <row r="195" spans="1:5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</row>
    <row r="196" spans="1:5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</row>
    <row r="197" spans="1:5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</row>
    <row r="198" spans="1:5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</row>
    <row r="199" spans="1:5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</row>
    <row r="200" spans="1:5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</row>
  </sheetData>
  <mergeCells count="2">
    <mergeCell ref="A1:G1"/>
    <mergeCell ref="A2:G2"/>
  </mergeCells>
  <conditionalFormatting sqref="F5:F16">
    <cfRule type="expression" dxfId="2" priority="1">
      <formula>F5="Aprobado"</formula>
    </cfRule>
    <cfRule type="expression" dxfId="1" priority="2">
      <formula>F5="Con diferencia"</formula>
    </cfRule>
    <cfRule type="expression" dxfId="0" priority="3">
      <formula>F5="Rechazado"</formula>
    </cfRule>
  </conditionalFormatting>
  <dataValidations count="1">
    <dataValidation type="list" sqref="F5:F100" xr:uid="{00000000-0002-0000-0800-000000000000}">
      <formula1>"Pendiente,Aprobado,Con diferencia,Rechazado"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Z150"/>
  <sheetViews>
    <sheetView workbookViewId="0">
      <selection sqref="A1:H1"/>
    </sheetView>
  </sheetViews>
  <sheetFormatPr baseColWidth="10" defaultColWidth="8.75" defaultRowHeight="14.25"/>
  <cols>
    <col min="1" max="1" width="18" customWidth="1"/>
    <col min="2" max="2" width="30" customWidth="1"/>
    <col min="3" max="3" width="24" customWidth="1"/>
    <col min="4" max="4" width="22" customWidth="1"/>
    <col min="5" max="5" width="24" customWidth="1"/>
    <col min="6" max="7" width="22" customWidth="1"/>
    <col min="8" max="8" width="38" customWidth="1"/>
  </cols>
  <sheetData>
    <row r="1" spans="1:52" ht="22.35" customHeight="1">
      <c r="A1" s="64" t="s">
        <v>641</v>
      </c>
      <c r="B1" s="57"/>
      <c r="C1" s="57"/>
      <c r="D1" s="57"/>
      <c r="E1" s="57"/>
      <c r="F1" s="57"/>
      <c r="G1" s="57"/>
      <c r="H1" s="57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</row>
    <row r="2" spans="1:52" ht="28.9" customHeight="1">
      <c r="A2" s="65" t="s">
        <v>642</v>
      </c>
      <c r="B2" s="57"/>
      <c r="C2" s="57"/>
      <c r="D2" s="57"/>
      <c r="E2" s="57"/>
      <c r="F2" s="57"/>
      <c r="G2" s="57"/>
      <c r="H2" s="57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</row>
    <row r="3" spans="1:5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</row>
    <row r="4" spans="1:52" ht="15">
      <c r="A4" s="11" t="s">
        <v>643</v>
      </c>
      <c r="B4" s="11" t="s">
        <v>644</v>
      </c>
      <c r="C4" s="11" t="s">
        <v>645</v>
      </c>
      <c r="D4" s="11" t="s">
        <v>646</v>
      </c>
      <c r="E4" s="11" t="s">
        <v>647</v>
      </c>
      <c r="F4" s="11" t="s">
        <v>648</v>
      </c>
      <c r="G4" s="11" t="s">
        <v>649</v>
      </c>
      <c r="H4" s="11" t="s">
        <v>650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</row>
    <row r="5" spans="1:52" ht="28.5">
      <c r="A5" s="5" t="s">
        <v>651</v>
      </c>
      <c r="B5" s="5" t="s">
        <v>652</v>
      </c>
      <c r="C5" s="5" t="s">
        <v>653</v>
      </c>
      <c r="D5" s="5" t="s">
        <v>654</v>
      </c>
      <c r="E5" s="5" t="s">
        <v>655</v>
      </c>
      <c r="F5" s="5" t="s">
        <v>656</v>
      </c>
      <c r="G5" s="5" t="s">
        <v>657</v>
      </c>
      <c r="H5" s="5" t="s">
        <v>658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</row>
    <row r="6" spans="1:52">
      <c r="A6" s="5" t="s">
        <v>659</v>
      </c>
      <c r="B6" s="5" t="s">
        <v>660</v>
      </c>
      <c r="C6" s="5" t="s">
        <v>661</v>
      </c>
      <c r="D6" s="5" t="s">
        <v>662</v>
      </c>
      <c r="E6" s="5" t="s">
        <v>663</v>
      </c>
      <c r="F6" s="5" t="s">
        <v>664</v>
      </c>
      <c r="G6" s="5" t="s">
        <v>657</v>
      </c>
      <c r="H6" s="5" t="s">
        <v>665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</row>
    <row r="7" spans="1:52" ht="28.5">
      <c r="A7" s="5" t="s">
        <v>666</v>
      </c>
      <c r="B7" s="5" t="s">
        <v>667</v>
      </c>
      <c r="C7" s="5" t="s">
        <v>668</v>
      </c>
      <c r="D7" s="5" t="s">
        <v>669</v>
      </c>
      <c r="E7" s="5" t="s">
        <v>670</v>
      </c>
      <c r="F7" s="5" t="s">
        <v>671</v>
      </c>
      <c r="G7" s="5" t="s">
        <v>657</v>
      </c>
      <c r="H7" s="5" t="s">
        <v>672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</row>
    <row r="8" spans="1:52">
      <c r="A8" s="5" t="s">
        <v>261</v>
      </c>
      <c r="B8" s="5" t="s">
        <v>673</v>
      </c>
      <c r="C8" s="5" t="s">
        <v>674</v>
      </c>
      <c r="D8" s="5" t="s">
        <v>218</v>
      </c>
      <c r="E8" s="5" t="s">
        <v>675</v>
      </c>
      <c r="F8" s="5" t="s">
        <v>676</v>
      </c>
      <c r="G8" s="5" t="s">
        <v>677</v>
      </c>
      <c r="H8" s="5" t="s">
        <v>678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</row>
    <row r="9" spans="1:52">
      <c r="A9" s="5" t="s">
        <v>679</v>
      </c>
      <c r="B9" s="5" t="s">
        <v>680</v>
      </c>
      <c r="C9" s="5" t="s">
        <v>681</v>
      </c>
      <c r="D9" s="5" t="s">
        <v>218</v>
      </c>
      <c r="E9" s="5" t="s">
        <v>682</v>
      </c>
      <c r="F9" s="5" t="s">
        <v>683</v>
      </c>
      <c r="G9" s="5" t="s">
        <v>677</v>
      </c>
      <c r="H9" s="5" t="s">
        <v>684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</row>
    <row r="10" spans="1:52">
      <c r="A10" s="5" t="s">
        <v>685</v>
      </c>
      <c r="B10" s="5" t="s">
        <v>686</v>
      </c>
      <c r="C10" s="5" t="s">
        <v>261</v>
      </c>
      <c r="D10" s="5" t="s">
        <v>687</v>
      </c>
      <c r="E10" s="5" t="s">
        <v>688</v>
      </c>
      <c r="F10" s="5" t="s">
        <v>689</v>
      </c>
      <c r="G10" s="5" t="s">
        <v>657</v>
      </c>
      <c r="H10" s="5" t="s">
        <v>690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</row>
    <row r="11" spans="1:52">
      <c r="A11" s="5" t="s">
        <v>691</v>
      </c>
      <c r="B11" s="5" t="s">
        <v>692</v>
      </c>
      <c r="C11" s="5" t="s">
        <v>693</v>
      </c>
      <c r="D11" s="5" t="s">
        <v>694</v>
      </c>
      <c r="E11" s="5" t="s">
        <v>695</v>
      </c>
      <c r="F11" s="5" t="s">
        <v>696</v>
      </c>
      <c r="G11" s="5" t="s">
        <v>657</v>
      </c>
      <c r="H11" s="5" t="s">
        <v>697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</row>
    <row r="12" spans="1:52">
      <c r="A12" s="5" t="s">
        <v>537</v>
      </c>
      <c r="B12" s="5" t="s">
        <v>698</v>
      </c>
      <c r="C12" s="5" t="s">
        <v>699</v>
      </c>
      <c r="D12" s="5" t="s">
        <v>700</v>
      </c>
      <c r="E12" s="5" t="s">
        <v>701</v>
      </c>
      <c r="F12" s="5" t="s">
        <v>167</v>
      </c>
      <c r="G12" s="5" t="s">
        <v>702</v>
      </c>
      <c r="H12" s="5" t="s">
        <v>703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</row>
    <row r="13" spans="1:52">
      <c r="A13" s="5" t="s">
        <v>704</v>
      </c>
      <c r="B13" s="5" t="s">
        <v>705</v>
      </c>
      <c r="C13" s="5" t="s">
        <v>706</v>
      </c>
      <c r="D13" s="5" t="s">
        <v>707</v>
      </c>
      <c r="E13" s="5" t="s">
        <v>670</v>
      </c>
      <c r="F13" s="5" t="s">
        <v>708</v>
      </c>
      <c r="G13" s="5" t="s">
        <v>657</v>
      </c>
      <c r="H13" s="5" t="s">
        <v>709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</row>
    <row r="14" spans="1:52">
      <c r="A14" s="5" t="s">
        <v>710</v>
      </c>
      <c r="B14" s="5" t="s">
        <v>711</v>
      </c>
      <c r="C14" s="5" t="s">
        <v>712</v>
      </c>
      <c r="D14" s="5" t="s">
        <v>713</v>
      </c>
      <c r="E14" s="5" t="s">
        <v>714</v>
      </c>
      <c r="F14" s="5" t="s">
        <v>715</v>
      </c>
      <c r="G14" s="5" t="s">
        <v>657</v>
      </c>
      <c r="H14" s="5" t="s">
        <v>716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</row>
    <row r="15" spans="1:52" ht="28.5">
      <c r="A15" s="5" t="s">
        <v>717</v>
      </c>
      <c r="B15" s="5" t="s">
        <v>718</v>
      </c>
      <c r="C15" s="5" t="s">
        <v>719</v>
      </c>
      <c r="D15" s="5" t="s">
        <v>720</v>
      </c>
      <c r="E15" s="5" t="s">
        <v>695</v>
      </c>
      <c r="F15" s="5" t="s">
        <v>721</v>
      </c>
      <c r="G15" s="5" t="s">
        <v>677</v>
      </c>
      <c r="H15" s="5" t="s">
        <v>722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</row>
    <row r="16" spans="1:5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</row>
    <row r="17" spans="1:5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</row>
    <row r="18" spans="1:5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</row>
    <row r="19" spans="1:5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</row>
    <row r="20" spans="1:5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</row>
    <row r="21" spans="1:5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</row>
    <row r="22" spans="1:5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</row>
    <row r="23" spans="1:5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</row>
    <row r="24" spans="1:5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</row>
    <row r="25" spans="1:5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</row>
    <row r="26" spans="1:5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</row>
    <row r="27" spans="1:5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</row>
    <row r="28" spans="1:5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</row>
    <row r="29" spans="1:5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</row>
    <row r="30" spans="1:5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</row>
    <row r="31" spans="1:5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</row>
    <row r="32" spans="1:5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</row>
    <row r="33" spans="1:5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</row>
    <row r="34" spans="1:5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</row>
    <row r="35" spans="1:5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</row>
    <row r="36" spans="1:5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</row>
    <row r="37" spans="1:5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</row>
    <row r="38" spans="1:5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</row>
    <row r="39" spans="1:5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</row>
    <row r="40" spans="1:5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</row>
    <row r="41" spans="1:5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</row>
    <row r="42" spans="1:5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</row>
    <row r="43" spans="1:5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</row>
    <row r="44" spans="1:5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</row>
    <row r="45" spans="1:5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</row>
    <row r="46" spans="1:5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</row>
    <row r="47" spans="1:5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</row>
    <row r="48" spans="1:5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</row>
    <row r="49" spans="1:5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</row>
    <row r="50" spans="1:5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</row>
    <row r="51" spans="1:5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</row>
    <row r="52" spans="1: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</row>
    <row r="53" spans="1:5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</row>
    <row r="54" spans="1:5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</row>
    <row r="55" spans="1:5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</row>
    <row r="56" spans="1:5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</row>
    <row r="57" spans="1:5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</row>
    <row r="58" spans="1:5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</row>
    <row r="59" spans="1:5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</row>
    <row r="60" spans="1:5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</row>
    <row r="61" spans="1:5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</row>
    <row r="62" spans="1:5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</row>
    <row r="63" spans="1:5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</row>
    <row r="64" spans="1:5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</row>
    <row r="65" spans="1:5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</row>
    <row r="66" spans="1:5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</row>
    <row r="67" spans="1:5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</row>
    <row r="68" spans="1:5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</row>
    <row r="69" spans="1:5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</row>
    <row r="70" spans="1:5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</row>
    <row r="71" spans="1:5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</row>
    <row r="72" spans="1:5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</row>
    <row r="73" spans="1:5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</row>
    <row r="74" spans="1:5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</row>
    <row r="75" spans="1:5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</row>
    <row r="76" spans="1:5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</row>
    <row r="77" spans="1:5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</row>
    <row r="78" spans="1:5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</row>
    <row r="79" spans="1:5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</row>
    <row r="80" spans="1:5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</row>
    <row r="81" spans="1:5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</row>
    <row r="82" spans="1:5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</row>
    <row r="83" spans="1:5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</row>
    <row r="84" spans="1:5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</row>
    <row r="85" spans="1:5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</row>
    <row r="86" spans="1:5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</row>
    <row r="87" spans="1:5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</row>
    <row r="88" spans="1:5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</row>
    <row r="89" spans="1:5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</row>
    <row r="90" spans="1:5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</row>
    <row r="91" spans="1:5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</row>
    <row r="92" spans="1:5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</row>
    <row r="93" spans="1:5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</row>
    <row r="94" spans="1:5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</row>
    <row r="95" spans="1:5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</row>
    <row r="96" spans="1:5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</row>
    <row r="97" spans="1:5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</row>
    <row r="98" spans="1:5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</row>
    <row r="99" spans="1:5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</row>
    <row r="100" spans="1:5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</row>
    <row r="101" spans="1:5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</row>
    <row r="102" spans="1:5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</row>
    <row r="103" spans="1:5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</row>
    <row r="104" spans="1:5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</row>
    <row r="105" spans="1:5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</row>
    <row r="106" spans="1:5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</row>
    <row r="107" spans="1:5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</row>
    <row r="108" spans="1:5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</row>
    <row r="109" spans="1:5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</row>
    <row r="110" spans="1:5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</row>
    <row r="111" spans="1:5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</row>
    <row r="112" spans="1:5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</row>
    <row r="113" spans="1:5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</row>
    <row r="114" spans="1:5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</row>
    <row r="115" spans="1:5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</row>
    <row r="116" spans="1:5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</row>
    <row r="117" spans="1:5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</row>
    <row r="118" spans="1:5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</row>
    <row r="119" spans="1:5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</row>
    <row r="120" spans="1:5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</row>
    <row r="121" spans="1:5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</row>
    <row r="122" spans="1:5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</row>
    <row r="123" spans="1:5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</row>
    <row r="124" spans="1:5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</row>
    <row r="125" spans="1:5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</row>
    <row r="126" spans="1:5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</row>
    <row r="127" spans="1:5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</row>
    <row r="128" spans="1:5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</row>
    <row r="129" spans="1:5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</row>
    <row r="130" spans="1:5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</row>
    <row r="131" spans="1:5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</row>
    <row r="132" spans="1:5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</row>
    <row r="133" spans="1:5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</row>
    <row r="134" spans="1:5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</row>
    <row r="135" spans="1:5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</row>
    <row r="136" spans="1:5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</row>
    <row r="137" spans="1:5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</row>
    <row r="138" spans="1:5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</row>
    <row r="139" spans="1:5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</row>
    <row r="140" spans="1:5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</row>
    <row r="141" spans="1:5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</row>
    <row r="142" spans="1:5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</row>
    <row r="143" spans="1:5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</row>
    <row r="144" spans="1:5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</row>
    <row r="145" spans="1:5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</row>
    <row r="146" spans="1:5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</row>
    <row r="147" spans="1:5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</row>
    <row r="148" spans="1:5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</row>
    <row r="149" spans="1:5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</row>
    <row r="150" spans="1:5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</row>
  </sheetData>
  <mergeCells count="2">
    <mergeCell ref="A1:H1"/>
    <mergeCell ref="A2:H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Z150"/>
  <sheetViews>
    <sheetView workbookViewId="0">
      <selection sqref="A1:N1"/>
    </sheetView>
  </sheetViews>
  <sheetFormatPr baseColWidth="10" defaultColWidth="8.75" defaultRowHeight="14.25"/>
  <cols>
    <col min="1" max="2" width="15" customWidth="1"/>
    <col min="3" max="3" width="24" customWidth="1"/>
    <col min="4" max="4" width="15" customWidth="1"/>
    <col min="5" max="7" width="22" customWidth="1"/>
    <col min="8" max="8" width="28" customWidth="1"/>
    <col min="9" max="9" width="20" customWidth="1"/>
    <col min="10" max="12" width="18" customWidth="1"/>
    <col min="13" max="13" width="16" customWidth="1"/>
    <col min="14" max="14" width="25" customWidth="1"/>
  </cols>
  <sheetData>
    <row r="1" spans="1:52" ht="22.35" customHeight="1">
      <c r="A1" s="64" t="s">
        <v>723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</row>
    <row r="2" spans="1:52" ht="28.9" customHeight="1">
      <c r="A2" s="65" t="s">
        <v>724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</row>
    <row r="3" spans="1:5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</row>
    <row r="4" spans="1:52" ht="15">
      <c r="A4" s="11" t="s">
        <v>465</v>
      </c>
      <c r="B4" s="11" t="s">
        <v>79</v>
      </c>
      <c r="C4" s="11" t="s">
        <v>467</v>
      </c>
      <c r="D4" s="11" t="s">
        <v>725</v>
      </c>
      <c r="E4" s="11" t="s">
        <v>726</v>
      </c>
      <c r="F4" s="11" t="s">
        <v>468</v>
      </c>
      <c r="G4" s="11" t="s">
        <v>469</v>
      </c>
      <c r="H4" s="11" t="s">
        <v>727</v>
      </c>
      <c r="I4" s="11" t="s">
        <v>728</v>
      </c>
      <c r="J4" s="11" t="s">
        <v>729</v>
      </c>
      <c r="K4" s="11" t="s">
        <v>730</v>
      </c>
      <c r="L4" s="11" t="s">
        <v>731</v>
      </c>
      <c r="M4" s="11" t="s">
        <v>732</v>
      </c>
      <c r="N4" s="11" t="s">
        <v>733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</row>
    <row r="5" spans="1:52">
      <c r="A5" s="5" t="s">
        <v>473</v>
      </c>
      <c r="B5" s="5" t="s">
        <v>445</v>
      </c>
      <c r="C5" s="5" t="s">
        <v>474</v>
      </c>
      <c r="D5" s="8">
        <v>46296</v>
      </c>
      <c r="E5" s="5" t="s">
        <v>431</v>
      </c>
      <c r="F5" s="5" t="s">
        <v>475</v>
      </c>
      <c r="G5" s="5" t="s">
        <v>476</v>
      </c>
      <c r="H5" s="5" t="s">
        <v>734</v>
      </c>
      <c r="I5" s="5" t="s">
        <v>735</v>
      </c>
      <c r="J5" s="5" t="s">
        <v>218</v>
      </c>
      <c r="K5" s="5" t="s">
        <v>736</v>
      </c>
      <c r="L5" s="5" t="s">
        <v>229</v>
      </c>
      <c r="M5" s="8">
        <v>46296</v>
      </c>
      <c r="N5" s="5" t="s">
        <v>737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</row>
    <row r="6" spans="1:52">
      <c r="A6" s="5"/>
      <c r="B6" s="5"/>
      <c r="C6" s="5"/>
      <c r="D6" s="8"/>
      <c r="E6" s="5"/>
      <c r="F6" s="5"/>
      <c r="G6" s="5"/>
      <c r="H6" s="5"/>
      <c r="I6" s="5"/>
      <c r="J6" s="5"/>
      <c r="K6" s="5"/>
      <c r="L6" s="5"/>
      <c r="M6" s="8"/>
      <c r="N6" s="5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</row>
    <row r="7" spans="1:52">
      <c r="A7" s="5"/>
      <c r="B7" s="5"/>
      <c r="C7" s="5"/>
      <c r="D7" s="8"/>
      <c r="E7" s="5"/>
      <c r="F7" s="5"/>
      <c r="G7" s="5"/>
      <c r="H7" s="5"/>
      <c r="I7" s="5"/>
      <c r="J7" s="5"/>
      <c r="K7" s="5"/>
      <c r="L7" s="5"/>
      <c r="M7" s="8"/>
      <c r="N7" s="5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</row>
    <row r="8" spans="1:52">
      <c r="A8" s="5"/>
      <c r="B8" s="5"/>
      <c r="C8" s="5"/>
      <c r="D8" s="8"/>
      <c r="E8" s="5"/>
      <c r="F8" s="5"/>
      <c r="G8" s="5"/>
      <c r="H8" s="5"/>
      <c r="I8" s="5"/>
      <c r="J8" s="5"/>
      <c r="K8" s="5"/>
      <c r="L8" s="5"/>
      <c r="M8" s="8"/>
      <c r="N8" s="5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</row>
    <row r="9" spans="1:52">
      <c r="A9" s="5"/>
      <c r="B9" s="5"/>
      <c r="C9" s="5"/>
      <c r="D9" s="8"/>
      <c r="E9" s="5"/>
      <c r="F9" s="5"/>
      <c r="G9" s="5"/>
      <c r="H9" s="5"/>
      <c r="I9" s="5"/>
      <c r="J9" s="5"/>
      <c r="K9" s="5"/>
      <c r="L9" s="5"/>
      <c r="M9" s="8"/>
      <c r="N9" s="5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</row>
    <row r="10" spans="1:52">
      <c r="A10" s="5"/>
      <c r="B10" s="5"/>
      <c r="C10" s="5"/>
      <c r="D10" s="8"/>
      <c r="E10" s="5"/>
      <c r="F10" s="5"/>
      <c r="G10" s="5"/>
      <c r="H10" s="5"/>
      <c r="I10" s="5"/>
      <c r="J10" s="5"/>
      <c r="K10" s="5"/>
      <c r="L10" s="5"/>
      <c r="M10" s="8"/>
      <c r="N10" s="5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</row>
    <row r="11" spans="1:52">
      <c r="A11" s="5"/>
      <c r="B11" s="5"/>
      <c r="C11" s="5"/>
      <c r="D11" s="8"/>
      <c r="E11" s="5"/>
      <c r="F11" s="5"/>
      <c r="G11" s="5"/>
      <c r="H11" s="5"/>
      <c r="I11" s="5"/>
      <c r="J11" s="5"/>
      <c r="K11" s="5"/>
      <c r="L11" s="5"/>
      <c r="M11" s="8"/>
      <c r="N11" s="5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</row>
    <row r="12" spans="1:52">
      <c r="A12" s="5"/>
      <c r="B12" s="5"/>
      <c r="C12" s="5"/>
      <c r="D12" s="8"/>
      <c r="E12" s="5"/>
      <c r="F12" s="5"/>
      <c r="G12" s="5"/>
      <c r="H12" s="5"/>
      <c r="I12" s="5"/>
      <c r="J12" s="5"/>
      <c r="K12" s="5"/>
      <c r="L12" s="5"/>
      <c r="M12" s="8"/>
      <c r="N12" s="5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</row>
    <row r="13" spans="1:52">
      <c r="A13" s="5"/>
      <c r="B13" s="5"/>
      <c r="C13" s="5"/>
      <c r="D13" s="8"/>
      <c r="E13" s="5"/>
      <c r="F13" s="5"/>
      <c r="G13" s="5"/>
      <c r="H13" s="5"/>
      <c r="I13" s="5"/>
      <c r="J13" s="5"/>
      <c r="K13" s="5"/>
      <c r="L13" s="5"/>
      <c r="M13" s="8"/>
      <c r="N13" s="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</row>
    <row r="14" spans="1:52">
      <c r="A14" s="5"/>
      <c r="B14" s="5"/>
      <c r="C14" s="5"/>
      <c r="D14" s="8"/>
      <c r="E14" s="5"/>
      <c r="F14" s="5"/>
      <c r="G14" s="5"/>
      <c r="H14" s="5"/>
      <c r="I14" s="5"/>
      <c r="J14" s="5"/>
      <c r="K14" s="5"/>
      <c r="L14" s="5"/>
      <c r="M14" s="8"/>
      <c r="N14" s="5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</row>
    <row r="15" spans="1:52">
      <c r="A15" s="5"/>
      <c r="B15" s="5"/>
      <c r="C15" s="5"/>
      <c r="D15" s="8"/>
      <c r="E15" s="5"/>
      <c r="F15" s="5"/>
      <c r="G15" s="5"/>
      <c r="H15" s="5"/>
      <c r="I15" s="5"/>
      <c r="J15" s="5"/>
      <c r="K15" s="5"/>
      <c r="L15" s="5"/>
      <c r="M15" s="8"/>
      <c r="N15" s="5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</row>
    <row r="16" spans="1:52">
      <c r="A16" s="5"/>
      <c r="B16" s="5"/>
      <c r="C16" s="5"/>
      <c r="D16" s="8"/>
      <c r="E16" s="5"/>
      <c r="F16" s="5"/>
      <c r="G16" s="5"/>
      <c r="H16" s="5"/>
      <c r="I16" s="5"/>
      <c r="J16" s="5"/>
      <c r="K16" s="5"/>
      <c r="L16" s="5"/>
      <c r="M16" s="8"/>
      <c r="N16" s="5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</row>
    <row r="17" spans="1:52">
      <c r="A17" s="5"/>
      <c r="B17" s="5"/>
      <c r="C17" s="5"/>
      <c r="D17" s="8"/>
      <c r="E17" s="5"/>
      <c r="F17" s="5"/>
      <c r="G17" s="5"/>
      <c r="H17" s="5"/>
      <c r="I17" s="5"/>
      <c r="J17" s="5"/>
      <c r="K17" s="5"/>
      <c r="L17" s="5"/>
      <c r="M17" s="8"/>
      <c r="N17" s="5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</row>
    <row r="18" spans="1:52">
      <c r="A18" s="5"/>
      <c r="B18" s="5"/>
      <c r="C18" s="5"/>
      <c r="D18" s="8"/>
      <c r="E18" s="5"/>
      <c r="F18" s="5"/>
      <c r="G18" s="5"/>
      <c r="H18" s="5"/>
      <c r="I18" s="5"/>
      <c r="J18" s="5"/>
      <c r="K18" s="5"/>
      <c r="L18" s="5"/>
      <c r="M18" s="8"/>
      <c r="N18" s="5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</row>
    <row r="19" spans="1:52">
      <c r="A19" s="5"/>
      <c r="B19" s="5"/>
      <c r="C19" s="5"/>
      <c r="D19" s="8"/>
      <c r="E19" s="5"/>
      <c r="F19" s="5"/>
      <c r="G19" s="5"/>
      <c r="H19" s="5"/>
      <c r="I19" s="5"/>
      <c r="J19" s="5"/>
      <c r="K19" s="5"/>
      <c r="L19" s="5"/>
      <c r="M19" s="8"/>
      <c r="N19" s="5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</row>
    <row r="20" spans="1:52">
      <c r="A20" s="5"/>
      <c r="B20" s="5"/>
      <c r="C20" s="5"/>
      <c r="D20" s="8"/>
      <c r="E20" s="5"/>
      <c r="F20" s="5"/>
      <c r="G20" s="5"/>
      <c r="H20" s="5"/>
      <c r="I20" s="5"/>
      <c r="J20" s="5"/>
      <c r="K20" s="5"/>
      <c r="L20" s="5"/>
      <c r="M20" s="8"/>
      <c r="N20" s="5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</row>
    <row r="21" spans="1:52">
      <c r="A21" s="3"/>
      <c r="B21" s="3"/>
      <c r="C21" s="3"/>
      <c r="D21" s="10"/>
      <c r="E21" s="3"/>
      <c r="F21" s="3"/>
      <c r="G21" s="3"/>
      <c r="H21" s="3"/>
      <c r="I21" s="3"/>
      <c r="J21" s="3"/>
      <c r="K21" s="3"/>
      <c r="L21" s="3"/>
      <c r="M21" s="10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</row>
    <row r="22" spans="1:52">
      <c r="A22" s="3"/>
      <c r="B22" s="3"/>
      <c r="C22" s="3"/>
      <c r="D22" s="10"/>
      <c r="E22" s="3"/>
      <c r="F22" s="3"/>
      <c r="G22" s="3"/>
      <c r="H22" s="3"/>
      <c r="I22" s="3"/>
      <c r="J22" s="3"/>
      <c r="K22" s="3"/>
      <c r="L22" s="3"/>
      <c r="M22" s="10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</row>
    <row r="23" spans="1:52">
      <c r="A23" s="3"/>
      <c r="B23" s="3"/>
      <c r="C23" s="3"/>
      <c r="D23" s="10"/>
      <c r="E23" s="3"/>
      <c r="F23" s="3"/>
      <c r="G23" s="3"/>
      <c r="H23" s="3"/>
      <c r="I23" s="3"/>
      <c r="J23" s="3"/>
      <c r="K23" s="3"/>
      <c r="L23" s="3"/>
      <c r="M23" s="10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</row>
    <row r="24" spans="1:52">
      <c r="A24" s="3"/>
      <c r="B24" s="3"/>
      <c r="C24" s="3"/>
      <c r="D24" s="10"/>
      <c r="E24" s="3"/>
      <c r="F24" s="3"/>
      <c r="G24" s="3"/>
      <c r="H24" s="3"/>
      <c r="I24" s="3"/>
      <c r="J24" s="3"/>
      <c r="K24" s="3"/>
      <c r="L24" s="3"/>
      <c r="M24" s="10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</row>
    <row r="25" spans="1:52">
      <c r="A25" s="3"/>
      <c r="B25" s="3"/>
      <c r="C25" s="3"/>
      <c r="D25" s="10"/>
      <c r="E25" s="3"/>
      <c r="F25" s="3"/>
      <c r="G25" s="3"/>
      <c r="H25" s="3"/>
      <c r="I25" s="3"/>
      <c r="J25" s="3"/>
      <c r="K25" s="3"/>
      <c r="L25" s="3"/>
      <c r="M25" s="10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</row>
    <row r="26" spans="1:52">
      <c r="A26" s="3"/>
      <c r="B26" s="3"/>
      <c r="C26" s="3"/>
      <c r="D26" s="10"/>
      <c r="E26" s="3"/>
      <c r="F26" s="3"/>
      <c r="G26" s="3"/>
      <c r="H26" s="3"/>
      <c r="I26" s="3"/>
      <c r="J26" s="3"/>
      <c r="K26" s="3"/>
      <c r="L26" s="3"/>
      <c r="M26" s="10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</row>
    <row r="27" spans="1:52">
      <c r="A27" s="3"/>
      <c r="B27" s="3"/>
      <c r="C27" s="3"/>
      <c r="D27" s="10"/>
      <c r="E27" s="3"/>
      <c r="F27" s="3"/>
      <c r="G27" s="3"/>
      <c r="H27" s="3"/>
      <c r="I27" s="3"/>
      <c r="J27" s="3"/>
      <c r="K27" s="3"/>
      <c r="L27" s="3"/>
      <c r="M27" s="10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</row>
    <row r="28" spans="1:52">
      <c r="A28" s="3"/>
      <c r="B28" s="3"/>
      <c r="C28" s="3"/>
      <c r="D28" s="10"/>
      <c r="E28" s="3"/>
      <c r="F28" s="3"/>
      <c r="G28" s="3"/>
      <c r="H28" s="3"/>
      <c r="I28" s="3"/>
      <c r="J28" s="3"/>
      <c r="K28" s="3"/>
      <c r="L28" s="3"/>
      <c r="M28" s="10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</row>
    <row r="29" spans="1:52">
      <c r="A29" s="3"/>
      <c r="B29" s="3"/>
      <c r="C29" s="3"/>
      <c r="D29" s="10"/>
      <c r="E29" s="3"/>
      <c r="F29" s="3"/>
      <c r="G29" s="3"/>
      <c r="H29" s="3"/>
      <c r="I29" s="3"/>
      <c r="J29" s="3"/>
      <c r="K29" s="3"/>
      <c r="L29" s="3"/>
      <c r="M29" s="10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</row>
    <row r="30" spans="1:52">
      <c r="A30" s="3"/>
      <c r="B30" s="3"/>
      <c r="C30" s="3"/>
      <c r="D30" s="10"/>
      <c r="E30" s="3"/>
      <c r="F30" s="3"/>
      <c r="G30" s="3"/>
      <c r="H30" s="3"/>
      <c r="I30" s="3"/>
      <c r="J30" s="3"/>
      <c r="K30" s="3"/>
      <c r="L30" s="3"/>
      <c r="M30" s="10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</row>
    <row r="31" spans="1:52">
      <c r="A31" s="3"/>
      <c r="B31" s="3"/>
      <c r="C31" s="3"/>
      <c r="D31" s="10"/>
      <c r="E31" s="3"/>
      <c r="F31" s="3"/>
      <c r="G31" s="3"/>
      <c r="H31" s="3"/>
      <c r="I31" s="3"/>
      <c r="J31" s="3"/>
      <c r="K31" s="3"/>
      <c r="L31" s="3"/>
      <c r="M31" s="10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</row>
    <row r="32" spans="1:52">
      <c r="A32" s="3"/>
      <c r="B32" s="3"/>
      <c r="C32" s="3"/>
      <c r="D32" s="10"/>
      <c r="E32" s="3"/>
      <c r="F32" s="3"/>
      <c r="G32" s="3"/>
      <c r="H32" s="3"/>
      <c r="I32" s="3"/>
      <c r="J32" s="3"/>
      <c r="K32" s="3"/>
      <c r="L32" s="3"/>
      <c r="M32" s="10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</row>
    <row r="33" spans="1:52">
      <c r="A33" s="3"/>
      <c r="B33" s="3"/>
      <c r="C33" s="3"/>
      <c r="D33" s="10"/>
      <c r="E33" s="3"/>
      <c r="F33" s="3"/>
      <c r="G33" s="3"/>
      <c r="H33" s="3"/>
      <c r="I33" s="3"/>
      <c r="J33" s="3"/>
      <c r="K33" s="3"/>
      <c r="L33" s="3"/>
      <c r="M33" s="10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</row>
    <row r="34" spans="1:52">
      <c r="A34" s="3"/>
      <c r="B34" s="3"/>
      <c r="C34" s="3"/>
      <c r="D34" s="10"/>
      <c r="E34" s="3"/>
      <c r="F34" s="3"/>
      <c r="G34" s="3"/>
      <c r="H34" s="3"/>
      <c r="I34" s="3"/>
      <c r="J34" s="3"/>
      <c r="K34" s="3"/>
      <c r="L34" s="3"/>
      <c r="M34" s="10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</row>
    <row r="35" spans="1:52">
      <c r="A35" s="3"/>
      <c r="B35" s="3"/>
      <c r="C35" s="3"/>
      <c r="D35" s="10"/>
      <c r="E35" s="3"/>
      <c r="F35" s="3"/>
      <c r="G35" s="3"/>
      <c r="H35" s="3"/>
      <c r="I35" s="3"/>
      <c r="J35" s="3"/>
      <c r="K35" s="3"/>
      <c r="L35" s="3"/>
      <c r="M35" s="10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</row>
    <row r="36" spans="1:52">
      <c r="A36" s="3"/>
      <c r="B36" s="3"/>
      <c r="C36" s="3"/>
      <c r="D36" s="10"/>
      <c r="E36" s="3"/>
      <c r="F36" s="3"/>
      <c r="G36" s="3"/>
      <c r="H36" s="3"/>
      <c r="I36" s="3"/>
      <c r="J36" s="3"/>
      <c r="K36" s="3"/>
      <c r="L36" s="3"/>
      <c r="M36" s="10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</row>
    <row r="37" spans="1:52">
      <c r="A37" s="3"/>
      <c r="B37" s="3"/>
      <c r="C37" s="3"/>
      <c r="D37" s="10"/>
      <c r="E37" s="3"/>
      <c r="F37" s="3"/>
      <c r="G37" s="3"/>
      <c r="H37" s="3"/>
      <c r="I37" s="3"/>
      <c r="J37" s="3"/>
      <c r="K37" s="3"/>
      <c r="L37" s="3"/>
      <c r="M37" s="10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</row>
    <row r="38" spans="1:52">
      <c r="A38" s="3"/>
      <c r="B38" s="3"/>
      <c r="C38" s="3"/>
      <c r="D38" s="10"/>
      <c r="E38" s="3"/>
      <c r="F38" s="3"/>
      <c r="G38" s="3"/>
      <c r="H38" s="3"/>
      <c r="I38" s="3"/>
      <c r="J38" s="3"/>
      <c r="K38" s="3"/>
      <c r="L38" s="3"/>
      <c r="M38" s="10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</row>
    <row r="39" spans="1:52">
      <c r="A39" s="3"/>
      <c r="B39" s="3"/>
      <c r="C39" s="3"/>
      <c r="D39" s="10"/>
      <c r="E39" s="3"/>
      <c r="F39" s="3"/>
      <c r="G39" s="3"/>
      <c r="H39" s="3"/>
      <c r="I39" s="3"/>
      <c r="J39" s="3"/>
      <c r="K39" s="3"/>
      <c r="L39" s="3"/>
      <c r="M39" s="10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</row>
    <row r="40" spans="1:52">
      <c r="A40" s="3"/>
      <c r="B40" s="3"/>
      <c r="C40" s="3"/>
      <c r="D40" s="10"/>
      <c r="E40" s="3"/>
      <c r="F40" s="3"/>
      <c r="G40" s="3"/>
      <c r="H40" s="3"/>
      <c r="I40" s="3"/>
      <c r="J40" s="3"/>
      <c r="K40" s="3"/>
      <c r="L40" s="3"/>
      <c r="M40" s="10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</row>
    <row r="41" spans="1:52">
      <c r="A41" s="3"/>
      <c r="B41" s="3"/>
      <c r="C41" s="3"/>
      <c r="D41" s="10"/>
      <c r="E41" s="3"/>
      <c r="F41" s="3"/>
      <c r="G41" s="3"/>
      <c r="H41" s="3"/>
      <c r="I41" s="3"/>
      <c r="J41" s="3"/>
      <c r="K41" s="3"/>
      <c r="L41" s="3"/>
      <c r="M41" s="10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</row>
    <row r="42" spans="1:52">
      <c r="A42" s="3"/>
      <c r="B42" s="3"/>
      <c r="C42" s="3"/>
      <c r="D42" s="10"/>
      <c r="E42" s="3"/>
      <c r="F42" s="3"/>
      <c r="G42" s="3"/>
      <c r="H42" s="3"/>
      <c r="I42" s="3"/>
      <c r="J42" s="3"/>
      <c r="K42" s="3"/>
      <c r="L42" s="3"/>
      <c r="M42" s="10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</row>
    <row r="43" spans="1:52">
      <c r="A43" s="3"/>
      <c r="B43" s="3"/>
      <c r="C43" s="3"/>
      <c r="D43" s="10"/>
      <c r="E43" s="3"/>
      <c r="F43" s="3"/>
      <c r="G43" s="3"/>
      <c r="H43" s="3"/>
      <c r="I43" s="3"/>
      <c r="J43" s="3"/>
      <c r="K43" s="3"/>
      <c r="L43" s="3"/>
      <c r="M43" s="10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</row>
    <row r="44" spans="1:52">
      <c r="A44" s="3"/>
      <c r="B44" s="3"/>
      <c r="C44" s="3"/>
      <c r="D44" s="10"/>
      <c r="E44" s="3"/>
      <c r="F44" s="3"/>
      <c r="G44" s="3"/>
      <c r="H44" s="3"/>
      <c r="I44" s="3"/>
      <c r="J44" s="3"/>
      <c r="K44" s="3"/>
      <c r="L44" s="3"/>
      <c r="M44" s="10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</row>
    <row r="45" spans="1:52">
      <c r="A45" s="3"/>
      <c r="B45" s="3"/>
      <c r="C45" s="3"/>
      <c r="D45" s="10"/>
      <c r="E45" s="3"/>
      <c r="F45" s="3"/>
      <c r="G45" s="3"/>
      <c r="H45" s="3"/>
      <c r="I45" s="3"/>
      <c r="J45" s="3"/>
      <c r="K45" s="3"/>
      <c r="L45" s="3"/>
      <c r="M45" s="10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</row>
    <row r="46" spans="1:52">
      <c r="A46" s="3"/>
      <c r="B46" s="3"/>
      <c r="C46" s="3"/>
      <c r="D46" s="10"/>
      <c r="E46" s="3"/>
      <c r="F46" s="3"/>
      <c r="G46" s="3"/>
      <c r="H46" s="3"/>
      <c r="I46" s="3"/>
      <c r="J46" s="3"/>
      <c r="K46" s="3"/>
      <c r="L46" s="3"/>
      <c r="M46" s="10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</row>
    <row r="47" spans="1:52">
      <c r="A47" s="3"/>
      <c r="B47" s="3"/>
      <c r="C47" s="3"/>
      <c r="D47" s="10"/>
      <c r="E47" s="3"/>
      <c r="F47" s="3"/>
      <c r="G47" s="3"/>
      <c r="H47" s="3"/>
      <c r="I47" s="3"/>
      <c r="J47" s="3"/>
      <c r="K47" s="3"/>
      <c r="L47" s="3"/>
      <c r="M47" s="10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</row>
    <row r="48" spans="1:52">
      <c r="A48" s="3"/>
      <c r="B48" s="3"/>
      <c r="C48" s="3"/>
      <c r="D48" s="10"/>
      <c r="E48" s="3"/>
      <c r="F48" s="3"/>
      <c r="G48" s="3"/>
      <c r="H48" s="3"/>
      <c r="I48" s="3"/>
      <c r="J48" s="3"/>
      <c r="K48" s="3"/>
      <c r="L48" s="3"/>
      <c r="M48" s="10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</row>
    <row r="49" spans="1:52">
      <c r="A49" s="3"/>
      <c r="B49" s="3"/>
      <c r="C49" s="3"/>
      <c r="D49" s="10"/>
      <c r="E49" s="3"/>
      <c r="F49" s="3"/>
      <c r="G49" s="3"/>
      <c r="H49" s="3"/>
      <c r="I49" s="3"/>
      <c r="J49" s="3"/>
      <c r="K49" s="3"/>
      <c r="L49" s="3"/>
      <c r="M49" s="10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</row>
    <row r="50" spans="1:52">
      <c r="A50" s="3"/>
      <c r="B50" s="3"/>
      <c r="C50" s="3"/>
      <c r="D50" s="10"/>
      <c r="E50" s="3"/>
      <c r="F50" s="3"/>
      <c r="G50" s="3"/>
      <c r="H50" s="3"/>
      <c r="I50" s="3"/>
      <c r="J50" s="3"/>
      <c r="K50" s="3"/>
      <c r="L50" s="3"/>
      <c r="M50" s="10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</row>
    <row r="51" spans="1:52">
      <c r="A51" s="3"/>
      <c r="B51" s="3"/>
      <c r="C51" s="3"/>
      <c r="D51" s="10"/>
      <c r="E51" s="3"/>
      <c r="F51" s="3"/>
      <c r="G51" s="3"/>
      <c r="H51" s="3"/>
      <c r="I51" s="3"/>
      <c r="J51" s="3"/>
      <c r="K51" s="3"/>
      <c r="L51" s="3"/>
      <c r="M51" s="10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</row>
    <row r="52" spans="1:52">
      <c r="A52" s="3"/>
      <c r="B52" s="3"/>
      <c r="C52" s="3"/>
      <c r="D52" s="10"/>
      <c r="E52" s="3"/>
      <c r="F52" s="3"/>
      <c r="G52" s="3"/>
      <c r="H52" s="3"/>
      <c r="I52" s="3"/>
      <c r="J52" s="3"/>
      <c r="K52" s="3"/>
      <c r="L52" s="3"/>
      <c r="M52" s="10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</row>
    <row r="53" spans="1:52">
      <c r="A53" s="3"/>
      <c r="B53" s="3"/>
      <c r="C53" s="3"/>
      <c r="D53" s="10"/>
      <c r="E53" s="3"/>
      <c r="F53" s="3"/>
      <c r="G53" s="3"/>
      <c r="H53" s="3"/>
      <c r="I53" s="3"/>
      <c r="J53" s="3"/>
      <c r="K53" s="3"/>
      <c r="L53" s="3"/>
      <c r="M53" s="10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</row>
    <row r="54" spans="1:52">
      <c r="A54" s="3"/>
      <c r="B54" s="3"/>
      <c r="C54" s="3"/>
      <c r="D54" s="10"/>
      <c r="E54" s="3"/>
      <c r="F54" s="3"/>
      <c r="G54" s="3"/>
      <c r="H54" s="3"/>
      <c r="I54" s="3"/>
      <c r="J54" s="3"/>
      <c r="K54" s="3"/>
      <c r="L54" s="3"/>
      <c r="M54" s="10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</row>
    <row r="55" spans="1:52">
      <c r="A55" s="3"/>
      <c r="B55" s="3"/>
      <c r="C55" s="3"/>
      <c r="D55" s="10"/>
      <c r="E55" s="3"/>
      <c r="F55" s="3"/>
      <c r="G55" s="3"/>
      <c r="H55" s="3"/>
      <c r="I55" s="3"/>
      <c r="J55" s="3"/>
      <c r="K55" s="3"/>
      <c r="L55" s="3"/>
      <c r="M55" s="10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</row>
    <row r="56" spans="1:52">
      <c r="A56" s="3"/>
      <c r="B56" s="3"/>
      <c r="C56" s="3"/>
      <c r="D56" s="10"/>
      <c r="E56" s="3"/>
      <c r="F56" s="3"/>
      <c r="G56" s="3"/>
      <c r="H56" s="3"/>
      <c r="I56" s="3"/>
      <c r="J56" s="3"/>
      <c r="K56" s="3"/>
      <c r="L56" s="3"/>
      <c r="M56" s="10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</row>
    <row r="57" spans="1:52">
      <c r="A57" s="3"/>
      <c r="B57" s="3"/>
      <c r="C57" s="3"/>
      <c r="D57" s="10"/>
      <c r="E57" s="3"/>
      <c r="F57" s="3"/>
      <c r="G57" s="3"/>
      <c r="H57" s="3"/>
      <c r="I57" s="3"/>
      <c r="J57" s="3"/>
      <c r="K57" s="3"/>
      <c r="L57" s="3"/>
      <c r="M57" s="10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</row>
    <row r="58" spans="1:52">
      <c r="A58" s="3"/>
      <c r="B58" s="3"/>
      <c r="C58" s="3"/>
      <c r="D58" s="10"/>
      <c r="E58" s="3"/>
      <c r="F58" s="3"/>
      <c r="G58" s="3"/>
      <c r="H58" s="3"/>
      <c r="I58" s="3"/>
      <c r="J58" s="3"/>
      <c r="K58" s="3"/>
      <c r="L58" s="3"/>
      <c r="M58" s="10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</row>
    <row r="59" spans="1:52">
      <c r="A59" s="3"/>
      <c r="B59" s="3"/>
      <c r="C59" s="3"/>
      <c r="D59" s="10"/>
      <c r="E59" s="3"/>
      <c r="F59" s="3"/>
      <c r="G59" s="3"/>
      <c r="H59" s="3"/>
      <c r="I59" s="3"/>
      <c r="J59" s="3"/>
      <c r="K59" s="3"/>
      <c r="L59" s="3"/>
      <c r="M59" s="10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</row>
    <row r="60" spans="1:52">
      <c r="A60" s="3"/>
      <c r="B60" s="3"/>
      <c r="C60" s="3"/>
      <c r="D60" s="10"/>
      <c r="E60" s="3"/>
      <c r="F60" s="3"/>
      <c r="G60" s="3"/>
      <c r="H60" s="3"/>
      <c r="I60" s="3"/>
      <c r="J60" s="3"/>
      <c r="K60" s="3"/>
      <c r="L60" s="3"/>
      <c r="M60" s="10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</row>
    <row r="61" spans="1:52">
      <c r="A61" s="3"/>
      <c r="B61" s="3"/>
      <c r="C61" s="3"/>
      <c r="D61" s="10"/>
      <c r="E61" s="3"/>
      <c r="F61" s="3"/>
      <c r="G61" s="3"/>
      <c r="H61" s="3"/>
      <c r="I61" s="3"/>
      <c r="J61" s="3"/>
      <c r="K61" s="3"/>
      <c r="L61" s="3"/>
      <c r="M61" s="10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</row>
    <row r="62" spans="1:52">
      <c r="A62" s="3"/>
      <c r="B62" s="3"/>
      <c r="C62" s="3"/>
      <c r="D62" s="10"/>
      <c r="E62" s="3"/>
      <c r="F62" s="3"/>
      <c r="G62" s="3"/>
      <c r="H62" s="3"/>
      <c r="I62" s="3"/>
      <c r="J62" s="3"/>
      <c r="K62" s="3"/>
      <c r="L62" s="3"/>
      <c r="M62" s="10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</row>
    <row r="63" spans="1:52">
      <c r="A63" s="3"/>
      <c r="B63" s="3"/>
      <c r="C63" s="3"/>
      <c r="D63" s="10"/>
      <c r="E63" s="3"/>
      <c r="F63" s="3"/>
      <c r="G63" s="3"/>
      <c r="H63" s="3"/>
      <c r="I63" s="3"/>
      <c r="J63" s="3"/>
      <c r="K63" s="3"/>
      <c r="L63" s="3"/>
      <c r="M63" s="10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</row>
    <row r="64" spans="1:52">
      <c r="A64" s="3"/>
      <c r="B64" s="3"/>
      <c r="C64" s="3"/>
      <c r="D64" s="10"/>
      <c r="E64" s="3"/>
      <c r="F64" s="3"/>
      <c r="G64" s="3"/>
      <c r="H64" s="3"/>
      <c r="I64" s="3"/>
      <c r="J64" s="3"/>
      <c r="K64" s="3"/>
      <c r="L64" s="3"/>
      <c r="M64" s="10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</row>
    <row r="65" spans="1:52">
      <c r="A65" s="3"/>
      <c r="B65" s="3"/>
      <c r="C65" s="3"/>
      <c r="D65" s="10"/>
      <c r="E65" s="3"/>
      <c r="F65" s="3"/>
      <c r="G65" s="3"/>
      <c r="H65" s="3"/>
      <c r="I65" s="3"/>
      <c r="J65" s="3"/>
      <c r="K65" s="3"/>
      <c r="L65" s="3"/>
      <c r="M65" s="10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</row>
    <row r="66" spans="1:52">
      <c r="A66" s="3"/>
      <c r="B66" s="3"/>
      <c r="C66" s="3"/>
      <c r="D66" s="10"/>
      <c r="E66" s="3"/>
      <c r="F66" s="3"/>
      <c r="G66" s="3"/>
      <c r="H66" s="3"/>
      <c r="I66" s="3"/>
      <c r="J66" s="3"/>
      <c r="K66" s="3"/>
      <c r="L66" s="3"/>
      <c r="M66" s="10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</row>
    <row r="67" spans="1:52">
      <c r="A67" s="3"/>
      <c r="B67" s="3"/>
      <c r="C67" s="3"/>
      <c r="D67" s="10"/>
      <c r="E67" s="3"/>
      <c r="F67" s="3"/>
      <c r="G67" s="3"/>
      <c r="H67" s="3"/>
      <c r="I67" s="3"/>
      <c r="J67" s="3"/>
      <c r="K67" s="3"/>
      <c r="L67" s="3"/>
      <c r="M67" s="10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</row>
    <row r="68" spans="1:52">
      <c r="A68" s="3"/>
      <c r="B68" s="3"/>
      <c r="C68" s="3"/>
      <c r="D68" s="10"/>
      <c r="E68" s="3"/>
      <c r="F68" s="3"/>
      <c r="G68" s="3"/>
      <c r="H68" s="3"/>
      <c r="I68" s="3"/>
      <c r="J68" s="3"/>
      <c r="K68" s="3"/>
      <c r="L68" s="3"/>
      <c r="M68" s="10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</row>
    <row r="69" spans="1:52">
      <c r="A69" s="3"/>
      <c r="B69" s="3"/>
      <c r="C69" s="3"/>
      <c r="D69" s="10"/>
      <c r="E69" s="3"/>
      <c r="F69" s="3"/>
      <c r="G69" s="3"/>
      <c r="H69" s="3"/>
      <c r="I69" s="3"/>
      <c r="J69" s="3"/>
      <c r="K69" s="3"/>
      <c r="L69" s="3"/>
      <c r="M69" s="10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</row>
    <row r="70" spans="1:52">
      <c r="A70" s="3"/>
      <c r="B70" s="3"/>
      <c r="C70" s="3"/>
      <c r="D70" s="10"/>
      <c r="E70" s="3"/>
      <c r="F70" s="3"/>
      <c r="G70" s="3"/>
      <c r="H70" s="3"/>
      <c r="I70" s="3"/>
      <c r="J70" s="3"/>
      <c r="K70" s="3"/>
      <c r="L70" s="3"/>
      <c r="M70" s="10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</row>
    <row r="71" spans="1:52">
      <c r="A71" s="3"/>
      <c r="B71" s="3"/>
      <c r="C71" s="3"/>
      <c r="D71" s="10"/>
      <c r="E71" s="3"/>
      <c r="F71" s="3"/>
      <c r="G71" s="3"/>
      <c r="H71" s="3"/>
      <c r="I71" s="3"/>
      <c r="J71" s="3"/>
      <c r="K71" s="3"/>
      <c r="L71" s="3"/>
      <c r="M71" s="10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</row>
    <row r="72" spans="1:52">
      <c r="A72" s="3"/>
      <c r="B72" s="3"/>
      <c r="C72" s="3"/>
      <c r="D72" s="10"/>
      <c r="E72" s="3"/>
      <c r="F72" s="3"/>
      <c r="G72" s="3"/>
      <c r="H72" s="3"/>
      <c r="I72" s="3"/>
      <c r="J72" s="3"/>
      <c r="K72" s="3"/>
      <c r="L72" s="3"/>
      <c r="M72" s="10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</row>
    <row r="73" spans="1:52">
      <c r="A73" s="3"/>
      <c r="B73" s="3"/>
      <c r="C73" s="3"/>
      <c r="D73" s="10"/>
      <c r="E73" s="3"/>
      <c r="F73" s="3"/>
      <c r="G73" s="3"/>
      <c r="H73" s="3"/>
      <c r="I73" s="3"/>
      <c r="J73" s="3"/>
      <c r="K73" s="3"/>
      <c r="L73" s="3"/>
      <c r="M73" s="10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</row>
    <row r="74" spans="1:52">
      <c r="A74" s="3"/>
      <c r="B74" s="3"/>
      <c r="C74" s="3"/>
      <c r="D74" s="10"/>
      <c r="E74" s="3"/>
      <c r="F74" s="3"/>
      <c r="G74" s="3"/>
      <c r="H74" s="3"/>
      <c r="I74" s="3"/>
      <c r="J74" s="3"/>
      <c r="K74" s="3"/>
      <c r="L74" s="3"/>
      <c r="M74" s="10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</row>
    <row r="75" spans="1:52">
      <c r="A75" s="3"/>
      <c r="B75" s="3"/>
      <c r="C75" s="3"/>
      <c r="D75" s="10"/>
      <c r="E75" s="3"/>
      <c r="F75" s="3"/>
      <c r="G75" s="3"/>
      <c r="H75" s="3"/>
      <c r="I75" s="3"/>
      <c r="J75" s="3"/>
      <c r="K75" s="3"/>
      <c r="L75" s="3"/>
      <c r="M75" s="10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</row>
    <row r="76" spans="1:52">
      <c r="A76" s="3"/>
      <c r="B76" s="3"/>
      <c r="C76" s="3"/>
      <c r="D76" s="10"/>
      <c r="E76" s="3"/>
      <c r="F76" s="3"/>
      <c r="G76" s="3"/>
      <c r="H76" s="3"/>
      <c r="I76" s="3"/>
      <c r="J76" s="3"/>
      <c r="K76" s="3"/>
      <c r="L76" s="3"/>
      <c r="M76" s="10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</row>
    <row r="77" spans="1:52">
      <c r="A77" s="3"/>
      <c r="B77" s="3"/>
      <c r="C77" s="3"/>
      <c r="D77" s="10"/>
      <c r="E77" s="3"/>
      <c r="F77" s="3"/>
      <c r="G77" s="3"/>
      <c r="H77" s="3"/>
      <c r="I77" s="3"/>
      <c r="J77" s="3"/>
      <c r="K77" s="3"/>
      <c r="L77" s="3"/>
      <c r="M77" s="10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</row>
    <row r="78" spans="1:52">
      <c r="A78" s="3"/>
      <c r="B78" s="3"/>
      <c r="C78" s="3"/>
      <c r="D78" s="10"/>
      <c r="E78" s="3"/>
      <c r="F78" s="3"/>
      <c r="G78" s="3"/>
      <c r="H78" s="3"/>
      <c r="I78" s="3"/>
      <c r="J78" s="3"/>
      <c r="K78" s="3"/>
      <c r="L78" s="3"/>
      <c r="M78" s="10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</row>
    <row r="79" spans="1:52">
      <c r="A79" s="3"/>
      <c r="B79" s="3"/>
      <c r="C79" s="3"/>
      <c r="D79" s="10"/>
      <c r="E79" s="3"/>
      <c r="F79" s="3"/>
      <c r="G79" s="3"/>
      <c r="H79" s="3"/>
      <c r="I79" s="3"/>
      <c r="J79" s="3"/>
      <c r="K79" s="3"/>
      <c r="L79" s="3"/>
      <c r="M79" s="10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</row>
    <row r="80" spans="1:52">
      <c r="A80" s="3"/>
      <c r="B80" s="3"/>
      <c r="C80" s="3"/>
      <c r="D80" s="10"/>
      <c r="E80" s="3"/>
      <c r="F80" s="3"/>
      <c r="G80" s="3"/>
      <c r="H80" s="3"/>
      <c r="I80" s="3"/>
      <c r="J80" s="3"/>
      <c r="K80" s="3"/>
      <c r="L80" s="3"/>
      <c r="M80" s="10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</row>
    <row r="81" spans="1:52">
      <c r="A81" s="3"/>
      <c r="B81" s="3"/>
      <c r="C81" s="3"/>
      <c r="D81" s="10"/>
      <c r="E81" s="3"/>
      <c r="F81" s="3"/>
      <c r="G81" s="3"/>
      <c r="H81" s="3"/>
      <c r="I81" s="3"/>
      <c r="J81" s="3"/>
      <c r="K81" s="3"/>
      <c r="L81" s="3"/>
      <c r="M81" s="10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</row>
    <row r="82" spans="1:52">
      <c r="A82" s="3"/>
      <c r="B82" s="3"/>
      <c r="C82" s="3"/>
      <c r="D82" s="10"/>
      <c r="E82" s="3"/>
      <c r="F82" s="3"/>
      <c r="G82" s="3"/>
      <c r="H82" s="3"/>
      <c r="I82" s="3"/>
      <c r="J82" s="3"/>
      <c r="K82" s="3"/>
      <c r="L82" s="3"/>
      <c r="M82" s="10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</row>
    <row r="83" spans="1:52">
      <c r="A83" s="3"/>
      <c r="B83" s="3"/>
      <c r="C83" s="3"/>
      <c r="D83" s="10"/>
      <c r="E83" s="3"/>
      <c r="F83" s="3"/>
      <c r="G83" s="3"/>
      <c r="H83" s="3"/>
      <c r="I83" s="3"/>
      <c r="J83" s="3"/>
      <c r="K83" s="3"/>
      <c r="L83" s="3"/>
      <c r="M83" s="10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</row>
    <row r="84" spans="1:52">
      <c r="A84" s="3"/>
      <c r="B84" s="3"/>
      <c r="C84" s="3"/>
      <c r="D84" s="10"/>
      <c r="E84" s="3"/>
      <c r="F84" s="3"/>
      <c r="G84" s="3"/>
      <c r="H84" s="3"/>
      <c r="I84" s="3"/>
      <c r="J84" s="3"/>
      <c r="K84" s="3"/>
      <c r="L84" s="3"/>
      <c r="M84" s="10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</row>
    <row r="85" spans="1:52">
      <c r="A85" s="3"/>
      <c r="B85" s="3"/>
      <c r="C85" s="3"/>
      <c r="D85" s="10"/>
      <c r="E85" s="3"/>
      <c r="F85" s="3"/>
      <c r="G85" s="3"/>
      <c r="H85" s="3"/>
      <c r="I85" s="3"/>
      <c r="J85" s="3"/>
      <c r="K85" s="3"/>
      <c r="L85" s="3"/>
      <c r="M85" s="10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</row>
    <row r="86" spans="1:52">
      <c r="A86" s="3"/>
      <c r="B86" s="3"/>
      <c r="C86" s="3"/>
      <c r="D86" s="10"/>
      <c r="E86" s="3"/>
      <c r="F86" s="3"/>
      <c r="G86" s="3"/>
      <c r="H86" s="3"/>
      <c r="I86" s="3"/>
      <c r="J86" s="3"/>
      <c r="K86" s="3"/>
      <c r="L86" s="3"/>
      <c r="M86" s="10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</row>
    <row r="87" spans="1:52">
      <c r="A87" s="3"/>
      <c r="B87" s="3"/>
      <c r="C87" s="3"/>
      <c r="D87" s="10"/>
      <c r="E87" s="3"/>
      <c r="F87" s="3"/>
      <c r="G87" s="3"/>
      <c r="H87" s="3"/>
      <c r="I87" s="3"/>
      <c r="J87" s="3"/>
      <c r="K87" s="3"/>
      <c r="L87" s="3"/>
      <c r="M87" s="10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</row>
    <row r="88" spans="1:52">
      <c r="A88" s="3"/>
      <c r="B88" s="3"/>
      <c r="C88" s="3"/>
      <c r="D88" s="10"/>
      <c r="E88" s="3"/>
      <c r="F88" s="3"/>
      <c r="G88" s="3"/>
      <c r="H88" s="3"/>
      <c r="I88" s="3"/>
      <c r="J88" s="3"/>
      <c r="K88" s="3"/>
      <c r="L88" s="3"/>
      <c r="M88" s="10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</row>
    <row r="89" spans="1:52">
      <c r="A89" s="3"/>
      <c r="B89" s="3"/>
      <c r="C89" s="3"/>
      <c r="D89" s="10"/>
      <c r="E89" s="3"/>
      <c r="F89" s="3"/>
      <c r="G89" s="3"/>
      <c r="H89" s="3"/>
      <c r="I89" s="3"/>
      <c r="J89" s="3"/>
      <c r="K89" s="3"/>
      <c r="L89" s="3"/>
      <c r="M89" s="10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</row>
    <row r="90" spans="1:52">
      <c r="A90" s="3"/>
      <c r="B90" s="3"/>
      <c r="C90" s="3"/>
      <c r="D90" s="10"/>
      <c r="E90" s="3"/>
      <c r="F90" s="3"/>
      <c r="G90" s="3"/>
      <c r="H90" s="3"/>
      <c r="I90" s="3"/>
      <c r="J90" s="3"/>
      <c r="K90" s="3"/>
      <c r="L90" s="3"/>
      <c r="M90" s="10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</row>
    <row r="91" spans="1:52">
      <c r="A91" s="3"/>
      <c r="B91" s="3"/>
      <c r="C91" s="3"/>
      <c r="D91" s="10"/>
      <c r="E91" s="3"/>
      <c r="F91" s="3"/>
      <c r="G91" s="3"/>
      <c r="H91" s="3"/>
      <c r="I91" s="3"/>
      <c r="J91" s="3"/>
      <c r="K91" s="3"/>
      <c r="L91" s="3"/>
      <c r="M91" s="10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</row>
    <row r="92" spans="1:52">
      <c r="A92" s="3"/>
      <c r="B92" s="3"/>
      <c r="C92" s="3"/>
      <c r="D92" s="10"/>
      <c r="E92" s="3"/>
      <c r="F92" s="3"/>
      <c r="G92" s="3"/>
      <c r="H92" s="3"/>
      <c r="I92" s="3"/>
      <c r="J92" s="3"/>
      <c r="K92" s="3"/>
      <c r="L92" s="3"/>
      <c r="M92" s="10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</row>
    <row r="93" spans="1:52">
      <c r="A93" s="3"/>
      <c r="B93" s="3"/>
      <c r="C93" s="3"/>
      <c r="D93" s="10"/>
      <c r="E93" s="3"/>
      <c r="F93" s="3"/>
      <c r="G93" s="3"/>
      <c r="H93" s="3"/>
      <c r="I93" s="3"/>
      <c r="J93" s="3"/>
      <c r="K93" s="3"/>
      <c r="L93" s="3"/>
      <c r="M93" s="10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</row>
    <row r="94" spans="1:52">
      <c r="A94" s="3"/>
      <c r="B94" s="3"/>
      <c r="C94" s="3"/>
      <c r="D94" s="10"/>
      <c r="E94" s="3"/>
      <c r="F94" s="3"/>
      <c r="G94" s="3"/>
      <c r="H94" s="3"/>
      <c r="I94" s="3"/>
      <c r="J94" s="3"/>
      <c r="K94" s="3"/>
      <c r="L94" s="3"/>
      <c r="M94" s="10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</row>
    <row r="95" spans="1:52">
      <c r="A95" s="3"/>
      <c r="B95" s="3"/>
      <c r="C95" s="3"/>
      <c r="D95" s="10"/>
      <c r="E95" s="3"/>
      <c r="F95" s="3"/>
      <c r="G95" s="3"/>
      <c r="H95" s="3"/>
      <c r="I95" s="3"/>
      <c r="J95" s="3"/>
      <c r="K95" s="3"/>
      <c r="L95" s="3"/>
      <c r="M95" s="10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</row>
    <row r="96" spans="1:52">
      <c r="A96" s="3"/>
      <c r="B96" s="3"/>
      <c r="C96" s="3"/>
      <c r="D96" s="10"/>
      <c r="E96" s="3"/>
      <c r="F96" s="3"/>
      <c r="G96" s="3"/>
      <c r="H96" s="3"/>
      <c r="I96" s="3"/>
      <c r="J96" s="3"/>
      <c r="K96" s="3"/>
      <c r="L96" s="3"/>
      <c r="M96" s="10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</row>
    <row r="97" spans="1:52">
      <c r="A97" s="3"/>
      <c r="B97" s="3"/>
      <c r="C97" s="3"/>
      <c r="D97" s="10"/>
      <c r="E97" s="3"/>
      <c r="F97" s="3"/>
      <c r="G97" s="3"/>
      <c r="H97" s="3"/>
      <c r="I97" s="3"/>
      <c r="J97" s="3"/>
      <c r="K97" s="3"/>
      <c r="L97" s="3"/>
      <c r="M97" s="10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</row>
    <row r="98" spans="1:52">
      <c r="A98" s="3"/>
      <c r="B98" s="3"/>
      <c r="C98" s="3"/>
      <c r="D98" s="10"/>
      <c r="E98" s="3"/>
      <c r="F98" s="3"/>
      <c r="G98" s="3"/>
      <c r="H98" s="3"/>
      <c r="I98" s="3"/>
      <c r="J98" s="3"/>
      <c r="K98" s="3"/>
      <c r="L98" s="3"/>
      <c r="M98" s="10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</row>
    <row r="99" spans="1:52">
      <c r="A99" s="3"/>
      <c r="B99" s="3"/>
      <c r="C99" s="3"/>
      <c r="D99" s="10"/>
      <c r="E99" s="3"/>
      <c r="F99" s="3"/>
      <c r="G99" s="3"/>
      <c r="H99" s="3"/>
      <c r="I99" s="3"/>
      <c r="J99" s="3"/>
      <c r="K99" s="3"/>
      <c r="L99" s="3"/>
      <c r="M99" s="10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</row>
    <row r="100" spans="1:52">
      <c r="A100" s="3"/>
      <c r="B100" s="3"/>
      <c r="C100" s="3"/>
      <c r="D100" s="10"/>
      <c r="E100" s="3"/>
      <c r="F100" s="3"/>
      <c r="G100" s="3"/>
      <c r="H100" s="3"/>
      <c r="I100" s="3"/>
      <c r="J100" s="3"/>
      <c r="K100" s="3"/>
      <c r="L100" s="3"/>
      <c r="M100" s="10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</row>
    <row r="101" spans="1:5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</row>
    <row r="102" spans="1:5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</row>
    <row r="103" spans="1:5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</row>
    <row r="104" spans="1:5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</row>
    <row r="105" spans="1:5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</row>
    <row r="106" spans="1:5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</row>
    <row r="107" spans="1:5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</row>
    <row r="108" spans="1:5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</row>
    <row r="109" spans="1:5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</row>
    <row r="110" spans="1:5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</row>
    <row r="111" spans="1:5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</row>
    <row r="112" spans="1:5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</row>
    <row r="113" spans="1:5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</row>
    <row r="114" spans="1:5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</row>
    <row r="115" spans="1:5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</row>
    <row r="116" spans="1:5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</row>
    <row r="117" spans="1:5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</row>
    <row r="118" spans="1:5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</row>
    <row r="119" spans="1:5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</row>
    <row r="120" spans="1:5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</row>
    <row r="121" spans="1:5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</row>
    <row r="122" spans="1:5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</row>
    <row r="123" spans="1:5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</row>
    <row r="124" spans="1:5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</row>
    <row r="125" spans="1:5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</row>
    <row r="126" spans="1:5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</row>
    <row r="127" spans="1:5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</row>
    <row r="128" spans="1:5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</row>
    <row r="129" spans="1:5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</row>
    <row r="130" spans="1:5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</row>
    <row r="131" spans="1:5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</row>
    <row r="132" spans="1:5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</row>
    <row r="133" spans="1:5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</row>
    <row r="134" spans="1:5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</row>
    <row r="135" spans="1:5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</row>
    <row r="136" spans="1:5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</row>
    <row r="137" spans="1:5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</row>
    <row r="138" spans="1:5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</row>
    <row r="139" spans="1:5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</row>
    <row r="140" spans="1:5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</row>
    <row r="141" spans="1:5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</row>
    <row r="142" spans="1:5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</row>
    <row r="143" spans="1:5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</row>
    <row r="144" spans="1:5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</row>
    <row r="145" spans="1:5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</row>
    <row r="146" spans="1:5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</row>
    <row r="147" spans="1:5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</row>
    <row r="148" spans="1:5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</row>
    <row r="149" spans="1:5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</row>
    <row r="150" spans="1:5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</row>
  </sheetData>
  <mergeCells count="2">
    <mergeCell ref="A1:N1"/>
    <mergeCell ref="A2:N2"/>
  </mergeCells>
  <dataValidations count="1">
    <dataValidation type="list" sqref="C5:C100" xr:uid="{00000000-0002-0000-0A00-000000000000}">
      <formula1>"Ingreso,Cambio de puesto,Promoción,Cambio salarial,Traslado de área,Cambio de jefe,Cambio centro de costo,Cambio sede,Cambio jornada/turno,Cambio contractual,Compensación fija,Suspensión,Reingreso,Desvinculación,Otro"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Z150"/>
  <sheetViews>
    <sheetView workbookViewId="0">
      <selection sqref="A1:I1"/>
    </sheetView>
  </sheetViews>
  <sheetFormatPr baseColWidth="10" defaultColWidth="8.75" defaultRowHeight="14.25"/>
  <cols>
    <col min="1" max="1" width="18" customWidth="1"/>
    <col min="2" max="2" width="38" customWidth="1"/>
    <col min="3" max="3" width="16" customWidth="1"/>
    <col min="4" max="4" width="22" customWidth="1"/>
    <col min="5" max="6" width="16" customWidth="1"/>
    <col min="7" max="7" width="25" customWidth="1"/>
    <col min="8" max="8" width="22" customWidth="1"/>
    <col min="9" max="9" width="30" customWidth="1"/>
  </cols>
  <sheetData>
    <row r="1" spans="1:52" ht="22.35" customHeight="1">
      <c r="A1" s="64" t="s">
        <v>738</v>
      </c>
      <c r="B1" s="57"/>
      <c r="C1" s="57"/>
      <c r="D1" s="57"/>
      <c r="E1" s="57"/>
      <c r="F1" s="57"/>
      <c r="G1" s="57"/>
      <c r="H1" s="57"/>
      <c r="I1" s="57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</row>
    <row r="2" spans="1:52" ht="28.9" customHeight="1">
      <c r="A2" s="65" t="s">
        <v>739</v>
      </c>
      <c r="B2" s="57"/>
      <c r="C2" s="57"/>
      <c r="D2" s="57"/>
      <c r="E2" s="57"/>
      <c r="F2" s="57"/>
      <c r="G2" s="57"/>
      <c r="H2" s="57"/>
      <c r="I2" s="57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</row>
    <row r="3" spans="1:5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</row>
    <row r="4" spans="1:52" ht="15">
      <c r="A4" s="11" t="s">
        <v>740</v>
      </c>
      <c r="B4" s="11" t="s">
        <v>741</v>
      </c>
      <c r="C4" s="11" t="s">
        <v>72</v>
      </c>
      <c r="D4" s="11" t="s">
        <v>646</v>
      </c>
      <c r="E4" s="11" t="s">
        <v>742</v>
      </c>
      <c r="F4" s="11" t="s">
        <v>557</v>
      </c>
      <c r="G4" s="11" t="s">
        <v>743</v>
      </c>
      <c r="H4" s="11" t="s">
        <v>744</v>
      </c>
      <c r="I4" s="11" t="s">
        <v>8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</row>
    <row r="5" spans="1:52">
      <c r="A5" s="5" t="s">
        <v>745</v>
      </c>
      <c r="B5" s="5" t="s">
        <v>746</v>
      </c>
      <c r="C5" s="5" t="s">
        <v>81</v>
      </c>
      <c r="D5" s="5" t="s">
        <v>218</v>
      </c>
      <c r="E5" s="5"/>
      <c r="F5" s="5" t="s">
        <v>562</v>
      </c>
      <c r="G5" s="5"/>
      <c r="H5" s="5" t="s">
        <v>119</v>
      </c>
      <c r="I5" s="5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</row>
    <row r="6" spans="1:52">
      <c r="A6" s="5" t="s">
        <v>745</v>
      </c>
      <c r="B6" s="5" t="s">
        <v>107</v>
      </c>
      <c r="C6" s="5" t="s">
        <v>81</v>
      </c>
      <c r="D6" s="5" t="s">
        <v>218</v>
      </c>
      <c r="E6" s="5"/>
      <c r="F6" s="5" t="s">
        <v>562</v>
      </c>
      <c r="G6" s="5"/>
      <c r="H6" s="5" t="s">
        <v>119</v>
      </c>
      <c r="I6" s="5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</row>
    <row r="7" spans="1:52">
      <c r="A7" s="5" t="s">
        <v>745</v>
      </c>
      <c r="B7" s="5" t="s">
        <v>747</v>
      </c>
      <c r="C7" s="5" t="s">
        <v>81</v>
      </c>
      <c r="D7" s="5" t="s">
        <v>218</v>
      </c>
      <c r="E7" s="5"/>
      <c r="F7" s="5" t="s">
        <v>562</v>
      </c>
      <c r="G7" s="5"/>
      <c r="H7" s="5" t="s">
        <v>119</v>
      </c>
      <c r="I7" s="5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</row>
    <row r="8" spans="1:52">
      <c r="A8" s="5" t="s">
        <v>120</v>
      </c>
      <c r="B8" s="5" t="s">
        <v>748</v>
      </c>
      <c r="C8" s="5" t="s">
        <v>81</v>
      </c>
      <c r="D8" s="5" t="s">
        <v>218</v>
      </c>
      <c r="E8" s="5"/>
      <c r="F8" s="5" t="s">
        <v>562</v>
      </c>
      <c r="G8" s="5"/>
      <c r="H8" s="5" t="s">
        <v>119</v>
      </c>
      <c r="I8" s="5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</row>
    <row r="9" spans="1:52" ht="28.5">
      <c r="A9" s="5" t="s">
        <v>132</v>
      </c>
      <c r="B9" s="5" t="s">
        <v>749</v>
      </c>
      <c r="C9" s="5" t="s">
        <v>81</v>
      </c>
      <c r="D9" s="5" t="s">
        <v>218</v>
      </c>
      <c r="E9" s="5"/>
      <c r="F9" s="5" t="s">
        <v>562</v>
      </c>
      <c r="G9" s="5"/>
      <c r="H9" s="5" t="s">
        <v>119</v>
      </c>
      <c r="I9" s="5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</row>
    <row r="10" spans="1:52">
      <c r="A10" s="5" t="s">
        <v>750</v>
      </c>
      <c r="B10" s="5" t="s">
        <v>751</v>
      </c>
      <c r="C10" s="5" t="s">
        <v>81</v>
      </c>
      <c r="D10" s="5" t="s">
        <v>218</v>
      </c>
      <c r="E10" s="5"/>
      <c r="F10" s="5" t="s">
        <v>562</v>
      </c>
      <c r="G10" s="5"/>
      <c r="H10" s="5" t="s">
        <v>752</v>
      </c>
      <c r="I10" s="5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</row>
    <row r="11" spans="1:52">
      <c r="A11" s="5" t="s">
        <v>750</v>
      </c>
      <c r="B11" s="5" t="s">
        <v>753</v>
      </c>
      <c r="C11" s="5" t="s">
        <v>163</v>
      </c>
      <c r="D11" s="5" t="s">
        <v>754</v>
      </c>
      <c r="E11" s="5"/>
      <c r="F11" s="5" t="s">
        <v>562</v>
      </c>
      <c r="G11" s="5"/>
      <c r="H11" s="5" t="s">
        <v>755</v>
      </c>
      <c r="I11" s="5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</row>
    <row r="12" spans="1:52">
      <c r="A12" s="5" t="s">
        <v>679</v>
      </c>
      <c r="B12" s="5" t="s">
        <v>756</v>
      </c>
      <c r="C12" s="5" t="s">
        <v>163</v>
      </c>
      <c r="D12" s="5" t="s">
        <v>669</v>
      </c>
      <c r="E12" s="5"/>
      <c r="F12" s="5" t="s">
        <v>562</v>
      </c>
      <c r="G12" s="5"/>
      <c r="H12" s="5" t="s">
        <v>757</v>
      </c>
      <c r="I12" s="5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</row>
    <row r="13" spans="1:52">
      <c r="A13" s="5" t="s">
        <v>679</v>
      </c>
      <c r="B13" s="5" t="s">
        <v>758</v>
      </c>
      <c r="C13" s="5" t="s">
        <v>81</v>
      </c>
      <c r="D13" s="5" t="s">
        <v>218</v>
      </c>
      <c r="E13" s="5"/>
      <c r="F13" s="5" t="s">
        <v>562</v>
      </c>
      <c r="G13" s="5"/>
      <c r="H13" s="5" t="s">
        <v>757</v>
      </c>
      <c r="I13" s="5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</row>
    <row r="14" spans="1:52">
      <c r="A14" s="5" t="s">
        <v>185</v>
      </c>
      <c r="B14" s="5" t="s">
        <v>759</v>
      </c>
      <c r="C14" s="5" t="s">
        <v>760</v>
      </c>
      <c r="D14" s="5" t="s">
        <v>229</v>
      </c>
      <c r="E14" s="5"/>
      <c r="F14" s="5" t="s">
        <v>562</v>
      </c>
      <c r="G14" s="5"/>
      <c r="H14" s="5" t="s">
        <v>752</v>
      </c>
      <c r="I14" s="5" t="s">
        <v>549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</row>
    <row r="15" spans="1:52">
      <c r="A15" s="5" t="s">
        <v>761</v>
      </c>
      <c r="B15" s="5" t="s">
        <v>762</v>
      </c>
      <c r="C15" s="5" t="s">
        <v>81</v>
      </c>
      <c r="D15" s="5" t="s">
        <v>720</v>
      </c>
      <c r="E15" s="5"/>
      <c r="F15" s="5" t="s">
        <v>562</v>
      </c>
      <c r="G15" s="5"/>
      <c r="H15" s="5" t="s">
        <v>757</v>
      </c>
      <c r="I15" s="5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</row>
    <row r="16" spans="1:52">
      <c r="A16" s="5" t="s">
        <v>685</v>
      </c>
      <c r="B16" s="5" t="s">
        <v>763</v>
      </c>
      <c r="C16" s="5" t="s">
        <v>81</v>
      </c>
      <c r="D16" s="5" t="s">
        <v>218</v>
      </c>
      <c r="E16" s="5"/>
      <c r="F16" s="5" t="s">
        <v>562</v>
      </c>
      <c r="G16" s="5"/>
      <c r="H16" s="5" t="s">
        <v>685</v>
      </c>
      <c r="I16" s="5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</row>
    <row r="17" spans="1:52">
      <c r="A17" s="5" t="s">
        <v>685</v>
      </c>
      <c r="B17" s="5" t="s">
        <v>764</v>
      </c>
      <c r="C17" s="5" t="s">
        <v>81</v>
      </c>
      <c r="D17" s="5" t="s">
        <v>765</v>
      </c>
      <c r="E17" s="5"/>
      <c r="F17" s="5" t="s">
        <v>562</v>
      </c>
      <c r="G17" s="5"/>
      <c r="H17" s="5" t="s">
        <v>766</v>
      </c>
      <c r="I17" s="5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</row>
    <row r="18" spans="1:52">
      <c r="A18" s="5" t="s">
        <v>767</v>
      </c>
      <c r="B18" s="5" t="s">
        <v>768</v>
      </c>
      <c r="C18" s="5" t="s">
        <v>769</v>
      </c>
      <c r="D18" s="5" t="s">
        <v>770</v>
      </c>
      <c r="E18" s="5"/>
      <c r="F18" s="5" t="s">
        <v>562</v>
      </c>
      <c r="G18" s="5"/>
      <c r="H18" s="5" t="s">
        <v>767</v>
      </c>
      <c r="I18" s="5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</row>
    <row r="19" spans="1:52">
      <c r="A19" s="5" t="s">
        <v>771</v>
      </c>
      <c r="B19" s="5" t="s">
        <v>772</v>
      </c>
      <c r="C19" s="5" t="s">
        <v>769</v>
      </c>
      <c r="D19" s="5" t="s">
        <v>646</v>
      </c>
      <c r="E19" s="5"/>
      <c r="F19" s="5" t="s">
        <v>562</v>
      </c>
      <c r="G19" s="5"/>
      <c r="H19" s="5" t="s">
        <v>771</v>
      </c>
      <c r="I19" s="5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</row>
    <row r="20" spans="1:5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</row>
    <row r="21" spans="1:5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</row>
    <row r="22" spans="1:5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</row>
    <row r="23" spans="1:5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</row>
    <row r="24" spans="1:5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</row>
    <row r="25" spans="1:5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</row>
    <row r="26" spans="1:5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</row>
    <row r="27" spans="1:5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</row>
    <row r="28" spans="1:5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</row>
    <row r="29" spans="1:5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</row>
    <row r="30" spans="1:5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</row>
    <row r="31" spans="1:5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</row>
    <row r="32" spans="1:5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</row>
    <row r="33" spans="1:5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</row>
    <row r="34" spans="1:5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</row>
    <row r="35" spans="1:5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</row>
    <row r="36" spans="1:5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</row>
    <row r="37" spans="1:5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</row>
    <row r="38" spans="1:5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</row>
    <row r="39" spans="1:5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</row>
    <row r="40" spans="1:5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</row>
    <row r="41" spans="1:5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</row>
    <row r="42" spans="1:5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</row>
    <row r="43" spans="1:5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</row>
    <row r="44" spans="1:5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</row>
    <row r="45" spans="1:5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</row>
    <row r="46" spans="1:5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</row>
    <row r="47" spans="1:5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</row>
    <row r="48" spans="1:5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</row>
    <row r="49" spans="1:5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</row>
    <row r="50" spans="1:5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</row>
    <row r="51" spans="1:5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</row>
    <row r="52" spans="1: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</row>
    <row r="53" spans="1:5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</row>
    <row r="54" spans="1:5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</row>
    <row r="55" spans="1:5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</row>
    <row r="56" spans="1:5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</row>
    <row r="57" spans="1:5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</row>
    <row r="58" spans="1:5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</row>
    <row r="59" spans="1:5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</row>
    <row r="60" spans="1:5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</row>
    <row r="61" spans="1:5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</row>
    <row r="62" spans="1:5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</row>
    <row r="63" spans="1:5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</row>
    <row r="64" spans="1:5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</row>
    <row r="65" spans="1:5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</row>
    <row r="66" spans="1:5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</row>
    <row r="67" spans="1:5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</row>
    <row r="68" spans="1:5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</row>
    <row r="69" spans="1:5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</row>
    <row r="70" spans="1:5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</row>
    <row r="71" spans="1:5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</row>
    <row r="72" spans="1:5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</row>
    <row r="73" spans="1:5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</row>
    <row r="74" spans="1:5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</row>
    <row r="75" spans="1:5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</row>
    <row r="76" spans="1:5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</row>
    <row r="77" spans="1:5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</row>
    <row r="78" spans="1:5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</row>
    <row r="79" spans="1:5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</row>
    <row r="80" spans="1:5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</row>
    <row r="81" spans="1:5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</row>
    <row r="82" spans="1:5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</row>
    <row r="83" spans="1:5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</row>
    <row r="84" spans="1:5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</row>
    <row r="85" spans="1:5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</row>
    <row r="86" spans="1:5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</row>
    <row r="87" spans="1:5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</row>
    <row r="88" spans="1:5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</row>
    <row r="89" spans="1:5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</row>
    <row r="90" spans="1:5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</row>
    <row r="91" spans="1:5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</row>
    <row r="92" spans="1:5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</row>
    <row r="93" spans="1:5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</row>
    <row r="94" spans="1:5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</row>
    <row r="95" spans="1:5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</row>
    <row r="96" spans="1:5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</row>
    <row r="97" spans="1:5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</row>
    <row r="98" spans="1:5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</row>
    <row r="99" spans="1:5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</row>
    <row r="100" spans="1:5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</row>
    <row r="101" spans="1:5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</row>
    <row r="102" spans="1:5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</row>
    <row r="103" spans="1:5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</row>
    <row r="104" spans="1:5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</row>
    <row r="105" spans="1:5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</row>
    <row r="106" spans="1:5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</row>
    <row r="107" spans="1:5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</row>
    <row r="108" spans="1:5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</row>
    <row r="109" spans="1:5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</row>
    <row r="110" spans="1:5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</row>
    <row r="111" spans="1:5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</row>
    <row r="112" spans="1:5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</row>
    <row r="113" spans="1:5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</row>
    <row r="114" spans="1:5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</row>
    <row r="115" spans="1:5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</row>
    <row r="116" spans="1:5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</row>
    <row r="117" spans="1:5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</row>
    <row r="118" spans="1:5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</row>
    <row r="119" spans="1:5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</row>
    <row r="120" spans="1:5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</row>
    <row r="121" spans="1:5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</row>
    <row r="122" spans="1:5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</row>
    <row r="123" spans="1:5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</row>
    <row r="124" spans="1:5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</row>
    <row r="125" spans="1:5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</row>
    <row r="126" spans="1:5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</row>
    <row r="127" spans="1:5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</row>
    <row r="128" spans="1:5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</row>
    <row r="129" spans="1:5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</row>
    <row r="130" spans="1:5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</row>
    <row r="131" spans="1:5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</row>
    <row r="132" spans="1:5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</row>
    <row r="133" spans="1:5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</row>
    <row r="134" spans="1:5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</row>
    <row r="135" spans="1:5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</row>
    <row r="136" spans="1:5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</row>
    <row r="137" spans="1:5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</row>
    <row r="138" spans="1:5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</row>
    <row r="139" spans="1:5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</row>
    <row r="140" spans="1:5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</row>
    <row r="141" spans="1:5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</row>
    <row r="142" spans="1:5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</row>
    <row r="143" spans="1:5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</row>
    <row r="144" spans="1:5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</row>
    <row r="145" spans="1:5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</row>
    <row r="146" spans="1:5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</row>
    <row r="147" spans="1:5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</row>
    <row r="148" spans="1:5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</row>
    <row r="149" spans="1:5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</row>
    <row r="150" spans="1:5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</row>
  </sheetData>
  <mergeCells count="2">
    <mergeCell ref="A1:I1"/>
    <mergeCell ref="A2:I2"/>
  </mergeCells>
  <dataValidations count="1">
    <dataValidation type="list" sqref="F5:F100" xr:uid="{00000000-0002-0000-0B00-000000000000}">
      <formula1>"Pendiente,En proceso,Completo,No aplica"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Z150"/>
  <sheetViews>
    <sheetView workbookViewId="0">
      <selection sqref="A1:G1"/>
    </sheetView>
  </sheetViews>
  <sheetFormatPr baseColWidth="10" defaultColWidth="8.75" defaultRowHeight="14.25"/>
  <cols>
    <col min="1" max="1" width="28" customWidth="1"/>
    <col min="2" max="5" width="22" customWidth="1"/>
    <col min="6" max="7" width="30" customWidth="1"/>
  </cols>
  <sheetData>
    <row r="1" spans="1:52" ht="22.35" customHeight="1">
      <c r="A1" s="64" t="s">
        <v>773</v>
      </c>
      <c r="B1" s="57"/>
      <c r="C1" s="57"/>
      <c r="D1" s="57"/>
      <c r="E1" s="57"/>
      <c r="F1" s="57"/>
      <c r="G1" s="57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</row>
    <row r="2" spans="1:52" ht="28.9" customHeight="1">
      <c r="A2" s="65" t="s">
        <v>774</v>
      </c>
      <c r="B2" s="57"/>
      <c r="C2" s="57"/>
      <c r="D2" s="57"/>
      <c r="E2" s="57"/>
      <c r="F2" s="57"/>
      <c r="G2" s="57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</row>
    <row r="3" spans="1:5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</row>
    <row r="4" spans="1:52" ht="15">
      <c r="A4" s="11" t="s">
        <v>775</v>
      </c>
      <c r="B4" s="11" t="s">
        <v>728</v>
      </c>
      <c r="C4" s="11" t="s">
        <v>776</v>
      </c>
      <c r="D4" s="11" t="s">
        <v>730</v>
      </c>
      <c r="E4" s="11" t="s">
        <v>777</v>
      </c>
      <c r="F4" s="11" t="s">
        <v>778</v>
      </c>
      <c r="G4" s="11" t="s">
        <v>205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</row>
    <row r="5" spans="1:52">
      <c r="A5" s="5" t="s">
        <v>779</v>
      </c>
      <c r="B5" s="5" t="s">
        <v>279</v>
      </c>
      <c r="C5" s="5" t="s">
        <v>218</v>
      </c>
      <c r="D5" s="5" t="s">
        <v>780</v>
      </c>
      <c r="E5" s="5" t="s">
        <v>218</v>
      </c>
      <c r="F5" s="5" t="s">
        <v>781</v>
      </c>
      <c r="G5" s="5" t="s">
        <v>782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</row>
    <row r="6" spans="1:52">
      <c r="A6" s="5" t="s">
        <v>261</v>
      </c>
      <c r="B6" s="5" t="s">
        <v>783</v>
      </c>
      <c r="C6" s="5" t="s">
        <v>218</v>
      </c>
      <c r="D6" s="5" t="s">
        <v>784</v>
      </c>
      <c r="E6" s="5" t="s">
        <v>218</v>
      </c>
      <c r="F6" s="5" t="s">
        <v>785</v>
      </c>
      <c r="G6" s="5" t="s">
        <v>786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</row>
    <row r="7" spans="1:52">
      <c r="A7" s="5" t="s">
        <v>787</v>
      </c>
      <c r="B7" s="5" t="s">
        <v>279</v>
      </c>
      <c r="C7" s="5" t="s">
        <v>218</v>
      </c>
      <c r="D7" s="5" t="s">
        <v>780</v>
      </c>
      <c r="E7" s="5" t="s">
        <v>218</v>
      </c>
      <c r="F7" s="5" t="s">
        <v>788</v>
      </c>
      <c r="G7" s="5" t="s">
        <v>725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</row>
    <row r="8" spans="1:52">
      <c r="A8" s="5" t="s">
        <v>474</v>
      </c>
      <c r="B8" s="5" t="s">
        <v>279</v>
      </c>
      <c r="C8" s="5" t="s">
        <v>218</v>
      </c>
      <c r="D8" s="5" t="s">
        <v>789</v>
      </c>
      <c r="E8" s="5" t="s">
        <v>229</v>
      </c>
      <c r="F8" s="5" t="s">
        <v>790</v>
      </c>
      <c r="G8" s="5" t="s">
        <v>791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</row>
    <row r="9" spans="1:52">
      <c r="A9" s="5" t="s">
        <v>792</v>
      </c>
      <c r="B9" s="5" t="s">
        <v>279</v>
      </c>
      <c r="C9" s="5" t="s">
        <v>229</v>
      </c>
      <c r="D9" s="5" t="s">
        <v>670</v>
      </c>
      <c r="E9" s="5" t="s">
        <v>167</v>
      </c>
      <c r="F9" s="5" t="s">
        <v>793</v>
      </c>
      <c r="G9" s="5" t="s">
        <v>794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</row>
    <row r="10" spans="1:52">
      <c r="A10" s="5" t="s">
        <v>432</v>
      </c>
      <c r="B10" s="5" t="s">
        <v>279</v>
      </c>
      <c r="C10" s="5" t="s">
        <v>229</v>
      </c>
      <c r="D10" s="5" t="s">
        <v>670</v>
      </c>
      <c r="E10" s="5" t="s">
        <v>167</v>
      </c>
      <c r="F10" s="5" t="s">
        <v>795</v>
      </c>
      <c r="G10" s="5" t="s">
        <v>796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</row>
    <row r="11" spans="1:52">
      <c r="A11" s="5" t="s">
        <v>797</v>
      </c>
      <c r="B11" s="5" t="s">
        <v>521</v>
      </c>
      <c r="C11" s="5" t="s">
        <v>229</v>
      </c>
      <c r="D11" s="5" t="s">
        <v>798</v>
      </c>
      <c r="E11" s="5" t="s">
        <v>167</v>
      </c>
      <c r="F11" s="5" t="s">
        <v>799</v>
      </c>
      <c r="G11" s="5" t="s">
        <v>800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</row>
    <row r="12" spans="1:52">
      <c r="A12" s="5" t="s">
        <v>801</v>
      </c>
      <c r="B12" s="5" t="s">
        <v>783</v>
      </c>
      <c r="C12" s="5" t="s">
        <v>218</v>
      </c>
      <c r="D12" s="5" t="s">
        <v>670</v>
      </c>
      <c r="E12" s="5" t="s">
        <v>802</v>
      </c>
      <c r="F12" s="5" t="s">
        <v>803</v>
      </c>
      <c r="G12" s="5" t="s">
        <v>804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</row>
    <row r="13" spans="1:5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</row>
    <row r="14" spans="1:5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</row>
    <row r="15" spans="1:5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</row>
    <row r="16" spans="1:5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</row>
    <row r="17" spans="1:5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</row>
    <row r="18" spans="1:5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</row>
    <row r="19" spans="1:5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</row>
    <row r="20" spans="1:5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</row>
    <row r="21" spans="1:5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</row>
    <row r="22" spans="1:5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</row>
    <row r="23" spans="1:5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</row>
    <row r="24" spans="1:5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</row>
    <row r="25" spans="1:5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</row>
    <row r="26" spans="1:5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</row>
    <row r="27" spans="1:5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</row>
    <row r="28" spans="1:5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</row>
    <row r="29" spans="1:5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</row>
    <row r="30" spans="1:5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</row>
    <row r="31" spans="1:5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</row>
    <row r="32" spans="1:5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</row>
    <row r="33" spans="1:5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</row>
    <row r="34" spans="1:5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</row>
    <row r="35" spans="1:5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</row>
    <row r="36" spans="1:5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</row>
    <row r="37" spans="1:5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</row>
    <row r="38" spans="1:5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</row>
    <row r="39" spans="1:5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</row>
    <row r="40" spans="1:5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</row>
    <row r="41" spans="1:5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</row>
    <row r="42" spans="1:5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</row>
    <row r="43" spans="1:5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</row>
    <row r="44" spans="1:5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</row>
    <row r="45" spans="1:5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</row>
    <row r="46" spans="1:5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</row>
    <row r="47" spans="1:5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</row>
    <row r="48" spans="1:5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</row>
    <row r="49" spans="1:5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</row>
    <row r="50" spans="1:5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</row>
    <row r="51" spans="1:5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</row>
    <row r="52" spans="1: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</row>
    <row r="53" spans="1:5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</row>
    <row r="54" spans="1:5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</row>
    <row r="55" spans="1:5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</row>
    <row r="56" spans="1:5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</row>
    <row r="57" spans="1:5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</row>
    <row r="58" spans="1:5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</row>
    <row r="59" spans="1:5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</row>
    <row r="60" spans="1:5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</row>
    <row r="61" spans="1:5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</row>
    <row r="62" spans="1:5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</row>
    <row r="63" spans="1:5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</row>
    <row r="64" spans="1:5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</row>
    <row r="65" spans="1:5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</row>
    <row r="66" spans="1:5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</row>
    <row r="67" spans="1:5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</row>
    <row r="68" spans="1:5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</row>
    <row r="69" spans="1:5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</row>
    <row r="70" spans="1:5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</row>
    <row r="71" spans="1:5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</row>
    <row r="72" spans="1:5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</row>
    <row r="73" spans="1:5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</row>
    <row r="74" spans="1:5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</row>
    <row r="75" spans="1:5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</row>
    <row r="76" spans="1:5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</row>
    <row r="77" spans="1:5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</row>
    <row r="78" spans="1:5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</row>
    <row r="79" spans="1:5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</row>
    <row r="80" spans="1:5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</row>
    <row r="81" spans="1:5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</row>
    <row r="82" spans="1:5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</row>
    <row r="83" spans="1:5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</row>
    <row r="84" spans="1:5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</row>
    <row r="85" spans="1:5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</row>
    <row r="86" spans="1:5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</row>
    <row r="87" spans="1:5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</row>
    <row r="88" spans="1:5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</row>
    <row r="89" spans="1:5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</row>
    <row r="90" spans="1:5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</row>
    <row r="91" spans="1:5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</row>
    <row r="92" spans="1:5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</row>
    <row r="93" spans="1:5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</row>
    <row r="94" spans="1:5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</row>
    <row r="95" spans="1:5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</row>
    <row r="96" spans="1:5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</row>
    <row r="97" spans="1:5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</row>
    <row r="98" spans="1:5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</row>
    <row r="99" spans="1:5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</row>
    <row r="100" spans="1:5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</row>
    <row r="101" spans="1:5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</row>
    <row r="102" spans="1:5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</row>
    <row r="103" spans="1:5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</row>
    <row r="104" spans="1:5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</row>
    <row r="105" spans="1:5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</row>
    <row r="106" spans="1:5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</row>
    <row r="107" spans="1:5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</row>
    <row r="108" spans="1:5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</row>
    <row r="109" spans="1:5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</row>
    <row r="110" spans="1:5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</row>
    <row r="111" spans="1:5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</row>
    <row r="112" spans="1:5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</row>
    <row r="113" spans="1:5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</row>
    <row r="114" spans="1:5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</row>
    <row r="115" spans="1:5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</row>
    <row r="116" spans="1:5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</row>
    <row r="117" spans="1:5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</row>
    <row r="118" spans="1:5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</row>
    <row r="119" spans="1:5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</row>
    <row r="120" spans="1:5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</row>
    <row r="121" spans="1:5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</row>
    <row r="122" spans="1:5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</row>
    <row r="123" spans="1:5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</row>
    <row r="124" spans="1:5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</row>
    <row r="125" spans="1:5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</row>
    <row r="126" spans="1:5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</row>
    <row r="127" spans="1:5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</row>
    <row r="128" spans="1:5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</row>
    <row r="129" spans="1:5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</row>
    <row r="130" spans="1:5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</row>
    <row r="131" spans="1:5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</row>
    <row r="132" spans="1:5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</row>
    <row r="133" spans="1:5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</row>
    <row r="134" spans="1:5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</row>
    <row r="135" spans="1:5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</row>
    <row r="136" spans="1:5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</row>
    <row r="137" spans="1:5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</row>
    <row r="138" spans="1:5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</row>
    <row r="139" spans="1:5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</row>
    <row r="140" spans="1:5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</row>
    <row r="141" spans="1:5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</row>
    <row r="142" spans="1:5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</row>
    <row r="143" spans="1:5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</row>
    <row r="144" spans="1:5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</row>
    <row r="145" spans="1:5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</row>
    <row r="146" spans="1:5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</row>
    <row r="147" spans="1:5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</row>
    <row r="148" spans="1:5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</row>
    <row r="149" spans="1:5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</row>
    <row r="150" spans="1:5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</row>
  </sheetData>
  <mergeCells count="2">
    <mergeCell ref="A1:G1"/>
    <mergeCell ref="A2:G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Z150"/>
  <sheetViews>
    <sheetView workbookViewId="0">
      <selection sqref="A1:N1"/>
    </sheetView>
  </sheetViews>
  <sheetFormatPr baseColWidth="10" defaultColWidth="8.75" defaultRowHeight="14.25"/>
  <cols>
    <col min="1" max="2" width="15" customWidth="1"/>
    <col min="3" max="3" width="24" customWidth="1"/>
    <col min="4" max="4" width="15" customWidth="1"/>
    <col min="5" max="5" width="24" customWidth="1"/>
    <col min="6" max="6" width="14" customWidth="1"/>
    <col min="7" max="7" width="12" customWidth="1"/>
    <col min="8" max="8" width="28" customWidth="1"/>
    <col min="9" max="9" width="14" customWidth="1"/>
    <col min="10" max="10" width="16" customWidth="1"/>
    <col min="11" max="11" width="30" customWidth="1"/>
    <col min="12" max="14" width="18" customWidth="1"/>
  </cols>
  <sheetData>
    <row r="1" spans="1:52" ht="22.35" customHeight="1">
      <c r="A1" s="64" t="s">
        <v>805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</row>
    <row r="2" spans="1:52" ht="28.9" customHeight="1">
      <c r="A2" s="65" t="s">
        <v>806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</row>
    <row r="3" spans="1:5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</row>
    <row r="4" spans="1:52" ht="15">
      <c r="A4" s="11" t="s">
        <v>807</v>
      </c>
      <c r="B4" s="11" t="s">
        <v>79</v>
      </c>
      <c r="C4" s="11" t="s">
        <v>152</v>
      </c>
      <c r="D4" s="11" t="s">
        <v>808</v>
      </c>
      <c r="E4" s="11" t="s">
        <v>755</v>
      </c>
      <c r="F4" s="11" t="s">
        <v>809</v>
      </c>
      <c r="G4" s="11" t="s">
        <v>810</v>
      </c>
      <c r="H4" s="11" t="s">
        <v>811</v>
      </c>
      <c r="I4" s="11" t="s">
        <v>446</v>
      </c>
      <c r="J4" s="11" t="s">
        <v>812</v>
      </c>
      <c r="K4" s="11" t="s">
        <v>813</v>
      </c>
      <c r="L4" s="11" t="s">
        <v>814</v>
      </c>
      <c r="M4" s="11" t="s">
        <v>815</v>
      </c>
      <c r="N4" s="11" t="s">
        <v>647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</row>
    <row r="5" spans="1:52" ht="28.5">
      <c r="A5" s="5" t="s">
        <v>816</v>
      </c>
      <c r="B5" s="5" t="s">
        <v>445</v>
      </c>
      <c r="C5" s="5" t="s">
        <v>817</v>
      </c>
      <c r="D5" s="5" t="s">
        <v>818</v>
      </c>
      <c r="E5" s="5" t="s">
        <v>819</v>
      </c>
      <c r="F5" s="5">
        <v>100</v>
      </c>
      <c r="G5" s="12">
        <v>1</v>
      </c>
      <c r="H5" s="5" t="s">
        <v>820</v>
      </c>
      <c r="I5" s="5">
        <v>100</v>
      </c>
      <c r="J5" s="12">
        <v>1</v>
      </c>
      <c r="K5" s="5" t="s">
        <v>821</v>
      </c>
      <c r="L5" s="13">
        <v>1000</v>
      </c>
      <c r="M5" s="13">
        <f>ROUND(L5*J5,2)</f>
        <v>1000</v>
      </c>
      <c r="N5" s="5" t="s">
        <v>562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</row>
    <row r="6" spans="1:52">
      <c r="A6" s="5"/>
      <c r="B6" s="5"/>
      <c r="C6" s="5"/>
      <c r="D6" s="5"/>
      <c r="E6" s="5"/>
      <c r="F6" s="5"/>
      <c r="G6" s="12"/>
      <c r="H6" s="5"/>
      <c r="I6" s="5"/>
      <c r="J6" s="12"/>
      <c r="K6" s="5"/>
      <c r="L6" s="13"/>
      <c r="M6" s="13"/>
      <c r="N6" s="5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</row>
    <row r="7" spans="1:52">
      <c r="A7" s="5"/>
      <c r="B7" s="5"/>
      <c r="C7" s="5"/>
      <c r="D7" s="5"/>
      <c r="E7" s="5"/>
      <c r="F7" s="5"/>
      <c r="G7" s="12"/>
      <c r="H7" s="5"/>
      <c r="I7" s="5"/>
      <c r="J7" s="12"/>
      <c r="K7" s="5"/>
      <c r="L7" s="13"/>
      <c r="M7" s="13"/>
      <c r="N7" s="5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</row>
    <row r="8" spans="1:52">
      <c r="A8" s="5"/>
      <c r="B8" s="5"/>
      <c r="C8" s="5"/>
      <c r="D8" s="5"/>
      <c r="E8" s="5"/>
      <c r="F8" s="5"/>
      <c r="G8" s="12"/>
      <c r="H8" s="5"/>
      <c r="I8" s="5"/>
      <c r="J8" s="12"/>
      <c r="K8" s="5"/>
      <c r="L8" s="13"/>
      <c r="M8" s="13"/>
      <c r="N8" s="5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</row>
    <row r="9" spans="1:52">
      <c r="A9" s="5"/>
      <c r="B9" s="5"/>
      <c r="C9" s="5"/>
      <c r="D9" s="5"/>
      <c r="E9" s="5"/>
      <c r="F9" s="5"/>
      <c r="G9" s="12"/>
      <c r="H9" s="5"/>
      <c r="I9" s="5"/>
      <c r="J9" s="12"/>
      <c r="K9" s="5"/>
      <c r="L9" s="13"/>
      <c r="M9" s="13"/>
      <c r="N9" s="5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</row>
    <row r="10" spans="1:52">
      <c r="A10" s="5"/>
      <c r="B10" s="5"/>
      <c r="C10" s="5"/>
      <c r="D10" s="5"/>
      <c r="E10" s="5"/>
      <c r="F10" s="5"/>
      <c r="G10" s="12"/>
      <c r="H10" s="5"/>
      <c r="I10" s="5"/>
      <c r="J10" s="12"/>
      <c r="K10" s="5"/>
      <c r="L10" s="13"/>
      <c r="M10" s="13"/>
      <c r="N10" s="5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</row>
    <row r="11" spans="1:52">
      <c r="A11" s="5"/>
      <c r="B11" s="5"/>
      <c r="C11" s="5"/>
      <c r="D11" s="5"/>
      <c r="E11" s="5"/>
      <c r="F11" s="5"/>
      <c r="G11" s="12"/>
      <c r="H11" s="5"/>
      <c r="I11" s="5"/>
      <c r="J11" s="12"/>
      <c r="K11" s="5"/>
      <c r="L11" s="13"/>
      <c r="M11" s="13"/>
      <c r="N11" s="5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</row>
    <row r="12" spans="1:52">
      <c r="A12" s="5"/>
      <c r="B12" s="5"/>
      <c r="C12" s="5"/>
      <c r="D12" s="5"/>
      <c r="E12" s="5"/>
      <c r="F12" s="5"/>
      <c r="G12" s="12"/>
      <c r="H12" s="5"/>
      <c r="I12" s="5"/>
      <c r="J12" s="12"/>
      <c r="K12" s="5"/>
      <c r="L12" s="13"/>
      <c r="M12" s="13"/>
      <c r="N12" s="5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</row>
    <row r="13" spans="1:52">
      <c r="A13" s="5"/>
      <c r="B13" s="5"/>
      <c r="C13" s="5"/>
      <c r="D13" s="5"/>
      <c r="E13" s="5"/>
      <c r="F13" s="5"/>
      <c r="G13" s="12"/>
      <c r="H13" s="5"/>
      <c r="I13" s="5"/>
      <c r="J13" s="12"/>
      <c r="K13" s="5"/>
      <c r="L13" s="13"/>
      <c r="M13" s="13"/>
      <c r="N13" s="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</row>
    <row r="14" spans="1:52">
      <c r="A14" s="5"/>
      <c r="B14" s="5"/>
      <c r="C14" s="5"/>
      <c r="D14" s="5"/>
      <c r="E14" s="5"/>
      <c r="F14" s="5"/>
      <c r="G14" s="12"/>
      <c r="H14" s="5"/>
      <c r="I14" s="5"/>
      <c r="J14" s="12"/>
      <c r="K14" s="5"/>
      <c r="L14" s="13"/>
      <c r="M14" s="13"/>
      <c r="N14" s="5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</row>
    <row r="15" spans="1:52">
      <c r="A15" s="5"/>
      <c r="B15" s="5"/>
      <c r="C15" s="5"/>
      <c r="D15" s="5"/>
      <c r="E15" s="5"/>
      <c r="F15" s="5"/>
      <c r="G15" s="12"/>
      <c r="H15" s="5"/>
      <c r="I15" s="5"/>
      <c r="J15" s="12"/>
      <c r="K15" s="5"/>
      <c r="L15" s="13"/>
      <c r="M15" s="13"/>
      <c r="N15" s="5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</row>
    <row r="16" spans="1:52">
      <c r="A16" s="5"/>
      <c r="B16" s="5"/>
      <c r="C16" s="5"/>
      <c r="D16" s="5"/>
      <c r="E16" s="5"/>
      <c r="F16" s="5"/>
      <c r="G16" s="12"/>
      <c r="H16" s="5"/>
      <c r="I16" s="5"/>
      <c r="J16" s="12"/>
      <c r="K16" s="5"/>
      <c r="L16" s="13"/>
      <c r="M16" s="13"/>
      <c r="N16" s="5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</row>
    <row r="17" spans="1:52">
      <c r="A17" s="5"/>
      <c r="B17" s="5"/>
      <c r="C17" s="5"/>
      <c r="D17" s="5"/>
      <c r="E17" s="5"/>
      <c r="F17" s="5"/>
      <c r="G17" s="12"/>
      <c r="H17" s="5"/>
      <c r="I17" s="5"/>
      <c r="J17" s="12"/>
      <c r="K17" s="5"/>
      <c r="L17" s="13"/>
      <c r="M17" s="13"/>
      <c r="N17" s="5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</row>
    <row r="18" spans="1:52">
      <c r="A18" s="5"/>
      <c r="B18" s="5"/>
      <c r="C18" s="5"/>
      <c r="D18" s="5"/>
      <c r="E18" s="5"/>
      <c r="F18" s="5"/>
      <c r="G18" s="12"/>
      <c r="H18" s="5"/>
      <c r="I18" s="5"/>
      <c r="J18" s="12"/>
      <c r="K18" s="5"/>
      <c r="L18" s="13"/>
      <c r="M18" s="13"/>
      <c r="N18" s="5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</row>
    <row r="19" spans="1:52">
      <c r="A19" s="5"/>
      <c r="B19" s="5"/>
      <c r="C19" s="5"/>
      <c r="D19" s="5"/>
      <c r="E19" s="5"/>
      <c r="F19" s="5"/>
      <c r="G19" s="12"/>
      <c r="H19" s="5"/>
      <c r="I19" s="5"/>
      <c r="J19" s="12"/>
      <c r="K19" s="5"/>
      <c r="L19" s="13"/>
      <c r="M19" s="13"/>
      <c r="N19" s="5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</row>
    <row r="20" spans="1:52">
      <c r="A20" s="5"/>
      <c r="B20" s="5"/>
      <c r="C20" s="5"/>
      <c r="D20" s="5"/>
      <c r="E20" s="5"/>
      <c r="F20" s="5"/>
      <c r="G20" s="12"/>
      <c r="H20" s="5"/>
      <c r="I20" s="5"/>
      <c r="J20" s="12"/>
      <c r="K20" s="5"/>
      <c r="L20" s="13"/>
      <c r="M20" s="13"/>
      <c r="N20" s="5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</row>
    <row r="21" spans="1:52">
      <c r="A21" s="3"/>
      <c r="B21" s="3"/>
      <c r="C21" s="3"/>
      <c r="D21" s="3"/>
      <c r="E21" s="3"/>
      <c r="F21" s="3"/>
      <c r="G21" s="14"/>
      <c r="H21" s="3"/>
      <c r="I21" s="3"/>
      <c r="J21" s="14"/>
      <c r="K21" s="3"/>
      <c r="L21" s="15"/>
      <c r="M21" s="15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</row>
    <row r="22" spans="1:52">
      <c r="A22" s="3"/>
      <c r="B22" s="3"/>
      <c r="C22" s="3"/>
      <c r="D22" s="3"/>
      <c r="E22" s="3"/>
      <c r="F22" s="3"/>
      <c r="G22" s="14"/>
      <c r="H22" s="3"/>
      <c r="I22" s="3"/>
      <c r="J22" s="14"/>
      <c r="K22" s="3"/>
      <c r="L22" s="15"/>
      <c r="M22" s="15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</row>
    <row r="23" spans="1:52">
      <c r="A23" s="3"/>
      <c r="B23" s="3"/>
      <c r="C23" s="3"/>
      <c r="D23" s="3"/>
      <c r="E23" s="3"/>
      <c r="F23" s="3"/>
      <c r="G23" s="14"/>
      <c r="H23" s="3"/>
      <c r="I23" s="3"/>
      <c r="J23" s="14"/>
      <c r="K23" s="3"/>
      <c r="L23" s="15"/>
      <c r="M23" s="15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</row>
    <row r="24" spans="1:52">
      <c r="A24" s="3"/>
      <c r="B24" s="3"/>
      <c r="C24" s="3"/>
      <c r="D24" s="3"/>
      <c r="E24" s="3"/>
      <c r="F24" s="3"/>
      <c r="G24" s="14"/>
      <c r="H24" s="3"/>
      <c r="I24" s="3"/>
      <c r="J24" s="14"/>
      <c r="K24" s="3"/>
      <c r="L24" s="15"/>
      <c r="M24" s="15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</row>
    <row r="25" spans="1:52">
      <c r="A25" s="3"/>
      <c r="B25" s="3"/>
      <c r="C25" s="3"/>
      <c r="D25" s="3"/>
      <c r="E25" s="3"/>
      <c r="F25" s="3"/>
      <c r="G25" s="14"/>
      <c r="H25" s="3"/>
      <c r="I25" s="3"/>
      <c r="J25" s="14"/>
      <c r="K25" s="3"/>
      <c r="L25" s="15"/>
      <c r="M25" s="15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</row>
    <row r="26" spans="1:52">
      <c r="A26" s="3"/>
      <c r="B26" s="3"/>
      <c r="C26" s="3"/>
      <c r="D26" s="3"/>
      <c r="E26" s="3"/>
      <c r="F26" s="3"/>
      <c r="G26" s="14"/>
      <c r="H26" s="3"/>
      <c r="I26" s="3"/>
      <c r="J26" s="14"/>
      <c r="K26" s="3"/>
      <c r="L26" s="15"/>
      <c r="M26" s="15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</row>
    <row r="27" spans="1:52">
      <c r="A27" s="3"/>
      <c r="B27" s="3"/>
      <c r="C27" s="3"/>
      <c r="D27" s="3"/>
      <c r="E27" s="3"/>
      <c r="F27" s="3"/>
      <c r="G27" s="14"/>
      <c r="H27" s="3"/>
      <c r="I27" s="3"/>
      <c r="J27" s="14"/>
      <c r="K27" s="3"/>
      <c r="L27" s="15"/>
      <c r="M27" s="15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</row>
    <row r="28" spans="1:52">
      <c r="A28" s="3"/>
      <c r="B28" s="3"/>
      <c r="C28" s="3"/>
      <c r="D28" s="3"/>
      <c r="E28" s="3"/>
      <c r="F28" s="3"/>
      <c r="G28" s="14"/>
      <c r="H28" s="3"/>
      <c r="I28" s="3"/>
      <c r="J28" s="14"/>
      <c r="K28" s="3"/>
      <c r="L28" s="15"/>
      <c r="M28" s="15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</row>
    <row r="29" spans="1:52">
      <c r="A29" s="3"/>
      <c r="B29" s="3"/>
      <c r="C29" s="3"/>
      <c r="D29" s="3"/>
      <c r="E29" s="3"/>
      <c r="F29" s="3"/>
      <c r="G29" s="14"/>
      <c r="H29" s="3"/>
      <c r="I29" s="3"/>
      <c r="J29" s="14"/>
      <c r="K29" s="3"/>
      <c r="L29" s="15"/>
      <c r="M29" s="15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</row>
    <row r="30" spans="1:52">
      <c r="A30" s="3"/>
      <c r="B30" s="3"/>
      <c r="C30" s="3"/>
      <c r="D30" s="3"/>
      <c r="E30" s="3"/>
      <c r="F30" s="3"/>
      <c r="G30" s="14"/>
      <c r="H30" s="3"/>
      <c r="I30" s="3"/>
      <c r="J30" s="14"/>
      <c r="K30" s="3"/>
      <c r="L30" s="15"/>
      <c r="M30" s="15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</row>
    <row r="31" spans="1:52">
      <c r="A31" s="3"/>
      <c r="B31" s="3"/>
      <c r="C31" s="3"/>
      <c r="D31" s="3"/>
      <c r="E31" s="3"/>
      <c r="F31" s="3"/>
      <c r="G31" s="14"/>
      <c r="H31" s="3"/>
      <c r="I31" s="3"/>
      <c r="J31" s="14"/>
      <c r="K31" s="3"/>
      <c r="L31" s="15"/>
      <c r="M31" s="15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</row>
    <row r="32" spans="1:52">
      <c r="A32" s="3"/>
      <c r="B32" s="3"/>
      <c r="C32" s="3"/>
      <c r="D32" s="3"/>
      <c r="E32" s="3"/>
      <c r="F32" s="3"/>
      <c r="G32" s="14"/>
      <c r="H32" s="3"/>
      <c r="I32" s="3"/>
      <c r="J32" s="14"/>
      <c r="K32" s="3"/>
      <c r="L32" s="15"/>
      <c r="M32" s="15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</row>
    <row r="33" spans="1:52">
      <c r="A33" s="3"/>
      <c r="B33" s="3"/>
      <c r="C33" s="3"/>
      <c r="D33" s="3"/>
      <c r="E33" s="3"/>
      <c r="F33" s="3"/>
      <c r="G33" s="14"/>
      <c r="H33" s="3"/>
      <c r="I33" s="3"/>
      <c r="J33" s="14"/>
      <c r="K33" s="3"/>
      <c r="L33" s="15"/>
      <c r="M33" s="15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</row>
    <row r="34" spans="1:52">
      <c r="A34" s="3"/>
      <c r="B34" s="3"/>
      <c r="C34" s="3"/>
      <c r="D34" s="3"/>
      <c r="E34" s="3"/>
      <c r="F34" s="3"/>
      <c r="G34" s="14"/>
      <c r="H34" s="3"/>
      <c r="I34" s="3"/>
      <c r="J34" s="14"/>
      <c r="K34" s="3"/>
      <c r="L34" s="15"/>
      <c r="M34" s="15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</row>
    <row r="35" spans="1:52">
      <c r="A35" s="3"/>
      <c r="B35" s="3"/>
      <c r="C35" s="3"/>
      <c r="D35" s="3"/>
      <c r="E35" s="3"/>
      <c r="F35" s="3"/>
      <c r="G35" s="14"/>
      <c r="H35" s="3"/>
      <c r="I35" s="3"/>
      <c r="J35" s="14"/>
      <c r="K35" s="3"/>
      <c r="L35" s="15"/>
      <c r="M35" s="15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</row>
    <row r="36" spans="1:52">
      <c r="A36" s="3"/>
      <c r="B36" s="3"/>
      <c r="C36" s="3"/>
      <c r="D36" s="3"/>
      <c r="E36" s="3"/>
      <c r="F36" s="3"/>
      <c r="G36" s="14"/>
      <c r="H36" s="3"/>
      <c r="I36" s="3"/>
      <c r="J36" s="14"/>
      <c r="K36" s="3"/>
      <c r="L36" s="15"/>
      <c r="M36" s="15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</row>
    <row r="37" spans="1:52">
      <c r="A37" s="3"/>
      <c r="B37" s="3"/>
      <c r="C37" s="3"/>
      <c r="D37" s="3"/>
      <c r="E37" s="3"/>
      <c r="F37" s="3"/>
      <c r="G37" s="14"/>
      <c r="H37" s="3"/>
      <c r="I37" s="3"/>
      <c r="J37" s="14"/>
      <c r="K37" s="3"/>
      <c r="L37" s="15"/>
      <c r="M37" s="15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</row>
    <row r="38" spans="1:52">
      <c r="A38" s="3"/>
      <c r="B38" s="3"/>
      <c r="C38" s="3"/>
      <c r="D38" s="3"/>
      <c r="E38" s="3"/>
      <c r="F38" s="3"/>
      <c r="G38" s="14"/>
      <c r="H38" s="3"/>
      <c r="I38" s="3"/>
      <c r="J38" s="14"/>
      <c r="K38" s="3"/>
      <c r="L38" s="15"/>
      <c r="M38" s="15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</row>
    <row r="39" spans="1:52">
      <c r="A39" s="3"/>
      <c r="B39" s="3"/>
      <c r="C39" s="3"/>
      <c r="D39" s="3"/>
      <c r="E39" s="3"/>
      <c r="F39" s="3"/>
      <c r="G39" s="14"/>
      <c r="H39" s="3"/>
      <c r="I39" s="3"/>
      <c r="J39" s="14"/>
      <c r="K39" s="3"/>
      <c r="L39" s="15"/>
      <c r="M39" s="15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</row>
    <row r="40" spans="1:52">
      <c r="A40" s="3"/>
      <c r="B40" s="3"/>
      <c r="C40" s="3"/>
      <c r="D40" s="3"/>
      <c r="E40" s="3"/>
      <c r="F40" s="3"/>
      <c r="G40" s="14"/>
      <c r="H40" s="3"/>
      <c r="I40" s="3"/>
      <c r="J40" s="14"/>
      <c r="K40" s="3"/>
      <c r="L40" s="15"/>
      <c r="M40" s="15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</row>
    <row r="41" spans="1:52">
      <c r="A41" s="3"/>
      <c r="B41" s="3"/>
      <c r="C41" s="3"/>
      <c r="D41" s="3"/>
      <c r="E41" s="3"/>
      <c r="F41" s="3"/>
      <c r="G41" s="14"/>
      <c r="H41" s="3"/>
      <c r="I41" s="3"/>
      <c r="J41" s="14"/>
      <c r="K41" s="3"/>
      <c r="L41" s="15"/>
      <c r="M41" s="15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</row>
    <row r="42" spans="1:52">
      <c r="A42" s="3"/>
      <c r="B42" s="3"/>
      <c r="C42" s="3"/>
      <c r="D42" s="3"/>
      <c r="E42" s="3"/>
      <c r="F42" s="3"/>
      <c r="G42" s="14"/>
      <c r="H42" s="3"/>
      <c r="I42" s="3"/>
      <c r="J42" s="14"/>
      <c r="K42" s="3"/>
      <c r="L42" s="15"/>
      <c r="M42" s="15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</row>
    <row r="43" spans="1:52">
      <c r="A43" s="3"/>
      <c r="B43" s="3"/>
      <c r="C43" s="3"/>
      <c r="D43" s="3"/>
      <c r="E43" s="3"/>
      <c r="F43" s="3"/>
      <c r="G43" s="14"/>
      <c r="H43" s="3"/>
      <c r="I43" s="3"/>
      <c r="J43" s="14"/>
      <c r="K43" s="3"/>
      <c r="L43" s="15"/>
      <c r="M43" s="15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</row>
    <row r="44" spans="1:52">
      <c r="A44" s="3"/>
      <c r="B44" s="3"/>
      <c r="C44" s="3"/>
      <c r="D44" s="3"/>
      <c r="E44" s="3"/>
      <c r="F44" s="3"/>
      <c r="G44" s="14"/>
      <c r="H44" s="3"/>
      <c r="I44" s="3"/>
      <c r="J44" s="14"/>
      <c r="K44" s="3"/>
      <c r="L44" s="15"/>
      <c r="M44" s="15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</row>
    <row r="45" spans="1:52">
      <c r="A45" s="3"/>
      <c r="B45" s="3"/>
      <c r="C45" s="3"/>
      <c r="D45" s="3"/>
      <c r="E45" s="3"/>
      <c r="F45" s="3"/>
      <c r="G45" s="14"/>
      <c r="H45" s="3"/>
      <c r="I45" s="3"/>
      <c r="J45" s="14"/>
      <c r="K45" s="3"/>
      <c r="L45" s="15"/>
      <c r="M45" s="15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</row>
    <row r="46" spans="1:52">
      <c r="A46" s="3"/>
      <c r="B46" s="3"/>
      <c r="C46" s="3"/>
      <c r="D46" s="3"/>
      <c r="E46" s="3"/>
      <c r="F46" s="3"/>
      <c r="G46" s="14"/>
      <c r="H46" s="3"/>
      <c r="I46" s="3"/>
      <c r="J46" s="14"/>
      <c r="K46" s="3"/>
      <c r="L46" s="15"/>
      <c r="M46" s="15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</row>
    <row r="47" spans="1:52">
      <c r="A47" s="3"/>
      <c r="B47" s="3"/>
      <c r="C47" s="3"/>
      <c r="D47" s="3"/>
      <c r="E47" s="3"/>
      <c r="F47" s="3"/>
      <c r="G47" s="14"/>
      <c r="H47" s="3"/>
      <c r="I47" s="3"/>
      <c r="J47" s="14"/>
      <c r="K47" s="3"/>
      <c r="L47" s="15"/>
      <c r="M47" s="15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</row>
    <row r="48" spans="1:52">
      <c r="A48" s="3"/>
      <c r="B48" s="3"/>
      <c r="C48" s="3"/>
      <c r="D48" s="3"/>
      <c r="E48" s="3"/>
      <c r="F48" s="3"/>
      <c r="G48" s="14"/>
      <c r="H48" s="3"/>
      <c r="I48" s="3"/>
      <c r="J48" s="14"/>
      <c r="K48" s="3"/>
      <c r="L48" s="15"/>
      <c r="M48" s="15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</row>
    <row r="49" spans="1:52">
      <c r="A49" s="3"/>
      <c r="B49" s="3"/>
      <c r="C49" s="3"/>
      <c r="D49" s="3"/>
      <c r="E49" s="3"/>
      <c r="F49" s="3"/>
      <c r="G49" s="14"/>
      <c r="H49" s="3"/>
      <c r="I49" s="3"/>
      <c r="J49" s="14"/>
      <c r="K49" s="3"/>
      <c r="L49" s="15"/>
      <c r="M49" s="15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</row>
    <row r="50" spans="1:52">
      <c r="A50" s="3"/>
      <c r="B50" s="3"/>
      <c r="C50" s="3"/>
      <c r="D50" s="3"/>
      <c r="E50" s="3"/>
      <c r="F50" s="3"/>
      <c r="G50" s="14"/>
      <c r="H50" s="3"/>
      <c r="I50" s="3"/>
      <c r="J50" s="14"/>
      <c r="K50" s="3"/>
      <c r="L50" s="15"/>
      <c r="M50" s="15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</row>
    <row r="51" spans="1:52">
      <c r="A51" s="3"/>
      <c r="B51" s="3"/>
      <c r="C51" s="3"/>
      <c r="D51" s="3"/>
      <c r="E51" s="3"/>
      <c r="F51" s="3"/>
      <c r="G51" s="14"/>
      <c r="H51" s="3"/>
      <c r="I51" s="3"/>
      <c r="J51" s="14"/>
      <c r="K51" s="3"/>
      <c r="L51" s="15"/>
      <c r="M51" s="15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</row>
    <row r="52" spans="1:52">
      <c r="A52" s="3"/>
      <c r="B52" s="3"/>
      <c r="C52" s="3"/>
      <c r="D52" s="3"/>
      <c r="E52" s="3"/>
      <c r="F52" s="3"/>
      <c r="G52" s="14"/>
      <c r="H52" s="3"/>
      <c r="I52" s="3"/>
      <c r="J52" s="14"/>
      <c r="K52" s="3"/>
      <c r="L52" s="15"/>
      <c r="M52" s="15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</row>
    <row r="53" spans="1:52">
      <c r="A53" s="3"/>
      <c r="B53" s="3"/>
      <c r="C53" s="3"/>
      <c r="D53" s="3"/>
      <c r="E53" s="3"/>
      <c r="F53" s="3"/>
      <c r="G53" s="14"/>
      <c r="H53" s="3"/>
      <c r="I53" s="3"/>
      <c r="J53" s="14"/>
      <c r="K53" s="3"/>
      <c r="L53" s="15"/>
      <c r="M53" s="15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</row>
    <row r="54" spans="1:52">
      <c r="A54" s="3"/>
      <c r="B54" s="3"/>
      <c r="C54" s="3"/>
      <c r="D54" s="3"/>
      <c r="E54" s="3"/>
      <c r="F54" s="3"/>
      <c r="G54" s="14"/>
      <c r="H54" s="3"/>
      <c r="I54" s="3"/>
      <c r="J54" s="14"/>
      <c r="K54" s="3"/>
      <c r="L54" s="15"/>
      <c r="M54" s="15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</row>
    <row r="55" spans="1:52">
      <c r="A55" s="3"/>
      <c r="B55" s="3"/>
      <c r="C55" s="3"/>
      <c r="D55" s="3"/>
      <c r="E55" s="3"/>
      <c r="F55" s="3"/>
      <c r="G55" s="14"/>
      <c r="H55" s="3"/>
      <c r="I55" s="3"/>
      <c r="J55" s="14"/>
      <c r="K55" s="3"/>
      <c r="L55" s="15"/>
      <c r="M55" s="15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</row>
    <row r="56" spans="1:52">
      <c r="A56" s="3"/>
      <c r="B56" s="3"/>
      <c r="C56" s="3"/>
      <c r="D56" s="3"/>
      <c r="E56" s="3"/>
      <c r="F56" s="3"/>
      <c r="G56" s="14"/>
      <c r="H56" s="3"/>
      <c r="I56" s="3"/>
      <c r="J56" s="14"/>
      <c r="K56" s="3"/>
      <c r="L56" s="15"/>
      <c r="M56" s="15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</row>
    <row r="57" spans="1:52">
      <c r="A57" s="3"/>
      <c r="B57" s="3"/>
      <c r="C57" s="3"/>
      <c r="D57" s="3"/>
      <c r="E57" s="3"/>
      <c r="F57" s="3"/>
      <c r="G57" s="14"/>
      <c r="H57" s="3"/>
      <c r="I57" s="3"/>
      <c r="J57" s="14"/>
      <c r="K57" s="3"/>
      <c r="L57" s="15"/>
      <c r="M57" s="15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</row>
    <row r="58" spans="1:52">
      <c r="A58" s="3"/>
      <c r="B58" s="3"/>
      <c r="C58" s="3"/>
      <c r="D58" s="3"/>
      <c r="E58" s="3"/>
      <c r="F58" s="3"/>
      <c r="G58" s="14"/>
      <c r="H58" s="3"/>
      <c r="I58" s="3"/>
      <c r="J58" s="14"/>
      <c r="K58" s="3"/>
      <c r="L58" s="15"/>
      <c r="M58" s="15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</row>
    <row r="59" spans="1:52">
      <c r="A59" s="3"/>
      <c r="B59" s="3"/>
      <c r="C59" s="3"/>
      <c r="D59" s="3"/>
      <c r="E59" s="3"/>
      <c r="F59" s="3"/>
      <c r="G59" s="14"/>
      <c r="H59" s="3"/>
      <c r="I59" s="3"/>
      <c r="J59" s="14"/>
      <c r="K59" s="3"/>
      <c r="L59" s="15"/>
      <c r="M59" s="15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</row>
    <row r="60" spans="1:52">
      <c r="A60" s="3"/>
      <c r="B60" s="3"/>
      <c r="C60" s="3"/>
      <c r="D60" s="3"/>
      <c r="E60" s="3"/>
      <c r="F60" s="3"/>
      <c r="G60" s="14"/>
      <c r="H60" s="3"/>
      <c r="I60" s="3"/>
      <c r="J60" s="14"/>
      <c r="K60" s="3"/>
      <c r="L60" s="15"/>
      <c r="M60" s="15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</row>
    <row r="61" spans="1:52">
      <c r="A61" s="3"/>
      <c r="B61" s="3"/>
      <c r="C61" s="3"/>
      <c r="D61" s="3"/>
      <c r="E61" s="3"/>
      <c r="F61" s="3"/>
      <c r="G61" s="14"/>
      <c r="H61" s="3"/>
      <c r="I61" s="3"/>
      <c r="J61" s="14"/>
      <c r="K61" s="3"/>
      <c r="L61" s="15"/>
      <c r="M61" s="15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</row>
    <row r="62" spans="1:52">
      <c r="A62" s="3"/>
      <c r="B62" s="3"/>
      <c r="C62" s="3"/>
      <c r="D62" s="3"/>
      <c r="E62" s="3"/>
      <c r="F62" s="3"/>
      <c r="G62" s="14"/>
      <c r="H62" s="3"/>
      <c r="I62" s="3"/>
      <c r="J62" s="14"/>
      <c r="K62" s="3"/>
      <c r="L62" s="15"/>
      <c r="M62" s="15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</row>
    <row r="63" spans="1:52">
      <c r="A63" s="3"/>
      <c r="B63" s="3"/>
      <c r="C63" s="3"/>
      <c r="D63" s="3"/>
      <c r="E63" s="3"/>
      <c r="F63" s="3"/>
      <c r="G63" s="14"/>
      <c r="H63" s="3"/>
      <c r="I63" s="3"/>
      <c r="J63" s="14"/>
      <c r="K63" s="3"/>
      <c r="L63" s="15"/>
      <c r="M63" s="15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</row>
    <row r="64" spans="1:52">
      <c r="A64" s="3"/>
      <c r="B64" s="3"/>
      <c r="C64" s="3"/>
      <c r="D64" s="3"/>
      <c r="E64" s="3"/>
      <c r="F64" s="3"/>
      <c r="G64" s="14"/>
      <c r="H64" s="3"/>
      <c r="I64" s="3"/>
      <c r="J64" s="14"/>
      <c r="K64" s="3"/>
      <c r="L64" s="15"/>
      <c r="M64" s="15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</row>
    <row r="65" spans="1:52">
      <c r="A65" s="3"/>
      <c r="B65" s="3"/>
      <c r="C65" s="3"/>
      <c r="D65" s="3"/>
      <c r="E65" s="3"/>
      <c r="F65" s="3"/>
      <c r="G65" s="14"/>
      <c r="H65" s="3"/>
      <c r="I65" s="3"/>
      <c r="J65" s="14"/>
      <c r="K65" s="3"/>
      <c r="L65" s="15"/>
      <c r="M65" s="15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</row>
    <row r="66" spans="1:52">
      <c r="A66" s="3"/>
      <c r="B66" s="3"/>
      <c r="C66" s="3"/>
      <c r="D66" s="3"/>
      <c r="E66" s="3"/>
      <c r="F66" s="3"/>
      <c r="G66" s="14"/>
      <c r="H66" s="3"/>
      <c r="I66" s="3"/>
      <c r="J66" s="14"/>
      <c r="K66" s="3"/>
      <c r="L66" s="15"/>
      <c r="M66" s="15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</row>
    <row r="67" spans="1:52">
      <c r="A67" s="3"/>
      <c r="B67" s="3"/>
      <c r="C67" s="3"/>
      <c r="D67" s="3"/>
      <c r="E67" s="3"/>
      <c r="F67" s="3"/>
      <c r="G67" s="14"/>
      <c r="H67" s="3"/>
      <c r="I67" s="3"/>
      <c r="J67" s="14"/>
      <c r="K67" s="3"/>
      <c r="L67" s="15"/>
      <c r="M67" s="15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</row>
    <row r="68" spans="1:52">
      <c r="A68" s="3"/>
      <c r="B68" s="3"/>
      <c r="C68" s="3"/>
      <c r="D68" s="3"/>
      <c r="E68" s="3"/>
      <c r="F68" s="3"/>
      <c r="G68" s="14"/>
      <c r="H68" s="3"/>
      <c r="I68" s="3"/>
      <c r="J68" s="14"/>
      <c r="K68" s="3"/>
      <c r="L68" s="15"/>
      <c r="M68" s="15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</row>
    <row r="69" spans="1:52">
      <c r="A69" s="3"/>
      <c r="B69" s="3"/>
      <c r="C69" s="3"/>
      <c r="D69" s="3"/>
      <c r="E69" s="3"/>
      <c r="F69" s="3"/>
      <c r="G69" s="14"/>
      <c r="H69" s="3"/>
      <c r="I69" s="3"/>
      <c r="J69" s="14"/>
      <c r="K69" s="3"/>
      <c r="L69" s="15"/>
      <c r="M69" s="15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</row>
    <row r="70" spans="1:52">
      <c r="A70" s="3"/>
      <c r="B70" s="3"/>
      <c r="C70" s="3"/>
      <c r="D70" s="3"/>
      <c r="E70" s="3"/>
      <c r="F70" s="3"/>
      <c r="G70" s="14"/>
      <c r="H70" s="3"/>
      <c r="I70" s="3"/>
      <c r="J70" s="14"/>
      <c r="K70" s="3"/>
      <c r="L70" s="15"/>
      <c r="M70" s="15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</row>
    <row r="71" spans="1:52">
      <c r="A71" s="3"/>
      <c r="B71" s="3"/>
      <c r="C71" s="3"/>
      <c r="D71" s="3"/>
      <c r="E71" s="3"/>
      <c r="F71" s="3"/>
      <c r="G71" s="14"/>
      <c r="H71" s="3"/>
      <c r="I71" s="3"/>
      <c r="J71" s="14"/>
      <c r="K71" s="3"/>
      <c r="L71" s="15"/>
      <c r="M71" s="15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</row>
    <row r="72" spans="1:52">
      <c r="A72" s="3"/>
      <c r="B72" s="3"/>
      <c r="C72" s="3"/>
      <c r="D72" s="3"/>
      <c r="E72" s="3"/>
      <c r="F72" s="3"/>
      <c r="G72" s="14"/>
      <c r="H72" s="3"/>
      <c r="I72" s="3"/>
      <c r="J72" s="14"/>
      <c r="K72" s="3"/>
      <c r="L72" s="15"/>
      <c r="M72" s="15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</row>
    <row r="73" spans="1:52">
      <c r="A73" s="3"/>
      <c r="B73" s="3"/>
      <c r="C73" s="3"/>
      <c r="D73" s="3"/>
      <c r="E73" s="3"/>
      <c r="F73" s="3"/>
      <c r="G73" s="14"/>
      <c r="H73" s="3"/>
      <c r="I73" s="3"/>
      <c r="J73" s="14"/>
      <c r="K73" s="3"/>
      <c r="L73" s="15"/>
      <c r="M73" s="15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</row>
    <row r="74" spans="1:52">
      <c r="A74" s="3"/>
      <c r="B74" s="3"/>
      <c r="C74" s="3"/>
      <c r="D74" s="3"/>
      <c r="E74" s="3"/>
      <c r="F74" s="3"/>
      <c r="G74" s="14"/>
      <c r="H74" s="3"/>
      <c r="I74" s="3"/>
      <c r="J74" s="14"/>
      <c r="K74" s="3"/>
      <c r="L74" s="15"/>
      <c r="M74" s="15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</row>
    <row r="75" spans="1:52">
      <c r="A75" s="3"/>
      <c r="B75" s="3"/>
      <c r="C75" s="3"/>
      <c r="D75" s="3"/>
      <c r="E75" s="3"/>
      <c r="F75" s="3"/>
      <c r="G75" s="14"/>
      <c r="H75" s="3"/>
      <c r="I75" s="3"/>
      <c r="J75" s="14"/>
      <c r="K75" s="3"/>
      <c r="L75" s="15"/>
      <c r="M75" s="15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</row>
    <row r="76" spans="1:52">
      <c r="A76" s="3"/>
      <c r="B76" s="3"/>
      <c r="C76" s="3"/>
      <c r="D76" s="3"/>
      <c r="E76" s="3"/>
      <c r="F76" s="3"/>
      <c r="G76" s="14"/>
      <c r="H76" s="3"/>
      <c r="I76" s="3"/>
      <c r="J76" s="14"/>
      <c r="K76" s="3"/>
      <c r="L76" s="15"/>
      <c r="M76" s="15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</row>
    <row r="77" spans="1:52">
      <c r="A77" s="3"/>
      <c r="B77" s="3"/>
      <c r="C77" s="3"/>
      <c r="D77" s="3"/>
      <c r="E77" s="3"/>
      <c r="F77" s="3"/>
      <c r="G77" s="14"/>
      <c r="H77" s="3"/>
      <c r="I77" s="3"/>
      <c r="J77" s="14"/>
      <c r="K77" s="3"/>
      <c r="L77" s="15"/>
      <c r="M77" s="15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</row>
    <row r="78" spans="1:52">
      <c r="A78" s="3"/>
      <c r="B78" s="3"/>
      <c r="C78" s="3"/>
      <c r="D78" s="3"/>
      <c r="E78" s="3"/>
      <c r="F78" s="3"/>
      <c r="G78" s="14"/>
      <c r="H78" s="3"/>
      <c r="I78" s="3"/>
      <c r="J78" s="14"/>
      <c r="K78" s="3"/>
      <c r="L78" s="15"/>
      <c r="M78" s="15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</row>
    <row r="79" spans="1:52">
      <c r="A79" s="3"/>
      <c r="B79" s="3"/>
      <c r="C79" s="3"/>
      <c r="D79" s="3"/>
      <c r="E79" s="3"/>
      <c r="F79" s="3"/>
      <c r="G79" s="14"/>
      <c r="H79" s="3"/>
      <c r="I79" s="3"/>
      <c r="J79" s="14"/>
      <c r="K79" s="3"/>
      <c r="L79" s="15"/>
      <c r="M79" s="15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</row>
    <row r="80" spans="1:52">
      <c r="A80" s="3"/>
      <c r="B80" s="3"/>
      <c r="C80" s="3"/>
      <c r="D80" s="3"/>
      <c r="E80" s="3"/>
      <c r="F80" s="3"/>
      <c r="G80" s="14"/>
      <c r="H80" s="3"/>
      <c r="I80" s="3"/>
      <c r="J80" s="14"/>
      <c r="K80" s="3"/>
      <c r="L80" s="15"/>
      <c r="M80" s="15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</row>
    <row r="81" spans="1:52">
      <c r="A81" s="3"/>
      <c r="B81" s="3"/>
      <c r="C81" s="3"/>
      <c r="D81" s="3"/>
      <c r="E81" s="3"/>
      <c r="F81" s="3"/>
      <c r="G81" s="14"/>
      <c r="H81" s="3"/>
      <c r="I81" s="3"/>
      <c r="J81" s="14"/>
      <c r="K81" s="3"/>
      <c r="L81" s="15"/>
      <c r="M81" s="15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</row>
    <row r="82" spans="1:52">
      <c r="A82" s="3"/>
      <c r="B82" s="3"/>
      <c r="C82" s="3"/>
      <c r="D82" s="3"/>
      <c r="E82" s="3"/>
      <c r="F82" s="3"/>
      <c r="G82" s="14"/>
      <c r="H82" s="3"/>
      <c r="I82" s="3"/>
      <c r="J82" s="14"/>
      <c r="K82" s="3"/>
      <c r="L82" s="15"/>
      <c r="M82" s="15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</row>
    <row r="83" spans="1:52">
      <c r="A83" s="3"/>
      <c r="B83" s="3"/>
      <c r="C83" s="3"/>
      <c r="D83" s="3"/>
      <c r="E83" s="3"/>
      <c r="F83" s="3"/>
      <c r="G83" s="14"/>
      <c r="H83" s="3"/>
      <c r="I83" s="3"/>
      <c r="J83" s="14"/>
      <c r="K83" s="3"/>
      <c r="L83" s="15"/>
      <c r="M83" s="15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</row>
    <row r="84" spans="1:52">
      <c r="A84" s="3"/>
      <c r="B84" s="3"/>
      <c r="C84" s="3"/>
      <c r="D84" s="3"/>
      <c r="E84" s="3"/>
      <c r="F84" s="3"/>
      <c r="G84" s="14"/>
      <c r="H84" s="3"/>
      <c r="I84" s="3"/>
      <c r="J84" s="14"/>
      <c r="K84" s="3"/>
      <c r="L84" s="15"/>
      <c r="M84" s="15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</row>
    <row r="85" spans="1:52">
      <c r="A85" s="3"/>
      <c r="B85" s="3"/>
      <c r="C85" s="3"/>
      <c r="D85" s="3"/>
      <c r="E85" s="3"/>
      <c r="F85" s="3"/>
      <c r="G85" s="14"/>
      <c r="H85" s="3"/>
      <c r="I85" s="3"/>
      <c r="J85" s="14"/>
      <c r="K85" s="3"/>
      <c r="L85" s="15"/>
      <c r="M85" s="15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</row>
    <row r="86" spans="1:52">
      <c r="A86" s="3"/>
      <c r="B86" s="3"/>
      <c r="C86" s="3"/>
      <c r="D86" s="3"/>
      <c r="E86" s="3"/>
      <c r="F86" s="3"/>
      <c r="G86" s="14"/>
      <c r="H86" s="3"/>
      <c r="I86" s="3"/>
      <c r="J86" s="14"/>
      <c r="K86" s="3"/>
      <c r="L86" s="15"/>
      <c r="M86" s="15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</row>
    <row r="87" spans="1:52">
      <c r="A87" s="3"/>
      <c r="B87" s="3"/>
      <c r="C87" s="3"/>
      <c r="D87" s="3"/>
      <c r="E87" s="3"/>
      <c r="F87" s="3"/>
      <c r="G87" s="14"/>
      <c r="H87" s="3"/>
      <c r="I87" s="3"/>
      <c r="J87" s="14"/>
      <c r="K87" s="3"/>
      <c r="L87" s="15"/>
      <c r="M87" s="15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</row>
    <row r="88" spans="1:52">
      <c r="A88" s="3"/>
      <c r="B88" s="3"/>
      <c r="C88" s="3"/>
      <c r="D88" s="3"/>
      <c r="E88" s="3"/>
      <c r="F88" s="3"/>
      <c r="G88" s="14"/>
      <c r="H88" s="3"/>
      <c r="I88" s="3"/>
      <c r="J88" s="14"/>
      <c r="K88" s="3"/>
      <c r="L88" s="15"/>
      <c r="M88" s="15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</row>
    <row r="89" spans="1:52">
      <c r="A89" s="3"/>
      <c r="B89" s="3"/>
      <c r="C89" s="3"/>
      <c r="D89" s="3"/>
      <c r="E89" s="3"/>
      <c r="F89" s="3"/>
      <c r="G89" s="14"/>
      <c r="H89" s="3"/>
      <c r="I89" s="3"/>
      <c r="J89" s="14"/>
      <c r="K89" s="3"/>
      <c r="L89" s="15"/>
      <c r="M89" s="15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</row>
    <row r="90" spans="1:52">
      <c r="A90" s="3"/>
      <c r="B90" s="3"/>
      <c r="C90" s="3"/>
      <c r="D90" s="3"/>
      <c r="E90" s="3"/>
      <c r="F90" s="3"/>
      <c r="G90" s="14"/>
      <c r="H90" s="3"/>
      <c r="I90" s="3"/>
      <c r="J90" s="14"/>
      <c r="K90" s="3"/>
      <c r="L90" s="15"/>
      <c r="M90" s="15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</row>
    <row r="91" spans="1:52">
      <c r="A91" s="3"/>
      <c r="B91" s="3"/>
      <c r="C91" s="3"/>
      <c r="D91" s="3"/>
      <c r="E91" s="3"/>
      <c r="F91" s="3"/>
      <c r="G91" s="14"/>
      <c r="H91" s="3"/>
      <c r="I91" s="3"/>
      <c r="J91" s="14"/>
      <c r="K91" s="3"/>
      <c r="L91" s="15"/>
      <c r="M91" s="15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</row>
    <row r="92" spans="1:52">
      <c r="A92" s="3"/>
      <c r="B92" s="3"/>
      <c r="C92" s="3"/>
      <c r="D92" s="3"/>
      <c r="E92" s="3"/>
      <c r="F92" s="3"/>
      <c r="G92" s="14"/>
      <c r="H92" s="3"/>
      <c r="I92" s="3"/>
      <c r="J92" s="14"/>
      <c r="K92" s="3"/>
      <c r="L92" s="15"/>
      <c r="M92" s="15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</row>
    <row r="93" spans="1:52">
      <c r="A93" s="3"/>
      <c r="B93" s="3"/>
      <c r="C93" s="3"/>
      <c r="D93" s="3"/>
      <c r="E93" s="3"/>
      <c r="F93" s="3"/>
      <c r="G93" s="14"/>
      <c r="H93" s="3"/>
      <c r="I93" s="3"/>
      <c r="J93" s="14"/>
      <c r="K93" s="3"/>
      <c r="L93" s="15"/>
      <c r="M93" s="15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</row>
    <row r="94" spans="1:52">
      <c r="A94" s="3"/>
      <c r="B94" s="3"/>
      <c r="C94" s="3"/>
      <c r="D94" s="3"/>
      <c r="E94" s="3"/>
      <c r="F94" s="3"/>
      <c r="G94" s="14"/>
      <c r="H94" s="3"/>
      <c r="I94" s="3"/>
      <c r="J94" s="14"/>
      <c r="K94" s="3"/>
      <c r="L94" s="15"/>
      <c r="M94" s="15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</row>
    <row r="95" spans="1:52">
      <c r="A95" s="3"/>
      <c r="B95" s="3"/>
      <c r="C95" s="3"/>
      <c r="D95" s="3"/>
      <c r="E95" s="3"/>
      <c r="F95" s="3"/>
      <c r="G95" s="14"/>
      <c r="H95" s="3"/>
      <c r="I95" s="3"/>
      <c r="J95" s="14"/>
      <c r="K95" s="3"/>
      <c r="L95" s="15"/>
      <c r="M95" s="15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</row>
    <row r="96" spans="1:52">
      <c r="A96" s="3"/>
      <c r="B96" s="3"/>
      <c r="C96" s="3"/>
      <c r="D96" s="3"/>
      <c r="E96" s="3"/>
      <c r="F96" s="3"/>
      <c r="G96" s="14"/>
      <c r="H96" s="3"/>
      <c r="I96" s="3"/>
      <c r="J96" s="14"/>
      <c r="K96" s="3"/>
      <c r="L96" s="15"/>
      <c r="M96" s="15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</row>
    <row r="97" spans="1:52">
      <c r="A97" s="3"/>
      <c r="B97" s="3"/>
      <c r="C97" s="3"/>
      <c r="D97" s="3"/>
      <c r="E97" s="3"/>
      <c r="F97" s="3"/>
      <c r="G97" s="14"/>
      <c r="H97" s="3"/>
      <c r="I97" s="3"/>
      <c r="J97" s="14"/>
      <c r="K97" s="3"/>
      <c r="L97" s="15"/>
      <c r="M97" s="15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</row>
    <row r="98" spans="1:52">
      <c r="A98" s="3"/>
      <c r="B98" s="3"/>
      <c r="C98" s="3"/>
      <c r="D98" s="3"/>
      <c r="E98" s="3"/>
      <c r="F98" s="3"/>
      <c r="G98" s="14"/>
      <c r="H98" s="3"/>
      <c r="I98" s="3"/>
      <c r="J98" s="14"/>
      <c r="K98" s="3"/>
      <c r="L98" s="15"/>
      <c r="M98" s="15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</row>
    <row r="99" spans="1:52">
      <c r="A99" s="3"/>
      <c r="B99" s="3"/>
      <c r="C99" s="3"/>
      <c r="D99" s="3"/>
      <c r="E99" s="3"/>
      <c r="F99" s="3"/>
      <c r="G99" s="14"/>
      <c r="H99" s="3"/>
      <c r="I99" s="3"/>
      <c r="J99" s="14"/>
      <c r="K99" s="3"/>
      <c r="L99" s="15"/>
      <c r="M99" s="15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</row>
    <row r="100" spans="1:52">
      <c r="A100" s="3"/>
      <c r="B100" s="3"/>
      <c r="C100" s="3"/>
      <c r="D100" s="3"/>
      <c r="E100" s="3"/>
      <c r="F100" s="3"/>
      <c r="G100" s="14"/>
      <c r="H100" s="3"/>
      <c r="I100" s="3"/>
      <c r="J100" s="14"/>
      <c r="K100" s="3"/>
      <c r="L100" s="15"/>
      <c r="M100" s="15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</row>
    <row r="101" spans="1:5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</row>
    <row r="102" spans="1:5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</row>
    <row r="103" spans="1:5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</row>
    <row r="104" spans="1:5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</row>
    <row r="105" spans="1:5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</row>
    <row r="106" spans="1:5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</row>
    <row r="107" spans="1:5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</row>
    <row r="108" spans="1:5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</row>
    <row r="109" spans="1:5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</row>
    <row r="110" spans="1:5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</row>
    <row r="111" spans="1:5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</row>
    <row r="112" spans="1:5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</row>
    <row r="113" spans="1:5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</row>
    <row r="114" spans="1:5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</row>
    <row r="115" spans="1:5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</row>
    <row r="116" spans="1:5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</row>
    <row r="117" spans="1:5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</row>
    <row r="118" spans="1:5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</row>
    <row r="119" spans="1:5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</row>
    <row r="120" spans="1:5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</row>
    <row r="121" spans="1:5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</row>
    <row r="122" spans="1:5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</row>
    <row r="123" spans="1:5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</row>
    <row r="124" spans="1:5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</row>
    <row r="125" spans="1:5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</row>
    <row r="126" spans="1:5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</row>
    <row r="127" spans="1:5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</row>
    <row r="128" spans="1:5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</row>
    <row r="129" spans="1:5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</row>
    <row r="130" spans="1:5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</row>
    <row r="131" spans="1:5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</row>
    <row r="132" spans="1:5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</row>
    <row r="133" spans="1:5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</row>
    <row r="134" spans="1:5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</row>
    <row r="135" spans="1:5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</row>
    <row r="136" spans="1:5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</row>
    <row r="137" spans="1:5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</row>
    <row r="138" spans="1:5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</row>
    <row r="139" spans="1:5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</row>
    <row r="140" spans="1:5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</row>
    <row r="141" spans="1:5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</row>
    <row r="142" spans="1:5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</row>
    <row r="143" spans="1:5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</row>
    <row r="144" spans="1:5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</row>
    <row r="145" spans="1:5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</row>
    <row r="146" spans="1:5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</row>
    <row r="147" spans="1:5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</row>
    <row r="148" spans="1:5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</row>
    <row r="149" spans="1:5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</row>
    <row r="150" spans="1:5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</row>
  </sheetData>
  <mergeCells count="2">
    <mergeCell ref="A1:N1"/>
    <mergeCell ref="A2:N2"/>
  </mergeCells>
  <dataValidations count="1">
    <dataValidation type="list" sqref="N5:N100" xr:uid="{00000000-0002-0000-0D00-000000000000}">
      <formula1>"Pendiente,Aprobado,Rechazado"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Z200"/>
  <sheetViews>
    <sheetView workbookViewId="0">
      <selection sqref="A1:J1"/>
    </sheetView>
  </sheetViews>
  <sheetFormatPr baseColWidth="10" defaultColWidth="8.75" defaultRowHeight="14.25"/>
  <cols>
    <col min="1" max="1" width="16" customWidth="1"/>
    <col min="2" max="2" width="15" customWidth="1"/>
    <col min="3" max="3" width="30" customWidth="1"/>
    <col min="4" max="4" width="34" customWidth="1"/>
    <col min="5" max="5" width="16" customWidth="1"/>
    <col min="6" max="6" width="12" customWidth="1"/>
    <col min="7" max="7" width="32" customWidth="1"/>
    <col min="8" max="9" width="12" customWidth="1"/>
    <col min="10" max="10" width="30" customWidth="1"/>
  </cols>
  <sheetData>
    <row r="1" spans="1:52" ht="22.35" customHeight="1">
      <c r="A1" s="64" t="s">
        <v>822</v>
      </c>
      <c r="B1" s="57"/>
      <c r="C1" s="57"/>
      <c r="D1" s="57"/>
      <c r="E1" s="57"/>
      <c r="F1" s="57"/>
      <c r="G1" s="57"/>
      <c r="H1" s="57"/>
      <c r="I1" s="57"/>
      <c r="J1" s="57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</row>
    <row r="2" spans="1:52" ht="28.9" customHeight="1">
      <c r="A2" s="65" t="s">
        <v>823</v>
      </c>
      <c r="B2" s="57"/>
      <c r="C2" s="57"/>
      <c r="D2" s="57"/>
      <c r="E2" s="57"/>
      <c r="F2" s="57"/>
      <c r="G2" s="57"/>
      <c r="H2" s="57"/>
      <c r="I2" s="57"/>
      <c r="J2" s="57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</row>
    <row r="3" spans="1:5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</row>
    <row r="4" spans="1:52" ht="15">
      <c r="A4" s="11" t="s">
        <v>824</v>
      </c>
      <c r="B4" s="11" t="s">
        <v>79</v>
      </c>
      <c r="C4" s="11" t="s">
        <v>825</v>
      </c>
      <c r="D4" s="11" t="s">
        <v>826</v>
      </c>
      <c r="E4" s="11" t="s">
        <v>113</v>
      </c>
      <c r="F4" s="11" t="s">
        <v>827</v>
      </c>
      <c r="G4" s="11" t="s">
        <v>828</v>
      </c>
      <c r="H4" s="11" t="s">
        <v>829</v>
      </c>
      <c r="I4" s="11" t="s">
        <v>657</v>
      </c>
      <c r="J4" s="11" t="s">
        <v>830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</row>
    <row r="5" spans="1:52">
      <c r="A5" s="5" t="s">
        <v>737</v>
      </c>
      <c r="B5" s="5" t="s">
        <v>445</v>
      </c>
      <c r="C5" s="5" t="s">
        <v>831</v>
      </c>
      <c r="D5" s="5" t="s">
        <v>832</v>
      </c>
      <c r="E5" s="8">
        <v>46266</v>
      </c>
      <c r="F5" s="5" t="s">
        <v>833</v>
      </c>
      <c r="G5" s="5"/>
      <c r="H5" s="5" t="s">
        <v>81</v>
      </c>
      <c r="I5" s="5" t="s">
        <v>81</v>
      </c>
      <c r="J5" s="5" t="s">
        <v>834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</row>
    <row r="6" spans="1:52">
      <c r="A6" s="5" t="s">
        <v>835</v>
      </c>
      <c r="B6" s="5" t="s">
        <v>445</v>
      </c>
      <c r="C6" s="5" t="s">
        <v>836</v>
      </c>
      <c r="D6" s="5" t="s">
        <v>837</v>
      </c>
      <c r="E6" s="8">
        <v>46296</v>
      </c>
      <c r="F6" s="5" t="s">
        <v>833</v>
      </c>
      <c r="G6" s="5"/>
      <c r="H6" s="5" t="s">
        <v>83</v>
      </c>
      <c r="I6" s="5" t="s">
        <v>81</v>
      </c>
      <c r="J6" s="5" t="s">
        <v>229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</row>
    <row r="7" spans="1:52">
      <c r="A7" s="5"/>
      <c r="B7" s="5"/>
      <c r="C7" s="5"/>
      <c r="D7" s="5"/>
      <c r="E7" s="8"/>
      <c r="F7" s="5"/>
      <c r="G7" s="5"/>
      <c r="H7" s="5"/>
      <c r="I7" s="5"/>
      <c r="J7" s="5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</row>
    <row r="8" spans="1:52">
      <c r="A8" s="5"/>
      <c r="B8" s="5"/>
      <c r="C8" s="5"/>
      <c r="D8" s="5"/>
      <c r="E8" s="8"/>
      <c r="F8" s="5"/>
      <c r="G8" s="5"/>
      <c r="H8" s="5"/>
      <c r="I8" s="5"/>
      <c r="J8" s="5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</row>
    <row r="9" spans="1:52">
      <c r="A9" s="5"/>
      <c r="B9" s="5"/>
      <c r="C9" s="5"/>
      <c r="D9" s="5"/>
      <c r="E9" s="8"/>
      <c r="F9" s="5"/>
      <c r="G9" s="5"/>
      <c r="H9" s="5"/>
      <c r="I9" s="5"/>
      <c r="J9" s="5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</row>
    <row r="10" spans="1:52">
      <c r="A10" s="5"/>
      <c r="B10" s="5"/>
      <c r="C10" s="5"/>
      <c r="D10" s="5"/>
      <c r="E10" s="8"/>
      <c r="F10" s="5"/>
      <c r="G10" s="5"/>
      <c r="H10" s="5"/>
      <c r="I10" s="5"/>
      <c r="J10" s="5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</row>
    <row r="11" spans="1:52">
      <c r="A11" s="5"/>
      <c r="B11" s="5"/>
      <c r="C11" s="5"/>
      <c r="D11" s="5"/>
      <c r="E11" s="8"/>
      <c r="F11" s="5"/>
      <c r="G11" s="5"/>
      <c r="H11" s="5"/>
      <c r="I11" s="5"/>
      <c r="J11" s="5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</row>
    <row r="12" spans="1:52">
      <c r="A12" s="5"/>
      <c r="B12" s="5"/>
      <c r="C12" s="5"/>
      <c r="D12" s="5"/>
      <c r="E12" s="8"/>
      <c r="F12" s="5"/>
      <c r="G12" s="5"/>
      <c r="H12" s="5"/>
      <c r="I12" s="5"/>
      <c r="J12" s="5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</row>
    <row r="13" spans="1:52">
      <c r="A13" s="5"/>
      <c r="B13" s="5"/>
      <c r="C13" s="5"/>
      <c r="D13" s="5"/>
      <c r="E13" s="8"/>
      <c r="F13" s="5"/>
      <c r="G13" s="5"/>
      <c r="H13" s="5"/>
      <c r="I13" s="5"/>
      <c r="J13" s="5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</row>
    <row r="14" spans="1:52">
      <c r="A14" s="5"/>
      <c r="B14" s="5"/>
      <c r="C14" s="5"/>
      <c r="D14" s="5"/>
      <c r="E14" s="8"/>
      <c r="F14" s="5"/>
      <c r="G14" s="5"/>
      <c r="H14" s="5"/>
      <c r="I14" s="5"/>
      <c r="J14" s="5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</row>
    <row r="15" spans="1:52">
      <c r="A15" s="5"/>
      <c r="B15" s="5"/>
      <c r="C15" s="5"/>
      <c r="D15" s="5"/>
      <c r="E15" s="8"/>
      <c r="F15" s="5"/>
      <c r="G15" s="5"/>
      <c r="H15" s="5"/>
      <c r="I15" s="5"/>
      <c r="J15" s="5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</row>
    <row r="16" spans="1:52">
      <c r="A16" s="5"/>
      <c r="B16" s="5"/>
      <c r="C16" s="5"/>
      <c r="D16" s="5"/>
      <c r="E16" s="8"/>
      <c r="F16" s="5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</row>
    <row r="17" spans="1:52">
      <c r="A17" s="5"/>
      <c r="B17" s="5"/>
      <c r="C17" s="5"/>
      <c r="D17" s="5"/>
      <c r="E17" s="8"/>
      <c r="F17" s="5"/>
      <c r="G17" s="5"/>
      <c r="H17" s="5"/>
      <c r="I17" s="5"/>
      <c r="J17" s="5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</row>
    <row r="18" spans="1:52">
      <c r="A18" s="5"/>
      <c r="B18" s="5"/>
      <c r="C18" s="5"/>
      <c r="D18" s="5"/>
      <c r="E18" s="8"/>
      <c r="F18" s="5"/>
      <c r="G18" s="5"/>
      <c r="H18" s="5"/>
      <c r="I18" s="5"/>
      <c r="J18" s="5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</row>
    <row r="19" spans="1:52">
      <c r="A19" s="5"/>
      <c r="B19" s="5"/>
      <c r="C19" s="5"/>
      <c r="D19" s="5"/>
      <c r="E19" s="8"/>
      <c r="F19" s="5"/>
      <c r="G19" s="5"/>
      <c r="H19" s="5"/>
      <c r="I19" s="5"/>
      <c r="J19" s="5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</row>
    <row r="20" spans="1:52">
      <c r="A20" s="5"/>
      <c r="B20" s="5"/>
      <c r="C20" s="5"/>
      <c r="D20" s="5"/>
      <c r="E20" s="8"/>
      <c r="F20" s="5"/>
      <c r="G20" s="5"/>
      <c r="H20" s="5"/>
      <c r="I20" s="5"/>
      <c r="J20" s="5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</row>
    <row r="21" spans="1:52">
      <c r="A21" s="3"/>
      <c r="B21" s="3"/>
      <c r="C21" s="3"/>
      <c r="D21" s="3"/>
      <c r="E21" s="10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</row>
    <row r="22" spans="1:52">
      <c r="A22" s="3"/>
      <c r="B22" s="3"/>
      <c r="C22" s="3"/>
      <c r="D22" s="3"/>
      <c r="E22" s="10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</row>
    <row r="23" spans="1:52">
      <c r="A23" s="3"/>
      <c r="B23" s="3"/>
      <c r="C23" s="3"/>
      <c r="D23" s="3"/>
      <c r="E23" s="10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</row>
    <row r="24" spans="1:52">
      <c r="A24" s="3"/>
      <c r="B24" s="3"/>
      <c r="C24" s="3"/>
      <c r="D24" s="3"/>
      <c r="E24" s="10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</row>
    <row r="25" spans="1:52">
      <c r="A25" s="3"/>
      <c r="B25" s="3"/>
      <c r="C25" s="3"/>
      <c r="D25" s="3"/>
      <c r="E25" s="10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</row>
    <row r="26" spans="1:52">
      <c r="A26" s="3"/>
      <c r="B26" s="3"/>
      <c r="C26" s="3"/>
      <c r="D26" s="3"/>
      <c r="E26" s="10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</row>
    <row r="27" spans="1:52">
      <c r="A27" s="3"/>
      <c r="B27" s="3"/>
      <c r="C27" s="3"/>
      <c r="D27" s="3"/>
      <c r="E27" s="10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</row>
    <row r="28" spans="1:52">
      <c r="A28" s="3"/>
      <c r="B28" s="3"/>
      <c r="C28" s="3"/>
      <c r="D28" s="3"/>
      <c r="E28" s="10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</row>
    <row r="29" spans="1:52">
      <c r="A29" s="3"/>
      <c r="B29" s="3"/>
      <c r="C29" s="3"/>
      <c r="D29" s="3"/>
      <c r="E29" s="10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</row>
    <row r="30" spans="1:52">
      <c r="A30" s="3"/>
      <c r="B30" s="3"/>
      <c r="C30" s="3"/>
      <c r="D30" s="3"/>
      <c r="E30" s="10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</row>
    <row r="31" spans="1:52">
      <c r="A31" s="3"/>
      <c r="B31" s="3"/>
      <c r="C31" s="3"/>
      <c r="D31" s="3"/>
      <c r="E31" s="10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</row>
    <row r="32" spans="1:52">
      <c r="A32" s="3"/>
      <c r="B32" s="3"/>
      <c r="C32" s="3"/>
      <c r="D32" s="3"/>
      <c r="E32" s="10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</row>
    <row r="33" spans="1:52">
      <c r="A33" s="3"/>
      <c r="B33" s="3"/>
      <c r="C33" s="3"/>
      <c r="D33" s="3"/>
      <c r="E33" s="10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</row>
    <row r="34" spans="1:52">
      <c r="A34" s="3"/>
      <c r="B34" s="3"/>
      <c r="C34" s="3"/>
      <c r="D34" s="3"/>
      <c r="E34" s="10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</row>
    <row r="35" spans="1:52">
      <c r="A35" s="3"/>
      <c r="B35" s="3"/>
      <c r="C35" s="3"/>
      <c r="D35" s="3"/>
      <c r="E35" s="10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</row>
    <row r="36" spans="1:52">
      <c r="A36" s="3"/>
      <c r="B36" s="3"/>
      <c r="C36" s="3"/>
      <c r="D36" s="3"/>
      <c r="E36" s="10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</row>
    <row r="37" spans="1:52">
      <c r="A37" s="3"/>
      <c r="B37" s="3"/>
      <c r="C37" s="3"/>
      <c r="D37" s="3"/>
      <c r="E37" s="10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</row>
    <row r="38" spans="1:52">
      <c r="A38" s="3"/>
      <c r="B38" s="3"/>
      <c r="C38" s="3"/>
      <c r="D38" s="3"/>
      <c r="E38" s="10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</row>
    <row r="39" spans="1:52">
      <c r="A39" s="3"/>
      <c r="B39" s="3"/>
      <c r="C39" s="3"/>
      <c r="D39" s="3"/>
      <c r="E39" s="10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</row>
    <row r="40" spans="1:52">
      <c r="A40" s="3"/>
      <c r="B40" s="3"/>
      <c r="C40" s="3"/>
      <c r="D40" s="3"/>
      <c r="E40" s="10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</row>
    <row r="41" spans="1:52">
      <c r="A41" s="3"/>
      <c r="B41" s="3"/>
      <c r="C41" s="3"/>
      <c r="D41" s="3"/>
      <c r="E41" s="10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</row>
    <row r="42" spans="1:52">
      <c r="A42" s="3"/>
      <c r="B42" s="3"/>
      <c r="C42" s="3"/>
      <c r="D42" s="3"/>
      <c r="E42" s="10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</row>
    <row r="43" spans="1:52">
      <c r="A43" s="3"/>
      <c r="B43" s="3"/>
      <c r="C43" s="3"/>
      <c r="D43" s="3"/>
      <c r="E43" s="10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</row>
    <row r="44" spans="1:52">
      <c r="A44" s="3"/>
      <c r="B44" s="3"/>
      <c r="C44" s="3"/>
      <c r="D44" s="3"/>
      <c r="E44" s="10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</row>
    <row r="45" spans="1:52">
      <c r="A45" s="3"/>
      <c r="B45" s="3"/>
      <c r="C45" s="3"/>
      <c r="D45" s="3"/>
      <c r="E45" s="10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</row>
    <row r="46" spans="1:52">
      <c r="A46" s="3"/>
      <c r="B46" s="3"/>
      <c r="C46" s="3"/>
      <c r="D46" s="3"/>
      <c r="E46" s="10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</row>
    <row r="47" spans="1:52">
      <c r="A47" s="3"/>
      <c r="B47" s="3"/>
      <c r="C47" s="3"/>
      <c r="D47" s="3"/>
      <c r="E47" s="10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</row>
    <row r="48" spans="1:52">
      <c r="A48" s="3"/>
      <c r="B48" s="3"/>
      <c r="C48" s="3"/>
      <c r="D48" s="3"/>
      <c r="E48" s="10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</row>
    <row r="49" spans="1:52">
      <c r="A49" s="3"/>
      <c r="B49" s="3"/>
      <c r="C49" s="3"/>
      <c r="D49" s="3"/>
      <c r="E49" s="10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</row>
    <row r="50" spans="1:52">
      <c r="A50" s="3"/>
      <c r="B50" s="3"/>
      <c r="C50" s="3"/>
      <c r="D50" s="3"/>
      <c r="E50" s="10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</row>
    <row r="51" spans="1:52">
      <c r="A51" s="3"/>
      <c r="B51" s="3"/>
      <c r="C51" s="3"/>
      <c r="D51" s="3"/>
      <c r="E51" s="10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</row>
    <row r="52" spans="1:52">
      <c r="A52" s="3"/>
      <c r="B52" s="3"/>
      <c r="C52" s="3"/>
      <c r="D52" s="3"/>
      <c r="E52" s="10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</row>
    <row r="53" spans="1:52">
      <c r="A53" s="3"/>
      <c r="B53" s="3"/>
      <c r="C53" s="3"/>
      <c r="D53" s="3"/>
      <c r="E53" s="10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</row>
    <row r="54" spans="1:52">
      <c r="A54" s="3"/>
      <c r="B54" s="3"/>
      <c r="C54" s="3"/>
      <c r="D54" s="3"/>
      <c r="E54" s="10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</row>
    <row r="55" spans="1:52">
      <c r="A55" s="3"/>
      <c r="B55" s="3"/>
      <c r="C55" s="3"/>
      <c r="D55" s="3"/>
      <c r="E55" s="10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</row>
    <row r="56" spans="1:52">
      <c r="A56" s="3"/>
      <c r="B56" s="3"/>
      <c r="C56" s="3"/>
      <c r="D56" s="3"/>
      <c r="E56" s="10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</row>
    <row r="57" spans="1:52">
      <c r="A57" s="3"/>
      <c r="B57" s="3"/>
      <c r="C57" s="3"/>
      <c r="D57" s="3"/>
      <c r="E57" s="10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</row>
    <row r="58" spans="1:52">
      <c r="A58" s="3"/>
      <c r="B58" s="3"/>
      <c r="C58" s="3"/>
      <c r="D58" s="3"/>
      <c r="E58" s="10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</row>
    <row r="59" spans="1:52">
      <c r="A59" s="3"/>
      <c r="B59" s="3"/>
      <c r="C59" s="3"/>
      <c r="D59" s="3"/>
      <c r="E59" s="10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</row>
    <row r="60" spans="1:52">
      <c r="A60" s="3"/>
      <c r="B60" s="3"/>
      <c r="C60" s="3"/>
      <c r="D60" s="3"/>
      <c r="E60" s="10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</row>
    <row r="61" spans="1:52">
      <c r="A61" s="3"/>
      <c r="B61" s="3"/>
      <c r="C61" s="3"/>
      <c r="D61" s="3"/>
      <c r="E61" s="10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</row>
    <row r="62" spans="1:52">
      <c r="A62" s="3"/>
      <c r="B62" s="3"/>
      <c r="C62" s="3"/>
      <c r="D62" s="3"/>
      <c r="E62" s="10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</row>
    <row r="63" spans="1:52">
      <c r="A63" s="3"/>
      <c r="B63" s="3"/>
      <c r="C63" s="3"/>
      <c r="D63" s="3"/>
      <c r="E63" s="10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</row>
    <row r="64" spans="1:52">
      <c r="A64" s="3"/>
      <c r="B64" s="3"/>
      <c r="C64" s="3"/>
      <c r="D64" s="3"/>
      <c r="E64" s="10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</row>
    <row r="65" spans="1:52">
      <c r="A65" s="3"/>
      <c r="B65" s="3"/>
      <c r="C65" s="3"/>
      <c r="D65" s="3"/>
      <c r="E65" s="10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</row>
    <row r="66" spans="1:52">
      <c r="A66" s="3"/>
      <c r="B66" s="3"/>
      <c r="C66" s="3"/>
      <c r="D66" s="3"/>
      <c r="E66" s="10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</row>
    <row r="67" spans="1:52">
      <c r="A67" s="3"/>
      <c r="B67" s="3"/>
      <c r="C67" s="3"/>
      <c r="D67" s="3"/>
      <c r="E67" s="10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</row>
    <row r="68" spans="1:52">
      <c r="A68" s="3"/>
      <c r="B68" s="3"/>
      <c r="C68" s="3"/>
      <c r="D68" s="3"/>
      <c r="E68" s="10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</row>
    <row r="69" spans="1:52">
      <c r="A69" s="3"/>
      <c r="B69" s="3"/>
      <c r="C69" s="3"/>
      <c r="D69" s="3"/>
      <c r="E69" s="10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</row>
    <row r="70" spans="1:52">
      <c r="A70" s="3"/>
      <c r="B70" s="3"/>
      <c r="C70" s="3"/>
      <c r="D70" s="3"/>
      <c r="E70" s="10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</row>
    <row r="71" spans="1:52">
      <c r="A71" s="3"/>
      <c r="B71" s="3"/>
      <c r="C71" s="3"/>
      <c r="D71" s="3"/>
      <c r="E71" s="10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</row>
    <row r="72" spans="1:52">
      <c r="A72" s="3"/>
      <c r="B72" s="3"/>
      <c r="C72" s="3"/>
      <c r="D72" s="3"/>
      <c r="E72" s="10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</row>
    <row r="73" spans="1:52">
      <c r="A73" s="3"/>
      <c r="B73" s="3"/>
      <c r="C73" s="3"/>
      <c r="D73" s="3"/>
      <c r="E73" s="10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</row>
    <row r="74" spans="1:52">
      <c r="A74" s="3"/>
      <c r="B74" s="3"/>
      <c r="C74" s="3"/>
      <c r="D74" s="3"/>
      <c r="E74" s="10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</row>
    <row r="75" spans="1:52">
      <c r="A75" s="3"/>
      <c r="B75" s="3"/>
      <c r="C75" s="3"/>
      <c r="D75" s="3"/>
      <c r="E75" s="10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</row>
    <row r="76" spans="1:52">
      <c r="A76" s="3"/>
      <c r="B76" s="3"/>
      <c r="C76" s="3"/>
      <c r="D76" s="3"/>
      <c r="E76" s="10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</row>
    <row r="77" spans="1:52">
      <c r="A77" s="3"/>
      <c r="B77" s="3"/>
      <c r="C77" s="3"/>
      <c r="D77" s="3"/>
      <c r="E77" s="10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</row>
    <row r="78" spans="1:52">
      <c r="A78" s="3"/>
      <c r="B78" s="3"/>
      <c r="C78" s="3"/>
      <c r="D78" s="3"/>
      <c r="E78" s="10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</row>
    <row r="79" spans="1:52">
      <c r="A79" s="3"/>
      <c r="B79" s="3"/>
      <c r="C79" s="3"/>
      <c r="D79" s="3"/>
      <c r="E79" s="10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</row>
    <row r="80" spans="1:52">
      <c r="A80" s="3"/>
      <c r="B80" s="3"/>
      <c r="C80" s="3"/>
      <c r="D80" s="3"/>
      <c r="E80" s="10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</row>
    <row r="81" spans="1:52">
      <c r="A81" s="3"/>
      <c r="B81" s="3"/>
      <c r="C81" s="3"/>
      <c r="D81" s="3"/>
      <c r="E81" s="10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</row>
    <row r="82" spans="1:52">
      <c r="A82" s="3"/>
      <c r="B82" s="3"/>
      <c r="C82" s="3"/>
      <c r="D82" s="3"/>
      <c r="E82" s="10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</row>
    <row r="83" spans="1:52">
      <c r="A83" s="3"/>
      <c r="B83" s="3"/>
      <c r="C83" s="3"/>
      <c r="D83" s="3"/>
      <c r="E83" s="10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</row>
    <row r="84" spans="1:52">
      <c r="A84" s="3"/>
      <c r="B84" s="3"/>
      <c r="C84" s="3"/>
      <c r="D84" s="3"/>
      <c r="E84" s="10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</row>
    <row r="85" spans="1:52">
      <c r="A85" s="3"/>
      <c r="B85" s="3"/>
      <c r="C85" s="3"/>
      <c r="D85" s="3"/>
      <c r="E85" s="10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</row>
    <row r="86" spans="1:52">
      <c r="A86" s="3"/>
      <c r="B86" s="3"/>
      <c r="C86" s="3"/>
      <c r="D86" s="3"/>
      <c r="E86" s="10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</row>
    <row r="87" spans="1:52">
      <c r="A87" s="3"/>
      <c r="B87" s="3"/>
      <c r="C87" s="3"/>
      <c r="D87" s="3"/>
      <c r="E87" s="10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</row>
    <row r="88" spans="1:52">
      <c r="A88" s="3"/>
      <c r="B88" s="3"/>
      <c r="C88" s="3"/>
      <c r="D88" s="3"/>
      <c r="E88" s="10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</row>
    <row r="89" spans="1:52">
      <c r="A89" s="3"/>
      <c r="B89" s="3"/>
      <c r="C89" s="3"/>
      <c r="D89" s="3"/>
      <c r="E89" s="10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</row>
    <row r="90" spans="1:52">
      <c r="A90" s="3"/>
      <c r="B90" s="3"/>
      <c r="C90" s="3"/>
      <c r="D90" s="3"/>
      <c r="E90" s="10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</row>
    <row r="91" spans="1:52">
      <c r="A91" s="3"/>
      <c r="B91" s="3"/>
      <c r="C91" s="3"/>
      <c r="D91" s="3"/>
      <c r="E91" s="10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</row>
    <row r="92" spans="1:52">
      <c r="A92" s="3"/>
      <c r="B92" s="3"/>
      <c r="C92" s="3"/>
      <c r="D92" s="3"/>
      <c r="E92" s="10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</row>
    <row r="93" spans="1:52">
      <c r="A93" s="3"/>
      <c r="B93" s="3"/>
      <c r="C93" s="3"/>
      <c r="D93" s="3"/>
      <c r="E93" s="10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</row>
    <row r="94" spans="1:52">
      <c r="A94" s="3"/>
      <c r="B94" s="3"/>
      <c r="C94" s="3"/>
      <c r="D94" s="3"/>
      <c r="E94" s="10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</row>
    <row r="95" spans="1:52">
      <c r="A95" s="3"/>
      <c r="B95" s="3"/>
      <c r="C95" s="3"/>
      <c r="D95" s="3"/>
      <c r="E95" s="10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</row>
    <row r="96" spans="1:52">
      <c r="A96" s="3"/>
      <c r="B96" s="3"/>
      <c r="C96" s="3"/>
      <c r="D96" s="3"/>
      <c r="E96" s="10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</row>
    <row r="97" spans="1:52">
      <c r="A97" s="3"/>
      <c r="B97" s="3"/>
      <c r="C97" s="3"/>
      <c r="D97" s="3"/>
      <c r="E97" s="10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</row>
    <row r="98" spans="1:52">
      <c r="A98" s="3"/>
      <c r="B98" s="3"/>
      <c r="C98" s="3"/>
      <c r="D98" s="3"/>
      <c r="E98" s="10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</row>
    <row r="99" spans="1:52">
      <c r="A99" s="3"/>
      <c r="B99" s="3"/>
      <c r="C99" s="3"/>
      <c r="D99" s="3"/>
      <c r="E99" s="10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</row>
    <row r="100" spans="1:52">
      <c r="A100" s="3"/>
      <c r="B100" s="3"/>
      <c r="C100" s="3"/>
      <c r="D100" s="3"/>
      <c r="E100" s="10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</row>
    <row r="101" spans="1:52">
      <c r="A101" s="3"/>
      <c r="B101" s="3"/>
      <c r="C101" s="3"/>
      <c r="D101" s="3"/>
      <c r="E101" s="10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</row>
    <row r="102" spans="1:52">
      <c r="A102" s="3"/>
      <c r="B102" s="3"/>
      <c r="C102" s="3"/>
      <c r="D102" s="3"/>
      <c r="E102" s="10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</row>
    <row r="103" spans="1:52">
      <c r="A103" s="3"/>
      <c r="B103" s="3"/>
      <c r="C103" s="3"/>
      <c r="D103" s="3"/>
      <c r="E103" s="10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</row>
    <row r="104" spans="1:52">
      <c r="A104" s="3"/>
      <c r="B104" s="3"/>
      <c r="C104" s="3"/>
      <c r="D104" s="3"/>
      <c r="E104" s="10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</row>
    <row r="105" spans="1:52">
      <c r="A105" s="3"/>
      <c r="B105" s="3"/>
      <c r="C105" s="3"/>
      <c r="D105" s="3"/>
      <c r="E105" s="10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</row>
    <row r="106" spans="1:52">
      <c r="A106" s="3"/>
      <c r="B106" s="3"/>
      <c r="C106" s="3"/>
      <c r="D106" s="3"/>
      <c r="E106" s="10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</row>
    <row r="107" spans="1:52">
      <c r="A107" s="3"/>
      <c r="B107" s="3"/>
      <c r="C107" s="3"/>
      <c r="D107" s="3"/>
      <c r="E107" s="10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</row>
    <row r="108" spans="1:52">
      <c r="A108" s="3"/>
      <c r="B108" s="3"/>
      <c r="C108" s="3"/>
      <c r="D108" s="3"/>
      <c r="E108" s="10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</row>
    <row r="109" spans="1:52">
      <c r="A109" s="3"/>
      <c r="B109" s="3"/>
      <c r="C109" s="3"/>
      <c r="D109" s="3"/>
      <c r="E109" s="10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</row>
    <row r="110" spans="1:52">
      <c r="A110" s="3"/>
      <c r="B110" s="3"/>
      <c r="C110" s="3"/>
      <c r="D110" s="3"/>
      <c r="E110" s="10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</row>
    <row r="111" spans="1:52">
      <c r="A111" s="3"/>
      <c r="B111" s="3"/>
      <c r="C111" s="3"/>
      <c r="D111" s="3"/>
      <c r="E111" s="10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</row>
    <row r="112" spans="1:52">
      <c r="A112" s="3"/>
      <c r="B112" s="3"/>
      <c r="C112" s="3"/>
      <c r="D112" s="3"/>
      <c r="E112" s="10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</row>
    <row r="113" spans="1:52">
      <c r="A113" s="3"/>
      <c r="B113" s="3"/>
      <c r="C113" s="3"/>
      <c r="D113" s="3"/>
      <c r="E113" s="10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</row>
    <row r="114" spans="1:52">
      <c r="A114" s="3"/>
      <c r="B114" s="3"/>
      <c r="C114" s="3"/>
      <c r="D114" s="3"/>
      <c r="E114" s="10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</row>
    <row r="115" spans="1:52">
      <c r="A115" s="3"/>
      <c r="B115" s="3"/>
      <c r="C115" s="3"/>
      <c r="D115" s="3"/>
      <c r="E115" s="10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</row>
    <row r="116" spans="1:52">
      <c r="A116" s="3"/>
      <c r="B116" s="3"/>
      <c r="C116" s="3"/>
      <c r="D116" s="3"/>
      <c r="E116" s="10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</row>
    <row r="117" spans="1:52">
      <c r="A117" s="3"/>
      <c r="B117" s="3"/>
      <c r="C117" s="3"/>
      <c r="D117" s="3"/>
      <c r="E117" s="10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</row>
    <row r="118" spans="1:52">
      <c r="A118" s="3"/>
      <c r="B118" s="3"/>
      <c r="C118" s="3"/>
      <c r="D118" s="3"/>
      <c r="E118" s="10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</row>
    <row r="119" spans="1:52">
      <c r="A119" s="3"/>
      <c r="B119" s="3"/>
      <c r="C119" s="3"/>
      <c r="D119" s="3"/>
      <c r="E119" s="10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</row>
    <row r="120" spans="1:52">
      <c r="A120" s="3"/>
      <c r="B120" s="3"/>
      <c r="C120" s="3"/>
      <c r="D120" s="3"/>
      <c r="E120" s="10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</row>
    <row r="121" spans="1:52">
      <c r="A121" s="3"/>
      <c r="B121" s="3"/>
      <c r="C121" s="3"/>
      <c r="D121" s="3"/>
      <c r="E121" s="10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</row>
    <row r="122" spans="1:52">
      <c r="A122" s="3"/>
      <c r="B122" s="3"/>
      <c r="C122" s="3"/>
      <c r="D122" s="3"/>
      <c r="E122" s="10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</row>
    <row r="123" spans="1:52">
      <c r="A123" s="3"/>
      <c r="B123" s="3"/>
      <c r="C123" s="3"/>
      <c r="D123" s="3"/>
      <c r="E123" s="10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</row>
    <row r="124" spans="1:52">
      <c r="A124" s="3"/>
      <c r="B124" s="3"/>
      <c r="C124" s="3"/>
      <c r="D124" s="3"/>
      <c r="E124" s="10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</row>
    <row r="125" spans="1:52">
      <c r="A125" s="3"/>
      <c r="B125" s="3"/>
      <c r="C125" s="3"/>
      <c r="D125" s="3"/>
      <c r="E125" s="10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</row>
    <row r="126" spans="1:52">
      <c r="A126" s="3"/>
      <c r="B126" s="3"/>
      <c r="C126" s="3"/>
      <c r="D126" s="3"/>
      <c r="E126" s="10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</row>
    <row r="127" spans="1:52">
      <c r="A127" s="3"/>
      <c r="B127" s="3"/>
      <c r="C127" s="3"/>
      <c r="D127" s="3"/>
      <c r="E127" s="10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</row>
    <row r="128" spans="1:52">
      <c r="A128" s="3"/>
      <c r="B128" s="3"/>
      <c r="C128" s="3"/>
      <c r="D128" s="3"/>
      <c r="E128" s="10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</row>
    <row r="129" spans="1:52">
      <c r="A129" s="3"/>
      <c r="B129" s="3"/>
      <c r="C129" s="3"/>
      <c r="D129" s="3"/>
      <c r="E129" s="10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</row>
    <row r="130" spans="1:52">
      <c r="A130" s="3"/>
      <c r="B130" s="3"/>
      <c r="C130" s="3"/>
      <c r="D130" s="3"/>
      <c r="E130" s="10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</row>
    <row r="131" spans="1:52">
      <c r="A131" s="3"/>
      <c r="B131" s="3"/>
      <c r="C131" s="3"/>
      <c r="D131" s="3"/>
      <c r="E131" s="10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</row>
    <row r="132" spans="1:52">
      <c r="A132" s="3"/>
      <c r="B132" s="3"/>
      <c r="C132" s="3"/>
      <c r="D132" s="3"/>
      <c r="E132" s="10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</row>
    <row r="133" spans="1:52">
      <c r="A133" s="3"/>
      <c r="B133" s="3"/>
      <c r="C133" s="3"/>
      <c r="D133" s="3"/>
      <c r="E133" s="10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</row>
    <row r="134" spans="1:52">
      <c r="A134" s="3"/>
      <c r="B134" s="3"/>
      <c r="C134" s="3"/>
      <c r="D134" s="3"/>
      <c r="E134" s="10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</row>
    <row r="135" spans="1:52">
      <c r="A135" s="3"/>
      <c r="B135" s="3"/>
      <c r="C135" s="3"/>
      <c r="D135" s="3"/>
      <c r="E135" s="10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</row>
    <row r="136" spans="1:52">
      <c r="A136" s="3"/>
      <c r="B136" s="3"/>
      <c r="C136" s="3"/>
      <c r="D136" s="3"/>
      <c r="E136" s="10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</row>
    <row r="137" spans="1:52">
      <c r="A137" s="3"/>
      <c r="B137" s="3"/>
      <c r="C137" s="3"/>
      <c r="D137" s="3"/>
      <c r="E137" s="10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</row>
    <row r="138" spans="1:52">
      <c r="A138" s="3"/>
      <c r="B138" s="3"/>
      <c r="C138" s="3"/>
      <c r="D138" s="3"/>
      <c r="E138" s="10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</row>
    <row r="139" spans="1:52">
      <c r="A139" s="3"/>
      <c r="B139" s="3"/>
      <c r="C139" s="3"/>
      <c r="D139" s="3"/>
      <c r="E139" s="10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</row>
    <row r="140" spans="1:52">
      <c r="A140" s="3"/>
      <c r="B140" s="3"/>
      <c r="C140" s="3"/>
      <c r="D140" s="3"/>
      <c r="E140" s="10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</row>
    <row r="141" spans="1:52">
      <c r="A141" s="3"/>
      <c r="B141" s="3"/>
      <c r="C141" s="3"/>
      <c r="D141" s="3"/>
      <c r="E141" s="10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</row>
    <row r="142" spans="1:52">
      <c r="A142" s="3"/>
      <c r="B142" s="3"/>
      <c r="C142" s="3"/>
      <c r="D142" s="3"/>
      <c r="E142" s="10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</row>
    <row r="143" spans="1:52">
      <c r="A143" s="3"/>
      <c r="B143" s="3"/>
      <c r="C143" s="3"/>
      <c r="D143" s="3"/>
      <c r="E143" s="10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</row>
    <row r="144" spans="1:52">
      <c r="A144" s="3"/>
      <c r="B144" s="3"/>
      <c r="C144" s="3"/>
      <c r="D144" s="3"/>
      <c r="E144" s="10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</row>
    <row r="145" spans="1:52">
      <c r="A145" s="3"/>
      <c r="B145" s="3"/>
      <c r="C145" s="3"/>
      <c r="D145" s="3"/>
      <c r="E145" s="10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</row>
    <row r="146" spans="1:52">
      <c r="A146" s="3"/>
      <c r="B146" s="3"/>
      <c r="C146" s="3"/>
      <c r="D146" s="3"/>
      <c r="E146" s="10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</row>
    <row r="147" spans="1:52">
      <c r="A147" s="3"/>
      <c r="B147" s="3"/>
      <c r="C147" s="3"/>
      <c r="D147" s="3"/>
      <c r="E147" s="10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</row>
    <row r="148" spans="1:52">
      <c r="A148" s="3"/>
      <c r="B148" s="3"/>
      <c r="C148" s="3"/>
      <c r="D148" s="3"/>
      <c r="E148" s="10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</row>
    <row r="149" spans="1:52">
      <c r="A149" s="3"/>
      <c r="B149" s="3"/>
      <c r="C149" s="3"/>
      <c r="D149" s="3"/>
      <c r="E149" s="10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</row>
    <row r="150" spans="1:52">
      <c r="A150" s="3"/>
      <c r="B150" s="3"/>
      <c r="C150" s="3"/>
      <c r="D150" s="3"/>
      <c r="E150" s="10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</row>
    <row r="151" spans="1:52">
      <c r="E151" s="2"/>
    </row>
    <row r="152" spans="1:52">
      <c r="E152" s="2"/>
    </row>
    <row r="153" spans="1:52">
      <c r="E153" s="2"/>
    </row>
    <row r="154" spans="1:52">
      <c r="E154" s="2"/>
    </row>
    <row r="155" spans="1:52">
      <c r="E155" s="2"/>
    </row>
    <row r="156" spans="1:52">
      <c r="E156" s="2"/>
    </row>
    <row r="157" spans="1:52">
      <c r="E157" s="2"/>
    </row>
    <row r="158" spans="1:52">
      <c r="E158" s="2"/>
    </row>
    <row r="159" spans="1:52">
      <c r="E159" s="2"/>
    </row>
    <row r="160" spans="1:52">
      <c r="E160" s="2"/>
    </row>
    <row r="161" spans="5:5">
      <c r="E161" s="2"/>
    </row>
    <row r="162" spans="5:5">
      <c r="E162" s="2"/>
    </row>
    <row r="163" spans="5:5">
      <c r="E163" s="2"/>
    </row>
    <row r="164" spans="5:5">
      <c r="E164" s="2"/>
    </row>
    <row r="165" spans="5:5">
      <c r="E165" s="2"/>
    </row>
    <row r="166" spans="5:5">
      <c r="E166" s="2"/>
    </row>
    <row r="167" spans="5:5">
      <c r="E167" s="2"/>
    </row>
    <row r="168" spans="5:5">
      <c r="E168" s="2"/>
    </row>
    <row r="169" spans="5:5">
      <c r="E169" s="2"/>
    </row>
    <row r="170" spans="5:5">
      <c r="E170" s="2"/>
    </row>
    <row r="171" spans="5:5">
      <c r="E171" s="2"/>
    </row>
    <row r="172" spans="5:5">
      <c r="E172" s="2"/>
    </row>
    <row r="173" spans="5:5">
      <c r="E173" s="2"/>
    </row>
    <row r="174" spans="5:5">
      <c r="E174" s="2"/>
    </row>
    <row r="175" spans="5:5">
      <c r="E175" s="2"/>
    </row>
    <row r="176" spans="5:5">
      <c r="E176" s="2"/>
    </row>
    <row r="177" spans="5:5">
      <c r="E177" s="2"/>
    </row>
    <row r="178" spans="5:5">
      <c r="E178" s="2"/>
    </row>
    <row r="179" spans="5:5">
      <c r="E179" s="2"/>
    </row>
    <row r="180" spans="5:5">
      <c r="E180" s="2"/>
    </row>
    <row r="181" spans="5:5">
      <c r="E181" s="2"/>
    </row>
    <row r="182" spans="5:5">
      <c r="E182" s="2"/>
    </row>
    <row r="183" spans="5:5">
      <c r="E183" s="2"/>
    </row>
    <row r="184" spans="5:5">
      <c r="E184" s="2"/>
    </row>
    <row r="185" spans="5:5">
      <c r="E185" s="2"/>
    </row>
    <row r="186" spans="5:5">
      <c r="E186" s="2"/>
    </row>
    <row r="187" spans="5:5">
      <c r="E187" s="2"/>
    </row>
    <row r="188" spans="5:5">
      <c r="E188" s="2"/>
    </row>
    <row r="189" spans="5:5">
      <c r="E189" s="2"/>
    </row>
    <row r="190" spans="5:5">
      <c r="E190" s="2"/>
    </row>
    <row r="191" spans="5:5">
      <c r="E191" s="2"/>
    </row>
    <row r="192" spans="5:5">
      <c r="E192" s="2"/>
    </row>
    <row r="193" spans="5:5">
      <c r="E193" s="2"/>
    </row>
    <row r="194" spans="5:5">
      <c r="E194" s="2"/>
    </row>
    <row r="195" spans="5:5">
      <c r="E195" s="2"/>
    </row>
    <row r="196" spans="5:5">
      <c r="E196" s="2"/>
    </row>
    <row r="197" spans="5:5">
      <c r="E197" s="2"/>
    </row>
    <row r="198" spans="5:5">
      <c r="E198" s="2"/>
    </row>
    <row r="199" spans="5:5">
      <c r="E199" s="2"/>
    </row>
    <row r="200" spans="5:5">
      <c r="E200" s="2"/>
    </row>
  </sheetData>
  <mergeCells count="2">
    <mergeCell ref="A1:J1"/>
    <mergeCell ref="A2:J2"/>
  </mergeCells>
  <dataValidations count="1">
    <dataValidation type="list" sqref="C5:C200" xr:uid="{00000000-0002-0000-0E00-000000000000}">
      <formula1>"01 Identificación,02 Contratación,03 Compensación y movimientos,04 Desempeño y KPI,05 Capacitación y desarrollo,06 Vacaciones/permisos,07 Relaciones laborales,08 Desvinculación"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Z150"/>
  <sheetViews>
    <sheetView workbookViewId="0">
      <selection sqref="A1:H1"/>
    </sheetView>
  </sheetViews>
  <sheetFormatPr baseColWidth="10" defaultColWidth="8.75" defaultRowHeight="14.25"/>
  <cols>
    <col min="1" max="1" width="38" customWidth="1"/>
    <col min="2" max="2" width="22" customWidth="1"/>
    <col min="3" max="3" width="16" customWidth="1"/>
    <col min="4" max="4" width="18" customWidth="1"/>
    <col min="5" max="5" width="16" customWidth="1"/>
    <col min="6" max="6" width="26" customWidth="1"/>
    <col min="7" max="7" width="22" customWidth="1"/>
    <col min="8" max="8" width="30" customWidth="1"/>
  </cols>
  <sheetData>
    <row r="1" spans="1:52" ht="22.35" customHeight="1">
      <c r="A1" s="64" t="s">
        <v>838</v>
      </c>
      <c r="B1" s="57"/>
      <c r="C1" s="57"/>
      <c r="D1" s="57"/>
      <c r="E1" s="57"/>
      <c r="F1" s="57"/>
      <c r="G1" s="57"/>
      <c r="H1" s="57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</row>
    <row r="2" spans="1:52" ht="28.9" customHeight="1">
      <c r="A2" s="65" t="s">
        <v>839</v>
      </c>
      <c r="B2" s="57"/>
      <c r="C2" s="57"/>
      <c r="D2" s="57"/>
      <c r="E2" s="57"/>
      <c r="F2" s="57"/>
      <c r="G2" s="57"/>
      <c r="H2" s="57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</row>
    <row r="3" spans="1:5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</row>
    <row r="4" spans="1:52" ht="15">
      <c r="A4" s="11" t="s">
        <v>840</v>
      </c>
      <c r="B4" s="11" t="s">
        <v>646</v>
      </c>
      <c r="C4" s="11" t="s">
        <v>72</v>
      </c>
      <c r="D4" s="11" t="s">
        <v>841</v>
      </c>
      <c r="E4" s="11" t="s">
        <v>557</v>
      </c>
      <c r="F4" s="11" t="s">
        <v>842</v>
      </c>
      <c r="G4" s="11" t="s">
        <v>843</v>
      </c>
      <c r="H4" s="11" t="s">
        <v>8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</row>
    <row r="5" spans="1:52">
      <c r="A5" s="5" t="s">
        <v>844</v>
      </c>
      <c r="B5" s="5" t="s">
        <v>218</v>
      </c>
      <c r="C5" s="5" t="s">
        <v>81</v>
      </c>
      <c r="D5" s="5"/>
      <c r="E5" s="5" t="s">
        <v>562</v>
      </c>
      <c r="F5" s="5"/>
      <c r="G5" s="5" t="s">
        <v>845</v>
      </c>
      <c r="H5" s="5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</row>
    <row r="6" spans="1:52">
      <c r="A6" s="5" t="s">
        <v>846</v>
      </c>
      <c r="B6" s="5" t="s">
        <v>218</v>
      </c>
      <c r="C6" s="5" t="s">
        <v>81</v>
      </c>
      <c r="D6" s="5"/>
      <c r="E6" s="5" t="s">
        <v>562</v>
      </c>
      <c r="F6" s="5"/>
      <c r="G6" s="5" t="s">
        <v>847</v>
      </c>
      <c r="H6" s="5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</row>
    <row r="7" spans="1:52">
      <c r="A7" s="5" t="s">
        <v>848</v>
      </c>
      <c r="B7" s="5" t="s">
        <v>167</v>
      </c>
      <c r="C7" s="5" t="s">
        <v>81</v>
      </c>
      <c r="D7" s="5"/>
      <c r="E7" s="5" t="s">
        <v>562</v>
      </c>
      <c r="F7" s="5"/>
      <c r="G7" s="5" t="s">
        <v>167</v>
      </c>
      <c r="H7" s="5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</row>
    <row r="8" spans="1:52">
      <c r="A8" s="5" t="s">
        <v>849</v>
      </c>
      <c r="B8" s="5" t="s">
        <v>39</v>
      </c>
      <c r="C8" s="5" t="s">
        <v>769</v>
      </c>
      <c r="D8" s="5"/>
      <c r="E8" s="5" t="s">
        <v>562</v>
      </c>
      <c r="F8" s="5"/>
      <c r="G8" s="5" t="s">
        <v>767</v>
      </c>
      <c r="H8" s="5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</row>
    <row r="9" spans="1:52">
      <c r="A9" s="5" t="s">
        <v>850</v>
      </c>
      <c r="B9" s="5" t="s">
        <v>646</v>
      </c>
      <c r="C9" s="5" t="s">
        <v>769</v>
      </c>
      <c r="D9" s="5"/>
      <c r="E9" s="5" t="s">
        <v>562</v>
      </c>
      <c r="F9" s="5"/>
      <c r="G9" s="5" t="s">
        <v>771</v>
      </c>
      <c r="H9" s="5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</row>
    <row r="10" spans="1:52">
      <c r="A10" s="5" t="s">
        <v>851</v>
      </c>
      <c r="B10" s="5" t="s">
        <v>218</v>
      </c>
      <c r="C10" s="5" t="s">
        <v>81</v>
      </c>
      <c r="D10" s="5"/>
      <c r="E10" s="5" t="s">
        <v>562</v>
      </c>
      <c r="F10" s="5"/>
      <c r="G10" s="5" t="s">
        <v>757</v>
      </c>
      <c r="H10" s="5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</row>
    <row r="11" spans="1:52">
      <c r="A11" s="5" t="s">
        <v>852</v>
      </c>
      <c r="B11" s="5" t="s">
        <v>218</v>
      </c>
      <c r="C11" s="5" t="s">
        <v>155</v>
      </c>
      <c r="D11" s="5"/>
      <c r="E11" s="5" t="s">
        <v>562</v>
      </c>
      <c r="F11" s="5"/>
      <c r="G11" s="5" t="s">
        <v>853</v>
      </c>
      <c r="H11" s="5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</row>
    <row r="12" spans="1:52">
      <c r="A12" s="5" t="s">
        <v>854</v>
      </c>
      <c r="B12" s="5" t="s">
        <v>218</v>
      </c>
      <c r="C12" s="5" t="s">
        <v>81</v>
      </c>
      <c r="D12" s="5"/>
      <c r="E12" s="5" t="s">
        <v>562</v>
      </c>
      <c r="F12" s="5"/>
      <c r="G12" s="5" t="s">
        <v>757</v>
      </c>
      <c r="H12" s="5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</row>
    <row r="13" spans="1:5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</row>
    <row r="14" spans="1:5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</row>
    <row r="15" spans="1:5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</row>
    <row r="16" spans="1:5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</row>
    <row r="17" spans="1:5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</row>
    <row r="18" spans="1:5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</row>
    <row r="19" spans="1:5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</row>
    <row r="20" spans="1:5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</row>
    <row r="21" spans="1:5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</row>
    <row r="22" spans="1:5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</row>
    <row r="23" spans="1:5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</row>
    <row r="24" spans="1:5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</row>
    <row r="25" spans="1:5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</row>
    <row r="26" spans="1:5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</row>
    <row r="27" spans="1:5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</row>
    <row r="28" spans="1:5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</row>
    <row r="29" spans="1:5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</row>
    <row r="30" spans="1:5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</row>
    <row r="31" spans="1:5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</row>
    <row r="32" spans="1:5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</row>
    <row r="33" spans="1:5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</row>
    <row r="34" spans="1:5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</row>
    <row r="35" spans="1:5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</row>
    <row r="36" spans="1:5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</row>
    <row r="37" spans="1:5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</row>
    <row r="38" spans="1:5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</row>
    <row r="39" spans="1:5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</row>
    <row r="40" spans="1:5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</row>
    <row r="41" spans="1:5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</row>
    <row r="42" spans="1:5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</row>
    <row r="43" spans="1:5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</row>
    <row r="44" spans="1:5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</row>
    <row r="45" spans="1:5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</row>
    <row r="46" spans="1:5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</row>
    <row r="47" spans="1:5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</row>
    <row r="48" spans="1:5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</row>
    <row r="49" spans="1:5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</row>
    <row r="50" spans="1:5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</row>
    <row r="51" spans="1:5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</row>
    <row r="52" spans="1: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</row>
    <row r="53" spans="1:5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</row>
    <row r="54" spans="1:5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</row>
    <row r="55" spans="1:5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</row>
    <row r="56" spans="1:5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</row>
    <row r="57" spans="1:5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</row>
    <row r="58" spans="1:5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</row>
    <row r="59" spans="1:5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</row>
    <row r="60" spans="1:5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</row>
    <row r="61" spans="1:5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</row>
    <row r="62" spans="1:5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</row>
    <row r="63" spans="1:5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</row>
    <row r="64" spans="1:5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</row>
    <row r="65" spans="1:5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</row>
    <row r="66" spans="1:5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</row>
    <row r="67" spans="1:5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</row>
    <row r="68" spans="1:5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</row>
    <row r="69" spans="1:5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</row>
    <row r="70" spans="1:5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</row>
    <row r="71" spans="1:5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</row>
    <row r="72" spans="1:5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</row>
    <row r="73" spans="1:5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</row>
    <row r="74" spans="1:5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</row>
    <row r="75" spans="1:5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</row>
    <row r="76" spans="1:5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</row>
    <row r="77" spans="1:5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</row>
    <row r="78" spans="1:5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</row>
    <row r="79" spans="1:5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</row>
    <row r="80" spans="1:5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</row>
    <row r="81" spans="1:5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</row>
    <row r="82" spans="1:5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</row>
    <row r="83" spans="1:5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</row>
    <row r="84" spans="1:5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</row>
    <row r="85" spans="1:5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</row>
    <row r="86" spans="1:5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</row>
    <row r="87" spans="1:5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</row>
    <row r="88" spans="1:5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</row>
    <row r="89" spans="1:5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</row>
    <row r="90" spans="1:5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</row>
    <row r="91" spans="1:5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</row>
    <row r="92" spans="1:5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</row>
    <row r="93" spans="1:5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</row>
    <row r="94" spans="1:5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</row>
    <row r="95" spans="1:5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</row>
    <row r="96" spans="1:5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</row>
    <row r="97" spans="1:5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</row>
    <row r="98" spans="1:5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</row>
    <row r="99" spans="1:5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</row>
    <row r="100" spans="1:5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</row>
    <row r="101" spans="1:5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</row>
    <row r="102" spans="1:5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</row>
    <row r="103" spans="1:5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</row>
    <row r="104" spans="1:5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</row>
    <row r="105" spans="1:5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</row>
    <row r="106" spans="1:5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</row>
    <row r="107" spans="1:5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</row>
    <row r="108" spans="1:5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</row>
    <row r="109" spans="1:5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</row>
    <row r="110" spans="1:5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</row>
    <row r="111" spans="1:5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</row>
    <row r="112" spans="1:5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</row>
    <row r="113" spans="1:5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</row>
    <row r="114" spans="1:5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</row>
    <row r="115" spans="1:5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</row>
    <row r="116" spans="1:5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</row>
    <row r="117" spans="1:5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</row>
    <row r="118" spans="1:5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</row>
    <row r="119" spans="1:5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</row>
    <row r="120" spans="1:5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</row>
    <row r="121" spans="1:5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</row>
    <row r="122" spans="1:5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</row>
    <row r="123" spans="1:5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</row>
    <row r="124" spans="1:5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</row>
    <row r="125" spans="1:5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</row>
    <row r="126" spans="1:5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</row>
    <row r="127" spans="1:5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</row>
    <row r="128" spans="1:5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</row>
    <row r="129" spans="1:5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</row>
    <row r="130" spans="1:5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</row>
    <row r="131" spans="1:5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</row>
    <row r="132" spans="1:5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</row>
    <row r="133" spans="1:5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</row>
    <row r="134" spans="1:5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</row>
    <row r="135" spans="1:5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</row>
    <row r="136" spans="1:5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</row>
    <row r="137" spans="1:5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</row>
    <row r="138" spans="1:5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</row>
    <row r="139" spans="1:5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</row>
    <row r="140" spans="1:5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</row>
    <row r="141" spans="1:5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</row>
    <row r="142" spans="1:5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</row>
    <row r="143" spans="1:5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</row>
    <row r="144" spans="1:5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</row>
    <row r="145" spans="1:5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</row>
    <row r="146" spans="1:5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</row>
    <row r="147" spans="1:5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</row>
    <row r="148" spans="1:5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</row>
    <row r="149" spans="1:5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</row>
    <row r="150" spans="1:5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</row>
  </sheetData>
  <mergeCells count="2">
    <mergeCell ref="A1:H1"/>
    <mergeCell ref="A2:H2"/>
  </mergeCells>
  <dataValidations count="1">
    <dataValidation type="list" sqref="E5:E100" xr:uid="{00000000-0002-0000-0F00-000000000000}">
      <formula1>"Pendiente,En proceso,Completo,No aplica"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Z150"/>
  <sheetViews>
    <sheetView workbookViewId="0">
      <selection sqref="A1:H1"/>
    </sheetView>
  </sheetViews>
  <sheetFormatPr baseColWidth="10" defaultColWidth="8.75" defaultRowHeight="14.25"/>
  <cols>
    <col min="1" max="1" width="12" customWidth="1"/>
    <col min="2" max="2" width="42" customWidth="1"/>
    <col min="3" max="3" width="25" customWidth="1"/>
    <col min="4" max="4" width="14" customWidth="1"/>
    <col min="5" max="5" width="45" customWidth="1"/>
    <col min="6" max="6" width="30" customWidth="1"/>
    <col min="7" max="7" width="22" customWidth="1"/>
    <col min="8" max="8" width="18" customWidth="1"/>
  </cols>
  <sheetData>
    <row r="1" spans="1:52" ht="22.35" customHeight="1">
      <c r="A1" s="64" t="s">
        <v>855</v>
      </c>
      <c r="B1" s="57"/>
      <c r="C1" s="57"/>
      <c r="D1" s="57"/>
      <c r="E1" s="57"/>
      <c r="F1" s="57"/>
      <c r="G1" s="57"/>
      <c r="H1" s="57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</row>
    <row r="2" spans="1:52" ht="28.9" customHeight="1">
      <c r="A2" s="65" t="s">
        <v>856</v>
      </c>
      <c r="B2" s="57"/>
      <c r="C2" s="57"/>
      <c r="D2" s="57"/>
      <c r="E2" s="57"/>
      <c r="F2" s="57"/>
      <c r="G2" s="57"/>
      <c r="H2" s="57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</row>
    <row r="3" spans="1:5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</row>
    <row r="4" spans="1:52" ht="15">
      <c r="A4" s="11" t="s">
        <v>429</v>
      </c>
      <c r="B4" s="11" t="s">
        <v>857</v>
      </c>
      <c r="C4" s="11" t="s">
        <v>858</v>
      </c>
      <c r="D4" s="11" t="s">
        <v>6</v>
      </c>
      <c r="E4" s="11" t="s">
        <v>859</v>
      </c>
      <c r="F4" s="11" t="s">
        <v>860</v>
      </c>
      <c r="G4" s="11" t="s">
        <v>861</v>
      </c>
      <c r="H4" s="11" t="s">
        <v>557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</row>
    <row r="5" spans="1:52">
      <c r="A5" s="5" t="s">
        <v>862</v>
      </c>
      <c r="B5" s="5" t="s">
        <v>863</v>
      </c>
      <c r="C5" s="5" t="s">
        <v>864</v>
      </c>
      <c r="D5" s="5" t="s">
        <v>13</v>
      </c>
      <c r="E5" s="5" t="s">
        <v>865</v>
      </c>
      <c r="F5" s="5" t="s">
        <v>866</v>
      </c>
      <c r="G5" s="5" t="s">
        <v>218</v>
      </c>
      <c r="H5" s="5" t="s">
        <v>562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</row>
    <row r="6" spans="1:52">
      <c r="A6" s="5" t="s">
        <v>867</v>
      </c>
      <c r="B6" s="5" t="s">
        <v>868</v>
      </c>
      <c r="C6" s="5" t="s">
        <v>869</v>
      </c>
      <c r="D6" s="5" t="s">
        <v>13</v>
      </c>
      <c r="E6" s="5" t="s">
        <v>870</v>
      </c>
      <c r="F6" s="5" t="s">
        <v>871</v>
      </c>
      <c r="G6" s="5" t="s">
        <v>218</v>
      </c>
      <c r="H6" s="5" t="s">
        <v>562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</row>
    <row r="7" spans="1:52">
      <c r="A7" s="5" t="s">
        <v>872</v>
      </c>
      <c r="B7" s="5" t="s">
        <v>873</v>
      </c>
      <c r="C7" s="5" t="s">
        <v>874</v>
      </c>
      <c r="D7" s="5" t="s">
        <v>13</v>
      </c>
      <c r="E7" s="5" t="s">
        <v>875</v>
      </c>
      <c r="F7" s="5" t="s">
        <v>876</v>
      </c>
      <c r="G7" s="5" t="s">
        <v>39</v>
      </c>
      <c r="H7" s="5" t="s">
        <v>562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</row>
    <row r="8" spans="1:52">
      <c r="A8" s="5" t="s">
        <v>877</v>
      </c>
      <c r="B8" s="5" t="s">
        <v>878</v>
      </c>
      <c r="C8" s="5" t="s">
        <v>879</v>
      </c>
      <c r="D8" s="5" t="s">
        <v>13</v>
      </c>
      <c r="E8" s="5" t="s">
        <v>880</v>
      </c>
      <c r="F8" s="5" t="s">
        <v>881</v>
      </c>
      <c r="G8" s="5" t="s">
        <v>218</v>
      </c>
      <c r="H8" s="5" t="s">
        <v>562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</row>
    <row r="9" spans="1:52">
      <c r="A9" s="5" t="s">
        <v>882</v>
      </c>
      <c r="B9" s="5" t="s">
        <v>883</v>
      </c>
      <c r="C9" s="5" t="s">
        <v>884</v>
      </c>
      <c r="D9" s="5" t="s">
        <v>20</v>
      </c>
      <c r="E9" s="5" t="s">
        <v>885</v>
      </c>
      <c r="F9" s="5" t="s">
        <v>886</v>
      </c>
      <c r="G9" s="5" t="s">
        <v>218</v>
      </c>
      <c r="H9" s="5" t="s">
        <v>562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</row>
    <row r="10" spans="1:52">
      <c r="A10" s="5" t="s">
        <v>887</v>
      </c>
      <c r="B10" s="5" t="s">
        <v>888</v>
      </c>
      <c r="C10" s="5" t="s">
        <v>889</v>
      </c>
      <c r="D10" s="5" t="s">
        <v>20</v>
      </c>
      <c r="E10" s="5" t="s">
        <v>890</v>
      </c>
      <c r="F10" s="5" t="s">
        <v>891</v>
      </c>
      <c r="G10" s="5" t="s">
        <v>892</v>
      </c>
      <c r="H10" s="5" t="s">
        <v>562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</row>
    <row r="11" spans="1:52">
      <c r="A11" s="5" t="s">
        <v>893</v>
      </c>
      <c r="B11" s="5" t="s">
        <v>894</v>
      </c>
      <c r="C11" s="5" t="s">
        <v>167</v>
      </c>
      <c r="D11" s="5" t="s">
        <v>13</v>
      </c>
      <c r="E11" s="5" t="s">
        <v>895</v>
      </c>
      <c r="F11" s="5" t="s">
        <v>896</v>
      </c>
      <c r="G11" s="5" t="s">
        <v>897</v>
      </c>
      <c r="H11" s="5" t="s">
        <v>562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</row>
    <row r="12" spans="1:52">
      <c r="A12" s="5" t="s">
        <v>898</v>
      </c>
      <c r="B12" s="5" t="s">
        <v>899</v>
      </c>
      <c r="C12" s="5" t="s">
        <v>167</v>
      </c>
      <c r="D12" s="5" t="s">
        <v>13</v>
      </c>
      <c r="E12" s="5" t="s">
        <v>900</v>
      </c>
      <c r="F12" s="5" t="s">
        <v>901</v>
      </c>
      <c r="G12" s="5" t="s">
        <v>167</v>
      </c>
      <c r="H12" s="5" t="s">
        <v>562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</row>
    <row r="13" spans="1:52">
      <c r="A13" s="5" t="s">
        <v>902</v>
      </c>
      <c r="B13" s="5" t="s">
        <v>903</v>
      </c>
      <c r="C13" s="5" t="s">
        <v>167</v>
      </c>
      <c r="D13" s="5" t="s">
        <v>20</v>
      </c>
      <c r="E13" s="5" t="s">
        <v>904</v>
      </c>
      <c r="F13" s="5" t="s">
        <v>905</v>
      </c>
      <c r="G13" s="5" t="s">
        <v>167</v>
      </c>
      <c r="H13" s="5" t="s">
        <v>562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</row>
    <row r="14" spans="1:52">
      <c r="A14" s="5" t="s">
        <v>906</v>
      </c>
      <c r="B14" s="5" t="s">
        <v>907</v>
      </c>
      <c r="C14" s="5" t="s">
        <v>864</v>
      </c>
      <c r="D14" s="5" t="s">
        <v>13</v>
      </c>
      <c r="E14" s="5" t="s">
        <v>908</v>
      </c>
      <c r="F14" s="5" t="s">
        <v>909</v>
      </c>
      <c r="G14" s="5" t="s">
        <v>910</v>
      </c>
      <c r="H14" s="5" t="s">
        <v>562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</row>
    <row r="15" spans="1:52">
      <c r="A15" s="5" t="s">
        <v>911</v>
      </c>
      <c r="B15" s="5" t="s">
        <v>912</v>
      </c>
      <c r="C15" s="5" t="s">
        <v>124</v>
      </c>
      <c r="D15" s="5" t="s">
        <v>20</v>
      </c>
      <c r="E15" s="5" t="s">
        <v>913</v>
      </c>
      <c r="F15" s="5" t="s">
        <v>914</v>
      </c>
      <c r="G15" s="5" t="s">
        <v>218</v>
      </c>
      <c r="H15" s="5" t="s">
        <v>562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</row>
    <row r="16" spans="1:52">
      <c r="A16" s="5" t="s">
        <v>915</v>
      </c>
      <c r="B16" s="5" t="s">
        <v>916</v>
      </c>
      <c r="C16" s="5" t="s">
        <v>917</v>
      </c>
      <c r="D16" s="5" t="s">
        <v>13</v>
      </c>
      <c r="E16" s="5" t="s">
        <v>918</v>
      </c>
      <c r="F16" s="5" t="s">
        <v>919</v>
      </c>
      <c r="G16" s="5" t="s">
        <v>218</v>
      </c>
      <c r="H16" s="5" t="s">
        <v>562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</row>
    <row r="17" spans="1:52">
      <c r="A17" s="5" t="s">
        <v>920</v>
      </c>
      <c r="B17" s="5" t="s">
        <v>921</v>
      </c>
      <c r="C17" s="5" t="s">
        <v>922</v>
      </c>
      <c r="D17" s="5" t="s">
        <v>20</v>
      </c>
      <c r="E17" s="5" t="s">
        <v>923</v>
      </c>
      <c r="F17" s="5" t="s">
        <v>924</v>
      </c>
      <c r="G17" s="5" t="s">
        <v>218</v>
      </c>
      <c r="H17" s="5" t="s">
        <v>562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</row>
    <row r="18" spans="1:52" ht="42.75">
      <c r="A18" s="5" t="s">
        <v>925</v>
      </c>
      <c r="B18" s="5" t="s">
        <v>926</v>
      </c>
      <c r="C18" s="5" t="s">
        <v>927</v>
      </c>
      <c r="D18" s="5" t="s">
        <v>20</v>
      </c>
      <c r="E18" s="5" t="s">
        <v>928</v>
      </c>
      <c r="F18" s="5" t="s">
        <v>929</v>
      </c>
      <c r="G18" s="5" t="s">
        <v>218</v>
      </c>
      <c r="H18" s="5" t="s">
        <v>562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</row>
    <row r="19" spans="1:52" ht="42.75">
      <c r="A19" s="5" t="s">
        <v>930</v>
      </c>
      <c r="B19" s="5" t="s">
        <v>931</v>
      </c>
      <c r="C19" s="5" t="s">
        <v>167</v>
      </c>
      <c r="D19" s="5" t="s">
        <v>20</v>
      </c>
      <c r="E19" s="5" t="s">
        <v>932</v>
      </c>
      <c r="F19" s="5" t="s">
        <v>933</v>
      </c>
      <c r="G19" s="5" t="s">
        <v>218</v>
      </c>
      <c r="H19" s="5" t="s">
        <v>562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</row>
    <row r="20" spans="1:52" ht="42.75">
      <c r="A20" s="5" t="s">
        <v>934</v>
      </c>
      <c r="B20" s="5" t="s">
        <v>935</v>
      </c>
      <c r="C20" s="5" t="s">
        <v>313</v>
      </c>
      <c r="D20" s="5" t="s">
        <v>20</v>
      </c>
      <c r="E20" s="5" t="s">
        <v>936</v>
      </c>
      <c r="F20" s="5" t="s">
        <v>937</v>
      </c>
      <c r="G20" s="5" t="s">
        <v>938</v>
      </c>
      <c r="H20" s="5" t="s">
        <v>562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</row>
    <row r="21" spans="1:52" ht="42.75">
      <c r="A21" s="5" t="s">
        <v>939</v>
      </c>
      <c r="B21" s="5" t="s">
        <v>940</v>
      </c>
      <c r="C21" s="5" t="s">
        <v>941</v>
      </c>
      <c r="D21" s="5" t="s">
        <v>20</v>
      </c>
      <c r="E21" s="5" t="s">
        <v>942</v>
      </c>
      <c r="F21" s="5" t="s">
        <v>943</v>
      </c>
      <c r="G21" s="5" t="s">
        <v>662</v>
      </c>
      <c r="H21" s="5" t="s">
        <v>562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</row>
    <row r="22" spans="1:52" ht="28.5">
      <c r="A22" s="5" t="s">
        <v>944</v>
      </c>
      <c r="B22" s="5" t="s">
        <v>945</v>
      </c>
      <c r="C22" s="5" t="s">
        <v>927</v>
      </c>
      <c r="D22" s="5" t="s">
        <v>20</v>
      </c>
      <c r="E22" s="5" t="s">
        <v>946</v>
      </c>
      <c r="F22" s="5" t="s">
        <v>947</v>
      </c>
      <c r="G22" s="5" t="s">
        <v>218</v>
      </c>
      <c r="H22" s="5" t="s">
        <v>562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</row>
    <row r="23" spans="1:5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</row>
    <row r="24" spans="1:5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</row>
    <row r="25" spans="1:5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</row>
    <row r="26" spans="1:5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</row>
    <row r="27" spans="1:5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</row>
    <row r="28" spans="1:5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</row>
    <row r="29" spans="1:5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</row>
    <row r="30" spans="1:5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</row>
    <row r="31" spans="1:5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</row>
    <row r="32" spans="1:5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</row>
    <row r="33" spans="1:5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</row>
    <row r="34" spans="1:5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</row>
    <row r="35" spans="1:5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</row>
    <row r="36" spans="1:5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</row>
    <row r="37" spans="1:5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</row>
    <row r="38" spans="1:5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</row>
    <row r="39" spans="1:5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</row>
    <row r="40" spans="1:5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</row>
    <row r="41" spans="1:5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</row>
    <row r="42" spans="1:5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</row>
    <row r="43" spans="1:5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</row>
    <row r="44" spans="1:5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</row>
    <row r="45" spans="1:5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</row>
    <row r="46" spans="1:5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</row>
    <row r="47" spans="1:5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</row>
    <row r="48" spans="1:5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</row>
    <row r="49" spans="1:5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</row>
    <row r="50" spans="1:5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</row>
    <row r="51" spans="1:5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</row>
    <row r="52" spans="1: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</row>
    <row r="53" spans="1:5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</row>
    <row r="54" spans="1:5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</row>
    <row r="55" spans="1:5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</row>
    <row r="56" spans="1:5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</row>
    <row r="57" spans="1:5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</row>
    <row r="58" spans="1:5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</row>
    <row r="59" spans="1:5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</row>
    <row r="60" spans="1:5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</row>
    <row r="61" spans="1:5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</row>
    <row r="62" spans="1:5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</row>
    <row r="63" spans="1:5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</row>
    <row r="64" spans="1:5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</row>
    <row r="65" spans="1:5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</row>
    <row r="66" spans="1:5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</row>
    <row r="67" spans="1:5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</row>
    <row r="68" spans="1:5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</row>
    <row r="69" spans="1:5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</row>
    <row r="70" spans="1:5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</row>
    <row r="71" spans="1:5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</row>
    <row r="72" spans="1:5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</row>
    <row r="73" spans="1:5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</row>
    <row r="74" spans="1:5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</row>
    <row r="75" spans="1:5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</row>
    <row r="76" spans="1:5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</row>
    <row r="77" spans="1:5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</row>
    <row r="78" spans="1:5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</row>
    <row r="79" spans="1:5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</row>
    <row r="80" spans="1:5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</row>
    <row r="81" spans="1:5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</row>
    <row r="82" spans="1:5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</row>
    <row r="83" spans="1:5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</row>
    <row r="84" spans="1:5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</row>
    <row r="85" spans="1:5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</row>
    <row r="86" spans="1:5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</row>
    <row r="87" spans="1:5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</row>
    <row r="88" spans="1:5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</row>
    <row r="89" spans="1:5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</row>
    <row r="90" spans="1:5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</row>
    <row r="91" spans="1:5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</row>
    <row r="92" spans="1:5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</row>
    <row r="93" spans="1:5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</row>
    <row r="94" spans="1:5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</row>
    <row r="95" spans="1:5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</row>
    <row r="96" spans="1:5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</row>
    <row r="97" spans="1:5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</row>
    <row r="98" spans="1:5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</row>
    <row r="99" spans="1:5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</row>
    <row r="100" spans="1:5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</row>
    <row r="101" spans="1:5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</row>
    <row r="102" spans="1:5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</row>
    <row r="103" spans="1:5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</row>
    <row r="104" spans="1:5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</row>
    <row r="105" spans="1:5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</row>
    <row r="106" spans="1:5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</row>
    <row r="107" spans="1:5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</row>
    <row r="108" spans="1:5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</row>
    <row r="109" spans="1:5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</row>
    <row r="110" spans="1:5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</row>
    <row r="111" spans="1:5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</row>
    <row r="112" spans="1:5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</row>
    <row r="113" spans="1:5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</row>
    <row r="114" spans="1:5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</row>
    <row r="115" spans="1:5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</row>
    <row r="116" spans="1:5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</row>
    <row r="117" spans="1:5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</row>
    <row r="118" spans="1:5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</row>
    <row r="119" spans="1:5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</row>
    <row r="120" spans="1:5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</row>
    <row r="121" spans="1:5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</row>
    <row r="122" spans="1:5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</row>
    <row r="123" spans="1:5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</row>
    <row r="124" spans="1:5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</row>
    <row r="125" spans="1:5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</row>
    <row r="126" spans="1:5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</row>
    <row r="127" spans="1:5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</row>
    <row r="128" spans="1:5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</row>
    <row r="129" spans="1:5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</row>
    <row r="130" spans="1:5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</row>
    <row r="131" spans="1:5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</row>
    <row r="132" spans="1:5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</row>
    <row r="133" spans="1:5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</row>
    <row r="134" spans="1:5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</row>
    <row r="135" spans="1:5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</row>
    <row r="136" spans="1:5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</row>
    <row r="137" spans="1:5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</row>
    <row r="138" spans="1:5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</row>
    <row r="139" spans="1:5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</row>
    <row r="140" spans="1:5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</row>
    <row r="141" spans="1:5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</row>
    <row r="142" spans="1:5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</row>
    <row r="143" spans="1:5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</row>
    <row r="144" spans="1:5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</row>
    <row r="145" spans="1:5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</row>
    <row r="146" spans="1:5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</row>
    <row r="147" spans="1:5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</row>
    <row r="148" spans="1:5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</row>
    <row r="149" spans="1:5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</row>
    <row r="150" spans="1:5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</row>
  </sheetData>
  <mergeCells count="2">
    <mergeCell ref="A1:H1"/>
    <mergeCell ref="A2:H2"/>
  </mergeCells>
  <dataValidations count="2">
    <dataValidation type="list" sqref="D5:D100" xr:uid="{00000000-0002-0000-1000-000000000000}">
      <formula1>"Crítica,Alta,Media,Baja"</formula1>
    </dataValidation>
    <dataValidation type="list" sqref="H5:H100" xr:uid="{00000000-0002-0000-1000-000001000000}">
      <formula1>"Pendiente,En análisis,Configuración,Desarrollo,Pruebas,Listo"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00_Instrucciones</vt:lpstr>
      <vt:lpstr>01_Ficha_Colaborador</vt:lpstr>
      <vt:lpstr>02_Catalogos</vt:lpstr>
      <vt:lpstr>03_Incidencias</vt:lpstr>
      <vt:lpstr>04 Calculo Nomina</vt:lpstr>
      <vt:lpstr>05_Historial_Movimientos</vt:lpstr>
      <vt:lpstr>07_Parametros</vt:lpstr>
      <vt:lpstr>06_Reportes_Query</vt:lpstr>
      <vt:lpstr>08_Casos_Prueba</vt:lpstr>
      <vt:lpstr>09_Ciclo_Vida</vt:lpstr>
      <vt:lpstr>10_FMP</vt:lpstr>
      <vt:lpstr>11_Alta_Onboarding</vt:lpstr>
      <vt:lpstr>12_Matriz_Autoridad</vt:lpstr>
      <vt:lpstr>13_KPI_Bono</vt:lpstr>
      <vt:lpstr>14_Expediente_Digital</vt:lpstr>
      <vt:lpstr>15_Desvinculacion</vt:lpstr>
      <vt:lpstr>16_Requerimientos_IT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Steven Velasquez</cp:lastModifiedBy>
  <dcterms:modified xsi:type="dcterms:W3CDTF">2026-10-09T02:22:57Z</dcterms:modified>
</cp:coreProperties>
</file>