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78e37146b32f35/Desktop/Planillas/Octubre/1er Pago/"/>
    </mc:Choice>
  </mc:AlternateContent>
  <xr:revisionPtr revIDLastSave="533" documentId="8_{0153BCBD-A092-4964-8AC9-1BDF1ED3FC2A}" xr6:coauthVersionLast="47" xr6:coauthVersionMax="47" xr10:uidLastSave="{E6EE8D21-021A-4639-879A-0AF5270755BC}"/>
  <bookViews>
    <workbookView xWindow="-120" yWindow="-120" windowWidth="29040" windowHeight="15720" tabRatio="742" xr2:uid="{FCF926C2-6217-40EC-8D0C-F5BE705B7404}"/>
  </bookViews>
  <sheets>
    <sheet name="Resumen v2" sheetId="25" r:id="rId1"/>
    <sheet name="DetalleCalculos" sheetId="5" r:id="rId2"/>
    <sheet name="Horarios y Sistemas" sheetId="8" r:id="rId3"/>
    <sheet name="BASEDATOS" sheetId="15" r:id="rId4"/>
    <sheet name="NOMBRESLIMPIO" sheetId="22" r:id="rId5"/>
    <sheet name="Año" sheetId="9" r:id="rId6"/>
  </sheets>
  <definedNames>
    <definedName name="_xlnm._FilterDatabase" localSheetId="5" hidden="1">Año!$D$2:$L$367</definedName>
    <definedName name="_xlnm._FilterDatabase" localSheetId="3" hidden="1">BASEDATOS!$C$2:$R$1584</definedName>
    <definedName name="_xlnm._FilterDatabase" localSheetId="1" hidden="1">DetalleCalculos!$H$7:$AE$1001</definedName>
    <definedName name="_xlnm._FilterDatabase" localSheetId="4" hidden="1">NOMBRESLIMPIO!$D$1:$D$223</definedName>
    <definedName name="_xlnm._FilterDatabase" localSheetId="0" hidden="1">'Resumen v2'!$H$21:$AE$226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81" i="25" l="1"/>
  <c r="M223" i="25" a="1"/>
  <c r="M223" i="25" s="1"/>
  <c r="M222" i="25" a="1"/>
  <c r="M222" i="25" s="1"/>
  <c r="M221" i="25" a="1"/>
  <c r="M221" i="25" s="1"/>
  <c r="M220" i="25" a="1"/>
  <c r="M220" i="25" s="1"/>
  <c r="N220" i="25" s="1"/>
  <c r="M219" i="25" a="1"/>
  <c r="M219" i="25" s="1"/>
  <c r="M218" i="25" a="1"/>
  <c r="M218" i="25" s="1"/>
  <c r="M217" i="25" a="1"/>
  <c r="M217" i="25" s="1"/>
  <c r="O217" i="25" s="1"/>
  <c r="M216" i="25" a="1"/>
  <c r="M216" i="25" s="1"/>
  <c r="M215" i="25" a="1"/>
  <c r="M215" i="25" s="1"/>
  <c r="M214" i="25" a="1"/>
  <c r="M214" i="25" s="1"/>
  <c r="M213" i="25" a="1"/>
  <c r="M213" i="25" s="1"/>
  <c r="M212" i="25" a="1"/>
  <c r="M212" i="25" s="1"/>
  <c r="M211" i="25" a="1"/>
  <c r="M211" i="25" s="1"/>
  <c r="M210" i="25" a="1"/>
  <c r="M210" i="25" s="1"/>
  <c r="M209" i="25" a="1"/>
  <c r="M209" i="25" s="1"/>
  <c r="M208" i="25" a="1"/>
  <c r="M208" i="25" s="1"/>
  <c r="M207" i="25" a="1"/>
  <c r="M207" i="25" s="1"/>
  <c r="M206" i="25" a="1"/>
  <c r="M206" i="25" s="1"/>
  <c r="M205" i="25" a="1"/>
  <c r="M205" i="25" s="1"/>
  <c r="M204" i="25" a="1"/>
  <c r="M204" i="25" s="1"/>
  <c r="M203" i="25" a="1"/>
  <c r="M203" i="25" s="1"/>
  <c r="M202" i="25" a="1"/>
  <c r="M202" i="25" s="1"/>
  <c r="M201" i="25" a="1"/>
  <c r="M201" i="25" s="1"/>
  <c r="M200" i="25" a="1"/>
  <c r="M200" i="25" s="1"/>
  <c r="M199" i="25" a="1"/>
  <c r="M199" i="25" s="1"/>
  <c r="M198" i="25" a="1"/>
  <c r="M198" i="25" s="1"/>
  <c r="M197" i="25" a="1"/>
  <c r="M197" i="25" s="1"/>
  <c r="M196" i="25" a="1"/>
  <c r="M196" i="25" s="1"/>
  <c r="M195" i="25" a="1"/>
  <c r="M195" i="25" s="1"/>
  <c r="M194" i="25" a="1"/>
  <c r="M194" i="25" s="1"/>
  <c r="M193" i="25" a="1"/>
  <c r="M193" i="25" s="1"/>
  <c r="M192" i="25" a="1"/>
  <c r="M192" i="25" s="1"/>
  <c r="M191" i="25" a="1"/>
  <c r="M191" i="25" s="1"/>
  <c r="M190" i="25" a="1"/>
  <c r="M190" i="25" s="1"/>
  <c r="M189" i="25" a="1"/>
  <c r="M189" i="25" s="1"/>
  <c r="M188" i="25" a="1"/>
  <c r="M188" i="25" s="1"/>
  <c r="M187" i="25" a="1"/>
  <c r="M187" i="25" s="1"/>
  <c r="M186" i="25" a="1"/>
  <c r="M186" i="25" s="1"/>
  <c r="M185" i="25" a="1"/>
  <c r="M185" i="25" s="1"/>
  <c r="M184" i="25" a="1"/>
  <c r="M184" i="25" s="1"/>
  <c r="M183" i="25" a="1"/>
  <c r="M183" i="25" s="1"/>
  <c r="M182" i="25" a="1"/>
  <c r="M182" i="25" s="1"/>
  <c r="M181" i="25" a="1"/>
  <c r="M181" i="25" s="1"/>
  <c r="M180" i="25" a="1"/>
  <c r="M180" i="25" s="1"/>
  <c r="M179" i="25" a="1"/>
  <c r="M179" i="25" s="1"/>
  <c r="M178" i="25" a="1"/>
  <c r="M178" i="25" s="1"/>
  <c r="M177" i="25" a="1"/>
  <c r="M177" i="25" s="1"/>
  <c r="M176" i="25" a="1"/>
  <c r="M176" i="25" s="1"/>
  <c r="M175" i="25" a="1"/>
  <c r="M175" i="25" s="1"/>
  <c r="M174" i="25" a="1"/>
  <c r="M174" i="25" s="1"/>
  <c r="M173" i="25" a="1"/>
  <c r="M173" i="25" s="1"/>
  <c r="M172" i="25" a="1"/>
  <c r="M172" i="25" s="1"/>
  <c r="M171" i="25" a="1"/>
  <c r="M171" i="25" s="1"/>
  <c r="M170" i="25" a="1"/>
  <c r="M170" i="25" s="1"/>
  <c r="M169" i="25" a="1"/>
  <c r="M169" i="25" s="1"/>
  <c r="M168" i="25" a="1"/>
  <c r="M168" i="25" s="1"/>
  <c r="M167" i="25" a="1"/>
  <c r="M167" i="25" s="1"/>
  <c r="M166" i="25" a="1"/>
  <c r="M166" i="25" s="1"/>
  <c r="M165" i="25" a="1"/>
  <c r="M165" i="25" s="1"/>
  <c r="M164" i="25" a="1"/>
  <c r="M164" i="25" s="1"/>
  <c r="M163" i="25" a="1"/>
  <c r="M163" i="25" s="1"/>
  <c r="M162" i="25" a="1"/>
  <c r="M162" i="25" s="1"/>
  <c r="M161" i="25" a="1"/>
  <c r="M161" i="25" s="1"/>
  <c r="M160" i="25" a="1"/>
  <c r="M160" i="25" s="1"/>
  <c r="M159" i="25" a="1"/>
  <c r="M159" i="25" s="1"/>
  <c r="M158" i="25" a="1"/>
  <c r="M158" i="25" s="1"/>
  <c r="M157" i="25" a="1"/>
  <c r="M157" i="25" s="1"/>
  <c r="M156" i="25" a="1"/>
  <c r="M156" i="25" s="1"/>
  <c r="M155" i="25" a="1"/>
  <c r="M155" i="25" s="1"/>
  <c r="M154" i="25" a="1"/>
  <c r="M154" i="25" s="1"/>
  <c r="M153" i="25" a="1"/>
  <c r="M153" i="25" s="1"/>
  <c r="M152" i="25" a="1"/>
  <c r="M152" i="25" s="1"/>
  <c r="M151" i="25" a="1"/>
  <c r="M151" i="25" s="1"/>
  <c r="M150" i="25" a="1"/>
  <c r="M150" i="25" s="1"/>
  <c r="M149" i="25" a="1"/>
  <c r="M149" i="25" s="1"/>
  <c r="M148" i="25" a="1"/>
  <c r="M148" i="25" s="1"/>
  <c r="M147" i="25" a="1"/>
  <c r="M147" i="25" s="1"/>
  <c r="M146" i="25" a="1"/>
  <c r="M146" i="25" s="1"/>
  <c r="M145" i="25" a="1"/>
  <c r="M145" i="25" s="1"/>
  <c r="M144" i="25" a="1"/>
  <c r="M144" i="25" s="1"/>
  <c r="M143" i="25" a="1"/>
  <c r="M143" i="25" s="1"/>
  <c r="M142" i="25" a="1"/>
  <c r="M142" i="25" s="1"/>
  <c r="M141" i="25" a="1"/>
  <c r="M141" i="25" s="1"/>
  <c r="M140" i="25" a="1"/>
  <c r="M140" i="25" s="1"/>
  <c r="M139" i="25" a="1"/>
  <c r="M139" i="25" s="1"/>
  <c r="M138" i="25" a="1"/>
  <c r="M138" i="25" s="1"/>
  <c r="M137" i="25" a="1"/>
  <c r="M137" i="25" s="1"/>
  <c r="M136" i="25" a="1"/>
  <c r="M136" i="25" s="1"/>
  <c r="M135" i="25" a="1"/>
  <c r="M135" i="25" s="1"/>
  <c r="M134" i="25" a="1"/>
  <c r="M134" i="25" s="1"/>
  <c r="M133" i="25" a="1"/>
  <c r="M133" i="25" s="1"/>
  <c r="M132" i="25" a="1"/>
  <c r="M132" i="25" s="1"/>
  <c r="M131" i="25" a="1"/>
  <c r="M131" i="25" s="1"/>
  <c r="M130" i="25" a="1"/>
  <c r="M130" i="25" s="1"/>
  <c r="M129" i="25" a="1"/>
  <c r="M129" i="25" s="1"/>
  <c r="M128" i="25" a="1"/>
  <c r="M128" i="25" s="1"/>
  <c r="M127" i="25" a="1"/>
  <c r="M127" i="25" s="1"/>
  <c r="M126" i="25" a="1"/>
  <c r="M126" i="25" s="1"/>
  <c r="M125" i="25" a="1"/>
  <c r="M125" i="25" s="1"/>
  <c r="M124" i="25" a="1"/>
  <c r="M124" i="25" s="1"/>
  <c r="M123" i="25" a="1"/>
  <c r="M123" i="25" s="1"/>
  <c r="M122" i="25" a="1"/>
  <c r="M122" i="25" s="1"/>
  <c r="M121" i="25" a="1"/>
  <c r="M121" i="25" s="1"/>
  <c r="M120" i="25" a="1"/>
  <c r="M120" i="25" s="1"/>
  <c r="M119" i="25" a="1"/>
  <c r="M119" i="25" s="1"/>
  <c r="M118" i="25" a="1"/>
  <c r="M118" i="25" s="1"/>
  <c r="M117" i="25" a="1"/>
  <c r="M117" i="25" s="1"/>
  <c r="M116" i="25" a="1"/>
  <c r="M116" i="25" s="1"/>
  <c r="M115" i="25" a="1"/>
  <c r="M115" i="25" s="1"/>
  <c r="M114" i="25" a="1"/>
  <c r="M114" i="25" s="1"/>
  <c r="M113" i="25" a="1"/>
  <c r="M113" i="25" s="1"/>
  <c r="M112" i="25" a="1"/>
  <c r="M112" i="25" s="1"/>
  <c r="M111" i="25" a="1"/>
  <c r="M111" i="25" s="1"/>
  <c r="M110" i="25" a="1"/>
  <c r="M110" i="25" s="1"/>
  <c r="M109" i="25" a="1"/>
  <c r="M109" i="25" s="1"/>
  <c r="M108" i="25" a="1"/>
  <c r="M108" i="25" s="1"/>
  <c r="M107" i="25" a="1"/>
  <c r="M107" i="25" s="1"/>
  <c r="M106" i="25" a="1"/>
  <c r="M106" i="25" s="1"/>
  <c r="M105" i="25" a="1"/>
  <c r="M105" i="25" s="1"/>
  <c r="M104" i="25" a="1"/>
  <c r="M104" i="25" s="1"/>
  <c r="M103" i="25" a="1"/>
  <c r="M103" i="25" s="1"/>
  <c r="M102" i="25" a="1"/>
  <c r="M102" i="25" s="1"/>
  <c r="M101" i="25" a="1"/>
  <c r="M101" i="25" s="1"/>
  <c r="M100" i="25" a="1"/>
  <c r="M100" i="25" s="1"/>
  <c r="M99" i="25" a="1"/>
  <c r="M99" i="25" s="1"/>
  <c r="M98" i="25" a="1"/>
  <c r="M98" i="25" s="1"/>
  <c r="M97" i="25" a="1"/>
  <c r="M97" i="25" s="1"/>
  <c r="M96" i="25" a="1"/>
  <c r="M96" i="25" s="1"/>
  <c r="M95" i="25" a="1"/>
  <c r="M95" i="25" s="1"/>
  <c r="M94" i="25" a="1"/>
  <c r="M94" i="25" s="1"/>
  <c r="M93" i="25" a="1"/>
  <c r="M93" i="25" s="1"/>
  <c r="M92" i="25" a="1"/>
  <c r="M92" i="25" s="1"/>
  <c r="M91" i="25" a="1"/>
  <c r="M91" i="25" s="1"/>
  <c r="M90" i="25" a="1"/>
  <c r="M90" i="25" s="1"/>
  <c r="M89" i="25" a="1"/>
  <c r="M89" i="25" s="1"/>
  <c r="M88" i="25" a="1"/>
  <c r="M88" i="25" s="1"/>
  <c r="M87" i="25" a="1"/>
  <c r="M87" i="25" s="1"/>
  <c r="M86" i="25" a="1"/>
  <c r="M86" i="25" s="1"/>
  <c r="M85" i="25" a="1"/>
  <c r="M85" i="25" s="1"/>
  <c r="M84" i="25" a="1"/>
  <c r="M84" i="25" s="1"/>
  <c r="M83" i="25" a="1"/>
  <c r="M83" i="25" s="1"/>
  <c r="M82" i="25" a="1"/>
  <c r="M82" i="25" s="1"/>
  <c r="M81" i="25" a="1"/>
  <c r="M81" i="25" s="1"/>
  <c r="M80" i="25" a="1"/>
  <c r="M80" i="25" s="1"/>
  <c r="M79" i="25" a="1"/>
  <c r="M79" i="25" s="1"/>
  <c r="M78" i="25" a="1"/>
  <c r="M78" i="25" s="1"/>
  <c r="M77" i="25" a="1"/>
  <c r="M77" i="25" s="1"/>
  <c r="M76" i="25" a="1"/>
  <c r="M76" i="25" s="1"/>
  <c r="M75" i="25" a="1"/>
  <c r="M75" i="25" s="1"/>
  <c r="M74" i="25" a="1"/>
  <c r="M74" i="25" s="1"/>
  <c r="M73" i="25" a="1"/>
  <c r="M73" i="25" s="1"/>
  <c r="M72" i="25" a="1"/>
  <c r="M72" i="25" s="1"/>
  <c r="M71" i="25" a="1"/>
  <c r="M71" i="25" s="1"/>
  <c r="M70" i="25" a="1"/>
  <c r="M70" i="25" s="1"/>
  <c r="M69" i="25" a="1"/>
  <c r="M69" i="25" s="1"/>
  <c r="M68" i="25" a="1"/>
  <c r="M68" i="25" s="1"/>
  <c r="M67" i="25" a="1"/>
  <c r="M67" i="25" s="1"/>
  <c r="M66" i="25" a="1"/>
  <c r="M66" i="25" s="1"/>
  <c r="M65" i="25" a="1"/>
  <c r="M65" i="25" s="1"/>
  <c r="M64" i="25" a="1"/>
  <c r="M64" i="25" s="1"/>
  <c r="M63" i="25" a="1"/>
  <c r="M63" i="25" s="1"/>
  <c r="M62" i="25" a="1"/>
  <c r="M62" i="25" s="1"/>
  <c r="M61" i="25" a="1"/>
  <c r="M61" i="25" s="1"/>
  <c r="M60" i="25" a="1"/>
  <c r="M60" i="25" s="1"/>
  <c r="M59" i="25" a="1"/>
  <c r="M59" i="25" s="1"/>
  <c r="M58" i="25" a="1"/>
  <c r="M58" i="25" s="1"/>
  <c r="M57" i="25" a="1"/>
  <c r="M57" i="25" s="1"/>
  <c r="M56" i="25" a="1"/>
  <c r="M56" i="25" s="1"/>
  <c r="M55" i="25" a="1"/>
  <c r="M55" i="25" s="1"/>
  <c r="M54" i="25" a="1"/>
  <c r="M54" i="25" s="1"/>
  <c r="M53" i="25" a="1"/>
  <c r="M53" i="25" s="1"/>
  <c r="M52" i="25" a="1"/>
  <c r="M52" i="25" s="1"/>
  <c r="M51" i="25" a="1"/>
  <c r="M51" i="25" s="1"/>
  <c r="M50" i="25" a="1"/>
  <c r="M50" i="25" s="1"/>
  <c r="M49" i="25" a="1"/>
  <c r="M49" i="25" s="1"/>
  <c r="M48" i="25" a="1"/>
  <c r="M48" i="25" s="1"/>
  <c r="M47" i="25" a="1"/>
  <c r="M47" i="25" s="1"/>
  <c r="M46" i="25" a="1"/>
  <c r="M46" i="25" s="1"/>
  <c r="M45" i="25" a="1"/>
  <c r="M45" i="25" s="1"/>
  <c r="M44" i="25" a="1"/>
  <c r="M44" i="25" s="1"/>
  <c r="M43" i="25" a="1"/>
  <c r="M43" i="25" s="1"/>
  <c r="M42" i="25" a="1"/>
  <c r="M42" i="25" s="1"/>
  <c r="M41" i="25" a="1"/>
  <c r="M41" i="25" s="1"/>
  <c r="M40" i="25" a="1"/>
  <c r="M40" i="25" s="1"/>
  <c r="M39" i="25" a="1"/>
  <c r="M39" i="25" s="1"/>
  <c r="M38" i="25" a="1"/>
  <c r="M38" i="25" s="1"/>
  <c r="M37" i="25" a="1"/>
  <c r="M37" i="25" s="1"/>
  <c r="M36" i="25" a="1"/>
  <c r="M36" i="25" s="1"/>
  <c r="M35" i="25" a="1"/>
  <c r="M35" i="25" s="1"/>
  <c r="M34" i="25" a="1"/>
  <c r="M34" i="25" s="1"/>
  <c r="M33" i="25" a="1"/>
  <c r="M33" i="25" s="1"/>
  <c r="M32" i="25" a="1"/>
  <c r="M32" i="25" s="1"/>
  <c r="M31" i="25" a="1"/>
  <c r="M31" i="25" s="1"/>
  <c r="M30" i="25" a="1"/>
  <c r="M30" i="25" s="1"/>
  <c r="M29" i="25" a="1"/>
  <c r="M29" i="25" s="1"/>
  <c r="M28" i="25" a="1"/>
  <c r="M28" i="25" s="1"/>
  <c r="M27" i="25" a="1"/>
  <c r="M27" i="25" s="1"/>
  <c r="M26" i="25" a="1"/>
  <c r="M26" i="25" s="1"/>
  <c r="M25" i="25" a="1"/>
  <c r="M25" i="25" s="1"/>
  <c r="M24" i="25" a="1"/>
  <c r="M24" i="25" s="1"/>
  <c r="M23" i="25" a="1"/>
  <c r="M23" i="25" s="1"/>
  <c r="L223" i="25"/>
  <c r="K223" i="25"/>
  <c r="J223" i="25"/>
  <c r="I223" i="25"/>
  <c r="K222" i="25"/>
  <c r="P222" i="25" s="1"/>
  <c r="I222" i="25"/>
  <c r="L221" i="25"/>
  <c r="K221" i="25"/>
  <c r="J221" i="25"/>
  <c r="H221" i="25" s="1"/>
  <c r="I221" i="25"/>
  <c r="K220" i="25"/>
  <c r="L220" i="25" s="1"/>
  <c r="L219" i="25"/>
  <c r="K219" i="25"/>
  <c r="I219" i="25" s="1"/>
  <c r="H219" i="25" s="1"/>
  <c r="J219" i="25"/>
  <c r="K218" i="25"/>
  <c r="P218" i="25" s="1"/>
  <c r="I218" i="25"/>
  <c r="L217" i="25"/>
  <c r="K217" i="25"/>
  <c r="P217" i="25" s="1"/>
  <c r="J217" i="25"/>
  <c r="S217" i="25" s="1"/>
  <c r="T217" i="25" s="1"/>
  <c r="K216" i="25"/>
  <c r="J216" i="25" s="1"/>
  <c r="S216" i="25" s="1"/>
  <c r="T216" i="25" s="1"/>
  <c r="L215" i="25"/>
  <c r="K215" i="25"/>
  <c r="N215" i="25" s="1"/>
  <c r="J215" i="25"/>
  <c r="K7" i="25"/>
  <c r="Q221" i="25" l="1"/>
  <c r="U216" i="25"/>
  <c r="U217" i="25"/>
  <c r="O221" i="25"/>
  <c r="P221" i="25"/>
  <c r="N221" i="25"/>
  <c r="Q217" i="25"/>
  <c r="H218" i="25"/>
  <c r="O215" i="25"/>
  <c r="Q215" i="25" s="1"/>
  <c r="R215" i="25" s="1"/>
  <c r="S215" i="25"/>
  <c r="T215" i="25" s="1"/>
  <c r="P219" i="25"/>
  <c r="O219" i="25"/>
  <c r="Q219" i="25" s="1"/>
  <c r="N219" i="25"/>
  <c r="S219" i="25"/>
  <c r="T219" i="25" s="1"/>
  <c r="S223" i="25"/>
  <c r="T223" i="25" s="1"/>
  <c r="P223" i="25"/>
  <c r="O223" i="25"/>
  <c r="Q223" i="25" s="1"/>
  <c r="H223" i="25"/>
  <c r="N223" i="25"/>
  <c r="P215" i="25"/>
  <c r="L216" i="25"/>
  <c r="O220" i="25"/>
  <c r="Q220" i="25" s="1"/>
  <c r="R220" i="25" s="1"/>
  <c r="J222" i="25"/>
  <c r="S222" i="25" s="1"/>
  <c r="T222" i="25" s="1"/>
  <c r="O216" i="25"/>
  <c r="I217" i="25"/>
  <c r="H217" i="25" s="1"/>
  <c r="L222" i="25"/>
  <c r="J218" i="25"/>
  <c r="S218" i="25" s="1"/>
  <c r="T218" i="25" s="1"/>
  <c r="O222" i="25"/>
  <c r="N217" i="25"/>
  <c r="L218" i="25"/>
  <c r="O218" i="25"/>
  <c r="P216" i="25"/>
  <c r="N218" i="25"/>
  <c r="I215" i="25"/>
  <c r="H215" i="25" s="1"/>
  <c r="N216" i="25"/>
  <c r="N222" i="25"/>
  <c r="I220" i="25"/>
  <c r="P220" i="25"/>
  <c r="S221" i="25"/>
  <c r="T221" i="25" s="1"/>
  <c r="J220" i="25"/>
  <c r="S220" i="25" s="1"/>
  <c r="T220" i="25" s="1"/>
  <c r="I216" i="25"/>
  <c r="H216" i="25" s="1"/>
  <c r="R610" i="5"/>
  <c r="R611" i="5"/>
  <c r="R612" i="5"/>
  <c r="R613" i="5"/>
  <c r="R614" i="5"/>
  <c r="R615" i="5"/>
  <c r="C39" i="8"/>
  <c r="G39" i="8"/>
  <c r="H39" i="8"/>
  <c r="J39" i="8"/>
  <c r="K39" i="8"/>
  <c r="M39" i="8"/>
  <c r="O39" i="8" s="1"/>
  <c r="N39" i="8"/>
  <c r="C38" i="8"/>
  <c r="G38" i="8"/>
  <c r="H38" i="8"/>
  <c r="J38" i="8"/>
  <c r="K38" i="8"/>
  <c r="M38" i="8"/>
  <c r="N38" i="8"/>
  <c r="O38" i="8"/>
  <c r="B508" i="15"/>
  <c r="U223" i="25" l="1"/>
  <c r="R221" i="25"/>
  <c r="V221" i="25" s="1"/>
  <c r="X221" i="25" s="1"/>
  <c r="R217" i="25"/>
  <c r="V217" i="25" s="1"/>
  <c r="X217" i="25" s="1"/>
  <c r="R219" i="25"/>
  <c r="U219" i="25"/>
  <c r="W219" i="25" s="1"/>
  <c r="Y219" i="25" s="1"/>
  <c r="V219" i="25"/>
  <c r="X219" i="25" s="1"/>
  <c r="V215" i="25"/>
  <c r="X215" i="25" s="1"/>
  <c r="AA215" i="25" s="1"/>
  <c r="U215" i="25"/>
  <c r="W215" i="25" s="1"/>
  <c r="Y215" i="25" s="1"/>
  <c r="W217" i="25"/>
  <c r="Y217" i="25" s="1"/>
  <c r="U218" i="25"/>
  <c r="Q222" i="25"/>
  <c r="R222" i="25" s="1"/>
  <c r="V222" i="25" s="1"/>
  <c r="X222" i="25" s="1"/>
  <c r="W216" i="25"/>
  <c r="Y216" i="25" s="1"/>
  <c r="U222" i="25"/>
  <c r="U221" i="25"/>
  <c r="H222" i="25"/>
  <c r="Q218" i="25"/>
  <c r="R218" i="25" s="1"/>
  <c r="V218" i="25" s="1"/>
  <c r="X218" i="25" s="1"/>
  <c r="AA218" i="25" s="1"/>
  <c r="V220" i="25"/>
  <c r="X220" i="25" s="1"/>
  <c r="U220" i="25"/>
  <c r="W220" i="25" s="1"/>
  <c r="Y220" i="25" s="1"/>
  <c r="H220" i="25"/>
  <c r="Q216" i="25"/>
  <c r="R216" i="25"/>
  <c r="V216" i="25" s="1"/>
  <c r="X216" i="25" s="1"/>
  <c r="R223" i="25"/>
  <c r="V223" i="25" s="1"/>
  <c r="X223" i="25" s="1"/>
  <c r="N37" i="8"/>
  <c r="M37" i="8"/>
  <c r="O37" i="8" s="1"/>
  <c r="H37" i="8"/>
  <c r="G37" i="8"/>
  <c r="C37" i="8"/>
  <c r="O1584" i="15"/>
  <c r="N1584" i="15"/>
  <c r="R1584" i="15" s="1"/>
  <c r="L1584" i="15"/>
  <c r="K1584" i="15"/>
  <c r="O1583" i="15"/>
  <c r="N1583" i="15"/>
  <c r="R1583" i="15" s="1"/>
  <c r="L1583" i="15"/>
  <c r="K1583" i="15"/>
  <c r="M1583" i="15" s="1"/>
  <c r="Q1583" i="15" s="1"/>
  <c r="O1582" i="15"/>
  <c r="N1582" i="15"/>
  <c r="R1582" i="15" s="1"/>
  <c r="L1582" i="15"/>
  <c r="K1582" i="15"/>
  <c r="O1581" i="15"/>
  <c r="N1581" i="15"/>
  <c r="R1581" i="15" s="1"/>
  <c r="L1581" i="15"/>
  <c r="K1581" i="15"/>
  <c r="M1581" i="15" s="1"/>
  <c r="Q1581" i="15" s="1"/>
  <c r="O1580" i="15"/>
  <c r="N1580" i="15"/>
  <c r="R1580" i="15" s="1"/>
  <c r="L1580" i="15"/>
  <c r="K1580" i="15"/>
  <c r="O1579" i="15"/>
  <c r="N1579" i="15"/>
  <c r="R1579" i="15" s="1"/>
  <c r="L1579" i="15"/>
  <c r="K1579" i="15"/>
  <c r="M1579" i="15" s="1"/>
  <c r="Q1579" i="15" s="1"/>
  <c r="O1578" i="15"/>
  <c r="N1578" i="15"/>
  <c r="R1578" i="15" s="1"/>
  <c r="L1578" i="15"/>
  <c r="K1578" i="15"/>
  <c r="O1577" i="15"/>
  <c r="N1577" i="15"/>
  <c r="R1577" i="15" s="1"/>
  <c r="L1577" i="15"/>
  <c r="K1577" i="15"/>
  <c r="M1577" i="15" s="1"/>
  <c r="Q1577" i="15" s="1"/>
  <c r="O1576" i="15"/>
  <c r="N1576" i="15"/>
  <c r="R1576" i="15" s="1"/>
  <c r="L1576" i="15"/>
  <c r="K1576" i="15"/>
  <c r="O1575" i="15"/>
  <c r="N1575" i="15"/>
  <c r="R1575" i="15" s="1"/>
  <c r="L1575" i="15"/>
  <c r="K1575" i="15"/>
  <c r="M1575" i="15" s="1"/>
  <c r="Q1575" i="15" s="1"/>
  <c r="O1574" i="15"/>
  <c r="N1574" i="15"/>
  <c r="R1574" i="15" s="1"/>
  <c r="L1574" i="15"/>
  <c r="K1574" i="15"/>
  <c r="O1573" i="15"/>
  <c r="N1573" i="15"/>
  <c r="R1573" i="15" s="1"/>
  <c r="L1573" i="15"/>
  <c r="K1573" i="15"/>
  <c r="M1573" i="15" s="1"/>
  <c r="Q1573" i="15" s="1"/>
  <c r="O1572" i="15"/>
  <c r="N1572" i="15"/>
  <c r="R1572" i="15" s="1"/>
  <c r="L1572" i="15"/>
  <c r="K1572" i="15"/>
  <c r="O1571" i="15"/>
  <c r="N1571" i="15"/>
  <c r="R1571" i="15" s="1"/>
  <c r="L1571" i="15"/>
  <c r="K1571" i="15"/>
  <c r="M1571" i="15" s="1"/>
  <c r="Q1571" i="15" s="1"/>
  <c r="O1570" i="15"/>
  <c r="N1570" i="15"/>
  <c r="R1570" i="15" s="1"/>
  <c r="L1570" i="15"/>
  <c r="K1570" i="15"/>
  <c r="O1569" i="15"/>
  <c r="N1569" i="15"/>
  <c r="R1569" i="15" s="1"/>
  <c r="L1569" i="15"/>
  <c r="K1569" i="15"/>
  <c r="M1569" i="15" s="1"/>
  <c r="Q1569" i="15" s="1"/>
  <c r="O1568" i="15"/>
  <c r="N1568" i="15"/>
  <c r="R1568" i="15" s="1"/>
  <c r="L1568" i="15"/>
  <c r="K1568" i="15"/>
  <c r="O1567" i="15"/>
  <c r="N1567" i="15"/>
  <c r="R1567" i="15" s="1"/>
  <c r="L1567" i="15"/>
  <c r="K1567" i="15"/>
  <c r="O1566" i="15"/>
  <c r="N1566" i="15"/>
  <c r="R1566" i="15" s="1"/>
  <c r="L1566" i="15"/>
  <c r="K1566" i="15"/>
  <c r="O1565" i="15"/>
  <c r="N1565" i="15"/>
  <c r="R1565" i="15" s="1"/>
  <c r="L1565" i="15"/>
  <c r="K1565" i="15"/>
  <c r="M1565" i="15" s="1"/>
  <c r="Q1565" i="15" s="1"/>
  <c r="O1564" i="15"/>
  <c r="N1564" i="15"/>
  <c r="L1564" i="15"/>
  <c r="K1564" i="15"/>
  <c r="O1563" i="15"/>
  <c r="N1563" i="15"/>
  <c r="R1563" i="15" s="1"/>
  <c r="L1563" i="15"/>
  <c r="K1563" i="15"/>
  <c r="M1563" i="15" s="1"/>
  <c r="Q1563" i="15" s="1"/>
  <c r="O1562" i="15"/>
  <c r="N1562" i="15"/>
  <c r="R1562" i="15" s="1"/>
  <c r="L1562" i="15"/>
  <c r="K1562" i="15"/>
  <c r="O1561" i="15"/>
  <c r="N1561" i="15"/>
  <c r="R1561" i="15" s="1"/>
  <c r="L1561" i="15"/>
  <c r="K1561" i="15"/>
  <c r="M1561" i="15" s="1"/>
  <c r="Q1561" i="15" s="1"/>
  <c r="O1560" i="15"/>
  <c r="N1560" i="15"/>
  <c r="R1560" i="15" s="1"/>
  <c r="L1560" i="15"/>
  <c r="K1560" i="15"/>
  <c r="O1559" i="15"/>
  <c r="N1559" i="15"/>
  <c r="R1559" i="15" s="1"/>
  <c r="L1559" i="15"/>
  <c r="K1559" i="15"/>
  <c r="M1559" i="15" s="1"/>
  <c r="Q1559" i="15" s="1"/>
  <c r="O1558" i="15"/>
  <c r="N1558" i="15"/>
  <c r="R1558" i="15" s="1"/>
  <c r="L1558" i="15"/>
  <c r="K1558" i="15"/>
  <c r="O1557" i="15"/>
  <c r="N1557" i="15"/>
  <c r="R1557" i="15" s="1"/>
  <c r="L1557" i="15"/>
  <c r="K1557" i="15"/>
  <c r="M1557" i="15" s="1"/>
  <c r="Q1557" i="15" s="1"/>
  <c r="O1556" i="15"/>
  <c r="N1556" i="15"/>
  <c r="R1556" i="15" s="1"/>
  <c r="L1556" i="15"/>
  <c r="K1556" i="15"/>
  <c r="O1555" i="15"/>
  <c r="N1555" i="15"/>
  <c r="R1555" i="15" s="1"/>
  <c r="L1555" i="15"/>
  <c r="K1555" i="15"/>
  <c r="M1555" i="15" s="1"/>
  <c r="Q1555" i="15" s="1"/>
  <c r="O1554" i="15"/>
  <c r="N1554" i="15"/>
  <c r="R1554" i="15" s="1"/>
  <c r="L1554" i="15"/>
  <c r="K1554" i="15"/>
  <c r="O1553" i="15"/>
  <c r="N1553" i="15"/>
  <c r="R1553" i="15" s="1"/>
  <c r="L1553" i="15"/>
  <c r="K1553" i="15"/>
  <c r="M1553" i="15" s="1"/>
  <c r="Q1553" i="15" s="1"/>
  <c r="O1552" i="15"/>
  <c r="N1552" i="15"/>
  <c r="R1552" i="15" s="1"/>
  <c r="L1552" i="15"/>
  <c r="K1552" i="15"/>
  <c r="O1551" i="15"/>
  <c r="N1551" i="15"/>
  <c r="R1551" i="15" s="1"/>
  <c r="L1551" i="15"/>
  <c r="K1551" i="15"/>
  <c r="M1551" i="15" s="1"/>
  <c r="Q1551" i="15" s="1"/>
  <c r="O1550" i="15"/>
  <c r="N1550" i="15"/>
  <c r="R1550" i="15" s="1"/>
  <c r="L1550" i="15"/>
  <c r="K1550" i="15"/>
  <c r="O1549" i="15"/>
  <c r="N1549" i="15"/>
  <c r="R1549" i="15" s="1"/>
  <c r="L1549" i="15"/>
  <c r="K1549" i="15"/>
  <c r="M1549" i="15" s="1"/>
  <c r="Q1549" i="15" s="1"/>
  <c r="O1548" i="15"/>
  <c r="N1548" i="15"/>
  <c r="R1548" i="15" s="1"/>
  <c r="L1548" i="15"/>
  <c r="K1548" i="15"/>
  <c r="O1547" i="15"/>
  <c r="N1547" i="15"/>
  <c r="R1547" i="15" s="1"/>
  <c r="L1547" i="15"/>
  <c r="K1547" i="15"/>
  <c r="M1547" i="15" s="1"/>
  <c r="Q1547" i="15" s="1"/>
  <c r="O1546" i="15"/>
  <c r="N1546" i="15"/>
  <c r="R1546" i="15" s="1"/>
  <c r="L1546" i="15"/>
  <c r="K1546" i="15"/>
  <c r="O1545" i="15"/>
  <c r="N1545" i="15"/>
  <c r="R1545" i="15" s="1"/>
  <c r="L1545" i="15"/>
  <c r="K1545" i="15"/>
  <c r="M1545" i="15" s="1"/>
  <c r="Q1545" i="15" s="1"/>
  <c r="O1544" i="15"/>
  <c r="N1544" i="15"/>
  <c r="R1544" i="15" s="1"/>
  <c r="L1544" i="15"/>
  <c r="K1544" i="15"/>
  <c r="O1543" i="15"/>
  <c r="N1543" i="15"/>
  <c r="R1543" i="15" s="1"/>
  <c r="L1543" i="15"/>
  <c r="K1543" i="15"/>
  <c r="M1543" i="15" s="1"/>
  <c r="Q1543" i="15" s="1"/>
  <c r="O1542" i="15"/>
  <c r="N1542" i="15"/>
  <c r="R1542" i="15" s="1"/>
  <c r="L1542" i="15"/>
  <c r="K1542" i="15"/>
  <c r="O1541" i="15"/>
  <c r="N1541" i="15"/>
  <c r="R1541" i="15" s="1"/>
  <c r="L1541" i="15"/>
  <c r="K1541" i="15"/>
  <c r="M1541" i="15" s="1"/>
  <c r="Q1541" i="15" s="1"/>
  <c r="O1540" i="15"/>
  <c r="N1540" i="15"/>
  <c r="R1540" i="15" s="1"/>
  <c r="L1540" i="15"/>
  <c r="K1540" i="15"/>
  <c r="O1539" i="15"/>
  <c r="N1539" i="15"/>
  <c r="R1539" i="15" s="1"/>
  <c r="L1539" i="15"/>
  <c r="K1539" i="15"/>
  <c r="M1539" i="15" s="1"/>
  <c r="Q1539" i="15" s="1"/>
  <c r="O1538" i="15"/>
  <c r="N1538" i="15"/>
  <c r="R1538" i="15" s="1"/>
  <c r="L1538" i="15"/>
  <c r="K1538" i="15"/>
  <c r="O1537" i="15"/>
  <c r="N1537" i="15"/>
  <c r="R1537" i="15" s="1"/>
  <c r="L1537" i="15"/>
  <c r="K1537" i="15"/>
  <c r="M1537" i="15" s="1"/>
  <c r="Q1537" i="15" s="1"/>
  <c r="O1536" i="15"/>
  <c r="N1536" i="15"/>
  <c r="R1536" i="15" s="1"/>
  <c r="L1536" i="15"/>
  <c r="K1536" i="15"/>
  <c r="O1535" i="15"/>
  <c r="N1535" i="15"/>
  <c r="R1535" i="15" s="1"/>
  <c r="L1535" i="15"/>
  <c r="K1535" i="15"/>
  <c r="M1535" i="15" s="1"/>
  <c r="Q1535" i="15" s="1"/>
  <c r="O1534" i="15"/>
  <c r="N1534" i="15"/>
  <c r="R1534" i="15" s="1"/>
  <c r="L1534" i="15"/>
  <c r="K1534" i="15"/>
  <c r="O1533" i="15"/>
  <c r="N1533" i="15"/>
  <c r="R1533" i="15" s="1"/>
  <c r="L1533" i="15"/>
  <c r="K1533" i="15"/>
  <c r="M1533" i="15" s="1"/>
  <c r="Q1533" i="15" s="1"/>
  <c r="O1532" i="15"/>
  <c r="N1532" i="15"/>
  <c r="R1532" i="15" s="1"/>
  <c r="L1532" i="15"/>
  <c r="K1532" i="15"/>
  <c r="O1531" i="15"/>
  <c r="N1531" i="15"/>
  <c r="R1531" i="15" s="1"/>
  <c r="L1531" i="15"/>
  <c r="K1531" i="15"/>
  <c r="M1531" i="15" s="1"/>
  <c r="Q1531" i="15" s="1"/>
  <c r="O1530" i="15"/>
  <c r="N1530" i="15"/>
  <c r="R1530" i="15" s="1"/>
  <c r="L1530" i="15"/>
  <c r="K1530" i="15"/>
  <c r="O1529" i="15"/>
  <c r="N1529" i="15"/>
  <c r="R1529" i="15" s="1"/>
  <c r="L1529" i="15"/>
  <c r="K1529" i="15"/>
  <c r="M1529" i="15" s="1"/>
  <c r="Q1529" i="15" s="1"/>
  <c r="O1528" i="15"/>
  <c r="N1528" i="15"/>
  <c r="R1528" i="15" s="1"/>
  <c r="L1528" i="15"/>
  <c r="K1528" i="15"/>
  <c r="O1527" i="15"/>
  <c r="N1527" i="15"/>
  <c r="R1527" i="15" s="1"/>
  <c r="L1527" i="15"/>
  <c r="K1527" i="15"/>
  <c r="M1527" i="15" s="1"/>
  <c r="Q1527" i="15" s="1"/>
  <c r="O1526" i="15"/>
  <c r="N1526" i="15"/>
  <c r="R1526" i="15" s="1"/>
  <c r="L1526" i="15"/>
  <c r="K1526" i="15"/>
  <c r="O1525" i="15"/>
  <c r="N1525" i="15"/>
  <c r="R1525" i="15" s="1"/>
  <c r="L1525" i="15"/>
  <c r="K1525" i="15"/>
  <c r="M1525" i="15" s="1"/>
  <c r="Q1525" i="15" s="1"/>
  <c r="O1524" i="15"/>
  <c r="N1524" i="15"/>
  <c r="R1524" i="15" s="1"/>
  <c r="L1524" i="15"/>
  <c r="K1524" i="15"/>
  <c r="O1523" i="15"/>
  <c r="N1523" i="15"/>
  <c r="R1523" i="15" s="1"/>
  <c r="L1523" i="15"/>
  <c r="K1523" i="15"/>
  <c r="M1523" i="15" s="1"/>
  <c r="Q1523" i="15" s="1"/>
  <c r="O1522" i="15"/>
  <c r="N1522" i="15"/>
  <c r="R1522" i="15" s="1"/>
  <c r="L1522" i="15"/>
  <c r="K1522" i="15"/>
  <c r="O1521" i="15"/>
  <c r="N1521" i="15"/>
  <c r="R1521" i="15" s="1"/>
  <c r="L1521" i="15"/>
  <c r="K1521" i="15"/>
  <c r="M1521" i="15" s="1"/>
  <c r="Q1521" i="15" s="1"/>
  <c r="O1520" i="15"/>
  <c r="N1520" i="15"/>
  <c r="R1520" i="15" s="1"/>
  <c r="L1520" i="15"/>
  <c r="K1520" i="15"/>
  <c r="O1519" i="15"/>
  <c r="N1519" i="15"/>
  <c r="R1519" i="15" s="1"/>
  <c r="L1519" i="15"/>
  <c r="K1519" i="15"/>
  <c r="M1519" i="15" s="1"/>
  <c r="Q1519" i="15" s="1"/>
  <c r="O1518" i="15"/>
  <c r="N1518" i="15"/>
  <c r="R1518" i="15" s="1"/>
  <c r="L1518" i="15"/>
  <c r="K1518" i="15"/>
  <c r="O1517" i="15"/>
  <c r="N1517" i="15"/>
  <c r="R1517" i="15" s="1"/>
  <c r="L1517" i="15"/>
  <c r="K1517" i="15"/>
  <c r="M1517" i="15" s="1"/>
  <c r="Q1517" i="15" s="1"/>
  <c r="O1516" i="15"/>
  <c r="N1516" i="15"/>
  <c r="R1516" i="15" s="1"/>
  <c r="L1516" i="15"/>
  <c r="K1516" i="15"/>
  <c r="O1515" i="15"/>
  <c r="N1515" i="15"/>
  <c r="R1515" i="15" s="1"/>
  <c r="L1515" i="15"/>
  <c r="K1515" i="15"/>
  <c r="M1515" i="15" s="1"/>
  <c r="Q1515" i="15" s="1"/>
  <c r="O1514" i="15"/>
  <c r="N1514" i="15"/>
  <c r="R1514" i="15" s="1"/>
  <c r="L1514" i="15"/>
  <c r="K1514" i="15"/>
  <c r="O1513" i="15"/>
  <c r="N1513" i="15"/>
  <c r="R1513" i="15" s="1"/>
  <c r="L1513" i="15"/>
  <c r="K1513" i="15"/>
  <c r="M1513" i="15" s="1"/>
  <c r="Q1513" i="15" s="1"/>
  <c r="O1512" i="15"/>
  <c r="N1512" i="15"/>
  <c r="R1512" i="15" s="1"/>
  <c r="L1512" i="15"/>
  <c r="K1512" i="15"/>
  <c r="O1511" i="15"/>
  <c r="N1511" i="15"/>
  <c r="R1511" i="15" s="1"/>
  <c r="L1511" i="15"/>
  <c r="K1511" i="15"/>
  <c r="M1511" i="15" s="1"/>
  <c r="Q1511" i="15" s="1"/>
  <c r="O1510" i="15"/>
  <c r="N1510" i="15"/>
  <c r="R1510" i="15" s="1"/>
  <c r="L1510" i="15"/>
  <c r="K1510" i="15"/>
  <c r="O1509" i="15"/>
  <c r="N1509" i="15"/>
  <c r="R1509" i="15" s="1"/>
  <c r="L1509" i="15"/>
  <c r="K1509" i="15"/>
  <c r="M1509" i="15" s="1"/>
  <c r="Q1509" i="15" s="1"/>
  <c r="O1508" i="15"/>
  <c r="N1508" i="15"/>
  <c r="R1508" i="15" s="1"/>
  <c r="L1508" i="15"/>
  <c r="K1508" i="15"/>
  <c r="O1507" i="15"/>
  <c r="N1507" i="15"/>
  <c r="R1507" i="15" s="1"/>
  <c r="L1507" i="15"/>
  <c r="K1507" i="15"/>
  <c r="M1507" i="15" s="1"/>
  <c r="Q1507" i="15" s="1"/>
  <c r="O1506" i="15"/>
  <c r="N1506" i="15"/>
  <c r="R1506" i="15" s="1"/>
  <c r="L1506" i="15"/>
  <c r="K1506" i="15"/>
  <c r="O1505" i="15"/>
  <c r="N1505" i="15"/>
  <c r="R1505" i="15" s="1"/>
  <c r="L1505" i="15"/>
  <c r="K1505" i="15"/>
  <c r="M1505" i="15" s="1"/>
  <c r="Q1505" i="15" s="1"/>
  <c r="O1504" i="15"/>
  <c r="N1504" i="15"/>
  <c r="R1504" i="15" s="1"/>
  <c r="L1504" i="15"/>
  <c r="K1504" i="15"/>
  <c r="O1503" i="15"/>
  <c r="N1503" i="15"/>
  <c r="R1503" i="15" s="1"/>
  <c r="L1503" i="15"/>
  <c r="K1503" i="15"/>
  <c r="M1503" i="15" s="1"/>
  <c r="Q1503" i="15" s="1"/>
  <c r="O1502" i="15"/>
  <c r="N1502" i="15"/>
  <c r="R1502" i="15" s="1"/>
  <c r="L1502" i="15"/>
  <c r="K1502" i="15"/>
  <c r="O1501" i="15"/>
  <c r="N1501" i="15"/>
  <c r="R1501" i="15" s="1"/>
  <c r="L1501" i="15"/>
  <c r="K1501" i="15"/>
  <c r="M1501" i="15" s="1"/>
  <c r="Q1501" i="15" s="1"/>
  <c r="B1584" i="15"/>
  <c r="B1583" i="15"/>
  <c r="B1582" i="15"/>
  <c r="B1581" i="15"/>
  <c r="B1580" i="15"/>
  <c r="B1579" i="15"/>
  <c r="B1578" i="15"/>
  <c r="B1577" i="15"/>
  <c r="B1576" i="15"/>
  <c r="B1575" i="15"/>
  <c r="B1574" i="15"/>
  <c r="B1573" i="15"/>
  <c r="B1572" i="15"/>
  <c r="B1571" i="15"/>
  <c r="B1570" i="15"/>
  <c r="B1569" i="15"/>
  <c r="B1568" i="15"/>
  <c r="B1567" i="15"/>
  <c r="B1566" i="15"/>
  <c r="B1565" i="15"/>
  <c r="B1564" i="15"/>
  <c r="B1563" i="15"/>
  <c r="B1562" i="15"/>
  <c r="B1561" i="15"/>
  <c r="B1560" i="15"/>
  <c r="B1559" i="15"/>
  <c r="B1558" i="15"/>
  <c r="B1557" i="15"/>
  <c r="B1556" i="15"/>
  <c r="B1555" i="15"/>
  <c r="B1554" i="15"/>
  <c r="B1553" i="15"/>
  <c r="B1552" i="15"/>
  <c r="B1551" i="15"/>
  <c r="B1550" i="15"/>
  <c r="B1549" i="15"/>
  <c r="B1548" i="15"/>
  <c r="B1547" i="15"/>
  <c r="B1546" i="15"/>
  <c r="B1545" i="15"/>
  <c r="B1544" i="15"/>
  <c r="B1543" i="15"/>
  <c r="B1542" i="15"/>
  <c r="B1541" i="15"/>
  <c r="B1540" i="15"/>
  <c r="B1539" i="15"/>
  <c r="B1538" i="15"/>
  <c r="B1537" i="15"/>
  <c r="B1536" i="15"/>
  <c r="B1535" i="15"/>
  <c r="B1534" i="15"/>
  <c r="B1533" i="15"/>
  <c r="B1532" i="15"/>
  <c r="B1531" i="15"/>
  <c r="B1530" i="15"/>
  <c r="B1529" i="15"/>
  <c r="B1528" i="15"/>
  <c r="B1527" i="15"/>
  <c r="B1526" i="15"/>
  <c r="B1525" i="15"/>
  <c r="B1524" i="15"/>
  <c r="B1523" i="15"/>
  <c r="B1522" i="15"/>
  <c r="B1521" i="15"/>
  <c r="B1520" i="15"/>
  <c r="B1519" i="15"/>
  <c r="B1518" i="15"/>
  <c r="B1517" i="15"/>
  <c r="B1516" i="15"/>
  <c r="B1515" i="15"/>
  <c r="B1514" i="15"/>
  <c r="B1513" i="15"/>
  <c r="B1512" i="15"/>
  <c r="B1511" i="15"/>
  <c r="B1510" i="15"/>
  <c r="B1509" i="15"/>
  <c r="B1508" i="15"/>
  <c r="B1507" i="15"/>
  <c r="B1506" i="15"/>
  <c r="B1505" i="15"/>
  <c r="B1504" i="15"/>
  <c r="B1503" i="15"/>
  <c r="B1502" i="15"/>
  <c r="B1501" i="15"/>
  <c r="M8" i="25"/>
  <c r="M9" i="25"/>
  <c r="K9" i="25"/>
  <c r="K8" i="25"/>
  <c r="J8" i="25" s="1"/>
  <c r="J7" i="25"/>
  <c r="K214" i="25"/>
  <c r="J214" i="25" s="1"/>
  <c r="K213" i="25"/>
  <c r="J213" i="25" s="1"/>
  <c r="K212" i="25"/>
  <c r="J212" i="25" s="1"/>
  <c r="K211" i="25"/>
  <c r="K210" i="25"/>
  <c r="K209" i="25"/>
  <c r="K208" i="25"/>
  <c r="J208" i="25" s="1"/>
  <c r="K207" i="25"/>
  <c r="J207" i="25" s="1"/>
  <c r="K206" i="25"/>
  <c r="J206" i="25" s="1"/>
  <c r="K205" i="25"/>
  <c r="K204" i="25"/>
  <c r="J204" i="25" s="1"/>
  <c r="K203" i="25"/>
  <c r="J203" i="25" s="1"/>
  <c r="K202" i="25"/>
  <c r="J202" i="25" s="1"/>
  <c r="K201" i="25"/>
  <c r="K200" i="25"/>
  <c r="J200" i="25" s="1"/>
  <c r="K199" i="25"/>
  <c r="K198" i="25"/>
  <c r="J198" i="25" s="1"/>
  <c r="K197" i="25"/>
  <c r="J197" i="25"/>
  <c r="K196" i="25"/>
  <c r="J196" i="25" s="1"/>
  <c r="K195" i="25"/>
  <c r="J195" i="25" s="1"/>
  <c r="K194" i="25"/>
  <c r="J194" i="25" s="1"/>
  <c r="K193" i="25"/>
  <c r="J193" i="25" s="1"/>
  <c r="K192" i="25"/>
  <c r="K191" i="25"/>
  <c r="J191" i="25" s="1"/>
  <c r="K190" i="25"/>
  <c r="J190" i="25"/>
  <c r="K189" i="25"/>
  <c r="J189" i="25" s="1"/>
  <c r="K188" i="25"/>
  <c r="J188" i="25" s="1"/>
  <c r="K187" i="25"/>
  <c r="J187" i="25"/>
  <c r="K186" i="25"/>
  <c r="J186" i="25" s="1"/>
  <c r="K185" i="25"/>
  <c r="K184" i="25"/>
  <c r="J184" i="25" s="1"/>
  <c r="K183" i="25"/>
  <c r="J183" i="25"/>
  <c r="K182" i="25"/>
  <c r="J182" i="25" s="1"/>
  <c r="K181" i="25"/>
  <c r="J181" i="25" s="1"/>
  <c r="K180" i="25"/>
  <c r="J180" i="25" s="1"/>
  <c r="K179" i="25"/>
  <c r="K178" i="25"/>
  <c r="J178" i="25" s="1"/>
  <c r="K177" i="25"/>
  <c r="K176" i="25"/>
  <c r="K175" i="25"/>
  <c r="J175" i="25" s="1"/>
  <c r="K174" i="25"/>
  <c r="J174" i="25" s="1"/>
  <c r="K173" i="25"/>
  <c r="K172" i="25"/>
  <c r="J172" i="25" s="1"/>
  <c r="K171" i="25"/>
  <c r="J171" i="25"/>
  <c r="K170" i="25"/>
  <c r="J170" i="25" s="1"/>
  <c r="K169" i="25"/>
  <c r="K168" i="25"/>
  <c r="J168" i="25" s="1"/>
  <c r="K167" i="25"/>
  <c r="J167" i="25" s="1"/>
  <c r="K166" i="25"/>
  <c r="J166" i="25"/>
  <c r="K165" i="25"/>
  <c r="K164" i="25"/>
  <c r="K163" i="25"/>
  <c r="K162" i="25"/>
  <c r="J162" i="25"/>
  <c r="K161" i="25"/>
  <c r="J161" i="25"/>
  <c r="K160" i="25"/>
  <c r="J160" i="25" s="1"/>
  <c r="K159" i="25"/>
  <c r="K158" i="25"/>
  <c r="K157" i="25"/>
  <c r="J157" i="25" s="1"/>
  <c r="K156" i="25"/>
  <c r="J156" i="25" s="1"/>
  <c r="K155" i="25"/>
  <c r="K154" i="25"/>
  <c r="J154" i="25" s="1"/>
  <c r="K153" i="25"/>
  <c r="J153" i="25" s="1"/>
  <c r="K152" i="25"/>
  <c r="K151" i="25"/>
  <c r="K150" i="25"/>
  <c r="J150" i="25" s="1"/>
  <c r="K149" i="25"/>
  <c r="J149" i="25" s="1"/>
  <c r="K148" i="25"/>
  <c r="J148" i="25" s="1"/>
  <c r="K147" i="25"/>
  <c r="J147" i="25" s="1"/>
  <c r="K146" i="25"/>
  <c r="K145" i="25"/>
  <c r="K144" i="25"/>
  <c r="J144" i="25" s="1"/>
  <c r="K143" i="25"/>
  <c r="J143" i="25" s="1"/>
  <c r="K142" i="25"/>
  <c r="J142" i="25" s="1"/>
  <c r="K141" i="25"/>
  <c r="J141" i="25" s="1"/>
  <c r="K140" i="25"/>
  <c r="J140" i="25" s="1"/>
  <c r="K139" i="25"/>
  <c r="K138" i="25"/>
  <c r="J138" i="25"/>
  <c r="K137" i="25"/>
  <c r="J137" i="25" s="1"/>
  <c r="K136" i="25"/>
  <c r="J136" i="25" s="1"/>
  <c r="K135" i="25"/>
  <c r="J135" i="25" s="1"/>
  <c r="K134" i="25"/>
  <c r="K133" i="25"/>
  <c r="J133" i="25"/>
  <c r="K132" i="25"/>
  <c r="K131" i="25"/>
  <c r="J131" i="25"/>
  <c r="K130" i="25"/>
  <c r="J130" i="25" s="1"/>
  <c r="K129" i="25"/>
  <c r="K128" i="25"/>
  <c r="K127" i="25"/>
  <c r="J127" i="25" s="1"/>
  <c r="K126" i="25"/>
  <c r="K125" i="25"/>
  <c r="J125" i="25"/>
  <c r="K124" i="25"/>
  <c r="J124" i="25" s="1"/>
  <c r="K123" i="25"/>
  <c r="J123" i="25" s="1"/>
  <c r="K122" i="25"/>
  <c r="J122" i="25" s="1"/>
  <c r="K121" i="25"/>
  <c r="J121" i="25" s="1"/>
  <c r="K120" i="25"/>
  <c r="J120" i="25" s="1"/>
  <c r="K119" i="25"/>
  <c r="K118" i="25"/>
  <c r="K117" i="25"/>
  <c r="K116" i="25"/>
  <c r="K115" i="25"/>
  <c r="J115" i="25"/>
  <c r="K114" i="25"/>
  <c r="J114" i="25" s="1"/>
  <c r="K113" i="25"/>
  <c r="J113" i="25" s="1"/>
  <c r="K112" i="25"/>
  <c r="K111" i="25"/>
  <c r="K110" i="25"/>
  <c r="J110" i="25" s="1"/>
  <c r="K109" i="25"/>
  <c r="J109" i="25"/>
  <c r="K108" i="25"/>
  <c r="K107" i="25"/>
  <c r="K106" i="25"/>
  <c r="J106" i="25" s="1"/>
  <c r="K105" i="25"/>
  <c r="K104" i="25"/>
  <c r="J104" i="25" s="1"/>
  <c r="K103" i="25"/>
  <c r="K102" i="25"/>
  <c r="J102" i="25" s="1"/>
  <c r="K101" i="25"/>
  <c r="J101" i="25" s="1"/>
  <c r="K100" i="25"/>
  <c r="K99" i="25"/>
  <c r="J99" i="25" s="1"/>
  <c r="K98" i="25"/>
  <c r="J98" i="25" s="1"/>
  <c r="K97" i="25"/>
  <c r="J97" i="25"/>
  <c r="K96" i="25"/>
  <c r="J96" i="25" s="1"/>
  <c r="K95" i="25"/>
  <c r="J95" i="25"/>
  <c r="K94" i="25"/>
  <c r="K93" i="25"/>
  <c r="J93" i="25" s="1"/>
  <c r="K92" i="25"/>
  <c r="K91" i="25"/>
  <c r="J91" i="25" s="1"/>
  <c r="K90" i="25"/>
  <c r="K89" i="25"/>
  <c r="J89" i="25"/>
  <c r="K88" i="25"/>
  <c r="J88" i="25"/>
  <c r="K87" i="25"/>
  <c r="J87" i="25" s="1"/>
  <c r="K86" i="25"/>
  <c r="J86" i="25" s="1"/>
  <c r="K85" i="25"/>
  <c r="J85" i="25"/>
  <c r="K84" i="25"/>
  <c r="J84" i="25"/>
  <c r="K83" i="25"/>
  <c r="J83" i="25" s="1"/>
  <c r="K82" i="25"/>
  <c r="K81" i="25"/>
  <c r="K80" i="25"/>
  <c r="K79" i="25"/>
  <c r="J79" i="25"/>
  <c r="K78" i="25"/>
  <c r="J78" i="25"/>
  <c r="K77" i="25"/>
  <c r="K76" i="25"/>
  <c r="K75" i="25"/>
  <c r="J75" i="25" s="1"/>
  <c r="K74" i="25"/>
  <c r="K73" i="25"/>
  <c r="J73" i="25" s="1"/>
  <c r="K72" i="25"/>
  <c r="K71" i="25"/>
  <c r="K70" i="25"/>
  <c r="K69" i="25"/>
  <c r="K68" i="25"/>
  <c r="J68" i="25" s="1"/>
  <c r="K67" i="25"/>
  <c r="J67" i="25" s="1"/>
  <c r="K66" i="25"/>
  <c r="K65" i="25"/>
  <c r="J65" i="25"/>
  <c r="K64" i="25"/>
  <c r="J64" i="25" s="1"/>
  <c r="K63" i="25"/>
  <c r="J63" i="25" s="1"/>
  <c r="K62" i="25"/>
  <c r="J62" i="25" s="1"/>
  <c r="K61" i="25"/>
  <c r="J61" i="25"/>
  <c r="K60" i="25"/>
  <c r="K59" i="25"/>
  <c r="K58" i="25"/>
  <c r="J58" i="25" s="1"/>
  <c r="K57" i="25"/>
  <c r="K56" i="25"/>
  <c r="J56" i="25" s="1"/>
  <c r="K55" i="25"/>
  <c r="J55" i="25" s="1"/>
  <c r="K54" i="25"/>
  <c r="J54" i="25" s="1"/>
  <c r="K53" i="25"/>
  <c r="J53" i="25" s="1"/>
  <c r="K52" i="25"/>
  <c r="J52" i="25" s="1"/>
  <c r="K51" i="25"/>
  <c r="K50" i="25"/>
  <c r="K49" i="25"/>
  <c r="K48" i="25"/>
  <c r="K47" i="25"/>
  <c r="J47" i="25" s="1"/>
  <c r="K46" i="25"/>
  <c r="J46" i="25" s="1"/>
  <c r="K45" i="25"/>
  <c r="K44" i="25"/>
  <c r="J44" i="25" s="1"/>
  <c r="K43" i="25"/>
  <c r="J43" i="25" s="1"/>
  <c r="K42" i="25"/>
  <c r="J42" i="25" s="1"/>
  <c r="K41" i="25"/>
  <c r="K40" i="25"/>
  <c r="K39" i="25"/>
  <c r="J39" i="25" s="1"/>
  <c r="K38" i="25"/>
  <c r="J38" i="25" s="1"/>
  <c r="K37" i="25"/>
  <c r="K36" i="25"/>
  <c r="J36" i="25" s="1"/>
  <c r="K35" i="25"/>
  <c r="K34" i="25"/>
  <c r="J34" i="25" s="1"/>
  <c r="K33" i="25"/>
  <c r="J33" i="25" s="1"/>
  <c r="K32" i="25"/>
  <c r="J32" i="25" s="1"/>
  <c r="K31" i="25"/>
  <c r="J31" i="25" s="1"/>
  <c r="K30" i="25"/>
  <c r="J30" i="25" s="1"/>
  <c r="K29" i="25"/>
  <c r="K28" i="25"/>
  <c r="J28" i="25" s="1"/>
  <c r="K27" i="25"/>
  <c r="K26" i="25"/>
  <c r="J26" i="25"/>
  <c r="K23" i="25"/>
  <c r="J23" i="25" s="1"/>
  <c r="K24" i="25"/>
  <c r="J24" i="25" s="1"/>
  <c r="K25" i="25"/>
  <c r="N41" i="8"/>
  <c r="M41" i="8"/>
  <c r="O41" i="8" s="1"/>
  <c r="H41" i="8"/>
  <c r="G41" i="8"/>
  <c r="C41" i="8"/>
  <c r="N40" i="8"/>
  <c r="M40" i="8"/>
  <c r="H40" i="8"/>
  <c r="G40" i="8"/>
  <c r="C40" i="8"/>
  <c r="X1421" i="5"/>
  <c r="W1421" i="5"/>
  <c r="T1421" i="5" s="1"/>
  <c r="S1421" i="5"/>
  <c r="F1421" i="5"/>
  <c r="X1420" i="5"/>
  <c r="W1420" i="5"/>
  <c r="T1420" i="5" s="1"/>
  <c r="B1420" i="5" s="1"/>
  <c r="S1420" i="5"/>
  <c r="R1420" i="5"/>
  <c r="F1420" i="5"/>
  <c r="X1419" i="5"/>
  <c r="W1419" i="5"/>
  <c r="T1419" i="5" s="1"/>
  <c r="S1419" i="5"/>
  <c r="R1419" i="5"/>
  <c r="F1419" i="5"/>
  <c r="X1418" i="5"/>
  <c r="W1418" i="5"/>
  <c r="T1418" i="5" s="1"/>
  <c r="S1418" i="5"/>
  <c r="R1418" i="5"/>
  <c r="F1418" i="5"/>
  <c r="X1417" i="5"/>
  <c r="W1417" i="5"/>
  <c r="T1417" i="5" s="1"/>
  <c r="B1417" i="5" s="1"/>
  <c r="S1417" i="5"/>
  <c r="E1417" i="5" s="1"/>
  <c r="R1417" i="5"/>
  <c r="F1417" i="5"/>
  <c r="X1416" i="5"/>
  <c r="W1416" i="5"/>
  <c r="T1416" i="5" s="1"/>
  <c r="B1416" i="5" s="1"/>
  <c r="S1416" i="5"/>
  <c r="R1416" i="5"/>
  <c r="F1416" i="5"/>
  <c r="X1415" i="5"/>
  <c r="W1415" i="5"/>
  <c r="T1415" i="5"/>
  <c r="B1415" i="5" s="1"/>
  <c r="S1415" i="5"/>
  <c r="R1415" i="5"/>
  <c r="F1415" i="5"/>
  <c r="X1414" i="5"/>
  <c r="W1414" i="5"/>
  <c r="T1414" i="5" s="1"/>
  <c r="B1414" i="5" s="1"/>
  <c r="S1414" i="5"/>
  <c r="D1414" i="5" s="1"/>
  <c r="F1414" i="5"/>
  <c r="X1413" i="5"/>
  <c r="W1413" i="5"/>
  <c r="T1413" i="5" s="1"/>
  <c r="B1413" i="5" s="1"/>
  <c r="S1413" i="5"/>
  <c r="C1413" i="5" s="1"/>
  <c r="R1413" i="5"/>
  <c r="F1413" i="5"/>
  <c r="X1412" i="5"/>
  <c r="W1412" i="5"/>
  <c r="T1412" i="5" s="1"/>
  <c r="B1412" i="5" s="1"/>
  <c r="S1412" i="5"/>
  <c r="R1412" i="5"/>
  <c r="F1412" i="5"/>
  <c r="E1412" i="5"/>
  <c r="X1411" i="5"/>
  <c r="W1411" i="5"/>
  <c r="T1411" i="5" s="1"/>
  <c r="S1411" i="5"/>
  <c r="C1411" i="5" s="1"/>
  <c r="R1411" i="5"/>
  <c r="F1411" i="5"/>
  <c r="X1410" i="5"/>
  <c r="W1410" i="5"/>
  <c r="T1410" i="5" s="1"/>
  <c r="S1410" i="5"/>
  <c r="R1410" i="5"/>
  <c r="F1410" i="5"/>
  <c r="X1409" i="5"/>
  <c r="W1409" i="5"/>
  <c r="T1409" i="5" s="1"/>
  <c r="B1409" i="5" s="1"/>
  <c r="S1409" i="5"/>
  <c r="D1409" i="5" s="1"/>
  <c r="R1409" i="5"/>
  <c r="F1409" i="5"/>
  <c r="X1408" i="5"/>
  <c r="W1408" i="5"/>
  <c r="T1408" i="5" s="1"/>
  <c r="B1408" i="5" s="1"/>
  <c r="S1408" i="5"/>
  <c r="R1408" i="5"/>
  <c r="F1408" i="5"/>
  <c r="X1407" i="5"/>
  <c r="W1407" i="5"/>
  <c r="T1407" i="5" s="1"/>
  <c r="B1407" i="5" s="1"/>
  <c r="S1407" i="5"/>
  <c r="D1407" i="5" s="1"/>
  <c r="F1407" i="5"/>
  <c r="X1406" i="5"/>
  <c r="W1406" i="5"/>
  <c r="T1406" i="5" s="1"/>
  <c r="B1406" i="5" s="1"/>
  <c r="S1406" i="5"/>
  <c r="R1406" i="5"/>
  <c r="F1406" i="5"/>
  <c r="X1405" i="5"/>
  <c r="W1405" i="5"/>
  <c r="T1405" i="5" s="1"/>
  <c r="S1405" i="5"/>
  <c r="D1405" i="5" s="1"/>
  <c r="R1405" i="5"/>
  <c r="F1405" i="5"/>
  <c r="X1404" i="5"/>
  <c r="W1404" i="5"/>
  <c r="T1404" i="5" s="1"/>
  <c r="B1404" i="5" s="1"/>
  <c r="S1404" i="5"/>
  <c r="R1404" i="5"/>
  <c r="F1404" i="5"/>
  <c r="X1403" i="5"/>
  <c r="W1403" i="5"/>
  <c r="T1403" i="5" s="1"/>
  <c r="S1403" i="5"/>
  <c r="R1403" i="5"/>
  <c r="F1403" i="5"/>
  <c r="X1402" i="5"/>
  <c r="W1402" i="5"/>
  <c r="T1402" i="5" s="1"/>
  <c r="B1402" i="5" s="1"/>
  <c r="S1402" i="5"/>
  <c r="R1402" i="5"/>
  <c r="F1402" i="5"/>
  <c r="X1401" i="5"/>
  <c r="W1401" i="5"/>
  <c r="T1401" i="5" s="1"/>
  <c r="B1401" i="5" s="1"/>
  <c r="S1401" i="5"/>
  <c r="R1401" i="5"/>
  <c r="F1401" i="5"/>
  <c r="X1400" i="5"/>
  <c r="W1400" i="5"/>
  <c r="T1400" i="5" s="1"/>
  <c r="S1400" i="5"/>
  <c r="F1400" i="5"/>
  <c r="X1399" i="5"/>
  <c r="W1399" i="5"/>
  <c r="T1399" i="5" s="1"/>
  <c r="S1399" i="5"/>
  <c r="C1399" i="5" s="1"/>
  <c r="R1399" i="5"/>
  <c r="F1399" i="5"/>
  <c r="X1398" i="5"/>
  <c r="W1398" i="5"/>
  <c r="T1398" i="5" s="1"/>
  <c r="S1398" i="5"/>
  <c r="R1398" i="5"/>
  <c r="F1398" i="5"/>
  <c r="X1397" i="5"/>
  <c r="W1397" i="5"/>
  <c r="T1397" i="5" s="1"/>
  <c r="B1397" i="5" s="1"/>
  <c r="S1397" i="5"/>
  <c r="R1397" i="5"/>
  <c r="F1397" i="5"/>
  <c r="X1396" i="5"/>
  <c r="W1396" i="5"/>
  <c r="T1396" i="5" s="1"/>
  <c r="S1396" i="5"/>
  <c r="R1396" i="5"/>
  <c r="F1396" i="5"/>
  <c r="X1395" i="5"/>
  <c r="W1395" i="5"/>
  <c r="T1395" i="5" s="1"/>
  <c r="B1395" i="5" s="1"/>
  <c r="S1395" i="5"/>
  <c r="R1395" i="5"/>
  <c r="F1395" i="5"/>
  <c r="X1394" i="5"/>
  <c r="W1394" i="5"/>
  <c r="T1394" i="5"/>
  <c r="B1394" i="5" s="1"/>
  <c r="S1394" i="5"/>
  <c r="R1394" i="5"/>
  <c r="F1394" i="5"/>
  <c r="X1393" i="5"/>
  <c r="W1393" i="5"/>
  <c r="T1393" i="5" s="1"/>
  <c r="B1393" i="5" s="1"/>
  <c r="S1393" i="5"/>
  <c r="F1393" i="5"/>
  <c r="X1392" i="5"/>
  <c r="W1392" i="5"/>
  <c r="T1392" i="5" s="1"/>
  <c r="S1392" i="5"/>
  <c r="R1392" i="5"/>
  <c r="F1392" i="5"/>
  <c r="X1391" i="5"/>
  <c r="W1391" i="5"/>
  <c r="T1391" i="5" s="1"/>
  <c r="B1391" i="5" s="1"/>
  <c r="S1391" i="5"/>
  <c r="R1391" i="5"/>
  <c r="F1391" i="5"/>
  <c r="X1390" i="5"/>
  <c r="W1390" i="5"/>
  <c r="T1390" i="5" s="1"/>
  <c r="B1390" i="5" s="1"/>
  <c r="S1390" i="5"/>
  <c r="R1390" i="5"/>
  <c r="F1390" i="5"/>
  <c r="X1389" i="5"/>
  <c r="W1389" i="5"/>
  <c r="T1389" i="5" s="1"/>
  <c r="B1389" i="5" s="1"/>
  <c r="S1389" i="5"/>
  <c r="R1389" i="5"/>
  <c r="F1389" i="5"/>
  <c r="X1388" i="5"/>
  <c r="W1388" i="5"/>
  <c r="T1388" i="5" s="1"/>
  <c r="B1388" i="5" s="1"/>
  <c r="S1388" i="5"/>
  <c r="C1388" i="5" s="1"/>
  <c r="R1388" i="5"/>
  <c r="F1388" i="5"/>
  <c r="X1387" i="5"/>
  <c r="W1387" i="5"/>
  <c r="T1387" i="5" s="1"/>
  <c r="E1387" i="5" s="1"/>
  <c r="S1387" i="5"/>
  <c r="R1387" i="5"/>
  <c r="F1387" i="5"/>
  <c r="X1386" i="5"/>
  <c r="W1386" i="5"/>
  <c r="T1386" i="5" s="1"/>
  <c r="B1386" i="5" s="1"/>
  <c r="S1386" i="5"/>
  <c r="F1386" i="5"/>
  <c r="X1385" i="5"/>
  <c r="W1385" i="5"/>
  <c r="T1385" i="5" s="1"/>
  <c r="B1385" i="5" s="1"/>
  <c r="S1385" i="5"/>
  <c r="D1385" i="5" s="1"/>
  <c r="R1385" i="5"/>
  <c r="F1385" i="5"/>
  <c r="X1384" i="5"/>
  <c r="W1384" i="5"/>
  <c r="T1384" i="5" s="1"/>
  <c r="S1384" i="5"/>
  <c r="R1384" i="5"/>
  <c r="F1384" i="5"/>
  <c r="X1383" i="5"/>
  <c r="W1383" i="5"/>
  <c r="T1383" i="5" s="1"/>
  <c r="S1383" i="5"/>
  <c r="R1383" i="5"/>
  <c r="F1383" i="5"/>
  <c r="X1382" i="5"/>
  <c r="W1382" i="5"/>
  <c r="T1382" i="5"/>
  <c r="S1382" i="5"/>
  <c r="D1382" i="5" s="1"/>
  <c r="R1382" i="5"/>
  <c r="F1382" i="5"/>
  <c r="B1382" i="5"/>
  <c r="X1381" i="5"/>
  <c r="W1381" i="5"/>
  <c r="T1381" i="5" s="1"/>
  <c r="B1381" i="5" s="1"/>
  <c r="S1381" i="5"/>
  <c r="R1381" i="5"/>
  <c r="F1381" i="5"/>
  <c r="X1380" i="5"/>
  <c r="W1380" i="5"/>
  <c r="T1380" i="5" s="1"/>
  <c r="B1380" i="5" s="1"/>
  <c r="S1380" i="5"/>
  <c r="E1380" i="5" s="1"/>
  <c r="R1380" i="5"/>
  <c r="F1380" i="5"/>
  <c r="X1379" i="5"/>
  <c r="W1379" i="5"/>
  <c r="T1379" i="5" s="1"/>
  <c r="S1379" i="5"/>
  <c r="F1379" i="5"/>
  <c r="X1378" i="5"/>
  <c r="W1378" i="5"/>
  <c r="T1378" i="5" s="1"/>
  <c r="E1378" i="5" s="1"/>
  <c r="S1378" i="5"/>
  <c r="R1378" i="5"/>
  <c r="F1378" i="5"/>
  <c r="X1377" i="5"/>
  <c r="W1377" i="5"/>
  <c r="T1377" i="5" s="1"/>
  <c r="B1377" i="5" s="1"/>
  <c r="S1377" i="5"/>
  <c r="R1377" i="5"/>
  <c r="F1377" i="5"/>
  <c r="X1376" i="5"/>
  <c r="W1376" i="5"/>
  <c r="T1376" i="5" s="1"/>
  <c r="S1376" i="5"/>
  <c r="R1376" i="5"/>
  <c r="F1376" i="5"/>
  <c r="X1375" i="5"/>
  <c r="W1375" i="5"/>
  <c r="T1375" i="5" s="1"/>
  <c r="B1375" i="5" s="1"/>
  <c r="S1375" i="5"/>
  <c r="E1375" i="5" s="1"/>
  <c r="R1375" i="5"/>
  <c r="F1375" i="5"/>
  <c r="X1374" i="5"/>
  <c r="W1374" i="5"/>
  <c r="T1374" i="5" s="1"/>
  <c r="B1374" i="5" s="1"/>
  <c r="S1374" i="5"/>
  <c r="R1374" i="5"/>
  <c r="F1374" i="5"/>
  <c r="X1373" i="5"/>
  <c r="W1373" i="5"/>
  <c r="T1373" i="5" s="1"/>
  <c r="S1373" i="5"/>
  <c r="R1373" i="5"/>
  <c r="F1373" i="5"/>
  <c r="X1372" i="5"/>
  <c r="W1372" i="5"/>
  <c r="T1372" i="5"/>
  <c r="B1372" i="5" s="1"/>
  <c r="S1372" i="5"/>
  <c r="F1372" i="5"/>
  <c r="X1371" i="5"/>
  <c r="W1371" i="5"/>
  <c r="T1371" i="5" s="1"/>
  <c r="B1371" i="5" s="1"/>
  <c r="S1371" i="5"/>
  <c r="E1371" i="5" s="1"/>
  <c r="R1371" i="5"/>
  <c r="F1371" i="5"/>
  <c r="X1370" i="5"/>
  <c r="W1370" i="5"/>
  <c r="T1370" i="5" s="1"/>
  <c r="B1370" i="5" s="1"/>
  <c r="S1370" i="5"/>
  <c r="R1370" i="5"/>
  <c r="F1370" i="5"/>
  <c r="X1369" i="5"/>
  <c r="W1369" i="5"/>
  <c r="T1369" i="5" s="1"/>
  <c r="B1369" i="5" s="1"/>
  <c r="S1369" i="5"/>
  <c r="R1369" i="5"/>
  <c r="F1369" i="5"/>
  <c r="X1368" i="5"/>
  <c r="W1368" i="5"/>
  <c r="T1368" i="5" s="1"/>
  <c r="S1368" i="5"/>
  <c r="R1368" i="5"/>
  <c r="F1368" i="5"/>
  <c r="X1367" i="5"/>
  <c r="W1367" i="5"/>
  <c r="T1367" i="5" s="1"/>
  <c r="B1367" i="5" s="1"/>
  <c r="S1367" i="5"/>
  <c r="R1367" i="5"/>
  <c r="F1367" i="5"/>
  <c r="X1366" i="5"/>
  <c r="W1366" i="5"/>
  <c r="T1366" i="5" s="1"/>
  <c r="B1366" i="5" s="1"/>
  <c r="S1366" i="5"/>
  <c r="R1366" i="5"/>
  <c r="F1366" i="5"/>
  <c r="X1365" i="5"/>
  <c r="W1365" i="5"/>
  <c r="T1365" i="5" s="1"/>
  <c r="B1365" i="5" s="1"/>
  <c r="S1365" i="5"/>
  <c r="E1365" i="5" s="1"/>
  <c r="F1365" i="5"/>
  <c r="X1364" i="5"/>
  <c r="W1364" i="5"/>
  <c r="T1364" i="5" s="1"/>
  <c r="S1364" i="5"/>
  <c r="R1364" i="5"/>
  <c r="F1364" i="5"/>
  <c r="X1363" i="5"/>
  <c r="W1363" i="5"/>
  <c r="T1363" i="5" s="1"/>
  <c r="B1363" i="5" s="1"/>
  <c r="S1363" i="5"/>
  <c r="R1363" i="5"/>
  <c r="F1363" i="5"/>
  <c r="X1362" i="5"/>
  <c r="W1362" i="5"/>
  <c r="T1362" i="5"/>
  <c r="E1362" i="5" s="1"/>
  <c r="S1362" i="5"/>
  <c r="R1362" i="5"/>
  <c r="F1362" i="5"/>
  <c r="X1361" i="5"/>
  <c r="W1361" i="5"/>
  <c r="T1361" i="5" s="1"/>
  <c r="B1361" i="5" s="1"/>
  <c r="S1361" i="5"/>
  <c r="R1361" i="5"/>
  <c r="F1361" i="5"/>
  <c r="X1360" i="5"/>
  <c r="W1360" i="5"/>
  <c r="T1360" i="5" s="1"/>
  <c r="B1360" i="5" s="1"/>
  <c r="S1360" i="5"/>
  <c r="R1360" i="5"/>
  <c r="F1360" i="5"/>
  <c r="X1359" i="5"/>
  <c r="W1359" i="5"/>
  <c r="T1359" i="5"/>
  <c r="B1359" i="5" s="1"/>
  <c r="S1359" i="5"/>
  <c r="R1359" i="5"/>
  <c r="F1359" i="5"/>
  <c r="X1358" i="5"/>
  <c r="W1358" i="5"/>
  <c r="T1358" i="5" s="1"/>
  <c r="B1358" i="5" s="1"/>
  <c r="S1358" i="5"/>
  <c r="F1358" i="5"/>
  <c r="X1357" i="5"/>
  <c r="W1357" i="5"/>
  <c r="T1357" i="5" s="1"/>
  <c r="B1357" i="5" s="1"/>
  <c r="S1357" i="5"/>
  <c r="R1357" i="5"/>
  <c r="F1357" i="5"/>
  <c r="X1356" i="5"/>
  <c r="W1356" i="5"/>
  <c r="T1356" i="5" s="1"/>
  <c r="S1356" i="5"/>
  <c r="R1356" i="5"/>
  <c r="F1356" i="5"/>
  <c r="X1355" i="5"/>
  <c r="W1355" i="5"/>
  <c r="T1355" i="5"/>
  <c r="S1355" i="5"/>
  <c r="E1355" i="5" s="1"/>
  <c r="R1355" i="5"/>
  <c r="F1355" i="5"/>
  <c r="X1354" i="5"/>
  <c r="W1354" i="5"/>
  <c r="T1354" i="5"/>
  <c r="B1354" i="5" s="1"/>
  <c r="S1354" i="5"/>
  <c r="R1354" i="5"/>
  <c r="F1354" i="5"/>
  <c r="X1353" i="5"/>
  <c r="W1353" i="5"/>
  <c r="T1353" i="5"/>
  <c r="S1353" i="5"/>
  <c r="R1353" i="5"/>
  <c r="F1353" i="5"/>
  <c r="X1352" i="5"/>
  <c r="W1352" i="5"/>
  <c r="T1352" i="5"/>
  <c r="B1352" i="5" s="1"/>
  <c r="S1352" i="5"/>
  <c r="R1352" i="5"/>
  <c r="F1352" i="5"/>
  <c r="X1351" i="5"/>
  <c r="W1351" i="5"/>
  <c r="T1351" i="5" s="1"/>
  <c r="B1351" i="5" s="1"/>
  <c r="S1351" i="5"/>
  <c r="F1351" i="5"/>
  <c r="X1350" i="5"/>
  <c r="W1350" i="5"/>
  <c r="T1350" i="5" s="1"/>
  <c r="C1350" i="5" s="1"/>
  <c r="S1350" i="5"/>
  <c r="R1350" i="5"/>
  <c r="F1350" i="5"/>
  <c r="X1349" i="5"/>
  <c r="W1349" i="5"/>
  <c r="T1349" i="5" s="1"/>
  <c r="S1349" i="5"/>
  <c r="R1349" i="5"/>
  <c r="F1349" i="5"/>
  <c r="X1348" i="5"/>
  <c r="W1348" i="5"/>
  <c r="T1348" i="5" s="1"/>
  <c r="S1348" i="5"/>
  <c r="R1348" i="5"/>
  <c r="F1348" i="5"/>
  <c r="X1347" i="5"/>
  <c r="W1347" i="5"/>
  <c r="T1347" i="5" s="1"/>
  <c r="B1347" i="5" s="1"/>
  <c r="S1347" i="5"/>
  <c r="R1347" i="5"/>
  <c r="F1347" i="5"/>
  <c r="X1346" i="5"/>
  <c r="W1346" i="5"/>
  <c r="T1346" i="5" s="1"/>
  <c r="B1346" i="5" s="1"/>
  <c r="S1346" i="5"/>
  <c r="R1346" i="5"/>
  <c r="F1346" i="5"/>
  <c r="X1345" i="5"/>
  <c r="W1345" i="5"/>
  <c r="T1345" i="5" s="1"/>
  <c r="B1345" i="5" s="1"/>
  <c r="S1345" i="5"/>
  <c r="C1345" i="5" s="1"/>
  <c r="R1345" i="5"/>
  <c r="F1345" i="5"/>
  <c r="X1344" i="5"/>
  <c r="W1344" i="5"/>
  <c r="T1344" i="5" s="1"/>
  <c r="B1344" i="5" s="1"/>
  <c r="S1344" i="5"/>
  <c r="E1344" i="5" s="1"/>
  <c r="F1344" i="5"/>
  <c r="X1343" i="5"/>
  <c r="W1343" i="5"/>
  <c r="T1343" i="5" s="1"/>
  <c r="B1343" i="5" s="1"/>
  <c r="S1343" i="5"/>
  <c r="R1343" i="5"/>
  <c r="F1343" i="5"/>
  <c r="X1342" i="5"/>
  <c r="W1342" i="5"/>
  <c r="T1342" i="5" s="1"/>
  <c r="B1342" i="5" s="1"/>
  <c r="S1342" i="5"/>
  <c r="R1342" i="5"/>
  <c r="F1342" i="5"/>
  <c r="X1341" i="5"/>
  <c r="W1341" i="5"/>
  <c r="T1341" i="5" s="1"/>
  <c r="S1341" i="5"/>
  <c r="R1341" i="5"/>
  <c r="F1341" i="5"/>
  <c r="X1340" i="5"/>
  <c r="W1340" i="5"/>
  <c r="T1340" i="5"/>
  <c r="B1340" i="5" s="1"/>
  <c r="S1340" i="5"/>
  <c r="R1340" i="5"/>
  <c r="F1340" i="5"/>
  <c r="X1339" i="5"/>
  <c r="W1339" i="5"/>
  <c r="T1339" i="5" s="1"/>
  <c r="S1339" i="5"/>
  <c r="R1339" i="5"/>
  <c r="F1339" i="5"/>
  <c r="X1338" i="5"/>
  <c r="W1338" i="5"/>
  <c r="T1338" i="5" s="1"/>
  <c r="B1338" i="5" s="1"/>
  <c r="S1338" i="5"/>
  <c r="R1338" i="5"/>
  <c r="F1338" i="5"/>
  <c r="X1337" i="5"/>
  <c r="W1337" i="5"/>
  <c r="T1337" i="5" s="1"/>
  <c r="S1337" i="5"/>
  <c r="F1337" i="5"/>
  <c r="X1336" i="5"/>
  <c r="W1336" i="5"/>
  <c r="T1336" i="5" s="1"/>
  <c r="B1336" i="5" s="1"/>
  <c r="S1336" i="5"/>
  <c r="E1336" i="5" s="1"/>
  <c r="R1336" i="5"/>
  <c r="F1336" i="5"/>
  <c r="X1335" i="5"/>
  <c r="W1335" i="5"/>
  <c r="T1335" i="5" s="1"/>
  <c r="S1335" i="5"/>
  <c r="R1335" i="5"/>
  <c r="F1335" i="5"/>
  <c r="X1334" i="5"/>
  <c r="W1334" i="5"/>
  <c r="T1334" i="5" s="1"/>
  <c r="S1334" i="5"/>
  <c r="R1334" i="5"/>
  <c r="F1334" i="5"/>
  <c r="X1333" i="5"/>
  <c r="W1333" i="5"/>
  <c r="T1333" i="5" s="1"/>
  <c r="S1333" i="5"/>
  <c r="R1333" i="5"/>
  <c r="F1333" i="5"/>
  <c r="X1332" i="5"/>
  <c r="W1332" i="5"/>
  <c r="T1332" i="5" s="1"/>
  <c r="B1332" i="5" s="1"/>
  <c r="S1332" i="5"/>
  <c r="R1332" i="5"/>
  <c r="F1332" i="5"/>
  <c r="X1331" i="5"/>
  <c r="W1331" i="5"/>
  <c r="T1331" i="5" s="1"/>
  <c r="S1331" i="5"/>
  <c r="R1331" i="5"/>
  <c r="F1331" i="5"/>
  <c r="X1330" i="5"/>
  <c r="W1330" i="5"/>
  <c r="T1330" i="5" s="1"/>
  <c r="S1330" i="5"/>
  <c r="F1330" i="5"/>
  <c r="X1329" i="5"/>
  <c r="W1329" i="5"/>
  <c r="T1329" i="5" s="1"/>
  <c r="B1329" i="5" s="1"/>
  <c r="S1329" i="5"/>
  <c r="R1329" i="5"/>
  <c r="F1329" i="5"/>
  <c r="X1328" i="5"/>
  <c r="W1328" i="5"/>
  <c r="T1328" i="5" s="1"/>
  <c r="B1328" i="5" s="1"/>
  <c r="S1328" i="5"/>
  <c r="R1328" i="5"/>
  <c r="F1328" i="5"/>
  <c r="E1328" i="5"/>
  <c r="X1327" i="5"/>
  <c r="W1327" i="5"/>
  <c r="T1327" i="5"/>
  <c r="B1327" i="5" s="1"/>
  <c r="S1327" i="5"/>
  <c r="R1327" i="5"/>
  <c r="F1327" i="5"/>
  <c r="X1326" i="5"/>
  <c r="W1326" i="5"/>
  <c r="T1326" i="5" s="1"/>
  <c r="B1326" i="5" s="1"/>
  <c r="S1326" i="5"/>
  <c r="R1326" i="5"/>
  <c r="F1326" i="5"/>
  <c r="X1325" i="5"/>
  <c r="W1325" i="5"/>
  <c r="T1325" i="5" s="1"/>
  <c r="S1325" i="5"/>
  <c r="R1325" i="5"/>
  <c r="F1325" i="5"/>
  <c r="X1324" i="5"/>
  <c r="W1324" i="5"/>
  <c r="T1324" i="5" s="1"/>
  <c r="S1324" i="5"/>
  <c r="R1324" i="5"/>
  <c r="F1324" i="5"/>
  <c r="X1323" i="5"/>
  <c r="W1323" i="5"/>
  <c r="T1323" i="5" s="1"/>
  <c r="S1323" i="5"/>
  <c r="F1323" i="5"/>
  <c r="X1322" i="5"/>
  <c r="W1322" i="5"/>
  <c r="T1322" i="5" s="1"/>
  <c r="B1322" i="5" s="1"/>
  <c r="S1322" i="5"/>
  <c r="R1322" i="5"/>
  <c r="F1322" i="5"/>
  <c r="X1321" i="5"/>
  <c r="W1321" i="5"/>
  <c r="T1321" i="5" s="1"/>
  <c r="S1321" i="5"/>
  <c r="D1321" i="5" s="1"/>
  <c r="R1321" i="5"/>
  <c r="F1321" i="5"/>
  <c r="X1320" i="5"/>
  <c r="W1320" i="5"/>
  <c r="T1320" i="5" s="1"/>
  <c r="B1320" i="5" s="1"/>
  <c r="S1320" i="5"/>
  <c r="R1320" i="5"/>
  <c r="F1320" i="5"/>
  <c r="X1319" i="5"/>
  <c r="W1319" i="5"/>
  <c r="T1319" i="5"/>
  <c r="S1319" i="5"/>
  <c r="R1319" i="5"/>
  <c r="F1319" i="5"/>
  <c r="X1318" i="5"/>
  <c r="W1318" i="5"/>
  <c r="T1318" i="5"/>
  <c r="B1318" i="5" s="1"/>
  <c r="S1318" i="5"/>
  <c r="R1318" i="5"/>
  <c r="F1318" i="5"/>
  <c r="X1317" i="5"/>
  <c r="W1317" i="5"/>
  <c r="T1317" i="5" s="1"/>
  <c r="S1317" i="5"/>
  <c r="R1317" i="5"/>
  <c r="F1317" i="5"/>
  <c r="X1316" i="5"/>
  <c r="W1316" i="5"/>
  <c r="T1316" i="5" s="1"/>
  <c r="S1316" i="5"/>
  <c r="F1316" i="5"/>
  <c r="X1315" i="5"/>
  <c r="W1315" i="5"/>
  <c r="T1315" i="5" s="1"/>
  <c r="B1315" i="5" s="1"/>
  <c r="S1315" i="5"/>
  <c r="R1315" i="5"/>
  <c r="F1315" i="5"/>
  <c r="X1314" i="5"/>
  <c r="W1314" i="5"/>
  <c r="T1314" i="5" s="1"/>
  <c r="B1314" i="5" s="1"/>
  <c r="S1314" i="5"/>
  <c r="C1314" i="5" s="1"/>
  <c r="R1314" i="5"/>
  <c r="F1314" i="5"/>
  <c r="E1314" i="5"/>
  <c r="X1313" i="5"/>
  <c r="W1313" i="5"/>
  <c r="T1313" i="5" s="1"/>
  <c r="S1313" i="5"/>
  <c r="R1313" i="5"/>
  <c r="F1313" i="5"/>
  <c r="X1312" i="5"/>
  <c r="W1312" i="5"/>
  <c r="T1312" i="5" s="1"/>
  <c r="S1312" i="5"/>
  <c r="R1312" i="5"/>
  <c r="F1312" i="5"/>
  <c r="X1311" i="5"/>
  <c r="W1311" i="5"/>
  <c r="T1311" i="5" s="1"/>
  <c r="B1311" i="5" s="1"/>
  <c r="S1311" i="5"/>
  <c r="R1311" i="5"/>
  <c r="F1311" i="5"/>
  <c r="X1310" i="5"/>
  <c r="W1310" i="5"/>
  <c r="T1310" i="5" s="1"/>
  <c r="B1310" i="5" s="1"/>
  <c r="S1310" i="5"/>
  <c r="R1310" i="5"/>
  <c r="F1310" i="5"/>
  <c r="X1309" i="5"/>
  <c r="W1309" i="5"/>
  <c r="T1309" i="5"/>
  <c r="B1309" i="5" s="1"/>
  <c r="S1309" i="5"/>
  <c r="F1309" i="5"/>
  <c r="X1308" i="5"/>
  <c r="W1308" i="5"/>
  <c r="T1308" i="5" s="1"/>
  <c r="B1308" i="5" s="1"/>
  <c r="S1308" i="5"/>
  <c r="R1308" i="5"/>
  <c r="F1308" i="5"/>
  <c r="X1307" i="5"/>
  <c r="W1307" i="5"/>
  <c r="T1307" i="5"/>
  <c r="S1307" i="5"/>
  <c r="R1307" i="5"/>
  <c r="F1307" i="5"/>
  <c r="X1306" i="5"/>
  <c r="W1306" i="5"/>
  <c r="T1306" i="5" s="1"/>
  <c r="S1306" i="5"/>
  <c r="R1306" i="5"/>
  <c r="F1306" i="5"/>
  <c r="X1305" i="5"/>
  <c r="W1305" i="5"/>
  <c r="T1305" i="5" s="1"/>
  <c r="S1305" i="5"/>
  <c r="R1305" i="5"/>
  <c r="F1305" i="5"/>
  <c r="X1304" i="5"/>
  <c r="W1304" i="5"/>
  <c r="T1304" i="5" s="1"/>
  <c r="S1304" i="5"/>
  <c r="R1304" i="5"/>
  <c r="F1304" i="5"/>
  <c r="X1303" i="5"/>
  <c r="W1303" i="5"/>
  <c r="T1303" i="5" s="1"/>
  <c r="C1303" i="5" s="1"/>
  <c r="S1303" i="5"/>
  <c r="R1303" i="5"/>
  <c r="F1303" i="5"/>
  <c r="X1302" i="5"/>
  <c r="W1302" i="5"/>
  <c r="T1302" i="5" s="1"/>
  <c r="B1302" i="5" s="1"/>
  <c r="S1302" i="5"/>
  <c r="F1302" i="5"/>
  <c r="X1301" i="5"/>
  <c r="W1301" i="5"/>
  <c r="T1301" i="5" s="1"/>
  <c r="B1301" i="5" s="1"/>
  <c r="S1301" i="5"/>
  <c r="R1301" i="5"/>
  <c r="F1301" i="5"/>
  <c r="X1300" i="5"/>
  <c r="W1300" i="5"/>
  <c r="T1300" i="5" s="1"/>
  <c r="S1300" i="5"/>
  <c r="C1300" i="5" s="1"/>
  <c r="R1300" i="5"/>
  <c r="F1300" i="5"/>
  <c r="X1299" i="5"/>
  <c r="W1299" i="5"/>
  <c r="T1299" i="5" s="1"/>
  <c r="S1299" i="5"/>
  <c r="C1299" i="5" s="1"/>
  <c r="R1299" i="5"/>
  <c r="F1299" i="5"/>
  <c r="X1298" i="5"/>
  <c r="W1298" i="5"/>
  <c r="T1298" i="5"/>
  <c r="C1298" i="5" s="1"/>
  <c r="S1298" i="5"/>
  <c r="R1298" i="5"/>
  <c r="F1298" i="5"/>
  <c r="X1297" i="5"/>
  <c r="W1297" i="5"/>
  <c r="T1297" i="5" s="1"/>
  <c r="B1297" i="5" s="1"/>
  <c r="S1297" i="5"/>
  <c r="R1297" i="5"/>
  <c r="F1297" i="5"/>
  <c r="X1296" i="5"/>
  <c r="W1296" i="5"/>
  <c r="T1296" i="5" s="1"/>
  <c r="B1296" i="5" s="1"/>
  <c r="S1296" i="5"/>
  <c r="R1296" i="5"/>
  <c r="F1296" i="5"/>
  <c r="X1295" i="5"/>
  <c r="W1295" i="5"/>
  <c r="T1295" i="5" s="1"/>
  <c r="B1295" i="5" s="1"/>
  <c r="S1295" i="5"/>
  <c r="F1295" i="5"/>
  <c r="X1294" i="5"/>
  <c r="W1294" i="5"/>
  <c r="T1294" i="5" s="1"/>
  <c r="B1294" i="5" s="1"/>
  <c r="S1294" i="5"/>
  <c r="R1294" i="5"/>
  <c r="F1294" i="5"/>
  <c r="X1293" i="5"/>
  <c r="W1293" i="5"/>
  <c r="T1293" i="5" s="1"/>
  <c r="B1293" i="5" s="1"/>
  <c r="S1293" i="5"/>
  <c r="R1293" i="5"/>
  <c r="F1293" i="5"/>
  <c r="D1293" i="5"/>
  <c r="X1292" i="5"/>
  <c r="W1292" i="5"/>
  <c r="T1292" i="5" s="1"/>
  <c r="B1292" i="5" s="1"/>
  <c r="S1292" i="5"/>
  <c r="R1292" i="5"/>
  <c r="F1292" i="5"/>
  <c r="X1291" i="5"/>
  <c r="W1291" i="5"/>
  <c r="T1291" i="5" s="1"/>
  <c r="B1291" i="5" s="1"/>
  <c r="S1291" i="5"/>
  <c r="R1291" i="5"/>
  <c r="F1291" i="5"/>
  <c r="X1290" i="5"/>
  <c r="W1290" i="5"/>
  <c r="T1290" i="5" s="1"/>
  <c r="S1290" i="5"/>
  <c r="R1290" i="5"/>
  <c r="F1290" i="5"/>
  <c r="X1289" i="5"/>
  <c r="W1289" i="5"/>
  <c r="T1289" i="5" s="1"/>
  <c r="S1289" i="5"/>
  <c r="R1289" i="5"/>
  <c r="F1289" i="5"/>
  <c r="E1289" i="5"/>
  <c r="X1288" i="5"/>
  <c r="W1288" i="5"/>
  <c r="T1288" i="5" s="1"/>
  <c r="B1288" i="5" s="1"/>
  <c r="S1288" i="5"/>
  <c r="C1288" i="5" s="1"/>
  <c r="F1288" i="5"/>
  <c r="X1287" i="5"/>
  <c r="W1287" i="5"/>
  <c r="T1287" i="5"/>
  <c r="S1287" i="5"/>
  <c r="R1287" i="5"/>
  <c r="F1287" i="5"/>
  <c r="X1286" i="5"/>
  <c r="W1286" i="5"/>
  <c r="T1286" i="5" s="1"/>
  <c r="S1286" i="5"/>
  <c r="R1286" i="5"/>
  <c r="F1286" i="5"/>
  <c r="X1285" i="5"/>
  <c r="W1285" i="5"/>
  <c r="T1285" i="5"/>
  <c r="S1285" i="5"/>
  <c r="R1285" i="5"/>
  <c r="F1285" i="5"/>
  <c r="X1284" i="5"/>
  <c r="W1284" i="5"/>
  <c r="T1284" i="5" s="1"/>
  <c r="S1284" i="5"/>
  <c r="R1284" i="5"/>
  <c r="F1284" i="5"/>
  <c r="X1283" i="5"/>
  <c r="W1283" i="5"/>
  <c r="T1283" i="5" s="1"/>
  <c r="S1283" i="5"/>
  <c r="R1283" i="5"/>
  <c r="F1283" i="5"/>
  <c r="X1282" i="5"/>
  <c r="W1282" i="5"/>
  <c r="T1282" i="5"/>
  <c r="B1282" i="5" s="1"/>
  <c r="S1282" i="5"/>
  <c r="E1282" i="5" s="1"/>
  <c r="R1282" i="5"/>
  <c r="F1282" i="5"/>
  <c r="X1281" i="5"/>
  <c r="W1281" i="5"/>
  <c r="T1281" i="5" s="1"/>
  <c r="B1281" i="5" s="1"/>
  <c r="S1281" i="5"/>
  <c r="F1281" i="5"/>
  <c r="X1280" i="5"/>
  <c r="W1280" i="5"/>
  <c r="T1280" i="5" s="1"/>
  <c r="D1280" i="5" s="1"/>
  <c r="S1280" i="5"/>
  <c r="R1280" i="5"/>
  <c r="F1280" i="5"/>
  <c r="X1279" i="5"/>
  <c r="W1279" i="5"/>
  <c r="T1279" i="5" s="1"/>
  <c r="B1279" i="5" s="1"/>
  <c r="S1279" i="5"/>
  <c r="R1279" i="5"/>
  <c r="F1279" i="5"/>
  <c r="X1278" i="5"/>
  <c r="W1278" i="5"/>
  <c r="T1278" i="5" s="1"/>
  <c r="S1278" i="5"/>
  <c r="R1278" i="5"/>
  <c r="F1278" i="5"/>
  <c r="X1277" i="5"/>
  <c r="W1277" i="5"/>
  <c r="T1277" i="5" s="1"/>
  <c r="B1277" i="5" s="1"/>
  <c r="S1277" i="5"/>
  <c r="R1277" i="5"/>
  <c r="F1277" i="5"/>
  <c r="X1276" i="5"/>
  <c r="W1276" i="5"/>
  <c r="T1276" i="5" s="1"/>
  <c r="S1276" i="5"/>
  <c r="R1276" i="5"/>
  <c r="F1276" i="5"/>
  <c r="X1275" i="5"/>
  <c r="W1275" i="5"/>
  <c r="T1275" i="5" s="1"/>
  <c r="S1275" i="5"/>
  <c r="R1275" i="5"/>
  <c r="F1275" i="5"/>
  <c r="X1274" i="5"/>
  <c r="W1274" i="5"/>
  <c r="T1274" i="5" s="1"/>
  <c r="B1274" i="5" s="1"/>
  <c r="S1274" i="5"/>
  <c r="D1274" i="5" s="1"/>
  <c r="F1274" i="5"/>
  <c r="C1274" i="5"/>
  <c r="X1273" i="5"/>
  <c r="W1273" i="5"/>
  <c r="T1273" i="5" s="1"/>
  <c r="S1273" i="5"/>
  <c r="R1273" i="5"/>
  <c r="F1273" i="5"/>
  <c r="X1272" i="5"/>
  <c r="W1272" i="5"/>
  <c r="T1272" i="5" s="1"/>
  <c r="B1272" i="5" s="1"/>
  <c r="S1272" i="5"/>
  <c r="R1272" i="5"/>
  <c r="F1272" i="5"/>
  <c r="X1271" i="5"/>
  <c r="W1271" i="5"/>
  <c r="T1271" i="5" s="1"/>
  <c r="S1271" i="5"/>
  <c r="R1271" i="5"/>
  <c r="F1271" i="5"/>
  <c r="X1270" i="5"/>
  <c r="W1270" i="5"/>
  <c r="T1270" i="5" s="1"/>
  <c r="E1270" i="5" s="1"/>
  <c r="S1270" i="5"/>
  <c r="R1270" i="5"/>
  <c r="F1270" i="5"/>
  <c r="X1269" i="5"/>
  <c r="W1269" i="5"/>
  <c r="T1269" i="5" s="1"/>
  <c r="S1269" i="5"/>
  <c r="R1269" i="5"/>
  <c r="F1269" i="5"/>
  <c r="X1268" i="5"/>
  <c r="W1268" i="5"/>
  <c r="T1268" i="5" s="1"/>
  <c r="S1268" i="5"/>
  <c r="R1268" i="5"/>
  <c r="F1268" i="5"/>
  <c r="X1267" i="5"/>
  <c r="W1267" i="5"/>
  <c r="T1267" i="5" s="1"/>
  <c r="S1267" i="5"/>
  <c r="D1267" i="5" s="1"/>
  <c r="F1267" i="5"/>
  <c r="X1266" i="5"/>
  <c r="W1266" i="5"/>
  <c r="T1266" i="5" s="1"/>
  <c r="B1266" i="5" s="1"/>
  <c r="S1266" i="5"/>
  <c r="R1266" i="5"/>
  <c r="F1266" i="5"/>
  <c r="X1265" i="5"/>
  <c r="W1265" i="5"/>
  <c r="T1265" i="5" s="1"/>
  <c r="B1265" i="5" s="1"/>
  <c r="S1265" i="5"/>
  <c r="R1265" i="5"/>
  <c r="F1265" i="5"/>
  <c r="X1264" i="5"/>
  <c r="W1264" i="5"/>
  <c r="T1264" i="5" s="1"/>
  <c r="B1264" i="5" s="1"/>
  <c r="S1264" i="5"/>
  <c r="R1264" i="5"/>
  <c r="F1264" i="5"/>
  <c r="X1263" i="5"/>
  <c r="W1263" i="5"/>
  <c r="T1263" i="5" s="1"/>
  <c r="B1263" i="5" s="1"/>
  <c r="S1263" i="5"/>
  <c r="R1263" i="5"/>
  <c r="F1263" i="5"/>
  <c r="X1262" i="5"/>
  <c r="W1262" i="5"/>
  <c r="T1262" i="5" s="1"/>
  <c r="B1262" i="5" s="1"/>
  <c r="S1262" i="5"/>
  <c r="R1262" i="5"/>
  <c r="F1262" i="5"/>
  <c r="X1261" i="5"/>
  <c r="W1261" i="5"/>
  <c r="T1261" i="5" s="1"/>
  <c r="S1261" i="5"/>
  <c r="R1261" i="5"/>
  <c r="F1261" i="5"/>
  <c r="X1260" i="5"/>
  <c r="W1260" i="5"/>
  <c r="T1260" i="5" s="1"/>
  <c r="B1260" i="5" s="1"/>
  <c r="S1260" i="5"/>
  <c r="F1260" i="5"/>
  <c r="X1259" i="5"/>
  <c r="W1259" i="5"/>
  <c r="T1259" i="5" s="1"/>
  <c r="B1259" i="5" s="1"/>
  <c r="S1259" i="5"/>
  <c r="R1259" i="5"/>
  <c r="F1259" i="5"/>
  <c r="X1258" i="5"/>
  <c r="W1258" i="5"/>
  <c r="T1258" i="5" s="1"/>
  <c r="B1258" i="5" s="1"/>
  <c r="S1258" i="5"/>
  <c r="R1258" i="5"/>
  <c r="F1258" i="5"/>
  <c r="X1257" i="5"/>
  <c r="W1257" i="5"/>
  <c r="T1257" i="5" s="1"/>
  <c r="B1257" i="5" s="1"/>
  <c r="S1257" i="5"/>
  <c r="R1257" i="5"/>
  <c r="F1257" i="5"/>
  <c r="X1256" i="5"/>
  <c r="W1256" i="5"/>
  <c r="T1256" i="5" s="1"/>
  <c r="D1256" i="5" s="1"/>
  <c r="S1256" i="5"/>
  <c r="R1256" i="5"/>
  <c r="F1256" i="5"/>
  <c r="X1255" i="5"/>
  <c r="W1255" i="5"/>
  <c r="T1255" i="5" s="1"/>
  <c r="S1255" i="5"/>
  <c r="R1255" i="5"/>
  <c r="F1255" i="5"/>
  <c r="X1254" i="5"/>
  <c r="W1254" i="5"/>
  <c r="T1254" i="5"/>
  <c r="B1254" i="5" s="1"/>
  <c r="S1254" i="5"/>
  <c r="R1254" i="5"/>
  <c r="F1254" i="5"/>
  <c r="X1253" i="5"/>
  <c r="W1253" i="5"/>
  <c r="T1253" i="5" s="1"/>
  <c r="S1253" i="5"/>
  <c r="F1253" i="5"/>
  <c r="X1252" i="5"/>
  <c r="W1252" i="5"/>
  <c r="T1252" i="5" s="1"/>
  <c r="B1252" i="5" s="1"/>
  <c r="S1252" i="5"/>
  <c r="R1252" i="5"/>
  <c r="F1252" i="5"/>
  <c r="X1251" i="5"/>
  <c r="W1251" i="5"/>
  <c r="T1251" i="5" s="1"/>
  <c r="S1251" i="5"/>
  <c r="R1251" i="5"/>
  <c r="F1251" i="5"/>
  <c r="X1250" i="5"/>
  <c r="W1250" i="5"/>
  <c r="T1250" i="5" s="1"/>
  <c r="B1250" i="5" s="1"/>
  <c r="S1250" i="5"/>
  <c r="R1250" i="5"/>
  <c r="F1250" i="5"/>
  <c r="X1249" i="5"/>
  <c r="W1249" i="5"/>
  <c r="T1249" i="5"/>
  <c r="B1249" i="5" s="1"/>
  <c r="S1249" i="5"/>
  <c r="R1249" i="5"/>
  <c r="F1249" i="5"/>
  <c r="E1249" i="5"/>
  <c r="X1248" i="5"/>
  <c r="W1248" i="5"/>
  <c r="T1248" i="5" s="1"/>
  <c r="S1248" i="5"/>
  <c r="R1248" i="5"/>
  <c r="F1248" i="5"/>
  <c r="X1247" i="5"/>
  <c r="W1247" i="5"/>
  <c r="T1247" i="5" s="1"/>
  <c r="S1247" i="5"/>
  <c r="R1247" i="5"/>
  <c r="F1247" i="5"/>
  <c r="X1246" i="5"/>
  <c r="W1246" i="5"/>
  <c r="T1246" i="5" s="1"/>
  <c r="B1246" i="5" s="1"/>
  <c r="S1246" i="5"/>
  <c r="F1246" i="5"/>
  <c r="X1245" i="5"/>
  <c r="W1245" i="5"/>
  <c r="T1245" i="5" s="1"/>
  <c r="B1245" i="5" s="1"/>
  <c r="S1245" i="5"/>
  <c r="R1245" i="5"/>
  <c r="F1245" i="5"/>
  <c r="C1245" i="5"/>
  <c r="X1244" i="5"/>
  <c r="W1244" i="5"/>
  <c r="T1244" i="5" s="1"/>
  <c r="B1244" i="5" s="1"/>
  <c r="S1244" i="5"/>
  <c r="R1244" i="5"/>
  <c r="F1244" i="5"/>
  <c r="X1243" i="5"/>
  <c r="W1243" i="5"/>
  <c r="T1243" i="5" s="1"/>
  <c r="B1243" i="5" s="1"/>
  <c r="S1243" i="5"/>
  <c r="C1243" i="5" s="1"/>
  <c r="R1243" i="5"/>
  <c r="F1243" i="5"/>
  <c r="E1243" i="5"/>
  <c r="X1242" i="5"/>
  <c r="W1242" i="5"/>
  <c r="T1242" i="5" s="1"/>
  <c r="B1242" i="5" s="1"/>
  <c r="S1242" i="5"/>
  <c r="R1242" i="5"/>
  <c r="F1242" i="5"/>
  <c r="X1241" i="5"/>
  <c r="W1241" i="5"/>
  <c r="T1241" i="5" s="1"/>
  <c r="B1241" i="5" s="1"/>
  <c r="S1241" i="5"/>
  <c r="R1241" i="5"/>
  <c r="F1241" i="5"/>
  <c r="X1240" i="5"/>
  <c r="W1240" i="5"/>
  <c r="T1240" i="5" s="1"/>
  <c r="B1240" i="5" s="1"/>
  <c r="S1240" i="5"/>
  <c r="R1240" i="5"/>
  <c r="F1240" i="5"/>
  <c r="X1239" i="5"/>
  <c r="W1239" i="5"/>
  <c r="T1239" i="5" s="1"/>
  <c r="B1239" i="5" s="1"/>
  <c r="S1239" i="5"/>
  <c r="E1239" i="5" s="1"/>
  <c r="F1239" i="5"/>
  <c r="X1238" i="5"/>
  <c r="W1238" i="5"/>
  <c r="T1238" i="5" s="1"/>
  <c r="B1238" i="5" s="1"/>
  <c r="S1238" i="5"/>
  <c r="D1238" i="5" s="1"/>
  <c r="R1238" i="5"/>
  <c r="F1238" i="5"/>
  <c r="X1237" i="5"/>
  <c r="W1237" i="5"/>
  <c r="T1237" i="5" s="1"/>
  <c r="B1237" i="5" s="1"/>
  <c r="S1237" i="5"/>
  <c r="R1237" i="5"/>
  <c r="F1237" i="5"/>
  <c r="X1236" i="5"/>
  <c r="W1236" i="5"/>
  <c r="T1236" i="5" s="1"/>
  <c r="S1236" i="5"/>
  <c r="R1236" i="5"/>
  <c r="F1236" i="5"/>
  <c r="X1235" i="5"/>
  <c r="W1235" i="5"/>
  <c r="T1235" i="5" s="1"/>
  <c r="B1235" i="5" s="1"/>
  <c r="S1235" i="5"/>
  <c r="R1235" i="5"/>
  <c r="F1235" i="5"/>
  <c r="X1234" i="5"/>
  <c r="W1234" i="5"/>
  <c r="T1234" i="5" s="1"/>
  <c r="S1234" i="5"/>
  <c r="R1234" i="5"/>
  <c r="F1234" i="5"/>
  <c r="X1233" i="5"/>
  <c r="W1233" i="5"/>
  <c r="T1233" i="5" s="1"/>
  <c r="B1233" i="5" s="1"/>
  <c r="S1233" i="5"/>
  <c r="R1233" i="5"/>
  <c r="F1233" i="5"/>
  <c r="X1232" i="5"/>
  <c r="W1232" i="5"/>
  <c r="T1232" i="5" s="1"/>
  <c r="S1232" i="5"/>
  <c r="F1232" i="5"/>
  <c r="X1231" i="5"/>
  <c r="W1231" i="5"/>
  <c r="T1231" i="5" s="1"/>
  <c r="B1231" i="5" s="1"/>
  <c r="S1231" i="5"/>
  <c r="R1231" i="5"/>
  <c r="F1231" i="5"/>
  <c r="X1230" i="5"/>
  <c r="W1230" i="5"/>
  <c r="T1230" i="5" s="1"/>
  <c r="D1230" i="5" s="1"/>
  <c r="S1230" i="5"/>
  <c r="R1230" i="5"/>
  <c r="F1230" i="5"/>
  <c r="X1229" i="5"/>
  <c r="W1229" i="5"/>
  <c r="T1229" i="5"/>
  <c r="B1229" i="5" s="1"/>
  <c r="S1229" i="5"/>
  <c r="R1229" i="5"/>
  <c r="F1229" i="5"/>
  <c r="X1228" i="5"/>
  <c r="W1228" i="5"/>
  <c r="T1228" i="5" s="1"/>
  <c r="B1228" i="5" s="1"/>
  <c r="S1228" i="5"/>
  <c r="R1228" i="5"/>
  <c r="F1228" i="5"/>
  <c r="X1227" i="5"/>
  <c r="W1227" i="5"/>
  <c r="T1227" i="5" s="1"/>
  <c r="B1227" i="5" s="1"/>
  <c r="S1227" i="5"/>
  <c r="R1227" i="5"/>
  <c r="F1227" i="5"/>
  <c r="X1226" i="5"/>
  <c r="W1226" i="5"/>
  <c r="T1226" i="5" s="1"/>
  <c r="S1226" i="5"/>
  <c r="E1226" i="5" s="1"/>
  <c r="R1226" i="5"/>
  <c r="F1226" i="5"/>
  <c r="X1225" i="5"/>
  <c r="W1225" i="5"/>
  <c r="T1225" i="5" s="1"/>
  <c r="B1225" i="5" s="1"/>
  <c r="S1225" i="5"/>
  <c r="F1225" i="5"/>
  <c r="X1224" i="5"/>
  <c r="W1224" i="5"/>
  <c r="T1224" i="5" s="1"/>
  <c r="B1224" i="5" s="1"/>
  <c r="S1224" i="5"/>
  <c r="C1224" i="5" s="1"/>
  <c r="R1224" i="5"/>
  <c r="F1224" i="5"/>
  <c r="X1223" i="5"/>
  <c r="W1223" i="5"/>
  <c r="T1223" i="5" s="1"/>
  <c r="B1223" i="5" s="1"/>
  <c r="S1223" i="5"/>
  <c r="R1223" i="5"/>
  <c r="F1223" i="5"/>
  <c r="X1222" i="5"/>
  <c r="W1222" i="5"/>
  <c r="T1222" i="5" s="1"/>
  <c r="S1222" i="5"/>
  <c r="R1222" i="5"/>
  <c r="F1222" i="5"/>
  <c r="X1221" i="5"/>
  <c r="W1221" i="5"/>
  <c r="T1221" i="5" s="1"/>
  <c r="S1221" i="5"/>
  <c r="C1221" i="5" s="1"/>
  <c r="R1221" i="5"/>
  <c r="F1221" i="5"/>
  <c r="X1220" i="5"/>
  <c r="W1220" i="5"/>
  <c r="T1220" i="5" s="1"/>
  <c r="B1220" i="5" s="1"/>
  <c r="S1220" i="5"/>
  <c r="R1220" i="5"/>
  <c r="F1220" i="5"/>
  <c r="X1219" i="5"/>
  <c r="W1219" i="5"/>
  <c r="T1219" i="5" s="1"/>
  <c r="B1219" i="5" s="1"/>
  <c r="S1219" i="5"/>
  <c r="R1219" i="5"/>
  <c r="F1219" i="5"/>
  <c r="X1218" i="5"/>
  <c r="W1218" i="5"/>
  <c r="T1218" i="5" s="1"/>
  <c r="S1218" i="5"/>
  <c r="F1218" i="5"/>
  <c r="C1218" i="5"/>
  <c r="X1217" i="5"/>
  <c r="W1217" i="5"/>
  <c r="T1217" i="5" s="1"/>
  <c r="S1217" i="5"/>
  <c r="R1217" i="5"/>
  <c r="F1217" i="5"/>
  <c r="X1216" i="5"/>
  <c r="W1216" i="5"/>
  <c r="T1216" i="5" s="1"/>
  <c r="B1216" i="5" s="1"/>
  <c r="S1216" i="5"/>
  <c r="R1216" i="5"/>
  <c r="F1216" i="5"/>
  <c r="X1215" i="5"/>
  <c r="W1215" i="5"/>
  <c r="T1215" i="5" s="1"/>
  <c r="S1215" i="5"/>
  <c r="R1215" i="5"/>
  <c r="F1215" i="5"/>
  <c r="X1214" i="5"/>
  <c r="W1214" i="5"/>
  <c r="T1214" i="5" s="1"/>
  <c r="B1214" i="5" s="1"/>
  <c r="S1214" i="5"/>
  <c r="C1214" i="5" s="1"/>
  <c r="R1214" i="5"/>
  <c r="F1214" i="5"/>
  <c r="X1213" i="5"/>
  <c r="W1213" i="5"/>
  <c r="T1213" i="5" s="1"/>
  <c r="B1213" i="5" s="1"/>
  <c r="S1213" i="5"/>
  <c r="D1213" i="5" s="1"/>
  <c r="R1213" i="5"/>
  <c r="F1213" i="5"/>
  <c r="X1212" i="5"/>
  <c r="W1212" i="5"/>
  <c r="T1212" i="5" s="1"/>
  <c r="B1212" i="5" s="1"/>
  <c r="S1212" i="5"/>
  <c r="R1212" i="5"/>
  <c r="F1212" i="5"/>
  <c r="X1211" i="5"/>
  <c r="W1211" i="5"/>
  <c r="T1211" i="5" s="1"/>
  <c r="S1211" i="5"/>
  <c r="F1211" i="5"/>
  <c r="X1210" i="5"/>
  <c r="W1210" i="5"/>
  <c r="T1210" i="5"/>
  <c r="B1210" i="5" s="1"/>
  <c r="S1210" i="5"/>
  <c r="R1210" i="5"/>
  <c r="F1210" i="5"/>
  <c r="X1209" i="5"/>
  <c r="W1209" i="5"/>
  <c r="T1209" i="5" s="1"/>
  <c r="B1209" i="5" s="1"/>
  <c r="S1209" i="5"/>
  <c r="R1209" i="5"/>
  <c r="F1209" i="5"/>
  <c r="X1208" i="5"/>
  <c r="W1208" i="5"/>
  <c r="T1208" i="5" s="1"/>
  <c r="B1208" i="5" s="1"/>
  <c r="S1208" i="5"/>
  <c r="R1208" i="5"/>
  <c r="F1208" i="5"/>
  <c r="X1207" i="5"/>
  <c r="W1207" i="5"/>
  <c r="T1207" i="5" s="1"/>
  <c r="B1207" i="5" s="1"/>
  <c r="S1207" i="5"/>
  <c r="R1207" i="5"/>
  <c r="F1207" i="5"/>
  <c r="X1206" i="5"/>
  <c r="W1206" i="5"/>
  <c r="T1206" i="5" s="1"/>
  <c r="B1206" i="5" s="1"/>
  <c r="S1206" i="5"/>
  <c r="R1206" i="5"/>
  <c r="F1206" i="5"/>
  <c r="X1205" i="5"/>
  <c r="W1205" i="5"/>
  <c r="T1205" i="5" s="1"/>
  <c r="S1205" i="5"/>
  <c r="R1205" i="5"/>
  <c r="F1205" i="5"/>
  <c r="X1204" i="5"/>
  <c r="W1204" i="5"/>
  <c r="T1204" i="5" s="1"/>
  <c r="B1204" i="5" s="1"/>
  <c r="S1204" i="5"/>
  <c r="F1204" i="5"/>
  <c r="X1203" i="5"/>
  <c r="W1203" i="5"/>
  <c r="T1203" i="5" s="1"/>
  <c r="B1203" i="5" s="1"/>
  <c r="S1203" i="5"/>
  <c r="R1203" i="5"/>
  <c r="F1203" i="5"/>
  <c r="X1202" i="5"/>
  <c r="W1202" i="5"/>
  <c r="T1202" i="5" s="1"/>
  <c r="S1202" i="5"/>
  <c r="R1202" i="5"/>
  <c r="F1202" i="5"/>
  <c r="X1201" i="5"/>
  <c r="W1201" i="5"/>
  <c r="T1201" i="5" s="1"/>
  <c r="S1201" i="5"/>
  <c r="C1201" i="5" s="1"/>
  <c r="R1201" i="5"/>
  <c r="F1201" i="5"/>
  <c r="X1200" i="5"/>
  <c r="W1200" i="5"/>
  <c r="T1200" i="5" s="1"/>
  <c r="B1200" i="5" s="1"/>
  <c r="S1200" i="5"/>
  <c r="R1200" i="5"/>
  <c r="F1200" i="5"/>
  <c r="X1199" i="5"/>
  <c r="W1199" i="5"/>
  <c r="T1199" i="5" s="1"/>
  <c r="S1199" i="5"/>
  <c r="R1199" i="5"/>
  <c r="F1199" i="5"/>
  <c r="X1198" i="5"/>
  <c r="W1198" i="5"/>
  <c r="T1198" i="5" s="1"/>
  <c r="S1198" i="5"/>
  <c r="R1198" i="5"/>
  <c r="F1198" i="5"/>
  <c r="X1197" i="5"/>
  <c r="W1197" i="5"/>
  <c r="T1197" i="5" s="1"/>
  <c r="S1197" i="5"/>
  <c r="F1197" i="5"/>
  <c r="X1196" i="5"/>
  <c r="W1196" i="5"/>
  <c r="T1196" i="5" s="1"/>
  <c r="B1196" i="5" s="1"/>
  <c r="S1196" i="5"/>
  <c r="R1196" i="5"/>
  <c r="F1196" i="5"/>
  <c r="X1195" i="5"/>
  <c r="W1195" i="5"/>
  <c r="T1195" i="5" s="1"/>
  <c r="B1195" i="5" s="1"/>
  <c r="S1195" i="5"/>
  <c r="R1195" i="5"/>
  <c r="F1195" i="5"/>
  <c r="X1194" i="5"/>
  <c r="W1194" i="5"/>
  <c r="T1194" i="5" s="1"/>
  <c r="B1194" i="5" s="1"/>
  <c r="S1194" i="5"/>
  <c r="R1194" i="5"/>
  <c r="F1194" i="5"/>
  <c r="X1193" i="5"/>
  <c r="W1193" i="5"/>
  <c r="T1193" i="5" s="1"/>
  <c r="B1193" i="5" s="1"/>
  <c r="S1193" i="5"/>
  <c r="E1193" i="5" s="1"/>
  <c r="R1193" i="5"/>
  <c r="F1193" i="5"/>
  <c r="X1192" i="5"/>
  <c r="W1192" i="5"/>
  <c r="T1192" i="5" s="1"/>
  <c r="S1192" i="5"/>
  <c r="R1192" i="5"/>
  <c r="F1192" i="5"/>
  <c r="X1191" i="5"/>
  <c r="W1191" i="5"/>
  <c r="T1191" i="5" s="1"/>
  <c r="B1191" i="5" s="1"/>
  <c r="S1191" i="5"/>
  <c r="R1191" i="5"/>
  <c r="F1191" i="5"/>
  <c r="X1190" i="5"/>
  <c r="W1190" i="5"/>
  <c r="T1190" i="5" s="1"/>
  <c r="S1190" i="5"/>
  <c r="F1190" i="5"/>
  <c r="X1189" i="5"/>
  <c r="W1189" i="5"/>
  <c r="T1189" i="5"/>
  <c r="S1189" i="5"/>
  <c r="R1189" i="5"/>
  <c r="F1189" i="5"/>
  <c r="X1188" i="5"/>
  <c r="W1188" i="5"/>
  <c r="T1188" i="5" s="1"/>
  <c r="B1188" i="5" s="1"/>
  <c r="S1188" i="5"/>
  <c r="R1188" i="5"/>
  <c r="F1188" i="5"/>
  <c r="X1187" i="5"/>
  <c r="W1187" i="5"/>
  <c r="T1187" i="5" s="1"/>
  <c r="S1187" i="5"/>
  <c r="R1187" i="5"/>
  <c r="F1187" i="5"/>
  <c r="X1186" i="5"/>
  <c r="W1186" i="5"/>
  <c r="T1186" i="5" s="1"/>
  <c r="S1186" i="5"/>
  <c r="R1186" i="5"/>
  <c r="F1186" i="5"/>
  <c r="X1185" i="5"/>
  <c r="W1185" i="5"/>
  <c r="T1185" i="5" s="1"/>
  <c r="B1185" i="5" s="1"/>
  <c r="S1185" i="5"/>
  <c r="R1185" i="5"/>
  <c r="F1185" i="5"/>
  <c r="X1184" i="5"/>
  <c r="W1184" i="5"/>
  <c r="T1184" i="5" s="1"/>
  <c r="B1184" i="5" s="1"/>
  <c r="S1184" i="5"/>
  <c r="R1184" i="5"/>
  <c r="F1184" i="5"/>
  <c r="X1183" i="5"/>
  <c r="W1183" i="5"/>
  <c r="T1183" i="5" s="1"/>
  <c r="B1183" i="5" s="1"/>
  <c r="S1183" i="5"/>
  <c r="F1183" i="5"/>
  <c r="X1182" i="5"/>
  <c r="W1182" i="5"/>
  <c r="T1182" i="5" s="1"/>
  <c r="B1182" i="5" s="1"/>
  <c r="S1182" i="5"/>
  <c r="R1182" i="5"/>
  <c r="F1182" i="5"/>
  <c r="X1181" i="5"/>
  <c r="W1181" i="5"/>
  <c r="T1181" i="5" s="1"/>
  <c r="B1181" i="5" s="1"/>
  <c r="S1181" i="5"/>
  <c r="R1181" i="5"/>
  <c r="F1181" i="5"/>
  <c r="X1180" i="5"/>
  <c r="W1180" i="5"/>
  <c r="T1180" i="5" s="1"/>
  <c r="B1180" i="5" s="1"/>
  <c r="S1180" i="5"/>
  <c r="R1180" i="5"/>
  <c r="F1180" i="5"/>
  <c r="X1179" i="5"/>
  <c r="W1179" i="5"/>
  <c r="T1179" i="5" s="1"/>
  <c r="C1179" i="5" s="1"/>
  <c r="S1179" i="5"/>
  <c r="R1179" i="5"/>
  <c r="F1179" i="5"/>
  <c r="X1178" i="5"/>
  <c r="W1178" i="5"/>
  <c r="T1178" i="5" s="1"/>
  <c r="B1178" i="5" s="1"/>
  <c r="S1178" i="5"/>
  <c r="R1178" i="5"/>
  <c r="F1178" i="5"/>
  <c r="X1177" i="5"/>
  <c r="W1177" i="5"/>
  <c r="T1177" i="5" s="1"/>
  <c r="S1177" i="5"/>
  <c r="R1177" i="5"/>
  <c r="F1177" i="5"/>
  <c r="X1176" i="5"/>
  <c r="W1176" i="5"/>
  <c r="T1176" i="5" s="1"/>
  <c r="B1176" i="5" s="1"/>
  <c r="S1176" i="5"/>
  <c r="F1176" i="5"/>
  <c r="X1175" i="5"/>
  <c r="W1175" i="5"/>
  <c r="T1175" i="5" s="1"/>
  <c r="B1175" i="5" s="1"/>
  <c r="S1175" i="5"/>
  <c r="R1175" i="5"/>
  <c r="F1175" i="5"/>
  <c r="X1174" i="5"/>
  <c r="W1174" i="5"/>
  <c r="T1174" i="5" s="1"/>
  <c r="B1174" i="5" s="1"/>
  <c r="S1174" i="5"/>
  <c r="R1174" i="5"/>
  <c r="F1174" i="5"/>
  <c r="X1173" i="5"/>
  <c r="W1173" i="5"/>
  <c r="T1173" i="5" s="1"/>
  <c r="S1173" i="5"/>
  <c r="R1173" i="5"/>
  <c r="F1173" i="5"/>
  <c r="X1172" i="5"/>
  <c r="W1172" i="5"/>
  <c r="T1172" i="5"/>
  <c r="B1172" i="5" s="1"/>
  <c r="S1172" i="5"/>
  <c r="R1172" i="5"/>
  <c r="F1172" i="5"/>
  <c r="X1171" i="5"/>
  <c r="W1171" i="5"/>
  <c r="T1171" i="5" s="1"/>
  <c r="S1171" i="5"/>
  <c r="R1171" i="5"/>
  <c r="F1171" i="5"/>
  <c r="X1170" i="5"/>
  <c r="W1170" i="5"/>
  <c r="T1170" i="5" s="1"/>
  <c r="B1170" i="5" s="1"/>
  <c r="S1170" i="5"/>
  <c r="R1170" i="5"/>
  <c r="F1170" i="5"/>
  <c r="X1169" i="5"/>
  <c r="W1169" i="5"/>
  <c r="T1169" i="5" s="1"/>
  <c r="S1169" i="5"/>
  <c r="F1169" i="5"/>
  <c r="X1168" i="5"/>
  <c r="W1168" i="5"/>
  <c r="T1168" i="5" s="1"/>
  <c r="B1168" i="5" s="1"/>
  <c r="S1168" i="5"/>
  <c r="R1168" i="5"/>
  <c r="F1168" i="5"/>
  <c r="X1167" i="5"/>
  <c r="W1167" i="5"/>
  <c r="T1167" i="5" s="1"/>
  <c r="S1167" i="5"/>
  <c r="R1167" i="5"/>
  <c r="F1167" i="5"/>
  <c r="X1166" i="5"/>
  <c r="W1166" i="5"/>
  <c r="T1166" i="5" s="1"/>
  <c r="B1166" i="5" s="1"/>
  <c r="S1166" i="5"/>
  <c r="R1166" i="5"/>
  <c r="F1166" i="5"/>
  <c r="X1165" i="5"/>
  <c r="W1165" i="5"/>
  <c r="T1165" i="5" s="1"/>
  <c r="B1165" i="5" s="1"/>
  <c r="S1165" i="5"/>
  <c r="R1165" i="5"/>
  <c r="F1165" i="5"/>
  <c r="X1164" i="5"/>
  <c r="W1164" i="5"/>
  <c r="T1164" i="5" s="1"/>
  <c r="B1164" i="5" s="1"/>
  <c r="S1164" i="5"/>
  <c r="R1164" i="5"/>
  <c r="F1164" i="5"/>
  <c r="X1163" i="5"/>
  <c r="W1163" i="5"/>
  <c r="T1163" i="5" s="1"/>
  <c r="S1163" i="5"/>
  <c r="R1163" i="5"/>
  <c r="F1163" i="5"/>
  <c r="X1162" i="5"/>
  <c r="W1162" i="5"/>
  <c r="T1162" i="5" s="1"/>
  <c r="S1162" i="5"/>
  <c r="F1162" i="5"/>
  <c r="X1161" i="5"/>
  <c r="W1161" i="5"/>
  <c r="T1161" i="5" s="1"/>
  <c r="B1161" i="5" s="1"/>
  <c r="S1161" i="5"/>
  <c r="R1161" i="5"/>
  <c r="F1161" i="5"/>
  <c r="X1160" i="5"/>
  <c r="W1160" i="5"/>
  <c r="T1160" i="5" s="1"/>
  <c r="B1160" i="5" s="1"/>
  <c r="S1160" i="5"/>
  <c r="R1160" i="5"/>
  <c r="F1160" i="5"/>
  <c r="X1159" i="5"/>
  <c r="W1159" i="5"/>
  <c r="T1159" i="5"/>
  <c r="S1159" i="5"/>
  <c r="R1159" i="5"/>
  <c r="F1159" i="5"/>
  <c r="B1159" i="5"/>
  <c r="X1158" i="5"/>
  <c r="W1158" i="5"/>
  <c r="T1158" i="5" s="1"/>
  <c r="E1158" i="5" s="1"/>
  <c r="S1158" i="5"/>
  <c r="R1158" i="5"/>
  <c r="F1158" i="5"/>
  <c r="X1157" i="5"/>
  <c r="W1157" i="5"/>
  <c r="T1157" i="5" s="1"/>
  <c r="B1157" i="5" s="1"/>
  <c r="S1157" i="5"/>
  <c r="R1157" i="5"/>
  <c r="F1157" i="5"/>
  <c r="X1156" i="5"/>
  <c r="W1156" i="5"/>
  <c r="T1156" i="5" s="1"/>
  <c r="S1156" i="5"/>
  <c r="R1156" i="5"/>
  <c r="F1156" i="5"/>
  <c r="X1155" i="5"/>
  <c r="W1155" i="5"/>
  <c r="T1155" i="5" s="1"/>
  <c r="B1155" i="5" s="1"/>
  <c r="S1155" i="5"/>
  <c r="F1155" i="5"/>
  <c r="X1154" i="5"/>
  <c r="W1154" i="5"/>
  <c r="T1154" i="5"/>
  <c r="B1154" i="5" s="1"/>
  <c r="S1154" i="5"/>
  <c r="C1154" i="5" s="1"/>
  <c r="R1154" i="5"/>
  <c r="F1154" i="5"/>
  <c r="X1153" i="5"/>
  <c r="W1153" i="5"/>
  <c r="T1153" i="5" s="1"/>
  <c r="B1153" i="5" s="1"/>
  <c r="S1153" i="5"/>
  <c r="R1153" i="5"/>
  <c r="F1153" i="5"/>
  <c r="X1152" i="5"/>
  <c r="W1152" i="5"/>
  <c r="T1152" i="5" s="1"/>
  <c r="B1152" i="5" s="1"/>
  <c r="S1152" i="5"/>
  <c r="R1152" i="5"/>
  <c r="F1152" i="5"/>
  <c r="X1151" i="5"/>
  <c r="W1151" i="5"/>
  <c r="T1151" i="5" s="1"/>
  <c r="S1151" i="5"/>
  <c r="R1151" i="5"/>
  <c r="F1151" i="5"/>
  <c r="X1150" i="5"/>
  <c r="W1150" i="5"/>
  <c r="T1150" i="5" s="1"/>
  <c r="S1150" i="5"/>
  <c r="R1150" i="5"/>
  <c r="F1150" i="5"/>
  <c r="X1149" i="5"/>
  <c r="W1149" i="5"/>
  <c r="T1149" i="5" s="1"/>
  <c r="B1149" i="5" s="1"/>
  <c r="S1149" i="5"/>
  <c r="C1149" i="5" s="1"/>
  <c r="R1149" i="5"/>
  <c r="F1149" i="5"/>
  <c r="X1148" i="5"/>
  <c r="W1148" i="5"/>
  <c r="T1148" i="5" s="1"/>
  <c r="B1148" i="5" s="1"/>
  <c r="S1148" i="5"/>
  <c r="F1148" i="5"/>
  <c r="X1147" i="5"/>
  <c r="W1147" i="5"/>
  <c r="T1147" i="5" s="1"/>
  <c r="B1147" i="5" s="1"/>
  <c r="S1147" i="5"/>
  <c r="R1147" i="5"/>
  <c r="F1147" i="5"/>
  <c r="X1146" i="5"/>
  <c r="W1146" i="5"/>
  <c r="T1146" i="5" s="1"/>
  <c r="S1146" i="5"/>
  <c r="R1146" i="5"/>
  <c r="F1146" i="5"/>
  <c r="X1145" i="5"/>
  <c r="W1145" i="5"/>
  <c r="T1145" i="5" s="1"/>
  <c r="B1145" i="5" s="1"/>
  <c r="S1145" i="5"/>
  <c r="R1145" i="5"/>
  <c r="F1145" i="5"/>
  <c r="X1144" i="5"/>
  <c r="W1144" i="5"/>
  <c r="T1144" i="5" s="1"/>
  <c r="S1144" i="5"/>
  <c r="R1144" i="5"/>
  <c r="F1144" i="5"/>
  <c r="X1143" i="5"/>
  <c r="W1143" i="5"/>
  <c r="T1143" i="5" s="1"/>
  <c r="S1143" i="5"/>
  <c r="R1143" i="5"/>
  <c r="F1143" i="5"/>
  <c r="X1142" i="5"/>
  <c r="W1142" i="5"/>
  <c r="T1142" i="5" s="1"/>
  <c r="B1142" i="5" s="1"/>
  <c r="S1142" i="5"/>
  <c r="D1142" i="5" s="1"/>
  <c r="R1142" i="5"/>
  <c r="F1142" i="5"/>
  <c r="X1141" i="5"/>
  <c r="W1141" i="5"/>
  <c r="T1141" i="5" s="1"/>
  <c r="S1141" i="5"/>
  <c r="F1141" i="5"/>
  <c r="X1140" i="5"/>
  <c r="W1140" i="5"/>
  <c r="T1140" i="5" s="1"/>
  <c r="B1140" i="5" s="1"/>
  <c r="S1140" i="5"/>
  <c r="R1140" i="5"/>
  <c r="F1140" i="5"/>
  <c r="X1139" i="5"/>
  <c r="W1139" i="5"/>
  <c r="T1139" i="5" s="1"/>
  <c r="B1139" i="5" s="1"/>
  <c r="S1139" i="5"/>
  <c r="R1139" i="5"/>
  <c r="F1139" i="5"/>
  <c r="X1138" i="5"/>
  <c r="W1138" i="5"/>
  <c r="T1138" i="5" s="1"/>
  <c r="B1138" i="5" s="1"/>
  <c r="S1138" i="5"/>
  <c r="R1138" i="5"/>
  <c r="F1138" i="5"/>
  <c r="X1137" i="5"/>
  <c r="W1137" i="5"/>
  <c r="T1137" i="5" s="1"/>
  <c r="S1137" i="5"/>
  <c r="R1137" i="5"/>
  <c r="F1137" i="5"/>
  <c r="X1136" i="5"/>
  <c r="W1136" i="5"/>
  <c r="T1136" i="5" s="1"/>
  <c r="B1136" i="5" s="1"/>
  <c r="S1136" i="5"/>
  <c r="R1136" i="5"/>
  <c r="F1136" i="5"/>
  <c r="X1135" i="5"/>
  <c r="W1135" i="5"/>
  <c r="T1135" i="5" s="1"/>
  <c r="B1135" i="5" s="1"/>
  <c r="S1135" i="5"/>
  <c r="R1135" i="5"/>
  <c r="F1135" i="5"/>
  <c r="X1134" i="5"/>
  <c r="W1134" i="5"/>
  <c r="T1134" i="5" s="1"/>
  <c r="B1134" i="5" s="1"/>
  <c r="S1134" i="5"/>
  <c r="F1134" i="5"/>
  <c r="X1133" i="5"/>
  <c r="W1133" i="5"/>
  <c r="T1133" i="5" s="1"/>
  <c r="S1133" i="5"/>
  <c r="E1133" i="5" s="1"/>
  <c r="R1133" i="5"/>
  <c r="F1133" i="5"/>
  <c r="X1132" i="5"/>
  <c r="W1132" i="5"/>
  <c r="T1132" i="5" s="1"/>
  <c r="S1132" i="5"/>
  <c r="R1132" i="5"/>
  <c r="F1132" i="5"/>
  <c r="X1131" i="5"/>
  <c r="W1131" i="5"/>
  <c r="T1131" i="5" s="1"/>
  <c r="B1131" i="5" s="1"/>
  <c r="S1131" i="5"/>
  <c r="R1131" i="5"/>
  <c r="F1131" i="5"/>
  <c r="X1130" i="5"/>
  <c r="W1130" i="5"/>
  <c r="T1130" i="5" s="1"/>
  <c r="S1130" i="5"/>
  <c r="R1130" i="5"/>
  <c r="F1130" i="5"/>
  <c r="X1129" i="5"/>
  <c r="W1129" i="5"/>
  <c r="T1129" i="5" s="1"/>
  <c r="B1129" i="5" s="1"/>
  <c r="S1129" i="5"/>
  <c r="C1129" i="5" s="1"/>
  <c r="R1129" i="5"/>
  <c r="F1129" i="5"/>
  <c r="E1129" i="5"/>
  <c r="X1128" i="5"/>
  <c r="W1128" i="5"/>
  <c r="T1128" i="5" s="1"/>
  <c r="B1128" i="5" s="1"/>
  <c r="S1128" i="5"/>
  <c r="R1128" i="5"/>
  <c r="F1128" i="5"/>
  <c r="X1127" i="5"/>
  <c r="W1127" i="5"/>
  <c r="T1127" i="5"/>
  <c r="B1127" i="5" s="1"/>
  <c r="S1127" i="5"/>
  <c r="F1127" i="5"/>
  <c r="X1126" i="5"/>
  <c r="W1126" i="5"/>
  <c r="T1126" i="5" s="1"/>
  <c r="S1126" i="5"/>
  <c r="R1126" i="5"/>
  <c r="F1126" i="5"/>
  <c r="X1125" i="5"/>
  <c r="W1125" i="5"/>
  <c r="T1125" i="5" s="1"/>
  <c r="B1125" i="5" s="1"/>
  <c r="S1125" i="5"/>
  <c r="R1125" i="5"/>
  <c r="F1125" i="5"/>
  <c r="X1124" i="5"/>
  <c r="W1124" i="5"/>
  <c r="T1124" i="5" s="1"/>
  <c r="B1124" i="5" s="1"/>
  <c r="S1124" i="5"/>
  <c r="R1124" i="5"/>
  <c r="F1124" i="5"/>
  <c r="X1123" i="5"/>
  <c r="W1123" i="5"/>
  <c r="T1123" i="5" s="1"/>
  <c r="B1123" i="5" s="1"/>
  <c r="S1123" i="5"/>
  <c r="C1123" i="5" s="1"/>
  <c r="R1123" i="5"/>
  <c r="F1123" i="5"/>
  <c r="X1122" i="5"/>
  <c r="W1122" i="5"/>
  <c r="T1122" i="5" s="1"/>
  <c r="S1122" i="5"/>
  <c r="R1122" i="5"/>
  <c r="F1122" i="5"/>
  <c r="X1121" i="5"/>
  <c r="W1121" i="5"/>
  <c r="T1121" i="5" s="1"/>
  <c r="S1121" i="5"/>
  <c r="R1121" i="5"/>
  <c r="F1121" i="5"/>
  <c r="X1120" i="5"/>
  <c r="W1120" i="5"/>
  <c r="T1120" i="5" s="1"/>
  <c r="B1120" i="5" s="1"/>
  <c r="S1120" i="5"/>
  <c r="F1120" i="5"/>
  <c r="X1119" i="5"/>
  <c r="W1119" i="5"/>
  <c r="T1119" i="5" s="1"/>
  <c r="S1119" i="5"/>
  <c r="E1119" i="5" s="1"/>
  <c r="R1119" i="5"/>
  <c r="F1119" i="5"/>
  <c r="X1118" i="5"/>
  <c r="W1118" i="5"/>
  <c r="T1118" i="5" s="1"/>
  <c r="S1118" i="5"/>
  <c r="R1118" i="5"/>
  <c r="F1118" i="5"/>
  <c r="X1117" i="5"/>
  <c r="W1117" i="5"/>
  <c r="T1117" i="5"/>
  <c r="S1117" i="5"/>
  <c r="R1117" i="5"/>
  <c r="F1117" i="5"/>
  <c r="X1116" i="5"/>
  <c r="W1116" i="5"/>
  <c r="T1116" i="5" s="1"/>
  <c r="S1116" i="5"/>
  <c r="R1116" i="5"/>
  <c r="F1116" i="5"/>
  <c r="X1115" i="5"/>
  <c r="W1115" i="5"/>
  <c r="T1115" i="5" s="1"/>
  <c r="B1115" i="5" s="1"/>
  <c r="S1115" i="5"/>
  <c r="R1115" i="5"/>
  <c r="F1115" i="5"/>
  <c r="X1114" i="5"/>
  <c r="W1114" i="5"/>
  <c r="T1114" i="5"/>
  <c r="B1114" i="5" s="1"/>
  <c r="S1114" i="5"/>
  <c r="R1114" i="5"/>
  <c r="F1114" i="5"/>
  <c r="X1113" i="5"/>
  <c r="W1113" i="5"/>
  <c r="T1113" i="5" s="1"/>
  <c r="B1113" i="5" s="1"/>
  <c r="S1113" i="5"/>
  <c r="C1113" i="5" s="1"/>
  <c r="F1113" i="5"/>
  <c r="X1112" i="5"/>
  <c r="W1112" i="5"/>
  <c r="T1112" i="5" s="1"/>
  <c r="B1112" i="5" s="1"/>
  <c r="S1112" i="5"/>
  <c r="R1112" i="5"/>
  <c r="F1112" i="5"/>
  <c r="X1111" i="5"/>
  <c r="W1111" i="5"/>
  <c r="T1111" i="5" s="1"/>
  <c r="S1111" i="5"/>
  <c r="R1111" i="5"/>
  <c r="F1111" i="5"/>
  <c r="X1110" i="5"/>
  <c r="W1110" i="5"/>
  <c r="T1110" i="5" s="1"/>
  <c r="B1110" i="5" s="1"/>
  <c r="S1110" i="5"/>
  <c r="R1110" i="5"/>
  <c r="F1110" i="5"/>
  <c r="X1109" i="5"/>
  <c r="W1109" i="5"/>
  <c r="T1109" i="5" s="1"/>
  <c r="S1109" i="5"/>
  <c r="D1109" i="5" s="1"/>
  <c r="R1109" i="5"/>
  <c r="F1109" i="5"/>
  <c r="X1108" i="5"/>
  <c r="W1108" i="5"/>
  <c r="T1108" i="5" s="1"/>
  <c r="B1108" i="5" s="1"/>
  <c r="S1108" i="5"/>
  <c r="R1108" i="5"/>
  <c r="F1108" i="5"/>
  <c r="X1107" i="5"/>
  <c r="W1107" i="5"/>
  <c r="T1107" i="5" s="1"/>
  <c r="B1107" i="5" s="1"/>
  <c r="S1107" i="5"/>
  <c r="R1107" i="5"/>
  <c r="F1107" i="5"/>
  <c r="X1106" i="5"/>
  <c r="W1106" i="5"/>
  <c r="T1106" i="5" s="1"/>
  <c r="S1106" i="5"/>
  <c r="F1106" i="5"/>
  <c r="X1105" i="5"/>
  <c r="W1105" i="5"/>
  <c r="T1105" i="5" s="1"/>
  <c r="B1105" i="5" s="1"/>
  <c r="S1105" i="5"/>
  <c r="R1105" i="5"/>
  <c r="F1105" i="5"/>
  <c r="X1104" i="5"/>
  <c r="W1104" i="5"/>
  <c r="T1104" i="5" s="1"/>
  <c r="E1104" i="5" s="1"/>
  <c r="S1104" i="5"/>
  <c r="R1104" i="5"/>
  <c r="F1104" i="5"/>
  <c r="X1103" i="5"/>
  <c r="W1103" i="5"/>
  <c r="T1103" i="5" s="1"/>
  <c r="S1103" i="5"/>
  <c r="R1103" i="5"/>
  <c r="F1103" i="5"/>
  <c r="X1102" i="5"/>
  <c r="W1102" i="5"/>
  <c r="T1102" i="5" s="1"/>
  <c r="S1102" i="5"/>
  <c r="C1102" i="5" s="1"/>
  <c r="R1102" i="5"/>
  <c r="F1102" i="5"/>
  <c r="B1102" i="5"/>
  <c r="X1101" i="5"/>
  <c r="W1101" i="5"/>
  <c r="T1101" i="5" s="1"/>
  <c r="B1101" i="5" s="1"/>
  <c r="S1101" i="5"/>
  <c r="R1101" i="5"/>
  <c r="F1101" i="5"/>
  <c r="X1100" i="5"/>
  <c r="W1100" i="5"/>
  <c r="T1100" i="5" s="1"/>
  <c r="S1100" i="5"/>
  <c r="R1100" i="5"/>
  <c r="F1100" i="5"/>
  <c r="X1099" i="5"/>
  <c r="W1099" i="5"/>
  <c r="T1099" i="5" s="1"/>
  <c r="B1099" i="5" s="1"/>
  <c r="S1099" i="5"/>
  <c r="F1099" i="5"/>
  <c r="X1098" i="5"/>
  <c r="W1098" i="5"/>
  <c r="T1098" i="5" s="1"/>
  <c r="B1098" i="5" s="1"/>
  <c r="S1098" i="5"/>
  <c r="R1098" i="5"/>
  <c r="F1098" i="5"/>
  <c r="X1097" i="5"/>
  <c r="W1097" i="5"/>
  <c r="T1097" i="5" s="1"/>
  <c r="B1097" i="5" s="1"/>
  <c r="S1097" i="5"/>
  <c r="R1097" i="5"/>
  <c r="F1097" i="5"/>
  <c r="X1096" i="5"/>
  <c r="W1096" i="5"/>
  <c r="T1096" i="5" s="1"/>
  <c r="S1096" i="5"/>
  <c r="R1096" i="5"/>
  <c r="F1096" i="5"/>
  <c r="X1095" i="5"/>
  <c r="W1095" i="5"/>
  <c r="T1095" i="5" s="1"/>
  <c r="B1095" i="5" s="1"/>
  <c r="S1095" i="5"/>
  <c r="R1095" i="5"/>
  <c r="F1095" i="5"/>
  <c r="X1094" i="5"/>
  <c r="W1094" i="5"/>
  <c r="T1094" i="5" s="1"/>
  <c r="S1094" i="5"/>
  <c r="R1094" i="5"/>
  <c r="F1094" i="5"/>
  <c r="X1093" i="5"/>
  <c r="W1093" i="5"/>
  <c r="T1093" i="5" s="1"/>
  <c r="B1093" i="5" s="1"/>
  <c r="S1093" i="5"/>
  <c r="R1093" i="5"/>
  <c r="F1093" i="5"/>
  <c r="X1092" i="5"/>
  <c r="W1092" i="5"/>
  <c r="T1092" i="5" s="1"/>
  <c r="S1092" i="5"/>
  <c r="F1092" i="5"/>
  <c r="X1091" i="5"/>
  <c r="W1091" i="5"/>
  <c r="T1091" i="5" s="1"/>
  <c r="B1091" i="5" s="1"/>
  <c r="S1091" i="5"/>
  <c r="R1091" i="5"/>
  <c r="F1091" i="5"/>
  <c r="X1090" i="5"/>
  <c r="W1090" i="5"/>
  <c r="T1090" i="5" s="1"/>
  <c r="B1090" i="5" s="1"/>
  <c r="S1090" i="5"/>
  <c r="R1090" i="5"/>
  <c r="F1090" i="5"/>
  <c r="X1089" i="5"/>
  <c r="W1089" i="5"/>
  <c r="T1089" i="5" s="1"/>
  <c r="B1089" i="5" s="1"/>
  <c r="S1089" i="5"/>
  <c r="R1089" i="5"/>
  <c r="F1089" i="5"/>
  <c r="X1088" i="5"/>
  <c r="W1088" i="5"/>
  <c r="T1088" i="5" s="1"/>
  <c r="B1088" i="5" s="1"/>
  <c r="S1088" i="5"/>
  <c r="R1088" i="5"/>
  <c r="F1088" i="5"/>
  <c r="X1087" i="5"/>
  <c r="W1087" i="5"/>
  <c r="T1087" i="5" s="1"/>
  <c r="B1087" i="5" s="1"/>
  <c r="S1087" i="5"/>
  <c r="E1087" i="5" s="1"/>
  <c r="R1087" i="5"/>
  <c r="F1087" i="5"/>
  <c r="X1086" i="5"/>
  <c r="W1086" i="5"/>
  <c r="T1086" i="5" s="1"/>
  <c r="S1086" i="5"/>
  <c r="R1086" i="5"/>
  <c r="F1086" i="5"/>
  <c r="X1085" i="5"/>
  <c r="W1085" i="5"/>
  <c r="T1085" i="5" s="1"/>
  <c r="B1085" i="5" s="1"/>
  <c r="S1085" i="5"/>
  <c r="F1085" i="5"/>
  <c r="X1084" i="5"/>
  <c r="W1084" i="5"/>
  <c r="T1084" i="5" s="1"/>
  <c r="S1084" i="5"/>
  <c r="R1084" i="5"/>
  <c r="F1084" i="5"/>
  <c r="X1083" i="5"/>
  <c r="W1083" i="5"/>
  <c r="T1083" i="5" s="1"/>
  <c r="B1083" i="5" s="1"/>
  <c r="S1083" i="5"/>
  <c r="R1083" i="5"/>
  <c r="F1083" i="5"/>
  <c r="X1082" i="5"/>
  <c r="W1082" i="5"/>
  <c r="T1082" i="5" s="1"/>
  <c r="B1082" i="5" s="1"/>
  <c r="S1082" i="5"/>
  <c r="R1082" i="5"/>
  <c r="F1082" i="5"/>
  <c r="X1081" i="5"/>
  <c r="W1081" i="5"/>
  <c r="T1081" i="5" s="1"/>
  <c r="S1081" i="5"/>
  <c r="R1081" i="5"/>
  <c r="F1081" i="5"/>
  <c r="X1080" i="5"/>
  <c r="W1080" i="5"/>
  <c r="T1080" i="5" s="1"/>
  <c r="S1080" i="5"/>
  <c r="R1080" i="5"/>
  <c r="F1080" i="5"/>
  <c r="X1079" i="5"/>
  <c r="W1079" i="5"/>
  <c r="T1079" i="5" s="1"/>
  <c r="S1079" i="5"/>
  <c r="R1079" i="5"/>
  <c r="F1079" i="5"/>
  <c r="X1078" i="5"/>
  <c r="W1078" i="5"/>
  <c r="T1078" i="5" s="1"/>
  <c r="B1078" i="5" s="1"/>
  <c r="S1078" i="5"/>
  <c r="F1078" i="5"/>
  <c r="X1077" i="5"/>
  <c r="W1077" i="5"/>
  <c r="T1077" i="5" s="1"/>
  <c r="B1077" i="5" s="1"/>
  <c r="S1077" i="5"/>
  <c r="R1077" i="5"/>
  <c r="F1077" i="5"/>
  <c r="X1076" i="5"/>
  <c r="W1076" i="5"/>
  <c r="T1076" i="5" s="1"/>
  <c r="S1076" i="5"/>
  <c r="R1076" i="5"/>
  <c r="F1076" i="5"/>
  <c r="X1075" i="5"/>
  <c r="W1075" i="5"/>
  <c r="T1075" i="5" s="1"/>
  <c r="E1075" i="5" s="1"/>
  <c r="S1075" i="5"/>
  <c r="R1075" i="5"/>
  <c r="F1075" i="5"/>
  <c r="X1074" i="5"/>
  <c r="W1074" i="5"/>
  <c r="T1074" i="5" s="1"/>
  <c r="B1074" i="5" s="1"/>
  <c r="S1074" i="5"/>
  <c r="R1074" i="5"/>
  <c r="F1074" i="5"/>
  <c r="X1073" i="5"/>
  <c r="W1073" i="5"/>
  <c r="T1073" i="5" s="1"/>
  <c r="B1073" i="5" s="1"/>
  <c r="S1073" i="5"/>
  <c r="R1073" i="5"/>
  <c r="F1073" i="5"/>
  <c r="X1072" i="5"/>
  <c r="W1072" i="5"/>
  <c r="T1072" i="5" s="1"/>
  <c r="S1072" i="5"/>
  <c r="R1072" i="5"/>
  <c r="F1072" i="5"/>
  <c r="X1071" i="5"/>
  <c r="W1071" i="5"/>
  <c r="T1071" i="5" s="1"/>
  <c r="B1071" i="5" s="1"/>
  <c r="S1071" i="5"/>
  <c r="F1071" i="5"/>
  <c r="X1070" i="5"/>
  <c r="W1070" i="5"/>
  <c r="T1070" i="5"/>
  <c r="B1070" i="5" s="1"/>
  <c r="S1070" i="5"/>
  <c r="R1070" i="5"/>
  <c r="F1070" i="5"/>
  <c r="X1069" i="5"/>
  <c r="W1069" i="5"/>
  <c r="T1069" i="5" s="1"/>
  <c r="B1069" i="5" s="1"/>
  <c r="S1069" i="5"/>
  <c r="R1069" i="5"/>
  <c r="F1069" i="5"/>
  <c r="X1068" i="5"/>
  <c r="W1068" i="5"/>
  <c r="T1068" i="5" s="1"/>
  <c r="S1068" i="5"/>
  <c r="R1068" i="5"/>
  <c r="F1068" i="5"/>
  <c r="X1067" i="5"/>
  <c r="W1067" i="5"/>
  <c r="T1067" i="5" s="1"/>
  <c r="B1067" i="5" s="1"/>
  <c r="S1067" i="5"/>
  <c r="E1067" i="5" s="1"/>
  <c r="R1067" i="5"/>
  <c r="F1067" i="5"/>
  <c r="X1066" i="5"/>
  <c r="W1066" i="5"/>
  <c r="T1066" i="5" s="1"/>
  <c r="B1066" i="5" s="1"/>
  <c r="S1066" i="5"/>
  <c r="R1066" i="5"/>
  <c r="F1066" i="5"/>
  <c r="X1065" i="5"/>
  <c r="W1065" i="5"/>
  <c r="T1065" i="5" s="1"/>
  <c r="B1065" i="5" s="1"/>
  <c r="S1065" i="5"/>
  <c r="R1065" i="5"/>
  <c r="F1065" i="5"/>
  <c r="X1064" i="5"/>
  <c r="W1064" i="5"/>
  <c r="T1064" i="5" s="1"/>
  <c r="S1064" i="5"/>
  <c r="C1064" i="5" s="1"/>
  <c r="F1064" i="5"/>
  <c r="X1063" i="5"/>
  <c r="W1063" i="5"/>
  <c r="T1063" i="5" s="1"/>
  <c r="S1063" i="5"/>
  <c r="R1063" i="5"/>
  <c r="F1063" i="5"/>
  <c r="X1062" i="5"/>
  <c r="W1062" i="5"/>
  <c r="T1062" i="5" s="1"/>
  <c r="B1062" i="5" s="1"/>
  <c r="S1062" i="5"/>
  <c r="R1062" i="5"/>
  <c r="F1062" i="5"/>
  <c r="X1061" i="5"/>
  <c r="W1061" i="5"/>
  <c r="T1061" i="5" s="1"/>
  <c r="B1061" i="5" s="1"/>
  <c r="S1061" i="5"/>
  <c r="R1061" i="5"/>
  <c r="F1061" i="5"/>
  <c r="X1060" i="5"/>
  <c r="W1060" i="5"/>
  <c r="T1060" i="5" s="1"/>
  <c r="S1060" i="5"/>
  <c r="R1060" i="5"/>
  <c r="F1060" i="5"/>
  <c r="X1059" i="5"/>
  <c r="W1059" i="5"/>
  <c r="T1059" i="5" s="1"/>
  <c r="B1059" i="5" s="1"/>
  <c r="S1059" i="5"/>
  <c r="R1059" i="5"/>
  <c r="F1059" i="5"/>
  <c r="X1058" i="5"/>
  <c r="W1058" i="5"/>
  <c r="T1058" i="5" s="1"/>
  <c r="S1058" i="5"/>
  <c r="R1058" i="5"/>
  <c r="F1058" i="5"/>
  <c r="X1057" i="5"/>
  <c r="W1057" i="5"/>
  <c r="T1057" i="5" s="1"/>
  <c r="S1057" i="5"/>
  <c r="F1057" i="5"/>
  <c r="X1056" i="5"/>
  <c r="W1056" i="5"/>
  <c r="T1056" i="5" s="1"/>
  <c r="B1056" i="5" s="1"/>
  <c r="S1056" i="5"/>
  <c r="R1056" i="5"/>
  <c r="F1056" i="5"/>
  <c r="X1055" i="5"/>
  <c r="W1055" i="5"/>
  <c r="T1055" i="5" s="1"/>
  <c r="S1055" i="5"/>
  <c r="R1055" i="5"/>
  <c r="F1055" i="5"/>
  <c r="X1054" i="5"/>
  <c r="W1054" i="5"/>
  <c r="T1054" i="5" s="1"/>
  <c r="B1054" i="5" s="1"/>
  <c r="S1054" i="5"/>
  <c r="R1054" i="5"/>
  <c r="F1054" i="5"/>
  <c r="X1053" i="5"/>
  <c r="W1053" i="5"/>
  <c r="T1053" i="5" s="1"/>
  <c r="B1053" i="5" s="1"/>
  <c r="S1053" i="5"/>
  <c r="R1053" i="5"/>
  <c r="F1053" i="5"/>
  <c r="X1052" i="5"/>
  <c r="W1052" i="5"/>
  <c r="T1052" i="5" s="1"/>
  <c r="B1052" i="5" s="1"/>
  <c r="S1052" i="5"/>
  <c r="R1052" i="5"/>
  <c r="F1052" i="5"/>
  <c r="X1051" i="5"/>
  <c r="W1051" i="5"/>
  <c r="T1051" i="5" s="1"/>
  <c r="B1051" i="5" s="1"/>
  <c r="S1051" i="5"/>
  <c r="E1051" i="5" s="1"/>
  <c r="R1051" i="5"/>
  <c r="F1051" i="5"/>
  <c r="X1050" i="5"/>
  <c r="W1050" i="5"/>
  <c r="T1050" i="5" s="1"/>
  <c r="S1050" i="5"/>
  <c r="F1050" i="5"/>
  <c r="X1049" i="5"/>
  <c r="W1049" i="5"/>
  <c r="T1049" i="5" s="1"/>
  <c r="S1049" i="5"/>
  <c r="R1049" i="5"/>
  <c r="F1049" i="5"/>
  <c r="X1048" i="5"/>
  <c r="W1048" i="5"/>
  <c r="T1048" i="5" s="1"/>
  <c r="B1048" i="5" s="1"/>
  <c r="S1048" i="5"/>
  <c r="R1048" i="5"/>
  <c r="F1048" i="5"/>
  <c r="X1047" i="5"/>
  <c r="W1047" i="5"/>
  <c r="T1047" i="5" s="1"/>
  <c r="B1047" i="5" s="1"/>
  <c r="S1047" i="5"/>
  <c r="R1047" i="5"/>
  <c r="F1047" i="5"/>
  <c r="X1046" i="5"/>
  <c r="W1046" i="5"/>
  <c r="T1046" i="5" s="1"/>
  <c r="B1046" i="5" s="1"/>
  <c r="S1046" i="5"/>
  <c r="R1046" i="5"/>
  <c r="F1046" i="5"/>
  <c r="X1045" i="5"/>
  <c r="W1045" i="5"/>
  <c r="T1045" i="5" s="1"/>
  <c r="B1045" i="5" s="1"/>
  <c r="S1045" i="5"/>
  <c r="R1045" i="5"/>
  <c r="F1045" i="5"/>
  <c r="X1044" i="5"/>
  <c r="W1044" i="5"/>
  <c r="T1044" i="5" s="1"/>
  <c r="S1044" i="5"/>
  <c r="R1044" i="5"/>
  <c r="F1044" i="5"/>
  <c r="E1044" i="5"/>
  <c r="X1043" i="5"/>
  <c r="W1043" i="5"/>
  <c r="T1043" i="5" s="1"/>
  <c r="S1043" i="5"/>
  <c r="F1043" i="5"/>
  <c r="X1042" i="5"/>
  <c r="W1042" i="5"/>
  <c r="T1042" i="5" s="1"/>
  <c r="B1042" i="5" s="1"/>
  <c r="S1042" i="5"/>
  <c r="R1042" i="5"/>
  <c r="F1042" i="5"/>
  <c r="X1041" i="5"/>
  <c r="W1041" i="5"/>
  <c r="T1041" i="5" s="1"/>
  <c r="B1041" i="5" s="1"/>
  <c r="S1041" i="5"/>
  <c r="R1041" i="5"/>
  <c r="F1041" i="5"/>
  <c r="X1040" i="5"/>
  <c r="W1040" i="5"/>
  <c r="T1040" i="5" s="1"/>
  <c r="B1040" i="5" s="1"/>
  <c r="S1040" i="5"/>
  <c r="C1040" i="5" s="1"/>
  <c r="R1040" i="5"/>
  <c r="F1040" i="5"/>
  <c r="X1039" i="5"/>
  <c r="W1039" i="5"/>
  <c r="T1039" i="5" s="1"/>
  <c r="B1039" i="5" s="1"/>
  <c r="S1039" i="5"/>
  <c r="R1039" i="5"/>
  <c r="F1039" i="5"/>
  <c r="X1038" i="5"/>
  <c r="W1038" i="5"/>
  <c r="T1038" i="5" s="1"/>
  <c r="B1038" i="5" s="1"/>
  <c r="S1038" i="5"/>
  <c r="E1038" i="5" s="1"/>
  <c r="R1038" i="5"/>
  <c r="F1038" i="5"/>
  <c r="X1037" i="5"/>
  <c r="W1037" i="5"/>
  <c r="T1037" i="5" s="1"/>
  <c r="B1037" i="5" s="1"/>
  <c r="S1037" i="5"/>
  <c r="R1037" i="5"/>
  <c r="F1037" i="5"/>
  <c r="X1036" i="5"/>
  <c r="W1036" i="5"/>
  <c r="T1036" i="5" s="1"/>
  <c r="B1036" i="5" s="1"/>
  <c r="S1036" i="5"/>
  <c r="F1036" i="5"/>
  <c r="X1035" i="5"/>
  <c r="W1035" i="5"/>
  <c r="T1035" i="5" s="1"/>
  <c r="B1035" i="5" s="1"/>
  <c r="S1035" i="5"/>
  <c r="R1035" i="5"/>
  <c r="F1035" i="5"/>
  <c r="X1034" i="5"/>
  <c r="W1034" i="5"/>
  <c r="T1034" i="5" s="1"/>
  <c r="S1034" i="5"/>
  <c r="R1034" i="5"/>
  <c r="F1034" i="5"/>
  <c r="X1033" i="5"/>
  <c r="W1033" i="5"/>
  <c r="T1033" i="5" s="1"/>
  <c r="S1033" i="5"/>
  <c r="R1033" i="5"/>
  <c r="F1033" i="5"/>
  <c r="X1032" i="5"/>
  <c r="W1032" i="5"/>
  <c r="T1032" i="5" s="1"/>
  <c r="B1032" i="5" s="1"/>
  <c r="S1032" i="5"/>
  <c r="R1032" i="5"/>
  <c r="F1032" i="5"/>
  <c r="X1031" i="5"/>
  <c r="W1031" i="5"/>
  <c r="T1031" i="5" s="1"/>
  <c r="S1031" i="5"/>
  <c r="R1031" i="5"/>
  <c r="F1031" i="5"/>
  <c r="B1031" i="5"/>
  <c r="X1030" i="5"/>
  <c r="W1030" i="5"/>
  <c r="T1030" i="5" s="1"/>
  <c r="B1030" i="5" s="1"/>
  <c r="S1030" i="5"/>
  <c r="R1030" i="5"/>
  <c r="F1030" i="5"/>
  <c r="X1029" i="5"/>
  <c r="W1029" i="5"/>
  <c r="T1029" i="5" s="1"/>
  <c r="B1029" i="5" s="1"/>
  <c r="S1029" i="5"/>
  <c r="F1029" i="5"/>
  <c r="X1028" i="5"/>
  <c r="W1028" i="5"/>
  <c r="T1028" i="5" s="1"/>
  <c r="B1028" i="5" s="1"/>
  <c r="S1028" i="5"/>
  <c r="R1028" i="5"/>
  <c r="F1028" i="5"/>
  <c r="X1027" i="5"/>
  <c r="W1027" i="5"/>
  <c r="T1027" i="5" s="1"/>
  <c r="S1027" i="5"/>
  <c r="R1027" i="5"/>
  <c r="F1027" i="5"/>
  <c r="X1026" i="5"/>
  <c r="W1026" i="5"/>
  <c r="T1026" i="5"/>
  <c r="S1026" i="5"/>
  <c r="C1026" i="5" s="1"/>
  <c r="R1026" i="5"/>
  <c r="F1026" i="5"/>
  <c r="X1025" i="5"/>
  <c r="W1025" i="5"/>
  <c r="T1025" i="5" s="1"/>
  <c r="B1025" i="5" s="1"/>
  <c r="S1025" i="5"/>
  <c r="R1025" i="5"/>
  <c r="F1025" i="5"/>
  <c r="X1024" i="5"/>
  <c r="W1024" i="5"/>
  <c r="T1024" i="5" s="1"/>
  <c r="B1024" i="5" s="1"/>
  <c r="S1024" i="5"/>
  <c r="R1024" i="5"/>
  <c r="F1024" i="5"/>
  <c r="X1023" i="5"/>
  <c r="W1023" i="5"/>
  <c r="T1023" i="5" s="1"/>
  <c r="S1023" i="5"/>
  <c r="R1023" i="5"/>
  <c r="F1023" i="5"/>
  <c r="X1022" i="5"/>
  <c r="W1022" i="5"/>
  <c r="T1022" i="5" s="1"/>
  <c r="S1022" i="5"/>
  <c r="F1022" i="5"/>
  <c r="X1021" i="5"/>
  <c r="W1021" i="5"/>
  <c r="T1021" i="5" s="1"/>
  <c r="B1021" i="5" s="1"/>
  <c r="S1021" i="5"/>
  <c r="R1021" i="5"/>
  <c r="F1021" i="5"/>
  <c r="X1020" i="5"/>
  <c r="W1020" i="5"/>
  <c r="T1020" i="5" s="1"/>
  <c r="S1020" i="5"/>
  <c r="R1020" i="5"/>
  <c r="F1020" i="5"/>
  <c r="X1019" i="5"/>
  <c r="W1019" i="5"/>
  <c r="T1019" i="5" s="1"/>
  <c r="B1019" i="5" s="1"/>
  <c r="S1019" i="5"/>
  <c r="R1019" i="5"/>
  <c r="F1019" i="5"/>
  <c r="X1018" i="5"/>
  <c r="W1018" i="5"/>
  <c r="T1018" i="5" s="1"/>
  <c r="S1018" i="5"/>
  <c r="R1018" i="5"/>
  <c r="F1018" i="5"/>
  <c r="X1017" i="5"/>
  <c r="W1017" i="5"/>
  <c r="T1017" i="5" s="1"/>
  <c r="B1017" i="5" s="1"/>
  <c r="S1017" i="5"/>
  <c r="C1017" i="5" s="1"/>
  <c r="R1017" i="5"/>
  <c r="F1017" i="5"/>
  <c r="X1016" i="5"/>
  <c r="W1016" i="5"/>
  <c r="T1016" i="5" s="1"/>
  <c r="S1016" i="5"/>
  <c r="R1016" i="5"/>
  <c r="F1016" i="5"/>
  <c r="X1015" i="5"/>
  <c r="W1015" i="5"/>
  <c r="T1015" i="5" s="1"/>
  <c r="S1015" i="5"/>
  <c r="F1015" i="5"/>
  <c r="X1014" i="5"/>
  <c r="W1014" i="5"/>
  <c r="T1014" i="5" s="1"/>
  <c r="B1014" i="5" s="1"/>
  <c r="S1014" i="5"/>
  <c r="R1014" i="5"/>
  <c r="F1014" i="5"/>
  <c r="X1013" i="5"/>
  <c r="W1013" i="5"/>
  <c r="T1013" i="5" s="1"/>
  <c r="S1013" i="5"/>
  <c r="R1013" i="5"/>
  <c r="F1013" i="5"/>
  <c r="X1012" i="5"/>
  <c r="W1012" i="5"/>
  <c r="T1012" i="5" s="1"/>
  <c r="B1012" i="5" s="1"/>
  <c r="S1012" i="5"/>
  <c r="R1012" i="5"/>
  <c r="F1012" i="5"/>
  <c r="X1011" i="5"/>
  <c r="W1011" i="5"/>
  <c r="T1011" i="5" s="1"/>
  <c r="B1011" i="5" s="1"/>
  <c r="S1011" i="5"/>
  <c r="R1011" i="5"/>
  <c r="F1011" i="5"/>
  <c r="X1010" i="5"/>
  <c r="W1010" i="5"/>
  <c r="T1010" i="5" s="1"/>
  <c r="S1010" i="5"/>
  <c r="R1010" i="5"/>
  <c r="F1010" i="5"/>
  <c r="X1009" i="5"/>
  <c r="W1009" i="5"/>
  <c r="T1009" i="5" s="1"/>
  <c r="B1009" i="5" s="1"/>
  <c r="S1009" i="5"/>
  <c r="D1009" i="5" s="1"/>
  <c r="R1009" i="5"/>
  <c r="F1009" i="5"/>
  <c r="X1008" i="5"/>
  <c r="W1008" i="5"/>
  <c r="T1008" i="5" s="1"/>
  <c r="B1008" i="5" s="1"/>
  <c r="S1008" i="5"/>
  <c r="F1008" i="5"/>
  <c r="X1007" i="5"/>
  <c r="W1007" i="5"/>
  <c r="T1007" i="5" s="1"/>
  <c r="S1007" i="5"/>
  <c r="R1007" i="5"/>
  <c r="F1007" i="5"/>
  <c r="X1006" i="5"/>
  <c r="W1006" i="5"/>
  <c r="T1006" i="5"/>
  <c r="B1006" i="5" s="1"/>
  <c r="S1006" i="5"/>
  <c r="R1006" i="5"/>
  <c r="F1006" i="5"/>
  <c r="X1005" i="5"/>
  <c r="W1005" i="5"/>
  <c r="T1005" i="5" s="1"/>
  <c r="S1005" i="5"/>
  <c r="R1005" i="5"/>
  <c r="F1005" i="5"/>
  <c r="X1004" i="5"/>
  <c r="W1004" i="5"/>
  <c r="T1004" i="5" s="1"/>
  <c r="S1004" i="5"/>
  <c r="R1004" i="5"/>
  <c r="F1004" i="5"/>
  <c r="X1003" i="5"/>
  <c r="W1003" i="5"/>
  <c r="T1003" i="5" s="1"/>
  <c r="S1003" i="5"/>
  <c r="R1003" i="5"/>
  <c r="F1003" i="5"/>
  <c r="X1002" i="5"/>
  <c r="W1002" i="5"/>
  <c r="T1002" i="5" s="1"/>
  <c r="D1002" i="5" s="1"/>
  <c r="S1002" i="5"/>
  <c r="R1002" i="5"/>
  <c r="F1002" i="5"/>
  <c r="X1001" i="5"/>
  <c r="W1001" i="5"/>
  <c r="T1001" i="5" s="1"/>
  <c r="B1001" i="5" s="1"/>
  <c r="S1001" i="5"/>
  <c r="F1001" i="5"/>
  <c r="X1000" i="5"/>
  <c r="W1000" i="5"/>
  <c r="T1000" i="5"/>
  <c r="S1000" i="5"/>
  <c r="R1000" i="5"/>
  <c r="F1000" i="5"/>
  <c r="X999" i="5"/>
  <c r="W999" i="5"/>
  <c r="T999" i="5" s="1"/>
  <c r="S999" i="5"/>
  <c r="R999" i="5"/>
  <c r="F999" i="5"/>
  <c r="X998" i="5"/>
  <c r="W998" i="5"/>
  <c r="T998" i="5" s="1"/>
  <c r="B998" i="5" s="1"/>
  <c r="S998" i="5"/>
  <c r="R998" i="5"/>
  <c r="F998" i="5"/>
  <c r="X997" i="5"/>
  <c r="W997" i="5"/>
  <c r="T997" i="5" s="1"/>
  <c r="B997" i="5" s="1"/>
  <c r="S997" i="5"/>
  <c r="R997" i="5"/>
  <c r="F997" i="5"/>
  <c r="X996" i="5"/>
  <c r="W996" i="5"/>
  <c r="T996" i="5"/>
  <c r="S996" i="5"/>
  <c r="R996" i="5"/>
  <c r="F996" i="5"/>
  <c r="X995" i="5"/>
  <c r="W995" i="5"/>
  <c r="T995" i="5" s="1"/>
  <c r="B995" i="5" s="1"/>
  <c r="S995" i="5"/>
  <c r="R995" i="5"/>
  <c r="F995" i="5"/>
  <c r="X994" i="5"/>
  <c r="W994" i="5"/>
  <c r="T994" i="5" s="1"/>
  <c r="S994" i="5"/>
  <c r="F994" i="5"/>
  <c r="X993" i="5"/>
  <c r="W993" i="5"/>
  <c r="T993" i="5" s="1"/>
  <c r="B993" i="5" s="1"/>
  <c r="S993" i="5"/>
  <c r="R993" i="5"/>
  <c r="F993" i="5"/>
  <c r="X992" i="5"/>
  <c r="W992" i="5"/>
  <c r="T992" i="5" s="1"/>
  <c r="S992" i="5"/>
  <c r="R992" i="5"/>
  <c r="F992" i="5"/>
  <c r="X991" i="5"/>
  <c r="W991" i="5"/>
  <c r="T991" i="5" s="1"/>
  <c r="B991" i="5" s="1"/>
  <c r="S991" i="5"/>
  <c r="R991" i="5"/>
  <c r="F991" i="5"/>
  <c r="X990" i="5"/>
  <c r="W990" i="5"/>
  <c r="T990" i="5" s="1"/>
  <c r="S990" i="5"/>
  <c r="R990" i="5"/>
  <c r="F990" i="5"/>
  <c r="X989" i="5"/>
  <c r="W989" i="5"/>
  <c r="T989" i="5" s="1"/>
  <c r="B989" i="5" s="1"/>
  <c r="S989" i="5"/>
  <c r="E989" i="5" s="1"/>
  <c r="R989" i="5"/>
  <c r="F989" i="5"/>
  <c r="X988" i="5"/>
  <c r="W988" i="5"/>
  <c r="T988" i="5" s="1"/>
  <c r="B988" i="5" s="1"/>
  <c r="S988" i="5"/>
  <c r="R988" i="5"/>
  <c r="F988" i="5"/>
  <c r="X987" i="5"/>
  <c r="W987" i="5"/>
  <c r="T987" i="5" s="1"/>
  <c r="S987" i="5"/>
  <c r="F987" i="5"/>
  <c r="X986" i="5"/>
  <c r="W986" i="5"/>
  <c r="T986" i="5" s="1"/>
  <c r="B986" i="5" s="1"/>
  <c r="S986" i="5"/>
  <c r="R986" i="5"/>
  <c r="F986" i="5"/>
  <c r="X985" i="5"/>
  <c r="W985" i="5"/>
  <c r="T985" i="5" s="1"/>
  <c r="B985" i="5" s="1"/>
  <c r="S985" i="5"/>
  <c r="R985" i="5"/>
  <c r="F985" i="5"/>
  <c r="X984" i="5"/>
  <c r="W984" i="5"/>
  <c r="T984" i="5" s="1"/>
  <c r="S984" i="5"/>
  <c r="R984" i="5"/>
  <c r="F984" i="5"/>
  <c r="X983" i="5"/>
  <c r="W983" i="5"/>
  <c r="T983" i="5" s="1"/>
  <c r="B983" i="5" s="1"/>
  <c r="S983" i="5"/>
  <c r="R983" i="5"/>
  <c r="F983" i="5"/>
  <c r="X982" i="5"/>
  <c r="W982" i="5"/>
  <c r="T982" i="5" s="1"/>
  <c r="B982" i="5" s="1"/>
  <c r="S982" i="5"/>
  <c r="R982" i="5"/>
  <c r="F982" i="5"/>
  <c r="X981" i="5"/>
  <c r="W981" i="5"/>
  <c r="T981" i="5" s="1"/>
  <c r="S981" i="5"/>
  <c r="E981" i="5" s="1"/>
  <c r="R981" i="5"/>
  <c r="F981" i="5"/>
  <c r="X980" i="5"/>
  <c r="W980" i="5"/>
  <c r="T980" i="5" s="1"/>
  <c r="B980" i="5" s="1"/>
  <c r="S980" i="5"/>
  <c r="F980" i="5"/>
  <c r="X979" i="5"/>
  <c r="W979" i="5"/>
  <c r="T979" i="5" s="1"/>
  <c r="B979" i="5" s="1"/>
  <c r="S979" i="5"/>
  <c r="R979" i="5"/>
  <c r="F979" i="5"/>
  <c r="X978" i="5"/>
  <c r="W978" i="5"/>
  <c r="T978" i="5" s="1"/>
  <c r="B978" i="5" s="1"/>
  <c r="S978" i="5"/>
  <c r="R978" i="5"/>
  <c r="F978" i="5"/>
  <c r="X977" i="5"/>
  <c r="W977" i="5"/>
  <c r="T977" i="5" s="1"/>
  <c r="B977" i="5" s="1"/>
  <c r="S977" i="5"/>
  <c r="R977" i="5"/>
  <c r="F977" i="5"/>
  <c r="X976" i="5"/>
  <c r="W976" i="5"/>
  <c r="T976" i="5" s="1"/>
  <c r="B976" i="5" s="1"/>
  <c r="S976" i="5"/>
  <c r="R976" i="5"/>
  <c r="F976" i="5"/>
  <c r="X975" i="5"/>
  <c r="W975" i="5"/>
  <c r="T975" i="5" s="1"/>
  <c r="S975" i="5"/>
  <c r="R975" i="5"/>
  <c r="F975" i="5"/>
  <c r="X974" i="5"/>
  <c r="W974" i="5"/>
  <c r="T974" i="5" s="1"/>
  <c r="E974" i="5" s="1"/>
  <c r="S974" i="5"/>
  <c r="R974" i="5"/>
  <c r="F974" i="5"/>
  <c r="X973" i="5"/>
  <c r="W973" i="5"/>
  <c r="T973" i="5" s="1"/>
  <c r="B973" i="5" s="1"/>
  <c r="S973" i="5"/>
  <c r="F973" i="5"/>
  <c r="X972" i="5"/>
  <c r="W972" i="5"/>
  <c r="T972" i="5" s="1"/>
  <c r="S972" i="5"/>
  <c r="R972" i="5"/>
  <c r="F972" i="5"/>
  <c r="X971" i="5"/>
  <c r="W971" i="5"/>
  <c r="T971" i="5" s="1"/>
  <c r="B971" i="5" s="1"/>
  <c r="S971" i="5"/>
  <c r="R971" i="5"/>
  <c r="F971" i="5"/>
  <c r="X970" i="5"/>
  <c r="W970" i="5"/>
  <c r="T970" i="5" s="1"/>
  <c r="S970" i="5"/>
  <c r="R970" i="5"/>
  <c r="F970" i="5"/>
  <c r="X969" i="5"/>
  <c r="W969" i="5"/>
  <c r="T969" i="5" s="1"/>
  <c r="S969" i="5"/>
  <c r="R969" i="5"/>
  <c r="F969" i="5"/>
  <c r="X968" i="5"/>
  <c r="W968" i="5"/>
  <c r="T968" i="5" s="1"/>
  <c r="B968" i="5" s="1"/>
  <c r="S968" i="5"/>
  <c r="R968" i="5"/>
  <c r="F968" i="5"/>
  <c r="X967" i="5"/>
  <c r="W967" i="5"/>
  <c r="T967" i="5" s="1"/>
  <c r="S967" i="5"/>
  <c r="R967" i="5"/>
  <c r="F967" i="5"/>
  <c r="B967" i="5"/>
  <c r="X966" i="5"/>
  <c r="W966" i="5"/>
  <c r="T966" i="5" s="1"/>
  <c r="B966" i="5" s="1"/>
  <c r="S966" i="5"/>
  <c r="F966" i="5"/>
  <c r="X965" i="5"/>
  <c r="W965" i="5"/>
  <c r="T965" i="5" s="1"/>
  <c r="S965" i="5"/>
  <c r="R965" i="5"/>
  <c r="F965" i="5"/>
  <c r="X964" i="5"/>
  <c r="W964" i="5"/>
  <c r="T964" i="5" s="1"/>
  <c r="B964" i="5" s="1"/>
  <c r="S964" i="5"/>
  <c r="C964" i="5" s="1"/>
  <c r="R964" i="5"/>
  <c r="F964" i="5"/>
  <c r="X963" i="5"/>
  <c r="W963" i="5"/>
  <c r="T963" i="5" s="1"/>
  <c r="B963" i="5" s="1"/>
  <c r="S963" i="5"/>
  <c r="R963" i="5"/>
  <c r="F963" i="5"/>
  <c r="X962" i="5"/>
  <c r="W962" i="5"/>
  <c r="T962" i="5" s="1"/>
  <c r="B962" i="5" s="1"/>
  <c r="S962" i="5"/>
  <c r="R962" i="5"/>
  <c r="F962" i="5"/>
  <c r="X961" i="5"/>
  <c r="W961" i="5"/>
  <c r="T961" i="5" s="1"/>
  <c r="B961" i="5" s="1"/>
  <c r="S961" i="5"/>
  <c r="E961" i="5" s="1"/>
  <c r="R961" i="5"/>
  <c r="F961" i="5"/>
  <c r="X960" i="5"/>
  <c r="W960" i="5"/>
  <c r="T960" i="5" s="1"/>
  <c r="B960" i="5" s="1"/>
  <c r="S960" i="5"/>
  <c r="R960" i="5"/>
  <c r="F960" i="5"/>
  <c r="X959" i="5"/>
  <c r="W959" i="5"/>
  <c r="T959" i="5" s="1"/>
  <c r="B959" i="5" s="1"/>
  <c r="S959" i="5"/>
  <c r="C959" i="5" s="1"/>
  <c r="F959" i="5"/>
  <c r="X958" i="5"/>
  <c r="W958" i="5"/>
  <c r="T958" i="5" s="1"/>
  <c r="B958" i="5" s="1"/>
  <c r="S958" i="5"/>
  <c r="R958" i="5"/>
  <c r="F958" i="5"/>
  <c r="X957" i="5"/>
  <c r="W957" i="5"/>
  <c r="T957" i="5" s="1"/>
  <c r="S957" i="5"/>
  <c r="R957" i="5"/>
  <c r="F957" i="5"/>
  <c r="X956" i="5"/>
  <c r="W956" i="5"/>
  <c r="T956" i="5" s="1"/>
  <c r="B956" i="5" s="1"/>
  <c r="S956" i="5"/>
  <c r="R956" i="5"/>
  <c r="F956" i="5"/>
  <c r="X955" i="5"/>
  <c r="W955" i="5"/>
  <c r="T955" i="5" s="1"/>
  <c r="S955" i="5"/>
  <c r="R955" i="5"/>
  <c r="F955" i="5"/>
  <c r="X954" i="5"/>
  <c r="W954" i="5"/>
  <c r="T954" i="5" s="1"/>
  <c r="S954" i="5"/>
  <c r="R954" i="5"/>
  <c r="F954" i="5"/>
  <c r="X953" i="5"/>
  <c r="W953" i="5"/>
  <c r="T953" i="5" s="1"/>
  <c r="B953" i="5" s="1"/>
  <c r="S953" i="5"/>
  <c r="R953" i="5"/>
  <c r="F953" i="5"/>
  <c r="X952" i="5"/>
  <c r="W952" i="5"/>
  <c r="T952" i="5" s="1"/>
  <c r="B952" i="5" s="1"/>
  <c r="S952" i="5"/>
  <c r="F952" i="5"/>
  <c r="X951" i="5"/>
  <c r="W951" i="5"/>
  <c r="T951" i="5" s="1"/>
  <c r="S951" i="5"/>
  <c r="R951" i="5"/>
  <c r="F951" i="5"/>
  <c r="X950" i="5"/>
  <c r="W950" i="5"/>
  <c r="T950" i="5" s="1"/>
  <c r="B950" i="5" s="1"/>
  <c r="S950" i="5"/>
  <c r="R950" i="5"/>
  <c r="F950" i="5"/>
  <c r="X949" i="5"/>
  <c r="W949" i="5"/>
  <c r="T949" i="5"/>
  <c r="B949" i="5" s="1"/>
  <c r="S949" i="5"/>
  <c r="R949" i="5"/>
  <c r="F949" i="5"/>
  <c r="X948" i="5"/>
  <c r="W948" i="5"/>
  <c r="T948" i="5" s="1"/>
  <c r="B948" i="5" s="1"/>
  <c r="S948" i="5"/>
  <c r="R948" i="5"/>
  <c r="F948" i="5"/>
  <c r="X947" i="5"/>
  <c r="W947" i="5"/>
  <c r="T947" i="5" s="1"/>
  <c r="B947" i="5" s="1"/>
  <c r="S947" i="5"/>
  <c r="R947" i="5"/>
  <c r="F947" i="5"/>
  <c r="X946" i="5"/>
  <c r="W946" i="5"/>
  <c r="T946" i="5" s="1"/>
  <c r="B946" i="5" s="1"/>
  <c r="S946" i="5"/>
  <c r="R946" i="5"/>
  <c r="F946" i="5"/>
  <c r="X945" i="5"/>
  <c r="W945" i="5"/>
  <c r="T945" i="5" s="1"/>
  <c r="S945" i="5"/>
  <c r="F945" i="5"/>
  <c r="X944" i="5"/>
  <c r="W944" i="5"/>
  <c r="T944" i="5" s="1"/>
  <c r="B944" i="5" s="1"/>
  <c r="S944" i="5"/>
  <c r="R944" i="5"/>
  <c r="F944" i="5"/>
  <c r="X943" i="5"/>
  <c r="W943" i="5"/>
  <c r="T943" i="5" s="1"/>
  <c r="S943" i="5"/>
  <c r="D943" i="5" s="1"/>
  <c r="R943" i="5"/>
  <c r="F943" i="5"/>
  <c r="X942" i="5"/>
  <c r="W942" i="5"/>
  <c r="T942" i="5" s="1"/>
  <c r="B942" i="5" s="1"/>
  <c r="S942" i="5"/>
  <c r="R942" i="5"/>
  <c r="F942" i="5"/>
  <c r="X941" i="5"/>
  <c r="W941" i="5"/>
  <c r="T941" i="5" s="1"/>
  <c r="S941" i="5"/>
  <c r="R941" i="5"/>
  <c r="F941" i="5"/>
  <c r="X940" i="5"/>
  <c r="W940" i="5"/>
  <c r="T940" i="5" s="1"/>
  <c r="B940" i="5" s="1"/>
  <c r="S940" i="5"/>
  <c r="R940" i="5"/>
  <c r="F940" i="5"/>
  <c r="X939" i="5"/>
  <c r="W939" i="5"/>
  <c r="T939" i="5" s="1"/>
  <c r="D939" i="5" s="1"/>
  <c r="S939" i="5"/>
  <c r="R939" i="5"/>
  <c r="F939" i="5"/>
  <c r="X938" i="5"/>
  <c r="W938" i="5"/>
  <c r="T938" i="5" s="1"/>
  <c r="B938" i="5" s="1"/>
  <c r="S938" i="5"/>
  <c r="F938" i="5"/>
  <c r="X937" i="5"/>
  <c r="W937" i="5"/>
  <c r="T937" i="5" s="1"/>
  <c r="S937" i="5"/>
  <c r="R937" i="5"/>
  <c r="F937" i="5"/>
  <c r="X936" i="5"/>
  <c r="W936" i="5"/>
  <c r="T936" i="5" s="1"/>
  <c r="S936" i="5"/>
  <c r="R936" i="5"/>
  <c r="F936" i="5"/>
  <c r="X935" i="5"/>
  <c r="W935" i="5"/>
  <c r="T935" i="5" s="1"/>
  <c r="B935" i="5" s="1"/>
  <c r="S935" i="5"/>
  <c r="C935" i="5" s="1"/>
  <c r="R935" i="5"/>
  <c r="F935" i="5"/>
  <c r="X934" i="5"/>
  <c r="W934" i="5"/>
  <c r="T934" i="5" s="1"/>
  <c r="B934" i="5" s="1"/>
  <c r="S934" i="5"/>
  <c r="C934" i="5" s="1"/>
  <c r="R934" i="5"/>
  <c r="F934" i="5"/>
  <c r="X933" i="5"/>
  <c r="W933" i="5"/>
  <c r="T933" i="5" s="1"/>
  <c r="S933" i="5"/>
  <c r="C933" i="5" s="1"/>
  <c r="R933" i="5"/>
  <c r="F933" i="5"/>
  <c r="X932" i="5"/>
  <c r="W932" i="5"/>
  <c r="T932" i="5" s="1"/>
  <c r="B932" i="5" s="1"/>
  <c r="S932" i="5"/>
  <c r="R932" i="5"/>
  <c r="F932" i="5"/>
  <c r="X931" i="5"/>
  <c r="W931" i="5"/>
  <c r="T931" i="5" s="1"/>
  <c r="B931" i="5" s="1"/>
  <c r="S931" i="5"/>
  <c r="F931" i="5"/>
  <c r="X930" i="5"/>
  <c r="W930" i="5"/>
  <c r="T930" i="5" s="1"/>
  <c r="B930" i="5" s="1"/>
  <c r="S930" i="5"/>
  <c r="R930" i="5"/>
  <c r="F930" i="5"/>
  <c r="X929" i="5"/>
  <c r="W929" i="5"/>
  <c r="T929" i="5" s="1"/>
  <c r="B929" i="5" s="1"/>
  <c r="S929" i="5"/>
  <c r="R929" i="5"/>
  <c r="F929" i="5"/>
  <c r="X928" i="5"/>
  <c r="W928" i="5"/>
  <c r="T928" i="5" s="1"/>
  <c r="B928" i="5" s="1"/>
  <c r="S928" i="5"/>
  <c r="R928" i="5"/>
  <c r="F928" i="5"/>
  <c r="X927" i="5"/>
  <c r="W927" i="5"/>
  <c r="T927" i="5" s="1"/>
  <c r="B927" i="5" s="1"/>
  <c r="S927" i="5"/>
  <c r="D927" i="5" s="1"/>
  <c r="R927" i="5"/>
  <c r="F927" i="5"/>
  <c r="C927" i="5"/>
  <c r="X926" i="5"/>
  <c r="W926" i="5"/>
  <c r="T926" i="5" s="1"/>
  <c r="B926" i="5" s="1"/>
  <c r="S926" i="5"/>
  <c r="R926" i="5"/>
  <c r="F926" i="5"/>
  <c r="X925" i="5"/>
  <c r="W925" i="5"/>
  <c r="T925" i="5" s="1"/>
  <c r="B925" i="5" s="1"/>
  <c r="S925" i="5"/>
  <c r="D925" i="5" s="1"/>
  <c r="R925" i="5"/>
  <c r="F925" i="5"/>
  <c r="X924" i="5"/>
  <c r="W924" i="5"/>
  <c r="T924" i="5" s="1"/>
  <c r="S924" i="5"/>
  <c r="F924" i="5"/>
  <c r="X923" i="5"/>
  <c r="W923" i="5"/>
  <c r="T923" i="5" s="1"/>
  <c r="S923" i="5"/>
  <c r="R923" i="5"/>
  <c r="F923" i="5"/>
  <c r="X922" i="5"/>
  <c r="W922" i="5"/>
  <c r="T922" i="5" s="1"/>
  <c r="B922" i="5" s="1"/>
  <c r="S922" i="5"/>
  <c r="R922" i="5"/>
  <c r="F922" i="5"/>
  <c r="X921" i="5"/>
  <c r="W921" i="5"/>
  <c r="T921" i="5" s="1"/>
  <c r="S921" i="5"/>
  <c r="E921" i="5" s="1"/>
  <c r="R921" i="5"/>
  <c r="F921" i="5"/>
  <c r="X920" i="5"/>
  <c r="W920" i="5"/>
  <c r="T920" i="5" s="1"/>
  <c r="B920" i="5" s="1"/>
  <c r="S920" i="5"/>
  <c r="R920" i="5"/>
  <c r="F920" i="5"/>
  <c r="X919" i="5"/>
  <c r="W919" i="5"/>
  <c r="T919" i="5" s="1"/>
  <c r="B919" i="5" s="1"/>
  <c r="S919" i="5"/>
  <c r="R919" i="5"/>
  <c r="F919" i="5"/>
  <c r="X918" i="5"/>
  <c r="W918" i="5"/>
  <c r="T918" i="5" s="1"/>
  <c r="B918" i="5" s="1"/>
  <c r="S918" i="5"/>
  <c r="R918" i="5"/>
  <c r="F918" i="5"/>
  <c r="X917" i="5"/>
  <c r="W917" i="5"/>
  <c r="T917" i="5" s="1"/>
  <c r="C917" i="5" s="1"/>
  <c r="S917" i="5"/>
  <c r="F917" i="5"/>
  <c r="X916" i="5"/>
  <c r="W916" i="5"/>
  <c r="T916" i="5" s="1"/>
  <c r="D916" i="5" s="1"/>
  <c r="S916" i="5"/>
  <c r="R916" i="5"/>
  <c r="F916" i="5"/>
  <c r="X915" i="5"/>
  <c r="W915" i="5"/>
  <c r="T915" i="5" s="1"/>
  <c r="S915" i="5"/>
  <c r="R915" i="5"/>
  <c r="F915" i="5"/>
  <c r="X914" i="5"/>
  <c r="W914" i="5"/>
  <c r="T914" i="5" s="1"/>
  <c r="S914" i="5"/>
  <c r="R914" i="5"/>
  <c r="F914" i="5"/>
  <c r="X913" i="5"/>
  <c r="W913" i="5"/>
  <c r="T913" i="5" s="1"/>
  <c r="S913" i="5"/>
  <c r="R913" i="5"/>
  <c r="F913" i="5"/>
  <c r="X912" i="5"/>
  <c r="W912" i="5"/>
  <c r="T912" i="5" s="1"/>
  <c r="E912" i="5" s="1"/>
  <c r="S912" i="5"/>
  <c r="R912" i="5"/>
  <c r="F912" i="5"/>
  <c r="X911" i="5"/>
  <c r="W911" i="5"/>
  <c r="T911" i="5" s="1"/>
  <c r="S911" i="5"/>
  <c r="E911" i="5" s="1"/>
  <c r="R911" i="5"/>
  <c r="F911" i="5"/>
  <c r="X910" i="5"/>
  <c r="W910" i="5"/>
  <c r="T910" i="5" s="1"/>
  <c r="B910" i="5" s="1"/>
  <c r="S910" i="5"/>
  <c r="F910" i="5"/>
  <c r="X909" i="5"/>
  <c r="W909" i="5"/>
  <c r="T909" i="5" s="1"/>
  <c r="B909" i="5" s="1"/>
  <c r="S909" i="5"/>
  <c r="R909" i="5"/>
  <c r="F909" i="5"/>
  <c r="X908" i="5"/>
  <c r="W908" i="5"/>
  <c r="T908" i="5" s="1"/>
  <c r="S908" i="5"/>
  <c r="R908" i="5"/>
  <c r="F908" i="5"/>
  <c r="X907" i="5"/>
  <c r="W907" i="5"/>
  <c r="T907" i="5" s="1"/>
  <c r="B907" i="5" s="1"/>
  <c r="S907" i="5"/>
  <c r="D907" i="5" s="1"/>
  <c r="R907" i="5"/>
  <c r="F907" i="5"/>
  <c r="E907" i="5"/>
  <c r="X906" i="5"/>
  <c r="W906" i="5"/>
  <c r="T906" i="5" s="1"/>
  <c r="B906" i="5" s="1"/>
  <c r="S906" i="5"/>
  <c r="D906" i="5" s="1"/>
  <c r="R906" i="5"/>
  <c r="F906" i="5"/>
  <c r="X905" i="5"/>
  <c r="W905" i="5"/>
  <c r="T905" i="5" s="1"/>
  <c r="S905" i="5"/>
  <c r="R905" i="5"/>
  <c r="F905" i="5"/>
  <c r="X904" i="5"/>
  <c r="W904" i="5"/>
  <c r="T904" i="5" s="1"/>
  <c r="B904" i="5" s="1"/>
  <c r="S904" i="5"/>
  <c r="R904" i="5"/>
  <c r="F904" i="5"/>
  <c r="X903" i="5"/>
  <c r="W903" i="5"/>
  <c r="T903" i="5" s="1"/>
  <c r="S903" i="5"/>
  <c r="F903" i="5"/>
  <c r="X902" i="5"/>
  <c r="W902" i="5"/>
  <c r="T902" i="5" s="1"/>
  <c r="S902" i="5"/>
  <c r="R902" i="5"/>
  <c r="F902" i="5"/>
  <c r="X901" i="5"/>
  <c r="W901" i="5"/>
  <c r="T901" i="5" s="1"/>
  <c r="B901" i="5" s="1"/>
  <c r="S901" i="5"/>
  <c r="R901" i="5"/>
  <c r="F901" i="5"/>
  <c r="X900" i="5"/>
  <c r="W900" i="5"/>
  <c r="T900" i="5" s="1"/>
  <c r="B900" i="5" s="1"/>
  <c r="S900" i="5"/>
  <c r="R900" i="5"/>
  <c r="F900" i="5"/>
  <c r="X899" i="5"/>
  <c r="W899" i="5"/>
  <c r="T899" i="5" s="1"/>
  <c r="S899" i="5"/>
  <c r="R899" i="5"/>
  <c r="F899" i="5"/>
  <c r="X898" i="5"/>
  <c r="W898" i="5"/>
  <c r="T898" i="5" s="1"/>
  <c r="B898" i="5" s="1"/>
  <c r="S898" i="5"/>
  <c r="R898" i="5"/>
  <c r="F898" i="5"/>
  <c r="X897" i="5"/>
  <c r="W897" i="5"/>
  <c r="T897" i="5" s="1"/>
  <c r="S897" i="5"/>
  <c r="R897" i="5"/>
  <c r="F897" i="5"/>
  <c r="X896" i="5"/>
  <c r="W896" i="5"/>
  <c r="T896" i="5" s="1"/>
  <c r="B896" i="5" s="1"/>
  <c r="S896" i="5"/>
  <c r="F896" i="5"/>
  <c r="X895" i="5"/>
  <c r="W895" i="5"/>
  <c r="T895" i="5" s="1"/>
  <c r="S895" i="5"/>
  <c r="R895" i="5"/>
  <c r="F895" i="5"/>
  <c r="X894" i="5"/>
  <c r="W894" i="5"/>
  <c r="T894" i="5" s="1"/>
  <c r="S894" i="5"/>
  <c r="R894" i="5"/>
  <c r="F894" i="5"/>
  <c r="X893" i="5"/>
  <c r="W893" i="5"/>
  <c r="T893" i="5" s="1"/>
  <c r="S893" i="5"/>
  <c r="R893" i="5"/>
  <c r="F893" i="5"/>
  <c r="X892" i="5"/>
  <c r="W892" i="5"/>
  <c r="T892" i="5" s="1"/>
  <c r="B892" i="5" s="1"/>
  <c r="S892" i="5"/>
  <c r="D892" i="5" s="1"/>
  <c r="R892" i="5"/>
  <c r="F892" i="5"/>
  <c r="X891" i="5"/>
  <c r="W891" i="5"/>
  <c r="T891" i="5" s="1"/>
  <c r="B891" i="5" s="1"/>
  <c r="S891" i="5"/>
  <c r="R891" i="5"/>
  <c r="F891" i="5"/>
  <c r="X890" i="5"/>
  <c r="W890" i="5"/>
  <c r="T890" i="5" s="1"/>
  <c r="S890" i="5"/>
  <c r="R890" i="5"/>
  <c r="F890" i="5"/>
  <c r="X889" i="5"/>
  <c r="W889" i="5"/>
  <c r="T889" i="5" s="1"/>
  <c r="B889" i="5" s="1"/>
  <c r="S889" i="5"/>
  <c r="F889" i="5"/>
  <c r="X888" i="5"/>
  <c r="W888" i="5"/>
  <c r="T888" i="5" s="1"/>
  <c r="B888" i="5" s="1"/>
  <c r="S888" i="5"/>
  <c r="R888" i="5"/>
  <c r="F888" i="5"/>
  <c r="X887" i="5"/>
  <c r="W887" i="5"/>
  <c r="T887" i="5" s="1"/>
  <c r="B887" i="5" s="1"/>
  <c r="S887" i="5"/>
  <c r="R887" i="5"/>
  <c r="F887" i="5"/>
  <c r="X886" i="5"/>
  <c r="W886" i="5"/>
  <c r="T886" i="5" s="1"/>
  <c r="B886" i="5" s="1"/>
  <c r="S886" i="5"/>
  <c r="R886" i="5"/>
  <c r="F886" i="5"/>
  <c r="X885" i="5"/>
  <c r="W885" i="5"/>
  <c r="T885" i="5" s="1"/>
  <c r="S885" i="5"/>
  <c r="R885" i="5"/>
  <c r="F885" i="5"/>
  <c r="X884" i="5"/>
  <c r="W884" i="5"/>
  <c r="T884" i="5" s="1"/>
  <c r="B884" i="5" s="1"/>
  <c r="S884" i="5"/>
  <c r="R884" i="5"/>
  <c r="F884" i="5"/>
  <c r="X883" i="5"/>
  <c r="W883" i="5"/>
  <c r="T883" i="5" s="1"/>
  <c r="B883" i="5" s="1"/>
  <c r="S883" i="5"/>
  <c r="R883" i="5"/>
  <c r="F883" i="5"/>
  <c r="X882" i="5"/>
  <c r="W882" i="5"/>
  <c r="T882" i="5" s="1"/>
  <c r="B882" i="5" s="1"/>
  <c r="S882" i="5"/>
  <c r="F882" i="5"/>
  <c r="X881" i="5"/>
  <c r="W881" i="5"/>
  <c r="T881" i="5" s="1"/>
  <c r="B881" i="5" s="1"/>
  <c r="S881" i="5"/>
  <c r="R881" i="5"/>
  <c r="F881" i="5"/>
  <c r="X880" i="5"/>
  <c r="W880" i="5"/>
  <c r="T880" i="5" s="1"/>
  <c r="B880" i="5" s="1"/>
  <c r="S880" i="5"/>
  <c r="R880" i="5"/>
  <c r="F880" i="5"/>
  <c r="X879" i="5"/>
  <c r="W879" i="5"/>
  <c r="T879" i="5" s="1"/>
  <c r="B879" i="5" s="1"/>
  <c r="S879" i="5"/>
  <c r="R879" i="5"/>
  <c r="F879" i="5"/>
  <c r="X878" i="5"/>
  <c r="W878" i="5"/>
  <c r="T878" i="5" s="1"/>
  <c r="S878" i="5"/>
  <c r="R878" i="5"/>
  <c r="F878" i="5"/>
  <c r="X877" i="5"/>
  <c r="W877" i="5"/>
  <c r="T877" i="5" s="1"/>
  <c r="B877" i="5" s="1"/>
  <c r="S877" i="5"/>
  <c r="R877" i="5"/>
  <c r="F877" i="5"/>
  <c r="X876" i="5"/>
  <c r="W876" i="5"/>
  <c r="T876" i="5" s="1"/>
  <c r="S876" i="5"/>
  <c r="R876" i="5"/>
  <c r="F876" i="5"/>
  <c r="X875" i="5"/>
  <c r="W875" i="5"/>
  <c r="T875" i="5" s="1"/>
  <c r="S875" i="5"/>
  <c r="F875" i="5"/>
  <c r="X874" i="5"/>
  <c r="W874" i="5"/>
  <c r="T874" i="5" s="1"/>
  <c r="B874" i="5" s="1"/>
  <c r="S874" i="5"/>
  <c r="R874" i="5"/>
  <c r="F874" i="5"/>
  <c r="X873" i="5"/>
  <c r="W873" i="5"/>
  <c r="T873" i="5" s="1"/>
  <c r="S873" i="5"/>
  <c r="R873" i="5"/>
  <c r="F873" i="5"/>
  <c r="X872" i="5"/>
  <c r="W872" i="5"/>
  <c r="T872" i="5" s="1"/>
  <c r="D872" i="5" s="1"/>
  <c r="S872" i="5"/>
  <c r="R872" i="5"/>
  <c r="F872" i="5"/>
  <c r="X871" i="5"/>
  <c r="W871" i="5"/>
  <c r="T871" i="5" s="1"/>
  <c r="S871" i="5"/>
  <c r="R871" i="5"/>
  <c r="F871" i="5"/>
  <c r="X870" i="5"/>
  <c r="W870" i="5"/>
  <c r="T870" i="5" s="1"/>
  <c r="B870" i="5" s="1"/>
  <c r="S870" i="5"/>
  <c r="R870" i="5"/>
  <c r="F870" i="5"/>
  <c r="X869" i="5"/>
  <c r="W869" i="5"/>
  <c r="T869" i="5" s="1"/>
  <c r="S869" i="5"/>
  <c r="R869" i="5"/>
  <c r="F869" i="5"/>
  <c r="X868" i="5"/>
  <c r="W868" i="5"/>
  <c r="T868" i="5" s="1"/>
  <c r="B868" i="5" s="1"/>
  <c r="S868" i="5"/>
  <c r="F868" i="5"/>
  <c r="X867" i="5"/>
  <c r="W867" i="5"/>
  <c r="T867" i="5" s="1"/>
  <c r="S867" i="5"/>
  <c r="R867" i="5"/>
  <c r="F867" i="5"/>
  <c r="X866" i="5"/>
  <c r="W866" i="5"/>
  <c r="T866" i="5" s="1"/>
  <c r="B866" i="5" s="1"/>
  <c r="S866" i="5"/>
  <c r="R866" i="5"/>
  <c r="F866" i="5"/>
  <c r="X865" i="5"/>
  <c r="W865" i="5"/>
  <c r="T865" i="5" s="1"/>
  <c r="B865" i="5" s="1"/>
  <c r="S865" i="5"/>
  <c r="R865" i="5"/>
  <c r="F865" i="5"/>
  <c r="X864" i="5"/>
  <c r="W864" i="5"/>
  <c r="T864" i="5" s="1"/>
  <c r="B864" i="5" s="1"/>
  <c r="S864" i="5"/>
  <c r="R864" i="5"/>
  <c r="F864" i="5"/>
  <c r="X863" i="5"/>
  <c r="W863" i="5"/>
  <c r="T863" i="5" s="1"/>
  <c r="S863" i="5"/>
  <c r="R863" i="5"/>
  <c r="F863" i="5"/>
  <c r="X862" i="5"/>
  <c r="W862" i="5"/>
  <c r="T862" i="5" s="1"/>
  <c r="B862" i="5" s="1"/>
  <c r="S862" i="5"/>
  <c r="R862" i="5"/>
  <c r="F862" i="5"/>
  <c r="X861" i="5"/>
  <c r="W861" i="5"/>
  <c r="T861" i="5" s="1"/>
  <c r="S861" i="5"/>
  <c r="F861" i="5"/>
  <c r="X860" i="5"/>
  <c r="W860" i="5"/>
  <c r="T860" i="5" s="1"/>
  <c r="B860" i="5" s="1"/>
  <c r="S860" i="5"/>
  <c r="R860" i="5"/>
  <c r="F860" i="5"/>
  <c r="X859" i="5"/>
  <c r="W859" i="5"/>
  <c r="T859" i="5" s="1"/>
  <c r="B859" i="5" s="1"/>
  <c r="S859" i="5"/>
  <c r="R859" i="5"/>
  <c r="F859" i="5"/>
  <c r="X858" i="5"/>
  <c r="W858" i="5"/>
  <c r="T858" i="5" s="1"/>
  <c r="S858" i="5"/>
  <c r="R858" i="5"/>
  <c r="F858" i="5"/>
  <c r="X857" i="5"/>
  <c r="W857" i="5"/>
  <c r="T857" i="5" s="1"/>
  <c r="B857" i="5" s="1"/>
  <c r="S857" i="5"/>
  <c r="R857" i="5"/>
  <c r="F857" i="5"/>
  <c r="X856" i="5"/>
  <c r="W856" i="5"/>
  <c r="T856" i="5" s="1"/>
  <c r="B856" i="5" s="1"/>
  <c r="S856" i="5"/>
  <c r="R856" i="5"/>
  <c r="F856" i="5"/>
  <c r="X855" i="5"/>
  <c r="W855" i="5"/>
  <c r="T855" i="5" s="1"/>
  <c r="B855" i="5" s="1"/>
  <c r="S855" i="5"/>
  <c r="R855" i="5"/>
  <c r="F855" i="5"/>
  <c r="X854" i="5"/>
  <c r="W854" i="5"/>
  <c r="T854" i="5" s="1"/>
  <c r="S854" i="5"/>
  <c r="F854" i="5"/>
  <c r="X853" i="5"/>
  <c r="W853" i="5"/>
  <c r="T853" i="5" s="1"/>
  <c r="B853" i="5" s="1"/>
  <c r="S853" i="5"/>
  <c r="R853" i="5"/>
  <c r="F853" i="5"/>
  <c r="X852" i="5"/>
  <c r="W852" i="5"/>
  <c r="T852" i="5" s="1"/>
  <c r="B852" i="5" s="1"/>
  <c r="S852" i="5"/>
  <c r="R852" i="5"/>
  <c r="F852" i="5"/>
  <c r="X851" i="5"/>
  <c r="W851" i="5"/>
  <c r="T851" i="5" s="1"/>
  <c r="S851" i="5"/>
  <c r="R851" i="5"/>
  <c r="F851" i="5"/>
  <c r="X850" i="5"/>
  <c r="W850" i="5"/>
  <c r="T850" i="5" s="1"/>
  <c r="B850" i="5" s="1"/>
  <c r="S850" i="5"/>
  <c r="R850" i="5"/>
  <c r="F850" i="5"/>
  <c r="X849" i="5"/>
  <c r="W849" i="5"/>
  <c r="T849" i="5" s="1"/>
  <c r="S849" i="5"/>
  <c r="R849" i="5"/>
  <c r="F849" i="5"/>
  <c r="X848" i="5"/>
  <c r="W848" i="5"/>
  <c r="T848" i="5" s="1"/>
  <c r="B848" i="5" s="1"/>
  <c r="S848" i="5"/>
  <c r="R848" i="5"/>
  <c r="F848" i="5"/>
  <c r="X847" i="5"/>
  <c r="W847" i="5"/>
  <c r="T847" i="5" s="1"/>
  <c r="S847" i="5"/>
  <c r="F847" i="5"/>
  <c r="X846" i="5"/>
  <c r="W846" i="5"/>
  <c r="T846" i="5" s="1"/>
  <c r="B846" i="5" s="1"/>
  <c r="S846" i="5"/>
  <c r="R846" i="5"/>
  <c r="F846" i="5"/>
  <c r="X845" i="5"/>
  <c r="W845" i="5"/>
  <c r="T845" i="5" s="1"/>
  <c r="S845" i="5"/>
  <c r="R845" i="5"/>
  <c r="F845" i="5"/>
  <c r="X844" i="5"/>
  <c r="W844" i="5"/>
  <c r="T844" i="5" s="1"/>
  <c r="B844" i="5" s="1"/>
  <c r="S844" i="5"/>
  <c r="R844" i="5"/>
  <c r="F844" i="5"/>
  <c r="X843" i="5"/>
  <c r="W843" i="5"/>
  <c r="T843" i="5" s="1"/>
  <c r="B843" i="5" s="1"/>
  <c r="S843" i="5"/>
  <c r="R843" i="5"/>
  <c r="F843" i="5"/>
  <c r="X842" i="5"/>
  <c r="W842" i="5"/>
  <c r="T842" i="5" s="1"/>
  <c r="S842" i="5"/>
  <c r="R842" i="5"/>
  <c r="F842" i="5"/>
  <c r="X841" i="5"/>
  <c r="W841" i="5"/>
  <c r="T841" i="5" s="1"/>
  <c r="S841" i="5"/>
  <c r="R841" i="5"/>
  <c r="F841" i="5"/>
  <c r="X840" i="5"/>
  <c r="W840" i="5"/>
  <c r="T840" i="5" s="1"/>
  <c r="S840" i="5"/>
  <c r="F840" i="5"/>
  <c r="X839" i="5"/>
  <c r="W839" i="5"/>
  <c r="T839" i="5" s="1"/>
  <c r="S839" i="5"/>
  <c r="R839" i="5"/>
  <c r="F839" i="5"/>
  <c r="X838" i="5"/>
  <c r="W838" i="5"/>
  <c r="T838" i="5" s="1"/>
  <c r="B838" i="5" s="1"/>
  <c r="S838" i="5"/>
  <c r="R838" i="5"/>
  <c r="F838" i="5"/>
  <c r="X837" i="5"/>
  <c r="W837" i="5"/>
  <c r="T837" i="5" s="1"/>
  <c r="B837" i="5" s="1"/>
  <c r="S837" i="5"/>
  <c r="R837" i="5"/>
  <c r="F837" i="5"/>
  <c r="X836" i="5"/>
  <c r="W836" i="5"/>
  <c r="T836" i="5" s="1"/>
  <c r="B836" i="5" s="1"/>
  <c r="S836" i="5"/>
  <c r="R836" i="5"/>
  <c r="F836" i="5"/>
  <c r="X835" i="5"/>
  <c r="W835" i="5"/>
  <c r="T835" i="5" s="1"/>
  <c r="S835" i="5"/>
  <c r="R835" i="5"/>
  <c r="F835" i="5"/>
  <c r="X834" i="5"/>
  <c r="W834" i="5"/>
  <c r="T834" i="5" s="1"/>
  <c r="S834" i="5"/>
  <c r="R834" i="5"/>
  <c r="F834" i="5"/>
  <c r="X833" i="5"/>
  <c r="W833" i="5"/>
  <c r="T833" i="5" s="1"/>
  <c r="B833" i="5" s="1"/>
  <c r="S833" i="5"/>
  <c r="F833" i="5"/>
  <c r="X832" i="5"/>
  <c r="W832" i="5"/>
  <c r="T832" i="5" s="1"/>
  <c r="B832" i="5" s="1"/>
  <c r="S832" i="5"/>
  <c r="R832" i="5"/>
  <c r="F832" i="5"/>
  <c r="X831" i="5"/>
  <c r="W831" i="5"/>
  <c r="T831" i="5" s="1"/>
  <c r="B831" i="5" s="1"/>
  <c r="S831" i="5"/>
  <c r="R831" i="5"/>
  <c r="F831" i="5"/>
  <c r="X830" i="5"/>
  <c r="W830" i="5"/>
  <c r="T830" i="5" s="1"/>
  <c r="B830" i="5" s="1"/>
  <c r="S830" i="5"/>
  <c r="R830" i="5"/>
  <c r="F830" i="5"/>
  <c r="X829" i="5"/>
  <c r="W829" i="5"/>
  <c r="T829" i="5" s="1"/>
  <c r="S829" i="5"/>
  <c r="R829" i="5"/>
  <c r="F829" i="5"/>
  <c r="X828" i="5"/>
  <c r="W828" i="5"/>
  <c r="T828" i="5" s="1"/>
  <c r="B828" i="5" s="1"/>
  <c r="S828" i="5"/>
  <c r="R828" i="5"/>
  <c r="F828" i="5"/>
  <c r="X827" i="5"/>
  <c r="W827" i="5"/>
  <c r="T827" i="5" s="1"/>
  <c r="B827" i="5" s="1"/>
  <c r="S827" i="5"/>
  <c r="R827" i="5"/>
  <c r="F827" i="5"/>
  <c r="X826" i="5"/>
  <c r="W826" i="5"/>
  <c r="T826" i="5" s="1"/>
  <c r="S826" i="5"/>
  <c r="F826" i="5"/>
  <c r="X825" i="5"/>
  <c r="W825" i="5"/>
  <c r="T825" i="5" s="1"/>
  <c r="S825" i="5"/>
  <c r="R825" i="5"/>
  <c r="F825" i="5"/>
  <c r="X824" i="5"/>
  <c r="W824" i="5"/>
  <c r="T824" i="5" s="1"/>
  <c r="B824" i="5" s="1"/>
  <c r="S824" i="5"/>
  <c r="R824" i="5"/>
  <c r="F824" i="5"/>
  <c r="X823" i="5"/>
  <c r="W823" i="5"/>
  <c r="T823" i="5" s="1"/>
  <c r="S823" i="5"/>
  <c r="R823" i="5"/>
  <c r="F823" i="5"/>
  <c r="X822" i="5"/>
  <c r="W822" i="5"/>
  <c r="T822" i="5" s="1"/>
  <c r="S822" i="5"/>
  <c r="R822" i="5"/>
  <c r="F822" i="5"/>
  <c r="X821" i="5"/>
  <c r="W821" i="5"/>
  <c r="T821" i="5" s="1"/>
  <c r="S821" i="5"/>
  <c r="R821" i="5"/>
  <c r="F821" i="5"/>
  <c r="X820" i="5"/>
  <c r="W820" i="5"/>
  <c r="T820" i="5" s="1"/>
  <c r="B820" i="5" s="1"/>
  <c r="S820" i="5"/>
  <c r="R820" i="5"/>
  <c r="F820" i="5"/>
  <c r="X819" i="5"/>
  <c r="W819" i="5"/>
  <c r="T819" i="5" s="1"/>
  <c r="S819" i="5"/>
  <c r="F819" i="5"/>
  <c r="X818" i="5"/>
  <c r="W818" i="5"/>
  <c r="T818" i="5" s="1"/>
  <c r="B818" i="5" s="1"/>
  <c r="S818" i="5"/>
  <c r="R818" i="5"/>
  <c r="F818" i="5"/>
  <c r="X817" i="5"/>
  <c r="W817" i="5"/>
  <c r="T817" i="5" s="1"/>
  <c r="S817" i="5"/>
  <c r="R817" i="5"/>
  <c r="F817" i="5"/>
  <c r="X816" i="5"/>
  <c r="W816" i="5"/>
  <c r="T816" i="5" s="1"/>
  <c r="B816" i="5" s="1"/>
  <c r="S816" i="5"/>
  <c r="R816" i="5"/>
  <c r="F816" i="5"/>
  <c r="X815" i="5"/>
  <c r="W815" i="5"/>
  <c r="T815" i="5" s="1"/>
  <c r="B815" i="5" s="1"/>
  <c r="S815" i="5"/>
  <c r="E815" i="5" s="1"/>
  <c r="R815" i="5"/>
  <c r="F815" i="5"/>
  <c r="X814" i="5"/>
  <c r="W814" i="5"/>
  <c r="T814" i="5" s="1"/>
  <c r="B814" i="5" s="1"/>
  <c r="S814" i="5"/>
  <c r="R814" i="5"/>
  <c r="F814" i="5"/>
  <c r="X813" i="5"/>
  <c r="W813" i="5"/>
  <c r="T813" i="5" s="1"/>
  <c r="S813" i="5"/>
  <c r="R813" i="5"/>
  <c r="F813" i="5"/>
  <c r="X812" i="5"/>
  <c r="W812" i="5"/>
  <c r="T812" i="5" s="1"/>
  <c r="S812" i="5"/>
  <c r="F812" i="5"/>
  <c r="X811" i="5"/>
  <c r="W811" i="5"/>
  <c r="T811" i="5" s="1"/>
  <c r="S811" i="5"/>
  <c r="R811" i="5"/>
  <c r="F811" i="5"/>
  <c r="X810" i="5"/>
  <c r="W810" i="5"/>
  <c r="T810" i="5" s="1"/>
  <c r="B810" i="5" s="1"/>
  <c r="S810" i="5"/>
  <c r="R810" i="5"/>
  <c r="F810" i="5"/>
  <c r="X809" i="5"/>
  <c r="W809" i="5"/>
  <c r="T809" i="5" s="1"/>
  <c r="S809" i="5"/>
  <c r="R809" i="5"/>
  <c r="F809" i="5"/>
  <c r="X808" i="5"/>
  <c r="W808" i="5"/>
  <c r="T808" i="5" s="1"/>
  <c r="B808" i="5" s="1"/>
  <c r="S808" i="5"/>
  <c r="R808" i="5"/>
  <c r="F808" i="5"/>
  <c r="X807" i="5"/>
  <c r="W807" i="5"/>
  <c r="T807" i="5" s="1"/>
  <c r="S807" i="5"/>
  <c r="R807" i="5"/>
  <c r="F807" i="5"/>
  <c r="X806" i="5"/>
  <c r="W806" i="5"/>
  <c r="T806" i="5" s="1"/>
  <c r="S806" i="5"/>
  <c r="R806" i="5"/>
  <c r="F806" i="5"/>
  <c r="X805" i="5"/>
  <c r="W805" i="5"/>
  <c r="T805" i="5" s="1"/>
  <c r="B805" i="5" s="1"/>
  <c r="S805" i="5"/>
  <c r="F805" i="5"/>
  <c r="X804" i="5"/>
  <c r="W804" i="5"/>
  <c r="T804" i="5" s="1"/>
  <c r="S804" i="5"/>
  <c r="R804" i="5"/>
  <c r="F804" i="5"/>
  <c r="X803" i="5"/>
  <c r="W803" i="5"/>
  <c r="T803" i="5" s="1"/>
  <c r="B803" i="5" s="1"/>
  <c r="S803" i="5"/>
  <c r="R803" i="5"/>
  <c r="F803" i="5"/>
  <c r="X802" i="5"/>
  <c r="W802" i="5"/>
  <c r="T802" i="5" s="1"/>
  <c r="B802" i="5" s="1"/>
  <c r="S802" i="5"/>
  <c r="R802" i="5"/>
  <c r="F802" i="5"/>
  <c r="X801" i="5"/>
  <c r="W801" i="5"/>
  <c r="T801" i="5" s="1"/>
  <c r="S801" i="5"/>
  <c r="R801" i="5"/>
  <c r="F801" i="5"/>
  <c r="X800" i="5"/>
  <c r="W800" i="5"/>
  <c r="T800" i="5" s="1"/>
  <c r="B800" i="5" s="1"/>
  <c r="S800" i="5"/>
  <c r="R800" i="5"/>
  <c r="F800" i="5"/>
  <c r="X799" i="5"/>
  <c r="W799" i="5"/>
  <c r="T799" i="5" s="1"/>
  <c r="B799" i="5" s="1"/>
  <c r="S799" i="5"/>
  <c r="R799" i="5"/>
  <c r="F799" i="5"/>
  <c r="X798" i="5"/>
  <c r="W798" i="5"/>
  <c r="T798" i="5" s="1"/>
  <c r="B798" i="5" s="1"/>
  <c r="S798" i="5"/>
  <c r="F798" i="5"/>
  <c r="X797" i="5"/>
  <c r="W797" i="5"/>
  <c r="T797" i="5" s="1"/>
  <c r="B797" i="5" s="1"/>
  <c r="S797" i="5"/>
  <c r="R797" i="5"/>
  <c r="F797" i="5"/>
  <c r="X796" i="5"/>
  <c r="W796" i="5"/>
  <c r="T796" i="5" s="1"/>
  <c r="B796" i="5" s="1"/>
  <c r="S796" i="5"/>
  <c r="R796" i="5"/>
  <c r="F796" i="5"/>
  <c r="X795" i="5"/>
  <c r="W795" i="5"/>
  <c r="T795" i="5" s="1"/>
  <c r="B795" i="5" s="1"/>
  <c r="S795" i="5"/>
  <c r="R795" i="5"/>
  <c r="F795" i="5"/>
  <c r="X794" i="5"/>
  <c r="W794" i="5"/>
  <c r="T794" i="5" s="1"/>
  <c r="S794" i="5"/>
  <c r="R794" i="5"/>
  <c r="F794" i="5"/>
  <c r="X793" i="5"/>
  <c r="W793" i="5"/>
  <c r="T793" i="5" s="1"/>
  <c r="B793" i="5" s="1"/>
  <c r="S793" i="5"/>
  <c r="R793" i="5"/>
  <c r="F793" i="5"/>
  <c r="X792" i="5"/>
  <c r="W792" i="5"/>
  <c r="S792" i="5"/>
  <c r="R792" i="5"/>
  <c r="F792" i="5"/>
  <c r="X791" i="5"/>
  <c r="W791" i="5"/>
  <c r="T791" i="5" s="1"/>
  <c r="S791" i="5"/>
  <c r="F791" i="5"/>
  <c r="X790" i="5"/>
  <c r="W790" i="5"/>
  <c r="T790" i="5" s="1"/>
  <c r="S790" i="5"/>
  <c r="R790" i="5"/>
  <c r="F790" i="5"/>
  <c r="X789" i="5"/>
  <c r="W789" i="5"/>
  <c r="T789" i="5" s="1"/>
  <c r="S789" i="5"/>
  <c r="R789" i="5"/>
  <c r="F789" i="5"/>
  <c r="X788" i="5"/>
  <c r="W788" i="5"/>
  <c r="T788" i="5" s="1"/>
  <c r="B788" i="5" s="1"/>
  <c r="S788" i="5"/>
  <c r="R788" i="5"/>
  <c r="F788" i="5"/>
  <c r="X787" i="5"/>
  <c r="W787" i="5"/>
  <c r="T787" i="5" s="1"/>
  <c r="B787" i="5" s="1"/>
  <c r="S787" i="5"/>
  <c r="R787" i="5"/>
  <c r="F787" i="5"/>
  <c r="X786" i="5"/>
  <c r="W786" i="5"/>
  <c r="T786" i="5" s="1"/>
  <c r="S786" i="5"/>
  <c r="R786" i="5"/>
  <c r="F786" i="5"/>
  <c r="X785" i="5"/>
  <c r="W785" i="5"/>
  <c r="T785" i="5" s="1"/>
  <c r="S785" i="5"/>
  <c r="R785" i="5"/>
  <c r="F785" i="5"/>
  <c r="X784" i="5"/>
  <c r="W784" i="5"/>
  <c r="T784" i="5" s="1"/>
  <c r="S784" i="5"/>
  <c r="F784" i="5"/>
  <c r="X783" i="5"/>
  <c r="W783" i="5"/>
  <c r="T783" i="5" s="1"/>
  <c r="B783" i="5" s="1"/>
  <c r="S783" i="5"/>
  <c r="R783" i="5"/>
  <c r="F783" i="5"/>
  <c r="X782" i="5"/>
  <c r="W782" i="5"/>
  <c r="T782" i="5" s="1"/>
  <c r="B782" i="5" s="1"/>
  <c r="S782" i="5"/>
  <c r="R782" i="5"/>
  <c r="F782" i="5"/>
  <c r="X781" i="5"/>
  <c r="W781" i="5"/>
  <c r="T781" i="5" s="1"/>
  <c r="B781" i="5" s="1"/>
  <c r="S781" i="5"/>
  <c r="R781" i="5"/>
  <c r="F781" i="5"/>
  <c r="X780" i="5"/>
  <c r="W780" i="5"/>
  <c r="T780" i="5"/>
  <c r="B780" i="5" s="1"/>
  <c r="S780" i="5"/>
  <c r="R780" i="5"/>
  <c r="F780" i="5"/>
  <c r="X779" i="5"/>
  <c r="W779" i="5"/>
  <c r="T779" i="5" s="1"/>
  <c r="B779" i="5" s="1"/>
  <c r="S779" i="5"/>
  <c r="R779" i="5"/>
  <c r="F779" i="5"/>
  <c r="X778" i="5"/>
  <c r="W778" i="5"/>
  <c r="T778" i="5" s="1"/>
  <c r="S778" i="5"/>
  <c r="R778" i="5"/>
  <c r="F778" i="5"/>
  <c r="X777" i="5"/>
  <c r="W777" i="5"/>
  <c r="T777" i="5" s="1"/>
  <c r="S777" i="5"/>
  <c r="F777" i="5"/>
  <c r="X776" i="5"/>
  <c r="W776" i="5"/>
  <c r="T776" i="5" s="1"/>
  <c r="S776" i="5"/>
  <c r="R776" i="5"/>
  <c r="F776" i="5"/>
  <c r="X775" i="5"/>
  <c r="W775" i="5"/>
  <c r="T775" i="5" s="1"/>
  <c r="S775" i="5"/>
  <c r="R775" i="5"/>
  <c r="F775" i="5"/>
  <c r="X774" i="5"/>
  <c r="W774" i="5"/>
  <c r="T774" i="5" s="1"/>
  <c r="S774" i="5"/>
  <c r="R774" i="5"/>
  <c r="F774" i="5"/>
  <c r="X773" i="5"/>
  <c r="W773" i="5"/>
  <c r="T773" i="5" s="1"/>
  <c r="B773" i="5" s="1"/>
  <c r="S773" i="5"/>
  <c r="E773" i="5" s="1"/>
  <c r="R773" i="5"/>
  <c r="F773" i="5"/>
  <c r="X772" i="5"/>
  <c r="W772" i="5"/>
  <c r="T772" i="5" s="1"/>
  <c r="B772" i="5" s="1"/>
  <c r="S772" i="5"/>
  <c r="R772" i="5"/>
  <c r="F772" i="5"/>
  <c r="X771" i="5"/>
  <c r="W771" i="5"/>
  <c r="T771" i="5" s="1"/>
  <c r="B771" i="5" s="1"/>
  <c r="S771" i="5"/>
  <c r="R771" i="5"/>
  <c r="F771" i="5"/>
  <c r="X770" i="5"/>
  <c r="W770" i="5"/>
  <c r="T770" i="5" s="1"/>
  <c r="S770" i="5"/>
  <c r="F770" i="5"/>
  <c r="X769" i="5"/>
  <c r="W769" i="5"/>
  <c r="T769" i="5" s="1"/>
  <c r="S769" i="5"/>
  <c r="R769" i="5"/>
  <c r="F769" i="5"/>
  <c r="X768" i="5"/>
  <c r="W768" i="5"/>
  <c r="T768" i="5" s="1"/>
  <c r="S768" i="5"/>
  <c r="R768" i="5"/>
  <c r="F768" i="5"/>
  <c r="X767" i="5"/>
  <c r="W767" i="5"/>
  <c r="T767" i="5" s="1"/>
  <c r="B767" i="5" s="1"/>
  <c r="S767" i="5"/>
  <c r="R767" i="5"/>
  <c r="F767" i="5"/>
  <c r="X766" i="5"/>
  <c r="W766" i="5"/>
  <c r="T766" i="5" s="1"/>
  <c r="S766" i="5"/>
  <c r="R766" i="5"/>
  <c r="F766" i="5"/>
  <c r="X765" i="5"/>
  <c r="W765" i="5"/>
  <c r="T765" i="5" s="1"/>
  <c r="B765" i="5" s="1"/>
  <c r="S765" i="5"/>
  <c r="R765" i="5"/>
  <c r="F765" i="5"/>
  <c r="X764" i="5"/>
  <c r="W764" i="5"/>
  <c r="T764" i="5" s="1"/>
  <c r="B764" i="5" s="1"/>
  <c r="S764" i="5"/>
  <c r="R764" i="5"/>
  <c r="F764" i="5"/>
  <c r="X763" i="5"/>
  <c r="W763" i="5"/>
  <c r="T763" i="5" s="1"/>
  <c r="B763" i="5" s="1"/>
  <c r="S763" i="5"/>
  <c r="F763" i="5"/>
  <c r="X762" i="5"/>
  <c r="W762" i="5"/>
  <c r="T762" i="5" s="1"/>
  <c r="S762" i="5"/>
  <c r="R762" i="5"/>
  <c r="F762" i="5"/>
  <c r="X761" i="5"/>
  <c r="W761" i="5"/>
  <c r="T761" i="5" s="1"/>
  <c r="S761" i="5"/>
  <c r="R761" i="5"/>
  <c r="F761" i="5"/>
  <c r="X760" i="5"/>
  <c r="W760" i="5"/>
  <c r="T760" i="5" s="1"/>
  <c r="S760" i="5"/>
  <c r="R760" i="5"/>
  <c r="F760" i="5"/>
  <c r="X759" i="5"/>
  <c r="W759" i="5"/>
  <c r="T759" i="5" s="1"/>
  <c r="S759" i="5"/>
  <c r="R759" i="5"/>
  <c r="F759" i="5"/>
  <c r="X758" i="5"/>
  <c r="W758" i="5"/>
  <c r="T758" i="5" s="1"/>
  <c r="S758" i="5"/>
  <c r="R758" i="5"/>
  <c r="F758" i="5"/>
  <c r="X757" i="5"/>
  <c r="W757" i="5"/>
  <c r="T757" i="5" s="1"/>
  <c r="B757" i="5" s="1"/>
  <c r="S757" i="5"/>
  <c r="R757" i="5"/>
  <c r="F757" i="5"/>
  <c r="X756" i="5"/>
  <c r="W756" i="5"/>
  <c r="T756" i="5" s="1"/>
  <c r="B756" i="5" s="1"/>
  <c r="S756" i="5"/>
  <c r="F756" i="5"/>
  <c r="X755" i="5"/>
  <c r="W755" i="5"/>
  <c r="T755" i="5" s="1"/>
  <c r="B755" i="5" s="1"/>
  <c r="S755" i="5"/>
  <c r="R755" i="5"/>
  <c r="F755" i="5"/>
  <c r="X754" i="5"/>
  <c r="W754" i="5"/>
  <c r="T754" i="5" s="1"/>
  <c r="S754" i="5"/>
  <c r="R754" i="5"/>
  <c r="F754" i="5"/>
  <c r="X753" i="5"/>
  <c r="W753" i="5"/>
  <c r="T753" i="5" s="1"/>
  <c r="E753" i="5" s="1"/>
  <c r="S753" i="5"/>
  <c r="R753" i="5"/>
  <c r="F753" i="5"/>
  <c r="X752" i="5"/>
  <c r="W752" i="5"/>
  <c r="T752" i="5" s="1"/>
  <c r="S752" i="5"/>
  <c r="R752" i="5"/>
  <c r="F752" i="5"/>
  <c r="X751" i="5"/>
  <c r="W751" i="5"/>
  <c r="T751" i="5" s="1"/>
  <c r="B751" i="5" s="1"/>
  <c r="S751" i="5"/>
  <c r="R751" i="5"/>
  <c r="F751" i="5"/>
  <c r="X750" i="5"/>
  <c r="W750" i="5"/>
  <c r="T750" i="5" s="1"/>
  <c r="S750" i="5"/>
  <c r="R750" i="5"/>
  <c r="F750" i="5"/>
  <c r="X749" i="5"/>
  <c r="W749" i="5"/>
  <c r="T749" i="5" s="1"/>
  <c r="S749" i="5"/>
  <c r="F749" i="5"/>
  <c r="X748" i="5"/>
  <c r="W748" i="5"/>
  <c r="T748" i="5" s="1"/>
  <c r="S748" i="5"/>
  <c r="R748" i="5"/>
  <c r="F748" i="5"/>
  <c r="X747" i="5"/>
  <c r="W747" i="5"/>
  <c r="T747" i="5" s="1"/>
  <c r="B747" i="5" s="1"/>
  <c r="S747" i="5"/>
  <c r="R747" i="5"/>
  <c r="F747" i="5"/>
  <c r="X746" i="5"/>
  <c r="W746" i="5"/>
  <c r="T746" i="5" s="1"/>
  <c r="S746" i="5"/>
  <c r="R746" i="5"/>
  <c r="F746" i="5"/>
  <c r="X745" i="5"/>
  <c r="W745" i="5"/>
  <c r="T745" i="5" s="1"/>
  <c r="C745" i="5" s="1"/>
  <c r="S745" i="5"/>
  <c r="R745" i="5"/>
  <c r="F745" i="5"/>
  <c r="X744" i="5"/>
  <c r="W744" i="5"/>
  <c r="T744" i="5" s="1"/>
  <c r="S744" i="5"/>
  <c r="R744" i="5"/>
  <c r="F744" i="5"/>
  <c r="X743" i="5"/>
  <c r="W743" i="5"/>
  <c r="T743" i="5" s="1"/>
  <c r="C743" i="5" s="1"/>
  <c r="S743" i="5"/>
  <c r="R743" i="5"/>
  <c r="F743" i="5"/>
  <c r="X742" i="5"/>
  <c r="W742" i="5"/>
  <c r="T742" i="5" s="1"/>
  <c r="S742" i="5"/>
  <c r="F742" i="5"/>
  <c r="X741" i="5"/>
  <c r="W741" i="5"/>
  <c r="T741" i="5" s="1"/>
  <c r="B741" i="5" s="1"/>
  <c r="S741" i="5"/>
  <c r="R741" i="5"/>
  <c r="F741" i="5"/>
  <c r="X740" i="5"/>
  <c r="W740" i="5"/>
  <c r="T740" i="5" s="1"/>
  <c r="B740" i="5" s="1"/>
  <c r="S740" i="5"/>
  <c r="R740" i="5"/>
  <c r="F740" i="5"/>
  <c r="X739" i="5"/>
  <c r="W739" i="5"/>
  <c r="T739" i="5" s="1"/>
  <c r="S739" i="5"/>
  <c r="R739" i="5"/>
  <c r="F739" i="5"/>
  <c r="X738" i="5"/>
  <c r="W738" i="5"/>
  <c r="T738" i="5" s="1"/>
  <c r="S738" i="5"/>
  <c r="R738" i="5"/>
  <c r="F738" i="5"/>
  <c r="X737" i="5"/>
  <c r="W737" i="5"/>
  <c r="T737" i="5" s="1"/>
  <c r="S737" i="5"/>
  <c r="R737" i="5"/>
  <c r="F737" i="5"/>
  <c r="X736" i="5"/>
  <c r="W736" i="5"/>
  <c r="T736" i="5" s="1"/>
  <c r="B736" i="5" s="1"/>
  <c r="S736" i="5"/>
  <c r="R736" i="5"/>
  <c r="F736" i="5"/>
  <c r="X735" i="5"/>
  <c r="W735" i="5"/>
  <c r="T735" i="5" s="1"/>
  <c r="B735" i="5" s="1"/>
  <c r="S735" i="5"/>
  <c r="F735" i="5"/>
  <c r="X734" i="5"/>
  <c r="W734" i="5"/>
  <c r="T734" i="5" s="1"/>
  <c r="S734" i="5"/>
  <c r="R734" i="5"/>
  <c r="F734" i="5"/>
  <c r="X733" i="5"/>
  <c r="W733" i="5"/>
  <c r="T733" i="5" s="1"/>
  <c r="B733" i="5" s="1"/>
  <c r="S733" i="5"/>
  <c r="R733" i="5"/>
  <c r="F733" i="5"/>
  <c r="X732" i="5"/>
  <c r="W732" i="5"/>
  <c r="T732" i="5" s="1"/>
  <c r="S732" i="5"/>
  <c r="R732" i="5"/>
  <c r="F732" i="5"/>
  <c r="X731" i="5"/>
  <c r="W731" i="5"/>
  <c r="T731" i="5" s="1"/>
  <c r="B731" i="5" s="1"/>
  <c r="S731" i="5"/>
  <c r="R731" i="5"/>
  <c r="F731" i="5"/>
  <c r="X730" i="5"/>
  <c r="W730" i="5"/>
  <c r="T730" i="5" s="1"/>
  <c r="S730" i="5"/>
  <c r="R730" i="5"/>
  <c r="F730" i="5"/>
  <c r="X729" i="5"/>
  <c r="W729" i="5"/>
  <c r="T729" i="5" s="1"/>
  <c r="B729" i="5" s="1"/>
  <c r="S729" i="5"/>
  <c r="R729" i="5"/>
  <c r="F729" i="5"/>
  <c r="X728" i="5"/>
  <c r="W728" i="5"/>
  <c r="T728" i="5" s="1"/>
  <c r="S728" i="5"/>
  <c r="F728" i="5"/>
  <c r="X727" i="5"/>
  <c r="W727" i="5"/>
  <c r="T727" i="5"/>
  <c r="S727" i="5"/>
  <c r="R727" i="5"/>
  <c r="F727" i="5"/>
  <c r="X726" i="5"/>
  <c r="W726" i="5"/>
  <c r="T726" i="5" s="1"/>
  <c r="S726" i="5"/>
  <c r="R726" i="5"/>
  <c r="F726" i="5"/>
  <c r="X725" i="5"/>
  <c r="W725" i="5"/>
  <c r="T725" i="5" s="1"/>
  <c r="B725" i="5" s="1"/>
  <c r="S725" i="5"/>
  <c r="R725" i="5"/>
  <c r="F725" i="5"/>
  <c r="X724" i="5"/>
  <c r="W724" i="5"/>
  <c r="T724" i="5" s="1"/>
  <c r="B724" i="5" s="1"/>
  <c r="S724" i="5"/>
  <c r="R724" i="5"/>
  <c r="F724" i="5"/>
  <c r="X723" i="5"/>
  <c r="W723" i="5"/>
  <c r="T723" i="5" s="1"/>
  <c r="B723" i="5" s="1"/>
  <c r="S723" i="5"/>
  <c r="E723" i="5" s="1"/>
  <c r="R723" i="5"/>
  <c r="F723" i="5"/>
  <c r="X722" i="5"/>
  <c r="W722" i="5"/>
  <c r="T722" i="5" s="1"/>
  <c r="B722" i="5" s="1"/>
  <c r="S722" i="5"/>
  <c r="R722" i="5"/>
  <c r="F722" i="5"/>
  <c r="X721" i="5"/>
  <c r="W721" i="5"/>
  <c r="T721" i="5" s="1"/>
  <c r="S721" i="5"/>
  <c r="F721" i="5"/>
  <c r="X720" i="5"/>
  <c r="W720" i="5"/>
  <c r="T720" i="5" s="1"/>
  <c r="S720" i="5"/>
  <c r="R720" i="5"/>
  <c r="F720" i="5"/>
  <c r="X719" i="5"/>
  <c r="W719" i="5"/>
  <c r="T719" i="5" s="1"/>
  <c r="B719" i="5" s="1"/>
  <c r="S719" i="5"/>
  <c r="R719" i="5"/>
  <c r="F719" i="5"/>
  <c r="X718" i="5"/>
  <c r="W718" i="5"/>
  <c r="T718" i="5" s="1"/>
  <c r="S718" i="5"/>
  <c r="R718" i="5"/>
  <c r="F718" i="5"/>
  <c r="X717" i="5"/>
  <c r="W717" i="5"/>
  <c r="T717" i="5" s="1"/>
  <c r="B717" i="5" s="1"/>
  <c r="S717" i="5"/>
  <c r="R717" i="5"/>
  <c r="F717" i="5"/>
  <c r="X716" i="5"/>
  <c r="W716" i="5"/>
  <c r="T716" i="5" s="1"/>
  <c r="B716" i="5" s="1"/>
  <c r="S716" i="5"/>
  <c r="D716" i="5" s="1"/>
  <c r="R716" i="5"/>
  <c r="F716" i="5"/>
  <c r="X715" i="5"/>
  <c r="W715" i="5"/>
  <c r="T715" i="5" s="1"/>
  <c r="B715" i="5" s="1"/>
  <c r="S715" i="5"/>
  <c r="R715" i="5"/>
  <c r="F715" i="5"/>
  <c r="X714" i="5"/>
  <c r="W714" i="5"/>
  <c r="T714" i="5" s="1"/>
  <c r="B714" i="5" s="1"/>
  <c r="S714" i="5"/>
  <c r="F714" i="5"/>
  <c r="X713" i="5"/>
  <c r="W713" i="5"/>
  <c r="T713" i="5" s="1"/>
  <c r="B713" i="5" s="1"/>
  <c r="S713" i="5"/>
  <c r="R713" i="5"/>
  <c r="F713" i="5"/>
  <c r="X712" i="5"/>
  <c r="W712" i="5"/>
  <c r="T712" i="5" s="1"/>
  <c r="S712" i="5"/>
  <c r="R712" i="5"/>
  <c r="F712" i="5"/>
  <c r="X711" i="5"/>
  <c r="W711" i="5"/>
  <c r="T711" i="5" s="1"/>
  <c r="B711" i="5" s="1"/>
  <c r="S711" i="5"/>
  <c r="R711" i="5"/>
  <c r="F711" i="5"/>
  <c r="X710" i="5"/>
  <c r="W710" i="5"/>
  <c r="T710" i="5" s="1"/>
  <c r="S710" i="5"/>
  <c r="R710" i="5"/>
  <c r="F710" i="5"/>
  <c r="X709" i="5"/>
  <c r="W709" i="5"/>
  <c r="T709" i="5" s="1"/>
  <c r="B709" i="5" s="1"/>
  <c r="S709" i="5"/>
  <c r="R709" i="5"/>
  <c r="F709" i="5"/>
  <c r="X708" i="5"/>
  <c r="W708" i="5"/>
  <c r="T708" i="5" s="1"/>
  <c r="B708" i="5" s="1"/>
  <c r="S708" i="5"/>
  <c r="R708" i="5"/>
  <c r="F708" i="5"/>
  <c r="X707" i="5"/>
  <c r="W707" i="5"/>
  <c r="T707" i="5" s="1"/>
  <c r="S707" i="5"/>
  <c r="F707" i="5"/>
  <c r="X706" i="5"/>
  <c r="W706" i="5"/>
  <c r="T706" i="5" s="1"/>
  <c r="S706" i="5"/>
  <c r="R706" i="5"/>
  <c r="F706" i="5"/>
  <c r="X705" i="5"/>
  <c r="W705" i="5"/>
  <c r="T705" i="5" s="1"/>
  <c r="S705" i="5"/>
  <c r="R705" i="5"/>
  <c r="F705" i="5"/>
  <c r="X704" i="5"/>
  <c r="W704" i="5"/>
  <c r="T704" i="5" s="1"/>
  <c r="S704" i="5"/>
  <c r="R704" i="5"/>
  <c r="F704" i="5"/>
  <c r="X703" i="5"/>
  <c r="W703" i="5"/>
  <c r="T703" i="5" s="1"/>
  <c r="B703" i="5" s="1"/>
  <c r="S703" i="5"/>
  <c r="R703" i="5"/>
  <c r="F703" i="5"/>
  <c r="X702" i="5"/>
  <c r="W702" i="5"/>
  <c r="T702" i="5" s="1"/>
  <c r="S702" i="5"/>
  <c r="R702" i="5"/>
  <c r="F702" i="5"/>
  <c r="X701" i="5"/>
  <c r="W701" i="5"/>
  <c r="T701" i="5" s="1"/>
  <c r="B701" i="5" s="1"/>
  <c r="S701" i="5"/>
  <c r="R701" i="5"/>
  <c r="F701" i="5"/>
  <c r="X700" i="5"/>
  <c r="W700" i="5"/>
  <c r="T700" i="5" s="1"/>
  <c r="B700" i="5" s="1"/>
  <c r="S700" i="5"/>
  <c r="F700" i="5"/>
  <c r="X699" i="5"/>
  <c r="W699" i="5"/>
  <c r="T699" i="5" s="1"/>
  <c r="B699" i="5" s="1"/>
  <c r="S699" i="5"/>
  <c r="R699" i="5"/>
  <c r="F699" i="5"/>
  <c r="X698" i="5"/>
  <c r="W698" i="5"/>
  <c r="T698" i="5" s="1"/>
  <c r="B698" i="5" s="1"/>
  <c r="S698" i="5"/>
  <c r="R698" i="5"/>
  <c r="F698" i="5"/>
  <c r="X697" i="5"/>
  <c r="W697" i="5"/>
  <c r="T697" i="5" s="1"/>
  <c r="B697" i="5" s="1"/>
  <c r="S697" i="5"/>
  <c r="R697" i="5"/>
  <c r="F697" i="5"/>
  <c r="X696" i="5"/>
  <c r="W696" i="5"/>
  <c r="T696" i="5" s="1"/>
  <c r="B696" i="5" s="1"/>
  <c r="S696" i="5"/>
  <c r="R696" i="5"/>
  <c r="F696" i="5"/>
  <c r="X695" i="5"/>
  <c r="W695" i="5"/>
  <c r="T695" i="5" s="1"/>
  <c r="B695" i="5" s="1"/>
  <c r="S695" i="5"/>
  <c r="R695" i="5"/>
  <c r="F695" i="5"/>
  <c r="X694" i="5"/>
  <c r="W694" i="5"/>
  <c r="S694" i="5"/>
  <c r="R694" i="5"/>
  <c r="F694" i="5"/>
  <c r="X693" i="5"/>
  <c r="W693" i="5"/>
  <c r="T693" i="5" s="1"/>
  <c r="B693" i="5" s="1"/>
  <c r="S693" i="5"/>
  <c r="F693" i="5"/>
  <c r="X692" i="5"/>
  <c r="W692" i="5"/>
  <c r="T692" i="5" s="1"/>
  <c r="S692" i="5"/>
  <c r="R692" i="5"/>
  <c r="F692" i="5"/>
  <c r="X691" i="5"/>
  <c r="W691" i="5"/>
  <c r="T691" i="5" s="1"/>
  <c r="S691" i="5"/>
  <c r="R691" i="5"/>
  <c r="F691" i="5"/>
  <c r="X690" i="5"/>
  <c r="W690" i="5"/>
  <c r="T690" i="5" s="1"/>
  <c r="S690" i="5"/>
  <c r="R690" i="5"/>
  <c r="F690" i="5"/>
  <c r="X689" i="5"/>
  <c r="W689" i="5"/>
  <c r="T689" i="5" s="1"/>
  <c r="S689" i="5"/>
  <c r="R689" i="5"/>
  <c r="F689" i="5"/>
  <c r="X688" i="5"/>
  <c r="W688" i="5"/>
  <c r="T688" i="5" s="1"/>
  <c r="S688" i="5"/>
  <c r="R688" i="5"/>
  <c r="F688" i="5"/>
  <c r="X687" i="5"/>
  <c r="W687" i="5"/>
  <c r="T687" i="5" s="1"/>
  <c r="B687" i="5" s="1"/>
  <c r="S687" i="5"/>
  <c r="R687" i="5"/>
  <c r="F687" i="5"/>
  <c r="X686" i="5"/>
  <c r="W686" i="5"/>
  <c r="T686" i="5" s="1"/>
  <c r="S686" i="5"/>
  <c r="F686" i="5"/>
  <c r="X685" i="5"/>
  <c r="W685" i="5"/>
  <c r="T685" i="5" s="1"/>
  <c r="S685" i="5"/>
  <c r="R685" i="5"/>
  <c r="F685" i="5"/>
  <c r="X684" i="5"/>
  <c r="W684" i="5"/>
  <c r="T684" i="5" s="1"/>
  <c r="B684" i="5" s="1"/>
  <c r="S684" i="5"/>
  <c r="R684" i="5"/>
  <c r="F684" i="5"/>
  <c r="X683" i="5"/>
  <c r="W683" i="5"/>
  <c r="T683" i="5" s="1"/>
  <c r="B683" i="5" s="1"/>
  <c r="S683" i="5"/>
  <c r="R683" i="5"/>
  <c r="F683" i="5"/>
  <c r="X682" i="5"/>
  <c r="W682" i="5"/>
  <c r="T682" i="5" s="1"/>
  <c r="B682" i="5" s="1"/>
  <c r="S682" i="5"/>
  <c r="R682" i="5"/>
  <c r="F682" i="5"/>
  <c r="X681" i="5"/>
  <c r="W681" i="5"/>
  <c r="T681" i="5" s="1"/>
  <c r="B681" i="5" s="1"/>
  <c r="S681" i="5"/>
  <c r="R681" i="5"/>
  <c r="F681" i="5"/>
  <c r="X680" i="5"/>
  <c r="W680" i="5"/>
  <c r="T680" i="5" s="1"/>
  <c r="B680" i="5" s="1"/>
  <c r="S680" i="5"/>
  <c r="C680" i="5" s="1"/>
  <c r="R680" i="5"/>
  <c r="F680" i="5"/>
  <c r="X679" i="5"/>
  <c r="W679" i="5"/>
  <c r="T679" i="5" s="1"/>
  <c r="B679" i="5" s="1"/>
  <c r="S679" i="5"/>
  <c r="F679" i="5"/>
  <c r="X678" i="5"/>
  <c r="W678" i="5"/>
  <c r="T678" i="5" s="1"/>
  <c r="B678" i="5" s="1"/>
  <c r="S678" i="5"/>
  <c r="R678" i="5"/>
  <c r="F678" i="5"/>
  <c r="X677" i="5"/>
  <c r="W677" i="5"/>
  <c r="T677" i="5" s="1"/>
  <c r="B677" i="5" s="1"/>
  <c r="S677" i="5"/>
  <c r="E677" i="5" s="1"/>
  <c r="R677" i="5"/>
  <c r="F677" i="5"/>
  <c r="X676" i="5"/>
  <c r="W676" i="5"/>
  <c r="T676" i="5" s="1"/>
  <c r="S676" i="5"/>
  <c r="R676" i="5"/>
  <c r="F676" i="5"/>
  <c r="X675" i="5"/>
  <c r="W675" i="5"/>
  <c r="T675" i="5" s="1"/>
  <c r="B675" i="5" s="1"/>
  <c r="S675" i="5"/>
  <c r="R675" i="5"/>
  <c r="F675" i="5"/>
  <c r="X674" i="5"/>
  <c r="W674" i="5"/>
  <c r="T674" i="5" s="1"/>
  <c r="S674" i="5"/>
  <c r="R674" i="5"/>
  <c r="F674" i="5"/>
  <c r="X673" i="5"/>
  <c r="W673" i="5"/>
  <c r="T673" i="5" s="1"/>
  <c r="B673" i="5" s="1"/>
  <c r="S673" i="5"/>
  <c r="R673" i="5"/>
  <c r="F673" i="5"/>
  <c r="X672" i="5"/>
  <c r="W672" i="5"/>
  <c r="T672" i="5" s="1"/>
  <c r="B672" i="5" s="1"/>
  <c r="S672" i="5"/>
  <c r="F672" i="5"/>
  <c r="X671" i="5"/>
  <c r="W671" i="5"/>
  <c r="T671" i="5" s="1"/>
  <c r="B671" i="5" s="1"/>
  <c r="S671" i="5"/>
  <c r="R671" i="5"/>
  <c r="F671" i="5"/>
  <c r="X670" i="5"/>
  <c r="W670" i="5"/>
  <c r="T670" i="5" s="1"/>
  <c r="B670" i="5" s="1"/>
  <c r="S670" i="5"/>
  <c r="R670" i="5"/>
  <c r="F670" i="5"/>
  <c r="X669" i="5"/>
  <c r="W669" i="5"/>
  <c r="T669" i="5" s="1"/>
  <c r="S669" i="5"/>
  <c r="R669" i="5"/>
  <c r="F669" i="5"/>
  <c r="X668" i="5"/>
  <c r="W668" i="5"/>
  <c r="T668" i="5" s="1"/>
  <c r="B668" i="5" s="1"/>
  <c r="S668" i="5"/>
  <c r="R668" i="5"/>
  <c r="F668" i="5"/>
  <c r="X667" i="5"/>
  <c r="W667" i="5"/>
  <c r="T667" i="5" s="1"/>
  <c r="S667" i="5"/>
  <c r="R667" i="5"/>
  <c r="F667" i="5"/>
  <c r="X666" i="5"/>
  <c r="W666" i="5"/>
  <c r="T666" i="5" s="1"/>
  <c r="B666" i="5" s="1"/>
  <c r="S666" i="5"/>
  <c r="R666" i="5"/>
  <c r="F666" i="5"/>
  <c r="X665" i="5"/>
  <c r="W665" i="5"/>
  <c r="T665" i="5" s="1"/>
  <c r="S665" i="5"/>
  <c r="F665" i="5"/>
  <c r="X664" i="5"/>
  <c r="W664" i="5"/>
  <c r="T664" i="5" s="1"/>
  <c r="S664" i="5"/>
  <c r="R664" i="5"/>
  <c r="F664" i="5"/>
  <c r="X663" i="5"/>
  <c r="W663" i="5"/>
  <c r="T663" i="5" s="1"/>
  <c r="B663" i="5" s="1"/>
  <c r="S663" i="5"/>
  <c r="R663" i="5"/>
  <c r="F663" i="5"/>
  <c r="X662" i="5"/>
  <c r="W662" i="5"/>
  <c r="T662" i="5" s="1"/>
  <c r="B662" i="5" s="1"/>
  <c r="S662" i="5"/>
  <c r="R662" i="5"/>
  <c r="F662" i="5"/>
  <c r="X661" i="5"/>
  <c r="W661" i="5"/>
  <c r="T661" i="5" s="1"/>
  <c r="B661" i="5" s="1"/>
  <c r="S661" i="5"/>
  <c r="R661" i="5"/>
  <c r="F661" i="5"/>
  <c r="X660" i="5"/>
  <c r="W660" i="5"/>
  <c r="T660" i="5" s="1"/>
  <c r="S660" i="5"/>
  <c r="R660" i="5"/>
  <c r="F660" i="5"/>
  <c r="X659" i="5"/>
  <c r="W659" i="5"/>
  <c r="T659" i="5" s="1"/>
  <c r="S659" i="5"/>
  <c r="R659" i="5"/>
  <c r="F659" i="5"/>
  <c r="X658" i="5"/>
  <c r="W658" i="5"/>
  <c r="T658" i="5" s="1"/>
  <c r="B658" i="5" s="1"/>
  <c r="S658" i="5"/>
  <c r="F658" i="5"/>
  <c r="X657" i="5"/>
  <c r="W657" i="5"/>
  <c r="T657" i="5" s="1"/>
  <c r="S657" i="5"/>
  <c r="R657" i="5"/>
  <c r="F657" i="5"/>
  <c r="X656" i="5"/>
  <c r="W656" i="5"/>
  <c r="T656" i="5" s="1"/>
  <c r="B656" i="5" s="1"/>
  <c r="S656" i="5"/>
  <c r="R656" i="5"/>
  <c r="F656" i="5"/>
  <c r="X655" i="5"/>
  <c r="W655" i="5"/>
  <c r="T655" i="5" s="1"/>
  <c r="B655" i="5" s="1"/>
  <c r="S655" i="5"/>
  <c r="R655" i="5"/>
  <c r="F655" i="5"/>
  <c r="X654" i="5"/>
  <c r="W654" i="5"/>
  <c r="T654" i="5" s="1"/>
  <c r="B654" i="5" s="1"/>
  <c r="S654" i="5"/>
  <c r="R654" i="5"/>
  <c r="F654" i="5"/>
  <c r="X653" i="5"/>
  <c r="W653" i="5"/>
  <c r="T653" i="5" s="1"/>
  <c r="B653" i="5" s="1"/>
  <c r="S653" i="5"/>
  <c r="R653" i="5"/>
  <c r="F653" i="5"/>
  <c r="X652" i="5"/>
  <c r="W652" i="5"/>
  <c r="T652" i="5" s="1"/>
  <c r="S652" i="5"/>
  <c r="R652" i="5"/>
  <c r="F652" i="5"/>
  <c r="X651" i="5"/>
  <c r="W651" i="5"/>
  <c r="T651" i="5" s="1"/>
  <c r="B651" i="5" s="1"/>
  <c r="S651" i="5"/>
  <c r="F651" i="5"/>
  <c r="X650" i="5"/>
  <c r="W650" i="5"/>
  <c r="T650" i="5" s="1"/>
  <c r="B650" i="5" s="1"/>
  <c r="S650" i="5"/>
  <c r="R650" i="5"/>
  <c r="F650" i="5"/>
  <c r="X649" i="5"/>
  <c r="W649" i="5"/>
  <c r="T649" i="5" s="1"/>
  <c r="S649" i="5"/>
  <c r="R649" i="5"/>
  <c r="F649" i="5"/>
  <c r="X648" i="5"/>
  <c r="W648" i="5"/>
  <c r="T648" i="5" s="1"/>
  <c r="B648" i="5" s="1"/>
  <c r="S648" i="5"/>
  <c r="R648" i="5"/>
  <c r="F648" i="5"/>
  <c r="X647" i="5"/>
  <c r="W647" i="5"/>
  <c r="T647" i="5" s="1"/>
  <c r="S647" i="5"/>
  <c r="R647" i="5"/>
  <c r="F647" i="5"/>
  <c r="X646" i="5"/>
  <c r="W646" i="5"/>
  <c r="T646" i="5" s="1"/>
  <c r="B646" i="5" s="1"/>
  <c r="S646" i="5"/>
  <c r="E646" i="5" s="1"/>
  <c r="R646" i="5"/>
  <c r="F646" i="5"/>
  <c r="X645" i="5"/>
  <c r="W645" i="5"/>
  <c r="T645" i="5" s="1"/>
  <c r="B645" i="5" s="1"/>
  <c r="S645" i="5"/>
  <c r="R645" i="5"/>
  <c r="F645" i="5"/>
  <c r="X644" i="5"/>
  <c r="W644" i="5"/>
  <c r="T644" i="5"/>
  <c r="B644" i="5" s="1"/>
  <c r="S644" i="5"/>
  <c r="F644" i="5"/>
  <c r="X643" i="5"/>
  <c r="W643" i="5"/>
  <c r="T643" i="5" s="1"/>
  <c r="B643" i="5" s="1"/>
  <c r="S643" i="5"/>
  <c r="R643" i="5"/>
  <c r="F643" i="5"/>
  <c r="X642" i="5"/>
  <c r="W642" i="5"/>
  <c r="T642" i="5" s="1"/>
  <c r="B642" i="5" s="1"/>
  <c r="S642" i="5"/>
  <c r="R642" i="5"/>
  <c r="F642" i="5"/>
  <c r="X641" i="5"/>
  <c r="W641" i="5"/>
  <c r="T641" i="5" s="1"/>
  <c r="B641" i="5" s="1"/>
  <c r="S641" i="5"/>
  <c r="R641" i="5"/>
  <c r="F641" i="5"/>
  <c r="X640" i="5"/>
  <c r="W640" i="5"/>
  <c r="T640" i="5" s="1"/>
  <c r="B640" i="5" s="1"/>
  <c r="S640" i="5"/>
  <c r="E640" i="5" s="1"/>
  <c r="R640" i="5"/>
  <c r="F640" i="5"/>
  <c r="X639" i="5"/>
  <c r="W639" i="5"/>
  <c r="T639" i="5" s="1"/>
  <c r="S639" i="5"/>
  <c r="R639" i="5"/>
  <c r="F639" i="5"/>
  <c r="X638" i="5"/>
  <c r="W638" i="5"/>
  <c r="T638" i="5" s="1"/>
  <c r="B638" i="5" s="1"/>
  <c r="S638" i="5"/>
  <c r="R638" i="5"/>
  <c r="F638" i="5"/>
  <c r="X637" i="5"/>
  <c r="W637" i="5"/>
  <c r="T637" i="5" s="1"/>
  <c r="B637" i="5" s="1"/>
  <c r="S637" i="5"/>
  <c r="F637" i="5"/>
  <c r="X636" i="5"/>
  <c r="W636" i="5"/>
  <c r="T636" i="5" s="1"/>
  <c r="B636" i="5" s="1"/>
  <c r="S636" i="5"/>
  <c r="R636" i="5"/>
  <c r="F636" i="5"/>
  <c r="X635" i="5"/>
  <c r="W635" i="5"/>
  <c r="T635" i="5" s="1"/>
  <c r="S635" i="5"/>
  <c r="R635" i="5"/>
  <c r="F635" i="5"/>
  <c r="X634" i="5"/>
  <c r="W634" i="5"/>
  <c r="T634" i="5" s="1"/>
  <c r="B634" i="5" s="1"/>
  <c r="S634" i="5"/>
  <c r="R634" i="5"/>
  <c r="F634" i="5"/>
  <c r="X633" i="5"/>
  <c r="W633" i="5"/>
  <c r="T633" i="5" s="1"/>
  <c r="S633" i="5"/>
  <c r="R633" i="5"/>
  <c r="F633" i="5"/>
  <c r="X632" i="5"/>
  <c r="W632" i="5"/>
  <c r="T632" i="5" s="1"/>
  <c r="B632" i="5" s="1"/>
  <c r="S632" i="5"/>
  <c r="R632" i="5"/>
  <c r="F632" i="5"/>
  <c r="X631" i="5"/>
  <c r="W631" i="5"/>
  <c r="T631" i="5" s="1"/>
  <c r="S631" i="5"/>
  <c r="R631" i="5"/>
  <c r="F631" i="5"/>
  <c r="X630" i="5"/>
  <c r="W630" i="5"/>
  <c r="T630" i="5" s="1"/>
  <c r="B630" i="5" s="1"/>
  <c r="S630" i="5"/>
  <c r="F630" i="5"/>
  <c r="X629" i="5"/>
  <c r="W629" i="5"/>
  <c r="T629" i="5" s="1"/>
  <c r="B629" i="5" s="1"/>
  <c r="S629" i="5"/>
  <c r="R629" i="5"/>
  <c r="F629" i="5"/>
  <c r="X628" i="5"/>
  <c r="W628" i="5"/>
  <c r="T628" i="5" s="1"/>
  <c r="B628" i="5" s="1"/>
  <c r="S628" i="5"/>
  <c r="R628" i="5"/>
  <c r="F628" i="5"/>
  <c r="X627" i="5"/>
  <c r="W627" i="5"/>
  <c r="T627" i="5" s="1"/>
  <c r="B627" i="5" s="1"/>
  <c r="S627" i="5"/>
  <c r="R627" i="5"/>
  <c r="F627" i="5"/>
  <c r="X626" i="5"/>
  <c r="W626" i="5"/>
  <c r="T626" i="5" s="1"/>
  <c r="B626" i="5" s="1"/>
  <c r="S626" i="5"/>
  <c r="C626" i="5" s="1"/>
  <c r="R626" i="5"/>
  <c r="F626" i="5"/>
  <c r="X625" i="5"/>
  <c r="W625" i="5"/>
  <c r="T625" i="5" s="1"/>
  <c r="S625" i="5"/>
  <c r="R625" i="5"/>
  <c r="F625" i="5"/>
  <c r="X624" i="5"/>
  <c r="W624" i="5"/>
  <c r="T624" i="5" s="1"/>
  <c r="S624" i="5"/>
  <c r="R624" i="5"/>
  <c r="F624" i="5"/>
  <c r="X623" i="5"/>
  <c r="W623" i="5"/>
  <c r="T623" i="5" s="1"/>
  <c r="B623" i="5" s="1"/>
  <c r="S623" i="5"/>
  <c r="F623" i="5"/>
  <c r="X622" i="5"/>
  <c r="W622" i="5"/>
  <c r="T622" i="5" s="1"/>
  <c r="D622" i="5" s="1"/>
  <c r="S622" i="5"/>
  <c r="R622" i="5"/>
  <c r="F622" i="5"/>
  <c r="X621" i="5"/>
  <c r="W621" i="5"/>
  <c r="T621" i="5" s="1"/>
  <c r="B621" i="5" s="1"/>
  <c r="S621" i="5"/>
  <c r="R621" i="5"/>
  <c r="F621" i="5"/>
  <c r="X620" i="5"/>
  <c r="W620" i="5"/>
  <c r="T620" i="5" s="1"/>
  <c r="S620" i="5"/>
  <c r="R620" i="5"/>
  <c r="F620" i="5"/>
  <c r="X619" i="5"/>
  <c r="W619" i="5"/>
  <c r="T619" i="5" s="1"/>
  <c r="S619" i="5"/>
  <c r="R619" i="5"/>
  <c r="F619" i="5"/>
  <c r="X618" i="5"/>
  <c r="W618" i="5"/>
  <c r="T618" i="5" s="1"/>
  <c r="B618" i="5" s="1"/>
  <c r="S618" i="5"/>
  <c r="R618" i="5"/>
  <c r="F618" i="5"/>
  <c r="X617" i="5"/>
  <c r="W617" i="5"/>
  <c r="T617" i="5" s="1"/>
  <c r="S617" i="5"/>
  <c r="R617" i="5"/>
  <c r="F617" i="5"/>
  <c r="X616" i="5"/>
  <c r="W616" i="5"/>
  <c r="T616" i="5" s="1"/>
  <c r="S616" i="5"/>
  <c r="F616" i="5"/>
  <c r="X615" i="5"/>
  <c r="W615" i="5"/>
  <c r="T615" i="5" s="1"/>
  <c r="S615" i="5"/>
  <c r="F615" i="5"/>
  <c r="X614" i="5"/>
  <c r="W614" i="5"/>
  <c r="T614" i="5" s="1"/>
  <c r="B614" i="5" s="1"/>
  <c r="S614" i="5"/>
  <c r="F614" i="5"/>
  <c r="X613" i="5"/>
  <c r="W613" i="5"/>
  <c r="T613" i="5" s="1"/>
  <c r="B613" i="5" s="1"/>
  <c r="S613" i="5"/>
  <c r="F613" i="5"/>
  <c r="X612" i="5"/>
  <c r="W612" i="5"/>
  <c r="T612" i="5" s="1"/>
  <c r="S612" i="5"/>
  <c r="F612" i="5"/>
  <c r="X611" i="5"/>
  <c r="W611" i="5"/>
  <c r="T611" i="5" s="1"/>
  <c r="S611" i="5"/>
  <c r="F611" i="5"/>
  <c r="X610" i="5"/>
  <c r="W610" i="5"/>
  <c r="T610" i="5" s="1"/>
  <c r="B610" i="5" s="1"/>
  <c r="S610" i="5"/>
  <c r="F610" i="5"/>
  <c r="X609" i="5"/>
  <c r="W609" i="5"/>
  <c r="T609" i="5" s="1"/>
  <c r="C609" i="5" s="1"/>
  <c r="S609" i="5"/>
  <c r="F609" i="5"/>
  <c r="X608" i="5"/>
  <c r="W608" i="5"/>
  <c r="T608" i="5" s="1"/>
  <c r="B608" i="5" s="1"/>
  <c r="S608" i="5"/>
  <c r="R608" i="5"/>
  <c r="F608" i="5"/>
  <c r="X607" i="5"/>
  <c r="W607" i="5"/>
  <c r="T607" i="5" s="1"/>
  <c r="S607" i="5"/>
  <c r="R607" i="5"/>
  <c r="F607" i="5"/>
  <c r="X606" i="5"/>
  <c r="W606" i="5"/>
  <c r="T606" i="5" s="1"/>
  <c r="B606" i="5" s="1"/>
  <c r="S606" i="5"/>
  <c r="R606" i="5"/>
  <c r="F606" i="5"/>
  <c r="X605" i="5"/>
  <c r="W605" i="5"/>
  <c r="T605" i="5" s="1"/>
  <c r="B605" i="5" s="1"/>
  <c r="S605" i="5"/>
  <c r="R605" i="5"/>
  <c r="F605" i="5"/>
  <c r="X604" i="5"/>
  <c r="W604" i="5"/>
  <c r="T604" i="5" s="1"/>
  <c r="S604" i="5"/>
  <c r="R604" i="5"/>
  <c r="F604" i="5"/>
  <c r="X603" i="5"/>
  <c r="W603" i="5"/>
  <c r="T603" i="5" s="1"/>
  <c r="B603" i="5" s="1"/>
  <c r="S603" i="5"/>
  <c r="R603" i="5"/>
  <c r="F603" i="5"/>
  <c r="X602" i="5"/>
  <c r="W602" i="5"/>
  <c r="T602" i="5" s="1"/>
  <c r="B602" i="5" s="1"/>
  <c r="S602" i="5"/>
  <c r="F602" i="5"/>
  <c r="X601" i="5"/>
  <c r="W601" i="5"/>
  <c r="T601" i="5" s="1"/>
  <c r="B601" i="5" s="1"/>
  <c r="S601" i="5"/>
  <c r="R601" i="5"/>
  <c r="F601" i="5"/>
  <c r="X600" i="5"/>
  <c r="W600" i="5"/>
  <c r="T600" i="5" s="1"/>
  <c r="B600" i="5" s="1"/>
  <c r="S600" i="5"/>
  <c r="R600" i="5"/>
  <c r="F600" i="5"/>
  <c r="X599" i="5"/>
  <c r="W599" i="5"/>
  <c r="T599" i="5" s="1"/>
  <c r="B599" i="5" s="1"/>
  <c r="S599" i="5"/>
  <c r="R599" i="5"/>
  <c r="F599" i="5"/>
  <c r="X598" i="5"/>
  <c r="W598" i="5"/>
  <c r="T598" i="5" s="1"/>
  <c r="B598" i="5" s="1"/>
  <c r="S598" i="5"/>
  <c r="R598" i="5"/>
  <c r="F598" i="5"/>
  <c r="X597" i="5"/>
  <c r="W597" i="5"/>
  <c r="T597" i="5" s="1"/>
  <c r="B597" i="5" s="1"/>
  <c r="S597" i="5"/>
  <c r="R597" i="5"/>
  <c r="F597" i="5"/>
  <c r="X596" i="5"/>
  <c r="W596" i="5"/>
  <c r="T596" i="5" s="1"/>
  <c r="B596" i="5" s="1"/>
  <c r="S596" i="5"/>
  <c r="R596" i="5"/>
  <c r="F596" i="5"/>
  <c r="X595" i="5"/>
  <c r="W595" i="5"/>
  <c r="T595" i="5" s="1"/>
  <c r="B595" i="5" s="1"/>
  <c r="S595" i="5"/>
  <c r="F595" i="5"/>
  <c r="X594" i="5"/>
  <c r="W594" i="5"/>
  <c r="T594" i="5" s="1"/>
  <c r="B594" i="5" s="1"/>
  <c r="S594" i="5"/>
  <c r="R594" i="5"/>
  <c r="F594" i="5"/>
  <c r="X593" i="5"/>
  <c r="W593" i="5"/>
  <c r="T593" i="5" s="1"/>
  <c r="B593" i="5" s="1"/>
  <c r="S593" i="5"/>
  <c r="R593" i="5"/>
  <c r="F593" i="5"/>
  <c r="X592" i="5"/>
  <c r="W592" i="5"/>
  <c r="T592" i="5" s="1"/>
  <c r="S592" i="5"/>
  <c r="R592" i="5"/>
  <c r="F592" i="5"/>
  <c r="X591" i="5"/>
  <c r="W591" i="5"/>
  <c r="T591" i="5" s="1"/>
  <c r="S591" i="5"/>
  <c r="R591" i="5"/>
  <c r="F591" i="5"/>
  <c r="X590" i="5"/>
  <c r="W590" i="5"/>
  <c r="T590" i="5" s="1"/>
  <c r="B590" i="5" s="1"/>
  <c r="S590" i="5"/>
  <c r="R590" i="5"/>
  <c r="F590" i="5"/>
  <c r="X589" i="5"/>
  <c r="W589" i="5"/>
  <c r="T589" i="5" s="1"/>
  <c r="B589" i="5" s="1"/>
  <c r="S589" i="5"/>
  <c r="R589" i="5"/>
  <c r="F589" i="5"/>
  <c r="X588" i="5"/>
  <c r="W588" i="5"/>
  <c r="T588" i="5" s="1"/>
  <c r="C588" i="5" s="1"/>
  <c r="S588" i="5"/>
  <c r="F588" i="5"/>
  <c r="X587" i="5"/>
  <c r="W587" i="5"/>
  <c r="T587" i="5" s="1"/>
  <c r="S587" i="5"/>
  <c r="R587" i="5"/>
  <c r="F587" i="5"/>
  <c r="X586" i="5"/>
  <c r="W586" i="5"/>
  <c r="T586" i="5" s="1"/>
  <c r="B586" i="5" s="1"/>
  <c r="S586" i="5"/>
  <c r="C586" i="5" s="1"/>
  <c r="R586" i="5"/>
  <c r="F586" i="5"/>
  <c r="X585" i="5"/>
  <c r="W585" i="5"/>
  <c r="T585" i="5" s="1"/>
  <c r="B585" i="5" s="1"/>
  <c r="S585" i="5"/>
  <c r="R585" i="5"/>
  <c r="F585" i="5"/>
  <c r="X584" i="5"/>
  <c r="W584" i="5"/>
  <c r="T584" i="5" s="1"/>
  <c r="B584" i="5" s="1"/>
  <c r="S584" i="5"/>
  <c r="R584" i="5"/>
  <c r="F584" i="5"/>
  <c r="X583" i="5"/>
  <c r="W583" i="5"/>
  <c r="T583" i="5" s="1"/>
  <c r="S583" i="5"/>
  <c r="R583" i="5"/>
  <c r="F583" i="5"/>
  <c r="X582" i="5"/>
  <c r="W582" i="5"/>
  <c r="T582" i="5" s="1"/>
  <c r="B582" i="5" s="1"/>
  <c r="S582" i="5"/>
  <c r="R582" i="5"/>
  <c r="F582" i="5"/>
  <c r="X581" i="5"/>
  <c r="W581" i="5"/>
  <c r="T581" i="5" s="1"/>
  <c r="B581" i="5" s="1"/>
  <c r="S581" i="5"/>
  <c r="F581" i="5"/>
  <c r="X580" i="5"/>
  <c r="W580" i="5"/>
  <c r="T580" i="5" s="1"/>
  <c r="S580" i="5"/>
  <c r="R580" i="5"/>
  <c r="F580" i="5"/>
  <c r="X579" i="5"/>
  <c r="W579" i="5"/>
  <c r="T579" i="5" s="1"/>
  <c r="S579" i="5"/>
  <c r="R579" i="5"/>
  <c r="F579" i="5"/>
  <c r="X578" i="5"/>
  <c r="W578" i="5"/>
  <c r="T578" i="5" s="1"/>
  <c r="B578" i="5" s="1"/>
  <c r="S578" i="5"/>
  <c r="R578" i="5"/>
  <c r="F578" i="5"/>
  <c r="X577" i="5"/>
  <c r="W577" i="5"/>
  <c r="T577" i="5" s="1"/>
  <c r="S577" i="5"/>
  <c r="R577" i="5"/>
  <c r="F577" i="5"/>
  <c r="X576" i="5"/>
  <c r="W576" i="5"/>
  <c r="T576" i="5" s="1"/>
  <c r="B576" i="5" s="1"/>
  <c r="S576" i="5"/>
  <c r="R576" i="5"/>
  <c r="F576" i="5"/>
  <c r="X575" i="5"/>
  <c r="W575" i="5"/>
  <c r="T575" i="5" s="1"/>
  <c r="S575" i="5"/>
  <c r="R575" i="5"/>
  <c r="F575" i="5"/>
  <c r="X574" i="5"/>
  <c r="W574" i="5"/>
  <c r="T574" i="5" s="1"/>
  <c r="B574" i="5" s="1"/>
  <c r="S574" i="5"/>
  <c r="F574" i="5"/>
  <c r="X573" i="5"/>
  <c r="W573" i="5"/>
  <c r="T573" i="5" s="1"/>
  <c r="B573" i="5" s="1"/>
  <c r="S573" i="5"/>
  <c r="R573" i="5"/>
  <c r="F573" i="5"/>
  <c r="X572" i="5"/>
  <c r="W572" i="5"/>
  <c r="T572" i="5" s="1"/>
  <c r="B572" i="5" s="1"/>
  <c r="S572" i="5"/>
  <c r="R572" i="5"/>
  <c r="F572" i="5"/>
  <c r="X571" i="5"/>
  <c r="W571" i="5"/>
  <c r="T571" i="5" s="1"/>
  <c r="S571" i="5"/>
  <c r="R571" i="5"/>
  <c r="F571" i="5"/>
  <c r="X570" i="5"/>
  <c r="W570" i="5"/>
  <c r="T570" i="5" s="1"/>
  <c r="B570" i="5" s="1"/>
  <c r="S570" i="5"/>
  <c r="R570" i="5"/>
  <c r="F570" i="5"/>
  <c r="X569" i="5"/>
  <c r="W569" i="5"/>
  <c r="T569" i="5" s="1"/>
  <c r="B569" i="5" s="1"/>
  <c r="S569" i="5"/>
  <c r="R569" i="5"/>
  <c r="F569" i="5"/>
  <c r="X568" i="5"/>
  <c r="W568" i="5"/>
  <c r="T568" i="5" s="1"/>
  <c r="S568" i="5"/>
  <c r="R568" i="5"/>
  <c r="F568" i="5"/>
  <c r="X567" i="5"/>
  <c r="W567" i="5"/>
  <c r="T567" i="5" s="1"/>
  <c r="B567" i="5" s="1"/>
  <c r="S567" i="5"/>
  <c r="F567" i="5"/>
  <c r="X566" i="5"/>
  <c r="W566" i="5"/>
  <c r="T566" i="5" s="1"/>
  <c r="B566" i="5" s="1"/>
  <c r="S566" i="5"/>
  <c r="R566" i="5"/>
  <c r="F566" i="5"/>
  <c r="X565" i="5"/>
  <c r="W565" i="5"/>
  <c r="T565" i="5" s="1"/>
  <c r="B565" i="5" s="1"/>
  <c r="S565" i="5"/>
  <c r="R565" i="5"/>
  <c r="F565" i="5"/>
  <c r="X564" i="5"/>
  <c r="W564" i="5"/>
  <c r="T564" i="5" s="1"/>
  <c r="B564" i="5" s="1"/>
  <c r="S564" i="5"/>
  <c r="R564" i="5"/>
  <c r="F564" i="5"/>
  <c r="X563" i="5"/>
  <c r="W563" i="5"/>
  <c r="T563" i="5" s="1"/>
  <c r="S563" i="5"/>
  <c r="R563" i="5"/>
  <c r="F563" i="5"/>
  <c r="X562" i="5"/>
  <c r="W562" i="5"/>
  <c r="T562" i="5" s="1"/>
  <c r="B562" i="5" s="1"/>
  <c r="S562" i="5"/>
  <c r="R562" i="5"/>
  <c r="F562" i="5"/>
  <c r="X561" i="5"/>
  <c r="W561" i="5"/>
  <c r="T561" i="5" s="1"/>
  <c r="S561" i="5"/>
  <c r="R561" i="5"/>
  <c r="F561" i="5"/>
  <c r="X560" i="5"/>
  <c r="W560" i="5"/>
  <c r="T560" i="5" s="1"/>
  <c r="B560" i="5" s="1"/>
  <c r="S560" i="5"/>
  <c r="F560" i="5"/>
  <c r="X559" i="5"/>
  <c r="W559" i="5"/>
  <c r="T559" i="5" s="1"/>
  <c r="S559" i="5"/>
  <c r="C559" i="5" s="1"/>
  <c r="R559" i="5"/>
  <c r="F559" i="5"/>
  <c r="X558" i="5"/>
  <c r="W558" i="5"/>
  <c r="T558" i="5" s="1"/>
  <c r="S558" i="5"/>
  <c r="R558" i="5"/>
  <c r="F558" i="5"/>
  <c r="X557" i="5"/>
  <c r="W557" i="5"/>
  <c r="T557" i="5" s="1"/>
  <c r="B557" i="5" s="1"/>
  <c r="S557" i="5"/>
  <c r="R557" i="5"/>
  <c r="F557" i="5"/>
  <c r="X556" i="5"/>
  <c r="W556" i="5"/>
  <c r="T556" i="5" s="1"/>
  <c r="S556" i="5"/>
  <c r="R556" i="5"/>
  <c r="F556" i="5"/>
  <c r="X555" i="5"/>
  <c r="W555" i="5"/>
  <c r="T555" i="5" s="1"/>
  <c r="S555" i="5"/>
  <c r="R555" i="5"/>
  <c r="F555" i="5"/>
  <c r="X554" i="5"/>
  <c r="W554" i="5"/>
  <c r="T554" i="5" s="1"/>
  <c r="B554" i="5" s="1"/>
  <c r="S554" i="5"/>
  <c r="R554" i="5"/>
  <c r="F554" i="5"/>
  <c r="X553" i="5"/>
  <c r="W553" i="5"/>
  <c r="T553" i="5" s="1"/>
  <c r="S553" i="5"/>
  <c r="F553" i="5"/>
  <c r="X552" i="5"/>
  <c r="W552" i="5"/>
  <c r="T552" i="5" s="1"/>
  <c r="S552" i="5"/>
  <c r="R552" i="5"/>
  <c r="F552" i="5"/>
  <c r="B552" i="5"/>
  <c r="X551" i="5"/>
  <c r="W551" i="5"/>
  <c r="T551" i="5" s="1"/>
  <c r="S551" i="5"/>
  <c r="R551" i="5"/>
  <c r="F551" i="5"/>
  <c r="X550" i="5"/>
  <c r="W550" i="5"/>
  <c r="T550" i="5" s="1"/>
  <c r="B550" i="5" s="1"/>
  <c r="S550" i="5"/>
  <c r="R550" i="5"/>
  <c r="F550" i="5"/>
  <c r="X549" i="5"/>
  <c r="W549" i="5"/>
  <c r="T549" i="5" s="1"/>
  <c r="B549" i="5" s="1"/>
  <c r="S549" i="5"/>
  <c r="E549" i="5" s="1"/>
  <c r="R549" i="5"/>
  <c r="F549" i="5"/>
  <c r="X548" i="5"/>
  <c r="W548" i="5"/>
  <c r="T548" i="5" s="1"/>
  <c r="B548" i="5" s="1"/>
  <c r="S548" i="5"/>
  <c r="R548" i="5"/>
  <c r="F548" i="5"/>
  <c r="X547" i="5"/>
  <c r="W547" i="5"/>
  <c r="T547" i="5" s="1"/>
  <c r="S547" i="5"/>
  <c r="R547" i="5"/>
  <c r="F547" i="5"/>
  <c r="X546" i="5"/>
  <c r="W546" i="5"/>
  <c r="T546" i="5" s="1"/>
  <c r="B546" i="5" s="1"/>
  <c r="S546" i="5"/>
  <c r="F546" i="5"/>
  <c r="X545" i="5"/>
  <c r="W545" i="5"/>
  <c r="T545" i="5" s="1"/>
  <c r="B545" i="5" s="1"/>
  <c r="S545" i="5"/>
  <c r="R545" i="5"/>
  <c r="F545" i="5"/>
  <c r="X544" i="5"/>
  <c r="W544" i="5"/>
  <c r="T544" i="5" s="1"/>
  <c r="S544" i="5"/>
  <c r="R544" i="5"/>
  <c r="F544" i="5"/>
  <c r="X543" i="5"/>
  <c r="W543" i="5"/>
  <c r="T543" i="5" s="1"/>
  <c r="S543" i="5"/>
  <c r="R543" i="5"/>
  <c r="F543" i="5"/>
  <c r="X542" i="5"/>
  <c r="W542" i="5"/>
  <c r="T542" i="5" s="1"/>
  <c r="S542" i="5"/>
  <c r="R542" i="5"/>
  <c r="F542" i="5"/>
  <c r="X541" i="5"/>
  <c r="W541" i="5"/>
  <c r="T541" i="5" s="1"/>
  <c r="B541" i="5" s="1"/>
  <c r="S541" i="5"/>
  <c r="R541" i="5"/>
  <c r="F541" i="5"/>
  <c r="X540" i="5"/>
  <c r="W540" i="5"/>
  <c r="T540" i="5" s="1"/>
  <c r="S540" i="5"/>
  <c r="R540" i="5"/>
  <c r="F540" i="5"/>
  <c r="X539" i="5"/>
  <c r="W539" i="5"/>
  <c r="T539" i="5" s="1"/>
  <c r="S539" i="5"/>
  <c r="F539" i="5"/>
  <c r="X538" i="5"/>
  <c r="W538" i="5"/>
  <c r="T538" i="5"/>
  <c r="S538" i="5"/>
  <c r="R538" i="5"/>
  <c r="F538" i="5"/>
  <c r="X537" i="5"/>
  <c r="W537" i="5"/>
  <c r="T537" i="5" s="1"/>
  <c r="B537" i="5" s="1"/>
  <c r="S537" i="5"/>
  <c r="R537" i="5"/>
  <c r="F537" i="5"/>
  <c r="X536" i="5"/>
  <c r="W536" i="5"/>
  <c r="T536" i="5" s="1"/>
  <c r="S536" i="5"/>
  <c r="R536" i="5"/>
  <c r="F536" i="5"/>
  <c r="X535" i="5"/>
  <c r="W535" i="5"/>
  <c r="T535" i="5" s="1"/>
  <c r="B535" i="5" s="1"/>
  <c r="S535" i="5"/>
  <c r="R535" i="5"/>
  <c r="F535" i="5"/>
  <c r="X534" i="5"/>
  <c r="W534" i="5"/>
  <c r="T534" i="5" s="1"/>
  <c r="B534" i="5" s="1"/>
  <c r="S534" i="5"/>
  <c r="R534" i="5"/>
  <c r="F534" i="5"/>
  <c r="X533" i="5"/>
  <c r="W533" i="5"/>
  <c r="T533" i="5" s="1"/>
  <c r="S533" i="5"/>
  <c r="R533" i="5"/>
  <c r="F533" i="5"/>
  <c r="X532" i="5"/>
  <c r="W532" i="5"/>
  <c r="T532" i="5" s="1"/>
  <c r="B532" i="5" s="1"/>
  <c r="S532" i="5"/>
  <c r="F532" i="5"/>
  <c r="X531" i="5"/>
  <c r="W531" i="5"/>
  <c r="T531" i="5" s="1"/>
  <c r="B531" i="5" s="1"/>
  <c r="S531" i="5"/>
  <c r="R531" i="5"/>
  <c r="F531" i="5"/>
  <c r="X530" i="5"/>
  <c r="W530" i="5"/>
  <c r="T530" i="5" s="1"/>
  <c r="B530" i="5" s="1"/>
  <c r="S530" i="5"/>
  <c r="R530" i="5"/>
  <c r="F530" i="5"/>
  <c r="X529" i="5"/>
  <c r="W529" i="5"/>
  <c r="T529" i="5" s="1"/>
  <c r="B529" i="5" s="1"/>
  <c r="S529" i="5"/>
  <c r="R529" i="5"/>
  <c r="F529" i="5"/>
  <c r="X528" i="5"/>
  <c r="W528" i="5"/>
  <c r="T528" i="5" s="1"/>
  <c r="B528" i="5" s="1"/>
  <c r="S528" i="5"/>
  <c r="R528" i="5"/>
  <c r="F528" i="5"/>
  <c r="X527" i="5"/>
  <c r="W527" i="5"/>
  <c r="T527" i="5" s="1"/>
  <c r="B527" i="5" s="1"/>
  <c r="S527" i="5"/>
  <c r="R527" i="5"/>
  <c r="F527" i="5"/>
  <c r="X526" i="5"/>
  <c r="W526" i="5"/>
  <c r="T526" i="5" s="1"/>
  <c r="B526" i="5" s="1"/>
  <c r="S526" i="5"/>
  <c r="R526" i="5"/>
  <c r="F526" i="5"/>
  <c r="X525" i="5"/>
  <c r="W525" i="5"/>
  <c r="T525" i="5" s="1"/>
  <c r="B525" i="5" s="1"/>
  <c r="S525" i="5"/>
  <c r="F525" i="5"/>
  <c r="X524" i="5"/>
  <c r="W524" i="5"/>
  <c r="T524" i="5"/>
  <c r="B524" i="5" s="1"/>
  <c r="S524" i="5"/>
  <c r="E524" i="5" s="1"/>
  <c r="R524" i="5"/>
  <c r="F524" i="5"/>
  <c r="X523" i="5"/>
  <c r="W523" i="5"/>
  <c r="T523" i="5" s="1"/>
  <c r="B523" i="5" s="1"/>
  <c r="S523" i="5"/>
  <c r="R523" i="5"/>
  <c r="F523" i="5"/>
  <c r="X522" i="5"/>
  <c r="W522" i="5"/>
  <c r="T522" i="5"/>
  <c r="S522" i="5"/>
  <c r="R522" i="5"/>
  <c r="F522" i="5"/>
  <c r="X521" i="5"/>
  <c r="W521" i="5"/>
  <c r="T521" i="5" s="1"/>
  <c r="S521" i="5"/>
  <c r="R521" i="5"/>
  <c r="F521" i="5"/>
  <c r="X520" i="5"/>
  <c r="W520" i="5"/>
  <c r="T520" i="5" s="1"/>
  <c r="S520" i="5"/>
  <c r="R520" i="5"/>
  <c r="F520" i="5"/>
  <c r="X519" i="5"/>
  <c r="W519" i="5"/>
  <c r="T519" i="5" s="1"/>
  <c r="S519" i="5"/>
  <c r="D519" i="5" s="1"/>
  <c r="R519" i="5"/>
  <c r="F519" i="5"/>
  <c r="X518" i="5"/>
  <c r="W518" i="5"/>
  <c r="T518" i="5" s="1"/>
  <c r="B518" i="5" s="1"/>
  <c r="S518" i="5"/>
  <c r="F518" i="5"/>
  <c r="X517" i="5"/>
  <c r="W517" i="5"/>
  <c r="T517" i="5" s="1"/>
  <c r="B517" i="5" s="1"/>
  <c r="S517" i="5"/>
  <c r="R517" i="5"/>
  <c r="F517" i="5"/>
  <c r="X516" i="5"/>
  <c r="W516" i="5"/>
  <c r="T516" i="5" s="1"/>
  <c r="B516" i="5" s="1"/>
  <c r="S516" i="5"/>
  <c r="R516" i="5"/>
  <c r="F516" i="5"/>
  <c r="X515" i="5"/>
  <c r="W515" i="5"/>
  <c r="T515" i="5" s="1"/>
  <c r="B515" i="5" s="1"/>
  <c r="S515" i="5"/>
  <c r="R515" i="5"/>
  <c r="F515" i="5"/>
  <c r="X514" i="5"/>
  <c r="W514" i="5"/>
  <c r="T514" i="5" s="1"/>
  <c r="B514" i="5" s="1"/>
  <c r="S514" i="5"/>
  <c r="R514" i="5"/>
  <c r="F514" i="5"/>
  <c r="X513" i="5"/>
  <c r="W513" i="5"/>
  <c r="T513" i="5" s="1"/>
  <c r="S513" i="5"/>
  <c r="R513" i="5"/>
  <c r="F513" i="5"/>
  <c r="X512" i="5"/>
  <c r="W512" i="5"/>
  <c r="T512" i="5" s="1"/>
  <c r="S512" i="5"/>
  <c r="R512" i="5"/>
  <c r="F512" i="5"/>
  <c r="X511" i="5"/>
  <c r="W511" i="5"/>
  <c r="T511" i="5" s="1"/>
  <c r="B511" i="5" s="1"/>
  <c r="S511" i="5"/>
  <c r="F511" i="5"/>
  <c r="X510" i="5"/>
  <c r="W510" i="5"/>
  <c r="T510" i="5" s="1"/>
  <c r="B510" i="5" s="1"/>
  <c r="S510" i="5"/>
  <c r="E510" i="5" s="1"/>
  <c r="R510" i="5"/>
  <c r="F510" i="5"/>
  <c r="X509" i="5"/>
  <c r="W509" i="5"/>
  <c r="T509" i="5"/>
  <c r="B509" i="5" s="1"/>
  <c r="S509" i="5"/>
  <c r="R509" i="5"/>
  <c r="F509" i="5"/>
  <c r="X508" i="5"/>
  <c r="W508" i="5"/>
  <c r="T508" i="5" s="1"/>
  <c r="B508" i="5" s="1"/>
  <c r="S508" i="5"/>
  <c r="R508" i="5"/>
  <c r="F508" i="5"/>
  <c r="X507" i="5"/>
  <c r="W507" i="5"/>
  <c r="T507" i="5" s="1"/>
  <c r="S507" i="5"/>
  <c r="E507" i="5" s="1"/>
  <c r="R507" i="5"/>
  <c r="F507" i="5"/>
  <c r="X506" i="5"/>
  <c r="W506" i="5"/>
  <c r="T506" i="5" s="1"/>
  <c r="B506" i="5" s="1"/>
  <c r="S506" i="5"/>
  <c r="R506" i="5"/>
  <c r="F506" i="5"/>
  <c r="X505" i="5"/>
  <c r="W505" i="5"/>
  <c r="T505" i="5" s="1"/>
  <c r="B505" i="5" s="1"/>
  <c r="S505" i="5"/>
  <c r="R505" i="5"/>
  <c r="F505" i="5"/>
  <c r="X504" i="5"/>
  <c r="W504" i="5"/>
  <c r="T504" i="5" s="1"/>
  <c r="B504" i="5" s="1"/>
  <c r="S504" i="5"/>
  <c r="F504" i="5"/>
  <c r="X503" i="5"/>
  <c r="W503" i="5"/>
  <c r="T503" i="5" s="1"/>
  <c r="B503" i="5" s="1"/>
  <c r="S503" i="5"/>
  <c r="R503" i="5"/>
  <c r="F503" i="5"/>
  <c r="X502" i="5"/>
  <c r="W502" i="5"/>
  <c r="T502" i="5" s="1"/>
  <c r="S502" i="5"/>
  <c r="R502" i="5"/>
  <c r="F502" i="5"/>
  <c r="X501" i="5"/>
  <c r="W501" i="5"/>
  <c r="T501" i="5" s="1"/>
  <c r="S501" i="5"/>
  <c r="R501" i="5"/>
  <c r="F501" i="5"/>
  <c r="X500" i="5"/>
  <c r="W500" i="5"/>
  <c r="T500" i="5" s="1"/>
  <c r="B500" i="5" s="1"/>
  <c r="S500" i="5"/>
  <c r="R500" i="5"/>
  <c r="F500" i="5"/>
  <c r="X499" i="5"/>
  <c r="W499" i="5"/>
  <c r="T499" i="5" s="1"/>
  <c r="S499" i="5"/>
  <c r="R499" i="5"/>
  <c r="F499" i="5"/>
  <c r="X498" i="5"/>
  <c r="W498" i="5"/>
  <c r="T498" i="5" s="1"/>
  <c r="B498" i="5" s="1"/>
  <c r="S498" i="5"/>
  <c r="R498" i="5"/>
  <c r="F498" i="5"/>
  <c r="X497" i="5"/>
  <c r="W497" i="5"/>
  <c r="T497" i="5" s="1"/>
  <c r="B497" i="5" s="1"/>
  <c r="S497" i="5"/>
  <c r="F497" i="5"/>
  <c r="X496" i="5"/>
  <c r="W496" i="5"/>
  <c r="T496" i="5" s="1"/>
  <c r="B496" i="5" s="1"/>
  <c r="S496" i="5"/>
  <c r="R496" i="5"/>
  <c r="F496" i="5"/>
  <c r="X495" i="5"/>
  <c r="W495" i="5"/>
  <c r="T495" i="5" s="1"/>
  <c r="B495" i="5" s="1"/>
  <c r="S495" i="5"/>
  <c r="R495" i="5"/>
  <c r="F495" i="5"/>
  <c r="X494" i="5"/>
  <c r="W494" i="5"/>
  <c r="T494" i="5" s="1"/>
  <c r="B494" i="5" s="1"/>
  <c r="S494" i="5"/>
  <c r="R494" i="5"/>
  <c r="F494" i="5"/>
  <c r="X493" i="5"/>
  <c r="W493" i="5"/>
  <c r="T493" i="5" s="1"/>
  <c r="B493" i="5" s="1"/>
  <c r="S493" i="5"/>
  <c r="R493" i="5"/>
  <c r="F493" i="5"/>
  <c r="X492" i="5"/>
  <c r="W492" i="5"/>
  <c r="T492" i="5" s="1"/>
  <c r="S492" i="5"/>
  <c r="R492" i="5"/>
  <c r="F492" i="5"/>
  <c r="X491" i="5"/>
  <c r="W491" i="5"/>
  <c r="T491" i="5" s="1"/>
  <c r="S491" i="5"/>
  <c r="R491" i="5"/>
  <c r="F491" i="5"/>
  <c r="X490" i="5"/>
  <c r="W490" i="5"/>
  <c r="T490" i="5" s="1"/>
  <c r="S490" i="5"/>
  <c r="F490" i="5"/>
  <c r="X489" i="5"/>
  <c r="W489" i="5"/>
  <c r="T489" i="5" s="1"/>
  <c r="B489" i="5" s="1"/>
  <c r="S489" i="5"/>
  <c r="R489" i="5"/>
  <c r="F489" i="5"/>
  <c r="X488" i="5"/>
  <c r="W488" i="5"/>
  <c r="T488" i="5" s="1"/>
  <c r="B488" i="5" s="1"/>
  <c r="S488" i="5"/>
  <c r="R488" i="5"/>
  <c r="F488" i="5"/>
  <c r="X487" i="5"/>
  <c r="W487" i="5"/>
  <c r="T487" i="5" s="1"/>
  <c r="B487" i="5" s="1"/>
  <c r="S487" i="5"/>
  <c r="R487" i="5"/>
  <c r="F487" i="5"/>
  <c r="X486" i="5"/>
  <c r="W486" i="5"/>
  <c r="T486" i="5" s="1"/>
  <c r="B486" i="5" s="1"/>
  <c r="S486" i="5"/>
  <c r="R486" i="5"/>
  <c r="F486" i="5"/>
  <c r="X485" i="5"/>
  <c r="W485" i="5"/>
  <c r="T485" i="5" s="1"/>
  <c r="B485" i="5" s="1"/>
  <c r="S485" i="5"/>
  <c r="R485" i="5"/>
  <c r="F485" i="5"/>
  <c r="X484" i="5"/>
  <c r="W484" i="5"/>
  <c r="T484" i="5" s="1"/>
  <c r="S484" i="5"/>
  <c r="R484" i="5"/>
  <c r="F484" i="5"/>
  <c r="X483" i="5"/>
  <c r="W483" i="5"/>
  <c r="T483" i="5" s="1"/>
  <c r="S483" i="5"/>
  <c r="F483" i="5"/>
  <c r="X482" i="5"/>
  <c r="W482" i="5"/>
  <c r="T482" i="5" s="1"/>
  <c r="B482" i="5" s="1"/>
  <c r="S482" i="5"/>
  <c r="R482" i="5"/>
  <c r="F482" i="5"/>
  <c r="X481" i="5"/>
  <c r="W481" i="5"/>
  <c r="T481" i="5" s="1"/>
  <c r="B481" i="5" s="1"/>
  <c r="S481" i="5"/>
  <c r="R481" i="5"/>
  <c r="F481" i="5"/>
  <c r="X480" i="5"/>
  <c r="W480" i="5"/>
  <c r="T480" i="5" s="1"/>
  <c r="B480" i="5" s="1"/>
  <c r="S480" i="5"/>
  <c r="R480" i="5"/>
  <c r="F480" i="5"/>
  <c r="X479" i="5"/>
  <c r="W479" i="5"/>
  <c r="T479" i="5" s="1"/>
  <c r="B479" i="5" s="1"/>
  <c r="S479" i="5"/>
  <c r="R479" i="5"/>
  <c r="F479" i="5"/>
  <c r="X478" i="5"/>
  <c r="W478" i="5"/>
  <c r="T478" i="5" s="1"/>
  <c r="S478" i="5"/>
  <c r="R478" i="5"/>
  <c r="F478" i="5"/>
  <c r="X477" i="5"/>
  <c r="W477" i="5"/>
  <c r="T477" i="5" s="1"/>
  <c r="B477" i="5" s="1"/>
  <c r="S477" i="5"/>
  <c r="R477" i="5"/>
  <c r="F477" i="5"/>
  <c r="X476" i="5"/>
  <c r="W476" i="5"/>
  <c r="T476" i="5" s="1"/>
  <c r="B476" i="5" s="1"/>
  <c r="S476" i="5"/>
  <c r="F476" i="5"/>
  <c r="X475" i="5"/>
  <c r="W475" i="5"/>
  <c r="T475" i="5" s="1"/>
  <c r="B475" i="5" s="1"/>
  <c r="S475" i="5"/>
  <c r="R475" i="5"/>
  <c r="F475" i="5"/>
  <c r="X474" i="5"/>
  <c r="W474" i="5"/>
  <c r="T474" i="5" s="1"/>
  <c r="S474" i="5"/>
  <c r="R474" i="5"/>
  <c r="F474" i="5"/>
  <c r="X473" i="5"/>
  <c r="W473" i="5"/>
  <c r="T473" i="5" s="1"/>
  <c r="B473" i="5" s="1"/>
  <c r="S473" i="5"/>
  <c r="R473" i="5"/>
  <c r="F473" i="5"/>
  <c r="X472" i="5"/>
  <c r="W472" i="5"/>
  <c r="T472" i="5" s="1"/>
  <c r="B472" i="5" s="1"/>
  <c r="S472" i="5"/>
  <c r="R472" i="5"/>
  <c r="F472" i="5"/>
  <c r="X471" i="5"/>
  <c r="W471" i="5"/>
  <c r="T471" i="5" s="1"/>
  <c r="B471" i="5" s="1"/>
  <c r="S471" i="5"/>
  <c r="R471" i="5"/>
  <c r="F471" i="5"/>
  <c r="X470" i="5"/>
  <c r="W470" i="5"/>
  <c r="T470" i="5" s="1"/>
  <c r="S470" i="5"/>
  <c r="R470" i="5"/>
  <c r="F470" i="5"/>
  <c r="X469" i="5"/>
  <c r="W469" i="5"/>
  <c r="T469" i="5" s="1"/>
  <c r="B469" i="5" s="1"/>
  <c r="S469" i="5"/>
  <c r="F469" i="5"/>
  <c r="X468" i="5"/>
  <c r="W468" i="5"/>
  <c r="T468" i="5" s="1"/>
  <c r="S468" i="5"/>
  <c r="R468" i="5"/>
  <c r="F468" i="5"/>
  <c r="X467" i="5"/>
  <c r="W467" i="5"/>
  <c r="T467" i="5" s="1"/>
  <c r="S467" i="5"/>
  <c r="R467" i="5"/>
  <c r="F467" i="5"/>
  <c r="X466" i="5"/>
  <c r="W466" i="5"/>
  <c r="T466" i="5" s="1"/>
  <c r="B466" i="5" s="1"/>
  <c r="S466" i="5"/>
  <c r="R466" i="5"/>
  <c r="F466" i="5"/>
  <c r="X465" i="5"/>
  <c r="W465" i="5"/>
  <c r="T465" i="5" s="1"/>
  <c r="B465" i="5" s="1"/>
  <c r="S465" i="5"/>
  <c r="R465" i="5"/>
  <c r="F465" i="5"/>
  <c r="X464" i="5"/>
  <c r="W464" i="5"/>
  <c r="T464" i="5" s="1"/>
  <c r="S464" i="5"/>
  <c r="R464" i="5"/>
  <c r="F464" i="5"/>
  <c r="X463" i="5"/>
  <c r="W463" i="5"/>
  <c r="T463" i="5" s="1"/>
  <c r="B463" i="5" s="1"/>
  <c r="S463" i="5"/>
  <c r="R463" i="5"/>
  <c r="F463" i="5"/>
  <c r="X462" i="5"/>
  <c r="W462" i="5"/>
  <c r="T462" i="5" s="1"/>
  <c r="B462" i="5" s="1"/>
  <c r="S462" i="5"/>
  <c r="F462" i="5"/>
  <c r="X461" i="5"/>
  <c r="W461" i="5"/>
  <c r="T461" i="5" s="1"/>
  <c r="B461" i="5" s="1"/>
  <c r="S461" i="5"/>
  <c r="R461" i="5"/>
  <c r="F461" i="5"/>
  <c r="X460" i="5"/>
  <c r="W460" i="5"/>
  <c r="T460" i="5" s="1"/>
  <c r="B460" i="5" s="1"/>
  <c r="S460" i="5"/>
  <c r="R460" i="5"/>
  <c r="F460" i="5"/>
  <c r="X459" i="5"/>
  <c r="W459" i="5"/>
  <c r="T459" i="5" s="1"/>
  <c r="S459" i="5"/>
  <c r="R459" i="5"/>
  <c r="F459" i="5"/>
  <c r="X458" i="5"/>
  <c r="W458" i="5"/>
  <c r="T458" i="5" s="1"/>
  <c r="S458" i="5"/>
  <c r="R458" i="5"/>
  <c r="F458" i="5"/>
  <c r="X457" i="5"/>
  <c r="W457" i="5"/>
  <c r="T457" i="5" s="1"/>
  <c r="B457" i="5" s="1"/>
  <c r="S457" i="5"/>
  <c r="R457" i="5"/>
  <c r="F457" i="5"/>
  <c r="X456" i="5"/>
  <c r="W456" i="5"/>
  <c r="T456" i="5" s="1"/>
  <c r="S456" i="5"/>
  <c r="R456" i="5"/>
  <c r="F456" i="5"/>
  <c r="X455" i="5"/>
  <c r="W455" i="5"/>
  <c r="T455" i="5" s="1"/>
  <c r="B455" i="5" s="1"/>
  <c r="S455" i="5"/>
  <c r="F455" i="5"/>
  <c r="X454" i="5"/>
  <c r="W454" i="5"/>
  <c r="T454" i="5" s="1"/>
  <c r="S454" i="5"/>
  <c r="R454" i="5"/>
  <c r="F454" i="5"/>
  <c r="X453" i="5"/>
  <c r="W453" i="5"/>
  <c r="T453" i="5" s="1"/>
  <c r="S453" i="5"/>
  <c r="R453" i="5"/>
  <c r="F453" i="5"/>
  <c r="X452" i="5"/>
  <c r="W452" i="5"/>
  <c r="T452" i="5" s="1"/>
  <c r="S452" i="5"/>
  <c r="R452" i="5"/>
  <c r="F452" i="5"/>
  <c r="X451" i="5"/>
  <c r="W451" i="5"/>
  <c r="T451" i="5" s="1"/>
  <c r="S451" i="5"/>
  <c r="R451" i="5"/>
  <c r="F451" i="5"/>
  <c r="X450" i="5"/>
  <c r="W450" i="5"/>
  <c r="T450" i="5" s="1"/>
  <c r="B450" i="5" s="1"/>
  <c r="S450" i="5"/>
  <c r="R450" i="5"/>
  <c r="F450" i="5"/>
  <c r="X449" i="5"/>
  <c r="W449" i="5"/>
  <c r="T449" i="5" s="1"/>
  <c r="B449" i="5" s="1"/>
  <c r="S449" i="5"/>
  <c r="R449" i="5"/>
  <c r="F449" i="5"/>
  <c r="X448" i="5"/>
  <c r="W448" i="5"/>
  <c r="T448" i="5" s="1"/>
  <c r="S448" i="5"/>
  <c r="F448" i="5"/>
  <c r="X447" i="5"/>
  <c r="W447" i="5"/>
  <c r="T447" i="5" s="1"/>
  <c r="B447" i="5" s="1"/>
  <c r="S447" i="5"/>
  <c r="R447" i="5"/>
  <c r="F447" i="5"/>
  <c r="X446" i="5"/>
  <c r="W446" i="5"/>
  <c r="T446" i="5" s="1"/>
  <c r="B446" i="5" s="1"/>
  <c r="S446" i="5"/>
  <c r="R446" i="5"/>
  <c r="F446" i="5"/>
  <c r="X445" i="5"/>
  <c r="W445" i="5"/>
  <c r="T445" i="5" s="1"/>
  <c r="S445" i="5"/>
  <c r="R445" i="5"/>
  <c r="F445" i="5"/>
  <c r="X444" i="5"/>
  <c r="W444" i="5"/>
  <c r="T444" i="5" s="1"/>
  <c r="S444" i="5"/>
  <c r="R444" i="5"/>
  <c r="F444" i="5"/>
  <c r="X443" i="5"/>
  <c r="W443" i="5"/>
  <c r="T443" i="5" s="1"/>
  <c r="S443" i="5"/>
  <c r="R443" i="5"/>
  <c r="F443" i="5"/>
  <c r="X442" i="5"/>
  <c r="W442" i="5"/>
  <c r="T442" i="5" s="1"/>
  <c r="S442" i="5"/>
  <c r="R442" i="5"/>
  <c r="F442" i="5"/>
  <c r="X441" i="5"/>
  <c r="W441" i="5"/>
  <c r="T441" i="5" s="1"/>
  <c r="B441" i="5" s="1"/>
  <c r="S441" i="5"/>
  <c r="F441" i="5"/>
  <c r="X440" i="5"/>
  <c r="W440" i="5"/>
  <c r="T440" i="5" s="1"/>
  <c r="B440" i="5" s="1"/>
  <c r="S440" i="5"/>
  <c r="R440" i="5"/>
  <c r="F440" i="5"/>
  <c r="X439" i="5"/>
  <c r="W439" i="5"/>
  <c r="T439" i="5" s="1"/>
  <c r="B439" i="5" s="1"/>
  <c r="S439" i="5"/>
  <c r="R439" i="5"/>
  <c r="F439" i="5"/>
  <c r="X438" i="5"/>
  <c r="W438" i="5"/>
  <c r="T438" i="5" s="1"/>
  <c r="B438" i="5" s="1"/>
  <c r="S438" i="5"/>
  <c r="R438" i="5"/>
  <c r="F438" i="5"/>
  <c r="X437" i="5"/>
  <c r="W437" i="5"/>
  <c r="T437" i="5" s="1"/>
  <c r="B437" i="5" s="1"/>
  <c r="S437" i="5"/>
  <c r="R437" i="5"/>
  <c r="F437" i="5"/>
  <c r="X436" i="5"/>
  <c r="W436" i="5"/>
  <c r="T436" i="5" s="1"/>
  <c r="S436" i="5"/>
  <c r="R436" i="5"/>
  <c r="F436" i="5"/>
  <c r="X435" i="5"/>
  <c r="W435" i="5"/>
  <c r="T435" i="5" s="1"/>
  <c r="B435" i="5" s="1"/>
  <c r="S435" i="5"/>
  <c r="R435" i="5"/>
  <c r="F435" i="5"/>
  <c r="X434" i="5"/>
  <c r="W434" i="5"/>
  <c r="T434" i="5" s="1"/>
  <c r="B434" i="5" s="1"/>
  <c r="S434" i="5"/>
  <c r="F434" i="5"/>
  <c r="X433" i="5"/>
  <c r="W433" i="5"/>
  <c r="T433" i="5" s="1"/>
  <c r="B433" i="5" s="1"/>
  <c r="S433" i="5"/>
  <c r="R433" i="5"/>
  <c r="F433" i="5"/>
  <c r="X432" i="5"/>
  <c r="W432" i="5"/>
  <c r="T432" i="5" s="1"/>
  <c r="B432" i="5" s="1"/>
  <c r="S432" i="5"/>
  <c r="R432" i="5"/>
  <c r="F432" i="5"/>
  <c r="X431" i="5"/>
  <c r="W431" i="5"/>
  <c r="T431" i="5" s="1"/>
  <c r="S431" i="5"/>
  <c r="R431" i="5"/>
  <c r="F431" i="5"/>
  <c r="X430" i="5"/>
  <c r="W430" i="5"/>
  <c r="T430" i="5" s="1"/>
  <c r="B430" i="5" s="1"/>
  <c r="S430" i="5"/>
  <c r="R430" i="5"/>
  <c r="F430" i="5"/>
  <c r="X429" i="5"/>
  <c r="W429" i="5"/>
  <c r="T429" i="5" s="1"/>
  <c r="S429" i="5"/>
  <c r="R429" i="5"/>
  <c r="F429" i="5"/>
  <c r="X428" i="5"/>
  <c r="W428" i="5"/>
  <c r="T428" i="5" s="1"/>
  <c r="S428" i="5"/>
  <c r="R428" i="5"/>
  <c r="F428" i="5"/>
  <c r="X427" i="5"/>
  <c r="W427" i="5"/>
  <c r="T427" i="5" s="1"/>
  <c r="B427" i="5" s="1"/>
  <c r="S427" i="5"/>
  <c r="F427" i="5"/>
  <c r="X426" i="5"/>
  <c r="W426" i="5"/>
  <c r="T426" i="5" s="1"/>
  <c r="S426" i="5"/>
  <c r="R426" i="5"/>
  <c r="F426" i="5"/>
  <c r="X425" i="5"/>
  <c r="W425" i="5"/>
  <c r="T425" i="5" s="1"/>
  <c r="S425" i="5"/>
  <c r="R425" i="5"/>
  <c r="F425" i="5"/>
  <c r="X424" i="5"/>
  <c r="W424" i="5"/>
  <c r="T424" i="5" s="1"/>
  <c r="S424" i="5"/>
  <c r="R424" i="5"/>
  <c r="F424" i="5"/>
  <c r="X423" i="5"/>
  <c r="W423" i="5"/>
  <c r="T423" i="5" s="1"/>
  <c r="S423" i="5"/>
  <c r="R423" i="5"/>
  <c r="F423" i="5"/>
  <c r="X422" i="5"/>
  <c r="W422" i="5"/>
  <c r="T422" i="5" s="1"/>
  <c r="S422" i="5"/>
  <c r="R422" i="5"/>
  <c r="F422" i="5"/>
  <c r="X421" i="5"/>
  <c r="W421" i="5"/>
  <c r="T421" i="5" s="1"/>
  <c r="S421" i="5"/>
  <c r="D421" i="5" s="1"/>
  <c r="R421" i="5"/>
  <c r="F421" i="5"/>
  <c r="X420" i="5"/>
  <c r="W420" i="5"/>
  <c r="T420" i="5" s="1"/>
  <c r="S420" i="5"/>
  <c r="F420" i="5"/>
  <c r="X419" i="5"/>
  <c r="W419" i="5"/>
  <c r="T419" i="5" s="1"/>
  <c r="B419" i="5" s="1"/>
  <c r="S419" i="5"/>
  <c r="R419" i="5"/>
  <c r="F419" i="5"/>
  <c r="X418" i="5"/>
  <c r="W418" i="5"/>
  <c r="T418" i="5" s="1"/>
  <c r="B418" i="5" s="1"/>
  <c r="S418" i="5"/>
  <c r="R418" i="5"/>
  <c r="F418" i="5"/>
  <c r="X417" i="5"/>
  <c r="W417" i="5"/>
  <c r="T417" i="5" s="1"/>
  <c r="B417" i="5" s="1"/>
  <c r="S417" i="5"/>
  <c r="R417" i="5"/>
  <c r="F417" i="5"/>
  <c r="X416" i="5"/>
  <c r="W416" i="5"/>
  <c r="T416" i="5" s="1"/>
  <c r="B416" i="5" s="1"/>
  <c r="S416" i="5"/>
  <c r="R416" i="5"/>
  <c r="F416" i="5"/>
  <c r="X415" i="5"/>
  <c r="W415" i="5"/>
  <c r="T415" i="5" s="1"/>
  <c r="B415" i="5" s="1"/>
  <c r="S415" i="5"/>
  <c r="R415" i="5"/>
  <c r="F415" i="5"/>
  <c r="X414" i="5"/>
  <c r="W414" i="5"/>
  <c r="T414" i="5" s="1"/>
  <c r="B414" i="5" s="1"/>
  <c r="S414" i="5"/>
  <c r="R414" i="5"/>
  <c r="F414" i="5"/>
  <c r="X413" i="5"/>
  <c r="W413" i="5"/>
  <c r="T413" i="5" s="1"/>
  <c r="B413" i="5" s="1"/>
  <c r="S413" i="5"/>
  <c r="F413" i="5"/>
  <c r="X412" i="5"/>
  <c r="W412" i="5"/>
  <c r="T412" i="5" s="1"/>
  <c r="S412" i="5"/>
  <c r="R412" i="5"/>
  <c r="F412" i="5"/>
  <c r="X411" i="5"/>
  <c r="W411" i="5"/>
  <c r="T411" i="5" s="1"/>
  <c r="B411" i="5" s="1"/>
  <c r="S411" i="5"/>
  <c r="E411" i="5" s="1"/>
  <c r="R411" i="5"/>
  <c r="F411" i="5"/>
  <c r="X410" i="5"/>
  <c r="W410" i="5"/>
  <c r="T410" i="5" s="1"/>
  <c r="S410" i="5"/>
  <c r="R410" i="5"/>
  <c r="F410" i="5"/>
  <c r="X409" i="5"/>
  <c r="W409" i="5"/>
  <c r="T409" i="5" s="1"/>
  <c r="S409" i="5"/>
  <c r="R409" i="5"/>
  <c r="F409" i="5"/>
  <c r="X408" i="5"/>
  <c r="W408" i="5"/>
  <c r="T408" i="5" s="1"/>
  <c r="B408" i="5" s="1"/>
  <c r="S408" i="5"/>
  <c r="R408" i="5"/>
  <c r="F408" i="5"/>
  <c r="X407" i="5"/>
  <c r="W407" i="5"/>
  <c r="T407" i="5" s="1"/>
  <c r="B407" i="5" s="1"/>
  <c r="S407" i="5"/>
  <c r="R407" i="5"/>
  <c r="F407" i="5"/>
  <c r="X406" i="5"/>
  <c r="W406" i="5"/>
  <c r="T406" i="5" s="1"/>
  <c r="S406" i="5"/>
  <c r="F406" i="5"/>
  <c r="X405" i="5"/>
  <c r="W405" i="5"/>
  <c r="T405" i="5" s="1"/>
  <c r="B405" i="5" s="1"/>
  <c r="S405" i="5"/>
  <c r="R405" i="5"/>
  <c r="F405" i="5"/>
  <c r="X404" i="5"/>
  <c r="W404" i="5"/>
  <c r="T404" i="5" s="1"/>
  <c r="S404" i="5"/>
  <c r="R404" i="5"/>
  <c r="F404" i="5"/>
  <c r="X403" i="5"/>
  <c r="W403" i="5"/>
  <c r="T403" i="5" s="1"/>
  <c r="B403" i="5" s="1"/>
  <c r="S403" i="5"/>
  <c r="E403" i="5" s="1"/>
  <c r="R403" i="5"/>
  <c r="F403" i="5"/>
  <c r="X402" i="5"/>
  <c r="W402" i="5"/>
  <c r="T402" i="5" s="1"/>
  <c r="S402" i="5"/>
  <c r="R402" i="5"/>
  <c r="F402" i="5"/>
  <c r="X401" i="5"/>
  <c r="W401" i="5"/>
  <c r="T401" i="5" s="1"/>
  <c r="S401" i="5"/>
  <c r="R401" i="5"/>
  <c r="F401" i="5"/>
  <c r="X400" i="5"/>
  <c r="W400" i="5"/>
  <c r="T400" i="5" s="1"/>
  <c r="B400" i="5" s="1"/>
  <c r="S400" i="5"/>
  <c r="R400" i="5"/>
  <c r="F400" i="5"/>
  <c r="X399" i="5"/>
  <c r="W399" i="5"/>
  <c r="T399" i="5" s="1"/>
  <c r="S399" i="5"/>
  <c r="F399" i="5"/>
  <c r="X398" i="5"/>
  <c r="W398" i="5"/>
  <c r="T398" i="5" s="1"/>
  <c r="B398" i="5" s="1"/>
  <c r="S398" i="5"/>
  <c r="R398" i="5"/>
  <c r="F398" i="5"/>
  <c r="X397" i="5"/>
  <c r="W397" i="5"/>
  <c r="T397" i="5" s="1"/>
  <c r="B397" i="5" s="1"/>
  <c r="S397" i="5"/>
  <c r="R397" i="5"/>
  <c r="F397" i="5"/>
  <c r="X396" i="5"/>
  <c r="W396" i="5"/>
  <c r="T396" i="5" s="1"/>
  <c r="B396" i="5" s="1"/>
  <c r="S396" i="5"/>
  <c r="R396" i="5"/>
  <c r="F396" i="5"/>
  <c r="X395" i="5"/>
  <c r="W395" i="5"/>
  <c r="T395" i="5" s="1"/>
  <c r="S395" i="5"/>
  <c r="R395" i="5"/>
  <c r="F395" i="5"/>
  <c r="X394" i="5"/>
  <c r="W394" i="5"/>
  <c r="T394" i="5" s="1"/>
  <c r="B394" i="5" s="1"/>
  <c r="S394" i="5"/>
  <c r="R394" i="5"/>
  <c r="F394" i="5"/>
  <c r="X393" i="5"/>
  <c r="W393" i="5"/>
  <c r="T393" i="5" s="1"/>
  <c r="S393" i="5"/>
  <c r="R393" i="5"/>
  <c r="F393" i="5"/>
  <c r="X392" i="5"/>
  <c r="W392" i="5"/>
  <c r="T392" i="5" s="1"/>
  <c r="B392" i="5" s="1"/>
  <c r="S392" i="5"/>
  <c r="F392" i="5"/>
  <c r="X391" i="5"/>
  <c r="W391" i="5"/>
  <c r="T391" i="5" s="1"/>
  <c r="S391" i="5"/>
  <c r="R391" i="5"/>
  <c r="F391" i="5"/>
  <c r="B391" i="5"/>
  <c r="X390" i="5"/>
  <c r="W390" i="5"/>
  <c r="T390" i="5" s="1"/>
  <c r="B390" i="5" s="1"/>
  <c r="S390" i="5"/>
  <c r="R390" i="5"/>
  <c r="F390" i="5"/>
  <c r="X389" i="5"/>
  <c r="W389" i="5"/>
  <c r="T389" i="5" s="1"/>
  <c r="B389" i="5" s="1"/>
  <c r="S389" i="5"/>
  <c r="R389" i="5"/>
  <c r="F389" i="5"/>
  <c r="X388" i="5"/>
  <c r="W388" i="5"/>
  <c r="T388" i="5" s="1"/>
  <c r="S388" i="5"/>
  <c r="R388" i="5"/>
  <c r="F388" i="5"/>
  <c r="B388" i="5"/>
  <c r="X387" i="5"/>
  <c r="W387" i="5"/>
  <c r="T387" i="5" s="1"/>
  <c r="S387" i="5"/>
  <c r="R387" i="5"/>
  <c r="F387" i="5"/>
  <c r="X386" i="5"/>
  <c r="W386" i="5"/>
  <c r="T386" i="5" s="1"/>
  <c r="B386" i="5" s="1"/>
  <c r="S386" i="5"/>
  <c r="R386" i="5"/>
  <c r="F386" i="5"/>
  <c r="X385" i="5"/>
  <c r="W385" i="5"/>
  <c r="T385" i="5" s="1"/>
  <c r="B385" i="5" s="1"/>
  <c r="S385" i="5"/>
  <c r="F385" i="5"/>
  <c r="X384" i="5"/>
  <c r="W384" i="5"/>
  <c r="T384" i="5" s="1"/>
  <c r="S384" i="5"/>
  <c r="R384" i="5"/>
  <c r="F384" i="5"/>
  <c r="X383" i="5"/>
  <c r="W383" i="5"/>
  <c r="T383" i="5" s="1"/>
  <c r="B383" i="5" s="1"/>
  <c r="S383" i="5"/>
  <c r="R383" i="5"/>
  <c r="F383" i="5"/>
  <c r="X382" i="5"/>
  <c r="W382" i="5"/>
  <c r="T382" i="5" s="1"/>
  <c r="B382" i="5" s="1"/>
  <c r="S382" i="5"/>
  <c r="R382" i="5"/>
  <c r="F382" i="5"/>
  <c r="X381" i="5"/>
  <c r="W381" i="5"/>
  <c r="T381" i="5" s="1"/>
  <c r="B381" i="5" s="1"/>
  <c r="S381" i="5"/>
  <c r="R381" i="5"/>
  <c r="F381" i="5"/>
  <c r="X380" i="5"/>
  <c r="W380" i="5"/>
  <c r="T380" i="5" s="1"/>
  <c r="S380" i="5"/>
  <c r="R380" i="5"/>
  <c r="F380" i="5"/>
  <c r="X379" i="5"/>
  <c r="W379" i="5"/>
  <c r="T379" i="5" s="1"/>
  <c r="S379" i="5"/>
  <c r="R379" i="5"/>
  <c r="F379" i="5"/>
  <c r="X378" i="5"/>
  <c r="W378" i="5"/>
  <c r="T378" i="5" s="1"/>
  <c r="B378" i="5" s="1"/>
  <c r="S378" i="5"/>
  <c r="F378" i="5"/>
  <c r="X377" i="5"/>
  <c r="W377" i="5"/>
  <c r="T377" i="5" s="1"/>
  <c r="B377" i="5" s="1"/>
  <c r="S377" i="5"/>
  <c r="R377" i="5"/>
  <c r="F377" i="5"/>
  <c r="X376" i="5"/>
  <c r="W376" i="5"/>
  <c r="T376" i="5" s="1"/>
  <c r="B376" i="5" s="1"/>
  <c r="S376" i="5"/>
  <c r="R376" i="5"/>
  <c r="F376" i="5"/>
  <c r="X375" i="5"/>
  <c r="W375" i="5"/>
  <c r="T375" i="5" s="1"/>
  <c r="B375" i="5" s="1"/>
  <c r="S375" i="5"/>
  <c r="R375" i="5"/>
  <c r="F375" i="5"/>
  <c r="X374" i="5"/>
  <c r="W374" i="5"/>
  <c r="T374" i="5"/>
  <c r="B374" i="5" s="1"/>
  <c r="S374" i="5"/>
  <c r="R374" i="5"/>
  <c r="F374" i="5"/>
  <c r="X373" i="5"/>
  <c r="W373" i="5"/>
  <c r="T373" i="5" s="1"/>
  <c r="B373" i="5" s="1"/>
  <c r="S373" i="5"/>
  <c r="R373" i="5"/>
  <c r="F373" i="5"/>
  <c r="X372" i="5"/>
  <c r="W372" i="5"/>
  <c r="T372" i="5" s="1"/>
  <c r="B372" i="5" s="1"/>
  <c r="S372" i="5"/>
  <c r="R372" i="5"/>
  <c r="F372" i="5"/>
  <c r="X371" i="5"/>
  <c r="W371" i="5"/>
  <c r="T371" i="5" s="1"/>
  <c r="B371" i="5" s="1"/>
  <c r="S371" i="5"/>
  <c r="D371" i="5" s="1"/>
  <c r="F371" i="5"/>
  <c r="X370" i="5"/>
  <c r="W370" i="5"/>
  <c r="T370" i="5" s="1"/>
  <c r="S370" i="5"/>
  <c r="R370" i="5"/>
  <c r="F370" i="5"/>
  <c r="X369" i="5"/>
  <c r="W369" i="5"/>
  <c r="T369" i="5" s="1"/>
  <c r="B369" i="5" s="1"/>
  <c r="S369" i="5"/>
  <c r="R369" i="5"/>
  <c r="F369" i="5"/>
  <c r="X368" i="5"/>
  <c r="W368" i="5"/>
  <c r="T368" i="5"/>
  <c r="B368" i="5" s="1"/>
  <c r="S368" i="5"/>
  <c r="R368" i="5"/>
  <c r="F368" i="5"/>
  <c r="X367" i="5"/>
  <c r="W367" i="5"/>
  <c r="T367" i="5" s="1"/>
  <c r="S367" i="5"/>
  <c r="R367" i="5"/>
  <c r="F367" i="5"/>
  <c r="X366" i="5"/>
  <c r="W366" i="5"/>
  <c r="T366" i="5" s="1"/>
  <c r="B366" i="5" s="1"/>
  <c r="S366" i="5"/>
  <c r="C366" i="5" s="1"/>
  <c r="R366" i="5"/>
  <c r="F366" i="5"/>
  <c r="X365" i="5"/>
  <c r="W365" i="5"/>
  <c r="T365" i="5" s="1"/>
  <c r="B365" i="5" s="1"/>
  <c r="S365" i="5"/>
  <c r="R365" i="5"/>
  <c r="F365" i="5"/>
  <c r="X364" i="5"/>
  <c r="W364" i="5"/>
  <c r="T364" i="5" s="1"/>
  <c r="S364" i="5"/>
  <c r="F364" i="5"/>
  <c r="X363" i="5"/>
  <c r="W363" i="5"/>
  <c r="T363" i="5" s="1"/>
  <c r="S363" i="5"/>
  <c r="R363" i="5"/>
  <c r="F363" i="5"/>
  <c r="X362" i="5"/>
  <c r="W362" i="5"/>
  <c r="T362" i="5" s="1"/>
  <c r="B362" i="5" s="1"/>
  <c r="S362" i="5"/>
  <c r="R362" i="5"/>
  <c r="F362" i="5"/>
  <c r="X361" i="5"/>
  <c r="W361" i="5"/>
  <c r="T361" i="5" s="1"/>
  <c r="B361" i="5" s="1"/>
  <c r="S361" i="5"/>
  <c r="R361" i="5"/>
  <c r="F361" i="5"/>
  <c r="X360" i="5"/>
  <c r="W360" i="5"/>
  <c r="T360" i="5" s="1"/>
  <c r="B360" i="5" s="1"/>
  <c r="S360" i="5"/>
  <c r="R360" i="5"/>
  <c r="F360" i="5"/>
  <c r="X359" i="5"/>
  <c r="W359" i="5"/>
  <c r="T359" i="5" s="1"/>
  <c r="S359" i="5"/>
  <c r="R359" i="5"/>
  <c r="F359" i="5"/>
  <c r="X358" i="5"/>
  <c r="W358" i="5"/>
  <c r="T358" i="5" s="1"/>
  <c r="S358" i="5"/>
  <c r="R358" i="5"/>
  <c r="F358" i="5"/>
  <c r="X357" i="5"/>
  <c r="W357" i="5"/>
  <c r="T357" i="5" s="1"/>
  <c r="B357" i="5" s="1"/>
  <c r="S357" i="5"/>
  <c r="F357" i="5"/>
  <c r="X356" i="5"/>
  <c r="W356" i="5"/>
  <c r="T356" i="5" s="1"/>
  <c r="S356" i="5"/>
  <c r="R356" i="5"/>
  <c r="F356" i="5"/>
  <c r="X355" i="5"/>
  <c r="W355" i="5"/>
  <c r="T355" i="5" s="1"/>
  <c r="B355" i="5" s="1"/>
  <c r="S355" i="5"/>
  <c r="R355" i="5"/>
  <c r="F355" i="5"/>
  <c r="X354" i="5"/>
  <c r="W354" i="5"/>
  <c r="T354" i="5" s="1"/>
  <c r="S354" i="5"/>
  <c r="R354" i="5"/>
  <c r="F354" i="5"/>
  <c r="X353" i="5"/>
  <c r="W353" i="5"/>
  <c r="T353" i="5" s="1"/>
  <c r="B353" i="5" s="1"/>
  <c r="S353" i="5"/>
  <c r="R353" i="5"/>
  <c r="F353" i="5"/>
  <c r="X352" i="5"/>
  <c r="W352" i="5"/>
  <c r="T352" i="5" s="1"/>
  <c r="B352" i="5" s="1"/>
  <c r="S352" i="5"/>
  <c r="R352" i="5"/>
  <c r="F352" i="5"/>
  <c r="X351" i="5"/>
  <c r="W351" i="5"/>
  <c r="T351" i="5" s="1"/>
  <c r="B351" i="5" s="1"/>
  <c r="S351" i="5"/>
  <c r="R351" i="5"/>
  <c r="F351" i="5"/>
  <c r="X350" i="5"/>
  <c r="W350" i="5"/>
  <c r="T350" i="5" s="1"/>
  <c r="B350" i="5" s="1"/>
  <c r="S350" i="5"/>
  <c r="F350" i="5"/>
  <c r="X349" i="5"/>
  <c r="W349" i="5"/>
  <c r="T349" i="5" s="1"/>
  <c r="S349" i="5"/>
  <c r="R349" i="5"/>
  <c r="F349" i="5"/>
  <c r="X348" i="5"/>
  <c r="W348" i="5"/>
  <c r="T348" i="5" s="1"/>
  <c r="B348" i="5" s="1"/>
  <c r="S348" i="5"/>
  <c r="R348" i="5"/>
  <c r="F348" i="5"/>
  <c r="X347" i="5"/>
  <c r="W347" i="5"/>
  <c r="T347" i="5" s="1"/>
  <c r="S347" i="5"/>
  <c r="R347" i="5"/>
  <c r="F347" i="5"/>
  <c r="X346" i="5"/>
  <c r="W346" i="5"/>
  <c r="T346" i="5" s="1"/>
  <c r="S346" i="5"/>
  <c r="R346" i="5"/>
  <c r="F346" i="5"/>
  <c r="X345" i="5"/>
  <c r="W345" i="5"/>
  <c r="T345" i="5" s="1"/>
  <c r="B345" i="5" s="1"/>
  <c r="S345" i="5"/>
  <c r="R345" i="5"/>
  <c r="F345" i="5"/>
  <c r="X344" i="5"/>
  <c r="W344" i="5"/>
  <c r="T344" i="5" s="1"/>
  <c r="S344" i="5"/>
  <c r="R344" i="5"/>
  <c r="F344" i="5"/>
  <c r="X343" i="5"/>
  <c r="W343" i="5"/>
  <c r="T343" i="5" s="1"/>
  <c r="B343" i="5" s="1"/>
  <c r="S343" i="5"/>
  <c r="F343" i="5"/>
  <c r="X342" i="5"/>
  <c r="W342" i="5"/>
  <c r="T342" i="5" s="1"/>
  <c r="B342" i="5" s="1"/>
  <c r="S342" i="5"/>
  <c r="R342" i="5"/>
  <c r="F342" i="5"/>
  <c r="X341" i="5"/>
  <c r="W341" i="5"/>
  <c r="T341" i="5" s="1"/>
  <c r="S341" i="5"/>
  <c r="R341" i="5"/>
  <c r="F341" i="5"/>
  <c r="X340" i="5"/>
  <c r="W340" i="5"/>
  <c r="T340" i="5" s="1"/>
  <c r="S340" i="5"/>
  <c r="R340" i="5"/>
  <c r="F340" i="5"/>
  <c r="X339" i="5"/>
  <c r="W339" i="5"/>
  <c r="T339" i="5" s="1"/>
  <c r="S339" i="5"/>
  <c r="R339" i="5"/>
  <c r="F339" i="5"/>
  <c r="X338" i="5"/>
  <c r="W338" i="5"/>
  <c r="T338" i="5" s="1"/>
  <c r="B338" i="5" s="1"/>
  <c r="S338" i="5"/>
  <c r="R338" i="5"/>
  <c r="F338" i="5"/>
  <c r="X337" i="5"/>
  <c r="W337" i="5"/>
  <c r="T337" i="5" s="1"/>
  <c r="S337" i="5"/>
  <c r="R337" i="5"/>
  <c r="F337" i="5"/>
  <c r="X336" i="5"/>
  <c r="W336" i="5"/>
  <c r="T336" i="5" s="1"/>
  <c r="S336" i="5"/>
  <c r="F336" i="5"/>
  <c r="X335" i="5"/>
  <c r="W335" i="5"/>
  <c r="T335" i="5" s="1"/>
  <c r="B335" i="5" s="1"/>
  <c r="S335" i="5"/>
  <c r="R335" i="5"/>
  <c r="F335" i="5"/>
  <c r="X334" i="5"/>
  <c r="W334" i="5"/>
  <c r="T334" i="5" s="1"/>
  <c r="B334" i="5" s="1"/>
  <c r="S334" i="5"/>
  <c r="R334" i="5"/>
  <c r="F334" i="5"/>
  <c r="X333" i="5"/>
  <c r="W333" i="5"/>
  <c r="T333" i="5" s="1"/>
  <c r="S333" i="5"/>
  <c r="R333" i="5"/>
  <c r="F333" i="5"/>
  <c r="X332" i="5"/>
  <c r="W332" i="5"/>
  <c r="T332" i="5" s="1"/>
  <c r="B332" i="5" s="1"/>
  <c r="S332" i="5"/>
  <c r="R332" i="5"/>
  <c r="F332" i="5"/>
  <c r="X331" i="5"/>
  <c r="W331" i="5"/>
  <c r="T331" i="5" s="1"/>
  <c r="S331" i="5"/>
  <c r="R331" i="5"/>
  <c r="F331" i="5"/>
  <c r="X330" i="5"/>
  <c r="W330" i="5"/>
  <c r="T330" i="5" s="1"/>
  <c r="S330" i="5"/>
  <c r="R330" i="5"/>
  <c r="F330" i="5"/>
  <c r="X329" i="5"/>
  <c r="W329" i="5"/>
  <c r="T329" i="5" s="1"/>
  <c r="B329" i="5" s="1"/>
  <c r="S329" i="5"/>
  <c r="F329" i="5"/>
  <c r="X328" i="5"/>
  <c r="W328" i="5"/>
  <c r="T328" i="5" s="1"/>
  <c r="S328" i="5"/>
  <c r="R328" i="5"/>
  <c r="F328" i="5"/>
  <c r="X327" i="5"/>
  <c r="W327" i="5"/>
  <c r="T327" i="5" s="1"/>
  <c r="B327" i="5" s="1"/>
  <c r="S327" i="5"/>
  <c r="R327" i="5"/>
  <c r="F327" i="5"/>
  <c r="X326" i="5"/>
  <c r="W326" i="5"/>
  <c r="T326" i="5" s="1"/>
  <c r="B326" i="5" s="1"/>
  <c r="S326" i="5"/>
  <c r="R326" i="5"/>
  <c r="F326" i="5"/>
  <c r="X325" i="5"/>
  <c r="W325" i="5"/>
  <c r="T325" i="5" s="1"/>
  <c r="S325" i="5"/>
  <c r="R325" i="5"/>
  <c r="F325" i="5"/>
  <c r="X324" i="5"/>
  <c r="W324" i="5"/>
  <c r="T324" i="5" s="1"/>
  <c r="B324" i="5" s="1"/>
  <c r="S324" i="5"/>
  <c r="R324" i="5"/>
  <c r="F324" i="5"/>
  <c r="X323" i="5"/>
  <c r="W323" i="5"/>
  <c r="T323" i="5" s="1"/>
  <c r="S323" i="5"/>
  <c r="R323" i="5"/>
  <c r="F323" i="5"/>
  <c r="X322" i="5"/>
  <c r="W322" i="5"/>
  <c r="T322" i="5" s="1"/>
  <c r="S322" i="5"/>
  <c r="F322" i="5"/>
  <c r="X321" i="5"/>
  <c r="W321" i="5"/>
  <c r="T321" i="5" s="1"/>
  <c r="S321" i="5"/>
  <c r="R321" i="5"/>
  <c r="F321" i="5"/>
  <c r="X320" i="5"/>
  <c r="W320" i="5"/>
  <c r="T320" i="5" s="1"/>
  <c r="S320" i="5"/>
  <c r="R320" i="5"/>
  <c r="F320" i="5"/>
  <c r="X319" i="5"/>
  <c r="W319" i="5"/>
  <c r="T319" i="5" s="1"/>
  <c r="S319" i="5"/>
  <c r="R319" i="5"/>
  <c r="F319" i="5"/>
  <c r="X318" i="5"/>
  <c r="W318" i="5"/>
  <c r="T318" i="5" s="1"/>
  <c r="B318" i="5" s="1"/>
  <c r="S318" i="5"/>
  <c r="R318" i="5"/>
  <c r="F318" i="5"/>
  <c r="X317" i="5"/>
  <c r="W317" i="5"/>
  <c r="T317" i="5" s="1"/>
  <c r="B317" i="5" s="1"/>
  <c r="S317" i="5"/>
  <c r="R317" i="5"/>
  <c r="F317" i="5"/>
  <c r="X316" i="5"/>
  <c r="W316" i="5"/>
  <c r="T316" i="5" s="1"/>
  <c r="S316" i="5"/>
  <c r="R316" i="5"/>
  <c r="F316" i="5"/>
  <c r="X315" i="5"/>
  <c r="W315" i="5"/>
  <c r="T315" i="5" s="1"/>
  <c r="B315" i="5" s="1"/>
  <c r="S315" i="5"/>
  <c r="F315" i="5"/>
  <c r="X314" i="5"/>
  <c r="W314" i="5"/>
  <c r="T314" i="5" s="1"/>
  <c r="S314" i="5"/>
  <c r="R314" i="5"/>
  <c r="F314" i="5"/>
  <c r="X313" i="5"/>
  <c r="W313" i="5"/>
  <c r="T313" i="5"/>
  <c r="S313" i="5"/>
  <c r="R313" i="5"/>
  <c r="F313" i="5"/>
  <c r="X312" i="5"/>
  <c r="W312" i="5"/>
  <c r="T312" i="5" s="1"/>
  <c r="S312" i="5"/>
  <c r="R312" i="5"/>
  <c r="F312" i="5"/>
  <c r="X311" i="5"/>
  <c r="W311" i="5"/>
  <c r="T311" i="5" s="1"/>
  <c r="B311" i="5" s="1"/>
  <c r="S311" i="5"/>
  <c r="R311" i="5"/>
  <c r="F311" i="5"/>
  <c r="X310" i="5"/>
  <c r="W310" i="5"/>
  <c r="T310" i="5" s="1"/>
  <c r="B310" i="5" s="1"/>
  <c r="S310" i="5"/>
  <c r="C310" i="5" s="1"/>
  <c r="R310" i="5"/>
  <c r="F310" i="5"/>
  <c r="X309" i="5"/>
  <c r="W309" i="5"/>
  <c r="T309" i="5" s="1"/>
  <c r="B309" i="5" s="1"/>
  <c r="S309" i="5"/>
  <c r="R309" i="5"/>
  <c r="F309" i="5"/>
  <c r="X308" i="5"/>
  <c r="W308" i="5"/>
  <c r="T308" i="5" s="1"/>
  <c r="S308" i="5"/>
  <c r="F308" i="5"/>
  <c r="X307" i="5"/>
  <c r="W307" i="5"/>
  <c r="T307" i="5" s="1"/>
  <c r="B307" i="5" s="1"/>
  <c r="S307" i="5"/>
  <c r="R307" i="5"/>
  <c r="F307" i="5"/>
  <c r="X306" i="5"/>
  <c r="W306" i="5"/>
  <c r="T306" i="5" s="1"/>
  <c r="B306" i="5" s="1"/>
  <c r="S306" i="5"/>
  <c r="R306" i="5"/>
  <c r="F306" i="5"/>
  <c r="X305" i="5"/>
  <c r="W305" i="5"/>
  <c r="T305" i="5" s="1"/>
  <c r="B305" i="5" s="1"/>
  <c r="S305" i="5"/>
  <c r="R305" i="5"/>
  <c r="F305" i="5"/>
  <c r="X304" i="5"/>
  <c r="W304" i="5"/>
  <c r="T304" i="5" s="1"/>
  <c r="B304" i="5" s="1"/>
  <c r="S304" i="5"/>
  <c r="E304" i="5" s="1"/>
  <c r="R304" i="5"/>
  <c r="F304" i="5"/>
  <c r="X303" i="5"/>
  <c r="W303" i="5"/>
  <c r="T303" i="5" s="1"/>
  <c r="B303" i="5" s="1"/>
  <c r="S303" i="5"/>
  <c r="C303" i="5" s="1"/>
  <c r="R303" i="5"/>
  <c r="F303" i="5"/>
  <c r="X302" i="5"/>
  <c r="W302" i="5"/>
  <c r="T302" i="5" s="1"/>
  <c r="S302" i="5"/>
  <c r="R302" i="5"/>
  <c r="F302" i="5"/>
  <c r="X301" i="5"/>
  <c r="W301" i="5"/>
  <c r="T301" i="5" s="1"/>
  <c r="B301" i="5" s="1"/>
  <c r="S301" i="5"/>
  <c r="F301" i="5"/>
  <c r="X300" i="5"/>
  <c r="W300" i="5"/>
  <c r="T300" i="5" s="1"/>
  <c r="B300" i="5" s="1"/>
  <c r="S300" i="5"/>
  <c r="R300" i="5"/>
  <c r="F300" i="5"/>
  <c r="X299" i="5"/>
  <c r="W299" i="5"/>
  <c r="T299" i="5" s="1"/>
  <c r="B299" i="5" s="1"/>
  <c r="S299" i="5"/>
  <c r="R299" i="5"/>
  <c r="F299" i="5"/>
  <c r="X298" i="5"/>
  <c r="W298" i="5"/>
  <c r="T298" i="5" s="1"/>
  <c r="B298" i="5" s="1"/>
  <c r="S298" i="5"/>
  <c r="R298" i="5"/>
  <c r="F298" i="5"/>
  <c r="X297" i="5"/>
  <c r="W297" i="5"/>
  <c r="T297" i="5" s="1"/>
  <c r="B297" i="5" s="1"/>
  <c r="S297" i="5"/>
  <c r="R297" i="5"/>
  <c r="F297" i="5"/>
  <c r="X296" i="5"/>
  <c r="W296" i="5"/>
  <c r="T296" i="5" s="1"/>
  <c r="B296" i="5" s="1"/>
  <c r="S296" i="5"/>
  <c r="R296" i="5"/>
  <c r="F296" i="5"/>
  <c r="X295" i="5"/>
  <c r="W295" i="5"/>
  <c r="T295" i="5" s="1"/>
  <c r="B295" i="5" s="1"/>
  <c r="S295" i="5"/>
  <c r="R295" i="5"/>
  <c r="F295" i="5"/>
  <c r="X294" i="5"/>
  <c r="W294" i="5"/>
  <c r="T294" i="5" s="1"/>
  <c r="B294" i="5" s="1"/>
  <c r="S294" i="5"/>
  <c r="F294" i="5"/>
  <c r="X293" i="5"/>
  <c r="W293" i="5"/>
  <c r="T293" i="5" s="1"/>
  <c r="B293" i="5" s="1"/>
  <c r="S293" i="5"/>
  <c r="R293" i="5"/>
  <c r="F293" i="5"/>
  <c r="X292" i="5"/>
  <c r="W292" i="5"/>
  <c r="T292" i="5" s="1"/>
  <c r="B292" i="5" s="1"/>
  <c r="S292" i="5"/>
  <c r="R292" i="5"/>
  <c r="F292" i="5"/>
  <c r="X291" i="5"/>
  <c r="W291" i="5"/>
  <c r="T291" i="5" s="1"/>
  <c r="B291" i="5" s="1"/>
  <c r="S291" i="5"/>
  <c r="R291" i="5"/>
  <c r="F291" i="5"/>
  <c r="X290" i="5"/>
  <c r="W290" i="5"/>
  <c r="T290" i="5" s="1"/>
  <c r="B290" i="5" s="1"/>
  <c r="S290" i="5"/>
  <c r="R290" i="5"/>
  <c r="F290" i="5"/>
  <c r="X289" i="5"/>
  <c r="W289" i="5"/>
  <c r="T289" i="5" s="1"/>
  <c r="B289" i="5" s="1"/>
  <c r="S289" i="5"/>
  <c r="R289" i="5"/>
  <c r="F289" i="5"/>
  <c r="X288" i="5"/>
  <c r="W288" i="5"/>
  <c r="T288" i="5" s="1"/>
  <c r="B288" i="5" s="1"/>
  <c r="S288" i="5"/>
  <c r="R288" i="5"/>
  <c r="F288" i="5"/>
  <c r="X287" i="5"/>
  <c r="W287" i="5"/>
  <c r="T287" i="5" s="1"/>
  <c r="S287" i="5"/>
  <c r="F287" i="5"/>
  <c r="X286" i="5"/>
  <c r="W286" i="5"/>
  <c r="T286" i="5"/>
  <c r="B286" i="5" s="1"/>
  <c r="S286" i="5"/>
  <c r="R286" i="5"/>
  <c r="F286" i="5"/>
  <c r="X285" i="5"/>
  <c r="W285" i="5"/>
  <c r="T285" i="5" s="1"/>
  <c r="B285" i="5" s="1"/>
  <c r="S285" i="5"/>
  <c r="R285" i="5"/>
  <c r="F285" i="5"/>
  <c r="X284" i="5"/>
  <c r="W284" i="5"/>
  <c r="T284" i="5" s="1"/>
  <c r="B284" i="5" s="1"/>
  <c r="S284" i="5"/>
  <c r="R284" i="5"/>
  <c r="F284" i="5"/>
  <c r="X283" i="5"/>
  <c r="W283" i="5"/>
  <c r="T283" i="5" s="1"/>
  <c r="B283" i="5" s="1"/>
  <c r="S283" i="5"/>
  <c r="R283" i="5"/>
  <c r="F283" i="5"/>
  <c r="X282" i="5"/>
  <c r="W282" i="5"/>
  <c r="T282" i="5" s="1"/>
  <c r="B282" i="5" s="1"/>
  <c r="S282" i="5"/>
  <c r="R282" i="5"/>
  <c r="F282" i="5"/>
  <c r="X281" i="5"/>
  <c r="W281" i="5"/>
  <c r="T281" i="5" s="1"/>
  <c r="S281" i="5"/>
  <c r="R281" i="5"/>
  <c r="F281" i="5"/>
  <c r="X280" i="5"/>
  <c r="W280" i="5"/>
  <c r="T280" i="5" s="1"/>
  <c r="B280" i="5" s="1"/>
  <c r="S280" i="5"/>
  <c r="F280" i="5"/>
  <c r="X279" i="5"/>
  <c r="W279" i="5"/>
  <c r="T279" i="5" s="1"/>
  <c r="E279" i="5" s="1"/>
  <c r="S279" i="5"/>
  <c r="R279" i="5"/>
  <c r="F279" i="5"/>
  <c r="X278" i="5"/>
  <c r="W278" i="5"/>
  <c r="T278" i="5" s="1"/>
  <c r="S278" i="5"/>
  <c r="R278" i="5"/>
  <c r="F278" i="5"/>
  <c r="X277" i="5"/>
  <c r="W277" i="5"/>
  <c r="T277" i="5" s="1"/>
  <c r="S277" i="5"/>
  <c r="R277" i="5"/>
  <c r="F277" i="5"/>
  <c r="X276" i="5"/>
  <c r="W276" i="5"/>
  <c r="T276" i="5" s="1"/>
  <c r="B276" i="5" s="1"/>
  <c r="S276" i="5"/>
  <c r="R276" i="5"/>
  <c r="F276" i="5"/>
  <c r="X275" i="5"/>
  <c r="W275" i="5"/>
  <c r="T275" i="5" s="1"/>
  <c r="B275" i="5" s="1"/>
  <c r="S275" i="5"/>
  <c r="R275" i="5"/>
  <c r="F275" i="5"/>
  <c r="X274" i="5"/>
  <c r="W274" i="5"/>
  <c r="T274" i="5" s="1"/>
  <c r="B274" i="5" s="1"/>
  <c r="S274" i="5"/>
  <c r="R274" i="5"/>
  <c r="F274" i="5"/>
  <c r="X273" i="5"/>
  <c r="W273" i="5"/>
  <c r="T273" i="5" s="1"/>
  <c r="B273" i="5" s="1"/>
  <c r="S273" i="5"/>
  <c r="F273" i="5"/>
  <c r="X272" i="5"/>
  <c r="W272" i="5"/>
  <c r="T272" i="5" s="1"/>
  <c r="S272" i="5"/>
  <c r="R272" i="5"/>
  <c r="F272" i="5"/>
  <c r="X271" i="5"/>
  <c r="W271" i="5"/>
  <c r="T271" i="5" s="1"/>
  <c r="S271" i="5"/>
  <c r="R271" i="5"/>
  <c r="F271" i="5"/>
  <c r="X270" i="5"/>
  <c r="W270" i="5"/>
  <c r="T270" i="5" s="1"/>
  <c r="B270" i="5" s="1"/>
  <c r="S270" i="5"/>
  <c r="R270" i="5"/>
  <c r="F270" i="5"/>
  <c r="X269" i="5"/>
  <c r="W269" i="5"/>
  <c r="T269" i="5" s="1"/>
  <c r="S269" i="5"/>
  <c r="R269" i="5"/>
  <c r="F269" i="5"/>
  <c r="X268" i="5"/>
  <c r="W268" i="5"/>
  <c r="T268" i="5" s="1"/>
  <c r="S268" i="5"/>
  <c r="R268" i="5"/>
  <c r="F268" i="5"/>
  <c r="X267" i="5"/>
  <c r="W267" i="5"/>
  <c r="T267" i="5" s="1"/>
  <c r="S267" i="5"/>
  <c r="R267" i="5"/>
  <c r="F267" i="5"/>
  <c r="X266" i="5"/>
  <c r="W266" i="5"/>
  <c r="T266" i="5" s="1"/>
  <c r="S266" i="5"/>
  <c r="F266" i="5"/>
  <c r="X265" i="5"/>
  <c r="W265" i="5"/>
  <c r="T265" i="5" s="1"/>
  <c r="S265" i="5"/>
  <c r="R265" i="5"/>
  <c r="F265" i="5"/>
  <c r="E265" i="5"/>
  <c r="C265" i="5"/>
  <c r="X264" i="5"/>
  <c r="W264" i="5"/>
  <c r="T264" i="5" s="1"/>
  <c r="S264" i="5"/>
  <c r="R264" i="5"/>
  <c r="F264" i="5"/>
  <c r="X263" i="5"/>
  <c r="W263" i="5"/>
  <c r="T263" i="5" s="1"/>
  <c r="B263" i="5" s="1"/>
  <c r="S263" i="5"/>
  <c r="R263" i="5"/>
  <c r="F263" i="5"/>
  <c r="X262" i="5"/>
  <c r="W262" i="5"/>
  <c r="T262" i="5" s="1"/>
  <c r="S262" i="5"/>
  <c r="R262" i="5"/>
  <c r="F262" i="5"/>
  <c r="X261" i="5"/>
  <c r="W261" i="5"/>
  <c r="T261" i="5" s="1"/>
  <c r="B261" i="5" s="1"/>
  <c r="S261" i="5"/>
  <c r="R261" i="5"/>
  <c r="F261" i="5"/>
  <c r="X260" i="5"/>
  <c r="W260" i="5"/>
  <c r="T260" i="5" s="1"/>
  <c r="S260" i="5"/>
  <c r="R260" i="5"/>
  <c r="F260" i="5"/>
  <c r="X259" i="5"/>
  <c r="W259" i="5"/>
  <c r="T259" i="5" s="1"/>
  <c r="B259" i="5" s="1"/>
  <c r="S259" i="5"/>
  <c r="C259" i="5" s="1"/>
  <c r="F259" i="5"/>
  <c r="X258" i="5"/>
  <c r="W258" i="5"/>
  <c r="T258" i="5" s="1"/>
  <c r="B258" i="5" s="1"/>
  <c r="S258" i="5"/>
  <c r="R258" i="5"/>
  <c r="F258" i="5"/>
  <c r="X257" i="5"/>
  <c r="W257" i="5"/>
  <c r="T257" i="5" s="1"/>
  <c r="S257" i="5"/>
  <c r="R257" i="5"/>
  <c r="F257" i="5"/>
  <c r="X256" i="5"/>
  <c r="W256" i="5"/>
  <c r="T256" i="5" s="1"/>
  <c r="B256" i="5" s="1"/>
  <c r="S256" i="5"/>
  <c r="R256" i="5"/>
  <c r="F256" i="5"/>
  <c r="X255" i="5"/>
  <c r="W255" i="5"/>
  <c r="T255" i="5" s="1"/>
  <c r="S255" i="5"/>
  <c r="R255" i="5"/>
  <c r="F255" i="5"/>
  <c r="X254" i="5"/>
  <c r="W254" i="5"/>
  <c r="T254" i="5" s="1"/>
  <c r="B254" i="5" s="1"/>
  <c r="S254" i="5"/>
  <c r="R254" i="5"/>
  <c r="F254" i="5"/>
  <c r="X253" i="5"/>
  <c r="W253" i="5"/>
  <c r="T253" i="5" s="1"/>
  <c r="S253" i="5"/>
  <c r="R253" i="5"/>
  <c r="F253" i="5"/>
  <c r="X252" i="5"/>
  <c r="W252" i="5"/>
  <c r="T252" i="5" s="1"/>
  <c r="B252" i="5" s="1"/>
  <c r="S252" i="5"/>
  <c r="F252" i="5"/>
  <c r="X251" i="5"/>
  <c r="W251" i="5"/>
  <c r="T251" i="5" s="1"/>
  <c r="B251" i="5" s="1"/>
  <c r="S251" i="5"/>
  <c r="E251" i="5" s="1"/>
  <c r="R251" i="5"/>
  <c r="F251" i="5"/>
  <c r="X250" i="5"/>
  <c r="W250" i="5"/>
  <c r="T250" i="5" s="1"/>
  <c r="B250" i="5" s="1"/>
  <c r="S250" i="5"/>
  <c r="R250" i="5"/>
  <c r="F250" i="5"/>
  <c r="X249" i="5"/>
  <c r="W249" i="5"/>
  <c r="T249" i="5" s="1"/>
  <c r="B249" i="5" s="1"/>
  <c r="S249" i="5"/>
  <c r="R249" i="5"/>
  <c r="F249" i="5"/>
  <c r="X248" i="5"/>
  <c r="W248" i="5"/>
  <c r="T248" i="5" s="1"/>
  <c r="B248" i="5" s="1"/>
  <c r="S248" i="5"/>
  <c r="R248" i="5"/>
  <c r="F248" i="5"/>
  <c r="X247" i="5"/>
  <c r="W247" i="5"/>
  <c r="T247" i="5" s="1"/>
  <c r="B247" i="5" s="1"/>
  <c r="S247" i="5"/>
  <c r="R247" i="5"/>
  <c r="F247" i="5"/>
  <c r="X246" i="5"/>
  <c r="W246" i="5"/>
  <c r="T246" i="5" s="1"/>
  <c r="B246" i="5" s="1"/>
  <c r="S246" i="5"/>
  <c r="R246" i="5"/>
  <c r="F246" i="5"/>
  <c r="X245" i="5"/>
  <c r="W245" i="5"/>
  <c r="T245" i="5" s="1"/>
  <c r="B245" i="5" s="1"/>
  <c r="S245" i="5"/>
  <c r="F245" i="5"/>
  <c r="X244" i="5"/>
  <c r="W244" i="5"/>
  <c r="T244" i="5" s="1"/>
  <c r="S244" i="5"/>
  <c r="R244" i="5"/>
  <c r="F244" i="5"/>
  <c r="X243" i="5"/>
  <c r="W243" i="5"/>
  <c r="T243" i="5" s="1"/>
  <c r="S243" i="5"/>
  <c r="R243" i="5"/>
  <c r="F243" i="5"/>
  <c r="X242" i="5"/>
  <c r="W242" i="5"/>
  <c r="T242" i="5" s="1"/>
  <c r="B242" i="5" s="1"/>
  <c r="S242" i="5"/>
  <c r="R242" i="5"/>
  <c r="F242" i="5"/>
  <c r="X241" i="5"/>
  <c r="W241" i="5"/>
  <c r="T241" i="5" s="1"/>
  <c r="S241" i="5"/>
  <c r="R241" i="5"/>
  <c r="F241" i="5"/>
  <c r="B241" i="5"/>
  <c r="X240" i="5"/>
  <c r="W240" i="5"/>
  <c r="T240" i="5" s="1"/>
  <c r="S240" i="5"/>
  <c r="R240" i="5"/>
  <c r="F240" i="5"/>
  <c r="X239" i="5"/>
  <c r="W239" i="5"/>
  <c r="T239" i="5" s="1"/>
  <c r="S239" i="5"/>
  <c r="R239" i="5"/>
  <c r="F239" i="5"/>
  <c r="X238" i="5"/>
  <c r="W238" i="5"/>
  <c r="T238" i="5" s="1"/>
  <c r="B238" i="5" s="1"/>
  <c r="S238" i="5"/>
  <c r="F238" i="5"/>
  <c r="X237" i="5"/>
  <c r="W237" i="5"/>
  <c r="T237" i="5" s="1"/>
  <c r="S237" i="5"/>
  <c r="R237" i="5"/>
  <c r="F237" i="5"/>
  <c r="X236" i="5"/>
  <c r="W236" i="5"/>
  <c r="T236" i="5" s="1"/>
  <c r="B236" i="5" s="1"/>
  <c r="S236" i="5"/>
  <c r="R236" i="5"/>
  <c r="F236" i="5"/>
  <c r="X235" i="5"/>
  <c r="W235" i="5"/>
  <c r="T235" i="5" s="1"/>
  <c r="B235" i="5" s="1"/>
  <c r="S235" i="5"/>
  <c r="R235" i="5"/>
  <c r="F235" i="5"/>
  <c r="X234" i="5"/>
  <c r="W234" i="5"/>
  <c r="T234" i="5" s="1"/>
  <c r="S234" i="5"/>
  <c r="R234" i="5"/>
  <c r="F234" i="5"/>
  <c r="X233" i="5"/>
  <c r="W233" i="5"/>
  <c r="T233" i="5" s="1"/>
  <c r="B233" i="5" s="1"/>
  <c r="S233" i="5"/>
  <c r="R233" i="5"/>
  <c r="F233" i="5"/>
  <c r="X232" i="5"/>
  <c r="W232" i="5"/>
  <c r="T232" i="5" s="1"/>
  <c r="B232" i="5" s="1"/>
  <c r="S232" i="5"/>
  <c r="R232" i="5"/>
  <c r="F232" i="5"/>
  <c r="X231" i="5"/>
  <c r="W231" i="5"/>
  <c r="T231" i="5" s="1"/>
  <c r="S231" i="5"/>
  <c r="F231" i="5"/>
  <c r="X230" i="5"/>
  <c r="W230" i="5"/>
  <c r="T230" i="5" s="1"/>
  <c r="B230" i="5" s="1"/>
  <c r="S230" i="5"/>
  <c r="R230" i="5"/>
  <c r="F230" i="5"/>
  <c r="X229" i="5"/>
  <c r="W229" i="5"/>
  <c r="T229" i="5" s="1"/>
  <c r="S229" i="5"/>
  <c r="R229" i="5"/>
  <c r="F229" i="5"/>
  <c r="X228" i="5"/>
  <c r="W228" i="5"/>
  <c r="T228" i="5" s="1"/>
  <c r="S228" i="5"/>
  <c r="R228" i="5"/>
  <c r="F228" i="5"/>
  <c r="X227" i="5"/>
  <c r="W227" i="5"/>
  <c r="T227" i="5" s="1"/>
  <c r="B227" i="5" s="1"/>
  <c r="S227" i="5"/>
  <c r="R227" i="5"/>
  <c r="F227" i="5"/>
  <c r="X226" i="5"/>
  <c r="W226" i="5"/>
  <c r="T226" i="5" s="1"/>
  <c r="B226" i="5" s="1"/>
  <c r="S226" i="5"/>
  <c r="R226" i="5"/>
  <c r="F226" i="5"/>
  <c r="X225" i="5"/>
  <c r="W225" i="5"/>
  <c r="T225" i="5" s="1"/>
  <c r="S225" i="5"/>
  <c r="R225" i="5"/>
  <c r="F225" i="5"/>
  <c r="X224" i="5"/>
  <c r="W224" i="5"/>
  <c r="T224" i="5" s="1"/>
  <c r="B224" i="5" s="1"/>
  <c r="S224" i="5"/>
  <c r="F224" i="5"/>
  <c r="X223" i="5"/>
  <c r="W223" i="5"/>
  <c r="T223" i="5" s="1"/>
  <c r="B223" i="5" s="1"/>
  <c r="S223" i="5"/>
  <c r="R223" i="5"/>
  <c r="F223" i="5"/>
  <c r="X222" i="5"/>
  <c r="W222" i="5"/>
  <c r="T222" i="5" s="1"/>
  <c r="B222" i="5" s="1"/>
  <c r="S222" i="5"/>
  <c r="R222" i="5"/>
  <c r="F222" i="5"/>
  <c r="X221" i="5"/>
  <c r="W221" i="5"/>
  <c r="T221" i="5" s="1"/>
  <c r="S221" i="5"/>
  <c r="C221" i="5" s="1"/>
  <c r="R221" i="5"/>
  <c r="F221" i="5"/>
  <c r="X220" i="5"/>
  <c r="W220" i="5"/>
  <c r="T220" i="5" s="1"/>
  <c r="B220" i="5" s="1"/>
  <c r="S220" i="5"/>
  <c r="R220" i="5"/>
  <c r="F220" i="5"/>
  <c r="X219" i="5"/>
  <c r="W219" i="5"/>
  <c r="T219" i="5" s="1"/>
  <c r="B219" i="5" s="1"/>
  <c r="S219" i="5"/>
  <c r="R219" i="5"/>
  <c r="F219" i="5"/>
  <c r="X218" i="5"/>
  <c r="W218" i="5"/>
  <c r="T218" i="5" s="1"/>
  <c r="B218" i="5" s="1"/>
  <c r="S218" i="5"/>
  <c r="E218" i="5" s="1"/>
  <c r="R218" i="5"/>
  <c r="F218" i="5"/>
  <c r="X217" i="5"/>
  <c r="W217" i="5"/>
  <c r="T217" i="5" s="1"/>
  <c r="B217" i="5" s="1"/>
  <c r="S217" i="5"/>
  <c r="F217" i="5"/>
  <c r="X216" i="5"/>
  <c r="W216" i="5"/>
  <c r="T216" i="5" s="1"/>
  <c r="B216" i="5" s="1"/>
  <c r="S216" i="5"/>
  <c r="R216" i="5"/>
  <c r="F216" i="5"/>
  <c r="X215" i="5"/>
  <c r="W215" i="5"/>
  <c r="T215" i="5" s="1"/>
  <c r="B215" i="5" s="1"/>
  <c r="S215" i="5"/>
  <c r="R215" i="5"/>
  <c r="F215" i="5"/>
  <c r="X214" i="5"/>
  <c r="W214" i="5"/>
  <c r="T214" i="5" s="1"/>
  <c r="B214" i="5" s="1"/>
  <c r="S214" i="5"/>
  <c r="R214" i="5"/>
  <c r="F214" i="5"/>
  <c r="X213" i="5"/>
  <c r="W213" i="5"/>
  <c r="T213" i="5" s="1"/>
  <c r="B213" i="5" s="1"/>
  <c r="S213" i="5"/>
  <c r="R213" i="5"/>
  <c r="F213" i="5"/>
  <c r="X212" i="5"/>
  <c r="W212" i="5"/>
  <c r="T212" i="5" s="1"/>
  <c r="B212" i="5" s="1"/>
  <c r="S212" i="5"/>
  <c r="R212" i="5"/>
  <c r="F212" i="5"/>
  <c r="X211" i="5"/>
  <c r="W211" i="5"/>
  <c r="T211" i="5" s="1"/>
  <c r="S211" i="5"/>
  <c r="R211" i="5"/>
  <c r="F211" i="5"/>
  <c r="X210" i="5"/>
  <c r="W210" i="5"/>
  <c r="T210" i="5" s="1"/>
  <c r="B210" i="5" s="1"/>
  <c r="S210" i="5"/>
  <c r="F210" i="5"/>
  <c r="X209" i="5"/>
  <c r="W209" i="5"/>
  <c r="T209" i="5" s="1"/>
  <c r="B209" i="5" s="1"/>
  <c r="S209" i="5"/>
  <c r="R209" i="5"/>
  <c r="F209" i="5"/>
  <c r="X208" i="5"/>
  <c r="W208" i="5"/>
  <c r="T208" i="5" s="1"/>
  <c r="S208" i="5"/>
  <c r="R208" i="5"/>
  <c r="F208" i="5"/>
  <c r="X207" i="5"/>
  <c r="W207" i="5"/>
  <c r="T207" i="5" s="1"/>
  <c r="B207" i="5" s="1"/>
  <c r="S207" i="5"/>
  <c r="R207" i="5"/>
  <c r="F207" i="5"/>
  <c r="X206" i="5"/>
  <c r="W206" i="5"/>
  <c r="T206" i="5" s="1"/>
  <c r="B206" i="5" s="1"/>
  <c r="S206" i="5"/>
  <c r="R206" i="5"/>
  <c r="F206" i="5"/>
  <c r="X205" i="5"/>
  <c r="W205" i="5"/>
  <c r="T205" i="5" s="1"/>
  <c r="B205" i="5" s="1"/>
  <c r="S205" i="5"/>
  <c r="R205" i="5"/>
  <c r="F205" i="5"/>
  <c r="X204" i="5"/>
  <c r="W204" i="5"/>
  <c r="T204" i="5" s="1"/>
  <c r="B204" i="5" s="1"/>
  <c r="S204" i="5"/>
  <c r="R204" i="5"/>
  <c r="F204" i="5"/>
  <c r="X203" i="5"/>
  <c r="W203" i="5"/>
  <c r="T203" i="5" s="1"/>
  <c r="S203" i="5"/>
  <c r="F203" i="5"/>
  <c r="X202" i="5"/>
  <c r="W202" i="5"/>
  <c r="T202" i="5" s="1"/>
  <c r="B202" i="5" s="1"/>
  <c r="S202" i="5"/>
  <c r="R202" i="5"/>
  <c r="F202" i="5"/>
  <c r="X201" i="5"/>
  <c r="W201" i="5"/>
  <c r="T201" i="5" s="1"/>
  <c r="B201" i="5" s="1"/>
  <c r="S201" i="5"/>
  <c r="R201" i="5"/>
  <c r="F201" i="5"/>
  <c r="X200" i="5"/>
  <c r="W200" i="5"/>
  <c r="T200" i="5" s="1"/>
  <c r="S200" i="5"/>
  <c r="R200" i="5"/>
  <c r="F200" i="5"/>
  <c r="X199" i="5"/>
  <c r="W199" i="5"/>
  <c r="T199" i="5" s="1"/>
  <c r="B199" i="5" s="1"/>
  <c r="S199" i="5"/>
  <c r="R199" i="5"/>
  <c r="F199" i="5"/>
  <c r="X198" i="5"/>
  <c r="W198" i="5"/>
  <c r="T198" i="5" s="1"/>
  <c r="B198" i="5" s="1"/>
  <c r="S198" i="5"/>
  <c r="R198" i="5"/>
  <c r="F198" i="5"/>
  <c r="X197" i="5"/>
  <c r="W197" i="5"/>
  <c r="T197" i="5" s="1"/>
  <c r="B197" i="5" s="1"/>
  <c r="S197" i="5"/>
  <c r="R197" i="5"/>
  <c r="F197" i="5"/>
  <c r="X196" i="5"/>
  <c r="W196" i="5"/>
  <c r="T196" i="5" s="1"/>
  <c r="S196" i="5"/>
  <c r="F196" i="5"/>
  <c r="X195" i="5"/>
  <c r="W195" i="5"/>
  <c r="T195" i="5" s="1"/>
  <c r="S195" i="5"/>
  <c r="R195" i="5"/>
  <c r="F195" i="5"/>
  <c r="X194" i="5"/>
  <c r="W194" i="5"/>
  <c r="T194" i="5" s="1"/>
  <c r="B194" i="5" s="1"/>
  <c r="S194" i="5"/>
  <c r="R194" i="5"/>
  <c r="F194" i="5"/>
  <c r="X193" i="5"/>
  <c r="W193" i="5"/>
  <c r="T193" i="5" s="1"/>
  <c r="S193" i="5"/>
  <c r="R193" i="5"/>
  <c r="F193" i="5"/>
  <c r="X192" i="5"/>
  <c r="W192" i="5"/>
  <c r="T192" i="5" s="1"/>
  <c r="B192" i="5" s="1"/>
  <c r="S192" i="5"/>
  <c r="R192" i="5"/>
  <c r="F192" i="5"/>
  <c r="X191" i="5"/>
  <c r="W191" i="5"/>
  <c r="T191" i="5" s="1"/>
  <c r="S191" i="5"/>
  <c r="R191" i="5"/>
  <c r="F191" i="5"/>
  <c r="X190" i="5"/>
  <c r="W190" i="5"/>
  <c r="T190" i="5" s="1"/>
  <c r="S190" i="5"/>
  <c r="R190" i="5"/>
  <c r="F190" i="5"/>
  <c r="X189" i="5"/>
  <c r="W189" i="5"/>
  <c r="T189" i="5" s="1"/>
  <c r="S189" i="5"/>
  <c r="F189" i="5"/>
  <c r="X188" i="5"/>
  <c r="W188" i="5"/>
  <c r="T188" i="5" s="1"/>
  <c r="B188" i="5" s="1"/>
  <c r="S188" i="5"/>
  <c r="R188" i="5"/>
  <c r="F188" i="5"/>
  <c r="X187" i="5"/>
  <c r="W187" i="5"/>
  <c r="T187" i="5" s="1"/>
  <c r="S187" i="5"/>
  <c r="R187" i="5"/>
  <c r="F187" i="5"/>
  <c r="X186" i="5"/>
  <c r="W186" i="5"/>
  <c r="T186" i="5" s="1"/>
  <c r="S186" i="5"/>
  <c r="R186" i="5"/>
  <c r="F186" i="5"/>
  <c r="X185" i="5"/>
  <c r="W185" i="5"/>
  <c r="T185" i="5" s="1"/>
  <c r="S185" i="5"/>
  <c r="R185" i="5"/>
  <c r="F185" i="5"/>
  <c r="X184" i="5"/>
  <c r="W184" i="5"/>
  <c r="T184" i="5" s="1"/>
  <c r="S184" i="5"/>
  <c r="R184" i="5"/>
  <c r="F184" i="5"/>
  <c r="X183" i="5"/>
  <c r="W183" i="5"/>
  <c r="T183" i="5" s="1"/>
  <c r="S183" i="5"/>
  <c r="R183" i="5"/>
  <c r="F183" i="5"/>
  <c r="X182" i="5"/>
  <c r="W182" i="5"/>
  <c r="T182" i="5" s="1"/>
  <c r="S182" i="5"/>
  <c r="F182" i="5"/>
  <c r="X181" i="5"/>
  <c r="W181" i="5"/>
  <c r="T181" i="5" s="1"/>
  <c r="S181" i="5"/>
  <c r="R181" i="5"/>
  <c r="F181" i="5"/>
  <c r="X180" i="5"/>
  <c r="W180" i="5"/>
  <c r="T180" i="5" s="1"/>
  <c r="B180" i="5" s="1"/>
  <c r="S180" i="5"/>
  <c r="D180" i="5" s="1"/>
  <c r="R180" i="5"/>
  <c r="F180" i="5"/>
  <c r="X179" i="5"/>
  <c r="W179" i="5"/>
  <c r="T179" i="5" s="1"/>
  <c r="B179" i="5" s="1"/>
  <c r="S179" i="5"/>
  <c r="R179" i="5"/>
  <c r="F179" i="5"/>
  <c r="X178" i="5"/>
  <c r="W178" i="5"/>
  <c r="T178" i="5" s="1"/>
  <c r="B178" i="5" s="1"/>
  <c r="S178" i="5"/>
  <c r="R178" i="5"/>
  <c r="F178" i="5"/>
  <c r="X177" i="5"/>
  <c r="W177" i="5"/>
  <c r="T177" i="5" s="1"/>
  <c r="S177" i="5"/>
  <c r="R177" i="5"/>
  <c r="F177" i="5"/>
  <c r="X176" i="5"/>
  <c r="W176" i="5"/>
  <c r="T176" i="5" s="1"/>
  <c r="B176" i="5" s="1"/>
  <c r="S176" i="5"/>
  <c r="R176" i="5"/>
  <c r="F176" i="5"/>
  <c r="X175" i="5"/>
  <c r="W175" i="5"/>
  <c r="T175" i="5" s="1"/>
  <c r="B175" i="5" s="1"/>
  <c r="S175" i="5"/>
  <c r="F175" i="5"/>
  <c r="X174" i="5"/>
  <c r="W174" i="5"/>
  <c r="T174" i="5" s="1"/>
  <c r="S174" i="5"/>
  <c r="R174" i="5"/>
  <c r="F174" i="5"/>
  <c r="X173" i="5"/>
  <c r="W173" i="5"/>
  <c r="T173" i="5" s="1"/>
  <c r="S173" i="5"/>
  <c r="R173" i="5"/>
  <c r="F173" i="5"/>
  <c r="X172" i="5"/>
  <c r="W172" i="5"/>
  <c r="T172" i="5" s="1"/>
  <c r="S172" i="5"/>
  <c r="R172" i="5"/>
  <c r="F172" i="5"/>
  <c r="X171" i="5"/>
  <c r="W171" i="5"/>
  <c r="T171" i="5" s="1"/>
  <c r="B171" i="5" s="1"/>
  <c r="S171" i="5"/>
  <c r="R171" i="5"/>
  <c r="F171" i="5"/>
  <c r="X170" i="5"/>
  <c r="W170" i="5"/>
  <c r="T170" i="5" s="1"/>
  <c r="B170" i="5" s="1"/>
  <c r="S170" i="5"/>
  <c r="R170" i="5"/>
  <c r="F170" i="5"/>
  <c r="X169" i="5"/>
  <c r="W169" i="5"/>
  <c r="T169" i="5" s="1"/>
  <c r="B169" i="5" s="1"/>
  <c r="S169" i="5"/>
  <c r="R169" i="5"/>
  <c r="F169" i="5"/>
  <c r="X168" i="5"/>
  <c r="W168" i="5"/>
  <c r="T168" i="5" s="1"/>
  <c r="S168" i="5"/>
  <c r="F168" i="5"/>
  <c r="X167" i="5"/>
  <c r="W167" i="5"/>
  <c r="T167" i="5" s="1"/>
  <c r="B167" i="5" s="1"/>
  <c r="S167" i="5"/>
  <c r="R167" i="5"/>
  <c r="F167" i="5"/>
  <c r="X166" i="5"/>
  <c r="W166" i="5"/>
  <c r="T166" i="5" s="1"/>
  <c r="B166" i="5" s="1"/>
  <c r="S166" i="5"/>
  <c r="R166" i="5"/>
  <c r="F166" i="5"/>
  <c r="X165" i="5"/>
  <c r="W165" i="5"/>
  <c r="T165" i="5" s="1"/>
  <c r="S165" i="5"/>
  <c r="D165" i="5" s="1"/>
  <c r="R165" i="5"/>
  <c r="F165" i="5"/>
  <c r="X164" i="5"/>
  <c r="W164" i="5"/>
  <c r="T164" i="5" s="1"/>
  <c r="B164" i="5" s="1"/>
  <c r="S164" i="5"/>
  <c r="R164" i="5"/>
  <c r="F164" i="5"/>
  <c r="X163" i="5"/>
  <c r="W163" i="5"/>
  <c r="T163" i="5" s="1"/>
  <c r="B163" i="5" s="1"/>
  <c r="S163" i="5"/>
  <c r="R163" i="5"/>
  <c r="F163" i="5"/>
  <c r="X162" i="5"/>
  <c r="W162" i="5"/>
  <c r="T162" i="5" s="1"/>
  <c r="S162" i="5"/>
  <c r="R162" i="5"/>
  <c r="F162" i="5"/>
  <c r="X161" i="5"/>
  <c r="W161" i="5"/>
  <c r="T161" i="5" s="1"/>
  <c r="B161" i="5" s="1"/>
  <c r="S161" i="5"/>
  <c r="F161" i="5"/>
  <c r="X160" i="5"/>
  <c r="W160" i="5"/>
  <c r="T160" i="5" s="1"/>
  <c r="S160" i="5"/>
  <c r="R160" i="5"/>
  <c r="F160" i="5"/>
  <c r="X159" i="5"/>
  <c r="W159" i="5"/>
  <c r="T159" i="5" s="1"/>
  <c r="S159" i="5"/>
  <c r="R159" i="5"/>
  <c r="F159" i="5"/>
  <c r="X158" i="5"/>
  <c r="W158" i="5"/>
  <c r="T158" i="5" s="1"/>
  <c r="S158" i="5"/>
  <c r="R158" i="5"/>
  <c r="F158" i="5"/>
  <c r="X157" i="5"/>
  <c r="W157" i="5"/>
  <c r="T157" i="5" s="1"/>
  <c r="S157" i="5"/>
  <c r="R157" i="5"/>
  <c r="F157" i="5"/>
  <c r="X156" i="5"/>
  <c r="W156" i="5"/>
  <c r="T156" i="5" s="1"/>
  <c r="B156" i="5" s="1"/>
  <c r="S156" i="5"/>
  <c r="R156" i="5"/>
  <c r="F156" i="5"/>
  <c r="X155" i="5"/>
  <c r="W155" i="5"/>
  <c r="T155" i="5" s="1"/>
  <c r="B155" i="5" s="1"/>
  <c r="S155" i="5"/>
  <c r="R155" i="5"/>
  <c r="F155" i="5"/>
  <c r="X154" i="5"/>
  <c r="W154" i="5"/>
  <c r="T154" i="5" s="1"/>
  <c r="S154" i="5"/>
  <c r="F154" i="5"/>
  <c r="X153" i="5"/>
  <c r="W153" i="5"/>
  <c r="T153" i="5" s="1"/>
  <c r="B153" i="5" s="1"/>
  <c r="S153" i="5"/>
  <c r="R153" i="5"/>
  <c r="F153" i="5"/>
  <c r="X152" i="5"/>
  <c r="W152" i="5"/>
  <c r="T152" i="5" s="1"/>
  <c r="S152" i="5"/>
  <c r="R152" i="5"/>
  <c r="F152" i="5"/>
  <c r="X151" i="5"/>
  <c r="W151" i="5"/>
  <c r="T151" i="5" s="1"/>
  <c r="S151" i="5"/>
  <c r="R151" i="5"/>
  <c r="F151" i="5"/>
  <c r="X150" i="5"/>
  <c r="W150" i="5"/>
  <c r="T150" i="5" s="1"/>
  <c r="S150" i="5"/>
  <c r="R150" i="5"/>
  <c r="F150" i="5"/>
  <c r="X149" i="5"/>
  <c r="W149" i="5"/>
  <c r="T149" i="5" s="1"/>
  <c r="S149" i="5"/>
  <c r="R149" i="5"/>
  <c r="F149" i="5"/>
  <c r="X148" i="5"/>
  <c r="W148" i="5"/>
  <c r="T148" i="5" s="1"/>
  <c r="B148" i="5" s="1"/>
  <c r="S148" i="5"/>
  <c r="D148" i="5" s="1"/>
  <c r="R148" i="5"/>
  <c r="F148" i="5"/>
  <c r="X147" i="5"/>
  <c r="W147" i="5"/>
  <c r="T147" i="5" s="1"/>
  <c r="B147" i="5" s="1"/>
  <c r="S147" i="5"/>
  <c r="F147" i="5"/>
  <c r="X146" i="5"/>
  <c r="W146" i="5"/>
  <c r="T146" i="5" s="1"/>
  <c r="S146" i="5"/>
  <c r="R146" i="5"/>
  <c r="F146" i="5"/>
  <c r="X145" i="5"/>
  <c r="W145" i="5"/>
  <c r="T145" i="5" s="1"/>
  <c r="B145" i="5" s="1"/>
  <c r="S145" i="5"/>
  <c r="R145" i="5"/>
  <c r="F145" i="5"/>
  <c r="X144" i="5"/>
  <c r="W144" i="5"/>
  <c r="T144" i="5" s="1"/>
  <c r="B144" i="5" s="1"/>
  <c r="S144" i="5"/>
  <c r="D144" i="5" s="1"/>
  <c r="R144" i="5"/>
  <c r="F144" i="5"/>
  <c r="X143" i="5"/>
  <c r="W143" i="5"/>
  <c r="T143" i="5" s="1"/>
  <c r="B143" i="5" s="1"/>
  <c r="S143" i="5"/>
  <c r="R143" i="5"/>
  <c r="F143" i="5"/>
  <c r="X142" i="5"/>
  <c r="W142" i="5"/>
  <c r="T142" i="5" s="1"/>
  <c r="B142" i="5" s="1"/>
  <c r="S142" i="5"/>
  <c r="R142" i="5"/>
  <c r="F142" i="5"/>
  <c r="X141" i="5"/>
  <c r="W141" i="5"/>
  <c r="T141" i="5" s="1"/>
  <c r="B141" i="5" s="1"/>
  <c r="S141" i="5"/>
  <c r="R141" i="5"/>
  <c r="F141" i="5"/>
  <c r="X140" i="5"/>
  <c r="W140" i="5"/>
  <c r="T140" i="5" s="1"/>
  <c r="B140" i="5" s="1"/>
  <c r="S140" i="5"/>
  <c r="F140" i="5"/>
  <c r="X139" i="5"/>
  <c r="W139" i="5"/>
  <c r="T139" i="5" s="1"/>
  <c r="S139" i="5"/>
  <c r="R139" i="5"/>
  <c r="F139" i="5"/>
  <c r="X138" i="5"/>
  <c r="W138" i="5"/>
  <c r="T138" i="5" s="1"/>
  <c r="S138" i="5"/>
  <c r="R138" i="5"/>
  <c r="F138" i="5"/>
  <c r="X137" i="5"/>
  <c r="W137" i="5"/>
  <c r="T137" i="5" s="1"/>
  <c r="S137" i="5"/>
  <c r="R137" i="5"/>
  <c r="F137" i="5"/>
  <c r="X136" i="5"/>
  <c r="W136" i="5"/>
  <c r="T136" i="5" s="1"/>
  <c r="B136" i="5" s="1"/>
  <c r="S136" i="5"/>
  <c r="R136" i="5"/>
  <c r="F136" i="5"/>
  <c r="X135" i="5"/>
  <c r="W135" i="5"/>
  <c r="T135" i="5" s="1"/>
  <c r="S135" i="5"/>
  <c r="R135" i="5"/>
  <c r="F135" i="5"/>
  <c r="X134" i="5"/>
  <c r="W134" i="5"/>
  <c r="T134" i="5" s="1"/>
  <c r="B134" i="5" s="1"/>
  <c r="S134" i="5"/>
  <c r="R134" i="5"/>
  <c r="F134" i="5"/>
  <c r="X133" i="5"/>
  <c r="W133" i="5"/>
  <c r="T133" i="5" s="1"/>
  <c r="S133" i="5"/>
  <c r="F133" i="5"/>
  <c r="X132" i="5"/>
  <c r="W132" i="5"/>
  <c r="T132" i="5" s="1"/>
  <c r="B132" i="5" s="1"/>
  <c r="S132" i="5"/>
  <c r="C132" i="5" s="1"/>
  <c r="R132" i="5"/>
  <c r="F132" i="5"/>
  <c r="X131" i="5"/>
  <c r="W131" i="5"/>
  <c r="T131" i="5" s="1"/>
  <c r="S131" i="5"/>
  <c r="R131" i="5"/>
  <c r="F131" i="5"/>
  <c r="X130" i="5"/>
  <c r="W130" i="5"/>
  <c r="T130" i="5" s="1"/>
  <c r="S130" i="5"/>
  <c r="R130" i="5"/>
  <c r="F130" i="5"/>
  <c r="X129" i="5"/>
  <c r="W129" i="5"/>
  <c r="T129" i="5" s="1"/>
  <c r="S129" i="5"/>
  <c r="R129" i="5"/>
  <c r="F129" i="5"/>
  <c r="X128" i="5"/>
  <c r="W128" i="5"/>
  <c r="T128" i="5" s="1"/>
  <c r="B128" i="5" s="1"/>
  <c r="S128" i="5"/>
  <c r="R128" i="5"/>
  <c r="F128" i="5"/>
  <c r="X127" i="5"/>
  <c r="W127" i="5"/>
  <c r="T127" i="5" s="1"/>
  <c r="S127" i="5"/>
  <c r="R127" i="5"/>
  <c r="F127" i="5"/>
  <c r="X126" i="5"/>
  <c r="W126" i="5"/>
  <c r="T126" i="5" s="1"/>
  <c r="B126" i="5" s="1"/>
  <c r="S126" i="5"/>
  <c r="F126" i="5"/>
  <c r="X125" i="5"/>
  <c r="W125" i="5"/>
  <c r="T125" i="5" s="1"/>
  <c r="S125" i="5"/>
  <c r="R125" i="5"/>
  <c r="F125" i="5"/>
  <c r="X124" i="5"/>
  <c r="W124" i="5"/>
  <c r="T124" i="5" s="1"/>
  <c r="B124" i="5" s="1"/>
  <c r="S124" i="5"/>
  <c r="R124" i="5"/>
  <c r="F124" i="5"/>
  <c r="X123" i="5"/>
  <c r="W123" i="5"/>
  <c r="T123" i="5" s="1"/>
  <c r="S123" i="5"/>
  <c r="R123" i="5"/>
  <c r="F123" i="5"/>
  <c r="X122" i="5"/>
  <c r="W122" i="5"/>
  <c r="T122" i="5" s="1"/>
  <c r="B122" i="5" s="1"/>
  <c r="S122" i="5"/>
  <c r="R122" i="5"/>
  <c r="F122" i="5"/>
  <c r="X121" i="5"/>
  <c r="W121" i="5"/>
  <c r="T121" i="5" s="1"/>
  <c r="B121" i="5" s="1"/>
  <c r="S121" i="5"/>
  <c r="R121" i="5"/>
  <c r="F121" i="5"/>
  <c r="X120" i="5"/>
  <c r="W120" i="5"/>
  <c r="T120" i="5" s="1"/>
  <c r="B120" i="5" s="1"/>
  <c r="S120" i="5"/>
  <c r="R120" i="5"/>
  <c r="F120" i="5"/>
  <c r="X119" i="5"/>
  <c r="W119" i="5"/>
  <c r="T119" i="5" s="1"/>
  <c r="S119" i="5"/>
  <c r="F119" i="5"/>
  <c r="X118" i="5"/>
  <c r="W118" i="5"/>
  <c r="T118" i="5" s="1"/>
  <c r="B118" i="5" s="1"/>
  <c r="S118" i="5"/>
  <c r="R118" i="5"/>
  <c r="F118" i="5"/>
  <c r="X117" i="5"/>
  <c r="W117" i="5"/>
  <c r="T117" i="5" s="1"/>
  <c r="S117" i="5"/>
  <c r="R117" i="5"/>
  <c r="F117" i="5"/>
  <c r="X116" i="5"/>
  <c r="W116" i="5"/>
  <c r="T116" i="5" s="1"/>
  <c r="B116" i="5" s="1"/>
  <c r="S116" i="5"/>
  <c r="R116" i="5"/>
  <c r="F116" i="5"/>
  <c r="X115" i="5"/>
  <c r="W115" i="5"/>
  <c r="T115" i="5" s="1"/>
  <c r="B115" i="5" s="1"/>
  <c r="S115" i="5"/>
  <c r="R115" i="5"/>
  <c r="F115" i="5"/>
  <c r="X114" i="5"/>
  <c r="W114" i="5"/>
  <c r="T114" i="5" s="1"/>
  <c r="B114" i="5" s="1"/>
  <c r="S114" i="5"/>
  <c r="R114" i="5"/>
  <c r="F114" i="5"/>
  <c r="X113" i="5"/>
  <c r="W113" i="5"/>
  <c r="T113" i="5" s="1"/>
  <c r="S113" i="5"/>
  <c r="R113" i="5"/>
  <c r="F113" i="5"/>
  <c r="X112" i="5"/>
  <c r="W112" i="5"/>
  <c r="T112" i="5" s="1"/>
  <c r="S112" i="5"/>
  <c r="F112" i="5"/>
  <c r="X111" i="5"/>
  <c r="W111" i="5"/>
  <c r="T111" i="5" s="1"/>
  <c r="B111" i="5" s="1"/>
  <c r="S111" i="5"/>
  <c r="R111" i="5"/>
  <c r="F111" i="5"/>
  <c r="X110" i="5"/>
  <c r="W110" i="5"/>
  <c r="T110" i="5" s="1"/>
  <c r="S110" i="5"/>
  <c r="R110" i="5"/>
  <c r="F110" i="5"/>
  <c r="X109" i="5"/>
  <c r="W109" i="5"/>
  <c r="T109" i="5" s="1"/>
  <c r="S109" i="5"/>
  <c r="R109" i="5"/>
  <c r="F109" i="5"/>
  <c r="X108" i="5"/>
  <c r="W108" i="5"/>
  <c r="T108" i="5" s="1"/>
  <c r="B108" i="5" s="1"/>
  <c r="S108" i="5"/>
  <c r="R108" i="5"/>
  <c r="F108" i="5"/>
  <c r="X107" i="5"/>
  <c r="W107" i="5"/>
  <c r="T107" i="5"/>
  <c r="S107" i="5"/>
  <c r="R107" i="5"/>
  <c r="F107" i="5"/>
  <c r="X106" i="5"/>
  <c r="W106" i="5"/>
  <c r="T106" i="5" s="1"/>
  <c r="B106" i="5" s="1"/>
  <c r="S106" i="5"/>
  <c r="R106" i="5"/>
  <c r="F106" i="5"/>
  <c r="X105" i="5"/>
  <c r="W105" i="5"/>
  <c r="T105" i="5" s="1"/>
  <c r="S105" i="5"/>
  <c r="F105" i="5"/>
  <c r="X104" i="5"/>
  <c r="W104" i="5"/>
  <c r="T104" i="5" s="1"/>
  <c r="B104" i="5" s="1"/>
  <c r="S104" i="5"/>
  <c r="R104" i="5"/>
  <c r="F104" i="5"/>
  <c r="X103" i="5"/>
  <c r="W103" i="5"/>
  <c r="T103" i="5" s="1"/>
  <c r="S103" i="5"/>
  <c r="R103" i="5"/>
  <c r="F103" i="5"/>
  <c r="X102" i="5"/>
  <c r="W102" i="5"/>
  <c r="T102" i="5" s="1"/>
  <c r="S102" i="5"/>
  <c r="R102" i="5"/>
  <c r="F102" i="5"/>
  <c r="X101" i="5"/>
  <c r="W101" i="5"/>
  <c r="T101" i="5" s="1"/>
  <c r="S101" i="5"/>
  <c r="R101" i="5"/>
  <c r="F101" i="5"/>
  <c r="X100" i="5"/>
  <c r="W100" i="5"/>
  <c r="T100" i="5" s="1"/>
  <c r="B100" i="5" s="1"/>
  <c r="S100" i="5"/>
  <c r="R100" i="5"/>
  <c r="F100" i="5"/>
  <c r="X99" i="5"/>
  <c r="W99" i="5"/>
  <c r="T99" i="5" s="1"/>
  <c r="B99" i="5" s="1"/>
  <c r="S99" i="5"/>
  <c r="R99" i="5"/>
  <c r="F99" i="5"/>
  <c r="X98" i="5"/>
  <c r="W98" i="5"/>
  <c r="T98" i="5" s="1"/>
  <c r="B98" i="5" s="1"/>
  <c r="S98" i="5"/>
  <c r="F98" i="5"/>
  <c r="X97" i="5"/>
  <c r="W97" i="5"/>
  <c r="T97" i="5" s="1"/>
  <c r="B97" i="5" s="1"/>
  <c r="S97" i="5"/>
  <c r="R97" i="5"/>
  <c r="F97" i="5"/>
  <c r="X96" i="5"/>
  <c r="W96" i="5"/>
  <c r="T96" i="5" s="1"/>
  <c r="B96" i="5" s="1"/>
  <c r="S96" i="5"/>
  <c r="R96" i="5"/>
  <c r="F96" i="5"/>
  <c r="X95" i="5"/>
  <c r="W95" i="5"/>
  <c r="T95" i="5" s="1"/>
  <c r="B95" i="5" s="1"/>
  <c r="S95" i="5"/>
  <c r="R95" i="5"/>
  <c r="F95" i="5"/>
  <c r="X94" i="5"/>
  <c r="W94" i="5"/>
  <c r="T94" i="5" s="1"/>
  <c r="S94" i="5"/>
  <c r="R94" i="5"/>
  <c r="F94" i="5"/>
  <c r="X93" i="5"/>
  <c r="W93" i="5"/>
  <c r="T93" i="5" s="1"/>
  <c r="B93" i="5" s="1"/>
  <c r="S93" i="5"/>
  <c r="E93" i="5" s="1"/>
  <c r="R93" i="5"/>
  <c r="F93" i="5"/>
  <c r="X92" i="5"/>
  <c r="W92" i="5"/>
  <c r="S92" i="5"/>
  <c r="R92" i="5"/>
  <c r="F92" i="5"/>
  <c r="X91" i="5"/>
  <c r="W91" i="5"/>
  <c r="T91" i="5" s="1"/>
  <c r="S91" i="5"/>
  <c r="F91" i="5"/>
  <c r="X90" i="5"/>
  <c r="W90" i="5"/>
  <c r="T90" i="5" s="1"/>
  <c r="B90" i="5" s="1"/>
  <c r="S90" i="5"/>
  <c r="R90" i="5"/>
  <c r="F90" i="5"/>
  <c r="X89" i="5"/>
  <c r="W89" i="5"/>
  <c r="T89" i="5" s="1"/>
  <c r="S89" i="5"/>
  <c r="R89" i="5"/>
  <c r="F89" i="5"/>
  <c r="X88" i="5"/>
  <c r="W88" i="5"/>
  <c r="T88" i="5" s="1"/>
  <c r="B88" i="5" s="1"/>
  <c r="S88" i="5"/>
  <c r="R88" i="5"/>
  <c r="F88" i="5"/>
  <c r="X87" i="5"/>
  <c r="W87" i="5"/>
  <c r="T87" i="5" s="1"/>
  <c r="S87" i="5"/>
  <c r="R87" i="5"/>
  <c r="F87" i="5"/>
  <c r="X86" i="5"/>
  <c r="W86" i="5"/>
  <c r="T86" i="5" s="1"/>
  <c r="S86" i="5"/>
  <c r="R86" i="5"/>
  <c r="F86" i="5"/>
  <c r="X85" i="5"/>
  <c r="W85" i="5"/>
  <c r="T85" i="5"/>
  <c r="S85" i="5"/>
  <c r="R85" i="5"/>
  <c r="F85" i="5"/>
  <c r="X84" i="5"/>
  <c r="W84" i="5"/>
  <c r="T84" i="5" s="1"/>
  <c r="S84" i="5"/>
  <c r="F84" i="5"/>
  <c r="X83" i="5"/>
  <c r="W83" i="5"/>
  <c r="T83" i="5" s="1"/>
  <c r="B83" i="5" s="1"/>
  <c r="S83" i="5"/>
  <c r="R83" i="5"/>
  <c r="F83" i="5"/>
  <c r="X82" i="5"/>
  <c r="W82" i="5"/>
  <c r="T82" i="5" s="1"/>
  <c r="B82" i="5" s="1"/>
  <c r="S82" i="5"/>
  <c r="R82" i="5"/>
  <c r="F82" i="5"/>
  <c r="X81" i="5"/>
  <c r="W81" i="5"/>
  <c r="T81" i="5" s="1"/>
  <c r="B81" i="5" s="1"/>
  <c r="S81" i="5"/>
  <c r="R81" i="5"/>
  <c r="F81" i="5"/>
  <c r="X80" i="5"/>
  <c r="W80" i="5"/>
  <c r="T80" i="5" s="1"/>
  <c r="S80" i="5"/>
  <c r="R80" i="5"/>
  <c r="F80" i="5"/>
  <c r="X79" i="5"/>
  <c r="W79" i="5"/>
  <c r="T79" i="5" s="1"/>
  <c r="B79" i="5" s="1"/>
  <c r="S79" i="5"/>
  <c r="R79" i="5"/>
  <c r="F79" i="5"/>
  <c r="X78" i="5"/>
  <c r="W78" i="5"/>
  <c r="T78" i="5" s="1"/>
  <c r="S78" i="5"/>
  <c r="R78" i="5"/>
  <c r="F78" i="5"/>
  <c r="X77" i="5"/>
  <c r="W77" i="5"/>
  <c r="T77" i="5" s="1"/>
  <c r="B77" i="5" s="1"/>
  <c r="S77" i="5"/>
  <c r="F77" i="5"/>
  <c r="X76" i="5"/>
  <c r="W76" i="5"/>
  <c r="T76" i="5" s="1"/>
  <c r="B76" i="5" s="1"/>
  <c r="S76" i="5"/>
  <c r="R76" i="5"/>
  <c r="F76" i="5"/>
  <c r="X75" i="5"/>
  <c r="W75" i="5"/>
  <c r="T75" i="5" s="1"/>
  <c r="S75" i="5"/>
  <c r="R75" i="5"/>
  <c r="F75" i="5"/>
  <c r="X74" i="5"/>
  <c r="W74" i="5"/>
  <c r="T74" i="5" s="1"/>
  <c r="B74" i="5" s="1"/>
  <c r="S74" i="5"/>
  <c r="R74" i="5"/>
  <c r="F74" i="5"/>
  <c r="X73" i="5"/>
  <c r="W73" i="5"/>
  <c r="T73" i="5" s="1"/>
  <c r="S73" i="5"/>
  <c r="R73" i="5"/>
  <c r="F73" i="5"/>
  <c r="X72" i="5"/>
  <c r="W72" i="5"/>
  <c r="T72" i="5" s="1"/>
  <c r="B72" i="5" s="1"/>
  <c r="S72" i="5"/>
  <c r="R72" i="5"/>
  <c r="F72" i="5"/>
  <c r="X71" i="5"/>
  <c r="W71" i="5"/>
  <c r="T71" i="5" s="1"/>
  <c r="S71" i="5"/>
  <c r="R71" i="5"/>
  <c r="F71" i="5"/>
  <c r="X70" i="5"/>
  <c r="W70" i="5"/>
  <c r="T70" i="5" s="1"/>
  <c r="S70" i="5"/>
  <c r="F70" i="5"/>
  <c r="X69" i="5"/>
  <c r="W69" i="5"/>
  <c r="T69" i="5" s="1"/>
  <c r="S69" i="5"/>
  <c r="R69" i="5"/>
  <c r="F69" i="5"/>
  <c r="X68" i="5"/>
  <c r="W68" i="5"/>
  <c r="T68" i="5" s="1"/>
  <c r="S68" i="5"/>
  <c r="R68" i="5"/>
  <c r="F68" i="5"/>
  <c r="X67" i="5"/>
  <c r="W67" i="5"/>
  <c r="T67" i="5" s="1"/>
  <c r="B67" i="5" s="1"/>
  <c r="S67" i="5"/>
  <c r="R67" i="5"/>
  <c r="F67" i="5"/>
  <c r="X66" i="5"/>
  <c r="W66" i="5"/>
  <c r="T66" i="5" s="1"/>
  <c r="B66" i="5" s="1"/>
  <c r="S66" i="5"/>
  <c r="R66" i="5"/>
  <c r="F66" i="5"/>
  <c r="X65" i="5"/>
  <c r="W65" i="5"/>
  <c r="T65" i="5" s="1"/>
  <c r="B65" i="5" s="1"/>
  <c r="S65" i="5"/>
  <c r="R65" i="5"/>
  <c r="F65" i="5"/>
  <c r="X64" i="5"/>
  <c r="W64" i="5"/>
  <c r="T64" i="5" s="1"/>
  <c r="B64" i="5" s="1"/>
  <c r="S64" i="5"/>
  <c r="R64" i="5"/>
  <c r="F64" i="5"/>
  <c r="X63" i="5"/>
  <c r="W63" i="5"/>
  <c r="T63" i="5" s="1"/>
  <c r="S63" i="5"/>
  <c r="F63" i="5"/>
  <c r="X62" i="5"/>
  <c r="W62" i="5"/>
  <c r="T62" i="5" s="1"/>
  <c r="S62" i="5"/>
  <c r="R62" i="5"/>
  <c r="F62" i="5"/>
  <c r="X61" i="5"/>
  <c r="W61" i="5"/>
  <c r="T61" i="5" s="1"/>
  <c r="B61" i="5" s="1"/>
  <c r="S61" i="5"/>
  <c r="D61" i="5" s="1"/>
  <c r="R61" i="5"/>
  <c r="F61" i="5"/>
  <c r="X60" i="5"/>
  <c r="W60" i="5"/>
  <c r="T60" i="5" s="1"/>
  <c r="B60" i="5" s="1"/>
  <c r="S60" i="5"/>
  <c r="R60" i="5"/>
  <c r="F60" i="5"/>
  <c r="X59" i="5"/>
  <c r="W59" i="5"/>
  <c r="T59" i="5" s="1"/>
  <c r="S59" i="5"/>
  <c r="R59" i="5"/>
  <c r="F59" i="5"/>
  <c r="X58" i="5"/>
  <c r="W58" i="5"/>
  <c r="T58" i="5" s="1"/>
  <c r="S58" i="5"/>
  <c r="R58" i="5"/>
  <c r="F58" i="5"/>
  <c r="X57" i="5"/>
  <c r="W57" i="5"/>
  <c r="T57" i="5" s="1"/>
  <c r="S57" i="5"/>
  <c r="R57" i="5"/>
  <c r="F57" i="5"/>
  <c r="X56" i="5"/>
  <c r="W56" i="5"/>
  <c r="T56" i="5" s="1"/>
  <c r="B56" i="5" s="1"/>
  <c r="S56" i="5"/>
  <c r="F56" i="5"/>
  <c r="X55" i="5"/>
  <c r="W55" i="5"/>
  <c r="T55" i="5" s="1"/>
  <c r="S55" i="5"/>
  <c r="R55" i="5"/>
  <c r="F55" i="5"/>
  <c r="X54" i="5"/>
  <c r="W54" i="5"/>
  <c r="T54" i="5" s="1"/>
  <c r="S54" i="5"/>
  <c r="R54" i="5"/>
  <c r="F54" i="5"/>
  <c r="X53" i="5"/>
  <c r="W53" i="5"/>
  <c r="T53" i="5" s="1"/>
  <c r="S53" i="5"/>
  <c r="R53" i="5"/>
  <c r="F53" i="5"/>
  <c r="X52" i="5"/>
  <c r="W52" i="5"/>
  <c r="T52" i="5" s="1"/>
  <c r="S52" i="5"/>
  <c r="R52" i="5"/>
  <c r="F52" i="5"/>
  <c r="X51" i="5"/>
  <c r="W51" i="5"/>
  <c r="T51" i="5" s="1"/>
  <c r="B51" i="5" s="1"/>
  <c r="S51" i="5"/>
  <c r="R51" i="5"/>
  <c r="F51" i="5"/>
  <c r="X50" i="5"/>
  <c r="W50" i="5"/>
  <c r="T50" i="5" s="1"/>
  <c r="B50" i="5" s="1"/>
  <c r="S50" i="5"/>
  <c r="R50" i="5"/>
  <c r="F50" i="5"/>
  <c r="X49" i="5"/>
  <c r="W49" i="5"/>
  <c r="T49" i="5" s="1"/>
  <c r="B49" i="5" s="1"/>
  <c r="S49" i="5"/>
  <c r="F49" i="5"/>
  <c r="X48" i="5"/>
  <c r="W48" i="5"/>
  <c r="T48" i="5" s="1"/>
  <c r="B48" i="5" s="1"/>
  <c r="S48" i="5"/>
  <c r="R48" i="5"/>
  <c r="F48" i="5"/>
  <c r="X47" i="5"/>
  <c r="W47" i="5"/>
  <c r="T47" i="5" s="1"/>
  <c r="S47" i="5"/>
  <c r="R47" i="5"/>
  <c r="F47" i="5"/>
  <c r="X46" i="5"/>
  <c r="W46" i="5"/>
  <c r="T46" i="5" s="1"/>
  <c r="S46" i="5"/>
  <c r="R46" i="5"/>
  <c r="F46" i="5"/>
  <c r="X45" i="5"/>
  <c r="W45" i="5"/>
  <c r="T45" i="5" s="1"/>
  <c r="B45" i="5" s="1"/>
  <c r="S45" i="5"/>
  <c r="R45" i="5"/>
  <c r="F45" i="5"/>
  <c r="X44" i="5"/>
  <c r="W44" i="5"/>
  <c r="T44" i="5" s="1"/>
  <c r="B44" i="5" s="1"/>
  <c r="S44" i="5"/>
  <c r="R44" i="5"/>
  <c r="F44" i="5"/>
  <c r="X43" i="5"/>
  <c r="W43" i="5"/>
  <c r="T43" i="5" s="1"/>
  <c r="S43" i="5"/>
  <c r="R43" i="5"/>
  <c r="F43" i="5"/>
  <c r="X42" i="5"/>
  <c r="W42" i="5"/>
  <c r="T42" i="5" s="1"/>
  <c r="B42" i="5" s="1"/>
  <c r="S42" i="5"/>
  <c r="F42" i="5"/>
  <c r="X41" i="5"/>
  <c r="W41" i="5"/>
  <c r="T41" i="5" s="1"/>
  <c r="S41" i="5"/>
  <c r="R41" i="5"/>
  <c r="F41" i="5"/>
  <c r="X40" i="5"/>
  <c r="W40" i="5"/>
  <c r="T40" i="5" s="1"/>
  <c r="B40" i="5" s="1"/>
  <c r="S40" i="5"/>
  <c r="R40" i="5"/>
  <c r="F40" i="5"/>
  <c r="X39" i="5"/>
  <c r="W39" i="5"/>
  <c r="T39" i="5" s="1"/>
  <c r="S39" i="5"/>
  <c r="R39" i="5"/>
  <c r="F39" i="5"/>
  <c r="X38" i="5"/>
  <c r="W38" i="5"/>
  <c r="T38" i="5" s="1"/>
  <c r="S38" i="5"/>
  <c r="R38" i="5"/>
  <c r="F38" i="5"/>
  <c r="X37" i="5"/>
  <c r="W37" i="5"/>
  <c r="T37" i="5" s="1"/>
  <c r="S37" i="5"/>
  <c r="R37" i="5"/>
  <c r="F37" i="5"/>
  <c r="X36" i="5"/>
  <c r="W36" i="5"/>
  <c r="T36" i="5" s="1"/>
  <c r="S36" i="5"/>
  <c r="R36" i="5"/>
  <c r="F36" i="5"/>
  <c r="X35" i="5"/>
  <c r="W35" i="5"/>
  <c r="T35" i="5" s="1"/>
  <c r="B35" i="5" s="1"/>
  <c r="S35" i="5"/>
  <c r="F35" i="5"/>
  <c r="X34" i="5"/>
  <c r="W34" i="5"/>
  <c r="T34" i="5" s="1"/>
  <c r="B34" i="5" s="1"/>
  <c r="S34" i="5"/>
  <c r="R34" i="5"/>
  <c r="F34" i="5"/>
  <c r="X33" i="5"/>
  <c r="W33" i="5"/>
  <c r="T33" i="5" s="1"/>
  <c r="B33" i="5" s="1"/>
  <c r="S33" i="5"/>
  <c r="R33" i="5"/>
  <c r="F33" i="5"/>
  <c r="X32" i="5"/>
  <c r="W32" i="5"/>
  <c r="T32" i="5" s="1"/>
  <c r="B32" i="5" s="1"/>
  <c r="S32" i="5"/>
  <c r="R32" i="5"/>
  <c r="F32" i="5"/>
  <c r="X31" i="5"/>
  <c r="W31" i="5"/>
  <c r="T31" i="5" s="1"/>
  <c r="B31" i="5" s="1"/>
  <c r="S31" i="5"/>
  <c r="R31" i="5"/>
  <c r="F31" i="5"/>
  <c r="X30" i="5"/>
  <c r="W30" i="5"/>
  <c r="T30" i="5" s="1"/>
  <c r="B30" i="5" s="1"/>
  <c r="S30" i="5"/>
  <c r="R30" i="5"/>
  <c r="F30" i="5"/>
  <c r="X29" i="5"/>
  <c r="W29" i="5"/>
  <c r="S29" i="5"/>
  <c r="R29" i="5"/>
  <c r="F29" i="5"/>
  <c r="F8" i="5"/>
  <c r="R8" i="5"/>
  <c r="S8" i="5"/>
  <c r="W8" i="5"/>
  <c r="X8" i="5"/>
  <c r="F9" i="5"/>
  <c r="R9" i="5"/>
  <c r="S9" i="5"/>
  <c r="W9" i="5"/>
  <c r="T9" i="5" s="1"/>
  <c r="B9" i="5" s="1"/>
  <c r="X9" i="5"/>
  <c r="F10" i="5"/>
  <c r="R10" i="5"/>
  <c r="S10" i="5"/>
  <c r="W10" i="5"/>
  <c r="T10" i="5" s="1"/>
  <c r="X10" i="5"/>
  <c r="F11" i="5"/>
  <c r="R11" i="5"/>
  <c r="S11" i="5"/>
  <c r="W11" i="5"/>
  <c r="T11" i="5" s="1"/>
  <c r="X11" i="5"/>
  <c r="F12" i="5"/>
  <c r="R12" i="5"/>
  <c r="S12" i="5"/>
  <c r="W12" i="5"/>
  <c r="T12" i="5" s="1"/>
  <c r="X12" i="5"/>
  <c r="F13" i="5"/>
  <c r="R13" i="5"/>
  <c r="S13" i="5"/>
  <c r="W13" i="5"/>
  <c r="T13" i="5" s="1"/>
  <c r="X13" i="5"/>
  <c r="F14" i="5"/>
  <c r="S14" i="5"/>
  <c r="W14" i="5"/>
  <c r="T14" i="5" s="1"/>
  <c r="X14" i="5"/>
  <c r="F15" i="5"/>
  <c r="R15" i="5"/>
  <c r="S15" i="5"/>
  <c r="W15" i="5"/>
  <c r="T15" i="5" s="1"/>
  <c r="B15" i="5" s="1"/>
  <c r="X15" i="5"/>
  <c r="F16" i="5"/>
  <c r="R16" i="5"/>
  <c r="S16" i="5"/>
  <c r="W16" i="5"/>
  <c r="T16" i="5" s="1"/>
  <c r="B16" i="5" s="1"/>
  <c r="X16" i="5"/>
  <c r="F17" i="5"/>
  <c r="R17" i="5"/>
  <c r="S17" i="5"/>
  <c r="W17" i="5"/>
  <c r="T17" i="5" s="1"/>
  <c r="X17" i="5"/>
  <c r="F18" i="5"/>
  <c r="R18" i="5"/>
  <c r="S18" i="5"/>
  <c r="W18" i="5"/>
  <c r="T18" i="5" s="1"/>
  <c r="X18" i="5"/>
  <c r="F19" i="5"/>
  <c r="R19" i="5"/>
  <c r="S19" i="5"/>
  <c r="W19" i="5"/>
  <c r="T19" i="5" s="1"/>
  <c r="X19" i="5"/>
  <c r="F20" i="5"/>
  <c r="R20" i="5"/>
  <c r="S20" i="5"/>
  <c r="W20" i="5"/>
  <c r="T20" i="5" s="1"/>
  <c r="X20" i="5"/>
  <c r="F21" i="5"/>
  <c r="S21" i="5"/>
  <c r="W21" i="5"/>
  <c r="T21" i="5" s="1"/>
  <c r="X21" i="5"/>
  <c r="F22" i="5"/>
  <c r="R22" i="5"/>
  <c r="S22" i="5"/>
  <c r="W22" i="5"/>
  <c r="T22" i="5" s="1"/>
  <c r="X22" i="5"/>
  <c r="F23" i="5"/>
  <c r="R23" i="5"/>
  <c r="S23" i="5"/>
  <c r="W23" i="5"/>
  <c r="T23" i="5" s="1"/>
  <c r="X23" i="5"/>
  <c r="F24" i="5"/>
  <c r="R24" i="5"/>
  <c r="S24" i="5"/>
  <c r="W24" i="5"/>
  <c r="T24" i="5" s="1"/>
  <c r="X24" i="5"/>
  <c r="F25" i="5"/>
  <c r="R25" i="5"/>
  <c r="S25" i="5"/>
  <c r="W25" i="5"/>
  <c r="T25" i="5" s="1"/>
  <c r="X25" i="5"/>
  <c r="F26" i="5"/>
  <c r="R26" i="5"/>
  <c r="S26" i="5"/>
  <c r="W26" i="5"/>
  <c r="T26" i="5" s="1"/>
  <c r="X26" i="5"/>
  <c r="F27" i="5"/>
  <c r="R27" i="5"/>
  <c r="S27" i="5"/>
  <c r="W27" i="5"/>
  <c r="T27" i="5" s="1"/>
  <c r="X27" i="5"/>
  <c r="F28" i="5"/>
  <c r="S28" i="5"/>
  <c r="W28" i="5"/>
  <c r="T28" i="5" s="1"/>
  <c r="X28" i="5"/>
  <c r="N34" i="8"/>
  <c r="M34" i="8"/>
  <c r="H34" i="8"/>
  <c r="G34" i="8"/>
  <c r="C34" i="8"/>
  <c r="N33" i="8"/>
  <c r="M33" i="8"/>
  <c r="H33" i="8"/>
  <c r="G33" i="8"/>
  <c r="C33" i="8"/>
  <c r="N32" i="8"/>
  <c r="M32" i="8"/>
  <c r="H32" i="8"/>
  <c r="G32" i="8"/>
  <c r="C32" i="8"/>
  <c r="N31" i="8"/>
  <c r="M31" i="8"/>
  <c r="O31" i="8" s="1"/>
  <c r="H31" i="8"/>
  <c r="G31" i="8"/>
  <c r="C31" i="8"/>
  <c r="N30" i="8"/>
  <c r="M30" i="8"/>
  <c r="H30" i="8"/>
  <c r="G30" i="8"/>
  <c r="C30" i="8"/>
  <c r="N29" i="8"/>
  <c r="M29" i="8"/>
  <c r="H29" i="8"/>
  <c r="G29" i="8"/>
  <c r="C29" i="8"/>
  <c r="O25" i="8"/>
  <c r="N15" i="8"/>
  <c r="N16" i="8"/>
  <c r="N17" i="8"/>
  <c r="N18" i="8"/>
  <c r="N19" i="8"/>
  <c r="N20" i="8"/>
  <c r="N21" i="8"/>
  <c r="N22" i="8"/>
  <c r="N23" i="8"/>
  <c r="N24" i="8"/>
  <c r="N26" i="8"/>
  <c r="N27" i="8"/>
  <c r="N28" i="8"/>
  <c r="N35" i="8"/>
  <c r="N36" i="8"/>
  <c r="M16" i="8"/>
  <c r="M17" i="8"/>
  <c r="M18" i="8"/>
  <c r="M19" i="8"/>
  <c r="M20" i="8"/>
  <c r="M21" i="8"/>
  <c r="M22" i="8"/>
  <c r="M23" i="8"/>
  <c r="M24" i="8"/>
  <c r="M26" i="8"/>
  <c r="M27" i="8"/>
  <c r="M28" i="8"/>
  <c r="M35" i="8"/>
  <c r="M36" i="8"/>
  <c r="H36" i="8"/>
  <c r="H35" i="8"/>
  <c r="H28" i="8"/>
  <c r="H27" i="8"/>
  <c r="H26" i="8"/>
  <c r="C36" i="8"/>
  <c r="C35" i="8"/>
  <c r="C28" i="8"/>
  <c r="C27" i="8"/>
  <c r="C26" i="8"/>
  <c r="C25" i="8"/>
  <c r="C24" i="8"/>
  <c r="G36" i="8"/>
  <c r="G35" i="8"/>
  <c r="G28" i="8"/>
  <c r="G27" i="8"/>
  <c r="G26" i="8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C347" i="9"/>
  <c r="C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C304" i="9"/>
  <c r="C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C261" i="9"/>
  <c r="C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C218" i="9"/>
  <c r="C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C175" i="9"/>
  <c r="C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C132" i="9"/>
  <c r="C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C89" i="9"/>
  <c r="C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C46" i="9"/>
  <c r="C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K3" i="9"/>
  <c r="I3" i="9" s="1"/>
  <c r="J3" i="9" s="1"/>
  <c r="K4" i="9"/>
  <c r="I4" i="9" s="1"/>
  <c r="J4" i="9" s="1"/>
  <c r="K5" i="9"/>
  <c r="I5" i="9" s="1"/>
  <c r="J5" i="9" s="1"/>
  <c r="I6" i="9"/>
  <c r="J6" i="9"/>
  <c r="K6" i="9"/>
  <c r="K7" i="9"/>
  <c r="I7" i="9" s="1"/>
  <c r="J7" i="9" s="1"/>
  <c r="I8" i="9"/>
  <c r="J8" i="9" s="1"/>
  <c r="K8" i="9"/>
  <c r="K9" i="9"/>
  <c r="I9" i="9" s="1"/>
  <c r="J9" i="9" s="1"/>
  <c r="K10" i="9"/>
  <c r="I10" i="9" s="1"/>
  <c r="J10" i="9" s="1"/>
  <c r="I11" i="9"/>
  <c r="J11" i="9" s="1"/>
  <c r="K11" i="9"/>
  <c r="K12" i="9"/>
  <c r="I12" i="9" s="1"/>
  <c r="J12" i="9" s="1"/>
  <c r="I13" i="9"/>
  <c r="J13" i="9" s="1"/>
  <c r="K13" i="9"/>
  <c r="K14" i="9"/>
  <c r="I14" i="9" s="1"/>
  <c r="J14" i="9" s="1"/>
  <c r="K15" i="9"/>
  <c r="I15" i="9" s="1"/>
  <c r="J15" i="9" s="1"/>
  <c r="K16" i="9"/>
  <c r="I16" i="9" s="1"/>
  <c r="J16" i="9" s="1"/>
  <c r="I17" i="9"/>
  <c r="J17" i="9"/>
  <c r="K17" i="9"/>
  <c r="K18" i="9"/>
  <c r="I18" i="9" s="1"/>
  <c r="J18" i="9" s="1"/>
  <c r="K19" i="9"/>
  <c r="I19" i="9" s="1"/>
  <c r="J19" i="9" s="1"/>
  <c r="K20" i="9"/>
  <c r="I20" i="9" s="1"/>
  <c r="J20" i="9" s="1"/>
  <c r="I21" i="9"/>
  <c r="J21" i="9" s="1"/>
  <c r="K21" i="9"/>
  <c r="K22" i="9"/>
  <c r="I22" i="9" s="1"/>
  <c r="J22" i="9" s="1"/>
  <c r="K23" i="9"/>
  <c r="I23" i="9" s="1"/>
  <c r="J23" i="9" s="1"/>
  <c r="I24" i="9"/>
  <c r="J24" i="9" s="1"/>
  <c r="K24" i="9"/>
  <c r="K25" i="9"/>
  <c r="I25" i="9" s="1"/>
  <c r="J25" i="9" s="1"/>
  <c r="K26" i="9"/>
  <c r="I26" i="9" s="1"/>
  <c r="J26" i="9" s="1"/>
  <c r="K27" i="9"/>
  <c r="I27" i="9" s="1"/>
  <c r="J27" i="9" s="1"/>
  <c r="K28" i="9"/>
  <c r="I28" i="9" s="1"/>
  <c r="J28" i="9" s="1"/>
  <c r="I29" i="9"/>
  <c r="J29" i="9"/>
  <c r="K29" i="9"/>
  <c r="K30" i="9"/>
  <c r="I30" i="9" s="1"/>
  <c r="J30" i="9" s="1"/>
  <c r="K31" i="9"/>
  <c r="I31" i="9" s="1"/>
  <c r="J31" i="9" s="1"/>
  <c r="I32" i="9"/>
  <c r="J32" i="9" s="1"/>
  <c r="K32" i="9"/>
  <c r="K33" i="9"/>
  <c r="I33" i="9" s="1"/>
  <c r="J33" i="9" s="1"/>
  <c r="I34" i="9"/>
  <c r="J34" i="9"/>
  <c r="K34" i="9"/>
  <c r="K35" i="9"/>
  <c r="I35" i="9" s="1"/>
  <c r="J35" i="9" s="1"/>
  <c r="K36" i="9"/>
  <c r="I36" i="9" s="1"/>
  <c r="J36" i="9" s="1"/>
  <c r="K37" i="9"/>
  <c r="I37" i="9" s="1"/>
  <c r="J37" i="9" s="1"/>
  <c r="K38" i="9"/>
  <c r="I38" i="9" s="1"/>
  <c r="J38" i="9" s="1"/>
  <c r="I39" i="9"/>
  <c r="J39" i="9" s="1"/>
  <c r="K39" i="9"/>
  <c r="I40" i="9"/>
  <c r="J40" i="9" s="1"/>
  <c r="K40" i="9"/>
  <c r="K41" i="9"/>
  <c r="I41" i="9" s="1"/>
  <c r="J41" i="9" s="1"/>
  <c r="J42" i="9"/>
  <c r="K42" i="9"/>
  <c r="I42" i="9" s="1"/>
  <c r="K43" i="9"/>
  <c r="I43" i="9" s="1"/>
  <c r="J43" i="9" s="1"/>
  <c r="K44" i="9"/>
  <c r="I44" i="9" s="1"/>
  <c r="J44" i="9" s="1"/>
  <c r="I45" i="9"/>
  <c r="J45" i="9"/>
  <c r="K45" i="9"/>
  <c r="K46" i="9"/>
  <c r="I46" i="9" s="1"/>
  <c r="J46" i="9" s="1"/>
  <c r="K47" i="9"/>
  <c r="I47" i="9" s="1"/>
  <c r="J47" i="9" s="1"/>
  <c r="K48" i="9"/>
  <c r="I48" i="9" s="1"/>
  <c r="J48" i="9" s="1"/>
  <c r="I49" i="9"/>
  <c r="J49" i="9" s="1"/>
  <c r="K49" i="9"/>
  <c r="K50" i="9"/>
  <c r="I50" i="9" s="1"/>
  <c r="J50" i="9" s="1"/>
  <c r="K51" i="9"/>
  <c r="I51" i="9" s="1"/>
  <c r="J51" i="9" s="1"/>
  <c r="K52" i="9"/>
  <c r="I52" i="9" s="1"/>
  <c r="J52" i="9" s="1"/>
  <c r="I53" i="9"/>
  <c r="J53" i="9"/>
  <c r="K53" i="9"/>
  <c r="K54" i="9"/>
  <c r="I54" i="9" s="1"/>
  <c r="J54" i="9" s="1"/>
  <c r="K55" i="9"/>
  <c r="I55" i="9" s="1"/>
  <c r="J55" i="9" s="1"/>
  <c r="I56" i="9"/>
  <c r="J56" i="9" s="1"/>
  <c r="K56" i="9"/>
  <c r="K57" i="9"/>
  <c r="I57" i="9" s="1"/>
  <c r="J57" i="9" s="1"/>
  <c r="K58" i="9"/>
  <c r="I58" i="9" s="1"/>
  <c r="J58" i="9" s="1"/>
  <c r="K59" i="9"/>
  <c r="I59" i="9" s="1"/>
  <c r="J59" i="9" s="1"/>
  <c r="I60" i="9"/>
  <c r="J60" i="9" s="1"/>
  <c r="K60" i="9"/>
  <c r="I61" i="9"/>
  <c r="J61" i="9"/>
  <c r="K61" i="9"/>
  <c r="K62" i="9"/>
  <c r="I62" i="9" s="1"/>
  <c r="J62" i="9" s="1"/>
  <c r="K63" i="9"/>
  <c r="I63" i="9" s="1"/>
  <c r="J63" i="9" s="1"/>
  <c r="K64" i="9"/>
  <c r="I64" i="9" s="1"/>
  <c r="J64" i="9" s="1"/>
  <c r="K65" i="9"/>
  <c r="I65" i="9" s="1"/>
  <c r="J65" i="9" s="1"/>
  <c r="K66" i="9"/>
  <c r="I66" i="9" s="1"/>
  <c r="J66" i="9" s="1"/>
  <c r="K67" i="9"/>
  <c r="I67" i="9" s="1"/>
  <c r="J67" i="9" s="1"/>
  <c r="K68" i="9"/>
  <c r="I68" i="9" s="1"/>
  <c r="J68" i="9" s="1"/>
  <c r="K69" i="9"/>
  <c r="I69" i="9" s="1"/>
  <c r="J69" i="9" s="1"/>
  <c r="I70" i="9"/>
  <c r="J70" i="9"/>
  <c r="K70" i="9"/>
  <c r="K71" i="9"/>
  <c r="I71" i="9" s="1"/>
  <c r="J71" i="9" s="1"/>
  <c r="I72" i="9"/>
  <c r="J72" i="9" s="1"/>
  <c r="K72" i="9"/>
  <c r="K73" i="9"/>
  <c r="I73" i="9" s="1"/>
  <c r="J73" i="9" s="1"/>
  <c r="K74" i="9"/>
  <c r="I74" i="9" s="1"/>
  <c r="J74" i="9" s="1"/>
  <c r="I75" i="9"/>
  <c r="J75" i="9" s="1"/>
  <c r="K75" i="9"/>
  <c r="K76" i="9"/>
  <c r="I76" i="9" s="1"/>
  <c r="J76" i="9" s="1"/>
  <c r="I77" i="9"/>
  <c r="J77" i="9" s="1"/>
  <c r="K77" i="9"/>
  <c r="K78" i="9"/>
  <c r="I78" i="9" s="1"/>
  <c r="J78" i="9" s="1"/>
  <c r="K79" i="9"/>
  <c r="I79" i="9" s="1"/>
  <c r="J79" i="9" s="1"/>
  <c r="K80" i="9"/>
  <c r="I80" i="9" s="1"/>
  <c r="J80" i="9" s="1"/>
  <c r="I81" i="9"/>
  <c r="J81" i="9"/>
  <c r="K81" i="9"/>
  <c r="K82" i="9"/>
  <c r="I82" i="9" s="1"/>
  <c r="J82" i="9" s="1"/>
  <c r="K83" i="9"/>
  <c r="I83" i="9" s="1"/>
  <c r="J83" i="9" s="1"/>
  <c r="K84" i="9"/>
  <c r="I84" i="9" s="1"/>
  <c r="J84" i="9" s="1"/>
  <c r="I85" i="9"/>
  <c r="J85" i="9" s="1"/>
  <c r="K85" i="9"/>
  <c r="K86" i="9"/>
  <c r="I86" i="9" s="1"/>
  <c r="J86" i="9" s="1"/>
  <c r="K87" i="9"/>
  <c r="I87" i="9" s="1"/>
  <c r="J87" i="9" s="1"/>
  <c r="I88" i="9"/>
  <c r="J88" i="9" s="1"/>
  <c r="K88" i="9"/>
  <c r="K89" i="9"/>
  <c r="I89" i="9" s="1"/>
  <c r="J89" i="9" s="1"/>
  <c r="K90" i="9"/>
  <c r="I90" i="9" s="1"/>
  <c r="J90" i="9" s="1"/>
  <c r="K91" i="9"/>
  <c r="I91" i="9" s="1"/>
  <c r="J91" i="9" s="1"/>
  <c r="K92" i="9"/>
  <c r="I92" i="9" s="1"/>
  <c r="J92" i="9" s="1"/>
  <c r="I93" i="9"/>
  <c r="J93" i="9"/>
  <c r="K93" i="9"/>
  <c r="K94" i="9"/>
  <c r="I94" i="9" s="1"/>
  <c r="J94" i="9" s="1"/>
  <c r="K95" i="9"/>
  <c r="I95" i="9" s="1"/>
  <c r="J95" i="9" s="1"/>
  <c r="I96" i="9"/>
  <c r="J96" i="9" s="1"/>
  <c r="K96" i="9"/>
  <c r="K97" i="9"/>
  <c r="I97" i="9" s="1"/>
  <c r="J97" i="9" s="1"/>
  <c r="I98" i="9"/>
  <c r="J98" i="9"/>
  <c r="K98" i="9"/>
  <c r="K99" i="9"/>
  <c r="I99" i="9" s="1"/>
  <c r="J99" i="9" s="1"/>
  <c r="K100" i="9"/>
  <c r="I100" i="9" s="1"/>
  <c r="J100" i="9" s="1"/>
  <c r="K101" i="9"/>
  <c r="I101" i="9" s="1"/>
  <c r="J101" i="9" s="1"/>
  <c r="K102" i="9"/>
  <c r="I102" i="9" s="1"/>
  <c r="J102" i="9" s="1"/>
  <c r="I103" i="9"/>
  <c r="J103" i="9" s="1"/>
  <c r="K103" i="9"/>
  <c r="I104" i="9"/>
  <c r="J104" i="9" s="1"/>
  <c r="K104" i="9"/>
  <c r="K105" i="9"/>
  <c r="I105" i="9" s="1"/>
  <c r="J105" i="9" s="1"/>
  <c r="K106" i="9"/>
  <c r="I106" i="9" s="1"/>
  <c r="J106" i="9" s="1"/>
  <c r="K107" i="9"/>
  <c r="I107" i="9" s="1"/>
  <c r="J107" i="9" s="1"/>
  <c r="K108" i="9"/>
  <c r="I108" i="9" s="1"/>
  <c r="J108" i="9" s="1"/>
  <c r="I109" i="9"/>
  <c r="J109" i="9"/>
  <c r="K109" i="9"/>
  <c r="K110" i="9"/>
  <c r="I110" i="9" s="1"/>
  <c r="J110" i="9" s="1"/>
  <c r="K111" i="9"/>
  <c r="I111" i="9" s="1"/>
  <c r="J111" i="9" s="1"/>
  <c r="K112" i="9"/>
  <c r="I112" i="9" s="1"/>
  <c r="J112" i="9" s="1"/>
  <c r="I113" i="9"/>
  <c r="J113" i="9" s="1"/>
  <c r="K113" i="9"/>
  <c r="K114" i="9"/>
  <c r="I114" i="9" s="1"/>
  <c r="J114" i="9" s="1"/>
  <c r="K115" i="9"/>
  <c r="I115" i="9" s="1"/>
  <c r="J115" i="9" s="1"/>
  <c r="K116" i="9"/>
  <c r="I116" i="9" s="1"/>
  <c r="J116" i="9" s="1"/>
  <c r="I117" i="9"/>
  <c r="J117" i="9" s="1"/>
  <c r="K117" i="9"/>
  <c r="K118" i="9"/>
  <c r="I118" i="9" s="1"/>
  <c r="J118" i="9" s="1"/>
  <c r="K119" i="9"/>
  <c r="I119" i="9" s="1"/>
  <c r="J119" i="9" s="1"/>
  <c r="I120" i="9"/>
  <c r="J120" i="9" s="1"/>
  <c r="K120" i="9"/>
  <c r="K121" i="9"/>
  <c r="I121" i="9" s="1"/>
  <c r="J121" i="9" s="1"/>
  <c r="K122" i="9"/>
  <c r="I122" i="9" s="1"/>
  <c r="J122" i="9" s="1"/>
  <c r="K123" i="9"/>
  <c r="I123" i="9" s="1"/>
  <c r="J123" i="9" s="1"/>
  <c r="I124" i="9"/>
  <c r="J124" i="9" s="1"/>
  <c r="K124" i="9"/>
  <c r="I125" i="9"/>
  <c r="J125" i="9"/>
  <c r="K125" i="9"/>
  <c r="K126" i="9"/>
  <c r="I126" i="9" s="1"/>
  <c r="J126" i="9" s="1"/>
  <c r="K127" i="9"/>
  <c r="I127" i="9" s="1"/>
  <c r="J127" i="9" s="1"/>
  <c r="K128" i="9"/>
  <c r="I128" i="9" s="1"/>
  <c r="J128" i="9" s="1"/>
  <c r="K129" i="9"/>
  <c r="I129" i="9" s="1"/>
  <c r="J129" i="9" s="1"/>
  <c r="K130" i="9"/>
  <c r="I130" i="9" s="1"/>
  <c r="J130" i="9" s="1"/>
  <c r="K131" i="9"/>
  <c r="I131" i="9" s="1"/>
  <c r="J131" i="9" s="1"/>
  <c r="K132" i="9"/>
  <c r="I132" i="9" s="1"/>
  <c r="J132" i="9" s="1"/>
  <c r="K133" i="9"/>
  <c r="I133" i="9" s="1"/>
  <c r="J133" i="9" s="1"/>
  <c r="I134" i="9"/>
  <c r="J134" i="9" s="1"/>
  <c r="K134" i="9"/>
  <c r="K135" i="9"/>
  <c r="I135" i="9" s="1"/>
  <c r="J135" i="9" s="1"/>
  <c r="I136" i="9"/>
  <c r="J136" i="9" s="1"/>
  <c r="K136" i="9"/>
  <c r="K137" i="9"/>
  <c r="I137" i="9" s="1"/>
  <c r="J137" i="9" s="1"/>
  <c r="K138" i="9"/>
  <c r="I138" i="9" s="1"/>
  <c r="J138" i="9" s="1"/>
  <c r="I139" i="9"/>
  <c r="J139" i="9" s="1"/>
  <c r="K139" i="9"/>
  <c r="K140" i="9"/>
  <c r="I140" i="9" s="1"/>
  <c r="J140" i="9" s="1"/>
  <c r="I141" i="9"/>
  <c r="J141" i="9" s="1"/>
  <c r="K141" i="9"/>
  <c r="K142" i="9"/>
  <c r="I142" i="9" s="1"/>
  <c r="J142" i="9" s="1"/>
  <c r="K143" i="9"/>
  <c r="I143" i="9" s="1"/>
  <c r="J143" i="9" s="1"/>
  <c r="K144" i="9"/>
  <c r="I144" i="9" s="1"/>
  <c r="J144" i="9" s="1"/>
  <c r="I145" i="9"/>
  <c r="J145" i="9"/>
  <c r="K145" i="9"/>
  <c r="K146" i="9"/>
  <c r="I146" i="9" s="1"/>
  <c r="J146" i="9" s="1"/>
  <c r="I147" i="9"/>
  <c r="J147" i="9" s="1"/>
  <c r="K147" i="9"/>
  <c r="K148" i="9"/>
  <c r="I148" i="9" s="1"/>
  <c r="J148" i="9" s="1"/>
  <c r="K149" i="9"/>
  <c r="I149" i="9" s="1"/>
  <c r="J149" i="9" s="1"/>
  <c r="K150" i="9"/>
  <c r="I150" i="9" s="1"/>
  <c r="J150" i="9" s="1"/>
  <c r="K151" i="9"/>
  <c r="I151" i="9" s="1"/>
  <c r="J151" i="9" s="1"/>
  <c r="I152" i="9"/>
  <c r="J152" i="9" s="1"/>
  <c r="K152" i="9"/>
  <c r="K153" i="9"/>
  <c r="I153" i="9" s="1"/>
  <c r="J153" i="9" s="1"/>
  <c r="K154" i="9"/>
  <c r="I154" i="9" s="1"/>
  <c r="J154" i="9" s="1"/>
  <c r="I155" i="9"/>
  <c r="J155" i="9" s="1"/>
  <c r="K155" i="9"/>
  <c r="K156" i="9"/>
  <c r="I156" i="9" s="1"/>
  <c r="J156" i="9" s="1"/>
  <c r="I157" i="9"/>
  <c r="J157" i="9"/>
  <c r="K157" i="9"/>
  <c r="K158" i="9"/>
  <c r="I158" i="9" s="1"/>
  <c r="J158" i="9" s="1"/>
  <c r="K159" i="9"/>
  <c r="I159" i="9" s="1"/>
  <c r="J159" i="9" s="1"/>
  <c r="I160" i="9"/>
  <c r="J160" i="9" s="1"/>
  <c r="K160" i="9"/>
  <c r="K161" i="9"/>
  <c r="I161" i="9" s="1"/>
  <c r="J161" i="9" s="1"/>
  <c r="I162" i="9"/>
  <c r="J162" i="9" s="1"/>
  <c r="K162" i="9"/>
  <c r="I163" i="9"/>
  <c r="J163" i="9" s="1"/>
  <c r="K163" i="9"/>
  <c r="K164" i="9"/>
  <c r="I164" i="9" s="1"/>
  <c r="J164" i="9" s="1"/>
  <c r="K165" i="9"/>
  <c r="I165" i="9" s="1"/>
  <c r="J165" i="9" s="1"/>
  <c r="I166" i="9"/>
  <c r="J166" i="9" s="1"/>
  <c r="K166" i="9"/>
  <c r="K167" i="9"/>
  <c r="I167" i="9" s="1"/>
  <c r="J167" i="9" s="1"/>
  <c r="I168" i="9"/>
  <c r="J168" i="9" s="1"/>
  <c r="K168" i="9"/>
  <c r="K169" i="9"/>
  <c r="I169" i="9" s="1"/>
  <c r="J169" i="9" s="1"/>
  <c r="K170" i="9"/>
  <c r="I170" i="9" s="1"/>
  <c r="J170" i="9" s="1"/>
  <c r="K171" i="9"/>
  <c r="I171" i="9" s="1"/>
  <c r="J171" i="9" s="1"/>
  <c r="K172" i="9"/>
  <c r="I172" i="9" s="1"/>
  <c r="J172" i="9" s="1"/>
  <c r="I173" i="9"/>
  <c r="J173" i="9" s="1"/>
  <c r="K173" i="9"/>
  <c r="K174" i="9"/>
  <c r="I174" i="9" s="1"/>
  <c r="J174" i="9" s="1"/>
  <c r="K175" i="9"/>
  <c r="I175" i="9" s="1"/>
  <c r="J175" i="9" s="1"/>
  <c r="I176" i="9"/>
  <c r="J176" i="9"/>
  <c r="K176" i="9"/>
  <c r="K177" i="9"/>
  <c r="I177" i="9" s="1"/>
  <c r="J177" i="9" s="1"/>
  <c r="K178" i="9"/>
  <c r="I178" i="9" s="1"/>
  <c r="J178" i="9" s="1"/>
  <c r="I179" i="9"/>
  <c r="J179" i="9" s="1"/>
  <c r="K179" i="9"/>
  <c r="K180" i="9"/>
  <c r="I180" i="9" s="1"/>
  <c r="J180" i="9" s="1"/>
  <c r="K181" i="9"/>
  <c r="I181" i="9" s="1"/>
  <c r="J181" i="9" s="1"/>
  <c r="K182" i="9"/>
  <c r="I182" i="9" s="1"/>
  <c r="J182" i="9" s="1"/>
  <c r="K183" i="9"/>
  <c r="I183" i="9" s="1"/>
  <c r="J183" i="9" s="1"/>
  <c r="I184" i="9"/>
  <c r="J184" i="9" s="1"/>
  <c r="K184" i="9"/>
  <c r="K185" i="9"/>
  <c r="I185" i="9" s="1"/>
  <c r="J185" i="9" s="1"/>
  <c r="K186" i="9"/>
  <c r="I186" i="9" s="1"/>
  <c r="J186" i="9" s="1"/>
  <c r="I187" i="9"/>
  <c r="J187" i="9" s="1"/>
  <c r="K187" i="9"/>
  <c r="K188" i="9"/>
  <c r="I188" i="9" s="1"/>
  <c r="J188" i="9" s="1"/>
  <c r="I189" i="9"/>
  <c r="J189" i="9"/>
  <c r="K189" i="9"/>
  <c r="K190" i="9"/>
  <c r="I190" i="9" s="1"/>
  <c r="J190" i="9" s="1"/>
  <c r="K191" i="9"/>
  <c r="I191" i="9" s="1"/>
  <c r="J191" i="9" s="1"/>
  <c r="K192" i="9"/>
  <c r="I192" i="9" s="1"/>
  <c r="J192" i="9" s="1"/>
  <c r="K193" i="9"/>
  <c r="I193" i="9" s="1"/>
  <c r="J193" i="9" s="1"/>
  <c r="I194" i="9"/>
  <c r="J194" i="9" s="1"/>
  <c r="K194" i="9"/>
  <c r="I195" i="9"/>
  <c r="J195" i="9" s="1"/>
  <c r="K195" i="9"/>
  <c r="K196" i="9"/>
  <c r="I196" i="9" s="1"/>
  <c r="J196" i="9" s="1"/>
  <c r="I197" i="9"/>
  <c r="J197" i="9" s="1"/>
  <c r="K197" i="9"/>
  <c r="K198" i="9"/>
  <c r="I198" i="9" s="1"/>
  <c r="J198" i="9" s="1"/>
  <c r="K199" i="9"/>
  <c r="I199" i="9" s="1"/>
  <c r="J199" i="9" s="1"/>
  <c r="I200" i="9"/>
  <c r="J200" i="9" s="1"/>
  <c r="K200" i="9"/>
  <c r="K201" i="9"/>
  <c r="I201" i="9" s="1"/>
  <c r="J201" i="9" s="1"/>
  <c r="K202" i="9"/>
  <c r="I202" i="9" s="1"/>
  <c r="J202" i="9" s="1"/>
  <c r="K203" i="9"/>
  <c r="I203" i="9" s="1"/>
  <c r="J203" i="9" s="1"/>
  <c r="K204" i="9"/>
  <c r="I204" i="9" s="1"/>
  <c r="J204" i="9" s="1"/>
  <c r="I205" i="9"/>
  <c r="J205" i="9"/>
  <c r="K205" i="9"/>
  <c r="K206" i="9"/>
  <c r="I206" i="9" s="1"/>
  <c r="J206" i="9" s="1"/>
  <c r="K207" i="9"/>
  <c r="I207" i="9" s="1"/>
  <c r="J207" i="9" s="1"/>
  <c r="I208" i="9"/>
  <c r="J208" i="9" s="1"/>
  <c r="K208" i="9"/>
  <c r="K209" i="9"/>
  <c r="I209" i="9" s="1"/>
  <c r="J209" i="9" s="1"/>
  <c r="I210" i="9"/>
  <c r="J210" i="9"/>
  <c r="K210" i="9"/>
  <c r="I211" i="9"/>
  <c r="J211" i="9" s="1"/>
  <c r="K211" i="9"/>
  <c r="K212" i="9"/>
  <c r="I212" i="9" s="1"/>
  <c r="J212" i="9" s="1"/>
  <c r="K213" i="9"/>
  <c r="I213" i="9" s="1"/>
  <c r="J213" i="9" s="1"/>
  <c r="I214" i="9"/>
  <c r="J214" i="9"/>
  <c r="K214" i="9"/>
  <c r="K215" i="9"/>
  <c r="I215" i="9" s="1"/>
  <c r="J215" i="9" s="1"/>
  <c r="I216" i="9"/>
  <c r="J216" i="9" s="1"/>
  <c r="K216" i="9"/>
  <c r="K217" i="9"/>
  <c r="I217" i="9" s="1"/>
  <c r="J217" i="9" s="1"/>
  <c r="K218" i="9"/>
  <c r="I218" i="9" s="1"/>
  <c r="J218" i="9" s="1"/>
  <c r="K219" i="9"/>
  <c r="I219" i="9" s="1"/>
  <c r="J219" i="9" s="1"/>
  <c r="K220" i="9"/>
  <c r="I220" i="9" s="1"/>
  <c r="J220" i="9" s="1"/>
  <c r="I221" i="9"/>
  <c r="J221" i="9" s="1"/>
  <c r="K221" i="9"/>
  <c r="K222" i="9"/>
  <c r="I222" i="9" s="1"/>
  <c r="J222" i="9" s="1"/>
  <c r="K223" i="9"/>
  <c r="I223" i="9" s="1"/>
  <c r="J223" i="9" s="1"/>
  <c r="K224" i="9"/>
  <c r="I224" i="9" s="1"/>
  <c r="J224" i="9" s="1"/>
  <c r="K225" i="9"/>
  <c r="I225" i="9" s="1"/>
  <c r="J225" i="9" s="1"/>
  <c r="K226" i="9"/>
  <c r="I226" i="9" s="1"/>
  <c r="J226" i="9" s="1"/>
  <c r="I227" i="9"/>
  <c r="J227" i="9" s="1"/>
  <c r="K227" i="9"/>
  <c r="K228" i="9"/>
  <c r="I228" i="9" s="1"/>
  <c r="J228" i="9" s="1"/>
  <c r="K229" i="9"/>
  <c r="I229" i="9" s="1"/>
  <c r="J229" i="9" s="1"/>
  <c r="K230" i="9"/>
  <c r="I230" i="9" s="1"/>
  <c r="J230" i="9" s="1"/>
  <c r="I231" i="9"/>
  <c r="J231" i="9" s="1"/>
  <c r="K231" i="9"/>
  <c r="I232" i="9"/>
  <c r="J232" i="9" s="1"/>
  <c r="K232" i="9"/>
  <c r="K233" i="9"/>
  <c r="I233" i="9" s="1"/>
  <c r="J233" i="9" s="1"/>
  <c r="K234" i="9"/>
  <c r="I234" i="9" s="1"/>
  <c r="J234" i="9" s="1"/>
  <c r="I235" i="9"/>
  <c r="J235" i="9"/>
  <c r="K235" i="9"/>
  <c r="K236" i="9"/>
  <c r="I236" i="9" s="1"/>
  <c r="J236" i="9" s="1"/>
  <c r="I237" i="9"/>
  <c r="J237" i="9"/>
  <c r="K237" i="9"/>
  <c r="K238" i="9"/>
  <c r="I238" i="9" s="1"/>
  <c r="J238" i="9" s="1"/>
  <c r="K239" i="9"/>
  <c r="I239" i="9" s="1"/>
  <c r="J239" i="9" s="1"/>
  <c r="K240" i="9"/>
  <c r="I240" i="9" s="1"/>
  <c r="J240" i="9" s="1"/>
  <c r="K241" i="9"/>
  <c r="I241" i="9" s="1"/>
  <c r="J241" i="9" s="1"/>
  <c r="I242" i="9"/>
  <c r="J242" i="9" s="1"/>
  <c r="K242" i="9"/>
  <c r="I243" i="9"/>
  <c r="J243" i="9" s="1"/>
  <c r="K243" i="9"/>
  <c r="K244" i="9"/>
  <c r="I244" i="9" s="1"/>
  <c r="J244" i="9" s="1"/>
  <c r="I245" i="9"/>
  <c r="J245" i="9"/>
  <c r="K245" i="9"/>
  <c r="K246" i="9"/>
  <c r="I246" i="9" s="1"/>
  <c r="J246" i="9" s="1"/>
  <c r="K247" i="9"/>
  <c r="I247" i="9" s="1"/>
  <c r="J247" i="9" s="1"/>
  <c r="I248" i="9"/>
  <c r="J248" i="9" s="1"/>
  <c r="K248" i="9"/>
  <c r="K249" i="9"/>
  <c r="I249" i="9" s="1"/>
  <c r="J249" i="9" s="1"/>
  <c r="K250" i="9"/>
  <c r="I250" i="9" s="1"/>
  <c r="J250" i="9" s="1"/>
  <c r="K251" i="9"/>
  <c r="I251" i="9" s="1"/>
  <c r="J251" i="9" s="1"/>
  <c r="K252" i="9"/>
  <c r="I252" i="9" s="1"/>
  <c r="J252" i="9" s="1"/>
  <c r="I253" i="9"/>
  <c r="J253" i="9"/>
  <c r="K253" i="9"/>
  <c r="K254" i="9"/>
  <c r="I254" i="9" s="1"/>
  <c r="J254" i="9" s="1"/>
  <c r="K255" i="9"/>
  <c r="I255" i="9" s="1"/>
  <c r="J255" i="9" s="1"/>
  <c r="K256" i="9"/>
  <c r="I256" i="9" s="1"/>
  <c r="J256" i="9" s="1"/>
  <c r="K257" i="9"/>
  <c r="I257" i="9" s="1"/>
  <c r="J257" i="9" s="1"/>
  <c r="I258" i="9"/>
  <c r="J258" i="9" s="1"/>
  <c r="K258" i="9"/>
  <c r="I259" i="9"/>
  <c r="J259" i="9" s="1"/>
  <c r="K259" i="9"/>
  <c r="K260" i="9"/>
  <c r="I260" i="9" s="1"/>
  <c r="J260" i="9" s="1"/>
  <c r="K261" i="9"/>
  <c r="I261" i="9" s="1"/>
  <c r="J261" i="9" s="1"/>
  <c r="I262" i="9"/>
  <c r="J262" i="9" s="1"/>
  <c r="K262" i="9"/>
  <c r="K263" i="9"/>
  <c r="I263" i="9" s="1"/>
  <c r="J263" i="9" s="1"/>
  <c r="I264" i="9"/>
  <c r="J264" i="9" s="1"/>
  <c r="K264" i="9"/>
  <c r="K265" i="9"/>
  <c r="I265" i="9" s="1"/>
  <c r="J265" i="9" s="1"/>
  <c r="K266" i="9"/>
  <c r="I266" i="9" s="1"/>
  <c r="J266" i="9" s="1"/>
  <c r="K267" i="9"/>
  <c r="I267" i="9" s="1"/>
  <c r="J267" i="9" s="1"/>
  <c r="I268" i="9"/>
  <c r="J268" i="9"/>
  <c r="K268" i="9"/>
  <c r="I269" i="9"/>
  <c r="J269" i="9" s="1"/>
  <c r="K269" i="9"/>
  <c r="K270" i="9"/>
  <c r="I270" i="9" s="1"/>
  <c r="J270" i="9" s="1"/>
  <c r="K271" i="9"/>
  <c r="I271" i="9" s="1"/>
  <c r="J271" i="9" s="1"/>
  <c r="K272" i="9"/>
  <c r="I272" i="9" s="1"/>
  <c r="J272" i="9" s="1"/>
  <c r="K273" i="9"/>
  <c r="I273" i="9" s="1"/>
  <c r="J273" i="9" s="1"/>
  <c r="K274" i="9"/>
  <c r="I274" i="9" s="1"/>
  <c r="J274" i="9" s="1"/>
  <c r="I275" i="9"/>
  <c r="J275" i="9" s="1"/>
  <c r="K275" i="9"/>
  <c r="K276" i="9"/>
  <c r="I276" i="9" s="1"/>
  <c r="J276" i="9" s="1"/>
  <c r="K277" i="9"/>
  <c r="I277" i="9" s="1"/>
  <c r="J277" i="9" s="1"/>
  <c r="I278" i="9"/>
  <c r="J278" i="9" s="1"/>
  <c r="K278" i="9"/>
  <c r="K279" i="9"/>
  <c r="I279" i="9" s="1"/>
  <c r="J279" i="9" s="1"/>
  <c r="I280" i="9"/>
  <c r="J280" i="9" s="1"/>
  <c r="K280" i="9"/>
  <c r="K281" i="9"/>
  <c r="I281" i="9" s="1"/>
  <c r="J281" i="9" s="1"/>
  <c r="I282" i="9"/>
  <c r="J282" i="9" s="1"/>
  <c r="K282" i="9"/>
  <c r="K283" i="9"/>
  <c r="I283" i="9" s="1"/>
  <c r="J283" i="9" s="1"/>
  <c r="I284" i="9"/>
  <c r="J284" i="9" s="1"/>
  <c r="K284" i="9"/>
  <c r="I285" i="9"/>
  <c r="J285" i="9"/>
  <c r="K285" i="9"/>
  <c r="K286" i="9"/>
  <c r="I286" i="9" s="1"/>
  <c r="J286" i="9" s="1"/>
  <c r="K287" i="9"/>
  <c r="I287" i="9" s="1"/>
  <c r="J287" i="9" s="1"/>
  <c r="I288" i="9"/>
  <c r="J288" i="9"/>
  <c r="K288" i="9"/>
  <c r="K289" i="9"/>
  <c r="I289" i="9" s="1"/>
  <c r="J289" i="9" s="1"/>
  <c r="K290" i="9"/>
  <c r="I290" i="9" s="1"/>
  <c r="J290" i="9" s="1"/>
  <c r="I291" i="9"/>
  <c r="J291" i="9" s="1"/>
  <c r="K291" i="9"/>
  <c r="K292" i="9"/>
  <c r="I292" i="9" s="1"/>
  <c r="J292" i="9" s="1"/>
  <c r="K293" i="9"/>
  <c r="I293" i="9" s="1"/>
  <c r="J293" i="9" s="1"/>
  <c r="K294" i="9"/>
  <c r="I294" i="9" s="1"/>
  <c r="J294" i="9" s="1"/>
  <c r="K295" i="9"/>
  <c r="I295" i="9" s="1"/>
  <c r="J295" i="9" s="1"/>
  <c r="I296" i="9"/>
  <c r="J296" i="9" s="1"/>
  <c r="K296" i="9"/>
  <c r="K297" i="9"/>
  <c r="I297" i="9" s="1"/>
  <c r="J297" i="9" s="1"/>
  <c r="I298" i="9"/>
  <c r="J298" i="9" s="1"/>
  <c r="K298" i="9"/>
  <c r="K299" i="9"/>
  <c r="I299" i="9" s="1"/>
  <c r="J299" i="9" s="1"/>
  <c r="K300" i="9"/>
  <c r="I300" i="9" s="1"/>
  <c r="J300" i="9" s="1"/>
  <c r="I301" i="9"/>
  <c r="J301" i="9" s="1"/>
  <c r="K301" i="9"/>
  <c r="K302" i="9"/>
  <c r="I302" i="9" s="1"/>
  <c r="J302" i="9" s="1"/>
  <c r="K303" i="9"/>
  <c r="I303" i="9" s="1"/>
  <c r="J303" i="9" s="1"/>
  <c r="I304" i="9"/>
  <c r="J304" i="9" s="1"/>
  <c r="K304" i="9"/>
  <c r="K305" i="9"/>
  <c r="I305" i="9" s="1"/>
  <c r="J305" i="9" s="1"/>
  <c r="K306" i="9"/>
  <c r="I306" i="9" s="1"/>
  <c r="J306" i="9" s="1"/>
  <c r="I307" i="9"/>
  <c r="J307" i="9" s="1"/>
  <c r="K307" i="9"/>
  <c r="K308" i="9"/>
  <c r="I308" i="9" s="1"/>
  <c r="J308" i="9" s="1"/>
  <c r="K309" i="9"/>
  <c r="I309" i="9" s="1"/>
  <c r="J309" i="9" s="1"/>
  <c r="K310" i="9"/>
  <c r="I310" i="9" s="1"/>
  <c r="J310" i="9" s="1"/>
  <c r="K311" i="9"/>
  <c r="I311" i="9" s="1"/>
  <c r="J311" i="9" s="1"/>
  <c r="I312" i="9"/>
  <c r="J312" i="9" s="1"/>
  <c r="K312" i="9"/>
  <c r="K313" i="9"/>
  <c r="I313" i="9" s="1"/>
  <c r="J313" i="9" s="1"/>
  <c r="K314" i="9"/>
  <c r="I314" i="9" s="1"/>
  <c r="J314" i="9" s="1"/>
  <c r="I315" i="9"/>
  <c r="J315" i="9" s="1"/>
  <c r="K315" i="9"/>
  <c r="K316" i="9"/>
  <c r="I316" i="9" s="1"/>
  <c r="J316" i="9" s="1"/>
  <c r="I317" i="9"/>
  <c r="J317" i="9" s="1"/>
  <c r="K317" i="9"/>
  <c r="K318" i="9"/>
  <c r="I318" i="9" s="1"/>
  <c r="J318" i="9" s="1"/>
  <c r="K319" i="9"/>
  <c r="I319" i="9" s="1"/>
  <c r="J319" i="9" s="1"/>
  <c r="K320" i="9"/>
  <c r="I320" i="9" s="1"/>
  <c r="J320" i="9" s="1"/>
  <c r="I321" i="9"/>
  <c r="J321" i="9" s="1"/>
  <c r="K321" i="9"/>
  <c r="K322" i="9"/>
  <c r="I322" i="9" s="1"/>
  <c r="J322" i="9" s="1"/>
  <c r="I323" i="9"/>
  <c r="J323" i="9" s="1"/>
  <c r="K323" i="9"/>
  <c r="K324" i="9"/>
  <c r="I324" i="9" s="1"/>
  <c r="J324" i="9" s="1"/>
  <c r="K325" i="9"/>
  <c r="I325" i="9" s="1"/>
  <c r="J325" i="9" s="1"/>
  <c r="K326" i="9"/>
  <c r="I326" i="9" s="1"/>
  <c r="J326" i="9" s="1"/>
  <c r="I327" i="9"/>
  <c r="J327" i="9"/>
  <c r="K327" i="9"/>
  <c r="I328" i="9"/>
  <c r="J328" i="9" s="1"/>
  <c r="K328" i="9"/>
  <c r="K329" i="9"/>
  <c r="I329" i="9" s="1"/>
  <c r="J329" i="9" s="1"/>
  <c r="K330" i="9"/>
  <c r="I330" i="9" s="1"/>
  <c r="J330" i="9" s="1"/>
  <c r="K331" i="9"/>
  <c r="I331" i="9" s="1"/>
  <c r="J331" i="9" s="1"/>
  <c r="K332" i="9"/>
  <c r="I332" i="9" s="1"/>
  <c r="J332" i="9" s="1"/>
  <c r="I333" i="9"/>
  <c r="J333" i="9" s="1"/>
  <c r="K333" i="9"/>
  <c r="K334" i="9"/>
  <c r="I334" i="9" s="1"/>
  <c r="J334" i="9" s="1"/>
  <c r="K335" i="9"/>
  <c r="I335" i="9" s="1"/>
  <c r="J335" i="9" s="1"/>
  <c r="K336" i="9"/>
  <c r="I336" i="9" s="1"/>
  <c r="J336" i="9" s="1"/>
  <c r="I337" i="9"/>
  <c r="J337" i="9" s="1"/>
  <c r="K337" i="9"/>
  <c r="K338" i="9"/>
  <c r="I338" i="9" s="1"/>
  <c r="J338" i="9" s="1"/>
  <c r="I339" i="9"/>
  <c r="J339" i="9" s="1"/>
  <c r="K339" i="9"/>
  <c r="K340" i="9"/>
  <c r="I340" i="9" s="1"/>
  <c r="J340" i="9" s="1"/>
  <c r="I341" i="9"/>
  <c r="J341" i="9" s="1"/>
  <c r="K341" i="9"/>
  <c r="K342" i="9"/>
  <c r="I342" i="9" s="1"/>
  <c r="J342" i="9" s="1"/>
  <c r="I343" i="9"/>
  <c r="J343" i="9"/>
  <c r="K343" i="9"/>
  <c r="I344" i="9"/>
  <c r="J344" i="9" s="1"/>
  <c r="K344" i="9"/>
  <c r="K345" i="9"/>
  <c r="I345" i="9" s="1"/>
  <c r="J345" i="9" s="1"/>
  <c r="K346" i="9"/>
  <c r="I346" i="9" s="1"/>
  <c r="J346" i="9" s="1"/>
  <c r="I347" i="9"/>
  <c r="J347" i="9"/>
  <c r="K347" i="9"/>
  <c r="K348" i="9"/>
  <c r="I348" i="9" s="1"/>
  <c r="J348" i="9" s="1"/>
  <c r="I349" i="9"/>
  <c r="J349" i="9"/>
  <c r="K349" i="9"/>
  <c r="K350" i="9"/>
  <c r="I350" i="9" s="1"/>
  <c r="J350" i="9" s="1"/>
  <c r="K351" i="9"/>
  <c r="I351" i="9" s="1"/>
  <c r="J351" i="9" s="1"/>
  <c r="K352" i="9"/>
  <c r="I352" i="9" s="1"/>
  <c r="J352" i="9" s="1"/>
  <c r="K353" i="9"/>
  <c r="I353" i="9" s="1"/>
  <c r="J353" i="9" s="1"/>
  <c r="I354" i="9"/>
  <c r="J354" i="9" s="1"/>
  <c r="K354" i="9"/>
  <c r="I355" i="9"/>
  <c r="J355" i="9" s="1"/>
  <c r="K355" i="9"/>
  <c r="K356" i="9"/>
  <c r="I356" i="9" s="1"/>
  <c r="J356" i="9" s="1"/>
  <c r="I357" i="9"/>
  <c r="J357" i="9" s="1"/>
  <c r="K357" i="9"/>
  <c r="K358" i="9"/>
  <c r="I358" i="9" s="1"/>
  <c r="J358" i="9" s="1"/>
  <c r="K359" i="9"/>
  <c r="I359" i="9" s="1"/>
  <c r="J359" i="9" s="1"/>
  <c r="I360" i="9"/>
  <c r="J360" i="9" s="1"/>
  <c r="K360" i="9"/>
  <c r="K361" i="9"/>
  <c r="I361" i="9" s="1"/>
  <c r="J361" i="9" s="1"/>
  <c r="K362" i="9"/>
  <c r="I362" i="9" s="1"/>
  <c r="J362" i="9" s="1"/>
  <c r="I363" i="9"/>
  <c r="J363" i="9"/>
  <c r="K363" i="9"/>
  <c r="K364" i="9"/>
  <c r="I364" i="9" s="1"/>
  <c r="J364" i="9" s="1"/>
  <c r="I365" i="9"/>
  <c r="J365" i="9"/>
  <c r="K365" i="9"/>
  <c r="K366" i="9"/>
  <c r="I366" i="9" s="1"/>
  <c r="J366" i="9" s="1"/>
  <c r="K367" i="9"/>
  <c r="I367" i="9" s="1"/>
  <c r="J367" i="9" s="1"/>
  <c r="G25" i="8"/>
  <c r="G24" i="8"/>
  <c r="H24" i="8"/>
  <c r="O1500" i="15"/>
  <c r="N1500" i="15"/>
  <c r="R1500" i="15" s="1"/>
  <c r="L1500" i="15"/>
  <c r="K1500" i="15"/>
  <c r="B1500" i="15"/>
  <c r="O1499" i="15"/>
  <c r="N1499" i="15"/>
  <c r="R1499" i="15" s="1"/>
  <c r="L1499" i="15"/>
  <c r="K1499" i="15"/>
  <c r="B1499" i="15"/>
  <c r="O1498" i="15"/>
  <c r="N1498" i="15"/>
  <c r="R1498" i="15" s="1"/>
  <c r="L1498" i="15"/>
  <c r="K1498" i="15"/>
  <c r="B1498" i="15"/>
  <c r="O1497" i="15"/>
  <c r="N1497" i="15"/>
  <c r="R1497" i="15" s="1"/>
  <c r="L1497" i="15"/>
  <c r="K1497" i="15"/>
  <c r="B1497" i="15"/>
  <c r="O1496" i="15"/>
  <c r="N1496" i="15"/>
  <c r="R1496" i="15" s="1"/>
  <c r="L1496" i="15"/>
  <c r="K1496" i="15"/>
  <c r="B1496" i="15"/>
  <c r="O1495" i="15"/>
  <c r="N1495" i="15"/>
  <c r="R1495" i="15" s="1"/>
  <c r="L1495" i="15"/>
  <c r="K1495" i="15"/>
  <c r="B1495" i="15"/>
  <c r="O1494" i="15"/>
  <c r="N1494" i="15"/>
  <c r="R1494" i="15" s="1"/>
  <c r="L1494" i="15"/>
  <c r="K1494" i="15"/>
  <c r="B1494" i="15"/>
  <c r="O1493" i="15"/>
  <c r="N1493" i="15"/>
  <c r="R1493" i="15" s="1"/>
  <c r="L1493" i="15"/>
  <c r="K1493" i="15"/>
  <c r="B1493" i="15"/>
  <c r="O1492" i="15"/>
  <c r="N1492" i="15"/>
  <c r="R1492" i="15" s="1"/>
  <c r="L1492" i="15"/>
  <c r="K1492" i="15"/>
  <c r="B1492" i="15"/>
  <c r="O1491" i="15"/>
  <c r="N1491" i="15"/>
  <c r="R1491" i="15" s="1"/>
  <c r="L1491" i="15"/>
  <c r="K1491" i="15"/>
  <c r="B1491" i="15"/>
  <c r="O1490" i="15"/>
  <c r="N1490" i="15"/>
  <c r="R1490" i="15" s="1"/>
  <c r="L1490" i="15"/>
  <c r="K1490" i="15"/>
  <c r="B1490" i="15"/>
  <c r="O1489" i="15"/>
  <c r="N1489" i="15"/>
  <c r="R1489" i="15" s="1"/>
  <c r="L1489" i="15"/>
  <c r="K1489" i="15"/>
  <c r="B1489" i="15"/>
  <c r="O1488" i="15"/>
  <c r="N1488" i="15"/>
  <c r="R1488" i="15" s="1"/>
  <c r="L1488" i="15"/>
  <c r="K1488" i="15"/>
  <c r="B1488" i="15"/>
  <c r="O1487" i="15"/>
  <c r="N1487" i="15"/>
  <c r="R1487" i="15" s="1"/>
  <c r="L1487" i="15"/>
  <c r="K1487" i="15"/>
  <c r="B1487" i="15"/>
  <c r="O1486" i="15"/>
  <c r="N1486" i="15"/>
  <c r="R1486" i="15" s="1"/>
  <c r="L1486" i="15"/>
  <c r="K1486" i="15"/>
  <c r="B1486" i="15"/>
  <c r="O1485" i="15"/>
  <c r="N1485" i="15"/>
  <c r="R1485" i="15" s="1"/>
  <c r="L1485" i="15"/>
  <c r="K1485" i="15"/>
  <c r="B1485" i="15"/>
  <c r="O1484" i="15"/>
  <c r="N1484" i="15"/>
  <c r="R1484" i="15" s="1"/>
  <c r="L1484" i="15"/>
  <c r="K1484" i="15"/>
  <c r="B1484" i="15"/>
  <c r="O1483" i="15"/>
  <c r="N1483" i="15"/>
  <c r="R1483" i="15" s="1"/>
  <c r="L1483" i="15"/>
  <c r="K1483" i="15"/>
  <c r="B1483" i="15"/>
  <c r="O1482" i="15"/>
  <c r="N1482" i="15"/>
  <c r="R1482" i="15" s="1"/>
  <c r="L1482" i="15"/>
  <c r="K1482" i="15"/>
  <c r="B1482" i="15"/>
  <c r="O1481" i="15"/>
  <c r="N1481" i="15"/>
  <c r="R1481" i="15" s="1"/>
  <c r="L1481" i="15"/>
  <c r="K1481" i="15"/>
  <c r="B1481" i="15"/>
  <c r="O1480" i="15"/>
  <c r="N1480" i="15"/>
  <c r="R1480" i="15" s="1"/>
  <c r="L1480" i="15"/>
  <c r="K1480" i="15"/>
  <c r="B1480" i="15"/>
  <c r="O1479" i="15"/>
  <c r="N1479" i="15"/>
  <c r="L1479" i="15"/>
  <c r="K1479" i="15"/>
  <c r="B1479" i="15"/>
  <c r="O1478" i="15"/>
  <c r="N1478" i="15"/>
  <c r="R1478" i="15" s="1"/>
  <c r="L1478" i="15"/>
  <c r="K1478" i="15"/>
  <c r="B1478" i="15"/>
  <c r="O1477" i="15"/>
  <c r="N1477" i="15"/>
  <c r="R1477" i="15" s="1"/>
  <c r="L1477" i="15"/>
  <c r="K1477" i="15"/>
  <c r="B1477" i="15"/>
  <c r="O1476" i="15"/>
  <c r="N1476" i="15"/>
  <c r="R1476" i="15" s="1"/>
  <c r="L1476" i="15"/>
  <c r="K1476" i="15"/>
  <c r="B1476" i="15"/>
  <c r="O1475" i="15"/>
  <c r="N1475" i="15"/>
  <c r="R1475" i="15" s="1"/>
  <c r="L1475" i="15"/>
  <c r="K1475" i="15"/>
  <c r="B1475" i="15"/>
  <c r="O1474" i="15"/>
  <c r="N1474" i="15"/>
  <c r="R1474" i="15" s="1"/>
  <c r="L1474" i="15"/>
  <c r="K1474" i="15"/>
  <c r="B1474" i="15"/>
  <c r="O1473" i="15"/>
  <c r="N1473" i="15"/>
  <c r="R1473" i="15" s="1"/>
  <c r="L1473" i="15"/>
  <c r="K1473" i="15"/>
  <c r="B1473" i="15"/>
  <c r="O1472" i="15"/>
  <c r="N1472" i="15"/>
  <c r="R1472" i="15" s="1"/>
  <c r="L1472" i="15"/>
  <c r="K1472" i="15"/>
  <c r="B1472" i="15"/>
  <c r="O1471" i="15"/>
  <c r="N1471" i="15"/>
  <c r="R1471" i="15" s="1"/>
  <c r="L1471" i="15"/>
  <c r="K1471" i="15"/>
  <c r="B1471" i="15"/>
  <c r="O1470" i="15"/>
  <c r="N1470" i="15"/>
  <c r="R1470" i="15" s="1"/>
  <c r="L1470" i="15"/>
  <c r="K1470" i="15"/>
  <c r="B1470" i="15"/>
  <c r="O1469" i="15"/>
  <c r="N1469" i="15"/>
  <c r="R1469" i="15" s="1"/>
  <c r="L1469" i="15"/>
  <c r="K1469" i="15"/>
  <c r="B1469" i="15"/>
  <c r="O1468" i="15"/>
  <c r="N1468" i="15"/>
  <c r="R1468" i="15" s="1"/>
  <c r="L1468" i="15"/>
  <c r="K1468" i="15"/>
  <c r="B1468" i="15"/>
  <c r="O1467" i="15"/>
  <c r="N1467" i="15"/>
  <c r="R1467" i="15" s="1"/>
  <c r="L1467" i="15"/>
  <c r="K1467" i="15"/>
  <c r="B1467" i="15"/>
  <c r="O1466" i="15"/>
  <c r="N1466" i="15"/>
  <c r="R1466" i="15" s="1"/>
  <c r="L1466" i="15"/>
  <c r="K1466" i="15"/>
  <c r="B1466" i="15"/>
  <c r="O1465" i="15"/>
  <c r="N1465" i="15"/>
  <c r="R1465" i="15" s="1"/>
  <c r="L1465" i="15"/>
  <c r="K1465" i="15"/>
  <c r="B1465" i="15"/>
  <c r="O1464" i="15"/>
  <c r="N1464" i="15"/>
  <c r="R1464" i="15" s="1"/>
  <c r="L1464" i="15"/>
  <c r="K1464" i="15"/>
  <c r="B1464" i="15"/>
  <c r="O1463" i="15"/>
  <c r="N1463" i="15"/>
  <c r="L1463" i="15"/>
  <c r="K1463" i="15"/>
  <c r="B1463" i="15"/>
  <c r="O1462" i="15"/>
  <c r="N1462" i="15"/>
  <c r="R1462" i="15" s="1"/>
  <c r="L1462" i="15"/>
  <c r="K1462" i="15"/>
  <c r="B1462" i="15"/>
  <c r="O1461" i="15"/>
  <c r="N1461" i="15"/>
  <c r="R1461" i="15" s="1"/>
  <c r="L1461" i="15"/>
  <c r="K1461" i="15"/>
  <c r="B1461" i="15"/>
  <c r="O1460" i="15"/>
  <c r="N1460" i="15"/>
  <c r="R1460" i="15" s="1"/>
  <c r="L1460" i="15"/>
  <c r="K1460" i="15"/>
  <c r="B1460" i="15"/>
  <c r="O1459" i="15"/>
  <c r="N1459" i="15"/>
  <c r="R1459" i="15" s="1"/>
  <c r="L1459" i="15"/>
  <c r="K1459" i="15"/>
  <c r="B1459" i="15"/>
  <c r="O1458" i="15"/>
  <c r="N1458" i="15"/>
  <c r="R1458" i="15" s="1"/>
  <c r="L1458" i="15"/>
  <c r="K1458" i="15"/>
  <c r="B1458" i="15"/>
  <c r="O1457" i="15"/>
  <c r="N1457" i="15"/>
  <c r="R1457" i="15" s="1"/>
  <c r="L1457" i="15"/>
  <c r="K1457" i="15"/>
  <c r="B1457" i="15"/>
  <c r="O1456" i="15"/>
  <c r="N1456" i="15"/>
  <c r="R1456" i="15" s="1"/>
  <c r="L1456" i="15"/>
  <c r="K1456" i="15"/>
  <c r="B1456" i="15"/>
  <c r="O1455" i="15"/>
  <c r="N1455" i="15"/>
  <c r="R1455" i="15" s="1"/>
  <c r="L1455" i="15"/>
  <c r="K1455" i="15"/>
  <c r="B1455" i="15"/>
  <c r="O1454" i="15"/>
  <c r="N1454" i="15"/>
  <c r="R1454" i="15" s="1"/>
  <c r="L1454" i="15"/>
  <c r="K1454" i="15"/>
  <c r="B1454" i="15"/>
  <c r="O1453" i="15"/>
  <c r="N1453" i="15"/>
  <c r="R1453" i="15" s="1"/>
  <c r="L1453" i="15"/>
  <c r="K1453" i="15"/>
  <c r="B1453" i="15"/>
  <c r="O1452" i="15"/>
  <c r="N1452" i="15"/>
  <c r="R1452" i="15" s="1"/>
  <c r="L1452" i="15"/>
  <c r="K1452" i="15"/>
  <c r="B1452" i="15"/>
  <c r="O1451" i="15"/>
  <c r="N1451" i="15"/>
  <c r="R1451" i="15" s="1"/>
  <c r="L1451" i="15"/>
  <c r="K1451" i="15"/>
  <c r="B1451" i="15"/>
  <c r="O1450" i="15"/>
  <c r="N1450" i="15"/>
  <c r="R1450" i="15" s="1"/>
  <c r="L1450" i="15"/>
  <c r="K1450" i="15"/>
  <c r="B1450" i="15"/>
  <c r="O1449" i="15"/>
  <c r="N1449" i="15"/>
  <c r="R1449" i="15" s="1"/>
  <c r="L1449" i="15"/>
  <c r="K1449" i="15"/>
  <c r="B1449" i="15"/>
  <c r="O1448" i="15"/>
  <c r="N1448" i="15"/>
  <c r="R1448" i="15" s="1"/>
  <c r="L1448" i="15"/>
  <c r="K1448" i="15"/>
  <c r="B1448" i="15"/>
  <c r="O1447" i="15"/>
  <c r="N1447" i="15"/>
  <c r="R1447" i="15" s="1"/>
  <c r="L1447" i="15"/>
  <c r="K1447" i="15"/>
  <c r="B1447" i="15"/>
  <c r="O1446" i="15"/>
  <c r="N1446" i="15"/>
  <c r="R1446" i="15" s="1"/>
  <c r="L1446" i="15"/>
  <c r="K1446" i="15"/>
  <c r="B1446" i="15"/>
  <c r="O1445" i="15"/>
  <c r="N1445" i="15"/>
  <c r="R1445" i="15" s="1"/>
  <c r="L1445" i="15"/>
  <c r="K1445" i="15"/>
  <c r="B1445" i="15"/>
  <c r="O1444" i="15"/>
  <c r="N1444" i="15"/>
  <c r="R1444" i="15" s="1"/>
  <c r="L1444" i="15"/>
  <c r="K1444" i="15"/>
  <c r="B1444" i="15"/>
  <c r="O1443" i="15"/>
  <c r="N1443" i="15"/>
  <c r="R1443" i="15" s="1"/>
  <c r="L1443" i="15"/>
  <c r="K1443" i="15"/>
  <c r="B1443" i="15"/>
  <c r="O1442" i="15"/>
  <c r="N1442" i="15"/>
  <c r="R1442" i="15" s="1"/>
  <c r="L1442" i="15"/>
  <c r="K1442" i="15"/>
  <c r="B1442" i="15"/>
  <c r="O1441" i="15"/>
  <c r="N1441" i="15"/>
  <c r="R1441" i="15" s="1"/>
  <c r="L1441" i="15"/>
  <c r="K1441" i="15"/>
  <c r="B1441" i="15"/>
  <c r="O1440" i="15"/>
  <c r="N1440" i="15"/>
  <c r="R1440" i="15" s="1"/>
  <c r="L1440" i="15"/>
  <c r="K1440" i="15"/>
  <c r="B1440" i="15"/>
  <c r="O1439" i="15"/>
  <c r="N1439" i="15"/>
  <c r="R1439" i="15" s="1"/>
  <c r="L1439" i="15"/>
  <c r="K1439" i="15"/>
  <c r="B1439" i="15"/>
  <c r="O1438" i="15"/>
  <c r="N1438" i="15"/>
  <c r="L1438" i="15"/>
  <c r="K1438" i="15"/>
  <c r="B1438" i="15"/>
  <c r="O1437" i="15"/>
  <c r="N1437" i="15"/>
  <c r="R1437" i="15" s="1"/>
  <c r="L1437" i="15"/>
  <c r="K1437" i="15"/>
  <c r="B1437" i="15"/>
  <c r="O1436" i="15"/>
  <c r="N1436" i="15"/>
  <c r="R1436" i="15" s="1"/>
  <c r="L1436" i="15"/>
  <c r="K1436" i="15"/>
  <c r="B1436" i="15"/>
  <c r="O1435" i="15"/>
  <c r="N1435" i="15"/>
  <c r="R1435" i="15" s="1"/>
  <c r="L1435" i="15"/>
  <c r="K1435" i="15"/>
  <c r="B1435" i="15"/>
  <c r="O1434" i="15"/>
  <c r="N1434" i="15"/>
  <c r="R1434" i="15" s="1"/>
  <c r="L1434" i="15"/>
  <c r="K1434" i="15"/>
  <c r="B1434" i="15"/>
  <c r="O1433" i="15"/>
  <c r="N1433" i="15"/>
  <c r="R1433" i="15" s="1"/>
  <c r="L1433" i="15"/>
  <c r="K1433" i="15"/>
  <c r="B1433" i="15"/>
  <c r="O1432" i="15"/>
  <c r="N1432" i="15"/>
  <c r="R1432" i="15" s="1"/>
  <c r="L1432" i="15"/>
  <c r="K1432" i="15"/>
  <c r="B1432" i="15"/>
  <c r="O1431" i="15"/>
  <c r="N1431" i="15"/>
  <c r="R1431" i="15" s="1"/>
  <c r="L1431" i="15"/>
  <c r="K1431" i="15"/>
  <c r="B1431" i="15"/>
  <c r="O1430" i="15"/>
  <c r="N1430" i="15"/>
  <c r="R1430" i="15" s="1"/>
  <c r="L1430" i="15"/>
  <c r="K1430" i="15"/>
  <c r="B1430" i="15"/>
  <c r="O1429" i="15"/>
  <c r="N1429" i="15"/>
  <c r="R1429" i="15" s="1"/>
  <c r="L1429" i="15"/>
  <c r="K1429" i="15"/>
  <c r="B1429" i="15"/>
  <c r="O1428" i="15"/>
  <c r="N1428" i="15"/>
  <c r="R1428" i="15" s="1"/>
  <c r="L1428" i="15"/>
  <c r="K1428" i="15"/>
  <c r="B1428" i="15"/>
  <c r="O1427" i="15"/>
  <c r="N1427" i="15"/>
  <c r="R1427" i="15" s="1"/>
  <c r="L1427" i="15"/>
  <c r="K1427" i="15"/>
  <c r="B1427" i="15"/>
  <c r="O1426" i="15"/>
  <c r="N1426" i="15"/>
  <c r="R1426" i="15" s="1"/>
  <c r="L1426" i="15"/>
  <c r="K1426" i="15"/>
  <c r="B1426" i="15"/>
  <c r="O1425" i="15"/>
  <c r="N1425" i="15"/>
  <c r="R1425" i="15" s="1"/>
  <c r="L1425" i="15"/>
  <c r="K1425" i="15"/>
  <c r="B1425" i="15"/>
  <c r="O1424" i="15"/>
  <c r="N1424" i="15"/>
  <c r="R1424" i="15" s="1"/>
  <c r="L1424" i="15"/>
  <c r="K1424" i="15"/>
  <c r="B1424" i="15"/>
  <c r="O1423" i="15"/>
  <c r="N1423" i="15"/>
  <c r="R1423" i="15" s="1"/>
  <c r="L1423" i="15"/>
  <c r="K1423" i="15"/>
  <c r="B1423" i="15"/>
  <c r="O1422" i="15"/>
  <c r="N1422" i="15"/>
  <c r="R1422" i="15" s="1"/>
  <c r="L1422" i="15"/>
  <c r="K1422" i="15"/>
  <c r="B1422" i="15"/>
  <c r="O1421" i="15"/>
  <c r="N1421" i="15"/>
  <c r="R1421" i="15" s="1"/>
  <c r="L1421" i="15"/>
  <c r="K1421" i="15"/>
  <c r="B1421" i="15"/>
  <c r="O1420" i="15"/>
  <c r="N1420" i="15"/>
  <c r="R1420" i="15" s="1"/>
  <c r="L1420" i="15"/>
  <c r="K1420" i="15"/>
  <c r="B1420" i="15"/>
  <c r="O1419" i="15"/>
  <c r="N1419" i="15"/>
  <c r="R1419" i="15" s="1"/>
  <c r="L1419" i="15"/>
  <c r="K1419" i="15"/>
  <c r="B1419" i="15"/>
  <c r="O1418" i="15"/>
  <c r="N1418" i="15"/>
  <c r="R1418" i="15" s="1"/>
  <c r="L1418" i="15"/>
  <c r="K1418" i="15"/>
  <c r="B1418" i="15"/>
  <c r="O1417" i="15"/>
  <c r="N1417" i="15"/>
  <c r="R1417" i="15" s="1"/>
  <c r="L1417" i="15"/>
  <c r="K1417" i="15"/>
  <c r="B1417" i="15"/>
  <c r="O1416" i="15"/>
  <c r="N1416" i="15"/>
  <c r="R1416" i="15" s="1"/>
  <c r="L1416" i="15"/>
  <c r="K1416" i="15"/>
  <c r="B1416" i="15"/>
  <c r="O1415" i="15"/>
  <c r="N1415" i="15"/>
  <c r="L1415" i="15"/>
  <c r="K1415" i="15"/>
  <c r="B1415" i="15"/>
  <c r="O1414" i="15"/>
  <c r="N1414" i="15"/>
  <c r="R1414" i="15" s="1"/>
  <c r="L1414" i="15"/>
  <c r="K1414" i="15"/>
  <c r="B1414" i="15"/>
  <c r="O1413" i="15"/>
  <c r="N1413" i="15"/>
  <c r="R1413" i="15" s="1"/>
  <c r="L1413" i="15"/>
  <c r="K1413" i="15"/>
  <c r="B1413" i="15"/>
  <c r="O1412" i="15"/>
  <c r="N1412" i="15"/>
  <c r="R1412" i="15" s="1"/>
  <c r="L1412" i="15"/>
  <c r="K1412" i="15"/>
  <c r="B1412" i="15"/>
  <c r="O1411" i="15"/>
  <c r="N1411" i="15"/>
  <c r="R1411" i="15" s="1"/>
  <c r="L1411" i="15"/>
  <c r="K1411" i="15"/>
  <c r="B1411" i="15"/>
  <c r="O1410" i="15"/>
  <c r="N1410" i="15"/>
  <c r="R1410" i="15" s="1"/>
  <c r="L1410" i="15"/>
  <c r="K1410" i="15"/>
  <c r="B1410" i="15"/>
  <c r="O1409" i="15"/>
  <c r="N1409" i="15"/>
  <c r="R1409" i="15" s="1"/>
  <c r="L1409" i="15"/>
  <c r="K1409" i="15"/>
  <c r="B1409" i="15"/>
  <c r="O1408" i="15"/>
  <c r="N1408" i="15"/>
  <c r="R1408" i="15" s="1"/>
  <c r="L1408" i="15"/>
  <c r="K1408" i="15"/>
  <c r="B1408" i="15"/>
  <c r="O1407" i="15"/>
  <c r="N1407" i="15"/>
  <c r="R1407" i="15" s="1"/>
  <c r="L1407" i="15"/>
  <c r="K1407" i="15"/>
  <c r="B1407" i="15"/>
  <c r="O1406" i="15"/>
  <c r="N1406" i="15"/>
  <c r="L1406" i="15"/>
  <c r="K1406" i="15"/>
  <c r="B1406" i="15"/>
  <c r="O1405" i="15"/>
  <c r="N1405" i="15"/>
  <c r="R1405" i="15" s="1"/>
  <c r="L1405" i="15"/>
  <c r="K1405" i="15"/>
  <c r="B1405" i="15"/>
  <c r="O1404" i="15"/>
  <c r="N1404" i="15"/>
  <c r="R1404" i="15" s="1"/>
  <c r="L1404" i="15"/>
  <c r="K1404" i="15"/>
  <c r="B1404" i="15"/>
  <c r="O1403" i="15"/>
  <c r="N1403" i="15"/>
  <c r="R1403" i="15" s="1"/>
  <c r="L1403" i="15"/>
  <c r="K1403" i="15"/>
  <c r="B1403" i="15"/>
  <c r="O1402" i="15"/>
  <c r="N1402" i="15"/>
  <c r="R1402" i="15" s="1"/>
  <c r="L1402" i="15"/>
  <c r="K1402" i="15"/>
  <c r="B1402" i="15"/>
  <c r="O1401" i="15"/>
  <c r="N1401" i="15"/>
  <c r="R1401" i="15" s="1"/>
  <c r="L1401" i="15"/>
  <c r="K1401" i="15"/>
  <c r="B1401" i="15"/>
  <c r="O1400" i="15"/>
  <c r="N1400" i="15"/>
  <c r="R1400" i="15" s="1"/>
  <c r="L1400" i="15"/>
  <c r="K1400" i="15"/>
  <c r="B1400" i="15"/>
  <c r="O1399" i="15"/>
  <c r="N1399" i="15"/>
  <c r="L1399" i="15"/>
  <c r="K1399" i="15"/>
  <c r="B1399" i="15"/>
  <c r="O1398" i="15"/>
  <c r="N1398" i="15"/>
  <c r="R1398" i="15" s="1"/>
  <c r="L1398" i="15"/>
  <c r="K1398" i="15"/>
  <c r="B1398" i="15"/>
  <c r="O1397" i="15"/>
  <c r="N1397" i="15"/>
  <c r="R1397" i="15" s="1"/>
  <c r="L1397" i="15"/>
  <c r="K1397" i="15"/>
  <c r="B1397" i="15"/>
  <c r="O1396" i="15"/>
  <c r="N1396" i="15"/>
  <c r="R1396" i="15" s="1"/>
  <c r="L1396" i="15"/>
  <c r="K1396" i="15"/>
  <c r="B1396" i="15"/>
  <c r="O1395" i="15"/>
  <c r="N1395" i="15"/>
  <c r="R1395" i="15" s="1"/>
  <c r="L1395" i="15"/>
  <c r="K1395" i="15"/>
  <c r="B1395" i="15"/>
  <c r="O1394" i="15"/>
  <c r="N1394" i="15"/>
  <c r="R1394" i="15" s="1"/>
  <c r="L1394" i="15"/>
  <c r="K1394" i="15"/>
  <c r="B1394" i="15"/>
  <c r="O1393" i="15"/>
  <c r="N1393" i="15"/>
  <c r="R1393" i="15" s="1"/>
  <c r="L1393" i="15"/>
  <c r="K1393" i="15"/>
  <c r="B1393" i="15"/>
  <c r="O1392" i="15"/>
  <c r="N1392" i="15"/>
  <c r="R1392" i="15" s="1"/>
  <c r="L1392" i="15"/>
  <c r="K1392" i="15"/>
  <c r="B1392" i="15"/>
  <c r="O1391" i="15"/>
  <c r="N1391" i="15"/>
  <c r="R1391" i="15" s="1"/>
  <c r="L1391" i="15"/>
  <c r="K1391" i="15"/>
  <c r="B1391" i="15"/>
  <c r="O1390" i="15"/>
  <c r="N1390" i="15"/>
  <c r="R1390" i="15" s="1"/>
  <c r="L1390" i="15"/>
  <c r="K1390" i="15"/>
  <c r="B1390" i="15"/>
  <c r="O1389" i="15"/>
  <c r="N1389" i="15"/>
  <c r="R1389" i="15" s="1"/>
  <c r="L1389" i="15"/>
  <c r="K1389" i="15"/>
  <c r="B1389" i="15"/>
  <c r="O1388" i="15"/>
  <c r="N1388" i="15"/>
  <c r="R1388" i="15" s="1"/>
  <c r="L1388" i="15"/>
  <c r="K1388" i="15"/>
  <c r="B1388" i="15"/>
  <c r="O1387" i="15"/>
  <c r="N1387" i="15"/>
  <c r="R1387" i="15" s="1"/>
  <c r="L1387" i="15"/>
  <c r="K1387" i="15"/>
  <c r="B1387" i="15"/>
  <c r="O1386" i="15"/>
  <c r="N1386" i="15"/>
  <c r="R1386" i="15" s="1"/>
  <c r="L1386" i="15"/>
  <c r="K1386" i="15"/>
  <c r="B1386" i="15"/>
  <c r="O1385" i="15"/>
  <c r="N1385" i="15"/>
  <c r="R1385" i="15" s="1"/>
  <c r="L1385" i="15"/>
  <c r="K1385" i="15"/>
  <c r="B1385" i="15"/>
  <c r="O1384" i="15"/>
  <c r="N1384" i="15"/>
  <c r="R1384" i="15" s="1"/>
  <c r="L1384" i="15"/>
  <c r="K1384" i="15"/>
  <c r="B1384" i="15"/>
  <c r="O1383" i="15"/>
  <c r="N1383" i="15"/>
  <c r="R1383" i="15" s="1"/>
  <c r="L1383" i="15"/>
  <c r="K1383" i="15"/>
  <c r="B1383" i="15"/>
  <c r="O1382" i="15"/>
  <c r="N1382" i="15"/>
  <c r="L1382" i="15"/>
  <c r="K1382" i="15"/>
  <c r="B1382" i="15"/>
  <c r="O1381" i="15"/>
  <c r="N1381" i="15"/>
  <c r="R1381" i="15" s="1"/>
  <c r="L1381" i="15"/>
  <c r="K1381" i="15"/>
  <c r="B1381" i="15"/>
  <c r="O1380" i="15"/>
  <c r="N1380" i="15"/>
  <c r="R1380" i="15" s="1"/>
  <c r="L1380" i="15"/>
  <c r="K1380" i="15"/>
  <c r="B1380" i="15"/>
  <c r="O1379" i="15"/>
  <c r="N1379" i="15"/>
  <c r="L1379" i="15"/>
  <c r="K1379" i="15"/>
  <c r="B1379" i="15"/>
  <c r="O1378" i="15"/>
  <c r="N1378" i="15"/>
  <c r="R1378" i="15" s="1"/>
  <c r="L1378" i="15"/>
  <c r="K1378" i="15"/>
  <c r="B1378" i="15"/>
  <c r="O1377" i="15"/>
  <c r="N1377" i="15"/>
  <c r="R1377" i="15" s="1"/>
  <c r="L1377" i="15"/>
  <c r="K1377" i="15"/>
  <c r="B1377" i="15"/>
  <c r="O1376" i="15"/>
  <c r="N1376" i="15"/>
  <c r="R1376" i="15" s="1"/>
  <c r="L1376" i="15"/>
  <c r="K1376" i="15"/>
  <c r="B1376" i="15"/>
  <c r="O1375" i="15"/>
  <c r="N1375" i="15"/>
  <c r="R1375" i="15" s="1"/>
  <c r="L1375" i="15"/>
  <c r="K1375" i="15"/>
  <c r="B1375" i="15"/>
  <c r="O1374" i="15"/>
  <c r="N1374" i="15"/>
  <c r="R1374" i="15" s="1"/>
  <c r="L1374" i="15"/>
  <c r="K1374" i="15"/>
  <c r="B1374" i="15"/>
  <c r="O1373" i="15"/>
  <c r="N1373" i="15"/>
  <c r="R1373" i="15" s="1"/>
  <c r="L1373" i="15"/>
  <c r="K1373" i="15"/>
  <c r="B1373" i="15"/>
  <c r="O1372" i="15"/>
  <c r="N1372" i="15"/>
  <c r="R1372" i="15" s="1"/>
  <c r="L1372" i="15"/>
  <c r="K1372" i="15"/>
  <c r="B1372" i="15"/>
  <c r="O1371" i="15"/>
  <c r="N1371" i="15"/>
  <c r="R1371" i="15" s="1"/>
  <c r="L1371" i="15"/>
  <c r="K1371" i="15"/>
  <c r="B1371" i="15"/>
  <c r="O1370" i="15"/>
  <c r="N1370" i="15"/>
  <c r="R1370" i="15" s="1"/>
  <c r="L1370" i="15"/>
  <c r="K1370" i="15"/>
  <c r="B1370" i="15"/>
  <c r="O1369" i="15"/>
  <c r="N1369" i="15"/>
  <c r="R1369" i="15" s="1"/>
  <c r="L1369" i="15"/>
  <c r="K1369" i="15"/>
  <c r="B1369" i="15"/>
  <c r="O1368" i="15"/>
  <c r="N1368" i="15"/>
  <c r="R1368" i="15" s="1"/>
  <c r="L1368" i="15"/>
  <c r="K1368" i="15"/>
  <c r="B1368" i="15"/>
  <c r="O1367" i="15"/>
  <c r="N1367" i="15"/>
  <c r="R1367" i="15" s="1"/>
  <c r="L1367" i="15"/>
  <c r="K1367" i="15"/>
  <c r="B1367" i="15"/>
  <c r="O1366" i="15"/>
  <c r="N1366" i="15"/>
  <c r="R1366" i="15" s="1"/>
  <c r="L1366" i="15"/>
  <c r="K1366" i="15"/>
  <c r="B1366" i="15"/>
  <c r="O1365" i="15"/>
  <c r="N1365" i="15"/>
  <c r="R1365" i="15" s="1"/>
  <c r="L1365" i="15"/>
  <c r="K1365" i="15"/>
  <c r="B1365" i="15"/>
  <c r="O1364" i="15"/>
  <c r="N1364" i="15"/>
  <c r="R1364" i="15" s="1"/>
  <c r="L1364" i="15"/>
  <c r="K1364" i="15"/>
  <c r="B1364" i="15"/>
  <c r="O1363" i="15"/>
  <c r="N1363" i="15"/>
  <c r="R1363" i="15" s="1"/>
  <c r="L1363" i="15"/>
  <c r="K1363" i="15"/>
  <c r="B1363" i="15"/>
  <c r="O1362" i="15"/>
  <c r="N1362" i="15"/>
  <c r="R1362" i="15" s="1"/>
  <c r="L1362" i="15"/>
  <c r="K1362" i="15"/>
  <c r="B1362" i="15"/>
  <c r="O1361" i="15"/>
  <c r="N1361" i="15"/>
  <c r="R1361" i="15" s="1"/>
  <c r="L1361" i="15"/>
  <c r="K1361" i="15"/>
  <c r="B1361" i="15"/>
  <c r="O1360" i="15"/>
  <c r="N1360" i="15"/>
  <c r="R1360" i="15" s="1"/>
  <c r="L1360" i="15"/>
  <c r="K1360" i="15"/>
  <c r="B1360" i="15"/>
  <c r="O1359" i="15"/>
  <c r="N1359" i="15"/>
  <c r="R1359" i="15" s="1"/>
  <c r="L1359" i="15"/>
  <c r="K1359" i="15"/>
  <c r="B1359" i="15"/>
  <c r="O1358" i="15"/>
  <c r="N1358" i="15"/>
  <c r="R1358" i="15" s="1"/>
  <c r="L1358" i="15"/>
  <c r="K1358" i="15"/>
  <c r="B1358" i="15"/>
  <c r="O1357" i="15"/>
  <c r="N1357" i="15"/>
  <c r="R1357" i="15" s="1"/>
  <c r="L1357" i="15"/>
  <c r="K1357" i="15"/>
  <c r="B1357" i="15"/>
  <c r="O1356" i="15"/>
  <c r="N1356" i="15"/>
  <c r="R1356" i="15" s="1"/>
  <c r="L1356" i="15"/>
  <c r="K1356" i="15"/>
  <c r="B1356" i="15"/>
  <c r="O1355" i="15"/>
  <c r="N1355" i="15"/>
  <c r="R1355" i="15" s="1"/>
  <c r="L1355" i="15"/>
  <c r="K1355" i="15"/>
  <c r="B1355" i="15"/>
  <c r="O1354" i="15"/>
  <c r="N1354" i="15"/>
  <c r="R1354" i="15" s="1"/>
  <c r="L1354" i="15"/>
  <c r="K1354" i="15"/>
  <c r="B1354" i="15"/>
  <c r="O1353" i="15"/>
  <c r="N1353" i="15"/>
  <c r="R1353" i="15" s="1"/>
  <c r="L1353" i="15"/>
  <c r="K1353" i="15"/>
  <c r="B1353" i="15"/>
  <c r="O1352" i="15"/>
  <c r="N1352" i="15"/>
  <c r="R1352" i="15" s="1"/>
  <c r="L1352" i="15"/>
  <c r="K1352" i="15"/>
  <c r="B1352" i="15"/>
  <c r="O1351" i="15"/>
  <c r="N1351" i="15"/>
  <c r="R1351" i="15" s="1"/>
  <c r="L1351" i="15"/>
  <c r="K1351" i="15"/>
  <c r="B1351" i="15"/>
  <c r="O1350" i="15"/>
  <c r="N1350" i="15"/>
  <c r="R1350" i="15" s="1"/>
  <c r="L1350" i="15"/>
  <c r="K1350" i="15"/>
  <c r="B1350" i="15"/>
  <c r="O1349" i="15"/>
  <c r="N1349" i="15"/>
  <c r="R1349" i="15" s="1"/>
  <c r="L1349" i="15"/>
  <c r="K1349" i="15"/>
  <c r="B1349" i="15"/>
  <c r="O1348" i="15"/>
  <c r="N1348" i="15"/>
  <c r="R1348" i="15" s="1"/>
  <c r="L1348" i="15"/>
  <c r="K1348" i="15"/>
  <c r="B1348" i="15"/>
  <c r="O1347" i="15"/>
  <c r="N1347" i="15"/>
  <c r="R1347" i="15" s="1"/>
  <c r="L1347" i="15"/>
  <c r="K1347" i="15"/>
  <c r="B1347" i="15"/>
  <c r="O1346" i="15"/>
  <c r="N1346" i="15"/>
  <c r="R1346" i="15" s="1"/>
  <c r="L1346" i="15"/>
  <c r="K1346" i="15"/>
  <c r="B1346" i="15"/>
  <c r="O1345" i="15"/>
  <c r="N1345" i="15"/>
  <c r="R1345" i="15" s="1"/>
  <c r="L1345" i="15"/>
  <c r="K1345" i="15"/>
  <c r="B1345" i="15"/>
  <c r="O1344" i="15"/>
  <c r="N1344" i="15"/>
  <c r="R1344" i="15" s="1"/>
  <c r="L1344" i="15"/>
  <c r="K1344" i="15"/>
  <c r="B1344" i="15"/>
  <c r="O1343" i="15"/>
  <c r="N1343" i="15"/>
  <c r="R1343" i="15" s="1"/>
  <c r="L1343" i="15"/>
  <c r="K1343" i="15"/>
  <c r="B1343" i="15"/>
  <c r="O1342" i="15"/>
  <c r="N1342" i="15"/>
  <c r="R1342" i="15" s="1"/>
  <c r="L1342" i="15"/>
  <c r="K1342" i="15"/>
  <c r="B1342" i="15"/>
  <c r="O1341" i="15"/>
  <c r="N1341" i="15"/>
  <c r="R1341" i="15" s="1"/>
  <c r="L1341" i="15"/>
  <c r="K1341" i="15"/>
  <c r="B1341" i="15"/>
  <c r="O1340" i="15"/>
  <c r="N1340" i="15"/>
  <c r="R1340" i="15" s="1"/>
  <c r="L1340" i="15"/>
  <c r="K1340" i="15"/>
  <c r="B1340" i="15"/>
  <c r="O1339" i="15"/>
  <c r="N1339" i="15"/>
  <c r="R1339" i="15" s="1"/>
  <c r="L1339" i="15"/>
  <c r="K1339" i="15"/>
  <c r="B1339" i="15"/>
  <c r="O1338" i="15"/>
  <c r="N1338" i="15"/>
  <c r="R1338" i="15" s="1"/>
  <c r="L1338" i="15"/>
  <c r="K1338" i="15"/>
  <c r="B1338" i="15"/>
  <c r="O1337" i="15"/>
  <c r="N1337" i="15"/>
  <c r="R1337" i="15" s="1"/>
  <c r="L1337" i="15"/>
  <c r="K1337" i="15"/>
  <c r="B1337" i="15"/>
  <c r="O1336" i="15"/>
  <c r="N1336" i="15"/>
  <c r="R1336" i="15" s="1"/>
  <c r="L1336" i="15"/>
  <c r="K1336" i="15"/>
  <c r="B1336" i="15"/>
  <c r="O1335" i="15"/>
  <c r="N1335" i="15"/>
  <c r="R1335" i="15" s="1"/>
  <c r="L1335" i="15"/>
  <c r="K1335" i="15"/>
  <c r="B1335" i="15"/>
  <c r="O1334" i="15"/>
  <c r="N1334" i="15"/>
  <c r="R1334" i="15" s="1"/>
  <c r="L1334" i="15"/>
  <c r="K1334" i="15"/>
  <c r="B1334" i="15"/>
  <c r="O1333" i="15"/>
  <c r="N1333" i="15"/>
  <c r="R1333" i="15" s="1"/>
  <c r="L1333" i="15"/>
  <c r="K1333" i="15"/>
  <c r="B1333" i="15"/>
  <c r="O1332" i="15"/>
  <c r="N1332" i="15"/>
  <c r="R1332" i="15" s="1"/>
  <c r="L1332" i="15"/>
  <c r="K1332" i="15"/>
  <c r="B1332" i="15"/>
  <c r="O1331" i="15"/>
  <c r="N1331" i="15"/>
  <c r="R1331" i="15" s="1"/>
  <c r="L1331" i="15"/>
  <c r="K1331" i="15"/>
  <c r="B1331" i="15"/>
  <c r="O1330" i="15"/>
  <c r="N1330" i="15"/>
  <c r="R1330" i="15" s="1"/>
  <c r="L1330" i="15"/>
  <c r="K1330" i="15"/>
  <c r="B1330" i="15"/>
  <c r="O1329" i="15"/>
  <c r="N1329" i="15"/>
  <c r="R1329" i="15" s="1"/>
  <c r="L1329" i="15"/>
  <c r="K1329" i="15"/>
  <c r="B1329" i="15"/>
  <c r="O1328" i="15"/>
  <c r="N1328" i="15"/>
  <c r="R1328" i="15" s="1"/>
  <c r="L1328" i="15"/>
  <c r="K1328" i="15"/>
  <c r="B1328" i="15"/>
  <c r="O1327" i="15"/>
  <c r="N1327" i="15"/>
  <c r="R1327" i="15" s="1"/>
  <c r="L1327" i="15"/>
  <c r="K1327" i="15"/>
  <c r="B1327" i="15"/>
  <c r="O1326" i="15"/>
  <c r="N1326" i="15"/>
  <c r="R1326" i="15" s="1"/>
  <c r="L1326" i="15"/>
  <c r="K1326" i="15"/>
  <c r="B1326" i="15"/>
  <c r="O1325" i="15"/>
  <c r="N1325" i="15"/>
  <c r="R1325" i="15" s="1"/>
  <c r="L1325" i="15"/>
  <c r="K1325" i="15"/>
  <c r="B1325" i="15"/>
  <c r="O1324" i="15"/>
  <c r="N1324" i="15"/>
  <c r="R1324" i="15" s="1"/>
  <c r="L1324" i="15"/>
  <c r="K1324" i="15"/>
  <c r="B1324" i="15"/>
  <c r="O1323" i="15"/>
  <c r="N1323" i="15"/>
  <c r="R1323" i="15" s="1"/>
  <c r="L1323" i="15"/>
  <c r="K1323" i="15"/>
  <c r="B1323" i="15"/>
  <c r="O1322" i="15"/>
  <c r="N1322" i="15"/>
  <c r="R1322" i="15" s="1"/>
  <c r="L1322" i="15"/>
  <c r="K1322" i="15"/>
  <c r="B1322" i="15"/>
  <c r="O1321" i="15"/>
  <c r="N1321" i="15"/>
  <c r="R1321" i="15" s="1"/>
  <c r="L1321" i="15"/>
  <c r="K1321" i="15"/>
  <c r="B1321" i="15"/>
  <c r="O1320" i="15"/>
  <c r="N1320" i="15"/>
  <c r="R1320" i="15" s="1"/>
  <c r="L1320" i="15"/>
  <c r="K1320" i="15"/>
  <c r="B1320" i="15"/>
  <c r="O1319" i="15"/>
  <c r="N1319" i="15"/>
  <c r="R1319" i="15" s="1"/>
  <c r="L1319" i="15"/>
  <c r="K1319" i="15"/>
  <c r="B1319" i="15"/>
  <c r="O1318" i="15"/>
  <c r="N1318" i="15"/>
  <c r="R1318" i="15" s="1"/>
  <c r="L1318" i="15"/>
  <c r="K1318" i="15"/>
  <c r="B1318" i="15"/>
  <c r="O1317" i="15"/>
  <c r="N1317" i="15"/>
  <c r="R1317" i="15" s="1"/>
  <c r="L1317" i="15"/>
  <c r="K1317" i="15"/>
  <c r="B1317" i="15"/>
  <c r="O1316" i="15"/>
  <c r="N1316" i="15"/>
  <c r="L1316" i="15"/>
  <c r="K1316" i="15"/>
  <c r="B1316" i="15"/>
  <c r="O1315" i="15"/>
  <c r="N1315" i="15"/>
  <c r="R1315" i="15" s="1"/>
  <c r="L1315" i="15"/>
  <c r="K1315" i="15"/>
  <c r="B1315" i="15"/>
  <c r="O1314" i="15"/>
  <c r="N1314" i="15"/>
  <c r="R1314" i="15" s="1"/>
  <c r="L1314" i="15"/>
  <c r="K1314" i="15"/>
  <c r="B1314" i="15"/>
  <c r="O1313" i="15"/>
  <c r="N1313" i="15"/>
  <c r="R1313" i="15" s="1"/>
  <c r="L1313" i="15"/>
  <c r="K1313" i="15"/>
  <c r="B1313" i="15"/>
  <c r="O1312" i="15"/>
  <c r="N1312" i="15"/>
  <c r="R1312" i="15" s="1"/>
  <c r="L1312" i="15"/>
  <c r="K1312" i="15"/>
  <c r="B1312" i="15"/>
  <c r="O1311" i="15"/>
  <c r="N1311" i="15"/>
  <c r="R1311" i="15" s="1"/>
  <c r="L1311" i="15"/>
  <c r="K1311" i="15"/>
  <c r="B1311" i="15"/>
  <c r="O1310" i="15"/>
  <c r="N1310" i="15"/>
  <c r="R1310" i="15" s="1"/>
  <c r="L1310" i="15"/>
  <c r="K1310" i="15"/>
  <c r="B1310" i="15"/>
  <c r="O1309" i="15"/>
  <c r="N1309" i="15"/>
  <c r="R1309" i="15" s="1"/>
  <c r="L1309" i="15"/>
  <c r="K1309" i="15"/>
  <c r="B1309" i="15"/>
  <c r="O1308" i="15"/>
  <c r="N1308" i="15"/>
  <c r="R1308" i="15" s="1"/>
  <c r="L1308" i="15"/>
  <c r="K1308" i="15"/>
  <c r="B1308" i="15"/>
  <c r="O1307" i="15"/>
  <c r="N1307" i="15"/>
  <c r="R1307" i="15" s="1"/>
  <c r="L1307" i="15"/>
  <c r="K1307" i="15"/>
  <c r="B1307" i="15"/>
  <c r="O1306" i="15"/>
  <c r="N1306" i="15"/>
  <c r="R1306" i="15" s="1"/>
  <c r="L1306" i="15"/>
  <c r="K1306" i="15"/>
  <c r="B1306" i="15"/>
  <c r="O1305" i="15"/>
  <c r="N1305" i="15"/>
  <c r="R1305" i="15" s="1"/>
  <c r="L1305" i="15"/>
  <c r="K1305" i="15"/>
  <c r="B1305" i="15"/>
  <c r="O1304" i="15"/>
  <c r="N1304" i="15"/>
  <c r="R1304" i="15" s="1"/>
  <c r="L1304" i="15"/>
  <c r="K1304" i="15"/>
  <c r="B1304" i="15"/>
  <c r="O1303" i="15"/>
  <c r="N1303" i="15"/>
  <c r="R1303" i="15" s="1"/>
  <c r="L1303" i="15"/>
  <c r="K1303" i="15"/>
  <c r="B1303" i="15"/>
  <c r="O1302" i="15"/>
  <c r="N1302" i="15"/>
  <c r="R1302" i="15" s="1"/>
  <c r="L1302" i="15"/>
  <c r="K1302" i="15"/>
  <c r="B1302" i="15"/>
  <c r="O1301" i="15"/>
  <c r="N1301" i="15"/>
  <c r="R1301" i="15" s="1"/>
  <c r="L1301" i="15"/>
  <c r="K1301" i="15"/>
  <c r="B1301" i="15"/>
  <c r="O1300" i="15"/>
  <c r="N1300" i="15"/>
  <c r="R1300" i="15" s="1"/>
  <c r="L1300" i="15"/>
  <c r="K1300" i="15"/>
  <c r="B1300" i="15"/>
  <c r="O1299" i="15"/>
  <c r="N1299" i="15"/>
  <c r="R1299" i="15" s="1"/>
  <c r="L1299" i="15"/>
  <c r="K1299" i="15"/>
  <c r="B1299" i="15"/>
  <c r="O1298" i="15"/>
  <c r="N1298" i="15"/>
  <c r="R1298" i="15" s="1"/>
  <c r="L1298" i="15"/>
  <c r="K1298" i="15"/>
  <c r="B1298" i="15"/>
  <c r="O1297" i="15"/>
  <c r="N1297" i="15"/>
  <c r="R1297" i="15" s="1"/>
  <c r="L1297" i="15"/>
  <c r="K1297" i="15"/>
  <c r="B1297" i="15"/>
  <c r="O1296" i="15"/>
  <c r="N1296" i="15"/>
  <c r="R1296" i="15" s="1"/>
  <c r="L1296" i="15"/>
  <c r="K1296" i="15"/>
  <c r="B1296" i="15"/>
  <c r="O1295" i="15"/>
  <c r="N1295" i="15"/>
  <c r="R1295" i="15" s="1"/>
  <c r="L1295" i="15"/>
  <c r="K1295" i="15"/>
  <c r="B1295" i="15"/>
  <c r="O1294" i="15"/>
  <c r="N1294" i="15"/>
  <c r="R1294" i="15" s="1"/>
  <c r="L1294" i="15"/>
  <c r="K1294" i="15"/>
  <c r="B1294" i="15"/>
  <c r="O1293" i="15"/>
  <c r="N1293" i="15"/>
  <c r="R1293" i="15" s="1"/>
  <c r="L1293" i="15"/>
  <c r="K1293" i="15"/>
  <c r="B1293" i="15"/>
  <c r="O1292" i="15"/>
  <c r="N1292" i="15"/>
  <c r="R1292" i="15" s="1"/>
  <c r="L1292" i="15"/>
  <c r="K1292" i="15"/>
  <c r="B1292" i="15"/>
  <c r="O1291" i="15"/>
  <c r="N1291" i="15"/>
  <c r="R1291" i="15" s="1"/>
  <c r="L1291" i="15"/>
  <c r="K1291" i="15"/>
  <c r="B1291" i="15"/>
  <c r="O1290" i="15"/>
  <c r="N1290" i="15"/>
  <c r="R1290" i="15" s="1"/>
  <c r="L1290" i="15"/>
  <c r="K1290" i="15"/>
  <c r="B1290" i="15"/>
  <c r="O1289" i="15"/>
  <c r="N1289" i="15"/>
  <c r="R1289" i="15" s="1"/>
  <c r="L1289" i="15"/>
  <c r="K1289" i="15"/>
  <c r="B1289" i="15"/>
  <c r="O1288" i="15"/>
  <c r="N1288" i="15"/>
  <c r="R1288" i="15" s="1"/>
  <c r="L1288" i="15"/>
  <c r="K1288" i="15"/>
  <c r="B1288" i="15"/>
  <c r="O1287" i="15"/>
  <c r="N1287" i="15"/>
  <c r="R1287" i="15" s="1"/>
  <c r="L1287" i="15"/>
  <c r="K1287" i="15"/>
  <c r="B1287" i="15"/>
  <c r="O1286" i="15"/>
  <c r="N1286" i="15"/>
  <c r="R1286" i="15" s="1"/>
  <c r="L1286" i="15"/>
  <c r="K1286" i="15"/>
  <c r="B1286" i="15"/>
  <c r="O1285" i="15"/>
  <c r="N1285" i="15"/>
  <c r="R1285" i="15" s="1"/>
  <c r="L1285" i="15"/>
  <c r="K1285" i="15"/>
  <c r="B1285" i="15"/>
  <c r="O1284" i="15"/>
  <c r="N1284" i="15"/>
  <c r="R1284" i="15" s="1"/>
  <c r="L1284" i="15"/>
  <c r="K1284" i="15"/>
  <c r="B1284" i="15"/>
  <c r="O1283" i="15"/>
  <c r="N1283" i="15"/>
  <c r="R1283" i="15" s="1"/>
  <c r="L1283" i="15"/>
  <c r="K1283" i="15"/>
  <c r="B1283" i="15"/>
  <c r="O1282" i="15"/>
  <c r="N1282" i="15"/>
  <c r="R1282" i="15" s="1"/>
  <c r="L1282" i="15"/>
  <c r="K1282" i="15"/>
  <c r="B1282" i="15"/>
  <c r="O1281" i="15"/>
  <c r="N1281" i="15"/>
  <c r="R1281" i="15" s="1"/>
  <c r="L1281" i="15"/>
  <c r="K1281" i="15"/>
  <c r="B1281" i="15"/>
  <c r="O1280" i="15"/>
  <c r="N1280" i="15"/>
  <c r="R1280" i="15" s="1"/>
  <c r="L1280" i="15"/>
  <c r="K1280" i="15"/>
  <c r="B1280" i="15"/>
  <c r="O1279" i="15"/>
  <c r="N1279" i="15"/>
  <c r="R1279" i="15" s="1"/>
  <c r="L1279" i="15"/>
  <c r="K1279" i="15"/>
  <c r="B1279" i="15"/>
  <c r="O1278" i="15"/>
  <c r="N1278" i="15"/>
  <c r="R1278" i="15" s="1"/>
  <c r="L1278" i="15"/>
  <c r="K1278" i="15"/>
  <c r="B1278" i="15"/>
  <c r="O1277" i="15"/>
  <c r="N1277" i="15"/>
  <c r="R1277" i="15" s="1"/>
  <c r="L1277" i="15"/>
  <c r="K1277" i="15"/>
  <c r="B1277" i="15"/>
  <c r="O1276" i="15"/>
  <c r="N1276" i="15"/>
  <c r="R1276" i="15" s="1"/>
  <c r="L1276" i="15"/>
  <c r="K1276" i="15"/>
  <c r="B1276" i="15"/>
  <c r="O1275" i="15"/>
  <c r="N1275" i="15"/>
  <c r="R1275" i="15" s="1"/>
  <c r="L1275" i="15"/>
  <c r="K1275" i="15"/>
  <c r="B1275" i="15"/>
  <c r="O1274" i="15"/>
  <c r="N1274" i="15"/>
  <c r="R1274" i="15" s="1"/>
  <c r="L1274" i="15"/>
  <c r="K1274" i="15"/>
  <c r="B1274" i="15"/>
  <c r="O1273" i="15"/>
  <c r="N1273" i="15"/>
  <c r="R1273" i="15" s="1"/>
  <c r="L1273" i="15"/>
  <c r="K1273" i="15"/>
  <c r="B1273" i="15"/>
  <c r="O1272" i="15"/>
  <c r="N1272" i="15"/>
  <c r="R1272" i="15" s="1"/>
  <c r="L1272" i="15"/>
  <c r="K1272" i="15"/>
  <c r="B1272" i="15"/>
  <c r="O1271" i="15"/>
  <c r="N1271" i="15"/>
  <c r="R1271" i="15" s="1"/>
  <c r="L1271" i="15"/>
  <c r="K1271" i="15"/>
  <c r="B1271" i="15"/>
  <c r="O1270" i="15"/>
  <c r="N1270" i="15"/>
  <c r="R1270" i="15" s="1"/>
  <c r="L1270" i="15"/>
  <c r="K1270" i="15"/>
  <c r="B1270" i="15"/>
  <c r="O1269" i="15"/>
  <c r="N1269" i="15"/>
  <c r="R1269" i="15" s="1"/>
  <c r="L1269" i="15"/>
  <c r="K1269" i="15"/>
  <c r="B1269" i="15"/>
  <c r="O1268" i="15"/>
  <c r="N1268" i="15"/>
  <c r="R1268" i="15" s="1"/>
  <c r="L1268" i="15"/>
  <c r="K1268" i="15"/>
  <c r="B1268" i="15"/>
  <c r="O1267" i="15"/>
  <c r="N1267" i="15"/>
  <c r="R1267" i="15" s="1"/>
  <c r="L1267" i="15"/>
  <c r="K1267" i="15"/>
  <c r="B1267" i="15"/>
  <c r="O1266" i="15"/>
  <c r="N1266" i="15"/>
  <c r="R1266" i="15" s="1"/>
  <c r="L1266" i="15"/>
  <c r="K1266" i="15"/>
  <c r="B1266" i="15"/>
  <c r="O1265" i="15"/>
  <c r="N1265" i="15"/>
  <c r="R1265" i="15" s="1"/>
  <c r="L1265" i="15"/>
  <c r="K1265" i="15"/>
  <c r="B1265" i="15"/>
  <c r="O1264" i="15"/>
  <c r="N1264" i="15"/>
  <c r="R1264" i="15" s="1"/>
  <c r="L1264" i="15"/>
  <c r="K1264" i="15"/>
  <c r="B1264" i="15"/>
  <c r="O1263" i="15"/>
  <c r="N1263" i="15"/>
  <c r="R1263" i="15" s="1"/>
  <c r="L1263" i="15"/>
  <c r="K1263" i="15"/>
  <c r="B1263" i="15"/>
  <c r="O1262" i="15"/>
  <c r="N1262" i="15"/>
  <c r="R1262" i="15" s="1"/>
  <c r="L1262" i="15"/>
  <c r="K1262" i="15"/>
  <c r="B1262" i="15"/>
  <c r="O1261" i="15"/>
  <c r="N1261" i="15"/>
  <c r="R1261" i="15" s="1"/>
  <c r="L1261" i="15"/>
  <c r="K1261" i="15"/>
  <c r="B1261" i="15"/>
  <c r="O1260" i="15"/>
  <c r="N1260" i="15"/>
  <c r="R1260" i="15" s="1"/>
  <c r="L1260" i="15"/>
  <c r="K1260" i="15"/>
  <c r="B1260" i="15"/>
  <c r="O1259" i="15"/>
  <c r="N1259" i="15"/>
  <c r="R1259" i="15" s="1"/>
  <c r="L1259" i="15"/>
  <c r="K1259" i="15"/>
  <c r="B1259" i="15"/>
  <c r="O1258" i="15"/>
  <c r="N1258" i="15"/>
  <c r="R1258" i="15" s="1"/>
  <c r="L1258" i="15"/>
  <c r="K1258" i="15"/>
  <c r="B1258" i="15"/>
  <c r="O1257" i="15"/>
  <c r="N1257" i="15"/>
  <c r="R1257" i="15" s="1"/>
  <c r="L1257" i="15"/>
  <c r="K1257" i="15"/>
  <c r="B1257" i="15"/>
  <c r="O1256" i="15"/>
  <c r="N1256" i="15"/>
  <c r="R1256" i="15" s="1"/>
  <c r="L1256" i="15"/>
  <c r="K1256" i="15"/>
  <c r="B1256" i="15"/>
  <c r="O1255" i="15"/>
  <c r="N1255" i="15"/>
  <c r="R1255" i="15" s="1"/>
  <c r="L1255" i="15"/>
  <c r="K1255" i="15"/>
  <c r="B1255" i="15"/>
  <c r="O1254" i="15"/>
  <c r="N1254" i="15"/>
  <c r="R1254" i="15" s="1"/>
  <c r="L1254" i="15"/>
  <c r="K1254" i="15"/>
  <c r="B1254" i="15"/>
  <c r="O1253" i="15"/>
  <c r="N1253" i="15"/>
  <c r="R1253" i="15" s="1"/>
  <c r="L1253" i="15"/>
  <c r="K1253" i="15"/>
  <c r="B1253" i="15"/>
  <c r="O1252" i="15"/>
  <c r="N1252" i="15"/>
  <c r="R1252" i="15" s="1"/>
  <c r="L1252" i="15"/>
  <c r="K1252" i="15"/>
  <c r="B1252" i="15"/>
  <c r="O1251" i="15"/>
  <c r="N1251" i="15"/>
  <c r="R1251" i="15" s="1"/>
  <c r="L1251" i="15"/>
  <c r="K1251" i="15"/>
  <c r="B1251" i="15"/>
  <c r="O1250" i="15"/>
  <c r="N1250" i="15"/>
  <c r="R1250" i="15" s="1"/>
  <c r="L1250" i="15"/>
  <c r="K1250" i="15"/>
  <c r="B1250" i="15"/>
  <c r="O1249" i="15"/>
  <c r="N1249" i="15"/>
  <c r="R1249" i="15" s="1"/>
  <c r="L1249" i="15"/>
  <c r="K1249" i="15"/>
  <c r="B1249" i="15"/>
  <c r="O1248" i="15"/>
  <c r="N1248" i="15"/>
  <c r="R1248" i="15" s="1"/>
  <c r="L1248" i="15"/>
  <c r="K1248" i="15"/>
  <c r="B1248" i="15"/>
  <c r="O1247" i="15"/>
  <c r="N1247" i="15"/>
  <c r="R1247" i="15" s="1"/>
  <c r="L1247" i="15"/>
  <c r="K1247" i="15"/>
  <c r="B1247" i="15"/>
  <c r="O1246" i="15"/>
  <c r="N1246" i="15"/>
  <c r="L1246" i="15"/>
  <c r="K1246" i="15"/>
  <c r="B1246" i="15"/>
  <c r="O1245" i="15"/>
  <c r="N1245" i="15"/>
  <c r="R1245" i="15" s="1"/>
  <c r="L1245" i="15"/>
  <c r="K1245" i="15"/>
  <c r="B1245" i="15"/>
  <c r="O1244" i="15"/>
  <c r="N1244" i="15"/>
  <c r="R1244" i="15" s="1"/>
  <c r="L1244" i="15"/>
  <c r="K1244" i="15"/>
  <c r="B1244" i="15"/>
  <c r="O1243" i="15"/>
  <c r="N1243" i="15"/>
  <c r="R1243" i="15" s="1"/>
  <c r="L1243" i="15"/>
  <c r="K1243" i="15"/>
  <c r="B1243" i="15"/>
  <c r="O1242" i="15"/>
  <c r="N1242" i="15"/>
  <c r="R1242" i="15" s="1"/>
  <c r="L1242" i="15"/>
  <c r="K1242" i="15"/>
  <c r="B1242" i="15"/>
  <c r="O1241" i="15"/>
  <c r="N1241" i="15"/>
  <c r="R1241" i="15" s="1"/>
  <c r="L1241" i="15"/>
  <c r="K1241" i="15"/>
  <c r="B1241" i="15"/>
  <c r="O1240" i="15"/>
  <c r="N1240" i="15"/>
  <c r="R1240" i="15" s="1"/>
  <c r="L1240" i="15"/>
  <c r="K1240" i="15"/>
  <c r="B1240" i="15"/>
  <c r="O1239" i="15"/>
  <c r="N1239" i="15"/>
  <c r="R1239" i="15" s="1"/>
  <c r="L1239" i="15"/>
  <c r="K1239" i="15"/>
  <c r="B1239" i="15"/>
  <c r="O1238" i="15"/>
  <c r="N1238" i="15"/>
  <c r="R1238" i="15" s="1"/>
  <c r="L1238" i="15"/>
  <c r="K1238" i="15"/>
  <c r="B1238" i="15"/>
  <c r="O1237" i="15"/>
  <c r="N1237" i="15"/>
  <c r="R1237" i="15" s="1"/>
  <c r="L1237" i="15"/>
  <c r="K1237" i="15"/>
  <c r="B1237" i="15"/>
  <c r="O1236" i="15"/>
  <c r="N1236" i="15"/>
  <c r="R1236" i="15" s="1"/>
  <c r="L1236" i="15"/>
  <c r="K1236" i="15"/>
  <c r="B1236" i="15"/>
  <c r="O1235" i="15"/>
  <c r="N1235" i="15"/>
  <c r="R1235" i="15" s="1"/>
  <c r="L1235" i="15"/>
  <c r="K1235" i="15"/>
  <c r="B1235" i="15"/>
  <c r="O1234" i="15"/>
  <c r="N1234" i="15"/>
  <c r="R1234" i="15" s="1"/>
  <c r="L1234" i="15"/>
  <c r="K1234" i="15"/>
  <c r="B1234" i="15"/>
  <c r="O1233" i="15"/>
  <c r="N1233" i="15"/>
  <c r="R1233" i="15" s="1"/>
  <c r="L1233" i="15"/>
  <c r="K1233" i="15"/>
  <c r="B1233" i="15"/>
  <c r="O1232" i="15"/>
  <c r="N1232" i="15"/>
  <c r="R1232" i="15" s="1"/>
  <c r="L1232" i="15"/>
  <c r="K1232" i="15"/>
  <c r="B1232" i="15"/>
  <c r="O1231" i="15"/>
  <c r="N1231" i="15"/>
  <c r="R1231" i="15" s="1"/>
  <c r="L1231" i="15"/>
  <c r="K1231" i="15"/>
  <c r="B1231" i="15"/>
  <c r="O1230" i="15"/>
  <c r="N1230" i="15"/>
  <c r="R1230" i="15" s="1"/>
  <c r="L1230" i="15"/>
  <c r="K1230" i="15"/>
  <c r="B1230" i="15"/>
  <c r="O1229" i="15"/>
  <c r="N1229" i="15"/>
  <c r="R1229" i="15" s="1"/>
  <c r="L1229" i="15"/>
  <c r="K1229" i="15"/>
  <c r="B1229" i="15"/>
  <c r="O1228" i="15"/>
  <c r="N1228" i="15"/>
  <c r="R1228" i="15" s="1"/>
  <c r="L1228" i="15"/>
  <c r="K1228" i="15"/>
  <c r="B1228" i="15"/>
  <c r="O1227" i="15"/>
  <c r="N1227" i="15"/>
  <c r="R1227" i="15" s="1"/>
  <c r="L1227" i="15"/>
  <c r="K1227" i="15"/>
  <c r="B1227" i="15"/>
  <c r="O1226" i="15"/>
  <c r="N1226" i="15"/>
  <c r="R1226" i="15" s="1"/>
  <c r="L1226" i="15"/>
  <c r="K1226" i="15"/>
  <c r="B1226" i="15"/>
  <c r="O1225" i="15"/>
  <c r="N1225" i="15"/>
  <c r="R1225" i="15" s="1"/>
  <c r="L1225" i="15"/>
  <c r="K1225" i="15"/>
  <c r="B1225" i="15"/>
  <c r="O1224" i="15"/>
  <c r="N1224" i="15"/>
  <c r="R1224" i="15" s="1"/>
  <c r="L1224" i="15"/>
  <c r="K1224" i="15"/>
  <c r="B1224" i="15"/>
  <c r="O1223" i="15"/>
  <c r="N1223" i="15"/>
  <c r="R1223" i="15" s="1"/>
  <c r="L1223" i="15"/>
  <c r="K1223" i="15"/>
  <c r="B1223" i="15"/>
  <c r="O1222" i="15"/>
  <c r="N1222" i="15"/>
  <c r="R1222" i="15" s="1"/>
  <c r="L1222" i="15"/>
  <c r="K1222" i="15"/>
  <c r="B1222" i="15"/>
  <c r="O1221" i="15"/>
  <c r="N1221" i="15"/>
  <c r="R1221" i="15" s="1"/>
  <c r="L1221" i="15"/>
  <c r="K1221" i="15"/>
  <c r="B1221" i="15"/>
  <c r="O1220" i="15"/>
  <c r="N1220" i="15"/>
  <c r="R1220" i="15" s="1"/>
  <c r="L1220" i="15"/>
  <c r="K1220" i="15"/>
  <c r="B1220" i="15"/>
  <c r="O1219" i="15"/>
  <c r="N1219" i="15"/>
  <c r="R1219" i="15" s="1"/>
  <c r="L1219" i="15"/>
  <c r="K1219" i="15"/>
  <c r="B1219" i="15"/>
  <c r="O1218" i="15"/>
  <c r="N1218" i="15"/>
  <c r="R1218" i="15" s="1"/>
  <c r="L1218" i="15"/>
  <c r="K1218" i="15"/>
  <c r="B1218" i="15"/>
  <c r="O1217" i="15"/>
  <c r="N1217" i="15"/>
  <c r="R1217" i="15" s="1"/>
  <c r="L1217" i="15"/>
  <c r="K1217" i="15"/>
  <c r="B1217" i="15"/>
  <c r="O1216" i="15"/>
  <c r="N1216" i="15"/>
  <c r="R1216" i="15" s="1"/>
  <c r="L1216" i="15"/>
  <c r="K1216" i="15"/>
  <c r="B1216" i="15"/>
  <c r="O1215" i="15"/>
  <c r="N1215" i="15"/>
  <c r="L1215" i="15"/>
  <c r="K1215" i="15"/>
  <c r="B1215" i="15"/>
  <c r="O1214" i="15"/>
  <c r="N1214" i="15"/>
  <c r="L1214" i="15"/>
  <c r="K1214" i="15"/>
  <c r="B1214" i="15"/>
  <c r="O1213" i="15"/>
  <c r="N1213" i="15"/>
  <c r="R1213" i="15" s="1"/>
  <c r="L1213" i="15"/>
  <c r="K1213" i="15"/>
  <c r="B1213" i="15"/>
  <c r="O1212" i="15"/>
  <c r="N1212" i="15"/>
  <c r="R1212" i="15" s="1"/>
  <c r="L1212" i="15"/>
  <c r="K1212" i="15"/>
  <c r="B1212" i="15"/>
  <c r="O1211" i="15"/>
  <c r="N1211" i="15"/>
  <c r="R1211" i="15" s="1"/>
  <c r="L1211" i="15"/>
  <c r="K1211" i="15"/>
  <c r="B1211" i="15"/>
  <c r="O1210" i="15"/>
  <c r="N1210" i="15"/>
  <c r="R1210" i="15" s="1"/>
  <c r="L1210" i="15"/>
  <c r="K1210" i="15"/>
  <c r="B1210" i="15"/>
  <c r="O1209" i="15"/>
  <c r="N1209" i="15"/>
  <c r="R1209" i="15" s="1"/>
  <c r="L1209" i="15"/>
  <c r="K1209" i="15"/>
  <c r="B1209" i="15"/>
  <c r="O1208" i="15"/>
  <c r="N1208" i="15"/>
  <c r="R1208" i="15" s="1"/>
  <c r="L1208" i="15"/>
  <c r="K1208" i="15"/>
  <c r="B1208" i="15"/>
  <c r="O1207" i="15"/>
  <c r="N1207" i="15"/>
  <c r="R1207" i="15" s="1"/>
  <c r="L1207" i="15"/>
  <c r="K1207" i="15"/>
  <c r="B1207" i="15"/>
  <c r="O1206" i="15"/>
  <c r="N1206" i="15"/>
  <c r="R1206" i="15" s="1"/>
  <c r="L1206" i="15"/>
  <c r="K1206" i="15"/>
  <c r="B1206" i="15"/>
  <c r="O1205" i="15"/>
  <c r="N1205" i="15"/>
  <c r="R1205" i="15" s="1"/>
  <c r="L1205" i="15"/>
  <c r="K1205" i="15"/>
  <c r="B1205" i="15"/>
  <c r="O1204" i="15"/>
  <c r="N1204" i="15"/>
  <c r="R1204" i="15" s="1"/>
  <c r="L1204" i="15"/>
  <c r="K1204" i="15"/>
  <c r="B1204" i="15"/>
  <c r="O1203" i="15"/>
  <c r="N1203" i="15"/>
  <c r="R1203" i="15" s="1"/>
  <c r="L1203" i="15"/>
  <c r="K1203" i="15"/>
  <c r="B1203" i="15"/>
  <c r="O1202" i="15"/>
  <c r="N1202" i="15"/>
  <c r="R1202" i="15" s="1"/>
  <c r="L1202" i="15"/>
  <c r="K1202" i="15"/>
  <c r="B1202" i="15"/>
  <c r="O1201" i="15"/>
  <c r="N1201" i="15"/>
  <c r="R1201" i="15" s="1"/>
  <c r="L1201" i="15"/>
  <c r="K1201" i="15"/>
  <c r="B1201" i="15"/>
  <c r="O1200" i="15"/>
  <c r="N1200" i="15"/>
  <c r="R1200" i="15" s="1"/>
  <c r="L1200" i="15"/>
  <c r="K1200" i="15"/>
  <c r="B1200" i="15"/>
  <c r="O1199" i="15"/>
  <c r="N1199" i="15"/>
  <c r="R1199" i="15" s="1"/>
  <c r="L1199" i="15"/>
  <c r="K1199" i="15"/>
  <c r="B1199" i="15"/>
  <c r="O1198" i="15"/>
  <c r="N1198" i="15"/>
  <c r="R1198" i="15" s="1"/>
  <c r="L1198" i="15"/>
  <c r="K1198" i="15"/>
  <c r="B1198" i="15"/>
  <c r="O1197" i="15"/>
  <c r="N1197" i="15"/>
  <c r="R1197" i="15" s="1"/>
  <c r="L1197" i="15"/>
  <c r="K1197" i="15"/>
  <c r="B1197" i="15"/>
  <c r="O1196" i="15"/>
  <c r="N1196" i="15"/>
  <c r="R1196" i="15" s="1"/>
  <c r="L1196" i="15"/>
  <c r="K1196" i="15"/>
  <c r="B1196" i="15"/>
  <c r="O1195" i="15"/>
  <c r="N1195" i="15"/>
  <c r="R1195" i="15" s="1"/>
  <c r="L1195" i="15"/>
  <c r="K1195" i="15"/>
  <c r="B1195" i="15"/>
  <c r="O1194" i="15"/>
  <c r="N1194" i="15"/>
  <c r="R1194" i="15" s="1"/>
  <c r="L1194" i="15"/>
  <c r="K1194" i="15"/>
  <c r="B1194" i="15"/>
  <c r="O1193" i="15"/>
  <c r="N1193" i="15"/>
  <c r="R1193" i="15" s="1"/>
  <c r="L1193" i="15"/>
  <c r="K1193" i="15"/>
  <c r="B1193" i="15"/>
  <c r="O1192" i="15"/>
  <c r="N1192" i="15"/>
  <c r="R1192" i="15" s="1"/>
  <c r="L1192" i="15"/>
  <c r="K1192" i="15"/>
  <c r="B1192" i="15"/>
  <c r="O1191" i="15"/>
  <c r="N1191" i="15"/>
  <c r="R1191" i="15" s="1"/>
  <c r="L1191" i="15"/>
  <c r="K1191" i="15"/>
  <c r="B1191" i="15"/>
  <c r="O1190" i="15"/>
  <c r="N1190" i="15"/>
  <c r="R1190" i="15" s="1"/>
  <c r="L1190" i="15"/>
  <c r="K1190" i="15"/>
  <c r="B1190" i="15"/>
  <c r="O1189" i="15"/>
  <c r="N1189" i="15"/>
  <c r="R1189" i="15" s="1"/>
  <c r="L1189" i="15"/>
  <c r="K1189" i="15"/>
  <c r="B1189" i="15"/>
  <c r="O1188" i="15"/>
  <c r="N1188" i="15"/>
  <c r="R1188" i="15" s="1"/>
  <c r="L1188" i="15"/>
  <c r="K1188" i="15"/>
  <c r="B1188" i="15"/>
  <c r="O1187" i="15"/>
  <c r="N1187" i="15"/>
  <c r="R1187" i="15" s="1"/>
  <c r="L1187" i="15"/>
  <c r="K1187" i="15"/>
  <c r="B1187" i="15"/>
  <c r="O1186" i="15"/>
  <c r="N1186" i="15"/>
  <c r="R1186" i="15" s="1"/>
  <c r="L1186" i="15"/>
  <c r="K1186" i="15"/>
  <c r="B1186" i="15"/>
  <c r="O1185" i="15"/>
  <c r="N1185" i="15"/>
  <c r="R1185" i="15" s="1"/>
  <c r="L1185" i="15"/>
  <c r="K1185" i="15"/>
  <c r="B1185" i="15"/>
  <c r="O1184" i="15"/>
  <c r="N1184" i="15"/>
  <c r="R1184" i="15" s="1"/>
  <c r="L1184" i="15"/>
  <c r="K1184" i="15"/>
  <c r="B1184" i="15"/>
  <c r="O1183" i="15"/>
  <c r="N1183" i="15"/>
  <c r="R1183" i="15" s="1"/>
  <c r="L1183" i="15"/>
  <c r="K1183" i="15"/>
  <c r="B1183" i="15"/>
  <c r="O1182" i="15"/>
  <c r="N1182" i="15"/>
  <c r="R1182" i="15" s="1"/>
  <c r="L1182" i="15"/>
  <c r="K1182" i="15"/>
  <c r="B1182" i="15"/>
  <c r="O1181" i="15"/>
  <c r="N1181" i="15"/>
  <c r="R1181" i="15" s="1"/>
  <c r="L1181" i="15"/>
  <c r="K1181" i="15"/>
  <c r="B1181" i="15"/>
  <c r="O1180" i="15"/>
  <c r="N1180" i="15"/>
  <c r="R1180" i="15" s="1"/>
  <c r="L1180" i="15"/>
  <c r="K1180" i="15"/>
  <c r="B1180" i="15"/>
  <c r="O1179" i="15"/>
  <c r="N1179" i="15"/>
  <c r="R1179" i="15" s="1"/>
  <c r="L1179" i="15"/>
  <c r="K1179" i="15"/>
  <c r="B1179" i="15"/>
  <c r="O1178" i="15"/>
  <c r="N1178" i="15"/>
  <c r="R1178" i="15" s="1"/>
  <c r="L1178" i="15"/>
  <c r="K1178" i="15"/>
  <c r="B1178" i="15"/>
  <c r="O1177" i="15"/>
  <c r="N1177" i="15"/>
  <c r="R1177" i="15" s="1"/>
  <c r="L1177" i="15"/>
  <c r="K1177" i="15"/>
  <c r="B1177" i="15"/>
  <c r="O1176" i="15"/>
  <c r="N1176" i="15"/>
  <c r="R1176" i="15" s="1"/>
  <c r="L1176" i="15"/>
  <c r="K1176" i="15"/>
  <c r="B1176" i="15"/>
  <c r="O1175" i="15"/>
  <c r="N1175" i="15"/>
  <c r="L1175" i="15"/>
  <c r="K1175" i="15"/>
  <c r="B1175" i="15"/>
  <c r="O1174" i="15"/>
  <c r="N1174" i="15"/>
  <c r="R1174" i="15" s="1"/>
  <c r="L1174" i="15"/>
  <c r="K1174" i="15"/>
  <c r="B1174" i="15"/>
  <c r="O1173" i="15"/>
  <c r="N1173" i="15"/>
  <c r="R1173" i="15" s="1"/>
  <c r="L1173" i="15"/>
  <c r="K1173" i="15"/>
  <c r="B1173" i="15"/>
  <c r="O1172" i="15"/>
  <c r="N1172" i="15"/>
  <c r="R1172" i="15" s="1"/>
  <c r="L1172" i="15"/>
  <c r="K1172" i="15"/>
  <c r="B1172" i="15"/>
  <c r="O1171" i="15"/>
  <c r="N1171" i="15"/>
  <c r="R1171" i="15" s="1"/>
  <c r="L1171" i="15"/>
  <c r="K1171" i="15"/>
  <c r="B1171" i="15"/>
  <c r="O1170" i="15"/>
  <c r="N1170" i="15"/>
  <c r="R1170" i="15" s="1"/>
  <c r="L1170" i="15"/>
  <c r="K1170" i="15"/>
  <c r="B1170" i="15"/>
  <c r="O1169" i="15"/>
  <c r="N1169" i="15"/>
  <c r="R1169" i="15" s="1"/>
  <c r="L1169" i="15"/>
  <c r="K1169" i="15"/>
  <c r="B1169" i="15"/>
  <c r="O1168" i="15"/>
  <c r="N1168" i="15"/>
  <c r="R1168" i="15" s="1"/>
  <c r="L1168" i="15"/>
  <c r="K1168" i="15"/>
  <c r="B1168" i="15"/>
  <c r="O1167" i="15"/>
  <c r="N1167" i="15"/>
  <c r="R1167" i="15" s="1"/>
  <c r="L1167" i="15"/>
  <c r="K1167" i="15"/>
  <c r="B1167" i="15"/>
  <c r="O1166" i="15"/>
  <c r="N1166" i="15"/>
  <c r="R1166" i="15" s="1"/>
  <c r="L1166" i="15"/>
  <c r="K1166" i="15"/>
  <c r="B1166" i="15"/>
  <c r="O1165" i="15"/>
  <c r="N1165" i="15"/>
  <c r="R1165" i="15" s="1"/>
  <c r="L1165" i="15"/>
  <c r="K1165" i="15"/>
  <c r="B1165" i="15"/>
  <c r="O1164" i="15"/>
  <c r="N1164" i="15"/>
  <c r="L1164" i="15"/>
  <c r="K1164" i="15"/>
  <c r="B1164" i="15"/>
  <c r="O1163" i="15"/>
  <c r="N1163" i="15"/>
  <c r="R1163" i="15" s="1"/>
  <c r="L1163" i="15"/>
  <c r="K1163" i="15"/>
  <c r="B1163" i="15"/>
  <c r="O1162" i="15"/>
  <c r="N1162" i="15"/>
  <c r="L1162" i="15"/>
  <c r="K1162" i="15"/>
  <c r="B1162" i="15"/>
  <c r="O1161" i="15"/>
  <c r="N1161" i="15"/>
  <c r="R1161" i="15" s="1"/>
  <c r="L1161" i="15"/>
  <c r="K1161" i="15"/>
  <c r="B1161" i="15"/>
  <c r="O1160" i="15"/>
  <c r="N1160" i="15"/>
  <c r="R1160" i="15" s="1"/>
  <c r="L1160" i="15"/>
  <c r="K1160" i="15"/>
  <c r="B1160" i="15"/>
  <c r="O1159" i="15"/>
  <c r="N1159" i="15"/>
  <c r="R1159" i="15" s="1"/>
  <c r="L1159" i="15"/>
  <c r="K1159" i="15"/>
  <c r="B1159" i="15"/>
  <c r="O1158" i="15"/>
  <c r="N1158" i="15"/>
  <c r="R1158" i="15" s="1"/>
  <c r="L1158" i="15"/>
  <c r="K1158" i="15"/>
  <c r="B1158" i="15"/>
  <c r="O1157" i="15"/>
  <c r="N1157" i="15"/>
  <c r="R1157" i="15" s="1"/>
  <c r="L1157" i="15"/>
  <c r="K1157" i="15"/>
  <c r="B1157" i="15"/>
  <c r="O1156" i="15"/>
  <c r="N1156" i="15"/>
  <c r="R1156" i="15" s="1"/>
  <c r="L1156" i="15"/>
  <c r="K1156" i="15"/>
  <c r="B1156" i="15"/>
  <c r="O1155" i="15"/>
  <c r="N1155" i="15"/>
  <c r="R1155" i="15" s="1"/>
  <c r="L1155" i="15"/>
  <c r="K1155" i="15"/>
  <c r="B1155" i="15"/>
  <c r="O1154" i="15"/>
  <c r="N1154" i="15"/>
  <c r="R1154" i="15" s="1"/>
  <c r="L1154" i="15"/>
  <c r="K1154" i="15"/>
  <c r="B1154" i="15"/>
  <c r="O1153" i="15"/>
  <c r="N1153" i="15"/>
  <c r="R1153" i="15" s="1"/>
  <c r="L1153" i="15"/>
  <c r="K1153" i="15"/>
  <c r="B1153" i="15"/>
  <c r="O1152" i="15"/>
  <c r="N1152" i="15"/>
  <c r="R1152" i="15" s="1"/>
  <c r="L1152" i="15"/>
  <c r="K1152" i="15"/>
  <c r="B1152" i="15"/>
  <c r="O1151" i="15"/>
  <c r="N1151" i="15"/>
  <c r="R1151" i="15" s="1"/>
  <c r="L1151" i="15"/>
  <c r="K1151" i="15"/>
  <c r="B1151" i="15"/>
  <c r="O1150" i="15"/>
  <c r="N1150" i="15"/>
  <c r="R1150" i="15" s="1"/>
  <c r="L1150" i="15"/>
  <c r="K1150" i="15"/>
  <c r="B1150" i="15"/>
  <c r="O1149" i="15"/>
  <c r="N1149" i="15"/>
  <c r="R1149" i="15" s="1"/>
  <c r="L1149" i="15"/>
  <c r="K1149" i="15"/>
  <c r="B1149" i="15"/>
  <c r="O1148" i="15"/>
  <c r="N1148" i="15"/>
  <c r="R1148" i="15" s="1"/>
  <c r="L1148" i="15"/>
  <c r="K1148" i="15"/>
  <c r="B1148" i="15"/>
  <c r="O1147" i="15"/>
  <c r="N1147" i="15"/>
  <c r="R1147" i="15" s="1"/>
  <c r="L1147" i="15"/>
  <c r="K1147" i="15"/>
  <c r="B1147" i="15"/>
  <c r="O1146" i="15"/>
  <c r="N1146" i="15"/>
  <c r="R1146" i="15" s="1"/>
  <c r="L1146" i="15"/>
  <c r="K1146" i="15"/>
  <c r="B1146" i="15"/>
  <c r="O1145" i="15"/>
  <c r="N1145" i="15"/>
  <c r="R1145" i="15" s="1"/>
  <c r="L1145" i="15"/>
  <c r="K1145" i="15"/>
  <c r="B1145" i="15"/>
  <c r="O1144" i="15"/>
  <c r="N1144" i="15"/>
  <c r="R1144" i="15" s="1"/>
  <c r="L1144" i="15"/>
  <c r="K1144" i="15"/>
  <c r="B1144" i="15"/>
  <c r="O1143" i="15"/>
  <c r="N1143" i="15"/>
  <c r="R1143" i="15" s="1"/>
  <c r="L1143" i="15"/>
  <c r="K1143" i="15"/>
  <c r="B1143" i="15"/>
  <c r="O1142" i="15"/>
  <c r="N1142" i="15"/>
  <c r="R1142" i="15" s="1"/>
  <c r="L1142" i="15"/>
  <c r="K1142" i="15"/>
  <c r="B1142" i="15"/>
  <c r="O1141" i="15"/>
  <c r="N1141" i="15"/>
  <c r="R1141" i="15" s="1"/>
  <c r="L1141" i="15"/>
  <c r="K1141" i="15"/>
  <c r="B1141" i="15"/>
  <c r="O1140" i="15"/>
  <c r="N1140" i="15"/>
  <c r="R1140" i="15" s="1"/>
  <c r="L1140" i="15"/>
  <c r="K1140" i="15"/>
  <c r="B1140" i="15"/>
  <c r="O1139" i="15"/>
  <c r="N1139" i="15"/>
  <c r="R1139" i="15" s="1"/>
  <c r="L1139" i="15"/>
  <c r="K1139" i="15"/>
  <c r="B1139" i="15"/>
  <c r="O1138" i="15"/>
  <c r="N1138" i="15"/>
  <c r="R1138" i="15" s="1"/>
  <c r="L1138" i="15"/>
  <c r="K1138" i="15"/>
  <c r="B1138" i="15"/>
  <c r="O1137" i="15"/>
  <c r="N1137" i="15"/>
  <c r="R1137" i="15" s="1"/>
  <c r="L1137" i="15"/>
  <c r="K1137" i="15"/>
  <c r="B1137" i="15"/>
  <c r="O1136" i="15"/>
  <c r="N1136" i="15"/>
  <c r="R1136" i="15" s="1"/>
  <c r="L1136" i="15"/>
  <c r="K1136" i="15"/>
  <c r="B1136" i="15"/>
  <c r="O1135" i="15"/>
  <c r="N1135" i="15"/>
  <c r="R1135" i="15" s="1"/>
  <c r="L1135" i="15"/>
  <c r="K1135" i="15"/>
  <c r="B1135" i="15"/>
  <c r="O1134" i="15"/>
  <c r="N1134" i="15"/>
  <c r="R1134" i="15" s="1"/>
  <c r="L1134" i="15"/>
  <c r="K1134" i="15"/>
  <c r="B1134" i="15"/>
  <c r="O1133" i="15"/>
  <c r="N1133" i="15"/>
  <c r="R1133" i="15" s="1"/>
  <c r="L1133" i="15"/>
  <c r="K1133" i="15"/>
  <c r="B1133" i="15"/>
  <c r="O1132" i="15"/>
  <c r="N1132" i="15"/>
  <c r="R1132" i="15" s="1"/>
  <c r="L1132" i="15"/>
  <c r="K1132" i="15"/>
  <c r="B1132" i="15"/>
  <c r="O1131" i="15"/>
  <c r="N1131" i="15"/>
  <c r="R1131" i="15" s="1"/>
  <c r="L1131" i="15"/>
  <c r="K1131" i="15"/>
  <c r="B1131" i="15"/>
  <c r="O1130" i="15"/>
  <c r="N1130" i="15"/>
  <c r="R1130" i="15" s="1"/>
  <c r="L1130" i="15"/>
  <c r="K1130" i="15"/>
  <c r="B1130" i="15"/>
  <c r="O1129" i="15"/>
  <c r="N1129" i="15"/>
  <c r="R1129" i="15" s="1"/>
  <c r="L1129" i="15"/>
  <c r="K1129" i="15"/>
  <c r="B1129" i="15"/>
  <c r="O1128" i="15"/>
  <c r="N1128" i="15"/>
  <c r="R1128" i="15" s="1"/>
  <c r="L1128" i="15"/>
  <c r="K1128" i="15"/>
  <c r="B1128" i="15"/>
  <c r="O1127" i="15"/>
  <c r="N1127" i="15"/>
  <c r="L1127" i="15"/>
  <c r="K1127" i="15"/>
  <c r="B1127" i="15"/>
  <c r="O1126" i="15"/>
  <c r="N1126" i="15"/>
  <c r="R1126" i="15" s="1"/>
  <c r="L1126" i="15"/>
  <c r="K1126" i="15"/>
  <c r="B1126" i="15"/>
  <c r="O1125" i="15"/>
  <c r="N1125" i="15"/>
  <c r="L1125" i="15"/>
  <c r="K1125" i="15"/>
  <c r="B1125" i="15"/>
  <c r="O1124" i="15"/>
  <c r="N1124" i="15"/>
  <c r="R1124" i="15" s="1"/>
  <c r="L1124" i="15"/>
  <c r="K1124" i="15"/>
  <c r="B1124" i="15"/>
  <c r="O1123" i="15"/>
  <c r="N1123" i="15"/>
  <c r="R1123" i="15" s="1"/>
  <c r="L1123" i="15"/>
  <c r="K1123" i="15"/>
  <c r="B1123" i="15"/>
  <c r="O1122" i="15"/>
  <c r="N1122" i="15"/>
  <c r="R1122" i="15" s="1"/>
  <c r="L1122" i="15"/>
  <c r="K1122" i="15"/>
  <c r="B1122" i="15"/>
  <c r="O1121" i="15"/>
  <c r="N1121" i="15"/>
  <c r="R1121" i="15" s="1"/>
  <c r="L1121" i="15"/>
  <c r="K1121" i="15"/>
  <c r="B1121" i="15"/>
  <c r="O1120" i="15"/>
  <c r="N1120" i="15"/>
  <c r="R1120" i="15" s="1"/>
  <c r="L1120" i="15"/>
  <c r="K1120" i="15"/>
  <c r="B1120" i="15"/>
  <c r="O1119" i="15"/>
  <c r="N1119" i="15"/>
  <c r="R1119" i="15" s="1"/>
  <c r="L1119" i="15"/>
  <c r="K1119" i="15"/>
  <c r="B1119" i="15"/>
  <c r="O1118" i="15"/>
  <c r="N1118" i="15"/>
  <c r="R1118" i="15" s="1"/>
  <c r="L1118" i="15"/>
  <c r="K1118" i="15"/>
  <c r="B1118" i="15"/>
  <c r="O1117" i="15"/>
  <c r="N1117" i="15"/>
  <c r="R1117" i="15" s="1"/>
  <c r="L1117" i="15"/>
  <c r="K1117" i="15"/>
  <c r="B1117" i="15"/>
  <c r="O1116" i="15"/>
  <c r="N1116" i="15"/>
  <c r="R1116" i="15" s="1"/>
  <c r="L1116" i="15"/>
  <c r="K1116" i="15"/>
  <c r="B1116" i="15"/>
  <c r="O1115" i="15"/>
  <c r="N1115" i="15"/>
  <c r="R1115" i="15" s="1"/>
  <c r="L1115" i="15"/>
  <c r="K1115" i="15"/>
  <c r="B1115" i="15"/>
  <c r="O1114" i="15"/>
  <c r="N1114" i="15"/>
  <c r="R1114" i="15" s="1"/>
  <c r="L1114" i="15"/>
  <c r="K1114" i="15"/>
  <c r="B1114" i="15"/>
  <c r="O1113" i="15"/>
  <c r="N1113" i="15"/>
  <c r="R1113" i="15" s="1"/>
  <c r="L1113" i="15"/>
  <c r="K1113" i="15"/>
  <c r="B1113" i="15"/>
  <c r="O1112" i="15"/>
  <c r="N1112" i="15"/>
  <c r="R1112" i="15" s="1"/>
  <c r="L1112" i="15"/>
  <c r="K1112" i="15"/>
  <c r="B1112" i="15"/>
  <c r="O1111" i="15"/>
  <c r="N1111" i="15"/>
  <c r="R1111" i="15" s="1"/>
  <c r="L1111" i="15"/>
  <c r="K1111" i="15"/>
  <c r="B1111" i="15"/>
  <c r="O1110" i="15"/>
  <c r="N1110" i="15"/>
  <c r="R1110" i="15" s="1"/>
  <c r="L1110" i="15"/>
  <c r="K1110" i="15"/>
  <c r="B1110" i="15"/>
  <c r="O1109" i="15"/>
  <c r="N1109" i="15"/>
  <c r="R1109" i="15" s="1"/>
  <c r="L1109" i="15"/>
  <c r="K1109" i="15"/>
  <c r="B1109" i="15"/>
  <c r="O1108" i="15"/>
  <c r="N1108" i="15"/>
  <c r="R1108" i="15" s="1"/>
  <c r="L1108" i="15"/>
  <c r="K1108" i="15"/>
  <c r="B1108" i="15"/>
  <c r="O1107" i="15"/>
  <c r="N1107" i="15"/>
  <c r="R1107" i="15" s="1"/>
  <c r="L1107" i="15"/>
  <c r="K1107" i="15"/>
  <c r="B1107" i="15"/>
  <c r="O1106" i="15"/>
  <c r="N1106" i="15"/>
  <c r="R1106" i="15" s="1"/>
  <c r="L1106" i="15"/>
  <c r="K1106" i="15"/>
  <c r="B1106" i="15"/>
  <c r="O1105" i="15"/>
  <c r="N1105" i="15"/>
  <c r="R1105" i="15" s="1"/>
  <c r="L1105" i="15"/>
  <c r="K1105" i="15"/>
  <c r="B1105" i="15"/>
  <c r="O1104" i="15"/>
  <c r="N1104" i="15"/>
  <c r="R1104" i="15" s="1"/>
  <c r="L1104" i="15"/>
  <c r="K1104" i="15"/>
  <c r="B1104" i="15"/>
  <c r="O1103" i="15"/>
  <c r="N1103" i="15"/>
  <c r="R1103" i="15" s="1"/>
  <c r="L1103" i="15"/>
  <c r="K1103" i="15"/>
  <c r="B1103" i="15"/>
  <c r="O1102" i="15"/>
  <c r="N1102" i="15"/>
  <c r="R1102" i="15" s="1"/>
  <c r="L1102" i="15"/>
  <c r="K1102" i="15"/>
  <c r="B1102" i="15"/>
  <c r="O1101" i="15"/>
  <c r="N1101" i="15"/>
  <c r="R1101" i="15" s="1"/>
  <c r="L1101" i="15"/>
  <c r="K1101" i="15"/>
  <c r="B1101" i="15"/>
  <c r="O1100" i="15"/>
  <c r="N1100" i="15"/>
  <c r="R1100" i="15" s="1"/>
  <c r="L1100" i="15"/>
  <c r="K1100" i="15"/>
  <c r="B1100" i="15"/>
  <c r="O1099" i="15"/>
  <c r="N1099" i="15"/>
  <c r="R1099" i="15" s="1"/>
  <c r="L1099" i="15"/>
  <c r="K1099" i="15"/>
  <c r="B1099" i="15"/>
  <c r="O1098" i="15"/>
  <c r="N1098" i="15"/>
  <c r="R1098" i="15" s="1"/>
  <c r="L1098" i="15"/>
  <c r="K1098" i="15"/>
  <c r="B1098" i="15"/>
  <c r="O1097" i="15"/>
  <c r="N1097" i="15"/>
  <c r="R1097" i="15" s="1"/>
  <c r="L1097" i="15"/>
  <c r="K1097" i="15"/>
  <c r="B1097" i="15"/>
  <c r="O1096" i="15"/>
  <c r="N1096" i="15"/>
  <c r="R1096" i="15" s="1"/>
  <c r="L1096" i="15"/>
  <c r="K1096" i="15"/>
  <c r="B1096" i="15"/>
  <c r="O1095" i="15"/>
  <c r="N1095" i="15"/>
  <c r="L1095" i="15"/>
  <c r="K1095" i="15"/>
  <c r="B1095" i="15"/>
  <c r="O1094" i="15"/>
  <c r="N1094" i="15"/>
  <c r="R1094" i="15" s="1"/>
  <c r="L1094" i="15"/>
  <c r="K1094" i="15"/>
  <c r="B1094" i="15"/>
  <c r="O1093" i="15"/>
  <c r="N1093" i="15"/>
  <c r="R1093" i="15" s="1"/>
  <c r="L1093" i="15"/>
  <c r="K1093" i="15"/>
  <c r="B1093" i="15"/>
  <c r="O1092" i="15"/>
  <c r="N1092" i="15"/>
  <c r="R1092" i="15" s="1"/>
  <c r="L1092" i="15"/>
  <c r="K1092" i="15"/>
  <c r="B1092" i="15"/>
  <c r="O1091" i="15"/>
  <c r="N1091" i="15"/>
  <c r="L1091" i="15"/>
  <c r="K1091" i="15"/>
  <c r="B1091" i="15"/>
  <c r="O1090" i="15"/>
  <c r="N1090" i="15"/>
  <c r="R1090" i="15" s="1"/>
  <c r="L1090" i="15"/>
  <c r="K1090" i="15"/>
  <c r="B1090" i="15"/>
  <c r="O1089" i="15"/>
  <c r="N1089" i="15"/>
  <c r="L1089" i="15"/>
  <c r="K1089" i="15"/>
  <c r="B1089" i="15"/>
  <c r="O1088" i="15"/>
  <c r="N1088" i="15"/>
  <c r="R1088" i="15" s="1"/>
  <c r="L1088" i="15"/>
  <c r="K1088" i="15"/>
  <c r="B1088" i="15"/>
  <c r="O1087" i="15"/>
  <c r="N1087" i="15"/>
  <c r="R1087" i="15" s="1"/>
  <c r="L1087" i="15"/>
  <c r="K1087" i="15"/>
  <c r="B1087" i="15"/>
  <c r="O1086" i="15"/>
  <c r="N1086" i="15"/>
  <c r="R1086" i="15" s="1"/>
  <c r="L1086" i="15"/>
  <c r="K1086" i="15"/>
  <c r="B1086" i="15"/>
  <c r="O1085" i="15"/>
  <c r="N1085" i="15"/>
  <c r="R1085" i="15" s="1"/>
  <c r="L1085" i="15"/>
  <c r="K1085" i="15"/>
  <c r="B1085" i="15"/>
  <c r="O1084" i="15"/>
  <c r="N1084" i="15"/>
  <c r="R1084" i="15" s="1"/>
  <c r="L1084" i="15"/>
  <c r="K1084" i="15"/>
  <c r="B1084" i="15"/>
  <c r="O1083" i="15"/>
  <c r="N1083" i="15"/>
  <c r="R1083" i="15" s="1"/>
  <c r="L1083" i="15"/>
  <c r="K1083" i="15"/>
  <c r="B1083" i="15"/>
  <c r="O1082" i="15"/>
  <c r="N1082" i="15"/>
  <c r="R1082" i="15" s="1"/>
  <c r="L1082" i="15"/>
  <c r="K1082" i="15"/>
  <c r="B1082" i="15"/>
  <c r="O1081" i="15"/>
  <c r="N1081" i="15"/>
  <c r="R1081" i="15" s="1"/>
  <c r="L1081" i="15"/>
  <c r="K1081" i="15"/>
  <c r="B1081" i="15"/>
  <c r="O1080" i="15"/>
  <c r="N1080" i="15"/>
  <c r="R1080" i="15" s="1"/>
  <c r="L1080" i="15"/>
  <c r="K1080" i="15"/>
  <c r="B1080" i="15"/>
  <c r="O1079" i="15"/>
  <c r="N1079" i="15"/>
  <c r="R1079" i="15" s="1"/>
  <c r="L1079" i="15"/>
  <c r="K1079" i="15"/>
  <c r="B1079" i="15"/>
  <c r="O1078" i="15"/>
  <c r="N1078" i="15"/>
  <c r="R1078" i="15" s="1"/>
  <c r="L1078" i="15"/>
  <c r="K1078" i="15"/>
  <c r="B1078" i="15"/>
  <c r="O1077" i="15"/>
  <c r="N1077" i="15"/>
  <c r="R1077" i="15" s="1"/>
  <c r="L1077" i="15"/>
  <c r="K1077" i="15"/>
  <c r="B1077" i="15"/>
  <c r="O1076" i="15"/>
  <c r="N1076" i="15"/>
  <c r="R1076" i="15" s="1"/>
  <c r="L1076" i="15"/>
  <c r="K1076" i="15"/>
  <c r="B1076" i="15"/>
  <c r="O1075" i="15"/>
  <c r="N1075" i="15"/>
  <c r="L1075" i="15"/>
  <c r="K1075" i="15"/>
  <c r="B1075" i="15"/>
  <c r="O1074" i="15"/>
  <c r="N1074" i="15"/>
  <c r="R1074" i="15" s="1"/>
  <c r="L1074" i="15"/>
  <c r="K1074" i="15"/>
  <c r="B1074" i="15"/>
  <c r="O1073" i="15"/>
  <c r="N1073" i="15"/>
  <c r="R1073" i="15" s="1"/>
  <c r="L1073" i="15"/>
  <c r="K1073" i="15"/>
  <c r="B1073" i="15"/>
  <c r="O1072" i="15"/>
  <c r="N1072" i="15"/>
  <c r="R1072" i="15" s="1"/>
  <c r="L1072" i="15"/>
  <c r="K1072" i="15"/>
  <c r="B1072" i="15"/>
  <c r="O1071" i="15"/>
  <c r="N1071" i="15"/>
  <c r="R1071" i="15" s="1"/>
  <c r="L1071" i="15"/>
  <c r="K1071" i="15"/>
  <c r="B1071" i="15"/>
  <c r="O1070" i="15"/>
  <c r="N1070" i="15"/>
  <c r="R1070" i="15" s="1"/>
  <c r="L1070" i="15"/>
  <c r="K1070" i="15"/>
  <c r="B1070" i="15"/>
  <c r="O1069" i="15"/>
  <c r="N1069" i="15"/>
  <c r="L1069" i="15"/>
  <c r="K1069" i="15"/>
  <c r="B1069" i="15"/>
  <c r="O1068" i="15"/>
  <c r="N1068" i="15"/>
  <c r="R1068" i="15" s="1"/>
  <c r="L1068" i="15"/>
  <c r="K1068" i="15"/>
  <c r="B1068" i="15"/>
  <c r="O1067" i="15"/>
  <c r="N1067" i="15"/>
  <c r="R1067" i="15" s="1"/>
  <c r="L1067" i="15"/>
  <c r="K1067" i="15"/>
  <c r="B1067" i="15"/>
  <c r="O1066" i="15"/>
  <c r="N1066" i="15"/>
  <c r="R1066" i="15" s="1"/>
  <c r="L1066" i="15"/>
  <c r="K1066" i="15"/>
  <c r="B1066" i="15"/>
  <c r="O1065" i="15"/>
  <c r="N1065" i="15"/>
  <c r="R1065" i="15" s="1"/>
  <c r="L1065" i="15"/>
  <c r="K1065" i="15"/>
  <c r="B1065" i="15"/>
  <c r="O1064" i="15"/>
  <c r="N1064" i="15"/>
  <c r="R1064" i="15" s="1"/>
  <c r="L1064" i="15"/>
  <c r="K1064" i="15"/>
  <c r="B1064" i="15"/>
  <c r="O1063" i="15"/>
  <c r="N1063" i="15"/>
  <c r="R1063" i="15" s="1"/>
  <c r="L1063" i="15"/>
  <c r="K1063" i="15"/>
  <c r="B1063" i="15"/>
  <c r="O1062" i="15"/>
  <c r="N1062" i="15"/>
  <c r="R1062" i="15" s="1"/>
  <c r="L1062" i="15"/>
  <c r="K1062" i="15"/>
  <c r="B1062" i="15"/>
  <c r="O1061" i="15"/>
  <c r="N1061" i="15"/>
  <c r="R1061" i="15" s="1"/>
  <c r="L1061" i="15"/>
  <c r="K1061" i="15"/>
  <c r="B1061" i="15"/>
  <c r="O1060" i="15"/>
  <c r="N1060" i="15"/>
  <c r="R1060" i="15" s="1"/>
  <c r="L1060" i="15"/>
  <c r="K1060" i="15"/>
  <c r="B1060" i="15"/>
  <c r="O1059" i="15"/>
  <c r="N1059" i="15"/>
  <c r="R1059" i="15" s="1"/>
  <c r="L1059" i="15"/>
  <c r="K1059" i="15"/>
  <c r="B1059" i="15"/>
  <c r="O1058" i="15"/>
  <c r="N1058" i="15"/>
  <c r="R1058" i="15" s="1"/>
  <c r="L1058" i="15"/>
  <c r="K1058" i="15"/>
  <c r="B1058" i="15"/>
  <c r="O1057" i="15"/>
  <c r="N1057" i="15"/>
  <c r="R1057" i="15" s="1"/>
  <c r="L1057" i="15"/>
  <c r="K1057" i="15"/>
  <c r="B1057" i="15"/>
  <c r="O1056" i="15"/>
  <c r="N1056" i="15"/>
  <c r="R1056" i="15" s="1"/>
  <c r="L1056" i="15"/>
  <c r="K1056" i="15"/>
  <c r="B1056" i="15"/>
  <c r="O1055" i="15"/>
  <c r="N1055" i="15"/>
  <c r="R1055" i="15" s="1"/>
  <c r="L1055" i="15"/>
  <c r="K1055" i="15"/>
  <c r="B1055" i="15"/>
  <c r="O1054" i="15"/>
  <c r="N1054" i="15"/>
  <c r="R1054" i="15" s="1"/>
  <c r="L1054" i="15"/>
  <c r="K1054" i="15"/>
  <c r="B1054" i="15"/>
  <c r="O1053" i="15"/>
  <c r="N1053" i="15"/>
  <c r="L1053" i="15"/>
  <c r="K1053" i="15"/>
  <c r="B1053" i="15"/>
  <c r="O1052" i="15"/>
  <c r="N1052" i="15"/>
  <c r="R1052" i="15" s="1"/>
  <c r="L1052" i="15"/>
  <c r="K1052" i="15"/>
  <c r="B1052" i="15"/>
  <c r="O1051" i="15"/>
  <c r="N1051" i="15"/>
  <c r="R1051" i="15" s="1"/>
  <c r="L1051" i="15"/>
  <c r="K1051" i="15"/>
  <c r="B1051" i="15"/>
  <c r="O1050" i="15"/>
  <c r="N1050" i="15"/>
  <c r="R1050" i="15" s="1"/>
  <c r="L1050" i="15"/>
  <c r="K1050" i="15"/>
  <c r="B1050" i="15"/>
  <c r="O1049" i="15"/>
  <c r="N1049" i="15"/>
  <c r="R1049" i="15" s="1"/>
  <c r="L1049" i="15"/>
  <c r="K1049" i="15"/>
  <c r="B1049" i="15"/>
  <c r="O1048" i="15"/>
  <c r="N1048" i="15"/>
  <c r="R1048" i="15" s="1"/>
  <c r="L1048" i="15"/>
  <c r="K1048" i="15"/>
  <c r="B1048" i="15"/>
  <c r="O1047" i="15"/>
  <c r="N1047" i="15"/>
  <c r="R1047" i="15" s="1"/>
  <c r="L1047" i="15"/>
  <c r="K1047" i="15"/>
  <c r="B1047" i="15"/>
  <c r="O1046" i="15"/>
  <c r="N1046" i="15"/>
  <c r="R1046" i="15" s="1"/>
  <c r="L1046" i="15"/>
  <c r="K1046" i="15"/>
  <c r="B1046" i="15"/>
  <c r="O1045" i="15"/>
  <c r="N1045" i="15"/>
  <c r="R1045" i="15" s="1"/>
  <c r="L1045" i="15"/>
  <c r="K1045" i="15"/>
  <c r="B1045" i="15"/>
  <c r="O1044" i="15"/>
  <c r="N1044" i="15"/>
  <c r="R1044" i="15" s="1"/>
  <c r="L1044" i="15"/>
  <c r="K1044" i="15"/>
  <c r="B1044" i="15"/>
  <c r="O1043" i="15"/>
  <c r="N1043" i="15"/>
  <c r="R1043" i="15" s="1"/>
  <c r="L1043" i="15"/>
  <c r="K1043" i="15"/>
  <c r="B1043" i="15"/>
  <c r="O1042" i="15"/>
  <c r="N1042" i="15"/>
  <c r="R1042" i="15" s="1"/>
  <c r="L1042" i="15"/>
  <c r="K1042" i="15"/>
  <c r="B1042" i="15"/>
  <c r="O1041" i="15"/>
  <c r="N1041" i="15"/>
  <c r="R1041" i="15" s="1"/>
  <c r="L1041" i="15"/>
  <c r="K1041" i="15"/>
  <c r="B1041" i="15"/>
  <c r="O1040" i="15"/>
  <c r="N1040" i="15"/>
  <c r="R1040" i="15" s="1"/>
  <c r="L1040" i="15"/>
  <c r="K1040" i="15"/>
  <c r="B1040" i="15"/>
  <c r="O1039" i="15"/>
  <c r="N1039" i="15"/>
  <c r="R1039" i="15" s="1"/>
  <c r="L1039" i="15"/>
  <c r="K1039" i="15"/>
  <c r="B1039" i="15"/>
  <c r="O1038" i="15"/>
  <c r="N1038" i="15"/>
  <c r="R1038" i="15" s="1"/>
  <c r="L1038" i="15"/>
  <c r="K1038" i="15"/>
  <c r="B1038" i="15"/>
  <c r="O1037" i="15"/>
  <c r="N1037" i="15"/>
  <c r="R1037" i="15" s="1"/>
  <c r="L1037" i="15"/>
  <c r="K1037" i="15"/>
  <c r="B1037" i="15"/>
  <c r="O1036" i="15"/>
  <c r="N1036" i="15"/>
  <c r="R1036" i="15" s="1"/>
  <c r="L1036" i="15"/>
  <c r="K1036" i="15"/>
  <c r="B1036" i="15"/>
  <c r="O1035" i="15"/>
  <c r="N1035" i="15"/>
  <c r="R1035" i="15" s="1"/>
  <c r="L1035" i="15"/>
  <c r="K1035" i="15"/>
  <c r="B1035" i="15"/>
  <c r="O1034" i="15"/>
  <c r="N1034" i="15"/>
  <c r="R1034" i="15" s="1"/>
  <c r="L1034" i="15"/>
  <c r="K1034" i="15"/>
  <c r="B1034" i="15"/>
  <c r="O1033" i="15"/>
  <c r="N1033" i="15"/>
  <c r="R1033" i="15" s="1"/>
  <c r="L1033" i="15"/>
  <c r="K1033" i="15"/>
  <c r="B1033" i="15"/>
  <c r="O1032" i="15"/>
  <c r="N1032" i="15"/>
  <c r="R1032" i="15" s="1"/>
  <c r="L1032" i="15"/>
  <c r="K1032" i="15"/>
  <c r="B1032" i="15"/>
  <c r="O1031" i="15"/>
  <c r="N1031" i="15"/>
  <c r="L1031" i="15"/>
  <c r="K1031" i="15"/>
  <c r="B1031" i="15"/>
  <c r="O1030" i="15"/>
  <c r="N1030" i="15"/>
  <c r="L1030" i="15"/>
  <c r="K1030" i="15"/>
  <c r="B1030" i="15"/>
  <c r="O1029" i="15"/>
  <c r="N1029" i="15"/>
  <c r="R1029" i="15" s="1"/>
  <c r="L1029" i="15"/>
  <c r="K1029" i="15"/>
  <c r="B1029" i="15"/>
  <c r="O1028" i="15"/>
  <c r="N1028" i="15"/>
  <c r="R1028" i="15" s="1"/>
  <c r="L1028" i="15"/>
  <c r="K1028" i="15"/>
  <c r="B1028" i="15"/>
  <c r="O1027" i="15"/>
  <c r="N1027" i="15"/>
  <c r="R1027" i="15" s="1"/>
  <c r="L1027" i="15"/>
  <c r="K1027" i="15"/>
  <c r="B1027" i="15"/>
  <c r="O1026" i="15"/>
  <c r="N1026" i="15"/>
  <c r="R1026" i="15" s="1"/>
  <c r="L1026" i="15"/>
  <c r="K1026" i="15"/>
  <c r="B1026" i="15"/>
  <c r="O1025" i="15"/>
  <c r="N1025" i="15"/>
  <c r="L1025" i="15"/>
  <c r="K1025" i="15"/>
  <c r="B1025" i="15"/>
  <c r="O1024" i="15"/>
  <c r="N1024" i="15"/>
  <c r="R1024" i="15" s="1"/>
  <c r="L1024" i="15"/>
  <c r="K1024" i="15"/>
  <c r="B1024" i="15"/>
  <c r="O1023" i="15"/>
  <c r="N1023" i="15"/>
  <c r="R1023" i="15" s="1"/>
  <c r="L1023" i="15"/>
  <c r="K1023" i="15"/>
  <c r="B1023" i="15"/>
  <c r="O1022" i="15"/>
  <c r="N1022" i="15"/>
  <c r="R1022" i="15" s="1"/>
  <c r="L1022" i="15"/>
  <c r="K1022" i="15"/>
  <c r="B1022" i="15"/>
  <c r="O1021" i="15"/>
  <c r="N1021" i="15"/>
  <c r="R1021" i="15" s="1"/>
  <c r="L1021" i="15"/>
  <c r="K1021" i="15"/>
  <c r="B1021" i="15"/>
  <c r="O1020" i="15"/>
  <c r="N1020" i="15"/>
  <c r="R1020" i="15" s="1"/>
  <c r="L1020" i="15"/>
  <c r="K1020" i="15"/>
  <c r="B1020" i="15"/>
  <c r="O1019" i="15"/>
  <c r="N1019" i="15"/>
  <c r="R1019" i="15" s="1"/>
  <c r="L1019" i="15"/>
  <c r="K1019" i="15"/>
  <c r="B1019" i="15"/>
  <c r="O1018" i="15"/>
  <c r="N1018" i="15"/>
  <c r="R1018" i="15" s="1"/>
  <c r="L1018" i="15"/>
  <c r="K1018" i="15"/>
  <c r="B1018" i="15"/>
  <c r="O1017" i="15"/>
  <c r="N1017" i="15"/>
  <c r="R1017" i="15" s="1"/>
  <c r="L1017" i="15"/>
  <c r="K1017" i="15"/>
  <c r="B1017" i="15"/>
  <c r="O1016" i="15"/>
  <c r="N1016" i="15"/>
  <c r="R1016" i="15" s="1"/>
  <c r="L1016" i="15"/>
  <c r="K1016" i="15"/>
  <c r="B1016" i="15"/>
  <c r="O1015" i="15"/>
  <c r="N1015" i="15"/>
  <c r="R1015" i="15" s="1"/>
  <c r="L1015" i="15"/>
  <c r="K1015" i="15"/>
  <c r="B1015" i="15"/>
  <c r="O1014" i="15"/>
  <c r="N1014" i="15"/>
  <c r="R1014" i="15" s="1"/>
  <c r="L1014" i="15"/>
  <c r="K1014" i="15"/>
  <c r="B1014" i="15"/>
  <c r="O1013" i="15"/>
  <c r="N1013" i="15"/>
  <c r="R1013" i="15" s="1"/>
  <c r="L1013" i="15"/>
  <c r="K1013" i="15"/>
  <c r="B1013" i="15"/>
  <c r="O1012" i="15"/>
  <c r="N1012" i="15"/>
  <c r="R1012" i="15" s="1"/>
  <c r="L1012" i="15"/>
  <c r="K1012" i="15"/>
  <c r="B1012" i="15"/>
  <c r="O1011" i="15"/>
  <c r="N1011" i="15"/>
  <c r="R1011" i="15" s="1"/>
  <c r="L1011" i="15"/>
  <c r="K1011" i="15"/>
  <c r="B1011" i="15"/>
  <c r="O1010" i="15"/>
  <c r="N1010" i="15"/>
  <c r="R1010" i="15" s="1"/>
  <c r="L1010" i="15"/>
  <c r="K1010" i="15"/>
  <c r="B1010" i="15"/>
  <c r="O1009" i="15"/>
  <c r="N1009" i="15"/>
  <c r="R1009" i="15" s="1"/>
  <c r="L1009" i="15"/>
  <c r="K1009" i="15"/>
  <c r="B1009" i="15"/>
  <c r="O1008" i="15"/>
  <c r="N1008" i="15"/>
  <c r="R1008" i="15" s="1"/>
  <c r="L1008" i="15"/>
  <c r="K1008" i="15"/>
  <c r="B1008" i="15"/>
  <c r="O1007" i="15"/>
  <c r="N1007" i="15"/>
  <c r="R1007" i="15" s="1"/>
  <c r="L1007" i="15"/>
  <c r="K1007" i="15"/>
  <c r="B1007" i="15"/>
  <c r="O1006" i="15"/>
  <c r="N1006" i="15"/>
  <c r="R1006" i="15" s="1"/>
  <c r="L1006" i="15"/>
  <c r="K1006" i="15"/>
  <c r="B1006" i="15"/>
  <c r="O1005" i="15"/>
  <c r="N1005" i="15"/>
  <c r="R1005" i="15" s="1"/>
  <c r="L1005" i="15"/>
  <c r="K1005" i="15"/>
  <c r="B1005" i="15"/>
  <c r="O1004" i="15"/>
  <c r="N1004" i="15"/>
  <c r="R1004" i="15" s="1"/>
  <c r="L1004" i="15"/>
  <c r="K1004" i="15"/>
  <c r="B1004" i="15"/>
  <c r="O1003" i="15"/>
  <c r="N1003" i="15"/>
  <c r="R1003" i="15" s="1"/>
  <c r="L1003" i="15"/>
  <c r="K1003" i="15"/>
  <c r="B1003" i="15"/>
  <c r="O1002" i="15"/>
  <c r="N1002" i="15"/>
  <c r="R1002" i="15" s="1"/>
  <c r="L1002" i="15"/>
  <c r="K1002" i="15"/>
  <c r="B1002" i="15"/>
  <c r="O1001" i="15"/>
  <c r="N1001" i="15"/>
  <c r="R1001" i="15" s="1"/>
  <c r="L1001" i="15"/>
  <c r="K1001" i="15"/>
  <c r="B1001" i="15"/>
  <c r="O1000" i="15"/>
  <c r="N1000" i="15"/>
  <c r="R1000" i="15" s="1"/>
  <c r="L1000" i="15"/>
  <c r="K1000" i="15"/>
  <c r="B1000" i="15"/>
  <c r="O999" i="15"/>
  <c r="N999" i="15"/>
  <c r="R999" i="15" s="1"/>
  <c r="L999" i="15"/>
  <c r="K999" i="15"/>
  <c r="B999" i="15"/>
  <c r="O998" i="15"/>
  <c r="N998" i="15"/>
  <c r="R998" i="15" s="1"/>
  <c r="L998" i="15"/>
  <c r="K998" i="15"/>
  <c r="B998" i="15"/>
  <c r="O997" i="15"/>
  <c r="N997" i="15"/>
  <c r="R997" i="15" s="1"/>
  <c r="L997" i="15"/>
  <c r="K997" i="15"/>
  <c r="B997" i="15"/>
  <c r="O996" i="15"/>
  <c r="N996" i="15"/>
  <c r="R996" i="15" s="1"/>
  <c r="L996" i="15"/>
  <c r="K996" i="15"/>
  <c r="B996" i="15"/>
  <c r="O995" i="15"/>
  <c r="N995" i="15"/>
  <c r="R995" i="15" s="1"/>
  <c r="L995" i="15"/>
  <c r="K995" i="15"/>
  <c r="B995" i="15"/>
  <c r="O994" i="15"/>
  <c r="N994" i="15"/>
  <c r="R994" i="15" s="1"/>
  <c r="L994" i="15"/>
  <c r="K994" i="15"/>
  <c r="B994" i="15"/>
  <c r="O993" i="15"/>
  <c r="N993" i="15"/>
  <c r="R993" i="15" s="1"/>
  <c r="L993" i="15"/>
  <c r="K993" i="15"/>
  <c r="B993" i="15"/>
  <c r="O992" i="15"/>
  <c r="N992" i="15"/>
  <c r="R992" i="15" s="1"/>
  <c r="L992" i="15"/>
  <c r="K992" i="15"/>
  <c r="B992" i="15"/>
  <c r="O991" i="15"/>
  <c r="N991" i="15"/>
  <c r="R991" i="15" s="1"/>
  <c r="L991" i="15"/>
  <c r="K991" i="15"/>
  <c r="B991" i="15"/>
  <c r="O990" i="15"/>
  <c r="N990" i="15"/>
  <c r="R990" i="15" s="1"/>
  <c r="L990" i="15"/>
  <c r="K990" i="15"/>
  <c r="B990" i="15"/>
  <c r="O989" i="15"/>
  <c r="N989" i="15"/>
  <c r="R989" i="15" s="1"/>
  <c r="L989" i="15"/>
  <c r="K989" i="15"/>
  <c r="B989" i="15"/>
  <c r="O988" i="15"/>
  <c r="N988" i="15"/>
  <c r="R988" i="15" s="1"/>
  <c r="L988" i="15"/>
  <c r="K988" i="15"/>
  <c r="B988" i="15"/>
  <c r="O987" i="15"/>
  <c r="N987" i="15"/>
  <c r="R987" i="15" s="1"/>
  <c r="L987" i="15"/>
  <c r="K987" i="15"/>
  <c r="B987" i="15"/>
  <c r="O986" i="15"/>
  <c r="N986" i="15"/>
  <c r="R986" i="15" s="1"/>
  <c r="L986" i="15"/>
  <c r="K986" i="15"/>
  <c r="B986" i="15"/>
  <c r="O985" i="15"/>
  <c r="N985" i="15"/>
  <c r="R985" i="15" s="1"/>
  <c r="L985" i="15"/>
  <c r="K985" i="15"/>
  <c r="B985" i="15"/>
  <c r="O984" i="15"/>
  <c r="N984" i="15"/>
  <c r="R984" i="15" s="1"/>
  <c r="L984" i="15"/>
  <c r="K984" i="15"/>
  <c r="B984" i="15"/>
  <c r="O983" i="15"/>
  <c r="N983" i="15"/>
  <c r="R983" i="15" s="1"/>
  <c r="L983" i="15"/>
  <c r="K983" i="15"/>
  <c r="B983" i="15"/>
  <c r="O982" i="15"/>
  <c r="N982" i="15"/>
  <c r="R982" i="15" s="1"/>
  <c r="L982" i="15"/>
  <c r="K982" i="15"/>
  <c r="B982" i="15"/>
  <c r="O981" i="15"/>
  <c r="N981" i="15"/>
  <c r="R981" i="15" s="1"/>
  <c r="L981" i="15"/>
  <c r="K981" i="15"/>
  <c r="B981" i="15"/>
  <c r="O980" i="15"/>
  <c r="N980" i="15"/>
  <c r="R980" i="15" s="1"/>
  <c r="L980" i="15"/>
  <c r="K980" i="15"/>
  <c r="B980" i="15"/>
  <c r="O979" i="15"/>
  <c r="N979" i="15"/>
  <c r="R979" i="15" s="1"/>
  <c r="L979" i="15"/>
  <c r="K979" i="15"/>
  <c r="B979" i="15"/>
  <c r="O978" i="15"/>
  <c r="N978" i="15"/>
  <c r="L978" i="15"/>
  <c r="K978" i="15"/>
  <c r="B978" i="15"/>
  <c r="O977" i="15"/>
  <c r="N977" i="15"/>
  <c r="R977" i="15" s="1"/>
  <c r="L977" i="15"/>
  <c r="K977" i="15"/>
  <c r="B977" i="15"/>
  <c r="O976" i="15"/>
  <c r="N976" i="15"/>
  <c r="L976" i="15"/>
  <c r="K976" i="15"/>
  <c r="B976" i="15"/>
  <c r="O975" i="15"/>
  <c r="N975" i="15"/>
  <c r="R975" i="15" s="1"/>
  <c r="L975" i="15"/>
  <c r="K975" i="15"/>
  <c r="B975" i="15"/>
  <c r="O974" i="15"/>
  <c r="N974" i="15"/>
  <c r="R974" i="15" s="1"/>
  <c r="L974" i="15"/>
  <c r="K974" i="15"/>
  <c r="B974" i="15"/>
  <c r="O973" i="15"/>
  <c r="N973" i="15"/>
  <c r="R973" i="15" s="1"/>
  <c r="L973" i="15"/>
  <c r="K973" i="15"/>
  <c r="B973" i="15"/>
  <c r="O972" i="15"/>
  <c r="N972" i="15"/>
  <c r="R972" i="15" s="1"/>
  <c r="L972" i="15"/>
  <c r="K972" i="15"/>
  <c r="B972" i="15"/>
  <c r="O971" i="15"/>
  <c r="N971" i="15"/>
  <c r="R971" i="15" s="1"/>
  <c r="L971" i="15"/>
  <c r="K971" i="15"/>
  <c r="B971" i="15"/>
  <c r="O970" i="15"/>
  <c r="N970" i="15"/>
  <c r="R970" i="15" s="1"/>
  <c r="L970" i="15"/>
  <c r="K970" i="15"/>
  <c r="B970" i="15"/>
  <c r="O969" i="15"/>
  <c r="N969" i="15"/>
  <c r="R969" i="15" s="1"/>
  <c r="L969" i="15"/>
  <c r="K969" i="15"/>
  <c r="B969" i="15"/>
  <c r="O968" i="15"/>
  <c r="N968" i="15"/>
  <c r="R968" i="15" s="1"/>
  <c r="L968" i="15"/>
  <c r="K968" i="15"/>
  <c r="B968" i="15"/>
  <c r="O967" i="15"/>
  <c r="N967" i="15"/>
  <c r="R967" i="15" s="1"/>
  <c r="L967" i="15"/>
  <c r="K967" i="15"/>
  <c r="B967" i="15"/>
  <c r="O966" i="15"/>
  <c r="N966" i="15"/>
  <c r="R966" i="15" s="1"/>
  <c r="L966" i="15"/>
  <c r="K966" i="15"/>
  <c r="B966" i="15"/>
  <c r="O965" i="15"/>
  <c r="N965" i="15"/>
  <c r="R965" i="15" s="1"/>
  <c r="L965" i="15"/>
  <c r="K965" i="15"/>
  <c r="B965" i="15"/>
  <c r="O964" i="15"/>
  <c r="N964" i="15"/>
  <c r="R964" i="15" s="1"/>
  <c r="L964" i="15"/>
  <c r="K964" i="15"/>
  <c r="B964" i="15"/>
  <c r="O963" i="15"/>
  <c r="N963" i="15"/>
  <c r="R963" i="15" s="1"/>
  <c r="L963" i="15"/>
  <c r="K963" i="15"/>
  <c r="B963" i="15"/>
  <c r="O962" i="15"/>
  <c r="N962" i="15"/>
  <c r="R962" i="15" s="1"/>
  <c r="L962" i="15"/>
  <c r="K962" i="15"/>
  <c r="B962" i="15"/>
  <c r="O961" i="15"/>
  <c r="N961" i="15"/>
  <c r="R961" i="15" s="1"/>
  <c r="L961" i="15"/>
  <c r="K961" i="15"/>
  <c r="B961" i="15"/>
  <c r="O960" i="15"/>
  <c r="N960" i="15"/>
  <c r="R960" i="15" s="1"/>
  <c r="L960" i="15"/>
  <c r="K960" i="15"/>
  <c r="B960" i="15"/>
  <c r="O959" i="15"/>
  <c r="N959" i="15"/>
  <c r="R959" i="15" s="1"/>
  <c r="L959" i="15"/>
  <c r="K959" i="15"/>
  <c r="B959" i="15"/>
  <c r="O958" i="15"/>
  <c r="N958" i="15"/>
  <c r="R958" i="15" s="1"/>
  <c r="L958" i="15"/>
  <c r="K958" i="15"/>
  <c r="B958" i="15"/>
  <c r="O957" i="15"/>
  <c r="N957" i="15"/>
  <c r="R957" i="15" s="1"/>
  <c r="L957" i="15"/>
  <c r="K957" i="15"/>
  <c r="B957" i="15"/>
  <c r="O956" i="15"/>
  <c r="N956" i="15"/>
  <c r="R956" i="15" s="1"/>
  <c r="L956" i="15"/>
  <c r="K956" i="15"/>
  <c r="B956" i="15"/>
  <c r="O955" i="15"/>
  <c r="N955" i="15"/>
  <c r="R955" i="15" s="1"/>
  <c r="L955" i="15"/>
  <c r="K955" i="15"/>
  <c r="B955" i="15"/>
  <c r="O954" i="15"/>
  <c r="N954" i="15"/>
  <c r="R954" i="15" s="1"/>
  <c r="L954" i="15"/>
  <c r="K954" i="15"/>
  <c r="B954" i="15"/>
  <c r="O953" i="15"/>
  <c r="N953" i="15"/>
  <c r="R953" i="15" s="1"/>
  <c r="L953" i="15"/>
  <c r="K953" i="15"/>
  <c r="B953" i="15"/>
  <c r="O952" i="15"/>
  <c r="N952" i="15"/>
  <c r="R952" i="15" s="1"/>
  <c r="L952" i="15"/>
  <c r="K952" i="15"/>
  <c r="B952" i="15"/>
  <c r="O951" i="15"/>
  <c r="N951" i="15"/>
  <c r="R951" i="15" s="1"/>
  <c r="L951" i="15"/>
  <c r="K951" i="15"/>
  <c r="B951" i="15"/>
  <c r="O950" i="15"/>
  <c r="N950" i="15"/>
  <c r="R950" i="15" s="1"/>
  <c r="L950" i="15"/>
  <c r="K950" i="15"/>
  <c r="B950" i="15"/>
  <c r="O949" i="15"/>
  <c r="N949" i="15"/>
  <c r="L949" i="15"/>
  <c r="K949" i="15"/>
  <c r="B949" i="15"/>
  <c r="O948" i="15"/>
  <c r="N948" i="15"/>
  <c r="R948" i="15" s="1"/>
  <c r="L948" i="15"/>
  <c r="K948" i="15"/>
  <c r="B948" i="15"/>
  <c r="O947" i="15"/>
  <c r="N947" i="15"/>
  <c r="R947" i="15" s="1"/>
  <c r="L947" i="15"/>
  <c r="K947" i="15"/>
  <c r="B947" i="15"/>
  <c r="O946" i="15"/>
  <c r="N946" i="15"/>
  <c r="R946" i="15" s="1"/>
  <c r="L946" i="15"/>
  <c r="K946" i="15"/>
  <c r="B946" i="15"/>
  <c r="O945" i="15"/>
  <c r="N945" i="15"/>
  <c r="R945" i="15" s="1"/>
  <c r="L945" i="15"/>
  <c r="K945" i="15"/>
  <c r="B945" i="15"/>
  <c r="O944" i="15"/>
  <c r="N944" i="15"/>
  <c r="R944" i="15" s="1"/>
  <c r="L944" i="15"/>
  <c r="K944" i="15"/>
  <c r="B944" i="15"/>
  <c r="O943" i="15"/>
  <c r="N943" i="15"/>
  <c r="R943" i="15" s="1"/>
  <c r="L943" i="15"/>
  <c r="K943" i="15"/>
  <c r="B943" i="15"/>
  <c r="O942" i="15"/>
  <c r="N942" i="15"/>
  <c r="R942" i="15" s="1"/>
  <c r="L942" i="15"/>
  <c r="K942" i="15"/>
  <c r="B942" i="15"/>
  <c r="O941" i="15"/>
  <c r="N941" i="15"/>
  <c r="R941" i="15" s="1"/>
  <c r="L941" i="15"/>
  <c r="K941" i="15"/>
  <c r="B941" i="15"/>
  <c r="O940" i="15"/>
  <c r="N940" i="15"/>
  <c r="R940" i="15" s="1"/>
  <c r="L940" i="15"/>
  <c r="K940" i="15"/>
  <c r="B940" i="15"/>
  <c r="O939" i="15"/>
  <c r="N939" i="15"/>
  <c r="R939" i="15" s="1"/>
  <c r="L939" i="15"/>
  <c r="K939" i="15"/>
  <c r="B939" i="15"/>
  <c r="O938" i="15"/>
  <c r="N938" i="15"/>
  <c r="R938" i="15" s="1"/>
  <c r="L938" i="15"/>
  <c r="K938" i="15"/>
  <c r="B938" i="15"/>
  <c r="O937" i="15"/>
  <c r="N937" i="15"/>
  <c r="L937" i="15"/>
  <c r="K937" i="15"/>
  <c r="B937" i="15"/>
  <c r="O936" i="15"/>
  <c r="N936" i="15"/>
  <c r="R936" i="15" s="1"/>
  <c r="L936" i="15"/>
  <c r="K936" i="15"/>
  <c r="B936" i="15"/>
  <c r="O935" i="15"/>
  <c r="N935" i="15"/>
  <c r="R935" i="15" s="1"/>
  <c r="L935" i="15"/>
  <c r="K935" i="15"/>
  <c r="B935" i="15"/>
  <c r="O934" i="15"/>
  <c r="N934" i="15"/>
  <c r="L934" i="15"/>
  <c r="K934" i="15"/>
  <c r="B934" i="15"/>
  <c r="O933" i="15"/>
  <c r="N933" i="15"/>
  <c r="R933" i="15" s="1"/>
  <c r="L933" i="15"/>
  <c r="K933" i="15"/>
  <c r="B933" i="15"/>
  <c r="O932" i="15"/>
  <c r="N932" i="15"/>
  <c r="R932" i="15" s="1"/>
  <c r="L932" i="15"/>
  <c r="K932" i="15"/>
  <c r="B932" i="15"/>
  <c r="O931" i="15"/>
  <c r="N931" i="15"/>
  <c r="R931" i="15" s="1"/>
  <c r="L931" i="15"/>
  <c r="K931" i="15"/>
  <c r="B931" i="15"/>
  <c r="O930" i="15"/>
  <c r="N930" i="15"/>
  <c r="R930" i="15" s="1"/>
  <c r="L930" i="15"/>
  <c r="K930" i="15"/>
  <c r="B930" i="15"/>
  <c r="O929" i="15"/>
  <c r="N929" i="15"/>
  <c r="R929" i="15" s="1"/>
  <c r="L929" i="15"/>
  <c r="K929" i="15"/>
  <c r="B929" i="15"/>
  <c r="O928" i="15"/>
  <c r="N928" i="15"/>
  <c r="R928" i="15" s="1"/>
  <c r="L928" i="15"/>
  <c r="K928" i="15"/>
  <c r="B928" i="15"/>
  <c r="O927" i="15"/>
  <c r="N927" i="15"/>
  <c r="R927" i="15" s="1"/>
  <c r="L927" i="15"/>
  <c r="K927" i="15"/>
  <c r="B927" i="15"/>
  <c r="O926" i="15"/>
  <c r="N926" i="15"/>
  <c r="R926" i="15" s="1"/>
  <c r="L926" i="15"/>
  <c r="K926" i="15"/>
  <c r="B926" i="15"/>
  <c r="O925" i="15"/>
  <c r="N925" i="15"/>
  <c r="R925" i="15" s="1"/>
  <c r="L925" i="15"/>
  <c r="K925" i="15"/>
  <c r="B925" i="15"/>
  <c r="O924" i="15"/>
  <c r="N924" i="15"/>
  <c r="R924" i="15" s="1"/>
  <c r="L924" i="15"/>
  <c r="K924" i="15"/>
  <c r="B924" i="15"/>
  <c r="O923" i="15"/>
  <c r="N923" i="15"/>
  <c r="R923" i="15" s="1"/>
  <c r="L923" i="15"/>
  <c r="K923" i="15"/>
  <c r="B923" i="15"/>
  <c r="O922" i="15"/>
  <c r="N922" i="15"/>
  <c r="R922" i="15" s="1"/>
  <c r="L922" i="15"/>
  <c r="K922" i="15"/>
  <c r="B922" i="15"/>
  <c r="O921" i="15"/>
  <c r="N921" i="15"/>
  <c r="R921" i="15" s="1"/>
  <c r="L921" i="15"/>
  <c r="K921" i="15"/>
  <c r="B921" i="15"/>
  <c r="O920" i="15"/>
  <c r="N920" i="15"/>
  <c r="R920" i="15" s="1"/>
  <c r="L920" i="15"/>
  <c r="K920" i="15"/>
  <c r="B920" i="15"/>
  <c r="O919" i="15"/>
  <c r="N919" i="15"/>
  <c r="R919" i="15" s="1"/>
  <c r="L919" i="15"/>
  <c r="K919" i="15"/>
  <c r="B919" i="15"/>
  <c r="O918" i="15"/>
  <c r="N918" i="15"/>
  <c r="R918" i="15" s="1"/>
  <c r="L918" i="15"/>
  <c r="K918" i="15"/>
  <c r="B918" i="15"/>
  <c r="O917" i="15"/>
  <c r="N917" i="15"/>
  <c r="R917" i="15" s="1"/>
  <c r="L917" i="15"/>
  <c r="K917" i="15"/>
  <c r="B917" i="15"/>
  <c r="O916" i="15"/>
  <c r="N916" i="15"/>
  <c r="R916" i="15" s="1"/>
  <c r="L916" i="15"/>
  <c r="K916" i="15"/>
  <c r="B916" i="15"/>
  <c r="O915" i="15"/>
  <c r="N915" i="15"/>
  <c r="R915" i="15" s="1"/>
  <c r="L915" i="15"/>
  <c r="K915" i="15"/>
  <c r="B915" i="15"/>
  <c r="O914" i="15"/>
  <c r="N914" i="15"/>
  <c r="R914" i="15" s="1"/>
  <c r="L914" i="15"/>
  <c r="K914" i="15"/>
  <c r="B914" i="15"/>
  <c r="O913" i="15"/>
  <c r="N913" i="15"/>
  <c r="R913" i="15" s="1"/>
  <c r="L913" i="15"/>
  <c r="K913" i="15"/>
  <c r="B913" i="15"/>
  <c r="O912" i="15"/>
  <c r="N912" i="15"/>
  <c r="R912" i="15" s="1"/>
  <c r="L912" i="15"/>
  <c r="K912" i="15"/>
  <c r="B912" i="15"/>
  <c r="O911" i="15"/>
  <c r="N911" i="15"/>
  <c r="R911" i="15" s="1"/>
  <c r="L911" i="15"/>
  <c r="K911" i="15"/>
  <c r="B911" i="15"/>
  <c r="O910" i="15"/>
  <c r="N910" i="15"/>
  <c r="R910" i="15" s="1"/>
  <c r="L910" i="15"/>
  <c r="K910" i="15"/>
  <c r="B910" i="15"/>
  <c r="O909" i="15"/>
  <c r="N909" i="15"/>
  <c r="R909" i="15" s="1"/>
  <c r="L909" i="15"/>
  <c r="K909" i="15"/>
  <c r="B909" i="15"/>
  <c r="O908" i="15"/>
  <c r="N908" i="15"/>
  <c r="R908" i="15" s="1"/>
  <c r="L908" i="15"/>
  <c r="K908" i="15"/>
  <c r="B908" i="15"/>
  <c r="O907" i="15"/>
  <c r="N907" i="15"/>
  <c r="R907" i="15" s="1"/>
  <c r="L907" i="15"/>
  <c r="K907" i="15"/>
  <c r="B907" i="15"/>
  <c r="O906" i="15"/>
  <c r="N906" i="15"/>
  <c r="R906" i="15" s="1"/>
  <c r="L906" i="15"/>
  <c r="K906" i="15"/>
  <c r="B906" i="15"/>
  <c r="O905" i="15"/>
  <c r="N905" i="15"/>
  <c r="R905" i="15" s="1"/>
  <c r="L905" i="15"/>
  <c r="K905" i="15"/>
  <c r="B905" i="15"/>
  <c r="O904" i="15"/>
  <c r="N904" i="15"/>
  <c r="R904" i="15" s="1"/>
  <c r="L904" i="15"/>
  <c r="K904" i="15"/>
  <c r="B904" i="15"/>
  <c r="O903" i="15"/>
  <c r="N903" i="15"/>
  <c r="R903" i="15" s="1"/>
  <c r="L903" i="15"/>
  <c r="K903" i="15"/>
  <c r="B903" i="15"/>
  <c r="O902" i="15"/>
  <c r="N902" i="15"/>
  <c r="R902" i="15" s="1"/>
  <c r="L902" i="15"/>
  <c r="K902" i="15"/>
  <c r="B902" i="15"/>
  <c r="O901" i="15"/>
  <c r="N901" i="15"/>
  <c r="R901" i="15" s="1"/>
  <c r="L901" i="15"/>
  <c r="K901" i="15"/>
  <c r="B901" i="15"/>
  <c r="O900" i="15"/>
  <c r="N900" i="15"/>
  <c r="R900" i="15" s="1"/>
  <c r="L900" i="15"/>
  <c r="K900" i="15"/>
  <c r="B900" i="15"/>
  <c r="O899" i="15"/>
  <c r="N899" i="15"/>
  <c r="R899" i="15" s="1"/>
  <c r="L899" i="15"/>
  <c r="K899" i="15"/>
  <c r="B899" i="15"/>
  <c r="O898" i="15"/>
  <c r="N898" i="15"/>
  <c r="L898" i="15"/>
  <c r="K898" i="15"/>
  <c r="B898" i="15"/>
  <c r="O897" i="15"/>
  <c r="N897" i="15"/>
  <c r="R897" i="15" s="1"/>
  <c r="L897" i="15"/>
  <c r="K897" i="15"/>
  <c r="B897" i="15"/>
  <c r="O896" i="15"/>
  <c r="N896" i="15"/>
  <c r="R896" i="15" s="1"/>
  <c r="L896" i="15"/>
  <c r="K896" i="15"/>
  <c r="B896" i="15"/>
  <c r="O895" i="15"/>
  <c r="N895" i="15"/>
  <c r="R895" i="15" s="1"/>
  <c r="L895" i="15"/>
  <c r="K895" i="15"/>
  <c r="B895" i="15"/>
  <c r="O894" i="15"/>
  <c r="N894" i="15"/>
  <c r="R894" i="15" s="1"/>
  <c r="L894" i="15"/>
  <c r="K894" i="15"/>
  <c r="B894" i="15"/>
  <c r="O893" i="15"/>
  <c r="N893" i="15"/>
  <c r="R893" i="15" s="1"/>
  <c r="L893" i="15"/>
  <c r="K893" i="15"/>
  <c r="B893" i="15"/>
  <c r="O892" i="15"/>
  <c r="N892" i="15"/>
  <c r="R892" i="15" s="1"/>
  <c r="L892" i="15"/>
  <c r="K892" i="15"/>
  <c r="B892" i="15"/>
  <c r="O891" i="15"/>
  <c r="N891" i="15"/>
  <c r="R891" i="15" s="1"/>
  <c r="L891" i="15"/>
  <c r="K891" i="15"/>
  <c r="B891" i="15"/>
  <c r="O890" i="15"/>
  <c r="N890" i="15"/>
  <c r="R890" i="15" s="1"/>
  <c r="L890" i="15"/>
  <c r="K890" i="15"/>
  <c r="B890" i="15"/>
  <c r="O889" i="15"/>
  <c r="N889" i="15"/>
  <c r="R889" i="15" s="1"/>
  <c r="L889" i="15"/>
  <c r="K889" i="15"/>
  <c r="B889" i="15"/>
  <c r="O888" i="15"/>
  <c r="N888" i="15"/>
  <c r="R888" i="15" s="1"/>
  <c r="L888" i="15"/>
  <c r="K888" i="15"/>
  <c r="B888" i="15"/>
  <c r="O887" i="15"/>
  <c r="N887" i="15"/>
  <c r="R887" i="15" s="1"/>
  <c r="L887" i="15"/>
  <c r="K887" i="15"/>
  <c r="B887" i="15"/>
  <c r="O886" i="15"/>
  <c r="N886" i="15"/>
  <c r="L886" i="15"/>
  <c r="K886" i="15"/>
  <c r="B886" i="15"/>
  <c r="O885" i="15"/>
  <c r="N885" i="15"/>
  <c r="L885" i="15"/>
  <c r="K885" i="15"/>
  <c r="B885" i="15"/>
  <c r="O884" i="15"/>
  <c r="N884" i="15"/>
  <c r="R884" i="15" s="1"/>
  <c r="L884" i="15"/>
  <c r="K884" i="15"/>
  <c r="B884" i="15"/>
  <c r="O883" i="15"/>
  <c r="N883" i="15"/>
  <c r="L883" i="15"/>
  <c r="K883" i="15"/>
  <c r="B883" i="15"/>
  <c r="O882" i="15"/>
  <c r="N882" i="15"/>
  <c r="R882" i="15" s="1"/>
  <c r="L882" i="15"/>
  <c r="K882" i="15"/>
  <c r="B882" i="15"/>
  <c r="O881" i="15"/>
  <c r="N881" i="15"/>
  <c r="R881" i="15" s="1"/>
  <c r="L881" i="15"/>
  <c r="K881" i="15"/>
  <c r="B881" i="15"/>
  <c r="O880" i="15"/>
  <c r="N880" i="15"/>
  <c r="R880" i="15" s="1"/>
  <c r="L880" i="15"/>
  <c r="K880" i="15"/>
  <c r="B880" i="15"/>
  <c r="O879" i="15"/>
  <c r="N879" i="15"/>
  <c r="R879" i="15" s="1"/>
  <c r="L879" i="15"/>
  <c r="K879" i="15"/>
  <c r="B879" i="15"/>
  <c r="O878" i="15"/>
  <c r="N878" i="15"/>
  <c r="R878" i="15" s="1"/>
  <c r="L878" i="15"/>
  <c r="K878" i="15"/>
  <c r="B878" i="15"/>
  <c r="O877" i="15"/>
  <c r="N877" i="15"/>
  <c r="R877" i="15" s="1"/>
  <c r="L877" i="15"/>
  <c r="K877" i="15"/>
  <c r="B877" i="15"/>
  <c r="O876" i="15"/>
  <c r="N876" i="15"/>
  <c r="R876" i="15" s="1"/>
  <c r="L876" i="15"/>
  <c r="K876" i="15"/>
  <c r="B876" i="15"/>
  <c r="O875" i="15"/>
  <c r="N875" i="15"/>
  <c r="R875" i="15" s="1"/>
  <c r="L875" i="15"/>
  <c r="K875" i="15"/>
  <c r="B875" i="15"/>
  <c r="O874" i="15"/>
  <c r="N874" i="15"/>
  <c r="R874" i="15" s="1"/>
  <c r="L874" i="15"/>
  <c r="K874" i="15"/>
  <c r="B874" i="15"/>
  <c r="O873" i="15"/>
  <c r="N873" i="15"/>
  <c r="R873" i="15" s="1"/>
  <c r="L873" i="15"/>
  <c r="K873" i="15"/>
  <c r="B873" i="15"/>
  <c r="O872" i="15"/>
  <c r="N872" i="15"/>
  <c r="R872" i="15" s="1"/>
  <c r="L872" i="15"/>
  <c r="K872" i="15"/>
  <c r="B872" i="15"/>
  <c r="O871" i="15"/>
  <c r="N871" i="15"/>
  <c r="R871" i="15" s="1"/>
  <c r="L871" i="15"/>
  <c r="K871" i="15"/>
  <c r="B871" i="15"/>
  <c r="O870" i="15"/>
  <c r="N870" i="15"/>
  <c r="R870" i="15" s="1"/>
  <c r="L870" i="15"/>
  <c r="K870" i="15"/>
  <c r="B870" i="15"/>
  <c r="O869" i="15"/>
  <c r="N869" i="15"/>
  <c r="R869" i="15" s="1"/>
  <c r="L869" i="15"/>
  <c r="K869" i="15"/>
  <c r="B869" i="15"/>
  <c r="O868" i="15"/>
  <c r="N868" i="15"/>
  <c r="R868" i="15" s="1"/>
  <c r="L868" i="15"/>
  <c r="K868" i="15"/>
  <c r="B868" i="15"/>
  <c r="O867" i="15"/>
  <c r="N867" i="15"/>
  <c r="R867" i="15" s="1"/>
  <c r="L867" i="15"/>
  <c r="K867" i="15"/>
  <c r="B867" i="15"/>
  <c r="O866" i="15"/>
  <c r="N866" i="15"/>
  <c r="R866" i="15" s="1"/>
  <c r="L866" i="15"/>
  <c r="K866" i="15"/>
  <c r="B866" i="15"/>
  <c r="O865" i="15"/>
  <c r="N865" i="15"/>
  <c r="R865" i="15" s="1"/>
  <c r="L865" i="15"/>
  <c r="K865" i="15"/>
  <c r="B865" i="15"/>
  <c r="O864" i="15"/>
  <c r="N864" i="15"/>
  <c r="R864" i="15" s="1"/>
  <c r="L864" i="15"/>
  <c r="K864" i="15"/>
  <c r="B864" i="15"/>
  <c r="O863" i="15"/>
  <c r="N863" i="15"/>
  <c r="R863" i="15" s="1"/>
  <c r="L863" i="15"/>
  <c r="K863" i="15"/>
  <c r="B863" i="15"/>
  <c r="O862" i="15"/>
  <c r="N862" i="15"/>
  <c r="R862" i="15" s="1"/>
  <c r="L862" i="15"/>
  <c r="K862" i="15"/>
  <c r="B862" i="15"/>
  <c r="O861" i="15"/>
  <c r="N861" i="15"/>
  <c r="R861" i="15" s="1"/>
  <c r="L861" i="15"/>
  <c r="K861" i="15"/>
  <c r="B861" i="15"/>
  <c r="O860" i="15"/>
  <c r="N860" i="15"/>
  <c r="R860" i="15" s="1"/>
  <c r="L860" i="15"/>
  <c r="K860" i="15"/>
  <c r="B860" i="15"/>
  <c r="O859" i="15"/>
  <c r="N859" i="15"/>
  <c r="R859" i="15" s="1"/>
  <c r="L859" i="15"/>
  <c r="K859" i="15"/>
  <c r="B859" i="15"/>
  <c r="O858" i="15"/>
  <c r="N858" i="15"/>
  <c r="R858" i="15" s="1"/>
  <c r="L858" i="15"/>
  <c r="K858" i="15"/>
  <c r="B858" i="15"/>
  <c r="O857" i="15"/>
  <c r="N857" i="15"/>
  <c r="R857" i="15" s="1"/>
  <c r="L857" i="15"/>
  <c r="K857" i="15"/>
  <c r="B857" i="15"/>
  <c r="O856" i="15"/>
  <c r="N856" i="15"/>
  <c r="R856" i="15" s="1"/>
  <c r="L856" i="15"/>
  <c r="K856" i="15"/>
  <c r="B856" i="15"/>
  <c r="O855" i="15"/>
  <c r="N855" i="15"/>
  <c r="R855" i="15" s="1"/>
  <c r="L855" i="15"/>
  <c r="K855" i="15"/>
  <c r="B855" i="15"/>
  <c r="O854" i="15"/>
  <c r="N854" i="15"/>
  <c r="R854" i="15" s="1"/>
  <c r="L854" i="15"/>
  <c r="K854" i="15"/>
  <c r="B854" i="15"/>
  <c r="O853" i="15"/>
  <c r="N853" i="15"/>
  <c r="R853" i="15" s="1"/>
  <c r="L853" i="15"/>
  <c r="K853" i="15"/>
  <c r="B853" i="15"/>
  <c r="O852" i="15"/>
  <c r="N852" i="15"/>
  <c r="R852" i="15" s="1"/>
  <c r="L852" i="15"/>
  <c r="K852" i="15"/>
  <c r="B852" i="15"/>
  <c r="O851" i="15"/>
  <c r="N851" i="15"/>
  <c r="R851" i="15" s="1"/>
  <c r="L851" i="15"/>
  <c r="K851" i="15"/>
  <c r="B851" i="15"/>
  <c r="O850" i="15"/>
  <c r="N850" i="15"/>
  <c r="R850" i="15" s="1"/>
  <c r="L850" i="15"/>
  <c r="K850" i="15"/>
  <c r="B850" i="15"/>
  <c r="O849" i="15"/>
  <c r="N849" i="15"/>
  <c r="R849" i="15" s="1"/>
  <c r="L849" i="15"/>
  <c r="K849" i="15"/>
  <c r="B849" i="15"/>
  <c r="O848" i="15"/>
  <c r="N848" i="15"/>
  <c r="R848" i="15" s="1"/>
  <c r="L848" i="15"/>
  <c r="K848" i="15"/>
  <c r="B848" i="15"/>
  <c r="O847" i="15"/>
  <c r="N847" i="15"/>
  <c r="R847" i="15" s="1"/>
  <c r="L847" i="15"/>
  <c r="K847" i="15"/>
  <c r="B847" i="15"/>
  <c r="O846" i="15"/>
  <c r="N846" i="15"/>
  <c r="R846" i="15" s="1"/>
  <c r="L846" i="15"/>
  <c r="K846" i="15"/>
  <c r="B846" i="15"/>
  <c r="O845" i="15"/>
  <c r="N845" i="15"/>
  <c r="R845" i="15" s="1"/>
  <c r="L845" i="15"/>
  <c r="K845" i="15"/>
  <c r="B845" i="15"/>
  <c r="O844" i="15"/>
  <c r="N844" i="15"/>
  <c r="R844" i="15" s="1"/>
  <c r="L844" i="15"/>
  <c r="K844" i="15"/>
  <c r="B844" i="15"/>
  <c r="O843" i="15"/>
  <c r="N843" i="15"/>
  <c r="R843" i="15" s="1"/>
  <c r="L843" i="15"/>
  <c r="K843" i="15"/>
  <c r="B843" i="15"/>
  <c r="O842" i="15"/>
  <c r="N842" i="15"/>
  <c r="R842" i="15" s="1"/>
  <c r="L842" i="15"/>
  <c r="K842" i="15"/>
  <c r="B842" i="15"/>
  <c r="O841" i="15"/>
  <c r="N841" i="15"/>
  <c r="R841" i="15" s="1"/>
  <c r="L841" i="15"/>
  <c r="K841" i="15"/>
  <c r="B841" i="15"/>
  <c r="O840" i="15"/>
  <c r="N840" i="15"/>
  <c r="R840" i="15" s="1"/>
  <c r="L840" i="15"/>
  <c r="K840" i="15"/>
  <c r="B840" i="15"/>
  <c r="O839" i="15"/>
  <c r="N839" i="15"/>
  <c r="R839" i="15" s="1"/>
  <c r="L839" i="15"/>
  <c r="K839" i="15"/>
  <c r="B839" i="15"/>
  <c r="O838" i="15"/>
  <c r="N838" i="15"/>
  <c r="R838" i="15" s="1"/>
  <c r="L838" i="15"/>
  <c r="K838" i="15"/>
  <c r="B838" i="15"/>
  <c r="O837" i="15"/>
  <c r="N837" i="15"/>
  <c r="R837" i="15" s="1"/>
  <c r="L837" i="15"/>
  <c r="K837" i="15"/>
  <c r="B837" i="15"/>
  <c r="O836" i="15"/>
  <c r="N836" i="15"/>
  <c r="R836" i="15" s="1"/>
  <c r="L836" i="15"/>
  <c r="K836" i="15"/>
  <c r="B836" i="15"/>
  <c r="O835" i="15"/>
  <c r="N835" i="15"/>
  <c r="R835" i="15" s="1"/>
  <c r="L835" i="15"/>
  <c r="K835" i="15"/>
  <c r="B835" i="15"/>
  <c r="O834" i="15"/>
  <c r="N834" i="15"/>
  <c r="R834" i="15" s="1"/>
  <c r="L834" i="15"/>
  <c r="K834" i="15"/>
  <c r="B834" i="15"/>
  <c r="O833" i="15"/>
  <c r="N833" i="15"/>
  <c r="R833" i="15" s="1"/>
  <c r="L833" i="15"/>
  <c r="K833" i="15"/>
  <c r="B833" i="15"/>
  <c r="O832" i="15"/>
  <c r="N832" i="15"/>
  <c r="R832" i="15" s="1"/>
  <c r="L832" i="15"/>
  <c r="K832" i="15"/>
  <c r="B832" i="15"/>
  <c r="O831" i="15"/>
  <c r="N831" i="15"/>
  <c r="R831" i="15" s="1"/>
  <c r="L831" i="15"/>
  <c r="K831" i="15"/>
  <c r="B831" i="15"/>
  <c r="O830" i="15"/>
  <c r="N830" i="15"/>
  <c r="L830" i="15"/>
  <c r="K830" i="15"/>
  <c r="B830" i="15"/>
  <c r="O829" i="15"/>
  <c r="N829" i="15"/>
  <c r="R829" i="15" s="1"/>
  <c r="L829" i="15"/>
  <c r="K829" i="15"/>
  <c r="B829" i="15"/>
  <c r="O828" i="15"/>
  <c r="N828" i="15"/>
  <c r="R828" i="15" s="1"/>
  <c r="L828" i="15"/>
  <c r="K828" i="15"/>
  <c r="B828" i="15"/>
  <c r="O827" i="15"/>
  <c r="N827" i="15"/>
  <c r="R827" i="15" s="1"/>
  <c r="L827" i="15"/>
  <c r="K827" i="15"/>
  <c r="B827" i="15"/>
  <c r="O826" i="15"/>
  <c r="N826" i="15"/>
  <c r="R826" i="15" s="1"/>
  <c r="L826" i="15"/>
  <c r="K826" i="15"/>
  <c r="B826" i="15"/>
  <c r="O825" i="15"/>
  <c r="N825" i="15"/>
  <c r="R825" i="15" s="1"/>
  <c r="L825" i="15"/>
  <c r="K825" i="15"/>
  <c r="B825" i="15"/>
  <c r="O824" i="15"/>
  <c r="N824" i="15"/>
  <c r="R824" i="15" s="1"/>
  <c r="L824" i="15"/>
  <c r="K824" i="15"/>
  <c r="B824" i="15"/>
  <c r="O823" i="15"/>
  <c r="N823" i="15"/>
  <c r="R823" i="15" s="1"/>
  <c r="L823" i="15"/>
  <c r="K823" i="15"/>
  <c r="B823" i="15"/>
  <c r="O822" i="15"/>
  <c r="N822" i="15"/>
  <c r="R822" i="15" s="1"/>
  <c r="L822" i="15"/>
  <c r="K822" i="15"/>
  <c r="B822" i="15"/>
  <c r="O821" i="15"/>
  <c r="N821" i="15"/>
  <c r="R821" i="15" s="1"/>
  <c r="L821" i="15"/>
  <c r="K821" i="15"/>
  <c r="B821" i="15"/>
  <c r="O820" i="15"/>
  <c r="N820" i="15"/>
  <c r="R820" i="15" s="1"/>
  <c r="L820" i="15"/>
  <c r="K820" i="15"/>
  <c r="B820" i="15"/>
  <c r="O819" i="15"/>
  <c r="N819" i="15"/>
  <c r="R819" i="15" s="1"/>
  <c r="L819" i="15"/>
  <c r="K819" i="15"/>
  <c r="B819" i="15"/>
  <c r="O818" i="15"/>
  <c r="N818" i="15"/>
  <c r="R818" i="15" s="1"/>
  <c r="L818" i="15"/>
  <c r="K818" i="15"/>
  <c r="B818" i="15"/>
  <c r="O817" i="15"/>
  <c r="N817" i="15"/>
  <c r="R817" i="15" s="1"/>
  <c r="L817" i="15"/>
  <c r="K817" i="15"/>
  <c r="B817" i="15"/>
  <c r="O816" i="15"/>
  <c r="N816" i="15"/>
  <c r="R816" i="15" s="1"/>
  <c r="L816" i="15"/>
  <c r="K816" i="15"/>
  <c r="B816" i="15"/>
  <c r="O815" i="15"/>
  <c r="N815" i="15"/>
  <c r="R815" i="15" s="1"/>
  <c r="L815" i="15"/>
  <c r="K815" i="15"/>
  <c r="B815" i="15"/>
  <c r="O814" i="15"/>
  <c r="N814" i="15"/>
  <c r="R814" i="15" s="1"/>
  <c r="L814" i="15"/>
  <c r="K814" i="15"/>
  <c r="B814" i="15"/>
  <c r="O813" i="15"/>
  <c r="N813" i="15"/>
  <c r="R813" i="15" s="1"/>
  <c r="L813" i="15"/>
  <c r="K813" i="15"/>
  <c r="B813" i="15"/>
  <c r="O812" i="15"/>
  <c r="N812" i="15"/>
  <c r="R812" i="15" s="1"/>
  <c r="L812" i="15"/>
  <c r="K812" i="15"/>
  <c r="B812" i="15"/>
  <c r="O811" i="15"/>
  <c r="N811" i="15"/>
  <c r="R811" i="15" s="1"/>
  <c r="L811" i="15"/>
  <c r="K811" i="15"/>
  <c r="B811" i="15"/>
  <c r="O810" i="15"/>
  <c r="N810" i="15"/>
  <c r="R810" i="15" s="1"/>
  <c r="L810" i="15"/>
  <c r="K810" i="15"/>
  <c r="B810" i="15"/>
  <c r="O809" i="15"/>
  <c r="N809" i="15"/>
  <c r="R809" i="15" s="1"/>
  <c r="L809" i="15"/>
  <c r="K809" i="15"/>
  <c r="B809" i="15"/>
  <c r="O808" i="15"/>
  <c r="N808" i="15"/>
  <c r="R808" i="15" s="1"/>
  <c r="L808" i="15"/>
  <c r="K808" i="15"/>
  <c r="B808" i="15"/>
  <c r="O807" i="15"/>
  <c r="N807" i="15"/>
  <c r="R807" i="15" s="1"/>
  <c r="L807" i="15"/>
  <c r="K807" i="15"/>
  <c r="B807" i="15"/>
  <c r="O806" i="15"/>
  <c r="N806" i="15"/>
  <c r="R806" i="15" s="1"/>
  <c r="L806" i="15"/>
  <c r="K806" i="15"/>
  <c r="B806" i="15"/>
  <c r="O805" i="15"/>
  <c r="N805" i="15"/>
  <c r="R805" i="15" s="1"/>
  <c r="L805" i="15"/>
  <c r="K805" i="15"/>
  <c r="B805" i="15"/>
  <c r="O804" i="15"/>
  <c r="N804" i="15"/>
  <c r="R804" i="15" s="1"/>
  <c r="L804" i="15"/>
  <c r="K804" i="15"/>
  <c r="B804" i="15"/>
  <c r="O803" i="15"/>
  <c r="N803" i="15"/>
  <c r="R803" i="15" s="1"/>
  <c r="L803" i="15"/>
  <c r="K803" i="15"/>
  <c r="B803" i="15"/>
  <c r="O802" i="15"/>
  <c r="N802" i="15"/>
  <c r="R802" i="15" s="1"/>
  <c r="L802" i="15"/>
  <c r="K802" i="15"/>
  <c r="B802" i="15"/>
  <c r="O801" i="15"/>
  <c r="N801" i="15"/>
  <c r="R801" i="15" s="1"/>
  <c r="L801" i="15"/>
  <c r="K801" i="15"/>
  <c r="B801" i="15"/>
  <c r="O800" i="15"/>
  <c r="N800" i="15"/>
  <c r="R800" i="15" s="1"/>
  <c r="L800" i="15"/>
  <c r="K800" i="15"/>
  <c r="B800" i="15"/>
  <c r="O799" i="15"/>
  <c r="N799" i="15"/>
  <c r="R799" i="15" s="1"/>
  <c r="L799" i="15"/>
  <c r="K799" i="15"/>
  <c r="B799" i="15"/>
  <c r="O798" i="15"/>
  <c r="N798" i="15"/>
  <c r="R798" i="15" s="1"/>
  <c r="L798" i="15"/>
  <c r="K798" i="15"/>
  <c r="B798" i="15"/>
  <c r="O797" i="15"/>
  <c r="N797" i="15"/>
  <c r="R797" i="15" s="1"/>
  <c r="L797" i="15"/>
  <c r="K797" i="15"/>
  <c r="B797" i="15"/>
  <c r="O796" i="15"/>
  <c r="N796" i="15"/>
  <c r="R796" i="15" s="1"/>
  <c r="L796" i="15"/>
  <c r="K796" i="15"/>
  <c r="B796" i="15"/>
  <c r="O795" i="15"/>
  <c r="N795" i="15"/>
  <c r="R795" i="15" s="1"/>
  <c r="L795" i="15"/>
  <c r="K795" i="15"/>
  <c r="B795" i="15"/>
  <c r="O794" i="15"/>
  <c r="N794" i="15"/>
  <c r="R794" i="15" s="1"/>
  <c r="L794" i="15"/>
  <c r="K794" i="15"/>
  <c r="B794" i="15"/>
  <c r="O793" i="15"/>
  <c r="N793" i="15"/>
  <c r="R793" i="15" s="1"/>
  <c r="L793" i="15"/>
  <c r="K793" i="15"/>
  <c r="B793" i="15"/>
  <c r="O792" i="15"/>
  <c r="N792" i="15"/>
  <c r="R792" i="15" s="1"/>
  <c r="L792" i="15"/>
  <c r="K792" i="15"/>
  <c r="B792" i="15"/>
  <c r="O791" i="15"/>
  <c r="N791" i="15"/>
  <c r="R791" i="15" s="1"/>
  <c r="L791" i="15"/>
  <c r="K791" i="15"/>
  <c r="B791" i="15"/>
  <c r="O790" i="15"/>
  <c r="N790" i="15"/>
  <c r="R790" i="15" s="1"/>
  <c r="L790" i="15"/>
  <c r="K790" i="15"/>
  <c r="B790" i="15"/>
  <c r="O789" i="15"/>
  <c r="N789" i="15"/>
  <c r="R789" i="15" s="1"/>
  <c r="L789" i="15"/>
  <c r="K789" i="15"/>
  <c r="B789" i="15"/>
  <c r="O788" i="15"/>
  <c r="N788" i="15"/>
  <c r="R788" i="15" s="1"/>
  <c r="L788" i="15"/>
  <c r="K788" i="15"/>
  <c r="B788" i="15"/>
  <c r="O787" i="15"/>
  <c r="N787" i="15"/>
  <c r="R787" i="15" s="1"/>
  <c r="L787" i="15"/>
  <c r="K787" i="15"/>
  <c r="B787" i="15"/>
  <c r="O786" i="15"/>
  <c r="N786" i="15"/>
  <c r="R786" i="15" s="1"/>
  <c r="L786" i="15"/>
  <c r="K786" i="15"/>
  <c r="B786" i="15"/>
  <c r="O785" i="15"/>
  <c r="N785" i="15"/>
  <c r="R785" i="15" s="1"/>
  <c r="L785" i="15"/>
  <c r="K785" i="15"/>
  <c r="B785" i="15"/>
  <c r="O784" i="15"/>
  <c r="N784" i="15"/>
  <c r="R784" i="15" s="1"/>
  <c r="L784" i="15"/>
  <c r="K784" i="15"/>
  <c r="B784" i="15"/>
  <c r="O783" i="15"/>
  <c r="N783" i="15"/>
  <c r="R783" i="15" s="1"/>
  <c r="L783" i="15"/>
  <c r="K783" i="15"/>
  <c r="B783" i="15"/>
  <c r="O782" i="15"/>
  <c r="N782" i="15"/>
  <c r="R782" i="15" s="1"/>
  <c r="L782" i="15"/>
  <c r="K782" i="15"/>
  <c r="B782" i="15"/>
  <c r="O781" i="15"/>
  <c r="N781" i="15"/>
  <c r="R781" i="15" s="1"/>
  <c r="L781" i="15"/>
  <c r="K781" i="15"/>
  <c r="B781" i="15"/>
  <c r="O780" i="15"/>
  <c r="N780" i="15"/>
  <c r="R780" i="15" s="1"/>
  <c r="L780" i="15"/>
  <c r="K780" i="15"/>
  <c r="B780" i="15"/>
  <c r="O779" i="15"/>
  <c r="N779" i="15"/>
  <c r="R779" i="15" s="1"/>
  <c r="L779" i="15"/>
  <c r="K779" i="15"/>
  <c r="B779" i="15"/>
  <c r="O778" i="15"/>
  <c r="N778" i="15"/>
  <c r="L778" i="15"/>
  <c r="K778" i="15"/>
  <c r="B778" i="15"/>
  <c r="O777" i="15"/>
  <c r="N777" i="15"/>
  <c r="R777" i="15" s="1"/>
  <c r="L777" i="15"/>
  <c r="K777" i="15"/>
  <c r="B777" i="15"/>
  <c r="O776" i="15"/>
  <c r="N776" i="15"/>
  <c r="R776" i="15" s="1"/>
  <c r="L776" i="15"/>
  <c r="K776" i="15"/>
  <c r="B776" i="15"/>
  <c r="O775" i="15"/>
  <c r="N775" i="15"/>
  <c r="R775" i="15" s="1"/>
  <c r="L775" i="15"/>
  <c r="K775" i="15"/>
  <c r="B775" i="15"/>
  <c r="O774" i="15"/>
  <c r="N774" i="15"/>
  <c r="R774" i="15" s="1"/>
  <c r="L774" i="15"/>
  <c r="K774" i="15"/>
  <c r="B774" i="15"/>
  <c r="O773" i="15"/>
  <c r="N773" i="15"/>
  <c r="R773" i="15" s="1"/>
  <c r="L773" i="15"/>
  <c r="K773" i="15"/>
  <c r="B773" i="15"/>
  <c r="O772" i="15"/>
  <c r="N772" i="15"/>
  <c r="L772" i="15"/>
  <c r="K772" i="15"/>
  <c r="B772" i="15"/>
  <c r="O771" i="15"/>
  <c r="N771" i="15"/>
  <c r="R771" i="15" s="1"/>
  <c r="L771" i="15"/>
  <c r="K771" i="15"/>
  <c r="B771" i="15"/>
  <c r="O770" i="15"/>
  <c r="N770" i="15"/>
  <c r="L770" i="15"/>
  <c r="K770" i="15"/>
  <c r="B770" i="15"/>
  <c r="O769" i="15"/>
  <c r="N769" i="15"/>
  <c r="R769" i="15" s="1"/>
  <c r="L769" i="15"/>
  <c r="K769" i="15"/>
  <c r="B769" i="15"/>
  <c r="O768" i="15"/>
  <c r="N768" i="15"/>
  <c r="R768" i="15" s="1"/>
  <c r="L768" i="15"/>
  <c r="K768" i="15"/>
  <c r="B768" i="15"/>
  <c r="O767" i="15"/>
  <c r="N767" i="15"/>
  <c r="R767" i="15" s="1"/>
  <c r="L767" i="15"/>
  <c r="K767" i="15"/>
  <c r="B767" i="15"/>
  <c r="O766" i="15"/>
  <c r="N766" i="15"/>
  <c r="R766" i="15" s="1"/>
  <c r="L766" i="15"/>
  <c r="K766" i="15"/>
  <c r="B766" i="15"/>
  <c r="O765" i="15"/>
  <c r="N765" i="15"/>
  <c r="R765" i="15" s="1"/>
  <c r="L765" i="15"/>
  <c r="K765" i="15"/>
  <c r="B765" i="15"/>
  <c r="O764" i="15"/>
  <c r="N764" i="15"/>
  <c r="R764" i="15" s="1"/>
  <c r="L764" i="15"/>
  <c r="K764" i="15"/>
  <c r="B764" i="15"/>
  <c r="O763" i="15"/>
  <c r="N763" i="15"/>
  <c r="R763" i="15" s="1"/>
  <c r="L763" i="15"/>
  <c r="K763" i="15"/>
  <c r="B763" i="15"/>
  <c r="O762" i="15"/>
  <c r="N762" i="15"/>
  <c r="R762" i="15" s="1"/>
  <c r="L762" i="15"/>
  <c r="K762" i="15"/>
  <c r="B762" i="15"/>
  <c r="O761" i="15"/>
  <c r="N761" i="15"/>
  <c r="R761" i="15" s="1"/>
  <c r="L761" i="15"/>
  <c r="K761" i="15"/>
  <c r="B761" i="15"/>
  <c r="O760" i="15"/>
  <c r="N760" i="15"/>
  <c r="L760" i="15"/>
  <c r="K760" i="15"/>
  <c r="B760" i="15"/>
  <c r="O759" i="15"/>
  <c r="N759" i="15"/>
  <c r="R759" i="15" s="1"/>
  <c r="L759" i="15"/>
  <c r="K759" i="15"/>
  <c r="B759" i="15"/>
  <c r="O758" i="15"/>
  <c r="N758" i="15"/>
  <c r="R758" i="15" s="1"/>
  <c r="L758" i="15"/>
  <c r="K758" i="15"/>
  <c r="B758" i="15"/>
  <c r="O757" i="15"/>
  <c r="N757" i="15"/>
  <c r="R757" i="15" s="1"/>
  <c r="L757" i="15"/>
  <c r="K757" i="15"/>
  <c r="B757" i="15"/>
  <c r="O756" i="15"/>
  <c r="N756" i="15"/>
  <c r="R756" i="15" s="1"/>
  <c r="L756" i="15"/>
  <c r="K756" i="15"/>
  <c r="B756" i="15"/>
  <c r="O755" i="15"/>
  <c r="N755" i="15"/>
  <c r="R755" i="15" s="1"/>
  <c r="L755" i="15"/>
  <c r="K755" i="15"/>
  <c r="B755" i="15"/>
  <c r="O754" i="15"/>
  <c r="N754" i="15"/>
  <c r="R754" i="15" s="1"/>
  <c r="L754" i="15"/>
  <c r="K754" i="15"/>
  <c r="B754" i="15"/>
  <c r="O753" i="15"/>
  <c r="N753" i="15"/>
  <c r="R753" i="15" s="1"/>
  <c r="L753" i="15"/>
  <c r="K753" i="15"/>
  <c r="B753" i="15"/>
  <c r="O752" i="15"/>
  <c r="N752" i="15"/>
  <c r="R752" i="15" s="1"/>
  <c r="L752" i="15"/>
  <c r="K752" i="15"/>
  <c r="B752" i="15"/>
  <c r="O751" i="15"/>
  <c r="N751" i="15"/>
  <c r="R751" i="15" s="1"/>
  <c r="L751" i="15"/>
  <c r="K751" i="15"/>
  <c r="B751" i="15"/>
  <c r="O750" i="15"/>
  <c r="N750" i="15"/>
  <c r="R750" i="15" s="1"/>
  <c r="L750" i="15"/>
  <c r="K750" i="15"/>
  <c r="B750" i="15"/>
  <c r="O749" i="15"/>
  <c r="N749" i="15"/>
  <c r="R749" i="15" s="1"/>
  <c r="L749" i="15"/>
  <c r="K749" i="15"/>
  <c r="B749" i="15"/>
  <c r="O748" i="15"/>
  <c r="N748" i="15"/>
  <c r="R748" i="15" s="1"/>
  <c r="L748" i="15"/>
  <c r="K748" i="15"/>
  <c r="B748" i="15"/>
  <c r="O747" i="15"/>
  <c r="N747" i="15"/>
  <c r="R747" i="15" s="1"/>
  <c r="L747" i="15"/>
  <c r="K747" i="15"/>
  <c r="B747" i="15"/>
  <c r="O746" i="15"/>
  <c r="N746" i="15"/>
  <c r="R746" i="15" s="1"/>
  <c r="L746" i="15"/>
  <c r="K746" i="15"/>
  <c r="B746" i="15"/>
  <c r="O745" i="15"/>
  <c r="N745" i="15"/>
  <c r="R745" i="15" s="1"/>
  <c r="L745" i="15"/>
  <c r="K745" i="15"/>
  <c r="B745" i="15"/>
  <c r="O744" i="15"/>
  <c r="N744" i="15"/>
  <c r="R744" i="15" s="1"/>
  <c r="L744" i="15"/>
  <c r="K744" i="15"/>
  <c r="B744" i="15"/>
  <c r="O743" i="15"/>
  <c r="N743" i="15"/>
  <c r="L743" i="15"/>
  <c r="K743" i="15"/>
  <c r="B743" i="15"/>
  <c r="O742" i="15"/>
  <c r="N742" i="15"/>
  <c r="R742" i="15" s="1"/>
  <c r="L742" i="15"/>
  <c r="K742" i="15"/>
  <c r="B742" i="15"/>
  <c r="O741" i="15"/>
  <c r="N741" i="15"/>
  <c r="R741" i="15" s="1"/>
  <c r="L741" i="15"/>
  <c r="K741" i="15"/>
  <c r="B741" i="15"/>
  <c r="O740" i="15"/>
  <c r="N740" i="15"/>
  <c r="R740" i="15" s="1"/>
  <c r="L740" i="15"/>
  <c r="K740" i="15"/>
  <c r="B740" i="15"/>
  <c r="O739" i="15"/>
  <c r="N739" i="15"/>
  <c r="R739" i="15" s="1"/>
  <c r="L739" i="15"/>
  <c r="K739" i="15"/>
  <c r="B739" i="15"/>
  <c r="O738" i="15"/>
  <c r="N738" i="15"/>
  <c r="R738" i="15" s="1"/>
  <c r="L738" i="15"/>
  <c r="K738" i="15"/>
  <c r="B738" i="15"/>
  <c r="O737" i="15"/>
  <c r="N737" i="15"/>
  <c r="R737" i="15" s="1"/>
  <c r="L737" i="15"/>
  <c r="K737" i="15"/>
  <c r="B737" i="15"/>
  <c r="O736" i="15"/>
  <c r="N736" i="15"/>
  <c r="R736" i="15" s="1"/>
  <c r="L736" i="15"/>
  <c r="K736" i="15"/>
  <c r="B736" i="15"/>
  <c r="O735" i="15"/>
  <c r="N735" i="15"/>
  <c r="R735" i="15" s="1"/>
  <c r="L735" i="15"/>
  <c r="K735" i="15"/>
  <c r="B735" i="15"/>
  <c r="O734" i="15"/>
  <c r="N734" i="15"/>
  <c r="R734" i="15" s="1"/>
  <c r="L734" i="15"/>
  <c r="K734" i="15"/>
  <c r="B734" i="15"/>
  <c r="O733" i="15"/>
  <c r="N733" i="15"/>
  <c r="R733" i="15" s="1"/>
  <c r="L733" i="15"/>
  <c r="K733" i="15"/>
  <c r="B733" i="15"/>
  <c r="O732" i="15"/>
  <c r="N732" i="15"/>
  <c r="R732" i="15" s="1"/>
  <c r="L732" i="15"/>
  <c r="K732" i="15"/>
  <c r="B732" i="15"/>
  <c r="O731" i="15"/>
  <c r="N731" i="15"/>
  <c r="R731" i="15" s="1"/>
  <c r="L731" i="15"/>
  <c r="K731" i="15"/>
  <c r="B731" i="15"/>
  <c r="O730" i="15"/>
  <c r="N730" i="15"/>
  <c r="R730" i="15" s="1"/>
  <c r="L730" i="15"/>
  <c r="K730" i="15"/>
  <c r="B730" i="15"/>
  <c r="O729" i="15"/>
  <c r="N729" i="15"/>
  <c r="R729" i="15" s="1"/>
  <c r="L729" i="15"/>
  <c r="K729" i="15"/>
  <c r="B729" i="15"/>
  <c r="O728" i="15"/>
  <c r="N728" i="15"/>
  <c r="L728" i="15"/>
  <c r="K728" i="15"/>
  <c r="B728" i="15"/>
  <c r="O727" i="15"/>
  <c r="N727" i="15"/>
  <c r="R727" i="15" s="1"/>
  <c r="L727" i="15"/>
  <c r="K727" i="15"/>
  <c r="B727" i="15"/>
  <c r="O726" i="15"/>
  <c r="N726" i="15"/>
  <c r="R726" i="15" s="1"/>
  <c r="L726" i="15"/>
  <c r="K726" i="15"/>
  <c r="B726" i="15"/>
  <c r="O725" i="15"/>
  <c r="N725" i="15"/>
  <c r="R725" i="15" s="1"/>
  <c r="L725" i="15"/>
  <c r="K725" i="15"/>
  <c r="B725" i="15"/>
  <c r="O724" i="15"/>
  <c r="N724" i="15"/>
  <c r="R724" i="15" s="1"/>
  <c r="L724" i="15"/>
  <c r="K724" i="15"/>
  <c r="B724" i="15"/>
  <c r="O723" i="15"/>
  <c r="N723" i="15"/>
  <c r="R723" i="15" s="1"/>
  <c r="L723" i="15"/>
  <c r="K723" i="15"/>
  <c r="B723" i="15"/>
  <c r="O722" i="15"/>
  <c r="N722" i="15"/>
  <c r="L722" i="15"/>
  <c r="K722" i="15"/>
  <c r="B722" i="15"/>
  <c r="O721" i="15"/>
  <c r="N721" i="15"/>
  <c r="R721" i="15" s="1"/>
  <c r="L721" i="15"/>
  <c r="K721" i="15"/>
  <c r="B721" i="15"/>
  <c r="O720" i="15"/>
  <c r="N720" i="15"/>
  <c r="R720" i="15" s="1"/>
  <c r="L720" i="15"/>
  <c r="K720" i="15"/>
  <c r="B720" i="15"/>
  <c r="O719" i="15"/>
  <c r="N719" i="15"/>
  <c r="R719" i="15" s="1"/>
  <c r="L719" i="15"/>
  <c r="K719" i="15"/>
  <c r="B719" i="15"/>
  <c r="O718" i="15"/>
  <c r="N718" i="15"/>
  <c r="R718" i="15" s="1"/>
  <c r="L718" i="15"/>
  <c r="K718" i="15"/>
  <c r="B718" i="15"/>
  <c r="O717" i="15"/>
  <c r="N717" i="15"/>
  <c r="R717" i="15" s="1"/>
  <c r="L717" i="15"/>
  <c r="K717" i="15"/>
  <c r="B717" i="15"/>
  <c r="O716" i="15"/>
  <c r="N716" i="15"/>
  <c r="R716" i="15" s="1"/>
  <c r="L716" i="15"/>
  <c r="K716" i="15"/>
  <c r="B716" i="15"/>
  <c r="O715" i="15"/>
  <c r="N715" i="15"/>
  <c r="R715" i="15" s="1"/>
  <c r="L715" i="15"/>
  <c r="K715" i="15"/>
  <c r="B715" i="15"/>
  <c r="O714" i="15"/>
  <c r="N714" i="15"/>
  <c r="R714" i="15" s="1"/>
  <c r="L714" i="15"/>
  <c r="K714" i="15"/>
  <c r="B714" i="15"/>
  <c r="O713" i="15"/>
  <c r="N713" i="15"/>
  <c r="R713" i="15" s="1"/>
  <c r="L713" i="15"/>
  <c r="K713" i="15"/>
  <c r="B713" i="15"/>
  <c r="O712" i="15"/>
  <c r="N712" i="15"/>
  <c r="R712" i="15" s="1"/>
  <c r="L712" i="15"/>
  <c r="K712" i="15"/>
  <c r="B712" i="15"/>
  <c r="O711" i="15"/>
  <c r="N711" i="15"/>
  <c r="R711" i="15" s="1"/>
  <c r="L711" i="15"/>
  <c r="K711" i="15"/>
  <c r="B711" i="15"/>
  <c r="O710" i="15"/>
  <c r="N710" i="15"/>
  <c r="L710" i="15"/>
  <c r="K710" i="15"/>
  <c r="B710" i="15"/>
  <c r="O709" i="15"/>
  <c r="N709" i="15"/>
  <c r="R709" i="15" s="1"/>
  <c r="L709" i="15"/>
  <c r="K709" i="15"/>
  <c r="B709" i="15"/>
  <c r="O708" i="15"/>
  <c r="N708" i="15"/>
  <c r="R708" i="15" s="1"/>
  <c r="L708" i="15"/>
  <c r="K708" i="15"/>
  <c r="B708" i="15"/>
  <c r="O707" i="15"/>
  <c r="N707" i="15"/>
  <c r="R707" i="15" s="1"/>
  <c r="L707" i="15"/>
  <c r="K707" i="15"/>
  <c r="B707" i="15"/>
  <c r="O706" i="15"/>
  <c r="N706" i="15"/>
  <c r="R706" i="15" s="1"/>
  <c r="L706" i="15"/>
  <c r="K706" i="15"/>
  <c r="B706" i="15"/>
  <c r="O705" i="15"/>
  <c r="N705" i="15"/>
  <c r="R705" i="15" s="1"/>
  <c r="L705" i="15"/>
  <c r="K705" i="15"/>
  <c r="B705" i="15"/>
  <c r="O704" i="15"/>
  <c r="N704" i="15"/>
  <c r="R704" i="15" s="1"/>
  <c r="L704" i="15"/>
  <c r="K704" i="15"/>
  <c r="B704" i="15"/>
  <c r="O703" i="15"/>
  <c r="N703" i="15"/>
  <c r="R703" i="15" s="1"/>
  <c r="L703" i="15"/>
  <c r="K703" i="15"/>
  <c r="B703" i="15"/>
  <c r="O702" i="15"/>
  <c r="N702" i="15"/>
  <c r="R702" i="15" s="1"/>
  <c r="L702" i="15"/>
  <c r="K702" i="15"/>
  <c r="B702" i="15"/>
  <c r="O701" i="15"/>
  <c r="N701" i="15"/>
  <c r="R701" i="15" s="1"/>
  <c r="L701" i="15"/>
  <c r="K701" i="15"/>
  <c r="B701" i="15"/>
  <c r="O700" i="15"/>
  <c r="N700" i="15"/>
  <c r="R700" i="15" s="1"/>
  <c r="L700" i="15"/>
  <c r="K700" i="15"/>
  <c r="B700" i="15"/>
  <c r="O699" i="15"/>
  <c r="N699" i="15"/>
  <c r="R699" i="15" s="1"/>
  <c r="L699" i="15"/>
  <c r="K699" i="15"/>
  <c r="B699" i="15"/>
  <c r="O698" i="15"/>
  <c r="N698" i="15"/>
  <c r="R698" i="15" s="1"/>
  <c r="L698" i="15"/>
  <c r="K698" i="15"/>
  <c r="B698" i="15"/>
  <c r="O697" i="15"/>
  <c r="N697" i="15"/>
  <c r="R697" i="15" s="1"/>
  <c r="L697" i="15"/>
  <c r="K697" i="15"/>
  <c r="B697" i="15"/>
  <c r="O696" i="15"/>
  <c r="N696" i="15"/>
  <c r="R696" i="15" s="1"/>
  <c r="L696" i="15"/>
  <c r="K696" i="15"/>
  <c r="B696" i="15"/>
  <c r="O695" i="15"/>
  <c r="N695" i="15"/>
  <c r="L695" i="15"/>
  <c r="K695" i="15"/>
  <c r="B695" i="15"/>
  <c r="O694" i="15"/>
  <c r="N694" i="15"/>
  <c r="R694" i="15" s="1"/>
  <c r="L694" i="15"/>
  <c r="K694" i="15"/>
  <c r="B694" i="15"/>
  <c r="O693" i="15"/>
  <c r="N693" i="15"/>
  <c r="R693" i="15" s="1"/>
  <c r="L693" i="15"/>
  <c r="K693" i="15"/>
  <c r="B693" i="15"/>
  <c r="O692" i="15"/>
  <c r="N692" i="15"/>
  <c r="R692" i="15" s="1"/>
  <c r="L692" i="15"/>
  <c r="K692" i="15"/>
  <c r="B692" i="15"/>
  <c r="O691" i="15"/>
  <c r="N691" i="15"/>
  <c r="R691" i="15" s="1"/>
  <c r="L691" i="15"/>
  <c r="K691" i="15"/>
  <c r="B691" i="15"/>
  <c r="O690" i="15"/>
  <c r="N690" i="15"/>
  <c r="R690" i="15" s="1"/>
  <c r="L690" i="15"/>
  <c r="K690" i="15"/>
  <c r="B690" i="15"/>
  <c r="O689" i="15"/>
  <c r="N689" i="15"/>
  <c r="R689" i="15" s="1"/>
  <c r="L689" i="15"/>
  <c r="K689" i="15"/>
  <c r="B689" i="15"/>
  <c r="O688" i="15"/>
  <c r="N688" i="15"/>
  <c r="R688" i="15" s="1"/>
  <c r="L688" i="15"/>
  <c r="K688" i="15"/>
  <c r="B688" i="15"/>
  <c r="O687" i="15"/>
  <c r="N687" i="15"/>
  <c r="R687" i="15" s="1"/>
  <c r="L687" i="15"/>
  <c r="K687" i="15"/>
  <c r="B687" i="15"/>
  <c r="O686" i="15"/>
  <c r="N686" i="15"/>
  <c r="R686" i="15" s="1"/>
  <c r="L686" i="15"/>
  <c r="K686" i="15"/>
  <c r="B686" i="15"/>
  <c r="O685" i="15"/>
  <c r="N685" i="15"/>
  <c r="R685" i="15" s="1"/>
  <c r="L685" i="15"/>
  <c r="K685" i="15"/>
  <c r="B685" i="15"/>
  <c r="O684" i="15"/>
  <c r="N684" i="15"/>
  <c r="R684" i="15" s="1"/>
  <c r="L684" i="15"/>
  <c r="K684" i="15"/>
  <c r="B684" i="15"/>
  <c r="O683" i="15"/>
  <c r="N683" i="15"/>
  <c r="R683" i="15" s="1"/>
  <c r="L683" i="15"/>
  <c r="K683" i="15"/>
  <c r="B683" i="15"/>
  <c r="O682" i="15"/>
  <c r="N682" i="15"/>
  <c r="R682" i="15" s="1"/>
  <c r="L682" i="15"/>
  <c r="K682" i="15"/>
  <c r="B682" i="15"/>
  <c r="O681" i="15"/>
  <c r="N681" i="15"/>
  <c r="R681" i="15" s="1"/>
  <c r="L681" i="15"/>
  <c r="K681" i="15"/>
  <c r="B681" i="15"/>
  <c r="O680" i="15"/>
  <c r="N680" i="15"/>
  <c r="R680" i="15" s="1"/>
  <c r="L680" i="15"/>
  <c r="K680" i="15"/>
  <c r="B680" i="15"/>
  <c r="O679" i="15"/>
  <c r="N679" i="15"/>
  <c r="R679" i="15" s="1"/>
  <c r="L679" i="15"/>
  <c r="K679" i="15"/>
  <c r="B679" i="15"/>
  <c r="O678" i="15"/>
  <c r="N678" i="15"/>
  <c r="R678" i="15" s="1"/>
  <c r="L678" i="15"/>
  <c r="K678" i="15"/>
  <c r="B678" i="15"/>
  <c r="O677" i="15"/>
  <c r="N677" i="15"/>
  <c r="R677" i="15" s="1"/>
  <c r="L677" i="15"/>
  <c r="K677" i="15"/>
  <c r="B677" i="15"/>
  <c r="O676" i="15"/>
  <c r="N676" i="15"/>
  <c r="R676" i="15" s="1"/>
  <c r="L676" i="15"/>
  <c r="K676" i="15"/>
  <c r="B676" i="15"/>
  <c r="O675" i="15"/>
  <c r="N675" i="15"/>
  <c r="R675" i="15" s="1"/>
  <c r="L675" i="15"/>
  <c r="K675" i="15"/>
  <c r="B675" i="15"/>
  <c r="O674" i="15"/>
  <c r="N674" i="15"/>
  <c r="R674" i="15" s="1"/>
  <c r="L674" i="15"/>
  <c r="K674" i="15"/>
  <c r="B674" i="15"/>
  <c r="O673" i="15"/>
  <c r="N673" i="15"/>
  <c r="R673" i="15" s="1"/>
  <c r="L673" i="15"/>
  <c r="K673" i="15"/>
  <c r="B673" i="15"/>
  <c r="O672" i="15"/>
  <c r="N672" i="15"/>
  <c r="R672" i="15" s="1"/>
  <c r="L672" i="15"/>
  <c r="K672" i="15"/>
  <c r="B672" i="15"/>
  <c r="O671" i="15"/>
  <c r="N671" i="15"/>
  <c r="L671" i="15"/>
  <c r="K671" i="15"/>
  <c r="B671" i="15"/>
  <c r="O670" i="15"/>
  <c r="N670" i="15"/>
  <c r="R670" i="15" s="1"/>
  <c r="L670" i="15"/>
  <c r="K670" i="15"/>
  <c r="B670" i="15"/>
  <c r="O669" i="15"/>
  <c r="N669" i="15"/>
  <c r="L669" i="15"/>
  <c r="K669" i="15"/>
  <c r="B669" i="15"/>
  <c r="O668" i="15"/>
  <c r="N668" i="15"/>
  <c r="L668" i="15"/>
  <c r="K668" i="15"/>
  <c r="B668" i="15"/>
  <c r="O667" i="15"/>
  <c r="N667" i="15"/>
  <c r="R667" i="15" s="1"/>
  <c r="L667" i="15"/>
  <c r="K667" i="15"/>
  <c r="B667" i="15"/>
  <c r="O666" i="15"/>
  <c r="N666" i="15"/>
  <c r="R666" i="15" s="1"/>
  <c r="L666" i="15"/>
  <c r="K666" i="15"/>
  <c r="B666" i="15"/>
  <c r="O665" i="15"/>
  <c r="N665" i="15"/>
  <c r="R665" i="15" s="1"/>
  <c r="L665" i="15"/>
  <c r="K665" i="15"/>
  <c r="B665" i="15"/>
  <c r="O664" i="15"/>
  <c r="N664" i="15"/>
  <c r="R664" i="15" s="1"/>
  <c r="L664" i="15"/>
  <c r="K664" i="15"/>
  <c r="B664" i="15"/>
  <c r="O663" i="15"/>
  <c r="N663" i="15"/>
  <c r="R663" i="15" s="1"/>
  <c r="L663" i="15"/>
  <c r="K663" i="15"/>
  <c r="B663" i="15"/>
  <c r="O662" i="15"/>
  <c r="N662" i="15"/>
  <c r="R662" i="15" s="1"/>
  <c r="L662" i="15"/>
  <c r="K662" i="15"/>
  <c r="B662" i="15"/>
  <c r="O661" i="15"/>
  <c r="N661" i="15"/>
  <c r="R661" i="15" s="1"/>
  <c r="L661" i="15"/>
  <c r="K661" i="15"/>
  <c r="B661" i="15"/>
  <c r="O660" i="15"/>
  <c r="N660" i="15"/>
  <c r="R660" i="15" s="1"/>
  <c r="L660" i="15"/>
  <c r="K660" i="15"/>
  <c r="B660" i="15"/>
  <c r="O659" i="15"/>
  <c r="N659" i="15"/>
  <c r="R659" i="15" s="1"/>
  <c r="L659" i="15"/>
  <c r="K659" i="15"/>
  <c r="B659" i="15"/>
  <c r="O658" i="15"/>
  <c r="N658" i="15"/>
  <c r="R658" i="15" s="1"/>
  <c r="L658" i="15"/>
  <c r="K658" i="15"/>
  <c r="B658" i="15"/>
  <c r="O657" i="15"/>
  <c r="N657" i="15"/>
  <c r="R657" i="15" s="1"/>
  <c r="L657" i="15"/>
  <c r="K657" i="15"/>
  <c r="B657" i="15"/>
  <c r="O656" i="15"/>
  <c r="N656" i="15"/>
  <c r="R656" i="15" s="1"/>
  <c r="L656" i="15"/>
  <c r="K656" i="15"/>
  <c r="B656" i="15"/>
  <c r="O655" i="15"/>
  <c r="N655" i="15"/>
  <c r="R655" i="15" s="1"/>
  <c r="L655" i="15"/>
  <c r="K655" i="15"/>
  <c r="B655" i="15"/>
  <c r="O654" i="15"/>
  <c r="N654" i="15"/>
  <c r="R654" i="15" s="1"/>
  <c r="L654" i="15"/>
  <c r="K654" i="15"/>
  <c r="B654" i="15"/>
  <c r="O653" i="15"/>
  <c r="N653" i="15"/>
  <c r="R653" i="15" s="1"/>
  <c r="L653" i="15"/>
  <c r="K653" i="15"/>
  <c r="B653" i="15"/>
  <c r="O652" i="15"/>
  <c r="N652" i="15"/>
  <c r="R652" i="15" s="1"/>
  <c r="L652" i="15"/>
  <c r="K652" i="15"/>
  <c r="B652" i="15"/>
  <c r="O651" i="15"/>
  <c r="N651" i="15"/>
  <c r="R651" i="15" s="1"/>
  <c r="L651" i="15"/>
  <c r="K651" i="15"/>
  <c r="B651" i="15"/>
  <c r="O650" i="15"/>
  <c r="N650" i="15"/>
  <c r="R650" i="15" s="1"/>
  <c r="L650" i="15"/>
  <c r="K650" i="15"/>
  <c r="B650" i="15"/>
  <c r="O649" i="15"/>
  <c r="N649" i="15"/>
  <c r="R649" i="15" s="1"/>
  <c r="L649" i="15"/>
  <c r="K649" i="15"/>
  <c r="B649" i="15"/>
  <c r="O648" i="15"/>
  <c r="N648" i="15"/>
  <c r="R648" i="15" s="1"/>
  <c r="L648" i="15"/>
  <c r="K648" i="15"/>
  <c r="B648" i="15"/>
  <c r="O647" i="15"/>
  <c r="N647" i="15"/>
  <c r="R647" i="15" s="1"/>
  <c r="L647" i="15"/>
  <c r="K647" i="15"/>
  <c r="B647" i="15"/>
  <c r="O646" i="15"/>
  <c r="N646" i="15"/>
  <c r="R646" i="15" s="1"/>
  <c r="L646" i="15"/>
  <c r="K646" i="15"/>
  <c r="B646" i="15"/>
  <c r="O645" i="15"/>
  <c r="N645" i="15"/>
  <c r="R645" i="15" s="1"/>
  <c r="L645" i="15"/>
  <c r="K645" i="15"/>
  <c r="B645" i="15"/>
  <c r="O644" i="15"/>
  <c r="N644" i="15"/>
  <c r="R644" i="15" s="1"/>
  <c r="L644" i="15"/>
  <c r="K644" i="15"/>
  <c r="B644" i="15"/>
  <c r="O643" i="15"/>
  <c r="N643" i="15"/>
  <c r="R643" i="15" s="1"/>
  <c r="L643" i="15"/>
  <c r="K643" i="15"/>
  <c r="B643" i="15"/>
  <c r="O642" i="15"/>
  <c r="N642" i="15"/>
  <c r="R642" i="15" s="1"/>
  <c r="L642" i="15"/>
  <c r="K642" i="15"/>
  <c r="B642" i="15"/>
  <c r="O641" i="15"/>
  <c r="N641" i="15"/>
  <c r="R641" i="15" s="1"/>
  <c r="L641" i="15"/>
  <c r="K641" i="15"/>
  <c r="B641" i="15"/>
  <c r="O640" i="15"/>
  <c r="N640" i="15"/>
  <c r="R640" i="15" s="1"/>
  <c r="L640" i="15"/>
  <c r="K640" i="15"/>
  <c r="B640" i="15"/>
  <c r="O639" i="15"/>
  <c r="N639" i="15"/>
  <c r="R639" i="15" s="1"/>
  <c r="L639" i="15"/>
  <c r="K639" i="15"/>
  <c r="B639" i="15"/>
  <c r="O638" i="15"/>
  <c r="N638" i="15"/>
  <c r="R638" i="15" s="1"/>
  <c r="L638" i="15"/>
  <c r="K638" i="15"/>
  <c r="B638" i="15"/>
  <c r="O637" i="15"/>
  <c r="N637" i="15"/>
  <c r="R637" i="15" s="1"/>
  <c r="L637" i="15"/>
  <c r="K637" i="15"/>
  <c r="B637" i="15"/>
  <c r="O636" i="15"/>
  <c r="N636" i="15"/>
  <c r="R636" i="15" s="1"/>
  <c r="L636" i="15"/>
  <c r="K636" i="15"/>
  <c r="B636" i="15"/>
  <c r="O635" i="15"/>
  <c r="N635" i="15"/>
  <c r="R635" i="15" s="1"/>
  <c r="L635" i="15"/>
  <c r="K635" i="15"/>
  <c r="B635" i="15"/>
  <c r="O634" i="15"/>
  <c r="N634" i="15"/>
  <c r="R634" i="15" s="1"/>
  <c r="L634" i="15"/>
  <c r="K634" i="15"/>
  <c r="B634" i="15"/>
  <c r="O633" i="15"/>
  <c r="N633" i="15"/>
  <c r="R633" i="15" s="1"/>
  <c r="L633" i="15"/>
  <c r="K633" i="15"/>
  <c r="B633" i="15"/>
  <c r="O632" i="15"/>
  <c r="N632" i="15"/>
  <c r="R632" i="15" s="1"/>
  <c r="L632" i="15"/>
  <c r="K632" i="15"/>
  <c r="B632" i="15"/>
  <c r="O631" i="15"/>
  <c r="N631" i="15"/>
  <c r="R631" i="15" s="1"/>
  <c r="L631" i="15"/>
  <c r="K631" i="15"/>
  <c r="B631" i="15"/>
  <c r="O630" i="15"/>
  <c r="N630" i="15"/>
  <c r="R630" i="15" s="1"/>
  <c r="L630" i="15"/>
  <c r="K630" i="15"/>
  <c r="B630" i="15"/>
  <c r="O629" i="15"/>
  <c r="N629" i="15"/>
  <c r="R629" i="15" s="1"/>
  <c r="L629" i="15"/>
  <c r="K629" i="15"/>
  <c r="B629" i="15"/>
  <c r="O628" i="15"/>
  <c r="N628" i="15"/>
  <c r="L628" i="15"/>
  <c r="K628" i="15"/>
  <c r="B628" i="15"/>
  <c r="O627" i="15"/>
  <c r="N627" i="15"/>
  <c r="R627" i="15" s="1"/>
  <c r="L627" i="15"/>
  <c r="K627" i="15"/>
  <c r="B627" i="15"/>
  <c r="O626" i="15"/>
  <c r="N626" i="15"/>
  <c r="R626" i="15" s="1"/>
  <c r="L626" i="15"/>
  <c r="K626" i="15"/>
  <c r="B626" i="15"/>
  <c r="O625" i="15"/>
  <c r="N625" i="15"/>
  <c r="R625" i="15" s="1"/>
  <c r="L625" i="15"/>
  <c r="K625" i="15"/>
  <c r="B625" i="15"/>
  <c r="O624" i="15"/>
  <c r="N624" i="15"/>
  <c r="R624" i="15" s="1"/>
  <c r="L624" i="15"/>
  <c r="K624" i="15"/>
  <c r="B624" i="15"/>
  <c r="O623" i="15"/>
  <c r="N623" i="15"/>
  <c r="R623" i="15" s="1"/>
  <c r="L623" i="15"/>
  <c r="K623" i="15"/>
  <c r="B623" i="15"/>
  <c r="O622" i="15"/>
  <c r="N622" i="15"/>
  <c r="R622" i="15" s="1"/>
  <c r="L622" i="15"/>
  <c r="K622" i="15"/>
  <c r="B622" i="15"/>
  <c r="O621" i="15"/>
  <c r="N621" i="15"/>
  <c r="R621" i="15" s="1"/>
  <c r="L621" i="15"/>
  <c r="K621" i="15"/>
  <c r="B621" i="15"/>
  <c r="O620" i="15"/>
  <c r="N620" i="15"/>
  <c r="R620" i="15" s="1"/>
  <c r="L620" i="15"/>
  <c r="K620" i="15"/>
  <c r="B620" i="15"/>
  <c r="O619" i="15"/>
  <c r="N619" i="15"/>
  <c r="R619" i="15" s="1"/>
  <c r="L619" i="15"/>
  <c r="K619" i="15"/>
  <c r="B619" i="15"/>
  <c r="O618" i="15"/>
  <c r="N618" i="15"/>
  <c r="R618" i="15" s="1"/>
  <c r="L618" i="15"/>
  <c r="K618" i="15"/>
  <c r="B618" i="15"/>
  <c r="O617" i="15"/>
  <c r="N617" i="15"/>
  <c r="R617" i="15" s="1"/>
  <c r="L617" i="15"/>
  <c r="K617" i="15"/>
  <c r="B617" i="15"/>
  <c r="O616" i="15"/>
  <c r="N616" i="15"/>
  <c r="R616" i="15" s="1"/>
  <c r="L616" i="15"/>
  <c r="K616" i="15"/>
  <c r="B616" i="15"/>
  <c r="O615" i="15"/>
  <c r="N615" i="15"/>
  <c r="R615" i="15" s="1"/>
  <c r="L615" i="15"/>
  <c r="K615" i="15"/>
  <c r="B615" i="15"/>
  <c r="O614" i="15"/>
  <c r="N614" i="15"/>
  <c r="L614" i="15"/>
  <c r="K614" i="15"/>
  <c r="B614" i="15"/>
  <c r="O613" i="15"/>
  <c r="N613" i="15"/>
  <c r="R613" i="15" s="1"/>
  <c r="L613" i="15"/>
  <c r="K613" i="15"/>
  <c r="B613" i="15"/>
  <c r="O612" i="15"/>
  <c r="N612" i="15"/>
  <c r="R612" i="15" s="1"/>
  <c r="L612" i="15"/>
  <c r="K612" i="15"/>
  <c r="B612" i="15"/>
  <c r="O611" i="15"/>
  <c r="N611" i="15"/>
  <c r="R611" i="15" s="1"/>
  <c r="L611" i="15"/>
  <c r="K611" i="15"/>
  <c r="B611" i="15"/>
  <c r="O610" i="15"/>
  <c r="N610" i="15"/>
  <c r="R610" i="15" s="1"/>
  <c r="L610" i="15"/>
  <c r="K610" i="15"/>
  <c r="B610" i="15"/>
  <c r="O609" i="15"/>
  <c r="N609" i="15"/>
  <c r="R609" i="15" s="1"/>
  <c r="L609" i="15"/>
  <c r="K609" i="15"/>
  <c r="B609" i="15"/>
  <c r="O608" i="15"/>
  <c r="N608" i="15"/>
  <c r="R608" i="15" s="1"/>
  <c r="L608" i="15"/>
  <c r="K608" i="15"/>
  <c r="B608" i="15"/>
  <c r="O607" i="15"/>
  <c r="N607" i="15"/>
  <c r="R607" i="15" s="1"/>
  <c r="L607" i="15"/>
  <c r="K607" i="15"/>
  <c r="B607" i="15"/>
  <c r="O606" i="15"/>
  <c r="N606" i="15"/>
  <c r="R606" i="15" s="1"/>
  <c r="L606" i="15"/>
  <c r="K606" i="15"/>
  <c r="B606" i="15"/>
  <c r="O605" i="15"/>
  <c r="N605" i="15"/>
  <c r="R605" i="15" s="1"/>
  <c r="L605" i="15"/>
  <c r="K605" i="15"/>
  <c r="B605" i="15"/>
  <c r="O604" i="15"/>
  <c r="N604" i="15"/>
  <c r="L604" i="15"/>
  <c r="K604" i="15"/>
  <c r="B604" i="15"/>
  <c r="O603" i="15"/>
  <c r="N603" i="15"/>
  <c r="R603" i="15" s="1"/>
  <c r="L603" i="15"/>
  <c r="K603" i="15"/>
  <c r="B603" i="15"/>
  <c r="O602" i="15"/>
  <c r="N602" i="15"/>
  <c r="R602" i="15" s="1"/>
  <c r="L602" i="15"/>
  <c r="K602" i="15"/>
  <c r="B602" i="15"/>
  <c r="O601" i="15"/>
  <c r="N601" i="15"/>
  <c r="R601" i="15" s="1"/>
  <c r="L601" i="15"/>
  <c r="K601" i="15"/>
  <c r="B601" i="15"/>
  <c r="O600" i="15"/>
  <c r="N600" i="15"/>
  <c r="R600" i="15" s="1"/>
  <c r="L600" i="15"/>
  <c r="K600" i="15"/>
  <c r="B600" i="15"/>
  <c r="O599" i="15"/>
  <c r="N599" i="15"/>
  <c r="R599" i="15" s="1"/>
  <c r="L599" i="15"/>
  <c r="K599" i="15"/>
  <c r="B599" i="15"/>
  <c r="O598" i="15"/>
  <c r="N598" i="15"/>
  <c r="R598" i="15" s="1"/>
  <c r="L598" i="15"/>
  <c r="K598" i="15"/>
  <c r="B598" i="15"/>
  <c r="O597" i="15"/>
  <c r="N597" i="15"/>
  <c r="R597" i="15" s="1"/>
  <c r="L597" i="15"/>
  <c r="K597" i="15"/>
  <c r="B597" i="15"/>
  <c r="O596" i="15"/>
  <c r="N596" i="15"/>
  <c r="R596" i="15" s="1"/>
  <c r="L596" i="15"/>
  <c r="K596" i="15"/>
  <c r="B596" i="15"/>
  <c r="O595" i="15"/>
  <c r="N595" i="15"/>
  <c r="R595" i="15" s="1"/>
  <c r="L595" i="15"/>
  <c r="K595" i="15"/>
  <c r="B595" i="15"/>
  <c r="O594" i="15"/>
  <c r="N594" i="15"/>
  <c r="R594" i="15" s="1"/>
  <c r="L594" i="15"/>
  <c r="K594" i="15"/>
  <c r="B594" i="15"/>
  <c r="O593" i="15"/>
  <c r="N593" i="15"/>
  <c r="R593" i="15" s="1"/>
  <c r="L593" i="15"/>
  <c r="K593" i="15"/>
  <c r="B593" i="15"/>
  <c r="O592" i="15"/>
  <c r="N592" i="15"/>
  <c r="R592" i="15" s="1"/>
  <c r="L592" i="15"/>
  <c r="K592" i="15"/>
  <c r="B592" i="15"/>
  <c r="O591" i="15"/>
  <c r="N591" i="15"/>
  <c r="R591" i="15" s="1"/>
  <c r="L591" i="15"/>
  <c r="K591" i="15"/>
  <c r="B591" i="15"/>
  <c r="O590" i="15"/>
  <c r="N590" i="15"/>
  <c r="R590" i="15" s="1"/>
  <c r="L590" i="15"/>
  <c r="K590" i="15"/>
  <c r="B590" i="15"/>
  <c r="O589" i="15"/>
  <c r="N589" i="15"/>
  <c r="R589" i="15" s="1"/>
  <c r="L589" i="15"/>
  <c r="K589" i="15"/>
  <c r="B589" i="15"/>
  <c r="O588" i="15"/>
  <c r="N588" i="15"/>
  <c r="R588" i="15" s="1"/>
  <c r="L588" i="15"/>
  <c r="K588" i="15"/>
  <c r="B588" i="15"/>
  <c r="O587" i="15"/>
  <c r="N587" i="15"/>
  <c r="R587" i="15" s="1"/>
  <c r="L587" i="15"/>
  <c r="K587" i="15"/>
  <c r="B587" i="15"/>
  <c r="O586" i="15"/>
  <c r="N586" i="15"/>
  <c r="R586" i="15" s="1"/>
  <c r="L586" i="15"/>
  <c r="K586" i="15"/>
  <c r="B586" i="15"/>
  <c r="O585" i="15"/>
  <c r="N585" i="15"/>
  <c r="L585" i="15"/>
  <c r="K585" i="15"/>
  <c r="B585" i="15"/>
  <c r="O584" i="15"/>
  <c r="N584" i="15"/>
  <c r="R584" i="15" s="1"/>
  <c r="L584" i="15"/>
  <c r="K584" i="15"/>
  <c r="B584" i="15"/>
  <c r="O583" i="15"/>
  <c r="N583" i="15"/>
  <c r="R583" i="15" s="1"/>
  <c r="L583" i="15"/>
  <c r="K583" i="15"/>
  <c r="B583" i="15"/>
  <c r="O582" i="15"/>
  <c r="N582" i="15"/>
  <c r="R582" i="15" s="1"/>
  <c r="L582" i="15"/>
  <c r="K582" i="15"/>
  <c r="B582" i="15"/>
  <c r="O581" i="15"/>
  <c r="N581" i="15"/>
  <c r="R581" i="15" s="1"/>
  <c r="L581" i="15"/>
  <c r="K581" i="15"/>
  <c r="B581" i="15"/>
  <c r="O580" i="15"/>
  <c r="N580" i="15"/>
  <c r="R580" i="15" s="1"/>
  <c r="L580" i="15"/>
  <c r="K580" i="15"/>
  <c r="B580" i="15"/>
  <c r="O579" i="15"/>
  <c r="N579" i="15"/>
  <c r="R579" i="15" s="1"/>
  <c r="L579" i="15"/>
  <c r="K579" i="15"/>
  <c r="B579" i="15"/>
  <c r="O578" i="15"/>
  <c r="N578" i="15"/>
  <c r="R578" i="15" s="1"/>
  <c r="L578" i="15"/>
  <c r="K578" i="15"/>
  <c r="B578" i="15"/>
  <c r="O577" i="15"/>
  <c r="N577" i="15"/>
  <c r="R577" i="15" s="1"/>
  <c r="L577" i="15"/>
  <c r="K577" i="15"/>
  <c r="B577" i="15"/>
  <c r="O576" i="15"/>
  <c r="N576" i="15"/>
  <c r="R576" i="15" s="1"/>
  <c r="L576" i="15"/>
  <c r="K576" i="15"/>
  <c r="B576" i="15"/>
  <c r="O575" i="15"/>
  <c r="N575" i="15"/>
  <c r="R575" i="15" s="1"/>
  <c r="L575" i="15"/>
  <c r="K575" i="15"/>
  <c r="B575" i="15"/>
  <c r="O574" i="15"/>
  <c r="N574" i="15"/>
  <c r="R574" i="15" s="1"/>
  <c r="L574" i="15"/>
  <c r="K574" i="15"/>
  <c r="B574" i="15"/>
  <c r="O573" i="15"/>
  <c r="N573" i="15"/>
  <c r="R573" i="15" s="1"/>
  <c r="L573" i="15"/>
  <c r="K573" i="15"/>
  <c r="B573" i="15"/>
  <c r="O572" i="15"/>
  <c r="N572" i="15"/>
  <c r="L572" i="15"/>
  <c r="K572" i="15"/>
  <c r="B572" i="15"/>
  <c r="O571" i="15"/>
  <c r="N571" i="15"/>
  <c r="R571" i="15" s="1"/>
  <c r="L571" i="15"/>
  <c r="K571" i="15"/>
  <c r="B571" i="15"/>
  <c r="O570" i="15"/>
  <c r="N570" i="15"/>
  <c r="R570" i="15" s="1"/>
  <c r="L570" i="15"/>
  <c r="K570" i="15"/>
  <c r="B570" i="15"/>
  <c r="O569" i="15"/>
  <c r="N569" i="15"/>
  <c r="R569" i="15" s="1"/>
  <c r="L569" i="15"/>
  <c r="K569" i="15"/>
  <c r="B569" i="15"/>
  <c r="O568" i="15"/>
  <c r="N568" i="15"/>
  <c r="R568" i="15" s="1"/>
  <c r="L568" i="15"/>
  <c r="K568" i="15"/>
  <c r="B568" i="15"/>
  <c r="O567" i="15"/>
  <c r="N567" i="15"/>
  <c r="R567" i="15" s="1"/>
  <c r="L567" i="15"/>
  <c r="K567" i="15"/>
  <c r="B567" i="15"/>
  <c r="O566" i="15"/>
  <c r="N566" i="15"/>
  <c r="R566" i="15" s="1"/>
  <c r="L566" i="15"/>
  <c r="K566" i="15"/>
  <c r="B566" i="15"/>
  <c r="O565" i="15"/>
  <c r="N565" i="15"/>
  <c r="R565" i="15" s="1"/>
  <c r="L565" i="15"/>
  <c r="K565" i="15"/>
  <c r="B565" i="15"/>
  <c r="O564" i="15"/>
  <c r="N564" i="15"/>
  <c r="L564" i="15"/>
  <c r="K564" i="15"/>
  <c r="B564" i="15"/>
  <c r="O563" i="15"/>
  <c r="N563" i="15"/>
  <c r="R563" i="15" s="1"/>
  <c r="L563" i="15"/>
  <c r="K563" i="15"/>
  <c r="B563" i="15"/>
  <c r="O562" i="15"/>
  <c r="N562" i="15"/>
  <c r="R562" i="15" s="1"/>
  <c r="L562" i="15"/>
  <c r="K562" i="15"/>
  <c r="B562" i="15"/>
  <c r="O561" i="15"/>
  <c r="N561" i="15"/>
  <c r="R561" i="15" s="1"/>
  <c r="L561" i="15"/>
  <c r="K561" i="15"/>
  <c r="B561" i="15"/>
  <c r="O560" i="15"/>
  <c r="N560" i="15"/>
  <c r="R560" i="15" s="1"/>
  <c r="L560" i="15"/>
  <c r="K560" i="15"/>
  <c r="B560" i="15"/>
  <c r="O559" i="15"/>
  <c r="N559" i="15"/>
  <c r="R559" i="15" s="1"/>
  <c r="L559" i="15"/>
  <c r="K559" i="15"/>
  <c r="B559" i="15"/>
  <c r="O558" i="15"/>
  <c r="N558" i="15"/>
  <c r="R558" i="15" s="1"/>
  <c r="L558" i="15"/>
  <c r="K558" i="15"/>
  <c r="B558" i="15"/>
  <c r="O557" i="15"/>
  <c r="N557" i="15"/>
  <c r="R557" i="15" s="1"/>
  <c r="L557" i="15"/>
  <c r="K557" i="15"/>
  <c r="B557" i="15"/>
  <c r="O556" i="15"/>
  <c r="N556" i="15"/>
  <c r="R556" i="15" s="1"/>
  <c r="L556" i="15"/>
  <c r="K556" i="15"/>
  <c r="B556" i="15"/>
  <c r="O555" i="15"/>
  <c r="N555" i="15"/>
  <c r="R555" i="15" s="1"/>
  <c r="L555" i="15"/>
  <c r="K555" i="15"/>
  <c r="B555" i="15"/>
  <c r="O554" i="15"/>
  <c r="N554" i="15"/>
  <c r="R554" i="15" s="1"/>
  <c r="L554" i="15"/>
  <c r="K554" i="15"/>
  <c r="B554" i="15"/>
  <c r="O553" i="15"/>
  <c r="N553" i="15"/>
  <c r="L553" i="15"/>
  <c r="K553" i="15"/>
  <c r="B553" i="15"/>
  <c r="O552" i="15"/>
  <c r="N552" i="15"/>
  <c r="R552" i="15" s="1"/>
  <c r="L552" i="15"/>
  <c r="K552" i="15"/>
  <c r="B552" i="15"/>
  <c r="O551" i="15"/>
  <c r="N551" i="15"/>
  <c r="R551" i="15" s="1"/>
  <c r="L551" i="15"/>
  <c r="K551" i="15"/>
  <c r="B551" i="15"/>
  <c r="O550" i="15"/>
  <c r="N550" i="15"/>
  <c r="R550" i="15" s="1"/>
  <c r="L550" i="15"/>
  <c r="K550" i="15"/>
  <c r="B550" i="15"/>
  <c r="O549" i="15"/>
  <c r="N549" i="15"/>
  <c r="R549" i="15" s="1"/>
  <c r="L549" i="15"/>
  <c r="K549" i="15"/>
  <c r="B549" i="15"/>
  <c r="O548" i="15"/>
  <c r="N548" i="15"/>
  <c r="R548" i="15" s="1"/>
  <c r="L548" i="15"/>
  <c r="K548" i="15"/>
  <c r="B548" i="15"/>
  <c r="O547" i="15"/>
  <c r="N547" i="15"/>
  <c r="R547" i="15" s="1"/>
  <c r="L547" i="15"/>
  <c r="K547" i="15"/>
  <c r="B547" i="15"/>
  <c r="O546" i="15"/>
  <c r="N546" i="15"/>
  <c r="R546" i="15" s="1"/>
  <c r="L546" i="15"/>
  <c r="K546" i="15"/>
  <c r="B546" i="15"/>
  <c r="O545" i="15"/>
  <c r="N545" i="15"/>
  <c r="R545" i="15" s="1"/>
  <c r="L545" i="15"/>
  <c r="K545" i="15"/>
  <c r="B545" i="15"/>
  <c r="O544" i="15"/>
  <c r="N544" i="15"/>
  <c r="R544" i="15" s="1"/>
  <c r="L544" i="15"/>
  <c r="K544" i="15"/>
  <c r="B544" i="15"/>
  <c r="O543" i="15"/>
  <c r="N543" i="15"/>
  <c r="R543" i="15" s="1"/>
  <c r="L543" i="15"/>
  <c r="K543" i="15"/>
  <c r="B543" i="15"/>
  <c r="O542" i="15"/>
  <c r="N542" i="15"/>
  <c r="R542" i="15" s="1"/>
  <c r="L542" i="15"/>
  <c r="K542" i="15"/>
  <c r="B542" i="15"/>
  <c r="O541" i="15"/>
  <c r="N541" i="15"/>
  <c r="R541" i="15" s="1"/>
  <c r="L541" i="15"/>
  <c r="K541" i="15"/>
  <c r="B541" i="15"/>
  <c r="O540" i="15"/>
  <c r="N540" i="15"/>
  <c r="R540" i="15" s="1"/>
  <c r="L540" i="15"/>
  <c r="K540" i="15"/>
  <c r="B540" i="15"/>
  <c r="O539" i="15"/>
  <c r="N539" i="15"/>
  <c r="R539" i="15" s="1"/>
  <c r="L539" i="15"/>
  <c r="K539" i="15"/>
  <c r="B539" i="15"/>
  <c r="O538" i="15"/>
  <c r="N538" i="15"/>
  <c r="R538" i="15" s="1"/>
  <c r="L538" i="15"/>
  <c r="K538" i="15"/>
  <c r="B538" i="15"/>
  <c r="O537" i="15"/>
  <c r="N537" i="15"/>
  <c r="R537" i="15" s="1"/>
  <c r="L537" i="15"/>
  <c r="K537" i="15"/>
  <c r="B537" i="15"/>
  <c r="O536" i="15"/>
  <c r="N536" i="15"/>
  <c r="R536" i="15" s="1"/>
  <c r="L536" i="15"/>
  <c r="K536" i="15"/>
  <c r="B536" i="15"/>
  <c r="O535" i="15"/>
  <c r="N535" i="15"/>
  <c r="R535" i="15" s="1"/>
  <c r="L535" i="15"/>
  <c r="K535" i="15"/>
  <c r="B535" i="15"/>
  <c r="O534" i="15"/>
  <c r="N534" i="15"/>
  <c r="R534" i="15" s="1"/>
  <c r="L534" i="15"/>
  <c r="K534" i="15"/>
  <c r="B534" i="15"/>
  <c r="O533" i="15"/>
  <c r="N533" i="15"/>
  <c r="R533" i="15" s="1"/>
  <c r="L533" i="15"/>
  <c r="K533" i="15"/>
  <c r="B533" i="15"/>
  <c r="O532" i="15"/>
  <c r="N532" i="15"/>
  <c r="R532" i="15" s="1"/>
  <c r="L532" i="15"/>
  <c r="K532" i="15"/>
  <c r="B532" i="15"/>
  <c r="O531" i="15"/>
  <c r="N531" i="15"/>
  <c r="R531" i="15" s="1"/>
  <c r="L531" i="15"/>
  <c r="K531" i="15"/>
  <c r="B531" i="15"/>
  <c r="O530" i="15"/>
  <c r="N530" i="15"/>
  <c r="R530" i="15" s="1"/>
  <c r="L530" i="15"/>
  <c r="K530" i="15"/>
  <c r="B530" i="15"/>
  <c r="O529" i="15"/>
  <c r="N529" i="15"/>
  <c r="R529" i="15" s="1"/>
  <c r="L529" i="15"/>
  <c r="K529" i="15"/>
  <c r="B529" i="15"/>
  <c r="O528" i="15"/>
  <c r="N528" i="15"/>
  <c r="R528" i="15" s="1"/>
  <c r="L528" i="15"/>
  <c r="K528" i="15"/>
  <c r="B528" i="15"/>
  <c r="O527" i="15"/>
  <c r="N527" i="15"/>
  <c r="R527" i="15" s="1"/>
  <c r="L527" i="15"/>
  <c r="K527" i="15"/>
  <c r="B527" i="15"/>
  <c r="O526" i="15"/>
  <c r="N526" i="15"/>
  <c r="L526" i="15"/>
  <c r="K526" i="15"/>
  <c r="B526" i="15"/>
  <c r="O525" i="15"/>
  <c r="N525" i="15"/>
  <c r="R525" i="15" s="1"/>
  <c r="L525" i="15"/>
  <c r="K525" i="15"/>
  <c r="B525" i="15"/>
  <c r="O524" i="15"/>
  <c r="N524" i="15"/>
  <c r="R524" i="15" s="1"/>
  <c r="L524" i="15"/>
  <c r="K524" i="15"/>
  <c r="B524" i="15"/>
  <c r="O523" i="15"/>
  <c r="N523" i="15"/>
  <c r="R523" i="15" s="1"/>
  <c r="L523" i="15"/>
  <c r="K523" i="15"/>
  <c r="B523" i="15"/>
  <c r="O522" i="15"/>
  <c r="N522" i="15"/>
  <c r="R522" i="15" s="1"/>
  <c r="L522" i="15"/>
  <c r="K522" i="15"/>
  <c r="B522" i="15"/>
  <c r="O521" i="15"/>
  <c r="N521" i="15"/>
  <c r="L521" i="15"/>
  <c r="K521" i="15"/>
  <c r="B521" i="15"/>
  <c r="O520" i="15"/>
  <c r="N520" i="15"/>
  <c r="R520" i="15" s="1"/>
  <c r="L520" i="15"/>
  <c r="K520" i="15"/>
  <c r="B520" i="15"/>
  <c r="O519" i="15"/>
  <c r="N519" i="15"/>
  <c r="R519" i="15" s="1"/>
  <c r="L519" i="15"/>
  <c r="K519" i="15"/>
  <c r="B519" i="15"/>
  <c r="O518" i="15"/>
  <c r="N518" i="15"/>
  <c r="R518" i="15" s="1"/>
  <c r="L518" i="15"/>
  <c r="K518" i="15"/>
  <c r="B518" i="15"/>
  <c r="O517" i="15"/>
  <c r="N517" i="15"/>
  <c r="R517" i="15" s="1"/>
  <c r="L517" i="15"/>
  <c r="K517" i="15"/>
  <c r="B517" i="15"/>
  <c r="O516" i="15"/>
  <c r="N516" i="15"/>
  <c r="R516" i="15" s="1"/>
  <c r="L516" i="15"/>
  <c r="K516" i="15"/>
  <c r="B516" i="15"/>
  <c r="O515" i="15"/>
  <c r="N515" i="15"/>
  <c r="R515" i="15" s="1"/>
  <c r="L515" i="15"/>
  <c r="K515" i="15"/>
  <c r="B515" i="15"/>
  <c r="O514" i="15"/>
  <c r="N514" i="15"/>
  <c r="R514" i="15" s="1"/>
  <c r="L514" i="15"/>
  <c r="K514" i="15"/>
  <c r="B514" i="15"/>
  <c r="O513" i="15"/>
  <c r="N513" i="15"/>
  <c r="R513" i="15" s="1"/>
  <c r="L513" i="15"/>
  <c r="K513" i="15"/>
  <c r="B513" i="15"/>
  <c r="O512" i="15"/>
  <c r="N512" i="15"/>
  <c r="R512" i="15" s="1"/>
  <c r="L512" i="15"/>
  <c r="K512" i="15"/>
  <c r="B512" i="15"/>
  <c r="O511" i="15"/>
  <c r="N511" i="15"/>
  <c r="R511" i="15" s="1"/>
  <c r="L511" i="15"/>
  <c r="K511" i="15"/>
  <c r="B511" i="15"/>
  <c r="O510" i="15"/>
  <c r="N510" i="15"/>
  <c r="R510" i="15" s="1"/>
  <c r="L510" i="15"/>
  <c r="K510" i="15"/>
  <c r="B510" i="15"/>
  <c r="O509" i="15"/>
  <c r="N509" i="15"/>
  <c r="R509" i="15" s="1"/>
  <c r="L509" i="15"/>
  <c r="K509" i="15"/>
  <c r="B509" i="15"/>
  <c r="O508" i="15"/>
  <c r="N508" i="15"/>
  <c r="L508" i="15"/>
  <c r="K508" i="15"/>
  <c r="O507" i="15"/>
  <c r="N507" i="15"/>
  <c r="R507" i="15" s="1"/>
  <c r="L507" i="15"/>
  <c r="K507" i="15"/>
  <c r="B507" i="15"/>
  <c r="O506" i="15"/>
  <c r="N506" i="15"/>
  <c r="R506" i="15" s="1"/>
  <c r="L506" i="15"/>
  <c r="K506" i="15"/>
  <c r="B506" i="15"/>
  <c r="O505" i="15"/>
  <c r="N505" i="15"/>
  <c r="R505" i="15" s="1"/>
  <c r="L505" i="15"/>
  <c r="K505" i="15"/>
  <c r="B505" i="15"/>
  <c r="O504" i="15"/>
  <c r="N504" i="15"/>
  <c r="R504" i="15" s="1"/>
  <c r="L504" i="15"/>
  <c r="K504" i="15"/>
  <c r="B504" i="15"/>
  <c r="O503" i="15"/>
  <c r="N503" i="15"/>
  <c r="R503" i="15" s="1"/>
  <c r="L503" i="15"/>
  <c r="K503" i="15"/>
  <c r="B503" i="15"/>
  <c r="O502" i="15"/>
  <c r="N502" i="15"/>
  <c r="R502" i="15" s="1"/>
  <c r="L502" i="15"/>
  <c r="K502" i="15"/>
  <c r="B502" i="15"/>
  <c r="O501" i="15"/>
  <c r="N501" i="15"/>
  <c r="R501" i="15" s="1"/>
  <c r="L501" i="15"/>
  <c r="K501" i="15"/>
  <c r="B501" i="15"/>
  <c r="O500" i="15"/>
  <c r="N500" i="15"/>
  <c r="R500" i="15" s="1"/>
  <c r="L500" i="15"/>
  <c r="K500" i="15"/>
  <c r="B500" i="15"/>
  <c r="O499" i="15"/>
  <c r="N499" i="15"/>
  <c r="R499" i="15" s="1"/>
  <c r="L499" i="15"/>
  <c r="K499" i="15"/>
  <c r="B499" i="15"/>
  <c r="O498" i="15"/>
  <c r="N498" i="15"/>
  <c r="R498" i="15" s="1"/>
  <c r="L498" i="15"/>
  <c r="K498" i="15"/>
  <c r="B498" i="15"/>
  <c r="O497" i="15"/>
  <c r="N497" i="15"/>
  <c r="R497" i="15" s="1"/>
  <c r="L497" i="15"/>
  <c r="K497" i="15"/>
  <c r="B497" i="15"/>
  <c r="O496" i="15"/>
  <c r="N496" i="15"/>
  <c r="R496" i="15" s="1"/>
  <c r="L496" i="15"/>
  <c r="K496" i="15"/>
  <c r="B496" i="15"/>
  <c r="O495" i="15"/>
  <c r="N495" i="15"/>
  <c r="R495" i="15" s="1"/>
  <c r="L495" i="15"/>
  <c r="K495" i="15"/>
  <c r="B495" i="15"/>
  <c r="O494" i="15"/>
  <c r="N494" i="15"/>
  <c r="R494" i="15" s="1"/>
  <c r="L494" i="15"/>
  <c r="K494" i="15"/>
  <c r="B494" i="15"/>
  <c r="O493" i="15"/>
  <c r="N493" i="15"/>
  <c r="L493" i="15"/>
  <c r="K493" i="15"/>
  <c r="B493" i="15"/>
  <c r="O492" i="15"/>
  <c r="N492" i="15"/>
  <c r="R492" i="15" s="1"/>
  <c r="L492" i="15"/>
  <c r="K492" i="15"/>
  <c r="B492" i="15"/>
  <c r="O491" i="15"/>
  <c r="N491" i="15"/>
  <c r="R491" i="15" s="1"/>
  <c r="L491" i="15"/>
  <c r="K491" i="15"/>
  <c r="B491" i="15"/>
  <c r="O490" i="15"/>
  <c r="N490" i="15"/>
  <c r="R490" i="15" s="1"/>
  <c r="L490" i="15"/>
  <c r="K490" i="15"/>
  <c r="B490" i="15"/>
  <c r="O489" i="15"/>
  <c r="N489" i="15"/>
  <c r="L489" i="15"/>
  <c r="K489" i="15"/>
  <c r="B489" i="15"/>
  <c r="O488" i="15"/>
  <c r="N488" i="15"/>
  <c r="R488" i="15" s="1"/>
  <c r="L488" i="15"/>
  <c r="K488" i="15"/>
  <c r="B488" i="15"/>
  <c r="O487" i="15"/>
  <c r="N487" i="15"/>
  <c r="R487" i="15" s="1"/>
  <c r="L487" i="15"/>
  <c r="K487" i="15"/>
  <c r="B487" i="15"/>
  <c r="O486" i="15"/>
  <c r="N486" i="15"/>
  <c r="R486" i="15" s="1"/>
  <c r="L486" i="15"/>
  <c r="K486" i="15"/>
  <c r="B486" i="15"/>
  <c r="O485" i="15"/>
  <c r="N485" i="15"/>
  <c r="R485" i="15" s="1"/>
  <c r="L485" i="15"/>
  <c r="K485" i="15"/>
  <c r="B485" i="15"/>
  <c r="O484" i="15"/>
  <c r="N484" i="15"/>
  <c r="R484" i="15" s="1"/>
  <c r="L484" i="15"/>
  <c r="K484" i="15"/>
  <c r="B484" i="15"/>
  <c r="O483" i="15"/>
  <c r="N483" i="15"/>
  <c r="R483" i="15" s="1"/>
  <c r="L483" i="15"/>
  <c r="K483" i="15"/>
  <c r="B483" i="15"/>
  <c r="O482" i="15"/>
  <c r="N482" i="15"/>
  <c r="R482" i="15" s="1"/>
  <c r="L482" i="15"/>
  <c r="K482" i="15"/>
  <c r="B482" i="15"/>
  <c r="O481" i="15"/>
  <c r="N481" i="15"/>
  <c r="R481" i="15" s="1"/>
  <c r="L481" i="15"/>
  <c r="K481" i="15"/>
  <c r="B481" i="15"/>
  <c r="O480" i="15"/>
  <c r="N480" i="15"/>
  <c r="R480" i="15" s="1"/>
  <c r="L480" i="15"/>
  <c r="K480" i="15"/>
  <c r="B480" i="15"/>
  <c r="O479" i="15"/>
  <c r="N479" i="15"/>
  <c r="R479" i="15" s="1"/>
  <c r="L479" i="15"/>
  <c r="K479" i="15"/>
  <c r="B479" i="15"/>
  <c r="O478" i="15"/>
  <c r="N478" i="15"/>
  <c r="R478" i="15" s="1"/>
  <c r="L478" i="15"/>
  <c r="K478" i="15"/>
  <c r="B478" i="15"/>
  <c r="O477" i="15"/>
  <c r="N477" i="15"/>
  <c r="R477" i="15" s="1"/>
  <c r="L477" i="15"/>
  <c r="K477" i="15"/>
  <c r="B477" i="15"/>
  <c r="O476" i="15"/>
  <c r="N476" i="15"/>
  <c r="R476" i="15" s="1"/>
  <c r="L476" i="15"/>
  <c r="K476" i="15"/>
  <c r="B476" i="15"/>
  <c r="O475" i="15"/>
  <c r="N475" i="15"/>
  <c r="R475" i="15" s="1"/>
  <c r="L475" i="15"/>
  <c r="K475" i="15"/>
  <c r="B475" i="15"/>
  <c r="O474" i="15"/>
  <c r="N474" i="15"/>
  <c r="R474" i="15" s="1"/>
  <c r="L474" i="15"/>
  <c r="K474" i="15"/>
  <c r="B474" i="15"/>
  <c r="O473" i="15"/>
  <c r="N473" i="15"/>
  <c r="R473" i="15" s="1"/>
  <c r="L473" i="15"/>
  <c r="K473" i="15"/>
  <c r="B473" i="15"/>
  <c r="O472" i="15"/>
  <c r="N472" i="15"/>
  <c r="R472" i="15" s="1"/>
  <c r="L472" i="15"/>
  <c r="K472" i="15"/>
  <c r="B472" i="15"/>
  <c r="O471" i="15"/>
  <c r="N471" i="15"/>
  <c r="L471" i="15"/>
  <c r="K471" i="15"/>
  <c r="B471" i="15"/>
  <c r="O470" i="15"/>
  <c r="N470" i="15"/>
  <c r="R470" i="15" s="1"/>
  <c r="L470" i="15"/>
  <c r="K470" i="15"/>
  <c r="B470" i="15"/>
  <c r="O469" i="15"/>
  <c r="N469" i="15"/>
  <c r="R469" i="15" s="1"/>
  <c r="L469" i="15"/>
  <c r="K469" i="15"/>
  <c r="B469" i="15"/>
  <c r="O468" i="15"/>
  <c r="N468" i="15"/>
  <c r="R468" i="15" s="1"/>
  <c r="L468" i="15"/>
  <c r="K468" i="15"/>
  <c r="B468" i="15"/>
  <c r="O467" i="15"/>
  <c r="N467" i="15"/>
  <c r="R467" i="15" s="1"/>
  <c r="L467" i="15"/>
  <c r="K467" i="15"/>
  <c r="B467" i="15"/>
  <c r="O466" i="15"/>
  <c r="N466" i="15"/>
  <c r="R466" i="15" s="1"/>
  <c r="L466" i="15"/>
  <c r="K466" i="15"/>
  <c r="B466" i="15"/>
  <c r="O465" i="15"/>
  <c r="N465" i="15"/>
  <c r="R465" i="15" s="1"/>
  <c r="L465" i="15"/>
  <c r="K465" i="15"/>
  <c r="B465" i="15"/>
  <c r="O464" i="15"/>
  <c r="N464" i="15"/>
  <c r="R464" i="15" s="1"/>
  <c r="L464" i="15"/>
  <c r="K464" i="15"/>
  <c r="B464" i="15"/>
  <c r="O463" i="15"/>
  <c r="N463" i="15"/>
  <c r="R463" i="15" s="1"/>
  <c r="L463" i="15"/>
  <c r="K463" i="15"/>
  <c r="B463" i="15"/>
  <c r="O462" i="15"/>
  <c r="N462" i="15"/>
  <c r="R462" i="15" s="1"/>
  <c r="L462" i="15"/>
  <c r="K462" i="15"/>
  <c r="B462" i="15"/>
  <c r="O461" i="15"/>
  <c r="N461" i="15"/>
  <c r="R461" i="15" s="1"/>
  <c r="L461" i="15"/>
  <c r="K461" i="15"/>
  <c r="B461" i="15"/>
  <c r="O460" i="15"/>
  <c r="N460" i="15"/>
  <c r="R460" i="15" s="1"/>
  <c r="L460" i="15"/>
  <c r="K460" i="15"/>
  <c r="B460" i="15"/>
  <c r="O459" i="15"/>
  <c r="N459" i="15"/>
  <c r="R459" i="15" s="1"/>
  <c r="L459" i="15"/>
  <c r="K459" i="15"/>
  <c r="B459" i="15"/>
  <c r="O458" i="15"/>
  <c r="N458" i="15"/>
  <c r="R458" i="15" s="1"/>
  <c r="L458" i="15"/>
  <c r="K458" i="15"/>
  <c r="B458" i="15"/>
  <c r="O457" i="15"/>
  <c r="N457" i="15"/>
  <c r="R457" i="15" s="1"/>
  <c r="L457" i="15"/>
  <c r="K457" i="15"/>
  <c r="B457" i="15"/>
  <c r="O456" i="15"/>
  <c r="N456" i="15"/>
  <c r="R456" i="15" s="1"/>
  <c r="L456" i="15"/>
  <c r="K456" i="15"/>
  <c r="B456" i="15"/>
  <c r="O455" i="15"/>
  <c r="N455" i="15"/>
  <c r="R455" i="15" s="1"/>
  <c r="L455" i="15"/>
  <c r="K455" i="15"/>
  <c r="B455" i="15"/>
  <c r="O454" i="15"/>
  <c r="N454" i="15"/>
  <c r="R454" i="15" s="1"/>
  <c r="L454" i="15"/>
  <c r="K454" i="15"/>
  <c r="B454" i="15"/>
  <c r="O453" i="15"/>
  <c r="N453" i="15"/>
  <c r="R453" i="15" s="1"/>
  <c r="L453" i="15"/>
  <c r="K453" i="15"/>
  <c r="B453" i="15"/>
  <c r="O452" i="15"/>
  <c r="N452" i="15"/>
  <c r="R452" i="15" s="1"/>
  <c r="L452" i="15"/>
  <c r="K452" i="15"/>
  <c r="B452" i="15"/>
  <c r="O451" i="15"/>
  <c r="N451" i="15"/>
  <c r="R451" i="15" s="1"/>
  <c r="L451" i="15"/>
  <c r="K451" i="15"/>
  <c r="B451" i="15"/>
  <c r="O450" i="15"/>
  <c r="N450" i="15"/>
  <c r="R450" i="15" s="1"/>
  <c r="L450" i="15"/>
  <c r="K450" i="15"/>
  <c r="B450" i="15"/>
  <c r="O449" i="15"/>
  <c r="N449" i="15"/>
  <c r="R449" i="15" s="1"/>
  <c r="L449" i="15"/>
  <c r="K449" i="15"/>
  <c r="B449" i="15"/>
  <c r="O448" i="15"/>
  <c r="N448" i="15"/>
  <c r="L448" i="15"/>
  <c r="K448" i="15"/>
  <c r="B448" i="15"/>
  <c r="O447" i="15"/>
  <c r="N447" i="15"/>
  <c r="R447" i="15" s="1"/>
  <c r="L447" i="15"/>
  <c r="K447" i="15"/>
  <c r="B447" i="15"/>
  <c r="O446" i="15"/>
  <c r="N446" i="15"/>
  <c r="L446" i="15"/>
  <c r="K446" i="15"/>
  <c r="B446" i="15"/>
  <c r="O445" i="15"/>
  <c r="N445" i="15"/>
  <c r="R445" i="15" s="1"/>
  <c r="L445" i="15"/>
  <c r="K445" i="15"/>
  <c r="B445" i="15"/>
  <c r="O444" i="15"/>
  <c r="N444" i="15"/>
  <c r="R444" i="15" s="1"/>
  <c r="L444" i="15"/>
  <c r="K444" i="15"/>
  <c r="B444" i="15"/>
  <c r="O443" i="15"/>
  <c r="N443" i="15"/>
  <c r="R443" i="15" s="1"/>
  <c r="L443" i="15"/>
  <c r="K443" i="15"/>
  <c r="B443" i="15"/>
  <c r="O442" i="15"/>
  <c r="N442" i="15"/>
  <c r="R442" i="15" s="1"/>
  <c r="L442" i="15"/>
  <c r="K442" i="15"/>
  <c r="B442" i="15"/>
  <c r="O441" i="15"/>
  <c r="N441" i="15"/>
  <c r="R441" i="15" s="1"/>
  <c r="L441" i="15"/>
  <c r="K441" i="15"/>
  <c r="B441" i="15"/>
  <c r="O440" i="15"/>
  <c r="N440" i="15"/>
  <c r="R440" i="15" s="1"/>
  <c r="L440" i="15"/>
  <c r="K440" i="15"/>
  <c r="B440" i="15"/>
  <c r="O439" i="15"/>
  <c r="N439" i="15"/>
  <c r="R439" i="15" s="1"/>
  <c r="L439" i="15"/>
  <c r="K439" i="15"/>
  <c r="B439" i="15"/>
  <c r="O438" i="15"/>
  <c r="N438" i="15"/>
  <c r="R438" i="15" s="1"/>
  <c r="L438" i="15"/>
  <c r="K438" i="15"/>
  <c r="B438" i="15"/>
  <c r="O437" i="15"/>
  <c r="N437" i="15"/>
  <c r="R437" i="15" s="1"/>
  <c r="L437" i="15"/>
  <c r="K437" i="15"/>
  <c r="B437" i="15"/>
  <c r="O436" i="15"/>
  <c r="N436" i="15"/>
  <c r="R436" i="15" s="1"/>
  <c r="L436" i="15"/>
  <c r="K436" i="15"/>
  <c r="B436" i="15"/>
  <c r="O435" i="15"/>
  <c r="N435" i="15"/>
  <c r="R435" i="15" s="1"/>
  <c r="L435" i="15"/>
  <c r="K435" i="15"/>
  <c r="B435" i="15"/>
  <c r="O434" i="15"/>
  <c r="N434" i="15"/>
  <c r="R434" i="15" s="1"/>
  <c r="L434" i="15"/>
  <c r="K434" i="15"/>
  <c r="B434" i="15"/>
  <c r="O433" i="15"/>
  <c r="N433" i="15"/>
  <c r="L433" i="15"/>
  <c r="K433" i="15"/>
  <c r="B433" i="15"/>
  <c r="O432" i="15"/>
  <c r="N432" i="15"/>
  <c r="L432" i="15"/>
  <c r="K432" i="15"/>
  <c r="B432" i="15"/>
  <c r="O431" i="15"/>
  <c r="N431" i="15"/>
  <c r="R431" i="15" s="1"/>
  <c r="L431" i="15"/>
  <c r="K431" i="15"/>
  <c r="B431" i="15"/>
  <c r="O430" i="15"/>
  <c r="N430" i="15"/>
  <c r="R430" i="15" s="1"/>
  <c r="L430" i="15"/>
  <c r="K430" i="15"/>
  <c r="B430" i="15"/>
  <c r="O429" i="15"/>
  <c r="N429" i="15"/>
  <c r="R429" i="15" s="1"/>
  <c r="L429" i="15"/>
  <c r="K429" i="15"/>
  <c r="B429" i="15"/>
  <c r="O428" i="15"/>
  <c r="N428" i="15"/>
  <c r="R428" i="15" s="1"/>
  <c r="L428" i="15"/>
  <c r="K428" i="15"/>
  <c r="B428" i="15"/>
  <c r="O427" i="15"/>
  <c r="N427" i="15"/>
  <c r="R427" i="15" s="1"/>
  <c r="L427" i="15"/>
  <c r="K427" i="15"/>
  <c r="B427" i="15"/>
  <c r="O426" i="15"/>
  <c r="N426" i="15"/>
  <c r="R426" i="15" s="1"/>
  <c r="L426" i="15"/>
  <c r="K426" i="15"/>
  <c r="B426" i="15"/>
  <c r="O425" i="15"/>
  <c r="N425" i="15"/>
  <c r="R425" i="15" s="1"/>
  <c r="L425" i="15"/>
  <c r="K425" i="15"/>
  <c r="B425" i="15"/>
  <c r="O424" i="15"/>
  <c r="N424" i="15"/>
  <c r="R424" i="15" s="1"/>
  <c r="L424" i="15"/>
  <c r="K424" i="15"/>
  <c r="B424" i="15"/>
  <c r="O423" i="15"/>
  <c r="N423" i="15"/>
  <c r="R423" i="15" s="1"/>
  <c r="L423" i="15"/>
  <c r="K423" i="15"/>
  <c r="B423" i="15"/>
  <c r="O422" i="15"/>
  <c r="N422" i="15"/>
  <c r="R422" i="15" s="1"/>
  <c r="L422" i="15"/>
  <c r="K422" i="15"/>
  <c r="B422" i="15"/>
  <c r="O421" i="15"/>
  <c r="N421" i="15"/>
  <c r="R421" i="15" s="1"/>
  <c r="L421" i="15"/>
  <c r="K421" i="15"/>
  <c r="B421" i="15"/>
  <c r="O420" i="15"/>
  <c r="N420" i="15"/>
  <c r="R420" i="15" s="1"/>
  <c r="L420" i="15"/>
  <c r="K420" i="15"/>
  <c r="B420" i="15"/>
  <c r="O419" i="15"/>
  <c r="N419" i="15"/>
  <c r="R419" i="15" s="1"/>
  <c r="L419" i="15"/>
  <c r="K419" i="15"/>
  <c r="B419" i="15"/>
  <c r="O418" i="15"/>
  <c r="N418" i="15"/>
  <c r="R418" i="15" s="1"/>
  <c r="L418" i="15"/>
  <c r="K418" i="15"/>
  <c r="B418" i="15"/>
  <c r="O417" i="15"/>
  <c r="N417" i="15"/>
  <c r="R417" i="15" s="1"/>
  <c r="L417" i="15"/>
  <c r="K417" i="15"/>
  <c r="B417" i="15"/>
  <c r="O416" i="15"/>
  <c r="N416" i="15"/>
  <c r="L416" i="15"/>
  <c r="K416" i="15"/>
  <c r="B416" i="15"/>
  <c r="O415" i="15"/>
  <c r="N415" i="15"/>
  <c r="R415" i="15" s="1"/>
  <c r="L415" i="15"/>
  <c r="K415" i="15"/>
  <c r="B415" i="15"/>
  <c r="O414" i="15"/>
  <c r="N414" i="15"/>
  <c r="L414" i="15"/>
  <c r="K414" i="15"/>
  <c r="B414" i="15"/>
  <c r="O413" i="15"/>
  <c r="N413" i="15"/>
  <c r="R413" i="15" s="1"/>
  <c r="L413" i="15"/>
  <c r="K413" i="15"/>
  <c r="B413" i="15"/>
  <c r="O412" i="15"/>
  <c r="N412" i="15"/>
  <c r="R412" i="15" s="1"/>
  <c r="L412" i="15"/>
  <c r="K412" i="15"/>
  <c r="B412" i="15"/>
  <c r="O411" i="15"/>
  <c r="N411" i="15"/>
  <c r="R411" i="15" s="1"/>
  <c r="L411" i="15"/>
  <c r="K411" i="15"/>
  <c r="B411" i="15"/>
  <c r="O410" i="15"/>
  <c r="N410" i="15"/>
  <c r="R410" i="15" s="1"/>
  <c r="L410" i="15"/>
  <c r="K410" i="15"/>
  <c r="B410" i="15"/>
  <c r="O409" i="15"/>
  <c r="N409" i="15"/>
  <c r="R409" i="15" s="1"/>
  <c r="L409" i="15"/>
  <c r="K409" i="15"/>
  <c r="B409" i="15"/>
  <c r="O408" i="15"/>
  <c r="N408" i="15"/>
  <c r="R408" i="15" s="1"/>
  <c r="L408" i="15"/>
  <c r="K408" i="15"/>
  <c r="B408" i="15"/>
  <c r="O407" i="15"/>
  <c r="N407" i="15"/>
  <c r="R407" i="15" s="1"/>
  <c r="L407" i="15"/>
  <c r="K407" i="15"/>
  <c r="B407" i="15"/>
  <c r="O406" i="15"/>
  <c r="N406" i="15"/>
  <c r="R406" i="15" s="1"/>
  <c r="L406" i="15"/>
  <c r="K406" i="15"/>
  <c r="B406" i="15"/>
  <c r="O405" i="15"/>
  <c r="N405" i="15"/>
  <c r="R405" i="15" s="1"/>
  <c r="L405" i="15"/>
  <c r="K405" i="15"/>
  <c r="B405" i="15"/>
  <c r="O404" i="15"/>
  <c r="N404" i="15"/>
  <c r="R404" i="15" s="1"/>
  <c r="L404" i="15"/>
  <c r="K404" i="15"/>
  <c r="B404" i="15"/>
  <c r="O403" i="15"/>
  <c r="N403" i="15"/>
  <c r="R403" i="15" s="1"/>
  <c r="L403" i="15"/>
  <c r="K403" i="15"/>
  <c r="B403" i="15"/>
  <c r="O402" i="15"/>
  <c r="N402" i="15"/>
  <c r="R402" i="15" s="1"/>
  <c r="L402" i="15"/>
  <c r="K402" i="15"/>
  <c r="B402" i="15"/>
  <c r="O401" i="15"/>
  <c r="N401" i="15"/>
  <c r="R401" i="15" s="1"/>
  <c r="L401" i="15"/>
  <c r="K401" i="15"/>
  <c r="B401" i="15"/>
  <c r="O400" i="15"/>
  <c r="N400" i="15"/>
  <c r="L400" i="15"/>
  <c r="K400" i="15"/>
  <c r="B400" i="15"/>
  <c r="O399" i="15"/>
  <c r="N399" i="15"/>
  <c r="R399" i="15" s="1"/>
  <c r="L399" i="15"/>
  <c r="K399" i="15"/>
  <c r="B399" i="15"/>
  <c r="O398" i="15"/>
  <c r="N398" i="15"/>
  <c r="R398" i="15" s="1"/>
  <c r="L398" i="15"/>
  <c r="K398" i="15"/>
  <c r="B398" i="15"/>
  <c r="O397" i="15"/>
  <c r="N397" i="15"/>
  <c r="R397" i="15" s="1"/>
  <c r="L397" i="15"/>
  <c r="K397" i="15"/>
  <c r="B397" i="15"/>
  <c r="O396" i="15"/>
  <c r="N396" i="15"/>
  <c r="R396" i="15" s="1"/>
  <c r="L396" i="15"/>
  <c r="K396" i="15"/>
  <c r="B396" i="15"/>
  <c r="O395" i="15"/>
  <c r="N395" i="15"/>
  <c r="R395" i="15" s="1"/>
  <c r="L395" i="15"/>
  <c r="K395" i="15"/>
  <c r="B395" i="15"/>
  <c r="O394" i="15"/>
  <c r="N394" i="15"/>
  <c r="R394" i="15" s="1"/>
  <c r="L394" i="15"/>
  <c r="K394" i="15"/>
  <c r="B394" i="15"/>
  <c r="O393" i="15"/>
  <c r="N393" i="15"/>
  <c r="R393" i="15" s="1"/>
  <c r="L393" i="15"/>
  <c r="K393" i="15"/>
  <c r="B393" i="15"/>
  <c r="O392" i="15"/>
  <c r="N392" i="15"/>
  <c r="L392" i="15"/>
  <c r="K392" i="15"/>
  <c r="B392" i="15"/>
  <c r="O391" i="15"/>
  <c r="N391" i="15"/>
  <c r="R391" i="15" s="1"/>
  <c r="L391" i="15"/>
  <c r="K391" i="15"/>
  <c r="B391" i="15"/>
  <c r="O390" i="15"/>
  <c r="N390" i="15"/>
  <c r="R390" i="15" s="1"/>
  <c r="L390" i="15"/>
  <c r="K390" i="15"/>
  <c r="B390" i="15"/>
  <c r="O389" i="15"/>
  <c r="N389" i="15"/>
  <c r="R389" i="15" s="1"/>
  <c r="L389" i="15"/>
  <c r="K389" i="15"/>
  <c r="B389" i="15"/>
  <c r="O388" i="15"/>
  <c r="N388" i="15"/>
  <c r="R388" i="15" s="1"/>
  <c r="L388" i="15"/>
  <c r="K388" i="15"/>
  <c r="B388" i="15"/>
  <c r="O387" i="15"/>
  <c r="N387" i="15"/>
  <c r="R387" i="15" s="1"/>
  <c r="L387" i="15"/>
  <c r="K387" i="15"/>
  <c r="B387" i="15"/>
  <c r="O386" i="15"/>
  <c r="N386" i="15"/>
  <c r="R386" i="15" s="1"/>
  <c r="L386" i="15"/>
  <c r="K386" i="15"/>
  <c r="B386" i="15"/>
  <c r="O385" i="15"/>
  <c r="N385" i="15"/>
  <c r="R385" i="15" s="1"/>
  <c r="L385" i="15"/>
  <c r="K385" i="15"/>
  <c r="B385" i="15"/>
  <c r="O384" i="15"/>
  <c r="N384" i="15"/>
  <c r="L384" i="15"/>
  <c r="K384" i="15"/>
  <c r="B384" i="15"/>
  <c r="O383" i="15"/>
  <c r="N383" i="15"/>
  <c r="R383" i="15" s="1"/>
  <c r="L383" i="15"/>
  <c r="K383" i="15"/>
  <c r="B383" i="15"/>
  <c r="O382" i="15"/>
  <c r="N382" i="15"/>
  <c r="L382" i="15"/>
  <c r="K382" i="15"/>
  <c r="B382" i="15"/>
  <c r="O381" i="15"/>
  <c r="N381" i="15"/>
  <c r="R381" i="15" s="1"/>
  <c r="L381" i="15"/>
  <c r="K381" i="15"/>
  <c r="B381" i="15"/>
  <c r="O380" i="15"/>
  <c r="N380" i="15"/>
  <c r="R380" i="15" s="1"/>
  <c r="L380" i="15"/>
  <c r="K380" i="15"/>
  <c r="B380" i="15"/>
  <c r="O379" i="15"/>
  <c r="N379" i="15"/>
  <c r="R379" i="15" s="1"/>
  <c r="L379" i="15"/>
  <c r="K379" i="15"/>
  <c r="B379" i="15"/>
  <c r="O378" i="15"/>
  <c r="N378" i="15"/>
  <c r="R378" i="15" s="1"/>
  <c r="L378" i="15"/>
  <c r="K378" i="15"/>
  <c r="B378" i="15"/>
  <c r="O377" i="15"/>
  <c r="N377" i="15"/>
  <c r="R377" i="15" s="1"/>
  <c r="L377" i="15"/>
  <c r="K377" i="15"/>
  <c r="B377" i="15"/>
  <c r="O376" i="15"/>
  <c r="N376" i="15"/>
  <c r="R376" i="15" s="1"/>
  <c r="L376" i="15"/>
  <c r="K376" i="15"/>
  <c r="B376" i="15"/>
  <c r="O375" i="15"/>
  <c r="N375" i="15"/>
  <c r="R375" i="15" s="1"/>
  <c r="L375" i="15"/>
  <c r="K375" i="15"/>
  <c r="B375" i="15"/>
  <c r="O374" i="15"/>
  <c r="N374" i="15"/>
  <c r="R374" i="15" s="1"/>
  <c r="L374" i="15"/>
  <c r="K374" i="15"/>
  <c r="B374" i="15"/>
  <c r="O373" i="15"/>
  <c r="N373" i="15"/>
  <c r="R373" i="15" s="1"/>
  <c r="L373" i="15"/>
  <c r="K373" i="15"/>
  <c r="B373" i="15"/>
  <c r="O372" i="15"/>
  <c r="N372" i="15"/>
  <c r="R372" i="15" s="1"/>
  <c r="L372" i="15"/>
  <c r="K372" i="15"/>
  <c r="B372" i="15"/>
  <c r="O371" i="15"/>
  <c r="N371" i="15"/>
  <c r="R371" i="15" s="1"/>
  <c r="L371" i="15"/>
  <c r="K371" i="15"/>
  <c r="B371" i="15"/>
  <c r="O370" i="15"/>
  <c r="N370" i="15"/>
  <c r="R370" i="15" s="1"/>
  <c r="L370" i="15"/>
  <c r="K370" i="15"/>
  <c r="B370" i="15"/>
  <c r="O369" i="15"/>
  <c r="N369" i="15"/>
  <c r="L369" i="15"/>
  <c r="K369" i="15"/>
  <c r="B369" i="15"/>
  <c r="O368" i="15"/>
  <c r="N368" i="15"/>
  <c r="R368" i="15" s="1"/>
  <c r="L368" i="15"/>
  <c r="K368" i="15"/>
  <c r="B368" i="15"/>
  <c r="O367" i="15"/>
  <c r="N367" i="15"/>
  <c r="R367" i="15" s="1"/>
  <c r="L367" i="15"/>
  <c r="K367" i="15"/>
  <c r="B367" i="15"/>
  <c r="O366" i="15"/>
  <c r="N366" i="15"/>
  <c r="R366" i="15" s="1"/>
  <c r="L366" i="15"/>
  <c r="K366" i="15"/>
  <c r="B366" i="15"/>
  <c r="O365" i="15"/>
  <c r="N365" i="15"/>
  <c r="R365" i="15" s="1"/>
  <c r="L365" i="15"/>
  <c r="K365" i="15"/>
  <c r="B365" i="15"/>
  <c r="O364" i="15"/>
  <c r="N364" i="15"/>
  <c r="R364" i="15" s="1"/>
  <c r="L364" i="15"/>
  <c r="K364" i="15"/>
  <c r="B364" i="15"/>
  <c r="O363" i="15"/>
  <c r="N363" i="15"/>
  <c r="R363" i="15" s="1"/>
  <c r="L363" i="15"/>
  <c r="K363" i="15"/>
  <c r="B363" i="15"/>
  <c r="O362" i="15"/>
  <c r="N362" i="15"/>
  <c r="R362" i="15" s="1"/>
  <c r="L362" i="15"/>
  <c r="K362" i="15"/>
  <c r="B362" i="15"/>
  <c r="O361" i="15"/>
  <c r="N361" i="15"/>
  <c r="R361" i="15" s="1"/>
  <c r="L361" i="15"/>
  <c r="K361" i="15"/>
  <c r="B361" i="15"/>
  <c r="O360" i="15"/>
  <c r="N360" i="15"/>
  <c r="R360" i="15" s="1"/>
  <c r="L360" i="15"/>
  <c r="K360" i="15"/>
  <c r="B360" i="15"/>
  <c r="O359" i="15"/>
  <c r="N359" i="15"/>
  <c r="R359" i="15" s="1"/>
  <c r="L359" i="15"/>
  <c r="K359" i="15"/>
  <c r="B359" i="15"/>
  <c r="O358" i="15"/>
  <c r="N358" i="15"/>
  <c r="R358" i="15" s="1"/>
  <c r="L358" i="15"/>
  <c r="K358" i="15"/>
  <c r="B358" i="15"/>
  <c r="O357" i="15"/>
  <c r="N357" i="15"/>
  <c r="R357" i="15" s="1"/>
  <c r="L357" i="15"/>
  <c r="K357" i="15"/>
  <c r="B357" i="15"/>
  <c r="O356" i="15"/>
  <c r="N356" i="15"/>
  <c r="R356" i="15" s="1"/>
  <c r="L356" i="15"/>
  <c r="K356" i="15"/>
  <c r="B356" i="15"/>
  <c r="O355" i="15"/>
  <c r="N355" i="15"/>
  <c r="R355" i="15" s="1"/>
  <c r="L355" i="15"/>
  <c r="K355" i="15"/>
  <c r="B355" i="15"/>
  <c r="O354" i="15"/>
  <c r="N354" i="15"/>
  <c r="R354" i="15" s="1"/>
  <c r="L354" i="15"/>
  <c r="K354" i="15"/>
  <c r="B354" i="15"/>
  <c r="O353" i="15"/>
  <c r="N353" i="15"/>
  <c r="R353" i="15" s="1"/>
  <c r="L353" i="15"/>
  <c r="K353" i="15"/>
  <c r="B353" i="15"/>
  <c r="O352" i="15"/>
  <c r="N352" i="15"/>
  <c r="L352" i="15"/>
  <c r="K352" i="15"/>
  <c r="B352" i="15"/>
  <c r="O351" i="15"/>
  <c r="N351" i="15"/>
  <c r="R351" i="15" s="1"/>
  <c r="L351" i="15"/>
  <c r="K351" i="15"/>
  <c r="B351" i="15"/>
  <c r="O350" i="15"/>
  <c r="N350" i="15"/>
  <c r="L350" i="15"/>
  <c r="K350" i="15"/>
  <c r="B350" i="15"/>
  <c r="O349" i="15"/>
  <c r="N349" i="15"/>
  <c r="R349" i="15" s="1"/>
  <c r="L349" i="15"/>
  <c r="K349" i="15"/>
  <c r="B349" i="15"/>
  <c r="O348" i="15"/>
  <c r="N348" i="15"/>
  <c r="R348" i="15" s="1"/>
  <c r="L348" i="15"/>
  <c r="K348" i="15"/>
  <c r="B348" i="15"/>
  <c r="O347" i="15"/>
  <c r="N347" i="15"/>
  <c r="R347" i="15" s="1"/>
  <c r="L347" i="15"/>
  <c r="K347" i="15"/>
  <c r="B347" i="15"/>
  <c r="O346" i="15"/>
  <c r="N346" i="15"/>
  <c r="R346" i="15" s="1"/>
  <c r="L346" i="15"/>
  <c r="K346" i="15"/>
  <c r="B346" i="15"/>
  <c r="O345" i="15"/>
  <c r="N345" i="15"/>
  <c r="R345" i="15" s="1"/>
  <c r="L345" i="15"/>
  <c r="K345" i="15"/>
  <c r="B345" i="15"/>
  <c r="O344" i="15"/>
  <c r="N344" i="15"/>
  <c r="R344" i="15" s="1"/>
  <c r="L344" i="15"/>
  <c r="K344" i="15"/>
  <c r="B344" i="15"/>
  <c r="O343" i="15"/>
  <c r="N343" i="15"/>
  <c r="R343" i="15" s="1"/>
  <c r="L343" i="15"/>
  <c r="K343" i="15"/>
  <c r="B343" i="15"/>
  <c r="O342" i="15"/>
  <c r="N342" i="15"/>
  <c r="R342" i="15" s="1"/>
  <c r="L342" i="15"/>
  <c r="K342" i="15"/>
  <c r="B342" i="15"/>
  <c r="O341" i="15"/>
  <c r="N341" i="15"/>
  <c r="R341" i="15" s="1"/>
  <c r="L341" i="15"/>
  <c r="K341" i="15"/>
  <c r="B341" i="15"/>
  <c r="O340" i="15"/>
  <c r="N340" i="15"/>
  <c r="R340" i="15" s="1"/>
  <c r="L340" i="15"/>
  <c r="K340" i="15"/>
  <c r="B340" i="15"/>
  <c r="O339" i="15"/>
  <c r="N339" i="15"/>
  <c r="R339" i="15" s="1"/>
  <c r="L339" i="15"/>
  <c r="K339" i="15"/>
  <c r="B339" i="15"/>
  <c r="O338" i="15"/>
  <c r="N338" i="15"/>
  <c r="R338" i="15" s="1"/>
  <c r="L338" i="15"/>
  <c r="K338" i="15"/>
  <c r="B338" i="15"/>
  <c r="O337" i="15"/>
  <c r="N337" i="15"/>
  <c r="L337" i="15"/>
  <c r="K337" i="15"/>
  <c r="B337" i="15"/>
  <c r="O336" i="15"/>
  <c r="N336" i="15"/>
  <c r="L336" i="15"/>
  <c r="K336" i="15"/>
  <c r="B336" i="15"/>
  <c r="O335" i="15"/>
  <c r="N335" i="15"/>
  <c r="R335" i="15" s="1"/>
  <c r="L335" i="15"/>
  <c r="K335" i="15"/>
  <c r="B335" i="15"/>
  <c r="O334" i="15"/>
  <c r="N334" i="15"/>
  <c r="R334" i="15" s="1"/>
  <c r="L334" i="15"/>
  <c r="K334" i="15"/>
  <c r="B334" i="15"/>
  <c r="O333" i="15"/>
  <c r="N333" i="15"/>
  <c r="R333" i="15" s="1"/>
  <c r="L333" i="15"/>
  <c r="K333" i="15"/>
  <c r="B333" i="15"/>
  <c r="O332" i="15"/>
  <c r="N332" i="15"/>
  <c r="R332" i="15" s="1"/>
  <c r="L332" i="15"/>
  <c r="K332" i="15"/>
  <c r="B332" i="15"/>
  <c r="O331" i="15"/>
  <c r="N331" i="15"/>
  <c r="R331" i="15" s="1"/>
  <c r="L331" i="15"/>
  <c r="K331" i="15"/>
  <c r="B331" i="15"/>
  <c r="O330" i="15"/>
  <c r="N330" i="15"/>
  <c r="R330" i="15" s="1"/>
  <c r="L330" i="15"/>
  <c r="K330" i="15"/>
  <c r="B330" i="15"/>
  <c r="O329" i="15"/>
  <c r="N329" i="15"/>
  <c r="R329" i="15" s="1"/>
  <c r="L329" i="15"/>
  <c r="K329" i="15"/>
  <c r="B329" i="15"/>
  <c r="O328" i="15"/>
  <c r="N328" i="15"/>
  <c r="R328" i="15" s="1"/>
  <c r="L328" i="15"/>
  <c r="K328" i="15"/>
  <c r="B328" i="15"/>
  <c r="O327" i="15"/>
  <c r="N327" i="15"/>
  <c r="R327" i="15" s="1"/>
  <c r="L327" i="15"/>
  <c r="K327" i="15"/>
  <c r="B327" i="15"/>
  <c r="O326" i="15"/>
  <c r="N326" i="15"/>
  <c r="R326" i="15" s="1"/>
  <c r="L326" i="15"/>
  <c r="K326" i="15"/>
  <c r="B326" i="15"/>
  <c r="O325" i="15"/>
  <c r="N325" i="15"/>
  <c r="R325" i="15" s="1"/>
  <c r="L325" i="15"/>
  <c r="K325" i="15"/>
  <c r="B325" i="15"/>
  <c r="O324" i="15"/>
  <c r="N324" i="15"/>
  <c r="R324" i="15" s="1"/>
  <c r="L324" i="15"/>
  <c r="K324" i="15"/>
  <c r="B324" i="15"/>
  <c r="O323" i="15"/>
  <c r="N323" i="15"/>
  <c r="R323" i="15" s="1"/>
  <c r="L323" i="15"/>
  <c r="K323" i="15"/>
  <c r="B323" i="15"/>
  <c r="O322" i="15"/>
  <c r="N322" i="15"/>
  <c r="R322" i="15" s="1"/>
  <c r="L322" i="15"/>
  <c r="K322" i="15"/>
  <c r="B322" i="15"/>
  <c r="O321" i="15"/>
  <c r="N321" i="15"/>
  <c r="R321" i="15" s="1"/>
  <c r="L321" i="15"/>
  <c r="K321" i="15"/>
  <c r="B321" i="15"/>
  <c r="O320" i="15"/>
  <c r="N320" i="15"/>
  <c r="L320" i="15"/>
  <c r="K320" i="15"/>
  <c r="B320" i="15"/>
  <c r="O319" i="15"/>
  <c r="N319" i="15"/>
  <c r="R319" i="15" s="1"/>
  <c r="L319" i="15"/>
  <c r="K319" i="15"/>
  <c r="B319" i="15"/>
  <c r="O318" i="15"/>
  <c r="N318" i="15"/>
  <c r="L318" i="15"/>
  <c r="K318" i="15"/>
  <c r="B318" i="15"/>
  <c r="O317" i="15"/>
  <c r="N317" i="15"/>
  <c r="R317" i="15" s="1"/>
  <c r="L317" i="15"/>
  <c r="K317" i="15"/>
  <c r="B317" i="15"/>
  <c r="O316" i="15"/>
  <c r="N316" i="15"/>
  <c r="R316" i="15" s="1"/>
  <c r="L316" i="15"/>
  <c r="K316" i="15"/>
  <c r="B316" i="15"/>
  <c r="O315" i="15"/>
  <c r="N315" i="15"/>
  <c r="R315" i="15" s="1"/>
  <c r="L315" i="15"/>
  <c r="K315" i="15"/>
  <c r="B315" i="15"/>
  <c r="O314" i="15"/>
  <c r="N314" i="15"/>
  <c r="R314" i="15" s="1"/>
  <c r="L314" i="15"/>
  <c r="K314" i="15"/>
  <c r="B314" i="15"/>
  <c r="O313" i="15"/>
  <c r="N313" i="15"/>
  <c r="R313" i="15" s="1"/>
  <c r="L313" i="15"/>
  <c r="K313" i="15"/>
  <c r="B313" i="15"/>
  <c r="O312" i="15"/>
  <c r="N312" i="15"/>
  <c r="R312" i="15" s="1"/>
  <c r="L312" i="15"/>
  <c r="K312" i="15"/>
  <c r="B312" i="15"/>
  <c r="O311" i="15"/>
  <c r="N311" i="15"/>
  <c r="R311" i="15" s="1"/>
  <c r="L311" i="15"/>
  <c r="K311" i="15"/>
  <c r="B311" i="15"/>
  <c r="O310" i="15"/>
  <c r="N310" i="15"/>
  <c r="R310" i="15" s="1"/>
  <c r="L310" i="15"/>
  <c r="K310" i="15"/>
  <c r="B310" i="15"/>
  <c r="O309" i="15"/>
  <c r="N309" i="15"/>
  <c r="R309" i="15" s="1"/>
  <c r="L309" i="15"/>
  <c r="K309" i="15"/>
  <c r="B309" i="15"/>
  <c r="O308" i="15"/>
  <c r="N308" i="15"/>
  <c r="R308" i="15" s="1"/>
  <c r="L308" i="15"/>
  <c r="K308" i="15"/>
  <c r="B308" i="15"/>
  <c r="O307" i="15"/>
  <c r="N307" i="15"/>
  <c r="R307" i="15" s="1"/>
  <c r="L307" i="15"/>
  <c r="K307" i="15"/>
  <c r="B307" i="15"/>
  <c r="O306" i="15"/>
  <c r="N306" i="15"/>
  <c r="R306" i="15" s="1"/>
  <c r="L306" i="15"/>
  <c r="K306" i="15"/>
  <c r="B306" i="15"/>
  <c r="O305" i="15"/>
  <c r="N305" i="15"/>
  <c r="L305" i="15"/>
  <c r="K305" i="15"/>
  <c r="B305" i="15"/>
  <c r="O304" i="15"/>
  <c r="N304" i="15"/>
  <c r="R304" i="15" s="1"/>
  <c r="L304" i="15"/>
  <c r="K304" i="15"/>
  <c r="B304" i="15"/>
  <c r="O303" i="15"/>
  <c r="N303" i="15"/>
  <c r="R303" i="15" s="1"/>
  <c r="L303" i="15"/>
  <c r="K303" i="15"/>
  <c r="B303" i="15"/>
  <c r="O302" i="15"/>
  <c r="N302" i="15"/>
  <c r="R302" i="15" s="1"/>
  <c r="L302" i="15"/>
  <c r="K302" i="15"/>
  <c r="B302" i="15"/>
  <c r="O301" i="15"/>
  <c r="N301" i="15"/>
  <c r="R301" i="15" s="1"/>
  <c r="L301" i="15"/>
  <c r="K301" i="15"/>
  <c r="B301" i="15"/>
  <c r="O300" i="15"/>
  <c r="N300" i="15"/>
  <c r="R300" i="15" s="1"/>
  <c r="L300" i="15"/>
  <c r="K300" i="15"/>
  <c r="B300" i="15"/>
  <c r="O299" i="15"/>
  <c r="N299" i="15"/>
  <c r="R299" i="15" s="1"/>
  <c r="L299" i="15"/>
  <c r="K299" i="15"/>
  <c r="B299" i="15"/>
  <c r="O298" i="15"/>
  <c r="N298" i="15"/>
  <c r="R298" i="15" s="1"/>
  <c r="L298" i="15"/>
  <c r="K298" i="15"/>
  <c r="B298" i="15"/>
  <c r="O297" i="15"/>
  <c r="N297" i="15"/>
  <c r="R297" i="15" s="1"/>
  <c r="L297" i="15"/>
  <c r="K297" i="15"/>
  <c r="B297" i="15"/>
  <c r="O296" i="15"/>
  <c r="N296" i="15"/>
  <c r="R296" i="15" s="1"/>
  <c r="L296" i="15"/>
  <c r="K296" i="15"/>
  <c r="B296" i="15"/>
  <c r="O295" i="15"/>
  <c r="N295" i="15"/>
  <c r="R295" i="15" s="1"/>
  <c r="L295" i="15"/>
  <c r="K295" i="15"/>
  <c r="B295" i="15"/>
  <c r="O294" i="15"/>
  <c r="N294" i="15"/>
  <c r="R294" i="15" s="1"/>
  <c r="L294" i="15"/>
  <c r="K294" i="15"/>
  <c r="B294" i="15"/>
  <c r="O293" i="15"/>
  <c r="N293" i="15"/>
  <c r="R293" i="15" s="1"/>
  <c r="L293" i="15"/>
  <c r="K293" i="15"/>
  <c r="B293" i="15"/>
  <c r="O292" i="15"/>
  <c r="N292" i="15"/>
  <c r="R292" i="15" s="1"/>
  <c r="L292" i="15"/>
  <c r="K292" i="15"/>
  <c r="B292" i="15"/>
  <c r="O291" i="15"/>
  <c r="N291" i="15"/>
  <c r="R291" i="15" s="1"/>
  <c r="L291" i="15"/>
  <c r="K291" i="15"/>
  <c r="B291" i="15"/>
  <c r="O290" i="15"/>
  <c r="N290" i="15"/>
  <c r="R290" i="15" s="1"/>
  <c r="L290" i="15"/>
  <c r="K290" i="15"/>
  <c r="B290" i="15"/>
  <c r="O289" i="15"/>
  <c r="N289" i="15"/>
  <c r="R289" i="15" s="1"/>
  <c r="L289" i="15"/>
  <c r="K289" i="15"/>
  <c r="B289" i="15"/>
  <c r="O288" i="15"/>
  <c r="N288" i="15"/>
  <c r="L288" i="15"/>
  <c r="K288" i="15"/>
  <c r="B288" i="15"/>
  <c r="O287" i="15"/>
  <c r="N287" i="15"/>
  <c r="R287" i="15" s="1"/>
  <c r="L287" i="15"/>
  <c r="K287" i="15"/>
  <c r="B287" i="15"/>
  <c r="O286" i="15"/>
  <c r="N286" i="15"/>
  <c r="L286" i="15"/>
  <c r="K286" i="15"/>
  <c r="B286" i="15"/>
  <c r="O285" i="15"/>
  <c r="N285" i="15"/>
  <c r="R285" i="15" s="1"/>
  <c r="L285" i="15"/>
  <c r="K285" i="15"/>
  <c r="B285" i="15"/>
  <c r="O284" i="15"/>
  <c r="N284" i="15"/>
  <c r="R284" i="15" s="1"/>
  <c r="L284" i="15"/>
  <c r="K284" i="15"/>
  <c r="B284" i="15"/>
  <c r="O283" i="15"/>
  <c r="N283" i="15"/>
  <c r="R283" i="15" s="1"/>
  <c r="L283" i="15"/>
  <c r="K283" i="15"/>
  <c r="B283" i="15"/>
  <c r="O282" i="15"/>
  <c r="N282" i="15"/>
  <c r="R282" i="15" s="1"/>
  <c r="L282" i="15"/>
  <c r="K282" i="15"/>
  <c r="B282" i="15"/>
  <c r="O281" i="15"/>
  <c r="N281" i="15"/>
  <c r="R281" i="15" s="1"/>
  <c r="L281" i="15"/>
  <c r="K281" i="15"/>
  <c r="B281" i="15"/>
  <c r="O280" i="15"/>
  <c r="N280" i="15"/>
  <c r="R280" i="15" s="1"/>
  <c r="L280" i="15"/>
  <c r="K280" i="15"/>
  <c r="B280" i="15"/>
  <c r="O279" i="15"/>
  <c r="N279" i="15"/>
  <c r="R279" i="15" s="1"/>
  <c r="L279" i="15"/>
  <c r="K279" i="15"/>
  <c r="B279" i="15"/>
  <c r="O278" i="15"/>
  <c r="N278" i="15"/>
  <c r="R278" i="15" s="1"/>
  <c r="L278" i="15"/>
  <c r="K278" i="15"/>
  <c r="B278" i="15"/>
  <c r="O277" i="15"/>
  <c r="N277" i="15"/>
  <c r="R277" i="15" s="1"/>
  <c r="L277" i="15"/>
  <c r="K277" i="15"/>
  <c r="B277" i="15"/>
  <c r="O276" i="15"/>
  <c r="N276" i="15"/>
  <c r="R276" i="15" s="1"/>
  <c r="L276" i="15"/>
  <c r="K276" i="15"/>
  <c r="B276" i="15"/>
  <c r="O275" i="15"/>
  <c r="N275" i="15"/>
  <c r="R275" i="15" s="1"/>
  <c r="L275" i="15"/>
  <c r="K275" i="15"/>
  <c r="B275" i="15"/>
  <c r="O274" i="15"/>
  <c r="N274" i="15"/>
  <c r="R274" i="15" s="1"/>
  <c r="L274" i="15"/>
  <c r="K274" i="15"/>
  <c r="B274" i="15"/>
  <c r="O273" i="15"/>
  <c r="N273" i="15"/>
  <c r="L273" i="15"/>
  <c r="K273" i="15"/>
  <c r="B273" i="15"/>
  <c r="O272" i="15"/>
  <c r="N272" i="15"/>
  <c r="L272" i="15"/>
  <c r="K272" i="15"/>
  <c r="B272" i="15"/>
  <c r="O271" i="15"/>
  <c r="N271" i="15"/>
  <c r="R271" i="15" s="1"/>
  <c r="L271" i="15"/>
  <c r="K271" i="15"/>
  <c r="B271" i="15"/>
  <c r="O270" i="15"/>
  <c r="N270" i="15"/>
  <c r="R270" i="15" s="1"/>
  <c r="L270" i="15"/>
  <c r="K270" i="15"/>
  <c r="B270" i="15"/>
  <c r="O269" i="15"/>
  <c r="N269" i="15"/>
  <c r="R269" i="15" s="1"/>
  <c r="L269" i="15"/>
  <c r="K269" i="15"/>
  <c r="B269" i="15"/>
  <c r="O268" i="15"/>
  <c r="N268" i="15"/>
  <c r="R268" i="15" s="1"/>
  <c r="L268" i="15"/>
  <c r="K268" i="15"/>
  <c r="B268" i="15"/>
  <c r="O267" i="15"/>
  <c r="N267" i="15"/>
  <c r="R267" i="15" s="1"/>
  <c r="L267" i="15"/>
  <c r="K267" i="15"/>
  <c r="B267" i="15"/>
  <c r="O266" i="15"/>
  <c r="N266" i="15"/>
  <c r="R266" i="15" s="1"/>
  <c r="L266" i="15"/>
  <c r="K266" i="15"/>
  <c r="B266" i="15"/>
  <c r="O265" i="15"/>
  <c r="N265" i="15"/>
  <c r="R265" i="15" s="1"/>
  <c r="L265" i="15"/>
  <c r="K265" i="15"/>
  <c r="B265" i="15"/>
  <c r="O264" i="15"/>
  <c r="N264" i="15"/>
  <c r="R264" i="15" s="1"/>
  <c r="L264" i="15"/>
  <c r="K264" i="15"/>
  <c r="B264" i="15"/>
  <c r="O263" i="15"/>
  <c r="N263" i="15"/>
  <c r="R263" i="15" s="1"/>
  <c r="L263" i="15"/>
  <c r="K263" i="15"/>
  <c r="B263" i="15"/>
  <c r="O262" i="15"/>
  <c r="N262" i="15"/>
  <c r="R262" i="15" s="1"/>
  <c r="L262" i="15"/>
  <c r="K262" i="15"/>
  <c r="B262" i="15"/>
  <c r="O261" i="15"/>
  <c r="N261" i="15"/>
  <c r="R261" i="15" s="1"/>
  <c r="L261" i="15"/>
  <c r="K261" i="15"/>
  <c r="B261" i="15"/>
  <c r="O260" i="15"/>
  <c r="N260" i="15"/>
  <c r="R260" i="15" s="1"/>
  <c r="L260" i="15"/>
  <c r="K260" i="15"/>
  <c r="B260" i="15"/>
  <c r="O259" i="15"/>
  <c r="N259" i="15"/>
  <c r="R259" i="15" s="1"/>
  <c r="L259" i="15"/>
  <c r="K259" i="15"/>
  <c r="B259" i="15"/>
  <c r="O258" i="15"/>
  <c r="N258" i="15"/>
  <c r="R258" i="15" s="1"/>
  <c r="L258" i="15"/>
  <c r="K258" i="15"/>
  <c r="B258" i="15"/>
  <c r="O257" i="15"/>
  <c r="N257" i="15"/>
  <c r="R257" i="15" s="1"/>
  <c r="L257" i="15"/>
  <c r="K257" i="15"/>
  <c r="B257" i="15"/>
  <c r="O256" i="15"/>
  <c r="N256" i="15"/>
  <c r="L256" i="15"/>
  <c r="K256" i="15"/>
  <c r="B256" i="15"/>
  <c r="O255" i="15"/>
  <c r="N255" i="15"/>
  <c r="R255" i="15" s="1"/>
  <c r="L255" i="15"/>
  <c r="K255" i="15"/>
  <c r="B255" i="15"/>
  <c r="O254" i="15"/>
  <c r="N254" i="15"/>
  <c r="L254" i="15"/>
  <c r="K254" i="15"/>
  <c r="B254" i="15"/>
  <c r="O253" i="15"/>
  <c r="N253" i="15"/>
  <c r="R253" i="15" s="1"/>
  <c r="L253" i="15"/>
  <c r="K253" i="15"/>
  <c r="B253" i="15"/>
  <c r="O252" i="15"/>
  <c r="N252" i="15"/>
  <c r="R252" i="15" s="1"/>
  <c r="L252" i="15"/>
  <c r="K252" i="15"/>
  <c r="B252" i="15"/>
  <c r="O251" i="15"/>
  <c r="N251" i="15"/>
  <c r="R251" i="15" s="1"/>
  <c r="L251" i="15"/>
  <c r="K251" i="15"/>
  <c r="B251" i="15"/>
  <c r="O250" i="15"/>
  <c r="N250" i="15"/>
  <c r="R250" i="15" s="1"/>
  <c r="L250" i="15"/>
  <c r="K250" i="15"/>
  <c r="B250" i="15"/>
  <c r="O249" i="15"/>
  <c r="N249" i="15"/>
  <c r="R249" i="15" s="1"/>
  <c r="L249" i="15"/>
  <c r="K249" i="15"/>
  <c r="B249" i="15"/>
  <c r="O248" i="15"/>
  <c r="N248" i="15"/>
  <c r="R248" i="15" s="1"/>
  <c r="L248" i="15"/>
  <c r="K248" i="15"/>
  <c r="B248" i="15"/>
  <c r="O247" i="15"/>
  <c r="N247" i="15"/>
  <c r="R247" i="15" s="1"/>
  <c r="L247" i="15"/>
  <c r="K247" i="15"/>
  <c r="B247" i="15"/>
  <c r="O246" i="15"/>
  <c r="N246" i="15"/>
  <c r="R246" i="15" s="1"/>
  <c r="L246" i="15"/>
  <c r="K246" i="15"/>
  <c r="B246" i="15"/>
  <c r="O245" i="15"/>
  <c r="N245" i="15"/>
  <c r="R245" i="15" s="1"/>
  <c r="L245" i="15"/>
  <c r="K245" i="15"/>
  <c r="B245" i="15"/>
  <c r="O244" i="15"/>
  <c r="N244" i="15"/>
  <c r="R244" i="15" s="1"/>
  <c r="L244" i="15"/>
  <c r="K244" i="15"/>
  <c r="B244" i="15"/>
  <c r="O243" i="15"/>
  <c r="N243" i="15"/>
  <c r="R243" i="15" s="1"/>
  <c r="L243" i="15"/>
  <c r="K243" i="15"/>
  <c r="B243" i="15"/>
  <c r="O242" i="15"/>
  <c r="N242" i="15"/>
  <c r="R242" i="15" s="1"/>
  <c r="L242" i="15"/>
  <c r="K242" i="15"/>
  <c r="B242" i="15"/>
  <c r="O241" i="15"/>
  <c r="N241" i="15"/>
  <c r="L241" i="15"/>
  <c r="K241" i="15"/>
  <c r="B241" i="15"/>
  <c r="O240" i="15"/>
  <c r="N240" i="15"/>
  <c r="L240" i="15"/>
  <c r="K240" i="15"/>
  <c r="B240" i="15"/>
  <c r="O239" i="15"/>
  <c r="N239" i="15"/>
  <c r="R239" i="15" s="1"/>
  <c r="L239" i="15"/>
  <c r="K239" i="15"/>
  <c r="B239" i="15"/>
  <c r="O238" i="15"/>
  <c r="N238" i="15"/>
  <c r="R238" i="15" s="1"/>
  <c r="L238" i="15"/>
  <c r="K238" i="15"/>
  <c r="B238" i="15"/>
  <c r="O237" i="15"/>
  <c r="N237" i="15"/>
  <c r="R237" i="15" s="1"/>
  <c r="L237" i="15"/>
  <c r="K237" i="15"/>
  <c r="B237" i="15"/>
  <c r="O236" i="15"/>
  <c r="N236" i="15"/>
  <c r="R236" i="15" s="1"/>
  <c r="L236" i="15"/>
  <c r="K236" i="15"/>
  <c r="B236" i="15"/>
  <c r="O235" i="15"/>
  <c r="N235" i="15"/>
  <c r="R235" i="15" s="1"/>
  <c r="L235" i="15"/>
  <c r="K235" i="15"/>
  <c r="B235" i="15"/>
  <c r="O234" i="15"/>
  <c r="N234" i="15"/>
  <c r="R234" i="15" s="1"/>
  <c r="L234" i="15"/>
  <c r="K234" i="15"/>
  <c r="B234" i="15"/>
  <c r="O233" i="15"/>
  <c r="N233" i="15"/>
  <c r="R233" i="15" s="1"/>
  <c r="L233" i="15"/>
  <c r="K233" i="15"/>
  <c r="B233" i="15"/>
  <c r="O232" i="15"/>
  <c r="N232" i="15"/>
  <c r="R232" i="15" s="1"/>
  <c r="L232" i="15"/>
  <c r="K232" i="15"/>
  <c r="B232" i="15"/>
  <c r="O231" i="15"/>
  <c r="N231" i="15"/>
  <c r="R231" i="15" s="1"/>
  <c r="L231" i="15"/>
  <c r="K231" i="15"/>
  <c r="B231" i="15"/>
  <c r="O230" i="15"/>
  <c r="N230" i="15"/>
  <c r="R230" i="15" s="1"/>
  <c r="L230" i="15"/>
  <c r="K230" i="15"/>
  <c r="B230" i="15"/>
  <c r="O229" i="15"/>
  <c r="N229" i="15"/>
  <c r="R229" i="15" s="1"/>
  <c r="L229" i="15"/>
  <c r="K229" i="15"/>
  <c r="B229" i="15"/>
  <c r="O228" i="15"/>
  <c r="N228" i="15"/>
  <c r="R228" i="15" s="1"/>
  <c r="L228" i="15"/>
  <c r="K228" i="15"/>
  <c r="B228" i="15"/>
  <c r="O227" i="15"/>
  <c r="N227" i="15"/>
  <c r="R227" i="15" s="1"/>
  <c r="L227" i="15"/>
  <c r="K227" i="15"/>
  <c r="B227" i="15"/>
  <c r="O226" i="15"/>
  <c r="N226" i="15"/>
  <c r="R226" i="15" s="1"/>
  <c r="L226" i="15"/>
  <c r="K226" i="15"/>
  <c r="B226" i="15"/>
  <c r="O225" i="15"/>
  <c r="N225" i="15"/>
  <c r="R225" i="15" s="1"/>
  <c r="L225" i="15"/>
  <c r="K225" i="15"/>
  <c r="B225" i="15"/>
  <c r="O224" i="15"/>
  <c r="N224" i="15"/>
  <c r="L224" i="15"/>
  <c r="K224" i="15"/>
  <c r="B224" i="15"/>
  <c r="O223" i="15"/>
  <c r="N223" i="15"/>
  <c r="R223" i="15" s="1"/>
  <c r="L223" i="15"/>
  <c r="K223" i="15"/>
  <c r="B223" i="15"/>
  <c r="O222" i="15"/>
  <c r="N222" i="15"/>
  <c r="L222" i="15"/>
  <c r="K222" i="15"/>
  <c r="B222" i="15"/>
  <c r="O221" i="15"/>
  <c r="N221" i="15"/>
  <c r="R221" i="15" s="1"/>
  <c r="L221" i="15"/>
  <c r="K221" i="15"/>
  <c r="B221" i="15"/>
  <c r="O220" i="15"/>
  <c r="N220" i="15"/>
  <c r="R220" i="15" s="1"/>
  <c r="L220" i="15"/>
  <c r="K220" i="15"/>
  <c r="B220" i="15"/>
  <c r="O219" i="15"/>
  <c r="N219" i="15"/>
  <c r="R219" i="15" s="1"/>
  <c r="L219" i="15"/>
  <c r="K219" i="15"/>
  <c r="B219" i="15"/>
  <c r="O218" i="15"/>
  <c r="N218" i="15"/>
  <c r="R218" i="15" s="1"/>
  <c r="L218" i="15"/>
  <c r="K218" i="15"/>
  <c r="B218" i="15"/>
  <c r="O217" i="15"/>
  <c r="N217" i="15"/>
  <c r="R217" i="15" s="1"/>
  <c r="L217" i="15"/>
  <c r="K217" i="15"/>
  <c r="B217" i="15"/>
  <c r="O216" i="15"/>
  <c r="N216" i="15"/>
  <c r="R216" i="15" s="1"/>
  <c r="L216" i="15"/>
  <c r="K216" i="15"/>
  <c r="B216" i="15"/>
  <c r="O215" i="15"/>
  <c r="N215" i="15"/>
  <c r="R215" i="15" s="1"/>
  <c r="L215" i="15"/>
  <c r="K215" i="15"/>
  <c r="B215" i="15"/>
  <c r="O214" i="15"/>
  <c r="N214" i="15"/>
  <c r="R214" i="15" s="1"/>
  <c r="L214" i="15"/>
  <c r="K214" i="15"/>
  <c r="B214" i="15"/>
  <c r="O213" i="15"/>
  <c r="N213" i="15"/>
  <c r="R213" i="15" s="1"/>
  <c r="L213" i="15"/>
  <c r="K213" i="15"/>
  <c r="B213" i="15"/>
  <c r="O212" i="15"/>
  <c r="N212" i="15"/>
  <c r="R212" i="15" s="1"/>
  <c r="L212" i="15"/>
  <c r="K212" i="15"/>
  <c r="B212" i="15"/>
  <c r="O211" i="15"/>
  <c r="N211" i="15"/>
  <c r="R211" i="15" s="1"/>
  <c r="L211" i="15"/>
  <c r="K211" i="15"/>
  <c r="B211" i="15"/>
  <c r="O210" i="15"/>
  <c r="N210" i="15"/>
  <c r="R210" i="15" s="1"/>
  <c r="L210" i="15"/>
  <c r="K210" i="15"/>
  <c r="B210" i="15"/>
  <c r="O209" i="15"/>
  <c r="N209" i="15"/>
  <c r="L209" i="15"/>
  <c r="K209" i="15"/>
  <c r="B209" i="15"/>
  <c r="O208" i="15"/>
  <c r="N208" i="15"/>
  <c r="L208" i="15"/>
  <c r="K208" i="15"/>
  <c r="B208" i="15"/>
  <c r="O207" i="15"/>
  <c r="N207" i="15"/>
  <c r="R207" i="15" s="1"/>
  <c r="L207" i="15"/>
  <c r="K207" i="15"/>
  <c r="B207" i="15"/>
  <c r="O206" i="15"/>
  <c r="N206" i="15"/>
  <c r="R206" i="15" s="1"/>
  <c r="L206" i="15"/>
  <c r="K206" i="15"/>
  <c r="B206" i="15"/>
  <c r="O205" i="15"/>
  <c r="N205" i="15"/>
  <c r="R205" i="15" s="1"/>
  <c r="L205" i="15"/>
  <c r="K205" i="15"/>
  <c r="B205" i="15"/>
  <c r="O204" i="15"/>
  <c r="N204" i="15"/>
  <c r="R204" i="15" s="1"/>
  <c r="L204" i="15"/>
  <c r="K204" i="15"/>
  <c r="B204" i="15"/>
  <c r="O203" i="15"/>
  <c r="N203" i="15"/>
  <c r="R203" i="15" s="1"/>
  <c r="L203" i="15"/>
  <c r="K203" i="15"/>
  <c r="B203" i="15"/>
  <c r="O202" i="15"/>
  <c r="N202" i="15"/>
  <c r="R202" i="15" s="1"/>
  <c r="L202" i="15"/>
  <c r="K202" i="15"/>
  <c r="B202" i="15"/>
  <c r="O201" i="15"/>
  <c r="N201" i="15"/>
  <c r="R201" i="15" s="1"/>
  <c r="L201" i="15"/>
  <c r="K201" i="15"/>
  <c r="B201" i="15"/>
  <c r="O200" i="15"/>
  <c r="N200" i="15"/>
  <c r="R200" i="15" s="1"/>
  <c r="L200" i="15"/>
  <c r="K200" i="15"/>
  <c r="B200" i="15"/>
  <c r="O199" i="15"/>
  <c r="N199" i="15"/>
  <c r="R199" i="15" s="1"/>
  <c r="L199" i="15"/>
  <c r="K199" i="15"/>
  <c r="B199" i="15"/>
  <c r="O198" i="15"/>
  <c r="N198" i="15"/>
  <c r="R198" i="15" s="1"/>
  <c r="L198" i="15"/>
  <c r="K198" i="15"/>
  <c r="B198" i="15"/>
  <c r="O197" i="15"/>
  <c r="N197" i="15"/>
  <c r="R197" i="15" s="1"/>
  <c r="L197" i="15"/>
  <c r="K197" i="15"/>
  <c r="B197" i="15"/>
  <c r="O196" i="15"/>
  <c r="N196" i="15"/>
  <c r="R196" i="15" s="1"/>
  <c r="L196" i="15"/>
  <c r="K196" i="15"/>
  <c r="B196" i="15"/>
  <c r="O195" i="15"/>
  <c r="N195" i="15"/>
  <c r="R195" i="15" s="1"/>
  <c r="L195" i="15"/>
  <c r="K195" i="15"/>
  <c r="B195" i="15"/>
  <c r="O194" i="15"/>
  <c r="N194" i="15"/>
  <c r="R194" i="15" s="1"/>
  <c r="L194" i="15"/>
  <c r="K194" i="15"/>
  <c r="B194" i="15"/>
  <c r="O193" i="15"/>
  <c r="N193" i="15"/>
  <c r="R193" i="15" s="1"/>
  <c r="L193" i="15"/>
  <c r="K193" i="15"/>
  <c r="B193" i="15"/>
  <c r="O192" i="15"/>
  <c r="N192" i="15"/>
  <c r="L192" i="15"/>
  <c r="K192" i="15"/>
  <c r="B192" i="15"/>
  <c r="O191" i="15"/>
  <c r="N191" i="15"/>
  <c r="R191" i="15" s="1"/>
  <c r="L191" i="15"/>
  <c r="K191" i="15"/>
  <c r="B191" i="15"/>
  <c r="O190" i="15"/>
  <c r="N190" i="15"/>
  <c r="L190" i="15"/>
  <c r="K190" i="15"/>
  <c r="B190" i="15"/>
  <c r="O189" i="15"/>
  <c r="N189" i="15"/>
  <c r="R189" i="15" s="1"/>
  <c r="L189" i="15"/>
  <c r="K189" i="15"/>
  <c r="B189" i="15"/>
  <c r="O188" i="15"/>
  <c r="N188" i="15"/>
  <c r="R188" i="15" s="1"/>
  <c r="L188" i="15"/>
  <c r="K188" i="15"/>
  <c r="B188" i="15"/>
  <c r="O187" i="15"/>
  <c r="N187" i="15"/>
  <c r="R187" i="15" s="1"/>
  <c r="L187" i="15"/>
  <c r="K187" i="15"/>
  <c r="B187" i="15"/>
  <c r="O186" i="15"/>
  <c r="N186" i="15"/>
  <c r="R186" i="15" s="1"/>
  <c r="L186" i="15"/>
  <c r="K186" i="15"/>
  <c r="B186" i="15"/>
  <c r="O185" i="15"/>
  <c r="N185" i="15"/>
  <c r="R185" i="15" s="1"/>
  <c r="L185" i="15"/>
  <c r="K185" i="15"/>
  <c r="B185" i="15"/>
  <c r="O184" i="15"/>
  <c r="N184" i="15"/>
  <c r="R184" i="15" s="1"/>
  <c r="L184" i="15"/>
  <c r="K184" i="15"/>
  <c r="B184" i="15"/>
  <c r="O183" i="15"/>
  <c r="N183" i="15"/>
  <c r="R183" i="15" s="1"/>
  <c r="L183" i="15"/>
  <c r="K183" i="15"/>
  <c r="B183" i="15"/>
  <c r="O182" i="15"/>
  <c r="N182" i="15"/>
  <c r="R182" i="15" s="1"/>
  <c r="L182" i="15"/>
  <c r="K182" i="15"/>
  <c r="B182" i="15"/>
  <c r="O181" i="15"/>
  <c r="N181" i="15"/>
  <c r="R181" i="15" s="1"/>
  <c r="L181" i="15"/>
  <c r="K181" i="15"/>
  <c r="B181" i="15"/>
  <c r="O180" i="15"/>
  <c r="N180" i="15"/>
  <c r="R180" i="15" s="1"/>
  <c r="L180" i="15"/>
  <c r="K180" i="15"/>
  <c r="B180" i="15"/>
  <c r="O179" i="15"/>
  <c r="N179" i="15"/>
  <c r="R179" i="15" s="1"/>
  <c r="L179" i="15"/>
  <c r="K179" i="15"/>
  <c r="B179" i="15"/>
  <c r="O178" i="15"/>
  <c r="N178" i="15"/>
  <c r="R178" i="15" s="1"/>
  <c r="L178" i="15"/>
  <c r="K178" i="15"/>
  <c r="B178" i="15"/>
  <c r="O177" i="15"/>
  <c r="N177" i="15"/>
  <c r="L177" i="15"/>
  <c r="K177" i="15"/>
  <c r="B177" i="15"/>
  <c r="O176" i="15"/>
  <c r="N176" i="15"/>
  <c r="L176" i="15"/>
  <c r="K176" i="15"/>
  <c r="B176" i="15"/>
  <c r="O175" i="15"/>
  <c r="N175" i="15"/>
  <c r="R175" i="15" s="1"/>
  <c r="L175" i="15"/>
  <c r="K175" i="15"/>
  <c r="B175" i="15"/>
  <c r="O174" i="15"/>
  <c r="N174" i="15"/>
  <c r="R174" i="15" s="1"/>
  <c r="L174" i="15"/>
  <c r="K174" i="15"/>
  <c r="B174" i="15"/>
  <c r="O173" i="15"/>
  <c r="N173" i="15"/>
  <c r="R173" i="15" s="1"/>
  <c r="L173" i="15"/>
  <c r="K173" i="15"/>
  <c r="B173" i="15"/>
  <c r="O172" i="15"/>
  <c r="N172" i="15"/>
  <c r="R172" i="15" s="1"/>
  <c r="L172" i="15"/>
  <c r="K172" i="15"/>
  <c r="B172" i="15"/>
  <c r="O171" i="15"/>
  <c r="N171" i="15"/>
  <c r="R171" i="15" s="1"/>
  <c r="L171" i="15"/>
  <c r="K171" i="15"/>
  <c r="B171" i="15"/>
  <c r="O170" i="15"/>
  <c r="N170" i="15"/>
  <c r="R170" i="15" s="1"/>
  <c r="L170" i="15"/>
  <c r="K170" i="15"/>
  <c r="B170" i="15"/>
  <c r="O169" i="15"/>
  <c r="N169" i="15"/>
  <c r="R169" i="15" s="1"/>
  <c r="L169" i="15"/>
  <c r="K169" i="15"/>
  <c r="B169" i="15"/>
  <c r="O168" i="15"/>
  <c r="N168" i="15"/>
  <c r="R168" i="15" s="1"/>
  <c r="L168" i="15"/>
  <c r="K168" i="15"/>
  <c r="B168" i="15"/>
  <c r="O167" i="15"/>
  <c r="N167" i="15"/>
  <c r="R167" i="15" s="1"/>
  <c r="L167" i="15"/>
  <c r="K167" i="15"/>
  <c r="B167" i="15"/>
  <c r="O166" i="15"/>
  <c r="N166" i="15"/>
  <c r="R166" i="15" s="1"/>
  <c r="L166" i="15"/>
  <c r="K166" i="15"/>
  <c r="B166" i="15"/>
  <c r="O165" i="15"/>
  <c r="N165" i="15"/>
  <c r="R165" i="15" s="1"/>
  <c r="L165" i="15"/>
  <c r="K165" i="15"/>
  <c r="B165" i="15"/>
  <c r="O164" i="15"/>
  <c r="N164" i="15"/>
  <c r="R164" i="15" s="1"/>
  <c r="L164" i="15"/>
  <c r="K164" i="15"/>
  <c r="B164" i="15"/>
  <c r="O163" i="15"/>
  <c r="N163" i="15"/>
  <c r="R163" i="15" s="1"/>
  <c r="L163" i="15"/>
  <c r="K163" i="15"/>
  <c r="B163" i="15"/>
  <c r="O162" i="15"/>
  <c r="N162" i="15"/>
  <c r="R162" i="15" s="1"/>
  <c r="L162" i="15"/>
  <c r="K162" i="15"/>
  <c r="B162" i="15"/>
  <c r="O161" i="15"/>
  <c r="N161" i="15"/>
  <c r="R161" i="15" s="1"/>
  <c r="L161" i="15"/>
  <c r="K161" i="15"/>
  <c r="B161" i="15"/>
  <c r="O160" i="15"/>
  <c r="N160" i="15"/>
  <c r="L160" i="15"/>
  <c r="K160" i="15"/>
  <c r="B160" i="15"/>
  <c r="O159" i="15"/>
  <c r="N159" i="15"/>
  <c r="R159" i="15" s="1"/>
  <c r="L159" i="15"/>
  <c r="K159" i="15"/>
  <c r="B159" i="15"/>
  <c r="O158" i="15"/>
  <c r="N158" i="15"/>
  <c r="L158" i="15"/>
  <c r="K158" i="15"/>
  <c r="B158" i="15"/>
  <c r="O157" i="15"/>
  <c r="N157" i="15"/>
  <c r="R157" i="15" s="1"/>
  <c r="L157" i="15"/>
  <c r="K157" i="15"/>
  <c r="B157" i="15"/>
  <c r="O156" i="15"/>
  <c r="N156" i="15"/>
  <c r="R156" i="15" s="1"/>
  <c r="L156" i="15"/>
  <c r="K156" i="15"/>
  <c r="B156" i="15"/>
  <c r="O155" i="15"/>
  <c r="N155" i="15"/>
  <c r="R155" i="15" s="1"/>
  <c r="L155" i="15"/>
  <c r="K155" i="15"/>
  <c r="B155" i="15"/>
  <c r="O154" i="15"/>
  <c r="N154" i="15"/>
  <c r="R154" i="15" s="1"/>
  <c r="L154" i="15"/>
  <c r="K154" i="15"/>
  <c r="B154" i="15"/>
  <c r="O153" i="15"/>
  <c r="N153" i="15"/>
  <c r="R153" i="15" s="1"/>
  <c r="L153" i="15"/>
  <c r="K153" i="15"/>
  <c r="B153" i="15"/>
  <c r="O152" i="15"/>
  <c r="N152" i="15"/>
  <c r="R152" i="15" s="1"/>
  <c r="L152" i="15"/>
  <c r="K152" i="15"/>
  <c r="B152" i="15"/>
  <c r="O151" i="15"/>
  <c r="N151" i="15"/>
  <c r="R151" i="15" s="1"/>
  <c r="L151" i="15"/>
  <c r="K151" i="15"/>
  <c r="B151" i="15"/>
  <c r="O150" i="15"/>
  <c r="N150" i="15"/>
  <c r="R150" i="15" s="1"/>
  <c r="L150" i="15"/>
  <c r="K150" i="15"/>
  <c r="B150" i="15"/>
  <c r="O149" i="15"/>
  <c r="N149" i="15"/>
  <c r="R149" i="15" s="1"/>
  <c r="L149" i="15"/>
  <c r="K149" i="15"/>
  <c r="B149" i="15"/>
  <c r="O148" i="15"/>
  <c r="N148" i="15"/>
  <c r="R148" i="15" s="1"/>
  <c r="L148" i="15"/>
  <c r="K148" i="15"/>
  <c r="B148" i="15"/>
  <c r="O147" i="15"/>
  <c r="N147" i="15"/>
  <c r="R147" i="15" s="1"/>
  <c r="L147" i="15"/>
  <c r="K147" i="15"/>
  <c r="B147" i="15"/>
  <c r="O146" i="15"/>
  <c r="N146" i="15"/>
  <c r="R146" i="15" s="1"/>
  <c r="L146" i="15"/>
  <c r="K146" i="15"/>
  <c r="B146" i="15"/>
  <c r="O145" i="15"/>
  <c r="N145" i="15"/>
  <c r="L145" i="15"/>
  <c r="K145" i="15"/>
  <c r="B145" i="15"/>
  <c r="O144" i="15"/>
  <c r="N144" i="15"/>
  <c r="L144" i="15"/>
  <c r="K144" i="15"/>
  <c r="B144" i="15"/>
  <c r="O143" i="15"/>
  <c r="N143" i="15"/>
  <c r="R143" i="15" s="1"/>
  <c r="L143" i="15"/>
  <c r="K143" i="15"/>
  <c r="B143" i="15"/>
  <c r="O142" i="15"/>
  <c r="N142" i="15"/>
  <c r="R142" i="15" s="1"/>
  <c r="L142" i="15"/>
  <c r="K142" i="15"/>
  <c r="B142" i="15"/>
  <c r="O141" i="15"/>
  <c r="N141" i="15"/>
  <c r="R141" i="15" s="1"/>
  <c r="L141" i="15"/>
  <c r="K141" i="15"/>
  <c r="B141" i="15"/>
  <c r="O140" i="15"/>
  <c r="N140" i="15"/>
  <c r="R140" i="15" s="1"/>
  <c r="L140" i="15"/>
  <c r="K140" i="15"/>
  <c r="B140" i="15"/>
  <c r="O139" i="15"/>
  <c r="N139" i="15"/>
  <c r="R139" i="15" s="1"/>
  <c r="L139" i="15"/>
  <c r="K139" i="15"/>
  <c r="B139" i="15"/>
  <c r="O138" i="15"/>
  <c r="N138" i="15"/>
  <c r="R138" i="15" s="1"/>
  <c r="L138" i="15"/>
  <c r="K138" i="15"/>
  <c r="B138" i="15"/>
  <c r="O137" i="15"/>
  <c r="N137" i="15"/>
  <c r="R137" i="15" s="1"/>
  <c r="L137" i="15"/>
  <c r="K137" i="15"/>
  <c r="B137" i="15"/>
  <c r="O136" i="15"/>
  <c r="N136" i="15"/>
  <c r="R136" i="15" s="1"/>
  <c r="L136" i="15"/>
  <c r="K136" i="15"/>
  <c r="B136" i="15"/>
  <c r="O135" i="15"/>
  <c r="N135" i="15"/>
  <c r="R135" i="15" s="1"/>
  <c r="L135" i="15"/>
  <c r="K135" i="15"/>
  <c r="B135" i="15"/>
  <c r="O134" i="15"/>
  <c r="N134" i="15"/>
  <c r="R134" i="15" s="1"/>
  <c r="L134" i="15"/>
  <c r="K134" i="15"/>
  <c r="B134" i="15"/>
  <c r="O133" i="15"/>
  <c r="N133" i="15"/>
  <c r="R133" i="15" s="1"/>
  <c r="L133" i="15"/>
  <c r="K133" i="15"/>
  <c r="B133" i="15"/>
  <c r="O132" i="15"/>
  <c r="N132" i="15"/>
  <c r="R132" i="15" s="1"/>
  <c r="L132" i="15"/>
  <c r="K132" i="15"/>
  <c r="B132" i="15"/>
  <c r="O131" i="15"/>
  <c r="N131" i="15"/>
  <c r="R131" i="15" s="1"/>
  <c r="L131" i="15"/>
  <c r="K131" i="15"/>
  <c r="B131" i="15"/>
  <c r="O130" i="15"/>
  <c r="N130" i="15"/>
  <c r="R130" i="15" s="1"/>
  <c r="L130" i="15"/>
  <c r="K130" i="15"/>
  <c r="B130" i="15"/>
  <c r="O129" i="15"/>
  <c r="N129" i="15"/>
  <c r="R129" i="15" s="1"/>
  <c r="L129" i="15"/>
  <c r="K129" i="15"/>
  <c r="B129" i="15"/>
  <c r="O128" i="15"/>
  <c r="N128" i="15"/>
  <c r="L128" i="15"/>
  <c r="K128" i="15"/>
  <c r="B128" i="15"/>
  <c r="O127" i="15"/>
  <c r="N127" i="15"/>
  <c r="R127" i="15" s="1"/>
  <c r="L127" i="15"/>
  <c r="K127" i="15"/>
  <c r="B127" i="15"/>
  <c r="O126" i="15"/>
  <c r="N126" i="15"/>
  <c r="L126" i="15"/>
  <c r="K126" i="15"/>
  <c r="B126" i="15"/>
  <c r="O125" i="15"/>
  <c r="N125" i="15"/>
  <c r="R125" i="15" s="1"/>
  <c r="L125" i="15"/>
  <c r="K125" i="15"/>
  <c r="B125" i="15"/>
  <c r="O124" i="15"/>
  <c r="N124" i="15"/>
  <c r="R124" i="15" s="1"/>
  <c r="L124" i="15"/>
  <c r="K124" i="15"/>
  <c r="B124" i="15"/>
  <c r="O123" i="15"/>
  <c r="N123" i="15"/>
  <c r="R123" i="15" s="1"/>
  <c r="L123" i="15"/>
  <c r="K123" i="15"/>
  <c r="B123" i="15"/>
  <c r="O122" i="15"/>
  <c r="N122" i="15"/>
  <c r="R122" i="15" s="1"/>
  <c r="L122" i="15"/>
  <c r="K122" i="15"/>
  <c r="B122" i="15"/>
  <c r="O121" i="15"/>
  <c r="N121" i="15"/>
  <c r="L121" i="15"/>
  <c r="K121" i="15"/>
  <c r="B121" i="15"/>
  <c r="O120" i="15"/>
  <c r="N120" i="15"/>
  <c r="R120" i="15" s="1"/>
  <c r="L120" i="15"/>
  <c r="K120" i="15"/>
  <c r="B120" i="15"/>
  <c r="O119" i="15"/>
  <c r="N119" i="15"/>
  <c r="R119" i="15" s="1"/>
  <c r="L119" i="15"/>
  <c r="K119" i="15"/>
  <c r="B119" i="15"/>
  <c r="O118" i="15"/>
  <c r="N118" i="15"/>
  <c r="R118" i="15" s="1"/>
  <c r="L118" i="15"/>
  <c r="K118" i="15"/>
  <c r="B118" i="15"/>
  <c r="O117" i="15"/>
  <c r="N117" i="15"/>
  <c r="R117" i="15" s="1"/>
  <c r="L117" i="15"/>
  <c r="K117" i="15"/>
  <c r="B117" i="15"/>
  <c r="O116" i="15"/>
  <c r="N116" i="15"/>
  <c r="R116" i="15" s="1"/>
  <c r="L116" i="15"/>
  <c r="K116" i="15"/>
  <c r="B116" i="15"/>
  <c r="O115" i="15"/>
  <c r="N115" i="15"/>
  <c r="R115" i="15" s="1"/>
  <c r="L115" i="15"/>
  <c r="K115" i="15"/>
  <c r="B115" i="15"/>
  <c r="O114" i="15"/>
  <c r="N114" i="15"/>
  <c r="R114" i="15" s="1"/>
  <c r="L114" i="15"/>
  <c r="K114" i="15"/>
  <c r="B114" i="15"/>
  <c r="O113" i="15"/>
  <c r="N113" i="15"/>
  <c r="L113" i="15"/>
  <c r="K113" i="15"/>
  <c r="B113" i="15"/>
  <c r="O112" i="15"/>
  <c r="N112" i="15"/>
  <c r="L112" i="15"/>
  <c r="K112" i="15"/>
  <c r="B112" i="15"/>
  <c r="O111" i="15"/>
  <c r="N111" i="15"/>
  <c r="R111" i="15" s="1"/>
  <c r="L111" i="15"/>
  <c r="K111" i="15"/>
  <c r="B111" i="15"/>
  <c r="O110" i="15"/>
  <c r="N110" i="15"/>
  <c r="R110" i="15" s="1"/>
  <c r="L110" i="15"/>
  <c r="K110" i="15"/>
  <c r="B110" i="15"/>
  <c r="O109" i="15"/>
  <c r="N109" i="15"/>
  <c r="R109" i="15" s="1"/>
  <c r="L109" i="15"/>
  <c r="K109" i="15"/>
  <c r="B109" i="15"/>
  <c r="O108" i="15"/>
  <c r="N108" i="15"/>
  <c r="R108" i="15" s="1"/>
  <c r="L108" i="15"/>
  <c r="K108" i="15"/>
  <c r="B108" i="15"/>
  <c r="O107" i="15"/>
  <c r="N107" i="15"/>
  <c r="R107" i="15" s="1"/>
  <c r="L107" i="15"/>
  <c r="K107" i="15"/>
  <c r="B107" i="15"/>
  <c r="O106" i="15"/>
  <c r="N106" i="15"/>
  <c r="R106" i="15" s="1"/>
  <c r="L106" i="15"/>
  <c r="K106" i="15"/>
  <c r="B106" i="15"/>
  <c r="O105" i="15"/>
  <c r="N105" i="15"/>
  <c r="R105" i="15" s="1"/>
  <c r="L105" i="15"/>
  <c r="K105" i="15"/>
  <c r="B105" i="15"/>
  <c r="O104" i="15"/>
  <c r="N104" i="15"/>
  <c r="R104" i="15" s="1"/>
  <c r="L104" i="15"/>
  <c r="K104" i="15"/>
  <c r="B104" i="15"/>
  <c r="O103" i="15"/>
  <c r="N103" i="15"/>
  <c r="R103" i="15" s="1"/>
  <c r="L103" i="15"/>
  <c r="K103" i="15"/>
  <c r="B103" i="15"/>
  <c r="O102" i="15"/>
  <c r="N102" i="15"/>
  <c r="R102" i="15" s="1"/>
  <c r="L102" i="15"/>
  <c r="K102" i="15"/>
  <c r="B102" i="15"/>
  <c r="O101" i="15"/>
  <c r="N101" i="15"/>
  <c r="R101" i="15" s="1"/>
  <c r="L101" i="15"/>
  <c r="K101" i="15"/>
  <c r="B101" i="15"/>
  <c r="O100" i="15"/>
  <c r="N100" i="15"/>
  <c r="R100" i="15" s="1"/>
  <c r="L100" i="15"/>
  <c r="K100" i="15"/>
  <c r="B100" i="15"/>
  <c r="O99" i="15"/>
  <c r="N99" i="15"/>
  <c r="R99" i="15" s="1"/>
  <c r="L99" i="15"/>
  <c r="K99" i="15"/>
  <c r="B99" i="15"/>
  <c r="O98" i="15"/>
  <c r="N98" i="15"/>
  <c r="R98" i="15" s="1"/>
  <c r="L98" i="15"/>
  <c r="K98" i="15"/>
  <c r="B98" i="15"/>
  <c r="O97" i="15"/>
  <c r="N97" i="15"/>
  <c r="R97" i="15" s="1"/>
  <c r="L97" i="15"/>
  <c r="K97" i="15"/>
  <c r="B97" i="15"/>
  <c r="O96" i="15"/>
  <c r="N96" i="15"/>
  <c r="L96" i="15"/>
  <c r="K96" i="15"/>
  <c r="B96" i="15"/>
  <c r="O95" i="15"/>
  <c r="N95" i="15"/>
  <c r="R95" i="15" s="1"/>
  <c r="L95" i="15"/>
  <c r="K95" i="15"/>
  <c r="B95" i="15"/>
  <c r="O94" i="15"/>
  <c r="N94" i="15"/>
  <c r="L94" i="15"/>
  <c r="K94" i="15"/>
  <c r="B94" i="15"/>
  <c r="O93" i="15"/>
  <c r="N93" i="15"/>
  <c r="R93" i="15" s="1"/>
  <c r="L93" i="15"/>
  <c r="K93" i="15"/>
  <c r="B93" i="15"/>
  <c r="O92" i="15"/>
  <c r="N92" i="15"/>
  <c r="R92" i="15" s="1"/>
  <c r="L92" i="15"/>
  <c r="K92" i="15"/>
  <c r="B92" i="15"/>
  <c r="O91" i="15"/>
  <c r="N91" i="15"/>
  <c r="R91" i="15" s="1"/>
  <c r="L91" i="15"/>
  <c r="K91" i="15"/>
  <c r="B91" i="15"/>
  <c r="O90" i="15"/>
  <c r="N90" i="15"/>
  <c r="R90" i="15" s="1"/>
  <c r="L90" i="15"/>
  <c r="K90" i="15"/>
  <c r="B90" i="15"/>
  <c r="O89" i="15"/>
  <c r="N89" i="15"/>
  <c r="R89" i="15" s="1"/>
  <c r="L89" i="15"/>
  <c r="K89" i="15"/>
  <c r="B89" i="15"/>
  <c r="O88" i="15"/>
  <c r="N88" i="15"/>
  <c r="R88" i="15" s="1"/>
  <c r="L88" i="15"/>
  <c r="K88" i="15"/>
  <c r="B88" i="15"/>
  <c r="O87" i="15"/>
  <c r="N87" i="15"/>
  <c r="R87" i="15" s="1"/>
  <c r="L87" i="15"/>
  <c r="K87" i="15"/>
  <c r="B87" i="15"/>
  <c r="O86" i="15"/>
  <c r="N86" i="15"/>
  <c r="R86" i="15" s="1"/>
  <c r="L86" i="15"/>
  <c r="K86" i="15"/>
  <c r="B86" i="15"/>
  <c r="O85" i="15"/>
  <c r="N85" i="15"/>
  <c r="R85" i="15" s="1"/>
  <c r="L85" i="15"/>
  <c r="K85" i="15"/>
  <c r="B85" i="15"/>
  <c r="O84" i="15"/>
  <c r="N84" i="15"/>
  <c r="R84" i="15" s="1"/>
  <c r="L84" i="15"/>
  <c r="K84" i="15"/>
  <c r="B84" i="15"/>
  <c r="O83" i="15"/>
  <c r="N83" i="15"/>
  <c r="R83" i="15" s="1"/>
  <c r="L83" i="15"/>
  <c r="K83" i="15"/>
  <c r="B83" i="15"/>
  <c r="O82" i="15"/>
  <c r="N82" i="15"/>
  <c r="R82" i="15" s="1"/>
  <c r="L82" i="15"/>
  <c r="K82" i="15"/>
  <c r="B82" i="15"/>
  <c r="O81" i="15"/>
  <c r="N81" i="15"/>
  <c r="L81" i="15"/>
  <c r="K81" i="15"/>
  <c r="B81" i="15"/>
  <c r="O80" i="15"/>
  <c r="N80" i="15"/>
  <c r="L80" i="15"/>
  <c r="K80" i="15"/>
  <c r="B80" i="15"/>
  <c r="O79" i="15"/>
  <c r="N79" i="15"/>
  <c r="R79" i="15" s="1"/>
  <c r="L79" i="15"/>
  <c r="K79" i="15"/>
  <c r="B79" i="15"/>
  <c r="O78" i="15"/>
  <c r="N78" i="15"/>
  <c r="R78" i="15" s="1"/>
  <c r="L78" i="15"/>
  <c r="K78" i="15"/>
  <c r="B78" i="15"/>
  <c r="O77" i="15"/>
  <c r="N77" i="15"/>
  <c r="R77" i="15" s="1"/>
  <c r="L77" i="15"/>
  <c r="K77" i="15"/>
  <c r="B77" i="15"/>
  <c r="O76" i="15"/>
  <c r="N76" i="15"/>
  <c r="R76" i="15" s="1"/>
  <c r="L76" i="15"/>
  <c r="K76" i="15"/>
  <c r="B76" i="15"/>
  <c r="O75" i="15"/>
  <c r="N75" i="15"/>
  <c r="R75" i="15" s="1"/>
  <c r="L75" i="15"/>
  <c r="K75" i="15"/>
  <c r="B75" i="15"/>
  <c r="O74" i="15"/>
  <c r="N74" i="15"/>
  <c r="R74" i="15" s="1"/>
  <c r="L74" i="15"/>
  <c r="K74" i="15"/>
  <c r="B74" i="15"/>
  <c r="O73" i="15"/>
  <c r="N73" i="15"/>
  <c r="R73" i="15" s="1"/>
  <c r="L73" i="15"/>
  <c r="K73" i="15"/>
  <c r="B73" i="15"/>
  <c r="O72" i="15"/>
  <c r="N72" i="15"/>
  <c r="R72" i="15" s="1"/>
  <c r="L72" i="15"/>
  <c r="K72" i="15"/>
  <c r="B72" i="15"/>
  <c r="O71" i="15"/>
  <c r="N71" i="15"/>
  <c r="R71" i="15" s="1"/>
  <c r="L71" i="15"/>
  <c r="K71" i="15"/>
  <c r="B71" i="15"/>
  <c r="O70" i="15"/>
  <c r="N70" i="15"/>
  <c r="R70" i="15" s="1"/>
  <c r="L70" i="15"/>
  <c r="K70" i="15"/>
  <c r="B70" i="15"/>
  <c r="O69" i="15"/>
  <c r="N69" i="15"/>
  <c r="R69" i="15" s="1"/>
  <c r="L69" i="15"/>
  <c r="K69" i="15"/>
  <c r="B69" i="15"/>
  <c r="O68" i="15"/>
  <c r="N68" i="15"/>
  <c r="R68" i="15" s="1"/>
  <c r="L68" i="15"/>
  <c r="K68" i="15"/>
  <c r="B68" i="15"/>
  <c r="O67" i="15"/>
  <c r="N67" i="15"/>
  <c r="R67" i="15" s="1"/>
  <c r="L67" i="15"/>
  <c r="K67" i="15"/>
  <c r="B67" i="15"/>
  <c r="O66" i="15"/>
  <c r="N66" i="15"/>
  <c r="R66" i="15" s="1"/>
  <c r="L66" i="15"/>
  <c r="K66" i="15"/>
  <c r="B66" i="15"/>
  <c r="O65" i="15"/>
  <c r="N65" i="15"/>
  <c r="R65" i="15" s="1"/>
  <c r="L65" i="15"/>
  <c r="K65" i="15"/>
  <c r="B65" i="15"/>
  <c r="O64" i="15"/>
  <c r="N64" i="15"/>
  <c r="R64" i="15" s="1"/>
  <c r="L64" i="15"/>
  <c r="K64" i="15"/>
  <c r="B64" i="15"/>
  <c r="O63" i="15"/>
  <c r="N63" i="15"/>
  <c r="L63" i="15"/>
  <c r="K63" i="15"/>
  <c r="B63" i="15"/>
  <c r="O62" i="15"/>
  <c r="N62" i="15"/>
  <c r="R62" i="15" s="1"/>
  <c r="L62" i="15"/>
  <c r="K62" i="15"/>
  <c r="B62" i="15"/>
  <c r="O61" i="15"/>
  <c r="N61" i="15"/>
  <c r="R61" i="15" s="1"/>
  <c r="L61" i="15"/>
  <c r="K61" i="15"/>
  <c r="B61" i="15"/>
  <c r="O60" i="15"/>
  <c r="N60" i="15"/>
  <c r="R60" i="15" s="1"/>
  <c r="L60" i="15"/>
  <c r="K60" i="15"/>
  <c r="B60" i="15"/>
  <c r="O59" i="15"/>
  <c r="N59" i="15"/>
  <c r="R59" i="15" s="1"/>
  <c r="L59" i="15"/>
  <c r="K59" i="15"/>
  <c r="B59" i="15"/>
  <c r="O58" i="15"/>
  <c r="N58" i="15"/>
  <c r="R58" i="15" s="1"/>
  <c r="L58" i="15"/>
  <c r="K58" i="15"/>
  <c r="B58" i="15"/>
  <c r="O57" i="15"/>
  <c r="N57" i="15"/>
  <c r="R57" i="15" s="1"/>
  <c r="L57" i="15"/>
  <c r="K57" i="15"/>
  <c r="B57" i="15"/>
  <c r="O56" i="15"/>
  <c r="N56" i="15"/>
  <c r="R56" i="15" s="1"/>
  <c r="L56" i="15"/>
  <c r="K56" i="15"/>
  <c r="B56" i="15"/>
  <c r="O55" i="15"/>
  <c r="N55" i="15"/>
  <c r="R55" i="15" s="1"/>
  <c r="L55" i="15"/>
  <c r="K55" i="15"/>
  <c r="B55" i="15"/>
  <c r="O54" i="15"/>
  <c r="N54" i="15"/>
  <c r="R54" i="15" s="1"/>
  <c r="L54" i="15"/>
  <c r="K54" i="15"/>
  <c r="B54" i="15"/>
  <c r="O53" i="15"/>
  <c r="N53" i="15"/>
  <c r="R53" i="15" s="1"/>
  <c r="L53" i="15"/>
  <c r="K53" i="15"/>
  <c r="B53" i="15"/>
  <c r="O52" i="15"/>
  <c r="N52" i="15"/>
  <c r="L52" i="15"/>
  <c r="K52" i="15"/>
  <c r="B52" i="15"/>
  <c r="O51" i="15"/>
  <c r="N51" i="15"/>
  <c r="R51" i="15" s="1"/>
  <c r="L51" i="15"/>
  <c r="K51" i="15"/>
  <c r="B51" i="15"/>
  <c r="O50" i="15"/>
  <c r="N50" i="15"/>
  <c r="R50" i="15" s="1"/>
  <c r="L50" i="15"/>
  <c r="K50" i="15"/>
  <c r="B50" i="15"/>
  <c r="O49" i="15"/>
  <c r="N49" i="15"/>
  <c r="R49" i="15" s="1"/>
  <c r="L49" i="15"/>
  <c r="K49" i="15"/>
  <c r="B49" i="15"/>
  <c r="O48" i="15"/>
  <c r="N48" i="15"/>
  <c r="R48" i="15" s="1"/>
  <c r="L48" i="15"/>
  <c r="K48" i="15"/>
  <c r="B48" i="15"/>
  <c r="O47" i="15"/>
  <c r="N47" i="15"/>
  <c r="R47" i="15" s="1"/>
  <c r="L47" i="15"/>
  <c r="K47" i="15"/>
  <c r="B47" i="15"/>
  <c r="O46" i="15"/>
  <c r="N46" i="15"/>
  <c r="R46" i="15" s="1"/>
  <c r="L46" i="15"/>
  <c r="K46" i="15"/>
  <c r="B46" i="15"/>
  <c r="O45" i="15"/>
  <c r="N45" i="15"/>
  <c r="R45" i="15" s="1"/>
  <c r="L45" i="15"/>
  <c r="K45" i="15"/>
  <c r="B45" i="15"/>
  <c r="O44" i="15"/>
  <c r="N44" i="15"/>
  <c r="R44" i="15" s="1"/>
  <c r="L44" i="15"/>
  <c r="K44" i="15"/>
  <c r="B44" i="15"/>
  <c r="O43" i="15"/>
  <c r="N43" i="15"/>
  <c r="R43" i="15" s="1"/>
  <c r="L43" i="15"/>
  <c r="K43" i="15"/>
  <c r="B43" i="15"/>
  <c r="O42" i="15"/>
  <c r="N42" i="15"/>
  <c r="R42" i="15" s="1"/>
  <c r="L42" i="15"/>
  <c r="K42" i="15"/>
  <c r="B42" i="15"/>
  <c r="O41" i="15"/>
  <c r="N41" i="15"/>
  <c r="R41" i="15" s="1"/>
  <c r="L41" i="15"/>
  <c r="K41" i="15"/>
  <c r="B41" i="15"/>
  <c r="O40" i="15"/>
  <c r="N40" i="15"/>
  <c r="R40" i="15" s="1"/>
  <c r="L40" i="15"/>
  <c r="K40" i="15"/>
  <c r="B40" i="15"/>
  <c r="O39" i="15"/>
  <c r="N39" i="15"/>
  <c r="R39" i="15" s="1"/>
  <c r="L39" i="15"/>
  <c r="K39" i="15"/>
  <c r="B39" i="15"/>
  <c r="O38" i="15"/>
  <c r="N38" i="15"/>
  <c r="L38" i="15"/>
  <c r="K38" i="15"/>
  <c r="B38" i="15"/>
  <c r="O37" i="15"/>
  <c r="N37" i="15"/>
  <c r="L37" i="15"/>
  <c r="K37" i="15"/>
  <c r="B37" i="15"/>
  <c r="O36" i="15"/>
  <c r="N36" i="15"/>
  <c r="R36" i="15" s="1"/>
  <c r="L36" i="15"/>
  <c r="K36" i="15"/>
  <c r="B36" i="15"/>
  <c r="O35" i="15"/>
  <c r="N35" i="15"/>
  <c r="R35" i="15" s="1"/>
  <c r="L35" i="15"/>
  <c r="K35" i="15"/>
  <c r="B35" i="15"/>
  <c r="O34" i="15"/>
  <c r="N34" i="15"/>
  <c r="R34" i="15" s="1"/>
  <c r="L34" i="15"/>
  <c r="K34" i="15"/>
  <c r="B34" i="15"/>
  <c r="O33" i="15"/>
  <c r="N33" i="15"/>
  <c r="R33" i="15" s="1"/>
  <c r="L33" i="15"/>
  <c r="K33" i="15"/>
  <c r="B33" i="15"/>
  <c r="O32" i="15"/>
  <c r="N32" i="15"/>
  <c r="R32" i="15" s="1"/>
  <c r="L32" i="15"/>
  <c r="K32" i="15"/>
  <c r="B32" i="15"/>
  <c r="O31" i="15"/>
  <c r="N31" i="15"/>
  <c r="R31" i="15" s="1"/>
  <c r="L31" i="15"/>
  <c r="K31" i="15"/>
  <c r="B31" i="15"/>
  <c r="O30" i="15"/>
  <c r="N30" i="15"/>
  <c r="R30" i="15" s="1"/>
  <c r="L30" i="15"/>
  <c r="K30" i="15"/>
  <c r="B30" i="15"/>
  <c r="O29" i="15"/>
  <c r="N29" i="15"/>
  <c r="R29" i="15" s="1"/>
  <c r="L29" i="15"/>
  <c r="K29" i="15"/>
  <c r="B29" i="15"/>
  <c r="O28" i="15"/>
  <c r="N28" i="15"/>
  <c r="R28" i="15" s="1"/>
  <c r="L28" i="15"/>
  <c r="K28" i="15"/>
  <c r="B28" i="15"/>
  <c r="O27" i="15"/>
  <c r="N27" i="15"/>
  <c r="R27" i="15" s="1"/>
  <c r="L27" i="15"/>
  <c r="K27" i="15"/>
  <c r="B27" i="15"/>
  <c r="O26" i="15"/>
  <c r="N26" i="15"/>
  <c r="R26" i="15" s="1"/>
  <c r="L26" i="15"/>
  <c r="K26" i="15"/>
  <c r="B26" i="15"/>
  <c r="O25" i="15"/>
  <c r="N25" i="15"/>
  <c r="R25" i="15" s="1"/>
  <c r="L25" i="15"/>
  <c r="K25" i="15"/>
  <c r="B25" i="15"/>
  <c r="O24" i="15"/>
  <c r="N24" i="15"/>
  <c r="R24" i="15" s="1"/>
  <c r="L24" i="15"/>
  <c r="K24" i="15"/>
  <c r="B24" i="15"/>
  <c r="O23" i="15"/>
  <c r="N23" i="15"/>
  <c r="R23" i="15" s="1"/>
  <c r="L23" i="15"/>
  <c r="K23" i="15"/>
  <c r="B23" i="15"/>
  <c r="O22" i="15"/>
  <c r="N22" i="15"/>
  <c r="R22" i="15" s="1"/>
  <c r="L22" i="15"/>
  <c r="K22" i="15"/>
  <c r="B22" i="15"/>
  <c r="O21" i="15"/>
  <c r="N21" i="15"/>
  <c r="L21" i="15"/>
  <c r="K21" i="15"/>
  <c r="B21" i="15"/>
  <c r="O20" i="15"/>
  <c r="N20" i="15"/>
  <c r="R20" i="15" s="1"/>
  <c r="L20" i="15"/>
  <c r="K20" i="15"/>
  <c r="B20" i="15"/>
  <c r="O19" i="15"/>
  <c r="N19" i="15"/>
  <c r="R19" i="15" s="1"/>
  <c r="L19" i="15"/>
  <c r="K19" i="15"/>
  <c r="B19" i="15"/>
  <c r="O18" i="15"/>
  <c r="N18" i="15"/>
  <c r="R18" i="15" s="1"/>
  <c r="L18" i="15"/>
  <c r="K18" i="15"/>
  <c r="B18" i="15"/>
  <c r="O17" i="15"/>
  <c r="N17" i="15"/>
  <c r="R17" i="15" s="1"/>
  <c r="L17" i="15"/>
  <c r="K17" i="15"/>
  <c r="B17" i="15"/>
  <c r="O16" i="15"/>
  <c r="N16" i="15"/>
  <c r="R16" i="15" s="1"/>
  <c r="L16" i="15"/>
  <c r="K16" i="15"/>
  <c r="B16" i="15"/>
  <c r="O15" i="15"/>
  <c r="N15" i="15"/>
  <c r="R15" i="15" s="1"/>
  <c r="L15" i="15"/>
  <c r="K15" i="15"/>
  <c r="B15" i="15"/>
  <c r="O14" i="15"/>
  <c r="N14" i="15"/>
  <c r="R14" i="15" s="1"/>
  <c r="L14" i="15"/>
  <c r="K14" i="15"/>
  <c r="B14" i="15"/>
  <c r="O13" i="15"/>
  <c r="N13" i="15"/>
  <c r="R13" i="15" s="1"/>
  <c r="L13" i="15"/>
  <c r="K13" i="15"/>
  <c r="B13" i="15"/>
  <c r="O12" i="15"/>
  <c r="N12" i="15"/>
  <c r="R12" i="15" s="1"/>
  <c r="L12" i="15"/>
  <c r="K12" i="15"/>
  <c r="B12" i="15"/>
  <c r="O11" i="15"/>
  <c r="N11" i="15"/>
  <c r="R11" i="15" s="1"/>
  <c r="L11" i="15"/>
  <c r="K11" i="15"/>
  <c r="B11" i="15"/>
  <c r="O10" i="15"/>
  <c r="N10" i="15"/>
  <c r="L10" i="15"/>
  <c r="K10" i="15"/>
  <c r="B10" i="15"/>
  <c r="O9" i="15"/>
  <c r="N9" i="15"/>
  <c r="R9" i="15" s="1"/>
  <c r="L9" i="15"/>
  <c r="K9" i="15"/>
  <c r="B9" i="15"/>
  <c r="O8" i="15"/>
  <c r="N8" i="15"/>
  <c r="R8" i="15" s="1"/>
  <c r="L8" i="15"/>
  <c r="K8" i="15"/>
  <c r="B8" i="15"/>
  <c r="O7" i="15"/>
  <c r="N7" i="15"/>
  <c r="R7" i="15" s="1"/>
  <c r="L7" i="15"/>
  <c r="K7" i="15"/>
  <c r="B7" i="15"/>
  <c r="O6" i="15"/>
  <c r="N6" i="15"/>
  <c r="R6" i="15" s="1"/>
  <c r="L6" i="15"/>
  <c r="K6" i="15"/>
  <c r="B6" i="15"/>
  <c r="O5" i="15"/>
  <c r="N5" i="15"/>
  <c r="R5" i="15" s="1"/>
  <c r="L5" i="15"/>
  <c r="K5" i="15"/>
  <c r="B5" i="15"/>
  <c r="O4" i="15"/>
  <c r="N4" i="15"/>
  <c r="R4" i="15" s="1"/>
  <c r="L4" i="15"/>
  <c r="K4" i="15"/>
  <c r="B4" i="15"/>
  <c r="O3" i="15"/>
  <c r="N3" i="15"/>
  <c r="R3" i="15" s="1"/>
  <c r="L3" i="15"/>
  <c r="K3" i="15"/>
  <c r="B3" i="15"/>
  <c r="AA221" i="25" l="1"/>
  <c r="AA222" i="25" s="1"/>
  <c r="AD222" i="25" s="1"/>
  <c r="C89" i="25" s="1"/>
  <c r="W218" i="25"/>
  <c r="Y218" i="25" s="1"/>
  <c r="AB218" i="25" s="1"/>
  <c r="AB219" i="25" s="1"/>
  <c r="AE219" i="25" s="1"/>
  <c r="D88" i="25" s="1"/>
  <c r="AB215" i="25"/>
  <c r="AB216" i="25" s="1"/>
  <c r="AE216" i="25" s="1"/>
  <c r="D87" i="25" s="1"/>
  <c r="AA216" i="25"/>
  <c r="AD216" i="25" s="1"/>
  <c r="C87" i="25" s="1"/>
  <c r="W221" i="25"/>
  <c r="Y221" i="25" s="1"/>
  <c r="W223" i="25"/>
  <c r="Y223" i="25" s="1"/>
  <c r="W222" i="25"/>
  <c r="Y222" i="25" s="1"/>
  <c r="E909" i="5"/>
  <c r="D85" i="5"/>
  <c r="C847" i="5"/>
  <c r="D937" i="5"/>
  <c r="D985" i="5"/>
  <c r="C1004" i="5"/>
  <c r="D982" i="5"/>
  <c r="D998" i="5"/>
  <c r="D1091" i="5"/>
  <c r="C1101" i="5"/>
  <c r="C360" i="5"/>
  <c r="D490" i="5"/>
  <c r="C664" i="5"/>
  <c r="C1011" i="5"/>
  <c r="D941" i="5"/>
  <c r="E957" i="5"/>
  <c r="C961" i="5"/>
  <c r="E992" i="5"/>
  <c r="E276" i="5"/>
  <c r="C279" i="5"/>
  <c r="C458" i="5"/>
  <c r="E769" i="5"/>
  <c r="C812" i="5"/>
  <c r="C970" i="5"/>
  <c r="D986" i="5"/>
  <c r="E1018" i="5"/>
  <c r="E1108" i="5"/>
  <c r="D1165" i="5"/>
  <c r="E945" i="5"/>
  <c r="E325" i="5"/>
  <c r="C619" i="5"/>
  <c r="E913" i="5"/>
  <c r="E951" i="5"/>
  <c r="C1063" i="5"/>
  <c r="E152" i="5"/>
  <c r="D139" i="5"/>
  <c r="E241" i="5"/>
  <c r="D521" i="5"/>
  <c r="E659" i="5"/>
  <c r="E816" i="5"/>
  <c r="D923" i="5"/>
  <c r="E929" i="5"/>
  <c r="D1057" i="5"/>
  <c r="E1150" i="5"/>
  <c r="D1198" i="5"/>
  <c r="E133" i="5"/>
  <c r="D656" i="5"/>
  <c r="E905" i="5"/>
  <c r="D1080" i="5"/>
  <c r="E1157" i="5"/>
  <c r="C1208" i="5"/>
  <c r="D17" i="5"/>
  <c r="E186" i="5"/>
  <c r="E617" i="5"/>
  <c r="E965" i="5"/>
  <c r="C450" i="5"/>
  <c r="C909" i="5"/>
  <c r="E930" i="5"/>
  <c r="D46" i="5"/>
  <c r="C59" i="5"/>
  <c r="D124" i="5"/>
  <c r="D137" i="5"/>
  <c r="E378" i="5"/>
  <c r="E462" i="5"/>
  <c r="C475" i="5"/>
  <c r="E488" i="5"/>
  <c r="C644" i="5"/>
  <c r="E568" i="5"/>
  <c r="C565" i="5"/>
  <c r="E105" i="5"/>
  <c r="E164" i="5"/>
  <c r="C359" i="5"/>
  <c r="D591" i="5"/>
  <c r="D628" i="5"/>
  <c r="E638" i="5"/>
  <c r="C661" i="5"/>
  <c r="E764" i="5"/>
  <c r="C770" i="5"/>
  <c r="E845" i="5"/>
  <c r="C868" i="5"/>
  <c r="O43" i="25"/>
  <c r="C233" i="5"/>
  <c r="D278" i="5"/>
  <c r="C878" i="5"/>
  <c r="C311" i="5"/>
  <c r="E645" i="5"/>
  <c r="D729" i="5"/>
  <c r="E745" i="5"/>
  <c r="C671" i="5"/>
  <c r="D272" i="5"/>
  <c r="D41" i="5"/>
  <c r="C237" i="5"/>
  <c r="D253" i="5"/>
  <c r="D422" i="5"/>
  <c r="D613" i="5"/>
  <c r="D27" i="5"/>
  <c r="D45" i="5"/>
  <c r="C140" i="5"/>
  <c r="C374" i="5"/>
  <c r="D445" i="5"/>
  <c r="C685" i="5"/>
  <c r="C821" i="5"/>
  <c r="D219" i="5"/>
  <c r="C189" i="5"/>
  <c r="D462" i="5"/>
  <c r="P97" i="25"/>
  <c r="C449" i="5"/>
  <c r="D1094" i="5"/>
  <c r="B1094" i="5"/>
  <c r="C1059" i="5"/>
  <c r="B790" i="5"/>
  <c r="E790" i="5"/>
  <c r="B1261" i="5"/>
  <c r="C1261" i="5"/>
  <c r="E642" i="5"/>
  <c r="C980" i="5"/>
  <c r="D905" i="5"/>
  <c r="E175" i="5"/>
  <c r="E188" i="5"/>
  <c r="C200" i="5"/>
  <c r="D252" i="5"/>
  <c r="E353" i="5"/>
  <c r="E491" i="5"/>
  <c r="D598" i="5"/>
  <c r="E683" i="5"/>
  <c r="E813" i="5"/>
  <c r="E988" i="5"/>
  <c r="C997" i="5"/>
  <c r="E1006" i="5"/>
  <c r="E1111" i="5"/>
  <c r="D1210" i="5"/>
  <c r="D1266" i="5"/>
  <c r="E1278" i="5"/>
  <c r="C1293" i="5"/>
  <c r="C1374" i="5"/>
  <c r="D1377" i="5"/>
  <c r="N52" i="25"/>
  <c r="C1037" i="5"/>
  <c r="P109" i="25"/>
  <c r="O133" i="25"/>
  <c r="C432" i="5"/>
  <c r="P43" i="25"/>
  <c r="N43" i="25"/>
  <c r="D159" i="5"/>
  <c r="D204" i="5"/>
  <c r="D312" i="5"/>
  <c r="D341" i="5"/>
  <c r="D696" i="5"/>
  <c r="E699" i="5"/>
  <c r="E715" i="5"/>
  <c r="D721" i="5"/>
  <c r="E772" i="5"/>
  <c r="C788" i="5"/>
  <c r="E820" i="5"/>
  <c r="D851" i="5"/>
  <c r="D893" i="5"/>
  <c r="C928" i="5"/>
  <c r="E949" i="5"/>
  <c r="C952" i="5"/>
  <c r="E967" i="5"/>
  <c r="C1287" i="5"/>
  <c r="E1293" i="5"/>
  <c r="C1302" i="5"/>
  <c r="E1351" i="5"/>
  <c r="N127" i="25"/>
  <c r="E827" i="5"/>
  <c r="E101" i="5"/>
  <c r="E1069" i="5"/>
  <c r="C1195" i="5"/>
  <c r="D1375" i="5"/>
  <c r="E1399" i="5"/>
  <c r="P133" i="25"/>
  <c r="P127" i="25"/>
  <c r="O127" i="25"/>
  <c r="P52" i="25"/>
  <c r="C38" i="5"/>
  <c r="T92" i="5"/>
  <c r="B92" i="5" s="1"/>
  <c r="E163" i="5"/>
  <c r="C201" i="5"/>
  <c r="D259" i="5"/>
  <c r="C445" i="5"/>
  <c r="E498" i="5"/>
  <c r="C517" i="5"/>
  <c r="E718" i="5"/>
  <c r="E829" i="5"/>
  <c r="D878" i="5"/>
  <c r="C884" i="5"/>
  <c r="E914" i="5"/>
  <c r="C977" i="5"/>
  <c r="E1034" i="5"/>
  <c r="D1040" i="5"/>
  <c r="D1106" i="5"/>
  <c r="E1136" i="5"/>
  <c r="D1148" i="5"/>
  <c r="D1252" i="5"/>
  <c r="E1261" i="5"/>
  <c r="E1381" i="5"/>
  <c r="E192" i="5"/>
  <c r="E275" i="5"/>
  <c r="E291" i="5"/>
  <c r="C439" i="5"/>
  <c r="E514" i="5"/>
  <c r="C529" i="5"/>
  <c r="D649" i="5"/>
  <c r="E728" i="5"/>
  <c r="E798" i="5"/>
  <c r="D865" i="5"/>
  <c r="C1001" i="5"/>
  <c r="D1046" i="5"/>
  <c r="C1112" i="5"/>
  <c r="E1255" i="5"/>
  <c r="D1354" i="5"/>
  <c r="N148" i="25"/>
  <c r="E48" i="5"/>
  <c r="C272" i="5"/>
  <c r="D345" i="5"/>
  <c r="E367" i="5"/>
  <c r="C386" i="5"/>
  <c r="C862" i="5"/>
  <c r="E906" i="5"/>
  <c r="C926" i="5"/>
  <c r="E971" i="5"/>
  <c r="C992" i="5"/>
  <c r="D1017" i="5"/>
  <c r="D1157" i="5"/>
  <c r="D1202" i="5"/>
  <c r="O106" i="25"/>
  <c r="N184" i="25"/>
  <c r="N106" i="25"/>
  <c r="O184" i="25"/>
  <c r="E920" i="5"/>
  <c r="E1131" i="5"/>
  <c r="E1220" i="5"/>
  <c r="E1241" i="5"/>
  <c r="D1291" i="5"/>
  <c r="E96" i="5"/>
  <c r="C128" i="5"/>
  <c r="E141" i="5"/>
  <c r="D263" i="5"/>
  <c r="E361" i="5"/>
  <c r="C364" i="5"/>
  <c r="E468" i="5"/>
  <c r="T694" i="5"/>
  <c r="E694" i="5" s="1"/>
  <c r="E713" i="5"/>
  <c r="T792" i="5"/>
  <c r="D888" i="5"/>
  <c r="D942" i="5"/>
  <c r="D965" i="5"/>
  <c r="E1002" i="5"/>
  <c r="E1055" i="5"/>
  <c r="E1149" i="5"/>
  <c r="O97" i="25"/>
  <c r="P106" i="25"/>
  <c r="O148" i="25"/>
  <c r="P184" i="25"/>
  <c r="O52" i="25"/>
  <c r="E1256" i="5"/>
  <c r="E84" i="5"/>
  <c r="E320" i="5"/>
  <c r="E918" i="5"/>
  <c r="E1080" i="5"/>
  <c r="D1098" i="5"/>
  <c r="E1206" i="5"/>
  <c r="C1268" i="5"/>
  <c r="E1358" i="5"/>
  <c r="C1379" i="5"/>
  <c r="C1410" i="5"/>
  <c r="P121" i="25"/>
  <c r="E1367" i="5"/>
  <c r="D49" i="5"/>
  <c r="E65" i="5"/>
  <c r="C81" i="5"/>
  <c r="C97" i="5"/>
  <c r="E302" i="5"/>
  <c r="B359" i="5"/>
  <c r="E456" i="5"/>
  <c r="C490" i="5"/>
  <c r="E527" i="5"/>
  <c r="E534" i="5"/>
  <c r="E597" i="5"/>
  <c r="C622" i="5"/>
  <c r="C642" i="5"/>
  <c r="C717" i="5"/>
  <c r="E732" i="5"/>
  <c r="E761" i="5"/>
  <c r="C853" i="5"/>
  <c r="C912" i="5"/>
  <c r="E984" i="5"/>
  <c r="D1149" i="5"/>
  <c r="C1158" i="5"/>
  <c r="C1164" i="5"/>
  <c r="E1212" i="5"/>
  <c r="E1298" i="5"/>
  <c r="E1313" i="5"/>
  <c r="C1417" i="5"/>
  <c r="P70" i="25"/>
  <c r="N97" i="25"/>
  <c r="P175" i="25"/>
  <c r="E415" i="5"/>
  <c r="D954" i="5"/>
  <c r="C1051" i="5"/>
  <c r="E1322" i="5"/>
  <c r="D1355" i="5"/>
  <c r="E1373" i="5"/>
  <c r="D1380" i="5"/>
  <c r="J9" i="25"/>
  <c r="N70" i="25"/>
  <c r="N121" i="25"/>
  <c r="N175" i="25"/>
  <c r="D72" i="5"/>
  <c r="B85" i="5"/>
  <c r="C174" i="5"/>
  <c r="E381" i="5"/>
  <c r="C485" i="5"/>
  <c r="E774" i="5"/>
  <c r="D876" i="5"/>
  <c r="D951" i="5"/>
  <c r="E963" i="5"/>
  <c r="D997" i="5"/>
  <c r="D1051" i="5"/>
  <c r="E1194" i="5"/>
  <c r="E1197" i="5"/>
  <c r="E1292" i="5"/>
  <c r="O70" i="25"/>
  <c r="O175" i="25"/>
  <c r="D129" i="5"/>
  <c r="C181" i="5"/>
  <c r="D280" i="5"/>
  <c r="D500" i="5"/>
  <c r="D534" i="5"/>
  <c r="E604" i="5"/>
  <c r="E689" i="5"/>
  <c r="E755" i="5"/>
  <c r="D784" i="5"/>
  <c r="E857" i="5"/>
  <c r="E916" i="5"/>
  <c r="E1024" i="5"/>
  <c r="D1099" i="5"/>
  <c r="E1251" i="5"/>
  <c r="D1289" i="5"/>
  <c r="C1405" i="5"/>
  <c r="N133" i="25"/>
  <c r="C1012" i="5"/>
  <c r="E1147" i="5"/>
  <c r="E1411" i="5"/>
  <c r="O121" i="25"/>
  <c r="N109" i="25"/>
  <c r="P148" i="25"/>
  <c r="O109" i="25"/>
  <c r="O34" i="8"/>
  <c r="O40" i="8"/>
  <c r="O32" i="8"/>
  <c r="O33" i="8"/>
  <c r="M1502" i="15"/>
  <c r="Q1502" i="15" s="1"/>
  <c r="M1506" i="15"/>
  <c r="Q1506" i="15" s="1"/>
  <c r="M1510" i="15"/>
  <c r="Q1510" i="15" s="1"/>
  <c r="M1514" i="15"/>
  <c r="Q1514" i="15" s="1"/>
  <c r="M1518" i="15"/>
  <c r="Q1518" i="15" s="1"/>
  <c r="M1522" i="15"/>
  <c r="Q1522" i="15" s="1"/>
  <c r="M1526" i="15"/>
  <c r="Q1526" i="15" s="1"/>
  <c r="M1530" i="15"/>
  <c r="Q1530" i="15" s="1"/>
  <c r="M1534" i="15"/>
  <c r="Q1534" i="15" s="1"/>
  <c r="M1538" i="15"/>
  <c r="Q1538" i="15" s="1"/>
  <c r="M1542" i="15"/>
  <c r="Q1542" i="15" s="1"/>
  <c r="M1546" i="15"/>
  <c r="Q1546" i="15" s="1"/>
  <c r="M1550" i="15"/>
  <c r="Q1550" i="15" s="1"/>
  <c r="M1554" i="15"/>
  <c r="Q1554" i="15" s="1"/>
  <c r="M1558" i="15"/>
  <c r="Q1558" i="15" s="1"/>
  <c r="M1562" i="15"/>
  <c r="Q1562" i="15" s="1"/>
  <c r="M1566" i="15"/>
  <c r="Q1566" i="15" s="1"/>
  <c r="M1570" i="15"/>
  <c r="Q1570" i="15" s="1"/>
  <c r="M1574" i="15"/>
  <c r="Q1574" i="15" s="1"/>
  <c r="M1578" i="15"/>
  <c r="Q1578" i="15" s="1"/>
  <c r="M1582" i="15"/>
  <c r="Q1582" i="15" s="1"/>
  <c r="P1555" i="15"/>
  <c r="P1559" i="15"/>
  <c r="M1504" i="15"/>
  <c r="Q1504" i="15" s="1"/>
  <c r="M1508" i="15"/>
  <c r="Q1508" i="15" s="1"/>
  <c r="M1512" i="15"/>
  <c r="Q1512" i="15" s="1"/>
  <c r="M1516" i="15"/>
  <c r="Q1516" i="15" s="1"/>
  <c r="M1520" i="15"/>
  <c r="Q1520" i="15" s="1"/>
  <c r="M1524" i="15"/>
  <c r="Q1524" i="15" s="1"/>
  <c r="M1528" i="15"/>
  <c r="Q1528" i="15" s="1"/>
  <c r="M1532" i="15"/>
  <c r="Q1532" i="15" s="1"/>
  <c r="M1536" i="15"/>
  <c r="Q1536" i="15" s="1"/>
  <c r="M1540" i="15"/>
  <c r="Q1540" i="15" s="1"/>
  <c r="M1544" i="15"/>
  <c r="Q1544" i="15" s="1"/>
  <c r="M1548" i="15"/>
  <c r="Q1548" i="15" s="1"/>
  <c r="M1552" i="15"/>
  <c r="Q1552" i="15" s="1"/>
  <c r="M1556" i="15"/>
  <c r="Q1556" i="15" s="1"/>
  <c r="M1560" i="15"/>
  <c r="Q1560" i="15" s="1"/>
  <c r="M1564" i="15"/>
  <c r="Q1564" i="15" s="1"/>
  <c r="M1568" i="15"/>
  <c r="Q1568" i="15" s="1"/>
  <c r="M1572" i="15"/>
  <c r="Q1572" i="15" s="1"/>
  <c r="M1576" i="15"/>
  <c r="Q1576" i="15" s="1"/>
  <c r="M1580" i="15"/>
  <c r="Q1580" i="15" s="1"/>
  <c r="M1584" i="15"/>
  <c r="Q1584" i="15" s="1"/>
  <c r="B720" i="5"/>
  <c r="E720" i="5"/>
  <c r="D499" i="5"/>
  <c r="C499" i="5"/>
  <c r="E499" i="5"/>
  <c r="C512" i="5"/>
  <c r="B512" i="5"/>
  <c r="D492" i="5"/>
  <c r="B492" i="5"/>
  <c r="B453" i="5"/>
  <c r="E453" i="5"/>
  <c r="C178" i="5"/>
  <c r="B425" i="5"/>
  <c r="E425" i="5"/>
  <c r="E691" i="5"/>
  <c r="C691" i="5"/>
  <c r="B691" i="5"/>
  <c r="E576" i="5"/>
  <c r="E666" i="5"/>
  <c r="E711" i="5"/>
  <c r="C149" i="5"/>
  <c r="E179" i="5"/>
  <c r="E247" i="5"/>
  <c r="E262" i="5"/>
  <c r="D282" i="5"/>
  <c r="C288" i="5"/>
  <c r="E384" i="5"/>
  <c r="E393" i="5"/>
  <c r="C399" i="5"/>
  <c r="C423" i="5"/>
  <c r="C544" i="5"/>
  <c r="D621" i="5"/>
  <c r="E705" i="5"/>
  <c r="E731" i="5"/>
  <c r="E756" i="5"/>
  <c r="E896" i="5"/>
  <c r="C899" i="5"/>
  <c r="E771" i="5"/>
  <c r="D647" i="5"/>
  <c r="C137" i="5"/>
  <c r="E140" i="5"/>
  <c r="C186" i="5"/>
  <c r="D192" i="5"/>
  <c r="C207" i="5"/>
  <c r="D241" i="5"/>
  <c r="C274" i="5"/>
  <c r="C298" i="5"/>
  <c r="C325" i="5"/>
  <c r="C447" i="5"/>
  <c r="D493" i="5"/>
  <c r="C496" i="5"/>
  <c r="C640" i="5"/>
  <c r="C659" i="5"/>
  <c r="C677" i="5"/>
  <c r="E702" i="5"/>
  <c r="D790" i="5"/>
  <c r="E832" i="5"/>
  <c r="E167" i="5"/>
  <c r="D100" i="5"/>
  <c r="D453" i="5"/>
  <c r="D468" i="5"/>
  <c r="C720" i="5"/>
  <c r="D857" i="5"/>
  <c r="C91" i="5"/>
  <c r="E97" i="5"/>
  <c r="E103" i="5"/>
  <c r="C106" i="5"/>
  <c r="D109" i="5"/>
  <c r="E144" i="5"/>
  <c r="C165" i="5"/>
  <c r="E198" i="5"/>
  <c r="E292" i="5"/>
  <c r="E338" i="5"/>
  <c r="E341" i="5"/>
  <c r="D382" i="5"/>
  <c r="C406" i="5"/>
  <c r="E477" i="5"/>
  <c r="C514" i="5"/>
  <c r="E590" i="5"/>
  <c r="E599" i="5"/>
  <c r="D634" i="5"/>
  <c r="E709" i="5"/>
  <c r="C738" i="5"/>
  <c r="D815" i="5"/>
  <c r="D132" i="5"/>
  <c r="E230" i="5"/>
  <c r="E272" i="5"/>
  <c r="C356" i="5"/>
  <c r="C365" i="5"/>
  <c r="E445" i="5"/>
  <c r="E457" i="5"/>
  <c r="D514" i="5"/>
  <c r="C542" i="5"/>
  <c r="C576" i="5"/>
  <c r="B588" i="5"/>
  <c r="E622" i="5"/>
  <c r="C648" i="5"/>
  <c r="D662" i="5"/>
  <c r="C48" i="5"/>
  <c r="E132" i="5"/>
  <c r="C192" i="5"/>
  <c r="C703" i="5"/>
  <c r="E809" i="5"/>
  <c r="E893" i="5"/>
  <c r="C113" i="5"/>
  <c r="C175" i="5"/>
  <c r="D242" i="5"/>
  <c r="D254" i="5"/>
  <c r="C260" i="5"/>
  <c r="D269" i="5"/>
  <c r="C278" i="5"/>
  <c r="E412" i="5"/>
  <c r="C522" i="5"/>
  <c r="D536" i="5"/>
  <c r="D666" i="5"/>
  <c r="E672" i="5"/>
  <c r="D833" i="5"/>
  <c r="E839" i="5"/>
  <c r="C227" i="5"/>
  <c r="C230" i="5"/>
  <c r="D284" i="5"/>
  <c r="D481" i="5"/>
  <c r="C555" i="5"/>
  <c r="D558" i="5"/>
  <c r="E625" i="5"/>
  <c r="C754" i="5"/>
  <c r="E797" i="5"/>
  <c r="C876" i="5"/>
  <c r="D152" i="5"/>
  <c r="C270" i="5"/>
  <c r="D576" i="5"/>
  <c r="C638" i="5"/>
  <c r="D643" i="5"/>
  <c r="C90" i="5"/>
  <c r="E89" i="5"/>
  <c r="D101" i="5"/>
  <c r="E107" i="5"/>
  <c r="E151" i="5"/>
  <c r="D164" i="5"/>
  <c r="D178" i="5"/>
  <c r="E281" i="5"/>
  <c r="C308" i="5"/>
  <c r="C339" i="5"/>
  <c r="D381" i="5"/>
  <c r="E395" i="5"/>
  <c r="D428" i="5"/>
  <c r="E552" i="5"/>
  <c r="D594" i="5"/>
  <c r="D641" i="5"/>
  <c r="E710" i="5"/>
  <c r="E748" i="5"/>
  <c r="E807" i="5"/>
  <c r="C867" i="5"/>
  <c r="C16" i="5"/>
  <c r="C74" i="5"/>
  <c r="E120" i="5"/>
  <c r="C276" i="5"/>
  <c r="C336" i="5"/>
  <c r="D354" i="5"/>
  <c r="C463" i="5"/>
  <c r="C481" i="5"/>
  <c r="E537" i="5"/>
  <c r="D617" i="5"/>
  <c r="B743" i="5"/>
  <c r="E758" i="5"/>
  <c r="E840" i="5"/>
  <c r="C65" i="5"/>
  <c r="B105" i="5"/>
  <c r="E136" i="5"/>
  <c r="C152" i="5"/>
  <c r="E212" i="5"/>
  <c r="E215" i="5"/>
  <c r="C267" i="5"/>
  <c r="C273" i="5"/>
  <c r="D324" i="5"/>
  <c r="D361" i="5"/>
  <c r="B384" i="5"/>
  <c r="C411" i="5"/>
  <c r="C523" i="5"/>
  <c r="D559" i="5"/>
  <c r="C711" i="5"/>
  <c r="C771" i="5"/>
  <c r="D820" i="5"/>
  <c r="D30" i="5"/>
  <c r="E228" i="5"/>
  <c r="B253" i="5"/>
  <c r="D321" i="5"/>
  <c r="D330" i="5"/>
  <c r="C375" i="5"/>
  <c r="B399" i="5"/>
  <c r="D411" i="5"/>
  <c r="E440" i="5"/>
  <c r="D504" i="5"/>
  <c r="C696" i="5"/>
  <c r="D728" i="5"/>
  <c r="D752" i="5"/>
  <c r="B774" i="5"/>
  <c r="E786" i="5"/>
  <c r="C111" i="5"/>
  <c r="D127" i="5"/>
  <c r="E176" i="5"/>
  <c r="C188" i="5"/>
  <c r="E294" i="5"/>
  <c r="E318" i="5"/>
  <c r="D518" i="5"/>
  <c r="E565" i="5"/>
  <c r="D571" i="5"/>
  <c r="E636" i="5"/>
  <c r="C676" i="5"/>
  <c r="E696" i="5"/>
  <c r="D762" i="5"/>
  <c r="C777" i="5"/>
  <c r="E780" i="5"/>
  <c r="E874" i="5"/>
  <c r="E43" i="5"/>
  <c r="C43" i="5"/>
  <c r="B43" i="5"/>
  <c r="E68" i="5"/>
  <c r="B68" i="5"/>
  <c r="C158" i="5"/>
  <c r="B158" i="5"/>
  <c r="D182" i="5"/>
  <c r="E182" i="5"/>
  <c r="B182" i="5"/>
  <c r="D225" i="5"/>
  <c r="B225" i="5"/>
  <c r="E429" i="5"/>
  <c r="B429" i="5"/>
  <c r="D429" i="5"/>
  <c r="C429" i="5"/>
  <c r="E59" i="5"/>
  <c r="B59" i="5"/>
  <c r="D173" i="5"/>
  <c r="B173" i="5"/>
  <c r="E37" i="5"/>
  <c r="B37" i="5"/>
  <c r="E75" i="5"/>
  <c r="C75" i="5"/>
  <c r="B75" i="5"/>
  <c r="E841" i="5"/>
  <c r="D841" i="5"/>
  <c r="C841" i="5"/>
  <c r="E146" i="5"/>
  <c r="B146" i="5"/>
  <c r="C146" i="5"/>
  <c r="C162" i="5"/>
  <c r="D268" i="5"/>
  <c r="B268" i="5"/>
  <c r="D271" i="5"/>
  <c r="E271" i="5"/>
  <c r="B271" i="5"/>
  <c r="E47" i="5"/>
  <c r="E53" i="5"/>
  <c r="B53" i="5"/>
  <c r="E63" i="5"/>
  <c r="E162" i="5"/>
  <c r="B162" i="5"/>
  <c r="E91" i="5"/>
  <c r="B91" i="5"/>
  <c r="C217" i="5"/>
  <c r="B277" i="5"/>
  <c r="E277" i="5"/>
  <c r="D277" i="5"/>
  <c r="C316" i="5"/>
  <c r="E316" i="5"/>
  <c r="D57" i="5"/>
  <c r="B57" i="5"/>
  <c r="D236" i="5"/>
  <c r="B23" i="5"/>
  <c r="E23" i="5"/>
  <c r="E73" i="5"/>
  <c r="B73" i="5"/>
  <c r="E69" i="5"/>
  <c r="B69" i="5"/>
  <c r="E184" i="5"/>
  <c r="C42" i="5"/>
  <c r="E138" i="5"/>
  <c r="B138" i="5"/>
  <c r="C184" i="5"/>
  <c r="B184" i="5"/>
  <c r="B154" i="5"/>
  <c r="E154" i="5"/>
  <c r="C154" i="5"/>
  <c r="C190" i="5"/>
  <c r="E190" i="5"/>
  <c r="D190" i="5"/>
  <c r="B190" i="5"/>
  <c r="C177" i="5"/>
  <c r="B177" i="5"/>
  <c r="C58" i="5"/>
  <c r="B58" i="5"/>
  <c r="E80" i="5"/>
  <c r="C80" i="5"/>
  <c r="B80" i="5"/>
  <c r="E36" i="5"/>
  <c r="B36" i="5"/>
  <c r="C145" i="5"/>
  <c r="C314" i="5"/>
  <c r="E314" i="5"/>
  <c r="E206" i="5"/>
  <c r="E52" i="5"/>
  <c r="B52" i="5"/>
  <c r="B130" i="5"/>
  <c r="E130" i="5"/>
  <c r="E667" i="5"/>
  <c r="B667" i="5"/>
  <c r="D264" i="5"/>
  <c r="B264" i="5"/>
  <c r="C32" i="5"/>
  <c r="C57" i="5"/>
  <c r="B107" i="5"/>
  <c r="B200" i="5"/>
  <c r="C264" i="5"/>
  <c r="D266" i="5"/>
  <c r="E349" i="5"/>
  <c r="B349" i="5"/>
  <c r="C585" i="5"/>
  <c r="E585" i="5"/>
  <c r="D585" i="5"/>
  <c r="E665" i="5"/>
  <c r="B665" i="5"/>
  <c r="C759" i="5"/>
  <c r="B759" i="5"/>
  <c r="E759" i="5"/>
  <c r="D25" i="5"/>
  <c r="E32" i="5"/>
  <c r="E40" i="5"/>
  <c r="D64" i="5"/>
  <c r="D84" i="5"/>
  <c r="C107" i="5"/>
  <c r="E159" i="5"/>
  <c r="D194" i="5"/>
  <c r="D202" i="5"/>
  <c r="E223" i="5"/>
  <c r="C232" i="5"/>
  <c r="D250" i="5"/>
  <c r="E264" i="5"/>
  <c r="E305" i="5"/>
  <c r="D355" i="5"/>
  <c r="E373" i="5"/>
  <c r="C482" i="5"/>
  <c r="E482" i="5"/>
  <c r="C501" i="5"/>
  <c r="C616" i="5"/>
  <c r="E616" i="5"/>
  <c r="B616" i="5"/>
  <c r="D702" i="5"/>
  <c r="E30" i="5"/>
  <c r="B540" i="5"/>
  <c r="D540" i="5"/>
  <c r="D50" i="5"/>
  <c r="D52" i="5"/>
  <c r="D146" i="5"/>
  <c r="C164" i="5"/>
  <c r="D175" i="5"/>
  <c r="C182" i="5"/>
  <c r="E242" i="5"/>
  <c r="E253" i="5"/>
  <c r="E259" i="5"/>
  <c r="C262" i="5"/>
  <c r="C300" i="5"/>
  <c r="E313" i="5"/>
  <c r="E336" i="5"/>
  <c r="D339" i="5"/>
  <c r="E396" i="5"/>
  <c r="C396" i="5"/>
  <c r="C422" i="5"/>
  <c r="E439" i="5"/>
  <c r="D439" i="5"/>
  <c r="E526" i="5"/>
  <c r="D526" i="5"/>
  <c r="B571" i="5"/>
  <c r="C632" i="5"/>
  <c r="E674" i="5"/>
  <c r="B674" i="5"/>
  <c r="D1186" i="5"/>
  <c r="C37" i="5"/>
  <c r="E245" i="5"/>
  <c r="C245" i="5"/>
  <c r="E297" i="5"/>
  <c r="D413" i="5"/>
  <c r="E413" i="5"/>
  <c r="D433" i="5"/>
  <c r="E433" i="5"/>
  <c r="D32" i="5"/>
  <c r="E100" i="5"/>
  <c r="D105" i="5"/>
  <c r="C124" i="5"/>
  <c r="D200" i="5"/>
  <c r="E232" i="5"/>
  <c r="D251" i="5"/>
  <c r="C286" i="5"/>
  <c r="D313" i="5"/>
  <c r="B313" i="5"/>
  <c r="C333" i="5"/>
  <c r="E480" i="5"/>
  <c r="C480" i="5"/>
  <c r="E513" i="5"/>
  <c r="D513" i="5"/>
  <c r="D532" i="5"/>
  <c r="E657" i="5"/>
  <c r="B657" i="5"/>
  <c r="E1186" i="5"/>
  <c r="B1186" i="5"/>
  <c r="C1186" i="5"/>
  <c r="E322" i="5"/>
  <c r="B322" i="5"/>
  <c r="B1383" i="5"/>
  <c r="C1383" i="5"/>
  <c r="C24" i="5"/>
  <c r="D15" i="5"/>
  <c r="E85" i="5"/>
  <c r="E124" i="5"/>
  <c r="E137" i="5"/>
  <c r="E203" i="5"/>
  <c r="D211" i="5"/>
  <c r="D230" i="5"/>
  <c r="C281" i="5"/>
  <c r="E289" i="5"/>
  <c r="E303" i="5"/>
  <c r="E342" i="5"/>
  <c r="C342" i="5"/>
  <c r="D405" i="5"/>
  <c r="C408" i="5"/>
  <c r="C434" i="5"/>
  <c r="E434" i="5"/>
  <c r="D437" i="5"/>
  <c r="D483" i="5"/>
  <c r="E483" i="5"/>
  <c r="C483" i="5"/>
  <c r="B483" i="5"/>
  <c r="D538" i="5"/>
  <c r="B583" i="5"/>
  <c r="D583" i="5"/>
  <c r="B660" i="5"/>
  <c r="C660" i="5"/>
  <c r="D316" i="5"/>
  <c r="C142" i="5"/>
  <c r="D281" i="5"/>
  <c r="B281" i="5"/>
  <c r="E547" i="5"/>
  <c r="B547" i="5"/>
  <c r="B553" i="5"/>
  <c r="D553" i="5"/>
  <c r="D629" i="5"/>
  <c r="E629" i="5"/>
  <c r="C629" i="5"/>
  <c r="D830" i="5"/>
  <c r="E830" i="5"/>
  <c r="C830" i="5"/>
  <c r="E1162" i="5"/>
  <c r="B1162" i="5"/>
  <c r="C73" i="5"/>
  <c r="D80" i="5"/>
  <c r="D113" i="5"/>
  <c r="C212" i="5"/>
  <c r="E270" i="5"/>
  <c r="D274" i="5"/>
  <c r="D306" i="5"/>
  <c r="E306" i="5"/>
  <c r="B320" i="5"/>
  <c r="E544" i="5"/>
  <c r="B544" i="5"/>
  <c r="C580" i="5"/>
  <c r="B580" i="5"/>
  <c r="B669" i="5"/>
  <c r="E669" i="5"/>
  <c r="E742" i="5"/>
  <c r="B742" i="5"/>
  <c r="C882" i="5"/>
  <c r="E882" i="5"/>
  <c r="B1103" i="5"/>
  <c r="D1103" i="5"/>
  <c r="E295" i="5"/>
  <c r="E15" i="5"/>
  <c r="T8" i="5"/>
  <c r="B8" i="5" s="1"/>
  <c r="I202" i="25"/>
  <c r="H202" i="25" s="1"/>
  <c r="I187" i="25"/>
  <c r="I172" i="25"/>
  <c r="I143" i="25"/>
  <c r="H143" i="25" s="1"/>
  <c r="I127" i="25"/>
  <c r="H127" i="25" s="1"/>
  <c r="I89" i="25"/>
  <c r="H89" i="25" s="1"/>
  <c r="I84" i="25"/>
  <c r="H84" i="25" s="1"/>
  <c r="I74" i="25"/>
  <c r="I194" i="25"/>
  <c r="I180" i="25"/>
  <c r="H180" i="25" s="1"/>
  <c r="I165" i="25"/>
  <c r="I157" i="25"/>
  <c r="H157" i="25" s="1"/>
  <c r="I150" i="25"/>
  <c r="H150" i="25" s="1"/>
  <c r="I135" i="25"/>
  <c r="I120" i="25"/>
  <c r="H120" i="25" s="1"/>
  <c r="I64" i="25"/>
  <c r="I208" i="25"/>
  <c r="H208" i="25" s="1"/>
  <c r="I102" i="25"/>
  <c r="I96" i="25"/>
  <c r="H96" i="25" s="1"/>
  <c r="I38" i="25"/>
  <c r="H38" i="25" s="1"/>
  <c r="I30" i="25"/>
  <c r="H30" i="25" s="1"/>
  <c r="I193" i="25"/>
  <c r="H193" i="25" s="1"/>
  <c r="I186" i="25"/>
  <c r="H186" i="25" s="1"/>
  <c r="I171" i="25"/>
  <c r="I142" i="25"/>
  <c r="H142" i="25" s="1"/>
  <c r="I88" i="25"/>
  <c r="H88" i="25" s="1"/>
  <c r="I83" i="25"/>
  <c r="I55" i="25"/>
  <c r="H55" i="25" s="1"/>
  <c r="I178" i="25"/>
  <c r="H178" i="25" s="1"/>
  <c r="I163" i="25"/>
  <c r="I156" i="25"/>
  <c r="I149" i="25"/>
  <c r="H149" i="25" s="1"/>
  <c r="I125" i="25"/>
  <c r="I207" i="25"/>
  <c r="H207" i="25" s="1"/>
  <c r="I133" i="25"/>
  <c r="H133" i="25" s="1"/>
  <c r="I109" i="25"/>
  <c r="H109" i="25" s="1"/>
  <c r="I101" i="25"/>
  <c r="H101" i="25" s="1"/>
  <c r="I62" i="25"/>
  <c r="I54" i="25"/>
  <c r="H54" i="25" s="1"/>
  <c r="I177" i="25"/>
  <c r="I148" i="25"/>
  <c r="I140" i="25"/>
  <c r="H140" i="25" s="1"/>
  <c r="I87" i="25"/>
  <c r="H87" i="25" s="1"/>
  <c r="I44" i="25"/>
  <c r="I198" i="25"/>
  <c r="H198" i="25" s="1"/>
  <c r="I191" i="25"/>
  <c r="I169" i="25"/>
  <c r="I162" i="25"/>
  <c r="I124" i="25"/>
  <c r="H124" i="25" s="1"/>
  <c r="I93" i="25"/>
  <c r="I213" i="25"/>
  <c r="H213" i="25" s="1"/>
  <c r="I154" i="25"/>
  <c r="H154" i="25" s="1"/>
  <c r="I139" i="25"/>
  <c r="I115" i="25"/>
  <c r="H115" i="25" s="1"/>
  <c r="I61" i="25"/>
  <c r="H61" i="25" s="1"/>
  <c r="I53" i="25"/>
  <c r="H53" i="25" s="1"/>
  <c r="I34" i="25"/>
  <c r="H34" i="25" s="1"/>
  <c r="I23" i="25"/>
  <c r="H23" i="25" s="1"/>
  <c r="I205" i="25"/>
  <c r="I131" i="25"/>
  <c r="I99" i="25"/>
  <c r="H99" i="25" s="1"/>
  <c r="I86" i="25"/>
  <c r="H86" i="25" s="1"/>
  <c r="I43" i="25"/>
  <c r="I197" i="25"/>
  <c r="I168" i="25"/>
  <c r="H168" i="25" s="1"/>
  <c r="I161" i="25"/>
  <c r="H161" i="25" s="1"/>
  <c r="I146" i="25"/>
  <c r="I123" i="25"/>
  <c r="H123" i="25" s="1"/>
  <c r="I106" i="25"/>
  <c r="H106" i="25" s="1"/>
  <c r="I67" i="25"/>
  <c r="H67" i="25" s="1"/>
  <c r="I52" i="25"/>
  <c r="H52" i="25" s="1"/>
  <c r="I212" i="25"/>
  <c r="H212" i="25" s="1"/>
  <c r="I204" i="25"/>
  <c r="H204" i="25" s="1"/>
  <c r="I182" i="25"/>
  <c r="H182" i="25" s="1"/>
  <c r="I153" i="25"/>
  <c r="I114" i="25"/>
  <c r="H114" i="25" s="1"/>
  <c r="I91" i="25"/>
  <c r="H91" i="25" s="1"/>
  <c r="I42" i="25"/>
  <c r="H42" i="25" s="1"/>
  <c r="I33" i="25"/>
  <c r="I7" i="25"/>
  <c r="H7" i="25" s="1"/>
  <c r="I122" i="25"/>
  <c r="H122" i="25" s="1"/>
  <c r="I98" i="25"/>
  <c r="H98" i="25" s="1"/>
  <c r="I85" i="25"/>
  <c r="H85" i="25" s="1"/>
  <c r="I25" i="25"/>
  <c r="H25" i="25" s="1"/>
  <c r="I203" i="25"/>
  <c r="H203" i="25" s="1"/>
  <c r="I188" i="25"/>
  <c r="H188" i="25" s="1"/>
  <c r="I173" i="25"/>
  <c r="I152" i="25"/>
  <c r="I90" i="25"/>
  <c r="I58" i="25"/>
  <c r="H58" i="25" s="1"/>
  <c r="I210" i="25"/>
  <c r="I195" i="25"/>
  <c r="H195" i="25" s="1"/>
  <c r="I181" i="25"/>
  <c r="H181" i="25" s="1"/>
  <c r="I144" i="25"/>
  <c r="H144" i="25" s="1"/>
  <c r="I136" i="25"/>
  <c r="I121" i="25"/>
  <c r="H121" i="25" s="1"/>
  <c r="I113" i="25"/>
  <c r="H113" i="25" s="1"/>
  <c r="I104" i="25"/>
  <c r="H104" i="25" s="1"/>
  <c r="I65" i="25"/>
  <c r="I40" i="25"/>
  <c r="I32" i="25"/>
  <c r="H32" i="25" s="1"/>
  <c r="I166" i="25"/>
  <c r="H166" i="25" s="1"/>
  <c r="I97" i="25"/>
  <c r="D48" i="5"/>
  <c r="E56" i="5"/>
  <c r="C78" i="5"/>
  <c r="C85" i="5"/>
  <c r="C88" i="5"/>
  <c r="D98" i="5"/>
  <c r="E155" i="5"/>
  <c r="D212" i="5"/>
  <c r="C214" i="5"/>
  <c r="D348" i="5"/>
  <c r="E348" i="5"/>
  <c r="C348" i="5"/>
  <c r="E368" i="5"/>
  <c r="C371" i="5"/>
  <c r="E397" i="5"/>
  <c r="E435" i="5"/>
  <c r="D443" i="5"/>
  <c r="D472" i="5"/>
  <c r="E472" i="5"/>
  <c r="B607" i="5"/>
  <c r="D607" i="5"/>
  <c r="C739" i="5"/>
  <c r="B739" i="5"/>
  <c r="E1052" i="5"/>
  <c r="C15" i="5"/>
  <c r="C53" i="5"/>
  <c r="C96" i="5"/>
  <c r="D122" i="5"/>
  <c r="E158" i="5"/>
  <c r="C228" i="5"/>
  <c r="C282" i="5"/>
  <c r="E287" i="5"/>
  <c r="B287" i="5"/>
  <c r="E309" i="5"/>
  <c r="B312" i="5"/>
  <c r="D314" i="5"/>
  <c r="D380" i="5"/>
  <c r="C380" i="5"/>
  <c r="B443" i="5"/>
  <c r="C443" i="5"/>
  <c r="C864" i="5"/>
  <c r="E864" i="5"/>
  <c r="D864" i="5"/>
  <c r="C1007" i="5"/>
  <c r="B1007" i="5"/>
  <c r="E1007" i="5"/>
  <c r="C1324" i="5"/>
  <c r="B1324" i="5"/>
  <c r="D1168" i="5"/>
  <c r="C1168" i="5"/>
  <c r="C20" i="5"/>
  <c r="D68" i="5"/>
  <c r="B101" i="5"/>
  <c r="C120" i="5"/>
  <c r="D136" i="5"/>
  <c r="C141" i="5"/>
  <c r="D145" i="5"/>
  <c r="E178" i="5"/>
  <c r="D188" i="5"/>
  <c r="E196" i="5"/>
  <c r="C247" i="5"/>
  <c r="D279" i="5"/>
  <c r="B279" i="5"/>
  <c r="C290" i="5"/>
  <c r="C329" i="5"/>
  <c r="E386" i="5"/>
  <c r="B592" i="5"/>
  <c r="D592" i="5"/>
  <c r="E701" i="5"/>
  <c r="C701" i="5"/>
  <c r="E733" i="5"/>
  <c r="C733" i="5"/>
  <c r="B822" i="5"/>
  <c r="E822" i="5"/>
  <c r="C861" i="5"/>
  <c r="B861" i="5"/>
  <c r="E870" i="5"/>
  <c r="C870" i="5"/>
  <c r="C69" i="5"/>
  <c r="D474" i="5"/>
  <c r="C474" i="5"/>
  <c r="C1356" i="5"/>
  <c r="B1356" i="5"/>
  <c r="E1356" i="5"/>
  <c r="C23" i="5"/>
  <c r="E71" i="5"/>
  <c r="D141" i="5"/>
  <c r="C176" i="5"/>
  <c r="E199" i="5"/>
  <c r="E293" i="5"/>
  <c r="E326" i="5"/>
  <c r="D326" i="5"/>
  <c r="D329" i="5"/>
  <c r="E377" i="5"/>
  <c r="D377" i="5"/>
  <c r="D427" i="5"/>
  <c r="C427" i="5"/>
  <c r="E539" i="5"/>
  <c r="B539" i="5"/>
  <c r="D584" i="5"/>
  <c r="E584" i="5"/>
  <c r="C584" i="5"/>
  <c r="D627" i="5"/>
  <c r="E627" i="5"/>
  <c r="C627" i="5"/>
  <c r="B659" i="5"/>
  <c r="E664" i="5"/>
  <c r="B664" i="5"/>
  <c r="C667" i="5"/>
  <c r="C49" i="5"/>
  <c r="E57" i="5"/>
  <c r="C64" i="5"/>
  <c r="E171" i="5"/>
  <c r="C223" i="5"/>
  <c r="D273" i="5"/>
  <c r="C275" i="5"/>
  <c r="D275" i="5"/>
  <c r="C280" i="5"/>
  <c r="D288" i="5"/>
  <c r="E312" i="5"/>
  <c r="D338" i="5"/>
  <c r="D383" i="5"/>
  <c r="D412" i="5"/>
  <c r="E473" i="5"/>
  <c r="E487" i="5"/>
  <c r="D487" i="5"/>
  <c r="D506" i="5"/>
  <c r="D525" i="5"/>
  <c r="E525" i="5"/>
  <c r="C525" i="5"/>
  <c r="E545" i="5"/>
  <c r="C578" i="5"/>
  <c r="E578" i="5"/>
  <c r="D578" i="5"/>
  <c r="B639" i="5"/>
  <c r="D639" i="5"/>
  <c r="E722" i="5"/>
  <c r="C722" i="5"/>
  <c r="E39" i="5"/>
  <c r="E61" i="5"/>
  <c r="E64" i="5"/>
  <c r="B84" i="5"/>
  <c r="C89" i="5"/>
  <c r="D96" i="5"/>
  <c r="E128" i="5"/>
  <c r="C159" i="5"/>
  <c r="E174" i="5"/>
  <c r="E202" i="5"/>
  <c r="C220" i="5"/>
  <c r="D223" i="5"/>
  <c r="E273" i="5"/>
  <c r="E288" i="5"/>
  <c r="D302" i="5"/>
  <c r="C355" i="5"/>
  <c r="B456" i="5"/>
  <c r="D482" i="5"/>
  <c r="E504" i="5"/>
  <c r="C540" i="5"/>
  <c r="C749" i="5"/>
  <c r="B749" i="5"/>
  <c r="E765" i="5"/>
  <c r="C765" i="5"/>
  <c r="B834" i="5"/>
  <c r="E834" i="5"/>
  <c r="B975" i="5"/>
  <c r="E975" i="5"/>
  <c r="B1271" i="5"/>
  <c r="C1271" i="5"/>
  <c r="E1277" i="5"/>
  <c r="C1277" i="5"/>
  <c r="D34" i="5"/>
  <c r="E81" i="5"/>
  <c r="C94" i="5"/>
  <c r="C101" i="5"/>
  <c r="C104" i="5"/>
  <c r="C136" i="5"/>
  <c r="E166" i="5"/>
  <c r="E189" i="5"/>
  <c r="D197" i="5"/>
  <c r="E210" i="5"/>
  <c r="C218" i="5"/>
  <c r="E307" i="5"/>
  <c r="D335" i="5"/>
  <c r="E335" i="5"/>
  <c r="C349" i="5"/>
  <c r="E352" i="5"/>
  <c r="D531" i="5"/>
  <c r="E531" i="5"/>
  <c r="C665" i="5"/>
  <c r="E693" i="5"/>
  <c r="D693" i="5"/>
  <c r="E655" i="5"/>
  <c r="D687" i="5"/>
  <c r="C700" i="5"/>
  <c r="D758" i="5"/>
  <c r="C775" i="5"/>
  <c r="B775" i="5"/>
  <c r="E781" i="5"/>
  <c r="C846" i="5"/>
  <c r="E939" i="5"/>
  <c r="E1179" i="5"/>
  <c r="C1185" i="5"/>
  <c r="C1211" i="5"/>
  <c r="B1211" i="5"/>
  <c r="D1273" i="5"/>
  <c r="B1273" i="5"/>
  <c r="E1326" i="5"/>
  <c r="C1326" i="5"/>
  <c r="E558" i="5"/>
  <c r="D577" i="5"/>
  <c r="E647" i="5"/>
  <c r="D875" i="5"/>
  <c r="B875" i="5"/>
  <c r="E1025" i="5"/>
  <c r="D1025" i="5"/>
  <c r="D1054" i="5"/>
  <c r="E1054" i="5"/>
  <c r="C1054" i="5"/>
  <c r="B1117" i="5"/>
  <c r="E1117" i="5"/>
  <c r="D1117" i="5"/>
  <c r="D1132" i="5"/>
  <c r="E1132" i="5"/>
  <c r="B1132" i="5"/>
  <c r="D1232" i="5"/>
  <c r="C1232" i="5"/>
  <c r="D1299" i="5"/>
  <c r="B1299" i="5"/>
  <c r="E1398" i="5"/>
  <c r="B1398" i="5"/>
  <c r="C513" i="5"/>
  <c r="D676" i="5"/>
  <c r="D690" i="5"/>
  <c r="D695" i="5"/>
  <c r="D705" i="5"/>
  <c r="D852" i="5"/>
  <c r="E852" i="5"/>
  <c r="C852" i="5"/>
  <c r="D866" i="5"/>
  <c r="C866" i="5"/>
  <c r="D921" i="5"/>
  <c r="B921" i="5"/>
  <c r="C983" i="5"/>
  <c r="D983" i="5"/>
  <c r="E983" i="5"/>
  <c r="E311" i="5"/>
  <c r="E329" i="5"/>
  <c r="C373" i="5"/>
  <c r="E421" i="5"/>
  <c r="E441" i="5"/>
  <c r="C462" i="5"/>
  <c r="D575" i="5"/>
  <c r="E587" i="5"/>
  <c r="E653" i="5"/>
  <c r="E660" i="5"/>
  <c r="D669" i="5"/>
  <c r="D679" i="5"/>
  <c r="E727" i="5"/>
  <c r="E858" i="5"/>
  <c r="D902" i="5"/>
  <c r="E902" i="5"/>
  <c r="C986" i="5"/>
  <c r="E1173" i="5"/>
  <c r="D1173" i="5"/>
  <c r="B1173" i="5"/>
  <c r="C1238" i="5"/>
  <c r="B1247" i="5"/>
  <c r="D1247" i="5"/>
  <c r="C1247" i="5"/>
  <c r="C1359" i="5"/>
  <c r="C277" i="5"/>
  <c r="D350" i="5"/>
  <c r="C394" i="5"/>
  <c r="E528" i="5"/>
  <c r="E533" i="5"/>
  <c r="E540" i="5"/>
  <c r="D570" i="5"/>
  <c r="E637" i="5"/>
  <c r="D650" i="5"/>
  <c r="C736" i="5"/>
  <c r="E785" i="5"/>
  <c r="E838" i="5"/>
  <c r="B945" i="5"/>
  <c r="D945" i="5"/>
  <c r="E1063" i="5"/>
  <c r="E1085" i="5"/>
  <c r="E1271" i="5"/>
  <c r="C1318" i="5"/>
  <c r="C504" i="5"/>
  <c r="C551" i="5"/>
  <c r="E609" i="5"/>
  <c r="D625" i="5"/>
  <c r="E632" i="5"/>
  <c r="E648" i="5"/>
  <c r="C706" i="5"/>
  <c r="B706" i="5"/>
  <c r="E717" i="5"/>
  <c r="D768" i="5"/>
  <c r="E788" i="5"/>
  <c r="C797" i="5"/>
  <c r="B851" i="5"/>
  <c r="C958" i="5"/>
  <c r="E1005" i="5"/>
  <c r="B1005" i="5"/>
  <c r="E1023" i="5"/>
  <c r="C1023" i="5"/>
  <c r="B1023" i="5"/>
  <c r="D1026" i="5"/>
  <c r="E1026" i="5"/>
  <c r="D1189" i="5"/>
  <c r="B1189" i="5"/>
  <c r="E1189" i="5"/>
  <c r="C1189" i="5"/>
  <c r="E1221" i="5"/>
  <c r="B1221" i="5"/>
  <c r="C361" i="5"/>
  <c r="C381" i="5"/>
  <c r="C392" i="5"/>
  <c r="D406" i="5"/>
  <c r="E432" i="5"/>
  <c r="D442" i="5"/>
  <c r="D485" i="5"/>
  <c r="E522" i="5"/>
  <c r="D524" i="5"/>
  <c r="E543" i="5"/>
  <c r="D642" i="5"/>
  <c r="E644" i="5"/>
  <c r="D675" i="5"/>
  <c r="D677" i="5"/>
  <c r="D774" i="5"/>
  <c r="C836" i="5"/>
  <c r="E836" i="5"/>
  <c r="D836" i="5"/>
  <c r="C851" i="5"/>
  <c r="B943" i="5"/>
  <c r="E943" i="5"/>
  <c r="E958" i="5"/>
  <c r="E976" i="5"/>
  <c r="C1044" i="5"/>
  <c r="E1061" i="5"/>
  <c r="E1064" i="5"/>
  <c r="E1128" i="5"/>
  <c r="D1251" i="5"/>
  <c r="B813" i="5"/>
  <c r="D1044" i="5"/>
  <c r="B1044" i="5"/>
  <c r="D1064" i="5"/>
  <c r="B1064" i="5"/>
  <c r="B1086" i="5"/>
  <c r="E1086" i="5"/>
  <c r="D1086" i="5"/>
  <c r="C1086" i="5"/>
  <c r="D1301" i="5"/>
  <c r="C369" i="5"/>
  <c r="D435" i="5"/>
  <c r="E481" i="5"/>
  <c r="E512" i="5"/>
  <c r="D527" i="5"/>
  <c r="C532" i="5"/>
  <c r="D599" i="5"/>
  <c r="D620" i="5"/>
  <c r="E654" i="5"/>
  <c r="D659" i="5"/>
  <c r="E670" i="5"/>
  <c r="C813" i="5"/>
  <c r="C1198" i="5"/>
  <c r="B1198" i="5"/>
  <c r="E1397" i="5"/>
  <c r="C224" i="5"/>
  <c r="C229" i="5"/>
  <c r="E263" i="5"/>
  <c r="D276" i="5"/>
  <c r="E310" i="5"/>
  <c r="E574" i="5"/>
  <c r="C612" i="5"/>
  <c r="B647" i="5"/>
  <c r="B705" i="5"/>
  <c r="D713" i="5"/>
  <c r="E775" i="5"/>
  <c r="D813" i="5"/>
  <c r="E851" i="5"/>
  <c r="D868" i="5"/>
  <c r="E868" i="5"/>
  <c r="D898" i="5"/>
  <c r="E904" i="5"/>
  <c r="E933" i="5"/>
  <c r="D958" i="5"/>
  <c r="D970" i="5"/>
  <c r="B970" i="5"/>
  <c r="C976" i="5"/>
  <c r="E1077" i="5"/>
  <c r="D1110" i="5"/>
  <c r="E1163" i="5"/>
  <c r="B1163" i="5"/>
  <c r="E1166" i="5"/>
  <c r="B1187" i="5"/>
  <c r="E1187" i="5"/>
  <c r="C1187" i="5"/>
  <c r="E1219" i="5"/>
  <c r="D1278" i="5"/>
  <c r="C1278" i="5"/>
  <c r="B1278" i="5"/>
  <c r="C1308" i="5"/>
  <c r="E1337" i="5"/>
  <c r="B1337" i="5"/>
  <c r="E390" i="5"/>
  <c r="E448" i="5"/>
  <c r="D451" i="5"/>
  <c r="D488" i="5"/>
  <c r="B558" i="5"/>
  <c r="E615" i="5"/>
  <c r="C621" i="5"/>
  <c r="E641" i="5"/>
  <c r="C645" i="5"/>
  <c r="B676" i="5"/>
  <c r="D700" i="5"/>
  <c r="C705" i="5"/>
  <c r="E726" i="5"/>
  <c r="B726" i="5"/>
  <c r="E743" i="5"/>
  <c r="B758" i="5"/>
  <c r="E792" i="5"/>
  <c r="D792" i="5"/>
  <c r="B939" i="5"/>
  <c r="B941" i="5"/>
  <c r="E941" i="5"/>
  <c r="B974" i="5"/>
  <c r="E1042" i="5"/>
  <c r="D1042" i="5"/>
  <c r="E1090" i="5"/>
  <c r="E1146" i="5"/>
  <c r="C1146" i="5"/>
  <c r="B1146" i="5"/>
  <c r="B1179" i="5"/>
  <c r="E1222" i="5"/>
  <c r="C1222" i="5"/>
  <c r="B1222" i="5"/>
  <c r="C1228" i="5"/>
  <c r="D1370" i="5"/>
  <c r="E1370" i="5"/>
  <c r="C1370" i="5"/>
  <c r="E315" i="5"/>
  <c r="D365" i="5"/>
  <c r="C477" i="5"/>
  <c r="D491" i="5"/>
  <c r="C493" i="5"/>
  <c r="E532" i="5"/>
  <c r="C613" i="5"/>
  <c r="E621" i="5"/>
  <c r="E628" i="5"/>
  <c r="D638" i="5"/>
  <c r="C643" i="5"/>
  <c r="D645" i="5"/>
  <c r="E662" i="5"/>
  <c r="D671" i="5"/>
  <c r="E700" i="5"/>
  <c r="C755" i="5"/>
  <c r="C792" i="5"/>
  <c r="B792" i="5"/>
  <c r="D827" i="5"/>
  <c r="E875" i="5"/>
  <c r="E1021" i="5"/>
  <c r="C1027" i="5"/>
  <c r="B1027" i="5"/>
  <c r="E1059" i="5"/>
  <c r="D1059" i="5"/>
  <c r="C250" i="5"/>
  <c r="E283" i="5"/>
  <c r="E334" i="5"/>
  <c r="C362" i="5"/>
  <c r="E365" i="5"/>
  <c r="B421" i="5"/>
  <c r="E493" i="5"/>
  <c r="C495" i="5"/>
  <c r="E505" i="5"/>
  <c r="B587" i="5"/>
  <c r="E613" i="5"/>
  <c r="E643" i="5"/>
  <c r="E671" i="5"/>
  <c r="E695" i="5"/>
  <c r="E697" i="5"/>
  <c r="E716" i="5"/>
  <c r="C721" i="5"/>
  <c r="E749" i="5"/>
  <c r="D805" i="5"/>
  <c r="D821" i="5"/>
  <c r="B821" i="5"/>
  <c r="D832" i="5"/>
  <c r="C863" i="5"/>
  <c r="B863" i="5"/>
  <c r="E866" i="5"/>
  <c r="E884" i="5"/>
  <c r="C924" i="5"/>
  <c r="E956" i="5"/>
  <c r="D1075" i="5"/>
  <c r="E1264" i="5"/>
  <c r="C1329" i="5"/>
  <c r="C1344" i="5"/>
  <c r="E952" i="5"/>
  <c r="C968" i="5"/>
  <c r="E1009" i="5"/>
  <c r="E1101" i="5"/>
  <c r="E1165" i="5"/>
  <c r="E1185" i="5"/>
  <c r="D1212" i="5"/>
  <c r="E1214" i="5"/>
  <c r="C1249" i="5"/>
  <c r="C1254" i="5"/>
  <c r="C1282" i="5"/>
  <c r="D1290" i="5"/>
  <c r="E1366" i="5"/>
  <c r="E1369" i="5"/>
  <c r="C1371" i="5"/>
  <c r="E1374" i="5"/>
  <c r="D1413" i="5"/>
  <c r="C1420" i="5"/>
  <c r="E901" i="5"/>
  <c r="C911" i="5"/>
  <c r="D973" i="5"/>
  <c r="C985" i="5"/>
  <c r="C1032" i="5"/>
  <c r="C1103" i="5"/>
  <c r="D1124" i="5"/>
  <c r="E1148" i="5"/>
  <c r="E1175" i="5"/>
  <c r="D1308" i="5"/>
  <c r="D1324" i="5"/>
  <c r="D1329" i="5"/>
  <c r="C1351" i="5"/>
  <c r="D1389" i="5"/>
  <c r="I57" i="25"/>
  <c r="E1043" i="5"/>
  <c r="E1062" i="5"/>
  <c r="C1083" i="5"/>
  <c r="E1093" i="5"/>
  <c r="D1191" i="5"/>
  <c r="E1196" i="5"/>
  <c r="E1242" i="5"/>
  <c r="D1340" i="5"/>
  <c r="D1348" i="5"/>
  <c r="D1351" i="5"/>
  <c r="E1353" i="5"/>
  <c r="E1377" i="5"/>
  <c r="D1392" i="5"/>
  <c r="E1405" i="5"/>
  <c r="I50" i="25"/>
  <c r="I75" i="25"/>
  <c r="H75" i="25" s="1"/>
  <c r="D1343" i="5"/>
  <c r="D1418" i="5"/>
  <c r="E739" i="5"/>
  <c r="D742" i="5"/>
  <c r="E810" i="5"/>
  <c r="C907" i="5"/>
  <c r="C914" i="5"/>
  <c r="C919" i="5"/>
  <c r="E938" i="5"/>
  <c r="C945" i="5"/>
  <c r="C950" i="5"/>
  <c r="E993" i="5"/>
  <c r="D1027" i="5"/>
  <c r="E1070" i="5"/>
  <c r="C1091" i="5"/>
  <c r="D1101" i="5"/>
  <c r="C1173" i="5"/>
  <c r="D1187" i="5"/>
  <c r="C1273" i="5"/>
  <c r="D1338" i="5"/>
  <c r="I24" i="25"/>
  <c r="H24" i="25" s="1"/>
  <c r="I137" i="25"/>
  <c r="I160" i="25"/>
  <c r="H160" i="25" s="1"/>
  <c r="I167" i="25"/>
  <c r="H167" i="25" s="1"/>
  <c r="I196" i="25"/>
  <c r="H196" i="25" s="1"/>
  <c r="D1411" i="5"/>
  <c r="I174" i="25"/>
  <c r="H174" i="25" s="1"/>
  <c r="C716" i="5"/>
  <c r="D723" i="5"/>
  <c r="E777" i="5"/>
  <c r="E799" i="5"/>
  <c r="D838" i="5"/>
  <c r="E891" i="5"/>
  <c r="D969" i="5"/>
  <c r="D1007" i="5"/>
  <c r="D1023" i="5"/>
  <c r="E1091" i="5"/>
  <c r="E1094" i="5"/>
  <c r="C1106" i="5"/>
  <c r="D1222" i="5"/>
  <c r="C1230" i="5"/>
  <c r="I78" i="25"/>
  <c r="H78" i="25" s="1"/>
  <c r="I138" i="25"/>
  <c r="H138" i="25" s="1"/>
  <c r="D691" i="5"/>
  <c r="D711" i="5"/>
  <c r="D726" i="5"/>
  <c r="C802" i="5"/>
  <c r="D880" i="5"/>
  <c r="C902" i="5"/>
  <c r="D909" i="5"/>
  <c r="C943" i="5"/>
  <c r="E953" i="5"/>
  <c r="E997" i="5"/>
  <c r="E1068" i="5"/>
  <c r="C1117" i="5"/>
  <c r="C1241" i="5"/>
  <c r="C1266" i="5"/>
  <c r="C1309" i="5"/>
  <c r="E1354" i="5"/>
  <c r="D1364" i="5"/>
  <c r="C1414" i="5"/>
  <c r="I190" i="25"/>
  <c r="H190" i="25" s="1"/>
  <c r="I79" i="25"/>
  <c r="H79" i="25" s="1"/>
  <c r="D689" i="5"/>
  <c r="E833" i="5"/>
  <c r="C941" i="5"/>
  <c r="E994" i="5"/>
  <c r="E1056" i="5"/>
  <c r="C1074" i="5"/>
  <c r="C1077" i="5"/>
  <c r="E1159" i="5"/>
  <c r="E1409" i="5"/>
  <c r="I26" i="25"/>
  <c r="H26" i="25" s="1"/>
  <c r="I100" i="25"/>
  <c r="H100" i="25" s="1"/>
  <c r="I206" i="25"/>
  <c r="C719" i="5"/>
  <c r="E729" i="5"/>
  <c r="D734" i="5"/>
  <c r="C838" i="5"/>
  <c r="C860" i="5"/>
  <c r="E979" i="5"/>
  <c r="D1024" i="5"/>
  <c r="D1052" i="5"/>
  <c r="D1061" i="5"/>
  <c r="D1077" i="5"/>
  <c r="E1112" i="5"/>
  <c r="E1174" i="5"/>
  <c r="D1179" i="5"/>
  <c r="C1256" i="5"/>
  <c r="D1417" i="5"/>
  <c r="E754" i="5"/>
  <c r="D759" i="5"/>
  <c r="E767" i="5"/>
  <c r="D775" i="5"/>
  <c r="E778" i="5"/>
  <c r="D794" i="5"/>
  <c r="E900" i="5"/>
  <c r="C916" i="5"/>
  <c r="D989" i="5"/>
  <c r="B992" i="5"/>
  <c r="E1008" i="5"/>
  <c r="C1080" i="5"/>
  <c r="E1082" i="5"/>
  <c r="C1085" i="5"/>
  <c r="E1115" i="5"/>
  <c r="C1142" i="5"/>
  <c r="E1164" i="5"/>
  <c r="D1226" i="5"/>
  <c r="D1243" i="5"/>
  <c r="D1323" i="5"/>
  <c r="D1344" i="5"/>
  <c r="C1354" i="5"/>
  <c r="D1356" i="5"/>
  <c r="D1373" i="5"/>
  <c r="I170" i="25"/>
  <c r="H170" i="25" s="1"/>
  <c r="D743" i="5"/>
  <c r="E806" i="5"/>
  <c r="E819" i="5"/>
  <c r="E844" i="5"/>
  <c r="D931" i="5"/>
  <c r="B957" i="5"/>
  <c r="E1019" i="5"/>
  <c r="E1066" i="5"/>
  <c r="D1131" i="5"/>
  <c r="C1136" i="5"/>
  <c r="D1162" i="5"/>
  <c r="E1211" i="5"/>
  <c r="D1249" i="5"/>
  <c r="D1282" i="5"/>
  <c r="C1284" i="5"/>
  <c r="D1287" i="5"/>
  <c r="B1290" i="5"/>
  <c r="D1362" i="5"/>
  <c r="E1391" i="5"/>
  <c r="C1407" i="5"/>
  <c r="D1420" i="5"/>
  <c r="I29" i="25"/>
  <c r="I37" i="25"/>
  <c r="E1420" i="5"/>
  <c r="I63" i="25"/>
  <c r="H63" i="25" s="1"/>
  <c r="I134" i="25"/>
  <c r="I179" i="25"/>
  <c r="D850" i="5"/>
  <c r="E855" i="5"/>
  <c r="D870" i="5"/>
  <c r="C913" i="5"/>
  <c r="C954" i="5"/>
  <c r="E985" i="5"/>
  <c r="E987" i="5"/>
  <c r="D1001" i="5"/>
  <c r="E1011" i="5"/>
  <c r="E1017" i="5"/>
  <c r="C1022" i="5"/>
  <c r="C1052" i="5"/>
  <c r="D1069" i="5"/>
  <c r="D1083" i="5"/>
  <c r="D1085" i="5"/>
  <c r="E1103" i="5"/>
  <c r="E1124" i="5"/>
  <c r="E1139" i="5"/>
  <c r="B1158" i="5"/>
  <c r="C1165" i="5"/>
  <c r="C1191" i="5"/>
  <c r="E1308" i="5"/>
  <c r="E1324" i="5"/>
  <c r="E1329" i="5"/>
  <c r="C1340" i="5"/>
  <c r="C1355" i="5"/>
  <c r="B1387" i="5"/>
  <c r="E1394" i="5"/>
  <c r="I110" i="25"/>
  <c r="H110" i="25" s="1"/>
  <c r="E898" i="5"/>
  <c r="D952" i="5"/>
  <c r="D959" i="5"/>
  <c r="E973" i="5"/>
  <c r="E977" i="5"/>
  <c r="D992" i="5"/>
  <c r="D1062" i="5"/>
  <c r="E1083" i="5"/>
  <c r="E1191" i="5"/>
  <c r="D1196" i="5"/>
  <c r="C1242" i="5"/>
  <c r="B1280" i="5"/>
  <c r="C1295" i="5"/>
  <c r="E1340" i="5"/>
  <c r="D1374" i="5"/>
  <c r="E1407" i="5"/>
  <c r="I47" i="25"/>
  <c r="H47" i="25" s="1"/>
  <c r="H156" i="25"/>
  <c r="I8" i="5"/>
  <c r="AA8" i="5" s="1"/>
  <c r="P1556" i="15"/>
  <c r="P1576" i="15"/>
  <c r="P1565" i="15"/>
  <c r="P1550" i="15"/>
  <c r="P1562" i="15"/>
  <c r="P1566" i="15"/>
  <c r="P1584" i="15"/>
  <c r="P1583" i="15"/>
  <c r="P1582" i="15"/>
  <c r="P1581" i="15"/>
  <c r="P1580" i="15"/>
  <c r="P1579" i="15"/>
  <c r="P1578" i="15"/>
  <c r="P1577" i="15"/>
  <c r="P1575" i="15"/>
  <c r="P1574" i="15"/>
  <c r="P1573" i="15"/>
  <c r="P1572" i="15"/>
  <c r="P1571" i="15"/>
  <c r="P1570" i="15"/>
  <c r="P1569" i="15"/>
  <c r="P1568" i="15"/>
  <c r="P1567" i="15"/>
  <c r="M1567" i="15"/>
  <c r="Q1567" i="15" s="1"/>
  <c r="P1563" i="15"/>
  <c r="P1561" i="15"/>
  <c r="P1560" i="15"/>
  <c r="P1558" i="15"/>
  <c r="P1557" i="15"/>
  <c r="P1554" i="15"/>
  <c r="P1553" i="15"/>
  <c r="P1552" i="15"/>
  <c r="P1551" i="15"/>
  <c r="P1549" i="15"/>
  <c r="P1548" i="15"/>
  <c r="P1547" i="15"/>
  <c r="P1546" i="15"/>
  <c r="P1545" i="15"/>
  <c r="P1544" i="15"/>
  <c r="P1543" i="15"/>
  <c r="P1542" i="15"/>
  <c r="P1541" i="15"/>
  <c r="P1540" i="15"/>
  <c r="P1539" i="15"/>
  <c r="P1538" i="15"/>
  <c r="P1537" i="15"/>
  <c r="P1536" i="15"/>
  <c r="P1535" i="15"/>
  <c r="P1534" i="15"/>
  <c r="P1533" i="15"/>
  <c r="P1532" i="15"/>
  <c r="P1531" i="15"/>
  <c r="P1530" i="15"/>
  <c r="P1529" i="15"/>
  <c r="P1528" i="15"/>
  <c r="P1527" i="15"/>
  <c r="P1526" i="15"/>
  <c r="P1525" i="15"/>
  <c r="P1524" i="15"/>
  <c r="P1523" i="15"/>
  <c r="P1522" i="15"/>
  <c r="P1521" i="15"/>
  <c r="P1520" i="15"/>
  <c r="P1519" i="15"/>
  <c r="P1518" i="15"/>
  <c r="P1517" i="15"/>
  <c r="P1516" i="15"/>
  <c r="P1515" i="15"/>
  <c r="P1514" i="15"/>
  <c r="P1513" i="15"/>
  <c r="P1512" i="15"/>
  <c r="P1511" i="15"/>
  <c r="P1510" i="15"/>
  <c r="P1509" i="15"/>
  <c r="P1508" i="15"/>
  <c r="P1507" i="15"/>
  <c r="P1506" i="15"/>
  <c r="P1505" i="15"/>
  <c r="P1504" i="15"/>
  <c r="P1503" i="15"/>
  <c r="P1502" i="15"/>
  <c r="P1501" i="15"/>
  <c r="P1564" i="15"/>
  <c r="R1564" i="15"/>
  <c r="H43" i="25"/>
  <c r="H171" i="25"/>
  <c r="H191" i="25"/>
  <c r="H44" i="25"/>
  <c r="H62" i="25"/>
  <c r="H131" i="25"/>
  <c r="H102" i="25"/>
  <c r="H162" i="25"/>
  <c r="H135" i="25"/>
  <c r="H194" i="25"/>
  <c r="I44" i="5"/>
  <c r="I22" i="5"/>
  <c r="I16" i="5"/>
  <c r="K14" i="5"/>
  <c r="K12" i="5"/>
  <c r="K10" i="5"/>
  <c r="K8" i="5"/>
  <c r="K30" i="5"/>
  <c r="I37" i="5"/>
  <c r="K52" i="5"/>
  <c r="I59" i="5"/>
  <c r="I64" i="5"/>
  <c r="AE64" i="5" s="1"/>
  <c r="I69" i="5"/>
  <c r="I54" i="5"/>
  <c r="AA54" i="5" s="1"/>
  <c r="I56" i="5"/>
  <c r="I14" i="5"/>
  <c r="I12" i="5"/>
  <c r="AB12" i="5" s="1"/>
  <c r="I10" i="5"/>
  <c r="AB10" i="5" s="1"/>
  <c r="K37" i="5"/>
  <c r="I39" i="5"/>
  <c r="K59" i="5"/>
  <c r="I66" i="5"/>
  <c r="K69" i="5"/>
  <c r="I32" i="5"/>
  <c r="I41" i="5"/>
  <c r="I46" i="5"/>
  <c r="I49" i="5"/>
  <c r="K27" i="5"/>
  <c r="K25" i="5"/>
  <c r="I34" i="5"/>
  <c r="K39" i="5"/>
  <c r="K44" i="5"/>
  <c r="I51" i="5"/>
  <c r="M51" i="5" s="1"/>
  <c r="I61" i="5"/>
  <c r="AB61" i="5" s="1"/>
  <c r="K66" i="5"/>
  <c r="K23" i="5"/>
  <c r="K21" i="5"/>
  <c r="K19" i="5"/>
  <c r="K17" i="5"/>
  <c r="I29" i="5"/>
  <c r="K32" i="5"/>
  <c r="K41" i="5"/>
  <c r="K46" i="5"/>
  <c r="K49" i="5"/>
  <c r="I58" i="5"/>
  <c r="I63" i="5"/>
  <c r="AE63" i="5" s="1"/>
  <c r="I27" i="5"/>
  <c r="I25" i="5"/>
  <c r="K34" i="5"/>
  <c r="I36" i="5"/>
  <c r="K51" i="5"/>
  <c r="K61" i="5"/>
  <c r="I68" i="5"/>
  <c r="AB68" i="5" s="1"/>
  <c r="I23" i="5"/>
  <c r="I21" i="5"/>
  <c r="AB21" i="5" s="1"/>
  <c r="I19" i="5"/>
  <c r="AB19" i="5" s="1"/>
  <c r="I17" i="5"/>
  <c r="K29" i="5"/>
  <c r="I31" i="5"/>
  <c r="K58" i="5"/>
  <c r="K63" i="5"/>
  <c r="K13" i="5"/>
  <c r="K11" i="5"/>
  <c r="K9" i="5"/>
  <c r="K36" i="5"/>
  <c r="I43" i="5"/>
  <c r="I48" i="5"/>
  <c r="I53" i="5"/>
  <c r="AE53" i="5" s="1"/>
  <c r="I15" i="5"/>
  <c r="K31" i="5"/>
  <c r="I55" i="5"/>
  <c r="I70" i="5"/>
  <c r="I13" i="5"/>
  <c r="I11" i="5"/>
  <c r="I9" i="5"/>
  <c r="I38" i="5"/>
  <c r="K48" i="5"/>
  <c r="K53" i="5"/>
  <c r="I57" i="5"/>
  <c r="I60" i="5"/>
  <c r="I65" i="5"/>
  <c r="I40" i="5"/>
  <c r="M40" i="5" s="1"/>
  <c r="I45" i="5"/>
  <c r="AC45" i="5" s="1"/>
  <c r="I50" i="5"/>
  <c r="AB50" i="5" s="1"/>
  <c r="K55" i="5"/>
  <c r="I67" i="5"/>
  <c r="K70" i="5"/>
  <c r="K28" i="5"/>
  <c r="K24" i="5"/>
  <c r="I33" i="5"/>
  <c r="AE33" i="5" s="1"/>
  <c r="I35" i="5"/>
  <c r="K38" i="5"/>
  <c r="I47" i="5"/>
  <c r="K60" i="5"/>
  <c r="I62" i="5"/>
  <c r="K65" i="5"/>
  <c r="K20" i="5"/>
  <c r="K18" i="5"/>
  <c r="K40" i="5"/>
  <c r="K45" i="5"/>
  <c r="K50" i="5"/>
  <c r="K67" i="5"/>
  <c r="I28" i="5"/>
  <c r="I26" i="5"/>
  <c r="I24" i="5"/>
  <c r="K22" i="5"/>
  <c r="K16" i="5"/>
  <c r="I30" i="5"/>
  <c r="K33" i="5"/>
  <c r="K35" i="5"/>
  <c r="I42" i="5"/>
  <c r="K47" i="5"/>
  <c r="I52" i="5"/>
  <c r="AB52" i="5" s="1"/>
  <c r="K62" i="5"/>
  <c r="I20" i="5"/>
  <c r="I18" i="5"/>
  <c r="K247" i="5"/>
  <c r="K167" i="5"/>
  <c r="K82" i="5"/>
  <c r="I151" i="5"/>
  <c r="K109" i="5"/>
  <c r="I78" i="5"/>
  <c r="M78" i="5" s="1"/>
  <c r="I187" i="5"/>
  <c r="AB187" i="5" s="1"/>
  <c r="K205" i="5"/>
  <c r="I207" i="5"/>
  <c r="AE207" i="5" s="1"/>
  <c r="I115" i="5"/>
  <c r="AC115" i="5" s="1"/>
  <c r="K135" i="5"/>
  <c r="I149" i="5"/>
  <c r="K159" i="5"/>
  <c r="I123" i="5"/>
  <c r="I166" i="5"/>
  <c r="I185" i="5"/>
  <c r="K72" i="5"/>
  <c r="I76" i="5"/>
  <c r="I121" i="5"/>
  <c r="I128" i="5"/>
  <c r="I183" i="5"/>
  <c r="K76" i="5"/>
  <c r="I85" i="5"/>
  <c r="AA85" i="5" s="1"/>
  <c r="I113" i="5"/>
  <c r="K183" i="5"/>
  <c r="I192" i="5"/>
  <c r="AE192" i="5" s="1"/>
  <c r="I228" i="5"/>
  <c r="AD228" i="5" s="1"/>
  <c r="I336" i="5"/>
  <c r="K164" i="5"/>
  <c r="K233" i="5"/>
  <c r="K420" i="5"/>
  <c r="I430" i="5"/>
  <c r="I104" i="5"/>
  <c r="AE104" i="5" s="1"/>
  <c r="K162" i="5"/>
  <c r="I313" i="5"/>
  <c r="I259" i="5"/>
  <c r="K311" i="5"/>
  <c r="K104" i="5"/>
  <c r="I111" i="5"/>
  <c r="K111" i="5"/>
  <c r="K177" i="5"/>
  <c r="I75" i="5"/>
  <c r="AE75" i="5" s="1"/>
  <c r="I209" i="5"/>
  <c r="I295" i="5"/>
  <c r="K375" i="5"/>
  <c r="K93" i="5"/>
  <c r="I167" i="5"/>
  <c r="AB167" i="5" s="1"/>
  <c r="I72" i="5"/>
  <c r="AB72" i="5" s="1"/>
  <c r="I82" i="5"/>
  <c r="AD82" i="5" s="1"/>
  <c r="I133" i="5"/>
  <c r="AB133" i="5" s="1"/>
  <c r="I162" i="5"/>
  <c r="M162" i="5" s="1"/>
  <c r="I188" i="5"/>
  <c r="I211" i="5"/>
  <c r="AB211" i="5" s="1"/>
  <c r="K230" i="5"/>
  <c r="I280" i="5"/>
  <c r="K1406" i="5"/>
  <c r="K1389" i="5"/>
  <c r="I1385" i="5"/>
  <c r="M1385" i="5" s="1"/>
  <c r="K1382" i="5"/>
  <c r="K1377" i="5"/>
  <c r="K1374" i="5"/>
  <c r="I1371" i="5"/>
  <c r="AB1371" i="5" s="1"/>
  <c r="K1357" i="5"/>
  <c r="I1356" i="5"/>
  <c r="AC1356" i="5" s="1"/>
  <c r="I1351" i="5"/>
  <c r="AB1351" i="5" s="1"/>
  <c r="K1346" i="5"/>
  <c r="I1334" i="5"/>
  <c r="AC1334" i="5" s="1"/>
  <c r="K1312" i="5"/>
  <c r="I1409" i="5"/>
  <c r="AA1409" i="5" s="1"/>
  <c r="K1402" i="5"/>
  <c r="I1398" i="5"/>
  <c r="AB1398" i="5" s="1"/>
  <c r="I1381" i="5"/>
  <c r="M1381" i="5" s="1"/>
  <c r="K1367" i="5"/>
  <c r="I1364" i="5"/>
  <c r="AE1364" i="5" s="1"/>
  <c r="I1350" i="5"/>
  <c r="I1341" i="5"/>
  <c r="M1341" i="5" s="1"/>
  <c r="K1326" i="5"/>
  <c r="K1322" i="5"/>
  <c r="I1318" i="5"/>
  <c r="K1418" i="5"/>
  <c r="K1407" i="5"/>
  <c r="I1406" i="5"/>
  <c r="AD1406" i="5" s="1"/>
  <c r="K1392" i="5"/>
  <c r="I1389" i="5"/>
  <c r="AA1389" i="5" s="1"/>
  <c r="I1382" i="5"/>
  <c r="M1382" i="5" s="1"/>
  <c r="I1377" i="5"/>
  <c r="AB1377" i="5" s="1"/>
  <c r="I1374" i="5"/>
  <c r="AC1374" i="5" s="1"/>
  <c r="I1410" i="5"/>
  <c r="AB1410" i="5" s="1"/>
  <c r="K1404" i="5"/>
  <c r="I1403" i="5"/>
  <c r="AA1403" i="5" s="1"/>
  <c r="I1399" i="5"/>
  <c r="AB1399" i="5" s="1"/>
  <c r="I1396" i="5"/>
  <c r="AA1396" i="5" s="1"/>
  <c r="K1387" i="5"/>
  <c r="I1383" i="5"/>
  <c r="AB1383" i="5" s="1"/>
  <c r="K1379" i="5"/>
  <c r="I1378" i="5"/>
  <c r="I1372" i="5"/>
  <c r="I1368" i="5"/>
  <c r="AB1368" i="5" s="1"/>
  <c r="I1365" i="5"/>
  <c r="M1365" i="5" s="1"/>
  <c r="K1362" i="5"/>
  <c r="I1352" i="5"/>
  <c r="AA1352" i="5" s="1"/>
  <c r="K1348" i="5"/>
  <c r="K1336" i="5"/>
  <c r="I1314" i="5"/>
  <c r="AC1314" i="5" s="1"/>
  <c r="I1313" i="5"/>
  <c r="I1308" i="5"/>
  <c r="AA1308" i="5" s="1"/>
  <c r="I1307" i="5"/>
  <c r="AB1307" i="5" s="1"/>
  <c r="K1297" i="5"/>
  <c r="I1419" i="5"/>
  <c r="I1416" i="5"/>
  <c r="M1416" i="5" s="1"/>
  <c r="I1414" i="5"/>
  <c r="AD1414" i="5" s="1"/>
  <c r="K1396" i="5"/>
  <c r="I1380" i="5"/>
  <c r="AE1380" i="5" s="1"/>
  <c r="I1355" i="5"/>
  <c r="AB1355" i="5" s="1"/>
  <c r="K1338" i="5"/>
  <c r="I1335" i="5"/>
  <c r="M1335" i="5" s="1"/>
  <c r="I1332" i="5"/>
  <c r="AD1332" i="5" s="1"/>
  <c r="K1420" i="5"/>
  <c r="I1375" i="5"/>
  <c r="AE1375" i="5" s="1"/>
  <c r="K1370" i="5"/>
  <c r="I1338" i="5"/>
  <c r="AC1338" i="5" s="1"/>
  <c r="K1330" i="5"/>
  <c r="K1323" i="5"/>
  <c r="K1309" i="5"/>
  <c r="K1305" i="5"/>
  <c r="K1302" i="5"/>
  <c r="K1293" i="5"/>
  <c r="K1292" i="5"/>
  <c r="I1287" i="5"/>
  <c r="AE1287" i="5" s="1"/>
  <c r="K1280" i="5"/>
  <c r="I1263" i="5"/>
  <c r="AD1263" i="5" s="1"/>
  <c r="K1242" i="5"/>
  <c r="K1241" i="5"/>
  <c r="K1411" i="5"/>
  <c r="I1373" i="5"/>
  <c r="M1373" i="5" s="1"/>
  <c r="I1339" i="5"/>
  <c r="M1339" i="5" s="1"/>
  <c r="K1314" i="5"/>
  <c r="K1310" i="5"/>
  <c r="K1303" i="5"/>
  <c r="I1294" i="5"/>
  <c r="AC1294" i="5" s="1"/>
  <c r="I1288" i="5"/>
  <c r="AE1288" i="5" s="1"/>
  <c r="I1271" i="5"/>
  <c r="AC1271" i="5" s="1"/>
  <c r="K1267" i="5"/>
  <c r="I1266" i="5"/>
  <c r="K1259" i="5"/>
  <c r="I1256" i="5"/>
  <c r="AE1256" i="5" s="1"/>
  <c r="I1243" i="5"/>
  <c r="AD1243" i="5" s="1"/>
  <c r="K1239" i="5"/>
  <c r="K1227" i="5"/>
  <c r="K1221" i="5"/>
  <c r="I1360" i="5"/>
  <c r="AB1360" i="5" s="1"/>
  <c r="I1331" i="5"/>
  <c r="AE1331" i="5" s="1"/>
  <c r="K1319" i="5"/>
  <c r="I1311" i="5"/>
  <c r="AA1311" i="5" s="1"/>
  <c r="I1304" i="5"/>
  <c r="AA1304" i="5" s="1"/>
  <c r="I1421" i="5"/>
  <c r="K1401" i="5"/>
  <c r="I1394" i="5"/>
  <c r="K1375" i="5"/>
  <c r="I1347" i="5"/>
  <c r="I1324" i="5"/>
  <c r="AA1324" i="5" s="1"/>
  <c r="I1319" i="5"/>
  <c r="M1319" i="5" s="1"/>
  <c r="K1313" i="5"/>
  <c r="I1286" i="5"/>
  <c r="AD1286" i="5" s="1"/>
  <c r="I1280" i="5"/>
  <c r="M1280" i="5" s="1"/>
  <c r="K1275" i="5"/>
  <c r="I1268" i="5"/>
  <c r="AA1268" i="5" s="1"/>
  <c r="I1255" i="5"/>
  <c r="AD1255" i="5" s="1"/>
  <c r="K1246" i="5"/>
  <c r="I1245" i="5"/>
  <c r="I1236" i="5"/>
  <c r="K1231" i="5"/>
  <c r="K1222" i="5"/>
  <c r="I1221" i="5"/>
  <c r="I1208" i="5"/>
  <c r="M1208" i="5" s="1"/>
  <c r="I1201" i="5"/>
  <c r="AA1201" i="5" s="1"/>
  <c r="I1200" i="5"/>
  <c r="I1192" i="5"/>
  <c r="AE1192" i="5" s="1"/>
  <c r="I1188" i="5"/>
  <c r="I1178" i="5"/>
  <c r="AA1178" i="5" s="1"/>
  <c r="K1390" i="5"/>
  <c r="K1388" i="5"/>
  <c r="K1385" i="5"/>
  <c r="K1373" i="5"/>
  <c r="K1371" i="5"/>
  <c r="K1368" i="5"/>
  <c r="K1361" i="5"/>
  <c r="K1353" i="5"/>
  <c r="K1345" i="5"/>
  <c r="I1342" i="5"/>
  <c r="AC1342" i="5" s="1"/>
  <c r="K1340" i="5"/>
  <c r="I1337" i="5"/>
  <c r="K1332" i="5"/>
  <c r="K1311" i="5"/>
  <c r="K1307" i="5"/>
  <c r="I1289" i="5"/>
  <c r="K1265" i="5"/>
  <c r="K1256" i="5"/>
  <c r="I1249" i="5"/>
  <c r="K1238" i="5"/>
  <c r="K1226" i="5"/>
  <c r="K1218" i="5"/>
  <c r="K1209" i="5"/>
  <c r="K1184" i="5"/>
  <c r="K1417" i="5"/>
  <c r="I1401" i="5"/>
  <c r="AB1401" i="5" s="1"/>
  <c r="K1399" i="5"/>
  <c r="I1392" i="5"/>
  <c r="AA1392" i="5" s="1"/>
  <c r="K1380" i="5"/>
  <c r="I1361" i="5"/>
  <c r="I1345" i="5"/>
  <c r="I1302" i="5"/>
  <c r="K1290" i="5"/>
  <c r="K1284" i="5"/>
  <c r="I1275" i="5"/>
  <c r="K1263" i="5"/>
  <c r="K1250" i="5"/>
  <c r="I1246" i="5"/>
  <c r="M1246" i="5" s="1"/>
  <c r="K1419" i="5"/>
  <c r="I1417" i="5"/>
  <c r="AC1417" i="5" s="1"/>
  <c r="K1412" i="5"/>
  <c r="I1411" i="5"/>
  <c r="I1404" i="5"/>
  <c r="AB1404" i="5" s="1"/>
  <c r="I1390" i="5"/>
  <c r="AC1390" i="5" s="1"/>
  <c r="I1388" i="5"/>
  <c r="AE1388" i="5" s="1"/>
  <c r="I1353" i="5"/>
  <c r="M1353" i="5" s="1"/>
  <c r="K1350" i="5"/>
  <c r="I1340" i="5"/>
  <c r="AB1340" i="5" s="1"/>
  <c r="K1335" i="5"/>
  <c r="I1330" i="5"/>
  <c r="AD1330" i="5" s="1"/>
  <c r="I1322" i="5"/>
  <c r="AE1322" i="5" s="1"/>
  <c r="K1308" i="5"/>
  <c r="K1295" i="5"/>
  <c r="I1284" i="5"/>
  <c r="K1269" i="5"/>
  <c r="I1265" i="5"/>
  <c r="I1241" i="5"/>
  <c r="AD1241" i="5" s="1"/>
  <c r="I1238" i="5"/>
  <c r="AD1238" i="5" s="1"/>
  <c r="K1395" i="5"/>
  <c r="K1383" i="5"/>
  <c r="K1366" i="5"/>
  <c r="K1327" i="5"/>
  <c r="K1320" i="5"/>
  <c r="I1317" i="5"/>
  <c r="AA1317" i="5" s="1"/>
  <c r="I1297" i="5"/>
  <c r="K1291" i="5"/>
  <c r="I1290" i="5"/>
  <c r="AD1290" i="5" s="1"/>
  <c r="K1287" i="5"/>
  <c r="I1272" i="5"/>
  <c r="K1252" i="5"/>
  <c r="K1251" i="5"/>
  <c r="I1250" i="5"/>
  <c r="I1242" i="5"/>
  <c r="AA1242" i="5" s="1"/>
  <c r="K1234" i="5"/>
  <c r="K1232" i="5"/>
  <c r="I1412" i="5"/>
  <c r="AC1412" i="5" s="1"/>
  <c r="K1409" i="5"/>
  <c r="I1407" i="5"/>
  <c r="AD1407" i="5" s="1"/>
  <c r="K1397" i="5"/>
  <c r="K1364" i="5"/>
  <c r="K1359" i="5"/>
  <c r="K1351" i="5"/>
  <c r="K1333" i="5"/>
  <c r="I1327" i="5"/>
  <c r="M1327" i="5" s="1"/>
  <c r="I1320" i="5"/>
  <c r="AD1320" i="5" s="1"/>
  <c r="I1305" i="5"/>
  <c r="AD1305" i="5" s="1"/>
  <c r="K1298" i="5"/>
  <c r="I1295" i="5"/>
  <c r="AB1295" i="5" s="1"/>
  <c r="K1270" i="5"/>
  <c r="I1269" i="5"/>
  <c r="AD1269" i="5" s="1"/>
  <c r="I1259" i="5"/>
  <c r="AA1259" i="5" s="1"/>
  <c r="K1228" i="5"/>
  <c r="I1223" i="5"/>
  <c r="AB1223" i="5" s="1"/>
  <c r="I1210" i="5"/>
  <c r="AD1210" i="5" s="1"/>
  <c r="K1206" i="5"/>
  <c r="I1193" i="5"/>
  <c r="AC1193" i="5" s="1"/>
  <c r="K1415" i="5"/>
  <c r="I1395" i="5"/>
  <c r="I1366" i="5"/>
  <c r="AD1366" i="5" s="1"/>
  <c r="I1359" i="5"/>
  <c r="AB1359" i="5" s="1"/>
  <c r="I1357" i="5"/>
  <c r="AA1357" i="5" s="1"/>
  <c r="K1354" i="5"/>
  <c r="I1348" i="5"/>
  <c r="AB1348" i="5" s="1"/>
  <c r="I1325" i="5"/>
  <c r="AE1325" i="5" s="1"/>
  <c r="K1405" i="5"/>
  <c r="I1402" i="5"/>
  <c r="AA1402" i="5" s="1"/>
  <c r="I1397" i="5"/>
  <c r="AD1397" i="5" s="1"/>
  <c r="K1386" i="5"/>
  <c r="K1378" i="5"/>
  <c r="K1376" i="5"/>
  <c r="I1362" i="5"/>
  <c r="K1343" i="5"/>
  <c r="I1333" i="5"/>
  <c r="M1333" i="5" s="1"/>
  <c r="I1309" i="5"/>
  <c r="AA1309" i="5" s="1"/>
  <c r="I1303" i="5"/>
  <c r="M1303" i="5" s="1"/>
  <c r="K1299" i="5"/>
  <c r="I1298" i="5"/>
  <c r="I1278" i="5"/>
  <c r="AE1278" i="5" s="1"/>
  <c r="K1277" i="5"/>
  <c r="I1273" i="5"/>
  <c r="AD1273" i="5" s="1"/>
  <c r="I1270" i="5"/>
  <c r="K1266" i="5"/>
  <c r="I1247" i="5"/>
  <c r="AC1247" i="5" s="1"/>
  <c r="I1228" i="5"/>
  <c r="AB1228" i="5" s="1"/>
  <c r="K1224" i="5"/>
  <c r="K1216" i="5"/>
  <c r="I1206" i="5"/>
  <c r="AE1206" i="5" s="1"/>
  <c r="K1198" i="5"/>
  <c r="I1415" i="5"/>
  <c r="AA1415" i="5" s="1"/>
  <c r="I1405" i="5"/>
  <c r="AC1405" i="5" s="1"/>
  <c r="K1400" i="5"/>
  <c r="K1393" i="5"/>
  <c r="I1386" i="5"/>
  <c r="AA1386" i="5" s="1"/>
  <c r="K1384" i="5"/>
  <c r="K1372" i="5"/>
  <c r="K1369" i="5"/>
  <c r="I1354" i="5"/>
  <c r="AD1354" i="5" s="1"/>
  <c r="I1343" i="5"/>
  <c r="AB1343" i="5" s="1"/>
  <c r="K1315" i="5"/>
  <c r="I1281" i="5"/>
  <c r="AC1281" i="5" s="1"/>
  <c r="I1276" i="5"/>
  <c r="AC1276" i="5" s="1"/>
  <c r="I1260" i="5"/>
  <c r="AB1260" i="5" s="1"/>
  <c r="I1257" i="5"/>
  <c r="M1257" i="5" s="1"/>
  <c r="K1253" i="5"/>
  <c r="K1229" i="5"/>
  <c r="I1219" i="5"/>
  <c r="AC1219" i="5" s="1"/>
  <c r="I1215" i="5"/>
  <c r="AB1215" i="5" s="1"/>
  <c r="K1211" i="5"/>
  <c r="K1203" i="5"/>
  <c r="I1420" i="5"/>
  <c r="AC1420" i="5" s="1"/>
  <c r="K1413" i="5"/>
  <c r="K1391" i="5"/>
  <c r="K1381" i="5"/>
  <c r="I1376" i="5"/>
  <c r="AC1376" i="5" s="1"/>
  <c r="I1369" i="5"/>
  <c r="M1369" i="5" s="1"/>
  <c r="I1346" i="5"/>
  <c r="M1346" i="5" s="1"/>
  <c r="K1344" i="5"/>
  <c r="K1341" i="5"/>
  <c r="I1336" i="5"/>
  <c r="M1336" i="5" s="1"/>
  <c r="K1328" i="5"/>
  <c r="K1318" i="5"/>
  <c r="I1315" i="5"/>
  <c r="AB1315" i="5" s="1"/>
  <c r="I1312" i="5"/>
  <c r="I1299" i="5"/>
  <c r="AB1299" i="5" s="1"/>
  <c r="K1288" i="5"/>
  <c r="K1282" i="5"/>
  <c r="I1277" i="5"/>
  <c r="K1244" i="5"/>
  <c r="I1224" i="5"/>
  <c r="I1400" i="5"/>
  <c r="M1400" i="5" s="1"/>
  <c r="I1393" i="5"/>
  <c r="AB1393" i="5" s="1"/>
  <c r="I1391" i="5"/>
  <c r="M1391" i="5" s="1"/>
  <c r="I1384" i="5"/>
  <c r="K1360" i="5"/>
  <c r="K1355" i="5"/>
  <c r="I1344" i="5"/>
  <c r="AE1344" i="5" s="1"/>
  <c r="K1331" i="5"/>
  <c r="I1323" i="5"/>
  <c r="AB1323" i="5" s="1"/>
  <c r="K1306" i="5"/>
  <c r="K1300" i="5"/>
  <c r="I1292" i="5"/>
  <c r="K1279" i="5"/>
  <c r="I1253" i="5"/>
  <c r="AB1253" i="5" s="1"/>
  <c r="I1235" i="5"/>
  <c r="AB1235" i="5" s="1"/>
  <c r="I1229" i="5"/>
  <c r="AC1229" i="5" s="1"/>
  <c r="K1217" i="5"/>
  <c r="I1211" i="5"/>
  <c r="M1211" i="5" s="1"/>
  <c r="I1418" i="5"/>
  <c r="AC1418" i="5" s="1"/>
  <c r="I1413" i="5"/>
  <c r="AB1413" i="5" s="1"/>
  <c r="K1365" i="5"/>
  <c r="K1363" i="5"/>
  <c r="I1328" i="5"/>
  <c r="AE1328" i="5" s="1"/>
  <c r="K1304" i="5"/>
  <c r="I1293" i="5"/>
  <c r="I1285" i="5"/>
  <c r="M1285" i="5" s="1"/>
  <c r="I1282" i="5"/>
  <c r="I1274" i="5"/>
  <c r="AB1274" i="5" s="1"/>
  <c r="K1271" i="5"/>
  <c r="I1267" i="5"/>
  <c r="K1248" i="5"/>
  <c r="I1244" i="5"/>
  <c r="AA1244" i="5" s="1"/>
  <c r="K1230" i="5"/>
  <c r="I1220" i="5"/>
  <c r="AC1220" i="5" s="1"/>
  <c r="K1212" i="5"/>
  <c r="K1207" i="5"/>
  <c r="K1191" i="5"/>
  <c r="I1408" i="5"/>
  <c r="K1347" i="5"/>
  <c r="I1316" i="5"/>
  <c r="AA1316" i="5" s="1"/>
  <c r="K1289" i="5"/>
  <c r="K1249" i="5"/>
  <c r="I1240" i="5"/>
  <c r="AD1240" i="5" s="1"/>
  <c r="I1233" i="5"/>
  <c r="AB1233" i="5" s="1"/>
  <c r="I1213" i="5"/>
  <c r="M1213" i="5" s="1"/>
  <c r="I1199" i="5"/>
  <c r="AB1199" i="5" s="1"/>
  <c r="I1326" i="5"/>
  <c r="I1279" i="5"/>
  <c r="AD1279" i="5" s="1"/>
  <c r="K1194" i="5"/>
  <c r="K1180" i="5"/>
  <c r="I1173" i="5"/>
  <c r="M1173" i="5" s="1"/>
  <c r="K1169" i="5"/>
  <c r="I1167" i="5"/>
  <c r="K1143" i="5"/>
  <c r="K1127" i="5"/>
  <c r="K1120" i="5"/>
  <c r="I1115" i="5"/>
  <c r="AA1115" i="5" s="1"/>
  <c r="K1113" i="5"/>
  <c r="I1105" i="5"/>
  <c r="K1102" i="5"/>
  <c r="K1416" i="5"/>
  <c r="I1310" i="5"/>
  <c r="AA1310" i="5" s="1"/>
  <c r="I1301" i="5"/>
  <c r="AA1301" i="5" s="1"/>
  <c r="K1286" i="5"/>
  <c r="I1222" i="5"/>
  <c r="M1222" i="5" s="1"/>
  <c r="K1210" i="5"/>
  <c r="K1197" i="5"/>
  <c r="I1191" i="5"/>
  <c r="AD1191" i="5" s="1"/>
  <c r="K1162" i="5"/>
  <c r="I1161" i="5"/>
  <c r="AA1161" i="5" s="1"/>
  <c r="K1156" i="5"/>
  <c r="K1152" i="5"/>
  <c r="I1151" i="5"/>
  <c r="K1148" i="5"/>
  <c r="I1140" i="5"/>
  <c r="AE1140" i="5" s="1"/>
  <c r="K1109" i="5"/>
  <c r="I1101" i="5"/>
  <c r="K1047" i="5"/>
  <c r="I1046" i="5"/>
  <c r="AC1046" i="5" s="1"/>
  <c r="I1034" i="5"/>
  <c r="AB1034" i="5" s="1"/>
  <c r="K1031" i="5"/>
  <c r="I1025" i="5"/>
  <c r="M1025" i="5" s="1"/>
  <c r="I1013" i="5"/>
  <c r="I994" i="5"/>
  <c r="AB994" i="5" s="1"/>
  <c r="K1283" i="5"/>
  <c r="K1247" i="5"/>
  <c r="I1231" i="5"/>
  <c r="AA1231" i="5" s="1"/>
  <c r="K1215" i="5"/>
  <c r="I1205" i="5"/>
  <c r="AB1205" i="5" s="1"/>
  <c r="K1200" i="5"/>
  <c r="I1197" i="5"/>
  <c r="AB1197" i="5" s="1"/>
  <c r="I1194" i="5"/>
  <c r="M1194" i="5" s="1"/>
  <c r="K1188" i="5"/>
  <c r="K1181" i="5"/>
  <c r="I1180" i="5"/>
  <c r="K1177" i="5"/>
  <c r="K1170" i="5"/>
  <c r="I1169" i="5"/>
  <c r="I1143" i="5"/>
  <c r="AB1143" i="5" s="1"/>
  <c r="K1138" i="5"/>
  <c r="K1131" i="5"/>
  <c r="I1127" i="5"/>
  <c r="AB1127" i="5" s="1"/>
  <c r="K1123" i="5"/>
  <c r="I1120" i="5"/>
  <c r="M1120" i="5" s="1"/>
  <c r="I1113" i="5"/>
  <c r="AD1113" i="5" s="1"/>
  <c r="K1106" i="5"/>
  <c r="I1102" i="5"/>
  <c r="AA1102" i="5" s="1"/>
  <c r="I1098" i="5"/>
  <c r="K1091" i="5"/>
  <c r="I1088" i="5"/>
  <c r="K1068" i="5"/>
  <c r="K1061" i="5"/>
  <c r="K1056" i="5"/>
  <c r="I1363" i="5"/>
  <c r="I1321" i="5"/>
  <c r="AB1321" i="5" s="1"/>
  <c r="K1281" i="5"/>
  <c r="K1255" i="5"/>
  <c r="K1245" i="5"/>
  <c r="K1243" i="5"/>
  <c r="K1233" i="5"/>
  <c r="K1213" i="5"/>
  <c r="K1208" i="5"/>
  <c r="I1203" i="5"/>
  <c r="AC1203" i="5" s="1"/>
  <c r="I1184" i="5"/>
  <c r="AB1184" i="5" s="1"/>
  <c r="I1162" i="5"/>
  <c r="AE1162" i="5" s="1"/>
  <c r="I1156" i="5"/>
  <c r="AD1156" i="5" s="1"/>
  <c r="I1152" i="5"/>
  <c r="AA1152" i="5" s="1"/>
  <c r="I1148" i="5"/>
  <c r="AC1148" i="5" s="1"/>
  <c r="K1144" i="5"/>
  <c r="I1109" i="5"/>
  <c r="M1109" i="5" s="1"/>
  <c r="K1090" i="5"/>
  <c r="K1089" i="5"/>
  <c r="K1081" i="5"/>
  <c r="I1073" i="5"/>
  <c r="AD1073" i="5" s="1"/>
  <c r="K1057" i="5"/>
  <c r="I1047" i="5"/>
  <c r="AC1047" i="5" s="1"/>
  <c r="I1031" i="5"/>
  <c r="K1018" i="5"/>
  <c r="I1358" i="5"/>
  <c r="I1283" i="5"/>
  <c r="K1268" i="5"/>
  <c r="I1251" i="5"/>
  <c r="AD1251" i="5" s="1"/>
  <c r="K1220" i="5"/>
  <c r="K1182" i="5"/>
  <c r="I1181" i="5"/>
  <c r="M1181" i="5" s="1"/>
  <c r="I1177" i="5"/>
  <c r="AE1177" i="5" s="1"/>
  <c r="I1170" i="5"/>
  <c r="K1157" i="5"/>
  <c r="K1153" i="5"/>
  <c r="I1138" i="5"/>
  <c r="AC1138" i="5" s="1"/>
  <c r="K1132" i="5"/>
  <c r="I1131" i="5"/>
  <c r="I1123" i="5"/>
  <c r="M1123" i="5" s="1"/>
  <c r="K1116" i="5"/>
  <c r="I1106" i="5"/>
  <c r="K1099" i="5"/>
  <c r="I1094" i="5"/>
  <c r="AA1094" i="5" s="1"/>
  <c r="I1091" i="5"/>
  <c r="I1068" i="5"/>
  <c r="AC1068" i="5" s="1"/>
  <c r="K1065" i="5"/>
  <c r="I1061" i="5"/>
  <c r="AA1061" i="5" s="1"/>
  <c r="I1056" i="5"/>
  <c r="AB1056" i="5" s="1"/>
  <c r="K1048" i="5"/>
  <c r="I1040" i="5"/>
  <c r="AA1040" i="5" s="1"/>
  <c r="I1035" i="5"/>
  <c r="AA1035" i="5" s="1"/>
  <c r="K1027" i="5"/>
  <c r="K1019" i="5"/>
  <c r="K1316" i="5"/>
  <c r="I1261" i="5"/>
  <c r="I1237" i="5"/>
  <c r="AC1237" i="5" s="1"/>
  <c r="K1192" i="5"/>
  <c r="I1144" i="5"/>
  <c r="AA1144" i="5" s="1"/>
  <c r="K1117" i="5"/>
  <c r="K1103" i="5"/>
  <c r="K1095" i="5"/>
  <c r="I1090" i="5"/>
  <c r="I1089" i="5"/>
  <c r="AE1089" i="5" s="1"/>
  <c r="K1084" i="5"/>
  <c r="I1081" i="5"/>
  <c r="M1081" i="5" s="1"/>
  <c r="I1078" i="5"/>
  <c r="AA1078" i="5" s="1"/>
  <c r="K1069" i="5"/>
  <c r="K1059" i="5"/>
  <c r="I1057" i="5"/>
  <c r="AD1057" i="5" s="1"/>
  <c r="K1053" i="5"/>
  <c r="K1036" i="5"/>
  <c r="I1387" i="5"/>
  <c r="AE1387" i="5" s="1"/>
  <c r="I1239" i="5"/>
  <c r="AC1239" i="5" s="1"/>
  <c r="I1227" i="5"/>
  <c r="AB1227" i="5" s="1"/>
  <c r="K1225" i="5"/>
  <c r="I1198" i="5"/>
  <c r="AE1198" i="5" s="1"/>
  <c r="K1189" i="5"/>
  <c r="I1182" i="5"/>
  <c r="AC1182" i="5" s="1"/>
  <c r="I1174" i="5"/>
  <c r="M1174" i="5" s="1"/>
  <c r="K1171" i="5"/>
  <c r="K1164" i="5"/>
  <c r="I1163" i="5"/>
  <c r="AD1163" i="5" s="1"/>
  <c r="I1157" i="5"/>
  <c r="AE1157" i="5" s="1"/>
  <c r="I1153" i="5"/>
  <c r="AC1153" i="5" s="1"/>
  <c r="K1149" i="5"/>
  <c r="K1133" i="5"/>
  <c r="I1132" i="5"/>
  <c r="I1116" i="5"/>
  <c r="I1099" i="5"/>
  <c r="AA1099" i="5" s="1"/>
  <c r="K1074" i="5"/>
  <c r="I1065" i="5"/>
  <c r="AC1065" i="5" s="1"/>
  <c r="K1062" i="5"/>
  <c r="K1394" i="5"/>
  <c r="I1218" i="5"/>
  <c r="AB1218" i="5" s="1"/>
  <c r="I1216" i="5"/>
  <c r="AB1216" i="5" s="1"/>
  <c r="I1195" i="5"/>
  <c r="K1165" i="5"/>
  <c r="K1154" i="5"/>
  <c r="K1145" i="5"/>
  <c r="I1141" i="5"/>
  <c r="AA1141" i="5" s="1"/>
  <c r="I1135" i="5"/>
  <c r="AA1135" i="5" s="1"/>
  <c r="K1121" i="5"/>
  <c r="I1117" i="5"/>
  <c r="K1110" i="5"/>
  <c r="K1107" i="5"/>
  <c r="I1103" i="5"/>
  <c r="M1103" i="5" s="1"/>
  <c r="I1095" i="5"/>
  <c r="AB1095" i="5" s="1"/>
  <c r="I1084" i="5"/>
  <c r="AC1084" i="5" s="1"/>
  <c r="K1075" i="5"/>
  <c r="K1070" i="5"/>
  <c r="I1069" i="5"/>
  <c r="I1059" i="5"/>
  <c r="AD1059" i="5" s="1"/>
  <c r="I1053" i="5"/>
  <c r="AB1053" i="5" s="1"/>
  <c r="K1049" i="5"/>
  <c r="K1408" i="5"/>
  <c r="K1403" i="5"/>
  <c r="I1370" i="5"/>
  <c r="AB1370" i="5" s="1"/>
  <c r="K1349" i="5"/>
  <c r="K1339" i="5"/>
  <c r="I1225" i="5"/>
  <c r="M1225" i="5" s="1"/>
  <c r="K1223" i="5"/>
  <c r="I1189" i="5"/>
  <c r="AC1189" i="5" s="1"/>
  <c r="K1175" i="5"/>
  <c r="I1171" i="5"/>
  <c r="I1164" i="5"/>
  <c r="AE1164" i="5" s="1"/>
  <c r="K1158" i="5"/>
  <c r="I1149" i="5"/>
  <c r="M1149" i="5" s="1"/>
  <c r="K1139" i="5"/>
  <c r="K1136" i="5"/>
  <c r="I1133" i="5"/>
  <c r="AD1133" i="5" s="1"/>
  <c r="K1128" i="5"/>
  <c r="K1124" i="5"/>
  <c r="K1111" i="5"/>
  <c r="K1092" i="5"/>
  <c r="K1082" i="5"/>
  <c r="I1074" i="5"/>
  <c r="I1062" i="5"/>
  <c r="I1058" i="5"/>
  <c r="I1032" i="5"/>
  <c r="AB1032" i="5" s="1"/>
  <c r="I1029" i="5"/>
  <c r="M1029" i="5" s="1"/>
  <c r="I1349" i="5"/>
  <c r="AA1349" i="5" s="1"/>
  <c r="K1334" i="5"/>
  <c r="K1329" i="5"/>
  <c r="I1232" i="5"/>
  <c r="AB1232" i="5" s="1"/>
  <c r="K1214" i="5"/>
  <c r="K1204" i="5"/>
  <c r="I1185" i="5"/>
  <c r="AA1185" i="5" s="1"/>
  <c r="K1178" i="5"/>
  <c r="I1165" i="5"/>
  <c r="AB1165" i="5" s="1"/>
  <c r="I1154" i="5"/>
  <c r="M1154" i="5" s="1"/>
  <c r="I1145" i="5"/>
  <c r="AA1145" i="5" s="1"/>
  <c r="K1129" i="5"/>
  <c r="I1121" i="5"/>
  <c r="AC1121" i="5" s="1"/>
  <c r="K1118" i="5"/>
  <c r="K1114" i="5"/>
  <c r="I1110" i="5"/>
  <c r="I1107" i="5"/>
  <c r="AA1107" i="5" s="1"/>
  <c r="I1075" i="5"/>
  <c r="AD1075" i="5" s="1"/>
  <c r="K1071" i="5"/>
  <c r="I1070" i="5"/>
  <c r="K1066" i="5"/>
  <c r="I1049" i="5"/>
  <c r="AB1049" i="5" s="1"/>
  <c r="K1037" i="5"/>
  <c r="I1329" i="5"/>
  <c r="I1300" i="5"/>
  <c r="AB1300" i="5" s="1"/>
  <c r="K1254" i="5"/>
  <c r="I1252" i="5"/>
  <c r="AD1252" i="5" s="1"/>
  <c r="K1183" i="5"/>
  <c r="I1175" i="5"/>
  <c r="K1172" i="5"/>
  <c r="I1158" i="5"/>
  <c r="AE1158" i="5" s="1"/>
  <c r="K1146" i="5"/>
  <c r="I1139" i="5"/>
  <c r="AD1139" i="5" s="1"/>
  <c r="K1137" i="5"/>
  <c r="I1136" i="5"/>
  <c r="I1128" i="5"/>
  <c r="AC1128" i="5" s="1"/>
  <c r="I1124" i="5"/>
  <c r="AC1124" i="5" s="1"/>
  <c r="I1111" i="5"/>
  <c r="AC1111" i="5" s="1"/>
  <c r="K1096" i="5"/>
  <c r="I1092" i="5"/>
  <c r="AC1092" i="5" s="1"/>
  <c r="K1085" i="5"/>
  <c r="I1082" i="5"/>
  <c r="AE1082" i="5" s="1"/>
  <c r="K1076" i="5"/>
  <c r="K1042" i="5"/>
  <c r="K1410" i="5"/>
  <c r="K1398" i="5"/>
  <c r="I1296" i="5"/>
  <c r="AD1296" i="5" s="1"/>
  <c r="K1262" i="5"/>
  <c r="I1254" i="5"/>
  <c r="I1248" i="5"/>
  <c r="AE1248" i="5" s="1"/>
  <c r="I1230" i="5"/>
  <c r="I1214" i="5"/>
  <c r="AD1214" i="5" s="1"/>
  <c r="I1209" i="5"/>
  <c r="AB1209" i="5" s="1"/>
  <c r="I1204" i="5"/>
  <c r="AE1204" i="5" s="1"/>
  <c r="K1202" i="5"/>
  <c r="K1193" i="5"/>
  <c r="K1414" i="5"/>
  <c r="I1258" i="5"/>
  <c r="M1258" i="5" s="1"/>
  <c r="I1234" i="5"/>
  <c r="AB1234" i="5" s="1"/>
  <c r="K1196" i="5"/>
  <c r="K1186" i="5"/>
  <c r="I1183" i="5"/>
  <c r="AE1183" i="5" s="1"/>
  <c r="I1172" i="5"/>
  <c r="K1160" i="5"/>
  <c r="K1150" i="5"/>
  <c r="K1147" i="5"/>
  <c r="I1146" i="5"/>
  <c r="AC1146" i="5" s="1"/>
  <c r="I1137" i="5"/>
  <c r="M1137" i="5" s="1"/>
  <c r="K1130" i="5"/>
  <c r="I1125" i="5"/>
  <c r="AC1125" i="5" s="1"/>
  <c r="I1096" i="5"/>
  <c r="AD1096" i="5" s="1"/>
  <c r="I1085" i="5"/>
  <c r="K1079" i="5"/>
  <c r="K1077" i="5"/>
  <c r="I1076" i="5"/>
  <c r="AD1076" i="5" s="1"/>
  <c r="K1064" i="5"/>
  <c r="K1060" i="5"/>
  <c r="K1050" i="5"/>
  <c r="K1421" i="5"/>
  <c r="I1379" i="5"/>
  <c r="M1379" i="5" s="1"/>
  <c r="I1367" i="5"/>
  <c r="AB1367" i="5" s="1"/>
  <c r="I1306" i="5"/>
  <c r="AE1306" i="5" s="1"/>
  <c r="I1262" i="5"/>
  <c r="K1260" i="5"/>
  <c r="K1236" i="5"/>
  <c r="I1226" i="5"/>
  <c r="AB1226" i="5" s="1"/>
  <c r="I1202" i="5"/>
  <c r="AC1202" i="5" s="1"/>
  <c r="K1190" i="5"/>
  <c r="K1187" i="5"/>
  <c r="K1176" i="5"/>
  <c r="K1168" i="5"/>
  <c r="I1166" i="5"/>
  <c r="AE1166" i="5" s="1"/>
  <c r="I1159" i="5"/>
  <c r="AB1159" i="5" s="1"/>
  <c r="I1155" i="5"/>
  <c r="AB1155" i="5" s="1"/>
  <c r="I1142" i="5"/>
  <c r="K1134" i="5"/>
  <c r="K1126" i="5"/>
  <c r="K1122" i="5"/>
  <c r="I1119" i="5"/>
  <c r="M1119" i="5" s="1"/>
  <c r="I1112" i="5"/>
  <c r="K1108" i="5"/>
  <c r="I1104" i="5"/>
  <c r="AE1104" i="5" s="1"/>
  <c r="K1100" i="5"/>
  <c r="K1352" i="5"/>
  <c r="K1301" i="5"/>
  <c r="I1291" i="5"/>
  <c r="AE1291" i="5" s="1"/>
  <c r="I1264" i="5"/>
  <c r="I1212" i="5"/>
  <c r="I1207" i="5"/>
  <c r="M1207" i="5" s="1"/>
  <c r="I1190" i="5"/>
  <c r="AD1190" i="5" s="1"/>
  <c r="I1187" i="5"/>
  <c r="AB1187" i="5" s="1"/>
  <c r="I1176" i="5"/>
  <c r="AE1176" i="5" s="1"/>
  <c r="I1168" i="5"/>
  <c r="AA1168" i="5" s="1"/>
  <c r="K1161" i="5"/>
  <c r="K1151" i="5"/>
  <c r="I1134" i="5"/>
  <c r="I1126" i="5"/>
  <c r="I1122" i="5"/>
  <c r="AD1122" i="5" s="1"/>
  <c r="I1108" i="5"/>
  <c r="AE1108" i="5" s="1"/>
  <c r="K1101" i="5"/>
  <c r="I1100" i="5"/>
  <c r="AD1100" i="5" s="1"/>
  <c r="I1083" i="5"/>
  <c r="M1083" i="5" s="1"/>
  <c r="K1046" i="5"/>
  <c r="I1044" i="5"/>
  <c r="AB1044" i="5" s="1"/>
  <c r="K1034" i="5"/>
  <c r="K1025" i="5"/>
  <c r="I1150" i="5"/>
  <c r="AD1150" i="5" s="1"/>
  <c r="I1071" i="5"/>
  <c r="I1039" i="5"/>
  <c r="I1005" i="5"/>
  <c r="AD1005" i="5" s="1"/>
  <c r="K1002" i="5"/>
  <c r="I998" i="5"/>
  <c r="M998" i="5" s="1"/>
  <c r="K1276" i="5"/>
  <c r="K1167" i="5"/>
  <c r="I1114" i="5"/>
  <c r="AE1114" i="5" s="1"/>
  <c r="K1098" i="5"/>
  <c r="I1077" i="5"/>
  <c r="AA1077" i="5" s="1"/>
  <c r="K1067" i="5"/>
  <c r="K1063" i="5"/>
  <c r="K1055" i="5"/>
  <c r="K1045" i="5"/>
  <c r="K1032" i="5"/>
  <c r="I1023" i="5"/>
  <c r="AC1023" i="5" s="1"/>
  <c r="I1014" i="5"/>
  <c r="AA1014" i="5" s="1"/>
  <c r="I1009" i="5"/>
  <c r="K986" i="5"/>
  <c r="I979" i="5"/>
  <c r="AA979" i="5" s="1"/>
  <c r="I974" i="5"/>
  <c r="AE974" i="5" s="1"/>
  <c r="I961" i="5"/>
  <c r="AE961" i="5" s="1"/>
  <c r="K959" i="5"/>
  <c r="I954" i="5"/>
  <c r="AD954" i="5" s="1"/>
  <c r="K950" i="5"/>
  <c r="K940" i="5"/>
  <c r="K934" i="5"/>
  <c r="I927" i="5"/>
  <c r="AE927" i="5" s="1"/>
  <c r="I920" i="5"/>
  <c r="I1067" i="5"/>
  <c r="AD1067" i="5" s="1"/>
  <c r="I1063" i="5"/>
  <c r="AD1063" i="5" s="1"/>
  <c r="I1055" i="5"/>
  <c r="I1045" i="5"/>
  <c r="AB1045" i="5" s="1"/>
  <c r="I1026" i="5"/>
  <c r="I1006" i="5"/>
  <c r="AD1006" i="5" s="1"/>
  <c r="I1002" i="5"/>
  <c r="AD1002" i="5" s="1"/>
  <c r="K994" i="5"/>
  <c r="I975" i="5"/>
  <c r="AC975" i="5" s="1"/>
  <c r="I971" i="5"/>
  <c r="K965" i="5"/>
  <c r="I964" i="5"/>
  <c r="I958" i="5"/>
  <c r="AD958" i="5" s="1"/>
  <c r="K955" i="5"/>
  <c r="I937" i="5"/>
  <c r="M937" i="5" s="1"/>
  <c r="I933" i="5"/>
  <c r="I928" i="5"/>
  <c r="I924" i="5"/>
  <c r="AC924" i="5" s="1"/>
  <c r="I915" i="5"/>
  <c r="AD915" i="5" s="1"/>
  <c r="K911" i="5"/>
  <c r="K894" i="5"/>
  <c r="I893" i="5"/>
  <c r="I890" i="5"/>
  <c r="K876" i="5"/>
  <c r="K863" i="5"/>
  <c r="I854" i="5"/>
  <c r="AD854" i="5" s="1"/>
  <c r="I833" i="5"/>
  <c r="AC833" i="5" s="1"/>
  <c r="K1087" i="5"/>
  <c r="I1050" i="5"/>
  <c r="AE1050" i="5" s="1"/>
  <c r="K1021" i="5"/>
  <c r="I1018" i="5"/>
  <c r="K1010" i="5"/>
  <c r="K999" i="5"/>
  <c r="K991" i="5"/>
  <c r="I986" i="5"/>
  <c r="I959" i="5"/>
  <c r="K952" i="5"/>
  <c r="K951" i="5"/>
  <c r="I950" i="5"/>
  <c r="K946" i="5"/>
  <c r="K943" i="5"/>
  <c r="I940" i="5"/>
  <c r="AC940" i="5" s="1"/>
  <c r="I934" i="5"/>
  <c r="AC934" i="5" s="1"/>
  <c r="K921" i="5"/>
  <c r="K916" i="5"/>
  <c r="I908" i="5"/>
  <c r="M908" i="5" s="1"/>
  <c r="I886" i="5"/>
  <c r="AA886" i="5" s="1"/>
  <c r="K883" i="5"/>
  <c r="K880" i="5"/>
  <c r="K864" i="5"/>
  <c r="I849" i="5"/>
  <c r="AD849" i="5" s="1"/>
  <c r="I838" i="5"/>
  <c r="M838" i="5" s="1"/>
  <c r="K828" i="5"/>
  <c r="K810" i="5"/>
  <c r="I1147" i="5"/>
  <c r="M1147" i="5" s="1"/>
  <c r="I1087" i="5"/>
  <c r="AE1087" i="5" s="1"/>
  <c r="K1083" i="5"/>
  <c r="I1042" i="5"/>
  <c r="AC1042" i="5" s="1"/>
  <c r="I1037" i="5"/>
  <c r="K1030" i="5"/>
  <c r="K1024" i="5"/>
  <c r="K1015" i="5"/>
  <c r="K1007" i="5"/>
  <c r="K1003" i="5"/>
  <c r="I987" i="5"/>
  <c r="AC987" i="5" s="1"/>
  <c r="K980" i="5"/>
  <c r="K976" i="5"/>
  <c r="K968" i="5"/>
  <c r="I965" i="5"/>
  <c r="I955" i="5"/>
  <c r="AD955" i="5" s="1"/>
  <c r="I911" i="5"/>
  <c r="AD911" i="5" s="1"/>
  <c r="K900" i="5"/>
  <c r="K897" i="5"/>
  <c r="I894" i="5"/>
  <c r="AD894" i="5" s="1"/>
  <c r="I876" i="5"/>
  <c r="AB876" i="5" s="1"/>
  <c r="I863" i="5"/>
  <c r="AB863" i="5" s="1"/>
  <c r="K847" i="5"/>
  <c r="K843" i="5"/>
  <c r="K825" i="5"/>
  <c r="K1173" i="5"/>
  <c r="K1142" i="5"/>
  <c r="I1118" i="5"/>
  <c r="AC1118" i="5" s="1"/>
  <c r="I1079" i="5"/>
  <c r="AA1079" i="5" s="1"/>
  <c r="I1048" i="5"/>
  <c r="I1027" i="5"/>
  <c r="I1130" i="5"/>
  <c r="M1130" i="5" s="1"/>
  <c r="K1040" i="5"/>
  <c r="K1035" i="5"/>
  <c r="I1030" i="5"/>
  <c r="I1024" i="5"/>
  <c r="AB1024" i="5" s="1"/>
  <c r="I1019" i="5"/>
  <c r="AE1019" i="5" s="1"/>
  <c r="I1015" i="5"/>
  <c r="AE1015" i="5" s="1"/>
  <c r="I1007" i="5"/>
  <c r="AD1007" i="5" s="1"/>
  <c r="I1003" i="5"/>
  <c r="AA1003" i="5" s="1"/>
  <c r="K995" i="5"/>
  <c r="K988" i="5"/>
  <c r="I980" i="5"/>
  <c r="I976" i="5"/>
  <c r="AE976" i="5" s="1"/>
  <c r="I968" i="5"/>
  <c r="AA968" i="5" s="1"/>
  <c r="K938" i="5"/>
  <c r="K935" i="5"/>
  <c r="K905" i="5"/>
  <c r="I904" i="5"/>
  <c r="I900" i="5"/>
  <c r="AA900" i="5" s="1"/>
  <c r="I897" i="5"/>
  <c r="AD897" i="5" s="1"/>
  <c r="K884" i="5"/>
  <c r="K871" i="5"/>
  <c r="I867" i="5"/>
  <c r="AA867" i="5" s="1"/>
  <c r="I847" i="5"/>
  <c r="AC847" i="5" s="1"/>
  <c r="I1160" i="5"/>
  <c r="AE1160" i="5" s="1"/>
  <c r="I1064" i="5"/>
  <c r="AD1064" i="5" s="1"/>
  <c r="K1051" i="5"/>
  <c r="K1033" i="5"/>
  <c r="K1012" i="5"/>
  <c r="I1011" i="5"/>
  <c r="K992" i="5"/>
  <c r="K981" i="5"/>
  <c r="I972" i="5"/>
  <c r="M972" i="5" s="1"/>
  <c r="I966" i="5"/>
  <c r="AB966" i="5" s="1"/>
  <c r="I962" i="5"/>
  <c r="AE962" i="5" s="1"/>
  <c r="K941" i="5"/>
  <c r="I929" i="5"/>
  <c r="AB929" i="5" s="1"/>
  <c r="K913" i="5"/>
  <c r="I912" i="5"/>
  <c r="AD912" i="5" s="1"/>
  <c r="I909" i="5"/>
  <c r="I887" i="5"/>
  <c r="AB887" i="5" s="1"/>
  <c r="K877" i="5"/>
  <c r="I873" i="5"/>
  <c r="AE873" i="5" s="1"/>
  <c r="K868" i="5"/>
  <c r="I859" i="5"/>
  <c r="AC859" i="5" s="1"/>
  <c r="K852" i="5"/>
  <c r="K851" i="5"/>
  <c r="I850" i="5"/>
  <c r="AE850" i="5" s="1"/>
  <c r="K840" i="5"/>
  <c r="I834" i="5"/>
  <c r="AC834" i="5" s="1"/>
  <c r="I1186" i="5"/>
  <c r="AB1186" i="5" s="1"/>
  <c r="K1166" i="5"/>
  <c r="I1051" i="5"/>
  <c r="AE1051" i="5" s="1"/>
  <c r="K1028" i="5"/>
  <c r="I995" i="5"/>
  <c r="AC995" i="5" s="1"/>
  <c r="I1093" i="5"/>
  <c r="AB1093" i="5" s="1"/>
  <c r="I1066" i="5"/>
  <c r="I1038" i="5"/>
  <c r="I1033" i="5"/>
  <c r="AB1033" i="5" s="1"/>
  <c r="I1012" i="5"/>
  <c r="I992" i="5"/>
  <c r="M992" i="5" s="1"/>
  <c r="I981" i="5"/>
  <c r="AD981" i="5" s="1"/>
  <c r="K969" i="5"/>
  <c r="K956" i="5"/>
  <c r="K947" i="5"/>
  <c r="I941" i="5"/>
  <c r="M941" i="5" s="1"/>
  <c r="K926" i="5"/>
  <c r="I913" i="5"/>
  <c r="AA913" i="5" s="1"/>
  <c r="I877" i="5"/>
  <c r="AB877" i="5" s="1"/>
  <c r="I868" i="5"/>
  <c r="AC868" i="5" s="1"/>
  <c r="K860" i="5"/>
  <c r="I855" i="5"/>
  <c r="K853" i="5"/>
  <c r="I852" i="5"/>
  <c r="AB852" i="5" s="1"/>
  <c r="I851" i="5"/>
  <c r="I840" i="5"/>
  <c r="K829" i="5"/>
  <c r="I1217" i="5"/>
  <c r="AA1217" i="5" s="1"/>
  <c r="K1115" i="5"/>
  <c r="K1097" i="5"/>
  <c r="I1072" i="5"/>
  <c r="AD1072" i="5" s="1"/>
  <c r="I1060" i="5"/>
  <c r="AB1060" i="5" s="1"/>
  <c r="I1043" i="5"/>
  <c r="AC1043" i="5" s="1"/>
  <c r="I1028" i="5"/>
  <c r="K1013" i="5"/>
  <c r="K1000" i="5"/>
  <c r="K989" i="5"/>
  <c r="I982" i="5"/>
  <c r="M982" i="5" s="1"/>
  <c r="I977" i="5"/>
  <c r="AA977" i="5" s="1"/>
  <c r="K973" i="5"/>
  <c r="I960" i="5"/>
  <c r="K944" i="5"/>
  <c r="I922" i="5"/>
  <c r="M922" i="5" s="1"/>
  <c r="I918" i="5"/>
  <c r="I917" i="5"/>
  <c r="K914" i="5"/>
  <c r="I1097" i="5"/>
  <c r="M1097" i="5" s="1"/>
  <c r="I1080" i="5"/>
  <c r="AB1080" i="5" s="1"/>
  <c r="K1058" i="5"/>
  <c r="I1054" i="5"/>
  <c r="I1022" i="5"/>
  <c r="AA1022" i="5" s="1"/>
  <c r="K1016" i="5"/>
  <c r="K1008" i="5"/>
  <c r="K1001" i="5"/>
  <c r="I1179" i="5"/>
  <c r="AA1179" i="5" s="1"/>
  <c r="K1155" i="5"/>
  <c r="I1129" i="5"/>
  <c r="AD1129" i="5" s="1"/>
  <c r="I1086" i="5"/>
  <c r="K1052" i="5"/>
  <c r="K1044" i="5"/>
  <c r="K1029" i="5"/>
  <c r="K1017" i="5"/>
  <c r="I1004" i="5"/>
  <c r="I1000" i="5"/>
  <c r="AA1000" i="5" s="1"/>
  <c r="K997" i="5"/>
  <c r="I989" i="5"/>
  <c r="M989" i="5" s="1"/>
  <c r="I983" i="5"/>
  <c r="K978" i="5"/>
  <c r="I973" i="5"/>
  <c r="M973" i="5" s="1"/>
  <c r="I953" i="5"/>
  <c r="AE953" i="5" s="1"/>
  <c r="K949" i="5"/>
  <c r="I944" i="5"/>
  <c r="AE944" i="5" s="1"/>
  <c r="K939" i="5"/>
  <c r="K936" i="5"/>
  <c r="I914" i="5"/>
  <c r="I902" i="5"/>
  <c r="AE902" i="5" s="1"/>
  <c r="I898" i="5"/>
  <c r="AC898" i="5" s="1"/>
  <c r="K1219" i="5"/>
  <c r="K1112" i="5"/>
  <c r="K1105" i="5"/>
  <c r="I1052" i="5"/>
  <c r="M1052" i="5" s="1"/>
  <c r="I1041" i="5"/>
  <c r="AA1041" i="5" s="1"/>
  <c r="I1036" i="5"/>
  <c r="AB1036" i="5" s="1"/>
  <c r="I1196" i="5"/>
  <c r="K1119" i="5"/>
  <c r="K1039" i="5"/>
  <c r="I1017" i="5"/>
  <c r="AB1017" i="5" s="1"/>
  <c r="K1005" i="5"/>
  <c r="K998" i="5"/>
  <c r="K1159" i="5"/>
  <c r="I1020" i="5"/>
  <c r="AA1020" i="5" s="1"/>
  <c r="K1014" i="5"/>
  <c r="K1009" i="5"/>
  <c r="I996" i="5"/>
  <c r="I993" i="5"/>
  <c r="AA993" i="5" s="1"/>
  <c r="I990" i="5"/>
  <c r="I985" i="5"/>
  <c r="M985" i="5" s="1"/>
  <c r="I984" i="5"/>
  <c r="AA984" i="5" s="1"/>
  <c r="K979" i="5"/>
  <c r="I967" i="5"/>
  <c r="K961" i="5"/>
  <c r="I957" i="5"/>
  <c r="AB957" i="5" s="1"/>
  <c r="I942" i="5"/>
  <c r="K927" i="5"/>
  <c r="I923" i="5"/>
  <c r="AD923" i="5" s="1"/>
  <c r="K920" i="5"/>
  <c r="I919" i="5"/>
  <c r="AA919" i="5" s="1"/>
  <c r="I907" i="5"/>
  <c r="AD907" i="5" s="1"/>
  <c r="K899" i="5"/>
  <c r="I882" i="5"/>
  <c r="AA882" i="5" s="1"/>
  <c r="K879" i="5"/>
  <c r="I872" i="5"/>
  <c r="AB872" i="5" s="1"/>
  <c r="K869" i="5"/>
  <c r="I978" i="5"/>
  <c r="AB978" i="5" s="1"/>
  <c r="K912" i="5"/>
  <c r="K910" i="5"/>
  <c r="I892" i="5"/>
  <c r="I885" i="5"/>
  <c r="K865" i="5"/>
  <c r="I862" i="5"/>
  <c r="AC862" i="5" s="1"/>
  <c r="K854" i="5"/>
  <c r="I841" i="5"/>
  <c r="I817" i="5"/>
  <c r="AB817" i="5" s="1"/>
  <c r="K809" i="5"/>
  <c r="I805" i="5"/>
  <c r="M805" i="5" s="1"/>
  <c r="K800" i="5"/>
  <c r="K793" i="5"/>
  <c r="K755" i="5"/>
  <c r="K743" i="5"/>
  <c r="K735" i="5"/>
  <c r="K731" i="5"/>
  <c r="K719" i="5"/>
  <c r="I713" i="5"/>
  <c r="AC713" i="5" s="1"/>
  <c r="K709" i="5"/>
  <c r="I704" i="5"/>
  <c r="K686" i="5"/>
  <c r="I681" i="5"/>
  <c r="AA681" i="5" s="1"/>
  <c r="I1010" i="5"/>
  <c r="AB1010" i="5" s="1"/>
  <c r="I1001" i="5"/>
  <c r="AC1001" i="5" s="1"/>
  <c r="K970" i="5"/>
  <c r="K966" i="5"/>
  <c r="I910" i="5"/>
  <c r="AA910" i="5" s="1"/>
  <c r="I883" i="5"/>
  <c r="K881" i="5"/>
  <c r="I870" i="5"/>
  <c r="AA870" i="5" s="1"/>
  <c r="I865" i="5"/>
  <c r="I857" i="5"/>
  <c r="AB857" i="5" s="1"/>
  <c r="K844" i="5"/>
  <c r="I835" i="5"/>
  <c r="I828" i="5"/>
  <c r="I822" i="5"/>
  <c r="AB822" i="5" s="1"/>
  <c r="K818" i="5"/>
  <c r="I809" i="5"/>
  <c r="AB809" i="5" s="1"/>
  <c r="K782" i="5"/>
  <c r="I769" i="5"/>
  <c r="AA769" i="5" s="1"/>
  <c r="I762" i="5"/>
  <c r="AB762" i="5" s="1"/>
  <c r="I758" i="5"/>
  <c r="AD758" i="5" s="1"/>
  <c r="K747" i="5"/>
  <c r="I739" i="5"/>
  <c r="K738" i="5"/>
  <c r="I970" i="5"/>
  <c r="AC970" i="5" s="1"/>
  <c r="K928" i="5"/>
  <c r="K908" i="5"/>
  <c r="I903" i="5"/>
  <c r="AA903" i="5" s="1"/>
  <c r="I881" i="5"/>
  <c r="AC881" i="5" s="1"/>
  <c r="K872" i="5"/>
  <c r="I844" i="5"/>
  <c r="AD844" i="5" s="1"/>
  <c r="K836" i="5"/>
  <c r="K823" i="5"/>
  <c r="K814" i="5"/>
  <c r="I800" i="5"/>
  <c r="AB800" i="5" s="1"/>
  <c r="K796" i="5"/>
  <c r="I793" i="5"/>
  <c r="K789" i="5"/>
  <c r="I785" i="5"/>
  <c r="AD785" i="5" s="1"/>
  <c r="K774" i="5"/>
  <c r="K759" i="5"/>
  <c r="I755" i="5"/>
  <c r="M755" i="5" s="1"/>
  <c r="K754" i="5"/>
  <c r="I743" i="5"/>
  <c r="AC743" i="5" s="1"/>
  <c r="I735" i="5"/>
  <c r="AD735" i="5" s="1"/>
  <c r="K732" i="5"/>
  <c r="I731" i="5"/>
  <c r="AB731" i="5" s="1"/>
  <c r="K728" i="5"/>
  <c r="I727" i="5"/>
  <c r="AB727" i="5" s="1"/>
  <c r="I719" i="5"/>
  <c r="AC719" i="5" s="1"/>
  <c r="K714" i="5"/>
  <c r="I709" i="5"/>
  <c r="I699" i="5"/>
  <c r="AA699" i="5" s="1"/>
  <c r="K901" i="5"/>
  <c r="K874" i="5"/>
  <c r="I836" i="5"/>
  <c r="AD836" i="5" s="1"/>
  <c r="I832" i="5"/>
  <c r="K826" i="5"/>
  <c r="I818" i="5"/>
  <c r="AD818" i="5" s="1"/>
  <c r="I814" i="5"/>
  <c r="AA814" i="5" s="1"/>
  <c r="I810" i="5"/>
  <c r="AB810" i="5" s="1"/>
  <c r="K801" i="5"/>
  <c r="I782" i="5"/>
  <c r="K771" i="5"/>
  <c r="K767" i="5"/>
  <c r="K763" i="5"/>
  <c r="I747" i="5"/>
  <c r="AB747" i="5" s="1"/>
  <c r="K740" i="5"/>
  <c r="I738" i="5"/>
  <c r="K720" i="5"/>
  <c r="I948" i="5"/>
  <c r="I930" i="5"/>
  <c r="I901" i="5"/>
  <c r="I888" i="5"/>
  <c r="AC888" i="5" s="1"/>
  <c r="K842" i="5"/>
  <c r="I823" i="5"/>
  <c r="K797" i="5"/>
  <c r="I796" i="5"/>
  <c r="AC796" i="5" s="1"/>
  <c r="K794" i="5"/>
  <c r="I789" i="5"/>
  <c r="M789" i="5" s="1"/>
  <c r="K778" i="5"/>
  <c r="I774" i="5"/>
  <c r="AC774" i="5" s="1"/>
  <c r="I759" i="5"/>
  <c r="AB759" i="5" s="1"/>
  <c r="K756" i="5"/>
  <c r="I754" i="5"/>
  <c r="I751" i="5"/>
  <c r="I732" i="5"/>
  <c r="I728" i="5"/>
  <c r="K724" i="5"/>
  <c r="I714" i="5"/>
  <c r="AA714" i="5" s="1"/>
  <c r="I701" i="5"/>
  <c r="AD701" i="5" s="1"/>
  <c r="K996" i="5"/>
  <c r="I946" i="5"/>
  <c r="M946" i="5" s="1"/>
  <c r="K942" i="5"/>
  <c r="I926" i="5"/>
  <c r="AC926" i="5" s="1"/>
  <c r="K917" i="5"/>
  <c r="K915" i="5"/>
  <c r="K906" i="5"/>
  <c r="I899" i="5"/>
  <c r="AB899" i="5" s="1"/>
  <c r="K893" i="5"/>
  <c r="I874" i="5"/>
  <c r="M874" i="5" s="1"/>
  <c r="K866" i="5"/>
  <c r="I860" i="5"/>
  <c r="K839" i="5"/>
  <c r="K833" i="5"/>
  <c r="I826" i="5"/>
  <c r="K824" i="5"/>
  <c r="K815" i="5"/>
  <c r="K802" i="5"/>
  <c r="I1021" i="5"/>
  <c r="AB1021" i="5" s="1"/>
  <c r="K993" i="5"/>
  <c r="I991" i="5"/>
  <c r="AE991" i="5" s="1"/>
  <c r="K977" i="5"/>
  <c r="K957" i="5"/>
  <c r="I938" i="5"/>
  <c r="AC938" i="5" s="1"/>
  <c r="K924" i="5"/>
  <c r="K922" i="5"/>
  <c r="I906" i="5"/>
  <c r="AE906" i="5" s="1"/>
  <c r="K895" i="5"/>
  <c r="K886" i="5"/>
  <c r="I884" i="5"/>
  <c r="M884" i="5" s="1"/>
  <c r="I879" i="5"/>
  <c r="AC879" i="5" s="1"/>
  <c r="I842" i="5"/>
  <c r="I839" i="5"/>
  <c r="I806" i="5"/>
  <c r="AA806" i="5" s="1"/>
  <c r="K803" i="5"/>
  <c r="I797" i="5"/>
  <c r="M797" i="5" s="1"/>
  <c r="I794" i="5"/>
  <c r="AE794" i="5" s="1"/>
  <c r="K790" i="5"/>
  <c r="I783" i="5"/>
  <c r="AC783" i="5" s="1"/>
  <c r="I778" i="5"/>
  <c r="AA778" i="5" s="1"/>
  <c r="I770" i="5"/>
  <c r="K971" i="5"/>
  <c r="K963" i="5"/>
  <c r="I951" i="5"/>
  <c r="AC951" i="5" s="1"/>
  <c r="I936" i="5"/>
  <c r="AE936" i="5" s="1"/>
  <c r="I866" i="5"/>
  <c r="AC866" i="5" s="1"/>
  <c r="I824" i="5"/>
  <c r="AB824" i="5" s="1"/>
  <c r="I815" i="5"/>
  <c r="M815" i="5" s="1"/>
  <c r="I811" i="5"/>
  <c r="I802" i="5"/>
  <c r="K772" i="5"/>
  <c r="I764" i="5"/>
  <c r="K760" i="5"/>
  <c r="I749" i="5"/>
  <c r="AE749" i="5" s="1"/>
  <c r="I744" i="5"/>
  <c r="K741" i="5"/>
  <c r="I729" i="5"/>
  <c r="M729" i="5" s="1"/>
  <c r="K721" i="5"/>
  <c r="K710" i="5"/>
  <c r="K706" i="5"/>
  <c r="K695" i="5"/>
  <c r="I690" i="5"/>
  <c r="I682" i="5"/>
  <c r="AC682" i="5" s="1"/>
  <c r="I679" i="5"/>
  <c r="I673" i="5"/>
  <c r="AD673" i="5" s="1"/>
  <c r="I963" i="5"/>
  <c r="I932" i="5"/>
  <c r="AC932" i="5" s="1"/>
  <c r="I895" i="5"/>
  <c r="AC895" i="5" s="1"/>
  <c r="K882" i="5"/>
  <c r="I858" i="5"/>
  <c r="AB858" i="5" s="1"/>
  <c r="I853" i="5"/>
  <c r="K827" i="5"/>
  <c r="K816" i="5"/>
  <c r="I803" i="5"/>
  <c r="I790" i="5"/>
  <c r="M790" i="5" s="1"/>
  <c r="K779" i="5"/>
  <c r="I775" i="5"/>
  <c r="AC775" i="5" s="1"/>
  <c r="K752" i="5"/>
  <c r="I745" i="5"/>
  <c r="AA745" i="5" s="1"/>
  <c r="K711" i="5"/>
  <c r="K707" i="5"/>
  <c r="K703" i="5"/>
  <c r="I1016" i="5"/>
  <c r="AB1016" i="5" s="1"/>
  <c r="K907" i="5"/>
  <c r="K902" i="5"/>
  <c r="I891" i="5"/>
  <c r="M891" i="5" s="1"/>
  <c r="K889" i="5"/>
  <c r="K875" i="5"/>
  <c r="K845" i="5"/>
  <c r="K830" i="5"/>
  <c r="I829" i="5"/>
  <c r="K791" i="5"/>
  <c r="I786" i="5"/>
  <c r="M786" i="5" s="1"/>
  <c r="K780" i="5"/>
  <c r="I772" i="5"/>
  <c r="AB772" i="5" s="1"/>
  <c r="I765" i="5"/>
  <c r="AA765" i="5" s="1"/>
  <c r="K761" i="5"/>
  <c r="I760" i="5"/>
  <c r="K757" i="5"/>
  <c r="I741" i="5"/>
  <c r="AD741" i="5" s="1"/>
  <c r="I736" i="5"/>
  <c r="AD736" i="5" s="1"/>
  <c r="K725" i="5"/>
  <c r="I721" i="5"/>
  <c r="M721" i="5" s="1"/>
  <c r="K717" i="5"/>
  <c r="K716" i="5"/>
  <c r="I710" i="5"/>
  <c r="I706" i="5"/>
  <c r="K1011" i="5"/>
  <c r="K967" i="5"/>
  <c r="I949" i="5"/>
  <c r="K918" i="5"/>
  <c r="I875" i="5"/>
  <c r="I871" i="5"/>
  <c r="AA871" i="5" s="1"/>
  <c r="I969" i="5"/>
  <c r="K929" i="5"/>
  <c r="I889" i="5"/>
  <c r="I880" i="5"/>
  <c r="AA880" i="5" s="1"/>
  <c r="K846" i="5"/>
  <c r="I845" i="5"/>
  <c r="I837" i="5"/>
  <c r="I807" i="5"/>
  <c r="AB807" i="5" s="1"/>
  <c r="I804" i="5"/>
  <c r="K795" i="5"/>
  <c r="I791" i="5"/>
  <c r="K784" i="5"/>
  <c r="I780" i="5"/>
  <c r="K776" i="5"/>
  <c r="K773" i="5"/>
  <c r="I761" i="5"/>
  <c r="I757" i="5"/>
  <c r="I725" i="5"/>
  <c r="AE725" i="5" s="1"/>
  <c r="I717" i="5"/>
  <c r="AD717" i="5" s="1"/>
  <c r="I716" i="5"/>
  <c r="AE716" i="5" s="1"/>
  <c r="K708" i="5"/>
  <c r="K697" i="5"/>
  <c r="K684" i="5"/>
  <c r="K680" i="5"/>
  <c r="I675" i="5"/>
  <c r="AE675" i="5" s="1"/>
  <c r="I997" i="5"/>
  <c r="AD997" i="5" s="1"/>
  <c r="K958" i="5"/>
  <c r="I952" i="5"/>
  <c r="K945" i="5"/>
  <c r="K898" i="5"/>
  <c r="K873" i="5"/>
  <c r="I861" i="5"/>
  <c r="K856" i="5"/>
  <c r="I848" i="5"/>
  <c r="I843" i="5"/>
  <c r="AE843" i="5" s="1"/>
  <c r="K821" i="5"/>
  <c r="I820" i="5"/>
  <c r="K812" i="5"/>
  <c r="K808" i="5"/>
  <c r="I787" i="5"/>
  <c r="AA787" i="5" s="1"/>
  <c r="I768" i="5"/>
  <c r="AD768" i="5" s="1"/>
  <c r="K750" i="5"/>
  <c r="K742" i="5"/>
  <c r="I734" i="5"/>
  <c r="K712" i="5"/>
  <c r="K688" i="5"/>
  <c r="I676" i="5"/>
  <c r="I1008" i="5"/>
  <c r="K964" i="5"/>
  <c r="K962" i="5"/>
  <c r="I956" i="5"/>
  <c r="M956" i="5" s="1"/>
  <c r="K933" i="5"/>
  <c r="I925" i="5"/>
  <c r="AE925" i="5" s="1"/>
  <c r="I905" i="5"/>
  <c r="AE905" i="5" s="1"/>
  <c r="K885" i="5"/>
  <c r="I878" i="5"/>
  <c r="M878" i="5" s="1"/>
  <c r="K990" i="5"/>
  <c r="K850" i="5"/>
  <c r="I830" i="5"/>
  <c r="I726" i="5"/>
  <c r="AE726" i="5" s="1"/>
  <c r="K705" i="5"/>
  <c r="I695" i="5"/>
  <c r="I678" i="5"/>
  <c r="AE678" i="5" s="1"/>
  <c r="I674" i="5"/>
  <c r="K666" i="5"/>
  <c r="K656" i="5"/>
  <c r="K644" i="5"/>
  <c r="I639" i="5"/>
  <c r="AE639" i="5" s="1"/>
  <c r="K635" i="5"/>
  <c r="K625" i="5"/>
  <c r="I601" i="5"/>
  <c r="AC601" i="5" s="1"/>
  <c r="I595" i="5"/>
  <c r="AC595" i="5" s="1"/>
  <c r="I569" i="5"/>
  <c r="AC569" i="5" s="1"/>
  <c r="I556" i="5"/>
  <c r="AC556" i="5" s="1"/>
  <c r="I552" i="5"/>
  <c r="AC552" i="5" s="1"/>
  <c r="K937" i="5"/>
  <c r="K792" i="5"/>
  <c r="I784" i="5"/>
  <c r="M784" i="5" s="1"/>
  <c r="I763" i="5"/>
  <c r="AB763" i="5" s="1"/>
  <c r="I724" i="5"/>
  <c r="I705" i="5"/>
  <c r="K696" i="5"/>
  <c r="K689" i="5"/>
  <c r="I684" i="5"/>
  <c r="K675" i="5"/>
  <c r="I643" i="5"/>
  <c r="AB643" i="5" s="1"/>
  <c r="I642" i="5"/>
  <c r="AB642" i="5" s="1"/>
  <c r="I631" i="5"/>
  <c r="AE631" i="5" s="1"/>
  <c r="I617" i="5"/>
  <c r="I613" i="5"/>
  <c r="AC613" i="5" s="1"/>
  <c r="K610" i="5"/>
  <c r="I609" i="5"/>
  <c r="AB609" i="5" s="1"/>
  <c r="I605" i="5"/>
  <c r="K598" i="5"/>
  <c r="I592" i="5"/>
  <c r="AE592" i="5" s="1"/>
  <c r="I588" i="5"/>
  <c r="AD588" i="5" s="1"/>
  <c r="I578" i="5"/>
  <c r="K566" i="5"/>
  <c r="I565" i="5"/>
  <c r="K838" i="5"/>
  <c r="K813" i="5"/>
  <c r="K788" i="5"/>
  <c r="I771" i="5"/>
  <c r="AB771" i="5" s="1"/>
  <c r="K769" i="5"/>
  <c r="K745" i="5"/>
  <c r="I733" i="5"/>
  <c r="AE733" i="5" s="1"/>
  <c r="I712" i="5"/>
  <c r="K667" i="5"/>
  <c r="I666" i="5"/>
  <c r="AB666" i="5" s="1"/>
  <c r="I661" i="5"/>
  <c r="AE661" i="5" s="1"/>
  <c r="I656" i="5"/>
  <c r="AA656" i="5" s="1"/>
  <c r="K653" i="5"/>
  <c r="I644" i="5"/>
  <c r="AA644" i="5" s="1"/>
  <c r="I635" i="5"/>
  <c r="AA635" i="5" s="1"/>
  <c r="K626" i="5"/>
  <c r="I625" i="5"/>
  <c r="K606" i="5"/>
  <c r="K579" i="5"/>
  <c r="K960" i="5"/>
  <c r="I821" i="5"/>
  <c r="AB821" i="5" s="1"/>
  <c r="I819" i="5"/>
  <c r="I792" i="5"/>
  <c r="M792" i="5" s="1"/>
  <c r="I696" i="5"/>
  <c r="I689" i="5"/>
  <c r="AA689" i="5" s="1"/>
  <c r="K687" i="5"/>
  <c r="K679" i="5"/>
  <c r="K672" i="5"/>
  <c r="I650" i="5"/>
  <c r="K627" i="5"/>
  <c r="I610" i="5"/>
  <c r="AD610" i="5" s="1"/>
  <c r="K599" i="5"/>
  <c r="I598" i="5"/>
  <c r="K593" i="5"/>
  <c r="K589" i="5"/>
  <c r="K583" i="5"/>
  <c r="K571" i="5"/>
  <c r="I570" i="5"/>
  <c r="AB570" i="5" s="1"/>
  <c r="I566" i="5"/>
  <c r="AA566" i="5" s="1"/>
  <c r="I561" i="5"/>
  <c r="AE561" i="5" s="1"/>
  <c r="I939" i="5"/>
  <c r="AB939" i="5" s="1"/>
  <c r="I921" i="5"/>
  <c r="AA921" i="5" s="1"/>
  <c r="I825" i="5"/>
  <c r="K781" i="5"/>
  <c r="K766" i="5"/>
  <c r="I753" i="5"/>
  <c r="AB753" i="5" s="1"/>
  <c r="K722" i="5"/>
  <c r="I708" i="5"/>
  <c r="M708" i="5" s="1"/>
  <c r="I700" i="5"/>
  <c r="I672" i="5"/>
  <c r="AA672" i="5" s="1"/>
  <c r="K645" i="5"/>
  <c r="K640" i="5"/>
  <c r="K636" i="5"/>
  <c r="I632" i="5"/>
  <c r="K628" i="5"/>
  <c r="I627" i="5"/>
  <c r="K614" i="5"/>
  <c r="I599" i="5"/>
  <c r="AC599" i="5" s="1"/>
  <c r="I593" i="5"/>
  <c r="M593" i="5" s="1"/>
  <c r="I589" i="5"/>
  <c r="I583" i="5"/>
  <c r="K575" i="5"/>
  <c r="K572" i="5"/>
  <c r="I571" i="5"/>
  <c r="AD571" i="5" s="1"/>
  <c r="I567" i="5"/>
  <c r="I943" i="5"/>
  <c r="I931" i="5"/>
  <c r="AB931" i="5" s="1"/>
  <c r="K887" i="5"/>
  <c r="I856" i="5"/>
  <c r="AB856" i="5" s="1"/>
  <c r="K831" i="5"/>
  <c r="I777" i="5"/>
  <c r="M777" i="5" s="1"/>
  <c r="I720" i="5"/>
  <c r="AD720" i="5" s="1"/>
  <c r="K668" i="5"/>
  <c r="K662" i="5"/>
  <c r="K657" i="5"/>
  <c r="I654" i="5"/>
  <c r="AC654" i="5" s="1"/>
  <c r="K651" i="5"/>
  <c r="I633" i="5"/>
  <c r="M633" i="5" s="1"/>
  <c r="I623" i="5"/>
  <c r="AC623" i="5" s="1"/>
  <c r="I607" i="5"/>
  <c r="I602" i="5"/>
  <c r="K596" i="5"/>
  <c r="I590" i="5"/>
  <c r="AB590" i="5" s="1"/>
  <c r="K584" i="5"/>
  <c r="I580" i="5"/>
  <c r="AE580" i="5" s="1"/>
  <c r="K562" i="5"/>
  <c r="I554" i="5"/>
  <c r="AA554" i="5" s="1"/>
  <c r="I550" i="5"/>
  <c r="AE550" i="5" s="1"/>
  <c r="K541" i="5"/>
  <c r="I945" i="5"/>
  <c r="M945" i="5" s="1"/>
  <c r="K892" i="5"/>
  <c r="I827" i="5"/>
  <c r="I781" i="5"/>
  <c r="I766" i="5"/>
  <c r="I722" i="5"/>
  <c r="K713" i="5"/>
  <c r="K690" i="5"/>
  <c r="I645" i="5"/>
  <c r="M645" i="5" s="1"/>
  <c r="I640" i="5"/>
  <c r="I636" i="5"/>
  <c r="AE636" i="5" s="1"/>
  <c r="I628" i="5"/>
  <c r="AD628" i="5" s="1"/>
  <c r="I619" i="5"/>
  <c r="AD619" i="5" s="1"/>
  <c r="I614" i="5"/>
  <c r="I575" i="5"/>
  <c r="AE575" i="5" s="1"/>
  <c r="I572" i="5"/>
  <c r="I831" i="5"/>
  <c r="AD831" i="5" s="1"/>
  <c r="I816" i="5"/>
  <c r="M816" i="5" s="1"/>
  <c r="I779" i="5"/>
  <c r="AB779" i="5" s="1"/>
  <c r="I737" i="5"/>
  <c r="AB737" i="5" s="1"/>
  <c r="K723" i="5"/>
  <c r="K718" i="5"/>
  <c r="I715" i="5"/>
  <c r="I697" i="5"/>
  <c r="AD697" i="5" s="1"/>
  <c r="I668" i="5"/>
  <c r="I662" i="5"/>
  <c r="AA662" i="5" s="1"/>
  <c r="I657" i="5"/>
  <c r="AE657" i="5" s="1"/>
  <c r="I651" i="5"/>
  <c r="AA651" i="5" s="1"/>
  <c r="K646" i="5"/>
  <c r="K629" i="5"/>
  <c r="K603" i="5"/>
  <c r="I596" i="5"/>
  <c r="AD596" i="5" s="1"/>
  <c r="I584" i="5"/>
  <c r="AB584" i="5" s="1"/>
  <c r="K576" i="5"/>
  <c r="I562" i="5"/>
  <c r="K551" i="5"/>
  <c r="K546" i="5"/>
  <c r="K923" i="5"/>
  <c r="I869" i="5"/>
  <c r="I808" i="5"/>
  <c r="AC808" i="5" s="1"/>
  <c r="K768" i="5"/>
  <c r="K764" i="5"/>
  <c r="I750" i="5"/>
  <c r="AD750" i="5" s="1"/>
  <c r="K746" i="5"/>
  <c r="K734" i="5"/>
  <c r="I691" i="5"/>
  <c r="AC691" i="5" s="1"/>
  <c r="K677" i="5"/>
  <c r="I669" i="5"/>
  <c r="AD669" i="5" s="1"/>
  <c r="K655" i="5"/>
  <c r="K647" i="5"/>
  <c r="K638" i="5"/>
  <c r="K615" i="5"/>
  <c r="I600" i="5"/>
  <c r="AD600" i="5" s="1"/>
  <c r="K594" i="5"/>
  <c r="K586" i="5"/>
  <c r="K585" i="5"/>
  <c r="K563" i="5"/>
  <c r="I559" i="5"/>
  <c r="AD559" i="5" s="1"/>
  <c r="I999" i="5"/>
  <c r="AD999" i="5" s="1"/>
  <c r="K982" i="5"/>
  <c r="I916" i="5"/>
  <c r="AE916" i="5" s="1"/>
  <c r="I846" i="5"/>
  <c r="AD846" i="5" s="1"/>
  <c r="K841" i="5"/>
  <c r="K762" i="5"/>
  <c r="I748" i="5"/>
  <c r="I723" i="5"/>
  <c r="M723" i="5" s="1"/>
  <c r="I718" i="5"/>
  <c r="I711" i="5"/>
  <c r="AE711" i="5" s="1"/>
  <c r="K694" i="5"/>
  <c r="K683" i="5"/>
  <c r="K663" i="5"/>
  <c r="K658" i="5"/>
  <c r="I646" i="5"/>
  <c r="AA646" i="5" s="1"/>
  <c r="I637" i="5"/>
  <c r="I629" i="5"/>
  <c r="K608" i="5"/>
  <c r="I603" i="5"/>
  <c r="AB603" i="5" s="1"/>
  <c r="K581" i="5"/>
  <c r="I576" i="5"/>
  <c r="K984" i="5"/>
  <c r="I864" i="5"/>
  <c r="K822" i="5"/>
  <c r="I795" i="5"/>
  <c r="AA795" i="5" s="1"/>
  <c r="K758" i="5"/>
  <c r="I756" i="5"/>
  <c r="AB756" i="5" s="1"/>
  <c r="I746" i="5"/>
  <c r="K744" i="5"/>
  <c r="I740" i="5"/>
  <c r="M740" i="5" s="1"/>
  <c r="K704" i="5"/>
  <c r="I686" i="5"/>
  <c r="M686" i="5" s="1"/>
  <c r="I680" i="5"/>
  <c r="I677" i="5"/>
  <c r="M677" i="5" s="1"/>
  <c r="I655" i="5"/>
  <c r="AC655" i="5" s="1"/>
  <c r="I647" i="5"/>
  <c r="AD647" i="5" s="1"/>
  <c r="I638" i="5"/>
  <c r="M638" i="5" s="1"/>
  <c r="I634" i="5"/>
  <c r="AD634" i="5" s="1"/>
  <c r="K630" i="5"/>
  <c r="I615" i="5"/>
  <c r="AC615" i="5" s="1"/>
  <c r="I611" i="5"/>
  <c r="K604" i="5"/>
  <c r="K597" i="5"/>
  <c r="I594" i="5"/>
  <c r="AB594" i="5" s="1"/>
  <c r="I586" i="5"/>
  <c r="I585" i="5"/>
  <c r="AC585" i="5" s="1"/>
  <c r="I947" i="5"/>
  <c r="AC947" i="5" s="1"/>
  <c r="K848" i="5"/>
  <c r="K820" i="5"/>
  <c r="I752" i="5"/>
  <c r="AD752" i="5" s="1"/>
  <c r="I694" i="5"/>
  <c r="I688" i="5"/>
  <c r="AE688" i="5" s="1"/>
  <c r="I683" i="5"/>
  <c r="AB683" i="5" s="1"/>
  <c r="K671" i="5"/>
  <c r="K665" i="5"/>
  <c r="I663" i="5"/>
  <c r="K660" i="5"/>
  <c r="K659" i="5"/>
  <c r="I658" i="5"/>
  <c r="AB658" i="5" s="1"/>
  <c r="K648" i="5"/>
  <c r="K641" i="5"/>
  <c r="K612" i="5"/>
  <c r="I935" i="5"/>
  <c r="AD935" i="5" s="1"/>
  <c r="K896" i="5"/>
  <c r="K805" i="5"/>
  <c r="K787" i="5"/>
  <c r="I742" i="5"/>
  <c r="AE742" i="5" s="1"/>
  <c r="I707" i="5"/>
  <c r="AC707" i="5" s="1"/>
  <c r="K698" i="5"/>
  <c r="K692" i="5"/>
  <c r="I630" i="5"/>
  <c r="K624" i="5"/>
  <c r="K622" i="5"/>
  <c r="K621" i="5"/>
  <c r="K620" i="5"/>
  <c r="K616" i="5"/>
  <c r="K726" i="5"/>
  <c r="K678" i="5"/>
  <c r="K623" i="5"/>
  <c r="K617" i="5"/>
  <c r="K588" i="5"/>
  <c r="I581" i="5"/>
  <c r="I579" i="5"/>
  <c r="AB579" i="5" s="1"/>
  <c r="I548" i="5"/>
  <c r="M548" i="5" s="1"/>
  <c r="K528" i="5"/>
  <c r="I522" i="5"/>
  <c r="M522" i="5" s="1"/>
  <c r="I519" i="5"/>
  <c r="AC519" i="5" s="1"/>
  <c r="K515" i="5"/>
  <c r="I514" i="5"/>
  <c r="I487" i="5"/>
  <c r="AE487" i="5" s="1"/>
  <c r="I481" i="5"/>
  <c r="M481" i="5" s="1"/>
  <c r="K473" i="5"/>
  <c r="I464" i="5"/>
  <c r="AD464" i="5" s="1"/>
  <c r="K454" i="5"/>
  <c r="I453" i="5"/>
  <c r="K446" i="5"/>
  <c r="I431" i="5"/>
  <c r="M431" i="5" s="1"/>
  <c r="K425" i="5"/>
  <c r="I424" i="5"/>
  <c r="I407" i="5"/>
  <c r="K403" i="5"/>
  <c r="I687" i="5"/>
  <c r="K564" i="5"/>
  <c r="K554" i="5"/>
  <c r="I545" i="5"/>
  <c r="M545" i="5" s="1"/>
  <c r="I538" i="5"/>
  <c r="AD538" i="5" s="1"/>
  <c r="K509" i="5"/>
  <c r="I505" i="5"/>
  <c r="AD505" i="5" s="1"/>
  <c r="I501" i="5"/>
  <c r="K492" i="5"/>
  <c r="K488" i="5"/>
  <c r="K482" i="5"/>
  <c r="I472" i="5"/>
  <c r="AD472" i="5" s="1"/>
  <c r="K469" i="5"/>
  <c r="I468" i="5"/>
  <c r="K447" i="5"/>
  <c r="I436" i="5"/>
  <c r="K422" i="5"/>
  <c r="I420" i="5"/>
  <c r="I416" i="5"/>
  <c r="I813" i="5"/>
  <c r="M813" i="5" s="1"/>
  <c r="I702" i="5"/>
  <c r="AC702" i="5" s="1"/>
  <c r="I660" i="5"/>
  <c r="K654" i="5"/>
  <c r="I652" i="5"/>
  <c r="M652" i="5" s="1"/>
  <c r="K642" i="5"/>
  <c r="I577" i="5"/>
  <c r="K542" i="5"/>
  <c r="K535" i="5"/>
  <c r="I528" i="5"/>
  <c r="AB528" i="5" s="1"/>
  <c r="I523" i="5"/>
  <c r="M523" i="5" s="1"/>
  <c r="I515" i="5"/>
  <c r="M515" i="5" s="1"/>
  <c r="K502" i="5"/>
  <c r="I473" i="5"/>
  <c r="I458" i="5"/>
  <c r="AB458" i="5" s="1"/>
  <c r="I454" i="5"/>
  <c r="M454" i="5" s="1"/>
  <c r="K450" i="5"/>
  <c r="I446" i="5"/>
  <c r="AA446" i="5" s="1"/>
  <c r="I425" i="5"/>
  <c r="AA425" i="5" s="1"/>
  <c r="I421" i="5"/>
  <c r="I411" i="5"/>
  <c r="AE411" i="5" s="1"/>
  <c r="I776" i="5"/>
  <c r="I664" i="5"/>
  <c r="I649" i="5"/>
  <c r="AC649" i="5" s="1"/>
  <c r="I621" i="5"/>
  <c r="I564" i="5"/>
  <c r="K549" i="5"/>
  <c r="K529" i="5"/>
  <c r="K520" i="5"/>
  <c r="I509" i="5"/>
  <c r="K493" i="5"/>
  <c r="I492" i="5"/>
  <c r="I488" i="5"/>
  <c r="AD488" i="5" s="1"/>
  <c r="K483" i="5"/>
  <c r="I482" i="5"/>
  <c r="AD482" i="5" s="1"/>
  <c r="I477" i="5"/>
  <c r="AA477" i="5" s="1"/>
  <c r="I469" i="5"/>
  <c r="I447" i="5"/>
  <c r="AC447" i="5" s="1"/>
  <c r="I437" i="5"/>
  <c r="AB437" i="5" s="1"/>
  <c r="I422" i="5"/>
  <c r="AD422" i="5" s="1"/>
  <c r="K413" i="5"/>
  <c r="K412" i="5"/>
  <c r="I408" i="5"/>
  <c r="K404" i="5"/>
  <c r="I730" i="5"/>
  <c r="I698" i="5"/>
  <c r="AD698" i="5" s="1"/>
  <c r="I671" i="5"/>
  <c r="I542" i="5"/>
  <c r="AA542" i="5" s="1"/>
  <c r="K539" i="5"/>
  <c r="I535" i="5"/>
  <c r="M535" i="5" s="1"/>
  <c r="K524" i="5"/>
  <c r="K510" i="5"/>
  <c r="I506" i="5"/>
  <c r="M506" i="5" s="1"/>
  <c r="I502" i="5"/>
  <c r="AB502" i="5" s="1"/>
  <c r="K478" i="5"/>
  <c r="I474" i="5"/>
  <c r="AE474" i="5" s="1"/>
  <c r="K470" i="5"/>
  <c r="K465" i="5"/>
  <c r="I450" i="5"/>
  <c r="I608" i="5"/>
  <c r="I606" i="5"/>
  <c r="AD606" i="5" s="1"/>
  <c r="I573" i="5"/>
  <c r="K560" i="5"/>
  <c r="K552" i="5"/>
  <c r="I549" i="5"/>
  <c r="I529" i="5"/>
  <c r="AC529" i="5" s="1"/>
  <c r="I520" i="5"/>
  <c r="I498" i="5"/>
  <c r="AD498" i="5" s="1"/>
  <c r="I493" i="5"/>
  <c r="AA493" i="5" s="1"/>
  <c r="I489" i="5"/>
  <c r="AA489" i="5" s="1"/>
  <c r="I483" i="5"/>
  <c r="AE483" i="5" s="1"/>
  <c r="K448" i="5"/>
  <c r="I438" i="5"/>
  <c r="K433" i="5"/>
  <c r="I432" i="5"/>
  <c r="AB432" i="5" s="1"/>
  <c r="I426" i="5"/>
  <c r="AE426" i="5" s="1"/>
  <c r="I417" i="5"/>
  <c r="M417" i="5" s="1"/>
  <c r="I413" i="5"/>
  <c r="I412" i="5"/>
  <c r="AB412" i="5" s="1"/>
  <c r="I404" i="5"/>
  <c r="AC404" i="5" s="1"/>
  <c r="I385" i="5"/>
  <c r="I693" i="5"/>
  <c r="AD693" i="5" s="1"/>
  <c r="I612" i="5"/>
  <c r="I591" i="5"/>
  <c r="K582" i="5"/>
  <c r="K557" i="5"/>
  <c r="I546" i="5"/>
  <c r="I539" i="5"/>
  <c r="I525" i="5"/>
  <c r="AB525" i="5" s="1"/>
  <c r="I524" i="5"/>
  <c r="AD524" i="5" s="1"/>
  <c r="I510" i="5"/>
  <c r="AD510" i="5" s="1"/>
  <c r="K499" i="5"/>
  <c r="K479" i="5"/>
  <c r="I478" i="5"/>
  <c r="AA478" i="5" s="1"/>
  <c r="K475" i="5"/>
  <c r="I470" i="5"/>
  <c r="AD470" i="5" s="1"/>
  <c r="I465" i="5"/>
  <c r="K455" i="5"/>
  <c r="I442" i="5"/>
  <c r="AB442" i="5" s="1"/>
  <c r="I799" i="5"/>
  <c r="I667" i="5"/>
  <c r="AC667" i="5" s="1"/>
  <c r="K643" i="5"/>
  <c r="I604" i="5"/>
  <c r="K602" i="5"/>
  <c r="K578" i="5"/>
  <c r="K574" i="5"/>
  <c r="K565" i="5"/>
  <c r="I560" i="5"/>
  <c r="AD560" i="5" s="1"/>
  <c r="I555" i="5"/>
  <c r="AD555" i="5" s="1"/>
  <c r="K543" i="5"/>
  <c r="K530" i="5"/>
  <c r="I516" i="5"/>
  <c r="AE516" i="5" s="1"/>
  <c r="K460" i="5"/>
  <c r="I459" i="5"/>
  <c r="I988" i="5"/>
  <c r="M988" i="5" s="1"/>
  <c r="I773" i="5"/>
  <c r="AD773" i="5" s="1"/>
  <c r="I665" i="5"/>
  <c r="M665" i="5" s="1"/>
  <c r="I622" i="5"/>
  <c r="AB622" i="5" s="1"/>
  <c r="I618" i="5"/>
  <c r="K595" i="5"/>
  <c r="I582" i="5"/>
  <c r="I557" i="5"/>
  <c r="I543" i="5"/>
  <c r="AC543" i="5" s="1"/>
  <c r="I526" i="5"/>
  <c r="K521" i="5"/>
  <c r="K511" i="5"/>
  <c r="K507" i="5"/>
  <c r="K503" i="5"/>
  <c r="I499" i="5"/>
  <c r="K496" i="5"/>
  <c r="I494" i="5"/>
  <c r="AA494" i="5" s="1"/>
  <c r="K490" i="5"/>
  <c r="K485" i="5"/>
  <c r="I479" i="5"/>
  <c r="AE479" i="5" s="1"/>
  <c r="I475" i="5"/>
  <c r="AC475" i="5" s="1"/>
  <c r="I455" i="5"/>
  <c r="AC455" i="5" s="1"/>
  <c r="I427" i="5"/>
  <c r="K857" i="5"/>
  <c r="K639" i="5"/>
  <c r="I616" i="5"/>
  <c r="I574" i="5"/>
  <c r="AD574" i="5" s="1"/>
  <c r="K550" i="5"/>
  <c r="I540" i="5"/>
  <c r="AC540" i="5" s="1"/>
  <c r="K532" i="5"/>
  <c r="I531" i="5"/>
  <c r="AC531" i="5" s="1"/>
  <c r="I530" i="5"/>
  <c r="I495" i="5"/>
  <c r="K486" i="5"/>
  <c r="K466" i="5"/>
  <c r="K462" i="5"/>
  <c r="K461" i="5"/>
  <c r="I460" i="5"/>
  <c r="I451" i="5"/>
  <c r="I443" i="5"/>
  <c r="AC443" i="5" s="1"/>
  <c r="I439" i="5"/>
  <c r="I423" i="5"/>
  <c r="M423" i="5" s="1"/>
  <c r="I414" i="5"/>
  <c r="AA414" i="5" s="1"/>
  <c r="I392" i="5"/>
  <c r="AE392" i="5" s="1"/>
  <c r="I378" i="5"/>
  <c r="AA378" i="5" s="1"/>
  <c r="K749" i="5"/>
  <c r="K729" i="5"/>
  <c r="I653" i="5"/>
  <c r="AB653" i="5" s="1"/>
  <c r="K587" i="5"/>
  <c r="K547" i="5"/>
  <c r="K544" i="5"/>
  <c r="I536" i="5"/>
  <c r="AA536" i="5" s="1"/>
  <c r="I532" i="5"/>
  <c r="AB532" i="5" s="1"/>
  <c r="I521" i="5"/>
  <c r="K518" i="5"/>
  <c r="I511" i="5"/>
  <c r="AC511" i="5" s="1"/>
  <c r="I507" i="5"/>
  <c r="AC507" i="5" s="1"/>
  <c r="I503" i="5"/>
  <c r="AB503" i="5" s="1"/>
  <c r="I496" i="5"/>
  <c r="I490" i="5"/>
  <c r="AB490" i="5" s="1"/>
  <c r="I485" i="5"/>
  <c r="I484" i="5"/>
  <c r="I434" i="5"/>
  <c r="AB434" i="5" s="1"/>
  <c r="K429" i="5"/>
  <c r="K428" i="5"/>
  <c r="K415" i="5"/>
  <c r="K406" i="5"/>
  <c r="K402" i="5"/>
  <c r="I401" i="5"/>
  <c r="I812" i="5"/>
  <c r="AC812" i="5" s="1"/>
  <c r="I801" i="5"/>
  <c r="AB801" i="5" s="1"/>
  <c r="I767" i="5"/>
  <c r="M767" i="5" s="1"/>
  <c r="I703" i="5"/>
  <c r="AB703" i="5" s="1"/>
  <c r="I648" i="5"/>
  <c r="I626" i="5"/>
  <c r="AB626" i="5" s="1"/>
  <c r="I624" i="5"/>
  <c r="AD624" i="5" s="1"/>
  <c r="I597" i="5"/>
  <c r="M597" i="5" s="1"/>
  <c r="I558" i="5"/>
  <c r="M558" i="5" s="1"/>
  <c r="K553" i="5"/>
  <c r="I685" i="5"/>
  <c r="AC685" i="5" s="1"/>
  <c r="I620" i="5"/>
  <c r="K607" i="5"/>
  <c r="K601" i="5"/>
  <c r="I563" i="5"/>
  <c r="AB563" i="5" s="1"/>
  <c r="I553" i="5"/>
  <c r="AC553" i="5" s="1"/>
  <c r="I541" i="5"/>
  <c r="AD541" i="5" s="1"/>
  <c r="I527" i="5"/>
  <c r="I517" i="5"/>
  <c r="I512" i="5"/>
  <c r="AB512" i="5" s="1"/>
  <c r="K508" i="5"/>
  <c r="I497" i="5"/>
  <c r="AB497" i="5" s="1"/>
  <c r="I457" i="5"/>
  <c r="AE457" i="5" s="1"/>
  <c r="K444" i="5"/>
  <c r="I435" i="5"/>
  <c r="AA435" i="5" s="1"/>
  <c r="I433" i="5"/>
  <c r="AC433" i="5" s="1"/>
  <c r="K423" i="5"/>
  <c r="K391" i="5"/>
  <c r="I383" i="5"/>
  <c r="AA383" i="5" s="1"/>
  <c r="I375" i="5"/>
  <c r="I366" i="5"/>
  <c r="I352" i="5"/>
  <c r="I347" i="5"/>
  <c r="AE347" i="5" s="1"/>
  <c r="K333" i="5"/>
  <c r="K330" i="5"/>
  <c r="I321" i="5"/>
  <c r="AB321" i="5" s="1"/>
  <c r="K303" i="5"/>
  <c r="I261" i="5"/>
  <c r="AE261" i="5" s="1"/>
  <c r="K242" i="5"/>
  <c r="I237" i="5"/>
  <c r="I233" i="5"/>
  <c r="AB233" i="5" s="1"/>
  <c r="I232" i="5"/>
  <c r="K517" i="5"/>
  <c r="I418" i="5"/>
  <c r="AE418" i="5" s="1"/>
  <c r="I394" i="5"/>
  <c r="AC394" i="5" s="1"/>
  <c r="I391" i="5"/>
  <c r="AB391" i="5" s="1"/>
  <c r="K371" i="5"/>
  <c r="I370" i="5"/>
  <c r="I356" i="5"/>
  <c r="K338" i="5"/>
  <c r="I337" i="5"/>
  <c r="K322" i="5"/>
  <c r="I315" i="5"/>
  <c r="AB315" i="5" s="1"/>
  <c r="I670" i="5"/>
  <c r="AC670" i="5" s="1"/>
  <c r="I641" i="5"/>
  <c r="M641" i="5" s="1"/>
  <c r="K537" i="5"/>
  <c r="K533" i="5"/>
  <c r="I513" i="5"/>
  <c r="AA513" i="5" s="1"/>
  <c r="K480" i="5"/>
  <c r="I444" i="5"/>
  <c r="AD444" i="5" s="1"/>
  <c r="I428" i="5"/>
  <c r="I409" i="5"/>
  <c r="I402" i="5"/>
  <c r="AE402" i="5" s="1"/>
  <c r="I387" i="5"/>
  <c r="AB387" i="5" s="1"/>
  <c r="I376" i="5"/>
  <c r="AC376" i="5" s="1"/>
  <c r="I362" i="5"/>
  <c r="AA362" i="5" s="1"/>
  <c r="K348" i="5"/>
  <c r="I333" i="5"/>
  <c r="AD333" i="5" s="1"/>
  <c r="I330" i="5"/>
  <c r="K326" i="5"/>
  <c r="I325" i="5"/>
  <c r="I310" i="5"/>
  <c r="AD310" i="5" s="1"/>
  <c r="I303" i="5"/>
  <c r="K300" i="5"/>
  <c r="K296" i="5"/>
  <c r="K292" i="5"/>
  <c r="I291" i="5"/>
  <c r="AC291" i="5" s="1"/>
  <c r="K281" i="5"/>
  <c r="K273" i="5"/>
  <c r="I242" i="5"/>
  <c r="AE242" i="5" s="1"/>
  <c r="I238" i="5"/>
  <c r="AB238" i="5" s="1"/>
  <c r="I537" i="5"/>
  <c r="AC537" i="5" s="1"/>
  <c r="I533" i="5"/>
  <c r="K468" i="5"/>
  <c r="K464" i="5"/>
  <c r="K431" i="5"/>
  <c r="I398" i="5"/>
  <c r="AA398" i="5" s="1"/>
  <c r="I379" i="5"/>
  <c r="I371" i="5"/>
  <c r="K353" i="5"/>
  <c r="K349" i="5"/>
  <c r="I344" i="5"/>
  <c r="AA344" i="5" s="1"/>
  <c r="I338" i="5"/>
  <c r="AD338" i="5" s="1"/>
  <c r="I322" i="5"/>
  <c r="K316" i="5"/>
  <c r="K308" i="5"/>
  <c r="I304" i="5"/>
  <c r="AE304" i="5" s="1"/>
  <c r="K286" i="5"/>
  <c r="I265" i="5"/>
  <c r="K262" i="5"/>
  <c r="I256" i="5"/>
  <c r="K252" i="5"/>
  <c r="K243" i="5"/>
  <c r="I659" i="5"/>
  <c r="K487" i="5"/>
  <c r="I480" i="5"/>
  <c r="M480" i="5" s="1"/>
  <c r="K414" i="5"/>
  <c r="K399" i="5"/>
  <c r="K392" i="5"/>
  <c r="K388" i="5"/>
  <c r="K354" i="5"/>
  <c r="I348" i="5"/>
  <c r="AB348" i="5" s="1"/>
  <c r="K500" i="5"/>
  <c r="I466" i="5"/>
  <c r="AD466" i="5" s="1"/>
  <c r="I462" i="5"/>
  <c r="AA462" i="5" s="1"/>
  <c r="K449" i="5"/>
  <c r="K407" i="5"/>
  <c r="I399" i="5"/>
  <c r="AD399" i="5" s="1"/>
  <c r="K367" i="5"/>
  <c r="I357" i="5"/>
  <c r="I353" i="5"/>
  <c r="I349" i="5"/>
  <c r="AC349" i="5" s="1"/>
  <c r="K327" i="5"/>
  <c r="I316" i="5"/>
  <c r="AE316" i="5" s="1"/>
  <c r="I308" i="5"/>
  <c r="AC308" i="5" s="1"/>
  <c r="K297" i="5"/>
  <c r="I286" i="5"/>
  <c r="AC286" i="5" s="1"/>
  <c r="I270" i="5"/>
  <c r="AB270" i="5" s="1"/>
  <c r="I266" i="5"/>
  <c r="I262" i="5"/>
  <c r="AD262" i="5" s="1"/>
  <c r="I252" i="5"/>
  <c r="AD252" i="5" s="1"/>
  <c r="I243" i="5"/>
  <c r="AC243" i="5" s="1"/>
  <c r="K545" i="5"/>
  <c r="I491" i="5"/>
  <c r="AB491" i="5" s="1"/>
  <c r="I476" i="5"/>
  <c r="AD476" i="5" s="1"/>
  <c r="K445" i="5"/>
  <c r="I440" i="5"/>
  <c r="AD440" i="5" s="1"/>
  <c r="I388" i="5"/>
  <c r="AC388" i="5" s="1"/>
  <c r="I384" i="5"/>
  <c r="I377" i="5"/>
  <c r="AC377" i="5" s="1"/>
  <c r="K358" i="5"/>
  <c r="I354" i="5"/>
  <c r="AB354" i="5" s="1"/>
  <c r="K340" i="5"/>
  <c r="I339" i="5"/>
  <c r="AC339" i="5" s="1"/>
  <c r="I334" i="5"/>
  <c r="I319" i="5"/>
  <c r="AB319" i="5" s="1"/>
  <c r="I311" i="5"/>
  <c r="I305" i="5"/>
  <c r="AB305" i="5" s="1"/>
  <c r="I289" i="5"/>
  <c r="I278" i="5"/>
  <c r="M278" i="5" s="1"/>
  <c r="I246" i="5"/>
  <c r="AB246" i="5" s="1"/>
  <c r="I239" i="5"/>
  <c r="AE239" i="5" s="1"/>
  <c r="I235" i="5"/>
  <c r="AB235" i="5" s="1"/>
  <c r="I229" i="5"/>
  <c r="I226" i="5"/>
  <c r="AC226" i="5" s="1"/>
  <c r="K222" i="5"/>
  <c r="K561" i="5"/>
  <c r="I500" i="5"/>
  <c r="I449" i="5"/>
  <c r="K436" i="5"/>
  <c r="I429" i="5"/>
  <c r="I419" i="5"/>
  <c r="AD419" i="5" s="1"/>
  <c r="K381" i="5"/>
  <c r="K380" i="5"/>
  <c r="I367" i="5"/>
  <c r="AA367" i="5" s="1"/>
  <c r="I327" i="5"/>
  <c r="AE327" i="5" s="1"/>
  <c r="K317" i="5"/>
  <c r="I297" i="5"/>
  <c r="K283" i="5"/>
  <c r="K274" i="5"/>
  <c r="K260" i="5"/>
  <c r="K253" i="5"/>
  <c r="K223" i="5"/>
  <c r="K219" i="5"/>
  <c r="I534" i="5"/>
  <c r="AB534" i="5" s="1"/>
  <c r="I504" i="5"/>
  <c r="AC504" i="5" s="1"/>
  <c r="K443" i="5"/>
  <c r="K441" i="5"/>
  <c r="K427" i="5"/>
  <c r="I400" i="5"/>
  <c r="K385" i="5"/>
  <c r="K382" i="5"/>
  <c r="I381" i="5"/>
  <c r="AC381" i="5" s="1"/>
  <c r="I380" i="5"/>
  <c r="AB380" i="5" s="1"/>
  <c r="K360" i="5"/>
  <c r="I345" i="5"/>
  <c r="AD345" i="5" s="1"/>
  <c r="I341" i="5"/>
  <c r="I331" i="5"/>
  <c r="I323" i="5"/>
  <c r="AB323" i="5" s="1"/>
  <c r="I320" i="5"/>
  <c r="AD320" i="5" s="1"/>
  <c r="I317" i="5"/>
  <c r="AC317" i="5" s="1"/>
  <c r="K284" i="5"/>
  <c r="I283" i="5"/>
  <c r="AB283" i="5" s="1"/>
  <c r="I896" i="5"/>
  <c r="M896" i="5" s="1"/>
  <c r="K592" i="5"/>
  <c r="I547" i="5"/>
  <c r="AE547" i="5" s="1"/>
  <c r="K512" i="5"/>
  <c r="I508" i="5"/>
  <c r="M508" i="5" s="1"/>
  <c r="I410" i="5"/>
  <c r="AC410" i="5" s="1"/>
  <c r="I403" i="5"/>
  <c r="AB403" i="5" s="1"/>
  <c r="K396" i="5"/>
  <c r="K393" i="5"/>
  <c r="I372" i="5"/>
  <c r="AB372" i="5" s="1"/>
  <c r="I368" i="5"/>
  <c r="AA368" i="5" s="1"/>
  <c r="K365" i="5"/>
  <c r="K364" i="5"/>
  <c r="I359" i="5"/>
  <c r="AC359" i="5" s="1"/>
  <c r="I350" i="5"/>
  <c r="AB350" i="5" s="1"/>
  <c r="I342" i="5"/>
  <c r="I335" i="5"/>
  <c r="I328" i="5"/>
  <c r="K324" i="5"/>
  <c r="I312" i="5"/>
  <c r="K309" i="5"/>
  <c r="I306" i="5"/>
  <c r="AC306" i="5" s="1"/>
  <c r="I301" i="5"/>
  <c r="I294" i="5"/>
  <c r="I290" i="5"/>
  <c r="AE290" i="5" s="1"/>
  <c r="I287" i="5"/>
  <c r="AA287" i="5" s="1"/>
  <c r="I279" i="5"/>
  <c r="M279" i="5" s="1"/>
  <c r="I788" i="5"/>
  <c r="K538" i="5"/>
  <c r="K463" i="5"/>
  <c r="I441" i="5"/>
  <c r="I415" i="5"/>
  <c r="K390" i="5"/>
  <c r="I389" i="5"/>
  <c r="K386" i="5"/>
  <c r="I382" i="5"/>
  <c r="AC382" i="5" s="1"/>
  <c r="I360" i="5"/>
  <c r="I346" i="5"/>
  <c r="AD346" i="5" s="1"/>
  <c r="K329" i="5"/>
  <c r="I284" i="5"/>
  <c r="I271" i="5"/>
  <c r="I263" i="5"/>
  <c r="I254" i="5"/>
  <c r="K249" i="5"/>
  <c r="I247" i="5"/>
  <c r="I227" i="5"/>
  <c r="AD227" i="5" s="1"/>
  <c r="I215" i="5"/>
  <c r="K211" i="5"/>
  <c r="K556" i="5"/>
  <c r="K522" i="5"/>
  <c r="I456" i="5"/>
  <c r="AD456" i="5" s="1"/>
  <c r="I396" i="5"/>
  <c r="AB396" i="5" s="1"/>
  <c r="I393" i="5"/>
  <c r="AC393" i="5" s="1"/>
  <c r="I386" i="5"/>
  <c r="K373" i="5"/>
  <c r="I365" i="5"/>
  <c r="I364" i="5"/>
  <c r="AB364" i="5" s="1"/>
  <c r="K361" i="5"/>
  <c r="I355" i="5"/>
  <c r="AC355" i="5" s="1"/>
  <c r="K351" i="5"/>
  <c r="I324" i="5"/>
  <c r="K313" i="5"/>
  <c r="I309" i="5"/>
  <c r="AE309" i="5" s="1"/>
  <c r="K307" i="5"/>
  <c r="K288" i="5"/>
  <c r="K275" i="5"/>
  <c r="K268" i="5"/>
  <c r="I248" i="5"/>
  <c r="I240" i="5"/>
  <c r="I236" i="5"/>
  <c r="AE236" i="5" s="1"/>
  <c r="K231" i="5"/>
  <c r="I224" i="5"/>
  <c r="I798" i="5"/>
  <c r="I568" i="5"/>
  <c r="AD568" i="5" s="1"/>
  <c r="I551" i="5"/>
  <c r="AE551" i="5" s="1"/>
  <c r="I544" i="5"/>
  <c r="I486" i="5"/>
  <c r="M486" i="5" s="1"/>
  <c r="K467" i="5"/>
  <c r="I463" i="5"/>
  <c r="AE463" i="5" s="1"/>
  <c r="I448" i="5"/>
  <c r="I406" i="5"/>
  <c r="AB406" i="5" s="1"/>
  <c r="K401" i="5"/>
  <c r="I390" i="5"/>
  <c r="AB390" i="5" s="1"/>
  <c r="K369" i="5"/>
  <c r="K343" i="5"/>
  <c r="K332" i="5"/>
  <c r="I329" i="5"/>
  <c r="AB329" i="5" s="1"/>
  <c r="K318" i="5"/>
  <c r="K295" i="5"/>
  <c r="K264" i="5"/>
  <c r="K258" i="5"/>
  <c r="K255" i="5"/>
  <c r="I249" i="5"/>
  <c r="AB249" i="5" s="1"/>
  <c r="I587" i="5"/>
  <c r="AA587" i="5" s="1"/>
  <c r="K497" i="5"/>
  <c r="I471" i="5"/>
  <c r="AC471" i="5" s="1"/>
  <c r="K457" i="5"/>
  <c r="K519" i="5"/>
  <c r="K383" i="5"/>
  <c r="K306" i="5"/>
  <c r="I281" i="5"/>
  <c r="K236" i="5"/>
  <c r="I219" i="5"/>
  <c r="AD219" i="5" s="1"/>
  <c r="I216" i="5"/>
  <c r="AB216" i="5" s="1"/>
  <c r="I205" i="5"/>
  <c r="I202" i="5"/>
  <c r="AD202" i="5" s="1"/>
  <c r="K190" i="5"/>
  <c r="I181" i="5"/>
  <c r="AE181" i="5" s="1"/>
  <c r="I692" i="5"/>
  <c r="AA692" i="5" s="1"/>
  <c r="K481" i="5"/>
  <c r="I467" i="5"/>
  <c r="I445" i="5"/>
  <c r="I373" i="5"/>
  <c r="I343" i="5"/>
  <c r="AC343" i="5" s="1"/>
  <c r="K301" i="5"/>
  <c r="K276" i="5"/>
  <c r="I253" i="5"/>
  <c r="M253" i="5" s="1"/>
  <c r="K228" i="5"/>
  <c r="K209" i="5"/>
  <c r="I206" i="5"/>
  <c r="I197" i="5"/>
  <c r="AC197" i="5" s="1"/>
  <c r="I194" i="5"/>
  <c r="AE194" i="5" s="1"/>
  <c r="K185" i="5"/>
  <c r="K172" i="5"/>
  <c r="I146" i="5"/>
  <c r="AD146" i="5" s="1"/>
  <c r="I136" i="5"/>
  <c r="AA136" i="5" s="1"/>
  <c r="I135" i="5"/>
  <c r="K115" i="5"/>
  <c r="I112" i="5"/>
  <c r="K100" i="5"/>
  <c r="I99" i="5"/>
  <c r="AA99" i="5" s="1"/>
  <c r="K94" i="5"/>
  <c r="I86" i="5"/>
  <c r="I397" i="5"/>
  <c r="AB397" i="5" s="1"/>
  <c r="I395" i="5"/>
  <c r="AB395" i="5" s="1"/>
  <c r="K356" i="5"/>
  <c r="I318" i="5"/>
  <c r="I314" i="5"/>
  <c r="K279" i="5"/>
  <c r="I276" i="5"/>
  <c r="M276" i="5" s="1"/>
  <c r="K271" i="5"/>
  <c r="K241" i="5"/>
  <c r="I234" i="5"/>
  <c r="M234" i="5" s="1"/>
  <c r="I231" i="5"/>
  <c r="I225" i="5"/>
  <c r="AD225" i="5" s="1"/>
  <c r="I222" i="5"/>
  <c r="AB222" i="5" s="1"/>
  <c r="K210" i="5"/>
  <c r="K207" i="5"/>
  <c r="K198" i="5"/>
  <c r="K191" i="5"/>
  <c r="I190" i="5"/>
  <c r="K189" i="5"/>
  <c r="I176" i="5"/>
  <c r="K169" i="5"/>
  <c r="I159" i="5"/>
  <c r="I156" i="5"/>
  <c r="AA156" i="5" s="1"/>
  <c r="I142" i="5"/>
  <c r="K137" i="5"/>
  <c r="I129" i="5"/>
  <c r="K102" i="5"/>
  <c r="K91" i="5"/>
  <c r="I90" i="5"/>
  <c r="AB90" i="5" s="1"/>
  <c r="I89" i="5"/>
  <c r="I452" i="5"/>
  <c r="K424" i="5"/>
  <c r="K337" i="5"/>
  <c r="K335" i="5"/>
  <c r="I264" i="5"/>
  <c r="AD264" i="5" s="1"/>
  <c r="K251" i="5"/>
  <c r="K339" i="5"/>
  <c r="I288" i="5"/>
  <c r="AD288" i="5" s="1"/>
  <c r="I251" i="5"/>
  <c r="AC251" i="5" s="1"/>
  <c r="K244" i="5"/>
  <c r="K217" i="5"/>
  <c r="I210" i="5"/>
  <c r="AD210" i="5" s="1"/>
  <c r="I198" i="5"/>
  <c r="AB198" i="5" s="1"/>
  <c r="I191" i="5"/>
  <c r="AD191" i="5" s="1"/>
  <c r="I189" i="5"/>
  <c r="I169" i="5"/>
  <c r="I160" i="5"/>
  <c r="M160" i="5" s="1"/>
  <c r="I137" i="5"/>
  <c r="AC137" i="5" s="1"/>
  <c r="K130" i="5"/>
  <c r="I126" i="5"/>
  <c r="AD126" i="5" s="1"/>
  <c r="I122" i="5"/>
  <c r="AE122" i="5" s="1"/>
  <c r="I110" i="5"/>
  <c r="AB110" i="5" s="1"/>
  <c r="I106" i="5"/>
  <c r="AA106" i="5" s="1"/>
  <c r="I105" i="5"/>
  <c r="I102" i="5"/>
  <c r="M102" i="5" s="1"/>
  <c r="I91" i="5"/>
  <c r="AB91" i="5" s="1"/>
  <c r="I326" i="5"/>
  <c r="AC326" i="5" s="1"/>
  <c r="I296" i="5"/>
  <c r="K294" i="5"/>
  <c r="I282" i="5"/>
  <c r="M282" i="5" s="1"/>
  <c r="K269" i="5"/>
  <c r="K254" i="5"/>
  <c r="K226" i="5"/>
  <c r="I223" i="5"/>
  <c r="I182" i="5"/>
  <c r="AD182" i="5" s="1"/>
  <c r="I177" i="5"/>
  <c r="K173" i="5"/>
  <c r="I164" i="5"/>
  <c r="AE164" i="5" s="1"/>
  <c r="K157" i="5"/>
  <c r="I153" i="5"/>
  <c r="I138" i="5"/>
  <c r="K132" i="5"/>
  <c r="I119" i="5"/>
  <c r="K113" i="5"/>
  <c r="K368" i="5"/>
  <c r="I358" i="5"/>
  <c r="AB358" i="5" s="1"/>
  <c r="K328" i="5"/>
  <c r="I298" i="5"/>
  <c r="AB298" i="5" s="1"/>
  <c r="I292" i="5"/>
  <c r="K290" i="5"/>
  <c r="I277" i="5"/>
  <c r="I274" i="5"/>
  <c r="I269" i="5"/>
  <c r="I244" i="5"/>
  <c r="K237" i="5"/>
  <c r="K220" i="5"/>
  <c r="I217" i="5"/>
  <c r="AC217" i="5" s="1"/>
  <c r="I213" i="5"/>
  <c r="AE213" i="5" s="1"/>
  <c r="K200" i="5"/>
  <c r="K199" i="5"/>
  <c r="I130" i="5"/>
  <c r="AC130" i="5" s="1"/>
  <c r="K127" i="5"/>
  <c r="K124" i="5"/>
  <c r="K108" i="5"/>
  <c r="I107" i="5"/>
  <c r="AC107" i="5" s="1"/>
  <c r="K95" i="5"/>
  <c r="K862" i="5"/>
  <c r="I518" i="5"/>
  <c r="AB518" i="5" s="1"/>
  <c r="K501" i="5"/>
  <c r="K435" i="5"/>
  <c r="K370" i="5"/>
  <c r="I351" i="5"/>
  <c r="AA351" i="5" s="1"/>
  <c r="I307" i="5"/>
  <c r="AE307" i="5" s="1"/>
  <c r="I260" i="5"/>
  <c r="K232" i="5"/>
  <c r="K394" i="5"/>
  <c r="K315" i="5"/>
  <c r="I300" i="5"/>
  <c r="AE300" i="5" s="1"/>
  <c r="I267" i="5"/>
  <c r="I258" i="5"/>
  <c r="AC258" i="5" s="1"/>
  <c r="I220" i="5"/>
  <c r="I200" i="5"/>
  <c r="I199" i="5"/>
  <c r="I195" i="5"/>
  <c r="AB195" i="5" s="1"/>
  <c r="K179" i="5"/>
  <c r="I165" i="5"/>
  <c r="AA165" i="5" s="1"/>
  <c r="I154" i="5"/>
  <c r="AC154" i="5" s="1"/>
  <c r="I150" i="5"/>
  <c r="AE150" i="5" s="1"/>
  <c r="I147" i="5"/>
  <c r="AB147" i="5" s="1"/>
  <c r="I131" i="5"/>
  <c r="AB131" i="5" s="1"/>
  <c r="I127" i="5"/>
  <c r="I124" i="5"/>
  <c r="I108" i="5"/>
  <c r="M108" i="5" s="1"/>
  <c r="K103" i="5"/>
  <c r="I96" i="5"/>
  <c r="I95" i="5"/>
  <c r="AB95" i="5" s="1"/>
  <c r="K439" i="5"/>
  <c r="I361" i="5"/>
  <c r="K319" i="5"/>
  <c r="K305" i="5"/>
  <c r="I302" i="5"/>
  <c r="AC302" i="5" s="1"/>
  <c r="I218" i="5"/>
  <c r="AC218" i="5" s="1"/>
  <c r="I208" i="5"/>
  <c r="AB208" i="5" s="1"/>
  <c r="K196" i="5"/>
  <c r="K180" i="5"/>
  <c r="I179" i="5"/>
  <c r="I170" i="5"/>
  <c r="AD170" i="5" s="1"/>
  <c r="K148" i="5"/>
  <c r="K145" i="5"/>
  <c r="K140" i="5"/>
  <c r="K505" i="5"/>
  <c r="I405" i="5"/>
  <c r="K359" i="5"/>
  <c r="K350" i="5"/>
  <c r="I332" i="5"/>
  <c r="K287" i="5"/>
  <c r="K285" i="5"/>
  <c r="I275" i="5"/>
  <c r="I250" i="5"/>
  <c r="AD250" i="5" s="1"/>
  <c r="K221" i="5"/>
  <c r="K215" i="5"/>
  <c r="I196" i="5"/>
  <c r="AE196" i="5" s="1"/>
  <c r="K188" i="5"/>
  <c r="I180" i="5"/>
  <c r="I174" i="5"/>
  <c r="AA174" i="5" s="1"/>
  <c r="I148" i="5"/>
  <c r="AB148" i="5" s="1"/>
  <c r="I145" i="5"/>
  <c r="AE145" i="5" s="1"/>
  <c r="I140" i="5"/>
  <c r="K134" i="5"/>
  <c r="K125" i="5"/>
  <c r="K74" i="5"/>
  <c r="I363" i="5"/>
  <c r="AA363" i="5" s="1"/>
  <c r="K352" i="5"/>
  <c r="I340" i="5"/>
  <c r="AC340" i="5" s="1"/>
  <c r="I285" i="5"/>
  <c r="AC285" i="5" s="1"/>
  <c r="K263" i="5"/>
  <c r="I255" i="5"/>
  <c r="AD255" i="5" s="1"/>
  <c r="I245" i="5"/>
  <c r="AD245" i="5" s="1"/>
  <c r="I230" i="5"/>
  <c r="AE230" i="5" s="1"/>
  <c r="K212" i="5"/>
  <c r="K175" i="5"/>
  <c r="I171" i="5"/>
  <c r="AE171" i="5" s="1"/>
  <c r="I168" i="5"/>
  <c r="AE168" i="5" s="1"/>
  <c r="I158" i="5"/>
  <c r="AD158" i="5" s="1"/>
  <c r="I155" i="5"/>
  <c r="AE155" i="5" s="1"/>
  <c r="K151" i="5"/>
  <c r="K141" i="5"/>
  <c r="K121" i="5"/>
  <c r="I117" i="5"/>
  <c r="M117" i="5" s="1"/>
  <c r="I114" i="5"/>
  <c r="AD114" i="5" s="1"/>
  <c r="I109" i="5"/>
  <c r="AA109" i="5" s="1"/>
  <c r="I98" i="5"/>
  <c r="I93" i="5"/>
  <c r="I88" i="5"/>
  <c r="AB88" i="5" s="1"/>
  <c r="K84" i="5"/>
  <c r="I83" i="5"/>
  <c r="AA83" i="5" s="1"/>
  <c r="I369" i="5"/>
  <c r="I299" i="5"/>
  <c r="I293" i="5"/>
  <c r="AC293" i="5" s="1"/>
  <c r="I273" i="5"/>
  <c r="I268" i="5"/>
  <c r="AD268" i="5" s="1"/>
  <c r="I257" i="5"/>
  <c r="AB257" i="5" s="1"/>
  <c r="I212" i="5"/>
  <c r="K194" i="5"/>
  <c r="I175" i="5"/>
  <c r="I71" i="5"/>
  <c r="AC71" i="5" s="1"/>
  <c r="K75" i="5"/>
  <c r="I81" i="5"/>
  <c r="AB81" i="5" s="1"/>
  <c r="K119" i="5"/>
  <c r="K123" i="5"/>
  <c r="I157" i="5"/>
  <c r="M157" i="5" s="1"/>
  <c r="I161" i="5"/>
  <c r="AB161" i="5" s="1"/>
  <c r="K166" i="5"/>
  <c r="I172" i="5"/>
  <c r="AB172" i="5" s="1"/>
  <c r="K187" i="5"/>
  <c r="I203" i="5"/>
  <c r="AA203" i="5" s="1"/>
  <c r="K71" i="5"/>
  <c r="I84" i="5"/>
  <c r="K153" i="5"/>
  <c r="K155" i="5"/>
  <c r="K161" i="5"/>
  <c r="I201" i="5"/>
  <c r="AA201" i="5" s="1"/>
  <c r="I214" i="5"/>
  <c r="I461" i="5"/>
  <c r="K81" i="5"/>
  <c r="I87" i="5"/>
  <c r="AD87" i="5" s="1"/>
  <c r="K98" i="5"/>
  <c r="I132" i="5"/>
  <c r="K201" i="5"/>
  <c r="I74" i="5"/>
  <c r="AB74" i="5" s="1"/>
  <c r="K89" i="5"/>
  <c r="I134" i="5"/>
  <c r="AD134" i="5" s="1"/>
  <c r="I241" i="5"/>
  <c r="AA241" i="5" s="1"/>
  <c r="K534" i="5"/>
  <c r="I77" i="5"/>
  <c r="I80" i="5"/>
  <c r="K87" i="5"/>
  <c r="I101" i="5"/>
  <c r="K114" i="5"/>
  <c r="I116" i="5"/>
  <c r="AD116" i="5" s="1"/>
  <c r="I125" i="5"/>
  <c r="AC125" i="5" s="1"/>
  <c r="I163" i="5"/>
  <c r="AB163" i="5" s="1"/>
  <c r="K168" i="5"/>
  <c r="I178" i="5"/>
  <c r="AB178" i="5" s="1"/>
  <c r="K239" i="5"/>
  <c r="I374" i="5"/>
  <c r="AB374" i="5" s="1"/>
  <c r="I73" i="5"/>
  <c r="I103" i="5"/>
  <c r="AC103" i="5" s="1"/>
  <c r="K116" i="5"/>
  <c r="I118" i="5"/>
  <c r="AE118" i="5" s="1"/>
  <c r="I139" i="5"/>
  <c r="AE139" i="5" s="1"/>
  <c r="I144" i="5"/>
  <c r="AE144" i="5" s="1"/>
  <c r="K178" i="5"/>
  <c r="I204" i="5"/>
  <c r="K265" i="5"/>
  <c r="K372" i="5"/>
  <c r="K73" i="5"/>
  <c r="K77" i="5"/>
  <c r="I79" i="5"/>
  <c r="AB79" i="5" s="1"/>
  <c r="K83" i="5"/>
  <c r="I92" i="5"/>
  <c r="AD92" i="5" s="1"/>
  <c r="K204" i="5"/>
  <c r="I221" i="5"/>
  <c r="K79" i="5"/>
  <c r="I94" i="5"/>
  <c r="AD94" i="5" s="1"/>
  <c r="I100" i="5"/>
  <c r="K158" i="5"/>
  <c r="I184" i="5"/>
  <c r="M184" i="5" s="1"/>
  <c r="I193" i="5"/>
  <c r="AE193" i="5" s="1"/>
  <c r="K92" i="5"/>
  <c r="I97" i="5"/>
  <c r="AB97" i="5" s="1"/>
  <c r="I120" i="5"/>
  <c r="K136" i="5"/>
  <c r="I141" i="5"/>
  <c r="AC141" i="5" s="1"/>
  <c r="I143" i="5"/>
  <c r="I152" i="5"/>
  <c r="AE152" i="5" s="1"/>
  <c r="K156" i="5"/>
  <c r="I186" i="5"/>
  <c r="AE186" i="5" s="1"/>
  <c r="I272" i="5"/>
  <c r="AC272" i="5" s="1"/>
  <c r="K143" i="5"/>
  <c r="K146" i="5"/>
  <c r="I173" i="5"/>
  <c r="AD173" i="5" s="1"/>
  <c r="I8" i="25"/>
  <c r="H8" i="25" s="1"/>
  <c r="I9" i="25"/>
  <c r="H9" i="25" s="1"/>
  <c r="J25" i="25"/>
  <c r="I36" i="25"/>
  <c r="H36" i="25" s="1"/>
  <c r="I176" i="25"/>
  <c r="J176" i="25"/>
  <c r="I41" i="25"/>
  <c r="J41" i="25"/>
  <c r="J92" i="25"/>
  <c r="I92" i="25"/>
  <c r="J81" i="25"/>
  <c r="I81" i="25"/>
  <c r="H33" i="25"/>
  <c r="J29" i="25"/>
  <c r="J35" i="25"/>
  <c r="I35" i="25"/>
  <c r="I129" i="25"/>
  <c r="J129" i="25"/>
  <c r="H64" i="25"/>
  <c r="J40" i="25"/>
  <c r="I68" i="25"/>
  <c r="H68" i="25" s="1"/>
  <c r="I71" i="25"/>
  <c r="J71" i="25"/>
  <c r="J90" i="25"/>
  <c r="H90" i="25" s="1"/>
  <c r="J132" i="25"/>
  <c r="I132" i="25"/>
  <c r="J155" i="25"/>
  <c r="I155" i="25"/>
  <c r="H155" i="25" s="1"/>
  <c r="J94" i="25"/>
  <c r="I94" i="25"/>
  <c r="I27" i="25"/>
  <c r="I45" i="25"/>
  <c r="I48" i="25"/>
  <c r="I51" i="25"/>
  <c r="J60" i="25"/>
  <c r="I60" i="25"/>
  <c r="I111" i="25"/>
  <c r="J111" i="25"/>
  <c r="J27" i="25"/>
  <c r="J45" i="25"/>
  <c r="J48" i="25"/>
  <c r="J51" i="25"/>
  <c r="J74" i="25"/>
  <c r="H74" i="25" s="1"/>
  <c r="J80" i="25"/>
  <c r="I80" i="25"/>
  <c r="J108" i="25"/>
  <c r="I108" i="25"/>
  <c r="H108" i="25" s="1"/>
  <c r="J50" i="25"/>
  <c r="J164" i="25"/>
  <c r="I164" i="25"/>
  <c r="H164" i="25" s="1"/>
  <c r="J37" i="25"/>
  <c r="I46" i="25"/>
  <c r="H46" i="25" s="1"/>
  <c r="J49" i="25"/>
  <c r="I49" i="25"/>
  <c r="J57" i="25"/>
  <c r="J59" i="25"/>
  <c r="I59" i="25"/>
  <c r="J82" i="25"/>
  <c r="I82" i="25"/>
  <c r="J70" i="25"/>
  <c r="I70" i="25"/>
  <c r="H70" i="25" s="1"/>
  <c r="I73" i="25"/>
  <c r="H73" i="25" s="1"/>
  <c r="I31" i="25"/>
  <c r="H31" i="25" s="1"/>
  <c r="I56" i="25"/>
  <c r="H56" i="25" s="1"/>
  <c r="H65" i="25"/>
  <c r="I72" i="25"/>
  <c r="H93" i="25"/>
  <c r="I126" i="25"/>
  <c r="J126" i="25"/>
  <c r="J151" i="25"/>
  <c r="I151" i="25"/>
  <c r="H151" i="25" s="1"/>
  <c r="I28" i="25"/>
  <c r="H28" i="25" s="1"/>
  <c r="I39" i="25"/>
  <c r="H39" i="25" s="1"/>
  <c r="J72" i="25"/>
  <c r="J100" i="25"/>
  <c r="J69" i="25"/>
  <c r="I69" i="25"/>
  <c r="I107" i="25"/>
  <c r="J112" i="25"/>
  <c r="I112" i="25"/>
  <c r="J107" i="25"/>
  <c r="I118" i="25"/>
  <c r="J118" i="25"/>
  <c r="I116" i="25"/>
  <c r="J116" i="25"/>
  <c r="J105" i="25"/>
  <c r="I105" i="25"/>
  <c r="I130" i="25"/>
  <c r="H130" i="25" s="1"/>
  <c r="J134" i="25"/>
  <c r="I95" i="25"/>
  <c r="H95" i="25" s="1"/>
  <c r="I66" i="25"/>
  <c r="I76" i="25"/>
  <c r="I77" i="25"/>
  <c r="H77" i="25" s="1"/>
  <c r="J66" i="25"/>
  <c r="J76" i="25"/>
  <c r="J77" i="25"/>
  <c r="H83" i="25"/>
  <c r="I147" i="25"/>
  <c r="H147" i="25" s="1"/>
  <c r="J159" i="25"/>
  <c r="I159" i="25"/>
  <c r="J163" i="25"/>
  <c r="H163" i="25" s="1"/>
  <c r="J117" i="25"/>
  <c r="I117" i="25"/>
  <c r="I175" i="25"/>
  <c r="H175" i="25" s="1"/>
  <c r="I185" i="25"/>
  <c r="J185" i="25"/>
  <c r="H97" i="25"/>
  <c r="J103" i="25"/>
  <c r="I103" i="25"/>
  <c r="J128" i="25"/>
  <c r="I128" i="25"/>
  <c r="I145" i="25"/>
  <c r="J145" i="25"/>
  <c r="J119" i="25"/>
  <c r="I119" i="25"/>
  <c r="J158" i="25"/>
  <c r="I158" i="25"/>
  <c r="H148" i="25"/>
  <c r="I200" i="25"/>
  <c r="H200" i="25" s="1"/>
  <c r="H206" i="25"/>
  <c r="J139" i="25"/>
  <c r="J146" i="25"/>
  <c r="H146" i="25" s="1"/>
  <c r="J173" i="25"/>
  <c r="J179" i="25"/>
  <c r="H179" i="25" s="1"/>
  <c r="H125" i="25"/>
  <c r="H137" i="25"/>
  <c r="H153" i="25"/>
  <c r="H136" i="25"/>
  <c r="H172" i="25"/>
  <c r="J152" i="25"/>
  <c r="H152" i="25" s="1"/>
  <c r="J165" i="25"/>
  <c r="H165" i="25" s="1"/>
  <c r="J177" i="25"/>
  <c r="H177" i="25" s="1"/>
  <c r="H187" i="25"/>
  <c r="I189" i="25"/>
  <c r="H189" i="25" s="1"/>
  <c r="J192" i="25"/>
  <c r="I192" i="25"/>
  <c r="I141" i="25"/>
  <c r="H141" i="25" s="1"/>
  <c r="J210" i="25"/>
  <c r="H210" i="25" s="1"/>
  <c r="J199" i="25"/>
  <c r="I199" i="25"/>
  <c r="H199" i="25" s="1"/>
  <c r="I183" i="25"/>
  <c r="H183" i="25" s="1"/>
  <c r="I184" i="25"/>
  <c r="H184" i="25" s="1"/>
  <c r="J201" i="25"/>
  <c r="I201" i="25"/>
  <c r="J169" i="25"/>
  <c r="H169" i="25" s="1"/>
  <c r="J209" i="25"/>
  <c r="I209" i="25"/>
  <c r="J211" i="25"/>
  <c r="I211" i="25"/>
  <c r="H197" i="25"/>
  <c r="I214" i="25"/>
  <c r="H214" i="25" s="1"/>
  <c r="J205" i="25"/>
  <c r="C33" i="5"/>
  <c r="E42" i="5"/>
  <c r="D42" i="5"/>
  <c r="D54" i="5"/>
  <c r="B54" i="5"/>
  <c r="D56" i="5"/>
  <c r="E72" i="5"/>
  <c r="D86" i="5"/>
  <c r="B86" i="5"/>
  <c r="D88" i="5"/>
  <c r="E99" i="5"/>
  <c r="D99" i="5"/>
  <c r="C99" i="5"/>
  <c r="D102" i="5"/>
  <c r="B102" i="5"/>
  <c r="D104" i="5"/>
  <c r="D33" i="5"/>
  <c r="E51" i="5"/>
  <c r="D51" i="5"/>
  <c r="C51" i="5"/>
  <c r="E67" i="5"/>
  <c r="D67" i="5"/>
  <c r="C67" i="5"/>
  <c r="E83" i="5"/>
  <c r="D83" i="5"/>
  <c r="C83" i="5"/>
  <c r="E88" i="5"/>
  <c r="E104" i="5"/>
  <c r="E117" i="5"/>
  <c r="D117" i="5"/>
  <c r="C117" i="5"/>
  <c r="B117" i="5"/>
  <c r="D70" i="5"/>
  <c r="B70" i="5"/>
  <c r="E150" i="5"/>
  <c r="D150" i="5"/>
  <c r="C150" i="5"/>
  <c r="B150" i="5"/>
  <c r="C40" i="5"/>
  <c r="E92" i="5"/>
  <c r="D92" i="5"/>
  <c r="C92" i="5"/>
  <c r="E111" i="5"/>
  <c r="C125" i="5"/>
  <c r="B125" i="5"/>
  <c r="E125" i="5"/>
  <c r="D125" i="5"/>
  <c r="D135" i="5"/>
  <c r="B135" i="5"/>
  <c r="E60" i="5"/>
  <c r="D60" i="5"/>
  <c r="C60" i="5"/>
  <c r="E76" i="5"/>
  <c r="D76" i="5"/>
  <c r="C76" i="5"/>
  <c r="E108" i="5"/>
  <c r="D108" i="5"/>
  <c r="C108" i="5"/>
  <c r="E134" i="5"/>
  <c r="D134" i="5"/>
  <c r="C134" i="5"/>
  <c r="E149" i="5"/>
  <c r="D149" i="5"/>
  <c r="B149" i="5"/>
  <c r="E157" i="5"/>
  <c r="D157" i="5"/>
  <c r="C157" i="5"/>
  <c r="B157" i="5"/>
  <c r="D36" i="5"/>
  <c r="E38" i="5"/>
  <c r="C39" i="5"/>
  <c r="B39" i="5"/>
  <c r="D47" i="5"/>
  <c r="C47" i="5"/>
  <c r="E49" i="5"/>
  <c r="C50" i="5"/>
  <c r="D66" i="5"/>
  <c r="D82" i="5"/>
  <c r="E116" i="5"/>
  <c r="D116" i="5"/>
  <c r="C116" i="5"/>
  <c r="E35" i="5"/>
  <c r="D35" i="5"/>
  <c r="C35" i="5"/>
  <c r="B41" i="5"/>
  <c r="B160" i="5"/>
  <c r="E160" i="5"/>
  <c r="D160" i="5"/>
  <c r="D38" i="5"/>
  <c r="B38" i="5"/>
  <c r="E41" i="5"/>
  <c r="E58" i="5"/>
  <c r="D58" i="5"/>
  <c r="D63" i="5"/>
  <c r="C63" i="5"/>
  <c r="E74" i="5"/>
  <c r="D74" i="5"/>
  <c r="D79" i="5"/>
  <c r="C79" i="5"/>
  <c r="E90" i="5"/>
  <c r="D90" i="5"/>
  <c r="D93" i="5"/>
  <c r="D95" i="5"/>
  <c r="C95" i="5"/>
  <c r="E106" i="5"/>
  <c r="D106" i="5"/>
  <c r="E123" i="5"/>
  <c r="D123" i="5"/>
  <c r="B123" i="5"/>
  <c r="E46" i="5"/>
  <c r="B46" i="5"/>
  <c r="D77" i="5"/>
  <c r="D31" i="5"/>
  <c r="C31" i="5"/>
  <c r="D40" i="5"/>
  <c r="C54" i="5"/>
  <c r="C56" i="5"/>
  <c r="C70" i="5"/>
  <c r="C72" i="5"/>
  <c r="C86" i="5"/>
  <c r="C102" i="5"/>
  <c r="E119" i="5"/>
  <c r="E127" i="5"/>
  <c r="C127" i="5"/>
  <c r="B127" i="5"/>
  <c r="E33" i="5"/>
  <c r="E110" i="5"/>
  <c r="D110" i="5"/>
  <c r="C110" i="5"/>
  <c r="B110" i="5"/>
  <c r="D119" i="5"/>
  <c r="C119" i="5"/>
  <c r="B119" i="5"/>
  <c r="E139" i="5"/>
  <c r="B139" i="5"/>
  <c r="C208" i="5"/>
  <c r="B208" i="5"/>
  <c r="C34" i="5"/>
  <c r="E34" i="5"/>
  <c r="E45" i="5"/>
  <c r="C45" i="5"/>
  <c r="D39" i="5"/>
  <c r="B47" i="5"/>
  <c r="D62" i="5"/>
  <c r="E78" i="5"/>
  <c r="D78" i="5"/>
  <c r="B78" i="5"/>
  <c r="E94" i="5"/>
  <c r="D94" i="5"/>
  <c r="B94" i="5"/>
  <c r="E115" i="5"/>
  <c r="D126" i="5"/>
  <c r="E126" i="5"/>
  <c r="C126" i="5"/>
  <c r="E131" i="5"/>
  <c r="D131" i="5"/>
  <c r="B131" i="5"/>
  <c r="E62" i="5"/>
  <c r="B62" i="5"/>
  <c r="E112" i="5"/>
  <c r="D112" i="5"/>
  <c r="C112" i="5"/>
  <c r="B112" i="5"/>
  <c r="E143" i="5"/>
  <c r="D143" i="5"/>
  <c r="C143" i="5"/>
  <c r="T29" i="5"/>
  <c r="B29" i="5" s="1"/>
  <c r="E55" i="5"/>
  <c r="D71" i="5"/>
  <c r="C71" i="5"/>
  <c r="B71" i="5"/>
  <c r="E77" i="5"/>
  <c r="E87" i="5"/>
  <c r="D55" i="5"/>
  <c r="C55" i="5"/>
  <c r="B55" i="5"/>
  <c r="E70" i="5"/>
  <c r="D87" i="5"/>
  <c r="C87" i="5"/>
  <c r="B87" i="5"/>
  <c r="D103" i="5"/>
  <c r="C103" i="5"/>
  <c r="B103" i="5"/>
  <c r="E118" i="5"/>
  <c r="D118" i="5"/>
  <c r="C118" i="5"/>
  <c r="C168" i="5"/>
  <c r="B168" i="5"/>
  <c r="D168" i="5"/>
  <c r="E31" i="5"/>
  <c r="C41" i="5"/>
  <c r="E44" i="5"/>
  <c r="D44" i="5"/>
  <c r="C44" i="5"/>
  <c r="E54" i="5"/>
  <c r="B63" i="5"/>
  <c r="D65" i="5"/>
  <c r="E79" i="5"/>
  <c r="D81" i="5"/>
  <c r="E86" i="5"/>
  <c r="E95" i="5"/>
  <c r="D97" i="5"/>
  <c r="E102" i="5"/>
  <c r="E109" i="5"/>
  <c r="C109" i="5"/>
  <c r="B109" i="5"/>
  <c r="C36" i="5"/>
  <c r="D43" i="5"/>
  <c r="E50" i="5"/>
  <c r="C52" i="5"/>
  <c r="D59" i="5"/>
  <c r="E66" i="5"/>
  <c r="C68" i="5"/>
  <c r="D75" i="5"/>
  <c r="E82" i="5"/>
  <c r="C84" i="5"/>
  <c r="D91" i="5"/>
  <c r="E98" i="5"/>
  <c r="C100" i="5"/>
  <c r="D107" i="5"/>
  <c r="D115" i="5"/>
  <c r="C122" i="5"/>
  <c r="E148" i="5"/>
  <c r="D155" i="5"/>
  <c r="C169" i="5"/>
  <c r="C172" i="5"/>
  <c r="B172" i="5"/>
  <c r="B189" i="5"/>
  <c r="E195" i="5"/>
  <c r="C195" i="5"/>
  <c r="B195" i="5"/>
  <c r="E208" i="5"/>
  <c r="D214" i="5"/>
  <c r="C215" i="5"/>
  <c r="E221" i="5"/>
  <c r="D221" i="5"/>
  <c r="D243" i="5"/>
  <c r="E243" i="5"/>
  <c r="C243" i="5"/>
  <c r="B243" i="5"/>
  <c r="C61" i="5"/>
  <c r="C77" i="5"/>
  <c r="C93" i="5"/>
  <c r="B113" i="5"/>
  <c r="E122" i="5"/>
  <c r="C123" i="5"/>
  <c r="C131" i="5"/>
  <c r="B152" i="5"/>
  <c r="E153" i="5"/>
  <c r="B159" i="5"/>
  <c r="C160" i="5"/>
  <c r="E165" i="5"/>
  <c r="B165" i="5"/>
  <c r="D169" i="5"/>
  <c r="D191" i="5"/>
  <c r="C191" i="5"/>
  <c r="E214" i="5"/>
  <c r="D215" i="5"/>
  <c r="E220" i="5"/>
  <c r="D220" i="5"/>
  <c r="E222" i="5"/>
  <c r="E229" i="5"/>
  <c r="D229" i="5"/>
  <c r="B229" i="5"/>
  <c r="D111" i="5"/>
  <c r="D120" i="5"/>
  <c r="D128" i="5"/>
  <c r="E161" i="5"/>
  <c r="D161" i="5"/>
  <c r="E193" i="5"/>
  <c r="D193" i="5"/>
  <c r="D206" i="5"/>
  <c r="C206" i="5"/>
  <c r="E129" i="5"/>
  <c r="C156" i="5"/>
  <c r="D171" i="5"/>
  <c r="D172" i="5"/>
  <c r="C196" i="5"/>
  <c r="D114" i="5"/>
  <c r="E121" i="5"/>
  <c r="B137" i="5"/>
  <c r="C153" i="5"/>
  <c r="D156" i="5"/>
  <c r="D162" i="5"/>
  <c r="E172" i="5"/>
  <c r="C173" i="5"/>
  <c r="B191" i="5"/>
  <c r="D195" i="5"/>
  <c r="E205" i="5"/>
  <c r="D205" i="5"/>
  <c r="C205" i="5"/>
  <c r="C147" i="5"/>
  <c r="D153" i="5"/>
  <c r="E156" i="5"/>
  <c r="D167" i="5"/>
  <c r="C167" i="5"/>
  <c r="E173" i="5"/>
  <c r="E177" i="5"/>
  <c r="D177" i="5"/>
  <c r="C180" i="5"/>
  <c r="E180" i="5"/>
  <c r="E181" i="5"/>
  <c r="E209" i="5"/>
  <c r="B221" i="5"/>
  <c r="E227" i="5"/>
  <c r="D227" i="5"/>
  <c r="AB8" i="5"/>
  <c r="B129" i="5"/>
  <c r="D140" i="5"/>
  <c r="C144" i="5"/>
  <c r="D154" i="5"/>
  <c r="C166" i="5"/>
  <c r="B174" i="5"/>
  <c r="C194" i="5"/>
  <c r="E204" i="5"/>
  <c r="C204" i="5"/>
  <c r="D226" i="5"/>
  <c r="C226" i="5"/>
  <c r="E226" i="5"/>
  <c r="D257" i="5"/>
  <c r="D379" i="5"/>
  <c r="C379" i="5"/>
  <c r="E379" i="5"/>
  <c r="B379" i="5"/>
  <c r="C129" i="5"/>
  <c r="C135" i="5"/>
  <c r="D166" i="5"/>
  <c r="D179" i="5"/>
  <c r="C179" i="5"/>
  <c r="D181" i="5"/>
  <c r="B181" i="5"/>
  <c r="B193" i="5"/>
  <c r="E194" i="5"/>
  <c r="C222" i="5"/>
  <c r="B257" i="5"/>
  <c r="E257" i="5"/>
  <c r="C257" i="5"/>
  <c r="C114" i="5"/>
  <c r="C121" i="5"/>
  <c r="D138" i="5"/>
  <c r="D151" i="5"/>
  <c r="C151" i="5"/>
  <c r="C161" i="5"/>
  <c r="E168" i="5"/>
  <c r="E183" i="5"/>
  <c r="D183" i="5"/>
  <c r="C183" i="5"/>
  <c r="B186" i="5"/>
  <c r="D186" i="5"/>
  <c r="D216" i="5"/>
  <c r="E216" i="5"/>
  <c r="C216" i="5"/>
  <c r="D222" i="5"/>
  <c r="D240" i="5"/>
  <c r="C240" i="5"/>
  <c r="B240" i="5"/>
  <c r="C30" i="5"/>
  <c r="D37" i="5"/>
  <c r="C46" i="5"/>
  <c r="D53" i="5"/>
  <c r="C62" i="5"/>
  <c r="D69" i="5"/>
  <c r="E114" i="5"/>
  <c r="D121" i="5"/>
  <c r="D130" i="5"/>
  <c r="E145" i="5"/>
  <c r="D147" i="5"/>
  <c r="D163" i="5"/>
  <c r="C163" i="5"/>
  <c r="E169" i="5"/>
  <c r="E185" i="5"/>
  <c r="D185" i="5"/>
  <c r="C185" i="5"/>
  <c r="E187" i="5"/>
  <c r="D187" i="5"/>
  <c r="B187" i="5"/>
  <c r="D198" i="5"/>
  <c r="C198" i="5"/>
  <c r="D199" i="5"/>
  <c r="C199" i="5"/>
  <c r="E201" i="5"/>
  <c r="D201" i="5"/>
  <c r="E213" i="5"/>
  <c r="D213" i="5"/>
  <c r="C213" i="5"/>
  <c r="E147" i="5"/>
  <c r="C155" i="5"/>
  <c r="B203" i="5"/>
  <c r="D203" i="5"/>
  <c r="E231" i="5"/>
  <c r="B234" i="5"/>
  <c r="D234" i="5"/>
  <c r="C234" i="5"/>
  <c r="B89" i="5"/>
  <c r="C115" i="5"/>
  <c r="E142" i="5"/>
  <c r="D142" i="5"/>
  <c r="E170" i="5"/>
  <c r="D170" i="5"/>
  <c r="C170" i="5"/>
  <c r="D231" i="5"/>
  <c r="C231" i="5"/>
  <c r="B231" i="5"/>
  <c r="E256" i="5"/>
  <c r="C256" i="5"/>
  <c r="D256" i="5"/>
  <c r="C105" i="5"/>
  <c r="B133" i="5"/>
  <c r="E135" i="5"/>
  <c r="C138" i="5"/>
  <c r="C139" i="5"/>
  <c r="B151" i="5"/>
  <c r="C171" i="5"/>
  <c r="D176" i="5"/>
  <c r="B183" i="5"/>
  <c r="E197" i="5"/>
  <c r="C197" i="5"/>
  <c r="C66" i="5"/>
  <c r="D73" i="5"/>
  <c r="C82" i="5"/>
  <c r="D89" i="5"/>
  <c r="C98" i="5"/>
  <c r="E113" i="5"/>
  <c r="C130" i="5"/>
  <c r="C133" i="5"/>
  <c r="C148" i="5"/>
  <c r="B185" i="5"/>
  <c r="C187" i="5"/>
  <c r="E211" i="5"/>
  <c r="C211" i="5"/>
  <c r="B211" i="5"/>
  <c r="E224" i="5"/>
  <c r="D224" i="5"/>
  <c r="D133" i="5"/>
  <c r="B196" i="5"/>
  <c r="D196" i="5"/>
  <c r="D210" i="5"/>
  <c r="C210" i="5"/>
  <c r="E238" i="5"/>
  <c r="D238" i="5"/>
  <c r="C238" i="5"/>
  <c r="D239" i="5"/>
  <c r="C239" i="5"/>
  <c r="B239" i="5"/>
  <c r="D248" i="5"/>
  <c r="E248" i="5"/>
  <c r="C248" i="5"/>
  <c r="E234" i="5"/>
  <c r="E237" i="5"/>
  <c r="E246" i="5"/>
  <c r="E255" i="5"/>
  <c r="C255" i="5"/>
  <c r="B255" i="5"/>
  <c r="E274" i="5"/>
  <c r="E356" i="5"/>
  <c r="B356" i="5"/>
  <c r="D351" i="5"/>
  <c r="E351" i="5"/>
  <c r="C351" i="5"/>
  <c r="D296" i="5"/>
  <c r="C296" i="5"/>
  <c r="E346" i="5"/>
  <c r="D346" i="5"/>
  <c r="C346" i="5"/>
  <c r="B346" i="5"/>
  <c r="E258" i="5"/>
  <c r="C258" i="5"/>
  <c r="D261" i="5"/>
  <c r="E284" i="5"/>
  <c r="E333" i="5"/>
  <c r="D333" i="5"/>
  <c r="B333" i="5"/>
  <c r="D208" i="5"/>
  <c r="D218" i="5"/>
  <c r="E235" i="5"/>
  <c r="C235" i="5"/>
  <c r="E239" i="5"/>
  <c r="D300" i="5"/>
  <c r="E340" i="5"/>
  <c r="D340" i="5"/>
  <c r="C340" i="5"/>
  <c r="B340" i="5"/>
  <c r="B370" i="5"/>
  <c r="E370" i="5"/>
  <c r="D370" i="5"/>
  <c r="C370" i="5"/>
  <c r="E191" i="5"/>
  <c r="C193" i="5"/>
  <c r="C219" i="5"/>
  <c r="D255" i="5"/>
  <c r="E282" i="5"/>
  <c r="D294" i="5"/>
  <c r="C294" i="5"/>
  <c r="E300" i="5"/>
  <c r="C302" i="5"/>
  <c r="B302" i="5"/>
  <c r="D304" i="5"/>
  <c r="C304" i="5"/>
  <c r="E319" i="5"/>
  <c r="D319" i="5"/>
  <c r="C319" i="5"/>
  <c r="B319" i="5"/>
  <c r="C209" i="5"/>
  <c r="C225" i="5"/>
  <c r="D228" i="5"/>
  <c r="B228" i="5"/>
  <c r="D244" i="5"/>
  <c r="B244" i="5"/>
  <c r="B262" i="5"/>
  <c r="D262" i="5"/>
  <c r="E280" i="5"/>
  <c r="D286" i="5"/>
  <c r="D332" i="5"/>
  <c r="C332" i="5"/>
  <c r="E332" i="5"/>
  <c r="C236" i="5"/>
  <c r="E249" i="5"/>
  <c r="D249" i="5"/>
  <c r="D265" i="5"/>
  <c r="B265" i="5"/>
  <c r="E266" i="5"/>
  <c r="C266" i="5"/>
  <c r="D270" i="5"/>
  <c r="E286" i="5"/>
  <c r="E323" i="5"/>
  <c r="D323" i="5"/>
  <c r="C323" i="5"/>
  <c r="B323" i="5"/>
  <c r="E207" i="5"/>
  <c r="D267" i="5"/>
  <c r="B267" i="5"/>
  <c r="E268" i="5"/>
  <c r="C268" i="5"/>
  <c r="E337" i="5"/>
  <c r="D337" i="5"/>
  <c r="C337" i="5"/>
  <c r="B337" i="5"/>
  <c r="D158" i="5"/>
  <c r="D174" i="5"/>
  <c r="D189" i="5"/>
  <c r="C202" i="5"/>
  <c r="E217" i="5"/>
  <c r="D217" i="5"/>
  <c r="E219" i="5"/>
  <c r="D232" i="5"/>
  <c r="D235" i="5"/>
  <c r="E240" i="5"/>
  <c r="C244" i="5"/>
  <c r="D258" i="5"/>
  <c r="B260" i="5"/>
  <c r="C261" i="5"/>
  <c r="E269" i="5"/>
  <c r="B269" i="5"/>
  <c r="D290" i="5"/>
  <c r="D292" i="5"/>
  <c r="C292" i="5"/>
  <c r="C334" i="5"/>
  <c r="B410" i="5"/>
  <c r="E410" i="5"/>
  <c r="D209" i="5"/>
  <c r="E244" i="5"/>
  <c r="E250" i="5"/>
  <c r="E260" i="5"/>
  <c r="E261" i="5"/>
  <c r="B278" i="5"/>
  <c r="E278" i="5"/>
  <c r="E290" i="5"/>
  <c r="D298" i="5"/>
  <c r="E344" i="5"/>
  <c r="D344" i="5"/>
  <c r="C344" i="5"/>
  <c r="B344" i="5"/>
  <c r="E358" i="5"/>
  <c r="D358" i="5"/>
  <c r="C358" i="5"/>
  <c r="B358" i="5"/>
  <c r="C284" i="5"/>
  <c r="E296" i="5"/>
  <c r="E298" i="5"/>
  <c r="D328" i="5"/>
  <c r="B328" i="5"/>
  <c r="E331" i="5"/>
  <c r="D363" i="5"/>
  <c r="E363" i="5"/>
  <c r="C363" i="5"/>
  <c r="B363" i="5"/>
  <c r="E372" i="5"/>
  <c r="C372" i="5"/>
  <c r="D372" i="5"/>
  <c r="C241" i="5"/>
  <c r="E252" i="5"/>
  <c r="C252" i="5"/>
  <c r="E327" i="5"/>
  <c r="D327" i="5"/>
  <c r="C327" i="5"/>
  <c r="D331" i="5"/>
  <c r="C331" i="5"/>
  <c r="B331" i="5"/>
  <c r="C357" i="5"/>
  <c r="D357" i="5"/>
  <c r="E357" i="5"/>
  <c r="D184" i="5"/>
  <c r="E200" i="5"/>
  <c r="C203" i="5"/>
  <c r="D207" i="5"/>
  <c r="E225" i="5"/>
  <c r="E233" i="5"/>
  <c r="D233" i="5"/>
  <c r="E236" i="5"/>
  <c r="D245" i="5"/>
  <c r="C249" i="5"/>
  <c r="B266" i="5"/>
  <c r="B272" i="5"/>
  <c r="B401" i="5"/>
  <c r="E401" i="5"/>
  <c r="B237" i="5"/>
  <c r="C246" i="5"/>
  <c r="D247" i="5"/>
  <c r="E254" i="5"/>
  <c r="C254" i="5"/>
  <c r="D237" i="5"/>
  <c r="D246" i="5"/>
  <c r="E321" i="5"/>
  <c r="C321" i="5"/>
  <c r="B321" i="5"/>
  <c r="D347" i="5"/>
  <c r="E347" i="5"/>
  <c r="C347" i="5"/>
  <c r="B347" i="5"/>
  <c r="C367" i="5"/>
  <c r="B367" i="5"/>
  <c r="E388" i="5"/>
  <c r="C388" i="5"/>
  <c r="E420" i="5"/>
  <c r="D420" i="5"/>
  <c r="C420" i="5"/>
  <c r="B420" i="5"/>
  <c r="D342" i="5"/>
  <c r="D349" i="5"/>
  <c r="D352" i="5"/>
  <c r="C352" i="5"/>
  <c r="D362" i="5"/>
  <c r="D364" i="5"/>
  <c r="C383" i="5"/>
  <c r="E387" i="5"/>
  <c r="C317" i="5"/>
  <c r="E343" i="5"/>
  <c r="C343" i="5"/>
  <c r="C350" i="5"/>
  <c r="E362" i="5"/>
  <c r="C378" i="5"/>
  <c r="D378" i="5"/>
  <c r="B387" i="5"/>
  <c r="D387" i="5"/>
  <c r="C387" i="5"/>
  <c r="E515" i="5"/>
  <c r="C515" i="5"/>
  <c r="D515" i="5"/>
  <c r="E299" i="5"/>
  <c r="C301" i="5"/>
  <c r="B325" i="5"/>
  <c r="C330" i="5"/>
  <c r="D409" i="5"/>
  <c r="B409" i="5"/>
  <c r="E409" i="5"/>
  <c r="B436" i="5"/>
  <c r="E436" i="5"/>
  <c r="D436" i="5"/>
  <c r="C436" i="5"/>
  <c r="C285" i="5"/>
  <c r="D385" i="5"/>
  <c r="C385" i="5"/>
  <c r="E385" i="5"/>
  <c r="C390" i="5"/>
  <c r="C287" i="5"/>
  <c r="C295" i="5"/>
  <c r="D303" i="5"/>
  <c r="C305" i="5"/>
  <c r="C307" i="5"/>
  <c r="C309" i="5"/>
  <c r="D311" i="5"/>
  <c r="C313" i="5"/>
  <c r="C315" i="5"/>
  <c r="D317" i="5"/>
  <c r="D325" i="5"/>
  <c r="B330" i="5"/>
  <c r="D343" i="5"/>
  <c r="D353" i="5"/>
  <c r="C353" i="5"/>
  <c r="B364" i="5"/>
  <c r="E376" i="5"/>
  <c r="D376" i="5"/>
  <c r="C376" i="5"/>
  <c r="D390" i="5"/>
  <c r="E267" i="5"/>
  <c r="C269" i="5"/>
  <c r="D287" i="5"/>
  <c r="C289" i="5"/>
  <c r="C291" i="5"/>
  <c r="C293" i="5"/>
  <c r="D295" i="5"/>
  <c r="C297" i="5"/>
  <c r="C299" i="5"/>
  <c r="D301" i="5"/>
  <c r="D305" i="5"/>
  <c r="D307" i="5"/>
  <c r="D309" i="5"/>
  <c r="D315" i="5"/>
  <c r="E317" i="5"/>
  <c r="C328" i="5"/>
  <c r="E359" i="5"/>
  <c r="D359" i="5"/>
  <c r="E364" i="5"/>
  <c r="E366" i="5"/>
  <c r="D366" i="5"/>
  <c r="E404" i="5"/>
  <c r="D404" i="5"/>
  <c r="C404" i="5"/>
  <c r="B404" i="5"/>
  <c r="C242" i="5"/>
  <c r="C253" i="5"/>
  <c r="C271" i="5"/>
  <c r="C283" i="5"/>
  <c r="D285" i="5"/>
  <c r="D289" i="5"/>
  <c r="D291" i="5"/>
  <c r="D293" i="5"/>
  <c r="D297" i="5"/>
  <c r="D299" i="5"/>
  <c r="E301" i="5"/>
  <c r="C326" i="5"/>
  <c r="E330" i="5"/>
  <c r="C335" i="5"/>
  <c r="D373" i="5"/>
  <c r="E375" i="5"/>
  <c r="D375" i="5"/>
  <c r="D388" i="5"/>
  <c r="C251" i="5"/>
  <c r="C263" i="5"/>
  <c r="D283" i="5"/>
  <c r="E285" i="5"/>
  <c r="C341" i="5"/>
  <c r="D444" i="5"/>
  <c r="B444" i="5"/>
  <c r="E360" i="5"/>
  <c r="D360" i="5"/>
  <c r="D367" i="5"/>
  <c r="E383" i="5"/>
  <c r="E394" i="5"/>
  <c r="D308" i="5"/>
  <c r="E328" i="5"/>
  <c r="D336" i="5"/>
  <c r="C338" i="5"/>
  <c r="B341" i="5"/>
  <c r="B354" i="5"/>
  <c r="C354" i="5"/>
  <c r="E354" i="5"/>
  <c r="D368" i="5"/>
  <c r="C368" i="5"/>
  <c r="B395" i="5"/>
  <c r="D395" i="5"/>
  <c r="C395" i="5"/>
  <c r="B308" i="5"/>
  <c r="C312" i="5"/>
  <c r="B314" i="5"/>
  <c r="B316" i="5"/>
  <c r="C318" i="5"/>
  <c r="C320" i="5"/>
  <c r="C322" i="5"/>
  <c r="C324" i="5"/>
  <c r="D369" i="5"/>
  <c r="E369" i="5"/>
  <c r="D374" i="5"/>
  <c r="C402" i="5"/>
  <c r="B402" i="5"/>
  <c r="E402" i="5"/>
  <c r="D402" i="5"/>
  <c r="E426" i="5"/>
  <c r="D426" i="5"/>
  <c r="C426" i="5"/>
  <c r="B426" i="5"/>
  <c r="C306" i="5"/>
  <c r="D310" i="5"/>
  <c r="D318" i="5"/>
  <c r="D320" i="5"/>
  <c r="D322" i="5"/>
  <c r="E324" i="5"/>
  <c r="D334" i="5"/>
  <c r="B336" i="5"/>
  <c r="B339" i="5"/>
  <c r="E350" i="5"/>
  <c r="D356" i="5"/>
  <c r="E374" i="5"/>
  <c r="E389" i="5"/>
  <c r="C389" i="5"/>
  <c r="D389" i="5"/>
  <c r="D260" i="5"/>
  <c r="E308" i="5"/>
  <c r="E380" i="5"/>
  <c r="B380" i="5"/>
  <c r="E406" i="5"/>
  <c r="B406" i="5"/>
  <c r="E339" i="5"/>
  <c r="E355" i="5"/>
  <c r="D384" i="5"/>
  <c r="C384" i="5"/>
  <c r="D396" i="5"/>
  <c r="E419" i="5"/>
  <c r="D419" i="5"/>
  <c r="C419" i="5"/>
  <c r="E461" i="5"/>
  <c r="D461" i="5"/>
  <c r="C461" i="5"/>
  <c r="B533" i="5"/>
  <c r="D533" i="5"/>
  <c r="E538" i="5"/>
  <c r="C538" i="5"/>
  <c r="B538" i="5"/>
  <c r="D394" i="5"/>
  <c r="C410" i="5"/>
  <c r="E423" i="5"/>
  <c r="D423" i="5"/>
  <c r="C468" i="5"/>
  <c r="B468" i="5"/>
  <c r="E486" i="5"/>
  <c r="C486" i="5"/>
  <c r="D486" i="5"/>
  <c r="E520" i="5"/>
  <c r="C520" i="5"/>
  <c r="B520" i="5"/>
  <c r="D520" i="5"/>
  <c r="D556" i="5"/>
  <c r="D416" i="5"/>
  <c r="E416" i="5"/>
  <c r="C416" i="5"/>
  <c r="C418" i="5"/>
  <c r="D418" i="5"/>
  <c r="E424" i="5"/>
  <c r="D424" i="5"/>
  <c r="B424" i="5"/>
  <c r="E467" i="5"/>
  <c r="C467" i="5"/>
  <c r="B467" i="5"/>
  <c r="E556" i="5"/>
  <c r="B556" i="5"/>
  <c r="C430" i="5"/>
  <c r="E430" i="5"/>
  <c r="C431" i="5"/>
  <c r="B431" i="5"/>
  <c r="C448" i="5"/>
  <c r="B448" i="5"/>
  <c r="C511" i="5"/>
  <c r="E511" i="5"/>
  <c r="D511" i="5"/>
  <c r="E414" i="5"/>
  <c r="D414" i="5"/>
  <c r="C414" i="5"/>
  <c r="E452" i="5"/>
  <c r="B452" i="5"/>
  <c r="D454" i="5"/>
  <c r="C454" i="5"/>
  <c r="B454" i="5"/>
  <c r="E484" i="5"/>
  <c r="D484" i="5"/>
  <c r="C484" i="5"/>
  <c r="E497" i="5"/>
  <c r="E398" i="5"/>
  <c r="D398" i="5"/>
  <c r="C403" i="5"/>
  <c r="B412" i="5"/>
  <c r="C466" i="5"/>
  <c r="E466" i="5"/>
  <c r="D466" i="5"/>
  <c r="C377" i="5"/>
  <c r="E399" i="5"/>
  <c r="D403" i="5"/>
  <c r="D410" i="5"/>
  <c r="C412" i="5"/>
  <c r="B459" i="5"/>
  <c r="D459" i="5"/>
  <c r="C459" i="5"/>
  <c r="E478" i="5"/>
  <c r="D478" i="5"/>
  <c r="B478" i="5"/>
  <c r="E451" i="5"/>
  <c r="C451" i="5"/>
  <c r="B451" i="5"/>
  <c r="E458" i="5"/>
  <c r="B458" i="5"/>
  <c r="D458" i="5"/>
  <c r="E471" i="5"/>
  <c r="D471" i="5"/>
  <c r="C471" i="5"/>
  <c r="E476" i="5"/>
  <c r="C476" i="5"/>
  <c r="D476" i="5"/>
  <c r="E391" i="5"/>
  <c r="D391" i="5"/>
  <c r="C391" i="5"/>
  <c r="E392" i="5"/>
  <c r="D392" i="5"/>
  <c r="E400" i="5"/>
  <c r="D400" i="5"/>
  <c r="C400" i="5"/>
  <c r="E405" i="5"/>
  <c r="C405" i="5"/>
  <c r="C417" i="5"/>
  <c r="E418" i="5"/>
  <c r="C421" i="5"/>
  <c r="E495" i="5"/>
  <c r="D495" i="5"/>
  <c r="D528" i="5"/>
  <c r="C528" i="5"/>
  <c r="E563" i="5"/>
  <c r="D563" i="5"/>
  <c r="C563" i="5"/>
  <c r="B563" i="5"/>
  <c r="C345" i="5"/>
  <c r="E382" i="5"/>
  <c r="C393" i="5"/>
  <c r="C397" i="5"/>
  <c r="D417" i="5"/>
  <c r="D430" i="5"/>
  <c r="C465" i="5"/>
  <c r="E465" i="5"/>
  <c r="D465" i="5"/>
  <c r="C494" i="5"/>
  <c r="E562" i="5"/>
  <c r="D562" i="5"/>
  <c r="C562" i="5"/>
  <c r="D393" i="5"/>
  <c r="B393" i="5"/>
  <c r="D397" i="5"/>
  <c r="E417" i="5"/>
  <c r="B423" i="5"/>
  <c r="E446" i="5"/>
  <c r="D446" i="5"/>
  <c r="C452" i="5"/>
  <c r="E494" i="5"/>
  <c r="D494" i="5"/>
  <c r="D501" i="5"/>
  <c r="E501" i="5"/>
  <c r="B501" i="5"/>
  <c r="C398" i="5"/>
  <c r="C413" i="5"/>
  <c r="C415" i="5"/>
  <c r="D452" i="5"/>
  <c r="C464" i="5"/>
  <c r="B464" i="5"/>
  <c r="B484" i="5"/>
  <c r="D401" i="5"/>
  <c r="C401" i="5"/>
  <c r="D415" i="5"/>
  <c r="E459" i="5"/>
  <c r="D508" i="5"/>
  <c r="E407" i="5"/>
  <c r="D407" i="5"/>
  <c r="C407" i="5"/>
  <c r="E408" i="5"/>
  <c r="D408" i="5"/>
  <c r="E438" i="5"/>
  <c r="D438" i="5"/>
  <c r="C438" i="5"/>
  <c r="E455" i="5"/>
  <c r="D455" i="5"/>
  <c r="C455" i="5"/>
  <c r="C470" i="5"/>
  <c r="B470" i="5"/>
  <c r="C557" i="5"/>
  <c r="D557" i="5"/>
  <c r="E557" i="5"/>
  <c r="E345" i="5"/>
  <c r="E371" i="5"/>
  <c r="C382" i="5"/>
  <c r="D386" i="5"/>
  <c r="D399" i="5"/>
  <c r="C409" i="5"/>
  <c r="D469" i="5"/>
  <c r="E469" i="5"/>
  <c r="C469" i="5"/>
  <c r="B551" i="5"/>
  <c r="E460" i="5"/>
  <c r="C460" i="5"/>
  <c r="E470" i="5"/>
  <c r="D475" i="5"/>
  <c r="D554" i="5"/>
  <c r="C554" i="5"/>
  <c r="C424" i="5"/>
  <c r="C433" i="5"/>
  <c r="C442" i="5"/>
  <c r="E454" i="5"/>
  <c r="E475" i="5"/>
  <c r="C478" i="5"/>
  <c r="C508" i="5"/>
  <c r="D543" i="5"/>
  <c r="E555" i="5"/>
  <c r="D555" i="5"/>
  <c r="B555" i="5"/>
  <c r="D431" i="5"/>
  <c r="E444" i="5"/>
  <c r="C444" i="5"/>
  <c r="C453" i="5"/>
  <c r="D467" i="5"/>
  <c r="E479" i="5"/>
  <c r="D479" i="5"/>
  <c r="B499" i="5"/>
  <c r="E521" i="5"/>
  <c r="B521" i="5"/>
  <c r="C553" i="5"/>
  <c r="E553" i="5"/>
  <c r="E573" i="5"/>
  <c r="D564" i="5"/>
  <c r="E564" i="5"/>
  <c r="C564" i="5"/>
  <c r="E489" i="5"/>
  <c r="D489" i="5"/>
  <c r="C489" i="5"/>
  <c r="E422" i="5"/>
  <c r="E427" i="5"/>
  <c r="E428" i="5"/>
  <c r="D434" i="5"/>
  <c r="C437" i="5"/>
  <c r="E443" i="5"/>
  <c r="D449" i="5"/>
  <c r="D460" i="5"/>
  <c r="D497" i="5"/>
  <c r="B513" i="5"/>
  <c r="B519" i="5"/>
  <c r="C519" i="5"/>
  <c r="C550" i="5"/>
  <c r="E550" i="5"/>
  <c r="D550" i="5"/>
  <c r="C552" i="5"/>
  <c r="D552" i="5"/>
  <c r="D425" i="5"/>
  <c r="C425" i="5"/>
  <c r="E437" i="5"/>
  <c r="E449" i="5"/>
  <c r="D450" i="5"/>
  <c r="D456" i="5"/>
  <c r="C456" i="5"/>
  <c r="E490" i="5"/>
  <c r="B490" i="5"/>
  <c r="E492" i="5"/>
  <c r="C492" i="5"/>
  <c r="E572" i="5"/>
  <c r="D572" i="5"/>
  <c r="C572" i="5"/>
  <c r="E450" i="5"/>
  <c r="D457" i="5"/>
  <c r="C457" i="5"/>
  <c r="D470" i="5"/>
  <c r="D473" i="5"/>
  <c r="C473" i="5"/>
  <c r="E485" i="5"/>
  <c r="C491" i="5"/>
  <c r="B491" i="5"/>
  <c r="E530" i="5"/>
  <c r="D530" i="5"/>
  <c r="C530" i="5"/>
  <c r="B536" i="5"/>
  <c r="E536" i="5"/>
  <c r="C536" i="5"/>
  <c r="D548" i="5"/>
  <c r="E548" i="5"/>
  <c r="C548" i="5"/>
  <c r="B561" i="5"/>
  <c r="D561" i="5"/>
  <c r="E579" i="5"/>
  <c r="D579" i="5"/>
  <c r="C579" i="5"/>
  <c r="B579" i="5"/>
  <c r="B428" i="5"/>
  <c r="C446" i="5"/>
  <c r="E463" i="5"/>
  <c r="D463" i="5"/>
  <c r="E529" i="5"/>
  <c r="D529" i="5"/>
  <c r="E535" i="5"/>
  <c r="D535" i="5"/>
  <c r="C535" i="5"/>
  <c r="E546" i="5"/>
  <c r="D546" i="5"/>
  <c r="C546" i="5"/>
  <c r="D560" i="5"/>
  <c r="E560" i="5"/>
  <c r="C560" i="5"/>
  <c r="E582" i="5"/>
  <c r="B422" i="5"/>
  <c r="C428" i="5"/>
  <c r="E431" i="5"/>
  <c r="C435" i="5"/>
  <c r="D440" i="5"/>
  <c r="C440" i="5"/>
  <c r="D441" i="5"/>
  <c r="C441" i="5"/>
  <c r="B445" i="5"/>
  <c r="E447" i="5"/>
  <c r="D447" i="5"/>
  <c r="C479" i="5"/>
  <c r="D509" i="5"/>
  <c r="E509" i="5"/>
  <c r="C509" i="5"/>
  <c r="D510" i="5"/>
  <c r="C510" i="5"/>
  <c r="D517" i="5"/>
  <c r="D547" i="5"/>
  <c r="C547" i="5"/>
  <c r="C549" i="5"/>
  <c r="D549" i="5"/>
  <c r="E554" i="5"/>
  <c r="E566" i="5"/>
  <c r="E608" i="5"/>
  <c r="E464" i="5"/>
  <c r="E474" i="5"/>
  <c r="B474" i="5"/>
  <c r="C487" i="5"/>
  <c r="E503" i="5"/>
  <c r="D503" i="5"/>
  <c r="C503" i="5"/>
  <c r="E508" i="5"/>
  <c r="E517" i="5"/>
  <c r="E570" i="5"/>
  <c r="C570" i="5"/>
  <c r="E571" i="5"/>
  <c r="C571" i="5"/>
  <c r="E577" i="5"/>
  <c r="B577" i="5"/>
  <c r="E542" i="5"/>
  <c r="D542" i="5"/>
  <c r="B542" i="5"/>
  <c r="B543" i="5"/>
  <c r="C543" i="5"/>
  <c r="D545" i="5"/>
  <c r="C545" i="5"/>
  <c r="D477" i="5"/>
  <c r="E496" i="5"/>
  <c r="D498" i="5"/>
  <c r="C498" i="5"/>
  <c r="E500" i="5"/>
  <c r="C500" i="5"/>
  <c r="E502" i="5"/>
  <c r="B502" i="5"/>
  <c r="D505" i="5"/>
  <c r="D507" i="5"/>
  <c r="C507" i="5"/>
  <c r="B507" i="5"/>
  <c r="D522" i="5"/>
  <c r="B522" i="5"/>
  <c r="E523" i="5"/>
  <c r="D523" i="5"/>
  <c r="C541" i="5"/>
  <c r="D541" i="5"/>
  <c r="E541" i="5"/>
  <c r="D568" i="5"/>
  <c r="C568" i="5"/>
  <c r="B568" i="5"/>
  <c r="E569" i="5"/>
  <c r="D569" i="5"/>
  <c r="E442" i="5"/>
  <c r="B442" i="5"/>
  <c r="C497" i="5"/>
  <c r="E506" i="5"/>
  <c r="C506" i="5"/>
  <c r="C556" i="5"/>
  <c r="E561" i="5"/>
  <c r="D593" i="5"/>
  <c r="C593" i="5"/>
  <c r="E593" i="5"/>
  <c r="C526" i="5"/>
  <c r="C533" i="5"/>
  <c r="E600" i="5"/>
  <c r="C600" i="5"/>
  <c r="D608" i="5"/>
  <c r="C608" i="5"/>
  <c r="C472" i="5"/>
  <c r="C488" i="5"/>
  <c r="C524" i="5"/>
  <c r="C531" i="5"/>
  <c r="C534" i="5"/>
  <c r="C539" i="5"/>
  <c r="C558" i="5"/>
  <c r="C575" i="5"/>
  <c r="C577" i="5"/>
  <c r="E586" i="5"/>
  <c r="C587" i="5"/>
  <c r="D610" i="5"/>
  <c r="C617" i="5"/>
  <c r="B617" i="5"/>
  <c r="E652" i="5"/>
  <c r="D652" i="5"/>
  <c r="B652" i="5"/>
  <c r="D539" i="5"/>
  <c r="E559" i="5"/>
  <c r="B559" i="5"/>
  <c r="C566" i="5"/>
  <c r="D587" i="5"/>
  <c r="E598" i="5"/>
  <c r="C537" i="5"/>
  <c r="D565" i="5"/>
  <c r="E567" i="5"/>
  <c r="C567" i="5"/>
  <c r="D597" i="5"/>
  <c r="C597" i="5"/>
  <c r="D615" i="5"/>
  <c r="C615" i="5"/>
  <c r="C518" i="5"/>
  <c r="C527" i="5"/>
  <c r="E551" i="5"/>
  <c r="E583" i="5"/>
  <c r="D596" i="5"/>
  <c r="C596" i="5"/>
  <c r="D601" i="5"/>
  <c r="E626" i="5"/>
  <c r="D626" i="5"/>
  <c r="D595" i="5"/>
  <c r="C595" i="5"/>
  <c r="E606" i="5"/>
  <c r="D606" i="5"/>
  <c r="C606" i="5"/>
  <c r="C633" i="5"/>
  <c r="B633" i="5"/>
  <c r="D633" i="5"/>
  <c r="C502" i="5"/>
  <c r="E516" i="5"/>
  <c r="D537" i="5"/>
  <c r="D566" i="5"/>
  <c r="D580" i="5"/>
  <c r="E580" i="5"/>
  <c r="E594" i="5"/>
  <c r="C594" i="5"/>
  <c r="D600" i="5"/>
  <c r="C620" i="5"/>
  <c r="E631" i="5"/>
  <c r="C573" i="5"/>
  <c r="D573" i="5"/>
  <c r="E581" i="5"/>
  <c r="D582" i="5"/>
  <c r="C582" i="5"/>
  <c r="C602" i="5"/>
  <c r="E602" i="5"/>
  <c r="D602" i="5"/>
  <c r="D603" i="5"/>
  <c r="C603" i="5"/>
  <c r="E603" i="5"/>
  <c r="D604" i="5"/>
  <c r="C604" i="5"/>
  <c r="B604" i="5"/>
  <c r="E620" i="5"/>
  <c r="B620" i="5"/>
  <c r="D631" i="5"/>
  <c r="B631" i="5"/>
  <c r="D432" i="5"/>
  <c r="D448" i="5"/>
  <c r="D464" i="5"/>
  <c r="D480" i="5"/>
  <c r="D496" i="5"/>
  <c r="C516" i="5"/>
  <c r="E518" i="5"/>
  <c r="C521" i="5"/>
  <c r="D551" i="5"/>
  <c r="C561" i="5"/>
  <c r="D567" i="5"/>
  <c r="D574" i="5"/>
  <c r="C574" i="5"/>
  <c r="D586" i="5"/>
  <c r="E592" i="5"/>
  <c r="C592" i="5"/>
  <c r="D635" i="5"/>
  <c r="B635" i="5"/>
  <c r="D502" i="5"/>
  <c r="D512" i="5"/>
  <c r="D516" i="5"/>
  <c r="E519" i="5"/>
  <c r="D544" i="5"/>
  <c r="E588" i="5"/>
  <c r="D588" i="5"/>
  <c r="B615" i="5"/>
  <c r="E624" i="5"/>
  <c r="D624" i="5"/>
  <c r="C624" i="5"/>
  <c r="B624" i="5"/>
  <c r="C505" i="5"/>
  <c r="E575" i="5"/>
  <c r="B575" i="5"/>
  <c r="C589" i="5"/>
  <c r="E589" i="5"/>
  <c r="D589" i="5"/>
  <c r="E612" i="5"/>
  <c r="D612" i="5"/>
  <c r="B612" i="5"/>
  <c r="D619" i="5"/>
  <c r="D630" i="5"/>
  <c r="C630" i="5"/>
  <c r="E630" i="5"/>
  <c r="D590" i="5"/>
  <c r="C590" i="5"/>
  <c r="E591" i="5"/>
  <c r="E596" i="5"/>
  <c r="E601" i="5"/>
  <c r="C605" i="5"/>
  <c r="E619" i="5"/>
  <c r="B619" i="5"/>
  <c r="C569" i="5"/>
  <c r="C591" i="5"/>
  <c r="B591" i="5"/>
  <c r="E595" i="5"/>
  <c r="D605" i="5"/>
  <c r="E611" i="5"/>
  <c r="C611" i="5"/>
  <c r="B611" i="5"/>
  <c r="E610" i="5"/>
  <c r="D616" i="5"/>
  <c r="B625" i="5"/>
  <c r="D636" i="5"/>
  <c r="C649" i="5"/>
  <c r="C652" i="5"/>
  <c r="D663" i="5"/>
  <c r="C663" i="5"/>
  <c r="E673" i="5"/>
  <c r="D673" i="5"/>
  <c r="C673" i="5"/>
  <c r="C599" i="5"/>
  <c r="C601" i="5"/>
  <c r="D611" i="5"/>
  <c r="B622" i="5"/>
  <c r="C628" i="5"/>
  <c r="C656" i="5"/>
  <c r="B692" i="5"/>
  <c r="D692" i="5"/>
  <c r="C692" i="5"/>
  <c r="B712" i="5"/>
  <c r="E712" i="5"/>
  <c r="D712" i="5"/>
  <c r="C712" i="5"/>
  <c r="D609" i="5"/>
  <c r="D640" i="5"/>
  <c r="D661" i="5"/>
  <c r="E661" i="5"/>
  <c r="E707" i="5"/>
  <c r="B707" i="5"/>
  <c r="E623" i="5"/>
  <c r="E651" i="5"/>
  <c r="D651" i="5"/>
  <c r="C651" i="5"/>
  <c r="D655" i="5"/>
  <c r="E658" i="5"/>
  <c r="D658" i="5"/>
  <c r="C658" i="5"/>
  <c r="B609" i="5"/>
  <c r="C614" i="5"/>
  <c r="E725" i="5"/>
  <c r="D725" i="5"/>
  <c r="C725" i="5"/>
  <c r="E766" i="5"/>
  <c r="D766" i="5"/>
  <c r="C766" i="5"/>
  <c r="B766" i="5"/>
  <c r="C730" i="5"/>
  <c r="B730" i="5"/>
  <c r="C581" i="5"/>
  <c r="C607" i="5"/>
  <c r="C623" i="5"/>
  <c r="D646" i="5"/>
  <c r="C646" i="5"/>
  <c r="C647" i="5"/>
  <c r="E650" i="5"/>
  <c r="C650" i="5"/>
  <c r="D657" i="5"/>
  <c r="D581" i="5"/>
  <c r="D614" i="5"/>
  <c r="D623" i="5"/>
  <c r="E663" i="5"/>
  <c r="E686" i="5"/>
  <c r="D686" i="5"/>
  <c r="C686" i="5"/>
  <c r="B686" i="5"/>
  <c r="C583" i="5"/>
  <c r="C598" i="5"/>
  <c r="E605" i="5"/>
  <c r="E614" i="5"/>
  <c r="E618" i="5"/>
  <c r="C618" i="5"/>
  <c r="C631" i="5"/>
  <c r="E633" i="5"/>
  <c r="E634" i="5"/>
  <c r="C634" i="5"/>
  <c r="C636" i="5"/>
  <c r="E649" i="5"/>
  <c r="E681" i="5"/>
  <c r="D681" i="5"/>
  <c r="C681" i="5"/>
  <c r="E724" i="5"/>
  <c r="C724" i="5"/>
  <c r="D724" i="5"/>
  <c r="E635" i="5"/>
  <c r="C635" i="5"/>
  <c r="E656" i="5"/>
  <c r="E607" i="5"/>
  <c r="E639" i="5"/>
  <c r="E688" i="5"/>
  <c r="D688" i="5"/>
  <c r="B688" i="5"/>
  <c r="D730" i="5"/>
  <c r="C610" i="5"/>
  <c r="D618" i="5"/>
  <c r="E704" i="5"/>
  <c r="D704" i="5"/>
  <c r="B704" i="5"/>
  <c r="B649" i="5"/>
  <c r="C654" i="5"/>
  <c r="D654" i="5"/>
  <c r="C669" i="5"/>
  <c r="D680" i="5"/>
  <c r="C683" i="5"/>
  <c r="C688" i="5"/>
  <c r="E692" i="5"/>
  <c r="C695" i="5"/>
  <c r="E721" i="5"/>
  <c r="C729" i="5"/>
  <c r="E736" i="5"/>
  <c r="E747" i="5"/>
  <c r="D747" i="5"/>
  <c r="C747" i="5"/>
  <c r="C762" i="5"/>
  <c r="B762" i="5"/>
  <c r="E770" i="5"/>
  <c r="D804" i="5"/>
  <c r="E680" i="5"/>
  <c r="D683" i="5"/>
  <c r="C684" i="5"/>
  <c r="D707" i="5"/>
  <c r="E751" i="5"/>
  <c r="E783" i="5"/>
  <c r="B804" i="5"/>
  <c r="E804" i="5"/>
  <c r="C804" i="5"/>
  <c r="E824" i="5"/>
  <c r="D824" i="5"/>
  <c r="C824" i="5"/>
  <c r="D665" i="5"/>
  <c r="D667" i="5"/>
  <c r="C674" i="5"/>
  <c r="D678" i="5"/>
  <c r="C678" i="5"/>
  <c r="E687" i="5"/>
  <c r="E794" i="5"/>
  <c r="C794" i="5"/>
  <c r="B794" i="5"/>
  <c r="C672" i="5"/>
  <c r="D674" i="5"/>
  <c r="E685" i="5"/>
  <c r="E698" i="5"/>
  <c r="E708" i="5"/>
  <c r="C708" i="5"/>
  <c r="E714" i="5"/>
  <c r="C734" i="5"/>
  <c r="E741" i="5"/>
  <c r="C741" i="5"/>
  <c r="E746" i="5"/>
  <c r="D769" i="5"/>
  <c r="C769" i="5"/>
  <c r="B769" i="5"/>
  <c r="D778" i="5"/>
  <c r="C778" i="5"/>
  <c r="B778" i="5"/>
  <c r="E789" i="5"/>
  <c r="D817" i="5"/>
  <c r="D672" i="5"/>
  <c r="B732" i="5"/>
  <c r="E738" i="5"/>
  <c r="C746" i="5"/>
  <c r="B746" i="5"/>
  <c r="E760" i="5"/>
  <c r="D760" i="5"/>
  <c r="C760" i="5"/>
  <c r="B760" i="5"/>
  <c r="B761" i="5"/>
  <c r="D761" i="5"/>
  <c r="E782" i="5"/>
  <c r="D789" i="5"/>
  <c r="B789" i="5"/>
  <c r="E817" i="5"/>
  <c r="B817" i="5"/>
  <c r="C637" i="5"/>
  <c r="D644" i="5"/>
  <c r="C653" i="5"/>
  <c r="D660" i="5"/>
  <c r="C668" i="5"/>
  <c r="C670" i="5"/>
  <c r="E682" i="5"/>
  <c r="D684" i="5"/>
  <c r="B689" i="5"/>
  <c r="B718" i="5"/>
  <c r="C723" i="5"/>
  <c r="D727" i="5"/>
  <c r="D737" i="5"/>
  <c r="C737" i="5"/>
  <c r="B737" i="5"/>
  <c r="C785" i="5"/>
  <c r="B785" i="5"/>
  <c r="C795" i="5"/>
  <c r="E823" i="5"/>
  <c r="D823" i="5"/>
  <c r="B823" i="5"/>
  <c r="E848" i="5"/>
  <c r="D848" i="5"/>
  <c r="C848" i="5"/>
  <c r="D637" i="5"/>
  <c r="D653" i="5"/>
  <c r="C662" i="5"/>
  <c r="D670" i="5"/>
  <c r="E684" i="5"/>
  <c r="C689" i="5"/>
  <c r="D694" i="5"/>
  <c r="C697" i="5"/>
  <c r="B702" i="5"/>
  <c r="C718" i="5"/>
  <c r="E740" i="5"/>
  <c r="C740" i="5"/>
  <c r="B748" i="5"/>
  <c r="E750" i="5"/>
  <c r="D750" i="5"/>
  <c r="C750" i="5"/>
  <c r="B750" i="5"/>
  <c r="D793" i="5"/>
  <c r="E793" i="5"/>
  <c r="C793" i="5"/>
  <c r="E796" i="5"/>
  <c r="E801" i="5"/>
  <c r="B806" i="5"/>
  <c r="D806" i="5"/>
  <c r="E811" i="5"/>
  <c r="D826" i="5"/>
  <c r="B826" i="5"/>
  <c r="C639" i="5"/>
  <c r="C655" i="5"/>
  <c r="E678" i="5"/>
  <c r="C693" i="5"/>
  <c r="D697" i="5"/>
  <c r="C702" i="5"/>
  <c r="C707" i="5"/>
  <c r="D710" i="5"/>
  <c r="C713" i="5"/>
  <c r="D718" i="5"/>
  <c r="C768" i="5"/>
  <c r="B770" i="5"/>
  <c r="C801" i="5"/>
  <c r="B801" i="5"/>
  <c r="B685" i="5"/>
  <c r="D699" i="5"/>
  <c r="C699" i="5"/>
  <c r="C704" i="5"/>
  <c r="D715" i="5"/>
  <c r="C715" i="5"/>
  <c r="D753" i="5"/>
  <c r="C753" i="5"/>
  <c r="B753" i="5"/>
  <c r="B768" i="5"/>
  <c r="E768" i="5"/>
  <c r="C811" i="5"/>
  <c r="B811" i="5"/>
  <c r="C625" i="5"/>
  <c r="D632" i="5"/>
  <c r="C641" i="5"/>
  <c r="D648" i="5"/>
  <c r="C657" i="5"/>
  <c r="D664" i="5"/>
  <c r="C666" i="5"/>
  <c r="D668" i="5"/>
  <c r="C675" i="5"/>
  <c r="E676" i="5"/>
  <c r="C682" i="5"/>
  <c r="C698" i="5"/>
  <c r="D708" i="5"/>
  <c r="D719" i="5"/>
  <c r="C728" i="5"/>
  <c r="B728" i="5"/>
  <c r="E735" i="5"/>
  <c r="D735" i="5"/>
  <c r="C735" i="5"/>
  <c r="B738" i="5"/>
  <c r="E744" i="5"/>
  <c r="D744" i="5"/>
  <c r="C744" i="5"/>
  <c r="B744" i="5"/>
  <c r="B745" i="5"/>
  <c r="D745" i="5"/>
  <c r="E763" i="5"/>
  <c r="D763" i="5"/>
  <c r="C763" i="5"/>
  <c r="B777" i="5"/>
  <c r="D777" i="5"/>
  <c r="E668" i="5"/>
  <c r="E675" i="5"/>
  <c r="D682" i="5"/>
  <c r="B690" i="5"/>
  <c r="B694" i="5"/>
  <c r="D698" i="5"/>
  <c r="D703" i="5"/>
  <c r="C709" i="5"/>
  <c r="C714" i="5"/>
  <c r="E719" i="5"/>
  <c r="B727" i="5"/>
  <c r="E730" i="5"/>
  <c r="C761" i="5"/>
  <c r="E800" i="5"/>
  <c r="D800" i="5"/>
  <c r="C800" i="5"/>
  <c r="D819" i="5"/>
  <c r="B819" i="5"/>
  <c r="C679" i="5"/>
  <c r="C690" i="5"/>
  <c r="E703" i="5"/>
  <c r="D709" i="5"/>
  <c r="B710" i="5"/>
  <c r="D714" i="5"/>
  <c r="C727" i="5"/>
  <c r="E737" i="5"/>
  <c r="D746" i="5"/>
  <c r="E776" i="5"/>
  <c r="D776" i="5"/>
  <c r="C776" i="5"/>
  <c r="B776" i="5"/>
  <c r="E787" i="5"/>
  <c r="D787" i="5"/>
  <c r="C787" i="5"/>
  <c r="E679" i="5"/>
  <c r="C687" i="5"/>
  <c r="E690" i="5"/>
  <c r="D720" i="5"/>
  <c r="B721" i="5"/>
  <c r="D732" i="5"/>
  <c r="D741" i="5"/>
  <c r="D748" i="5"/>
  <c r="C752" i="5"/>
  <c r="B754" i="5"/>
  <c r="E791" i="5"/>
  <c r="E795" i="5"/>
  <c r="E828" i="5"/>
  <c r="D731" i="5"/>
  <c r="C731" i="5"/>
  <c r="E734" i="5"/>
  <c r="B734" i="5"/>
  <c r="B752" i="5"/>
  <c r="E752" i="5"/>
  <c r="E757" i="5"/>
  <c r="D757" i="5"/>
  <c r="C757" i="5"/>
  <c r="D791" i="5"/>
  <c r="B791" i="5"/>
  <c r="E825" i="5"/>
  <c r="D825" i="5"/>
  <c r="B825" i="5"/>
  <c r="C825" i="5"/>
  <c r="E706" i="5"/>
  <c r="D706" i="5"/>
  <c r="D736" i="5"/>
  <c r="D740" i="5"/>
  <c r="E762" i="5"/>
  <c r="E779" i="5"/>
  <c r="D779" i="5"/>
  <c r="C779" i="5"/>
  <c r="D795" i="5"/>
  <c r="D802" i="5"/>
  <c r="E803" i="5"/>
  <c r="D818" i="5"/>
  <c r="C818" i="5"/>
  <c r="C886" i="5"/>
  <c r="E886" i="5"/>
  <c r="D886" i="5"/>
  <c r="D722" i="5"/>
  <c r="D738" i="5"/>
  <c r="D754" i="5"/>
  <c r="D770" i="5"/>
  <c r="E802" i="5"/>
  <c r="D810" i="5"/>
  <c r="E812" i="5"/>
  <c r="B812" i="5"/>
  <c r="C817" i="5"/>
  <c r="C756" i="5"/>
  <c r="C772" i="5"/>
  <c r="C781" i="5"/>
  <c r="C789" i="5"/>
  <c r="C791" i="5"/>
  <c r="C806" i="5"/>
  <c r="C807" i="5"/>
  <c r="E837" i="5"/>
  <c r="D837" i="5"/>
  <c r="C837" i="5"/>
  <c r="D756" i="5"/>
  <c r="D772" i="5"/>
  <c r="D781" i="5"/>
  <c r="C783" i="5"/>
  <c r="D685" i="5"/>
  <c r="C694" i="5"/>
  <c r="D701" i="5"/>
  <c r="C710" i="5"/>
  <c r="D717" i="5"/>
  <c r="C726" i="5"/>
  <c r="D733" i="5"/>
  <c r="C742" i="5"/>
  <c r="D749" i="5"/>
  <c r="C758" i="5"/>
  <c r="D765" i="5"/>
  <c r="C774" i="5"/>
  <c r="D783" i="5"/>
  <c r="D785" i="5"/>
  <c r="E808" i="5"/>
  <c r="C808" i="5"/>
  <c r="D811" i="5"/>
  <c r="B839" i="5"/>
  <c r="D856" i="5"/>
  <c r="C856" i="5"/>
  <c r="E856" i="5"/>
  <c r="C751" i="5"/>
  <c r="C767" i="5"/>
  <c r="C798" i="5"/>
  <c r="C803" i="5"/>
  <c r="D812" i="5"/>
  <c r="D814" i="5"/>
  <c r="C814" i="5"/>
  <c r="E818" i="5"/>
  <c r="D828" i="5"/>
  <c r="D751" i="5"/>
  <c r="D767" i="5"/>
  <c r="C796" i="5"/>
  <c r="D798" i="5"/>
  <c r="D803" i="5"/>
  <c r="B807" i="5"/>
  <c r="D835" i="5"/>
  <c r="C835" i="5"/>
  <c r="B835" i="5"/>
  <c r="C842" i="5"/>
  <c r="D796" i="5"/>
  <c r="D807" i="5"/>
  <c r="E784" i="5"/>
  <c r="C786" i="5"/>
  <c r="C819" i="5"/>
  <c r="B842" i="5"/>
  <c r="E842" i="5"/>
  <c r="D842" i="5"/>
  <c r="E805" i="5"/>
  <c r="E831" i="5"/>
  <c r="D831" i="5"/>
  <c r="C831" i="5"/>
  <c r="C732" i="5"/>
  <c r="D739" i="5"/>
  <c r="C748" i="5"/>
  <c r="D755" i="5"/>
  <c r="C764" i="5"/>
  <c r="D771" i="5"/>
  <c r="C780" i="5"/>
  <c r="B784" i="5"/>
  <c r="B786" i="5"/>
  <c r="D788" i="5"/>
  <c r="C790" i="5"/>
  <c r="D797" i="5"/>
  <c r="D801" i="5"/>
  <c r="D808" i="5"/>
  <c r="E814" i="5"/>
  <c r="D816" i="5"/>
  <c r="C816" i="5"/>
  <c r="E821" i="5"/>
  <c r="C844" i="5"/>
  <c r="D764" i="5"/>
  <c r="C773" i="5"/>
  <c r="D780" i="5"/>
  <c r="C782" i="5"/>
  <c r="C784" i="5"/>
  <c r="D786" i="5"/>
  <c r="B809" i="5"/>
  <c r="B854" i="5"/>
  <c r="D854" i="5"/>
  <c r="C854" i="5"/>
  <c r="D773" i="5"/>
  <c r="D782" i="5"/>
  <c r="C799" i="5"/>
  <c r="C809" i="5"/>
  <c r="B849" i="5"/>
  <c r="D849" i="5"/>
  <c r="D799" i="5"/>
  <c r="D809" i="5"/>
  <c r="C815" i="5"/>
  <c r="D822" i="5"/>
  <c r="C822" i="5"/>
  <c r="E835" i="5"/>
  <c r="C805" i="5"/>
  <c r="E826" i="5"/>
  <c r="C828" i="5"/>
  <c r="D834" i="5"/>
  <c r="C839" i="5"/>
  <c r="D844" i="5"/>
  <c r="B847" i="5"/>
  <c r="D884" i="5"/>
  <c r="E887" i="5"/>
  <c r="C849" i="5"/>
  <c r="D853" i="5"/>
  <c r="E873" i="5"/>
  <c r="D873" i="5"/>
  <c r="B873" i="5"/>
  <c r="C826" i="5"/>
  <c r="C834" i="5"/>
  <c r="D839" i="5"/>
  <c r="D840" i="5"/>
  <c r="B845" i="5"/>
  <c r="E859" i="5"/>
  <c r="C859" i="5"/>
  <c r="E879" i="5"/>
  <c r="D879" i="5"/>
  <c r="C879" i="5"/>
  <c r="D882" i="5"/>
  <c r="C885" i="5"/>
  <c r="D894" i="5"/>
  <c r="E897" i="5"/>
  <c r="D897" i="5"/>
  <c r="C897" i="5"/>
  <c r="B897" i="5"/>
  <c r="C845" i="5"/>
  <c r="D858" i="5"/>
  <c r="B858" i="5"/>
  <c r="E885" i="5"/>
  <c r="D885" i="5"/>
  <c r="B885" i="5"/>
  <c r="C890" i="5"/>
  <c r="B894" i="5"/>
  <c r="E894" i="5"/>
  <c r="B829" i="5"/>
  <c r="C843" i="5"/>
  <c r="D845" i="5"/>
  <c r="D890" i="5"/>
  <c r="B890" i="5"/>
  <c r="E890" i="5"/>
  <c r="C936" i="5"/>
  <c r="B936" i="5"/>
  <c r="C827" i="5"/>
  <c r="C829" i="5"/>
  <c r="D846" i="5"/>
  <c r="E849" i="5"/>
  <c r="E862" i="5"/>
  <c r="C871" i="5"/>
  <c r="B871" i="5"/>
  <c r="C874" i="5"/>
  <c r="B878" i="5"/>
  <c r="E878" i="5"/>
  <c r="D829" i="5"/>
  <c r="B840" i="5"/>
  <c r="C850" i="5"/>
  <c r="D874" i="5"/>
  <c r="C810" i="5"/>
  <c r="C820" i="5"/>
  <c r="C832" i="5"/>
  <c r="C840" i="5"/>
  <c r="E850" i="5"/>
  <c r="C857" i="5"/>
  <c r="C858" i="5"/>
  <c r="E863" i="5"/>
  <c r="E865" i="5"/>
  <c r="E869" i="5"/>
  <c r="D869" i="5"/>
  <c r="C869" i="5"/>
  <c r="B869" i="5"/>
  <c r="E877" i="5"/>
  <c r="D877" i="5"/>
  <c r="C877" i="5"/>
  <c r="E883" i="5"/>
  <c r="D883" i="5"/>
  <c r="C883" i="5"/>
  <c r="D843" i="5"/>
  <c r="C880" i="5"/>
  <c r="C833" i="5"/>
  <c r="E843" i="5"/>
  <c r="E847" i="5"/>
  <c r="D847" i="5"/>
  <c r="D859" i="5"/>
  <c r="D860" i="5"/>
  <c r="D861" i="5"/>
  <c r="E867" i="5"/>
  <c r="D867" i="5"/>
  <c r="B867" i="5"/>
  <c r="B872" i="5"/>
  <c r="E880" i="5"/>
  <c r="E899" i="5"/>
  <c r="D899" i="5"/>
  <c r="B899" i="5"/>
  <c r="C901" i="5"/>
  <c r="B903" i="5"/>
  <c r="D903" i="5"/>
  <c r="C903" i="5"/>
  <c r="D908" i="5"/>
  <c r="B908" i="5"/>
  <c r="E853" i="5"/>
  <c r="E860" i="5"/>
  <c r="E861" i="5"/>
  <c r="C872" i="5"/>
  <c r="B876" i="5"/>
  <c r="E876" i="5"/>
  <c r="C823" i="5"/>
  <c r="B841" i="5"/>
  <c r="E846" i="5"/>
  <c r="E854" i="5"/>
  <c r="E872" i="5"/>
  <c r="C888" i="5"/>
  <c r="E888" i="5"/>
  <c r="D915" i="5"/>
  <c r="B915" i="5"/>
  <c r="E915" i="5"/>
  <c r="C915" i="5"/>
  <c r="D946" i="5"/>
  <c r="C946" i="5"/>
  <c r="E946" i="5"/>
  <c r="D855" i="5"/>
  <c r="C855" i="5"/>
  <c r="E881" i="5"/>
  <c r="D881" i="5"/>
  <c r="C881" i="5"/>
  <c r="E895" i="5"/>
  <c r="D895" i="5"/>
  <c r="C895" i="5"/>
  <c r="B895" i="5"/>
  <c r="E892" i="5"/>
  <c r="C910" i="5"/>
  <c r="E932" i="5"/>
  <c r="E936" i="5"/>
  <c r="D936" i="5"/>
  <c r="E937" i="5"/>
  <c r="B937" i="5"/>
  <c r="D991" i="5"/>
  <c r="E991" i="5"/>
  <c r="C991" i="5"/>
  <c r="D920" i="5"/>
  <c r="C920" i="5"/>
  <c r="D933" i="5"/>
  <c r="B933" i="5"/>
  <c r="E934" i="5"/>
  <c r="D934" i="5"/>
  <c r="D901" i="5"/>
  <c r="D919" i="5"/>
  <c r="E927" i="5"/>
  <c r="C889" i="5"/>
  <c r="E922" i="5"/>
  <c r="D922" i="5"/>
  <c r="E871" i="5"/>
  <c r="C873" i="5"/>
  <c r="C891" i="5"/>
  <c r="B893" i="5"/>
  <c r="D910" i="5"/>
  <c r="E923" i="5"/>
  <c r="C923" i="5"/>
  <c r="B923" i="5"/>
  <c r="C929" i="5"/>
  <c r="D940" i="5"/>
  <c r="D863" i="5"/>
  <c r="C875" i="5"/>
  <c r="D891" i="5"/>
  <c r="C893" i="5"/>
  <c r="C904" i="5"/>
  <c r="E910" i="5"/>
  <c r="B911" i="5"/>
  <c r="C930" i="5"/>
  <c r="C932" i="5"/>
  <c r="C938" i="5"/>
  <c r="D944" i="5"/>
  <c r="C944" i="5"/>
  <c r="D990" i="5"/>
  <c r="E990" i="5"/>
  <c r="B990" i="5"/>
  <c r="C865" i="5"/>
  <c r="C887" i="5"/>
  <c r="D889" i="5"/>
  <c r="D904" i="5"/>
  <c r="D911" i="5"/>
  <c r="B916" i="5"/>
  <c r="E924" i="5"/>
  <c r="D924" i="5"/>
  <c r="D930" i="5"/>
  <c r="D932" i="5"/>
  <c r="D938" i="5"/>
  <c r="E978" i="5"/>
  <c r="D978" i="5"/>
  <c r="C978" i="5"/>
  <c r="B1020" i="5"/>
  <c r="E1020" i="5"/>
  <c r="D1020" i="5"/>
  <c r="D887" i="5"/>
  <c r="E889" i="5"/>
  <c r="E960" i="5"/>
  <c r="D960" i="5"/>
  <c r="C960" i="5"/>
  <c r="D871" i="5"/>
  <c r="B902" i="5"/>
  <c r="C908" i="5"/>
  <c r="B969" i="5"/>
  <c r="E969" i="5"/>
  <c r="D896" i="5"/>
  <c r="C900" i="5"/>
  <c r="B912" i="5"/>
  <c r="C898" i="5"/>
  <c r="D900" i="5"/>
  <c r="B905" i="5"/>
  <c r="B917" i="5"/>
  <c r="D918" i="5"/>
  <c r="C918" i="5"/>
  <c r="C922" i="5"/>
  <c r="B924" i="5"/>
  <c r="E926" i="5"/>
  <c r="D926" i="5"/>
  <c r="C942" i="5"/>
  <c r="E950" i="5"/>
  <c r="D950" i="5"/>
  <c r="E962" i="5"/>
  <c r="E966" i="5"/>
  <c r="D966" i="5"/>
  <c r="C966" i="5"/>
  <c r="D917" i="5"/>
  <c r="D862" i="5"/>
  <c r="C896" i="5"/>
  <c r="E908" i="5"/>
  <c r="B913" i="5"/>
  <c r="E917" i="5"/>
  <c r="D928" i="5"/>
  <c r="E928" i="5"/>
  <c r="E955" i="5"/>
  <c r="D955" i="5"/>
  <c r="C955" i="5"/>
  <c r="B955" i="5"/>
  <c r="C892" i="5"/>
  <c r="C894" i="5"/>
  <c r="C906" i="5"/>
  <c r="D913" i="5"/>
  <c r="B914" i="5"/>
  <c r="D914" i="5"/>
  <c r="C925" i="5"/>
  <c r="C940" i="5"/>
  <c r="E940" i="5"/>
  <c r="E944" i="5"/>
  <c r="E947" i="5"/>
  <c r="E948" i="5"/>
  <c r="D948" i="5"/>
  <c r="C948" i="5"/>
  <c r="E972" i="5"/>
  <c r="B972" i="5"/>
  <c r="C981" i="5"/>
  <c r="B981" i="5"/>
  <c r="E925" i="5"/>
  <c r="D929" i="5"/>
  <c r="E931" i="5"/>
  <c r="C931" i="5"/>
  <c r="E942" i="5"/>
  <c r="B951" i="5"/>
  <c r="E959" i="5"/>
  <c r="D962" i="5"/>
  <c r="B965" i="5"/>
  <c r="D968" i="5"/>
  <c r="C971" i="5"/>
  <c r="D980" i="5"/>
  <c r="E986" i="5"/>
  <c r="C990" i="5"/>
  <c r="C1010" i="5"/>
  <c r="D1127" i="5"/>
  <c r="E1127" i="5"/>
  <c r="C1127" i="5"/>
  <c r="C951" i="5"/>
  <c r="B954" i="5"/>
  <c r="C965" i="5"/>
  <c r="E968" i="5"/>
  <c r="D971" i="5"/>
  <c r="C972" i="5"/>
  <c r="E1010" i="5"/>
  <c r="D1010" i="5"/>
  <c r="B1010" i="5"/>
  <c r="C949" i="5"/>
  <c r="E954" i="5"/>
  <c r="C957" i="5"/>
  <c r="D974" i="5"/>
  <c r="D975" i="5"/>
  <c r="C975" i="5"/>
  <c r="D977" i="5"/>
  <c r="E982" i="5"/>
  <c r="C982" i="5"/>
  <c r="B987" i="5"/>
  <c r="E1000" i="5"/>
  <c r="D1000" i="5"/>
  <c r="B1000" i="5"/>
  <c r="E1004" i="5"/>
  <c r="D1015" i="5"/>
  <c r="B1015" i="5"/>
  <c r="E935" i="5"/>
  <c r="C937" i="5"/>
  <c r="C947" i="5"/>
  <c r="D949" i="5"/>
  <c r="D957" i="5"/>
  <c r="C963" i="5"/>
  <c r="C995" i="5"/>
  <c r="E919" i="5"/>
  <c r="C921" i="5"/>
  <c r="C939" i="5"/>
  <c r="D947" i="5"/>
  <c r="D963" i="5"/>
  <c r="C969" i="5"/>
  <c r="D981" i="5"/>
  <c r="C988" i="5"/>
  <c r="C993" i="5"/>
  <c r="D994" i="5"/>
  <c r="D995" i="5"/>
  <c r="E903" i="5"/>
  <c r="C905" i="5"/>
  <c r="D972" i="5"/>
  <c r="C984" i="5"/>
  <c r="D988" i="5"/>
  <c r="C999" i="5"/>
  <c r="D935" i="5"/>
  <c r="E999" i="5"/>
  <c r="D999" i="5"/>
  <c r="B999" i="5"/>
  <c r="D976" i="5"/>
  <c r="D1003" i="5"/>
  <c r="B1003" i="5"/>
  <c r="E1041" i="5"/>
  <c r="D1041" i="5"/>
  <c r="C1041" i="5"/>
  <c r="D961" i="5"/>
  <c r="D964" i="5"/>
  <c r="C967" i="5"/>
  <c r="E970" i="5"/>
  <c r="C979" i="5"/>
  <c r="B984" i="5"/>
  <c r="D996" i="5"/>
  <c r="C996" i="5"/>
  <c r="B996" i="5"/>
  <c r="C1013" i="5"/>
  <c r="B1013" i="5"/>
  <c r="C962" i="5"/>
  <c r="E964" i="5"/>
  <c r="D967" i="5"/>
  <c r="C973" i="5"/>
  <c r="D979" i="5"/>
  <c r="D984" i="5"/>
  <c r="E1015" i="5"/>
  <c r="D912" i="5"/>
  <c r="C953" i="5"/>
  <c r="C956" i="5"/>
  <c r="C974" i="5"/>
  <c r="E995" i="5"/>
  <c r="B1004" i="5"/>
  <c r="D953" i="5"/>
  <c r="D956" i="5"/>
  <c r="D987" i="5"/>
  <c r="C987" i="5"/>
  <c r="C994" i="5"/>
  <c r="B994" i="5"/>
  <c r="E1016" i="5"/>
  <c r="D1016" i="5"/>
  <c r="B1016" i="5"/>
  <c r="E1001" i="5"/>
  <c r="E1013" i="5"/>
  <c r="B1050" i="5"/>
  <c r="D1050" i="5"/>
  <c r="C1050" i="5"/>
  <c r="D1004" i="5"/>
  <c r="B1022" i="5"/>
  <c r="C1025" i="5"/>
  <c r="B1026" i="5"/>
  <c r="D1065" i="5"/>
  <c r="E1065" i="5"/>
  <c r="C1065" i="5"/>
  <c r="B1002" i="5"/>
  <c r="D1005" i="5"/>
  <c r="C1005" i="5"/>
  <c r="E1028" i="5"/>
  <c r="D1028" i="5"/>
  <c r="E1030" i="5"/>
  <c r="D1030" i="5"/>
  <c r="C1030" i="5"/>
  <c r="C1002" i="5"/>
  <c r="E1029" i="5"/>
  <c r="D1029" i="5"/>
  <c r="D1031" i="5"/>
  <c r="C1031" i="5"/>
  <c r="E1100" i="5"/>
  <c r="D1100" i="5"/>
  <c r="C1100" i="5"/>
  <c r="B1100" i="5"/>
  <c r="C1000" i="5"/>
  <c r="E1036" i="5"/>
  <c r="C1036" i="5"/>
  <c r="E1037" i="5"/>
  <c r="D1037" i="5"/>
  <c r="C1049" i="5"/>
  <c r="B1049" i="5"/>
  <c r="B1055" i="5"/>
  <c r="C1055" i="5"/>
  <c r="D1068" i="5"/>
  <c r="B1068" i="5"/>
  <c r="E1084" i="5"/>
  <c r="E1014" i="5"/>
  <c r="C1014" i="5"/>
  <c r="E1039" i="5"/>
  <c r="D1039" i="5"/>
  <c r="C1039" i="5"/>
  <c r="E1048" i="5"/>
  <c r="C1048" i="5"/>
  <c r="C1073" i="5"/>
  <c r="E1073" i="5"/>
  <c r="D1073" i="5"/>
  <c r="D1084" i="5"/>
  <c r="C1084" i="5"/>
  <c r="E1122" i="5"/>
  <c r="B1122" i="5"/>
  <c r="D1122" i="5"/>
  <c r="C1122" i="5"/>
  <c r="B1018" i="5"/>
  <c r="E1033" i="5"/>
  <c r="B1033" i="5"/>
  <c r="E1035" i="5"/>
  <c r="C1035" i="5"/>
  <c r="E1060" i="5"/>
  <c r="D1060" i="5"/>
  <c r="C1060" i="5"/>
  <c r="B1060" i="5"/>
  <c r="E1081" i="5"/>
  <c r="B1081" i="5"/>
  <c r="D993" i="5"/>
  <c r="E998" i="5"/>
  <c r="C998" i="5"/>
  <c r="E1003" i="5"/>
  <c r="D1013" i="5"/>
  <c r="C1018" i="5"/>
  <c r="E1027" i="5"/>
  <c r="E1047" i="5"/>
  <c r="D1047" i="5"/>
  <c r="C1047" i="5"/>
  <c r="C1008" i="5"/>
  <c r="D1018" i="5"/>
  <c r="E1046" i="5"/>
  <c r="C1046" i="5"/>
  <c r="E1050" i="5"/>
  <c r="D1067" i="5"/>
  <c r="C1067" i="5"/>
  <c r="E1095" i="5"/>
  <c r="D1008" i="5"/>
  <c r="C1015" i="5"/>
  <c r="C1020" i="5"/>
  <c r="C1028" i="5"/>
  <c r="D1032" i="5"/>
  <c r="C1033" i="5"/>
  <c r="E980" i="5"/>
  <c r="C989" i="5"/>
  <c r="E996" i="5"/>
  <c r="C1003" i="5"/>
  <c r="D1014" i="5"/>
  <c r="D1021" i="5"/>
  <c r="E1022" i="5"/>
  <c r="E1031" i="5"/>
  <c r="E1032" i="5"/>
  <c r="D1033" i="5"/>
  <c r="B1034" i="5"/>
  <c r="C1043" i="5"/>
  <c r="B1043" i="5"/>
  <c r="E1045" i="5"/>
  <c r="D1045" i="5"/>
  <c r="C1045" i="5"/>
  <c r="C1006" i="5"/>
  <c r="C1019" i="5"/>
  <c r="C1029" i="5"/>
  <c r="C1034" i="5"/>
  <c r="E1088" i="5"/>
  <c r="D1088" i="5"/>
  <c r="C1088" i="5"/>
  <c r="D1006" i="5"/>
  <c r="D1011" i="5"/>
  <c r="E1012" i="5"/>
  <c r="D1012" i="5"/>
  <c r="D1019" i="5"/>
  <c r="D1034" i="5"/>
  <c r="E1057" i="5"/>
  <c r="C1057" i="5"/>
  <c r="B1057" i="5"/>
  <c r="E1058" i="5"/>
  <c r="D1058" i="5"/>
  <c r="B1058" i="5"/>
  <c r="B1072" i="5"/>
  <c r="D1072" i="5"/>
  <c r="C1072" i="5"/>
  <c r="C1009" i="5"/>
  <c r="C1016" i="5"/>
  <c r="C1024" i="5"/>
  <c r="D1035" i="5"/>
  <c r="D1036" i="5"/>
  <c r="C1038" i="5"/>
  <c r="E1079" i="5"/>
  <c r="D1048" i="5"/>
  <c r="E1076" i="5"/>
  <c r="D1076" i="5"/>
  <c r="C1076" i="5"/>
  <c r="B1076" i="5"/>
  <c r="C1079" i="5"/>
  <c r="B1079" i="5"/>
  <c r="B1084" i="5"/>
  <c r="B1075" i="5"/>
  <c r="C1078" i="5"/>
  <c r="C1111" i="5"/>
  <c r="B1111" i="5"/>
  <c r="C1137" i="5"/>
  <c r="B1137" i="5"/>
  <c r="E1160" i="5"/>
  <c r="D1160" i="5"/>
  <c r="C1160" i="5"/>
  <c r="D1176" i="5"/>
  <c r="C1176" i="5"/>
  <c r="E1176" i="5"/>
  <c r="D1053" i="5"/>
  <c r="C1075" i="5"/>
  <c r="D1081" i="5"/>
  <c r="E1096" i="5"/>
  <c r="D1096" i="5"/>
  <c r="C1118" i="5"/>
  <c r="B1118" i="5"/>
  <c r="D1167" i="5"/>
  <c r="B1167" i="5"/>
  <c r="D1038" i="5"/>
  <c r="C1087" i="5"/>
  <c r="C1095" i="5"/>
  <c r="E1116" i="5"/>
  <c r="D1116" i="5"/>
  <c r="B1116" i="5"/>
  <c r="C1133" i="5"/>
  <c r="B1133" i="5"/>
  <c r="D1022" i="5"/>
  <c r="C1053" i="5"/>
  <c r="D1055" i="5"/>
  <c r="C1070" i="5"/>
  <c r="D1078" i="5"/>
  <c r="D1087" i="5"/>
  <c r="E1092" i="5"/>
  <c r="B1092" i="5"/>
  <c r="D1095" i="5"/>
  <c r="E1109" i="5"/>
  <c r="B1109" i="5"/>
  <c r="E1053" i="5"/>
  <c r="C1058" i="5"/>
  <c r="D1070" i="5"/>
  <c r="E1078" i="5"/>
  <c r="C1081" i="5"/>
  <c r="D1089" i="5"/>
  <c r="C1089" i="5"/>
  <c r="C1092" i="5"/>
  <c r="B1096" i="5"/>
  <c r="E1097" i="5"/>
  <c r="D1097" i="5"/>
  <c r="E1135" i="5"/>
  <c r="E1141" i="5"/>
  <c r="D1141" i="5"/>
  <c r="C1141" i="5"/>
  <c r="B1141" i="5"/>
  <c r="D1049" i="5"/>
  <c r="C1068" i="5"/>
  <c r="E1071" i="5"/>
  <c r="D1092" i="5"/>
  <c r="C1096" i="5"/>
  <c r="E1107" i="5"/>
  <c r="D1107" i="5"/>
  <c r="C1107" i="5"/>
  <c r="C1114" i="5"/>
  <c r="E1114" i="5"/>
  <c r="D1114" i="5"/>
  <c r="E1121" i="5"/>
  <c r="C1121" i="5"/>
  <c r="B1121" i="5"/>
  <c r="E1126" i="5"/>
  <c r="D1105" i="5"/>
  <c r="C1105" i="5"/>
  <c r="C1116" i="5"/>
  <c r="C1126" i="5"/>
  <c r="B1126" i="5"/>
  <c r="E1153" i="5"/>
  <c r="C1153" i="5"/>
  <c r="D1153" i="5"/>
  <c r="D1171" i="5"/>
  <c r="B1171" i="5"/>
  <c r="E1178" i="5"/>
  <c r="D1178" i="5"/>
  <c r="C1178" i="5"/>
  <c r="B1063" i="5"/>
  <c r="C1098" i="5"/>
  <c r="C1099" i="5"/>
  <c r="C1109" i="5"/>
  <c r="E1110" i="5"/>
  <c r="D1118" i="5"/>
  <c r="C1120" i="5"/>
  <c r="E1120" i="5"/>
  <c r="D1120" i="5"/>
  <c r="D1104" i="5"/>
  <c r="B1104" i="5"/>
  <c r="E1113" i="5"/>
  <c r="D1113" i="5"/>
  <c r="E1125" i="5"/>
  <c r="D1125" i="5"/>
  <c r="C1125" i="5"/>
  <c r="E1144" i="5"/>
  <c r="C1144" i="5"/>
  <c r="B1144" i="5"/>
  <c r="C1021" i="5"/>
  <c r="D1043" i="5"/>
  <c r="E1049" i="5"/>
  <c r="C1056" i="5"/>
  <c r="D1063" i="5"/>
  <c r="C1071" i="5"/>
  <c r="D1079" i="5"/>
  <c r="C1082" i="5"/>
  <c r="D1090" i="5"/>
  <c r="C1090" i="5"/>
  <c r="C1093" i="5"/>
  <c r="D1152" i="5"/>
  <c r="D1056" i="5"/>
  <c r="C1066" i="5"/>
  <c r="D1071" i="5"/>
  <c r="D1082" i="5"/>
  <c r="E1089" i="5"/>
  <c r="D1093" i="5"/>
  <c r="C1094" i="5"/>
  <c r="C1097" i="5"/>
  <c r="E1102" i="5"/>
  <c r="D1102" i="5"/>
  <c r="C1108" i="5"/>
  <c r="C1115" i="5"/>
  <c r="D1134" i="5"/>
  <c r="E1143" i="5"/>
  <c r="D1143" i="5"/>
  <c r="C1143" i="5"/>
  <c r="B1143" i="5"/>
  <c r="C1061" i="5"/>
  <c r="D1066" i="5"/>
  <c r="E1072" i="5"/>
  <c r="D1074" i="5"/>
  <c r="D1108" i="5"/>
  <c r="D1115" i="5"/>
  <c r="E1130" i="5"/>
  <c r="D1130" i="5"/>
  <c r="B1130" i="5"/>
  <c r="C1069" i="5"/>
  <c r="E1074" i="5"/>
  <c r="B1080" i="5"/>
  <c r="B1106" i="5"/>
  <c r="B1151" i="5"/>
  <c r="E1151" i="5"/>
  <c r="D1151" i="5"/>
  <c r="C1151" i="5"/>
  <c r="D1169" i="5"/>
  <c r="B1169" i="5"/>
  <c r="E1040" i="5"/>
  <c r="C1042" i="5"/>
  <c r="C1062" i="5"/>
  <c r="E1098" i="5"/>
  <c r="E1099" i="5"/>
  <c r="E1105" i="5"/>
  <c r="E1106" i="5"/>
  <c r="C1110" i="5"/>
  <c r="C1119" i="5"/>
  <c r="B1119" i="5"/>
  <c r="C1134" i="5"/>
  <c r="E1137" i="5"/>
  <c r="D1139" i="5"/>
  <c r="D1140" i="5"/>
  <c r="C1152" i="5"/>
  <c r="E1154" i="5"/>
  <c r="D1154" i="5"/>
  <c r="C1130" i="5"/>
  <c r="C1132" i="5"/>
  <c r="D1144" i="5"/>
  <c r="D1164" i="5"/>
  <c r="E1168" i="5"/>
  <c r="D1193" i="5"/>
  <c r="C1193" i="5"/>
  <c r="E1202" i="5"/>
  <c r="B1202" i="5"/>
  <c r="C1202" i="5"/>
  <c r="D1121" i="5"/>
  <c r="C1148" i="5"/>
  <c r="C1155" i="5"/>
  <c r="D1155" i="5"/>
  <c r="B1177" i="5"/>
  <c r="E1177" i="5"/>
  <c r="C1190" i="5"/>
  <c r="D1190" i="5"/>
  <c r="E1205" i="5"/>
  <c r="D1205" i="5"/>
  <c r="C1205" i="5"/>
  <c r="B1205" i="5"/>
  <c r="D1123" i="5"/>
  <c r="E1145" i="5"/>
  <c r="D1145" i="5"/>
  <c r="E1161" i="5"/>
  <c r="D1180" i="5"/>
  <c r="C1180" i="5"/>
  <c r="E1180" i="5"/>
  <c r="E1188" i="5"/>
  <c r="D1188" i="5"/>
  <c r="C1188" i="5"/>
  <c r="B1192" i="5"/>
  <c r="E1192" i="5"/>
  <c r="D1199" i="5"/>
  <c r="E1199" i="5"/>
  <c r="C1199" i="5"/>
  <c r="E1123" i="5"/>
  <c r="D1137" i="5"/>
  <c r="C1138" i="5"/>
  <c r="C1140" i="5"/>
  <c r="C1150" i="5"/>
  <c r="E1181" i="5"/>
  <c r="C1181" i="5"/>
  <c r="D1181" i="5"/>
  <c r="E1140" i="5"/>
  <c r="B1156" i="5"/>
  <c r="D1156" i="5"/>
  <c r="E1183" i="5"/>
  <c r="C1183" i="5"/>
  <c r="C1197" i="5"/>
  <c r="B1197" i="5"/>
  <c r="C1128" i="5"/>
  <c r="C1135" i="5"/>
  <c r="B1150" i="5"/>
  <c r="E1167" i="5"/>
  <c r="C1177" i="5"/>
  <c r="E1182" i="5"/>
  <c r="D1182" i="5"/>
  <c r="C1182" i="5"/>
  <c r="D1204" i="5"/>
  <c r="C1204" i="5"/>
  <c r="E1204" i="5"/>
  <c r="D1128" i="5"/>
  <c r="D1135" i="5"/>
  <c r="D1150" i="5"/>
  <c r="C1161" i="5"/>
  <c r="D1163" i="5"/>
  <c r="C1163" i="5"/>
  <c r="C1166" i="5"/>
  <c r="C1145" i="5"/>
  <c r="D1161" i="5"/>
  <c r="D1166" i="5"/>
  <c r="B1190" i="5"/>
  <c r="C1192" i="5"/>
  <c r="B1199" i="5"/>
  <c r="D1112" i="5"/>
  <c r="D1119" i="5"/>
  <c r="C1124" i="5"/>
  <c r="D1126" i="5"/>
  <c r="C1131" i="5"/>
  <c r="D1133" i="5"/>
  <c r="D1138" i="5"/>
  <c r="E1155" i="5"/>
  <c r="E1156" i="5"/>
  <c r="C1157" i="5"/>
  <c r="E1170" i="5"/>
  <c r="D1170" i="5"/>
  <c r="C1170" i="5"/>
  <c r="E1190" i="5"/>
  <c r="D1192" i="5"/>
  <c r="E1195" i="5"/>
  <c r="D1195" i="5"/>
  <c r="E1138" i="5"/>
  <c r="D1147" i="5"/>
  <c r="C1147" i="5"/>
  <c r="D1159" i="5"/>
  <c r="C1159" i="5"/>
  <c r="C1162" i="5"/>
  <c r="C1167" i="5"/>
  <c r="E1134" i="5"/>
  <c r="C1139" i="5"/>
  <c r="E1152" i="5"/>
  <c r="E1171" i="5"/>
  <c r="D1172" i="5"/>
  <c r="C1172" i="5"/>
  <c r="E1172" i="5"/>
  <c r="D1174" i="5"/>
  <c r="C1174" i="5"/>
  <c r="D1175" i="5"/>
  <c r="C1175" i="5"/>
  <c r="D1194" i="5"/>
  <c r="C1194" i="5"/>
  <c r="D1197" i="5"/>
  <c r="C1104" i="5"/>
  <c r="D1111" i="5"/>
  <c r="E1118" i="5"/>
  <c r="D1129" i="5"/>
  <c r="D1136" i="5"/>
  <c r="E1142" i="5"/>
  <c r="D1158" i="5"/>
  <c r="D1183" i="5"/>
  <c r="D1146" i="5"/>
  <c r="E1203" i="5"/>
  <c r="E1215" i="5"/>
  <c r="D1215" i="5"/>
  <c r="B1215" i="5"/>
  <c r="E1169" i="5"/>
  <c r="C1169" i="5"/>
  <c r="D1208" i="5"/>
  <c r="C1209" i="5"/>
  <c r="E1209" i="5"/>
  <c r="D1209" i="5"/>
  <c r="E1246" i="5"/>
  <c r="D1246" i="5"/>
  <c r="C1246" i="5"/>
  <c r="C1200" i="5"/>
  <c r="E1200" i="5"/>
  <c r="D1200" i="5"/>
  <c r="E1276" i="5"/>
  <c r="D1276" i="5"/>
  <c r="C1276" i="5"/>
  <c r="B1276" i="5"/>
  <c r="D1201" i="5"/>
  <c r="B1201" i="5"/>
  <c r="C1156" i="5"/>
  <c r="D1177" i="5"/>
  <c r="E1208" i="5"/>
  <c r="D1217" i="5"/>
  <c r="C1217" i="5"/>
  <c r="B1217" i="5"/>
  <c r="C1184" i="5"/>
  <c r="E1184" i="5"/>
  <c r="D1184" i="5"/>
  <c r="D1185" i="5"/>
  <c r="C1215" i="5"/>
  <c r="E1235" i="5"/>
  <c r="D1235" i="5"/>
  <c r="C1235" i="5"/>
  <c r="B1236" i="5"/>
  <c r="E1236" i="5"/>
  <c r="D1221" i="5"/>
  <c r="E1267" i="5"/>
  <c r="C1267" i="5"/>
  <c r="B1267" i="5"/>
  <c r="C1306" i="5"/>
  <c r="E1306" i="5"/>
  <c r="D1306" i="5"/>
  <c r="B1306" i="5"/>
  <c r="E1233" i="5"/>
  <c r="D1233" i="5"/>
  <c r="C1233" i="5"/>
  <c r="C1234" i="5"/>
  <c r="B1234" i="5"/>
  <c r="E1244" i="5"/>
  <c r="D1244" i="5"/>
  <c r="C1244" i="5"/>
  <c r="D1253" i="5"/>
  <c r="C1253" i="5"/>
  <c r="E1283" i="5"/>
  <c r="D1283" i="5"/>
  <c r="C1283" i="5"/>
  <c r="D1286" i="5"/>
  <c r="C1286" i="5"/>
  <c r="B1286" i="5"/>
  <c r="D1214" i="5"/>
  <c r="D1216" i="5"/>
  <c r="C1216" i="5"/>
  <c r="E1217" i="5"/>
  <c r="E1275" i="5"/>
  <c r="B1275" i="5"/>
  <c r="D1203" i="5"/>
  <c r="D1224" i="5"/>
  <c r="D1228" i="5"/>
  <c r="E1250" i="5"/>
  <c r="D1250" i="5"/>
  <c r="C1250" i="5"/>
  <c r="E1263" i="5"/>
  <c r="C1263" i="5"/>
  <c r="D1263" i="5"/>
  <c r="E1198" i="5"/>
  <c r="E1201" i="5"/>
  <c r="D1206" i="5"/>
  <c r="E1224" i="5"/>
  <c r="E1228" i="5"/>
  <c r="B1232" i="5"/>
  <c r="E1232" i="5"/>
  <c r="C1236" i="5"/>
  <c r="C1210" i="5"/>
  <c r="D1236" i="5"/>
  <c r="D1285" i="5"/>
  <c r="B1285" i="5"/>
  <c r="E1285" i="5"/>
  <c r="E1210" i="5"/>
  <c r="D1234" i="5"/>
  <c r="E1207" i="5"/>
  <c r="D1207" i="5"/>
  <c r="E1218" i="5"/>
  <c r="B1218" i="5"/>
  <c r="C1219" i="5"/>
  <c r="D1220" i="5"/>
  <c r="C1220" i="5"/>
  <c r="D1231" i="5"/>
  <c r="E1231" i="5"/>
  <c r="C1231" i="5"/>
  <c r="E1234" i="5"/>
  <c r="E1240" i="5"/>
  <c r="D1240" i="5"/>
  <c r="C1240" i="5"/>
  <c r="E1257" i="5"/>
  <c r="D1257" i="5"/>
  <c r="C1257" i="5"/>
  <c r="E1262" i="5"/>
  <c r="D1262" i="5"/>
  <c r="C1262" i="5"/>
  <c r="E1216" i="5"/>
  <c r="B1283" i="5"/>
  <c r="C1196" i="5"/>
  <c r="C1206" i="5"/>
  <c r="E1213" i="5"/>
  <c r="C1213" i="5"/>
  <c r="B1253" i="5"/>
  <c r="D1275" i="5"/>
  <c r="E1225" i="5"/>
  <c r="D1225" i="5"/>
  <c r="C1225" i="5"/>
  <c r="B1230" i="5"/>
  <c r="E1230" i="5"/>
  <c r="E1269" i="5"/>
  <c r="D1269" i="5"/>
  <c r="C1269" i="5"/>
  <c r="B1269" i="5"/>
  <c r="C1171" i="5"/>
  <c r="C1212" i="5"/>
  <c r="D1218" i="5"/>
  <c r="C1226" i="5"/>
  <c r="B1226" i="5"/>
  <c r="E1227" i="5"/>
  <c r="D1227" i="5"/>
  <c r="C1227" i="5"/>
  <c r="E1229" i="5"/>
  <c r="D1229" i="5"/>
  <c r="C1229" i="5"/>
  <c r="E1248" i="5"/>
  <c r="D1248" i="5"/>
  <c r="C1248" i="5"/>
  <c r="B1248" i="5"/>
  <c r="E1237" i="5"/>
  <c r="D1237" i="5"/>
  <c r="C1237" i="5"/>
  <c r="C1203" i="5"/>
  <c r="C1207" i="5"/>
  <c r="D1219" i="5"/>
  <c r="E1223" i="5"/>
  <c r="D1223" i="5"/>
  <c r="C1223" i="5"/>
  <c r="D1241" i="5"/>
  <c r="D1259" i="5"/>
  <c r="E1259" i="5"/>
  <c r="C1259" i="5"/>
  <c r="B1268" i="5"/>
  <c r="D1268" i="5"/>
  <c r="E1286" i="5"/>
  <c r="E1296" i="5"/>
  <c r="E1297" i="5"/>
  <c r="D1330" i="5"/>
  <c r="B1330" i="5"/>
  <c r="E1330" i="5"/>
  <c r="C1330" i="5"/>
  <c r="E1258" i="5"/>
  <c r="D1258" i="5"/>
  <c r="C1258" i="5"/>
  <c r="E1266" i="5"/>
  <c r="E1280" i="5"/>
  <c r="E1273" i="5"/>
  <c r="B1305" i="5"/>
  <c r="C1305" i="5"/>
  <c r="E1305" i="5"/>
  <c r="D1305" i="5"/>
  <c r="C1239" i="5"/>
  <c r="D1245" i="5"/>
  <c r="E1245" i="5"/>
  <c r="D1239" i="5"/>
  <c r="E1260" i="5"/>
  <c r="E1333" i="5"/>
  <c r="D1333" i="5"/>
  <c r="B1333" i="5"/>
  <c r="B1284" i="5"/>
  <c r="B1251" i="5"/>
  <c r="D1254" i="5"/>
  <c r="C1265" i="5"/>
  <c r="E1265" i="5"/>
  <c r="D1265" i="5"/>
  <c r="C1280" i="5"/>
  <c r="B1304" i="5"/>
  <c r="D1304" i="5"/>
  <c r="E1310" i="5"/>
  <c r="D1310" i="5"/>
  <c r="C1310" i="5"/>
  <c r="B1339" i="5"/>
  <c r="D1339" i="5"/>
  <c r="C1339" i="5"/>
  <c r="C1251" i="5"/>
  <c r="E1254" i="5"/>
  <c r="D1272" i="5"/>
  <c r="C1281" i="5"/>
  <c r="E1281" i="5"/>
  <c r="D1281" i="5"/>
  <c r="E1295" i="5"/>
  <c r="D1295" i="5"/>
  <c r="E1252" i="5"/>
  <c r="C1252" i="5"/>
  <c r="E1272" i="5"/>
  <c r="C1272" i="5"/>
  <c r="E1279" i="5"/>
  <c r="D1279" i="5"/>
  <c r="C1279" i="5"/>
  <c r="D1300" i="5"/>
  <c r="B1300" i="5"/>
  <c r="D1211" i="5"/>
  <c r="D1242" i="5"/>
  <c r="B1255" i="5"/>
  <c r="C1264" i="5"/>
  <c r="B1270" i="5"/>
  <c r="E1291" i="5"/>
  <c r="C1291" i="5"/>
  <c r="D1292" i="5"/>
  <c r="C1292" i="5"/>
  <c r="C1307" i="5"/>
  <c r="E1307" i="5"/>
  <c r="D1307" i="5"/>
  <c r="B1307" i="5"/>
  <c r="D1317" i="5"/>
  <c r="B1317" i="5"/>
  <c r="E1335" i="5"/>
  <c r="C1335" i="5"/>
  <c r="B1335" i="5"/>
  <c r="D1335" i="5"/>
  <c r="E1238" i="5"/>
  <c r="C1255" i="5"/>
  <c r="C1260" i="5"/>
  <c r="D1264" i="5"/>
  <c r="D1270" i="5"/>
  <c r="E1274" i="5"/>
  <c r="E1316" i="5"/>
  <c r="D1316" i="5"/>
  <c r="C1316" i="5"/>
  <c r="B1316" i="5"/>
  <c r="D1255" i="5"/>
  <c r="D1260" i="5"/>
  <c r="B1289" i="5"/>
  <c r="C1289" i="5"/>
  <c r="C1297" i="5"/>
  <c r="E1253" i="5"/>
  <c r="E1268" i="5"/>
  <c r="D1271" i="5"/>
  <c r="C1275" i="5"/>
  <c r="E1288" i="5"/>
  <c r="D1288" i="5"/>
  <c r="C1290" i="5"/>
  <c r="E1290" i="5"/>
  <c r="D1296" i="5"/>
  <c r="D1297" i="5"/>
  <c r="D1325" i="5"/>
  <c r="C1325" i="5"/>
  <c r="B1325" i="5"/>
  <c r="E1301" i="5"/>
  <c r="C1301" i="5"/>
  <c r="E1302" i="5"/>
  <c r="D1302" i="5"/>
  <c r="C1364" i="5"/>
  <c r="B1364" i="5"/>
  <c r="B1312" i="5"/>
  <c r="E1312" i="5"/>
  <c r="E1320" i="5"/>
  <c r="C1320" i="5"/>
  <c r="D1320" i="5"/>
  <c r="B1323" i="5"/>
  <c r="E1294" i="5"/>
  <c r="D1294" i="5"/>
  <c r="E1315" i="5"/>
  <c r="D1315" i="5"/>
  <c r="E1327" i="5"/>
  <c r="D1334" i="5"/>
  <c r="B1334" i="5"/>
  <c r="E1319" i="5"/>
  <c r="D1319" i="5"/>
  <c r="C1319" i="5"/>
  <c r="B1319" i="5"/>
  <c r="E1342" i="5"/>
  <c r="D1342" i="5"/>
  <c r="C1342" i="5"/>
  <c r="B1303" i="5"/>
  <c r="E1309" i="5"/>
  <c r="D1309" i="5"/>
  <c r="E1284" i="5"/>
  <c r="C1294" i="5"/>
  <c r="E1303" i="5"/>
  <c r="C1315" i="5"/>
  <c r="C1332" i="5"/>
  <c r="E1332" i="5"/>
  <c r="D1332" i="5"/>
  <c r="B1348" i="5"/>
  <c r="E1348" i="5"/>
  <c r="C1348" i="5"/>
  <c r="E1247" i="5"/>
  <c r="B1256" i="5"/>
  <c r="C1270" i="5"/>
  <c r="D1277" i="5"/>
  <c r="B1287" i="5"/>
  <c r="B1298" i="5"/>
  <c r="C1334" i="5"/>
  <c r="D1261" i="5"/>
  <c r="E1287" i="5"/>
  <c r="D1298" i="5"/>
  <c r="E1299" i="5"/>
  <c r="E1334" i="5"/>
  <c r="C1323" i="5"/>
  <c r="E1323" i="5"/>
  <c r="D1331" i="5"/>
  <c r="C1331" i="5"/>
  <c r="B1331" i="5"/>
  <c r="D1341" i="5"/>
  <c r="B1341" i="5"/>
  <c r="E1341" i="5"/>
  <c r="C1341" i="5"/>
  <c r="E1346" i="5"/>
  <c r="D1346" i="5"/>
  <c r="C1346" i="5"/>
  <c r="D1284" i="5"/>
  <c r="E1300" i="5"/>
  <c r="C1321" i="5"/>
  <c r="B1321" i="5"/>
  <c r="E1321" i="5"/>
  <c r="C1322" i="5"/>
  <c r="D1322" i="5"/>
  <c r="D1303" i="5"/>
  <c r="D1314" i="5"/>
  <c r="D1337" i="5"/>
  <c r="D1353" i="5"/>
  <c r="B1353" i="5"/>
  <c r="C1285" i="5"/>
  <c r="C1296" i="5"/>
  <c r="E1304" i="5"/>
  <c r="C1304" i="5"/>
  <c r="E1317" i="5"/>
  <c r="C1317" i="5"/>
  <c r="E1318" i="5"/>
  <c r="D1318" i="5"/>
  <c r="D1336" i="5"/>
  <c r="D1311" i="5"/>
  <c r="C1311" i="5"/>
  <c r="D1312" i="5"/>
  <c r="C1312" i="5"/>
  <c r="C1376" i="5"/>
  <c r="E1376" i="5"/>
  <c r="D1376" i="5"/>
  <c r="B1376" i="5"/>
  <c r="D1313" i="5"/>
  <c r="B1313" i="5"/>
  <c r="D1328" i="5"/>
  <c r="C1328" i="5"/>
  <c r="C1349" i="5"/>
  <c r="E1349" i="5"/>
  <c r="D1349" i="5"/>
  <c r="B1349" i="5"/>
  <c r="E1311" i="5"/>
  <c r="C1313" i="5"/>
  <c r="E1325" i="5"/>
  <c r="D1327" i="5"/>
  <c r="C1327" i="5"/>
  <c r="E1357" i="5"/>
  <c r="E1360" i="5"/>
  <c r="B1368" i="5"/>
  <c r="E1368" i="5"/>
  <c r="D1368" i="5"/>
  <c r="C1368" i="5"/>
  <c r="E1339" i="5"/>
  <c r="B1400" i="5"/>
  <c r="E1400" i="5"/>
  <c r="C1400" i="5"/>
  <c r="C1337" i="5"/>
  <c r="E1361" i="5"/>
  <c r="D1361" i="5"/>
  <c r="C1361" i="5"/>
  <c r="B1396" i="5"/>
  <c r="D1396" i="5"/>
  <c r="C1396" i="5"/>
  <c r="E1331" i="5"/>
  <c r="C1333" i="5"/>
  <c r="C1360" i="5"/>
  <c r="E1389" i="5"/>
  <c r="C1389" i="5"/>
  <c r="C1392" i="5"/>
  <c r="D1360" i="5"/>
  <c r="D1366" i="5"/>
  <c r="E1372" i="5"/>
  <c r="D1372" i="5"/>
  <c r="C1372" i="5"/>
  <c r="D1416" i="5"/>
  <c r="C1416" i="5"/>
  <c r="E1416" i="5"/>
  <c r="E1350" i="5"/>
  <c r="C1353" i="5"/>
  <c r="E1347" i="5"/>
  <c r="C1347" i="5"/>
  <c r="E1385" i="5"/>
  <c r="D1398" i="5"/>
  <c r="C1398" i="5"/>
  <c r="C1343" i="5"/>
  <c r="C1357" i="5"/>
  <c r="E1343" i="5"/>
  <c r="B1350" i="5"/>
  <c r="D1357" i="5"/>
  <c r="E1379" i="5"/>
  <c r="D1379" i="5"/>
  <c r="C1382" i="5"/>
  <c r="E1382" i="5"/>
  <c r="E1386" i="5"/>
  <c r="D1386" i="5"/>
  <c r="C1386" i="5"/>
  <c r="C1338" i="5"/>
  <c r="B1362" i="5"/>
  <c r="D1363" i="5"/>
  <c r="C1363" i="5"/>
  <c r="E1364" i="5"/>
  <c r="D1384" i="5"/>
  <c r="C1384" i="5"/>
  <c r="B1384" i="5"/>
  <c r="E1393" i="5"/>
  <c r="D1393" i="5"/>
  <c r="C1393" i="5"/>
  <c r="D1400" i="5"/>
  <c r="E1402" i="5"/>
  <c r="D1402" i="5"/>
  <c r="C1402" i="5"/>
  <c r="B1403" i="5"/>
  <c r="E1403" i="5"/>
  <c r="D1403" i="5"/>
  <c r="C1419" i="5"/>
  <c r="B1419" i="5"/>
  <c r="D1326" i="5"/>
  <c r="E1338" i="5"/>
  <c r="D1347" i="5"/>
  <c r="D1350" i="5"/>
  <c r="C1358" i="5"/>
  <c r="E1359" i="5"/>
  <c r="D1359" i="5"/>
  <c r="C1362" i="5"/>
  <c r="C1336" i="5"/>
  <c r="D1358" i="5"/>
  <c r="C1369" i="5"/>
  <c r="C1375" i="5"/>
  <c r="C1377" i="5"/>
  <c r="B1355" i="5"/>
  <c r="D1369" i="5"/>
  <c r="B1378" i="5"/>
  <c r="E1392" i="5"/>
  <c r="B1392" i="5"/>
  <c r="E1401" i="5"/>
  <c r="D1401" i="5"/>
  <c r="C1401" i="5"/>
  <c r="D1406" i="5"/>
  <c r="E1406" i="5"/>
  <c r="C1406" i="5"/>
  <c r="E1345" i="5"/>
  <c r="D1345" i="5"/>
  <c r="E1352" i="5"/>
  <c r="D1352" i="5"/>
  <c r="C1352" i="5"/>
  <c r="D1365" i="5"/>
  <c r="C1365" i="5"/>
  <c r="C1366" i="5"/>
  <c r="C1378" i="5"/>
  <c r="E1363" i="5"/>
  <c r="D1371" i="5"/>
  <c r="B1379" i="5"/>
  <c r="E1384" i="5"/>
  <c r="C1385" i="5"/>
  <c r="E1418" i="5"/>
  <c r="C1418" i="5"/>
  <c r="D1394" i="5"/>
  <c r="E1395" i="5"/>
  <c r="C1390" i="5"/>
  <c r="E1396" i="5"/>
  <c r="C1403" i="5"/>
  <c r="E1404" i="5"/>
  <c r="D1404" i="5"/>
  <c r="E1410" i="5"/>
  <c r="D1410" i="5"/>
  <c r="E1408" i="5"/>
  <c r="D1408" i="5"/>
  <c r="B1418" i="5"/>
  <c r="C1367" i="5"/>
  <c r="B1373" i="5"/>
  <c r="D1383" i="5"/>
  <c r="C1387" i="5"/>
  <c r="D1397" i="5"/>
  <c r="C1397" i="5"/>
  <c r="E1414" i="5"/>
  <c r="D1367" i="5"/>
  <c r="C1373" i="5"/>
  <c r="E1383" i="5"/>
  <c r="D1390" i="5"/>
  <c r="D1412" i="5"/>
  <c r="E1390" i="5"/>
  <c r="C1380" i="5"/>
  <c r="D1381" i="5"/>
  <c r="C1381" i="5"/>
  <c r="E1388" i="5"/>
  <c r="D1388" i="5"/>
  <c r="C1391" i="5"/>
  <c r="C1395" i="5"/>
  <c r="D1421" i="5"/>
  <c r="C1421" i="5"/>
  <c r="B1421" i="5"/>
  <c r="D1391" i="5"/>
  <c r="D1395" i="5"/>
  <c r="E1419" i="5"/>
  <c r="D1378" i="5"/>
  <c r="D1387" i="5"/>
  <c r="D1399" i="5"/>
  <c r="B1399" i="5"/>
  <c r="C1404" i="5"/>
  <c r="B1405" i="5"/>
  <c r="C1409" i="5"/>
  <c r="B1410" i="5"/>
  <c r="B1411" i="5"/>
  <c r="C1408" i="5"/>
  <c r="C1412" i="5"/>
  <c r="D1419" i="5"/>
  <c r="C1415" i="5"/>
  <c r="D1415" i="5"/>
  <c r="E1413" i="5"/>
  <c r="C1394" i="5"/>
  <c r="E1415" i="5"/>
  <c r="E1421" i="5"/>
  <c r="B26" i="5"/>
  <c r="E26" i="5"/>
  <c r="C26" i="5"/>
  <c r="D26" i="5"/>
  <c r="B24" i="5"/>
  <c r="E24" i="5"/>
  <c r="D22" i="5"/>
  <c r="E22" i="5"/>
  <c r="C22" i="5"/>
  <c r="B22" i="5"/>
  <c r="B10" i="5"/>
  <c r="E10" i="5"/>
  <c r="B12" i="5"/>
  <c r="C12" i="5"/>
  <c r="D12" i="5"/>
  <c r="E12" i="5"/>
  <c r="B20" i="5"/>
  <c r="E20" i="5"/>
  <c r="D20" i="5"/>
  <c r="C10" i="5"/>
  <c r="E28" i="5"/>
  <c r="D28" i="5"/>
  <c r="C28" i="5"/>
  <c r="B28" i="5"/>
  <c r="B18" i="5"/>
  <c r="C18" i="5"/>
  <c r="E18" i="5"/>
  <c r="B14" i="5"/>
  <c r="C14" i="5"/>
  <c r="D14" i="5"/>
  <c r="E14" i="5"/>
  <c r="D18" i="5"/>
  <c r="B27" i="5"/>
  <c r="C27" i="5"/>
  <c r="B25" i="5"/>
  <c r="C25" i="5"/>
  <c r="E25" i="5"/>
  <c r="E13" i="5"/>
  <c r="B13" i="5"/>
  <c r="C13" i="5"/>
  <c r="D13" i="5"/>
  <c r="C8" i="5"/>
  <c r="B11" i="5"/>
  <c r="E11" i="5"/>
  <c r="C11" i="5"/>
  <c r="B21" i="5"/>
  <c r="C21" i="5"/>
  <c r="D21" i="5"/>
  <c r="E21" i="5"/>
  <c r="B19" i="5"/>
  <c r="C19" i="5"/>
  <c r="D19" i="5"/>
  <c r="E19" i="5"/>
  <c r="B17" i="5"/>
  <c r="C17" i="5"/>
  <c r="E17" i="5"/>
  <c r="C9" i="5"/>
  <c r="E27" i="5"/>
  <c r="D11" i="5"/>
  <c r="E9" i="5"/>
  <c r="E16" i="5"/>
  <c r="D9" i="5"/>
  <c r="D16" i="5"/>
  <c r="D23" i="5"/>
  <c r="D10" i="5"/>
  <c r="E8" i="5"/>
  <c r="D24" i="5"/>
  <c r="D8" i="5"/>
  <c r="M570" i="15"/>
  <c r="Q570" i="15" s="1"/>
  <c r="M586" i="15"/>
  <c r="Q586" i="15" s="1"/>
  <c r="M1472" i="15"/>
  <c r="Q1472" i="15" s="1"/>
  <c r="M431" i="15"/>
  <c r="Q431" i="15" s="1"/>
  <c r="M522" i="15"/>
  <c r="Q522" i="15" s="1"/>
  <c r="M538" i="15"/>
  <c r="Q538" i="15" s="1"/>
  <c r="M1394" i="15"/>
  <c r="Q1394" i="15" s="1"/>
  <c r="M970" i="15"/>
  <c r="Q970" i="15" s="1"/>
  <c r="M988" i="15"/>
  <c r="Q988" i="15" s="1"/>
  <c r="P733" i="15"/>
  <c r="M1255" i="15"/>
  <c r="Q1255" i="15" s="1"/>
  <c r="M1271" i="15"/>
  <c r="Q1271" i="15" s="1"/>
  <c r="M1287" i="15"/>
  <c r="Q1287" i="15" s="1"/>
  <c r="M1303" i="15"/>
  <c r="Q1303" i="15" s="1"/>
  <c r="P160" i="15"/>
  <c r="M717" i="15"/>
  <c r="Q717" i="15" s="1"/>
  <c r="M813" i="15"/>
  <c r="Q813" i="15" s="1"/>
  <c r="M979" i="15"/>
  <c r="Q979" i="15" s="1"/>
  <c r="M1027" i="15"/>
  <c r="Q1027" i="15" s="1"/>
  <c r="M908" i="15"/>
  <c r="Q908" i="15" s="1"/>
  <c r="P1462" i="15"/>
  <c r="P911" i="15"/>
  <c r="P1133" i="15"/>
  <c r="M36" i="15"/>
  <c r="Q36" i="15" s="1"/>
  <c r="J41" i="5" s="1"/>
  <c r="M45" i="15"/>
  <c r="Q45" i="15" s="1"/>
  <c r="M79" i="15"/>
  <c r="Q79" i="15" s="1"/>
  <c r="M954" i="15"/>
  <c r="Q954" i="15" s="1"/>
  <c r="M279" i="15"/>
  <c r="Q279" i="15" s="1"/>
  <c r="M311" i="15"/>
  <c r="Q311" i="15" s="1"/>
  <c r="M637" i="15"/>
  <c r="Q637" i="15" s="1"/>
  <c r="M810" i="15"/>
  <c r="Q810" i="15" s="1"/>
  <c r="M944" i="15"/>
  <c r="Q944" i="15" s="1"/>
  <c r="M1035" i="15"/>
  <c r="Q1035" i="15" s="1"/>
  <c r="P1191" i="15"/>
  <c r="P1194" i="15"/>
  <c r="M738" i="15"/>
  <c r="Q738" i="15" s="1"/>
  <c r="M802" i="15"/>
  <c r="Q802" i="15" s="1"/>
  <c r="M834" i="15"/>
  <c r="Q834" i="15" s="1"/>
  <c r="M1080" i="15"/>
  <c r="Q1080" i="15" s="1"/>
  <c r="M1468" i="15"/>
  <c r="Q1468" i="15" s="1"/>
  <c r="P963" i="15"/>
  <c r="M831" i="15"/>
  <c r="Q831" i="15" s="1"/>
  <c r="M914" i="15"/>
  <c r="Q914" i="15" s="1"/>
  <c r="M1037" i="15"/>
  <c r="Q1037" i="15" s="1"/>
  <c r="M1076" i="15"/>
  <c r="Q1076" i="15" s="1"/>
  <c r="P1299" i="15"/>
  <c r="M42" i="15"/>
  <c r="Q42" i="15" s="1"/>
  <c r="J47" i="5" s="1"/>
  <c r="M149" i="15"/>
  <c r="Q149" i="15" s="1"/>
  <c r="M229" i="15"/>
  <c r="Q229" i="15" s="1"/>
  <c r="M293" i="15"/>
  <c r="Q293" i="15" s="1"/>
  <c r="M478" i="15"/>
  <c r="Q478" i="15" s="1"/>
  <c r="M883" i="15"/>
  <c r="Q883" i="15" s="1"/>
  <c r="M899" i="15"/>
  <c r="Q899" i="15" s="1"/>
  <c r="M1070" i="15"/>
  <c r="Q1070" i="15" s="1"/>
  <c r="M1415" i="15"/>
  <c r="Q1415" i="15" s="1"/>
  <c r="P1421" i="15"/>
  <c r="M1134" i="15"/>
  <c r="Q1134" i="15" s="1"/>
  <c r="M963" i="15"/>
  <c r="Q963" i="15" s="1"/>
  <c r="M984" i="15"/>
  <c r="Q984" i="15" s="1"/>
  <c r="M27" i="15"/>
  <c r="Q27" i="15" s="1"/>
  <c r="J32" i="5" s="1"/>
  <c r="M43" i="15"/>
  <c r="Q43" i="15" s="1"/>
  <c r="J48" i="5" s="1"/>
  <c r="M52" i="15"/>
  <c r="Q52" i="15" s="1"/>
  <c r="M479" i="15"/>
  <c r="Q479" i="15" s="1"/>
  <c r="M529" i="15"/>
  <c r="Q529" i="15" s="1"/>
  <c r="M611" i="15"/>
  <c r="Q611" i="15" s="1"/>
  <c r="M620" i="15"/>
  <c r="Q620" i="15" s="1"/>
  <c r="M932" i="15"/>
  <c r="Q932" i="15" s="1"/>
  <c r="M1461" i="15"/>
  <c r="Q1461" i="15" s="1"/>
  <c r="P1496" i="15"/>
  <c r="M746" i="15"/>
  <c r="Q746" i="15" s="1"/>
  <c r="M1059" i="15"/>
  <c r="Q1059" i="15" s="1"/>
  <c r="P1439" i="15"/>
  <c r="M1497" i="15"/>
  <c r="Q1497" i="15" s="1"/>
  <c r="M209" i="15"/>
  <c r="Q209" i="15" s="1"/>
  <c r="M1376" i="15"/>
  <c r="Q1376" i="15" s="1"/>
  <c r="M1475" i="15"/>
  <c r="Q1475" i="15" s="1"/>
  <c r="M1357" i="15"/>
  <c r="Q1357" i="15" s="1"/>
  <c r="P940" i="15"/>
  <c r="M1121" i="15"/>
  <c r="Q1121" i="15" s="1"/>
  <c r="M1140" i="15"/>
  <c r="Q1140" i="15" s="1"/>
  <c r="M1156" i="15"/>
  <c r="Q1156" i="15" s="1"/>
  <c r="M1191" i="15"/>
  <c r="Q1191" i="15" s="1"/>
  <c r="M1194" i="15"/>
  <c r="Q1194" i="15" s="1"/>
  <c r="M1258" i="15"/>
  <c r="Q1258" i="15" s="1"/>
  <c r="M1338" i="15"/>
  <c r="Q1338" i="15" s="1"/>
  <c r="M938" i="15"/>
  <c r="Q938" i="15" s="1"/>
  <c r="M941" i="15"/>
  <c r="Q941" i="15" s="1"/>
  <c r="M1083" i="15"/>
  <c r="Q1083" i="15" s="1"/>
  <c r="M1367" i="15"/>
  <c r="Q1367" i="15" s="1"/>
  <c r="P1424" i="15"/>
  <c r="M1364" i="15"/>
  <c r="Q1364" i="15" s="1"/>
  <c r="P1469" i="15"/>
  <c r="P1472" i="15"/>
  <c r="M339" i="15"/>
  <c r="Q339" i="15" s="1"/>
  <c r="M403" i="15"/>
  <c r="Q403" i="15" s="1"/>
  <c r="M667" i="15"/>
  <c r="Q667" i="15" s="1"/>
  <c r="M710" i="15"/>
  <c r="Q710" i="15" s="1"/>
  <c r="M991" i="15"/>
  <c r="Q991" i="15" s="1"/>
  <c r="M1055" i="15"/>
  <c r="Q1055" i="15" s="1"/>
  <c r="M1058" i="15"/>
  <c r="Q1058" i="15" s="1"/>
  <c r="M1157" i="15"/>
  <c r="Q1157" i="15" s="1"/>
  <c r="M1173" i="15"/>
  <c r="Q1173" i="15" s="1"/>
  <c r="M1195" i="15"/>
  <c r="Q1195" i="15" s="1"/>
  <c r="P1367" i="15"/>
  <c r="P1463" i="15"/>
  <c r="M1336" i="15"/>
  <c r="Q1336" i="15" s="1"/>
  <c r="M1492" i="15"/>
  <c r="Q1492" i="15" s="1"/>
  <c r="M88" i="15"/>
  <c r="Q88" i="15" s="1"/>
  <c r="M942" i="15"/>
  <c r="Q942" i="15" s="1"/>
  <c r="P1061" i="15"/>
  <c r="M1151" i="15"/>
  <c r="Q1151" i="15" s="1"/>
  <c r="M1167" i="15"/>
  <c r="Q1167" i="15" s="1"/>
  <c r="M1253" i="15"/>
  <c r="Q1253" i="15" s="1"/>
  <c r="P1479" i="15"/>
  <c r="P1087" i="15"/>
  <c r="M1202" i="15"/>
  <c r="Q1202" i="15" s="1"/>
  <c r="P1256" i="15"/>
  <c r="P1272" i="15"/>
  <c r="M1448" i="15"/>
  <c r="Q1448" i="15" s="1"/>
  <c r="P942" i="15"/>
  <c r="M38" i="15"/>
  <c r="Q38" i="15" s="1"/>
  <c r="J43" i="5" s="1"/>
  <c r="M81" i="15"/>
  <c r="Q81" i="15" s="1"/>
  <c r="M273" i="15"/>
  <c r="Q273" i="15" s="1"/>
  <c r="M836" i="15"/>
  <c r="Q836" i="15" s="1"/>
  <c r="M852" i="15"/>
  <c r="Q852" i="15" s="1"/>
  <c r="M1209" i="15"/>
  <c r="Q1209" i="15" s="1"/>
  <c r="M1289" i="15"/>
  <c r="Q1289" i="15" s="1"/>
  <c r="P148" i="15"/>
  <c r="M411" i="15"/>
  <c r="Q411" i="15" s="1"/>
  <c r="P575" i="15"/>
  <c r="P634" i="15"/>
  <c r="M643" i="15"/>
  <c r="Q643" i="15" s="1"/>
  <c r="M965" i="15"/>
  <c r="Q965" i="15" s="1"/>
  <c r="M1047" i="15"/>
  <c r="Q1047" i="15" s="1"/>
  <c r="M1133" i="15"/>
  <c r="Q1133" i="15" s="1"/>
  <c r="P1142" i="15"/>
  <c r="M1203" i="15"/>
  <c r="Q1203" i="15" s="1"/>
  <c r="M1283" i="15"/>
  <c r="Q1283" i="15" s="1"/>
  <c r="M1315" i="15"/>
  <c r="Q1315" i="15" s="1"/>
  <c r="M93" i="15"/>
  <c r="Q93" i="15" s="1"/>
  <c r="M661" i="15"/>
  <c r="Q661" i="15" s="1"/>
  <c r="M848" i="15"/>
  <c r="Q848" i="15" s="1"/>
  <c r="M973" i="15"/>
  <c r="Q973" i="15" s="1"/>
  <c r="M1029" i="15"/>
  <c r="Q1029" i="15" s="1"/>
  <c r="M1045" i="15"/>
  <c r="Q1045" i="15" s="1"/>
  <c r="M1064" i="15"/>
  <c r="Q1064" i="15" s="1"/>
  <c r="M1086" i="15"/>
  <c r="Q1086" i="15" s="1"/>
  <c r="M1124" i="15"/>
  <c r="Q1124" i="15" s="1"/>
  <c r="M1143" i="15"/>
  <c r="Q1143" i="15" s="1"/>
  <c r="M1229" i="15"/>
  <c r="Q1229" i="15" s="1"/>
  <c r="M1245" i="15"/>
  <c r="Q1245" i="15" s="1"/>
  <c r="M1360" i="15"/>
  <c r="Q1360" i="15" s="1"/>
  <c r="M1430" i="15"/>
  <c r="Q1430" i="15" s="1"/>
  <c r="M888" i="15"/>
  <c r="Q888" i="15" s="1"/>
  <c r="P1016" i="15"/>
  <c r="M1061" i="15"/>
  <c r="Q1061" i="15" s="1"/>
  <c r="M1172" i="15"/>
  <c r="Q1172" i="15" s="1"/>
  <c r="P1232" i="15"/>
  <c r="P1248" i="15"/>
  <c r="P1417" i="15"/>
  <c r="M25" i="15"/>
  <c r="Q25" i="15" s="1"/>
  <c r="J30" i="5" s="1"/>
  <c r="M50" i="15"/>
  <c r="Q50" i="15" s="1"/>
  <c r="M68" i="15"/>
  <c r="Q68" i="15" s="1"/>
  <c r="M84" i="15"/>
  <c r="Q84" i="15" s="1"/>
  <c r="M100" i="15"/>
  <c r="Q100" i="15" s="1"/>
  <c r="M148" i="15"/>
  <c r="Q148" i="15" s="1"/>
  <c r="M292" i="15"/>
  <c r="Q292" i="15" s="1"/>
  <c r="M1004" i="15"/>
  <c r="Q1004" i="15" s="1"/>
  <c r="M1166" i="15"/>
  <c r="Q1166" i="15" s="1"/>
  <c r="M1207" i="15"/>
  <c r="Q1207" i="15" s="1"/>
  <c r="M1220" i="15"/>
  <c r="Q1220" i="15" s="1"/>
  <c r="M1252" i="15"/>
  <c r="Q1252" i="15" s="1"/>
  <c r="M1284" i="15"/>
  <c r="Q1284" i="15" s="1"/>
  <c r="P1360" i="15"/>
  <c r="M1386" i="15"/>
  <c r="Q1386" i="15" s="1"/>
  <c r="M1405" i="15"/>
  <c r="Q1405" i="15" s="1"/>
  <c r="M1440" i="15"/>
  <c r="Q1440" i="15" s="1"/>
  <c r="M1418" i="15"/>
  <c r="Q1418" i="15" s="1"/>
  <c r="M737" i="15"/>
  <c r="Q737" i="15" s="1"/>
  <c r="M865" i="15"/>
  <c r="Q865" i="15" s="1"/>
  <c r="P901" i="15"/>
  <c r="P936" i="15"/>
  <c r="M1030" i="15"/>
  <c r="Q1030" i="15" s="1"/>
  <c r="M1068" i="15"/>
  <c r="Q1068" i="15" s="1"/>
  <c r="P1137" i="15"/>
  <c r="M1214" i="15"/>
  <c r="Q1214" i="15" s="1"/>
  <c r="M1230" i="15"/>
  <c r="Q1230" i="15" s="1"/>
  <c r="P1271" i="15"/>
  <c r="P1389" i="15"/>
  <c r="M1399" i="15"/>
  <c r="Q1399" i="15" s="1"/>
  <c r="M1434" i="15"/>
  <c r="Q1434" i="15" s="1"/>
  <c r="P1112" i="15"/>
  <c r="M1323" i="15"/>
  <c r="Q1323" i="15" s="1"/>
  <c r="M1431" i="15"/>
  <c r="Q1431" i="15" s="1"/>
  <c r="M1463" i="15"/>
  <c r="Q1463" i="15" s="1"/>
  <c r="P976" i="15"/>
  <c r="P979" i="15"/>
  <c r="M986" i="15"/>
  <c r="Q986" i="15" s="1"/>
  <c r="P1128" i="15"/>
  <c r="M1154" i="15"/>
  <c r="Q1154" i="15" s="1"/>
  <c r="M1170" i="15"/>
  <c r="Q1170" i="15" s="1"/>
  <c r="M1208" i="15"/>
  <c r="Q1208" i="15" s="1"/>
  <c r="M1224" i="15"/>
  <c r="Q1224" i="15" s="1"/>
  <c r="P1265" i="15"/>
  <c r="M1355" i="15"/>
  <c r="Q1355" i="15" s="1"/>
  <c r="M1390" i="15"/>
  <c r="Q1390" i="15" s="1"/>
  <c r="P1399" i="15"/>
  <c r="M1409" i="15"/>
  <c r="Q1409" i="15" s="1"/>
  <c r="M1482" i="15"/>
  <c r="Q1482" i="15" s="1"/>
  <c r="M1495" i="15"/>
  <c r="Q1495" i="15" s="1"/>
  <c r="M869" i="15"/>
  <c r="Q869" i="15" s="1"/>
  <c r="M915" i="15"/>
  <c r="Q915" i="15" s="1"/>
  <c r="P989" i="15"/>
  <c r="P992" i="15"/>
  <c r="M1018" i="15"/>
  <c r="Q1018" i="15" s="1"/>
  <c r="M1091" i="15"/>
  <c r="Q1091" i="15" s="1"/>
  <c r="M1180" i="15"/>
  <c r="Q1180" i="15" s="1"/>
  <c r="M1218" i="15"/>
  <c r="Q1218" i="15" s="1"/>
  <c r="M1250" i="15"/>
  <c r="Q1250" i="15" s="1"/>
  <c r="M1269" i="15"/>
  <c r="Q1269" i="15" s="1"/>
  <c r="M1349" i="15"/>
  <c r="Q1349" i="15" s="1"/>
  <c r="P1393" i="15"/>
  <c r="M1406" i="15"/>
  <c r="Q1406" i="15" s="1"/>
  <c r="M1419" i="15"/>
  <c r="Q1419" i="15" s="1"/>
  <c r="M1457" i="15"/>
  <c r="Q1457" i="15" s="1"/>
  <c r="M1311" i="15"/>
  <c r="Q1311" i="15" s="1"/>
  <c r="M1327" i="15"/>
  <c r="Q1327" i="15" s="1"/>
  <c r="M1346" i="15"/>
  <c r="Q1346" i="15" s="1"/>
  <c r="M1365" i="15"/>
  <c r="Q1365" i="15" s="1"/>
  <c r="M1489" i="15"/>
  <c r="Q1489" i="15" s="1"/>
  <c r="M156" i="15"/>
  <c r="Q156" i="15" s="1"/>
  <c r="M188" i="15"/>
  <c r="Q188" i="15" s="1"/>
  <c r="M380" i="15"/>
  <c r="Q380" i="15" s="1"/>
  <c r="M551" i="15"/>
  <c r="Q551" i="15" s="1"/>
  <c r="M567" i="15"/>
  <c r="Q567" i="15" s="1"/>
  <c r="M583" i="15"/>
  <c r="Q583" i="15" s="1"/>
  <c r="M676" i="15"/>
  <c r="Q676" i="15" s="1"/>
  <c r="M719" i="15"/>
  <c r="Q719" i="15" s="1"/>
  <c r="M767" i="15"/>
  <c r="Q767" i="15" s="1"/>
  <c r="M799" i="15"/>
  <c r="Q799" i="15" s="1"/>
  <c r="P899" i="15"/>
  <c r="M956" i="15"/>
  <c r="Q956" i="15" s="1"/>
  <c r="M1012" i="15"/>
  <c r="Q1012" i="15" s="1"/>
  <c r="M1063" i="15"/>
  <c r="Q1063" i="15" s="1"/>
  <c r="P1094" i="15"/>
  <c r="P1110" i="15"/>
  <c r="M1123" i="15"/>
  <c r="Q1123" i="15" s="1"/>
  <c r="P1151" i="15"/>
  <c r="M1292" i="15"/>
  <c r="Q1292" i="15" s="1"/>
  <c r="M1308" i="15"/>
  <c r="Q1308" i="15" s="1"/>
  <c r="M1324" i="15"/>
  <c r="Q1324" i="15" s="1"/>
  <c r="M1343" i="15"/>
  <c r="Q1343" i="15" s="1"/>
  <c r="M1378" i="15"/>
  <c r="Q1378" i="15" s="1"/>
  <c r="M1464" i="15"/>
  <c r="Q1464" i="15" s="1"/>
  <c r="M857" i="15"/>
  <c r="Q857" i="15" s="1"/>
  <c r="M873" i="15"/>
  <c r="Q873" i="15" s="1"/>
  <c r="M966" i="15"/>
  <c r="Q966" i="15" s="1"/>
  <c r="M987" i="15"/>
  <c r="Q987" i="15" s="1"/>
  <c r="M993" i="15"/>
  <c r="Q993" i="15" s="1"/>
  <c r="M1057" i="15"/>
  <c r="Q1057" i="15" s="1"/>
  <c r="M1136" i="15"/>
  <c r="Q1136" i="15" s="1"/>
  <c r="M1168" i="15"/>
  <c r="Q1168" i="15" s="1"/>
  <c r="M1187" i="15"/>
  <c r="Q1187" i="15" s="1"/>
  <c r="M1222" i="15"/>
  <c r="Q1222" i="15" s="1"/>
  <c r="M1238" i="15"/>
  <c r="Q1238" i="15" s="1"/>
  <c r="M1286" i="15"/>
  <c r="Q1286" i="15" s="1"/>
  <c r="P1311" i="15"/>
  <c r="M1337" i="15"/>
  <c r="Q1337" i="15" s="1"/>
  <c r="M1410" i="15"/>
  <c r="Q1410" i="15" s="1"/>
  <c r="M1423" i="15"/>
  <c r="Q1423" i="15" s="1"/>
  <c r="M1426" i="15"/>
  <c r="Q1426" i="15" s="1"/>
  <c r="M1442" i="15"/>
  <c r="Q1442" i="15" s="1"/>
  <c r="M1493" i="15"/>
  <c r="Q1493" i="15" s="1"/>
  <c r="M448" i="15"/>
  <c r="Q448" i="15" s="1"/>
  <c r="M603" i="15"/>
  <c r="Q603" i="15" s="1"/>
  <c r="M723" i="15"/>
  <c r="Q723" i="15" s="1"/>
  <c r="M835" i="15"/>
  <c r="Q835" i="15" s="1"/>
  <c r="M878" i="15"/>
  <c r="Q878" i="15" s="1"/>
  <c r="M951" i="15"/>
  <c r="Q951" i="15" s="1"/>
  <c r="M960" i="15"/>
  <c r="Q960" i="15" s="1"/>
  <c r="M1000" i="15"/>
  <c r="Q1000" i="15" s="1"/>
  <c r="M1048" i="15"/>
  <c r="Q1048" i="15" s="1"/>
  <c r="M1146" i="15"/>
  <c r="Q1146" i="15" s="1"/>
  <c r="M1232" i="15"/>
  <c r="Q1232" i="15" s="1"/>
  <c r="P1410" i="15"/>
  <c r="M1455" i="15"/>
  <c r="Q1455" i="15" s="1"/>
  <c r="M1477" i="15"/>
  <c r="Q1477" i="15" s="1"/>
  <c r="M370" i="15"/>
  <c r="Q370" i="15" s="1"/>
  <c r="P392" i="15"/>
  <c r="M402" i="15"/>
  <c r="Q402" i="15" s="1"/>
  <c r="M666" i="15"/>
  <c r="Q666" i="15" s="1"/>
  <c r="M789" i="15"/>
  <c r="Q789" i="15" s="1"/>
  <c r="M805" i="15"/>
  <c r="Q805" i="15" s="1"/>
  <c r="P814" i="15"/>
  <c r="P879" i="15"/>
  <c r="M905" i="15"/>
  <c r="Q905" i="15" s="1"/>
  <c r="M958" i="15"/>
  <c r="Q958" i="15" s="1"/>
  <c r="P1008" i="15"/>
  <c r="M1015" i="15"/>
  <c r="Q1015" i="15" s="1"/>
  <c r="M1084" i="15"/>
  <c r="Q1084" i="15" s="1"/>
  <c r="P1090" i="15"/>
  <c r="P1106" i="15"/>
  <c r="P1134" i="15"/>
  <c r="M1169" i="15"/>
  <c r="Q1169" i="15" s="1"/>
  <c r="P1187" i="15"/>
  <c r="M1216" i="15"/>
  <c r="Q1216" i="15" s="1"/>
  <c r="M1266" i="15"/>
  <c r="Q1266" i="15" s="1"/>
  <c r="M1282" i="15"/>
  <c r="Q1282" i="15" s="1"/>
  <c r="M1326" i="15"/>
  <c r="Q1326" i="15" s="1"/>
  <c r="M1329" i="15"/>
  <c r="Q1329" i="15" s="1"/>
  <c r="P1362" i="15"/>
  <c r="P1418" i="15"/>
  <c r="P1430" i="15"/>
  <c r="M1453" i="15"/>
  <c r="Q1453" i="15" s="1"/>
  <c r="P1350" i="15"/>
  <c r="P1384" i="15"/>
  <c r="P1412" i="15"/>
  <c r="P1456" i="15"/>
  <c r="M55" i="15"/>
  <c r="Q55" i="15" s="1"/>
  <c r="M73" i="15"/>
  <c r="Q73" i="15" s="1"/>
  <c r="M137" i="15"/>
  <c r="Q137" i="15" s="1"/>
  <c r="M313" i="15"/>
  <c r="Q313" i="15" s="1"/>
  <c r="M345" i="15"/>
  <c r="Q345" i="15" s="1"/>
  <c r="M409" i="15"/>
  <c r="Q409" i="15" s="1"/>
  <c r="M500" i="15"/>
  <c r="Q500" i="15" s="1"/>
  <c r="M614" i="15"/>
  <c r="Q614" i="15" s="1"/>
  <c r="M641" i="15"/>
  <c r="Q641" i="15" s="1"/>
  <c r="M918" i="15"/>
  <c r="Q918" i="15" s="1"/>
  <c r="P924" i="15"/>
  <c r="P958" i="15"/>
  <c r="M1022" i="15"/>
  <c r="Q1022" i="15" s="1"/>
  <c r="P1037" i="15"/>
  <c r="M1088" i="15"/>
  <c r="Q1088" i="15" s="1"/>
  <c r="P1097" i="15"/>
  <c r="M1126" i="15"/>
  <c r="Q1126" i="15" s="1"/>
  <c r="M1138" i="15"/>
  <c r="Q1138" i="15" s="1"/>
  <c r="M1182" i="15"/>
  <c r="Q1182" i="15" s="1"/>
  <c r="P1254" i="15"/>
  <c r="M1270" i="15"/>
  <c r="Q1270" i="15" s="1"/>
  <c r="P1282" i="15"/>
  <c r="P1288" i="15"/>
  <c r="M1298" i="15"/>
  <c r="Q1298" i="15" s="1"/>
  <c r="M1342" i="15"/>
  <c r="Q1342" i="15" s="1"/>
  <c r="M1345" i="15"/>
  <c r="Q1345" i="15" s="1"/>
  <c r="M1388" i="15"/>
  <c r="Q1388" i="15" s="1"/>
  <c r="M1485" i="15"/>
  <c r="Q1485" i="15" s="1"/>
  <c r="M1454" i="15"/>
  <c r="Q1454" i="15" s="1"/>
  <c r="M803" i="15"/>
  <c r="Q803" i="15" s="1"/>
  <c r="P828" i="15"/>
  <c r="M935" i="15"/>
  <c r="Q935" i="15" s="1"/>
  <c r="M962" i="15"/>
  <c r="Q962" i="15" s="1"/>
  <c r="P985" i="15"/>
  <c r="P1079" i="15"/>
  <c r="P1085" i="15"/>
  <c r="P1101" i="15"/>
  <c r="M1108" i="15"/>
  <c r="Q1108" i="15" s="1"/>
  <c r="P1120" i="15"/>
  <c r="P1123" i="15"/>
  <c r="P1223" i="15"/>
  <c r="M1305" i="15"/>
  <c r="Q1305" i="15" s="1"/>
  <c r="P1314" i="15"/>
  <c r="M1358" i="15"/>
  <c r="Q1358" i="15" s="1"/>
  <c r="M1395" i="15"/>
  <c r="Q1395" i="15" s="1"/>
  <c r="M1398" i="15"/>
  <c r="Q1398" i="15" s="1"/>
  <c r="M1420" i="15"/>
  <c r="Q1420" i="15" s="1"/>
  <c r="P1438" i="15"/>
  <c r="P1457" i="15"/>
  <c r="R1463" i="15"/>
  <c r="K1321" i="5" s="1"/>
  <c r="P1185" i="15"/>
  <c r="P153" i="15"/>
  <c r="P1416" i="15"/>
  <c r="P974" i="15"/>
  <c r="M1211" i="15"/>
  <c r="Q1211" i="15" s="1"/>
  <c r="P1258" i="15"/>
  <c r="M1085" i="15"/>
  <c r="Q1085" i="15" s="1"/>
  <c r="P1006" i="15"/>
  <c r="P1273" i="15"/>
  <c r="P1345" i="15"/>
  <c r="M189" i="15"/>
  <c r="Q189" i="15" s="1"/>
  <c r="M439" i="15"/>
  <c r="Q439" i="15" s="1"/>
  <c r="M778" i="15"/>
  <c r="Q778" i="15" s="1"/>
  <c r="P900" i="15"/>
  <c r="P1057" i="15"/>
  <c r="M1227" i="15"/>
  <c r="Q1227" i="15" s="1"/>
  <c r="P1283" i="15"/>
  <c r="P1286" i="15"/>
  <c r="P1324" i="15"/>
  <c r="P1498" i="15"/>
  <c r="M340" i="15"/>
  <c r="Q340" i="15" s="1"/>
  <c r="M372" i="15"/>
  <c r="Q372" i="15" s="1"/>
  <c r="M388" i="15"/>
  <c r="Q388" i="15" s="1"/>
  <c r="M495" i="15"/>
  <c r="Q495" i="15" s="1"/>
  <c r="M527" i="15"/>
  <c r="Q527" i="15" s="1"/>
  <c r="M575" i="15"/>
  <c r="Q575" i="15" s="1"/>
  <c r="M591" i="15"/>
  <c r="Q591" i="15" s="1"/>
  <c r="M926" i="15"/>
  <c r="Q926" i="15" s="1"/>
  <c r="M980" i="15"/>
  <c r="Q980" i="15" s="1"/>
  <c r="M992" i="15"/>
  <c r="Q992" i="15" s="1"/>
  <c r="P1010" i="15"/>
  <c r="P1089" i="15"/>
  <c r="M1102" i="15"/>
  <c r="Q1102" i="15" s="1"/>
  <c r="M1130" i="15"/>
  <c r="Q1130" i="15" s="1"/>
  <c r="P1186" i="15"/>
  <c r="P1192" i="15"/>
  <c r="M1237" i="15"/>
  <c r="Q1237" i="15" s="1"/>
  <c r="P1305" i="15"/>
  <c r="M1312" i="15"/>
  <c r="Q1312" i="15" s="1"/>
  <c r="M1408" i="15"/>
  <c r="Q1408" i="15" s="1"/>
  <c r="M1458" i="15"/>
  <c r="Q1458" i="15" s="1"/>
  <c r="M1072" i="15"/>
  <c r="Q1072" i="15" s="1"/>
  <c r="M110" i="15"/>
  <c r="Q110" i="15" s="1"/>
  <c r="M817" i="15"/>
  <c r="Q817" i="15" s="1"/>
  <c r="M868" i="15"/>
  <c r="Q868" i="15" s="1"/>
  <c r="M920" i="15"/>
  <c r="Q920" i="15" s="1"/>
  <c r="M936" i="15"/>
  <c r="Q936" i="15" s="1"/>
  <c r="M977" i="15"/>
  <c r="Q977" i="15" s="1"/>
  <c r="P998" i="15"/>
  <c r="P1001" i="15"/>
  <c r="M1093" i="15"/>
  <c r="Q1093" i="15" s="1"/>
  <c r="M1096" i="15"/>
  <c r="Q1096" i="15" s="1"/>
  <c r="M1190" i="15"/>
  <c r="Q1190" i="15" s="1"/>
  <c r="M1193" i="15"/>
  <c r="Q1193" i="15" s="1"/>
  <c r="M1199" i="15"/>
  <c r="Q1199" i="15" s="1"/>
  <c r="M1231" i="15"/>
  <c r="Q1231" i="15" s="1"/>
  <c r="M1322" i="15"/>
  <c r="Q1322" i="15" s="1"/>
  <c r="P1386" i="15"/>
  <c r="M1396" i="15"/>
  <c r="Q1396" i="15" s="1"/>
  <c r="M1424" i="15"/>
  <c r="Q1424" i="15" s="1"/>
  <c r="P1442" i="15"/>
  <c r="M1480" i="15"/>
  <c r="Q1480" i="15" s="1"/>
  <c r="M1499" i="15"/>
  <c r="Q1499" i="15" s="1"/>
  <c r="M1053" i="15"/>
  <c r="Q1053" i="15" s="1"/>
  <c r="M1260" i="15"/>
  <c r="Q1260" i="15" s="1"/>
  <c r="P252" i="15"/>
  <c r="P1363" i="15"/>
  <c r="P1369" i="15"/>
  <c r="P893" i="15"/>
  <c r="P1047" i="15"/>
  <c r="M1117" i="15"/>
  <c r="Q1117" i="15" s="1"/>
  <c r="P1242" i="15"/>
  <c r="P1388" i="15"/>
  <c r="M1106" i="15"/>
  <c r="Q1106" i="15" s="1"/>
  <c r="P1337" i="15"/>
  <c r="P973" i="15"/>
  <c r="P1119" i="15"/>
  <c r="M1179" i="15"/>
  <c r="Q1179" i="15" s="1"/>
  <c r="M1239" i="15"/>
  <c r="Q1239" i="15" s="1"/>
  <c r="P1366" i="15"/>
  <c r="P169" i="15"/>
  <c r="P1160" i="15"/>
  <c r="M731" i="15"/>
  <c r="Q731" i="15" s="1"/>
  <c r="M779" i="15"/>
  <c r="Q779" i="15" s="1"/>
  <c r="M811" i="15"/>
  <c r="Q811" i="15" s="1"/>
  <c r="M830" i="15"/>
  <c r="Q830" i="15" s="1"/>
  <c r="M846" i="15"/>
  <c r="Q846" i="15" s="1"/>
  <c r="M911" i="15"/>
  <c r="Q911" i="15" s="1"/>
  <c r="P939" i="15"/>
  <c r="P977" i="15"/>
  <c r="M1002" i="15"/>
  <c r="Q1002" i="15" s="1"/>
  <c r="M1005" i="15"/>
  <c r="Q1005" i="15" s="1"/>
  <c r="M1021" i="15"/>
  <c r="Q1021" i="15" s="1"/>
  <c r="M1043" i="15"/>
  <c r="Q1043" i="15" s="1"/>
  <c r="M1159" i="15"/>
  <c r="Q1159" i="15" s="1"/>
  <c r="M1181" i="15"/>
  <c r="Q1181" i="15" s="1"/>
  <c r="P1199" i="15"/>
  <c r="M1241" i="15"/>
  <c r="Q1241" i="15" s="1"/>
  <c r="M1335" i="15"/>
  <c r="Q1335" i="15" s="1"/>
  <c r="M1341" i="15"/>
  <c r="Q1341" i="15" s="1"/>
  <c r="P1480" i="15"/>
  <c r="M1490" i="15"/>
  <c r="Q1490" i="15" s="1"/>
  <c r="M157" i="15"/>
  <c r="Q157" i="15" s="1"/>
  <c r="P950" i="15"/>
  <c r="P1144" i="15"/>
  <c r="P1213" i="15"/>
  <c r="M44" i="15"/>
  <c r="Q44" i="15" s="1"/>
  <c r="J49" i="5" s="1"/>
  <c r="M151" i="15"/>
  <c r="Q151" i="15" s="1"/>
  <c r="M167" i="15"/>
  <c r="Q167" i="15" s="1"/>
  <c r="M199" i="15"/>
  <c r="Q199" i="15" s="1"/>
  <c r="M215" i="15"/>
  <c r="Q215" i="15" s="1"/>
  <c r="M231" i="15"/>
  <c r="Q231" i="15" s="1"/>
  <c r="P272" i="15"/>
  <c r="M298" i="15"/>
  <c r="Q298" i="15" s="1"/>
  <c r="M913" i="15"/>
  <c r="Q913" i="15" s="1"/>
  <c r="M916" i="15"/>
  <c r="Q916" i="15" s="1"/>
  <c r="P1141" i="15"/>
  <c r="P1204" i="15"/>
  <c r="M1437" i="15"/>
  <c r="Q1437" i="15" s="1"/>
  <c r="M116" i="15"/>
  <c r="Q116" i="15" s="1"/>
  <c r="M164" i="15"/>
  <c r="Q164" i="15" s="1"/>
  <c r="P1201" i="15"/>
  <c r="M1042" i="15"/>
  <c r="Q1042" i="15" s="1"/>
  <c r="M1127" i="15"/>
  <c r="Q1127" i="15" s="1"/>
  <c r="P1351" i="15"/>
  <c r="R1030" i="15"/>
  <c r="K930" i="5" s="1"/>
  <c r="P1030" i="15"/>
  <c r="M32" i="15"/>
  <c r="Q32" i="15" s="1"/>
  <c r="J37" i="5" s="1"/>
  <c r="M91" i="15"/>
  <c r="Q91" i="15" s="1"/>
  <c r="M107" i="15"/>
  <c r="Q107" i="15" s="1"/>
  <c r="M1099" i="15"/>
  <c r="Q1099" i="15" s="1"/>
  <c r="M104" i="15"/>
  <c r="Q104" i="15" s="1"/>
  <c r="M331" i="15"/>
  <c r="Q331" i="15" s="1"/>
  <c r="M1033" i="15"/>
  <c r="Q1033" i="15" s="1"/>
  <c r="M1112" i="15"/>
  <c r="Q1112" i="15" s="1"/>
  <c r="P1401" i="15"/>
  <c r="M1024" i="15"/>
  <c r="Q1024" i="15" s="1"/>
  <c r="M1090" i="15"/>
  <c r="Q1090" i="15" s="1"/>
  <c r="M1162" i="15"/>
  <c r="Q1162" i="15" s="1"/>
  <c r="P892" i="15"/>
  <c r="M967" i="15"/>
  <c r="Q967" i="15" s="1"/>
  <c r="M1075" i="15"/>
  <c r="Q1075" i="15" s="1"/>
  <c r="P1309" i="15"/>
  <c r="P1002" i="15"/>
  <c r="M163" i="15"/>
  <c r="Q163" i="15" s="1"/>
  <c r="M195" i="15"/>
  <c r="Q195" i="15" s="1"/>
  <c r="M211" i="15"/>
  <c r="Q211" i="15" s="1"/>
  <c r="P1075" i="15"/>
  <c r="R1075" i="15"/>
  <c r="P1225" i="15"/>
  <c r="M1375" i="15"/>
  <c r="Q1375" i="15" s="1"/>
  <c r="M259" i="15"/>
  <c r="Q259" i="15" s="1"/>
  <c r="M294" i="15"/>
  <c r="Q294" i="15" s="1"/>
  <c r="M358" i="15"/>
  <c r="Q358" i="15" s="1"/>
  <c r="M374" i="15"/>
  <c r="Q374" i="15" s="1"/>
  <c r="P525" i="15"/>
  <c r="M685" i="15"/>
  <c r="Q685" i="15" s="1"/>
  <c r="M703" i="15"/>
  <c r="Q703" i="15" s="1"/>
  <c r="M850" i="15"/>
  <c r="Q850" i="15" s="1"/>
  <c r="P859" i="15"/>
  <c r="M880" i="15"/>
  <c r="Q880" i="15" s="1"/>
  <c r="P919" i="15"/>
  <c r="P922" i="15"/>
  <c r="P961" i="15"/>
  <c r="P964" i="15"/>
  <c r="P982" i="15"/>
  <c r="P1015" i="15"/>
  <c r="P1045" i="15"/>
  <c r="P1081" i="15"/>
  <c r="P1084" i="15"/>
  <c r="P1093" i="15"/>
  <c r="P1121" i="15"/>
  <c r="P1171" i="15"/>
  <c r="P1207" i="15"/>
  <c r="P1210" i="15"/>
  <c r="M1268" i="15"/>
  <c r="Q1268" i="15" s="1"/>
  <c r="P1315" i="15"/>
  <c r="M1381" i="15"/>
  <c r="Q1381" i="15" s="1"/>
  <c r="M1384" i="15"/>
  <c r="Q1384" i="15" s="1"/>
  <c r="P1425" i="15"/>
  <c r="P1428" i="15"/>
  <c r="P1431" i="15"/>
  <c r="M1470" i="15"/>
  <c r="Q1470" i="15" s="1"/>
  <c r="P1497" i="15"/>
  <c r="P883" i="15"/>
  <c r="P1039" i="15"/>
  <c r="P1042" i="15"/>
  <c r="P1130" i="15"/>
  <c r="P1250" i="15"/>
  <c r="P1259" i="15"/>
  <c r="P1262" i="15"/>
  <c r="M1274" i="15"/>
  <c r="Q1274" i="15" s="1"/>
  <c r="M1361" i="15"/>
  <c r="Q1361" i="15" s="1"/>
  <c r="M1373" i="15"/>
  <c r="Q1373" i="15" s="1"/>
  <c r="M1414" i="15"/>
  <c r="Q1414" i="15" s="1"/>
  <c r="P1437" i="15"/>
  <c r="M1473" i="15"/>
  <c r="Q1473" i="15" s="1"/>
  <c r="P329" i="15"/>
  <c r="P361" i="15"/>
  <c r="P377" i="15"/>
  <c r="M384" i="15"/>
  <c r="Q384" i="15" s="1"/>
  <c r="P393" i="15"/>
  <c r="M435" i="15"/>
  <c r="Q435" i="15" s="1"/>
  <c r="M451" i="15"/>
  <c r="Q451" i="15" s="1"/>
  <c r="M476" i="15"/>
  <c r="Q476" i="15" s="1"/>
  <c r="M526" i="15"/>
  <c r="Q526" i="15" s="1"/>
  <c r="M608" i="15"/>
  <c r="Q608" i="15" s="1"/>
  <c r="M695" i="15"/>
  <c r="Q695" i="15" s="1"/>
  <c r="P802" i="15"/>
  <c r="M828" i="15"/>
  <c r="Q828" i="15" s="1"/>
  <c r="M923" i="15"/>
  <c r="Q923" i="15" s="1"/>
  <c r="M948" i="15"/>
  <c r="Q948" i="15" s="1"/>
  <c r="M959" i="15"/>
  <c r="Q959" i="15" s="1"/>
  <c r="P967" i="15"/>
  <c r="M994" i="15"/>
  <c r="Q994" i="15" s="1"/>
  <c r="M1028" i="15"/>
  <c r="Q1028" i="15" s="1"/>
  <c r="M1052" i="15"/>
  <c r="Q1052" i="15" s="1"/>
  <c r="M1067" i="15"/>
  <c r="Q1067" i="15" s="1"/>
  <c r="M1073" i="15"/>
  <c r="Q1073" i="15" s="1"/>
  <c r="M1079" i="15"/>
  <c r="Q1079" i="15" s="1"/>
  <c r="M1100" i="15"/>
  <c r="Q1100" i="15" s="1"/>
  <c r="M1119" i="15"/>
  <c r="Q1119" i="15" s="1"/>
  <c r="M1122" i="15"/>
  <c r="Q1122" i="15" s="1"/>
  <c r="M1128" i="15"/>
  <c r="Q1128" i="15" s="1"/>
  <c r="M1145" i="15"/>
  <c r="Q1145" i="15" s="1"/>
  <c r="M1160" i="15"/>
  <c r="Q1160" i="15" s="1"/>
  <c r="M1163" i="15"/>
  <c r="Q1163" i="15" s="1"/>
  <c r="M1175" i="15"/>
  <c r="Q1175" i="15" s="1"/>
  <c r="P1190" i="15"/>
  <c r="M1205" i="15"/>
  <c r="Q1205" i="15" s="1"/>
  <c r="P1238" i="15"/>
  <c r="M1248" i="15"/>
  <c r="Q1248" i="15" s="1"/>
  <c r="P1289" i="15"/>
  <c r="P1292" i="15"/>
  <c r="M1301" i="15"/>
  <c r="Q1301" i="15" s="1"/>
  <c r="M1304" i="15"/>
  <c r="Q1304" i="15" s="1"/>
  <c r="M1307" i="15"/>
  <c r="Q1307" i="15" s="1"/>
  <c r="M1316" i="15"/>
  <c r="Q1316" i="15" s="1"/>
  <c r="P1325" i="15"/>
  <c r="P1331" i="15"/>
  <c r="M1370" i="15"/>
  <c r="Q1370" i="15" s="1"/>
  <c r="P1378" i="15"/>
  <c r="P1396" i="15"/>
  <c r="M1429" i="15"/>
  <c r="Q1429" i="15" s="1"/>
  <c r="P1458" i="15"/>
  <c r="R1479" i="15"/>
  <c r="K1337" i="5" s="1"/>
  <c r="P1482" i="15"/>
  <c r="M445" i="15"/>
  <c r="Q445" i="15" s="1"/>
  <c r="M787" i="15"/>
  <c r="Q787" i="15" s="1"/>
  <c r="M819" i="15"/>
  <c r="Q819" i="15" s="1"/>
  <c r="M838" i="15"/>
  <c r="Q838" i="15" s="1"/>
  <c r="M884" i="15"/>
  <c r="Q884" i="15" s="1"/>
  <c r="M902" i="15"/>
  <c r="Q902" i="15" s="1"/>
  <c r="M917" i="15"/>
  <c r="Q917" i="15" s="1"/>
  <c r="M933" i="15"/>
  <c r="Q933" i="15" s="1"/>
  <c r="P951" i="15"/>
  <c r="P954" i="15"/>
  <c r="P959" i="15"/>
  <c r="M971" i="15"/>
  <c r="Q971" i="15" s="1"/>
  <c r="M983" i="15"/>
  <c r="Q983" i="15" s="1"/>
  <c r="M989" i="15"/>
  <c r="Q989" i="15" s="1"/>
  <c r="M1010" i="15"/>
  <c r="Q1010" i="15" s="1"/>
  <c r="M1016" i="15"/>
  <c r="Q1016" i="15" s="1"/>
  <c r="M1031" i="15"/>
  <c r="Q1031" i="15" s="1"/>
  <c r="P1055" i="15"/>
  <c r="P1073" i="15"/>
  <c r="M1110" i="15"/>
  <c r="Q1110" i="15" s="1"/>
  <c r="M1113" i="15"/>
  <c r="Q1113" i="15" s="1"/>
  <c r="P1169" i="15"/>
  <c r="M1185" i="15"/>
  <c r="Q1185" i="15" s="1"/>
  <c r="P1226" i="15"/>
  <c r="M1296" i="15"/>
  <c r="Q1296" i="15" s="1"/>
  <c r="P1307" i="15"/>
  <c r="P1319" i="15"/>
  <c r="M1347" i="15"/>
  <c r="Q1347" i="15" s="1"/>
  <c r="M1350" i="15"/>
  <c r="Q1350" i="15" s="1"/>
  <c r="P1352" i="15"/>
  <c r="P1373" i="15"/>
  <c r="M1385" i="15"/>
  <c r="Q1385" i="15" s="1"/>
  <c r="M1391" i="15"/>
  <c r="Q1391" i="15" s="1"/>
  <c r="M1397" i="15"/>
  <c r="Q1397" i="15" s="1"/>
  <c r="R1399" i="15"/>
  <c r="K1257" i="5" s="1"/>
  <c r="P1411" i="15"/>
  <c r="M1438" i="15"/>
  <c r="Q1438" i="15" s="1"/>
  <c r="M1444" i="15"/>
  <c r="Q1444" i="15" s="1"/>
  <c r="M1459" i="15"/>
  <c r="Q1459" i="15" s="1"/>
  <c r="P1495" i="15"/>
  <c r="P710" i="15"/>
  <c r="P1088" i="15"/>
  <c r="P896" i="15"/>
  <c r="P914" i="15"/>
  <c r="M952" i="15"/>
  <c r="Q952" i="15" s="1"/>
  <c r="P965" i="15"/>
  <c r="P971" i="15"/>
  <c r="M974" i="15"/>
  <c r="Q974" i="15" s="1"/>
  <c r="P983" i="15"/>
  <c r="P1013" i="15"/>
  <c r="P1043" i="15"/>
  <c r="M1071" i="15"/>
  <c r="Q1071" i="15" s="1"/>
  <c r="M1104" i="15"/>
  <c r="Q1104" i="15" s="1"/>
  <c r="P1157" i="15"/>
  <c r="P1196" i="15"/>
  <c r="P1208" i="15"/>
  <c r="P1245" i="15"/>
  <c r="P1251" i="15"/>
  <c r="M1275" i="15"/>
  <c r="Q1275" i="15" s="1"/>
  <c r="M1278" i="15"/>
  <c r="Q1278" i="15" s="1"/>
  <c r="M1281" i="15"/>
  <c r="Q1281" i="15" s="1"/>
  <c r="M1299" i="15"/>
  <c r="Q1299" i="15" s="1"/>
  <c r="M1412" i="15"/>
  <c r="Q1412" i="15" s="1"/>
  <c r="P1426" i="15"/>
  <c r="P1432" i="15"/>
  <c r="P1435" i="15"/>
  <c r="P1447" i="15"/>
  <c r="M1474" i="15"/>
  <c r="Q1474" i="15" s="1"/>
  <c r="P1332" i="15"/>
  <c r="P1335" i="15"/>
  <c r="P1471" i="15"/>
  <c r="M1496" i="15"/>
  <c r="Q1496" i="15" s="1"/>
  <c r="M449" i="15"/>
  <c r="Q449" i="15" s="1"/>
  <c r="M588" i="15"/>
  <c r="Q588" i="15" s="1"/>
  <c r="M606" i="15"/>
  <c r="Q606" i="15" s="1"/>
  <c r="M631" i="15"/>
  <c r="Q631" i="15" s="1"/>
  <c r="M668" i="15"/>
  <c r="Q668" i="15" s="1"/>
  <c r="M711" i="15"/>
  <c r="Q711" i="15" s="1"/>
  <c r="M842" i="15"/>
  <c r="Q842" i="15" s="1"/>
  <c r="M874" i="15"/>
  <c r="Q874" i="15" s="1"/>
  <c r="M894" i="15"/>
  <c r="Q894" i="15" s="1"/>
  <c r="M897" i="15"/>
  <c r="Q897" i="15" s="1"/>
  <c r="M906" i="15"/>
  <c r="Q906" i="15" s="1"/>
  <c r="M909" i="15"/>
  <c r="Q909" i="15" s="1"/>
  <c r="M912" i="15"/>
  <c r="Q912" i="15" s="1"/>
  <c r="P930" i="15"/>
  <c r="P1004" i="15"/>
  <c r="M1023" i="15"/>
  <c r="Q1023" i="15" s="1"/>
  <c r="M1032" i="15"/>
  <c r="Q1032" i="15" s="1"/>
  <c r="M1050" i="15"/>
  <c r="Q1050" i="15" s="1"/>
  <c r="M1062" i="15"/>
  <c r="Q1062" i="15" s="1"/>
  <c r="M1074" i="15"/>
  <c r="Q1074" i="15" s="1"/>
  <c r="M1092" i="15"/>
  <c r="Q1092" i="15" s="1"/>
  <c r="M1098" i="15"/>
  <c r="Q1098" i="15" s="1"/>
  <c r="P1107" i="15"/>
  <c r="M1132" i="15"/>
  <c r="Q1132" i="15" s="1"/>
  <c r="M1155" i="15"/>
  <c r="Q1155" i="15" s="1"/>
  <c r="M1158" i="15"/>
  <c r="Q1158" i="15" s="1"/>
  <c r="M1374" i="15"/>
  <c r="Q1374" i="15" s="1"/>
  <c r="M1427" i="15"/>
  <c r="Q1427" i="15" s="1"/>
  <c r="R1438" i="15"/>
  <c r="K1296" i="5" s="1"/>
  <c r="M1451" i="15"/>
  <c r="Q1451" i="15" s="1"/>
  <c r="M1487" i="15"/>
  <c r="Q1487" i="15" s="1"/>
  <c r="M839" i="15"/>
  <c r="Q839" i="15" s="1"/>
  <c r="M937" i="15"/>
  <c r="Q937" i="15" s="1"/>
  <c r="M940" i="15"/>
  <c r="Q940" i="15" s="1"/>
  <c r="M972" i="15"/>
  <c r="Q972" i="15" s="1"/>
  <c r="M1017" i="15"/>
  <c r="Q1017" i="15" s="1"/>
  <c r="M1038" i="15"/>
  <c r="Q1038" i="15" s="1"/>
  <c r="M1111" i="15"/>
  <c r="Q1111" i="15" s="1"/>
  <c r="M1114" i="15"/>
  <c r="Q1114" i="15" s="1"/>
  <c r="M1333" i="15"/>
  <c r="Q1333" i="15" s="1"/>
  <c r="M1380" i="15"/>
  <c r="Q1380" i="15" s="1"/>
  <c r="M1392" i="15"/>
  <c r="Q1392" i="15" s="1"/>
  <c r="M1436" i="15"/>
  <c r="Q1436" i="15" s="1"/>
  <c r="M1445" i="15"/>
  <c r="Q1445" i="15" s="1"/>
  <c r="M1460" i="15"/>
  <c r="Q1460" i="15" s="1"/>
  <c r="M1478" i="15"/>
  <c r="Q1478" i="15" s="1"/>
  <c r="M1481" i="15"/>
  <c r="Q1481" i="15" s="1"/>
  <c r="P417" i="15"/>
  <c r="M471" i="15"/>
  <c r="Q471" i="15" s="1"/>
  <c r="P888" i="15"/>
  <c r="P894" i="15"/>
  <c r="M953" i="15"/>
  <c r="Q953" i="15" s="1"/>
  <c r="P960" i="15"/>
  <c r="P1014" i="15"/>
  <c r="P1152" i="15"/>
  <c r="M1240" i="15"/>
  <c r="Q1240" i="15" s="1"/>
  <c r="M1288" i="15"/>
  <c r="Q1288" i="15" s="1"/>
  <c r="M1291" i="15"/>
  <c r="Q1291" i="15" s="1"/>
  <c r="M1330" i="15"/>
  <c r="Q1330" i="15" s="1"/>
  <c r="P1377" i="15"/>
  <c r="M1383" i="15"/>
  <c r="Q1383" i="15" s="1"/>
  <c r="M1389" i="15"/>
  <c r="Q1389" i="15" s="1"/>
  <c r="P1433" i="15"/>
  <c r="M1439" i="15"/>
  <c r="Q1439" i="15" s="1"/>
  <c r="P984" i="15"/>
  <c r="M1036" i="15"/>
  <c r="Q1036" i="15" s="1"/>
  <c r="R1089" i="15"/>
  <c r="K1199" i="5" s="1"/>
  <c r="M1144" i="15"/>
  <c r="Q1144" i="15" s="1"/>
  <c r="M1147" i="15"/>
  <c r="Q1147" i="15" s="1"/>
  <c r="M1204" i="15"/>
  <c r="Q1204" i="15" s="1"/>
  <c r="M1213" i="15"/>
  <c r="Q1213" i="15" s="1"/>
  <c r="M1225" i="15"/>
  <c r="Q1225" i="15" s="1"/>
  <c r="P1264" i="15"/>
  <c r="M1279" i="15"/>
  <c r="Q1279" i="15" s="1"/>
  <c r="P1297" i="15"/>
  <c r="M1300" i="15"/>
  <c r="Q1300" i="15" s="1"/>
  <c r="M1306" i="15"/>
  <c r="Q1306" i="15" s="1"/>
  <c r="M1309" i="15"/>
  <c r="Q1309" i="15" s="1"/>
  <c r="M1318" i="15"/>
  <c r="Q1318" i="15" s="1"/>
  <c r="M1339" i="15"/>
  <c r="Q1339" i="15" s="1"/>
  <c r="P1348" i="15"/>
  <c r="M1351" i="15"/>
  <c r="Q1351" i="15" s="1"/>
  <c r="M1366" i="15"/>
  <c r="Q1366" i="15" s="1"/>
  <c r="P1380" i="15"/>
  <c r="P1392" i="15"/>
  <c r="P1398" i="15"/>
  <c r="M1404" i="15"/>
  <c r="Q1404" i="15" s="1"/>
  <c r="M1407" i="15"/>
  <c r="Q1407" i="15" s="1"/>
  <c r="M1416" i="15"/>
  <c r="Q1416" i="15" s="1"/>
  <c r="P1460" i="15"/>
  <c r="M1500" i="15"/>
  <c r="Q1500" i="15" s="1"/>
  <c r="M220" i="15"/>
  <c r="Q220" i="15" s="1"/>
  <c r="M236" i="15"/>
  <c r="Q236" i="15" s="1"/>
  <c r="M525" i="15"/>
  <c r="Q525" i="15" s="1"/>
  <c r="M541" i="15"/>
  <c r="Q541" i="15" s="1"/>
  <c r="M557" i="15"/>
  <c r="Q557" i="15" s="1"/>
  <c r="M573" i="15"/>
  <c r="Q573" i="15" s="1"/>
  <c r="M808" i="15"/>
  <c r="Q808" i="15" s="1"/>
  <c r="M824" i="15"/>
  <c r="Q824" i="15" s="1"/>
  <c r="M827" i="15"/>
  <c r="Q827" i="15" s="1"/>
  <c r="M843" i="15"/>
  <c r="Q843" i="15" s="1"/>
  <c r="M907" i="15"/>
  <c r="Q907" i="15" s="1"/>
  <c r="M910" i="15"/>
  <c r="Q910" i="15" s="1"/>
  <c r="M947" i="15"/>
  <c r="Q947" i="15" s="1"/>
  <c r="M950" i="15"/>
  <c r="Q950" i="15" s="1"/>
  <c r="M961" i="15"/>
  <c r="Q961" i="15" s="1"/>
  <c r="M976" i="15"/>
  <c r="Q976" i="15" s="1"/>
  <c r="M990" i="15"/>
  <c r="Q990" i="15" s="1"/>
  <c r="M996" i="15"/>
  <c r="Q996" i="15" s="1"/>
  <c r="M999" i="15"/>
  <c r="Q999" i="15" s="1"/>
  <c r="P1056" i="15"/>
  <c r="P1059" i="15"/>
  <c r="P1065" i="15"/>
  <c r="P1077" i="15"/>
  <c r="P1117" i="15"/>
  <c r="M1135" i="15"/>
  <c r="Q1135" i="15" s="1"/>
  <c r="P1146" i="15"/>
  <c r="P1176" i="15"/>
  <c r="M1183" i="15"/>
  <c r="Q1183" i="15" s="1"/>
  <c r="M1197" i="15"/>
  <c r="Q1197" i="15" s="1"/>
  <c r="M1243" i="15"/>
  <c r="Q1243" i="15" s="1"/>
  <c r="M1314" i="15"/>
  <c r="Q1314" i="15" s="1"/>
  <c r="P1344" i="15"/>
  <c r="P1347" i="15"/>
  <c r="M1353" i="15"/>
  <c r="Q1353" i="15" s="1"/>
  <c r="M1362" i="15"/>
  <c r="Q1362" i="15" s="1"/>
  <c r="M1371" i="15"/>
  <c r="Q1371" i="15" s="1"/>
  <c r="P1382" i="15"/>
  <c r="P1385" i="15"/>
  <c r="M1432" i="15"/>
  <c r="Q1432" i="15" s="1"/>
  <c r="M1447" i="15"/>
  <c r="Q1447" i="15" s="1"/>
  <c r="M1450" i="15"/>
  <c r="Q1450" i="15" s="1"/>
  <c r="P1467" i="15"/>
  <c r="M1498" i="15"/>
  <c r="Q1498" i="15" s="1"/>
  <c r="O20" i="8"/>
  <c r="O30" i="8"/>
  <c r="O18" i="8"/>
  <c r="O27" i="8"/>
  <c r="O36" i="8"/>
  <c r="O22" i="8"/>
  <c r="O21" i="8"/>
  <c r="O28" i="8"/>
  <c r="O26" i="8"/>
  <c r="O23" i="8"/>
  <c r="O19" i="8"/>
  <c r="O17" i="8"/>
  <c r="O16" i="8"/>
  <c r="O24" i="8"/>
  <c r="O35" i="8"/>
  <c r="O29" i="8"/>
  <c r="P107" i="15"/>
  <c r="P597" i="15"/>
  <c r="P723" i="15"/>
  <c r="M832" i="15"/>
  <c r="Q832" i="15" s="1"/>
  <c r="P844" i="15"/>
  <c r="P866" i="15"/>
  <c r="M453" i="15"/>
  <c r="Q453" i="15" s="1"/>
  <c r="P537" i="15"/>
  <c r="M867" i="15"/>
  <c r="Q867" i="15" s="1"/>
  <c r="P290" i="15"/>
  <c r="P83" i="15"/>
  <c r="P319" i="15"/>
  <c r="P861" i="15"/>
  <c r="P711" i="15"/>
  <c r="P243" i="15"/>
  <c r="P313" i="15"/>
  <c r="P554" i="15"/>
  <c r="P858" i="15"/>
  <c r="P299" i="15"/>
  <c r="P851" i="15"/>
  <c r="M887" i="15"/>
  <c r="Q887" i="15" s="1"/>
  <c r="P840" i="15"/>
  <c r="P873" i="15"/>
  <c r="M62" i="15"/>
  <c r="Q62" i="15" s="1"/>
  <c r="M80" i="15"/>
  <c r="Q80" i="15" s="1"/>
  <c r="M112" i="15"/>
  <c r="Q112" i="15" s="1"/>
  <c r="P121" i="15"/>
  <c r="M166" i="15"/>
  <c r="Q166" i="15" s="1"/>
  <c r="M325" i="15"/>
  <c r="Q325" i="15" s="1"/>
  <c r="M357" i="15"/>
  <c r="Q357" i="15" s="1"/>
  <c r="M534" i="15"/>
  <c r="Q534" i="15" s="1"/>
  <c r="M646" i="15"/>
  <c r="Q646" i="15" s="1"/>
  <c r="M687" i="15"/>
  <c r="Q687" i="15" s="1"/>
  <c r="M740" i="15"/>
  <c r="Q740" i="15" s="1"/>
  <c r="M804" i="15"/>
  <c r="Q804" i="15" s="1"/>
  <c r="M820" i="15"/>
  <c r="Q820" i="15" s="1"/>
  <c r="M851" i="15"/>
  <c r="Q851" i="15" s="1"/>
  <c r="M860" i="15"/>
  <c r="Q860" i="15" s="1"/>
  <c r="M876" i="15"/>
  <c r="Q876" i="15" s="1"/>
  <c r="P37" i="15"/>
  <c r="M56" i="15"/>
  <c r="Q56" i="15" s="1"/>
  <c r="M176" i="15"/>
  <c r="Q176" i="15" s="1"/>
  <c r="M208" i="15"/>
  <c r="Q208" i="15" s="1"/>
  <c r="M224" i="15"/>
  <c r="Q224" i="15" s="1"/>
  <c r="M367" i="15"/>
  <c r="Q367" i="15" s="1"/>
  <c r="M383" i="15"/>
  <c r="Q383" i="15" s="1"/>
  <c r="M399" i="15"/>
  <c r="Q399" i="15" s="1"/>
  <c r="M638" i="15"/>
  <c r="Q638" i="15" s="1"/>
  <c r="M672" i="15"/>
  <c r="Q672" i="15" s="1"/>
  <c r="M798" i="15"/>
  <c r="Q798" i="15" s="1"/>
  <c r="M814" i="15"/>
  <c r="Q814" i="15" s="1"/>
  <c r="M870" i="15"/>
  <c r="Q870" i="15" s="1"/>
  <c r="M7" i="15"/>
  <c r="Q7" i="15" s="1"/>
  <c r="J12" i="5" s="1"/>
  <c r="M98" i="15"/>
  <c r="Q98" i="15" s="1"/>
  <c r="M117" i="15"/>
  <c r="Q117" i="15" s="1"/>
  <c r="M184" i="15"/>
  <c r="Q184" i="15" s="1"/>
  <c r="M200" i="15"/>
  <c r="Q200" i="15" s="1"/>
  <c r="M270" i="15"/>
  <c r="Q270" i="15" s="1"/>
  <c r="M308" i="15"/>
  <c r="Q308" i="15" s="1"/>
  <c r="M327" i="15"/>
  <c r="Q327" i="15" s="1"/>
  <c r="M442" i="15"/>
  <c r="Q442" i="15" s="1"/>
  <c r="M467" i="15"/>
  <c r="Q467" i="15" s="1"/>
  <c r="M648" i="15"/>
  <c r="Q648" i="15" s="1"/>
  <c r="M664" i="15"/>
  <c r="Q664" i="15" s="1"/>
  <c r="M680" i="15"/>
  <c r="Q680" i="15" s="1"/>
  <c r="M790" i="15"/>
  <c r="Q790" i="15" s="1"/>
  <c r="M822" i="15"/>
  <c r="Q822" i="15" s="1"/>
  <c r="M891" i="15"/>
  <c r="Q891" i="15" s="1"/>
  <c r="M33" i="15"/>
  <c r="Q33" i="15" s="1"/>
  <c r="J38" i="5" s="1"/>
  <c r="M58" i="15"/>
  <c r="Q58" i="15" s="1"/>
  <c r="M108" i="15"/>
  <c r="Q108" i="15" s="1"/>
  <c r="M127" i="15"/>
  <c r="Q127" i="15" s="1"/>
  <c r="M162" i="15"/>
  <c r="Q162" i="15" s="1"/>
  <c r="M178" i="15"/>
  <c r="Q178" i="15" s="1"/>
  <c r="M302" i="15"/>
  <c r="Q302" i="15" s="1"/>
  <c r="M417" i="15"/>
  <c r="Q417" i="15" s="1"/>
  <c r="M477" i="15"/>
  <c r="Q477" i="15" s="1"/>
  <c r="M546" i="15"/>
  <c r="Q546" i="15" s="1"/>
  <c r="M642" i="15"/>
  <c r="Q642" i="15" s="1"/>
  <c r="M699" i="15"/>
  <c r="Q699" i="15" s="1"/>
  <c r="M768" i="15"/>
  <c r="Q768" i="15" s="1"/>
  <c r="M856" i="15"/>
  <c r="Q856" i="15" s="1"/>
  <c r="M879" i="15"/>
  <c r="Q879" i="15" s="1"/>
  <c r="M49" i="15"/>
  <c r="Q49" i="15" s="1"/>
  <c r="M99" i="15"/>
  <c r="Q99" i="15" s="1"/>
  <c r="M115" i="15"/>
  <c r="Q115" i="15" s="1"/>
  <c r="M134" i="15"/>
  <c r="Q134" i="15" s="1"/>
  <c r="M153" i="15"/>
  <c r="Q153" i="15" s="1"/>
  <c r="M217" i="15"/>
  <c r="Q217" i="15" s="1"/>
  <c r="M233" i="15"/>
  <c r="Q233" i="15" s="1"/>
  <c r="M328" i="15"/>
  <c r="Q328" i="15" s="1"/>
  <c r="M392" i="15"/>
  <c r="Q392" i="15" s="1"/>
  <c r="M427" i="15"/>
  <c r="Q427" i="15" s="1"/>
  <c r="P433" i="15"/>
  <c r="M521" i="15"/>
  <c r="Q521" i="15" s="1"/>
  <c r="M665" i="15"/>
  <c r="Q665" i="15" s="1"/>
  <c r="P671" i="15"/>
  <c r="M681" i="15"/>
  <c r="Q681" i="15" s="1"/>
  <c r="M775" i="15"/>
  <c r="Q775" i="15" s="1"/>
  <c r="M807" i="15"/>
  <c r="Q807" i="15" s="1"/>
  <c r="M823" i="15"/>
  <c r="Q823" i="15" s="1"/>
  <c r="M889" i="15"/>
  <c r="Q889" i="15" s="1"/>
  <c r="M3" i="15"/>
  <c r="Q3" i="15" s="1"/>
  <c r="J8" i="5" s="1"/>
  <c r="P482" i="15"/>
  <c r="M362" i="15"/>
  <c r="Q362" i="15" s="1"/>
  <c r="M394" i="15"/>
  <c r="Q394" i="15" s="1"/>
  <c r="P435" i="15"/>
  <c r="P476" i="15"/>
  <c r="P497" i="15"/>
  <c r="P650" i="15"/>
  <c r="P817" i="15"/>
  <c r="P826" i="15"/>
  <c r="P868" i="15"/>
  <c r="P48" i="15"/>
  <c r="P40" i="15"/>
  <c r="P127" i="15"/>
  <c r="P639" i="15"/>
  <c r="P725" i="15"/>
  <c r="P159" i="15"/>
  <c r="P698" i="15"/>
  <c r="M764" i="15"/>
  <c r="Q764" i="15" s="1"/>
  <c r="P872" i="15"/>
  <c r="P878" i="15"/>
  <c r="P753" i="15"/>
  <c r="P804" i="15"/>
  <c r="M565" i="15"/>
  <c r="Q565" i="15" s="1"/>
  <c r="P161" i="15"/>
  <c r="P697" i="15"/>
  <c r="M847" i="15"/>
  <c r="Q847" i="15" s="1"/>
  <c r="M165" i="15"/>
  <c r="Q165" i="15" s="1"/>
  <c r="P43" i="15"/>
  <c r="M207" i="15"/>
  <c r="Q207" i="15" s="1"/>
  <c r="P362" i="15"/>
  <c r="M404" i="15"/>
  <c r="Q404" i="15" s="1"/>
  <c r="P645" i="15"/>
  <c r="P812" i="15"/>
  <c r="P860" i="15"/>
  <c r="P863" i="15"/>
  <c r="M882" i="15"/>
  <c r="Q882" i="15" s="1"/>
  <c r="P35" i="15"/>
  <c r="P534" i="15"/>
  <c r="P672" i="15"/>
  <c r="M152" i="15"/>
  <c r="Q152" i="15" s="1"/>
  <c r="P323" i="15"/>
  <c r="P403" i="15"/>
  <c r="P438" i="15"/>
  <c r="P874" i="15"/>
  <c r="P880" i="15"/>
  <c r="P82" i="15"/>
  <c r="P260" i="15"/>
  <c r="P152" i="15"/>
  <c r="M34" i="15"/>
  <c r="Q34" i="15" s="1"/>
  <c r="J39" i="5" s="1"/>
  <c r="P76" i="15"/>
  <c r="M239" i="15"/>
  <c r="Q239" i="15" s="1"/>
  <c r="M248" i="15"/>
  <c r="Q248" i="15" s="1"/>
  <c r="P620" i="15"/>
  <c r="P478" i="15"/>
  <c r="P825" i="15"/>
  <c r="P849" i="15"/>
  <c r="M864" i="15"/>
  <c r="Q864" i="15" s="1"/>
  <c r="P371" i="15"/>
  <c r="M663" i="15"/>
  <c r="Q663" i="15" s="1"/>
  <c r="M429" i="15"/>
  <c r="Q429" i="15" s="1"/>
  <c r="P130" i="15"/>
  <c r="P679" i="15"/>
  <c r="M228" i="15"/>
  <c r="Q228" i="15" s="1"/>
  <c r="P625" i="15"/>
  <c r="P816" i="15"/>
  <c r="M28" i="15"/>
  <c r="Q28" i="15" s="1"/>
  <c r="J33" i="5" s="1"/>
  <c r="M95" i="15"/>
  <c r="Q95" i="15" s="1"/>
  <c r="M111" i="15"/>
  <c r="Q111" i="15" s="1"/>
  <c r="M130" i="15"/>
  <c r="Q130" i="15" s="1"/>
  <c r="M158" i="15"/>
  <c r="Q158" i="15" s="1"/>
  <c r="M180" i="15"/>
  <c r="Q180" i="15" s="1"/>
  <c r="M212" i="15"/>
  <c r="Q212" i="15" s="1"/>
  <c r="M309" i="15"/>
  <c r="Q309" i="15" s="1"/>
  <c r="M318" i="15"/>
  <c r="Q318" i="15" s="1"/>
  <c r="M387" i="15"/>
  <c r="Q387" i="15" s="1"/>
  <c r="M406" i="15"/>
  <c r="Q406" i="15" s="1"/>
  <c r="M421" i="15"/>
  <c r="Q421" i="15" s="1"/>
  <c r="P427" i="15"/>
  <c r="M533" i="15"/>
  <c r="Q533" i="15" s="1"/>
  <c r="M542" i="15"/>
  <c r="Q542" i="15" s="1"/>
  <c r="P583" i="15"/>
  <c r="M590" i="15"/>
  <c r="Q590" i="15" s="1"/>
  <c r="M649" i="15"/>
  <c r="Q649" i="15" s="1"/>
  <c r="P661" i="15"/>
  <c r="M671" i="15"/>
  <c r="Q671" i="15" s="1"/>
  <c r="M683" i="15"/>
  <c r="Q683" i="15" s="1"/>
  <c r="M707" i="15"/>
  <c r="Q707" i="15" s="1"/>
  <c r="M713" i="15"/>
  <c r="Q713" i="15" s="1"/>
  <c r="M716" i="15"/>
  <c r="Q716" i="15" s="1"/>
  <c r="P744" i="15"/>
  <c r="M757" i="15"/>
  <c r="Q757" i="15" s="1"/>
  <c r="P766" i="15"/>
  <c r="M773" i="15"/>
  <c r="Q773" i="15" s="1"/>
  <c r="M782" i="15"/>
  <c r="Q782" i="15" s="1"/>
  <c r="P794" i="15"/>
  <c r="P265" i="15"/>
  <c r="P31" i="15"/>
  <c r="P73" i="15"/>
  <c r="M89" i="15"/>
  <c r="Q89" i="15" s="1"/>
  <c r="P98" i="15"/>
  <c r="P139" i="15"/>
  <c r="P155" i="15"/>
  <c r="M174" i="15"/>
  <c r="Q174" i="15" s="1"/>
  <c r="M206" i="15"/>
  <c r="Q206" i="15" s="1"/>
  <c r="M222" i="15"/>
  <c r="Q222" i="15" s="1"/>
  <c r="M244" i="15"/>
  <c r="Q244" i="15" s="1"/>
  <c r="M247" i="15"/>
  <c r="Q247" i="15" s="1"/>
  <c r="M250" i="15"/>
  <c r="Q250" i="15" s="1"/>
  <c r="M253" i="15"/>
  <c r="Q253" i="15" s="1"/>
  <c r="P259" i="15"/>
  <c r="P268" i="15"/>
  <c r="M275" i="15"/>
  <c r="Q275" i="15" s="1"/>
  <c r="P340" i="15"/>
  <c r="P409" i="15"/>
  <c r="P462" i="15"/>
  <c r="M511" i="15"/>
  <c r="Q511" i="15" s="1"/>
  <c r="M514" i="15"/>
  <c r="Q514" i="15" s="1"/>
  <c r="M555" i="15"/>
  <c r="Q555" i="15" s="1"/>
  <c r="M571" i="15"/>
  <c r="Q571" i="15" s="1"/>
  <c r="P596" i="15"/>
  <c r="P599" i="15"/>
  <c r="P610" i="15"/>
  <c r="P776" i="15"/>
  <c r="P779" i="15"/>
  <c r="M16" i="15"/>
  <c r="Q16" i="15" s="1"/>
  <c r="J21" i="5" s="1"/>
  <c r="M35" i="15"/>
  <c r="Q35" i="15" s="1"/>
  <c r="J40" i="5" s="1"/>
  <c r="M47" i="15"/>
  <c r="Q47" i="15" s="1"/>
  <c r="M102" i="15"/>
  <c r="Q102" i="15" s="1"/>
  <c r="M121" i="15"/>
  <c r="Q121" i="15" s="1"/>
  <c r="M235" i="15"/>
  <c r="Q235" i="15" s="1"/>
  <c r="P241" i="15"/>
  <c r="M272" i="15"/>
  <c r="Q272" i="15" s="1"/>
  <c r="M300" i="15"/>
  <c r="Q300" i="15" s="1"/>
  <c r="M378" i="15"/>
  <c r="Q378" i="15" s="1"/>
  <c r="M381" i="15"/>
  <c r="Q381" i="15" s="1"/>
  <c r="M441" i="15"/>
  <c r="Q441" i="15" s="1"/>
  <c r="M489" i="15"/>
  <c r="Q489" i="15" s="1"/>
  <c r="M568" i="15"/>
  <c r="Q568" i="15" s="1"/>
  <c r="M581" i="15"/>
  <c r="Q581" i="15" s="1"/>
  <c r="P607" i="15"/>
  <c r="M617" i="15"/>
  <c r="Q617" i="15" s="1"/>
  <c r="P619" i="15"/>
  <c r="M629" i="15"/>
  <c r="Q629" i="15" s="1"/>
  <c r="M635" i="15"/>
  <c r="Q635" i="15" s="1"/>
  <c r="M640" i="15"/>
  <c r="Q640" i="15" s="1"/>
  <c r="M656" i="15"/>
  <c r="Q656" i="15" s="1"/>
  <c r="M662" i="15"/>
  <c r="Q662" i="15" s="1"/>
  <c r="P668" i="15"/>
  <c r="M729" i="15"/>
  <c r="Q729" i="15" s="1"/>
  <c r="P735" i="15"/>
  <c r="M742" i="15"/>
  <c r="Q742" i="15" s="1"/>
  <c r="P168" i="15"/>
  <c r="P238" i="15"/>
  <c r="P244" i="15"/>
  <c r="P250" i="15"/>
  <c r="P275" i="15"/>
  <c r="M366" i="15"/>
  <c r="Q366" i="15" s="1"/>
  <c r="M375" i="15"/>
  <c r="Q375" i="15" s="1"/>
  <c r="M413" i="15"/>
  <c r="Q413" i="15" s="1"/>
  <c r="P450" i="15"/>
  <c r="M463" i="15"/>
  <c r="Q463" i="15" s="1"/>
  <c r="P632" i="15"/>
  <c r="P659" i="15"/>
  <c r="P681" i="15"/>
  <c r="M761" i="15"/>
  <c r="Q761" i="15" s="1"/>
  <c r="P137" i="15"/>
  <c r="M150" i="15"/>
  <c r="Q150" i="15" s="1"/>
  <c r="M226" i="15"/>
  <c r="Q226" i="15" s="1"/>
  <c r="M254" i="15"/>
  <c r="Q254" i="15" s="1"/>
  <c r="M310" i="15"/>
  <c r="Q310" i="15" s="1"/>
  <c r="M360" i="15"/>
  <c r="Q360" i="15" s="1"/>
  <c r="M401" i="15"/>
  <c r="Q401" i="15" s="1"/>
  <c r="P441" i="15"/>
  <c r="M460" i="15"/>
  <c r="Q460" i="15" s="1"/>
  <c r="M515" i="15"/>
  <c r="Q515" i="15" s="1"/>
  <c r="M647" i="15"/>
  <c r="Q647" i="15" s="1"/>
  <c r="M697" i="15"/>
  <c r="Q697" i="15" s="1"/>
  <c r="M700" i="15"/>
  <c r="Q700" i="15" s="1"/>
  <c r="M733" i="15"/>
  <c r="Q733" i="15" s="1"/>
  <c r="P745" i="15"/>
  <c r="M758" i="15"/>
  <c r="Q758" i="15" s="1"/>
  <c r="P792" i="15"/>
  <c r="M20" i="15"/>
  <c r="Q20" i="15" s="1"/>
  <c r="J25" i="5" s="1"/>
  <c r="M39" i="15"/>
  <c r="Q39" i="15" s="1"/>
  <c r="J44" i="5" s="1"/>
  <c r="P96" i="15"/>
  <c r="M251" i="15"/>
  <c r="Q251" i="15" s="1"/>
  <c r="M276" i="15"/>
  <c r="Q276" i="15" s="1"/>
  <c r="M304" i="15"/>
  <c r="Q304" i="15" s="1"/>
  <c r="M382" i="15"/>
  <c r="Q382" i="15" s="1"/>
  <c r="M454" i="15"/>
  <c r="Q454" i="15" s="1"/>
  <c r="M466" i="15"/>
  <c r="Q466" i="15" s="1"/>
  <c r="M493" i="15"/>
  <c r="Q493" i="15" s="1"/>
  <c r="M496" i="15"/>
  <c r="Q496" i="15" s="1"/>
  <c r="M512" i="15"/>
  <c r="Q512" i="15" s="1"/>
  <c r="P675" i="15"/>
  <c r="M679" i="15"/>
  <c r="Q679" i="15" s="1"/>
  <c r="M691" i="15"/>
  <c r="Q691" i="15" s="1"/>
  <c r="P714" i="15"/>
  <c r="P736" i="15"/>
  <c r="M749" i="15"/>
  <c r="Q749" i="15" s="1"/>
  <c r="M765" i="15"/>
  <c r="Q765" i="15" s="1"/>
  <c r="M796" i="15"/>
  <c r="Q796" i="15" s="1"/>
  <c r="P23" i="15"/>
  <c r="P226" i="15"/>
  <c r="P332" i="15"/>
  <c r="P354" i="15"/>
  <c r="P515" i="15"/>
  <c r="P666" i="15"/>
  <c r="M30" i="15"/>
  <c r="Q30" i="15" s="1"/>
  <c r="J35" i="5" s="1"/>
  <c r="P51" i="15"/>
  <c r="M72" i="15"/>
  <c r="Q72" i="15" s="1"/>
  <c r="M97" i="15"/>
  <c r="Q97" i="15" s="1"/>
  <c r="M119" i="15"/>
  <c r="Q119" i="15" s="1"/>
  <c r="P144" i="15"/>
  <c r="M182" i="15"/>
  <c r="Q182" i="15" s="1"/>
  <c r="M214" i="15"/>
  <c r="Q214" i="15" s="1"/>
  <c r="P223" i="15"/>
  <c r="M267" i="15"/>
  <c r="Q267" i="15" s="1"/>
  <c r="M373" i="15"/>
  <c r="Q373" i="15" s="1"/>
  <c r="P398" i="15"/>
  <c r="M420" i="15"/>
  <c r="Q420" i="15" s="1"/>
  <c r="M436" i="15"/>
  <c r="Q436" i="15" s="1"/>
  <c r="M473" i="15"/>
  <c r="Q473" i="15" s="1"/>
  <c r="M519" i="15"/>
  <c r="Q519" i="15" s="1"/>
  <c r="M535" i="15"/>
  <c r="Q535" i="15" s="1"/>
  <c r="M576" i="15"/>
  <c r="Q576" i="15" s="1"/>
  <c r="M595" i="15"/>
  <c r="Q595" i="15" s="1"/>
  <c r="M598" i="15"/>
  <c r="Q598" i="15" s="1"/>
  <c r="M604" i="15"/>
  <c r="Q604" i="15" s="1"/>
  <c r="M609" i="15"/>
  <c r="Q609" i="15" s="1"/>
  <c r="M627" i="15"/>
  <c r="Q627" i="15" s="1"/>
  <c r="M651" i="15"/>
  <c r="Q651" i="15" s="1"/>
  <c r="P694" i="15"/>
  <c r="P796" i="15"/>
  <c r="M712" i="15"/>
  <c r="Q712" i="15" s="1"/>
  <c r="M721" i="15"/>
  <c r="Q721" i="15" s="1"/>
  <c r="M781" i="15"/>
  <c r="Q781" i="15" s="1"/>
  <c r="P292" i="15"/>
  <c r="P339" i="15"/>
  <c r="P503" i="15"/>
  <c r="P519" i="15"/>
  <c r="P544" i="15"/>
  <c r="P784" i="15"/>
  <c r="P64" i="15"/>
  <c r="P100" i="15"/>
  <c r="M132" i="15"/>
  <c r="Q132" i="15" s="1"/>
  <c r="P289" i="15"/>
  <c r="M314" i="15"/>
  <c r="Q314" i="15" s="1"/>
  <c r="P411" i="15"/>
  <c r="M470" i="15"/>
  <c r="Q470" i="15" s="1"/>
  <c r="P541" i="15"/>
  <c r="M46" i="15"/>
  <c r="Q46" i="15" s="1"/>
  <c r="P55" i="15"/>
  <c r="M65" i="15"/>
  <c r="Q65" i="15" s="1"/>
  <c r="M85" i="15"/>
  <c r="Q85" i="15" s="1"/>
  <c r="P110" i="15"/>
  <c r="M120" i="15"/>
  <c r="Q120" i="15" s="1"/>
  <c r="M142" i="15"/>
  <c r="Q142" i="15" s="1"/>
  <c r="M186" i="15"/>
  <c r="Q186" i="15" s="1"/>
  <c r="M218" i="15"/>
  <c r="Q218" i="15" s="1"/>
  <c r="P227" i="15"/>
  <c r="M271" i="15"/>
  <c r="Q271" i="15" s="1"/>
  <c r="P280" i="15"/>
  <c r="M324" i="15"/>
  <c r="Q324" i="15" s="1"/>
  <c r="M343" i="15"/>
  <c r="Q343" i="15" s="1"/>
  <c r="M346" i="15"/>
  <c r="Q346" i="15" s="1"/>
  <c r="P352" i="15"/>
  <c r="M371" i="15"/>
  <c r="Q371" i="15" s="1"/>
  <c r="M377" i="15"/>
  <c r="Q377" i="15" s="1"/>
  <c r="P405" i="15"/>
  <c r="M415" i="15"/>
  <c r="Q415" i="15" s="1"/>
  <c r="M424" i="15"/>
  <c r="Q424" i="15" s="1"/>
  <c r="M440" i="15"/>
  <c r="Q440" i="15" s="1"/>
  <c r="M480" i="15"/>
  <c r="Q480" i="15" s="1"/>
  <c r="M488" i="15"/>
  <c r="Q488" i="15" s="1"/>
  <c r="M523" i="15"/>
  <c r="Q523" i="15" s="1"/>
  <c r="J528" i="5" s="1"/>
  <c r="M548" i="15"/>
  <c r="Q548" i="15" s="1"/>
  <c r="P589" i="15"/>
  <c r="M625" i="15"/>
  <c r="Q625" i="15" s="1"/>
  <c r="M741" i="15"/>
  <c r="Q741" i="15" s="1"/>
  <c r="P756" i="15"/>
  <c r="P781" i="15"/>
  <c r="M788" i="15"/>
  <c r="Q788" i="15" s="1"/>
  <c r="P496" i="15"/>
  <c r="M69" i="15"/>
  <c r="Q69" i="15" s="1"/>
  <c r="P90" i="15"/>
  <c r="P598" i="15"/>
  <c r="M15" i="15"/>
  <c r="Q15" i="15" s="1"/>
  <c r="J20" i="5" s="1"/>
  <c r="P21" i="15"/>
  <c r="P24" i="15"/>
  <c r="M48" i="15"/>
  <c r="Q48" i="15" s="1"/>
  <c r="P56" i="15"/>
  <c r="P66" i="15"/>
  <c r="M76" i="15"/>
  <c r="Q76" i="15" s="1"/>
  <c r="M94" i="15"/>
  <c r="Q94" i="15" s="1"/>
  <c r="M103" i="15"/>
  <c r="Q103" i="15" s="1"/>
  <c r="M106" i="15"/>
  <c r="Q106" i="15" s="1"/>
  <c r="P115" i="15"/>
  <c r="M124" i="15"/>
  <c r="Q124" i="15" s="1"/>
  <c r="M133" i="15"/>
  <c r="Q133" i="15" s="1"/>
  <c r="M136" i="15"/>
  <c r="Q136" i="15" s="1"/>
  <c r="M145" i="15"/>
  <c r="Q145" i="15" s="1"/>
  <c r="P170" i="15"/>
  <c r="M177" i="15"/>
  <c r="Q177" i="15" s="1"/>
  <c r="M183" i="15"/>
  <c r="Q183" i="15" s="1"/>
  <c r="P195" i="15"/>
  <c r="M262" i="15"/>
  <c r="Q262" i="15" s="1"/>
  <c r="M265" i="15"/>
  <c r="Q265" i="15" s="1"/>
  <c r="M274" i="15"/>
  <c r="Q274" i="15" s="1"/>
  <c r="M280" i="15"/>
  <c r="Q280" i="15" s="1"/>
  <c r="M283" i="15"/>
  <c r="Q283" i="15" s="1"/>
  <c r="M295" i="15"/>
  <c r="Q295" i="15" s="1"/>
  <c r="M301" i="15"/>
  <c r="Q301" i="15" s="1"/>
  <c r="M316" i="15"/>
  <c r="Q316" i="15" s="1"/>
  <c r="P358" i="15"/>
  <c r="M389" i="15"/>
  <c r="Q389" i="15" s="1"/>
  <c r="P436" i="15"/>
  <c r="P442" i="15"/>
  <c r="M461" i="15"/>
  <c r="Q461" i="15" s="1"/>
  <c r="P509" i="15"/>
  <c r="P518" i="15"/>
  <c r="M537" i="15"/>
  <c r="Q537" i="15" s="1"/>
  <c r="M540" i="15"/>
  <c r="Q540" i="15" s="1"/>
  <c r="M563" i="15"/>
  <c r="Q563" i="15" s="1"/>
  <c r="M578" i="15"/>
  <c r="Q578" i="15" s="1"/>
  <c r="P601" i="15"/>
  <c r="P623" i="15"/>
  <c r="P626" i="15"/>
  <c r="M652" i="15"/>
  <c r="Q652" i="15" s="1"/>
  <c r="P664" i="15"/>
  <c r="P798" i="15"/>
  <c r="P291" i="15"/>
  <c r="P345" i="15"/>
  <c r="P150" i="15"/>
  <c r="M289" i="15"/>
  <c r="Q289" i="15" s="1"/>
  <c r="M728" i="15"/>
  <c r="Q728" i="15" s="1"/>
  <c r="P27" i="15"/>
  <c r="P322" i="15"/>
  <c r="P401" i="15"/>
  <c r="M407" i="15"/>
  <c r="Q407" i="15" s="1"/>
  <c r="P716" i="15"/>
  <c r="M750" i="15"/>
  <c r="Q750" i="15" s="1"/>
  <c r="P32" i="15"/>
  <c r="P294" i="15"/>
  <c r="M423" i="15"/>
  <c r="Q423" i="15" s="1"/>
  <c r="P511" i="15"/>
  <c r="P315" i="15"/>
  <c r="P547" i="15"/>
  <c r="M8" i="15"/>
  <c r="Q8" i="15" s="1"/>
  <c r="J13" i="5" s="1"/>
  <c r="P179" i="15"/>
  <c r="M355" i="15"/>
  <c r="Q355" i="15" s="1"/>
  <c r="P737" i="15"/>
  <c r="P445" i="15"/>
  <c r="P30" i="15"/>
  <c r="M51" i="15"/>
  <c r="Q51" i="15" s="1"/>
  <c r="M70" i="15"/>
  <c r="Q70" i="15" s="1"/>
  <c r="P124" i="15"/>
  <c r="M139" i="15"/>
  <c r="Q139" i="15" s="1"/>
  <c r="M171" i="15"/>
  <c r="Q171" i="15" s="1"/>
  <c r="P177" i="15"/>
  <c r="M196" i="15"/>
  <c r="Q196" i="15" s="1"/>
  <c r="P211" i="15"/>
  <c r="P217" i="15"/>
  <c r="P220" i="15"/>
  <c r="P316" i="15"/>
  <c r="P334" i="15"/>
  <c r="M356" i="15"/>
  <c r="Q356" i="15" s="1"/>
  <c r="M359" i="15"/>
  <c r="Q359" i="15" s="1"/>
  <c r="P500" i="15"/>
  <c r="P512" i="15"/>
  <c r="M528" i="15"/>
  <c r="Q528" i="15" s="1"/>
  <c r="P545" i="15"/>
  <c r="P548" i="15"/>
  <c r="P551" i="15"/>
  <c r="M584" i="15"/>
  <c r="Q584" i="15" s="1"/>
  <c r="M593" i="15"/>
  <c r="Q593" i="15" s="1"/>
  <c r="M602" i="15"/>
  <c r="Q602" i="15" s="1"/>
  <c r="M624" i="15"/>
  <c r="Q624" i="15" s="1"/>
  <c r="M630" i="15"/>
  <c r="Q630" i="15" s="1"/>
  <c r="M633" i="15"/>
  <c r="Q633" i="15" s="1"/>
  <c r="M682" i="15"/>
  <c r="Q682" i="15" s="1"/>
  <c r="M705" i="15"/>
  <c r="Q705" i="15" s="1"/>
  <c r="M747" i="15"/>
  <c r="Q747" i="15" s="1"/>
  <c r="P324" i="15"/>
  <c r="P483" i="15"/>
  <c r="P502" i="15"/>
  <c r="M536" i="15"/>
  <c r="Q536" i="15" s="1"/>
  <c r="P657" i="15"/>
  <c r="P786" i="15"/>
  <c r="P105" i="15"/>
  <c r="P264" i="15"/>
  <c r="P490" i="15"/>
  <c r="P755" i="15"/>
  <c r="M24" i="15"/>
  <c r="Q24" i="15" s="1"/>
  <c r="J29" i="5" s="1"/>
  <c r="M138" i="15"/>
  <c r="Q138" i="15" s="1"/>
  <c r="P182" i="15"/>
  <c r="P201" i="15"/>
  <c r="P586" i="15"/>
  <c r="P611" i="15"/>
  <c r="M623" i="15"/>
  <c r="Q623" i="15" s="1"/>
  <c r="P699" i="15"/>
  <c r="M59" i="15"/>
  <c r="Q59" i="15" s="1"/>
  <c r="P276" i="15"/>
  <c r="M22" i="15"/>
  <c r="Q22" i="15" s="1"/>
  <c r="J27" i="5" s="1"/>
  <c r="M57" i="15"/>
  <c r="Q57" i="15" s="1"/>
  <c r="M60" i="15"/>
  <c r="Q60" i="15" s="1"/>
  <c r="M63" i="15"/>
  <c r="Q63" i="15" s="1"/>
  <c r="R121" i="15"/>
  <c r="K147" i="5" s="1"/>
  <c r="M154" i="15"/>
  <c r="Q154" i="15" s="1"/>
  <c r="P162" i="15"/>
  <c r="M193" i="15"/>
  <c r="Q193" i="15" s="1"/>
  <c r="P229" i="15"/>
  <c r="M245" i="15"/>
  <c r="Q245" i="15" s="1"/>
  <c r="M260" i="15"/>
  <c r="Q260" i="15" s="1"/>
  <c r="M290" i="15"/>
  <c r="Q290" i="15" s="1"/>
  <c r="M320" i="15"/>
  <c r="Q320" i="15" s="1"/>
  <c r="M323" i="15"/>
  <c r="Q323" i="15" s="1"/>
  <c r="M341" i="15"/>
  <c r="Q341" i="15" s="1"/>
  <c r="M350" i="15"/>
  <c r="Q350" i="15" s="1"/>
  <c r="M416" i="15"/>
  <c r="Q416" i="15" s="1"/>
  <c r="P418" i="15"/>
  <c r="M486" i="15"/>
  <c r="Q486" i="15" s="1"/>
  <c r="M507" i="15"/>
  <c r="Q507" i="15" s="1"/>
  <c r="M510" i="15"/>
  <c r="Q510" i="15" s="1"/>
  <c r="M516" i="15"/>
  <c r="Q516" i="15" s="1"/>
  <c r="M543" i="15"/>
  <c r="Q543" i="15" s="1"/>
  <c r="M621" i="15"/>
  <c r="Q621" i="15" s="1"/>
  <c r="M639" i="15"/>
  <c r="Q639" i="15" s="1"/>
  <c r="M674" i="15"/>
  <c r="Q674" i="15" s="1"/>
  <c r="M128" i="15"/>
  <c r="Q128" i="15" s="1"/>
  <c r="M332" i="15"/>
  <c r="Q332" i="15" s="1"/>
  <c r="M347" i="15"/>
  <c r="Q347" i="15" s="1"/>
  <c r="M492" i="15"/>
  <c r="Q492" i="15" s="1"/>
  <c r="M607" i="15"/>
  <c r="Q607" i="15" s="1"/>
  <c r="P750" i="15"/>
  <c r="M760" i="15"/>
  <c r="Q760" i="15" s="1"/>
  <c r="P769" i="15"/>
  <c r="M785" i="15"/>
  <c r="Q785" i="15" s="1"/>
  <c r="M791" i="15"/>
  <c r="Q791" i="15" s="1"/>
  <c r="P84" i="15"/>
  <c r="P67" i="15"/>
  <c r="M221" i="15"/>
  <c r="Q221" i="15" s="1"/>
  <c r="M284" i="15"/>
  <c r="Q284" i="15" s="1"/>
  <c r="M287" i="15"/>
  <c r="Q287" i="15" s="1"/>
  <c r="M296" i="15"/>
  <c r="Q296" i="15" s="1"/>
  <c r="M305" i="15"/>
  <c r="Q305" i="15" s="1"/>
  <c r="P320" i="15"/>
  <c r="P528" i="15"/>
  <c r="P593" i="15"/>
  <c r="M616" i="15"/>
  <c r="Q616" i="15" s="1"/>
  <c r="P624" i="15"/>
  <c r="P640" i="15"/>
  <c r="P680" i="15"/>
  <c r="P682" i="15"/>
  <c r="M701" i="15"/>
  <c r="Q701" i="15" s="1"/>
  <c r="M776" i="15"/>
  <c r="Q776" i="15" s="1"/>
  <c r="M794" i="15"/>
  <c r="Q794" i="15" s="1"/>
  <c r="P550" i="15"/>
  <c r="M31" i="15"/>
  <c r="Q31" i="15" s="1"/>
  <c r="J36" i="5" s="1"/>
  <c r="P6" i="15"/>
  <c r="P22" i="15"/>
  <c r="P25" i="15"/>
  <c r="R37" i="15"/>
  <c r="K42" i="5" s="1"/>
  <c r="P60" i="15"/>
  <c r="M101" i="15"/>
  <c r="Q101" i="15" s="1"/>
  <c r="P128" i="15"/>
  <c r="P154" i="15"/>
  <c r="P193" i="15"/>
  <c r="P245" i="15"/>
  <c r="P338" i="15"/>
  <c r="M369" i="15"/>
  <c r="Q369" i="15" s="1"/>
  <c r="M408" i="15"/>
  <c r="Q408" i="15" s="1"/>
  <c r="P410" i="15"/>
  <c r="P413" i="15"/>
  <c r="P485" i="15"/>
  <c r="P486" i="15"/>
  <c r="P498" i="15"/>
  <c r="P510" i="15"/>
  <c r="M549" i="15"/>
  <c r="Q549" i="15" s="1"/>
  <c r="M564" i="15"/>
  <c r="Q564" i="15" s="1"/>
  <c r="M579" i="15"/>
  <c r="Q579" i="15" s="1"/>
  <c r="M610" i="15"/>
  <c r="Q610" i="15" s="1"/>
  <c r="M613" i="15"/>
  <c r="Q613" i="15" s="1"/>
  <c r="R668" i="15"/>
  <c r="K736" i="5" s="1"/>
  <c r="M678" i="15"/>
  <c r="Q678" i="15" s="1"/>
  <c r="M689" i="15"/>
  <c r="Q689" i="15" s="1"/>
  <c r="M709" i="15"/>
  <c r="Q709" i="15" s="1"/>
  <c r="M739" i="15"/>
  <c r="Q739" i="15" s="1"/>
  <c r="M745" i="15"/>
  <c r="Q745" i="15" s="1"/>
  <c r="M751" i="15"/>
  <c r="Q751" i="15" s="1"/>
  <c r="M754" i="15"/>
  <c r="Q754" i="15" s="1"/>
  <c r="P539" i="15"/>
  <c r="M74" i="15"/>
  <c r="Q74" i="15" s="1"/>
  <c r="P257" i="15"/>
  <c r="M281" i="15"/>
  <c r="Q281" i="15" s="1"/>
  <c r="M532" i="15"/>
  <c r="Q532" i="15" s="1"/>
  <c r="M644" i="15"/>
  <c r="Q644" i="15" s="1"/>
  <c r="P29" i="15"/>
  <c r="M87" i="15"/>
  <c r="Q87" i="15" s="1"/>
  <c r="P210" i="15"/>
  <c r="P499" i="15"/>
  <c r="P135" i="15"/>
  <c r="P487" i="15"/>
  <c r="P556" i="15"/>
  <c r="P574" i="15"/>
  <c r="P687" i="15"/>
  <c r="M5" i="15"/>
  <c r="Q5" i="15" s="1"/>
  <c r="J10" i="5" s="1"/>
  <c r="M349" i="15"/>
  <c r="Q349" i="15" s="1"/>
  <c r="P364" i="15"/>
  <c r="M10" i="15"/>
  <c r="Q10" i="15" s="1"/>
  <c r="J15" i="5" s="1"/>
  <c r="M41" i="15"/>
  <c r="Q41" i="15" s="1"/>
  <c r="J46" i="5" s="1"/>
  <c r="P80" i="15"/>
  <c r="M114" i="15"/>
  <c r="Q114" i="15" s="1"/>
  <c r="P134" i="15"/>
  <c r="M155" i="15"/>
  <c r="Q155" i="15" s="1"/>
  <c r="M161" i="15"/>
  <c r="Q161" i="15" s="1"/>
  <c r="P178" i="15"/>
  <c r="P184" i="15"/>
  <c r="M194" i="15"/>
  <c r="Q194" i="15" s="1"/>
  <c r="P230" i="15"/>
  <c r="P233" i="15"/>
  <c r="M240" i="15"/>
  <c r="Q240" i="15" s="1"/>
  <c r="M266" i="15"/>
  <c r="Q266" i="15" s="1"/>
  <c r="M269" i="15"/>
  <c r="Q269" i="15" s="1"/>
  <c r="P284" i="15"/>
  <c r="P296" i="15"/>
  <c r="M351" i="15"/>
  <c r="Q351" i="15" s="1"/>
  <c r="P402" i="15"/>
  <c r="M520" i="15"/>
  <c r="Q520" i="15" s="1"/>
  <c r="M544" i="15"/>
  <c r="Q544" i="15" s="1"/>
  <c r="P616" i="15"/>
  <c r="P692" i="15"/>
  <c r="P782" i="15"/>
  <c r="M800" i="15"/>
  <c r="Q800" i="15" s="1"/>
  <c r="P300" i="15"/>
  <c r="M645" i="15"/>
  <c r="Q645" i="15" s="1"/>
  <c r="P727" i="15"/>
  <c r="M173" i="15"/>
  <c r="Q173" i="15" s="1"/>
  <c r="P475" i="15"/>
  <c r="P580" i="15"/>
  <c r="M684" i="15"/>
  <c r="Q684" i="15" s="1"/>
  <c r="M734" i="15"/>
  <c r="Q734" i="15" s="1"/>
  <c r="P774" i="15"/>
  <c r="P50" i="15"/>
  <c r="M170" i="15"/>
  <c r="Q170" i="15" s="1"/>
  <c r="P608" i="15"/>
  <c r="M337" i="15"/>
  <c r="Q337" i="15" s="1"/>
  <c r="P684" i="15"/>
  <c r="M4" i="15"/>
  <c r="Q4" i="15" s="1"/>
  <c r="J9" i="5" s="1"/>
  <c r="M26" i="15"/>
  <c r="Q26" i="15" s="1"/>
  <c r="J31" i="5" s="1"/>
  <c r="P89" i="15"/>
  <c r="P149" i="15"/>
  <c r="P166" i="15"/>
  <c r="M258" i="15"/>
  <c r="Q258" i="15" s="1"/>
  <c r="M336" i="15"/>
  <c r="Q336" i="15" s="1"/>
  <c r="M348" i="15"/>
  <c r="Q348" i="15" s="1"/>
  <c r="P381" i="15"/>
  <c r="M432" i="15"/>
  <c r="Q432" i="15" s="1"/>
  <c r="P447" i="15"/>
  <c r="P591" i="15"/>
  <c r="M657" i="15"/>
  <c r="Q657" i="15" s="1"/>
  <c r="M660" i="15"/>
  <c r="Q660" i="15" s="1"/>
  <c r="M715" i="15"/>
  <c r="Q715" i="15" s="1"/>
  <c r="M724" i="15"/>
  <c r="Q724" i="15" s="1"/>
  <c r="M727" i="15"/>
  <c r="Q727" i="15" s="1"/>
  <c r="P742" i="15"/>
  <c r="M141" i="15"/>
  <c r="Q141" i="15" s="1"/>
  <c r="P3" i="15"/>
  <c r="M17" i="15"/>
  <c r="Q17" i="15" s="1"/>
  <c r="J22" i="5" s="1"/>
  <c r="P41" i="15"/>
  <c r="P68" i="15"/>
  <c r="M96" i="15"/>
  <c r="Q96" i="15" s="1"/>
  <c r="M123" i="15"/>
  <c r="Q123" i="15" s="1"/>
  <c r="M135" i="15"/>
  <c r="Q135" i="15" s="1"/>
  <c r="M147" i="15"/>
  <c r="Q147" i="15" s="1"/>
  <c r="M185" i="15"/>
  <c r="Q185" i="15" s="1"/>
  <c r="M213" i="15"/>
  <c r="Q213" i="15" s="1"/>
  <c r="M216" i="15"/>
  <c r="Q216" i="15" s="1"/>
  <c r="M237" i="15"/>
  <c r="Q237" i="15" s="1"/>
  <c r="M249" i="15"/>
  <c r="Q249" i="15" s="1"/>
  <c r="M252" i="15"/>
  <c r="Q252" i="15" s="1"/>
  <c r="M264" i="15"/>
  <c r="Q264" i="15" s="1"/>
  <c r="P266" i="15"/>
  <c r="M333" i="15"/>
  <c r="Q333" i="15" s="1"/>
  <c r="P372" i="15"/>
  <c r="P378" i="15"/>
  <c r="M400" i="15"/>
  <c r="Q400" i="15" s="1"/>
  <c r="M487" i="15"/>
  <c r="Q487" i="15" s="1"/>
  <c r="M490" i="15"/>
  <c r="Q490" i="15" s="1"/>
  <c r="P508" i="15"/>
  <c r="M539" i="15"/>
  <c r="Q539" i="15" s="1"/>
  <c r="M550" i="15"/>
  <c r="Q550" i="15" s="1"/>
  <c r="M553" i="15"/>
  <c r="Q553" i="15" s="1"/>
  <c r="M559" i="15"/>
  <c r="Q559" i="15" s="1"/>
  <c r="M589" i="15"/>
  <c r="Q589" i="15" s="1"/>
  <c r="M696" i="15"/>
  <c r="Q696" i="15" s="1"/>
  <c r="M702" i="15"/>
  <c r="Q702" i="15" s="1"/>
  <c r="P189" i="15"/>
  <c r="P622" i="15"/>
  <c r="P4" i="15"/>
  <c r="M77" i="15"/>
  <c r="Q77" i="15" s="1"/>
  <c r="P132" i="15"/>
  <c r="R241" i="15"/>
  <c r="K246" i="5" s="1"/>
  <c r="P302" i="15"/>
  <c r="P366" i="15"/>
  <c r="P526" i="15"/>
  <c r="R526" i="15"/>
  <c r="K531" i="5" s="1"/>
  <c r="P656" i="15"/>
  <c r="P752" i="15"/>
  <c r="M11" i="15"/>
  <c r="Q11" i="15" s="1"/>
  <c r="J16" i="5" s="1"/>
  <c r="M14" i="15"/>
  <c r="Q14" i="15" s="1"/>
  <c r="J19" i="5" s="1"/>
  <c r="M19" i="15"/>
  <c r="Q19" i="15" s="1"/>
  <c r="J24" i="5" s="1"/>
  <c r="P46" i="15"/>
  <c r="M54" i="15"/>
  <c r="Q54" i="15" s="1"/>
  <c r="P181" i="15"/>
  <c r="M190" i="15"/>
  <c r="Q190" i="15" s="1"/>
  <c r="M255" i="15"/>
  <c r="Q255" i="15" s="1"/>
  <c r="M278" i="15"/>
  <c r="Q278" i="15" s="1"/>
  <c r="P308" i="15"/>
  <c r="M352" i="15"/>
  <c r="Q352" i="15" s="1"/>
  <c r="M361" i="15"/>
  <c r="Q361" i="15" s="1"/>
  <c r="M425" i="15"/>
  <c r="Q425" i="15" s="1"/>
  <c r="P430" i="15"/>
  <c r="R433" i="15"/>
  <c r="K459" i="5" s="1"/>
  <c r="P647" i="15"/>
  <c r="R722" i="15"/>
  <c r="K811" i="5" s="1"/>
  <c r="P722" i="15"/>
  <c r="P749" i="15"/>
  <c r="P764" i="15"/>
  <c r="P531" i="15"/>
  <c r="P770" i="15"/>
  <c r="R770" i="15"/>
  <c r="K859" i="5" s="1"/>
  <c r="P156" i="15"/>
  <c r="P363" i="15"/>
  <c r="P16" i="15"/>
  <c r="P38" i="15"/>
  <c r="P62" i="15"/>
  <c r="M144" i="15"/>
  <c r="Q144" i="15" s="1"/>
  <c r="P176" i="15"/>
  <c r="M179" i="15"/>
  <c r="Q179" i="15" s="1"/>
  <c r="M230" i="15"/>
  <c r="Q230" i="15" s="1"/>
  <c r="M242" i="15"/>
  <c r="Q242" i="15" s="1"/>
  <c r="P249" i="15"/>
  <c r="M303" i="15"/>
  <c r="Q303" i="15" s="1"/>
  <c r="M306" i="15"/>
  <c r="Q306" i="15" s="1"/>
  <c r="P384" i="15"/>
  <c r="R392" i="15"/>
  <c r="K418" i="5" s="1"/>
  <c r="M395" i="15"/>
  <c r="Q395" i="15" s="1"/>
  <c r="M524" i="15"/>
  <c r="Q524" i="15" s="1"/>
  <c r="P557" i="15"/>
  <c r="M596" i="15"/>
  <c r="Q596" i="15" s="1"/>
  <c r="M795" i="15"/>
  <c r="Q795" i="15" s="1"/>
  <c r="P669" i="15"/>
  <c r="R669" i="15"/>
  <c r="K737" i="5" s="1"/>
  <c r="P116" i="15"/>
  <c r="M122" i="15"/>
  <c r="Q122" i="15" s="1"/>
  <c r="P141" i="15"/>
  <c r="M168" i="15"/>
  <c r="Q168" i="15" s="1"/>
  <c r="P173" i="15"/>
  <c r="M225" i="15"/>
  <c r="Q225" i="15" s="1"/>
  <c r="P278" i="15"/>
  <c r="P390" i="15"/>
  <c r="M393" i="15"/>
  <c r="Q393" i="15" s="1"/>
  <c r="P425" i="15"/>
  <c r="P606" i="15"/>
  <c r="P771" i="15"/>
  <c r="P918" i="15"/>
  <c r="P921" i="15"/>
  <c r="M125" i="15"/>
  <c r="Q125" i="15" s="1"/>
  <c r="P138" i="15"/>
  <c r="P273" i="15"/>
  <c r="R273" i="15"/>
  <c r="K299" i="5" s="1"/>
  <c r="P306" i="15"/>
  <c r="M315" i="15"/>
  <c r="Q315" i="15" s="1"/>
  <c r="M385" i="15"/>
  <c r="Q385" i="15" s="1"/>
  <c r="M475" i="15"/>
  <c r="Q475" i="15" s="1"/>
  <c r="P477" i="15"/>
  <c r="P581" i="15"/>
  <c r="P732" i="15"/>
  <c r="P738" i="15"/>
  <c r="R934" i="15"/>
  <c r="K1023" i="5" s="1"/>
  <c r="P934" i="15"/>
  <c r="P54" i="15"/>
  <c r="K525" i="5"/>
  <c r="P198" i="15"/>
  <c r="P140" i="15"/>
  <c r="P164" i="15"/>
  <c r="P389" i="15"/>
  <c r="P114" i="15"/>
  <c r="P165" i="15"/>
  <c r="P65" i="15"/>
  <c r="P270" i="15"/>
  <c r="P373" i="15"/>
  <c r="M458" i="15"/>
  <c r="Q458" i="15" s="1"/>
  <c r="R564" i="15"/>
  <c r="K569" i="5" s="1"/>
  <c r="P564" i="15"/>
  <c r="P726" i="15"/>
  <c r="M297" i="15"/>
  <c r="Q297" i="15" s="1"/>
  <c r="P146" i="15"/>
  <c r="P357" i="15"/>
  <c r="P400" i="15"/>
  <c r="R400" i="15"/>
  <c r="K426" i="5" s="1"/>
  <c r="P7" i="15"/>
  <c r="M105" i="15"/>
  <c r="Q105" i="15" s="1"/>
  <c r="P102" i="15"/>
  <c r="P147" i="15"/>
  <c r="M12" i="15"/>
  <c r="Q12" i="15" s="1"/>
  <c r="J17" i="5" s="1"/>
  <c r="M86" i="15"/>
  <c r="Q86" i="15" s="1"/>
  <c r="P125" i="15"/>
  <c r="P133" i="15"/>
  <c r="M9" i="15"/>
  <c r="Q9" i="15" s="1"/>
  <c r="J14" i="5" s="1"/>
  <c r="P136" i="15"/>
  <c r="P185" i="15"/>
  <c r="P379" i="15"/>
  <c r="P385" i="15"/>
  <c r="P412" i="15"/>
  <c r="P461" i="15"/>
  <c r="P558" i="15"/>
  <c r="P579" i="15"/>
  <c r="R1215" i="15"/>
  <c r="K1094" i="5" s="1"/>
  <c r="P1215" i="15"/>
  <c r="P58" i="15"/>
  <c r="P360" i="15"/>
  <c r="P52" i="15"/>
  <c r="R52" i="15"/>
  <c r="P194" i="15"/>
  <c r="P57" i="15"/>
  <c r="P117" i="15"/>
  <c r="P145" i="15"/>
  <c r="R145" i="15"/>
  <c r="K171" i="5" s="1"/>
  <c r="P197" i="15"/>
  <c r="P228" i="15"/>
  <c r="P253" i="15"/>
  <c r="P262" i="15"/>
  <c r="P281" i="15"/>
  <c r="P415" i="15"/>
  <c r="P420" i="15"/>
  <c r="P472" i="15"/>
  <c r="M597" i="15"/>
  <c r="Q597" i="15" s="1"/>
  <c r="P627" i="15"/>
  <c r="P1224" i="15"/>
  <c r="P1236" i="15"/>
  <c r="P42" i="15"/>
  <c r="M263" i="15"/>
  <c r="Q263" i="15" s="1"/>
  <c r="P151" i="15"/>
  <c r="P700" i="15"/>
  <c r="P806" i="15"/>
  <c r="P14" i="15"/>
  <c r="P49" i="15"/>
  <c r="P219" i="15"/>
  <c r="P236" i="15"/>
  <c r="P78" i="15"/>
  <c r="P108" i="15"/>
  <c r="M6" i="15"/>
  <c r="Q6" i="15" s="1"/>
  <c r="J11" i="5" s="1"/>
  <c r="P12" i="15"/>
  <c r="P17" i="15"/>
  <c r="P70" i="15"/>
  <c r="P86" i="15"/>
  <c r="P120" i="15"/>
  <c r="P163" i="15"/>
  <c r="P171" i="15"/>
  <c r="P203" i="15"/>
  <c r="M223" i="15"/>
  <c r="Q223" i="15" s="1"/>
  <c r="P9" i="15"/>
  <c r="M37" i="15"/>
  <c r="Q37" i="15" s="1"/>
  <c r="J42" i="5" s="1"/>
  <c r="M82" i="15"/>
  <c r="Q82" i="15" s="1"/>
  <c r="M92" i="15"/>
  <c r="Q92" i="15" s="1"/>
  <c r="M109" i="15"/>
  <c r="Q109" i="15" s="1"/>
  <c r="M169" i="15"/>
  <c r="Q169" i="15" s="1"/>
  <c r="R177" i="15"/>
  <c r="K203" i="5" s="1"/>
  <c r="M246" i="15"/>
  <c r="Q246" i="15" s="1"/>
  <c r="P248" i="15"/>
  <c r="M257" i="15"/>
  <c r="Q257" i="15" s="1"/>
  <c r="M268" i="15"/>
  <c r="Q268" i="15" s="1"/>
  <c r="P307" i="15"/>
  <c r="M330" i="15"/>
  <c r="Q330" i="15" s="1"/>
  <c r="M418" i="15"/>
  <c r="Q418" i="15" s="1"/>
  <c r="P452" i="15"/>
  <c r="P455" i="15"/>
  <c r="M462" i="15"/>
  <c r="Q462" i="15" s="1"/>
  <c r="P466" i="15"/>
  <c r="P513" i="15"/>
  <c r="P516" i="15"/>
  <c r="M556" i="15"/>
  <c r="Q556" i="15" s="1"/>
  <c r="P862" i="15"/>
  <c r="P1203" i="15"/>
  <c r="P1233" i="15"/>
  <c r="P251" i="15"/>
  <c r="M397" i="15"/>
  <c r="Q397" i="15" s="1"/>
  <c r="P456" i="15"/>
  <c r="P542" i="15"/>
  <c r="P677" i="15"/>
  <c r="P122" i="15"/>
  <c r="P33" i="15"/>
  <c r="P39" i="15"/>
  <c r="M18" i="15"/>
  <c r="Q18" i="15" s="1"/>
  <c r="J23" i="5" s="1"/>
  <c r="M21" i="15"/>
  <c r="Q21" i="15" s="1"/>
  <c r="J26" i="5" s="1"/>
  <c r="M40" i="15"/>
  <c r="Q40" i="15" s="1"/>
  <c r="J45" i="5" s="1"/>
  <c r="M53" i="15"/>
  <c r="Q53" i="15" s="1"/>
  <c r="M61" i="15"/>
  <c r="Q61" i="15" s="1"/>
  <c r="M66" i="15"/>
  <c r="Q66" i="15" s="1"/>
  <c r="M71" i="15"/>
  <c r="Q71" i="15" s="1"/>
  <c r="P112" i="15"/>
  <c r="M118" i="15"/>
  <c r="Q118" i="15" s="1"/>
  <c r="P396" i="15"/>
  <c r="M459" i="15"/>
  <c r="Q459" i="15" s="1"/>
  <c r="P522" i="15"/>
  <c r="M577" i="15"/>
  <c r="Q577" i="15" s="1"/>
  <c r="M580" i="15"/>
  <c r="Q580" i="15" s="1"/>
  <c r="M628" i="15"/>
  <c r="Q628" i="15" s="1"/>
  <c r="M704" i="15"/>
  <c r="Q704" i="15" s="1"/>
  <c r="M809" i="15"/>
  <c r="Q809" i="15" s="1"/>
  <c r="P212" i="15"/>
  <c r="P394" i="15"/>
  <c r="P577" i="15"/>
  <c r="R671" i="15"/>
  <c r="K739" i="5" s="1"/>
  <c r="P74" i="15"/>
  <c r="P8" i="15"/>
  <c r="P88" i="15"/>
  <c r="P47" i="15"/>
  <c r="M13" i="15"/>
  <c r="Q13" i="15" s="1"/>
  <c r="J18" i="5" s="1"/>
  <c r="M29" i="15"/>
  <c r="Q29" i="15" s="1"/>
  <c r="J34" i="5" s="1"/>
  <c r="M64" i="15"/>
  <c r="Q64" i="15" s="1"/>
  <c r="M146" i="15"/>
  <c r="Q146" i="15" s="1"/>
  <c r="P192" i="15"/>
  <c r="M204" i="15"/>
  <c r="Q204" i="15" s="1"/>
  <c r="M210" i="15"/>
  <c r="Q210" i="15" s="1"/>
  <c r="M241" i="15"/>
  <c r="Q241" i="15" s="1"/>
  <c r="M494" i="15"/>
  <c r="Q494" i="15" s="1"/>
  <c r="M806" i="15"/>
  <c r="Q806" i="15" s="1"/>
  <c r="M159" i="15"/>
  <c r="Q159" i="15" s="1"/>
  <c r="M187" i="15"/>
  <c r="Q187" i="15" s="1"/>
  <c r="M198" i="15"/>
  <c r="Q198" i="15" s="1"/>
  <c r="M201" i="15"/>
  <c r="Q201" i="15" s="1"/>
  <c r="P214" i="15"/>
  <c r="P225" i="15"/>
  <c r="P235" i="15"/>
  <c r="P246" i="15"/>
  <c r="P297" i="15"/>
  <c r="M335" i="15"/>
  <c r="Q335" i="15" s="1"/>
  <c r="M338" i="15"/>
  <c r="Q338" i="15" s="1"/>
  <c r="P348" i="15"/>
  <c r="M363" i="15"/>
  <c r="Q363" i="15" s="1"/>
  <c r="M379" i="15"/>
  <c r="Q379" i="15" s="1"/>
  <c r="P387" i="15"/>
  <c r="M390" i="15"/>
  <c r="Q390" i="15" s="1"/>
  <c r="M405" i="15"/>
  <c r="Q405" i="15" s="1"/>
  <c r="P407" i="15"/>
  <c r="M410" i="15"/>
  <c r="Q410" i="15" s="1"/>
  <c r="M428" i="15"/>
  <c r="Q428" i="15" s="1"/>
  <c r="M434" i="15"/>
  <c r="Q434" i="15" s="1"/>
  <c r="M469" i="15"/>
  <c r="Q469" i="15" s="1"/>
  <c r="M472" i="15"/>
  <c r="Q472" i="15" s="1"/>
  <c r="M483" i="15"/>
  <c r="Q483" i="15" s="1"/>
  <c r="P494" i="15"/>
  <c r="P524" i="15"/>
  <c r="P540" i="15"/>
  <c r="M545" i="15"/>
  <c r="Q545" i="15" s="1"/>
  <c r="M574" i="15"/>
  <c r="Q574" i="15" s="1"/>
  <c r="M582" i="15"/>
  <c r="Q582" i="15" s="1"/>
  <c r="M585" i="15"/>
  <c r="Q585" i="15" s="1"/>
  <c r="R614" i="15"/>
  <c r="K661" i="5" s="1"/>
  <c r="P614" i="15"/>
  <c r="P635" i="15"/>
  <c r="P638" i="15"/>
  <c r="P653" i="15"/>
  <c r="M669" i="15"/>
  <c r="Q669" i="15" s="1"/>
  <c r="P706" i="15"/>
  <c r="P800" i="15"/>
  <c r="P836" i="15"/>
  <c r="M895" i="15"/>
  <c r="Q895" i="15" s="1"/>
  <c r="M898" i="15"/>
  <c r="Q898" i="15" s="1"/>
  <c r="R978" i="15"/>
  <c r="P978" i="15"/>
  <c r="M1184" i="15"/>
  <c r="Q1184" i="15" s="1"/>
  <c r="M1192" i="15"/>
  <c r="Q1192" i="15" s="1"/>
  <c r="P1499" i="15"/>
  <c r="R898" i="15"/>
  <c r="K987" i="5" s="1"/>
  <c r="P898" i="15"/>
  <c r="P1091" i="15"/>
  <c r="R1091" i="15"/>
  <c r="K1201" i="5" s="1"/>
  <c r="M1178" i="15"/>
  <c r="Q1178" i="15" s="1"/>
  <c r="P678" i="15"/>
  <c r="P765" i="15"/>
  <c r="P492" i="15"/>
  <c r="P532" i="15"/>
  <c r="M600" i="15"/>
  <c r="Q600" i="15" s="1"/>
  <c r="M736" i="15"/>
  <c r="Q736" i="15" s="1"/>
  <c r="P778" i="15"/>
  <c r="R778" i="15"/>
  <c r="K867" i="5" s="1"/>
  <c r="P884" i="15"/>
  <c r="P887" i="15"/>
  <c r="R1175" i="15"/>
  <c r="K1054" i="5" s="1"/>
  <c r="P1175" i="15"/>
  <c r="P1341" i="15"/>
  <c r="P1402" i="15"/>
  <c r="P242" i="15"/>
  <c r="P258" i="15"/>
  <c r="P346" i="15"/>
  <c r="M364" i="15"/>
  <c r="Q364" i="15" s="1"/>
  <c r="P437" i="15"/>
  <c r="P517" i="15"/>
  <c r="P527" i="15"/>
  <c r="P615" i="15"/>
  <c r="P695" i="15"/>
  <c r="R695" i="15"/>
  <c r="K770" i="5" s="1"/>
  <c r="P718" i="15"/>
  <c r="P787" i="15"/>
  <c r="P1011" i="15"/>
  <c r="M113" i="15"/>
  <c r="Q113" i="15" s="1"/>
  <c r="P123" i="15"/>
  <c r="M126" i="15"/>
  <c r="Q126" i="15" s="1"/>
  <c r="M129" i="15"/>
  <c r="Q129" i="15" s="1"/>
  <c r="P131" i="15"/>
  <c r="P157" i="15"/>
  <c r="M160" i="15"/>
  <c r="Q160" i="15" s="1"/>
  <c r="M172" i="15"/>
  <c r="Q172" i="15" s="1"/>
  <c r="M175" i="15"/>
  <c r="Q175" i="15" s="1"/>
  <c r="M191" i="15"/>
  <c r="Q191" i="15" s="1"/>
  <c r="P196" i="15"/>
  <c r="M202" i="15"/>
  <c r="Q202" i="15" s="1"/>
  <c r="M205" i="15"/>
  <c r="Q205" i="15" s="1"/>
  <c r="M234" i="15"/>
  <c r="Q234" i="15" s="1"/>
  <c r="M277" i="15"/>
  <c r="Q277" i="15" s="1"/>
  <c r="M282" i="15"/>
  <c r="Q282" i="15" s="1"/>
  <c r="M285" i="15"/>
  <c r="Q285" i="15" s="1"/>
  <c r="P288" i="15"/>
  <c r="P293" i="15"/>
  <c r="P298" i="15"/>
  <c r="M317" i="15"/>
  <c r="Q317" i="15" s="1"/>
  <c r="P330" i="15"/>
  <c r="M344" i="15"/>
  <c r="Q344" i="15" s="1"/>
  <c r="M353" i="15"/>
  <c r="Q353" i="15" s="1"/>
  <c r="M386" i="15"/>
  <c r="Q386" i="15" s="1"/>
  <c r="P388" i="15"/>
  <c r="M391" i="15"/>
  <c r="Q391" i="15" s="1"/>
  <c r="P395" i="15"/>
  <c r="M398" i="15"/>
  <c r="Q398" i="15" s="1"/>
  <c r="M419" i="15"/>
  <c r="Q419" i="15" s="1"/>
  <c r="P432" i="15"/>
  <c r="P440" i="15"/>
  <c r="M446" i="15"/>
  <c r="Q446" i="15" s="1"/>
  <c r="P484" i="15"/>
  <c r="P495" i="15"/>
  <c r="M501" i="15"/>
  <c r="Q501" i="15" s="1"/>
  <c r="M504" i="15"/>
  <c r="Q504" i="15" s="1"/>
  <c r="P520" i="15"/>
  <c r="M552" i="15"/>
  <c r="Q552" i="15" s="1"/>
  <c r="M560" i="15"/>
  <c r="Q560" i="15" s="1"/>
  <c r="M592" i="15"/>
  <c r="Q592" i="15" s="1"/>
  <c r="P643" i="15"/>
  <c r="M658" i="15"/>
  <c r="Q658" i="15" s="1"/>
  <c r="P683" i="15"/>
  <c r="P713" i="15"/>
  <c r="P721" i="15"/>
  <c r="M829" i="15"/>
  <c r="Q829" i="15" s="1"/>
  <c r="M985" i="15"/>
  <c r="Q985" i="15" s="1"/>
  <c r="P1005" i="15"/>
  <c r="R1164" i="15"/>
  <c r="K1274" i="5" s="1"/>
  <c r="P1164" i="15"/>
  <c r="M1435" i="15"/>
  <c r="Q1435" i="15" s="1"/>
  <c r="P72" i="15"/>
  <c r="P180" i="15"/>
  <c r="P218" i="15"/>
  <c r="P285" i="15"/>
  <c r="R288" i="15"/>
  <c r="K293" i="5" s="1"/>
  <c r="M291" i="15"/>
  <c r="Q291" i="15" s="1"/>
  <c r="P317" i="15"/>
  <c r="P328" i="15"/>
  <c r="P344" i="15"/>
  <c r="P370" i="15"/>
  <c r="P380" i="15"/>
  <c r="P383" i="15"/>
  <c r="P421" i="15"/>
  <c r="P443" i="15"/>
  <c r="P451" i="15"/>
  <c r="P467" i="15"/>
  <c r="M482" i="15"/>
  <c r="Q482" i="15" s="1"/>
  <c r="P501" i="15"/>
  <c r="P569" i="15"/>
  <c r="P652" i="15"/>
  <c r="P658" i="15"/>
  <c r="P808" i="15"/>
  <c r="P867" i="15"/>
  <c r="P118" i="15"/>
  <c r="P142" i="15"/>
  <c r="P18" i="15"/>
  <c r="P45" i="15"/>
  <c r="M67" i="15"/>
  <c r="Q67" i="15" s="1"/>
  <c r="P69" i="15"/>
  <c r="M75" i="15"/>
  <c r="Q75" i="15" s="1"/>
  <c r="M83" i="15"/>
  <c r="Q83" i="15" s="1"/>
  <c r="P101" i="15"/>
  <c r="P104" i="15"/>
  <c r="P129" i="15"/>
  <c r="P172" i="15"/>
  <c r="P191" i="15"/>
  <c r="P221" i="15"/>
  <c r="M227" i="15"/>
  <c r="Q227" i="15" s="1"/>
  <c r="M232" i="15"/>
  <c r="Q232" i="15" s="1"/>
  <c r="P261" i="15"/>
  <c r="R272" i="15"/>
  <c r="K277" i="5" s="1"/>
  <c r="P277" i="15"/>
  <c r="P282" i="15"/>
  <c r="M299" i="15"/>
  <c r="Q299" i="15" s="1"/>
  <c r="P304" i="15"/>
  <c r="M312" i="15"/>
  <c r="Q312" i="15" s="1"/>
  <c r="P314" i="15"/>
  <c r="P386" i="15"/>
  <c r="M396" i="15"/>
  <c r="Q396" i="15" s="1"/>
  <c r="P419" i="15"/>
  <c r="M430" i="15"/>
  <c r="Q430" i="15" s="1"/>
  <c r="M433" i="15"/>
  <c r="Q433" i="15" s="1"/>
  <c r="M465" i="15"/>
  <c r="Q465" i="15" s="1"/>
  <c r="M474" i="15"/>
  <c r="Q474" i="15" s="1"/>
  <c r="R493" i="15"/>
  <c r="K540" i="5" s="1"/>
  <c r="P493" i="15"/>
  <c r="M513" i="15"/>
  <c r="Q513" i="15" s="1"/>
  <c r="M558" i="15"/>
  <c r="Q558" i="15" s="1"/>
  <c r="M587" i="15"/>
  <c r="Q587" i="15" s="1"/>
  <c r="M693" i="15"/>
  <c r="Q693" i="15" s="1"/>
  <c r="P705" i="15"/>
  <c r="M722" i="15"/>
  <c r="Q722" i="15" s="1"/>
  <c r="M844" i="15"/>
  <c r="Q844" i="15" s="1"/>
  <c r="R885" i="15"/>
  <c r="K974" i="5" s="1"/>
  <c r="P885" i="15"/>
  <c r="R1069" i="15"/>
  <c r="K1179" i="5" s="1"/>
  <c r="P1069" i="15"/>
  <c r="M78" i="15"/>
  <c r="Q78" i="15" s="1"/>
  <c r="M140" i="15"/>
  <c r="Q140" i="15" s="1"/>
  <c r="M143" i="15"/>
  <c r="Q143" i="15" s="1"/>
  <c r="R160" i="15"/>
  <c r="K165" i="5" s="1"/>
  <c r="P256" i="15"/>
  <c r="M286" i="15"/>
  <c r="Q286" i="15" s="1"/>
  <c r="M307" i="15"/>
  <c r="Q307" i="15" s="1"/>
  <c r="M321" i="15"/>
  <c r="Q321" i="15" s="1"/>
  <c r="M326" i="15"/>
  <c r="Q326" i="15" s="1"/>
  <c r="M334" i="15"/>
  <c r="Q334" i="15" s="1"/>
  <c r="M412" i="15"/>
  <c r="Q412" i="15" s="1"/>
  <c r="M422" i="15"/>
  <c r="Q422" i="15" s="1"/>
  <c r="M452" i="15"/>
  <c r="Q452" i="15" s="1"/>
  <c r="P457" i="15"/>
  <c r="M468" i="15"/>
  <c r="Q468" i="15" s="1"/>
  <c r="M499" i="15"/>
  <c r="Q499" i="15" s="1"/>
  <c r="M502" i="15"/>
  <c r="Q502" i="15" s="1"/>
  <c r="M505" i="15"/>
  <c r="Q505" i="15" s="1"/>
  <c r="M508" i="15"/>
  <c r="Q508" i="15" s="1"/>
  <c r="M561" i="15"/>
  <c r="Q561" i="15" s="1"/>
  <c r="K669" i="5"/>
  <c r="M650" i="15"/>
  <c r="Q650" i="15" s="1"/>
  <c r="M659" i="15"/>
  <c r="Q659" i="15" s="1"/>
  <c r="M677" i="15"/>
  <c r="Q677" i="15" s="1"/>
  <c r="M812" i="15"/>
  <c r="Q812" i="15" s="1"/>
  <c r="M862" i="15"/>
  <c r="Q862" i="15" s="1"/>
  <c r="M890" i="15"/>
  <c r="Q890" i="15" s="1"/>
  <c r="P910" i="15"/>
  <c r="M1003" i="15"/>
  <c r="Q1003" i="15" s="1"/>
  <c r="P1155" i="15"/>
  <c r="P1330" i="15"/>
  <c r="M1421" i="15"/>
  <c r="Q1421" i="15" s="1"/>
  <c r="P1491" i="15"/>
  <c r="M438" i="15"/>
  <c r="Q438" i="15" s="1"/>
  <c r="M443" i="15"/>
  <c r="Q443" i="15" s="1"/>
  <c r="M456" i="15"/>
  <c r="Q456" i="15" s="1"/>
  <c r="P474" i="15"/>
  <c r="P479" i="15"/>
  <c r="M485" i="15"/>
  <c r="Q485" i="15" s="1"/>
  <c r="M497" i="15"/>
  <c r="Q497" i="15" s="1"/>
  <c r="M517" i="15"/>
  <c r="Q517" i="15" s="1"/>
  <c r="M547" i="15"/>
  <c r="Q547" i="15" s="1"/>
  <c r="P549" i="15"/>
  <c r="M566" i="15"/>
  <c r="Q566" i="15" s="1"/>
  <c r="M569" i="15"/>
  <c r="Q569" i="15" s="1"/>
  <c r="M572" i="15"/>
  <c r="Q572" i="15" s="1"/>
  <c r="P592" i="15"/>
  <c r="P595" i="15"/>
  <c r="M653" i="15"/>
  <c r="Q653" i="15" s="1"/>
  <c r="M690" i="15"/>
  <c r="Q690" i="15" s="1"/>
  <c r="M698" i="15"/>
  <c r="Q698" i="15" s="1"/>
  <c r="M706" i="15"/>
  <c r="Q706" i="15" s="1"/>
  <c r="M714" i="15"/>
  <c r="Q714" i="15" s="1"/>
  <c r="P730" i="15"/>
  <c r="P789" i="15"/>
  <c r="M797" i="15"/>
  <c r="Q797" i="15" s="1"/>
  <c r="M885" i="15"/>
  <c r="Q885" i="15" s="1"/>
  <c r="P904" i="15"/>
  <c r="M945" i="15"/>
  <c r="Q945" i="15" s="1"/>
  <c r="P955" i="15"/>
  <c r="M978" i="15"/>
  <c r="Q978" i="15" s="1"/>
  <c r="M1040" i="15"/>
  <c r="Q1040" i="15" s="1"/>
  <c r="M1046" i="15"/>
  <c r="Q1046" i="15" s="1"/>
  <c r="M1219" i="15"/>
  <c r="Q1219" i="15" s="1"/>
  <c r="P1303" i="15"/>
  <c r="M1325" i="15"/>
  <c r="Q1325" i="15" s="1"/>
  <c r="P1488" i="15"/>
  <c r="M969" i="15"/>
  <c r="Q969" i="15" s="1"/>
  <c r="M1264" i="15"/>
  <c r="Q1264" i="15" s="1"/>
  <c r="M1272" i="15"/>
  <c r="Q1272" i="15" s="1"/>
  <c r="P1383" i="15"/>
  <c r="R1415" i="15"/>
  <c r="K1273" i="5" s="1"/>
  <c r="P1415" i="15"/>
  <c r="P1026" i="15"/>
  <c r="P1040" i="15"/>
  <c r="P1046" i="15"/>
  <c r="P1136" i="15"/>
  <c r="M1267" i="15"/>
  <c r="Q1267" i="15" s="1"/>
  <c r="M1293" i="15"/>
  <c r="Q1293" i="15" s="1"/>
  <c r="P1298" i="15"/>
  <c r="M1313" i="15"/>
  <c r="Q1313" i="15" s="1"/>
  <c r="P1361" i="15"/>
  <c r="P1364" i="15"/>
  <c r="P1126" i="15"/>
  <c r="R1162" i="15"/>
  <c r="K1041" i="5" s="1"/>
  <c r="P1162" i="15"/>
  <c r="P633" i="15"/>
  <c r="P651" i="15"/>
  <c r="P670" i="15"/>
  <c r="P696" i="15"/>
  <c r="P1159" i="15"/>
  <c r="M1256" i="15"/>
  <c r="Q1256" i="15" s="1"/>
  <c r="M1290" i="15"/>
  <c r="Q1290" i="15" s="1"/>
  <c r="M444" i="15"/>
  <c r="Q444" i="15" s="1"/>
  <c r="M447" i="15"/>
  <c r="Q447" i="15" s="1"/>
  <c r="P449" i="15"/>
  <c r="M457" i="15"/>
  <c r="Q457" i="15" s="1"/>
  <c r="P469" i="15"/>
  <c r="P505" i="15"/>
  <c r="M518" i="15"/>
  <c r="Q518" i="15" s="1"/>
  <c r="M530" i="15"/>
  <c r="Q530" i="15" s="1"/>
  <c r="P561" i="15"/>
  <c r="M626" i="15"/>
  <c r="Q626" i="15" s="1"/>
  <c r="M636" i="15"/>
  <c r="Q636" i="15" s="1"/>
  <c r="M673" i="15"/>
  <c r="Q673" i="15" s="1"/>
  <c r="M688" i="15"/>
  <c r="Q688" i="15" s="1"/>
  <c r="M694" i="15"/>
  <c r="Q694" i="15" s="1"/>
  <c r="P743" i="15"/>
  <c r="P748" i="15"/>
  <c r="P754" i="15"/>
  <c r="M763" i="15"/>
  <c r="Q763" i="15" s="1"/>
  <c r="M766" i="15"/>
  <c r="Q766" i="15" s="1"/>
  <c r="M769" i="15"/>
  <c r="Q769" i="15" s="1"/>
  <c r="M772" i="15"/>
  <c r="Q772" i="15" s="1"/>
  <c r="P777" i="15"/>
  <c r="M780" i="15"/>
  <c r="Q780" i="15" s="1"/>
  <c r="P795" i="15"/>
  <c r="M871" i="15"/>
  <c r="Q871" i="15" s="1"/>
  <c r="P876" i="15"/>
  <c r="M929" i="15"/>
  <c r="Q929" i="15" s="1"/>
  <c r="R949" i="15"/>
  <c r="K1038" i="5" s="1"/>
  <c r="P949" i="15"/>
  <c r="P956" i="15"/>
  <c r="P1032" i="15"/>
  <c r="R1053" i="15"/>
  <c r="K953" i="5" s="1"/>
  <c r="P1053" i="15"/>
  <c r="P1275" i="15"/>
  <c r="P1356" i="15"/>
  <c r="M1368" i="15"/>
  <c r="Q1368" i="15" s="1"/>
  <c r="P1376" i="15"/>
  <c r="P1422" i="15"/>
  <c r="P631" i="15"/>
  <c r="P662" i="15"/>
  <c r="P702" i="15"/>
  <c r="P704" i="15"/>
  <c r="P712" i="15"/>
  <c r="P785" i="15"/>
  <c r="P857" i="15"/>
  <c r="P1021" i="15"/>
  <c r="R1379" i="15"/>
  <c r="K1258" i="5" s="1"/>
  <c r="P1379" i="15"/>
  <c r="P255" i="15"/>
  <c r="P274" i="15"/>
  <c r="P287" i="15"/>
  <c r="P305" i="15"/>
  <c r="P321" i="15"/>
  <c r="P326" i="15"/>
  <c r="M329" i="15"/>
  <c r="Q329" i="15" s="1"/>
  <c r="M342" i="15"/>
  <c r="Q342" i="15" s="1"/>
  <c r="M354" i="15"/>
  <c r="Q354" i="15" s="1"/>
  <c r="P356" i="15"/>
  <c r="M365" i="15"/>
  <c r="Q365" i="15" s="1"/>
  <c r="M368" i="15"/>
  <c r="Q368" i="15" s="1"/>
  <c r="P391" i="15"/>
  <c r="P428" i="15"/>
  <c r="P434" i="15"/>
  <c r="M481" i="15"/>
  <c r="Q481" i="15" s="1"/>
  <c r="M498" i="15"/>
  <c r="Q498" i="15" s="1"/>
  <c r="M503" i="15"/>
  <c r="Q503" i="15" s="1"/>
  <c r="M506" i="15"/>
  <c r="Q506" i="15" s="1"/>
  <c r="M509" i="15"/>
  <c r="Q509" i="15" s="1"/>
  <c r="P535" i="15"/>
  <c r="P538" i="15"/>
  <c r="M554" i="15"/>
  <c r="Q554" i="15" s="1"/>
  <c r="M562" i="15"/>
  <c r="Q562" i="15" s="1"/>
  <c r="P567" i="15"/>
  <c r="P573" i="15"/>
  <c r="M594" i="15"/>
  <c r="Q594" i="15" s="1"/>
  <c r="M599" i="15"/>
  <c r="Q599" i="15" s="1"/>
  <c r="P609" i="15"/>
  <c r="M612" i="15"/>
  <c r="Q612" i="15" s="1"/>
  <c r="P617" i="15"/>
  <c r="M619" i="15"/>
  <c r="Q619" i="15" s="1"/>
  <c r="P621" i="15"/>
  <c r="M634" i="15"/>
  <c r="Q634" i="15" s="1"/>
  <c r="K701" i="5"/>
  <c r="P641" i="15"/>
  <c r="P673" i="15"/>
  <c r="P676" i="15"/>
  <c r="P717" i="15"/>
  <c r="R743" i="15"/>
  <c r="K685" i="5" s="1"/>
  <c r="M755" i="15"/>
  <c r="Q755" i="15" s="1"/>
  <c r="P757" i="15"/>
  <c r="P772" i="15"/>
  <c r="M825" i="15"/>
  <c r="Q825" i="15" s="1"/>
  <c r="P827" i="15"/>
  <c r="P832" i="15"/>
  <c r="P843" i="15"/>
  <c r="M855" i="15"/>
  <c r="Q855" i="15" s="1"/>
  <c r="R883" i="15"/>
  <c r="K804" i="5" s="1"/>
  <c r="M900" i="15"/>
  <c r="Q900" i="15" s="1"/>
  <c r="M903" i="15"/>
  <c r="Q903" i="15" s="1"/>
  <c r="P923" i="15"/>
  <c r="P932" i="15"/>
  <c r="K1080" i="5"/>
  <c r="P1024" i="15"/>
  <c r="M1137" i="15"/>
  <c r="Q1137" i="15" s="1"/>
  <c r="M1276" i="15"/>
  <c r="Q1276" i="15" s="1"/>
  <c r="P1343" i="15"/>
  <c r="P1346" i="15"/>
  <c r="M1354" i="15"/>
  <c r="Q1354" i="15" s="1"/>
  <c r="R710" i="15"/>
  <c r="K799" i="5" s="1"/>
  <c r="P763" i="15"/>
  <c r="P780" i="15"/>
  <c r="P865" i="15"/>
  <c r="P1068" i="15"/>
  <c r="M181" i="15"/>
  <c r="Q181" i="15" s="1"/>
  <c r="M192" i="15"/>
  <c r="Q192" i="15" s="1"/>
  <c r="M197" i="15"/>
  <c r="Q197" i="15" s="1"/>
  <c r="M203" i="15"/>
  <c r="Q203" i="15" s="1"/>
  <c r="P213" i="15"/>
  <c r="M219" i="15"/>
  <c r="Q219" i="15" s="1"/>
  <c r="P234" i="15"/>
  <c r="M243" i="15"/>
  <c r="Q243" i="15" s="1"/>
  <c r="M256" i="15"/>
  <c r="Q256" i="15" s="1"/>
  <c r="M261" i="15"/>
  <c r="Q261" i="15" s="1"/>
  <c r="M288" i="15"/>
  <c r="Q288" i="15" s="1"/>
  <c r="R305" i="15"/>
  <c r="K310" i="5" s="1"/>
  <c r="M319" i="15"/>
  <c r="Q319" i="15" s="1"/>
  <c r="M322" i="15"/>
  <c r="Q322" i="15" s="1"/>
  <c r="P342" i="15"/>
  <c r="P368" i="15"/>
  <c r="M376" i="15"/>
  <c r="Q376" i="15" s="1"/>
  <c r="M414" i="15"/>
  <c r="Q414" i="15" s="1"/>
  <c r="M426" i="15"/>
  <c r="Q426" i="15" s="1"/>
  <c r="M437" i="15"/>
  <c r="Q437" i="15" s="1"/>
  <c r="M450" i="15"/>
  <c r="Q450" i="15" s="1"/>
  <c r="M455" i="15"/>
  <c r="Q455" i="15" s="1"/>
  <c r="M484" i="15"/>
  <c r="Q484" i="15" s="1"/>
  <c r="P488" i="15"/>
  <c r="M491" i="15"/>
  <c r="Q491" i="15" s="1"/>
  <c r="M531" i="15"/>
  <c r="Q531" i="15" s="1"/>
  <c r="P543" i="15"/>
  <c r="P559" i="15"/>
  <c r="P629" i="15"/>
  <c r="M655" i="15"/>
  <c r="Q655" i="15" s="1"/>
  <c r="M686" i="15"/>
  <c r="Q686" i="15" s="1"/>
  <c r="M708" i="15"/>
  <c r="Q708" i="15" s="1"/>
  <c r="P715" i="15"/>
  <c r="M718" i="15"/>
  <c r="Q718" i="15" s="1"/>
  <c r="M726" i="15"/>
  <c r="Q726" i="15" s="1"/>
  <c r="M732" i="15"/>
  <c r="Q732" i="15" s="1"/>
  <c r="M744" i="15"/>
  <c r="Q744" i="15" s="1"/>
  <c r="P746" i="15"/>
  <c r="M752" i="15"/>
  <c r="Q752" i="15" s="1"/>
  <c r="R772" i="15"/>
  <c r="K861" i="5" s="1"/>
  <c r="P830" i="15"/>
  <c r="R830" i="15"/>
  <c r="K751" i="5" s="1"/>
  <c r="M858" i="15"/>
  <c r="Q858" i="15" s="1"/>
  <c r="M921" i="15"/>
  <c r="Q921" i="15" s="1"/>
  <c r="P926" i="15"/>
  <c r="M1008" i="15"/>
  <c r="Q1008" i="15" s="1"/>
  <c r="P1183" i="15"/>
  <c r="M1206" i="15"/>
  <c r="Q1206" i="15" s="1"/>
  <c r="M1242" i="15"/>
  <c r="Q1242" i="15" s="1"/>
  <c r="P1302" i="15"/>
  <c r="M1344" i="15"/>
  <c r="Q1344" i="15" s="1"/>
  <c r="M1465" i="15"/>
  <c r="Q1465" i="15" s="1"/>
  <c r="M1019" i="15"/>
  <c r="Q1019" i="15" s="1"/>
  <c r="M1094" i="15"/>
  <c r="Q1094" i="15" s="1"/>
  <c r="M1109" i="15"/>
  <c r="Q1109" i="15" s="1"/>
  <c r="P1114" i="15"/>
  <c r="M1129" i="15"/>
  <c r="Q1129" i="15" s="1"/>
  <c r="P1139" i="15"/>
  <c r="M1148" i="15"/>
  <c r="Q1148" i="15" s="1"/>
  <c r="P1161" i="15"/>
  <c r="P1181" i="15"/>
  <c r="P1184" i="15"/>
  <c r="M1233" i="15"/>
  <c r="Q1233" i="15" s="1"/>
  <c r="M1254" i="15"/>
  <c r="Q1254" i="15" s="1"/>
  <c r="M1259" i="15"/>
  <c r="Q1259" i="15" s="1"/>
  <c r="P1270" i="15"/>
  <c r="M1273" i="15"/>
  <c r="Q1273" i="15" s="1"/>
  <c r="P1287" i="15"/>
  <c r="P1359" i="15"/>
  <c r="P1465" i="15"/>
  <c r="P1440" i="15"/>
  <c r="M1449" i="15"/>
  <c r="Q1449" i="15" s="1"/>
  <c r="M1452" i="15"/>
  <c r="Q1452" i="15" s="1"/>
  <c r="M753" i="15"/>
  <c r="Q753" i="15" s="1"/>
  <c r="M770" i="15"/>
  <c r="Q770" i="15" s="1"/>
  <c r="P850" i="15"/>
  <c r="M853" i="15"/>
  <c r="Q853" i="15" s="1"/>
  <c r="M863" i="15"/>
  <c r="Q863" i="15" s="1"/>
  <c r="M886" i="15"/>
  <c r="Q886" i="15" s="1"/>
  <c r="P891" i="15"/>
  <c r="M919" i="15"/>
  <c r="Q919" i="15" s="1"/>
  <c r="M924" i="15"/>
  <c r="Q924" i="15" s="1"/>
  <c r="M930" i="15"/>
  <c r="Q930" i="15" s="1"/>
  <c r="M949" i="15"/>
  <c r="Q949" i="15" s="1"/>
  <c r="M981" i="15"/>
  <c r="Q981" i="15" s="1"/>
  <c r="P997" i="15"/>
  <c r="P1025" i="15"/>
  <c r="R1025" i="15"/>
  <c r="K1135" i="5" s="1"/>
  <c r="M1056" i="15"/>
  <c r="Q1056" i="15" s="1"/>
  <c r="P1058" i="15"/>
  <c r="M1089" i="15"/>
  <c r="Q1089" i="15" s="1"/>
  <c r="M1101" i="15"/>
  <c r="Q1101" i="15" s="1"/>
  <c r="P1127" i="15"/>
  <c r="M1149" i="15"/>
  <c r="Q1149" i="15" s="1"/>
  <c r="P1222" i="15"/>
  <c r="M1228" i="15"/>
  <c r="Q1228" i="15" s="1"/>
  <c r="P1239" i="15"/>
  <c r="M1246" i="15"/>
  <c r="Q1246" i="15" s="1"/>
  <c r="M1249" i="15"/>
  <c r="Q1249" i="15" s="1"/>
  <c r="P1257" i="15"/>
  <c r="P1313" i="15"/>
  <c r="P1316" i="15"/>
  <c r="M1328" i="15"/>
  <c r="Q1328" i="15" s="1"/>
  <c r="M675" i="15"/>
  <c r="Q675" i="15" s="1"/>
  <c r="M692" i="15"/>
  <c r="Q692" i="15" s="1"/>
  <c r="J697" i="5" s="1"/>
  <c r="M720" i="15"/>
  <c r="Q720" i="15" s="1"/>
  <c r="M725" i="15"/>
  <c r="Q725" i="15" s="1"/>
  <c r="P747" i="15"/>
  <c r="M756" i="15"/>
  <c r="Q756" i="15" s="1"/>
  <c r="P824" i="15"/>
  <c r="M837" i="15"/>
  <c r="Q837" i="15" s="1"/>
  <c r="M840" i="15"/>
  <c r="Q840" i="15" s="1"/>
  <c r="P842" i="15"/>
  <c r="M845" i="15"/>
  <c r="Q845" i="15" s="1"/>
  <c r="P853" i="15"/>
  <c r="P886" i="15"/>
  <c r="R886" i="15"/>
  <c r="K807" i="5" s="1"/>
  <c r="M927" i="15"/>
  <c r="Q927" i="15" s="1"/>
  <c r="P938" i="15"/>
  <c r="P946" i="15"/>
  <c r="M968" i="15"/>
  <c r="Q968" i="15" s="1"/>
  <c r="P1009" i="15"/>
  <c r="P1031" i="15"/>
  <c r="M1051" i="15"/>
  <c r="Q1051" i="15" s="1"/>
  <c r="P1078" i="15"/>
  <c r="M1081" i="15"/>
  <c r="Q1081" i="15" s="1"/>
  <c r="M1087" i="15"/>
  <c r="Q1087" i="15" s="1"/>
  <c r="M1095" i="15"/>
  <c r="Q1095" i="15" s="1"/>
  <c r="M1116" i="15"/>
  <c r="Q1116" i="15" s="1"/>
  <c r="M1125" i="15"/>
  <c r="Q1125" i="15" s="1"/>
  <c r="R1127" i="15"/>
  <c r="K1006" i="5" s="1"/>
  <c r="M1234" i="15"/>
  <c r="Q1234" i="15" s="1"/>
  <c r="R1316" i="15"/>
  <c r="K1174" i="5" s="1"/>
  <c r="P913" i="15"/>
  <c r="P1095" i="15"/>
  <c r="R1095" i="15"/>
  <c r="K1205" i="5" s="1"/>
  <c r="P1154" i="15"/>
  <c r="M605" i="15"/>
  <c r="Q605" i="15" s="1"/>
  <c r="P612" i="15"/>
  <c r="M615" i="15"/>
  <c r="Q615" i="15" s="1"/>
  <c r="M618" i="15"/>
  <c r="Q618" i="15" s="1"/>
  <c r="M622" i="15"/>
  <c r="Q622" i="15" s="1"/>
  <c r="M632" i="15"/>
  <c r="Q632" i="15" s="1"/>
  <c r="P636" i="15"/>
  <c r="P649" i="15"/>
  <c r="M654" i="15"/>
  <c r="Q654" i="15" s="1"/>
  <c r="M670" i="15"/>
  <c r="Q670" i="15" s="1"/>
  <c r="P686" i="15"/>
  <c r="P707" i="15"/>
  <c r="M784" i="15"/>
  <c r="Q784" i="15" s="1"/>
  <c r="M792" i="15"/>
  <c r="Q792" i="15" s="1"/>
  <c r="P834" i="15"/>
  <c r="P837" i="15"/>
  <c r="P845" i="15"/>
  <c r="P856" i="15"/>
  <c r="P889" i="15"/>
  <c r="P902" i="15"/>
  <c r="P916" i="15"/>
  <c r="M922" i="15"/>
  <c r="Q922" i="15" s="1"/>
  <c r="P927" i="15"/>
  <c r="P952" i="15"/>
  <c r="P968" i="15"/>
  <c r="M1007" i="15"/>
  <c r="Q1007" i="15" s="1"/>
  <c r="R1031" i="15"/>
  <c r="K1141" i="5" s="1"/>
  <c r="P1034" i="15"/>
  <c r="M1054" i="15"/>
  <c r="Q1054" i="15" s="1"/>
  <c r="P1149" i="15"/>
  <c r="M1177" i="15"/>
  <c r="Q1177" i="15" s="1"/>
  <c r="M1186" i="15"/>
  <c r="Q1186" i="15" s="1"/>
  <c r="P1188" i="15"/>
  <c r="P1202" i="15"/>
  <c r="M1217" i="15"/>
  <c r="Q1217" i="15" s="1"/>
  <c r="M1223" i="15"/>
  <c r="Q1223" i="15" s="1"/>
  <c r="P1274" i="15"/>
  <c r="P1277" i="15"/>
  <c r="P1280" i="15"/>
  <c r="P1300" i="15"/>
  <c r="M1402" i="15"/>
  <c r="Q1402" i="15" s="1"/>
  <c r="M1488" i="15"/>
  <c r="Q1488" i="15" s="1"/>
  <c r="M1317" i="15"/>
  <c r="Q1317" i="15" s="1"/>
  <c r="P1328" i="15"/>
  <c r="M1433" i="15"/>
  <c r="Q1433" i="15" s="1"/>
  <c r="P1443" i="15"/>
  <c r="P1449" i="15"/>
  <c r="P1474" i="15"/>
  <c r="M1486" i="15"/>
  <c r="Q1486" i="15" s="1"/>
  <c r="M1441" i="15"/>
  <c r="Q1441" i="15" s="1"/>
  <c r="M1483" i="15"/>
  <c r="Q1483" i="15" s="1"/>
  <c r="M783" i="15"/>
  <c r="Q783" i="15" s="1"/>
  <c r="P793" i="15"/>
  <c r="P801" i="15"/>
  <c r="P809" i="15"/>
  <c r="M815" i="15"/>
  <c r="Q815" i="15" s="1"/>
  <c r="M818" i="15"/>
  <c r="Q818" i="15" s="1"/>
  <c r="M821" i="15"/>
  <c r="Q821" i="15" s="1"/>
  <c r="M826" i="15"/>
  <c r="Q826" i="15" s="1"/>
  <c r="M849" i="15"/>
  <c r="Q849" i="15" s="1"/>
  <c r="M854" i="15"/>
  <c r="Q854" i="15" s="1"/>
  <c r="M859" i="15"/>
  <c r="Q859" i="15" s="1"/>
  <c r="M861" i="15"/>
  <c r="Q861" i="15" s="1"/>
  <c r="P890" i="15"/>
  <c r="M893" i="15"/>
  <c r="Q893" i="15" s="1"/>
  <c r="M931" i="15"/>
  <c r="Q931" i="15" s="1"/>
  <c r="P966" i="15"/>
  <c r="M1006" i="15"/>
  <c r="Q1006" i="15" s="1"/>
  <c r="M1009" i="15"/>
  <c r="Q1009" i="15" s="1"/>
  <c r="P1019" i="15"/>
  <c r="P1071" i="15"/>
  <c r="P1076" i="15"/>
  <c r="M1082" i="15"/>
  <c r="Q1082" i="15" s="1"/>
  <c r="M1105" i="15"/>
  <c r="Q1105" i="15" s="1"/>
  <c r="P1125" i="15"/>
  <c r="R1125" i="15"/>
  <c r="K1235" i="5" s="1"/>
  <c r="M1141" i="15"/>
  <c r="Q1141" i="15" s="1"/>
  <c r="M1152" i="15"/>
  <c r="Q1152" i="15" s="1"/>
  <c r="M1212" i="15"/>
  <c r="Q1212" i="15" s="1"/>
  <c r="M1226" i="15"/>
  <c r="Q1226" i="15" s="1"/>
  <c r="M1263" i="15"/>
  <c r="Q1263" i="15" s="1"/>
  <c r="P1296" i="15"/>
  <c r="M1334" i="15"/>
  <c r="Q1334" i="15" s="1"/>
  <c r="P1336" i="15"/>
  <c r="M1363" i="15"/>
  <c r="Q1363" i="15" s="1"/>
  <c r="M1377" i="15"/>
  <c r="Q1377" i="15" s="1"/>
  <c r="M1379" i="15"/>
  <c r="Q1379" i="15" s="1"/>
  <c r="M1387" i="15"/>
  <c r="Q1387" i="15" s="1"/>
  <c r="M1417" i="15"/>
  <c r="Q1417" i="15" s="1"/>
  <c r="M1425" i="15"/>
  <c r="Q1425" i="15" s="1"/>
  <c r="M1467" i="15"/>
  <c r="Q1467" i="15" s="1"/>
  <c r="P1489" i="15"/>
  <c r="P720" i="15"/>
  <c r="P734" i="15"/>
  <c r="M759" i="15"/>
  <c r="Q759" i="15" s="1"/>
  <c r="M786" i="15"/>
  <c r="Q786" i="15" s="1"/>
  <c r="P788" i="15"/>
  <c r="P846" i="15"/>
  <c r="M866" i="15"/>
  <c r="Q866" i="15" s="1"/>
  <c r="M872" i="15"/>
  <c r="Q872" i="15" s="1"/>
  <c r="M877" i="15"/>
  <c r="Q877" i="15" s="1"/>
  <c r="M896" i="15"/>
  <c r="Q896" i="15" s="1"/>
  <c r="M901" i="15"/>
  <c r="Q901" i="15" s="1"/>
  <c r="P903" i="15"/>
  <c r="M925" i="15"/>
  <c r="Q925" i="15" s="1"/>
  <c r="M934" i="15"/>
  <c r="Q934" i="15" s="1"/>
  <c r="M939" i="15"/>
  <c r="Q939" i="15" s="1"/>
  <c r="M957" i="15"/>
  <c r="Q957" i="15" s="1"/>
  <c r="P972" i="15"/>
  <c r="K1078" i="5"/>
  <c r="M982" i="15"/>
  <c r="Q982" i="15" s="1"/>
  <c r="M995" i="15"/>
  <c r="Q995" i="15" s="1"/>
  <c r="M998" i="15"/>
  <c r="Q998" i="15" s="1"/>
  <c r="P1022" i="15"/>
  <c r="M1025" i="15"/>
  <c r="Q1025" i="15" s="1"/>
  <c r="P1063" i="15"/>
  <c r="M1066" i="15"/>
  <c r="Q1066" i="15" s="1"/>
  <c r="M1069" i="15"/>
  <c r="Q1069" i="15" s="1"/>
  <c r="M1077" i="15"/>
  <c r="Q1077" i="15" s="1"/>
  <c r="P1105" i="15"/>
  <c r="M1120" i="15"/>
  <c r="Q1120" i="15" s="1"/>
  <c r="P1138" i="15"/>
  <c r="P1168" i="15"/>
  <c r="M1235" i="15"/>
  <c r="Q1235" i="15" s="1"/>
  <c r="P1240" i="15"/>
  <c r="P1252" i="15"/>
  <c r="M1294" i="15"/>
  <c r="Q1294" i="15" s="1"/>
  <c r="P1320" i="15"/>
  <c r="M1348" i="15"/>
  <c r="Q1348" i="15" s="1"/>
  <c r="M1382" i="15"/>
  <c r="Q1382" i="15" s="1"/>
  <c r="M1401" i="15"/>
  <c r="Q1401" i="15" s="1"/>
  <c r="M1428" i="15"/>
  <c r="Q1428" i="15" s="1"/>
  <c r="M735" i="15"/>
  <c r="Q735" i="15" s="1"/>
  <c r="M743" i="15"/>
  <c r="Q743" i="15" s="1"/>
  <c r="M748" i="15"/>
  <c r="Q748" i="15" s="1"/>
  <c r="M771" i="15"/>
  <c r="Q771" i="15" s="1"/>
  <c r="M774" i="15"/>
  <c r="Q774" i="15" s="1"/>
  <c r="P791" i="15"/>
  <c r="P833" i="15"/>
  <c r="P841" i="15"/>
  <c r="P877" i="15"/>
  <c r="M881" i="15"/>
  <c r="Q881" i="15" s="1"/>
  <c r="P925" i="15"/>
  <c r="P944" i="15"/>
  <c r="M955" i="15"/>
  <c r="Q955" i="15" s="1"/>
  <c r="M1001" i="15"/>
  <c r="Q1001" i="15" s="1"/>
  <c r="P1111" i="15"/>
  <c r="P1131" i="15"/>
  <c r="M1150" i="15"/>
  <c r="Q1150" i="15" s="1"/>
  <c r="M1174" i="15"/>
  <c r="Q1174" i="15" s="1"/>
  <c r="M1188" i="15"/>
  <c r="Q1188" i="15" s="1"/>
  <c r="M1196" i="15"/>
  <c r="Q1196" i="15" s="1"/>
  <c r="P1255" i="15"/>
  <c r="M1280" i="15"/>
  <c r="Q1280" i="15" s="1"/>
  <c r="P1285" i="15"/>
  <c r="M1302" i="15"/>
  <c r="Q1302" i="15" s="1"/>
  <c r="P1312" i="15"/>
  <c r="M1321" i="15"/>
  <c r="Q1321" i="15" s="1"/>
  <c r="P1329" i="15"/>
  <c r="M1372" i="15"/>
  <c r="Q1372" i="15" s="1"/>
  <c r="P1464" i="15"/>
  <c r="P1475" i="15"/>
  <c r="M1103" i="15"/>
  <c r="Q1103" i="15" s="1"/>
  <c r="P1113" i="15"/>
  <c r="P1129" i="15"/>
  <c r="M1139" i="15"/>
  <c r="Q1139" i="15" s="1"/>
  <c r="M1165" i="15"/>
  <c r="Q1165" i="15" s="1"/>
  <c r="P1177" i="15"/>
  <c r="M1215" i="15"/>
  <c r="Q1215" i="15" s="1"/>
  <c r="M1236" i="15"/>
  <c r="Q1236" i="15" s="1"/>
  <c r="M1244" i="15"/>
  <c r="Q1244" i="15" s="1"/>
  <c r="M1247" i="15"/>
  <c r="Q1247" i="15" s="1"/>
  <c r="M1257" i="15"/>
  <c r="Q1257" i="15" s="1"/>
  <c r="M1265" i="15"/>
  <c r="Q1265" i="15" s="1"/>
  <c r="M1277" i="15"/>
  <c r="Q1277" i="15" s="1"/>
  <c r="P1290" i="15"/>
  <c r="M1320" i="15"/>
  <c r="Q1320" i="15" s="1"/>
  <c r="M1331" i="15"/>
  <c r="Q1331" i="15" s="1"/>
  <c r="P1333" i="15"/>
  <c r="P1338" i="15"/>
  <c r="P1353" i="15"/>
  <c r="M1356" i="15"/>
  <c r="Q1356" i="15" s="1"/>
  <c r="M1369" i="15"/>
  <c r="Q1369" i="15" s="1"/>
  <c r="P1371" i="15"/>
  <c r="P1420" i="15"/>
  <c r="P1427" i="15"/>
  <c r="M1443" i="15"/>
  <c r="Q1443" i="15" s="1"/>
  <c r="M1446" i="15"/>
  <c r="Q1446" i="15" s="1"/>
  <c r="M1491" i="15"/>
  <c r="Q1491" i="15" s="1"/>
  <c r="P993" i="15"/>
  <c r="M1020" i="15"/>
  <c r="Q1020" i="15" s="1"/>
  <c r="M1041" i="15"/>
  <c r="Q1041" i="15" s="1"/>
  <c r="M1049" i="15"/>
  <c r="Q1049" i="15" s="1"/>
  <c r="P1067" i="15"/>
  <c r="P1072" i="15"/>
  <c r="P1082" i="15"/>
  <c r="P1109" i="15"/>
  <c r="M1153" i="15"/>
  <c r="Q1153" i="15" s="1"/>
  <c r="P1158" i="15"/>
  <c r="P1200" i="15"/>
  <c r="P1218" i="15"/>
  <c r="M1221" i="15"/>
  <c r="Q1221" i="15" s="1"/>
  <c r="P1294" i="15"/>
  <c r="M1297" i="15"/>
  <c r="Q1297" i="15" s="1"/>
  <c r="P1308" i="15"/>
  <c r="P1318" i="15"/>
  <c r="P1334" i="15"/>
  <c r="P1354" i="15"/>
  <c r="M1400" i="15"/>
  <c r="Q1400" i="15" s="1"/>
  <c r="P1408" i="15"/>
  <c r="P1441" i="15"/>
  <c r="P1478" i="15"/>
  <c r="M975" i="15"/>
  <c r="Q975" i="15" s="1"/>
  <c r="P981" i="15"/>
  <c r="P991" i="15"/>
  <c r="P1017" i="15"/>
  <c r="M1044" i="15"/>
  <c r="Q1044" i="15" s="1"/>
  <c r="P1173" i="15"/>
  <c r="M1210" i="15"/>
  <c r="Q1210" i="15" s="1"/>
  <c r="P1260" i="15"/>
  <c r="P1301" i="15"/>
  <c r="M1340" i="15"/>
  <c r="Q1340" i="15" s="1"/>
  <c r="M1352" i="15"/>
  <c r="Q1352" i="15" s="1"/>
  <c r="P1375" i="15"/>
  <c r="M1403" i="15"/>
  <c r="Q1403" i="15" s="1"/>
  <c r="P1473" i="15"/>
  <c r="P970" i="15"/>
  <c r="M1013" i="15"/>
  <c r="Q1013" i="15" s="1"/>
  <c r="P1041" i="15"/>
  <c r="P1049" i="15"/>
  <c r="P1062" i="15"/>
  <c r="M1107" i="15"/>
  <c r="Q1107" i="15" s="1"/>
  <c r="M1115" i="15"/>
  <c r="Q1115" i="15" s="1"/>
  <c r="P1145" i="15"/>
  <c r="M1161" i="15"/>
  <c r="Q1161" i="15" s="1"/>
  <c r="M1171" i="15"/>
  <c r="Q1171" i="15" s="1"/>
  <c r="M1176" i="15"/>
  <c r="Q1176" i="15" s="1"/>
  <c r="P1263" i="15"/>
  <c r="M1319" i="15"/>
  <c r="Q1319" i="15" s="1"/>
  <c r="M1332" i="15"/>
  <c r="Q1332" i="15" s="1"/>
  <c r="R1382" i="15"/>
  <c r="K1240" i="5" s="1"/>
  <c r="M1393" i="15"/>
  <c r="Q1393" i="15" s="1"/>
  <c r="M1422" i="15"/>
  <c r="Q1422" i="15" s="1"/>
  <c r="P1444" i="15"/>
  <c r="M1471" i="15"/>
  <c r="Q1471" i="15" s="1"/>
  <c r="M1476" i="15"/>
  <c r="Q1476" i="15" s="1"/>
  <c r="M1479" i="15"/>
  <c r="Q1479" i="15" s="1"/>
  <c r="M1484" i="15"/>
  <c r="Q1484" i="15" s="1"/>
  <c r="P855" i="15"/>
  <c r="P864" i="15"/>
  <c r="M875" i="15"/>
  <c r="Q875" i="15" s="1"/>
  <c r="M892" i="15"/>
  <c r="Q892" i="15" s="1"/>
  <c r="M904" i="15"/>
  <c r="Q904" i="15" s="1"/>
  <c r="M928" i="15"/>
  <c r="Q928" i="15" s="1"/>
  <c r="M943" i="15"/>
  <c r="Q943" i="15" s="1"/>
  <c r="M946" i="15"/>
  <c r="Q946" i="15" s="1"/>
  <c r="R976" i="15"/>
  <c r="K1086" i="5" s="1"/>
  <c r="P986" i="15"/>
  <c r="M997" i="15"/>
  <c r="Q997" i="15" s="1"/>
  <c r="M1026" i="15"/>
  <c r="Q1026" i="15" s="1"/>
  <c r="M1039" i="15"/>
  <c r="Q1039" i="15" s="1"/>
  <c r="M1060" i="15"/>
  <c r="Q1060" i="15" s="1"/>
  <c r="M1065" i="15"/>
  <c r="Q1065" i="15" s="1"/>
  <c r="M1078" i="15"/>
  <c r="Q1078" i="15" s="1"/>
  <c r="M1118" i="15"/>
  <c r="Q1118" i="15" s="1"/>
  <c r="M1131" i="15"/>
  <c r="Q1131" i="15" s="1"/>
  <c r="P1153" i="15"/>
  <c r="M1198" i="15"/>
  <c r="Q1198" i="15" s="1"/>
  <c r="M1201" i="15"/>
  <c r="Q1201" i="15" s="1"/>
  <c r="P1216" i="15"/>
  <c r="M1251" i="15"/>
  <c r="Q1251" i="15" s="1"/>
  <c r="M1261" i="15"/>
  <c r="Q1261" i="15" s="1"/>
  <c r="M1295" i="15"/>
  <c r="Q1295" i="15" s="1"/>
  <c r="M1411" i="15"/>
  <c r="Q1411" i="15" s="1"/>
  <c r="M1466" i="15"/>
  <c r="Q1466" i="15" s="1"/>
  <c r="M1469" i="15"/>
  <c r="Q1469" i="15" s="1"/>
  <c r="P1481" i="15"/>
  <c r="P81" i="15"/>
  <c r="R81" i="15"/>
  <c r="K107" i="5" s="1"/>
  <c r="P312" i="15"/>
  <c r="P336" i="15"/>
  <c r="R336" i="15"/>
  <c r="K341" i="5" s="1"/>
  <c r="P1326" i="15"/>
  <c r="P187" i="15"/>
  <c r="P709" i="15"/>
  <c r="P761" i="15"/>
  <c r="P941" i="15"/>
  <c r="P331" i="15"/>
  <c r="P835" i="15"/>
  <c r="P1020" i="15"/>
  <c r="P79" i="15"/>
  <c r="R176" i="15"/>
  <c r="K181" i="5" s="1"/>
  <c r="R192" i="15"/>
  <c r="K197" i="5" s="1"/>
  <c r="P533" i="15"/>
  <c r="P644" i="15"/>
  <c r="P875" i="15"/>
  <c r="P1000" i="15"/>
  <c r="R10" i="15"/>
  <c r="K15" i="5" s="1"/>
  <c r="P10" i="15"/>
  <c r="R190" i="15"/>
  <c r="K195" i="5" s="1"/>
  <c r="P190" i="15"/>
  <c r="R320" i="15"/>
  <c r="K325" i="5" s="1"/>
  <c r="P369" i="15"/>
  <c r="R369" i="15"/>
  <c r="K374" i="5" s="1"/>
  <c r="P529" i="15"/>
  <c r="P613" i="15"/>
  <c r="P206" i="15"/>
  <c r="P353" i="15"/>
  <c r="R432" i="15"/>
  <c r="K458" i="5" s="1"/>
  <c r="P397" i="15"/>
  <c r="P448" i="15"/>
  <c r="R448" i="15"/>
  <c r="K432" i="5" s="1"/>
  <c r="P582" i="15"/>
  <c r="P947" i="15"/>
  <c r="K90" i="5"/>
  <c r="P271" i="15"/>
  <c r="P423" i="15"/>
  <c r="P654" i="15"/>
  <c r="K753" i="5"/>
  <c r="P1211" i="15"/>
  <c r="P36" i="15"/>
  <c r="K491" i="5"/>
  <c r="P552" i="15"/>
  <c r="P820" i="15"/>
  <c r="P928" i="15"/>
  <c r="K523" i="5"/>
  <c r="P175" i="15"/>
  <c r="R382" i="15"/>
  <c r="K366" i="5" s="1"/>
  <c r="P382" i="15"/>
  <c r="P468" i="15"/>
  <c r="P703" i="15"/>
  <c r="P775" i="15"/>
  <c r="R80" i="15"/>
  <c r="K106" i="5" s="1"/>
  <c r="P97" i="15"/>
  <c r="R286" i="15"/>
  <c r="K291" i="5" s="1"/>
  <c r="P286" i="15"/>
  <c r="P480" i="15"/>
  <c r="P881" i="15"/>
  <c r="P63" i="15"/>
  <c r="R63" i="15"/>
  <c r="P224" i="15"/>
  <c r="R224" i="15"/>
  <c r="K229" i="5" s="1"/>
  <c r="P406" i="15"/>
  <c r="K650" i="5"/>
  <c r="P957" i="15"/>
  <c r="P1066" i="15"/>
  <c r="P422" i="15"/>
  <c r="P565" i="15"/>
  <c r="P847" i="15"/>
  <c r="P355" i="15"/>
  <c r="P376" i="15"/>
  <c r="P459" i="15"/>
  <c r="P563" i="15"/>
  <c r="P1167" i="15"/>
  <c r="P44" i="15"/>
  <c r="P93" i="15"/>
  <c r="P295" i="15"/>
  <c r="P301" i="15"/>
  <c r="R628" i="15"/>
  <c r="K682" i="5" s="1"/>
  <c r="P628" i="15"/>
  <c r="P870" i="15"/>
  <c r="P990" i="15"/>
  <c r="P995" i="15"/>
  <c r="P1306" i="15"/>
  <c r="P1321" i="15"/>
  <c r="P1394" i="15"/>
  <c r="P1461" i="15"/>
  <c r="P416" i="15"/>
  <c r="R416" i="15"/>
  <c r="K400" i="5" s="1"/>
  <c r="P454" i="15"/>
  <c r="P618" i="15"/>
  <c r="P915" i="15"/>
  <c r="P536" i="15"/>
  <c r="P685" i="15"/>
  <c r="P935" i="15"/>
  <c r="P1064" i="15"/>
  <c r="P1206" i="15"/>
  <c r="P232" i="15"/>
  <c r="P239" i="15"/>
  <c r="R318" i="15"/>
  <c r="K323" i="5" s="1"/>
  <c r="P318" i="15"/>
  <c r="P337" i="15"/>
  <c r="R337" i="15"/>
  <c r="K342" i="5" s="1"/>
  <c r="P374" i="15"/>
  <c r="P514" i="15"/>
  <c r="P762" i="15"/>
  <c r="P1104" i="15"/>
  <c r="P91" i="15"/>
  <c r="P465" i="15"/>
  <c r="P724" i="15"/>
  <c r="P906" i="15"/>
  <c r="P933" i="15"/>
  <c r="P1035" i="15"/>
  <c r="P1214" i="15"/>
  <c r="R1214" i="15"/>
  <c r="K1324" i="5" s="1"/>
  <c r="P1340" i="15"/>
  <c r="P1358" i="15"/>
  <c r="P1476" i="15"/>
  <c r="R94" i="15"/>
  <c r="K99" i="5" s="1"/>
  <c r="P94" i="15"/>
  <c r="P188" i="15"/>
  <c r="R384" i="15"/>
  <c r="K389" i="5" s="1"/>
  <c r="P439" i="15"/>
  <c r="P460" i="15"/>
  <c r="P204" i="15"/>
  <c r="P945" i="15"/>
  <c r="P1102" i="15"/>
  <c r="P1322" i="15"/>
  <c r="P237" i="15"/>
  <c r="P283" i="15"/>
  <c r="P311" i="15"/>
  <c r="P351" i="15"/>
  <c r="P807" i="15"/>
  <c r="P1051" i="15"/>
  <c r="P240" i="15"/>
  <c r="R240" i="15"/>
  <c r="K245" i="5" s="1"/>
  <c r="P655" i="15"/>
  <c r="P839" i="15"/>
  <c r="P909" i="15"/>
  <c r="P92" i="15"/>
  <c r="P200" i="15"/>
  <c r="M238" i="15"/>
  <c r="Q238" i="15" s="1"/>
  <c r="P408" i="15"/>
  <c r="P458" i="15"/>
  <c r="M464" i="15"/>
  <c r="Q464" i="15" s="1"/>
  <c r="R553" i="15"/>
  <c r="K516" i="5" s="1"/>
  <c r="P553" i="15"/>
  <c r="P603" i="15"/>
  <c r="P674" i="15"/>
  <c r="M801" i="15"/>
  <c r="Q801" i="15" s="1"/>
  <c r="M816" i="15"/>
  <c r="Q816" i="15" s="1"/>
  <c r="P999" i="15"/>
  <c r="P1036" i="15"/>
  <c r="P1400" i="15"/>
  <c r="P85" i="15"/>
  <c r="R158" i="15"/>
  <c r="K163" i="5" s="1"/>
  <c r="P158" i="15"/>
  <c r="P208" i="15"/>
  <c r="R208" i="15"/>
  <c r="K213" i="5" s="1"/>
  <c r="P303" i="15"/>
  <c r="P689" i="15"/>
  <c r="P758" i="15"/>
  <c r="P215" i="15"/>
  <c r="P660" i="15"/>
  <c r="P1406" i="15"/>
  <c r="R1406" i="15"/>
  <c r="K1264" i="5" s="1"/>
  <c r="P26" i="15"/>
  <c r="P263" i="15"/>
  <c r="P560" i="15"/>
  <c r="P584" i="15"/>
  <c r="P604" i="15"/>
  <c r="R604" i="15"/>
  <c r="K637" i="5" s="1"/>
  <c r="P937" i="15"/>
  <c r="R937" i="15"/>
  <c r="K858" i="5" s="1"/>
  <c r="P1086" i="15"/>
  <c r="R350" i="15"/>
  <c r="K355" i="5" s="1"/>
  <c r="P350" i="15"/>
  <c r="P404" i="15"/>
  <c r="P920" i="15"/>
  <c r="P1231" i="15"/>
  <c r="P1454" i="15"/>
  <c r="P1486" i="15"/>
  <c r="P310" i="15"/>
  <c r="P341" i="15"/>
  <c r="P908" i="15"/>
  <c r="P969" i="15"/>
  <c r="P1003" i="15"/>
  <c r="P1446" i="15"/>
  <c r="P5" i="15"/>
  <c r="K56" i="5"/>
  <c r="R96" i="15"/>
  <c r="K101" i="5" s="1"/>
  <c r="P167" i="15"/>
  <c r="P174" i="15"/>
  <c r="P571" i="15"/>
  <c r="P988" i="15"/>
  <c r="P1165" i="15"/>
  <c r="P1355" i="15"/>
  <c r="R144" i="15"/>
  <c r="K149" i="5" s="1"/>
  <c r="P470" i="15"/>
  <c r="P566" i="15"/>
  <c r="P642" i="15"/>
  <c r="P759" i="15"/>
  <c r="P1028" i="15"/>
  <c r="R38" i="15"/>
  <c r="K43" i="5" s="1"/>
  <c r="P106" i="15"/>
  <c r="P199" i="15"/>
  <c r="P209" i="15"/>
  <c r="R209" i="15"/>
  <c r="K214" i="5" s="1"/>
  <c r="P729" i="15"/>
  <c r="P1436" i="15"/>
  <c r="P15" i="15"/>
  <c r="P1180" i="15"/>
  <c r="P1407" i="15"/>
  <c r="P1487" i="15"/>
  <c r="P1492" i="15"/>
  <c r="P20" i="15"/>
  <c r="P99" i="15"/>
  <c r="R508" i="15"/>
  <c r="K513" i="5" s="1"/>
  <c r="P1060" i="15"/>
  <c r="P1349" i="15"/>
  <c r="P13" i="15"/>
  <c r="P463" i="15"/>
  <c r="P688" i="15"/>
  <c r="P1284" i="15"/>
  <c r="P34" i="15"/>
  <c r="P269" i="15"/>
  <c r="P335" i="15"/>
  <c r="P530" i="15"/>
  <c r="P975" i="15"/>
  <c r="P1038" i="15"/>
  <c r="P1100" i="15"/>
  <c r="P11" i="15"/>
  <c r="P186" i="15"/>
  <c r="P773" i="15"/>
  <c r="P810" i="15"/>
  <c r="P818" i="15"/>
  <c r="P1007" i="15"/>
  <c r="P1220" i="15"/>
  <c r="M90" i="15"/>
  <c r="Q90" i="15" s="1"/>
  <c r="R112" i="15"/>
  <c r="K117" i="5" s="1"/>
  <c r="P267" i="15"/>
  <c r="P309" i="15"/>
  <c r="P424" i="15"/>
  <c r="P426" i="15"/>
  <c r="P453" i="15"/>
  <c r="M601" i="15"/>
  <c r="Q601" i="15" s="1"/>
  <c r="P953" i="15"/>
  <c r="P987" i="15"/>
  <c r="P994" i="15"/>
  <c r="P1029" i="15"/>
  <c r="M1034" i="15"/>
  <c r="Q1034" i="15" s="1"/>
  <c r="P1132" i="15"/>
  <c r="M1142" i="15"/>
  <c r="Q1142" i="15" s="1"/>
  <c r="P1178" i="15"/>
  <c r="M1189" i="15"/>
  <c r="Q1189" i="15" s="1"/>
  <c r="P1193" i="15"/>
  <c r="M1413" i="15"/>
  <c r="Q1413" i="15" s="1"/>
  <c r="R585" i="15"/>
  <c r="K548" i="5" s="1"/>
  <c r="P585" i="15"/>
  <c r="P767" i="15"/>
  <c r="P831" i="15"/>
  <c r="P907" i="15"/>
  <c r="P1304" i="15"/>
  <c r="P28" i="15"/>
  <c r="P202" i="15"/>
  <c r="P349" i="15"/>
  <c r="P572" i="15"/>
  <c r="R572" i="15"/>
  <c r="K577" i="5" s="1"/>
  <c r="P823" i="15"/>
  <c r="P1143" i="15"/>
  <c r="P1234" i="15"/>
  <c r="P1243" i="15"/>
  <c r="P1490" i="15"/>
  <c r="P231" i="15"/>
  <c r="P279" i="15"/>
  <c r="P962" i="15"/>
  <c r="P1115" i="15"/>
  <c r="P1163" i="15"/>
  <c r="P1241" i="15"/>
  <c r="P719" i="15"/>
  <c r="P996" i="15"/>
  <c r="P61" i="15"/>
  <c r="P207" i="15"/>
  <c r="P576" i="15"/>
  <c r="R728" i="15"/>
  <c r="K670" i="5" s="1"/>
  <c r="P728" i="15"/>
  <c r="P811" i="15"/>
  <c r="K88" i="5"/>
  <c r="P216" i="15"/>
  <c r="P325" i="15"/>
  <c r="P481" i="15"/>
  <c r="R760" i="15"/>
  <c r="K702" i="5" s="1"/>
  <c r="P760" i="15"/>
  <c r="P95" i="15"/>
  <c r="R128" i="15"/>
  <c r="K133" i="5" s="1"/>
  <c r="P183" i="15"/>
  <c r="P429" i="15"/>
  <c r="P444" i="15"/>
  <c r="P504" i="15"/>
  <c r="P663" i="15"/>
  <c r="P783" i="15"/>
  <c r="P917" i="15"/>
  <c r="P929" i="15"/>
  <c r="P1070" i="15"/>
  <c r="P1246" i="15"/>
  <c r="R1246" i="15"/>
  <c r="K1356" i="5" s="1"/>
  <c r="P1357" i="15"/>
  <c r="P1395" i="15"/>
  <c r="P1404" i="15"/>
  <c r="P1409" i="15"/>
  <c r="P431" i="15"/>
  <c r="P506" i="15"/>
  <c r="R521" i="15"/>
  <c r="K526" i="5" s="1"/>
  <c r="P521" i="15"/>
  <c r="P637" i="15"/>
  <c r="P931" i="15"/>
  <c r="P1148" i="15"/>
  <c r="P1174" i="15"/>
  <c r="P1229" i="15"/>
  <c r="P247" i="15"/>
  <c r="R414" i="15"/>
  <c r="K398" i="5" s="1"/>
  <c r="P414" i="15"/>
  <c r="R446" i="15"/>
  <c r="K430" i="5" s="1"/>
  <c r="P446" i="15"/>
  <c r="P829" i="15"/>
  <c r="P1098" i="15"/>
  <c r="P1124" i="15"/>
  <c r="P1172" i="15"/>
  <c r="P113" i="15"/>
  <c r="R113" i="15"/>
  <c r="K118" i="5" s="1"/>
  <c r="P464" i="15"/>
  <c r="P590" i="15"/>
  <c r="P690" i="15"/>
  <c r="M23" i="15"/>
  <c r="Q23" i="15" s="1"/>
  <c r="J28" i="5" s="1"/>
  <c r="P53" i="15"/>
  <c r="P59" i="15"/>
  <c r="P75" i="15"/>
  <c r="R126" i="15"/>
  <c r="K131" i="5" s="1"/>
  <c r="P126" i="15"/>
  <c r="M131" i="15"/>
  <c r="Q131" i="15" s="1"/>
  <c r="P205" i="15"/>
  <c r="P347" i="15"/>
  <c r="R352" i="15"/>
  <c r="K357" i="5" s="1"/>
  <c r="P546" i="15"/>
  <c r="P570" i="15"/>
  <c r="P588" i="15"/>
  <c r="P731" i="15"/>
  <c r="P740" i="15"/>
  <c r="M793" i="15"/>
  <c r="Q793" i="15" s="1"/>
  <c r="P852" i="15"/>
  <c r="P943" i="15"/>
  <c r="M1014" i="15"/>
  <c r="Q1014" i="15" s="1"/>
  <c r="P1018" i="15"/>
  <c r="P1052" i="15"/>
  <c r="M1164" i="15"/>
  <c r="Q1164" i="15" s="1"/>
  <c r="P1170" i="15"/>
  <c r="P1268" i="15"/>
  <c r="M1310" i="15"/>
  <c r="Q1310" i="15" s="1"/>
  <c r="P821" i="15"/>
  <c r="R222" i="15"/>
  <c r="K227" i="5" s="1"/>
  <c r="P222" i="15"/>
  <c r="P327" i="15"/>
  <c r="P343" i="15"/>
  <c r="P848" i="15"/>
  <c r="P1027" i="15"/>
  <c r="P1054" i="15"/>
  <c r="P1166" i="15"/>
  <c r="P1291" i="15"/>
  <c r="P1452" i="15"/>
  <c r="P871" i="15"/>
  <c r="P1012" i="15"/>
  <c r="P1209" i="15"/>
  <c r="P568" i="15"/>
  <c r="P602" i="15"/>
  <c r="P948" i="15"/>
  <c r="P1092" i="15"/>
  <c r="P1118" i="15"/>
  <c r="P768" i="15"/>
  <c r="P799" i="15"/>
  <c r="P869" i="15"/>
  <c r="P895" i="15"/>
  <c r="P905" i="15"/>
  <c r="P912" i="15"/>
  <c r="P1074" i="15"/>
  <c r="P1244" i="15"/>
  <c r="P1419" i="15"/>
  <c r="P1484" i="15"/>
  <c r="P701" i="15"/>
  <c r="P1096" i="15"/>
  <c r="P1122" i="15"/>
  <c r="P1179" i="15"/>
  <c r="P1387" i="15"/>
  <c r="P71" i="15"/>
  <c r="P87" i="15"/>
  <c r="R471" i="15"/>
  <c r="K476" i="5" s="1"/>
  <c r="P471" i="15"/>
  <c r="P562" i="15"/>
  <c r="P578" i="15"/>
  <c r="P667" i="15"/>
  <c r="P1083" i="15"/>
  <c r="P1147" i="15"/>
  <c r="P1249" i="15"/>
  <c r="P1267" i="15"/>
  <c r="P1414" i="15"/>
  <c r="P1445" i="15"/>
  <c r="P1477" i="15"/>
  <c r="P1493" i="15"/>
  <c r="P77" i="15"/>
  <c r="P111" i="15"/>
  <c r="P333" i="15"/>
  <c r="P367" i="15"/>
  <c r="P693" i="15"/>
  <c r="P741" i="15"/>
  <c r="P751" i="15"/>
  <c r="P819" i="15"/>
  <c r="P1023" i="15"/>
  <c r="P1103" i="15"/>
  <c r="P1370" i="15"/>
  <c r="P1450" i="15"/>
  <c r="P1459" i="15"/>
  <c r="P103" i="15"/>
  <c r="P119" i="15"/>
  <c r="R254" i="15"/>
  <c r="K259" i="5" s="1"/>
  <c r="P254" i="15"/>
  <c r="P359" i="15"/>
  <c r="P375" i="15"/>
  <c r="R489" i="15"/>
  <c r="K494" i="5" s="1"/>
  <c r="P489" i="15"/>
  <c r="P507" i="15"/>
  <c r="P594" i="15"/>
  <c r="P665" i="15"/>
  <c r="P708" i="15"/>
  <c r="P19" i="15"/>
  <c r="R21" i="15"/>
  <c r="K26" i="5" s="1"/>
  <c r="P109" i="15"/>
  <c r="P143" i="15"/>
  <c r="R256" i="15"/>
  <c r="K261" i="5" s="1"/>
  <c r="P365" i="15"/>
  <c r="P399" i="15"/>
  <c r="P600" i="15"/>
  <c r="P691" i="15"/>
  <c r="P739" i="15"/>
  <c r="M762" i="15"/>
  <c r="Q762" i="15" s="1"/>
  <c r="M777" i="15"/>
  <c r="Q777" i="15" s="1"/>
  <c r="P797" i="15"/>
  <c r="P838" i="15"/>
  <c r="P1050" i="15"/>
  <c r="M1097" i="15"/>
  <c r="Q1097" i="15" s="1"/>
  <c r="P1205" i="15"/>
  <c r="P1368" i="15"/>
  <c r="P1381" i="15"/>
  <c r="P1390" i="15"/>
  <c r="M1494" i="15"/>
  <c r="Q1494" i="15" s="1"/>
  <c r="P805" i="15"/>
  <c r="P1044" i="15"/>
  <c r="P1048" i="15"/>
  <c r="P1281" i="15"/>
  <c r="P1405" i="15"/>
  <c r="P1429" i="15"/>
  <c r="P1448" i="15"/>
  <c r="P1485" i="15"/>
  <c r="P473" i="15"/>
  <c r="P491" i="15"/>
  <c r="P523" i="15"/>
  <c r="P555" i="15"/>
  <c r="P587" i="15"/>
  <c r="P605" i="15"/>
  <c r="P630" i="15"/>
  <c r="P648" i="15"/>
  <c r="P803" i="15"/>
  <c r="P815" i="15"/>
  <c r="P882" i="15"/>
  <c r="M964" i="15"/>
  <c r="Q964" i="15" s="1"/>
  <c r="P980" i="15"/>
  <c r="P1099" i="15"/>
  <c r="P1135" i="15"/>
  <c r="P1217" i="15"/>
  <c r="P1235" i="15"/>
  <c r="P1266" i="15"/>
  <c r="P1279" i="15"/>
  <c r="M1359" i="15"/>
  <c r="Q1359" i="15" s="1"/>
  <c r="P1365" i="15"/>
  <c r="P1423" i="15"/>
  <c r="P1455" i="15"/>
  <c r="P1080" i="15"/>
  <c r="P1116" i="15"/>
  <c r="P1197" i="15"/>
  <c r="P1212" i="15"/>
  <c r="P1219" i="15"/>
  <c r="P646" i="15"/>
  <c r="M730" i="15"/>
  <c r="Q730" i="15" s="1"/>
  <c r="P813" i="15"/>
  <c r="M833" i="15"/>
  <c r="Q833" i="15" s="1"/>
  <c r="M841" i="15"/>
  <c r="Q841" i="15" s="1"/>
  <c r="P1033" i="15"/>
  <c r="P1228" i="15"/>
  <c r="M1262" i="15"/>
  <c r="Q1262" i="15" s="1"/>
  <c r="P1339" i="15"/>
  <c r="P1403" i="15"/>
  <c r="P1453" i="15"/>
  <c r="M1462" i="15"/>
  <c r="Q1462" i="15" s="1"/>
  <c r="P1108" i="15"/>
  <c r="P1150" i="15"/>
  <c r="P1156" i="15"/>
  <c r="P1189" i="15"/>
  <c r="P1230" i="15"/>
  <c r="P1247" i="15"/>
  <c r="P1317" i="15"/>
  <c r="P1323" i="15"/>
  <c r="P1372" i="15"/>
  <c r="P1391" i="15"/>
  <c r="P1413" i="15"/>
  <c r="P1434" i="15"/>
  <c r="P790" i="15"/>
  <c r="P822" i="15"/>
  <c r="P854" i="15"/>
  <c r="P897" i="15"/>
  <c r="M1011" i="15"/>
  <c r="Q1011" i="15" s="1"/>
  <c r="P1140" i="15"/>
  <c r="P1198" i="15"/>
  <c r="P1276" i="15"/>
  <c r="M1285" i="15"/>
  <c r="Q1285" i="15" s="1"/>
  <c r="P1397" i="15"/>
  <c r="P1451" i="15"/>
  <c r="M1456" i="15"/>
  <c r="Q1456" i="15" s="1"/>
  <c r="P1466" i="15"/>
  <c r="P1483" i="15"/>
  <c r="P1494" i="15"/>
  <c r="P1195" i="15"/>
  <c r="P1221" i="15"/>
  <c r="P1237" i="15"/>
  <c r="P1261" i="15"/>
  <c r="P1295" i="15"/>
  <c r="P1468" i="15"/>
  <c r="M1200" i="15"/>
  <c r="Q1200" i="15" s="1"/>
  <c r="P1227" i="15"/>
  <c r="P1253" i="15"/>
  <c r="P1269" i="15"/>
  <c r="P1293" i="15"/>
  <c r="P1327" i="15"/>
  <c r="P1500" i="15"/>
  <c r="P1182" i="15"/>
  <c r="P1278" i="15"/>
  <c r="P1310" i="15"/>
  <c r="P1342" i="15"/>
  <c r="P1374" i="15"/>
  <c r="P1470" i="15"/>
  <c r="AB221" i="25" l="1"/>
  <c r="AB222" i="25" s="1"/>
  <c r="AE222" i="25" s="1"/>
  <c r="D89" i="25" s="1"/>
  <c r="E87" i="25"/>
  <c r="E89" i="25"/>
  <c r="AA219" i="25"/>
  <c r="AD219" i="25" s="1"/>
  <c r="C88" i="25" s="1"/>
  <c r="E88" i="25" s="1"/>
  <c r="H103" i="25"/>
  <c r="H139" i="25"/>
  <c r="H129" i="25"/>
  <c r="H69" i="25"/>
  <c r="H117" i="25"/>
  <c r="H57" i="25"/>
  <c r="H80" i="25"/>
  <c r="H173" i="25"/>
  <c r="J1076" i="5"/>
  <c r="H50" i="25"/>
  <c r="AC8" i="5"/>
  <c r="H134" i="25"/>
  <c r="AD8" i="5"/>
  <c r="AE8" i="5"/>
  <c r="M8" i="5"/>
  <c r="S148" i="25"/>
  <c r="S109" i="25"/>
  <c r="S43" i="25"/>
  <c r="S175" i="25"/>
  <c r="S70" i="25"/>
  <c r="S127" i="25"/>
  <c r="S52" i="25"/>
  <c r="S121" i="25"/>
  <c r="S184" i="25"/>
  <c r="S106" i="25"/>
  <c r="S97" i="25"/>
  <c r="S133" i="25"/>
  <c r="J1405" i="5"/>
  <c r="L1405" i="5" s="1"/>
  <c r="J1392" i="5"/>
  <c r="L1392" i="5" s="1"/>
  <c r="J1388" i="5"/>
  <c r="L1388" i="5" s="1"/>
  <c r="J515" i="5"/>
  <c r="L515" i="5" s="1"/>
  <c r="N515" i="5" s="1"/>
  <c r="J75" i="5"/>
  <c r="L75" i="5" s="1"/>
  <c r="J609" i="5"/>
  <c r="K733" i="5"/>
  <c r="J512" i="5"/>
  <c r="L512" i="5" s="1"/>
  <c r="J706" i="5"/>
  <c r="L706" i="5" s="1"/>
  <c r="J354" i="5"/>
  <c r="L354" i="5" s="1"/>
  <c r="J250" i="5"/>
  <c r="J1401" i="5"/>
  <c r="L1401" i="5" s="1"/>
  <c r="J1396" i="5"/>
  <c r="L1396" i="5" s="1"/>
  <c r="J1330" i="5"/>
  <c r="L1330" i="5" s="1"/>
  <c r="J1126" i="5"/>
  <c r="L1126" i="5" s="1"/>
  <c r="J1415" i="5"/>
  <c r="L1415" i="5" s="1"/>
  <c r="J1080" i="5"/>
  <c r="L1080" i="5" s="1"/>
  <c r="J1061" i="5"/>
  <c r="L1061" i="5" s="1"/>
  <c r="J1395" i="5"/>
  <c r="L1395" i="5" s="1"/>
  <c r="J931" i="5"/>
  <c r="J1077" i="5"/>
  <c r="L1077" i="5" s="1"/>
  <c r="J1409" i="5"/>
  <c r="L1409" i="5" s="1"/>
  <c r="J1408" i="5"/>
  <c r="L1408" i="5" s="1"/>
  <c r="K727" i="5"/>
  <c r="J1406" i="5"/>
  <c r="L1406" i="5" s="1"/>
  <c r="J520" i="5"/>
  <c r="L520" i="5" s="1"/>
  <c r="J1407" i="5"/>
  <c r="L1407" i="5" s="1"/>
  <c r="J1386" i="5"/>
  <c r="J1419" i="5"/>
  <c r="L1419" i="5" s="1"/>
  <c r="J1417" i="5"/>
  <c r="L1417" i="5" s="1"/>
  <c r="J1399" i="5"/>
  <c r="L1399" i="5" s="1"/>
  <c r="J1390" i="5"/>
  <c r="L1390" i="5" s="1"/>
  <c r="J1416" i="5"/>
  <c r="L1416" i="5" s="1"/>
  <c r="N1416" i="5" s="1"/>
  <c r="J1081" i="5"/>
  <c r="L1081" i="5" s="1"/>
  <c r="N1081" i="5" s="1"/>
  <c r="J1403" i="5"/>
  <c r="L1403" i="5" s="1"/>
  <c r="J73" i="5"/>
  <c r="L73" i="5" s="1"/>
  <c r="J1391" i="5"/>
  <c r="L1391" i="5" s="1"/>
  <c r="N1391" i="5" s="1"/>
  <c r="K387" i="5"/>
  <c r="J1389" i="5"/>
  <c r="L1389" i="5" s="1"/>
  <c r="J1418" i="5"/>
  <c r="L1418" i="5" s="1"/>
  <c r="J1360" i="5"/>
  <c r="L1360" i="5" s="1"/>
  <c r="J1398" i="5"/>
  <c r="L1398" i="5" s="1"/>
  <c r="J1402" i="5"/>
  <c r="L1402" i="5" s="1"/>
  <c r="J1393" i="5"/>
  <c r="L1393" i="5" s="1"/>
  <c r="J1421" i="5"/>
  <c r="L1421" i="5" s="1"/>
  <c r="J1384" i="5"/>
  <c r="L1384" i="5" s="1"/>
  <c r="J1412" i="5"/>
  <c r="L1412" i="5" s="1"/>
  <c r="J974" i="5"/>
  <c r="L974" i="5" s="1"/>
  <c r="J1346" i="5"/>
  <c r="L1346" i="5" s="1"/>
  <c r="N1346" i="5" s="1"/>
  <c r="J1414" i="5"/>
  <c r="L1414" i="5" s="1"/>
  <c r="J1413" i="5"/>
  <c r="L1413" i="5" s="1"/>
  <c r="J1038" i="5"/>
  <c r="L1038" i="5" s="1"/>
  <c r="K437" i="5"/>
  <c r="J76" i="5"/>
  <c r="L76" i="5" s="1"/>
  <c r="K609" i="5"/>
  <c r="J522" i="5"/>
  <c r="L522" i="5" s="1"/>
  <c r="N522" i="5" s="1"/>
  <c r="K278" i="5"/>
  <c r="K633" i="5"/>
  <c r="K498" i="5"/>
  <c r="K676" i="5"/>
  <c r="K748" i="5"/>
  <c r="J71" i="5"/>
  <c r="L71" i="5" s="1"/>
  <c r="K182" i="5"/>
  <c r="K150" i="5"/>
  <c r="J519" i="5"/>
  <c r="L519" i="5" s="1"/>
  <c r="J85" i="5"/>
  <c r="J485" i="5"/>
  <c r="L485" i="5" s="1"/>
  <c r="J88" i="5"/>
  <c r="L88" i="5" s="1"/>
  <c r="J84" i="5"/>
  <c r="L84" i="5" s="1"/>
  <c r="K673" i="5"/>
  <c r="J1420" i="5"/>
  <c r="L1420" i="5" s="1"/>
  <c r="J1361" i="5"/>
  <c r="L1361" i="5" s="1"/>
  <c r="J1387" i="5"/>
  <c r="L1387" i="5" s="1"/>
  <c r="J1404" i="5"/>
  <c r="L1404" i="5" s="1"/>
  <c r="J1400" i="5"/>
  <c r="L1400" i="5" s="1"/>
  <c r="N1400" i="5" s="1"/>
  <c r="J1385" i="5"/>
  <c r="L1385" i="5" s="1"/>
  <c r="N1385" i="5" s="1"/>
  <c r="J1380" i="5"/>
  <c r="L1380" i="5" s="1"/>
  <c r="J1060" i="5"/>
  <c r="L1060" i="5" s="1"/>
  <c r="K126" i="5"/>
  <c r="J91" i="5"/>
  <c r="L91" i="5" s="1"/>
  <c r="K590" i="5"/>
  <c r="K777" i="5"/>
  <c r="J82" i="5"/>
  <c r="L82" i="5" s="1"/>
  <c r="K405" i="5"/>
  <c r="K438" i="5"/>
  <c r="K421" i="5"/>
  <c r="K619" i="5"/>
  <c r="K775" i="5"/>
  <c r="K888" i="5"/>
  <c r="K700" i="5"/>
  <c r="K890" i="5"/>
  <c r="K891" i="5"/>
  <c r="K86" i="5"/>
  <c r="J844" i="5"/>
  <c r="L844" i="5" s="1"/>
  <c r="J1359" i="5"/>
  <c r="L1359" i="5" s="1"/>
  <c r="J1383" i="5"/>
  <c r="L1383" i="5" s="1"/>
  <c r="J1382" i="5"/>
  <c r="L1382" i="5" s="1"/>
  <c r="N1382" i="5" s="1"/>
  <c r="J87" i="5"/>
  <c r="L87" i="5" s="1"/>
  <c r="J1410" i="5"/>
  <c r="L1410" i="5" s="1"/>
  <c r="J1411" i="5"/>
  <c r="L1411" i="5" s="1"/>
  <c r="J1394" i="5"/>
  <c r="L1394" i="5" s="1"/>
  <c r="J1397" i="5"/>
  <c r="L1397" i="5" s="1"/>
  <c r="J264" i="5"/>
  <c r="L264" i="5" s="1"/>
  <c r="J1275" i="5"/>
  <c r="L1275" i="5" s="1"/>
  <c r="J78" i="5"/>
  <c r="J785" i="5"/>
  <c r="J1362" i="5"/>
  <c r="L1362" i="5" s="1"/>
  <c r="J72" i="5"/>
  <c r="L72" i="5" s="1"/>
  <c r="J1381" i="5"/>
  <c r="L1381" i="5" s="1"/>
  <c r="N1381" i="5" s="1"/>
  <c r="K451" i="5"/>
  <c r="K453" i="5"/>
  <c r="K558" i="5"/>
  <c r="K397" i="5"/>
  <c r="K765" i="5"/>
  <c r="K85" i="5"/>
  <c r="K674" i="5"/>
  <c r="K903" i="5"/>
  <c r="K419" i="5"/>
  <c r="K715" i="5"/>
  <c r="K835" i="5"/>
  <c r="H82" i="25"/>
  <c r="H37" i="25"/>
  <c r="H40" i="25"/>
  <c r="H205" i="25"/>
  <c r="H201" i="25"/>
  <c r="H27" i="25"/>
  <c r="H105" i="25"/>
  <c r="H132" i="25"/>
  <c r="H192" i="25"/>
  <c r="H158" i="25"/>
  <c r="H116" i="25"/>
  <c r="H29" i="25"/>
  <c r="C29" i="5"/>
  <c r="U1414" i="5"/>
  <c r="K1317" i="5"/>
  <c r="J218" i="5"/>
  <c r="J516" i="5"/>
  <c r="L516" i="5" s="1"/>
  <c r="J1111" i="5"/>
  <c r="L1111" i="5" s="1"/>
  <c r="J687" i="5"/>
  <c r="L687" i="5" s="1"/>
  <c r="J464" i="5"/>
  <c r="L464" i="5" s="1"/>
  <c r="J1071" i="5"/>
  <c r="L1071" i="5" s="1"/>
  <c r="J1057" i="5"/>
  <c r="L1057" i="5" s="1"/>
  <c r="K105" i="5"/>
  <c r="K931" i="5"/>
  <c r="K819" i="5"/>
  <c r="J1070" i="5"/>
  <c r="L1070" i="5" s="1"/>
  <c r="J842" i="5"/>
  <c r="L842" i="5" s="1"/>
  <c r="K384" i="5"/>
  <c r="J1032" i="5"/>
  <c r="L1032" i="5" s="1"/>
  <c r="J707" i="5"/>
  <c r="L707" i="5" s="1"/>
  <c r="J691" i="5"/>
  <c r="J947" i="5"/>
  <c r="L947" i="5" s="1"/>
  <c r="J659" i="5"/>
  <c r="L659" i="5" s="1"/>
  <c r="J470" i="5"/>
  <c r="L470" i="5" s="1"/>
  <c r="J501" i="5"/>
  <c r="L501" i="5" s="1"/>
  <c r="J261" i="5"/>
  <c r="L261" i="5" s="1"/>
  <c r="J1273" i="5"/>
  <c r="L1273" i="5" s="1"/>
  <c r="J1012" i="5"/>
  <c r="L1012" i="5" s="1"/>
  <c r="J700" i="5"/>
  <c r="K634" i="5"/>
  <c r="K567" i="5"/>
  <c r="J1367" i="5"/>
  <c r="L1367" i="5" s="1"/>
  <c r="J769" i="5"/>
  <c r="L769" i="5" s="1"/>
  <c r="K591" i="5"/>
  <c r="K129" i="5"/>
  <c r="J287" i="5"/>
  <c r="L287" i="5" s="1"/>
  <c r="J632" i="5"/>
  <c r="J870" i="5"/>
  <c r="J138" i="5"/>
  <c r="J1370" i="5"/>
  <c r="L1370" i="5" s="1"/>
  <c r="J1372" i="5"/>
  <c r="L1372" i="5" s="1"/>
  <c r="J1068" i="5"/>
  <c r="L1068" i="5" s="1"/>
  <c r="J841" i="5"/>
  <c r="L841" i="5" s="1"/>
  <c r="J394" i="5"/>
  <c r="L394" i="5" s="1"/>
  <c r="J392" i="5"/>
  <c r="L392" i="5" s="1"/>
  <c r="J703" i="5"/>
  <c r="L703" i="5" s="1"/>
  <c r="J1378" i="5"/>
  <c r="L1378" i="5" s="1"/>
  <c r="K417" i="5"/>
  <c r="J624" i="5"/>
  <c r="L624" i="5" s="1"/>
  <c r="J1379" i="5"/>
  <c r="L1379" i="5" s="1"/>
  <c r="N1379" i="5" s="1"/>
  <c r="J1182" i="5"/>
  <c r="L1182" i="5" s="1"/>
  <c r="K416" i="5"/>
  <c r="J1075" i="5"/>
  <c r="L1075" i="5" s="1"/>
  <c r="J521" i="5"/>
  <c r="L521" i="5" s="1"/>
  <c r="J1062" i="5"/>
  <c r="L1062" i="5" s="1"/>
  <c r="J1051" i="5"/>
  <c r="L1051" i="5" s="1"/>
  <c r="J1355" i="5"/>
  <c r="L1355" i="5" s="1"/>
  <c r="J1053" i="5"/>
  <c r="L1053" i="5" s="1"/>
  <c r="J473" i="5"/>
  <c r="L473" i="5" s="1"/>
  <c r="J736" i="5"/>
  <c r="L736" i="5" s="1"/>
  <c r="J1037" i="5"/>
  <c r="L1037" i="5" s="1"/>
  <c r="J938" i="5"/>
  <c r="L938" i="5" s="1"/>
  <c r="J269" i="5"/>
  <c r="L269" i="5" s="1"/>
  <c r="J391" i="5"/>
  <c r="L391" i="5" s="1"/>
  <c r="K257" i="5"/>
  <c r="K855" i="5"/>
  <c r="K1278" i="5"/>
  <c r="K870" i="5"/>
  <c r="J1375" i="5"/>
  <c r="L1375" i="5" s="1"/>
  <c r="J1045" i="5"/>
  <c r="L1045" i="5" s="1"/>
  <c r="J1059" i="5"/>
  <c r="L1059" i="5" s="1"/>
  <c r="J914" i="5"/>
  <c r="L914" i="5" s="1"/>
  <c r="J1366" i="5"/>
  <c r="L1366" i="5" s="1"/>
  <c r="J1146" i="5"/>
  <c r="L1146" i="5" s="1"/>
  <c r="J530" i="5"/>
  <c r="L530" i="5" s="1"/>
  <c r="J529" i="5"/>
  <c r="L529" i="5" s="1"/>
  <c r="K925" i="5"/>
  <c r="K1125" i="5"/>
  <c r="J1377" i="5"/>
  <c r="L1377" i="5" s="1"/>
  <c r="K1342" i="5"/>
  <c r="J881" i="5"/>
  <c r="L881" i="5" s="1"/>
  <c r="J694" i="5"/>
  <c r="L694" i="5" s="1"/>
  <c r="J1376" i="5"/>
  <c r="L1376" i="5" s="1"/>
  <c r="J1203" i="5"/>
  <c r="L1203" i="5" s="1"/>
  <c r="J1368" i="5"/>
  <c r="L1368" i="5" s="1"/>
  <c r="J1091" i="5"/>
  <c r="L1091" i="5" s="1"/>
  <c r="J1196" i="5"/>
  <c r="L1196" i="5" s="1"/>
  <c r="J1218" i="5"/>
  <c r="L1218" i="5" s="1"/>
  <c r="J1028" i="5"/>
  <c r="L1028" i="5" s="1"/>
  <c r="J1225" i="5"/>
  <c r="L1225" i="5" s="1"/>
  <c r="N1225" i="5" s="1"/>
  <c r="J496" i="5"/>
  <c r="L496" i="5" s="1"/>
  <c r="J1326" i="5"/>
  <c r="L1326" i="5" s="1"/>
  <c r="J1052" i="5"/>
  <c r="L1052" i="5" s="1"/>
  <c r="N1052" i="5" s="1"/>
  <c r="K1043" i="5"/>
  <c r="K1358" i="5"/>
  <c r="K1004" i="5"/>
  <c r="J815" i="5"/>
  <c r="L815" i="5" s="1"/>
  <c r="N815" i="5" s="1"/>
  <c r="J368" i="5"/>
  <c r="L368" i="5" s="1"/>
  <c r="J909" i="5"/>
  <c r="J1085" i="5"/>
  <c r="L1085" i="5" s="1"/>
  <c r="J1363" i="5"/>
  <c r="L1363" i="5" s="1"/>
  <c r="J701" i="5"/>
  <c r="L701" i="5" s="1"/>
  <c r="J1050" i="5"/>
  <c r="L1050" i="5" s="1"/>
  <c r="J688" i="5"/>
  <c r="L688" i="5" s="1"/>
  <c r="K631" i="5"/>
  <c r="K1285" i="5"/>
  <c r="J1181" i="5"/>
  <c r="L1181" i="5" s="1"/>
  <c r="N1181" i="5" s="1"/>
  <c r="J1025" i="5"/>
  <c r="L1025" i="5" s="1"/>
  <c r="N1025" i="5" s="1"/>
  <c r="K477" i="5"/>
  <c r="J1252" i="5"/>
  <c r="L1252" i="5" s="1"/>
  <c r="J1226" i="5"/>
  <c r="L1226" i="5" s="1"/>
  <c r="J1374" i="5"/>
  <c r="L1374" i="5" s="1"/>
  <c r="J527" i="5"/>
  <c r="J526" i="5"/>
  <c r="L526" i="5" s="1"/>
  <c r="J1369" i="5"/>
  <c r="L1369" i="5" s="1"/>
  <c r="N1369" i="5" s="1"/>
  <c r="J565" i="5"/>
  <c r="L565" i="5" s="1"/>
  <c r="J524" i="5"/>
  <c r="L524" i="5" s="1"/>
  <c r="J531" i="5"/>
  <c r="L531" i="5" s="1"/>
  <c r="J689" i="5"/>
  <c r="L689" i="5" s="1"/>
  <c r="J908" i="5"/>
  <c r="L908" i="5" s="1"/>
  <c r="N908" i="5" s="1"/>
  <c r="J1024" i="5"/>
  <c r="L1024" i="5" s="1"/>
  <c r="J808" i="5"/>
  <c r="L808" i="5" s="1"/>
  <c r="K1093" i="5"/>
  <c r="K806" i="5"/>
  <c r="J1014" i="5"/>
  <c r="L1014" i="5" s="1"/>
  <c r="J696" i="5"/>
  <c r="L696" i="5" s="1"/>
  <c r="J1049" i="5"/>
  <c r="L1049" i="5" s="1"/>
  <c r="K580" i="5"/>
  <c r="K652" i="5"/>
  <c r="J1364" i="5"/>
  <c r="L1364" i="5" s="1"/>
  <c r="J1064" i="5"/>
  <c r="L1064" i="5" s="1"/>
  <c r="J693" i="5"/>
  <c r="J513" i="5"/>
  <c r="L513" i="5" s="1"/>
  <c r="J1055" i="5"/>
  <c r="L1055" i="5" s="1"/>
  <c r="J699" i="5"/>
  <c r="J744" i="5"/>
  <c r="L744" i="5" s="1"/>
  <c r="J937" i="5"/>
  <c r="L937" i="5" s="1"/>
  <c r="N937" i="5" s="1"/>
  <c r="K605" i="5"/>
  <c r="J1116" i="5"/>
  <c r="L1116" i="5" s="1"/>
  <c r="J676" i="5"/>
  <c r="J207" i="5"/>
  <c r="L207" i="5" s="1"/>
  <c r="J690" i="5"/>
  <c r="L690" i="5" s="1"/>
  <c r="J184" i="5"/>
  <c r="J710" i="5"/>
  <c r="L710" i="5" s="1"/>
  <c r="J1015" i="5"/>
  <c r="L1015" i="5" s="1"/>
  <c r="J729" i="5"/>
  <c r="L729" i="5" s="1"/>
  <c r="N729" i="5" s="1"/>
  <c r="J1031" i="5"/>
  <c r="L1031" i="5" s="1"/>
  <c r="K632" i="5"/>
  <c r="K1294" i="5"/>
  <c r="J558" i="5"/>
  <c r="J137" i="5"/>
  <c r="L137" i="5" s="1"/>
  <c r="J409" i="5"/>
  <c r="J1078" i="5"/>
  <c r="L1078" i="5" s="1"/>
  <c r="J1082" i="5"/>
  <c r="L1082" i="5" s="1"/>
  <c r="J1365" i="5"/>
  <c r="L1365" i="5" s="1"/>
  <c r="N1365" i="5" s="1"/>
  <c r="J1371" i="5"/>
  <c r="L1371" i="5" s="1"/>
  <c r="J1373" i="5"/>
  <c r="L1373" i="5" s="1"/>
  <c r="N1373" i="5" s="1"/>
  <c r="J348" i="5"/>
  <c r="L348" i="5" s="1"/>
  <c r="J1099" i="5"/>
  <c r="L1099" i="5" s="1"/>
  <c r="J1066" i="5"/>
  <c r="L1066" i="5" s="1"/>
  <c r="J1072" i="5"/>
  <c r="J1065" i="5"/>
  <c r="L1065" i="5" s="1"/>
  <c r="K1195" i="5"/>
  <c r="K1261" i="5"/>
  <c r="J1113" i="5"/>
  <c r="L1113" i="5" s="1"/>
  <c r="J331" i="5"/>
  <c r="J328" i="5"/>
  <c r="L328" i="5" s="1"/>
  <c r="J1175" i="5"/>
  <c r="L1175" i="5" s="1"/>
  <c r="J934" i="5"/>
  <c r="L934" i="5" s="1"/>
  <c r="J366" i="5"/>
  <c r="L366" i="5" s="1"/>
  <c r="K1104" i="5"/>
  <c r="J832" i="5"/>
  <c r="K834" i="5"/>
  <c r="K1022" i="5"/>
  <c r="J1260" i="5"/>
  <c r="L1260" i="5" s="1"/>
  <c r="J476" i="5"/>
  <c r="L476" i="5" s="1"/>
  <c r="J601" i="5"/>
  <c r="L601" i="5" s="1"/>
  <c r="J949" i="5"/>
  <c r="L949" i="5" s="1"/>
  <c r="J479" i="5"/>
  <c r="L479" i="5" s="1"/>
  <c r="J1295" i="5"/>
  <c r="L1295" i="5" s="1"/>
  <c r="J1173" i="5"/>
  <c r="L1173" i="5" s="1"/>
  <c r="N1173" i="5" s="1"/>
  <c r="K570" i="5"/>
  <c r="J926" i="5"/>
  <c r="L926" i="5" s="1"/>
  <c r="J229" i="5"/>
  <c r="L229" i="5" s="1"/>
  <c r="J577" i="5"/>
  <c r="L577" i="5" s="1"/>
  <c r="J333" i="5"/>
  <c r="L333" i="5" s="1"/>
  <c r="J885" i="5"/>
  <c r="L885" i="5" s="1"/>
  <c r="J731" i="5"/>
  <c r="L731" i="5" s="1"/>
  <c r="J940" i="5"/>
  <c r="L940" i="5" s="1"/>
  <c r="J991" i="5"/>
  <c r="L991" i="5" s="1"/>
  <c r="J1087" i="5"/>
  <c r="L1087" i="5" s="1"/>
  <c r="J734" i="5"/>
  <c r="L734" i="5" s="1"/>
  <c r="J1103" i="5"/>
  <c r="L1103" i="5" s="1"/>
  <c r="N1103" i="5" s="1"/>
  <c r="J1234" i="5"/>
  <c r="L1234" i="5" s="1"/>
  <c r="K691" i="5"/>
  <c r="K798" i="5"/>
  <c r="AE51" i="5"/>
  <c r="K699" i="5"/>
  <c r="J955" i="5"/>
  <c r="L955" i="5" s="1"/>
  <c r="J665" i="5"/>
  <c r="L665" i="5" s="1"/>
  <c r="N665" i="5" s="1"/>
  <c r="J992" i="5"/>
  <c r="L992" i="5" s="1"/>
  <c r="N992" i="5" s="1"/>
  <c r="J1009" i="5"/>
  <c r="L1009" i="5" s="1"/>
  <c r="J1292" i="5"/>
  <c r="L1292" i="5" s="1"/>
  <c r="K613" i="5"/>
  <c r="J465" i="5"/>
  <c r="L465" i="5" s="1"/>
  <c r="J905" i="5"/>
  <c r="L905" i="5" s="1"/>
  <c r="J662" i="5"/>
  <c r="L662" i="5" s="1"/>
  <c r="J553" i="5"/>
  <c r="L553" i="5" s="1"/>
  <c r="J242" i="5"/>
  <c r="L242" i="5" s="1"/>
  <c r="J467" i="5"/>
  <c r="L467" i="5" s="1"/>
  <c r="J232" i="5"/>
  <c r="L232" i="5" s="1"/>
  <c r="J986" i="5"/>
  <c r="L986" i="5" s="1"/>
  <c r="J1248" i="5"/>
  <c r="L1248" i="5" s="1"/>
  <c r="J888" i="5"/>
  <c r="J799" i="5"/>
  <c r="L799" i="5" s="1"/>
  <c r="J1145" i="5"/>
  <c r="L1145" i="5" s="1"/>
  <c r="K559" i="5"/>
  <c r="J1257" i="5"/>
  <c r="L1257" i="5" s="1"/>
  <c r="N1257" i="5" s="1"/>
  <c r="J1108" i="5"/>
  <c r="L1108" i="5" s="1"/>
  <c r="J1161" i="5"/>
  <c r="L1161" i="5" s="1"/>
  <c r="J667" i="5"/>
  <c r="L667" i="5" s="1"/>
  <c r="J1035" i="5"/>
  <c r="L1035" i="5" s="1"/>
  <c r="J814" i="5"/>
  <c r="L814" i="5" s="1"/>
  <c r="J702" i="5"/>
  <c r="L702" i="5" s="1"/>
  <c r="J550" i="5"/>
  <c r="L550" i="5" s="1"/>
  <c r="J483" i="5"/>
  <c r="L483" i="5" s="1"/>
  <c r="J230" i="5"/>
  <c r="L230" i="5" s="1"/>
  <c r="J600" i="5"/>
  <c r="J906" i="5"/>
  <c r="L906" i="5" s="1"/>
  <c r="J1090" i="5"/>
  <c r="L1090" i="5" s="1"/>
  <c r="J1236" i="5"/>
  <c r="L1236" i="5" s="1"/>
  <c r="K456" i="5"/>
  <c r="K693" i="5"/>
  <c r="J1213" i="5"/>
  <c r="L1213" i="5" s="1"/>
  <c r="N1213" i="5" s="1"/>
  <c r="K785" i="5"/>
  <c r="J1141" i="5"/>
  <c r="L1141" i="5" s="1"/>
  <c r="J1074" i="5"/>
  <c r="L1074" i="5" s="1"/>
  <c r="K1072" i="5"/>
  <c r="AC51" i="5"/>
  <c r="K948" i="5"/>
  <c r="J314" i="5"/>
  <c r="K904" i="5"/>
  <c r="J307" i="5"/>
  <c r="L307" i="5" s="1"/>
  <c r="J304" i="5"/>
  <c r="J542" i="5"/>
  <c r="L542" i="5" s="1"/>
  <c r="J1215" i="5"/>
  <c r="L1215" i="5" s="1"/>
  <c r="J538" i="5"/>
  <c r="L538" i="5" s="1"/>
  <c r="J494" i="5"/>
  <c r="L494" i="5" s="1"/>
  <c r="J301" i="5"/>
  <c r="L301" i="5" s="1"/>
  <c r="J1195" i="5"/>
  <c r="K983" i="5"/>
  <c r="J1129" i="5"/>
  <c r="L1129" i="5" s="1"/>
  <c r="J254" i="5"/>
  <c r="L254" i="5" s="1"/>
  <c r="J430" i="5"/>
  <c r="L430" i="5" s="1"/>
  <c r="J68" i="5"/>
  <c r="J1347" i="5"/>
  <c r="L1347" i="5" s="1"/>
  <c r="K611" i="5"/>
  <c r="J62" i="5"/>
  <c r="L62" i="5" s="1"/>
  <c r="J182" i="5"/>
  <c r="J648" i="5"/>
  <c r="L648" i="5" s="1"/>
  <c r="J214" i="5"/>
  <c r="L214" i="5" s="1"/>
  <c r="J163" i="5"/>
  <c r="L163" i="5" s="1"/>
  <c r="J339" i="5"/>
  <c r="L339" i="5" s="1"/>
  <c r="J371" i="5"/>
  <c r="L371" i="5" s="1"/>
  <c r="J435" i="5"/>
  <c r="L435" i="5" s="1"/>
  <c r="J318" i="5"/>
  <c r="L318" i="5" s="1"/>
  <c r="J709" i="5"/>
  <c r="L709" i="5" s="1"/>
  <c r="J193" i="5"/>
  <c r="J221" i="5"/>
  <c r="L221" i="5" s="1"/>
  <c r="J285" i="5"/>
  <c r="L285" i="5" s="1"/>
  <c r="J320" i="5"/>
  <c r="J655" i="5"/>
  <c r="L655" i="5" s="1"/>
  <c r="J471" i="5"/>
  <c r="J106" i="5"/>
  <c r="L106" i="5" s="1"/>
  <c r="J762" i="5"/>
  <c r="L762" i="5" s="1"/>
  <c r="J393" i="5"/>
  <c r="L393" i="5" s="1"/>
  <c r="J593" i="5"/>
  <c r="L593" i="5" s="1"/>
  <c r="N593" i="5" s="1"/>
  <c r="J233" i="5"/>
  <c r="L233" i="5" s="1"/>
  <c r="J178" i="5"/>
  <c r="L178" i="5" s="1"/>
  <c r="J265" i="5"/>
  <c r="L265" i="5" s="1"/>
  <c r="J274" i="5"/>
  <c r="L274" i="5" s="1"/>
  <c r="J455" i="5"/>
  <c r="L455" i="5" s="1"/>
  <c r="J335" i="5"/>
  <c r="L335" i="5" s="1"/>
  <c r="J200" i="5"/>
  <c r="L200" i="5" s="1"/>
  <c r="J248" i="5"/>
  <c r="J645" i="5"/>
  <c r="L645" i="5" s="1"/>
  <c r="N645" i="5" s="1"/>
  <c r="J1333" i="5"/>
  <c r="L1333" i="5" s="1"/>
  <c r="N1333" i="5" s="1"/>
  <c r="J1092" i="5"/>
  <c r="L1092" i="5" s="1"/>
  <c r="J824" i="5"/>
  <c r="L824" i="5" s="1"/>
  <c r="J1107" i="5"/>
  <c r="L1107" i="5" s="1"/>
  <c r="J634" i="5"/>
  <c r="J1121" i="5"/>
  <c r="L1121" i="5" s="1"/>
  <c r="AB37" i="5"/>
  <c r="AD37" i="5"/>
  <c r="AE37" i="5"/>
  <c r="AA37" i="5"/>
  <c r="AC37" i="5"/>
  <c r="AE59" i="5"/>
  <c r="AD59" i="5"/>
  <c r="AA59" i="5"/>
  <c r="AD69" i="5"/>
  <c r="AE69" i="5"/>
  <c r="AA69" i="5"/>
  <c r="AD32" i="5"/>
  <c r="AA32" i="5"/>
  <c r="AE32" i="5"/>
  <c r="AB41" i="5"/>
  <c r="M41" i="5"/>
  <c r="AC49" i="5"/>
  <c r="AD49" i="5"/>
  <c r="M49" i="5"/>
  <c r="AA49" i="5"/>
  <c r="M58" i="5"/>
  <c r="AD58" i="5"/>
  <c r="AC58" i="5"/>
  <c r="AB36" i="5"/>
  <c r="AA36" i="5"/>
  <c r="AE36" i="5"/>
  <c r="AD36" i="5"/>
  <c r="AC36" i="5"/>
  <c r="AC68" i="5"/>
  <c r="M68" i="5"/>
  <c r="AD68" i="5"/>
  <c r="AA68" i="5"/>
  <c r="AE68" i="5"/>
  <c r="AC31" i="5"/>
  <c r="AA31" i="5"/>
  <c r="M48" i="5"/>
  <c r="AD48" i="5"/>
  <c r="AB57" i="5"/>
  <c r="M57" i="5"/>
  <c r="AC57" i="5"/>
  <c r="AC67" i="5"/>
  <c r="M67" i="5"/>
  <c r="AE67" i="5"/>
  <c r="M35" i="5"/>
  <c r="AC35" i="5"/>
  <c r="AE35" i="5"/>
  <c r="M47" i="5"/>
  <c r="AE47" i="5"/>
  <c r="AC47" i="5"/>
  <c r="AA47" i="5"/>
  <c r="AC62" i="5"/>
  <c r="M62" i="5"/>
  <c r="AC30" i="5"/>
  <c r="M30" i="5"/>
  <c r="AB151" i="5"/>
  <c r="AE151" i="5"/>
  <c r="AB149" i="5"/>
  <c r="M149" i="5"/>
  <c r="AD123" i="5"/>
  <c r="AA123" i="5"/>
  <c r="M123" i="5"/>
  <c r="AC123" i="5"/>
  <c r="AE166" i="5"/>
  <c r="AA166" i="5"/>
  <c r="AD166" i="5"/>
  <c r="AD336" i="5"/>
  <c r="AE336" i="5"/>
  <c r="M336" i="5"/>
  <c r="AC336" i="5"/>
  <c r="AB336" i="5"/>
  <c r="AA336" i="5"/>
  <c r="AB313" i="5"/>
  <c r="AD313" i="5"/>
  <c r="M313" i="5"/>
  <c r="AC313" i="5"/>
  <c r="AE313" i="5"/>
  <c r="AA313" i="5"/>
  <c r="AB209" i="5"/>
  <c r="AA209" i="5"/>
  <c r="AD209" i="5"/>
  <c r="AC209" i="5"/>
  <c r="AE209" i="5"/>
  <c r="M209" i="5"/>
  <c r="J107" i="5"/>
  <c r="L107" i="5" s="1"/>
  <c r="J299" i="5"/>
  <c r="L299" i="5" s="1"/>
  <c r="J437" i="5"/>
  <c r="J110" i="5"/>
  <c r="J174" i="5"/>
  <c r="J425" i="5"/>
  <c r="L425" i="5" s="1"/>
  <c r="J169" i="5"/>
  <c r="L169" i="5" s="1"/>
  <c r="J360" i="5"/>
  <c r="L360" i="5" s="1"/>
  <c r="J438" i="5"/>
  <c r="J795" i="5"/>
  <c r="L795" i="5" s="1"/>
  <c r="J1319" i="5"/>
  <c r="L1319" i="5" s="1"/>
  <c r="N1319" i="5" s="1"/>
  <c r="J1067" i="5"/>
  <c r="L1067" i="5" s="1"/>
  <c r="J961" i="5"/>
  <c r="L961" i="5" s="1"/>
  <c r="J772" i="5"/>
  <c r="L772" i="5" s="1"/>
  <c r="J966" i="5"/>
  <c r="L966" i="5" s="1"/>
  <c r="J777" i="5"/>
  <c r="J1306" i="5"/>
  <c r="L1306" i="5" s="1"/>
  <c r="J1054" i="5"/>
  <c r="L1054" i="5" s="1"/>
  <c r="J1310" i="5"/>
  <c r="L1310" i="5" s="1"/>
  <c r="J1058" i="5"/>
  <c r="L1058" i="5" s="1"/>
  <c r="J829" i="5"/>
  <c r="L829" i="5" s="1"/>
  <c r="J1163" i="5"/>
  <c r="J1216" i="5"/>
  <c r="L1216" i="5" s="1"/>
  <c r="J671" i="5"/>
  <c r="L671" i="5" s="1"/>
  <c r="J352" i="5"/>
  <c r="L352" i="5" s="1"/>
  <c r="J608" i="5"/>
  <c r="L608" i="5" s="1"/>
  <c r="J482" i="5"/>
  <c r="L482" i="5" s="1"/>
  <c r="J544" i="5"/>
  <c r="L544" i="5" s="1"/>
  <c r="J1289" i="5"/>
  <c r="L1289" i="5" s="1"/>
  <c r="J820" i="5"/>
  <c r="L820" i="5" s="1"/>
  <c r="J1351" i="5"/>
  <c r="L1351" i="5" s="1"/>
  <c r="J177" i="5"/>
  <c r="L177" i="5" s="1"/>
  <c r="J225" i="5"/>
  <c r="J241" i="5"/>
  <c r="L241" i="5" s="1"/>
  <c r="J257" i="5"/>
  <c r="J324" i="5"/>
  <c r="L324" i="5" s="1"/>
  <c r="J189" i="5"/>
  <c r="L189" i="5" s="1"/>
  <c r="J509" i="5"/>
  <c r="L509" i="5" s="1"/>
  <c r="J927" i="5"/>
  <c r="L927" i="5" s="1"/>
  <c r="J1223" i="5"/>
  <c r="L1223" i="5" s="1"/>
  <c r="J1254" i="5"/>
  <c r="L1254" i="5" s="1"/>
  <c r="J153" i="5"/>
  <c r="L153" i="5" s="1"/>
  <c r="J188" i="5"/>
  <c r="L188" i="5" s="1"/>
  <c r="J204" i="5"/>
  <c r="L204" i="5" s="1"/>
  <c r="J643" i="5"/>
  <c r="L643" i="5" s="1"/>
  <c r="J61" i="5"/>
  <c r="L61" i="5" s="1"/>
  <c r="J160" i="5"/>
  <c r="J453" i="5"/>
  <c r="J896" i="5"/>
  <c r="L896" i="5" s="1"/>
  <c r="N896" i="5" s="1"/>
  <c r="J388" i="5"/>
  <c r="L388" i="5" s="1"/>
  <c r="J649" i="5"/>
  <c r="J156" i="5"/>
  <c r="L156" i="5" s="1"/>
  <c r="J432" i="5"/>
  <c r="L432" i="5" s="1"/>
  <c r="J580" i="5"/>
  <c r="J589" i="5"/>
  <c r="L589" i="5" s="1"/>
  <c r="J270" i="5"/>
  <c r="J273" i="5"/>
  <c r="L273" i="5" s="1"/>
  <c r="J276" i="5"/>
  <c r="L276" i="5" s="1"/>
  <c r="N276" i="5" s="1"/>
  <c r="J279" i="5"/>
  <c r="L279" i="5" s="1"/>
  <c r="N279" i="5" s="1"/>
  <c r="J602" i="5"/>
  <c r="L602" i="5" s="1"/>
  <c r="J668" i="5"/>
  <c r="L668" i="5" s="1"/>
  <c r="J708" i="5"/>
  <c r="L708" i="5" s="1"/>
  <c r="N708" i="5" s="1"/>
  <c r="J724" i="5"/>
  <c r="L724" i="5" s="1"/>
  <c r="J850" i="5"/>
  <c r="L850" i="5" s="1"/>
  <c r="J854" i="5"/>
  <c r="L854" i="5" s="1"/>
  <c r="J446" i="5"/>
  <c r="L446" i="5" s="1"/>
  <c r="J1088" i="5"/>
  <c r="J180" i="5"/>
  <c r="L180" i="5" s="1"/>
  <c r="J539" i="5"/>
  <c r="L539" i="5" s="1"/>
  <c r="J247" i="5"/>
  <c r="L247" i="5" s="1"/>
  <c r="J579" i="5"/>
  <c r="L579" i="5" s="1"/>
  <c r="J586" i="5"/>
  <c r="L586" i="5" s="1"/>
  <c r="J93" i="5"/>
  <c r="L93" i="5" s="1"/>
  <c r="J422" i="5"/>
  <c r="L422" i="5" s="1"/>
  <c r="J498" i="5"/>
  <c r="J1117" i="5"/>
  <c r="L1117" i="5" s="1"/>
  <c r="J943" i="5"/>
  <c r="L943" i="5" s="1"/>
  <c r="J982" i="5"/>
  <c r="L982" i="5" s="1"/>
  <c r="N982" i="5" s="1"/>
  <c r="J157" i="5"/>
  <c r="L157" i="5" s="1"/>
  <c r="N157" i="5" s="1"/>
  <c r="J882" i="5"/>
  <c r="L882" i="5" s="1"/>
  <c r="J819" i="5"/>
  <c r="J930" i="5"/>
  <c r="L930" i="5" s="1"/>
  <c r="K1088" i="5"/>
  <c r="K878" i="5"/>
  <c r="J960" i="5"/>
  <c r="L960" i="5" s="1"/>
  <c r="J771" i="5"/>
  <c r="L771" i="5" s="1"/>
  <c r="K1163" i="5"/>
  <c r="K932" i="5"/>
  <c r="K972" i="5"/>
  <c r="K783" i="5"/>
  <c r="K919" i="5"/>
  <c r="K730" i="5"/>
  <c r="K975" i="5"/>
  <c r="K786" i="5"/>
  <c r="K1237" i="5"/>
  <c r="K985" i="5"/>
  <c r="J964" i="5"/>
  <c r="L964" i="5" s="1"/>
  <c r="J775" i="5"/>
  <c r="K1026" i="5"/>
  <c r="K837" i="5"/>
  <c r="J770" i="5"/>
  <c r="L770" i="5" s="1"/>
  <c r="J175" i="5"/>
  <c r="L175" i="5" s="1"/>
  <c r="J319" i="5"/>
  <c r="L319" i="5" s="1"/>
  <c r="J64" i="5"/>
  <c r="J491" i="5"/>
  <c r="L491" i="5" s="1"/>
  <c r="J924" i="5"/>
  <c r="L924" i="5" s="1"/>
  <c r="J1110" i="5"/>
  <c r="L1110" i="5" s="1"/>
  <c r="J396" i="5"/>
  <c r="L396" i="5" s="1"/>
  <c r="J428" i="5"/>
  <c r="L428" i="5" s="1"/>
  <c r="J994" i="5"/>
  <c r="L994" i="5" s="1"/>
  <c r="J1194" i="5"/>
  <c r="L1194" i="5" s="1"/>
  <c r="N1194" i="5" s="1"/>
  <c r="J998" i="5"/>
  <c r="L998" i="5" s="1"/>
  <c r="N998" i="5" s="1"/>
  <c r="J1001" i="5"/>
  <c r="L1001" i="5" s="1"/>
  <c r="J1133" i="5"/>
  <c r="L1133" i="5" s="1"/>
  <c r="J1142" i="5"/>
  <c r="L1142" i="5" s="1"/>
  <c r="J1184" i="5"/>
  <c r="L1184" i="5" s="1"/>
  <c r="J1208" i="5"/>
  <c r="L1208" i="5" s="1"/>
  <c r="N1208" i="5" s="1"/>
  <c r="J1242" i="5"/>
  <c r="L1242" i="5" s="1"/>
  <c r="J1268" i="5"/>
  <c r="L1268" i="5" s="1"/>
  <c r="J1026" i="5"/>
  <c r="J1127" i="5"/>
  <c r="L1127" i="5" s="1"/>
  <c r="J1042" i="5"/>
  <c r="L1042" i="5" s="1"/>
  <c r="J1350" i="5"/>
  <c r="L1350" i="5" s="1"/>
  <c r="J252" i="5"/>
  <c r="L252" i="5" s="1"/>
  <c r="J280" i="5"/>
  <c r="J336" i="5"/>
  <c r="J386" i="5"/>
  <c r="L386" i="5" s="1"/>
  <c r="J751" i="5"/>
  <c r="L751" i="5" s="1"/>
  <c r="J847" i="5"/>
  <c r="L847" i="5" s="1"/>
  <c r="J277" i="5"/>
  <c r="L277" i="5" s="1"/>
  <c r="J302" i="5"/>
  <c r="J499" i="5"/>
  <c r="L499" i="5" s="1"/>
  <c r="J559" i="5"/>
  <c r="J747" i="5"/>
  <c r="L747" i="5" s="1"/>
  <c r="J838" i="5"/>
  <c r="L838" i="5" s="1"/>
  <c r="N838" i="5" s="1"/>
  <c r="J98" i="5"/>
  <c r="L98" i="5" s="1"/>
  <c r="J145" i="5"/>
  <c r="L145" i="5" s="1"/>
  <c r="J208" i="5"/>
  <c r="J293" i="5"/>
  <c r="L293" i="5" s="1"/>
  <c r="J205" i="5"/>
  <c r="L205" i="5" s="1"/>
  <c r="J268" i="5"/>
  <c r="L268" i="5" s="1"/>
  <c r="J332" i="5"/>
  <c r="L332" i="5" s="1"/>
  <c r="J65" i="5"/>
  <c r="L65" i="5" s="1"/>
  <c r="J267" i="5"/>
  <c r="J505" i="5"/>
  <c r="L505" i="5" s="1"/>
  <c r="J139" i="5"/>
  <c r="J155" i="5"/>
  <c r="L155" i="5" s="1"/>
  <c r="J343" i="5"/>
  <c r="L343" i="5" s="1"/>
  <c r="J370" i="5"/>
  <c r="L370" i="5" s="1"/>
  <c r="J379" i="5"/>
  <c r="J424" i="5"/>
  <c r="L424" i="5" s="1"/>
  <c r="J551" i="5"/>
  <c r="L551" i="5" s="1"/>
  <c r="J317" i="5"/>
  <c r="L317" i="5" s="1"/>
  <c r="J253" i="5"/>
  <c r="L253" i="5" s="1"/>
  <c r="N253" i="5" s="1"/>
  <c r="J258" i="5"/>
  <c r="L258" i="5" s="1"/>
  <c r="J325" i="5"/>
  <c r="L325" i="5" s="1"/>
  <c r="J620" i="5"/>
  <c r="L620" i="5" s="1"/>
  <c r="J1156" i="5"/>
  <c r="L1156" i="5" s="1"/>
  <c r="J807" i="5"/>
  <c r="L807" i="5" s="1"/>
  <c r="J1211" i="5"/>
  <c r="L1211" i="5" s="1"/>
  <c r="N1211" i="5" s="1"/>
  <c r="J1356" i="5"/>
  <c r="L1356" i="5" s="1"/>
  <c r="J743" i="5"/>
  <c r="L743" i="5" s="1"/>
  <c r="J767" i="5"/>
  <c r="L767" i="5" s="1"/>
  <c r="N767" i="5" s="1"/>
  <c r="J1197" i="5"/>
  <c r="L1197" i="5" s="1"/>
  <c r="J1262" i="5"/>
  <c r="L1262" i="5" s="1"/>
  <c r="J1176" i="5"/>
  <c r="L1176" i="5" s="1"/>
  <c r="J993" i="5"/>
  <c r="L993" i="5" s="1"/>
  <c r="J890" i="5"/>
  <c r="J1274" i="5"/>
  <c r="L1274" i="5" s="1"/>
  <c r="J976" i="5"/>
  <c r="L976" i="5" s="1"/>
  <c r="J787" i="5"/>
  <c r="L787" i="5" s="1"/>
  <c r="J965" i="5"/>
  <c r="L965" i="5" s="1"/>
  <c r="J776" i="5"/>
  <c r="L776" i="5" s="1"/>
  <c r="K1325" i="5"/>
  <c r="K1073" i="5"/>
  <c r="AE44" i="5"/>
  <c r="AD44" i="5"/>
  <c r="AC44" i="5"/>
  <c r="AB44" i="5"/>
  <c r="AA44" i="5"/>
  <c r="M44" i="5"/>
  <c r="AD34" i="5"/>
  <c r="AC34" i="5"/>
  <c r="AA34" i="5"/>
  <c r="M34" i="5"/>
  <c r="M29" i="5"/>
  <c r="AE29" i="5"/>
  <c r="AD29" i="5"/>
  <c r="AA29" i="5"/>
  <c r="AB38" i="5"/>
  <c r="M38" i="5"/>
  <c r="AE38" i="5"/>
  <c r="AD38" i="5"/>
  <c r="AC38" i="5"/>
  <c r="AA38" i="5"/>
  <c r="L49" i="5"/>
  <c r="L38" i="5"/>
  <c r="L8" i="5"/>
  <c r="N8" i="5" s="1"/>
  <c r="L39" i="5"/>
  <c r="L33" i="5"/>
  <c r="L21" i="5"/>
  <c r="L40" i="5"/>
  <c r="N40" i="5" s="1"/>
  <c r="L28" i="5"/>
  <c r="L30" i="5"/>
  <c r="L25" i="5"/>
  <c r="L44" i="5"/>
  <c r="L13" i="5"/>
  <c r="L29" i="5"/>
  <c r="L27" i="5"/>
  <c r="L36" i="5"/>
  <c r="L10" i="5"/>
  <c r="L46" i="5"/>
  <c r="L31" i="5"/>
  <c r="L22" i="5"/>
  <c r="L16" i="5"/>
  <c r="L19" i="5"/>
  <c r="L24" i="5"/>
  <c r="L45" i="5"/>
  <c r="L34" i="5"/>
  <c r="J305" i="5"/>
  <c r="L305" i="5" s="1"/>
  <c r="J337" i="5"/>
  <c r="L337" i="5" s="1"/>
  <c r="J954" i="5"/>
  <c r="J246" i="5"/>
  <c r="L246" i="5" s="1"/>
  <c r="J262" i="5"/>
  <c r="L262" i="5" s="1"/>
  <c r="J572" i="5"/>
  <c r="L572" i="5" s="1"/>
  <c r="J604" i="5"/>
  <c r="L604" i="5" s="1"/>
  <c r="J638" i="5"/>
  <c r="L638" i="5" s="1"/>
  <c r="N638" i="5" s="1"/>
  <c r="J897" i="5"/>
  <c r="L897" i="5" s="1"/>
  <c r="J916" i="5"/>
  <c r="L916" i="5" s="1"/>
  <c r="J932" i="5"/>
  <c r="J996" i="5"/>
  <c r="L996" i="5" s="1"/>
  <c r="J1036" i="5"/>
  <c r="L1036" i="5" s="1"/>
  <c r="J1039" i="5"/>
  <c r="L1039" i="5" s="1"/>
  <c r="J1106" i="5"/>
  <c r="L1106" i="5" s="1"/>
  <c r="J1293" i="5"/>
  <c r="L1293" i="5" s="1"/>
  <c r="J1353" i="5"/>
  <c r="L1353" i="5" s="1"/>
  <c r="N1353" i="5" s="1"/>
  <c r="J921" i="5"/>
  <c r="L921" i="5" s="1"/>
  <c r="J351" i="5"/>
  <c r="L351" i="5" s="1"/>
  <c r="J714" i="5"/>
  <c r="L714" i="5" s="1"/>
  <c r="J893" i="5"/>
  <c r="L893" i="5" s="1"/>
  <c r="J887" i="5"/>
  <c r="L887" i="5" s="1"/>
  <c r="J141" i="5"/>
  <c r="L141" i="5" s="1"/>
  <c r="J179" i="5"/>
  <c r="L179" i="5" s="1"/>
  <c r="J243" i="5"/>
  <c r="L243" i="5" s="1"/>
  <c r="J912" i="5"/>
  <c r="L912" i="5" s="1"/>
  <c r="J853" i="5"/>
  <c r="L853" i="5" s="1"/>
  <c r="J936" i="5"/>
  <c r="L936" i="5" s="1"/>
  <c r="J953" i="5"/>
  <c r="L953" i="5" s="1"/>
  <c r="J717" i="5"/>
  <c r="L717" i="5" s="1"/>
  <c r="J739" i="5"/>
  <c r="L739" i="5" s="1"/>
  <c r="J802" i="5"/>
  <c r="L802" i="5" s="1"/>
  <c r="J805" i="5"/>
  <c r="L805" i="5" s="1"/>
  <c r="N805" i="5" s="1"/>
  <c r="J862" i="5"/>
  <c r="L862" i="5" s="1"/>
  <c r="J871" i="5"/>
  <c r="L871" i="5" s="1"/>
  <c r="J147" i="5"/>
  <c r="L147" i="5" s="1"/>
  <c r="J730" i="5"/>
  <c r="J818" i="5"/>
  <c r="L818" i="5" s="1"/>
  <c r="J439" i="5"/>
  <c r="L439" i="5" s="1"/>
  <c r="J489" i="5"/>
  <c r="J562" i="5"/>
  <c r="L562" i="5" s="1"/>
  <c r="J408" i="5"/>
  <c r="J462" i="5"/>
  <c r="L462" i="5" s="1"/>
  <c r="J506" i="5"/>
  <c r="J566" i="5"/>
  <c r="L566" i="5" s="1"/>
  <c r="J631" i="5"/>
  <c r="J637" i="5"/>
  <c r="L637" i="5" s="1"/>
  <c r="J681" i="5"/>
  <c r="J719" i="5"/>
  <c r="L719" i="5" s="1"/>
  <c r="J810" i="5"/>
  <c r="L810" i="5" s="1"/>
  <c r="J158" i="5"/>
  <c r="L158" i="5" s="1"/>
  <c r="J340" i="5"/>
  <c r="L340" i="5" s="1"/>
  <c r="J503" i="5"/>
  <c r="L503" i="5" s="1"/>
  <c r="J58" i="5"/>
  <c r="L58" i="5" s="1"/>
  <c r="J56" i="5"/>
  <c r="L56" i="5" s="1"/>
  <c r="J111" i="5"/>
  <c r="L111" i="5" s="1"/>
  <c r="J146" i="5"/>
  <c r="L146" i="5" s="1"/>
  <c r="J168" i="5"/>
  <c r="L168" i="5" s="1"/>
  <c r="J212" i="5"/>
  <c r="L212" i="5" s="1"/>
  <c r="J244" i="5"/>
  <c r="L244" i="5" s="1"/>
  <c r="J297" i="5"/>
  <c r="L297" i="5" s="1"/>
  <c r="J350" i="5"/>
  <c r="L350" i="5" s="1"/>
  <c r="J369" i="5"/>
  <c r="L369" i="5" s="1"/>
  <c r="J372" i="5"/>
  <c r="L372" i="5" s="1"/>
  <c r="J397" i="5"/>
  <c r="J441" i="5"/>
  <c r="L441" i="5" s="1"/>
  <c r="J450" i="5"/>
  <c r="L450" i="5" s="1"/>
  <c r="J492" i="5"/>
  <c r="L492" i="5" s="1"/>
  <c r="J535" i="5"/>
  <c r="L535" i="5" s="1"/>
  <c r="N535" i="5" s="1"/>
  <c r="J570" i="5"/>
  <c r="J595" i="5"/>
  <c r="L595" i="5" s="1"/>
  <c r="J679" i="5"/>
  <c r="L679" i="5" s="1"/>
  <c r="J877" i="5"/>
  <c r="L877" i="5" s="1"/>
  <c r="J95" i="5"/>
  <c r="L95" i="5" s="1"/>
  <c r="J60" i="5"/>
  <c r="L60" i="5" s="1"/>
  <c r="J102" i="5"/>
  <c r="L102" i="5" s="1"/>
  <c r="N102" i="5" s="1"/>
  <c r="J150" i="5"/>
  <c r="J159" i="5"/>
  <c r="L159" i="5" s="1"/>
  <c r="J162" i="5"/>
  <c r="L162" i="5" s="1"/>
  <c r="N162" i="5" s="1"/>
  <c r="J171" i="5"/>
  <c r="L171" i="5" s="1"/>
  <c r="J209" i="5"/>
  <c r="L209" i="5" s="1"/>
  <c r="J315" i="5"/>
  <c r="L315" i="5" s="1"/>
  <c r="J100" i="5"/>
  <c r="L100" i="5" s="1"/>
  <c r="J292" i="5"/>
  <c r="L292" i="5" s="1"/>
  <c r="J622" i="5"/>
  <c r="L622" i="5" s="1"/>
  <c r="J66" i="5"/>
  <c r="L66" i="5" s="1"/>
  <c r="J148" i="5"/>
  <c r="L148" i="5" s="1"/>
  <c r="J194" i="5"/>
  <c r="L194" i="5" s="1"/>
  <c r="J405" i="5"/>
  <c r="J311" i="5"/>
  <c r="L311" i="5" s="1"/>
  <c r="J101" i="5"/>
  <c r="L101" i="5" s="1"/>
  <c r="J1150" i="5"/>
  <c r="L1150" i="5" s="1"/>
  <c r="J852" i="5"/>
  <c r="L852" i="5" s="1"/>
  <c r="J851" i="5"/>
  <c r="L851" i="5" s="1"/>
  <c r="J867" i="5"/>
  <c r="L867" i="5" s="1"/>
  <c r="J249" i="5"/>
  <c r="L249" i="5" s="1"/>
  <c r="J497" i="5"/>
  <c r="L497" i="5" s="1"/>
  <c r="J564" i="5"/>
  <c r="L564" i="5" s="1"/>
  <c r="J594" i="5"/>
  <c r="L594" i="5" s="1"/>
  <c r="J765" i="5"/>
  <c r="J752" i="5"/>
  <c r="L752" i="5" s="1"/>
  <c r="J886" i="5"/>
  <c r="L886" i="5" s="1"/>
  <c r="J1233" i="5"/>
  <c r="L1233" i="5" s="1"/>
  <c r="J1018" i="5"/>
  <c r="L1018" i="5" s="1"/>
  <c r="J355" i="5"/>
  <c r="L355" i="5" s="1"/>
  <c r="J380" i="5"/>
  <c r="L380" i="5" s="1"/>
  <c r="J493" i="5"/>
  <c r="L493" i="5" s="1"/>
  <c r="J545" i="5"/>
  <c r="L545" i="5" s="1"/>
  <c r="N545" i="5" s="1"/>
  <c r="J556" i="5"/>
  <c r="L556" i="5" s="1"/>
  <c r="J627" i="5"/>
  <c r="L627" i="5" s="1"/>
  <c r="J1247" i="5"/>
  <c r="L1247" i="5" s="1"/>
  <c r="J223" i="5"/>
  <c r="L223" i="5" s="1"/>
  <c r="J282" i="5"/>
  <c r="J345" i="5"/>
  <c r="J402" i="5"/>
  <c r="L402" i="5" s="1"/>
  <c r="J440" i="5"/>
  <c r="J452" i="5"/>
  <c r="J463" i="5"/>
  <c r="L463" i="5" s="1"/>
  <c r="J481" i="5"/>
  <c r="L481" i="5" s="1"/>
  <c r="N481" i="5" s="1"/>
  <c r="J723" i="5"/>
  <c r="L723" i="5" s="1"/>
  <c r="N723" i="5" s="1"/>
  <c r="J797" i="5"/>
  <c r="L797" i="5" s="1"/>
  <c r="N797" i="5" s="1"/>
  <c r="J833" i="5"/>
  <c r="L833" i="5" s="1"/>
  <c r="J1118" i="5"/>
  <c r="L1118" i="5" s="1"/>
  <c r="J1316" i="5"/>
  <c r="L1316" i="5" s="1"/>
  <c r="J1204" i="5"/>
  <c r="L1204" i="5" s="1"/>
  <c r="J1219" i="5"/>
  <c r="L1219" i="5" s="1"/>
  <c r="J1239" i="5"/>
  <c r="L1239" i="5" s="1"/>
  <c r="J1343" i="5"/>
  <c r="L1343" i="5" s="1"/>
  <c r="J859" i="5"/>
  <c r="L859" i="5" s="1"/>
  <c r="J942" i="5"/>
  <c r="L942" i="5" s="1"/>
  <c r="J952" i="5"/>
  <c r="L952" i="5" s="1"/>
  <c r="J1013" i="5"/>
  <c r="L1013" i="5" s="1"/>
  <c r="J1166" i="5"/>
  <c r="L1166" i="5" s="1"/>
  <c r="J1199" i="5"/>
  <c r="L1199" i="5" s="1"/>
  <c r="J1338" i="5"/>
  <c r="L1338" i="5" s="1"/>
  <c r="J809" i="5"/>
  <c r="L809" i="5" s="1"/>
  <c r="J845" i="5"/>
  <c r="L845" i="5" s="1"/>
  <c r="J929" i="5"/>
  <c r="L929" i="5" s="1"/>
  <c r="J1016" i="5"/>
  <c r="L1016" i="5" s="1"/>
  <c r="J1191" i="5"/>
  <c r="L1191" i="5" s="1"/>
  <c r="J1205" i="5"/>
  <c r="L1205" i="5" s="1"/>
  <c r="J652" i="5"/>
  <c r="J686" i="5"/>
  <c r="L686" i="5" s="1"/>
  <c r="N686" i="5" s="1"/>
  <c r="J722" i="5"/>
  <c r="L722" i="5" s="1"/>
  <c r="J738" i="5"/>
  <c r="L738" i="5" s="1"/>
  <c r="J1164" i="5"/>
  <c r="L1164" i="5" s="1"/>
  <c r="J1287" i="5"/>
  <c r="L1287" i="5" s="1"/>
  <c r="J907" i="5"/>
  <c r="L907" i="5" s="1"/>
  <c r="J910" i="5"/>
  <c r="L910" i="5" s="1"/>
  <c r="J915" i="5"/>
  <c r="L915" i="5" s="1"/>
  <c r="J950" i="5"/>
  <c r="L950" i="5" s="1"/>
  <c r="J1020" i="5"/>
  <c r="J1322" i="5"/>
  <c r="L1322" i="5" s="1"/>
  <c r="J848" i="5"/>
  <c r="L848" i="5" s="1"/>
  <c r="J985" i="5"/>
  <c r="J990" i="5"/>
  <c r="L990" i="5" s="1"/>
  <c r="J1187" i="5"/>
  <c r="L1187" i="5" s="1"/>
  <c r="J1345" i="5"/>
  <c r="L1345" i="5" s="1"/>
  <c r="J837" i="5"/>
  <c r="J1284" i="5"/>
  <c r="L1284" i="5" s="1"/>
  <c r="J1249" i="5"/>
  <c r="L1249" i="5" s="1"/>
  <c r="J1354" i="5"/>
  <c r="L1354" i="5" s="1"/>
  <c r="J1357" i="5"/>
  <c r="L1357" i="5" s="1"/>
  <c r="J981" i="5"/>
  <c r="L981" i="5" s="1"/>
  <c r="J1017" i="5"/>
  <c r="L1017" i="5" s="1"/>
  <c r="J1136" i="5"/>
  <c r="L1136" i="5" s="1"/>
  <c r="J1149" i="5"/>
  <c r="L1149" i="5" s="1"/>
  <c r="N1149" i="5" s="1"/>
  <c r="J1170" i="5"/>
  <c r="L1170" i="5" s="1"/>
  <c r="J1188" i="5"/>
  <c r="L1188" i="5" s="1"/>
  <c r="J1228" i="5"/>
  <c r="L1228" i="5" s="1"/>
  <c r="J1241" i="5"/>
  <c r="L1241" i="5" s="1"/>
  <c r="J1311" i="5"/>
  <c r="L1311" i="5" s="1"/>
  <c r="J490" i="5"/>
  <c r="L490" i="5" s="1"/>
  <c r="J1144" i="5"/>
  <c r="L1144" i="5" s="1"/>
  <c r="J1124" i="5"/>
  <c r="L1124" i="5" s="1"/>
  <c r="J1207" i="5"/>
  <c r="L1207" i="5" s="1"/>
  <c r="N1207" i="5" s="1"/>
  <c r="J922" i="5"/>
  <c r="L922" i="5" s="1"/>
  <c r="N922" i="5" s="1"/>
  <c r="J1130" i="5"/>
  <c r="L1130" i="5" s="1"/>
  <c r="N1130" i="5" s="1"/>
  <c r="J1151" i="5"/>
  <c r="L1151" i="5" s="1"/>
  <c r="J1159" i="5"/>
  <c r="L1159" i="5" s="1"/>
  <c r="J1263" i="5"/>
  <c r="L1263" i="5" s="1"/>
  <c r="J1154" i="5"/>
  <c r="L1154" i="5" s="1"/>
  <c r="N1154" i="5" s="1"/>
  <c r="J1123" i="5"/>
  <c r="L1123" i="5" s="1"/>
  <c r="N1123" i="5" s="1"/>
  <c r="J1281" i="5"/>
  <c r="L1281" i="5" s="1"/>
  <c r="J1286" i="5"/>
  <c r="L1286" i="5" s="1"/>
  <c r="J616" i="5"/>
  <c r="L616" i="5" s="1"/>
  <c r="J525" i="5"/>
  <c r="L525" i="5" s="1"/>
  <c r="J962" i="5"/>
  <c r="L962" i="5" s="1"/>
  <c r="J773" i="5"/>
  <c r="L773" i="5" s="1"/>
  <c r="J967" i="5"/>
  <c r="L967" i="5" s="1"/>
  <c r="J778" i="5"/>
  <c r="L778" i="5" s="1"/>
  <c r="J1321" i="5"/>
  <c r="L1321" i="5" s="1"/>
  <c r="J1069" i="5"/>
  <c r="L1069" i="5" s="1"/>
  <c r="K1140" i="5"/>
  <c r="K909" i="5"/>
  <c r="K1185" i="5"/>
  <c r="K954" i="5"/>
  <c r="J969" i="5"/>
  <c r="L969" i="5" s="1"/>
  <c r="J780" i="5"/>
  <c r="L780" i="5" s="1"/>
  <c r="J1315" i="5"/>
  <c r="L1315" i="5" s="1"/>
  <c r="J1063" i="5"/>
  <c r="L1063" i="5" s="1"/>
  <c r="J963" i="5"/>
  <c r="L963" i="5" s="1"/>
  <c r="J774" i="5"/>
  <c r="L774" i="5" s="1"/>
  <c r="J980" i="5"/>
  <c r="L980" i="5" s="1"/>
  <c r="J791" i="5"/>
  <c r="L791" i="5" s="1"/>
  <c r="J968" i="5"/>
  <c r="L968" i="5" s="1"/>
  <c r="J779" i="5"/>
  <c r="L779" i="5" s="1"/>
  <c r="J128" i="5"/>
  <c r="J86" i="5"/>
  <c r="J614" i="5"/>
  <c r="L614" i="5" s="1"/>
  <c r="J523" i="5"/>
  <c r="L523" i="5" s="1"/>
  <c r="N523" i="5" s="1"/>
  <c r="J122" i="5"/>
  <c r="J80" i="5"/>
  <c r="K267" i="5"/>
  <c r="K225" i="5"/>
  <c r="K64" i="5"/>
  <c r="K57" i="5"/>
  <c r="K314" i="5"/>
  <c r="K272" i="5"/>
  <c r="K186" i="5"/>
  <c r="K144" i="5"/>
  <c r="K1272" i="5"/>
  <c r="K1020" i="5"/>
  <c r="K832" i="5"/>
  <c r="K664" i="5"/>
  <c r="K474" i="5"/>
  <c r="K411" i="5"/>
  <c r="K817" i="5"/>
  <c r="K649" i="5"/>
  <c r="J1186" i="5"/>
  <c r="L1186" i="5" s="1"/>
  <c r="J988" i="5"/>
  <c r="L988" i="5" s="1"/>
  <c r="N988" i="5" s="1"/>
  <c r="J1180" i="5"/>
  <c r="L1180" i="5" s="1"/>
  <c r="J1244" i="5"/>
  <c r="L1244" i="5" s="1"/>
  <c r="J1094" i="5"/>
  <c r="L1094" i="5" s="1"/>
  <c r="J576" i="5"/>
  <c r="L576" i="5" s="1"/>
  <c r="J658" i="5"/>
  <c r="L658" i="5" s="1"/>
  <c r="J674" i="5"/>
  <c r="J1021" i="5"/>
  <c r="L1021" i="5" s="1"/>
  <c r="J835" i="5"/>
  <c r="J1169" i="5"/>
  <c r="L1169" i="5" s="1"/>
  <c r="J235" i="5"/>
  <c r="J1231" i="5"/>
  <c r="L1231" i="5" s="1"/>
  <c r="J1250" i="5"/>
  <c r="L1250" i="5" s="1"/>
  <c r="J1266" i="5"/>
  <c r="L1266" i="5" s="1"/>
  <c r="J1301" i="5"/>
  <c r="L1301" i="5" s="1"/>
  <c r="J1304" i="5"/>
  <c r="L1304" i="5" s="1"/>
  <c r="J806" i="5"/>
  <c r="J902" i="5"/>
  <c r="L902" i="5" s="1"/>
  <c r="J1089" i="5"/>
  <c r="L1089" i="5" s="1"/>
  <c r="J1137" i="5"/>
  <c r="L1137" i="5" s="1"/>
  <c r="N1137" i="5" s="1"/>
  <c r="J997" i="5"/>
  <c r="L997" i="5" s="1"/>
  <c r="J57" i="5"/>
  <c r="J105" i="5"/>
  <c r="J1043" i="5"/>
  <c r="J670" i="5"/>
  <c r="L670" i="5" s="1"/>
  <c r="J899" i="5"/>
  <c r="L899" i="5" s="1"/>
  <c r="J1033" i="5"/>
  <c r="L1033" i="5" s="1"/>
  <c r="J827" i="5"/>
  <c r="L827" i="5" s="1"/>
  <c r="J891" i="5"/>
  <c r="J923" i="5"/>
  <c r="L923" i="5" s="1"/>
  <c r="J1190" i="5"/>
  <c r="L1190" i="5" s="1"/>
  <c r="J920" i="5"/>
  <c r="L920" i="5" s="1"/>
  <c r="J1003" i="5"/>
  <c r="L1003" i="5" s="1"/>
  <c r="J1147" i="5"/>
  <c r="L1147" i="5" s="1"/>
  <c r="N1147" i="5" s="1"/>
  <c r="J255" i="5"/>
  <c r="L255" i="5" s="1"/>
  <c r="J511" i="5"/>
  <c r="L511" i="5" s="1"/>
  <c r="J569" i="5"/>
  <c r="L569" i="5" s="1"/>
  <c r="J1027" i="5"/>
  <c r="L1027" i="5" s="1"/>
  <c r="J1030" i="5"/>
  <c r="L1030" i="5" s="1"/>
  <c r="J1193" i="5"/>
  <c r="L1193" i="5" s="1"/>
  <c r="J365" i="5"/>
  <c r="L365" i="5" s="1"/>
  <c r="J429" i="5"/>
  <c r="L429" i="5" s="1"/>
  <c r="J735" i="5"/>
  <c r="L735" i="5" s="1"/>
  <c r="J1101" i="5"/>
  <c r="L1101" i="5" s="1"/>
  <c r="J1165" i="5"/>
  <c r="L1165" i="5" s="1"/>
  <c r="J1168" i="5"/>
  <c r="L1168" i="5" s="1"/>
  <c r="J1267" i="5"/>
  <c r="L1267" i="5" s="1"/>
  <c r="J1283" i="5"/>
  <c r="L1283" i="5" s="1"/>
  <c r="J1305" i="5"/>
  <c r="L1305" i="5" s="1"/>
  <c r="J114" i="5"/>
  <c r="L114" i="5" s="1"/>
  <c r="J711" i="5"/>
  <c r="L711" i="5" s="1"/>
  <c r="J1157" i="5"/>
  <c r="L1157" i="5" s="1"/>
  <c r="J1243" i="5"/>
  <c r="L1243" i="5" s="1"/>
  <c r="J1313" i="5"/>
  <c r="L1313" i="5" s="1"/>
  <c r="J1139" i="5"/>
  <c r="L1139" i="5" s="1"/>
  <c r="J1155" i="5"/>
  <c r="L1155" i="5" s="1"/>
  <c r="J1174" i="5"/>
  <c r="L1174" i="5" s="1"/>
  <c r="N1174" i="5" s="1"/>
  <c r="J1253" i="5"/>
  <c r="L1253" i="5" s="1"/>
  <c r="J1339" i="5"/>
  <c r="L1339" i="5" s="1"/>
  <c r="N1339" i="5" s="1"/>
  <c r="J1171" i="5"/>
  <c r="L1171" i="5" s="1"/>
  <c r="J1282" i="5"/>
  <c r="L1282" i="5" s="1"/>
  <c r="J94" i="5"/>
  <c r="L94" i="5" s="1"/>
  <c r="J126" i="5"/>
  <c r="J1114" i="5"/>
  <c r="L1114" i="5" s="1"/>
  <c r="J1276" i="5"/>
  <c r="L1276" i="5" s="1"/>
  <c r="J1317" i="5"/>
  <c r="J826" i="5"/>
  <c r="L826" i="5" s="1"/>
  <c r="J1140" i="5"/>
  <c r="J1178" i="5"/>
  <c r="L1178" i="5" s="1"/>
  <c r="J1324" i="5"/>
  <c r="L1324" i="5" s="1"/>
  <c r="J1340" i="5"/>
  <c r="L1340" i="5" s="1"/>
  <c r="J1096" i="5"/>
  <c r="L1096" i="5" s="1"/>
  <c r="J1264" i="5"/>
  <c r="L1264" i="5" s="1"/>
  <c r="J1280" i="5"/>
  <c r="L1280" i="5" s="1"/>
  <c r="N1280" i="5" s="1"/>
  <c r="J1318" i="5"/>
  <c r="L1318" i="5" s="1"/>
  <c r="J1334" i="5"/>
  <c r="L1334" i="5" s="1"/>
  <c r="J958" i="5"/>
  <c r="L958" i="5" s="1"/>
  <c r="J1004" i="5"/>
  <c r="J1128" i="5"/>
  <c r="L1128" i="5" s="1"/>
  <c r="J1201" i="5"/>
  <c r="L1201" i="5" s="1"/>
  <c r="J1290" i="5"/>
  <c r="L1290" i="5" s="1"/>
  <c r="J1328" i="5"/>
  <c r="L1328" i="5" s="1"/>
  <c r="J406" i="5"/>
  <c r="L406" i="5" s="1"/>
  <c r="J598" i="5"/>
  <c r="L598" i="5" s="1"/>
  <c r="J856" i="5"/>
  <c r="L856" i="5" s="1"/>
  <c r="J1122" i="5"/>
  <c r="L1122" i="5" s="1"/>
  <c r="J946" i="5"/>
  <c r="L946" i="5" s="1"/>
  <c r="N946" i="5" s="1"/>
  <c r="J1097" i="5"/>
  <c r="L1097" i="5" s="1"/>
  <c r="N1097" i="5" s="1"/>
  <c r="J1167" i="5"/>
  <c r="L1167" i="5" s="1"/>
  <c r="J1246" i="5"/>
  <c r="L1246" i="5" s="1"/>
  <c r="N1246" i="5" s="1"/>
  <c r="J1278" i="5"/>
  <c r="J1297" i="5"/>
  <c r="L1297" i="5" s="1"/>
  <c r="J1332" i="5"/>
  <c r="L1332" i="5" s="1"/>
  <c r="J1348" i="5"/>
  <c r="L1348" i="5" s="1"/>
  <c r="J636" i="5"/>
  <c r="L636" i="5" s="1"/>
  <c r="J812" i="5"/>
  <c r="L812" i="5" s="1"/>
  <c r="J1040" i="5"/>
  <c r="L1040" i="5" s="1"/>
  <c r="J1158" i="5"/>
  <c r="L1158" i="5" s="1"/>
  <c r="J1256" i="5"/>
  <c r="L1256" i="5" s="1"/>
  <c r="J1342" i="5"/>
  <c r="J878" i="5"/>
  <c r="J894" i="5"/>
  <c r="L894" i="5" s="1"/>
  <c r="J1125" i="5"/>
  <c r="J1279" i="5"/>
  <c r="L1279" i="5" s="1"/>
  <c r="J67" i="5"/>
  <c r="L67" i="5" s="1"/>
  <c r="J99" i="5"/>
  <c r="L99" i="5" s="1"/>
  <c r="J547" i="5"/>
  <c r="L547" i="5" s="1"/>
  <c r="J661" i="5"/>
  <c r="L661" i="5" s="1"/>
  <c r="J1007" i="5"/>
  <c r="L1007" i="5" s="1"/>
  <c r="J1132" i="5"/>
  <c r="L1132" i="5" s="1"/>
  <c r="J1198" i="5"/>
  <c r="L1198" i="5" s="1"/>
  <c r="J892" i="5"/>
  <c r="L892" i="5" s="1"/>
  <c r="J215" i="5"/>
  <c r="L215" i="5" s="1"/>
  <c r="J1337" i="5"/>
  <c r="L1337" i="5" s="1"/>
  <c r="J414" i="5"/>
  <c r="L414" i="5" s="1"/>
  <c r="J574" i="5"/>
  <c r="L574" i="5" s="1"/>
  <c r="J1102" i="5"/>
  <c r="L1102" i="5" s="1"/>
  <c r="J1212" i="5"/>
  <c r="L1212" i="5" s="1"/>
  <c r="J1240" i="5"/>
  <c r="L1240" i="5" s="1"/>
  <c r="J136" i="5"/>
  <c r="L136" i="5" s="1"/>
  <c r="J957" i="5"/>
  <c r="L957" i="5" s="1"/>
  <c r="J1206" i="5"/>
  <c r="L1206" i="5" s="1"/>
  <c r="J1303" i="5"/>
  <c r="L1303" i="5" s="1"/>
  <c r="N1303" i="5" s="1"/>
  <c r="J1309" i="5"/>
  <c r="L1309" i="5" s="1"/>
  <c r="J1341" i="5"/>
  <c r="L1341" i="5" s="1"/>
  <c r="N1341" i="5" s="1"/>
  <c r="J1227" i="5"/>
  <c r="L1227" i="5" s="1"/>
  <c r="J1349" i="5"/>
  <c r="L1349" i="5" s="1"/>
  <c r="J868" i="5"/>
  <c r="L868" i="5" s="1"/>
  <c r="J900" i="5"/>
  <c r="L900" i="5" s="1"/>
  <c r="J919" i="5"/>
  <c r="J935" i="5"/>
  <c r="L935" i="5" s="1"/>
  <c r="J1000" i="5"/>
  <c r="L1000" i="5" s="1"/>
  <c r="J1112" i="5"/>
  <c r="L1112" i="5" s="1"/>
  <c r="J1115" i="5"/>
  <c r="L1115" i="5" s="1"/>
  <c r="J1131" i="5"/>
  <c r="L1131" i="5" s="1"/>
  <c r="J1153" i="5"/>
  <c r="L1153" i="5" s="1"/>
  <c r="J1269" i="5"/>
  <c r="L1269" i="5" s="1"/>
  <c r="J1291" i="5"/>
  <c r="L1291" i="5" s="1"/>
  <c r="J183" i="5"/>
  <c r="L183" i="5" s="1"/>
  <c r="J1002" i="5"/>
  <c r="L1002" i="5" s="1"/>
  <c r="J1005" i="5"/>
  <c r="L1005" i="5" s="1"/>
  <c r="J461" i="5"/>
  <c r="L461" i="5" s="1"/>
  <c r="J477" i="5"/>
  <c r="J639" i="5"/>
  <c r="L639" i="5" s="1"/>
  <c r="J917" i="5"/>
  <c r="L917" i="5" s="1"/>
  <c r="J1104" i="5"/>
  <c r="J1162" i="5"/>
  <c r="L1162" i="5" s="1"/>
  <c r="J1177" i="5"/>
  <c r="L1177" i="5" s="1"/>
  <c r="J1183" i="5"/>
  <c r="L1183" i="5" s="1"/>
  <c r="J1189" i="5"/>
  <c r="L1189" i="5" s="1"/>
  <c r="J1210" i="5"/>
  <c r="L1210" i="5" s="1"/>
  <c r="J1229" i="5"/>
  <c r="L1229" i="5" s="1"/>
  <c r="J1232" i="5"/>
  <c r="L1232" i="5" s="1"/>
  <c r="J1238" i="5"/>
  <c r="L1238" i="5" s="1"/>
  <c r="J1255" i="5"/>
  <c r="L1255" i="5" s="1"/>
  <c r="J1270" i="5"/>
  <c r="L1270" i="5" s="1"/>
  <c r="J1285" i="5"/>
  <c r="J1358" i="5"/>
  <c r="J876" i="5"/>
  <c r="L876" i="5" s="1"/>
  <c r="J1006" i="5"/>
  <c r="L1006" i="5" s="1"/>
  <c r="J1022" i="5"/>
  <c r="J1093" i="5"/>
  <c r="J1120" i="5"/>
  <c r="L1120" i="5" s="1"/>
  <c r="N1120" i="5" s="1"/>
  <c r="J1220" i="5"/>
  <c r="L1220" i="5" s="1"/>
  <c r="J1041" i="5"/>
  <c r="L1041" i="5" s="1"/>
  <c r="J1214" i="5"/>
  <c r="L1214" i="5" s="1"/>
  <c r="J475" i="5"/>
  <c r="L475" i="5" s="1"/>
  <c r="J621" i="5"/>
  <c r="L621" i="5" s="1"/>
  <c r="J653" i="5"/>
  <c r="L653" i="5" s="1"/>
  <c r="J685" i="5"/>
  <c r="L685" i="5" s="1"/>
  <c r="J800" i="5"/>
  <c r="L800" i="5" s="1"/>
  <c r="J995" i="5"/>
  <c r="L995" i="5" s="1"/>
  <c r="J1160" i="5"/>
  <c r="L1160" i="5" s="1"/>
  <c r="J1172" i="5"/>
  <c r="L1172" i="5" s="1"/>
  <c r="J1202" i="5"/>
  <c r="L1202" i="5" s="1"/>
  <c r="J1265" i="5"/>
  <c r="L1265" i="5" s="1"/>
  <c r="J928" i="5"/>
  <c r="L928" i="5" s="1"/>
  <c r="J1029" i="5"/>
  <c r="L1029" i="5" s="1"/>
  <c r="N1029" i="5" s="1"/>
  <c r="J1148" i="5"/>
  <c r="L1148" i="5" s="1"/>
  <c r="J1221" i="5"/>
  <c r="L1221" i="5" s="1"/>
  <c r="J1224" i="5"/>
  <c r="L1224" i="5" s="1"/>
  <c r="J504" i="5"/>
  <c r="J1314" i="5"/>
  <c r="L1314" i="5" s="1"/>
  <c r="J1323" i="5"/>
  <c r="L1323" i="5" s="1"/>
  <c r="J588" i="5"/>
  <c r="L588" i="5" s="1"/>
  <c r="J913" i="5"/>
  <c r="L913" i="5" s="1"/>
  <c r="J999" i="5"/>
  <c r="L999" i="5" s="1"/>
  <c r="J1086" i="5"/>
  <c r="L1086" i="5" s="1"/>
  <c r="J1100" i="5"/>
  <c r="L1100" i="5" s="1"/>
  <c r="J1109" i="5"/>
  <c r="L1109" i="5" s="1"/>
  <c r="N1109" i="5" s="1"/>
  <c r="J1245" i="5"/>
  <c r="L1245" i="5" s="1"/>
  <c r="J956" i="5"/>
  <c r="L956" i="5" s="1"/>
  <c r="N956" i="5" s="1"/>
  <c r="J53" i="5"/>
  <c r="L53" i="5" s="1"/>
  <c r="J192" i="5"/>
  <c r="J383" i="5"/>
  <c r="L383" i="5" s="1"/>
  <c r="J581" i="5"/>
  <c r="L581" i="5" s="1"/>
  <c r="J647" i="5"/>
  <c r="L647" i="5" s="1"/>
  <c r="J202" i="5"/>
  <c r="J234" i="5"/>
  <c r="J740" i="5"/>
  <c r="L740" i="5" s="1"/>
  <c r="N740" i="5" s="1"/>
  <c r="J70" i="5"/>
  <c r="L70" i="5" s="1"/>
  <c r="J134" i="5"/>
  <c r="L134" i="5" s="1"/>
  <c r="J443" i="5"/>
  <c r="L443" i="5" s="1"/>
  <c r="J857" i="5"/>
  <c r="L857" i="5" s="1"/>
  <c r="J945" i="5"/>
  <c r="L945" i="5" s="1"/>
  <c r="N945" i="5" s="1"/>
  <c r="J259" i="5"/>
  <c r="L259" i="5" s="1"/>
  <c r="J418" i="5"/>
  <c r="L418" i="5" s="1"/>
  <c r="J568" i="5"/>
  <c r="J650" i="5"/>
  <c r="L650" i="5" s="1"/>
  <c r="J749" i="5"/>
  <c r="L749" i="5" s="1"/>
  <c r="J864" i="5"/>
  <c r="L864" i="5" s="1"/>
  <c r="J420" i="5"/>
  <c r="L420" i="5" s="1"/>
  <c r="J191" i="5"/>
  <c r="L191" i="5" s="1"/>
  <c r="J206" i="5"/>
  <c r="J238" i="5"/>
  <c r="J344" i="5"/>
  <c r="J413" i="5"/>
  <c r="L413" i="5" s="1"/>
  <c r="J447" i="5"/>
  <c r="L447" i="5" s="1"/>
  <c r="J758" i="5"/>
  <c r="L758" i="5" s="1"/>
  <c r="J796" i="5"/>
  <c r="L796" i="5" s="1"/>
  <c r="J115" i="5"/>
  <c r="L115" i="5" s="1"/>
  <c r="J561" i="5"/>
  <c r="L561" i="5" s="1"/>
  <c r="J298" i="5"/>
  <c r="J326" i="5"/>
  <c r="L326" i="5" s="1"/>
  <c r="J404" i="5"/>
  <c r="L404" i="5" s="1"/>
  <c r="J407" i="5"/>
  <c r="L407" i="5" s="1"/>
  <c r="J536" i="5"/>
  <c r="J664" i="5"/>
  <c r="J683" i="5"/>
  <c r="L683" i="5" s="1"/>
  <c r="J831" i="5"/>
  <c r="L831" i="5" s="1"/>
  <c r="J401" i="5"/>
  <c r="L401" i="5" s="1"/>
  <c r="J427" i="5"/>
  <c r="L427" i="5" s="1"/>
  <c r="J486" i="5"/>
  <c r="L486" i="5" s="1"/>
  <c r="N486" i="5" s="1"/>
  <c r="J715" i="5"/>
  <c r="J754" i="5"/>
  <c r="L754" i="5" s="1"/>
  <c r="J822" i="5"/>
  <c r="L822" i="5" s="1"/>
  <c r="J330" i="5"/>
  <c r="L330" i="5" s="1"/>
  <c r="J480" i="5"/>
  <c r="L480" i="5" s="1"/>
  <c r="N480" i="5" s="1"/>
  <c r="J540" i="5"/>
  <c r="L540" i="5" s="1"/>
  <c r="J543" i="5"/>
  <c r="L543" i="5" s="1"/>
  <c r="J240" i="5"/>
  <c r="J399" i="5"/>
  <c r="L399" i="5" s="1"/>
  <c r="J582" i="5"/>
  <c r="L582" i="5" s="1"/>
  <c r="J628" i="5"/>
  <c r="L628" i="5" s="1"/>
  <c r="J640" i="5"/>
  <c r="L640" i="5" s="1"/>
  <c r="J656" i="5"/>
  <c r="L656" i="5" s="1"/>
  <c r="J801" i="5"/>
  <c r="L801" i="5" s="1"/>
  <c r="J403" i="5"/>
  <c r="L403" i="5" s="1"/>
  <c r="J466" i="5"/>
  <c r="L466" i="5" s="1"/>
  <c r="J830" i="5"/>
  <c r="L830" i="5" s="1"/>
  <c r="J120" i="5"/>
  <c r="J129" i="5"/>
  <c r="J203" i="5"/>
  <c r="L203" i="5" s="1"/>
  <c r="J469" i="5"/>
  <c r="L469" i="5" s="1"/>
  <c r="J721" i="5"/>
  <c r="L721" i="5" s="1"/>
  <c r="N721" i="5" s="1"/>
  <c r="J803" i="5"/>
  <c r="L803" i="5" s="1"/>
  <c r="J1034" i="5"/>
  <c r="L1034" i="5" s="1"/>
  <c r="J1329" i="5"/>
  <c r="L1329" i="5" s="1"/>
  <c r="J651" i="5"/>
  <c r="L651" i="5" s="1"/>
  <c r="J680" i="5"/>
  <c r="L680" i="5" s="1"/>
  <c r="J669" i="5"/>
  <c r="L669" i="5" s="1"/>
  <c r="J741" i="5"/>
  <c r="L741" i="5" s="1"/>
  <c r="J763" i="5"/>
  <c r="L763" i="5" s="1"/>
  <c r="J673" i="5"/>
  <c r="J944" i="5"/>
  <c r="L944" i="5" s="1"/>
  <c r="J989" i="5"/>
  <c r="L989" i="5" s="1"/>
  <c r="N989" i="5" s="1"/>
  <c r="J245" i="5"/>
  <c r="L245" i="5" s="1"/>
  <c r="J578" i="5"/>
  <c r="L578" i="5" s="1"/>
  <c r="J646" i="5"/>
  <c r="L646" i="5" s="1"/>
  <c r="J761" i="5"/>
  <c r="L761" i="5" s="1"/>
  <c r="J821" i="5"/>
  <c r="L821" i="5" s="1"/>
  <c r="J1010" i="5"/>
  <c r="L1010" i="5" s="1"/>
  <c r="J1352" i="5"/>
  <c r="L1352" i="5" s="1"/>
  <c r="J1258" i="5"/>
  <c r="L1258" i="5" s="1"/>
  <c r="N1258" i="5" s="1"/>
  <c r="J1008" i="5"/>
  <c r="L1008" i="5" s="1"/>
  <c r="J1019" i="5"/>
  <c r="L1019" i="5" s="1"/>
  <c r="J1259" i="5"/>
  <c r="L1259" i="5" s="1"/>
  <c r="J1235" i="5"/>
  <c r="L1235" i="5" s="1"/>
  <c r="J1344" i="5"/>
  <c r="L1344" i="5" s="1"/>
  <c r="J1011" i="5"/>
  <c r="L1011" i="5" s="1"/>
  <c r="J1327" i="5"/>
  <c r="L1327" i="5" s="1"/>
  <c r="N1327" i="5" s="1"/>
  <c r="J904" i="5"/>
  <c r="J948" i="5"/>
  <c r="J1119" i="5"/>
  <c r="L1119" i="5" s="1"/>
  <c r="N1119" i="5" s="1"/>
  <c r="J1192" i="5"/>
  <c r="L1192" i="5" s="1"/>
  <c r="J1251" i="5"/>
  <c r="L1251" i="5" s="1"/>
  <c r="J875" i="5"/>
  <c r="L875" i="5" s="1"/>
  <c r="J1023" i="5"/>
  <c r="L1023" i="5" s="1"/>
  <c r="J1105" i="5"/>
  <c r="L1105" i="5" s="1"/>
  <c r="J1135" i="5"/>
  <c r="L1135" i="5" s="1"/>
  <c r="J1179" i="5"/>
  <c r="L1179" i="5" s="1"/>
  <c r="J1230" i="5"/>
  <c r="L1230" i="5" s="1"/>
  <c r="J1320" i="5"/>
  <c r="L1320" i="5" s="1"/>
  <c r="J1217" i="5"/>
  <c r="L1217" i="5" s="1"/>
  <c r="J1271" i="5"/>
  <c r="L1271" i="5" s="1"/>
  <c r="K395" i="5"/>
  <c r="J410" i="5"/>
  <c r="J1138" i="5"/>
  <c r="L1138" i="5" s="1"/>
  <c r="J619" i="5"/>
  <c r="J1098" i="5"/>
  <c r="L1098" i="5" s="1"/>
  <c r="J1307" i="5"/>
  <c r="L1307" i="5" s="1"/>
  <c r="J510" i="5"/>
  <c r="L510" i="5" s="1"/>
  <c r="J733" i="5"/>
  <c r="J846" i="5"/>
  <c r="L846" i="5" s="1"/>
  <c r="J176" i="5"/>
  <c r="J766" i="5"/>
  <c r="L766" i="5" s="1"/>
  <c r="J457" i="5"/>
  <c r="L457" i="5" s="1"/>
  <c r="J585" i="5"/>
  <c r="L585" i="5" s="1"/>
  <c r="J474" i="5"/>
  <c r="J398" i="5"/>
  <c r="L398" i="5" s="1"/>
  <c r="J573" i="5"/>
  <c r="J983" i="5"/>
  <c r="J753" i="5"/>
  <c r="L753" i="5" s="1"/>
  <c r="J1261" i="5"/>
  <c r="J1277" i="5"/>
  <c r="L1277" i="5" s="1"/>
  <c r="J1312" i="5"/>
  <c r="L1312" i="5" s="1"/>
  <c r="J925" i="5"/>
  <c r="J941" i="5"/>
  <c r="L941" i="5" s="1"/>
  <c r="N941" i="5" s="1"/>
  <c r="J142" i="5"/>
  <c r="J190" i="5"/>
  <c r="L190" i="5" s="1"/>
  <c r="J1152" i="5"/>
  <c r="L1152" i="5" s="1"/>
  <c r="J1237" i="5"/>
  <c r="J117" i="5"/>
  <c r="L117" i="5" s="1"/>
  <c r="N117" i="5" s="1"/>
  <c r="J133" i="5"/>
  <c r="L133" i="5" s="1"/>
  <c r="J1209" i="5"/>
  <c r="L1209" i="5" s="1"/>
  <c r="J130" i="5"/>
  <c r="L130" i="5" s="1"/>
  <c r="J357" i="5"/>
  <c r="L357" i="5" s="1"/>
  <c r="J1143" i="5"/>
  <c r="L1143" i="5" s="1"/>
  <c r="J1222" i="5"/>
  <c r="L1222" i="5" s="1"/>
  <c r="N1222" i="5" s="1"/>
  <c r="J1134" i="5"/>
  <c r="L1134" i="5" s="1"/>
  <c r="J1200" i="5"/>
  <c r="L1200" i="5" s="1"/>
  <c r="J1272" i="5"/>
  <c r="J1185" i="5"/>
  <c r="J237" i="5"/>
  <c r="L237" i="5" s="1"/>
  <c r="J384" i="5"/>
  <c r="J400" i="5"/>
  <c r="L400" i="5" s="1"/>
  <c r="J760" i="5"/>
  <c r="L760" i="5" s="1"/>
  <c r="J792" i="5"/>
  <c r="L792" i="5" s="1"/>
  <c r="N792" i="5" s="1"/>
  <c r="J939" i="5"/>
  <c r="L939" i="5" s="1"/>
  <c r="J903" i="5"/>
  <c r="J959" i="5"/>
  <c r="L959" i="5" s="1"/>
  <c r="L12" i="5"/>
  <c r="J124" i="5"/>
  <c r="L124" i="5" s="1"/>
  <c r="J143" i="5"/>
  <c r="L143" i="5" s="1"/>
  <c r="J210" i="5"/>
  <c r="L210" i="5" s="1"/>
  <c r="J226" i="5"/>
  <c r="L226" i="5" s="1"/>
  <c r="J296" i="5"/>
  <c r="L296" i="5" s="1"/>
  <c r="J334" i="5"/>
  <c r="J353" i="5"/>
  <c r="L353" i="5" s="1"/>
  <c r="J468" i="5"/>
  <c r="L468" i="5" s="1"/>
  <c r="J500" i="5"/>
  <c r="L500" i="5" s="1"/>
  <c r="J716" i="5"/>
  <c r="L716" i="5" s="1"/>
  <c r="J732" i="5"/>
  <c r="L732" i="5" s="1"/>
  <c r="J748" i="5"/>
  <c r="J879" i="5"/>
  <c r="L879" i="5" s="1"/>
  <c r="J911" i="5"/>
  <c r="L911" i="5" s="1"/>
  <c r="J288" i="5"/>
  <c r="L288" i="5" s="1"/>
  <c r="J291" i="5"/>
  <c r="L291" i="5" s="1"/>
  <c r="J300" i="5"/>
  <c r="L300" i="5" s="1"/>
  <c r="J306" i="5"/>
  <c r="L306" i="5" s="1"/>
  <c r="J309" i="5"/>
  <c r="L309" i="5" s="1"/>
  <c r="J321" i="5"/>
  <c r="J327" i="5"/>
  <c r="L327" i="5" s="1"/>
  <c r="J342" i="5"/>
  <c r="L342" i="5" s="1"/>
  <c r="J415" i="5"/>
  <c r="L415" i="5" s="1"/>
  <c r="J487" i="5"/>
  <c r="L487" i="5" s="1"/>
  <c r="J584" i="5"/>
  <c r="L584" i="5" s="1"/>
  <c r="J587" i="5"/>
  <c r="L587" i="5" s="1"/>
  <c r="J611" i="5"/>
  <c r="J720" i="5"/>
  <c r="L720" i="5" s="1"/>
  <c r="J817" i="5"/>
  <c r="J433" i="5"/>
  <c r="L433" i="5" s="1"/>
  <c r="J839" i="5"/>
  <c r="L839" i="5" s="1"/>
  <c r="J449" i="5"/>
  <c r="L449" i="5" s="1"/>
  <c r="J381" i="5"/>
  <c r="L381" i="5" s="1"/>
  <c r="J63" i="5"/>
  <c r="L63" i="5" s="1"/>
  <c r="J96" i="5"/>
  <c r="J165" i="5"/>
  <c r="L165" i="5" s="1"/>
  <c r="J197" i="5"/>
  <c r="L197" i="5" s="1"/>
  <c r="J222" i="5"/>
  <c r="L222" i="5" s="1"/>
  <c r="J382" i="5"/>
  <c r="L382" i="5" s="1"/>
  <c r="J385" i="5"/>
  <c r="L385" i="5" s="1"/>
  <c r="J575" i="5"/>
  <c r="L575" i="5" s="1"/>
  <c r="J617" i="5"/>
  <c r="L617" i="5" s="1"/>
  <c r="J626" i="5"/>
  <c r="L626" i="5" s="1"/>
  <c r="J635" i="5"/>
  <c r="L635" i="5" s="1"/>
  <c r="J678" i="5"/>
  <c r="L678" i="5" s="1"/>
  <c r="J684" i="5"/>
  <c r="L684" i="5" s="1"/>
  <c r="J666" i="5"/>
  <c r="L666" i="5" s="1"/>
  <c r="J757" i="5"/>
  <c r="L757" i="5" s="1"/>
  <c r="J794" i="5"/>
  <c r="L794" i="5" s="1"/>
  <c r="J836" i="5"/>
  <c r="L836" i="5" s="1"/>
  <c r="J583" i="5"/>
  <c r="L583" i="5" s="1"/>
  <c r="J164" i="5"/>
  <c r="L164" i="5" s="1"/>
  <c r="J677" i="5"/>
  <c r="L677" i="5" s="1"/>
  <c r="N677" i="5" s="1"/>
  <c r="J50" i="5"/>
  <c r="L50" i="5" s="1"/>
  <c r="J69" i="5"/>
  <c r="L69" i="5" s="1"/>
  <c r="J51" i="5"/>
  <c r="L51" i="5" s="1"/>
  <c r="N51" i="5" s="1"/>
  <c r="J54" i="5"/>
  <c r="J219" i="5"/>
  <c r="L219" i="5" s="1"/>
  <c r="J271" i="5"/>
  <c r="L271" i="5" s="1"/>
  <c r="J286" i="5"/>
  <c r="L286" i="5" s="1"/>
  <c r="J316" i="5"/>
  <c r="L316" i="5" s="1"/>
  <c r="J346" i="5"/>
  <c r="J349" i="5"/>
  <c r="L349" i="5" s="1"/>
  <c r="J367" i="5"/>
  <c r="L367" i="5" s="1"/>
  <c r="J376" i="5"/>
  <c r="J442" i="5"/>
  <c r="J533" i="5"/>
  <c r="L533" i="5" s="1"/>
  <c r="J554" i="5"/>
  <c r="L554" i="5" s="1"/>
  <c r="J557" i="5"/>
  <c r="L557" i="5" s="1"/>
  <c r="J563" i="5"/>
  <c r="L563" i="5" s="1"/>
  <c r="J590" i="5"/>
  <c r="J675" i="5"/>
  <c r="L675" i="5" s="1"/>
  <c r="J672" i="5"/>
  <c r="L672" i="5" s="1"/>
  <c r="J742" i="5"/>
  <c r="L742" i="5" s="1"/>
  <c r="J154" i="5"/>
  <c r="J358" i="5"/>
  <c r="L358" i="5" s="1"/>
  <c r="J373" i="5"/>
  <c r="L373" i="5" s="1"/>
  <c r="J654" i="5"/>
  <c r="L654" i="5" s="1"/>
  <c r="J849" i="5"/>
  <c r="J874" i="5"/>
  <c r="L874" i="5" s="1"/>
  <c r="N874" i="5" s="1"/>
  <c r="J880" i="5"/>
  <c r="L880" i="5" s="1"/>
  <c r="J310" i="5"/>
  <c r="L310" i="5" s="1"/>
  <c r="J313" i="5"/>
  <c r="L313" i="5" s="1"/>
  <c r="J322" i="5"/>
  <c r="L322" i="5" s="1"/>
  <c r="J663" i="5"/>
  <c r="L663" i="5" s="1"/>
  <c r="J755" i="5"/>
  <c r="L755" i="5" s="1"/>
  <c r="N755" i="5" s="1"/>
  <c r="J865" i="5"/>
  <c r="L865" i="5" s="1"/>
  <c r="J883" i="5"/>
  <c r="L883" i="5" s="1"/>
  <c r="J127" i="5"/>
  <c r="L127" i="5" s="1"/>
  <c r="J395" i="5"/>
  <c r="J434" i="5"/>
  <c r="J596" i="5"/>
  <c r="L596" i="5" s="1"/>
  <c r="J612" i="5"/>
  <c r="L612" i="5" s="1"/>
  <c r="J642" i="5"/>
  <c r="L642" i="5" s="1"/>
  <c r="J657" i="5"/>
  <c r="L657" i="5" s="1"/>
  <c r="J660" i="5"/>
  <c r="L660" i="5" s="1"/>
  <c r="J746" i="5"/>
  <c r="L746" i="5" s="1"/>
  <c r="J764" i="5"/>
  <c r="L764" i="5" s="1"/>
  <c r="J798" i="5"/>
  <c r="J828" i="5"/>
  <c r="L828" i="5" s="1"/>
  <c r="J834" i="5"/>
  <c r="J840" i="5"/>
  <c r="L840" i="5" s="1"/>
  <c r="J843" i="5"/>
  <c r="L843" i="5" s="1"/>
  <c r="J712" i="5"/>
  <c r="L712" i="5" s="1"/>
  <c r="J113" i="5"/>
  <c r="L113" i="5" s="1"/>
  <c r="J375" i="5"/>
  <c r="L375" i="5" s="1"/>
  <c r="J140" i="5"/>
  <c r="L140" i="5" s="1"/>
  <c r="J181" i="5"/>
  <c r="L181" i="5" s="1"/>
  <c r="J187" i="5"/>
  <c r="L187" i="5" s="1"/>
  <c r="J220" i="5"/>
  <c r="L220" i="5" s="1"/>
  <c r="J266" i="5"/>
  <c r="J295" i="5"/>
  <c r="L295" i="5" s="1"/>
  <c r="J377" i="5"/>
  <c r="J567" i="5"/>
  <c r="J591" i="5"/>
  <c r="J889" i="5"/>
  <c r="L889" i="5" s="1"/>
  <c r="J713" i="5"/>
  <c r="L713" i="5" s="1"/>
  <c r="J199" i="5"/>
  <c r="L199" i="5" s="1"/>
  <c r="J759" i="5"/>
  <c r="L759" i="5" s="1"/>
  <c r="J823" i="5"/>
  <c r="L823" i="5" s="1"/>
  <c r="J196" i="5"/>
  <c r="L196" i="5" s="1"/>
  <c r="J363" i="5"/>
  <c r="J284" i="5"/>
  <c r="L284" i="5" s="1"/>
  <c r="J362" i="5"/>
  <c r="J374" i="5"/>
  <c r="L374" i="5" s="1"/>
  <c r="J458" i="5"/>
  <c r="L458" i="5" s="1"/>
  <c r="J725" i="5"/>
  <c r="L725" i="5" s="1"/>
  <c r="J728" i="5"/>
  <c r="L728" i="5" s="1"/>
  <c r="J804" i="5"/>
  <c r="L804" i="5" s="1"/>
  <c r="J813" i="5"/>
  <c r="L813" i="5" s="1"/>
  <c r="N813" i="5" s="1"/>
  <c r="J816" i="5"/>
  <c r="L816" i="5" s="1"/>
  <c r="N816" i="5" s="1"/>
  <c r="J167" i="5"/>
  <c r="L167" i="5" s="1"/>
  <c r="J149" i="5"/>
  <c r="L149" i="5" s="1"/>
  <c r="J161" i="5"/>
  <c r="L161" i="5" s="1"/>
  <c r="J173" i="5"/>
  <c r="L173" i="5" s="1"/>
  <c r="J211" i="5"/>
  <c r="L211" i="5" s="1"/>
  <c r="J239" i="5"/>
  <c r="L239" i="5" s="1"/>
  <c r="J263" i="5"/>
  <c r="L263" i="5" s="1"/>
  <c r="J275" i="5"/>
  <c r="L275" i="5" s="1"/>
  <c r="J278" i="5"/>
  <c r="J290" i="5"/>
  <c r="L290" i="5" s="1"/>
  <c r="J359" i="5"/>
  <c r="L359" i="5" s="1"/>
  <c r="J426" i="5"/>
  <c r="L426" i="5" s="1"/>
  <c r="J534" i="5"/>
  <c r="L534" i="5" s="1"/>
  <c r="J537" i="5"/>
  <c r="L537" i="5" s="1"/>
  <c r="J597" i="5"/>
  <c r="L597" i="5" s="1"/>
  <c r="N597" i="5" s="1"/>
  <c r="J606" i="5"/>
  <c r="L606" i="5" s="1"/>
  <c r="J750" i="5"/>
  <c r="L750" i="5" s="1"/>
  <c r="J756" i="5"/>
  <c r="L756" i="5" s="1"/>
  <c r="J103" i="5"/>
  <c r="L103" i="5" s="1"/>
  <c r="J216" i="5"/>
  <c r="J281" i="5"/>
  <c r="L281" i="5" s="1"/>
  <c r="J378" i="5"/>
  <c r="J387" i="5"/>
  <c r="J451" i="5"/>
  <c r="J170" i="5"/>
  <c r="J256" i="5"/>
  <c r="J329" i="5"/>
  <c r="L329" i="5" s="1"/>
  <c r="J421" i="5"/>
  <c r="J571" i="5"/>
  <c r="L571" i="5" s="1"/>
  <c r="J629" i="5"/>
  <c r="L629" i="5" s="1"/>
  <c r="J641" i="5"/>
  <c r="L641" i="5" s="1"/>
  <c r="N641" i="5" s="1"/>
  <c r="J884" i="5"/>
  <c r="L884" i="5" s="1"/>
  <c r="N884" i="5" s="1"/>
  <c r="J251" i="5"/>
  <c r="L251" i="5" s="1"/>
  <c r="J419" i="5"/>
  <c r="J151" i="5"/>
  <c r="L151" i="5" s="1"/>
  <c r="J341" i="5"/>
  <c r="L341" i="5" s="1"/>
  <c r="J411" i="5"/>
  <c r="J508" i="5"/>
  <c r="L508" i="5" s="1"/>
  <c r="N508" i="5" s="1"/>
  <c r="J484" i="5"/>
  <c r="J323" i="5"/>
  <c r="L323" i="5" s="1"/>
  <c r="J104" i="5"/>
  <c r="L104" i="5" s="1"/>
  <c r="J166" i="5"/>
  <c r="L166" i="5" s="1"/>
  <c r="J312" i="5"/>
  <c r="J347" i="5"/>
  <c r="J448" i="5"/>
  <c r="L448" i="5" s="1"/>
  <c r="J478" i="5"/>
  <c r="L478" i="5" s="1"/>
  <c r="J546" i="5"/>
  <c r="L546" i="5" s="1"/>
  <c r="J549" i="5"/>
  <c r="L549" i="5" s="1"/>
  <c r="J552" i="5"/>
  <c r="L552" i="5" s="1"/>
  <c r="J555" i="5"/>
  <c r="J718" i="5"/>
  <c r="L718" i="5" s="1"/>
  <c r="J727" i="5"/>
  <c r="J745" i="5"/>
  <c r="L745" i="5" s="1"/>
  <c r="J901" i="5"/>
  <c r="L901" i="5" s="1"/>
  <c r="J951" i="5"/>
  <c r="L951" i="5" s="1"/>
  <c r="J112" i="5"/>
  <c r="J630" i="5"/>
  <c r="L630" i="5" s="1"/>
  <c r="J289" i="5"/>
  <c r="L11" i="5"/>
  <c r="J108" i="5"/>
  <c r="L108" i="5" s="1"/>
  <c r="N108" i="5" s="1"/>
  <c r="J118" i="5"/>
  <c r="L118" i="5" s="1"/>
  <c r="J135" i="5"/>
  <c r="L135" i="5" s="1"/>
  <c r="J195" i="5"/>
  <c r="L195" i="5" s="1"/>
  <c r="J272" i="5"/>
  <c r="J283" i="5"/>
  <c r="L283" i="5" s="1"/>
  <c r="J294" i="5"/>
  <c r="L294" i="5" s="1"/>
  <c r="J356" i="5"/>
  <c r="L356" i="5" s="1"/>
  <c r="J444" i="5"/>
  <c r="L444" i="5" s="1"/>
  <c r="J488" i="5"/>
  <c r="L488" i="5" s="1"/>
  <c r="J603" i="5"/>
  <c r="L603" i="5" s="1"/>
  <c r="J423" i="5"/>
  <c r="L423" i="5" s="1"/>
  <c r="N423" i="5" s="1"/>
  <c r="J92" i="5"/>
  <c r="L92" i="5" s="1"/>
  <c r="J97" i="5"/>
  <c r="J144" i="5"/>
  <c r="J610" i="5"/>
  <c r="L610" i="5" s="1"/>
  <c r="J613" i="5"/>
  <c r="J682" i="5"/>
  <c r="L682" i="5" s="1"/>
  <c r="J793" i="5"/>
  <c r="L793" i="5" s="1"/>
  <c r="J898" i="5"/>
  <c r="L898" i="5" s="1"/>
  <c r="J55" i="5"/>
  <c r="L55" i="5" s="1"/>
  <c r="J172" i="5"/>
  <c r="L172" i="5" s="1"/>
  <c r="J236" i="5"/>
  <c r="L236" i="5" s="1"/>
  <c r="J541" i="5"/>
  <c r="L541" i="5" s="1"/>
  <c r="J895" i="5"/>
  <c r="L895" i="5" s="1"/>
  <c r="J185" i="5"/>
  <c r="L185" i="5" s="1"/>
  <c r="J213" i="5"/>
  <c r="L213" i="5" s="1"/>
  <c r="J224" i="5"/>
  <c r="J227" i="5"/>
  <c r="L227" i="5" s="1"/>
  <c r="J361" i="5"/>
  <c r="L361" i="5" s="1"/>
  <c r="J364" i="5"/>
  <c r="L364" i="5" s="1"/>
  <c r="J389" i="5"/>
  <c r="L389" i="5" s="1"/>
  <c r="J416" i="5"/>
  <c r="J431" i="5"/>
  <c r="L431" i="5" s="1"/>
  <c r="N431" i="5" s="1"/>
  <c r="J436" i="5"/>
  <c r="L436" i="5" s="1"/>
  <c r="J454" i="5"/>
  <c r="L454" i="5" s="1"/>
  <c r="N454" i="5" s="1"/>
  <c r="J460" i="5"/>
  <c r="L460" i="5" s="1"/>
  <c r="J502" i="5"/>
  <c r="L502" i="5" s="1"/>
  <c r="J495" i="5"/>
  <c r="J592" i="5"/>
  <c r="L592" i="5" s="1"/>
  <c r="J615" i="5"/>
  <c r="L615" i="5" s="1"/>
  <c r="J618" i="5"/>
  <c r="J644" i="5"/>
  <c r="L644" i="5" s="1"/>
  <c r="J737" i="5"/>
  <c r="L737" i="5" s="1"/>
  <c r="J984" i="5"/>
  <c r="L984" i="5" s="1"/>
  <c r="J987" i="5"/>
  <c r="L987" i="5" s="1"/>
  <c r="J1294" i="5"/>
  <c r="J1302" i="5"/>
  <c r="L1302" i="5" s="1"/>
  <c r="J1288" i="5"/>
  <c r="L1288" i="5" s="1"/>
  <c r="J633" i="5"/>
  <c r="J825" i="5"/>
  <c r="L825" i="5" s="1"/>
  <c r="J390" i="5"/>
  <c r="L390" i="5" s="1"/>
  <c r="J152" i="5"/>
  <c r="J186" i="5"/>
  <c r="J198" i="5"/>
  <c r="L198" i="5" s="1"/>
  <c r="J201" i="5"/>
  <c r="L201" i="5" s="1"/>
  <c r="J217" i="5"/>
  <c r="L217" i="5" s="1"/>
  <c r="J228" i="5"/>
  <c r="L228" i="5" s="1"/>
  <c r="J231" i="5"/>
  <c r="L231" i="5" s="1"/>
  <c r="J260" i="5"/>
  <c r="L260" i="5" s="1"/>
  <c r="J303" i="5"/>
  <c r="L303" i="5" s="1"/>
  <c r="J308" i="5"/>
  <c r="L308" i="5" s="1"/>
  <c r="J412" i="5"/>
  <c r="L412" i="5" s="1"/>
  <c r="J417" i="5"/>
  <c r="J445" i="5"/>
  <c r="L445" i="5" s="1"/>
  <c r="J472" i="5"/>
  <c r="J548" i="5"/>
  <c r="L548" i="5" s="1"/>
  <c r="N548" i="5" s="1"/>
  <c r="J599" i="5"/>
  <c r="L599" i="5" s="1"/>
  <c r="J607" i="5"/>
  <c r="L607" i="5" s="1"/>
  <c r="J625" i="5"/>
  <c r="L625" i="5" s="1"/>
  <c r="J726" i="5"/>
  <c r="L726" i="5" s="1"/>
  <c r="J918" i="5"/>
  <c r="L918" i="5" s="1"/>
  <c r="J1095" i="5"/>
  <c r="L1095" i="5" s="1"/>
  <c r="J109" i="5"/>
  <c r="L109" i="5" s="1"/>
  <c r="J338" i="5"/>
  <c r="L338" i="5" s="1"/>
  <c r="J456" i="5"/>
  <c r="J459" i="5"/>
  <c r="L459" i="5" s="1"/>
  <c r="J507" i="5"/>
  <c r="L507" i="5" s="1"/>
  <c r="J560" i="5"/>
  <c r="L560" i="5" s="1"/>
  <c r="J605" i="5"/>
  <c r="J768" i="5"/>
  <c r="L768" i="5" s="1"/>
  <c r="J811" i="5"/>
  <c r="L811" i="5" s="1"/>
  <c r="J933" i="5"/>
  <c r="L933" i="5" s="1"/>
  <c r="J855" i="5"/>
  <c r="J858" i="5"/>
  <c r="L858" i="5" s="1"/>
  <c r="J861" i="5"/>
  <c r="L861" i="5" s="1"/>
  <c r="J869" i="5"/>
  <c r="L869" i="5" s="1"/>
  <c r="AC61" i="5"/>
  <c r="AE61" i="5"/>
  <c r="M61" i="5"/>
  <c r="AD61" i="5"/>
  <c r="AA61" i="5"/>
  <c r="J972" i="5"/>
  <c r="J783" i="5"/>
  <c r="J119" i="5"/>
  <c r="L119" i="5" s="1"/>
  <c r="J77" i="5"/>
  <c r="L77" i="5" s="1"/>
  <c r="J977" i="5"/>
  <c r="L977" i="5" s="1"/>
  <c r="J788" i="5"/>
  <c r="L788" i="5" s="1"/>
  <c r="J517" i="5"/>
  <c r="L517" i="5" s="1"/>
  <c r="J1300" i="5"/>
  <c r="L1300" i="5" s="1"/>
  <c r="J1048" i="5"/>
  <c r="L1048" i="5" s="1"/>
  <c r="J973" i="5"/>
  <c r="L973" i="5" s="1"/>
  <c r="N973" i="5" s="1"/>
  <c r="J784" i="5"/>
  <c r="L784" i="5" s="1"/>
  <c r="N784" i="5" s="1"/>
  <c r="J1335" i="5"/>
  <c r="L1335" i="5" s="1"/>
  <c r="N1335" i="5" s="1"/>
  <c r="J1083" i="5"/>
  <c r="L1083" i="5" s="1"/>
  <c r="N1083" i="5" s="1"/>
  <c r="J125" i="5"/>
  <c r="L125" i="5" s="1"/>
  <c r="J83" i="5"/>
  <c r="L83" i="5" s="1"/>
  <c r="J978" i="5"/>
  <c r="L978" i="5" s="1"/>
  <c r="J789" i="5"/>
  <c r="L789" i="5" s="1"/>
  <c r="N789" i="5" s="1"/>
  <c r="J971" i="5"/>
  <c r="L971" i="5" s="1"/>
  <c r="J782" i="5"/>
  <c r="L782" i="5" s="1"/>
  <c r="J121" i="5"/>
  <c r="L121" i="5" s="1"/>
  <c r="J79" i="5"/>
  <c r="L79" i="5" s="1"/>
  <c r="J623" i="5"/>
  <c r="L623" i="5" s="1"/>
  <c r="J532" i="5"/>
  <c r="L532" i="5" s="1"/>
  <c r="J59" i="5"/>
  <c r="L59" i="5" s="1"/>
  <c r="J52" i="5"/>
  <c r="L52" i="5" s="1"/>
  <c r="J123" i="5"/>
  <c r="L123" i="5" s="1"/>
  <c r="J81" i="5"/>
  <c r="L81" i="5" s="1"/>
  <c r="J518" i="5"/>
  <c r="L518" i="5" s="1"/>
  <c r="J132" i="5"/>
  <c r="L132" i="5" s="1"/>
  <c r="J90" i="5"/>
  <c r="L90" i="5" s="1"/>
  <c r="K573" i="5"/>
  <c r="K489" i="5"/>
  <c r="K506" i="5"/>
  <c r="J131" i="5"/>
  <c r="L131" i="5" s="1"/>
  <c r="J89" i="5"/>
  <c r="L89" i="5" s="1"/>
  <c r="K298" i="5"/>
  <c r="K256" i="5"/>
  <c r="J979" i="5"/>
  <c r="L979" i="5" s="1"/>
  <c r="J790" i="5"/>
  <c r="L790" i="5" s="1"/>
  <c r="N790" i="5" s="1"/>
  <c r="J514" i="5"/>
  <c r="K331" i="5"/>
  <c r="K289" i="5"/>
  <c r="J975" i="5"/>
  <c r="J786" i="5"/>
  <c r="J873" i="5"/>
  <c r="L873" i="5" s="1"/>
  <c r="J705" i="5"/>
  <c r="L705" i="5" s="1"/>
  <c r="J1296" i="5"/>
  <c r="L1296" i="5" s="1"/>
  <c r="J1044" i="5"/>
  <c r="L1044" i="5" s="1"/>
  <c r="J872" i="5"/>
  <c r="L872" i="5" s="1"/>
  <c r="J704" i="5"/>
  <c r="L704" i="5" s="1"/>
  <c r="J1336" i="5"/>
  <c r="L1336" i="5" s="1"/>
  <c r="N1336" i="5" s="1"/>
  <c r="J1084" i="5"/>
  <c r="L1084" i="5" s="1"/>
  <c r="J860" i="5"/>
  <c r="L860" i="5" s="1"/>
  <c r="J692" i="5"/>
  <c r="L692" i="5" s="1"/>
  <c r="J863" i="5"/>
  <c r="L863" i="5" s="1"/>
  <c r="J695" i="5"/>
  <c r="L695" i="5" s="1"/>
  <c r="J970" i="5"/>
  <c r="L970" i="5" s="1"/>
  <c r="J781" i="5"/>
  <c r="L781" i="5" s="1"/>
  <c r="J1298" i="5"/>
  <c r="L1298" i="5" s="1"/>
  <c r="J1046" i="5"/>
  <c r="L1046" i="5" s="1"/>
  <c r="J1325" i="5"/>
  <c r="J1073" i="5"/>
  <c r="J1331" i="5"/>
  <c r="L1331" i="5" s="1"/>
  <c r="J1079" i="5"/>
  <c r="L1079" i="5" s="1"/>
  <c r="J1308" i="5"/>
  <c r="L1308" i="5" s="1"/>
  <c r="J1056" i="5"/>
  <c r="L1056" i="5" s="1"/>
  <c r="K362" i="5"/>
  <c r="K320" i="5"/>
  <c r="K202" i="5"/>
  <c r="K160" i="5"/>
  <c r="K218" i="5"/>
  <c r="K176" i="5"/>
  <c r="K216" i="5"/>
  <c r="K174" i="5"/>
  <c r="K346" i="5"/>
  <c r="K304" i="5"/>
  <c r="K408" i="5"/>
  <c r="K345" i="5"/>
  <c r="K312" i="5"/>
  <c r="K270" i="5"/>
  <c r="K54" i="5"/>
  <c r="K68" i="5"/>
  <c r="K250" i="5"/>
  <c r="K208" i="5"/>
  <c r="K442" i="5"/>
  <c r="K379" i="5"/>
  <c r="K344" i="5"/>
  <c r="K302" i="5"/>
  <c r="K363" i="5"/>
  <c r="K321" i="5"/>
  <c r="K120" i="5"/>
  <c r="K78" i="5"/>
  <c r="K410" i="5"/>
  <c r="K347" i="5"/>
  <c r="K266" i="5"/>
  <c r="K224" i="5"/>
  <c r="K600" i="5"/>
  <c r="K495" i="5"/>
  <c r="K184" i="5"/>
  <c r="K142" i="5"/>
  <c r="K234" i="5"/>
  <c r="K192" i="5"/>
  <c r="K376" i="5"/>
  <c r="K334" i="5"/>
  <c r="K122" i="5"/>
  <c r="K80" i="5"/>
  <c r="K170" i="5"/>
  <c r="K128" i="5"/>
  <c r="K235" i="5"/>
  <c r="K193" i="5"/>
  <c r="K555" i="5"/>
  <c r="K471" i="5"/>
  <c r="J116" i="5"/>
  <c r="L116" i="5" s="1"/>
  <c r="J74" i="5"/>
  <c r="L74" i="5" s="1"/>
  <c r="K138" i="5"/>
  <c r="K96" i="5"/>
  <c r="J1299" i="5"/>
  <c r="L1299" i="5" s="1"/>
  <c r="J1047" i="5"/>
  <c r="L1047" i="5" s="1"/>
  <c r="K618" i="5"/>
  <c r="K527" i="5"/>
  <c r="K514" i="5"/>
  <c r="K849" i="5"/>
  <c r="K681" i="5"/>
  <c r="K154" i="5"/>
  <c r="K112" i="5"/>
  <c r="K568" i="5"/>
  <c r="K484" i="5"/>
  <c r="K440" i="5"/>
  <c r="K377" i="5"/>
  <c r="K472" i="5"/>
  <c r="K409" i="5"/>
  <c r="K139" i="5"/>
  <c r="K97" i="5"/>
  <c r="K152" i="5"/>
  <c r="K110" i="5"/>
  <c r="K378" i="5"/>
  <c r="K336" i="5"/>
  <c r="K248" i="5"/>
  <c r="K206" i="5"/>
  <c r="K504" i="5"/>
  <c r="K434" i="5"/>
  <c r="K280" i="5"/>
  <c r="K238" i="5"/>
  <c r="K536" i="5"/>
  <c r="K452" i="5"/>
  <c r="K282" i="5"/>
  <c r="K240" i="5"/>
  <c r="J866" i="5"/>
  <c r="L866" i="5" s="1"/>
  <c r="J698" i="5"/>
  <c r="L698" i="5" s="1"/>
  <c r="L32" i="5"/>
  <c r="L41" i="5"/>
  <c r="L47" i="5"/>
  <c r="L48" i="5"/>
  <c r="L17" i="5"/>
  <c r="AA22" i="5"/>
  <c r="AB22" i="5"/>
  <c r="AC22" i="5"/>
  <c r="AE22" i="5"/>
  <c r="M22" i="5"/>
  <c r="AD22" i="5"/>
  <c r="AE16" i="5"/>
  <c r="M16" i="5"/>
  <c r="M59" i="5"/>
  <c r="AB59" i="5"/>
  <c r="AC59" i="5"/>
  <c r="M64" i="5"/>
  <c r="AB64" i="5"/>
  <c r="AC64" i="5"/>
  <c r="AB54" i="5"/>
  <c r="M54" i="5"/>
  <c r="AE54" i="5"/>
  <c r="AD54" i="5"/>
  <c r="AC54" i="5"/>
  <c r="M56" i="5"/>
  <c r="AB56" i="5"/>
  <c r="AD56" i="5"/>
  <c r="AE56" i="5"/>
  <c r="AA56" i="5"/>
  <c r="AC56" i="5"/>
  <c r="AB14" i="5"/>
  <c r="M14" i="5"/>
  <c r="AD14" i="5"/>
  <c r="AE14" i="5"/>
  <c r="AA12" i="5"/>
  <c r="AD12" i="5"/>
  <c r="AE12" i="5"/>
  <c r="M12" i="5"/>
  <c r="AC12" i="5"/>
  <c r="AA10" i="5"/>
  <c r="AE10" i="5"/>
  <c r="AC10" i="5"/>
  <c r="M10" i="5"/>
  <c r="AD10" i="5"/>
  <c r="AE39" i="5"/>
  <c r="AD39" i="5"/>
  <c r="AE66" i="5"/>
  <c r="AA66" i="5"/>
  <c r="AC66" i="5"/>
  <c r="AD66" i="5"/>
  <c r="M32" i="5"/>
  <c r="AB32" i="5"/>
  <c r="AC32" i="5"/>
  <c r="AB46" i="5"/>
  <c r="AD46" i="5"/>
  <c r="AA46" i="5"/>
  <c r="AE46" i="5"/>
  <c r="AE49" i="5"/>
  <c r="AB49" i="5"/>
  <c r="AB34" i="5"/>
  <c r="AE34" i="5"/>
  <c r="AD51" i="5"/>
  <c r="AA51" i="5"/>
  <c r="AB51" i="5"/>
  <c r="AC29" i="5"/>
  <c r="AB29" i="5"/>
  <c r="AE58" i="5"/>
  <c r="AA58" i="5"/>
  <c r="AB58" i="5"/>
  <c r="AD63" i="5"/>
  <c r="AB63" i="5"/>
  <c r="M27" i="5"/>
  <c r="AE27" i="5"/>
  <c r="AA27" i="5"/>
  <c r="AB27" i="5"/>
  <c r="AC27" i="5"/>
  <c r="AD27" i="5"/>
  <c r="AD25" i="5"/>
  <c r="AC25" i="5"/>
  <c r="AE25" i="5"/>
  <c r="M23" i="5"/>
  <c r="AD23" i="5"/>
  <c r="AC23" i="5"/>
  <c r="AA23" i="5"/>
  <c r="AB23" i="5"/>
  <c r="AE23" i="5"/>
  <c r="AA21" i="5"/>
  <c r="M21" i="5"/>
  <c r="AC21" i="5"/>
  <c r="AE21" i="5"/>
  <c r="AD21" i="5"/>
  <c r="AA19" i="5"/>
  <c r="M19" i="5"/>
  <c r="AD19" i="5"/>
  <c r="AE19" i="5"/>
  <c r="AC19" i="5"/>
  <c r="AA17" i="5"/>
  <c r="AE17" i="5"/>
  <c r="M17" i="5"/>
  <c r="AD17" i="5"/>
  <c r="AC17" i="5"/>
  <c r="AB17" i="5"/>
  <c r="AD31" i="5"/>
  <c r="AB31" i="5"/>
  <c r="M43" i="5"/>
  <c r="AC43" i="5"/>
  <c r="AB43" i="5"/>
  <c r="AA15" i="5"/>
  <c r="M15" i="5"/>
  <c r="AE15" i="5"/>
  <c r="AC15" i="5"/>
  <c r="AB55" i="5"/>
  <c r="AD55" i="5"/>
  <c r="M55" i="5"/>
  <c r="AC55" i="5"/>
  <c r="AA55" i="5"/>
  <c r="AA70" i="5"/>
  <c r="AC70" i="5"/>
  <c r="AD70" i="5"/>
  <c r="M70" i="5"/>
  <c r="AE70" i="5"/>
  <c r="AA13" i="5"/>
  <c r="AB13" i="5"/>
  <c r="AD13" i="5"/>
  <c r="M13" i="5"/>
  <c r="AE13" i="5"/>
  <c r="AC13" i="5"/>
  <c r="AC11" i="5"/>
  <c r="AE11" i="5"/>
  <c r="AD11" i="5"/>
  <c r="M11" i="5"/>
  <c r="AA11" i="5"/>
  <c r="AB11" i="5"/>
  <c r="AD9" i="5"/>
  <c r="AA9" i="5"/>
  <c r="M9" i="5"/>
  <c r="AE9" i="5"/>
  <c r="AC9" i="5"/>
  <c r="AE60" i="5"/>
  <c r="M60" i="5"/>
  <c r="AC60" i="5"/>
  <c r="AD60" i="5"/>
  <c r="AB60" i="5"/>
  <c r="AA60" i="5"/>
  <c r="M65" i="5"/>
  <c r="AB65" i="5"/>
  <c r="AE50" i="5"/>
  <c r="AD50" i="5"/>
  <c r="AC50" i="5"/>
  <c r="AA50" i="5"/>
  <c r="AD67" i="5"/>
  <c r="AB67" i="5"/>
  <c r="AA67" i="5"/>
  <c r="M33" i="5"/>
  <c r="AB33" i="5"/>
  <c r="AD35" i="5"/>
  <c r="AB35" i="5"/>
  <c r="AA35" i="5"/>
  <c r="AD47" i="5"/>
  <c r="AB47" i="5"/>
  <c r="AB62" i="5"/>
  <c r="AD62" i="5"/>
  <c r="AA62" i="5"/>
  <c r="AE62" i="5"/>
  <c r="AA28" i="5"/>
  <c r="AE28" i="5"/>
  <c r="M28" i="5"/>
  <c r="AB28" i="5"/>
  <c r="AC28" i="5"/>
  <c r="AD28" i="5"/>
  <c r="AB26" i="5"/>
  <c r="AA26" i="5"/>
  <c r="AE26" i="5"/>
  <c r="M26" i="5"/>
  <c r="AD26" i="5"/>
  <c r="AC26" i="5"/>
  <c r="AD24" i="5"/>
  <c r="AB24" i="5"/>
  <c r="AC24" i="5"/>
  <c r="AE24" i="5"/>
  <c r="AA24" i="5"/>
  <c r="M24" i="5"/>
  <c r="AB30" i="5"/>
  <c r="AA30" i="5"/>
  <c r="AE30" i="5"/>
  <c r="AD30" i="5"/>
  <c r="AE42" i="5"/>
  <c r="AA42" i="5"/>
  <c r="AB42" i="5"/>
  <c r="AA20" i="5"/>
  <c r="M20" i="5"/>
  <c r="AE20" i="5"/>
  <c r="AD20" i="5"/>
  <c r="AC20" i="5"/>
  <c r="AC18" i="5"/>
  <c r="AA18" i="5"/>
  <c r="AB18" i="5"/>
  <c r="M18" i="5"/>
  <c r="AE18" i="5"/>
  <c r="AD18" i="5"/>
  <c r="AB78" i="5"/>
  <c r="AA78" i="5"/>
  <c r="AE78" i="5"/>
  <c r="M187" i="5"/>
  <c r="AE187" i="5"/>
  <c r="AD187" i="5"/>
  <c r="AC187" i="5"/>
  <c r="AA187" i="5"/>
  <c r="AB207" i="5"/>
  <c r="AD207" i="5"/>
  <c r="M115" i="5"/>
  <c r="AE115" i="5"/>
  <c r="AA115" i="5"/>
  <c r="AB115" i="5"/>
  <c r="AD115" i="5"/>
  <c r="AE149" i="5"/>
  <c r="AD149" i="5"/>
  <c r="AA149" i="5"/>
  <c r="AC149" i="5"/>
  <c r="AB123" i="5"/>
  <c r="AE123" i="5"/>
  <c r="M166" i="5"/>
  <c r="AC166" i="5"/>
  <c r="AB166" i="5"/>
  <c r="AB185" i="5"/>
  <c r="AD185" i="5"/>
  <c r="AA185" i="5"/>
  <c r="AC185" i="5"/>
  <c r="M185" i="5"/>
  <c r="AE185" i="5"/>
  <c r="AE121" i="5"/>
  <c r="AB121" i="5"/>
  <c r="AD121" i="5"/>
  <c r="AA121" i="5"/>
  <c r="AC121" i="5"/>
  <c r="M121" i="5"/>
  <c r="AA128" i="5"/>
  <c r="M128" i="5"/>
  <c r="AC128" i="5"/>
  <c r="AB128" i="5"/>
  <c r="AC183" i="5"/>
  <c r="M183" i="5"/>
  <c r="AA183" i="5"/>
  <c r="AD183" i="5"/>
  <c r="AB183" i="5"/>
  <c r="AE183" i="5"/>
  <c r="AD113" i="5"/>
  <c r="AC113" i="5"/>
  <c r="AB113" i="5"/>
  <c r="AA113" i="5"/>
  <c r="AE113" i="5"/>
  <c r="M113" i="5"/>
  <c r="M430" i="5"/>
  <c r="AA430" i="5"/>
  <c r="M104" i="5"/>
  <c r="AA104" i="5"/>
  <c r="AB104" i="5"/>
  <c r="AD104" i="5"/>
  <c r="AC104" i="5"/>
  <c r="M111" i="5"/>
  <c r="AB111" i="5"/>
  <c r="AA111" i="5"/>
  <c r="AD111" i="5"/>
  <c r="AC111" i="5"/>
  <c r="AE111" i="5"/>
  <c r="AE295" i="5"/>
  <c r="AB295" i="5"/>
  <c r="AD295" i="5"/>
  <c r="AC295" i="5"/>
  <c r="AA295" i="5"/>
  <c r="M295" i="5"/>
  <c r="AE188" i="5"/>
  <c r="M188" i="5"/>
  <c r="AA188" i="5"/>
  <c r="AB188" i="5"/>
  <c r="AC188" i="5"/>
  <c r="AD188" i="5"/>
  <c r="AA39" i="5"/>
  <c r="M207" i="5"/>
  <c r="L37" i="5"/>
  <c r="AC207" i="5"/>
  <c r="AB45" i="5"/>
  <c r="AA45" i="5"/>
  <c r="U1373" i="5"/>
  <c r="AE40" i="5"/>
  <c r="AC78" i="5"/>
  <c r="M25" i="5"/>
  <c r="L18" i="5"/>
  <c r="AD45" i="5"/>
  <c r="L20" i="5"/>
  <c r="U1335" i="5"/>
  <c r="P1335" i="5" s="1"/>
  <c r="AA25" i="5"/>
  <c r="AC48" i="5"/>
  <c r="AE48" i="5"/>
  <c r="AB48" i="5"/>
  <c r="L35" i="5"/>
  <c r="AC16" i="5"/>
  <c r="AB39" i="5"/>
  <c r="AE85" i="5"/>
  <c r="M45" i="5"/>
  <c r="AA57" i="5"/>
  <c r="AA48" i="5"/>
  <c r="AB25" i="5"/>
  <c r="AC40" i="5"/>
  <c r="AD128" i="5"/>
  <c r="M53" i="5"/>
  <c r="M39" i="5"/>
  <c r="AA40" i="5"/>
  <c r="AE45" i="5"/>
  <c r="AD57" i="5"/>
  <c r="L9" i="5"/>
  <c r="AE57" i="5"/>
  <c r="AA14" i="5"/>
  <c r="AC14" i="5"/>
  <c r="AD40" i="5"/>
  <c r="AE128" i="5"/>
  <c r="AB53" i="5"/>
  <c r="U1270" i="5"/>
  <c r="P1270" i="5" s="1"/>
  <c r="L14" i="5"/>
  <c r="AA16" i="5"/>
  <c r="AA207" i="5"/>
  <c r="L23" i="5"/>
  <c r="U1380" i="5"/>
  <c r="P1380" i="5" s="1"/>
  <c r="AB40" i="5"/>
  <c r="AD78" i="5"/>
  <c r="AC39" i="5"/>
  <c r="AD1178" i="5"/>
  <c r="AA82" i="5"/>
  <c r="AC82" i="5"/>
  <c r="AD16" i="5"/>
  <c r="M1178" i="5"/>
  <c r="AB1178" i="5"/>
  <c r="AB16" i="5"/>
  <c r="AA43" i="5"/>
  <c r="AA53" i="5"/>
  <c r="AD53" i="5"/>
  <c r="AC53" i="5"/>
  <c r="M36" i="5"/>
  <c r="AE31" i="5"/>
  <c r="AE65" i="5"/>
  <c r="AE43" i="5"/>
  <c r="M42" i="5"/>
  <c r="AD42" i="5"/>
  <c r="AC46" i="5"/>
  <c r="AD43" i="5"/>
  <c r="AC42" i="5"/>
  <c r="AA41" i="5"/>
  <c r="AC52" i="5"/>
  <c r="AA64" i="5"/>
  <c r="AD52" i="5"/>
  <c r="AA52" i="5"/>
  <c r="AE1401" i="5"/>
  <c r="M66" i="5"/>
  <c r="AE52" i="5"/>
  <c r="AD1401" i="5"/>
  <c r="AA1280" i="5"/>
  <c r="AA1401" i="5"/>
  <c r="AD1340" i="5"/>
  <c r="AC1280" i="5"/>
  <c r="AB15" i="5"/>
  <c r="AB1280" i="5"/>
  <c r="AE1340" i="5"/>
  <c r="AC1400" i="5"/>
  <c r="AB1407" i="5"/>
  <c r="AC1407" i="5"/>
  <c r="AD1400" i="5"/>
  <c r="AC69" i="5"/>
  <c r="AB69" i="5"/>
  <c r="AD1314" i="5"/>
  <c r="M52" i="5"/>
  <c r="M1314" i="5"/>
  <c r="L43" i="5"/>
  <c r="AC1177" i="5"/>
  <c r="AE1240" i="5"/>
  <c r="AD64" i="5"/>
  <c r="AB1402" i="5"/>
  <c r="AE162" i="5"/>
  <c r="AD1351" i="5"/>
  <c r="AD33" i="5"/>
  <c r="AE55" i="5"/>
  <c r="AD15" i="5"/>
  <c r="AD41" i="5"/>
  <c r="M50" i="5"/>
  <c r="AC41" i="5"/>
  <c r="AB9" i="5"/>
  <c r="AE41" i="5"/>
  <c r="AB20" i="5"/>
  <c r="L26" i="5"/>
  <c r="L15" i="5"/>
  <c r="AC1351" i="5"/>
  <c r="AC1290" i="5"/>
  <c r="AC1332" i="5"/>
  <c r="AC63" i="5"/>
  <c r="M63" i="5"/>
  <c r="AE1351" i="5"/>
  <c r="AA63" i="5"/>
  <c r="AD1203" i="5"/>
  <c r="L42" i="5"/>
  <c r="M1351" i="5"/>
  <c r="M37" i="5"/>
  <c r="AA33" i="5"/>
  <c r="AB70" i="5"/>
  <c r="M31" i="5"/>
  <c r="M69" i="5"/>
  <c r="L1386" i="5"/>
  <c r="AD65" i="5"/>
  <c r="AB66" i="5"/>
  <c r="AC65" i="5"/>
  <c r="M46" i="5"/>
  <c r="AC33" i="5"/>
  <c r="AA65" i="5"/>
  <c r="AC1183" i="5"/>
  <c r="AA1096" i="5"/>
  <c r="AA1053" i="5"/>
  <c r="AE1002" i="5"/>
  <c r="AD1041" i="5"/>
  <c r="AA1183" i="5"/>
  <c r="AC1053" i="5"/>
  <c r="AE1041" i="5"/>
  <c r="AE1334" i="5"/>
  <c r="AD1339" i="5"/>
  <c r="AC1339" i="5"/>
  <c r="AC1341" i="5"/>
  <c r="AE907" i="5"/>
  <c r="AA1210" i="5"/>
  <c r="AB1190" i="5"/>
  <c r="AB1120" i="5"/>
  <c r="AD1065" i="5"/>
  <c r="AB1389" i="5"/>
  <c r="AB1256" i="5"/>
  <c r="AC327" i="5"/>
  <c r="AE1389" i="5"/>
  <c r="AE1247" i="5"/>
  <c r="AE1067" i="5"/>
  <c r="AB982" i="5"/>
  <c r="AD1418" i="5"/>
  <c r="AD1278" i="5"/>
  <c r="AA768" i="5"/>
  <c r="AA789" i="5"/>
  <c r="AD976" i="5"/>
  <c r="M1325" i="5"/>
  <c r="M1022" i="5"/>
  <c r="AD794" i="5"/>
  <c r="AB1109" i="5"/>
  <c r="AD1385" i="5"/>
  <c r="AA1331" i="5"/>
  <c r="AC1331" i="5"/>
  <c r="AE987" i="5"/>
  <c r="AA1321" i="5"/>
  <c r="AE1252" i="5"/>
  <c r="M228" i="5"/>
  <c r="AC1150" i="5"/>
  <c r="AB768" i="5"/>
  <c r="AA747" i="5"/>
  <c r="M814" i="5"/>
  <c r="AA628" i="5"/>
  <c r="M1311" i="5"/>
  <c r="AD1109" i="5"/>
  <c r="AC721" i="5"/>
  <c r="AB1336" i="5"/>
  <c r="AC1192" i="5"/>
  <c r="AD721" i="5"/>
  <c r="AE228" i="5"/>
  <c r="AA1121" i="5"/>
  <c r="AB1150" i="5"/>
  <c r="AD1104" i="5"/>
  <c r="AE535" i="5"/>
  <c r="AC628" i="5"/>
  <c r="AB1339" i="5"/>
  <c r="AB938" i="5"/>
  <c r="AE871" i="5"/>
  <c r="AB797" i="5"/>
  <c r="AB1219" i="5"/>
  <c r="AC228" i="5"/>
  <c r="AB1019" i="5"/>
  <c r="AC430" i="5"/>
  <c r="AB1156" i="5"/>
  <c r="AB868" i="5"/>
  <c r="AB1103" i="5"/>
  <c r="AD868" i="5"/>
  <c r="AA1336" i="5"/>
  <c r="AE600" i="5"/>
  <c r="AE1405" i="5"/>
  <c r="AB672" i="5"/>
  <c r="AC905" i="5"/>
  <c r="AD1025" i="5"/>
  <c r="AC795" i="5"/>
  <c r="AD1405" i="5"/>
  <c r="M1405" i="5"/>
  <c r="M1364" i="5"/>
  <c r="AB1271" i="5"/>
  <c r="AD1327" i="5"/>
  <c r="AD1271" i="5"/>
  <c r="M1096" i="5"/>
  <c r="AD430" i="5"/>
  <c r="AA962" i="5"/>
  <c r="AD870" i="5"/>
  <c r="AD1368" i="5"/>
  <c r="AC1380" i="5"/>
  <c r="M911" i="5"/>
  <c r="AA805" i="5"/>
  <c r="AC1373" i="5"/>
  <c r="AE1174" i="5"/>
  <c r="AE940" i="5"/>
  <c r="AC1368" i="5"/>
  <c r="AA862" i="5"/>
  <c r="AA825" i="5"/>
  <c r="M825" i="5"/>
  <c r="M764" i="5"/>
  <c r="AE764" i="5"/>
  <c r="AE828" i="5"/>
  <c r="AA828" i="5"/>
  <c r="AB960" i="5"/>
  <c r="M960" i="5"/>
  <c r="AD1051" i="5"/>
  <c r="AB870" i="5"/>
  <c r="AC925" i="5"/>
  <c r="AB761" i="5"/>
  <c r="AE761" i="5"/>
  <c r="AE892" i="5"/>
  <c r="AC892" i="5"/>
  <c r="AA990" i="5"/>
  <c r="AC990" i="5"/>
  <c r="AA890" i="5"/>
  <c r="AC890" i="5"/>
  <c r="AB1039" i="5"/>
  <c r="AD1039" i="5"/>
  <c r="AA1195" i="5"/>
  <c r="AB1195" i="5"/>
  <c r="AC1106" i="5"/>
  <c r="AB1106" i="5"/>
  <c r="M1013" i="5"/>
  <c r="AE1013" i="5"/>
  <c r="AB1210" i="5"/>
  <c r="M1210" i="5"/>
  <c r="AE1355" i="5"/>
  <c r="M1355" i="5"/>
  <c r="AA1341" i="5"/>
  <c r="AD1341" i="5"/>
  <c r="AE949" i="5"/>
  <c r="AD949" i="5"/>
  <c r="AA949" i="5"/>
  <c r="AD925" i="5"/>
  <c r="AE870" i="5"/>
  <c r="AE813" i="5"/>
  <c r="M962" i="5"/>
  <c r="AB990" i="5"/>
  <c r="AA940" i="5"/>
  <c r="M870" i="5"/>
  <c r="AB695" i="5"/>
  <c r="AE695" i="5"/>
  <c r="AE914" i="5"/>
  <c r="M914" i="5"/>
  <c r="M1131" i="5"/>
  <c r="AC1131" i="5"/>
  <c r="AE1421" i="5"/>
  <c r="AC1421" i="5"/>
  <c r="M1380" i="5"/>
  <c r="AA1380" i="5"/>
  <c r="AE1264" i="5"/>
  <c r="AA1264" i="5"/>
  <c r="AA1384" i="5"/>
  <c r="AE1384" i="5"/>
  <c r="AE1372" i="5"/>
  <c r="M1372" i="5"/>
  <c r="AA1108" i="5"/>
  <c r="AA1174" i="5"/>
  <c r="AD979" i="5"/>
  <c r="AA730" i="5"/>
  <c r="AB730" i="5"/>
  <c r="AA762" i="5"/>
  <c r="AC762" i="5"/>
  <c r="AD704" i="5"/>
  <c r="AA704" i="5"/>
  <c r="M1030" i="5"/>
  <c r="AD1030" i="5"/>
  <c r="AA1030" i="5"/>
  <c r="AC1030" i="5"/>
  <c r="AB940" i="5"/>
  <c r="AD940" i="5"/>
  <c r="AD975" i="5"/>
  <c r="AB975" i="5"/>
  <c r="AE1173" i="5"/>
  <c r="AC1173" i="5"/>
  <c r="AB1285" i="5"/>
  <c r="AA1285" i="5"/>
  <c r="AD1373" i="5"/>
  <c r="AB1373" i="5"/>
  <c r="AA1373" i="5"/>
  <c r="AE1373" i="5"/>
  <c r="AC1108" i="5"/>
  <c r="AB1281" i="5"/>
  <c r="AC1077" i="5"/>
  <c r="AB914" i="5"/>
  <c r="AA779" i="5"/>
  <c r="M449" i="5"/>
  <c r="AA449" i="5"/>
  <c r="AA1421" i="5"/>
  <c r="AB1380" i="5"/>
  <c r="AE635" i="5"/>
  <c r="AD635" i="5"/>
  <c r="AB635" i="5"/>
  <c r="AE881" i="5"/>
  <c r="AB881" i="5"/>
  <c r="AA881" i="5"/>
  <c r="AD1034" i="5"/>
  <c r="AC1034" i="5"/>
  <c r="AB1173" i="5"/>
  <c r="AB979" i="5"/>
  <c r="M940" i="5"/>
  <c r="AD1173" i="5"/>
  <c r="AB1406" i="5"/>
  <c r="AA1370" i="5"/>
  <c r="AD1421" i="5"/>
  <c r="AB1421" i="5"/>
  <c r="AD1380" i="5"/>
  <c r="AA975" i="5"/>
  <c r="AC761" i="5"/>
  <c r="AD992" i="5"/>
  <c r="AC992" i="5"/>
  <c r="AA1173" i="5"/>
  <c r="AC870" i="5"/>
  <c r="AB704" i="5"/>
  <c r="AD644" i="5"/>
  <c r="M610" i="5"/>
  <c r="M1421" i="5"/>
  <c r="AB1174" i="5"/>
  <c r="AE805" i="5"/>
  <c r="AB1177" i="5"/>
  <c r="AE430" i="5"/>
  <c r="AA1407" i="5"/>
  <c r="AE1102" i="5"/>
  <c r="AB1390" i="5"/>
  <c r="M1232" i="5"/>
  <c r="M1023" i="5"/>
  <c r="M863" i="5"/>
  <c r="AD1311" i="5"/>
  <c r="AD1219" i="5"/>
  <c r="AC1336" i="5"/>
  <c r="AB1035" i="5"/>
  <c r="AD1387" i="5"/>
  <c r="AE1103" i="5"/>
  <c r="AA868" i="5"/>
  <c r="AD814" i="5"/>
  <c r="AA523" i="5"/>
  <c r="AD1182" i="5"/>
  <c r="AA1025" i="5"/>
  <c r="AB430" i="5"/>
  <c r="AA1029" i="5"/>
  <c r="AA1405" i="5"/>
  <c r="M938" i="5"/>
  <c r="AC1223" i="5"/>
  <c r="AA905" i="5"/>
  <c r="AE938" i="5"/>
  <c r="AE784" i="5"/>
  <c r="AD1223" i="5"/>
  <c r="M1133" i="5"/>
  <c r="AC1078" i="5"/>
  <c r="AD1029" i="5"/>
  <c r="M1387" i="5"/>
  <c r="AC1216" i="5"/>
  <c r="AA1271" i="5"/>
  <c r="AB1264" i="5"/>
  <c r="M1271" i="5"/>
  <c r="M1223" i="5"/>
  <c r="AB1387" i="5"/>
  <c r="AE1107" i="5"/>
  <c r="AE568" i="5"/>
  <c r="AC516" i="5"/>
  <c r="AD1019" i="5"/>
  <c r="M1384" i="5"/>
  <c r="AA1300" i="5"/>
  <c r="AD1331" i="5"/>
  <c r="AE1133" i="5"/>
  <c r="AC814" i="5"/>
  <c r="AA516" i="5"/>
  <c r="AE394" i="5"/>
  <c r="AE1271" i="5"/>
  <c r="AC1387" i="5"/>
  <c r="AE1242" i="5"/>
  <c r="AD1202" i="5"/>
  <c r="AC1107" i="5"/>
  <c r="AD388" i="5"/>
  <c r="AB1417" i="5"/>
  <c r="AB1316" i="5"/>
  <c r="AC1242" i="5"/>
  <c r="AE541" i="5"/>
  <c r="M1374" i="5"/>
  <c r="AE1301" i="5"/>
  <c r="AA1202" i="5"/>
  <c r="M844" i="5"/>
  <c r="AE466" i="5"/>
  <c r="AB541" i="5"/>
  <c r="AE1305" i="5"/>
  <c r="AA1387" i="5"/>
  <c r="AB1301" i="5"/>
  <c r="M1202" i="5"/>
  <c r="AD1103" i="5"/>
  <c r="AA1322" i="5"/>
  <c r="AC1325" i="5"/>
  <c r="M1344" i="5"/>
  <c r="AE1223" i="5"/>
  <c r="AA1133" i="5"/>
  <c r="AD1417" i="5"/>
  <c r="AA1364" i="5"/>
  <c r="AD1346" i="5"/>
  <c r="AD1194" i="5"/>
  <c r="AB472" i="5"/>
  <c r="AD544" i="5"/>
  <c r="AB544" i="5"/>
  <c r="M322" i="5"/>
  <c r="AE322" i="5"/>
  <c r="M702" i="5"/>
  <c r="AD702" i="5"/>
  <c r="M952" i="5"/>
  <c r="AD952" i="5"/>
  <c r="AE795" i="5"/>
  <c r="AB106" i="5"/>
  <c r="AC1264" i="5"/>
  <c r="M795" i="5"/>
  <c r="AA675" i="5"/>
  <c r="AC570" i="5"/>
  <c r="AD347" i="5"/>
  <c r="AB256" i="5"/>
  <c r="AE256" i="5"/>
  <c r="AC582" i="5"/>
  <c r="M582" i="5"/>
  <c r="AA582" i="5"/>
  <c r="M465" i="5"/>
  <c r="AA465" i="5"/>
  <c r="AB671" i="5"/>
  <c r="AA671" i="5"/>
  <c r="M672" i="5"/>
  <c r="AC672" i="5"/>
  <c r="M625" i="5"/>
  <c r="AD625" i="5"/>
  <c r="AB1189" i="5"/>
  <c r="AA737" i="5"/>
  <c r="AA708" i="5"/>
  <c r="AD795" i="5"/>
  <c r="M534" i="5"/>
  <c r="AE417" i="5"/>
  <c r="M780" i="5"/>
  <c r="AB780" i="5"/>
  <c r="AD1264" i="5"/>
  <c r="M1264" i="5"/>
  <c r="AC1117" i="5"/>
  <c r="AB1117" i="5"/>
  <c r="AE1117" i="5"/>
  <c r="AE1182" i="5"/>
  <c r="M1182" i="5"/>
  <c r="AB1182" i="5"/>
  <c r="AA1182" i="5"/>
  <c r="AC1283" i="5"/>
  <c r="AD1283" i="5"/>
  <c r="AE1283" i="5"/>
  <c r="AB1384" i="5"/>
  <c r="AD1384" i="5"/>
  <c r="AC1384" i="5"/>
  <c r="AD1322" i="5"/>
  <c r="AC1322" i="5"/>
  <c r="AD1275" i="5"/>
  <c r="AA1275" i="5"/>
  <c r="AB1337" i="5"/>
  <c r="AA1337" i="5"/>
  <c r="AE1337" i="5"/>
  <c r="AC1337" i="5"/>
  <c r="M1337" i="5"/>
  <c r="AB1372" i="5"/>
  <c r="AD1372" i="5"/>
  <c r="AC1372" i="5"/>
  <c r="AA1372" i="5"/>
  <c r="AC1270" i="5"/>
  <c r="M1270" i="5"/>
  <c r="AD936" i="5"/>
  <c r="AA98" i="5"/>
  <c r="AD98" i="5"/>
  <c r="AA176" i="5"/>
  <c r="AD176" i="5"/>
  <c r="AD409" i="5"/>
  <c r="AA409" i="5"/>
  <c r="AE811" i="5"/>
  <c r="M811" i="5"/>
  <c r="AB811" i="5"/>
  <c r="AD838" i="5"/>
  <c r="AE506" i="5"/>
  <c r="AD500" i="5"/>
  <c r="AB500" i="5"/>
  <c r="M591" i="5"/>
  <c r="AC591" i="5"/>
  <c r="AE591" i="5"/>
  <c r="AE564" i="5"/>
  <c r="AA564" i="5"/>
  <c r="M564" i="5"/>
  <c r="AA853" i="5"/>
  <c r="M853" i="5"/>
  <c r="AD853" i="5"/>
  <c r="AB853" i="5"/>
  <c r="M1004" i="5"/>
  <c r="AE1004" i="5"/>
  <c r="AE966" i="5"/>
  <c r="M966" i="5"/>
  <c r="AC966" i="5"/>
  <c r="AB711" i="5"/>
  <c r="AA838" i="5"/>
  <c r="M928" i="5"/>
  <c r="AA928" i="5"/>
  <c r="AC1134" i="5"/>
  <c r="M1134" i="5"/>
  <c r="AD1134" i="5"/>
  <c r="AB1134" i="5"/>
  <c r="AE1134" i="5"/>
  <c r="M1198" i="5"/>
  <c r="AC1198" i="5"/>
  <c r="AA1198" i="5"/>
  <c r="AB1376" i="5"/>
  <c r="AD1376" i="5"/>
  <c r="AE1376" i="5"/>
  <c r="AA1376" i="5"/>
  <c r="M1376" i="5"/>
  <c r="AC1340" i="5"/>
  <c r="AA1340" i="5"/>
  <c r="AB1302" i="5"/>
  <c r="AE1302" i="5"/>
  <c r="AC1401" i="5"/>
  <c r="M1401" i="5"/>
  <c r="AE1280" i="5"/>
  <c r="AD1280" i="5"/>
  <c r="AA966" i="5"/>
  <c r="M644" i="5"/>
  <c r="AD1337" i="5"/>
  <c r="AA1193" i="5"/>
  <c r="AD1135" i="5"/>
  <c r="AA947" i="5"/>
  <c r="AD454" i="5"/>
  <c r="AB344" i="5"/>
  <c r="AD344" i="5"/>
  <c r="AE499" i="5"/>
  <c r="AD499" i="5"/>
  <c r="M499" i="5"/>
  <c r="AB604" i="5"/>
  <c r="AC604" i="5"/>
  <c r="AD966" i="5"/>
  <c r="AA454" i="5"/>
  <c r="AD577" i="5"/>
  <c r="AB577" i="5"/>
  <c r="AC577" i="5"/>
  <c r="M791" i="5"/>
  <c r="AE791" i="5"/>
  <c r="AB791" i="5"/>
  <c r="AA1327" i="5"/>
  <c r="AC1275" i="5"/>
  <c r="AB952" i="5"/>
  <c r="AC1327" i="5"/>
  <c r="AD995" i="5"/>
  <c r="AE651" i="5"/>
  <c r="AC278" i="5"/>
  <c r="AE408" i="5"/>
  <c r="AC408" i="5"/>
  <c r="AA1134" i="5"/>
  <c r="M880" i="5"/>
  <c r="AB769" i="5"/>
  <c r="AA811" i="5"/>
  <c r="AB644" i="5"/>
  <c r="AA541" i="5"/>
  <c r="M676" i="5"/>
  <c r="AD676" i="5"/>
  <c r="AA309" i="5"/>
  <c r="AB309" i="5"/>
  <c r="AC309" i="5"/>
  <c r="M310" i="5"/>
  <c r="AA310" i="5"/>
  <c r="AB1107" i="5"/>
  <c r="AC465" i="5"/>
  <c r="AC1083" i="5"/>
  <c r="AB1083" i="5"/>
  <c r="M1091" i="5"/>
  <c r="AE1091" i="5"/>
  <c r="AA1091" i="5"/>
  <c r="AC1326" i="5"/>
  <c r="AA1326" i="5"/>
  <c r="AD1325" i="5"/>
  <c r="AA1325" i="5"/>
  <c r="AB1325" i="5"/>
  <c r="AB1193" i="5"/>
  <c r="AE1193" i="5"/>
  <c r="AA1284" i="5"/>
  <c r="AB1284" i="5"/>
  <c r="M1284" i="5"/>
  <c r="AA1221" i="5"/>
  <c r="AB1221" i="5"/>
  <c r="AC1335" i="5"/>
  <c r="AA1335" i="5"/>
  <c r="AD1335" i="5"/>
  <c r="AA1374" i="5"/>
  <c r="AB1374" i="5"/>
  <c r="AB1318" i="5"/>
  <c r="AE1318" i="5"/>
  <c r="AE1336" i="5"/>
  <c r="AD1336" i="5"/>
  <c r="AC1133" i="5"/>
  <c r="AE1025" i="5"/>
  <c r="AE1417" i="5"/>
  <c r="AA1223" i="5"/>
  <c r="M1078" i="5"/>
  <c r="AB699" i="5"/>
  <c r="AD1344" i="5"/>
  <c r="M1305" i="5"/>
  <c r="AA1344" i="5"/>
  <c r="AB1207" i="5"/>
  <c r="AD1078" i="5"/>
  <c r="AA1019" i="5"/>
  <c r="AA844" i="5"/>
  <c r="AB1405" i="5"/>
  <c r="AA1355" i="5"/>
  <c r="AA1351" i="5"/>
  <c r="AB1305" i="5"/>
  <c r="AB1344" i="5"/>
  <c r="AE1232" i="5"/>
  <c r="M1256" i="5"/>
  <c r="AD1186" i="5"/>
  <c r="AC1207" i="5"/>
  <c r="AE1078" i="5"/>
  <c r="AC1019" i="5"/>
  <c r="AD890" i="5"/>
  <c r="AA636" i="5"/>
  <c r="AD1225" i="5"/>
  <c r="AC1344" i="5"/>
  <c r="AD1207" i="5"/>
  <c r="AE1194" i="5"/>
  <c r="M890" i="5"/>
  <c r="AC1352" i="5"/>
  <c r="AC787" i="5"/>
  <c r="AE447" i="5"/>
  <c r="AE117" i="5"/>
  <c r="AD1295" i="5"/>
  <c r="M167" i="5"/>
  <c r="AE1148" i="5"/>
  <c r="AC1147" i="5"/>
  <c r="AC1080" i="5"/>
  <c r="AE1064" i="5"/>
  <c r="AC515" i="5"/>
  <c r="AA1287" i="5"/>
  <c r="AB307" i="5"/>
  <c r="AB1418" i="5"/>
  <c r="AD1355" i="5"/>
  <c r="AA1194" i="5"/>
  <c r="AE1154" i="5"/>
  <c r="AC1039" i="5"/>
  <c r="M990" i="5"/>
  <c r="AA652" i="5"/>
  <c r="AC1333" i="5"/>
  <c r="AE1348" i="5"/>
  <c r="AD1157" i="5"/>
  <c r="AD1084" i="5"/>
  <c r="AE915" i="5"/>
  <c r="AC1392" i="5"/>
  <c r="AC972" i="5"/>
  <c r="M1360" i="5"/>
  <c r="AC1355" i="5"/>
  <c r="AE1321" i="5"/>
  <c r="AC1195" i="5"/>
  <c r="AA1120" i="5"/>
  <c r="AA952" i="5"/>
  <c r="AD919" i="5"/>
  <c r="AE868" i="5"/>
  <c r="AA763" i="5"/>
  <c r="AB623" i="5"/>
  <c r="AB582" i="5"/>
  <c r="AE1320" i="5"/>
  <c r="AB1240" i="5"/>
  <c r="AC729" i="5"/>
  <c r="AC282" i="5"/>
  <c r="M1366" i="5"/>
  <c r="M1099" i="5"/>
  <c r="AE513" i="5"/>
  <c r="AC867" i="5"/>
  <c r="AC1330" i="5"/>
  <c r="M944" i="5"/>
  <c r="M1286" i="5"/>
  <c r="AE1296" i="5"/>
  <c r="AC211" i="5"/>
  <c r="AC431" i="5"/>
  <c r="AD1294" i="5"/>
  <c r="AC1187" i="5"/>
  <c r="AC423" i="5"/>
  <c r="AA1290" i="5"/>
  <c r="AB961" i="5"/>
  <c r="AE862" i="5"/>
  <c r="AA1391" i="5"/>
  <c r="AC1122" i="5"/>
  <c r="AA1024" i="5"/>
  <c r="AE972" i="5"/>
  <c r="AB1357" i="5"/>
  <c r="AC1320" i="5"/>
  <c r="AC1268" i="5"/>
  <c r="AA72" i="5"/>
  <c r="M1113" i="5"/>
  <c r="AA972" i="5"/>
  <c r="AA580" i="5"/>
  <c r="AD1391" i="5"/>
  <c r="AC1256" i="5"/>
  <c r="AA1140" i="5"/>
  <c r="AD1077" i="5"/>
  <c r="M623" i="5"/>
  <c r="AD535" i="5"/>
  <c r="AC75" i="5"/>
  <c r="AC1391" i="5"/>
  <c r="AC703" i="5"/>
  <c r="AD657" i="5"/>
  <c r="AE1369" i="5"/>
  <c r="AE1391" i="5"/>
  <c r="M1392" i="5"/>
  <c r="AD1288" i="5"/>
  <c r="AA1114" i="5"/>
  <c r="AB1409" i="5"/>
  <c r="AC1288" i="5"/>
  <c r="AA1320" i="5"/>
  <c r="AB1291" i="5"/>
  <c r="AA898" i="5"/>
  <c r="AB1391" i="5"/>
  <c r="AC1024" i="5"/>
  <c r="M849" i="5"/>
  <c r="AC548" i="5"/>
  <c r="AB1366" i="5"/>
  <c r="AD1024" i="5"/>
  <c r="AC903" i="5"/>
  <c r="AB818" i="5"/>
  <c r="AB75" i="5"/>
  <c r="AD75" i="5"/>
  <c r="AA1147" i="5"/>
  <c r="AA1063" i="5"/>
  <c r="AA588" i="5"/>
  <c r="AC1357" i="5"/>
  <c r="M1291" i="5"/>
  <c r="AA1360" i="5"/>
  <c r="M1288" i="5"/>
  <c r="AB1342" i="5"/>
  <c r="AE1294" i="5"/>
  <c r="M1228" i="5"/>
  <c r="AB1100" i="5"/>
  <c r="AA987" i="5"/>
  <c r="AC536" i="5"/>
  <c r="AE259" i="5"/>
  <c r="M259" i="5"/>
  <c r="AB342" i="5"/>
  <c r="AC342" i="5"/>
  <c r="AB1306" i="5"/>
  <c r="AB1144" i="5"/>
  <c r="AB1076" i="5"/>
  <c r="M895" i="5"/>
  <c r="AA657" i="5"/>
  <c r="AB426" i="5"/>
  <c r="AA242" i="5"/>
  <c r="AA259" i="5"/>
  <c r="AC1055" i="5"/>
  <c r="M1055" i="5"/>
  <c r="AB1055" i="5"/>
  <c r="AA1267" i="5"/>
  <c r="AB1267" i="5"/>
  <c r="AB1347" i="5"/>
  <c r="AC1347" i="5"/>
  <c r="AB536" i="5"/>
  <c r="AE382" i="5"/>
  <c r="AB156" i="5"/>
  <c r="AA239" i="5"/>
  <c r="AA1205" i="5"/>
  <c r="M1155" i="5"/>
  <c r="AE1073" i="5"/>
  <c r="AC657" i="5"/>
  <c r="M404" i="5"/>
  <c r="AE826" i="5"/>
  <c r="AC826" i="5"/>
  <c r="AD826" i="5"/>
  <c r="AB865" i="5"/>
  <c r="AA865" i="5"/>
  <c r="AD1018" i="5"/>
  <c r="AC1018" i="5"/>
  <c r="M971" i="5"/>
  <c r="AE971" i="5"/>
  <c r="AC920" i="5"/>
  <c r="AE920" i="5"/>
  <c r="M920" i="5"/>
  <c r="AE1142" i="5"/>
  <c r="AA1142" i="5"/>
  <c r="AC1142" i="5"/>
  <c r="AD1142" i="5"/>
  <c r="AC1218" i="5"/>
  <c r="AA1218" i="5"/>
  <c r="AA1123" i="5"/>
  <c r="AE1123" i="5"/>
  <c r="AE1363" i="5"/>
  <c r="AB1363" i="5"/>
  <c r="M1363" i="5"/>
  <c r="AD1363" i="5"/>
  <c r="M1224" i="5"/>
  <c r="AB1224" i="5"/>
  <c r="AC1415" i="5"/>
  <c r="M1415" i="5"/>
  <c r="AB1320" i="5"/>
  <c r="M1320" i="5"/>
  <c r="AC1350" i="5"/>
  <c r="AB1350" i="5"/>
  <c r="AC1197" i="5"/>
  <c r="AC858" i="5"/>
  <c r="AA729" i="5"/>
  <c r="AC174" i="5"/>
  <c r="M109" i="5"/>
  <c r="AE223" i="5"/>
  <c r="AD223" i="5"/>
  <c r="AA428" i="5"/>
  <c r="AD428" i="5"/>
  <c r="M352" i="5"/>
  <c r="AA352" i="5"/>
  <c r="AE427" i="5"/>
  <c r="AB427" i="5"/>
  <c r="AE438" i="5"/>
  <c r="AB438" i="5"/>
  <c r="AD605" i="5"/>
  <c r="AB605" i="5"/>
  <c r="AC956" i="5"/>
  <c r="AD956" i="5"/>
  <c r="AA832" i="5"/>
  <c r="AE832" i="5"/>
  <c r="M883" i="5"/>
  <c r="AB883" i="5"/>
  <c r="M942" i="5"/>
  <c r="AA942" i="5"/>
  <c r="AE942" i="5"/>
  <c r="AB942" i="5"/>
  <c r="M918" i="5"/>
  <c r="AE918" i="5"/>
  <c r="AD972" i="5"/>
  <c r="AB972" i="5"/>
  <c r="AE1262" i="5"/>
  <c r="AD1262" i="5"/>
  <c r="AE1185" i="5"/>
  <c r="AB1185" i="5"/>
  <c r="AE1149" i="5"/>
  <c r="AC1149" i="5"/>
  <c r="AA1358" i="5"/>
  <c r="AC1358" i="5"/>
  <c r="AD1369" i="5"/>
  <c r="AB1369" i="5"/>
  <c r="AD1270" i="5"/>
  <c r="AA1270" i="5"/>
  <c r="AB1270" i="5"/>
  <c r="AE1270" i="5"/>
  <c r="AA1330" i="5"/>
  <c r="M1330" i="5"/>
  <c r="AE1392" i="5"/>
  <c r="AB1392" i="5"/>
  <c r="AD1392" i="5"/>
  <c r="AA280" i="5"/>
  <c r="AE280" i="5"/>
  <c r="AD361" i="5"/>
  <c r="M361" i="5"/>
  <c r="AC269" i="5"/>
  <c r="M269" i="5"/>
  <c r="AD138" i="5"/>
  <c r="M138" i="5"/>
  <c r="AC138" i="5"/>
  <c r="AD190" i="5"/>
  <c r="AC190" i="5"/>
  <c r="AE294" i="5"/>
  <c r="AC294" i="5"/>
  <c r="M294" i="5"/>
  <c r="M368" i="5"/>
  <c r="AE368" i="5"/>
  <c r="AA311" i="5"/>
  <c r="AB311" i="5"/>
  <c r="AE311" i="5"/>
  <c r="AD266" i="5"/>
  <c r="AC266" i="5"/>
  <c r="AB665" i="5"/>
  <c r="AD665" i="5"/>
  <c r="AC473" i="5"/>
  <c r="M473" i="5"/>
  <c r="AE473" i="5"/>
  <c r="AA416" i="5"/>
  <c r="AC416" i="5"/>
  <c r="M629" i="5"/>
  <c r="AD629" i="5"/>
  <c r="AE614" i="5"/>
  <c r="AD614" i="5"/>
  <c r="AE654" i="5"/>
  <c r="M654" i="5"/>
  <c r="AE943" i="5"/>
  <c r="AB943" i="5"/>
  <c r="M943" i="5"/>
  <c r="AD656" i="5"/>
  <c r="AC656" i="5"/>
  <c r="AE656" i="5"/>
  <c r="AA734" i="5"/>
  <c r="AC734" i="5"/>
  <c r="AB891" i="5"/>
  <c r="AC891" i="5"/>
  <c r="AA884" i="5"/>
  <c r="AD884" i="5"/>
  <c r="AB884" i="5"/>
  <c r="AE884" i="5"/>
  <c r="AC1041" i="5"/>
  <c r="AB1041" i="5"/>
  <c r="AE968" i="5"/>
  <c r="AD968" i="5"/>
  <c r="M1183" i="5"/>
  <c r="AD1183" i="5"/>
  <c r="AB1183" i="5"/>
  <c r="AD1053" i="5"/>
  <c r="M1053" i="5"/>
  <c r="AE1053" i="5"/>
  <c r="AC520" i="5"/>
  <c r="AA520" i="5"/>
  <c r="M178" i="5"/>
  <c r="AA216" i="5"/>
  <c r="AE1024" i="5"/>
  <c r="AB1415" i="5"/>
  <c r="AD1357" i="5"/>
  <c r="AB1365" i="5"/>
  <c r="AE1122" i="5"/>
  <c r="M1041" i="5"/>
  <c r="M1024" i="5"/>
  <c r="AE895" i="5"/>
  <c r="AE928" i="5"/>
  <c r="AA920" i="5"/>
  <c r="AA753" i="5"/>
  <c r="AC791" i="5"/>
  <c r="AA783" i="5"/>
  <c r="AB656" i="5"/>
  <c r="AE458" i="5"/>
  <c r="M408" i="5"/>
  <c r="AB174" i="5"/>
  <c r="M216" i="5"/>
  <c r="AE138" i="5"/>
  <c r="M687" i="5"/>
  <c r="AB687" i="5"/>
  <c r="AE268" i="5"/>
  <c r="AC268" i="5"/>
  <c r="AC216" i="5"/>
  <c r="AD1415" i="5"/>
  <c r="AD1365" i="5"/>
  <c r="AD1257" i="5"/>
  <c r="AD1155" i="5"/>
  <c r="AD891" i="5"/>
  <c r="AD943" i="5"/>
  <c r="M818" i="5"/>
  <c r="AD783" i="5"/>
  <c r="AA614" i="5"/>
  <c r="AB416" i="5"/>
  <c r="AB259" i="5"/>
  <c r="AB203" i="5"/>
  <c r="AE1415" i="5"/>
  <c r="AA1122" i="5"/>
  <c r="AA1127" i="5"/>
  <c r="AE1032" i="5"/>
  <c r="AB920" i="5"/>
  <c r="AA943" i="5"/>
  <c r="AA858" i="5"/>
  <c r="AC818" i="5"/>
  <c r="AB783" i="5"/>
  <c r="AA683" i="5"/>
  <c r="AC633" i="5"/>
  <c r="AB654" i="5"/>
  <c r="AB488" i="5"/>
  <c r="M600" i="5"/>
  <c r="AA438" i="5"/>
  <c r="AD259" i="5"/>
  <c r="AB99" i="5"/>
  <c r="AE384" i="5"/>
  <c r="AC384" i="5"/>
  <c r="AE1395" i="5"/>
  <c r="AC1395" i="5"/>
  <c r="AB633" i="5"/>
  <c r="AB723" i="5"/>
  <c r="AC203" i="5"/>
  <c r="AE203" i="5"/>
  <c r="AD117" i="5"/>
  <c r="AA117" i="5"/>
  <c r="AA703" i="5"/>
  <c r="AB1138" i="5"/>
  <c r="AB1020" i="5"/>
  <c r="AC877" i="5"/>
  <c r="AA895" i="5"/>
  <c r="AD633" i="5"/>
  <c r="AA600" i="5"/>
  <c r="AD438" i="5"/>
  <c r="M203" i="5"/>
  <c r="AE1342" i="5"/>
  <c r="M438" i="5"/>
  <c r="AC259" i="5"/>
  <c r="L528" i="5"/>
  <c r="M1295" i="5"/>
  <c r="AB1133" i="5"/>
  <c r="AC1064" i="5"/>
  <c r="AD938" i="5"/>
  <c r="AC91" i="5"/>
  <c r="AE1352" i="5"/>
  <c r="AB1078" i="5"/>
  <c r="AC1103" i="5"/>
  <c r="M868" i="5"/>
  <c r="AC759" i="5"/>
  <c r="M773" i="5"/>
  <c r="AC597" i="5"/>
  <c r="AB523" i="5"/>
  <c r="AC392" i="5"/>
  <c r="AB1148" i="5"/>
  <c r="AA1103" i="5"/>
  <c r="M1019" i="5"/>
  <c r="AE857" i="5"/>
  <c r="AE844" i="5"/>
  <c r="AA773" i="5"/>
  <c r="M639" i="5"/>
  <c r="AC534" i="5"/>
  <c r="AD523" i="5"/>
  <c r="AC583" i="5"/>
  <c r="AD583" i="5"/>
  <c r="AB995" i="5"/>
  <c r="AA995" i="5"/>
  <c r="AD904" i="5"/>
  <c r="AE904" i="5"/>
  <c r="AE1119" i="5"/>
  <c r="AA1119" i="5"/>
  <c r="AB1119" i="5"/>
  <c r="AC1349" i="5"/>
  <c r="M1349" i="5"/>
  <c r="M1312" i="5"/>
  <c r="AE1312" i="5"/>
  <c r="AA228" i="5"/>
  <c r="AB228" i="5"/>
  <c r="AB739" i="5"/>
  <c r="M739" i="5"/>
  <c r="AB660" i="5"/>
  <c r="AC660" i="5"/>
  <c r="AA746" i="5"/>
  <c r="AB746" i="5"/>
  <c r="AB757" i="5"/>
  <c r="AC757" i="5"/>
  <c r="AB1263" i="5"/>
  <c r="M476" i="5"/>
  <c r="AD1229" i="5"/>
  <c r="AD1246" i="5"/>
  <c r="AA1138" i="5"/>
  <c r="AC1127" i="5"/>
  <c r="AD1114" i="5"/>
  <c r="M1073" i="5"/>
  <c r="AE1055" i="5"/>
  <c r="AA1055" i="5"/>
  <c r="M1064" i="5"/>
  <c r="AA934" i="5"/>
  <c r="AA918" i="5"/>
  <c r="AB755" i="5"/>
  <c r="AC765" i="5"/>
  <c r="AD729" i="5"/>
  <c r="AC588" i="5"/>
  <c r="M554" i="5"/>
  <c r="AB482" i="5"/>
  <c r="AD395" i="5"/>
  <c r="AB252" i="5"/>
  <c r="AA264" i="5"/>
  <c r="AB227" i="5"/>
  <c r="AA198" i="5"/>
  <c r="M608" i="5"/>
  <c r="AC608" i="5"/>
  <c r="AD608" i="5"/>
  <c r="AA715" i="5"/>
  <c r="AB715" i="5"/>
  <c r="AA837" i="5"/>
  <c r="AC837" i="5"/>
  <c r="AB751" i="5"/>
  <c r="AD751" i="5"/>
  <c r="AC1201" i="5"/>
  <c r="AB676" i="5"/>
  <c r="AE1412" i="5"/>
  <c r="AA1412" i="5"/>
  <c r="M1371" i="5"/>
  <c r="AD1248" i="5"/>
  <c r="AE1246" i="5"/>
  <c r="AE1138" i="5"/>
  <c r="AD1055" i="5"/>
  <c r="AA1073" i="5"/>
  <c r="AB1040" i="5"/>
  <c r="AD934" i="5"/>
  <c r="AD918" i="5"/>
  <c r="AA849" i="5"/>
  <c r="M847" i="5"/>
  <c r="M806" i="5"/>
  <c r="AB758" i="5"/>
  <c r="AC865" i="5"/>
  <c r="AE729" i="5"/>
  <c r="AB464" i="5"/>
  <c r="AC92" i="5"/>
  <c r="AD1410" i="5"/>
  <c r="AC1246" i="5"/>
  <c r="AC1017" i="5"/>
  <c r="AC464" i="5"/>
  <c r="M470" i="5"/>
  <c r="AA470" i="5"/>
  <c r="M520" i="5"/>
  <c r="AB520" i="5"/>
  <c r="AA655" i="5"/>
  <c r="AB655" i="5"/>
  <c r="AD655" i="5"/>
  <c r="M859" i="5"/>
  <c r="AD859" i="5"/>
  <c r="AC1081" i="5"/>
  <c r="AD1081" i="5"/>
  <c r="AE252" i="5"/>
  <c r="AB303" i="5"/>
  <c r="AA303" i="5"/>
  <c r="AB663" i="5"/>
  <c r="AE663" i="5"/>
  <c r="AC946" i="5"/>
  <c r="AB946" i="5"/>
  <c r="AC1217" i="5"/>
  <c r="AB1217" i="5"/>
  <c r="AB1420" i="5"/>
  <c r="AB1386" i="5"/>
  <c r="AA1363" i="5"/>
  <c r="AC1257" i="5"/>
  <c r="AE1137" i="5"/>
  <c r="AD1137" i="5"/>
  <c r="AE1127" i="5"/>
  <c r="AE1146" i="5"/>
  <c r="AE1063" i="5"/>
  <c r="AE934" i="5"/>
  <c r="AA877" i="5"/>
  <c r="M913" i="5"/>
  <c r="AD858" i="5"/>
  <c r="AB837" i="5"/>
  <c r="AB787" i="5"/>
  <c r="AD865" i="5"/>
  <c r="AE528" i="5"/>
  <c r="M457" i="5"/>
  <c r="AD520" i="5"/>
  <c r="M464" i="5"/>
  <c r="AB1007" i="5"/>
  <c r="AA1007" i="5"/>
  <c r="AE1007" i="5"/>
  <c r="AC961" i="5"/>
  <c r="AD961" i="5"/>
  <c r="M788" i="5"/>
  <c r="AE788" i="5"/>
  <c r="AD1404" i="5"/>
  <c r="AA1388" i="5"/>
  <c r="M1358" i="5"/>
  <c r="AC1363" i="5"/>
  <c r="AD1153" i="5"/>
  <c r="AE1187" i="5"/>
  <c r="AC1099" i="5"/>
  <c r="AB1099" i="5"/>
  <c r="AC1184" i="5"/>
  <c r="AD916" i="5"/>
  <c r="AE777" i="5"/>
  <c r="AE865" i="5"/>
  <c r="M622" i="5"/>
  <c r="AE520" i="5"/>
  <c r="M718" i="5"/>
  <c r="AD718" i="5"/>
  <c r="AB710" i="5"/>
  <c r="AE710" i="5"/>
  <c r="AE815" i="5"/>
  <c r="AB815" i="5"/>
  <c r="AE709" i="5"/>
  <c r="AB709" i="5"/>
  <c r="AA713" i="5"/>
  <c r="AD713" i="5"/>
  <c r="AC918" i="5"/>
  <c r="AB918" i="5"/>
  <c r="AB867" i="5"/>
  <c r="M867" i="5"/>
  <c r="AC1062" i="5"/>
  <c r="M1062" i="5"/>
  <c r="AD1298" i="5"/>
  <c r="AC1298" i="5"/>
  <c r="AC751" i="5"/>
  <c r="AE594" i="5"/>
  <c r="AA594" i="5"/>
  <c r="AD1412" i="5"/>
  <c r="AC1398" i="5"/>
  <c r="M1007" i="5"/>
  <c r="AE860" i="5"/>
  <c r="AA860" i="5"/>
  <c r="AB1172" i="5"/>
  <c r="AE1172" i="5"/>
  <c r="AC280" i="5"/>
  <c r="M280" i="5"/>
  <c r="AB320" i="5"/>
  <c r="AC320" i="5"/>
  <c r="AC324" i="5"/>
  <c r="AE324" i="5"/>
  <c r="AD1398" i="5"/>
  <c r="AC1263" i="5"/>
  <c r="AA1291" i="5"/>
  <c r="AC1222" i="5"/>
  <c r="AD1138" i="5"/>
  <c r="M1127" i="5"/>
  <c r="AD1127" i="5"/>
  <c r="M1157" i="5"/>
  <c r="M1185" i="5"/>
  <c r="AB985" i="5"/>
  <c r="M898" i="5"/>
  <c r="AE867" i="5"/>
  <c r="AE758" i="5"/>
  <c r="AB729" i="5"/>
  <c r="AA710" i="5"/>
  <c r="M751" i="5"/>
  <c r="AC518" i="5"/>
  <c r="AB456" i="5"/>
  <c r="AD536" i="5"/>
  <c r="AE349" i="5"/>
  <c r="AE320" i="5"/>
  <c r="AB92" i="5"/>
  <c r="AA92" i="5"/>
  <c r="AC287" i="5"/>
  <c r="M287" i="5"/>
  <c r="AE287" i="5"/>
  <c r="AE548" i="5"/>
  <c r="AD548" i="5"/>
  <c r="AE1298" i="5"/>
  <c r="AE751" i="5"/>
  <c r="AE489" i="5"/>
  <c r="AA873" i="5"/>
  <c r="AC1309" i="5"/>
  <c r="AE1217" i="5"/>
  <c r="AA1162" i="5"/>
  <c r="AD1176" i="5"/>
  <c r="M1138" i="5"/>
  <c r="AC1185" i="5"/>
  <c r="AD1099" i="5"/>
  <c r="AC971" i="5"/>
  <c r="AC908" i="5"/>
  <c r="M929" i="5"/>
  <c r="AC878" i="5"/>
  <c r="AB873" i="5"/>
  <c r="M660" i="5"/>
  <c r="M536" i="5"/>
  <c r="AA509" i="5"/>
  <c r="AE509" i="5"/>
  <c r="AB743" i="5"/>
  <c r="AE743" i="5"/>
  <c r="AE1263" i="5"/>
  <c r="M1080" i="5"/>
  <c r="AD908" i="5"/>
  <c r="M916" i="5"/>
  <c r="AE929" i="5"/>
  <c r="AE837" i="5"/>
  <c r="AD867" i="5"/>
  <c r="AA709" i="5"/>
  <c r="AD663" i="5"/>
  <c r="M657" i="5"/>
  <c r="M594" i="5"/>
  <c r="AC457" i="5"/>
  <c r="AE536" i="5"/>
  <c r="M349" i="5"/>
  <c r="M1309" i="5"/>
  <c r="M1217" i="5"/>
  <c r="M1176" i="5"/>
  <c r="AD1185" i="5"/>
  <c r="M1087" i="5"/>
  <c r="AD1087" i="5"/>
  <c r="AE1099" i="5"/>
  <c r="AA908" i="5"/>
  <c r="AD920" i="5"/>
  <c r="AC718" i="5"/>
  <c r="AE767" i="5"/>
  <c r="AB657" i="5"/>
  <c r="M433" i="5"/>
  <c r="AC428" i="5"/>
  <c r="AD352" i="5"/>
  <c r="AA354" i="5"/>
  <c r="M75" i="5"/>
  <c r="AA1208" i="5"/>
  <c r="M1039" i="5"/>
  <c r="AA742" i="5"/>
  <c r="AA610" i="5"/>
  <c r="AA721" i="5"/>
  <c r="M455" i="5"/>
  <c r="AB347" i="5"/>
  <c r="AA347" i="5"/>
  <c r="AE344" i="5"/>
  <c r="AD167" i="5"/>
  <c r="AE1398" i="5"/>
  <c r="M1398" i="5"/>
  <c r="AD703" i="5"/>
  <c r="AB540" i="5"/>
  <c r="AE352" i="5"/>
  <c r="M320" i="5"/>
  <c r="AC539" i="5"/>
  <c r="AD539" i="5"/>
  <c r="M572" i="5"/>
  <c r="AA572" i="5"/>
  <c r="AA850" i="5"/>
  <c r="AD850" i="5"/>
  <c r="M1375" i="5"/>
  <c r="AE1371" i="5"/>
  <c r="M983" i="5"/>
  <c r="AE983" i="5"/>
  <c r="M1388" i="5"/>
  <c r="AA195" i="5"/>
  <c r="AD253" i="5"/>
  <c r="AB1388" i="5"/>
  <c r="AD1388" i="5"/>
  <c r="AA1263" i="5"/>
  <c r="AD1217" i="5"/>
  <c r="AB1114" i="5"/>
  <c r="AE1079" i="5"/>
  <c r="AB1084" i="5"/>
  <c r="AA1036" i="5"/>
  <c r="AC1007" i="5"/>
  <c r="AC999" i="5"/>
  <c r="AC942" i="5"/>
  <c r="AD942" i="5"/>
  <c r="AE847" i="5"/>
  <c r="AA847" i="5"/>
  <c r="AB788" i="5"/>
  <c r="AB813" i="5"/>
  <c r="AB765" i="5"/>
  <c r="AB795" i="5"/>
  <c r="AD709" i="5"/>
  <c r="AE665" i="5"/>
  <c r="AC438" i="5"/>
  <c r="AC352" i="5"/>
  <c r="AB286" i="5"/>
  <c r="AB404" i="5"/>
  <c r="M257" i="5"/>
  <c r="AA269" i="5"/>
  <c r="AA219" i="5"/>
  <c r="AE109" i="5"/>
  <c r="M1263" i="5"/>
  <c r="AD1375" i="5"/>
  <c r="AC1388" i="5"/>
  <c r="AC1371" i="5"/>
  <c r="M999" i="5"/>
  <c r="AB941" i="5"/>
  <c r="AD871" i="5"/>
  <c r="AE765" i="5"/>
  <c r="M824" i="5"/>
  <c r="AA758" i="5"/>
  <c r="M865" i="5"/>
  <c r="AA751" i="5"/>
  <c r="AB352" i="5"/>
  <c r="AB361" i="5"/>
  <c r="AB269" i="5"/>
  <c r="AA320" i="5"/>
  <c r="AD269" i="5"/>
  <c r="M1098" i="5"/>
  <c r="AD1098" i="5"/>
  <c r="AC1248" i="5"/>
  <c r="M227" i="5"/>
  <c r="AC227" i="5"/>
  <c r="AA289" i="5"/>
  <c r="AC289" i="5"/>
  <c r="M655" i="5"/>
  <c r="AE655" i="5"/>
  <c r="AC1123" i="5"/>
  <c r="AB1123" i="5"/>
  <c r="AD1123" i="5"/>
  <c r="AC880" i="5"/>
  <c r="AE880" i="5"/>
  <c r="AC650" i="5"/>
  <c r="M650" i="5"/>
  <c r="AC1291" i="5"/>
  <c r="AD1291" i="5"/>
  <c r="AB1062" i="5"/>
  <c r="AD1062" i="5"/>
  <c r="AA1049" i="5"/>
  <c r="AE689" i="5"/>
  <c r="AD1371" i="5"/>
  <c r="AB1098" i="5"/>
  <c r="AE174" i="5"/>
  <c r="M174" i="5"/>
  <c r="M734" i="5"/>
  <c r="AD734" i="5"/>
  <c r="AB895" i="5"/>
  <c r="AD895" i="5"/>
  <c r="AA1398" i="5"/>
  <c r="AA1371" i="5"/>
  <c r="AD1049" i="5"/>
  <c r="AE955" i="5"/>
  <c r="AA1248" i="5"/>
  <c r="M158" i="5"/>
  <c r="AC937" i="5"/>
  <c r="AE937" i="5"/>
  <c r="AA75" i="5"/>
  <c r="M1172" i="5"/>
  <c r="M1061" i="5"/>
  <c r="AE824" i="5"/>
  <c r="AC785" i="5"/>
  <c r="AB662" i="5"/>
  <c r="AC397" i="5"/>
  <c r="M324" i="5"/>
  <c r="AA261" i="5"/>
  <c r="AA74" i="5"/>
  <c r="M1397" i="5"/>
  <c r="M1148" i="5"/>
  <c r="AA1187" i="5"/>
  <c r="AE999" i="5"/>
  <c r="AA922" i="5"/>
  <c r="M924" i="5"/>
  <c r="AC669" i="5"/>
  <c r="M306" i="5"/>
  <c r="AA324" i="5"/>
  <c r="M87" i="5"/>
  <c r="AD220" i="5"/>
  <c r="AE220" i="5"/>
  <c r="AA766" i="5"/>
  <c r="AE766" i="5"/>
  <c r="AE1333" i="5"/>
  <c r="AE1397" i="5"/>
  <c r="AA1306" i="5"/>
  <c r="AA1204" i="5"/>
  <c r="AA1295" i="5"/>
  <c r="AC1161" i="5"/>
  <c r="AE1147" i="5"/>
  <c r="AC1139" i="5"/>
  <c r="AE1084" i="5"/>
  <c r="AA1113" i="5"/>
  <c r="AC985" i="5"/>
  <c r="AA945" i="5"/>
  <c r="AE922" i="5"/>
  <c r="AA785" i="5"/>
  <c r="AC745" i="5"/>
  <c r="AB777" i="5"/>
  <c r="AC681" i="5"/>
  <c r="AD508" i="5"/>
  <c r="AE425" i="5"/>
  <c r="AE269" i="5"/>
  <c r="AE136" i="5"/>
  <c r="AD203" i="5"/>
  <c r="M71" i="5"/>
  <c r="AB935" i="5"/>
  <c r="AC778" i="5"/>
  <c r="M771" i="5"/>
  <c r="AA687" i="5"/>
  <c r="AA1397" i="5"/>
  <c r="AC1204" i="5"/>
  <c r="AC1295" i="5"/>
  <c r="AB1113" i="5"/>
  <c r="AA1064" i="5"/>
  <c r="AE945" i="5"/>
  <c r="AB816" i="5"/>
  <c r="AD681" i="5"/>
  <c r="AE158" i="5"/>
  <c r="AC1413" i="5"/>
  <c r="AD1333" i="5"/>
  <c r="AC1397" i="5"/>
  <c r="AD1395" i="5"/>
  <c r="AD1306" i="5"/>
  <c r="AC1260" i="5"/>
  <c r="AE1295" i="5"/>
  <c r="AE1139" i="5"/>
  <c r="AA1139" i="5"/>
  <c r="AC1113" i="5"/>
  <c r="AB1064" i="5"/>
  <c r="AC894" i="5"/>
  <c r="AC746" i="5"/>
  <c r="M745" i="5"/>
  <c r="AD816" i="5"/>
  <c r="AA558" i="5"/>
  <c r="AB519" i="5"/>
  <c r="AB498" i="5"/>
  <c r="AB419" i="5"/>
  <c r="AE395" i="5"/>
  <c r="AE342" i="5"/>
  <c r="AB1397" i="5"/>
  <c r="M1306" i="5"/>
  <c r="AE1161" i="5"/>
  <c r="AA774" i="5"/>
  <c r="AB1395" i="5"/>
  <c r="AC1306" i="5"/>
  <c r="AD1050" i="5"/>
  <c r="AE985" i="5"/>
  <c r="AA777" i="5"/>
  <c r="AD723" i="5"/>
  <c r="AA419" i="5"/>
  <c r="AB120" i="5"/>
  <c r="AC120" i="5"/>
  <c r="AA1395" i="5"/>
  <c r="AB1139" i="5"/>
  <c r="M1084" i="5"/>
  <c r="AE1113" i="5"/>
  <c r="AB898" i="5"/>
  <c r="AD913" i="5"/>
  <c r="M836" i="5"/>
  <c r="AB774" i="5"/>
  <c r="AD777" i="5"/>
  <c r="AB745" i="5"/>
  <c r="AA677" i="5"/>
  <c r="AA660" i="5"/>
  <c r="AA486" i="5"/>
  <c r="AE419" i="5"/>
  <c r="AC321" i="5"/>
  <c r="AD290" i="5"/>
  <c r="AE308" i="5"/>
  <c r="AA973" i="5"/>
  <c r="AD973" i="5"/>
  <c r="AD692" i="5"/>
  <c r="M692" i="5"/>
  <c r="AC335" i="5"/>
  <c r="AA335" i="5"/>
  <c r="AB630" i="5"/>
  <c r="AA630" i="5"/>
  <c r="AB1333" i="5"/>
  <c r="M1395" i="5"/>
  <c r="AC1273" i="5"/>
  <c r="AA1273" i="5"/>
  <c r="AE1145" i="5"/>
  <c r="AB1061" i="5"/>
  <c r="AA1084" i="5"/>
  <c r="AE1184" i="5"/>
  <c r="AB879" i="5"/>
  <c r="AA879" i="5"/>
  <c r="AE836" i="5"/>
  <c r="AB894" i="5"/>
  <c r="M785" i="5"/>
  <c r="AD774" i="5"/>
  <c r="AC777" i="5"/>
  <c r="AD757" i="5"/>
  <c r="AC687" i="5"/>
  <c r="M575" i="5"/>
  <c r="M497" i="5"/>
  <c r="M342" i="5"/>
  <c r="AB276" i="5"/>
  <c r="M391" i="5"/>
  <c r="AE391" i="5"/>
  <c r="AD601" i="5"/>
  <c r="M601" i="5"/>
  <c r="AE360" i="5"/>
  <c r="AB360" i="5"/>
  <c r="AA597" i="5"/>
  <c r="AE597" i="5"/>
  <c r="AB647" i="5"/>
  <c r="AE647" i="5"/>
  <c r="AB733" i="5"/>
  <c r="AA733" i="5"/>
  <c r="AB1025" i="5"/>
  <c r="AC1025" i="5"/>
  <c r="AD261" i="5"/>
  <c r="AC261" i="5"/>
  <c r="AD1184" i="5"/>
  <c r="AA723" i="5"/>
  <c r="AD305" i="5"/>
  <c r="AD276" i="5"/>
  <c r="AB324" i="5"/>
  <c r="AC1382" i="5"/>
  <c r="M1273" i="5"/>
  <c r="AA1235" i="5"/>
  <c r="AB1145" i="5"/>
  <c r="M1184" i="5"/>
  <c r="AE1061" i="5"/>
  <c r="AD1061" i="5"/>
  <c r="M935" i="5"/>
  <c r="AE931" i="5"/>
  <c r="AE894" i="5"/>
  <c r="M681" i="5"/>
  <c r="AE757" i="5"/>
  <c r="AB262" i="5"/>
  <c r="AA110" i="5"/>
  <c r="AD1382" i="5"/>
  <c r="M1287" i="5"/>
  <c r="AC1235" i="5"/>
  <c r="M1139" i="5"/>
  <c r="AC1033" i="5"/>
  <c r="AA1184" i="5"/>
  <c r="AC1061" i="5"/>
  <c r="M931" i="5"/>
  <c r="M894" i="5"/>
  <c r="M757" i="5"/>
  <c r="AE540" i="5"/>
  <c r="AE276" i="5"/>
  <c r="AE262" i="5"/>
  <c r="AD246" i="5"/>
  <c r="AD174" i="5"/>
  <c r="AC117" i="5"/>
  <c r="AC212" i="5"/>
  <c r="AA212" i="5"/>
  <c r="AC551" i="5"/>
  <c r="AD551" i="5"/>
  <c r="AE818" i="5"/>
  <c r="AA818" i="5"/>
  <c r="AD714" i="5"/>
  <c r="M939" i="5"/>
  <c r="AA939" i="5"/>
  <c r="AE1382" i="5"/>
  <c r="AD1287" i="5"/>
  <c r="AD1235" i="5"/>
  <c r="AC1172" i="5"/>
  <c r="AC931" i="5"/>
  <c r="AA894" i="5"/>
  <c r="AB778" i="5"/>
  <c r="AA757" i="5"/>
  <c r="AE658" i="5"/>
  <c r="AD378" i="5"/>
  <c r="AA285" i="5"/>
  <c r="AE346" i="5"/>
  <c r="AA172" i="5"/>
  <c r="AA595" i="5"/>
  <c r="M592" i="5"/>
  <c r="AA592" i="5"/>
  <c r="AA772" i="5"/>
  <c r="M772" i="5"/>
  <c r="AE842" i="5"/>
  <c r="AC842" i="5"/>
  <c r="AE1235" i="5"/>
  <c r="AD1172" i="5"/>
  <c r="AA999" i="5"/>
  <c r="AE924" i="5"/>
  <c r="AC929" i="5"/>
  <c r="M774" i="5"/>
  <c r="AA824" i="5"/>
  <c r="AA634" i="5"/>
  <c r="AB558" i="5"/>
  <c r="M580" i="5"/>
  <c r="AA376" i="5"/>
  <c r="AA225" i="5"/>
  <c r="M595" i="5"/>
  <c r="AE495" i="5"/>
  <c r="AC495" i="5"/>
  <c r="AA1333" i="5"/>
  <c r="M1235" i="5"/>
  <c r="AA1172" i="5"/>
  <c r="AE1060" i="5"/>
  <c r="AA1067" i="5"/>
  <c r="AB999" i="5"/>
  <c r="AA938" i="5"/>
  <c r="AC943" i="5"/>
  <c r="AB850" i="5"/>
  <c r="AC884" i="5"/>
  <c r="AE774" i="5"/>
  <c r="AE759" i="5"/>
  <c r="AA741" i="5"/>
  <c r="AA767" i="5"/>
  <c r="AA641" i="5"/>
  <c r="AA608" i="5"/>
  <c r="AA551" i="5"/>
  <c r="AB440" i="5"/>
  <c r="AB477" i="5"/>
  <c r="M541" i="5"/>
  <c r="AA499" i="5"/>
  <c r="AB423" i="5"/>
  <c r="AB580" i="5"/>
  <c r="AB516" i="5"/>
  <c r="AA315" i="5"/>
  <c r="AE110" i="5"/>
  <c r="AB600" i="5"/>
  <c r="AC600" i="5"/>
  <c r="AE783" i="5"/>
  <c r="M783" i="5"/>
  <c r="AE167" i="5"/>
  <c r="AA167" i="5"/>
  <c r="AC167" i="5"/>
  <c r="M198" i="5"/>
  <c r="AD666" i="5"/>
  <c r="AC1059" i="5"/>
  <c r="AE686" i="5"/>
  <c r="AB639" i="5"/>
  <c r="M542" i="5"/>
  <c r="AA593" i="5"/>
  <c r="M1418" i="5"/>
  <c r="AE1354" i="5"/>
  <c r="AC1225" i="5"/>
  <c r="AD1239" i="5"/>
  <c r="AC989" i="5"/>
  <c r="AE1083" i="5"/>
  <c r="AE1059" i="5"/>
  <c r="AE1023" i="5"/>
  <c r="AC863" i="5"/>
  <c r="AB890" i="5"/>
  <c r="AD742" i="5"/>
  <c r="AD631" i="5"/>
  <c r="AC735" i="5"/>
  <c r="AB631" i="5"/>
  <c r="M693" i="5"/>
  <c r="AC638" i="5"/>
  <c r="AD641" i="5"/>
  <c r="AC610" i="5"/>
  <c r="AE556" i="5"/>
  <c r="AA481" i="5"/>
  <c r="AD355" i="5"/>
  <c r="AD354" i="5"/>
  <c r="M272" i="5"/>
  <c r="AC235" i="5"/>
  <c r="AE638" i="5"/>
  <c r="AE354" i="5"/>
  <c r="AE235" i="5"/>
  <c r="M277" i="5"/>
  <c r="AD277" i="5"/>
  <c r="AC314" i="5"/>
  <c r="M314" i="5"/>
  <c r="AC371" i="5"/>
  <c r="M371" i="5"/>
  <c r="M513" i="5"/>
  <c r="AD513" i="5"/>
  <c r="AD526" i="5"/>
  <c r="M526" i="5"/>
  <c r="AC555" i="5"/>
  <c r="AE555" i="5"/>
  <c r="AB555" i="5"/>
  <c r="AE492" i="5"/>
  <c r="AD492" i="5"/>
  <c r="AB932" i="5"/>
  <c r="AD932" i="5"/>
  <c r="AA932" i="5"/>
  <c r="AB866" i="5"/>
  <c r="AA866" i="5"/>
  <c r="AB789" i="5"/>
  <c r="AE789" i="5"/>
  <c r="AD1130" i="5"/>
  <c r="AB1130" i="5"/>
  <c r="AA833" i="5"/>
  <c r="M833" i="5"/>
  <c r="AB833" i="5"/>
  <c r="AE833" i="5"/>
  <c r="AA1232" i="5"/>
  <c r="AC1232" i="5"/>
  <c r="AA1353" i="5"/>
  <c r="AE1353" i="5"/>
  <c r="AD1192" i="5"/>
  <c r="AA1192" i="5"/>
  <c r="AB1192" i="5"/>
  <c r="AB263" i="5"/>
  <c r="AD263" i="5"/>
  <c r="M263" i="5"/>
  <c r="AA263" i="5"/>
  <c r="AC263" i="5"/>
  <c r="AD356" i="5"/>
  <c r="M356" i="5"/>
  <c r="AE694" i="5"/>
  <c r="AC694" i="5"/>
  <c r="AA627" i="5"/>
  <c r="AD627" i="5"/>
  <c r="AA1181" i="5"/>
  <c r="M1140" i="5"/>
  <c r="AE1111" i="5"/>
  <c r="AE1097" i="5"/>
  <c r="AE1065" i="5"/>
  <c r="AC1120" i="5"/>
  <c r="AE1072" i="5"/>
  <c r="AD1083" i="5"/>
  <c r="AE1039" i="5"/>
  <c r="M976" i="5"/>
  <c r="AE890" i="5"/>
  <c r="M766" i="5"/>
  <c r="AA676" i="5"/>
  <c r="AA639" i="5"/>
  <c r="AD615" i="5"/>
  <c r="AB641" i="5"/>
  <c r="AE610" i="5"/>
  <c r="AA571" i="5"/>
  <c r="AB493" i="5"/>
  <c r="AB489" i="5"/>
  <c r="M479" i="5"/>
  <c r="AA282" i="5"/>
  <c r="AA120" i="5"/>
  <c r="M120" i="5"/>
  <c r="AB461" i="5"/>
  <c r="AA461" i="5"/>
  <c r="AB1416" i="5"/>
  <c r="M1321" i="5"/>
  <c r="AD1121" i="5"/>
  <c r="AC1097" i="5"/>
  <c r="AA1083" i="5"/>
  <c r="AA1039" i="5"/>
  <c r="AE973" i="5"/>
  <c r="AD828" i="5"/>
  <c r="AC717" i="5"/>
  <c r="AC639" i="5"/>
  <c r="AD639" i="5"/>
  <c r="M393" i="5"/>
  <c r="AB107" i="5"/>
  <c r="AD611" i="5"/>
  <c r="AB611" i="5"/>
  <c r="AE1021" i="5"/>
  <c r="M1021" i="5"/>
  <c r="AA1093" i="5"/>
  <c r="AC1093" i="5"/>
  <c r="AA854" i="5"/>
  <c r="M854" i="5"/>
  <c r="AA1112" i="5"/>
  <c r="M1112" i="5"/>
  <c r="AA1254" i="5"/>
  <c r="AC1254" i="5"/>
  <c r="AC1102" i="5"/>
  <c r="AD1102" i="5"/>
  <c r="M1407" i="5"/>
  <c r="AE1407" i="5"/>
  <c r="AD328" i="5"/>
  <c r="AE328" i="5"/>
  <c r="AB527" i="5"/>
  <c r="AC527" i="5"/>
  <c r="AC479" i="5"/>
  <c r="AB479" i="5"/>
  <c r="AD489" i="5"/>
  <c r="M489" i="5"/>
  <c r="AC489" i="5"/>
  <c r="AE652" i="5"/>
  <c r="AD652" i="5"/>
  <c r="AA724" i="5"/>
  <c r="AB724" i="5"/>
  <c r="AE741" i="5"/>
  <c r="AC741" i="5"/>
  <c r="AA679" i="5"/>
  <c r="AB679" i="5"/>
  <c r="M679" i="5"/>
  <c r="AE679" i="5"/>
  <c r="AD806" i="5"/>
  <c r="AB806" i="5"/>
  <c r="AB908" i="5"/>
  <c r="AE908" i="5"/>
  <c r="AC1137" i="5"/>
  <c r="AB1137" i="5"/>
  <c r="AD1258" i="5"/>
  <c r="AA1258" i="5"/>
  <c r="AE1189" i="5"/>
  <c r="M1189" i="5"/>
  <c r="AE1239" i="5"/>
  <c r="M1239" i="5"/>
  <c r="AE1284" i="5"/>
  <c r="AC1284" i="5"/>
  <c r="AD1284" i="5"/>
  <c r="AE208" i="5"/>
  <c r="M208" i="5"/>
  <c r="M260" i="5"/>
  <c r="AC260" i="5"/>
  <c r="AA160" i="5"/>
  <c r="AD160" i="5"/>
  <c r="AB160" i="5"/>
  <c r="AE160" i="5"/>
  <c r="M239" i="5"/>
  <c r="AB239" i="5"/>
  <c r="AB308" i="5"/>
  <c r="M308" i="5"/>
  <c r="AD308" i="5"/>
  <c r="AA308" i="5"/>
  <c r="AB304" i="5"/>
  <c r="M304" i="5"/>
  <c r="AD404" i="5"/>
  <c r="AE404" i="5"/>
  <c r="AB509" i="5"/>
  <c r="M509" i="5"/>
  <c r="AA750" i="5"/>
  <c r="M750" i="5"/>
  <c r="AB750" i="5"/>
  <c r="AE750" i="5"/>
  <c r="AE676" i="5"/>
  <c r="AC676" i="5"/>
  <c r="AD951" i="5"/>
  <c r="AE951" i="5"/>
  <c r="AB694" i="5"/>
  <c r="AE666" i="5"/>
  <c r="M628" i="5"/>
  <c r="AE481" i="5"/>
  <c r="AA555" i="5"/>
  <c r="AC526" i="5"/>
  <c r="AE475" i="5"/>
  <c r="M386" i="5"/>
  <c r="AE386" i="5"/>
  <c r="AE335" i="5"/>
  <c r="AD335" i="5"/>
  <c r="M399" i="5"/>
  <c r="AA399" i="5"/>
  <c r="AA1240" i="5"/>
  <c r="AA1095" i="5"/>
  <c r="AE1130" i="5"/>
  <c r="AD1111" i="5"/>
  <c r="AA1130" i="5"/>
  <c r="AB900" i="5"/>
  <c r="M899" i="5"/>
  <c r="AB862" i="5"/>
  <c r="M866" i="5"/>
  <c r="AB742" i="5"/>
  <c r="AC766" i="5"/>
  <c r="AA693" i="5"/>
  <c r="AE442" i="5"/>
  <c r="AC492" i="5"/>
  <c r="AE526" i="5"/>
  <c r="AC386" i="5"/>
  <c r="M333" i="5"/>
  <c r="AA291" i="5"/>
  <c r="AE362" i="5"/>
  <c r="AD329" i="5"/>
  <c r="AA404" i="5"/>
  <c r="AE263" i="5"/>
  <c r="AD192" i="5"/>
  <c r="AC160" i="5"/>
  <c r="AA94" i="5"/>
  <c r="AE94" i="5"/>
  <c r="AD459" i="5"/>
  <c r="AC459" i="5"/>
  <c r="AE429" i="5"/>
  <c r="AA429" i="5"/>
  <c r="AC413" i="5"/>
  <c r="AB413" i="5"/>
  <c r="M761" i="5"/>
  <c r="AD761" i="5"/>
  <c r="AB892" i="5"/>
  <c r="M892" i="5"/>
  <c r="AD892" i="5"/>
  <c r="AC902" i="5"/>
  <c r="AA902" i="5"/>
  <c r="M1077" i="5"/>
  <c r="AB1077" i="5"/>
  <c r="AE1077" i="5"/>
  <c r="AD1120" i="5"/>
  <c r="AE1120" i="5"/>
  <c r="AC1210" i="5"/>
  <c r="AE1210" i="5"/>
  <c r="AD1389" i="5"/>
  <c r="M1389" i="5"/>
  <c r="AC1389" i="5"/>
  <c r="AB410" i="5"/>
  <c r="AD410" i="5"/>
  <c r="M555" i="5"/>
  <c r="AB371" i="5"/>
  <c r="M846" i="5"/>
  <c r="AA491" i="5"/>
  <c r="AA526" i="5"/>
  <c r="AC521" i="5"/>
  <c r="M521" i="5"/>
  <c r="AC538" i="5"/>
  <c r="AE538" i="5"/>
  <c r="AA538" i="5"/>
  <c r="AC949" i="5"/>
  <c r="M949" i="5"/>
  <c r="AB949" i="5"/>
  <c r="AD1015" i="5"/>
  <c r="AE932" i="5"/>
  <c r="AD833" i="5"/>
  <c r="AC574" i="5"/>
  <c r="AC1274" i="5"/>
  <c r="AC1321" i="5"/>
  <c r="AB1258" i="5"/>
  <c r="M1192" i="5"/>
  <c r="AB1121" i="5"/>
  <c r="AA1137" i="5"/>
  <c r="AB1102" i="5"/>
  <c r="M932" i="5"/>
  <c r="AE866" i="5"/>
  <c r="AB740" i="5"/>
  <c r="AD667" i="5"/>
  <c r="AB574" i="5"/>
  <c r="AB593" i="5"/>
  <c r="AC307" i="5"/>
  <c r="M355" i="5"/>
  <c r="AE314" i="5"/>
  <c r="AE260" i="5"/>
  <c r="AA277" i="5"/>
  <c r="M107" i="5"/>
  <c r="AA88" i="5"/>
  <c r="AD88" i="5"/>
  <c r="AE148" i="5"/>
  <c r="M148" i="5"/>
  <c r="M244" i="5"/>
  <c r="AB244" i="5"/>
  <c r="AA244" i="5"/>
  <c r="AC244" i="5"/>
  <c r="M667" i="5"/>
  <c r="AE667" i="5"/>
  <c r="AB526" i="5"/>
  <c r="AD272" i="5"/>
  <c r="AB272" i="5"/>
  <c r="M316" i="5"/>
  <c r="AD316" i="5"/>
  <c r="AC316" i="5"/>
  <c r="AB926" i="5"/>
  <c r="AA926" i="5"/>
  <c r="AD926" i="5"/>
  <c r="M828" i="5"/>
  <c r="AD866" i="5"/>
  <c r="AA761" i="5"/>
  <c r="AA328" i="5"/>
  <c r="AA356" i="5"/>
  <c r="AA260" i="5"/>
  <c r="AD1321" i="5"/>
  <c r="AB1112" i="5"/>
  <c r="M1102" i="5"/>
  <c r="AB1059" i="5"/>
  <c r="M756" i="5"/>
  <c r="AE926" i="5"/>
  <c r="AC750" i="5"/>
  <c r="AD645" i="5"/>
  <c r="M574" i="5"/>
  <c r="AD593" i="5"/>
  <c r="M492" i="5"/>
  <c r="AE306" i="5"/>
  <c r="AE277" i="5"/>
  <c r="AD120" i="5"/>
  <c r="AE173" i="5"/>
  <c r="AA173" i="5"/>
  <c r="M192" i="5"/>
  <c r="AC192" i="5"/>
  <c r="AD766" i="5"/>
  <c r="AE1112" i="5"/>
  <c r="M876" i="5"/>
  <c r="AA794" i="5"/>
  <c r="AA574" i="5"/>
  <c r="AD443" i="5"/>
  <c r="AA1416" i="5"/>
  <c r="AB1239" i="5"/>
  <c r="AD1195" i="5"/>
  <c r="AD1189" i="5"/>
  <c r="AC1130" i="5"/>
  <c r="M1065" i="5"/>
  <c r="AC1072" i="5"/>
  <c r="AD1003" i="5"/>
  <c r="M1059" i="5"/>
  <c r="AB794" i="5"/>
  <c r="AA756" i="5"/>
  <c r="M707" i="5"/>
  <c r="AC686" i="5"/>
  <c r="AA638" i="5"/>
  <c r="AC572" i="5"/>
  <c r="AE574" i="5"/>
  <c r="AC593" i="5"/>
  <c r="AC476" i="5"/>
  <c r="AD371" i="5"/>
  <c r="AA307" i="5"/>
  <c r="AA272" i="5"/>
  <c r="AA235" i="5"/>
  <c r="AE1416" i="5"/>
  <c r="AE1349" i="5"/>
  <c r="AA1239" i="5"/>
  <c r="AD1232" i="5"/>
  <c r="AA1189" i="5"/>
  <c r="AC1003" i="5"/>
  <c r="AA1059" i="5"/>
  <c r="AA892" i="5"/>
  <c r="AB766" i="5"/>
  <c r="AC673" i="5"/>
  <c r="AD725" i="5"/>
  <c r="AA697" i="5"/>
  <c r="AB610" i="5"/>
  <c r="AB572" i="5"/>
  <c r="AE593" i="5"/>
  <c r="AD483" i="5"/>
  <c r="AE272" i="5"/>
  <c r="AA71" i="5"/>
  <c r="AD71" i="5"/>
  <c r="AD154" i="5"/>
  <c r="M151" i="5"/>
  <c r="AA151" i="5"/>
  <c r="AB117" i="5"/>
  <c r="AE141" i="5"/>
  <c r="AC72" i="5"/>
  <c r="AC170" i="5"/>
  <c r="AC151" i="5"/>
  <c r="AD151" i="5"/>
  <c r="AE76" i="5"/>
  <c r="AA76" i="5"/>
  <c r="AC76" i="5"/>
  <c r="M76" i="5"/>
  <c r="AB76" i="5"/>
  <c r="AD76" i="5"/>
  <c r="AE224" i="5"/>
  <c r="AC224" i="5"/>
  <c r="AA224" i="5"/>
  <c r="AA330" i="5"/>
  <c r="M330" i="5"/>
  <c r="AC330" i="5"/>
  <c r="AE330" i="5"/>
  <c r="AB864" i="5"/>
  <c r="M864" i="5"/>
  <c r="AA864" i="5"/>
  <c r="AB930" i="5"/>
  <c r="AA930" i="5"/>
  <c r="AB841" i="5"/>
  <c r="AC841" i="5"/>
  <c r="AD1381" i="5"/>
  <c r="AE1231" i="5"/>
  <c r="AB1006" i="5"/>
  <c r="AE910" i="5"/>
  <c r="M219" i="5"/>
  <c r="AA318" i="5"/>
  <c r="AD318" i="5"/>
  <c r="AB194" i="5"/>
  <c r="AD194" i="5"/>
  <c r="AD271" i="5"/>
  <c r="AA271" i="5"/>
  <c r="AD296" i="5"/>
  <c r="AB296" i="5"/>
  <c r="AC312" i="5"/>
  <c r="AE312" i="5"/>
  <c r="AE422" i="5"/>
  <c r="M422" i="5"/>
  <c r="AC422" i="5"/>
  <c r="AC827" i="5"/>
  <c r="AA827" i="5"/>
  <c r="AE607" i="5"/>
  <c r="AB607" i="5"/>
  <c r="M617" i="5"/>
  <c r="AC617" i="5"/>
  <c r="AD705" i="5"/>
  <c r="AE705" i="5"/>
  <c r="M705" i="5"/>
  <c r="AC705" i="5"/>
  <c r="AA705" i="5"/>
  <c r="AB705" i="5"/>
  <c r="M1008" i="5"/>
  <c r="AE1008" i="5"/>
  <c r="AB875" i="5"/>
  <c r="AE875" i="5"/>
  <c r="AB775" i="5"/>
  <c r="AE775" i="5"/>
  <c r="AB882" i="5"/>
  <c r="M882" i="5"/>
  <c r="AD882" i="5"/>
  <c r="M953" i="5"/>
  <c r="AA953" i="5"/>
  <c r="AE941" i="5"/>
  <c r="AD941" i="5"/>
  <c r="AA941" i="5"/>
  <c r="M909" i="5"/>
  <c r="AB909" i="5"/>
  <c r="M897" i="5"/>
  <c r="AB897" i="5"/>
  <c r="AC897" i="5"/>
  <c r="M955" i="5"/>
  <c r="AA955" i="5"/>
  <c r="AD1092" i="5"/>
  <c r="AE1092" i="5"/>
  <c r="M1092" i="5"/>
  <c r="AE273" i="5"/>
  <c r="AA273" i="5"/>
  <c r="AD273" i="5"/>
  <c r="AB273" i="5"/>
  <c r="M273" i="5"/>
  <c r="AC273" i="5"/>
  <c r="AC439" i="5"/>
  <c r="M439" i="5"/>
  <c r="AD439" i="5"/>
  <c r="AE439" i="5"/>
  <c r="AB439" i="5"/>
  <c r="AA439" i="5"/>
  <c r="M612" i="5"/>
  <c r="AD612" i="5"/>
  <c r="AE748" i="5"/>
  <c r="M748" i="5"/>
  <c r="AC944" i="5"/>
  <c r="AB944" i="5"/>
  <c r="AD944" i="5"/>
  <c r="AD1088" i="5"/>
  <c r="AA1088" i="5"/>
  <c r="AC161" i="5"/>
  <c r="AA161" i="5"/>
  <c r="M161" i="5"/>
  <c r="AE1220" i="5"/>
  <c r="AB827" i="5"/>
  <c r="AB197" i="5"/>
  <c r="AD103" i="5"/>
  <c r="M103" i="5"/>
  <c r="AD77" i="5"/>
  <c r="AA77" i="5"/>
  <c r="AE165" i="5"/>
  <c r="AD165" i="5"/>
  <c r="AE267" i="5"/>
  <c r="AB267" i="5"/>
  <c r="AA267" i="5"/>
  <c r="M267" i="5"/>
  <c r="AA298" i="5"/>
  <c r="AC298" i="5"/>
  <c r="M298" i="5"/>
  <c r="AE177" i="5"/>
  <c r="AC177" i="5"/>
  <c r="AB142" i="5"/>
  <c r="AE142" i="5"/>
  <c r="AA142" i="5"/>
  <c r="AC142" i="5"/>
  <c r="AD206" i="5"/>
  <c r="M206" i="5"/>
  <c r="AD467" i="5"/>
  <c r="AE467" i="5"/>
  <c r="AA467" i="5"/>
  <c r="M365" i="5"/>
  <c r="AC365" i="5"/>
  <c r="AC441" i="5"/>
  <c r="M441" i="5"/>
  <c r="AD441" i="5"/>
  <c r="AE441" i="5"/>
  <c r="AB441" i="5"/>
  <c r="AD229" i="5"/>
  <c r="AA229" i="5"/>
  <c r="AE229" i="5"/>
  <c r="AB383" i="5"/>
  <c r="M383" i="5"/>
  <c r="AD383" i="5"/>
  <c r="AE383" i="5"/>
  <c r="AC383" i="5"/>
  <c r="AC503" i="5"/>
  <c r="AA503" i="5"/>
  <c r="M503" i="5"/>
  <c r="AE503" i="5"/>
  <c r="AD503" i="5"/>
  <c r="AE251" i="5"/>
  <c r="AB251" i="5"/>
  <c r="M251" i="5"/>
  <c r="AA251" i="5"/>
  <c r="AE448" i="5"/>
  <c r="AB448" i="5"/>
  <c r="AD448" i="5"/>
  <c r="AA448" i="5"/>
  <c r="M448" i="5"/>
  <c r="AC448" i="5"/>
  <c r="AA496" i="5"/>
  <c r="M496" i="5"/>
  <c r="AE727" i="5"/>
  <c r="M1220" i="5"/>
  <c r="AA1220" i="5"/>
  <c r="AC1166" i="5"/>
  <c r="AE1014" i="5"/>
  <c r="M991" i="5"/>
  <c r="AA661" i="5"/>
  <c r="AD164" i="5"/>
  <c r="AE219" i="5"/>
  <c r="AB219" i="5"/>
  <c r="AC400" i="5"/>
  <c r="AE400" i="5"/>
  <c r="AC240" i="5"/>
  <c r="AA240" i="5"/>
  <c r="AD226" i="5"/>
  <c r="AA226" i="5"/>
  <c r="AE226" i="5"/>
  <c r="AB226" i="5"/>
  <c r="M226" i="5"/>
  <c r="AE576" i="5"/>
  <c r="AD576" i="5"/>
  <c r="AD1166" i="5"/>
  <c r="AE1213" i="5"/>
  <c r="AA1082" i="5"/>
  <c r="M590" i="5"/>
  <c r="AB505" i="5"/>
  <c r="AB471" i="5"/>
  <c r="AA103" i="5"/>
  <c r="AD161" i="5"/>
  <c r="AE77" i="5"/>
  <c r="AE274" i="5"/>
  <c r="AB274" i="5"/>
  <c r="M274" i="5"/>
  <c r="AA274" i="5"/>
  <c r="AC274" i="5"/>
  <c r="AC254" i="5"/>
  <c r="M254" i="5"/>
  <c r="AA590" i="5"/>
  <c r="AE590" i="5"/>
  <c r="AB661" i="5"/>
  <c r="AD661" i="5"/>
  <c r="M661" i="5"/>
  <c r="AC661" i="5"/>
  <c r="AC872" i="5"/>
  <c r="M872" i="5"/>
  <c r="AC840" i="5"/>
  <c r="AE840" i="5"/>
  <c r="AC1105" i="5"/>
  <c r="AB1105" i="5"/>
  <c r="AA1328" i="5"/>
  <c r="M1328" i="5"/>
  <c r="AD1304" i="5"/>
  <c r="AE1304" i="5"/>
  <c r="AE284" i="5"/>
  <c r="AC284" i="5"/>
  <c r="M284" i="5"/>
  <c r="AA1186" i="5"/>
  <c r="AA1060" i="5"/>
  <c r="AE897" i="5"/>
  <c r="AA422" i="5"/>
  <c r="AD330" i="5"/>
  <c r="AE298" i="5"/>
  <c r="AD312" i="5"/>
  <c r="AE161" i="5"/>
  <c r="M77" i="5"/>
  <c r="AD301" i="5"/>
  <c r="AE301" i="5"/>
  <c r="AC301" i="5"/>
  <c r="M301" i="5"/>
  <c r="AE619" i="5"/>
  <c r="AC619" i="5"/>
  <c r="AB619" i="5"/>
  <c r="AA619" i="5"/>
  <c r="M619" i="5"/>
  <c r="AC910" i="5"/>
  <c r="AB910" i="5"/>
  <c r="AE1214" i="5"/>
  <c r="AA1214" i="5"/>
  <c r="AD1231" i="5"/>
  <c r="AC1231" i="5"/>
  <c r="M1231" i="5"/>
  <c r="AC1213" i="5"/>
  <c r="AB1213" i="5"/>
  <c r="AA1213" i="5"/>
  <c r="AE1188" i="5"/>
  <c r="AC1188" i="5"/>
  <c r="AB1188" i="5"/>
  <c r="AB1414" i="5"/>
  <c r="AA1414" i="5"/>
  <c r="AE1414" i="5"/>
  <c r="AC1414" i="5"/>
  <c r="M1060" i="5"/>
  <c r="M910" i="5"/>
  <c r="M292" i="5"/>
  <c r="AD292" i="5"/>
  <c r="AB292" i="5"/>
  <c r="AD460" i="5"/>
  <c r="AC460" i="5"/>
  <c r="AC1304" i="5"/>
  <c r="AD1213" i="5"/>
  <c r="M1164" i="5"/>
  <c r="AA874" i="5"/>
  <c r="AA840" i="5"/>
  <c r="AD822" i="5"/>
  <c r="AC576" i="5"/>
  <c r="M312" i="5"/>
  <c r="AC196" i="5"/>
  <c r="AC219" i="5"/>
  <c r="M415" i="5"/>
  <c r="AE415" i="5"/>
  <c r="AB415" i="5"/>
  <c r="M1304" i="5"/>
  <c r="AC1082" i="5"/>
  <c r="AD1188" i="5"/>
  <c r="AC1008" i="5"/>
  <c r="AA944" i="5"/>
  <c r="AA897" i="5"/>
  <c r="AC874" i="5"/>
  <c r="AB840" i="5"/>
  <c r="AA547" i="5"/>
  <c r="AC267" i="5"/>
  <c r="AA301" i="5"/>
  <c r="AA177" i="5"/>
  <c r="M145" i="5"/>
  <c r="AD145" i="5"/>
  <c r="AB145" i="5"/>
  <c r="AC145" i="5"/>
  <c r="AA145" i="5"/>
  <c r="AE124" i="5"/>
  <c r="M124" i="5"/>
  <c r="AA124" i="5"/>
  <c r="AB351" i="5"/>
  <c r="AD351" i="5"/>
  <c r="AE560" i="5"/>
  <c r="AB560" i="5"/>
  <c r="AA560" i="5"/>
  <c r="AC560" i="5"/>
  <c r="M560" i="5"/>
  <c r="AA640" i="5"/>
  <c r="AD640" i="5"/>
  <c r="M640" i="5"/>
  <c r="AE640" i="5"/>
  <c r="AB640" i="5"/>
  <c r="M1006" i="5"/>
  <c r="AD1060" i="5"/>
  <c r="AA1188" i="5"/>
  <c r="M607" i="5"/>
  <c r="AE363" i="5"/>
  <c r="AD298" i="5"/>
  <c r="AD267" i="5"/>
  <c r="AB301" i="5"/>
  <c r="AD177" i="5"/>
  <c r="AA184" i="5"/>
  <c r="AB184" i="5"/>
  <c r="AD184" i="5"/>
  <c r="AC184" i="5"/>
  <c r="M180" i="5"/>
  <c r="AE180" i="5"/>
  <c r="AA372" i="5"/>
  <c r="AE372" i="5"/>
  <c r="AD372" i="5"/>
  <c r="AD270" i="5"/>
  <c r="AC270" i="5"/>
  <c r="AA270" i="5"/>
  <c r="M270" i="5"/>
  <c r="AE270" i="5"/>
  <c r="AE366" i="5"/>
  <c r="AC366" i="5"/>
  <c r="M366" i="5"/>
  <c r="AA366" i="5"/>
  <c r="AB366" i="5"/>
  <c r="M510" i="5"/>
  <c r="AA510" i="5"/>
  <c r="AD649" i="5"/>
  <c r="M649" i="5"/>
  <c r="AB649" i="5"/>
  <c r="AD688" i="5"/>
  <c r="M688" i="5"/>
  <c r="AA691" i="5"/>
  <c r="AD691" i="5"/>
  <c r="M691" i="5"/>
  <c r="AA793" i="5"/>
  <c r="AB793" i="5"/>
  <c r="AC80" i="5"/>
  <c r="AB80" i="5"/>
  <c r="AC988" i="5"/>
  <c r="AE988" i="5"/>
  <c r="M1414" i="5"/>
  <c r="AD1220" i="5"/>
  <c r="AB1220" i="5"/>
  <c r="AE872" i="5"/>
  <c r="AD1259" i="5"/>
  <c r="AB1231" i="5"/>
  <c r="AC1060" i="5"/>
  <c r="M1188" i="5"/>
  <c r="AE957" i="5"/>
  <c r="AC941" i="5"/>
  <c r="AD909" i="5"/>
  <c r="AC612" i="5"/>
  <c r="M372" i="5"/>
  <c r="AE240" i="5"/>
  <c r="M93" i="5"/>
  <c r="AE93" i="5"/>
  <c r="AD93" i="5"/>
  <c r="AA93" i="5"/>
  <c r="AE153" i="5"/>
  <c r="AA153" i="5"/>
  <c r="AD153" i="5"/>
  <c r="AC153" i="5"/>
  <c r="AB153" i="5"/>
  <c r="M331" i="5"/>
  <c r="AA331" i="5"/>
  <c r="AE331" i="5"/>
  <c r="AB331" i="5"/>
  <c r="AB685" i="5"/>
  <c r="AD685" i="5"/>
  <c r="AC407" i="5"/>
  <c r="AB407" i="5"/>
  <c r="M407" i="5"/>
  <c r="AD567" i="5"/>
  <c r="AE567" i="5"/>
  <c r="AD969" i="5"/>
  <c r="M969" i="5"/>
  <c r="AC969" i="5"/>
  <c r="AA969" i="5"/>
  <c r="AB969" i="5"/>
  <c r="AA1379" i="5"/>
  <c r="AE1379" i="5"/>
  <c r="AB1082" i="5"/>
  <c r="AD1082" i="5"/>
  <c r="AC1158" i="5"/>
  <c r="M1158" i="5"/>
  <c r="AB1158" i="5"/>
  <c r="AE1141" i="5"/>
  <c r="AB1141" i="5"/>
  <c r="AD1141" i="5"/>
  <c r="AE1068" i="5"/>
  <c r="AE969" i="5"/>
  <c r="AD957" i="5"/>
  <c r="AD910" i="5"/>
  <c r="AE370" i="5"/>
  <c r="AC370" i="5"/>
  <c r="AB596" i="5"/>
  <c r="AE596" i="5"/>
  <c r="AA596" i="5"/>
  <c r="AC596" i="5"/>
  <c r="AE157" i="5"/>
  <c r="AC157" i="5"/>
  <c r="AA157" i="5"/>
  <c r="AB157" i="5"/>
  <c r="AD157" i="5"/>
  <c r="AB1338" i="5"/>
  <c r="AC906" i="5"/>
  <c r="AC640" i="5"/>
  <c r="AB229" i="5"/>
  <c r="AA150" i="5"/>
  <c r="M171" i="5"/>
  <c r="M240" i="5"/>
  <c r="M125" i="5"/>
  <c r="AA125" i="5"/>
  <c r="AD122" i="5"/>
  <c r="M122" i="5"/>
  <c r="AC122" i="5"/>
  <c r="AD471" i="5"/>
  <c r="AA471" i="5"/>
  <c r="M471" i="5"/>
  <c r="AE471" i="5"/>
  <c r="AB991" i="5"/>
  <c r="AD991" i="5"/>
  <c r="AC991" i="5"/>
  <c r="AA991" i="5"/>
  <c r="M567" i="5"/>
  <c r="AB118" i="5"/>
  <c r="AE445" i="5"/>
  <c r="AA445" i="5"/>
  <c r="AC957" i="5"/>
  <c r="AB988" i="5"/>
  <c r="AA872" i="5"/>
  <c r="AC864" i="5"/>
  <c r="AB476" i="5"/>
  <c r="AB422" i="5"/>
  <c r="AA441" i="5"/>
  <c r="AD274" i="5"/>
  <c r="AC229" i="5"/>
  <c r="AB240" i="5"/>
  <c r="AD180" i="5"/>
  <c r="AD142" i="5"/>
  <c r="AE1006" i="5"/>
  <c r="AC1006" i="5"/>
  <c r="AA1006" i="5"/>
  <c r="AD366" i="5"/>
  <c r="AD872" i="5"/>
  <c r="AE367" i="5"/>
  <c r="AD367" i="5"/>
  <c r="AB367" i="5"/>
  <c r="AD214" i="5"/>
  <c r="AC214" i="5"/>
  <c r="AB1304" i="5"/>
  <c r="M1105" i="5"/>
  <c r="M930" i="5"/>
  <c r="AC930" i="5"/>
  <c r="M807" i="5"/>
  <c r="AA720" i="5"/>
  <c r="AA688" i="5"/>
  <c r="M229" i="5"/>
  <c r="AD240" i="5"/>
  <c r="M142" i="5"/>
  <c r="AA275" i="5"/>
  <c r="AB275" i="5"/>
  <c r="AE275" i="5"/>
  <c r="AC275" i="5"/>
  <c r="AC622" i="5"/>
  <c r="AA622" i="5"/>
  <c r="AE622" i="5"/>
  <c r="AC825" i="5"/>
  <c r="AE745" i="5"/>
  <c r="AD522" i="5"/>
  <c r="AD622" i="5"/>
  <c r="AC449" i="5"/>
  <c r="M409" i="5"/>
  <c r="AD324" i="5"/>
  <c r="M262" i="5"/>
  <c r="AE310" i="5"/>
  <c r="AC88" i="5"/>
  <c r="AB210" i="5"/>
  <c r="M114" i="5"/>
  <c r="AB475" i="5"/>
  <c r="AA475" i="5"/>
  <c r="AA736" i="5"/>
  <c r="AB736" i="5"/>
  <c r="AE735" i="5"/>
  <c r="M735" i="5"/>
  <c r="AC960" i="5"/>
  <c r="AD960" i="5"/>
  <c r="AA1021" i="5"/>
  <c r="AC899" i="5"/>
  <c r="AB825" i="5"/>
  <c r="AB735" i="5"/>
  <c r="AC697" i="5"/>
  <c r="AA497" i="5"/>
  <c r="AC403" i="5"/>
  <c r="AA545" i="5"/>
  <c r="AE502" i="5"/>
  <c r="AD411" i="5"/>
  <c r="AD516" i="5"/>
  <c r="AA394" i="5"/>
  <c r="AA391" i="5"/>
  <c r="M261" i="5"/>
  <c r="M246" i="5"/>
  <c r="AA191" i="5"/>
  <c r="AE846" i="5"/>
  <c r="AA846" i="5"/>
  <c r="AD1093" i="5"/>
  <c r="AA899" i="5"/>
  <c r="AC733" i="5"/>
  <c r="M669" i="5"/>
  <c r="AA735" i="5"/>
  <c r="AC497" i="5"/>
  <c r="AC387" i="5"/>
  <c r="AC541" i="5"/>
  <c r="AC545" i="5"/>
  <c r="M447" i="5"/>
  <c r="AB381" i="5"/>
  <c r="M516" i="5"/>
  <c r="AE393" i="5"/>
  <c r="M275" i="5"/>
  <c r="AA114" i="5"/>
  <c r="AE191" i="5"/>
  <c r="AC98" i="5"/>
  <c r="AD186" i="5"/>
  <c r="M186" i="5"/>
  <c r="AC158" i="5"/>
  <c r="AB158" i="5"/>
  <c r="M300" i="5"/>
  <c r="AC300" i="5"/>
  <c r="AD300" i="5"/>
  <c r="AB486" i="5"/>
  <c r="AD486" i="5"/>
  <c r="AE486" i="5"/>
  <c r="AC246" i="5"/>
  <c r="AA246" i="5"/>
  <c r="AE246" i="5"/>
  <c r="AE376" i="5"/>
  <c r="M376" i="5"/>
  <c r="AC378" i="5"/>
  <c r="AE378" i="5"/>
  <c r="AD431" i="5"/>
  <c r="AE431" i="5"/>
  <c r="AB431" i="5"/>
  <c r="M634" i="5"/>
  <c r="AB634" i="5"/>
  <c r="AE634" i="5"/>
  <c r="AD595" i="5"/>
  <c r="AB595" i="5"/>
  <c r="AE595" i="5"/>
  <c r="AB846" i="5"/>
  <c r="M475" i="5"/>
  <c r="AD275" i="5"/>
  <c r="M91" i="5"/>
  <c r="AC152" i="5"/>
  <c r="AA152" i="5"/>
  <c r="M152" i="5"/>
  <c r="AD193" i="5"/>
  <c r="AB193" i="5"/>
  <c r="AA193" i="5"/>
  <c r="M193" i="5"/>
  <c r="AC204" i="5"/>
  <c r="M204" i="5"/>
  <c r="AB204" i="5"/>
  <c r="AA168" i="5"/>
  <c r="AB168" i="5"/>
  <c r="AA140" i="5"/>
  <c r="AB140" i="5"/>
  <c r="AB218" i="5"/>
  <c r="AD218" i="5"/>
  <c r="M218" i="5"/>
  <c r="M307" i="5"/>
  <c r="AD307" i="5"/>
  <c r="M169" i="5"/>
  <c r="AA169" i="5"/>
  <c r="AD169" i="5"/>
  <c r="AD181" i="5"/>
  <c r="AA181" i="5"/>
  <c r="AD521" i="5"/>
  <c r="AE521" i="5"/>
  <c r="AA521" i="5"/>
  <c r="AD623" i="5"/>
  <c r="AE623" i="5"/>
  <c r="AA623" i="5"/>
  <c r="AC360" i="5"/>
  <c r="M360" i="5"/>
  <c r="AE534" i="5"/>
  <c r="AD534" i="5"/>
  <c r="AA534" i="5"/>
  <c r="AA278" i="5"/>
  <c r="AE278" i="5"/>
  <c r="AD322" i="5"/>
  <c r="AA322" i="5"/>
  <c r="AB392" i="5"/>
  <c r="M392" i="5"/>
  <c r="AD582" i="5"/>
  <c r="AE582" i="5"/>
  <c r="AA599" i="5"/>
  <c r="AE599" i="5"/>
  <c r="AD561" i="5"/>
  <c r="AB561" i="5"/>
  <c r="M905" i="5"/>
  <c r="AD905" i="5"/>
  <c r="AB146" i="5"/>
  <c r="AA146" i="5"/>
  <c r="M146" i="5"/>
  <c r="AE146" i="5"/>
  <c r="AE410" i="5"/>
  <c r="AA410" i="5"/>
  <c r="M377" i="5"/>
  <c r="AA377" i="5"/>
  <c r="AB394" i="5"/>
  <c r="AD394" i="5"/>
  <c r="M394" i="5"/>
  <c r="M671" i="5"/>
  <c r="AD671" i="5"/>
  <c r="AC523" i="5"/>
  <c r="AE523" i="5"/>
  <c r="AE912" i="5"/>
  <c r="AC846" i="5"/>
  <c r="AD730" i="5"/>
  <c r="AE660" i="5"/>
  <c r="AD660" i="5"/>
  <c r="AC444" i="5"/>
  <c r="AA483" i="5"/>
  <c r="AA431" i="5"/>
  <c r="AD475" i="5"/>
  <c r="AA346" i="5"/>
  <c r="AB261" i="5"/>
  <c r="AB83" i="5"/>
  <c r="AC146" i="5"/>
  <c r="M181" i="5"/>
  <c r="AE212" i="5"/>
  <c r="M212" i="5"/>
  <c r="AB212" i="5"/>
  <c r="AD212" i="5"/>
  <c r="AA148" i="5"/>
  <c r="AD148" i="5"/>
  <c r="AC148" i="5"/>
  <c r="AC102" i="5"/>
  <c r="AE102" i="5"/>
  <c r="AD102" i="5"/>
  <c r="AB264" i="5"/>
  <c r="AC264" i="5"/>
  <c r="M264" i="5"/>
  <c r="AE264" i="5"/>
  <c r="AE86" i="5"/>
  <c r="AC86" i="5"/>
  <c r="AD86" i="5"/>
  <c r="AC279" i="5"/>
  <c r="AE279" i="5"/>
  <c r="AA279" i="5"/>
  <c r="M243" i="5"/>
  <c r="AE243" i="5"/>
  <c r="M402" i="5"/>
  <c r="AA402" i="5"/>
  <c r="AE435" i="5"/>
  <c r="AD435" i="5"/>
  <c r="M502" i="5"/>
  <c r="AA502" i="5"/>
  <c r="AB586" i="5"/>
  <c r="AC586" i="5"/>
  <c r="AD257" i="5"/>
  <c r="AC257" i="5"/>
  <c r="AB250" i="5"/>
  <c r="M250" i="5"/>
  <c r="AA200" i="5"/>
  <c r="AD200" i="5"/>
  <c r="AB200" i="5"/>
  <c r="M309" i="5"/>
  <c r="AD309" i="5"/>
  <c r="M344" i="5"/>
  <c r="AC344" i="5"/>
  <c r="AC347" i="5"/>
  <c r="M347" i="5"/>
  <c r="AB506" i="5"/>
  <c r="AC506" i="5"/>
  <c r="AE542" i="5"/>
  <c r="M568" i="5"/>
  <c r="AC544" i="5"/>
  <c r="M220" i="5"/>
  <c r="AB279" i="5"/>
  <c r="AE960" i="5"/>
  <c r="AA960" i="5"/>
  <c r="AB905" i="5"/>
  <c r="AD745" i="5"/>
  <c r="AC645" i="5"/>
  <c r="AC634" i="5"/>
  <c r="AE558" i="5"/>
  <c r="AB521" i="5"/>
  <c r="AC486" i="5"/>
  <c r="M432" i="5"/>
  <c r="AC323" i="5"/>
  <c r="AB317" i="5"/>
  <c r="AA317" i="5"/>
  <c r="AD279" i="5"/>
  <c r="AC169" i="5"/>
  <c r="M86" i="5"/>
  <c r="AB114" i="5"/>
  <c r="AC114" i="5"/>
  <c r="AE114" i="5"/>
  <c r="AC220" i="5"/>
  <c r="AA220" i="5"/>
  <c r="AB220" i="5"/>
  <c r="M210" i="5"/>
  <c r="AE210" i="5"/>
  <c r="AA290" i="5"/>
  <c r="AC290" i="5"/>
  <c r="AB290" i="5"/>
  <c r="M290" i="5"/>
  <c r="AE305" i="5"/>
  <c r="AA305" i="5"/>
  <c r="AC305" i="5"/>
  <c r="M305" i="5"/>
  <c r="AA325" i="5"/>
  <c r="AC325" i="5"/>
  <c r="AD325" i="5"/>
  <c r="AD767" i="5"/>
  <c r="AB767" i="5"/>
  <c r="AC767" i="5"/>
  <c r="AE423" i="5"/>
  <c r="AA423" i="5"/>
  <c r="AD423" i="5"/>
  <c r="AE723" i="5"/>
  <c r="AC723" i="5"/>
  <c r="AD580" i="5"/>
  <c r="AC580" i="5"/>
  <c r="AD824" i="5"/>
  <c r="AC824" i="5"/>
  <c r="AB714" i="5"/>
  <c r="AC714" i="5"/>
  <c r="M926" i="5"/>
  <c r="AE681" i="5"/>
  <c r="AB681" i="5"/>
  <c r="AB551" i="5"/>
  <c r="M551" i="5"/>
  <c r="AA227" i="5"/>
  <c r="AE227" i="5"/>
  <c r="AD564" i="5"/>
  <c r="AC564" i="5"/>
  <c r="AB564" i="5"/>
  <c r="AB651" i="5"/>
  <c r="AD651" i="5"/>
  <c r="AE644" i="5"/>
  <c r="AC644" i="5"/>
  <c r="AE92" i="5"/>
  <c r="M92" i="5"/>
  <c r="AB192" i="5"/>
  <c r="AA192" i="5"/>
  <c r="AD85" i="5"/>
  <c r="M85" i="5"/>
  <c r="AC85" i="5"/>
  <c r="AB85" i="5"/>
  <c r="AC109" i="5"/>
  <c r="AB109" i="5"/>
  <c r="AD109" i="5"/>
  <c r="AD72" i="5"/>
  <c r="AC332" i="5"/>
  <c r="AA332" i="5"/>
  <c r="M332" i="5"/>
  <c r="AE332" i="5"/>
  <c r="AB452" i="5"/>
  <c r="AE452" i="5"/>
  <c r="AD452" i="5"/>
  <c r="AC452" i="5"/>
  <c r="AA452" i="5"/>
  <c r="M452" i="5"/>
  <c r="M334" i="5"/>
  <c r="AD334" i="5"/>
  <c r="AB334" i="5"/>
  <c r="AC450" i="5"/>
  <c r="M450" i="5"/>
  <c r="AA450" i="5"/>
  <c r="AB450" i="5"/>
  <c r="AE450" i="5"/>
  <c r="AB980" i="5"/>
  <c r="M980" i="5"/>
  <c r="AE980" i="5"/>
  <c r="AD980" i="5"/>
  <c r="AC980" i="5"/>
  <c r="AA980" i="5"/>
  <c r="AB1037" i="5"/>
  <c r="AA1037" i="5"/>
  <c r="AD1037" i="5"/>
  <c r="M1037" i="5"/>
  <c r="AE1037" i="5"/>
  <c r="AC1037" i="5"/>
  <c r="AC1104" i="5"/>
  <c r="AB1104" i="5"/>
  <c r="M1104" i="5"/>
  <c r="AD1230" i="5"/>
  <c r="AE1230" i="5"/>
  <c r="AC1230" i="5"/>
  <c r="AE1115" i="5"/>
  <c r="AB1115" i="5"/>
  <c r="M1115" i="5"/>
  <c r="AC1233" i="5"/>
  <c r="AA1233" i="5"/>
  <c r="AE1408" i="5"/>
  <c r="AD1408" i="5"/>
  <c r="M1408" i="5"/>
  <c r="AB1408" i="5"/>
  <c r="AB1292" i="5"/>
  <c r="AE1292" i="5"/>
  <c r="AD1292" i="5"/>
  <c r="AC1292" i="5"/>
  <c r="M1292" i="5"/>
  <c r="AD1206" i="5"/>
  <c r="AC1206" i="5"/>
  <c r="AC1272" i="5"/>
  <c r="M1272" i="5"/>
  <c r="AE1272" i="5"/>
  <c r="M1265" i="5"/>
  <c r="AB1265" i="5"/>
  <c r="AB1419" i="5"/>
  <c r="AC1419" i="5"/>
  <c r="AA1419" i="5"/>
  <c r="M1419" i="5"/>
  <c r="AE1419" i="5"/>
  <c r="AD1419" i="5"/>
  <c r="AD299" i="5"/>
  <c r="AB299" i="5"/>
  <c r="AA299" i="5"/>
  <c r="M96" i="5"/>
  <c r="AE96" i="5"/>
  <c r="AD96" i="5"/>
  <c r="AA96" i="5"/>
  <c r="AC96" i="5"/>
  <c r="AD129" i="5"/>
  <c r="AE129" i="5"/>
  <c r="M129" i="5"/>
  <c r="AB129" i="5"/>
  <c r="AC129" i="5"/>
  <c r="AA379" i="5"/>
  <c r="AB379" i="5"/>
  <c r="AC379" i="5"/>
  <c r="M490" i="5"/>
  <c r="AD490" i="5"/>
  <c r="AC490" i="5"/>
  <c r="AA490" i="5"/>
  <c r="AD781" i="5"/>
  <c r="AC781" i="5"/>
  <c r="AE781" i="5"/>
  <c r="AC871" i="5"/>
  <c r="M871" i="5"/>
  <c r="M963" i="5"/>
  <c r="AC963" i="5"/>
  <c r="AE963" i="5"/>
  <c r="AA963" i="5"/>
  <c r="AD967" i="5"/>
  <c r="M967" i="5"/>
  <c r="AA967" i="5"/>
  <c r="AB1011" i="5"/>
  <c r="AE1011" i="5"/>
  <c r="M1011" i="5"/>
  <c r="AD1011" i="5"/>
  <c r="AA1011" i="5"/>
  <c r="AC1011" i="5"/>
  <c r="AC959" i="5"/>
  <c r="AB959" i="5"/>
  <c r="AA1171" i="5"/>
  <c r="AB1171" i="5"/>
  <c r="AD1171" i="5"/>
  <c r="AD1170" i="5"/>
  <c r="M1170" i="5"/>
  <c r="AB1170" i="5"/>
  <c r="AA1170" i="5"/>
  <c r="AC1200" i="5"/>
  <c r="AA1200" i="5"/>
  <c r="M1200" i="5"/>
  <c r="AE1200" i="5"/>
  <c r="AD1200" i="5"/>
  <c r="AB1200" i="5"/>
  <c r="AD1233" i="5"/>
  <c r="AC967" i="5"/>
  <c r="AB100" i="5"/>
  <c r="AD100" i="5"/>
  <c r="M100" i="5"/>
  <c r="AA100" i="5"/>
  <c r="AC100" i="5"/>
  <c r="AE100" i="5"/>
  <c r="AA214" i="5"/>
  <c r="AE214" i="5"/>
  <c r="AB214" i="5"/>
  <c r="M214" i="5"/>
  <c r="AA334" i="5"/>
  <c r="AE271" i="5"/>
  <c r="AB96" i="5"/>
  <c r="AB94" i="5"/>
  <c r="M94" i="5"/>
  <c r="AC94" i="5"/>
  <c r="M201" i="5"/>
  <c r="AD201" i="5"/>
  <c r="AE201" i="5"/>
  <c r="AB201" i="5"/>
  <c r="AC201" i="5"/>
  <c r="M1233" i="5"/>
  <c r="AB87" i="5"/>
  <c r="AE87" i="5"/>
  <c r="AA87" i="5"/>
  <c r="AE108" i="5"/>
  <c r="AB108" i="5"/>
  <c r="AC108" i="5"/>
  <c r="AD108" i="5"/>
  <c r="AA213" i="5"/>
  <c r="AB213" i="5"/>
  <c r="M213" i="5"/>
  <c r="AC288" i="5"/>
  <c r="AA288" i="5"/>
  <c r="AB288" i="5"/>
  <c r="AB281" i="5"/>
  <c r="AD281" i="5"/>
  <c r="AC281" i="5"/>
  <c r="AA281" i="5"/>
  <c r="M281" i="5"/>
  <c r="AE281" i="5"/>
  <c r="M249" i="5"/>
  <c r="AD249" i="5"/>
  <c r="AC249" i="5"/>
  <c r="AA249" i="5"/>
  <c r="AE249" i="5"/>
  <c r="M329" i="5"/>
  <c r="AC329" i="5"/>
  <c r="AA329" i="5"/>
  <c r="AE329" i="5"/>
  <c r="AD463" i="5"/>
  <c r="AB463" i="5"/>
  <c r="AA463" i="5"/>
  <c r="M463" i="5"/>
  <c r="AC463" i="5"/>
  <c r="AC328" i="5"/>
  <c r="AB328" i="5"/>
  <c r="M328" i="5"/>
  <c r="AD235" i="5"/>
  <c r="M235" i="5"/>
  <c r="M354" i="5"/>
  <c r="AC354" i="5"/>
  <c r="AE491" i="5"/>
  <c r="AD491" i="5"/>
  <c r="AB659" i="5"/>
  <c r="AE659" i="5"/>
  <c r="AD659" i="5"/>
  <c r="AA659" i="5"/>
  <c r="M659" i="5"/>
  <c r="AC659" i="5"/>
  <c r="AC362" i="5"/>
  <c r="AB362" i="5"/>
  <c r="AD362" i="5"/>
  <c r="M362" i="5"/>
  <c r="AB232" i="5"/>
  <c r="AD232" i="5"/>
  <c r="AC232" i="5"/>
  <c r="AA232" i="5"/>
  <c r="AE232" i="5"/>
  <c r="M232" i="5"/>
  <c r="AD527" i="5"/>
  <c r="AA527" i="5"/>
  <c r="M527" i="5"/>
  <c r="AE527" i="5"/>
  <c r="AA507" i="5"/>
  <c r="AD507" i="5"/>
  <c r="AB507" i="5"/>
  <c r="M507" i="5"/>
  <c r="AE507" i="5"/>
  <c r="AD479" i="5"/>
  <c r="AA479" i="5"/>
  <c r="M442" i="5"/>
  <c r="AD442" i="5"/>
  <c r="AC442" i="5"/>
  <c r="AA442" i="5"/>
  <c r="AA539" i="5"/>
  <c r="M539" i="5"/>
  <c r="AE539" i="5"/>
  <c r="AB539" i="5"/>
  <c r="AE606" i="5"/>
  <c r="AC606" i="5"/>
  <c r="AB606" i="5"/>
  <c r="AA606" i="5"/>
  <c r="M606" i="5"/>
  <c r="M474" i="5"/>
  <c r="AA474" i="5"/>
  <c r="AD474" i="5"/>
  <c r="AC474" i="5"/>
  <c r="AB474" i="5"/>
  <c r="AC421" i="5"/>
  <c r="M421" i="5"/>
  <c r="AE421" i="5"/>
  <c r="AD421" i="5"/>
  <c r="AA421" i="5"/>
  <c r="AB421" i="5"/>
  <c r="AC652" i="5"/>
  <c r="AB652" i="5"/>
  <c r="AA424" i="5"/>
  <c r="AD424" i="5"/>
  <c r="AC424" i="5"/>
  <c r="AB424" i="5"/>
  <c r="M424" i="5"/>
  <c r="AB514" i="5"/>
  <c r="AE514" i="5"/>
  <c r="AD514" i="5"/>
  <c r="AC514" i="5"/>
  <c r="AA514" i="5"/>
  <c r="M514" i="5"/>
  <c r="AE752" i="5"/>
  <c r="AC752" i="5"/>
  <c r="M752" i="5"/>
  <c r="AE615" i="5"/>
  <c r="AA615" i="5"/>
  <c r="M615" i="5"/>
  <c r="AB615" i="5"/>
  <c r="AE740" i="5"/>
  <c r="AD740" i="5"/>
  <c r="AC740" i="5"/>
  <c r="AA740" i="5"/>
  <c r="AC916" i="5"/>
  <c r="AB916" i="5"/>
  <c r="AA916" i="5"/>
  <c r="AB583" i="5"/>
  <c r="AA583" i="5"/>
  <c r="M583" i="5"/>
  <c r="AB921" i="5"/>
  <c r="M921" i="5"/>
  <c r="AD921" i="5"/>
  <c r="AC921" i="5"/>
  <c r="AE921" i="5"/>
  <c r="AB696" i="5"/>
  <c r="AD696" i="5"/>
  <c r="M696" i="5"/>
  <c r="AE696" i="5"/>
  <c r="AC696" i="5"/>
  <c r="AA696" i="5"/>
  <c r="M631" i="5"/>
  <c r="AC631" i="5"/>
  <c r="AA631" i="5"/>
  <c r="M724" i="5"/>
  <c r="AE724" i="5"/>
  <c r="AD724" i="5"/>
  <c r="AC724" i="5"/>
  <c r="AC164" i="5"/>
  <c r="AB164" i="5"/>
  <c r="AA164" i="5"/>
  <c r="M164" i="5"/>
  <c r="AA112" i="5"/>
  <c r="AD112" i="5"/>
  <c r="M112" i="5"/>
  <c r="AB112" i="5"/>
  <c r="AC451" i="5"/>
  <c r="M451" i="5"/>
  <c r="AE451" i="5"/>
  <c r="AD799" i="5"/>
  <c r="AC799" i="5"/>
  <c r="AA799" i="5"/>
  <c r="AD602" i="5"/>
  <c r="M602" i="5"/>
  <c r="AE602" i="5"/>
  <c r="AC602" i="5"/>
  <c r="AB602" i="5"/>
  <c r="AA602" i="5"/>
  <c r="AC830" i="5"/>
  <c r="AE830" i="5"/>
  <c r="AA830" i="5"/>
  <c r="AB804" i="5"/>
  <c r="AE804" i="5"/>
  <c r="AA804" i="5"/>
  <c r="M749" i="5"/>
  <c r="AD749" i="5"/>
  <c r="AB749" i="5"/>
  <c r="M1066" i="5"/>
  <c r="AD1066" i="5"/>
  <c r="AA1066" i="5"/>
  <c r="AC1027" i="5"/>
  <c r="M1027" i="5"/>
  <c r="AE1027" i="5"/>
  <c r="AD1027" i="5"/>
  <c r="AA1027" i="5"/>
  <c r="AB1027" i="5"/>
  <c r="AD1026" i="5"/>
  <c r="M1026" i="5"/>
  <c r="AE1026" i="5"/>
  <c r="AC1026" i="5"/>
  <c r="AA1026" i="5"/>
  <c r="AA1109" i="5"/>
  <c r="AE1109" i="5"/>
  <c r="AC1101" i="5"/>
  <c r="AE1101" i="5"/>
  <c r="AB1101" i="5"/>
  <c r="AA1101" i="5"/>
  <c r="M1101" i="5"/>
  <c r="AB455" i="5"/>
  <c r="AC334" i="5"/>
  <c r="AB150" i="5"/>
  <c r="AE1233" i="5"/>
  <c r="AC749" i="5"/>
  <c r="AB134" i="5"/>
  <c r="AA134" i="5"/>
  <c r="AE134" i="5"/>
  <c r="AC134" i="5"/>
  <c r="M1244" i="5"/>
  <c r="AB1066" i="5"/>
  <c r="AE967" i="5"/>
  <c r="M830" i="5"/>
  <c r="AB613" i="5"/>
  <c r="M584" i="5"/>
  <c r="AD584" i="5"/>
  <c r="AE288" i="5"/>
  <c r="AC213" i="5"/>
  <c r="AA108" i="5"/>
  <c r="AA129" i="5"/>
  <c r="M155" i="5"/>
  <c r="AD155" i="5"/>
  <c r="AA155" i="5"/>
  <c r="AB155" i="5"/>
  <c r="AC155" i="5"/>
  <c r="M285" i="5"/>
  <c r="AE285" i="5"/>
  <c r="AB285" i="5"/>
  <c r="AD285" i="5"/>
  <c r="AB405" i="5"/>
  <c r="AD405" i="5"/>
  <c r="AC405" i="5"/>
  <c r="AE405" i="5"/>
  <c r="AA405" i="5"/>
  <c r="M405" i="5"/>
  <c r="AD208" i="5"/>
  <c r="AA208" i="5"/>
  <c r="AC208" i="5"/>
  <c r="AB260" i="5"/>
  <c r="AD260" i="5"/>
  <c r="M217" i="5"/>
  <c r="AE217" i="5"/>
  <c r="AD217" i="5"/>
  <c r="AA217" i="5"/>
  <c r="AB217" i="5"/>
  <c r="AE358" i="5"/>
  <c r="AA358" i="5"/>
  <c r="M358" i="5"/>
  <c r="AD358" i="5"/>
  <c r="AC358" i="5"/>
  <c r="AB480" i="5"/>
  <c r="AE480" i="5"/>
  <c r="AC480" i="5"/>
  <c r="M1396" i="5"/>
  <c r="AA1292" i="5"/>
  <c r="AA1272" i="5"/>
  <c r="AE1171" i="5"/>
  <c r="AD1115" i="5"/>
  <c r="AC1066" i="5"/>
  <c r="M781" i="5"/>
  <c r="AC797" i="5"/>
  <c r="AA752" i="5"/>
  <c r="AE584" i="5"/>
  <c r="AC491" i="5"/>
  <c r="AA455" i="5"/>
  <c r="AE245" i="5"/>
  <c r="AD213" i="5"/>
  <c r="AC318" i="5"/>
  <c r="AE318" i="5"/>
  <c r="M318" i="5"/>
  <c r="AB318" i="5"/>
  <c r="AC236" i="5"/>
  <c r="AA236" i="5"/>
  <c r="M236" i="5"/>
  <c r="AB236" i="5"/>
  <c r="AD236" i="5"/>
  <c r="AD512" i="5"/>
  <c r="AE512" i="5"/>
  <c r="AC512" i="5"/>
  <c r="AA512" i="5"/>
  <c r="M512" i="5"/>
  <c r="AC524" i="5"/>
  <c r="M524" i="5"/>
  <c r="AE524" i="5"/>
  <c r="AB524" i="5"/>
  <c r="AA524" i="5"/>
  <c r="AE613" i="5"/>
  <c r="AA613" i="5"/>
  <c r="AD848" i="5"/>
  <c r="AB848" i="5"/>
  <c r="AE848" i="5"/>
  <c r="AC848" i="5"/>
  <c r="AB732" i="5"/>
  <c r="AC732" i="5"/>
  <c r="AA732" i="5"/>
  <c r="AD732" i="5"/>
  <c r="AE732" i="5"/>
  <c r="AD800" i="5"/>
  <c r="AE800" i="5"/>
  <c r="AC800" i="5"/>
  <c r="M800" i="5"/>
  <c r="AD1052" i="5"/>
  <c r="AE1052" i="5"/>
  <c r="AB1052" i="5"/>
  <c r="AA937" i="5"/>
  <c r="AD937" i="5"/>
  <c r="AB937" i="5"/>
  <c r="AC1175" i="5"/>
  <c r="AE1175" i="5"/>
  <c r="AB1175" i="5"/>
  <c r="AD1175" i="5"/>
  <c r="AE1265" i="5"/>
  <c r="AB1396" i="5"/>
  <c r="AD1272" i="5"/>
  <c r="M1171" i="5"/>
  <c r="AA731" i="5"/>
  <c r="AB752" i="5"/>
  <c r="AD613" i="5"/>
  <c r="AE583" i="5"/>
  <c r="AC87" i="5"/>
  <c r="AE204" i="5"/>
  <c r="AA204" i="5"/>
  <c r="AD204" i="5"/>
  <c r="M163" i="5"/>
  <c r="AD163" i="5"/>
  <c r="AA163" i="5"/>
  <c r="AC163" i="5"/>
  <c r="AE163" i="5"/>
  <c r="AC271" i="5"/>
  <c r="M271" i="5"/>
  <c r="AD896" i="5"/>
  <c r="AE896" i="5"/>
  <c r="AC896" i="5"/>
  <c r="AA896" i="5"/>
  <c r="AE286" i="5"/>
  <c r="AA286" i="5"/>
  <c r="AD286" i="5"/>
  <c r="M286" i="5"/>
  <c r="AB401" i="5"/>
  <c r="AC401" i="5"/>
  <c r="AE401" i="5"/>
  <c r="AD401" i="5"/>
  <c r="AA401" i="5"/>
  <c r="M401" i="5"/>
  <c r="AC636" i="5"/>
  <c r="M636" i="5"/>
  <c r="AB636" i="5"/>
  <c r="AE768" i="5"/>
  <c r="AC768" i="5"/>
  <c r="M768" i="5"/>
  <c r="AC1191" i="5"/>
  <c r="AE1191" i="5"/>
  <c r="AA1191" i="5"/>
  <c r="M1191" i="5"/>
  <c r="AE721" i="5"/>
  <c r="M1279" i="5"/>
  <c r="AC1052" i="5"/>
  <c r="AB967" i="5"/>
  <c r="AD963" i="5"/>
  <c r="AA749" i="5"/>
  <c r="AD797" i="5"/>
  <c r="AA584" i="5"/>
  <c r="AA480" i="5"/>
  <c r="AD455" i="5"/>
  <c r="M804" i="5"/>
  <c r="AA182" i="5"/>
  <c r="M182" i="5"/>
  <c r="AB182" i="5"/>
  <c r="AE182" i="5"/>
  <c r="AC182" i="5"/>
  <c r="AC1396" i="5"/>
  <c r="AA1230" i="5"/>
  <c r="M1175" i="5"/>
  <c r="AB871" i="5"/>
  <c r="AA848" i="5"/>
  <c r="AD830" i="5"/>
  <c r="AD804" i="5"/>
  <c r="AA487" i="5"/>
  <c r="M613" i="5"/>
  <c r="AE424" i="5"/>
  <c r="AB451" i="5"/>
  <c r="M134" i="5"/>
  <c r="AD1396" i="5"/>
  <c r="AA1265" i="5"/>
  <c r="AB1230" i="5"/>
  <c r="AC1109" i="5"/>
  <c r="AC1171" i="5"/>
  <c r="AA959" i="5"/>
  <c r="M848" i="5"/>
  <c r="AB830" i="5"/>
  <c r="AC804" i="5"/>
  <c r="AB143" i="5"/>
  <c r="M143" i="5"/>
  <c r="AE143" i="5"/>
  <c r="AA143" i="5"/>
  <c r="AD143" i="5"/>
  <c r="AC143" i="5"/>
  <c r="AD375" i="5"/>
  <c r="AE375" i="5"/>
  <c r="AC375" i="5"/>
  <c r="AB375" i="5"/>
  <c r="AA375" i="5"/>
  <c r="M375" i="5"/>
  <c r="AB385" i="5"/>
  <c r="AE385" i="5"/>
  <c r="AD385" i="5"/>
  <c r="AC385" i="5"/>
  <c r="AA385" i="5"/>
  <c r="M385" i="5"/>
  <c r="AD731" i="5"/>
  <c r="AC731" i="5"/>
  <c r="M731" i="5"/>
  <c r="AE731" i="5"/>
  <c r="AD1022" i="5"/>
  <c r="AB1022" i="5"/>
  <c r="AC1031" i="5"/>
  <c r="AA1031" i="5"/>
  <c r="AB1031" i="5"/>
  <c r="AB1169" i="5"/>
  <c r="AE1169" i="5"/>
  <c r="AD1169" i="5"/>
  <c r="AC1169" i="5"/>
  <c r="AA1169" i="5"/>
  <c r="M1169" i="5"/>
  <c r="AE1279" i="5"/>
  <c r="AC1279" i="5"/>
  <c r="AB1279" i="5"/>
  <c r="AA1279" i="5"/>
  <c r="AC584" i="5"/>
  <c r="AD480" i="5"/>
  <c r="AE455" i="5"/>
  <c r="AE90" i="5"/>
  <c r="AD90" i="5"/>
  <c r="AC90" i="5"/>
  <c r="M90" i="5"/>
  <c r="AA90" i="5"/>
  <c r="AA1408" i="5"/>
  <c r="AE1396" i="5"/>
  <c r="M1230" i="5"/>
  <c r="AC1170" i="5"/>
  <c r="AD1101" i="5"/>
  <c r="M1031" i="5"/>
  <c r="AE1031" i="5"/>
  <c r="AD959" i="5"/>
  <c r="AB896" i="5"/>
  <c r="M491" i="5"/>
  <c r="AD379" i="5"/>
  <c r="M288" i="5"/>
  <c r="AC299" i="5"/>
  <c r="AE1170" i="5"/>
  <c r="AC1115" i="5"/>
  <c r="AE1066" i="5"/>
  <c r="AB1026" i="5"/>
  <c r="AB963" i="5"/>
  <c r="AE959" i="5"/>
  <c r="AB781" i="5"/>
  <c r="AA800" i="5"/>
  <c r="AD636" i="5"/>
  <c r="AA451" i="5"/>
  <c r="AD450" i="5"/>
  <c r="AE379" i="5"/>
  <c r="AE299" i="5"/>
  <c r="AE112" i="5"/>
  <c r="AB530" i="5"/>
  <c r="AA530" i="5"/>
  <c r="M530" i="5"/>
  <c r="AE530" i="5"/>
  <c r="AD530" i="5"/>
  <c r="AC530" i="5"/>
  <c r="AB501" i="5"/>
  <c r="AE501" i="5"/>
  <c r="AD501" i="5"/>
  <c r="AC501" i="5"/>
  <c r="AA501" i="5"/>
  <c r="M501" i="5"/>
  <c r="AD1265" i="5"/>
  <c r="M1206" i="5"/>
  <c r="M799" i="5"/>
  <c r="AE490" i="5"/>
  <c r="AD451" i="5"/>
  <c r="AD332" i="5"/>
  <c r="M299" i="5"/>
  <c r="AC245" i="5"/>
  <c r="AD1244" i="5"/>
  <c r="AB1244" i="5"/>
  <c r="AC1244" i="5"/>
  <c r="AE1244" i="5"/>
  <c r="AB799" i="5"/>
  <c r="AB773" i="5"/>
  <c r="AC773" i="5"/>
  <c r="AE334" i="5"/>
  <c r="AB245" i="5"/>
  <c r="AA245" i="5"/>
  <c r="AD150" i="5"/>
  <c r="AC150" i="5"/>
  <c r="AC194" i="5"/>
  <c r="AA194" i="5"/>
  <c r="M194" i="5"/>
  <c r="AB341" i="5"/>
  <c r="AC341" i="5"/>
  <c r="AA341" i="5"/>
  <c r="M341" i="5"/>
  <c r="AE341" i="5"/>
  <c r="AD341" i="5"/>
  <c r="AC535" i="5"/>
  <c r="AA535" i="5"/>
  <c r="AB487" i="5"/>
  <c r="AD487" i="5"/>
  <c r="AC487" i="5"/>
  <c r="M487" i="5"/>
  <c r="AB598" i="5"/>
  <c r="M598" i="5"/>
  <c r="AE598" i="5"/>
  <c r="AD598" i="5"/>
  <c r="AC598" i="5"/>
  <c r="AA598" i="5"/>
  <c r="AE797" i="5"/>
  <c r="AA797" i="5"/>
  <c r="AB851" i="5"/>
  <c r="M851" i="5"/>
  <c r="AE851" i="5"/>
  <c r="AD851" i="5"/>
  <c r="AC851" i="5"/>
  <c r="AA851" i="5"/>
  <c r="AC1408" i="5"/>
  <c r="AB1272" i="5"/>
  <c r="AC1265" i="5"/>
  <c r="AA1206" i="5"/>
  <c r="AD1031" i="5"/>
  <c r="AC1022" i="5"/>
  <c r="M959" i="5"/>
  <c r="AB1191" i="5"/>
  <c r="AB1206" i="5"/>
  <c r="AA1175" i="5"/>
  <c r="AA1104" i="5"/>
  <c r="AA1052" i="5"/>
  <c r="AE1022" i="5"/>
  <c r="AA781" i="5"/>
  <c r="M732" i="5"/>
  <c r="AE799" i="5"/>
  <c r="AE773" i="5"/>
  <c r="AB721" i="5"/>
  <c r="AB535" i="5"/>
  <c r="M379" i="5"/>
  <c r="AB332" i="5"/>
  <c r="AB271" i="5"/>
  <c r="M245" i="5"/>
  <c r="AC112" i="5"/>
  <c r="M150" i="5"/>
  <c r="M139" i="5"/>
  <c r="AB139" i="5"/>
  <c r="AA139" i="5"/>
  <c r="AD139" i="5"/>
  <c r="AC139" i="5"/>
  <c r="AC118" i="5"/>
  <c r="AA118" i="5"/>
  <c r="M118" i="5"/>
  <c r="AD118" i="5"/>
  <c r="AB221" i="5"/>
  <c r="AD221" i="5"/>
  <c r="AC221" i="5"/>
  <c r="AE221" i="5"/>
  <c r="AA221" i="5"/>
  <c r="M221" i="5"/>
  <c r="AC77" i="5"/>
  <c r="AB77" i="5"/>
  <c r="AE172" i="5"/>
  <c r="AD172" i="5"/>
  <c r="AC172" i="5"/>
  <c r="M172" i="5"/>
  <c r="M293" i="5"/>
  <c r="AA293" i="5"/>
  <c r="AE293" i="5"/>
  <c r="AD293" i="5"/>
  <c r="AB293" i="5"/>
  <c r="AD95" i="5"/>
  <c r="AE95" i="5"/>
  <c r="AC95" i="5"/>
  <c r="AA95" i="5"/>
  <c r="M95" i="5"/>
  <c r="M147" i="5"/>
  <c r="AC147" i="5"/>
  <c r="AA147" i="5"/>
  <c r="AE147" i="5"/>
  <c r="AD147" i="5"/>
  <c r="AD107" i="5"/>
  <c r="AA107" i="5"/>
  <c r="AE107" i="5"/>
  <c r="AC277" i="5"/>
  <c r="AB277" i="5"/>
  <c r="AD282" i="5"/>
  <c r="AB282" i="5"/>
  <c r="AC126" i="5"/>
  <c r="AA126" i="5"/>
  <c r="AE126" i="5"/>
  <c r="AB126" i="5"/>
  <c r="AB314" i="5"/>
  <c r="AA314" i="5"/>
  <c r="AD314" i="5"/>
  <c r="AE406" i="5"/>
  <c r="AD406" i="5"/>
  <c r="AC406" i="5"/>
  <c r="AA406" i="5"/>
  <c r="M406" i="5"/>
  <c r="AE355" i="5"/>
  <c r="AB355" i="5"/>
  <c r="AA355" i="5"/>
  <c r="AA306" i="5"/>
  <c r="AB306" i="5"/>
  <c r="AD306" i="5"/>
  <c r="AE371" i="5"/>
  <c r="AA371" i="5"/>
  <c r="AC333" i="5"/>
  <c r="AB333" i="5"/>
  <c r="AA333" i="5"/>
  <c r="AE333" i="5"/>
  <c r="AB513" i="5"/>
  <c r="AC513" i="5"/>
  <c r="AE356" i="5"/>
  <c r="AB356" i="5"/>
  <c r="AC356" i="5"/>
  <c r="AA812" i="5"/>
  <c r="AE812" i="5"/>
  <c r="AD812" i="5"/>
  <c r="AB812" i="5"/>
  <c r="M812" i="5"/>
  <c r="AE443" i="5"/>
  <c r="AA443" i="5"/>
  <c r="M443" i="5"/>
  <c r="AB443" i="5"/>
  <c r="AA667" i="5"/>
  <c r="AB667" i="5"/>
  <c r="AE693" i="5"/>
  <c r="AC693" i="5"/>
  <c r="AB693" i="5"/>
  <c r="AA492" i="5"/>
  <c r="AB492" i="5"/>
  <c r="AB664" i="5"/>
  <c r="AE664" i="5"/>
  <c r="AD664" i="5"/>
  <c r="AA664" i="5"/>
  <c r="M664" i="5"/>
  <c r="AC664" i="5"/>
  <c r="AD481" i="5"/>
  <c r="AB481" i="5"/>
  <c r="AB581" i="5"/>
  <c r="AE581" i="5"/>
  <c r="AD581" i="5"/>
  <c r="AC581" i="5"/>
  <c r="M581" i="5"/>
  <c r="AA581" i="5"/>
  <c r="AD694" i="5"/>
  <c r="M694" i="5"/>
  <c r="AD686" i="5"/>
  <c r="AB686" i="5"/>
  <c r="AA686" i="5"/>
  <c r="AE637" i="5"/>
  <c r="AD637" i="5"/>
  <c r="AC637" i="5"/>
  <c r="AA637" i="5"/>
  <c r="M637" i="5"/>
  <c r="AE628" i="5"/>
  <c r="AB628" i="5"/>
  <c r="M571" i="5"/>
  <c r="AE571" i="5"/>
  <c r="AC571" i="5"/>
  <c r="AB571" i="5"/>
  <c r="AE627" i="5"/>
  <c r="M627" i="5"/>
  <c r="AC627" i="5"/>
  <c r="AB627" i="5"/>
  <c r="M666" i="5"/>
  <c r="AC666" i="5"/>
  <c r="AA666" i="5"/>
  <c r="AD556" i="5"/>
  <c r="AB556" i="5"/>
  <c r="AA556" i="5"/>
  <c r="M556" i="5"/>
  <c r="M794" i="5"/>
  <c r="AC794" i="5"/>
  <c r="AB728" i="5"/>
  <c r="M728" i="5"/>
  <c r="AD728" i="5"/>
  <c r="AC728" i="5"/>
  <c r="AE728" i="5"/>
  <c r="AA728" i="5"/>
  <c r="AC789" i="5"/>
  <c r="AD789" i="5"/>
  <c r="AB948" i="5"/>
  <c r="AE948" i="5"/>
  <c r="AD948" i="5"/>
  <c r="AC948" i="5"/>
  <c r="AA948" i="5"/>
  <c r="M948" i="5"/>
  <c r="M970" i="5"/>
  <c r="AD970" i="5"/>
  <c r="AB970" i="5"/>
  <c r="AE970" i="5"/>
  <c r="AA970" i="5"/>
  <c r="AE809" i="5"/>
  <c r="AD809" i="5"/>
  <c r="AC809" i="5"/>
  <c r="AA809" i="5"/>
  <c r="M809" i="5"/>
  <c r="AA1072" i="5"/>
  <c r="AB1072" i="5"/>
  <c r="M1072" i="5"/>
  <c r="AC976" i="5"/>
  <c r="AB976" i="5"/>
  <c r="AA976" i="5"/>
  <c r="AE863" i="5"/>
  <c r="AA863" i="5"/>
  <c r="AD863" i="5"/>
  <c r="AD1023" i="5"/>
  <c r="AB1023" i="5"/>
  <c r="AA1023" i="5"/>
  <c r="AC998" i="5"/>
  <c r="AE998" i="5"/>
  <c r="AD998" i="5"/>
  <c r="AB998" i="5"/>
  <c r="AA998" i="5"/>
  <c r="AE1121" i="5"/>
  <c r="M1121" i="5"/>
  <c r="AB1132" i="5"/>
  <c r="M1132" i="5"/>
  <c r="AE1132" i="5"/>
  <c r="AC1132" i="5"/>
  <c r="AA1132" i="5"/>
  <c r="AD1132" i="5"/>
  <c r="AB1261" i="5"/>
  <c r="AD1261" i="5"/>
  <c r="AE1261" i="5"/>
  <c r="AC1261" i="5"/>
  <c r="AA1261" i="5"/>
  <c r="M1261" i="5"/>
  <c r="AE1219" i="5"/>
  <c r="AA1219" i="5"/>
  <c r="M1219" i="5"/>
  <c r="AA1354" i="5"/>
  <c r="AC1354" i="5"/>
  <c r="AB1354" i="5"/>
  <c r="M1354" i="5"/>
  <c r="M1278" i="5"/>
  <c r="AC1278" i="5"/>
  <c r="AA1278" i="5"/>
  <c r="AB1278" i="5"/>
  <c r="AA1269" i="5"/>
  <c r="M1269" i="5"/>
  <c r="AE1269" i="5"/>
  <c r="AC1269" i="5"/>
  <c r="AB1269" i="5"/>
  <c r="AC1353" i="5"/>
  <c r="AD1353" i="5"/>
  <c r="AB1353" i="5"/>
  <c r="AC1311" i="5"/>
  <c r="AE1311" i="5"/>
  <c r="AB1311" i="5"/>
  <c r="AC1416" i="5"/>
  <c r="AD1416" i="5"/>
  <c r="AE255" i="5"/>
  <c r="AC255" i="5"/>
  <c r="AB255" i="5"/>
  <c r="AA255" i="5"/>
  <c r="M255" i="5"/>
  <c r="AA196" i="5"/>
  <c r="AB196" i="5"/>
  <c r="M196" i="5"/>
  <c r="AD196" i="5"/>
  <c r="AB154" i="5"/>
  <c r="M154" i="5"/>
  <c r="AA154" i="5"/>
  <c r="AA258" i="5"/>
  <c r="AD258" i="5"/>
  <c r="AB258" i="5"/>
  <c r="M258" i="5"/>
  <c r="AE292" i="5"/>
  <c r="AC292" i="5"/>
  <c r="AA292" i="5"/>
  <c r="AE296" i="5"/>
  <c r="AC296" i="5"/>
  <c r="AA296" i="5"/>
  <c r="M137" i="5"/>
  <c r="AE137" i="5"/>
  <c r="AB137" i="5"/>
  <c r="AA137" i="5"/>
  <c r="AD137" i="5"/>
  <c r="AD197" i="5"/>
  <c r="AE197" i="5"/>
  <c r="M197" i="5"/>
  <c r="AA197" i="5"/>
  <c r="AD445" i="5"/>
  <c r="AC445" i="5"/>
  <c r="M445" i="5"/>
  <c r="AD587" i="5"/>
  <c r="AE587" i="5"/>
  <c r="AC587" i="5"/>
  <c r="M587" i="5"/>
  <c r="AC364" i="5"/>
  <c r="AE364" i="5"/>
  <c r="AD364" i="5"/>
  <c r="AA364" i="5"/>
  <c r="M364" i="5"/>
  <c r="AA284" i="5"/>
  <c r="AD284" i="5"/>
  <c r="AB284" i="5"/>
  <c r="AD415" i="5"/>
  <c r="AC415" i="5"/>
  <c r="AB312" i="5"/>
  <c r="AA312" i="5"/>
  <c r="M367" i="5"/>
  <c r="AC367" i="5"/>
  <c r="AD339" i="5"/>
  <c r="M339" i="5"/>
  <c r="AE339" i="5"/>
  <c r="AB339" i="5"/>
  <c r="AA339" i="5"/>
  <c r="AC348" i="5"/>
  <c r="M348" i="5"/>
  <c r="AE348" i="5"/>
  <c r="AD348" i="5"/>
  <c r="AA348" i="5"/>
  <c r="AB398" i="5"/>
  <c r="AD398" i="5"/>
  <c r="M398" i="5"/>
  <c r="AE398" i="5"/>
  <c r="AC398" i="5"/>
  <c r="M370" i="5"/>
  <c r="AD370" i="5"/>
  <c r="AA370" i="5"/>
  <c r="AB370" i="5"/>
  <c r="AB496" i="5"/>
  <c r="AE496" i="5"/>
  <c r="AC496" i="5"/>
  <c r="AE653" i="5"/>
  <c r="M653" i="5"/>
  <c r="AD653" i="5"/>
  <c r="AC653" i="5"/>
  <c r="AA653" i="5"/>
  <c r="AB460" i="5"/>
  <c r="M460" i="5"/>
  <c r="AE460" i="5"/>
  <c r="AA460" i="5"/>
  <c r="AD531" i="5"/>
  <c r="AA531" i="5"/>
  <c r="M531" i="5"/>
  <c r="AE531" i="5"/>
  <c r="AB531" i="5"/>
  <c r="AD988" i="5"/>
  <c r="AA988" i="5"/>
  <c r="AC525" i="5"/>
  <c r="M525" i="5"/>
  <c r="AA525" i="5"/>
  <c r="AE525" i="5"/>
  <c r="AD525" i="5"/>
  <c r="AB776" i="5"/>
  <c r="AE776" i="5"/>
  <c r="AD776" i="5"/>
  <c r="AC776" i="5"/>
  <c r="AA776" i="5"/>
  <c r="M776" i="5"/>
  <c r="AC505" i="5"/>
  <c r="AE505" i="5"/>
  <c r="AA505" i="5"/>
  <c r="M505" i="5"/>
  <c r="AB576" i="5"/>
  <c r="AA576" i="5"/>
  <c r="M576" i="5"/>
  <c r="AD646" i="5"/>
  <c r="AC646" i="5"/>
  <c r="M646" i="5"/>
  <c r="AE646" i="5"/>
  <c r="AE827" i="5"/>
  <c r="AD827" i="5"/>
  <c r="AC607" i="5"/>
  <c r="AD607" i="5"/>
  <c r="AE720" i="5"/>
  <c r="M720" i="5"/>
  <c r="AC720" i="5"/>
  <c r="AB632" i="5"/>
  <c r="M632" i="5"/>
  <c r="AE632" i="5"/>
  <c r="AD632" i="5"/>
  <c r="AC632" i="5"/>
  <c r="AA632" i="5"/>
  <c r="AD689" i="5"/>
  <c r="M689" i="5"/>
  <c r="AC689" i="5"/>
  <c r="AB689" i="5"/>
  <c r="AB617" i="5"/>
  <c r="AE617" i="5"/>
  <c r="AD617" i="5"/>
  <c r="AA617" i="5"/>
  <c r="AB569" i="5"/>
  <c r="AE569" i="5"/>
  <c r="AD569" i="5"/>
  <c r="AA569" i="5"/>
  <c r="M569" i="5"/>
  <c r="AA1008" i="5"/>
  <c r="AB1008" i="5"/>
  <c r="AB716" i="5"/>
  <c r="AC716" i="5"/>
  <c r="M716" i="5"/>
  <c r="AD716" i="5"/>
  <c r="AA716" i="5"/>
  <c r="AE807" i="5"/>
  <c r="AD807" i="5"/>
  <c r="AC807" i="5"/>
  <c r="AA807" i="5"/>
  <c r="M875" i="5"/>
  <c r="AD875" i="5"/>
  <c r="AA875" i="5"/>
  <c r="AC875" i="5"/>
  <c r="M775" i="5"/>
  <c r="AA775" i="5"/>
  <c r="AD775" i="5"/>
  <c r="AA906" i="5"/>
  <c r="AB906" i="5"/>
  <c r="M906" i="5"/>
  <c r="AD796" i="5"/>
  <c r="M796" i="5"/>
  <c r="AB796" i="5"/>
  <c r="AA796" i="5"/>
  <c r="AE796" i="5"/>
  <c r="AE822" i="5"/>
  <c r="AC822" i="5"/>
  <c r="AA822" i="5"/>
  <c r="M822" i="5"/>
  <c r="AC882" i="5"/>
  <c r="AE882" i="5"/>
  <c r="AD953" i="5"/>
  <c r="AC953" i="5"/>
  <c r="AB953" i="5"/>
  <c r="AC852" i="5"/>
  <c r="M852" i="5"/>
  <c r="AE852" i="5"/>
  <c r="AD852" i="5"/>
  <c r="AA852" i="5"/>
  <c r="AE834" i="5"/>
  <c r="M834" i="5"/>
  <c r="AD834" i="5"/>
  <c r="AB834" i="5"/>
  <c r="AA834" i="5"/>
  <c r="AE909" i="5"/>
  <c r="AC909" i="5"/>
  <c r="AA909" i="5"/>
  <c r="AC955" i="5"/>
  <c r="AB955" i="5"/>
  <c r="AD1042" i="5"/>
  <c r="AA1042" i="5"/>
  <c r="M1042" i="5"/>
  <c r="AE1042" i="5"/>
  <c r="AB1042" i="5"/>
  <c r="AC886" i="5"/>
  <c r="AE886" i="5"/>
  <c r="AB886" i="5"/>
  <c r="M886" i="5"/>
  <c r="AD886" i="5"/>
  <c r="AE954" i="5"/>
  <c r="AC954" i="5"/>
  <c r="AB954" i="5"/>
  <c r="AA954" i="5"/>
  <c r="M954" i="5"/>
  <c r="AA1005" i="5"/>
  <c r="AE1005" i="5"/>
  <c r="AB1005" i="5"/>
  <c r="M1005" i="5"/>
  <c r="AC1005" i="5"/>
  <c r="AA1125" i="5"/>
  <c r="AE1125" i="5"/>
  <c r="AD1125" i="5"/>
  <c r="AB1125" i="5"/>
  <c r="M1125" i="5"/>
  <c r="AB1248" i="5"/>
  <c r="M1248" i="5"/>
  <c r="AB1092" i="5"/>
  <c r="AA1092" i="5"/>
  <c r="AC1049" i="5"/>
  <c r="AE1049" i="5"/>
  <c r="M1049" i="5"/>
  <c r="AB1069" i="5"/>
  <c r="M1069" i="5"/>
  <c r="AD1069" i="5"/>
  <c r="AE1069" i="5"/>
  <c r="AC1069" i="5"/>
  <c r="AA1069" i="5"/>
  <c r="AE1098" i="5"/>
  <c r="AC1098" i="5"/>
  <c r="AA1098" i="5"/>
  <c r="AB1211" i="5"/>
  <c r="AE1211" i="5"/>
  <c r="AD1211" i="5"/>
  <c r="AC1211" i="5"/>
  <c r="AA1211" i="5"/>
  <c r="AA1298" i="5"/>
  <c r="M1298" i="5"/>
  <c r="AB1298" i="5"/>
  <c r="AD1249" i="5"/>
  <c r="AA1249" i="5"/>
  <c r="AC1249" i="5"/>
  <c r="AB1249" i="5"/>
  <c r="M1249" i="5"/>
  <c r="AE1249" i="5"/>
  <c r="AE1201" i="5"/>
  <c r="AD1201" i="5"/>
  <c r="AB1201" i="5"/>
  <c r="M1201" i="5"/>
  <c r="AD1319" i="5"/>
  <c r="AE1319" i="5"/>
  <c r="AC1319" i="5"/>
  <c r="AB1319" i="5"/>
  <c r="AA1319" i="5"/>
  <c r="AA1375" i="5"/>
  <c r="AC1375" i="5"/>
  <c r="AB1375" i="5"/>
  <c r="AE1399" i="5"/>
  <c r="M1399" i="5"/>
  <c r="AD1399" i="5"/>
  <c r="AC1399" i="5"/>
  <c r="AA1399" i="5"/>
  <c r="AB445" i="5"/>
  <c r="AA415" i="5"/>
  <c r="M296" i="5"/>
  <c r="AE154" i="5"/>
  <c r="M126" i="5"/>
  <c r="AD251" i="5"/>
  <c r="AE184" i="5"/>
  <c r="AD141" i="5"/>
  <c r="AB141" i="5"/>
  <c r="AA141" i="5"/>
  <c r="M141" i="5"/>
  <c r="AB73" i="5"/>
  <c r="AC73" i="5"/>
  <c r="M73" i="5"/>
  <c r="AE73" i="5"/>
  <c r="AA73" i="5"/>
  <c r="AD73" i="5"/>
  <c r="AA178" i="5"/>
  <c r="AE178" i="5"/>
  <c r="AC178" i="5"/>
  <c r="AD178" i="5"/>
  <c r="AB175" i="5"/>
  <c r="AE175" i="5"/>
  <c r="AD175" i="5"/>
  <c r="AA175" i="5"/>
  <c r="M175" i="5"/>
  <c r="AC175" i="5"/>
  <c r="AB369" i="5"/>
  <c r="AE369" i="5"/>
  <c r="AD369" i="5"/>
  <c r="AC369" i="5"/>
  <c r="AA369" i="5"/>
  <c r="M369" i="5"/>
  <c r="M165" i="5"/>
  <c r="AC165" i="5"/>
  <c r="AB165" i="5"/>
  <c r="AB177" i="5"/>
  <c r="M177" i="5"/>
  <c r="AE326" i="5"/>
  <c r="M326" i="5"/>
  <c r="AD326" i="5"/>
  <c r="AB326" i="5"/>
  <c r="AA326" i="5"/>
  <c r="AB89" i="5"/>
  <c r="AD89" i="5"/>
  <c r="AC89" i="5"/>
  <c r="M89" i="5"/>
  <c r="AE89" i="5"/>
  <c r="AA89" i="5"/>
  <c r="AC206" i="5"/>
  <c r="AE206" i="5"/>
  <c r="AB206" i="5"/>
  <c r="AA206" i="5"/>
  <c r="AC467" i="5"/>
  <c r="AB467" i="5"/>
  <c r="M467" i="5"/>
  <c r="AB248" i="5"/>
  <c r="AE248" i="5"/>
  <c r="AC248" i="5"/>
  <c r="AA248" i="5"/>
  <c r="M248" i="5"/>
  <c r="AD248" i="5"/>
  <c r="AB365" i="5"/>
  <c r="AE365" i="5"/>
  <c r="AD365" i="5"/>
  <c r="AA365" i="5"/>
  <c r="M283" i="5"/>
  <c r="AC283" i="5"/>
  <c r="AE283" i="5"/>
  <c r="AD283" i="5"/>
  <c r="AA283" i="5"/>
  <c r="AB345" i="5"/>
  <c r="M345" i="5"/>
  <c r="AE345" i="5"/>
  <c r="AC345" i="5"/>
  <c r="AA345" i="5"/>
  <c r="AE476" i="5"/>
  <c r="AA476" i="5"/>
  <c r="AB517" i="5"/>
  <c r="AE517" i="5"/>
  <c r="AD517" i="5"/>
  <c r="AC517" i="5"/>
  <c r="AA517" i="5"/>
  <c r="M517" i="5"/>
  <c r="M459" i="5"/>
  <c r="AE459" i="5"/>
  <c r="AB459" i="5"/>
  <c r="AA459" i="5"/>
  <c r="M483" i="5"/>
  <c r="AC483" i="5"/>
  <c r="AB483" i="5"/>
  <c r="AB573" i="5"/>
  <c r="AE573" i="5"/>
  <c r="AD573" i="5"/>
  <c r="AA573" i="5"/>
  <c r="M573" i="5"/>
  <c r="AC573" i="5"/>
  <c r="AD542" i="5"/>
  <c r="AC542" i="5"/>
  <c r="AB542" i="5"/>
  <c r="AA411" i="5"/>
  <c r="AC411" i="5"/>
  <c r="M411" i="5"/>
  <c r="AB411" i="5"/>
  <c r="AB436" i="5"/>
  <c r="AE436" i="5"/>
  <c r="AC436" i="5"/>
  <c r="AA436" i="5"/>
  <c r="AD436" i="5"/>
  <c r="M436" i="5"/>
  <c r="AD707" i="5"/>
  <c r="AA707" i="5"/>
  <c r="AE707" i="5"/>
  <c r="AB707" i="5"/>
  <c r="M611" i="5"/>
  <c r="AE611" i="5"/>
  <c r="AC611" i="5"/>
  <c r="AA611" i="5"/>
  <c r="AE697" i="5"/>
  <c r="AB697" i="5"/>
  <c r="M697" i="5"/>
  <c r="AE645" i="5"/>
  <c r="AB645" i="5"/>
  <c r="AA645" i="5"/>
  <c r="AE825" i="5"/>
  <c r="AD825" i="5"/>
  <c r="AB861" i="5"/>
  <c r="AE861" i="5"/>
  <c r="AD861" i="5"/>
  <c r="AA861" i="5"/>
  <c r="AC861" i="5"/>
  <c r="M861" i="5"/>
  <c r="AE717" i="5"/>
  <c r="AA717" i="5"/>
  <c r="M717" i="5"/>
  <c r="AB717" i="5"/>
  <c r="AE736" i="5"/>
  <c r="AC736" i="5"/>
  <c r="M736" i="5"/>
  <c r="AE1016" i="5"/>
  <c r="AD1016" i="5"/>
  <c r="AC1016" i="5"/>
  <c r="M1016" i="5"/>
  <c r="AA1016" i="5"/>
  <c r="AA673" i="5"/>
  <c r="AE673" i="5"/>
  <c r="M673" i="5"/>
  <c r="AB673" i="5"/>
  <c r="AB764" i="5"/>
  <c r="AD764" i="5"/>
  <c r="AC764" i="5"/>
  <c r="AA764" i="5"/>
  <c r="AD1021" i="5"/>
  <c r="AC1021" i="5"/>
  <c r="AD899" i="5"/>
  <c r="AE899" i="5"/>
  <c r="AB782" i="5"/>
  <c r="M782" i="5"/>
  <c r="AE782" i="5"/>
  <c r="AD782" i="5"/>
  <c r="AA782" i="5"/>
  <c r="AC782" i="5"/>
  <c r="AC828" i="5"/>
  <c r="AB828" i="5"/>
  <c r="AD862" i="5"/>
  <c r="M862" i="5"/>
  <c r="AE1093" i="5"/>
  <c r="M1093" i="5"/>
  <c r="M912" i="5"/>
  <c r="AC912" i="5"/>
  <c r="AB912" i="5"/>
  <c r="AA912" i="5"/>
  <c r="AD900" i="5"/>
  <c r="M900" i="5"/>
  <c r="AE900" i="5"/>
  <c r="AC900" i="5"/>
  <c r="AC1048" i="5"/>
  <c r="M1048" i="5"/>
  <c r="AA1048" i="5"/>
  <c r="AE1048" i="5"/>
  <c r="AD1048" i="5"/>
  <c r="AB1048" i="5"/>
  <c r="AC876" i="5"/>
  <c r="AE876" i="5"/>
  <c r="AD876" i="5"/>
  <c r="AA876" i="5"/>
  <c r="AE965" i="5"/>
  <c r="M965" i="5"/>
  <c r="AD965" i="5"/>
  <c r="AC965" i="5"/>
  <c r="AA965" i="5"/>
  <c r="AB965" i="5"/>
  <c r="AC986" i="5"/>
  <c r="AE986" i="5"/>
  <c r="AD986" i="5"/>
  <c r="AA986" i="5"/>
  <c r="M986" i="5"/>
  <c r="AB986" i="5"/>
  <c r="AB854" i="5"/>
  <c r="AE854" i="5"/>
  <c r="AC854" i="5"/>
  <c r="AC1045" i="5"/>
  <c r="AE1045" i="5"/>
  <c r="AD1045" i="5"/>
  <c r="AA1045" i="5"/>
  <c r="M1045" i="5"/>
  <c r="AB1168" i="5"/>
  <c r="AE1168" i="5"/>
  <c r="AD1168" i="5"/>
  <c r="AC1168" i="5"/>
  <c r="M1168" i="5"/>
  <c r="AC1112" i="5"/>
  <c r="AD1112" i="5"/>
  <c r="AD1234" i="5"/>
  <c r="M1234" i="5"/>
  <c r="AA1234" i="5"/>
  <c r="AE1234" i="5"/>
  <c r="AC1234" i="5"/>
  <c r="AC725" i="5"/>
  <c r="AB725" i="5"/>
  <c r="M725" i="5"/>
  <c r="AB741" i="5"/>
  <c r="M741" i="5"/>
  <c r="AC679" i="5"/>
  <c r="AD679" i="5"/>
  <c r="AA936" i="5"/>
  <c r="AB936" i="5"/>
  <c r="M936" i="5"/>
  <c r="AE806" i="5"/>
  <c r="AC806" i="5"/>
  <c r="AE1001" i="5"/>
  <c r="AA1001" i="5"/>
  <c r="M1001" i="5"/>
  <c r="AD1001" i="5"/>
  <c r="AC973" i="5"/>
  <c r="AB973" i="5"/>
  <c r="AB1086" i="5"/>
  <c r="AC1086" i="5"/>
  <c r="AA1086" i="5"/>
  <c r="M1086" i="5"/>
  <c r="AE1086" i="5"/>
  <c r="AD1086" i="5"/>
  <c r="AB1054" i="5"/>
  <c r="AC1054" i="5"/>
  <c r="M1054" i="5"/>
  <c r="AE1054" i="5"/>
  <c r="AD1054" i="5"/>
  <c r="AA1054" i="5"/>
  <c r="AB855" i="5"/>
  <c r="AD855" i="5"/>
  <c r="AC855" i="5"/>
  <c r="AA855" i="5"/>
  <c r="M855" i="5"/>
  <c r="AE855" i="5"/>
  <c r="M995" i="5"/>
  <c r="AE995" i="5"/>
  <c r="M904" i="5"/>
  <c r="AB904" i="5"/>
  <c r="AC904" i="5"/>
  <c r="AA904" i="5"/>
  <c r="M1003" i="5"/>
  <c r="AE1003" i="5"/>
  <c r="AB1003" i="5"/>
  <c r="AE156" i="5"/>
  <c r="AC156" i="5"/>
  <c r="M156" i="5"/>
  <c r="AD156" i="5"/>
  <c r="AC222" i="5"/>
  <c r="M222" i="5"/>
  <c r="AD222" i="5"/>
  <c r="AE222" i="5"/>
  <c r="AA222" i="5"/>
  <c r="AC395" i="5"/>
  <c r="AA395" i="5"/>
  <c r="M395" i="5"/>
  <c r="AB135" i="5"/>
  <c r="AE135" i="5"/>
  <c r="AD135" i="5"/>
  <c r="AA135" i="5"/>
  <c r="M135" i="5"/>
  <c r="AC135" i="5"/>
  <c r="AE692" i="5"/>
  <c r="AC692" i="5"/>
  <c r="AB692" i="5"/>
  <c r="AD386" i="5"/>
  <c r="AB386" i="5"/>
  <c r="AA386" i="5"/>
  <c r="AB335" i="5"/>
  <c r="M335" i="5"/>
  <c r="AC239" i="5"/>
  <c r="AD239" i="5"/>
  <c r="AE399" i="5"/>
  <c r="AC399" i="5"/>
  <c r="AB399" i="5"/>
  <c r="AC304" i="5"/>
  <c r="AD304" i="5"/>
  <c r="AA304" i="5"/>
  <c r="M291" i="5"/>
  <c r="AE291" i="5"/>
  <c r="AB291" i="5"/>
  <c r="AD291" i="5"/>
  <c r="AC641" i="5"/>
  <c r="AE641" i="5"/>
  <c r="M233" i="5"/>
  <c r="AD233" i="5"/>
  <c r="AC233" i="5"/>
  <c r="AA233" i="5"/>
  <c r="AE233" i="5"/>
  <c r="AD511" i="5"/>
  <c r="AE511" i="5"/>
  <c r="AB511" i="5"/>
  <c r="AA511" i="5"/>
  <c r="M511" i="5"/>
  <c r="AD540" i="5"/>
  <c r="AA540" i="5"/>
  <c r="M540" i="5"/>
  <c r="AD543" i="5"/>
  <c r="AE543" i="5"/>
  <c r="AB543" i="5"/>
  <c r="AA543" i="5"/>
  <c r="M543" i="5"/>
  <c r="AB546" i="5"/>
  <c r="AE546" i="5"/>
  <c r="M546" i="5"/>
  <c r="AC546" i="5"/>
  <c r="AA546" i="5"/>
  <c r="AD546" i="5"/>
  <c r="M493" i="5"/>
  <c r="AE493" i="5"/>
  <c r="AD493" i="5"/>
  <c r="AC493" i="5"/>
  <c r="AE608" i="5"/>
  <c r="AB608" i="5"/>
  <c r="AC437" i="5"/>
  <c r="AD437" i="5"/>
  <c r="AA437" i="5"/>
  <c r="AE437" i="5"/>
  <c r="M437" i="5"/>
  <c r="AD509" i="5"/>
  <c r="AC509" i="5"/>
  <c r="AD630" i="5"/>
  <c r="AE630" i="5"/>
  <c r="M630" i="5"/>
  <c r="AC630" i="5"/>
  <c r="AD715" i="5"/>
  <c r="M715" i="5"/>
  <c r="AE715" i="5"/>
  <c r="AC715" i="5"/>
  <c r="AD572" i="5"/>
  <c r="AE572" i="5"/>
  <c r="AB589" i="5"/>
  <c r="M589" i="5"/>
  <c r="AE589" i="5"/>
  <c r="AD589" i="5"/>
  <c r="AC589" i="5"/>
  <c r="AA589" i="5"/>
  <c r="AB300" i="5"/>
  <c r="AA300" i="5"/>
  <c r="AB130" i="5"/>
  <c r="AA130" i="5"/>
  <c r="M130" i="5"/>
  <c r="AE130" i="5"/>
  <c r="AD130" i="5"/>
  <c r="AB159" i="5"/>
  <c r="AE159" i="5"/>
  <c r="AC159" i="5"/>
  <c r="AD159" i="5"/>
  <c r="AA159" i="5"/>
  <c r="M159" i="5"/>
  <c r="AE225" i="5"/>
  <c r="AC225" i="5"/>
  <c r="M225" i="5"/>
  <c r="AB225" i="5"/>
  <c r="M397" i="5"/>
  <c r="AE397" i="5"/>
  <c r="AD397" i="5"/>
  <c r="AA397" i="5"/>
  <c r="AD136" i="5"/>
  <c r="AB136" i="5"/>
  <c r="M136" i="5"/>
  <c r="AC136" i="5"/>
  <c r="AB215" i="5"/>
  <c r="AD215" i="5"/>
  <c r="AC215" i="5"/>
  <c r="AA215" i="5"/>
  <c r="AE215" i="5"/>
  <c r="M215" i="5"/>
  <c r="AB346" i="5"/>
  <c r="AC346" i="5"/>
  <c r="M346" i="5"/>
  <c r="AD342" i="5"/>
  <c r="AA342" i="5"/>
  <c r="AD403" i="5"/>
  <c r="AE403" i="5"/>
  <c r="AA403" i="5"/>
  <c r="M403" i="5"/>
  <c r="AB504" i="5"/>
  <c r="AE504" i="5"/>
  <c r="AD504" i="5"/>
  <c r="AA504" i="5"/>
  <c r="M504" i="5"/>
  <c r="AB297" i="5"/>
  <c r="AE297" i="5"/>
  <c r="AD297" i="5"/>
  <c r="AC297" i="5"/>
  <c r="AA297" i="5"/>
  <c r="M297" i="5"/>
  <c r="AC419" i="5"/>
  <c r="M419" i="5"/>
  <c r="AB376" i="5"/>
  <c r="AD376" i="5"/>
  <c r="M670" i="5"/>
  <c r="AE670" i="5"/>
  <c r="AD670" i="5"/>
  <c r="AA670" i="5"/>
  <c r="AB670" i="5"/>
  <c r="AE321" i="5"/>
  <c r="AD321" i="5"/>
  <c r="AA321" i="5"/>
  <c r="M321" i="5"/>
  <c r="AC558" i="5"/>
  <c r="AD558" i="5"/>
  <c r="AB378" i="5"/>
  <c r="M378" i="5"/>
  <c r="AB557" i="5"/>
  <c r="AE557" i="5"/>
  <c r="AD557" i="5"/>
  <c r="M557" i="5"/>
  <c r="AA557" i="5"/>
  <c r="AC557" i="5"/>
  <c r="AC412" i="5"/>
  <c r="M412" i="5"/>
  <c r="AD412" i="5"/>
  <c r="AA412" i="5"/>
  <c r="AE412" i="5"/>
  <c r="AE498" i="5"/>
  <c r="M498" i="5"/>
  <c r="AC498" i="5"/>
  <c r="AA498" i="5"/>
  <c r="AB425" i="5"/>
  <c r="AD425" i="5"/>
  <c r="AC425" i="5"/>
  <c r="M425" i="5"/>
  <c r="AE519" i="5"/>
  <c r="AD519" i="5"/>
  <c r="AA519" i="5"/>
  <c r="M519" i="5"/>
  <c r="M658" i="5"/>
  <c r="AD658" i="5"/>
  <c r="AA658" i="5"/>
  <c r="AC658" i="5"/>
  <c r="AD746" i="5"/>
  <c r="M746" i="5"/>
  <c r="AE746" i="5"/>
  <c r="AB575" i="5"/>
  <c r="AA575" i="5"/>
  <c r="AC575" i="5"/>
  <c r="AD945" i="5"/>
  <c r="AB945" i="5"/>
  <c r="AC945" i="5"/>
  <c r="AD939" i="5"/>
  <c r="AC939" i="5"/>
  <c r="AE939" i="5"/>
  <c r="AB712" i="5"/>
  <c r="AE712" i="5"/>
  <c r="AD712" i="5"/>
  <c r="M712" i="5"/>
  <c r="AC712" i="5"/>
  <c r="AA712" i="5"/>
  <c r="AE642" i="5"/>
  <c r="AD642" i="5"/>
  <c r="AC642" i="5"/>
  <c r="AA642" i="5"/>
  <c r="M642" i="5"/>
  <c r="AE787" i="5"/>
  <c r="AD787" i="5"/>
  <c r="M787" i="5"/>
  <c r="AB754" i="5"/>
  <c r="M754" i="5"/>
  <c r="AD754" i="5"/>
  <c r="AC754" i="5"/>
  <c r="AA754" i="5"/>
  <c r="AE754" i="5"/>
  <c r="AB823" i="5"/>
  <c r="AD823" i="5"/>
  <c r="M823" i="5"/>
  <c r="AE823" i="5"/>
  <c r="AA823" i="5"/>
  <c r="AC823" i="5"/>
  <c r="AB885" i="5"/>
  <c r="AD885" i="5"/>
  <c r="AC885" i="5"/>
  <c r="AE885" i="5"/>
  <c r="AA885" i="5"/>
  <c r="M885" i="5"/>
  <c r="AD985" i="5"/>
  <c r="AA985" i="5"/>
  <c r="AE898" i="5"/>
  <c r="AD898" i="5"/>
  <c r="AD983" i="5"/>
  <c r="AC983" i="5"/>
  <c r="AB983" i="5"/>
  <c r="AA983" i="5"/>
  <c r="AA1080" i="5"/>
  <c r="AE1080" i="5"/>
  <c r="AD1080" i="5"/>
  <c r="AC977" i="5"/>
  <c r="AE977" i="5"/>
  <c r="AD977" i="5"/>
  <c r="AB977" i="5"/>
  <c r="M977" i="5"/>
  <c r="AD929" i="5"/>
  <c r="AA929" i="5"/>
  <c r="AD1147" i="5"/>
  <c r="AB1147" i="5"/>
  <c r="AC1063" i="5"/>
  <c r="AB1063" i="5"/>
  <c r="M1063" i="5"/>
  <c r="AD1187" i="5"/>
  <c r="M1187" i="5"/>
  <c r="AD1146" i="5"/>
  <c r="AB1146" i="5"/>
  <c r="AA1146" i="5"/>
  <c r="M1146" i="5"/>
  <c r="AA1296" i="5"/>
  <c r="M1296" i="5"/>
  <c r="AB1296" i="5"/>
  <c r="AC1296" i="5"/>
  <c r="AD1145" i="5"/>
  <c r="AC1145" i="5"/>
  <c r="M1145" i="5"/>
  <c r="AB1157" i="5"/>
  <c r="AA1157" i="5"/>
  <c r="AC1157" i="5"/>
  <c r="AD1148" i="5"/>
  <c r="AA1148" i="5"/>
  <c r="AD994" i="5"/>
  <c r="M994" i="5"/>
  <c r="AE994" i="5"/>
  <c r="AC994" i="5"/>
  <c r="AA994" i="5"/>
  <c r="AE1222" i="5"/>
  <c r="AD1222" i="5"/>
  <c r="AA1222" i="5"/>
  <c r="AB1222" i="5"/>
  <c r="AA1413" i="5"/>
  <c r="AE1413" i="5"/>
  <c r="AD1413" i="5"/>
  <c r="M1413" i="5"/>
  <c r="AD1260" i="5"/>
  <c r="AE1260" i="5"/>
  <c r="AA1260" i="5"/>
  <c r="M1260" i="5"/>
  <c r="AA1228" i="5"/>
  <c r="AC1228" i="5"/>
  <c r="AE1228" i="5"/>
  <c r="AD1228" i="5"/>
  <c r="AA1348" i="5"/>
  <c r="AC1348" i="5"/>
  <c r="M1348" i="5"/>
  <c r="AD1348" i="5"/>
  <c r="AB1297" i="5"/>
  <c r="AA1297" i="5"/>
  <c r="M1297" i="5"/>
  <c r="AE1297" i="5"/>
  <c r="AD1297" i="5"/>
  <c r="AC1297" i="5"/>
  <c r="AB1411" i="5"/>
  <c r="M1411" i="5"/>
  <c r="AE1411" i="5"/>
  <c r="AD1411" i="5"/>
  <c r="AC1411" i="5"/>
  <c r="AA1411" i="5"/>
  <c r="AB1361" i="5"/>
  <c r="AE1361" i="5"/>
  <c r="M1361" i="5"/>
  <c r="AD1361" i="5"/>
  <c r="AC1361" i="5"/>
  <c r="AA1361" i="5"/>
  <c r="AD1289" i="5"/>
  <c r="AC1289" i="5"/>
  <c r="AE1289" i="5"/>
  <c r="AB1289" i="5"/>
  <c r="AA1289" i="5"/>
  <c r="M1289" i="5"/>
  <c r="AB1287" i="5"/>
  <c r="AC1287" i="5"/>
  <c r="M1352" i="5"/>
  <c r="AD1352" i="5"/>
  <c r="AB1352" i="5"/>
  <c r="AB1382" i="5"/>
  <c r="AA1382" i="5"/>
  <c r="M97" i="5"/>
  <c r="AC97" i="5"/>
  <c r="AA97" i="5"/>
  <c r="AD97" i="5"/>
  <c r="AE97" i="5"/>
  <c r="AD83" i="5"/>
  <c r="AC83" i="5"/>
  <c r="M83" i="5"/>
  <c r="AE83" i="5"/>
  <c r="M168" i="5"/>
  <c r="AD168" i="5"/>
  <c r="AC168" i="5"/>
  <c r="AE140" i="5"/>
  <c r="AD140" i="5"/>
  <c r="AC140" i="5"/>
  <c r="M140" i="5"/>
  <c r="AE218" i="5"/>
  <c r="AA218" i="5"/>
  <c r="AE169" i="5"/>
  <c r="AB169" i="5"/>
  <c r="AC181" i="5"/>
  <c r="AB181" i="5"/>
  <c r="AD393" i="5"/>
  <c r="AB393" i="5"/>
  <c r="AA393" i="5"/>
  <c r="AD429" i="5"/>
  <c r="AC429" i="5"/>
  <c r="AB429" i="5"/>
  <c r="M429" i="5"/>
  <c r="AB316" i="5"/>
  <c r="AA316" i="5"/>
  <c r="AC391" i="5"/>
  <c r="AD391" i="5"/>
  <c r="AB237" i="5"/>
  <c r="AD237" i="5"/>
  <c r="AC237" i="5"/>
  <c r="AA237" i="5"/>
  <c r="M237" i="5"/>
  <c r="AE237" i="5"/>
  <c r="M413" i="5"/>
  <c r="AE413" i="5"/>
  <c r="AA413" i="5"/>
  <c r="AD413" i="5"/>
  <c r="AD447" i="5"/>
  <c r="AB447" i="5"/>
  <c r="AA447" i="5"/>
  <c r="AD515" i="5"/>
  <c r="AE515" i="5"/>
  <c r="AB515" i="5"/>
  <c r="AA515" i="5"/>
  <c r="AB538" i="5"/>
  <c r="M538" i="5"/>
  <c r="AE522" i="5"/>
  <c r="AC522" i="5"/>
  <c r="AB522" i="5"/>
  <c r="AA522" i="5"/>
  <c r="M742" i="5"/>
  <c r="AC742" i="5"/>
  <c r="AB638" i="5"/>
  <c r="AD638" i="5"/>
  <c r="AD756" i="5"/>
  <c r="AC756" i="5"/>
  <c r="AE756" i="5"/>
  <c r="M643" i="5"/>
  <c r="AE643" i="5"/>
  <c r="AD643" i="5"/>
  <c r="AC643" i="5"/>
  <c r="AA643" i="5"/>
  <c r="M763" i="5"/>
  <c r="AD763" i="5"/>
  <c r="AC763" i="5"/>
  <c r="AE763" i="5"/>
  <c r="AA601" i="5"/>
  <c r="AE601" i="5"/>
  <c r="AB601" i="5"/>
  <c r="AB674" i="5"/>
  <c r="M674" i="5"/>
  <c r="AE674" i="5"/>
  <c r="AD674" i="5"/>
  <c r="AC674" i="5"/>
  <c r="AA674" i="5"/>
  <c r="AB845" i="5"/>
  <c r="AE845" i="5"/>
  <c r="AC845" i="5"/>
  <c r="AA845" i="5"/>
  <c r="AD845" i="5"/>
  <c r="M845" i="5"/>
  <c r="AB760" i="5"/>
  <c r="AA760" i="5"/>
  <c r="AE760" i="5"/>
  <c r="AC760" i="5"/>
  <c r="M760" i="5"/>
  <c r="AD760" i="5"/>
  <c r="AB803" i="5"/>
  <c r="AA803" i="5"/>
  <c r="M803" i="5"/>
  <c r="AE803" i="5"/>
  <c r="AD803" i="5"/>
  <c r="AC803" i="5"/>
  <c r="AB690" i="5"/>
  <c r="AD690" i="5"/>
  <c r="AC690" i="5"/>
  <c r="M690" i="5"/>
  <c r="AE690" i="5"/>
  <c r="AA690" i="5"/>
  <c r="AC810" i="5"/>
  <c r="M810" i="5"/>
  <c r="AE810" i="5"/>
  <c r="AA810" i="5"/>
  <c r="AD810" i="5"/>
  <c r="AB907" i="5"/>
  <c r="AA907" i="5"/>
  <c r="M907" i="5"/>
  <c r="AC907" i="5"/>
  <c r="AD990" i="5"/>
  <c r="AE990" i="5"/>
  <c r="AD902" i="5"/>
  <c r="AB902" i="5"/>
  <c r="M902" i="5"/>
  <c r="AA989" i="5"/>
  <c r="AE989" i="5"/>
  <c r="AD989" i="5"/>
  <c r="AB989" i="5"/>
  <c r="M1179" i="5"/>
  <c r="AE1179" i="5"/>
  <c r="AD1179" i="5"/>
  <c r="AC1179" i="5"/>
  <c r="AB1179" i="5"/>
  <c r="AD1097" i="5"/>
  <c r="AB1097" i="5"/>
  <c r="AA1097" i="5"/>
  <c r="AC982" i="5"/>
  <c r="AE982" i="5"/>
  <c r="AD982" i="5"/>
  <c r="AA982" i="5"/>
  <c r="AA1160" i="5"/>
  <c r="AD1160" i="5"/>
  <c r="AC1160" i="5"/>
  <c r="AB1160" i="5"/>
  <c r="M1160" i="5"/>
  <c r="AC1015" i="5"/>
  <c r="AA1015" i="5"/>
  <c r="M1015" i="5"/>
  <c r="AB1015" i="5"/>
  <c r="M987" i="5"/>
  <c r="AD987" i="5"/>
  <c r="AB987" i="5"/>
  <c r="AB964" i="5"/>
  <c r="AE964" i="5"/>
  <c r="AC964" i="5"/>
  <c r="AA964" i="5"/>
  <c r="M964" i="5"/>
  <c r="AD964" i="5"/>
  <c r="AC1067" i="5"/>
  <c r="AB1067" i="5"/>
  <c r="M1067" i="5"/>
  <c r="AE1100" i="5"/>
  <c r="AC1100" i="5"/>
  <c r="AA1100" i="5"/>
  <c r="M1100" i="5"/>
  <c r="AC1190" i="5"/>
  <c r="AE1190" i="5"/>
  <c r="AA1190" i="5"/>
  <c r="M1190" i="5"/>
  <c r="AD1124" i="5"/>
  <c r="AB1124" i="5"/>
  <c r="AA1124" i="5"/>
  <c r="M1124" i="5"/>
  <c r="AE1124" i="5"/>
  <c r="AC1252" i="5"/>
  <c r="M1252" i="5"/>
  <c r="AB1252" i="5"/>
  <c r="AA1252" i="5"/>
  <c r="AE1075" i="5"/>
  <c r="M1075" i="5"/>
  <c r="AB1075" i="5"/>
  <c r="AC1075" i="5"/>
  <c r="AA1075" i="5"/>
  <c r="AB1154" i="5"/>
  <c r="AC1154" i="5"/>
  <c r="AA1154" i="5"/>
  <c r="AD1154" i="5"/>
  <c r="AE1225" i="5"/>
  <c r="AA1225" i="5"/>
  <c r="AB1225" i="5"/>
  <c r="AE1095" i="5"/>
  <c r="M1095" i="5"/>
  <c r="AC1095" i="5"/>
  <c r="AD1095" i="5"/>
  <c r="M1195" i="5"/>
  <c r="AE1195" i="5"/>
  <c r="AB1065" i="5"/>
  <c r="AA1065" i="5"/>
  <c r="M1163" i="5"/>
  <c r="AC1163" i="5"/>
  <c r="AB1163" i="5"/>
  <c r="AE1163" i="5"/>
  <c r="AA1163" i="5"/>
  <c r="M1106" i="5"/>
  <c r="AD1106" i="5"/>
  <c r="AA1106" i="5"/>
  <c r="AE1106" i="5"/>
  <c r="AB1152" i="5"/>
  <c r="M1152" i="5"/>
  <c r="AE1152" i="5"/>
  <c r="AD1152" i="5"/>
  <c r="AC1152" i="5"/>
  <c r="AD1013" i="5"/>
  <c r="AC1013" i="5"/>
  <c r="AB1013" i="5"/>
  <c r="AA1013" i="5"/>
  <c r="AC1140" i="5"/>
  <c r="AD1140" i="5"/>
  <c r="AB1140" i="5"/>
  <c r="AD1274" i="5"/>
  <c r="AE1274" i="5"/>
  <c r="AA1274" i="5"/>
  <c r="M1274" i="5"/>
  <c r="AA1418" i="5"/>
  <c r="AE1418" i="5"/>
  <c r="AB1236" i="5"/>
  <c r="AE1236" i="5"/>
  <c r="AC1236" i="5"/>
  <c r="AA1236" i="5"/>
  <c r="AD1236" i="5"/>
  <c r="M1236" i="5"/>
  <c r="AD1256" i="5"/>
  <c r="AA1256" i="5"/>
  <c r="AB1341" i="5"/>
  <c r="AE1341" i="5"/>
  <c r="AC1385" i="5"/>
  <c r="AE1385" i="5"/>
  <c r="AB1385" i="5"/>
  <c r="AA1385" i="5"/>
  <c r="AC173" i="5"/>
  <c r="AC193" i="5"/>
  <c r="AD125" i="5"/>
  <c r="AB125" i="5"/>
  <c r="AB171" i="5"/>
  <c r="AD171" i="5"/>
  <c r="AC171" i="5"/>
  <c r="AE340" i="5"/>
  <c r="AD340" i="5"/>
  <c r="AB340" i="5"/>
  <c r="AA340" i="5"/>
  <c r="M340" i="5"/>
  <c r="AD124" i="5"/>
  <c r="AB124" i="5"/>
  <c r="AC124" i="5"/>
  <c r="AE351" i="5"/>
  <c r="AC351" i="5"/>
  <c r="M351" i="5"/>
  <c r="AA91" i="5"/>
  <c r="AE91" i="5"/>
  <c r="AD91" i="5"/>
  <c r="AB231" i="5"/>
  <c r="AC231" i="5"/>
  <c r="AA231" i="5"/>
  <c r="M231" i="5"/>
  <c r="AE231" i="5"/>
  <c r="AD231" i="5"/>
  <c r="AE544" i="5"/>
  <c r="AA544" i="5"/>
  <c r="M544" i="5"/>
  <c r="AC396" i="5"/>
  <c r="AE396" i="5"/>
  <c r="AD396" i="5"/>
  <c r="AA396" i="5"/>
  <c r="M396" i="5"/>
  <c r="AD360" i="5"/>
  <c r="AA360" i="5"/>
  <c r="AA350" i="5"/>
  <c r="AE350" i="5"/>
  <c r="AD350" i="5"/>
  <c r="AC350" i="5"/>
  <c r="M350" i="5"/>
  <c r="M410" i="5"/>
  <c r="AD278" i="5"/>
  <c r="AB278" i="5"/>
  <c r="AE377" i="5"/>
  <c r="AD377" i="5"/>
  <c r="AB377" i="5"/>
  <c r="AC256" i="5"/>
  <c r="M256" i="5"/>
  <c r="AA256" i="5"/>
  <c r="AD256" i="5"/>
  <c r="AC322" i="5"/>
  <c r="AB322" i="5"/>
  <c r="AD387" i="5"/>
  <c r="AE387" i="5"/>
  <c r="AA387" i="5"/>
  <c r="M387" i="5"/>
  <c r="AD315" i="5"/>
  <c r="AC315" i="5"/>
  <c r="AE315" i="5"/>
  <c r="M315" i="5"/>
  <c r="AB597" i="5"/>
  <c r="AD597" i="5"/>
  <c r="AC532" i="5"/>
  <c r="AE532" i="5"/>
  <c r="AD532" i="5"/>
  <c r="AA532" i="5"/>
  <c r="M532" i="5"/>
  <c r="AA392" i="5"/>
  <c r="AD392" i="5"/>
  <c r="AB494" i="5"/>
  <c r="M494" i="5"/>
  <c r="AE494" i="5"/>
  <c r="AD494" i="5"/>
  <c r="AC494" i="5"/>
  <c r="AB465" i="5"/>
  <c r="AE465" i="5"/>
  <c r="AD465" i="5"/>
  <c r="AD417" i="5"/>
  <c r="AC417" i="5"/>
  <c r="AB417" i="5"/>
  <c r="AA417" i="5"/>
  <c r="AC671" i="5"/>
  <c r="AE671" i="5"/>
  <c r="AB446" i="5"/>
  <c r="AD446" i="5"/>
  <c r="AC446" i="5"/>
  <c r="M446" i="5"/>
  <c r="AE446" i="5"/>
  <c r="AE702" i="5"/>
  <c r="AB702" i="5"/>
  <c r="AA702" i="5"/>
  <c r="AE545" i="5"/>
  <c r="AD545" i="5"/>
  <c r="AB545" i="5"/>
  <c r="AE947" i="5"/>
  <c r="AD947" i="5"/>
  <c r="AB947" i="5"/>
  <c r="M947" i="5"/>
  <c r="M647" i="5"/>
  <c r="AC647" i="5"/>
  <c r="AA647" i="5"/>
  <c r="AE603" i="5"/>
  <c r="AC603" i="5"/>
  <c r="AA603" i="5"/>
  <c r="M603" i="5"/>
  <c r="AD603" i="5"/>
  <c r="M559" i="5"/>
  <c r="AC559" i="5"/>
  <c r="AE559" i="5"/>
  <c r="AB559" i="5"/>
  <c r="AA559" i="5"/>
  <c r="AE808" i="5"/>
  <c r="AD808" i="5"/>
  <c r="AB808" i="5"/>
  <c r="AA808" i="5"/>
  <c r="M808" i="5"/>
  <c r="AE737" i="5"/>
  <c r="M737" i="5"/>
  <c r="AD737" i="5"/>
  <c r="AC737" i="5"/>
  <c r="M550" i="5"/>
  <c r="AD550" i="5"/>
  <c r="AC550" i="5"/>
  <c r="AB550" i="5"/>
  <c r="AA550" i="5"/>
  <c r="M599" i="5"/>
  <c r="AD599" i="5"/>
  <c r="AB599" i="5"/>
  <c r="AD672" i="5"/>
  <c r="AE672" i="5"/>
  <c r="M561" i="5"/>
  <c r="AC561" i="5"/>
  <c r="AA561" i="5"/>
  <c r="AC792" i="5"/>
  <c r="AE792" i="5"/>
  <c r="AB792" i="5"/>
  <c r="AA792" i="5"/>
  <c r="AD792" i="5"/>
  <c r="AA625" i="5"/>
  <c r="AE625" i="5"/>
  <c r="AC625" i="5"/>
  <c r="AB625" i="5"/>
  <c r="M733" i="5"/>
  <c r="AD733" i="5"/>
  <c r="AB578" i="5"/>
  <c r="AE578" i="5"/>
  <c r="AD578" i="5"/>
  <c r="AC578" i="5"/>
  <c r="AA578" i="5"/>
  <c r="M578" i="5"/>
  <c r="AB784" i="5"/>
  <c r="AD784" i="5"/>
  <c r="AA784" i="5"/>
  <c r="AC784" i="5"/>
  <c r="AD678" i="5"/>
  <c r="AA678" i="5"/>
  <c r="AC678" i="5"/>
  <c r="AB678" i="5"/>
  <c r="M678" i="5"/>
  <c r="AE952" i="5"/>
  <c r="AC952" i="5"/>
  <c r="M759" i="5"/>
  <c r="AD759" i="5"/>
  <c r="AA759" i="5"/>
  <c r="AB738" i="5"/>
  <c r="AC738" i="5"/>
  <c r="AA738" i="5"/>
  <c r="AE738" i="5"/>
  <c r="AD738" i="5"/>
  <c r="M738" i="5"/>
  <c r="AE814" i="5"/>
  <c r="AB814" i="5"/>
  <c r="AE699" i="5"/>
  <c r="M699" i="5"/>
  <c r="AD699" i="5"/>
  <c r="AC699" i="5"/>
  <c r="AE116" i="5"/>
  <c r="AA116" i="5"/>
  <c r="M116" i="5"/>
  <c r="AC116" i="5"/>
  <c r="AB116" i="5"/>
  <c r="AE74" i="5"/>
  <c r="AD74" i="5"/>
  <c r="M74" i="5"/>
  <c r="AC74" i="5"/>
  <c r="M81" i="5"/>
  <c r="AE81" i="5"/>
  <c r="AD81" i="5"/>
  <c r="AC81" i="5"/>
  <c r="AA81" i="5"/>
  <c r="AE88" i="5"/>
  <c r="M88" i="5"/>
  <c r="AE302" i="5"/>
  <c r="AD302" i="5"/>
  <c r="AB302" i="5"/>
  <c r="AA302" i="5"/>
  <c r="M302" i="5"/>
  <c r="AB127" i="5"/>
  <c r="M127" i="5"/>
  <c r="AE127" i="5"/>
  <c r="AC127" i="5"/>
  <c r="AA127" i="5"/>
  <c r="AD127" i="5"/>
  <c r="AE195" i="5"/>
  <c r="M195" i="5"/>
  <c r="AC195" i="5"/>
  <c r="AD195" i="5"/>
  <c r="AD244" i="5"/>
  <c r="AE244" i="5"/>
  <c r="AC223" i="5"/>
  <c r="AB223" i="5"/>
  <c r="M223" i="5"/>
  <c r="AA223" i="5"/>
  <c r="AB102" i="5"/>
  <c r="AA102" i="5"/>
  <c r="AB234" i="5"/>
  <c r="AA234" i="5"/>
  <c r="AE234" i="5"/>
  <c r="AC234" i="5"/>
  <c r="AD234" i="5"/>
  <c r="AB253" i="5"/>
  <c r="AC253" i="5"/>
  <c r="AE253" i="5"/>
  <c r="AA253" i="5"/>
  <c r="AC788" i="5"/>
  <c r="AD788" i="5"/>
  <c r="AA788" i="5"/>
  <c r="M289" i="5"/>
  <c r="AE289" i="5"/>
  <c r="AD289" i="5"/>
  <c r="AB289" i="5"/>
  <c r="AD384" i="5"/>
  <c r="M384" i="5"/>
  <c r="AB384" i="5"/>
  <c r="AA384" i="5"/>
  <c r="AD303" i="5"/>
  <c r="AE303" i="5"/>
  <c r="AC303" i="5"/>
  <c r="M303" i="5"/>
  <c r="AA433" i="5"/>
  <c r="AE433" i="5"/>
  <c r="AD433" i="5"/>
  <c r="AB433" i="5"/>
  <c r="AB553" i="5"/>
  <c r="AE553" i="5"/>
  <c r="AD553" i="5"/>
  <c r="AA553" i="5"/>
  <c r="M553" i="5"/>
  <c r="AC624" i="5"/>
  <c r="AB624" i="5"/>
  <c r="AA624" i="5"/>
  <c r="M624" i="5"/>
  <c r="AE624" i="5"/>
  <c r="AD434" i="5"/>
  <c r="AE434" i="5"/>
  <c r="AC434" i="5"/>
  <c r="AA434" i="5"/>
  <c r="M434" i="5"/>
  <c r="AB616" i="5"/>
  <c r="AD616" i="5"/>
  <c r="AC616" i="5"/>
  <c r="AA616" i="5"/>
  <c r="M616" i="5"/>
  <c r="AE616" i="5"/>
  <c r="AB470" i="5"/>
  <c r="AE470" i="5"/>
  <c r="AC470" i="5"/>
  <c r="M426" i="5"/>
  <c r="AA426" i="5"/>
  <c r="AD426" i="5"/>
  <c r="AC426" i="5"/>
  <c r="AB698" i="5"/>
  <c r="AC698" i="5"/>
  <c r="AA698" i="5"/>
  <c r="M698" i="5"/>
  <c r="AE698" i="5"/>
  <c r="AB469" i="5"/>
  <c r="M469" i="5"/>
  <c r="AE469" i="5"/>
  <c r="AD469" i="5"/>
  <c r="AC469" i="5"/>
  <c r="AA469" i="5"/>
  <c r="AD528" i="5"/>
  <c r="AC528" i="5"/>
  <c r="AA528" i="5"/>
  <c r="M528" i="5"/>
  <c r="AB468" i="5"/>
  <c r="AE468" i="5"/>
  <c r="AD468" i="5"/>
  <c r="AC468" i="5"/>
  <c r="AA468" i="5"/>
  <c r="M468" i="5"/>
  <c r="AB453" i="5"/>
  <c r="AE453" i="5"/>
  <c r="AD453" i="5"/>
  <c r="AC453" i="5"/>
  <c r="M453" i="5"/>
  <c r="AA453" i="5"/>
  <c r="M663" i="5"/>
  <c r="AC663" i="5"/>
  <c r="AA663" i="5"/>
  <c r="AB585" i="5"/>
  <c r="AA585" i="5"/>
  <c r="M585" i="5"/>
  <c r="AE585" i="5"/>
  <c r="AD585" i="5"/>
  <c r="AB869" i="5"/>
  <c r="AD869" i="5"/>
  <c r="AC869" i="5"/>
  <c r="AE869" i="5"/>
  <c r="AA869" i="5"/>
  <c r="M869" i="5"/>
  <c r="AB1001" i="5"/>
  <c r="AD1008" i="5"/>
  <c r="AC936" i="5"/>
  <c r="AD906" i="5"/>
  <c r="M827" i="5"/>
  <c r="AB720" i="5"/>
  <c r="AA725" i="5"/>
  <c r="AA694" i="5"/>
  <c r="AB646" i="5"/>
  <c r="AB637" i="5"/>
  <c r="AB587" i="5"/>
  <c r="AA607" i="5"/>
  <c r="AD575" i="5"/>
  <c r="M596" i="5"/>
  <c r="AD496" i="5"/>
  <c r="AC481" i="5"/>
  <c r="AC372" i="5"/>
  <c r="AB330" i="5"/>
  <c r="AE258" i="5"/>
  <c r="AE282" i="5"/>
  <c r="AA158" i="5"/>
  <c r="AA171" i="5"/>
  <c r="AE120" i="5"/>
  <c r="AE125" i="5"/>
  <c r="AD79" i="5"/>
  <c r="AA79" i="5"/>
  <c r="M79" i="5"/>
  <c r="AE79" i="5"/>
  <c r="AC79" i="5"/>
  <c r="AA144" i="5"/>
  <c r="AB144" i="5"/>
  <c r="M144" i="5"/>
  <c r="AD144" i="5"/>
  <c r="AC144" i="5"/>
  <c r="AB84" i="5"/>
  <c r="AE84" i="5"/>
  <c r="M84" i="5"/>
  <c r="AD84" i="5"/>
  <c r="AC84" i="5"/>
  <c r="AA84" i="5"/>
  <c r="AC93" i="5"/>
  <c r="AB93" i="5"/>
  <c r="AB363" i="5"/>
  <c r="M363" i="5"/>
  <c r="AD363" i="5"/>
  <c r="AC363" i="5"/>
  <c r="AB199" i="5"/>
  <c r="M199" i="5"/>
  <c r="AE199" i="5"/>
  <c r="AD199" i="5"/>
  <c r="AA199" i="5"/>
  <c r="AC199" i="5"/>
  <c r="AB119" i="5"/>
  <c r="M119" i="5"/>
  <c r="AC119" i="5"/>
  <c r="AA119" i="5"/>
  <c r="AE119" i="5"/>
  <c r="AD119" i="5"/>
  <c r="AB105" i="5"/>
  <c r="M105" i="5"/>
  <c r="AE105" i="5"/>
  <c r="AD105" i="5"/>
  <c r="AC105" i="5"/>
  <c r="AA105" i="5"/>
  <c r="AB71" i="5"/>
  <c r="AE71" i="5"/>
  <c r="AE257" i="5"/>
  <c r="AA257" i="5"/>
  <c r="AE98" i="5"/>
  <c r="AB98" i="5"/>
  <c r="M98" i="5"/>
  <c r="AC250" i="5"/>
  <c r="AA250" i="5"/>
  <c r="AE250" i="5"/>
  <c r="M131" i="5"/>
  <c r="AD131" i="5"/>
  <c r="AC131" i="5"/>
  <c r="AE131" i="5"/>
  <c r="AA131" i="5"/>
  <c r="M200" i="5"/>
  <c r="AC200" i="5"/>
  <c r="AE200" i="5"/>
  <c r="AE106" i="5"/>
  <c r="M106" i="5"/>
  <c r="AC106" i="5"/>
  <c r="AD106" i="5"/>
  <c r="AC191" i="5"/>
  <c r="M191" i="5"/>
  <c r="AB191" i="5"/>
  <c r="AB176" i="5"/>
  <c r="AE176" i="5"/>
  <c r="AC176" i="5"/>
  <c r="M176" i="5"/>
  <c r="AE202" i="5"/>
  <c r="AC202" i="5"/>
  <c r="AB202" i="5"/>
  <c r="AA202" i="5"/>
  <c r="M202" i="5"/>
  <c r="AB798" i="5"/>
  <c r="AD798" i="5"/>
  <c r="AC798" i="5"/>
  <c r="AA798" i="5"/>
  <c r="M798" i="5"/>
  <c r="AE798" i="5"/>
  <c r="AE317" i="5"/>
  <c r="AD317" i="5"/>
  <c r="M317" i="5"/>
  <c r="M381" i="5"/>
  <c r="AA381" i="5"/>
  <c r="AE381" i="5"/>
  <c r="AD381" i="5"/>
  <c r="AD327" i="5"/>
  <c r="AB327" i="5"/>
  <c r="AA327" i="5"/>
  <c r="M327" i="5"/>
  <c r="AE500" i="5"/>
  <c r="AC500" i="5"/>
  <c r="AA500" i="5"/>
  <c r="M500" i="5"/>
  <c r="AA466" i="5"/>
  <c r="AC466" i="5"/>
  <c r="AB466" i="5"/>
  <c r="M466" i="5"/>
  <c r="AB537" i="5"/>
  <c r="AE537" i="5"/>
  <c r="AD537" i="5"/>
  <c r="AA537" i="5"/>
  <c r="M537" i="5"/>
  <c r="AC310" i="5"/>
  <c r="AB310" i="5"/>
  <c r="AE409" i="5"/>
  <c r="AC409" i="5"/>
  <c r="AB409" i="5"/>
  <c r="AB648" i="5"/>
  <c r="AE648" i="5"/>
  <c r="AD648" i="5"/>
  <c r="AC648" i="5"/>
  <c r="M648" i="5"/>
  <c r="AA648" i="5"/>
  <c r="AA495" i="5"/>
  <c r="M495" i="5"/>
  <c r="AD495" i="5"/>
  <c r="AB495" i="5"/>
  <c r="AB499" i="5"/>
  <c r="AC499" i="5"/>
  <c r="AD604" i="5"/>
  <c r="AE604" i="5"/>
  <c r="M604" i="5"/>
  <c r="AA604" i="5"/>
  <c r="AB478" i="5"/>
  <c r="M478" i="5"/>
  <c r="AD478" i="5"/>
  <c r="AC478" i="5"/>
  <c r="AE478" i="5"/>
  <c r="AA591" i="5"/>
  <c r="AB591" i="5"/>
  <c r="AD591" i="5"/>
  <c r="AD506" i="5"/>
  <c r="AA506" i="5"/>
  <c r="M477" i="5"/>
  <c r="AE477" i="5"/>
  <c r="AD477" i="5"/>
  <c r="AC477" i="5"/>
  <c r="AE454" i="5"/>
  <c r="AC454" i="5"/>
  <c r="AB454" i="5"/>
  <c r="AE472" i="5"/>
  <c r="AC472" i="5"/>
  <c r="AA472" i="5"/>
  <c r="M472" i="5"/>
  <c r="M711" i="5"/>
  <c r="AD711" i="5"/>
  <c r="AA711" i="5"/>
  <c r="AC711" i="5"/>
  <c r="AC651" i="5"/>
  <c r="M651" i="5"/>
  <c r="AE708" i="5"/>
  <c r="AD708" i="5"/>
  <c r="AB708" i="5"/>
  <c r="AC708" i="5"/>
  <c r="AE570" i="5"/>
  <c r="M570" i="5"/>
  <c r="AD570" i="5"/>
  <c r="AA570" i="5"/>
  <c r="AD821" i="5"/>
  <c r="M821" i="5"/>
  <c r="AE821" i="5"/>
  <c r="AC821" i="5"/>
  <c r="AA821" i="5"/>
  <c r="AC820" i="5"/>
  <c r="M820" i="5"/>
  <c r="AE820" i="5"/>
  <c r="AD820" i="5"/>
  <c r="AB820" i="5"/>
  <c r="AA820" i="5"/>
  <c r="AC675" i="5"/>
  <c r="M675" i="5"/>
  <c r="AD675" i="5"/>
  <c r="AB675" i="5"/>
  <c r="AD780" i="5"/>
  <c r="AE780" i="5"/>
  <c r="AC780" i="5"/>
  <c r="AA780" i="5"/>
  <c r="AD880" i="5"/>
  <c r="AB880" i="5"/>
  <c r="AC853" i="5"/>
  <c r="AE853" i="5"/>
  <c r="AD811" i="5"/>
  <c r="AC811" i="5"/>
  <c r="AB770" i="5"/>
  <c r="M770" i="5"/>
  <c r="AE770" i="5"/>
  <c r="AC770" i="5"/>
  <c r="AA770" i="5"/>
  <c r="AD770" i="5"/>
  <c r="AE701" i="5"/>
  <c r="AA701" i="5"/>
  <c r="AC701" i="5"/>
  <c r="AB701" i="5"/>
  <c r="M701" i="5"/>
  <c r="AE769" i="5"/>
  <c r="AD769" i="5"/>
  <c r="AC769" i="5"/>
  <c r="M769" i="5"/>
  <c r="AD978" i="5"/>
  <c r="AE978" i="5"/>
  <c r="AC978" i="5"/>
  <c r="M978" i="5"/>
  <c r="AA978" i="5"/>
  <c r="AB1004" i="5"/>
  <c r="AD1004" i="5"/>
  <c r="AC1004" i="5"/>
  <c r="AA1004" i="5"/>
  <c r="AB917" i="5"/>
  <c r="M917" i="5"/>
  <c r="AD917" i="5"/>
  <c r="AA917" i="5"/>
  <c r="AC917" i="5"/>
  <c r="AE917" i="5"/>
  <c r="AB1012" i="5"/>
  <c r="AE1012" i="5"/>
  <c r="AC1012" i="5"/>
  <c r="AA1012" i="5"/>
  <c r="M1012" i="5"/>
  <c r="AD1012" i="5"/>
  <c r="AC838" i="5"/>
  <c r="AE838" i="5"/>
  <c r="AB838" i="5"/>
  <c r="AC927" i="5"/>
  <c r="AD927" i="5"/>
  <c r="AB927" i="5"/>
  <c r="AA927" i="5"/>
  <c r="M927" i="5"/>
  <c r="AD1136" i="5"/>
  <c r="AB1136" i="5"/>
  <c r="AA1136" i="5"/>
  <c r="M1136" i="5"/>
  <c r="AC1136" i="5"/>
  <c r="AE1136" i="5"/>
  <c r="M1300" i="5"/>
  <c r="AC1300" i="5"/>
  <c r="AE1300" i="5"/>
  <c r="AD1300" i="5"/>
  <c r="AD1107" i="5"/>
  <c r="M1107" i="5"/>
  <c r="AB1058" i="5"/>
  <c r="M1058" i="5"/>
  <c r="AE1058" i="5"/>
  <c r="AA1058" i="5"/>
  <c r="AD1058" i="5"/>
  <c r="AC1058" i="5"/>
  <c r="AA1117" i="5"/>
  <c r="M1117" i="5"/>
  <c r="AD1117" i="5"/>
  <c r="M1089" i="5"/>
  <c r="AD1089" i="5"/>
  <c r="AC1089" i="5"/>
  <c r="AA1089" i="5"/>
  <c r="AB1089" i="5"/>
  <c r="AD1056" i="5"/>
  <c r="M1056" i="5"/>
  <c r="AE1056" i="5"/>
  <c r="AC1056" i="5"/>
  <c r="AA1056" i="5"/>
  <c r="AA1283" i="5"/>
  <c r="AB1283" i="5"/>
  <c r="M1283" i="5"/>
  <c r="AB1046" i="5"/>
  <c r="AA1046" i="5"/>
  <c r="AE1046" i="5"/>
  <c r="AD1046" i="5"/>
  <c r="M1046" i="5"/>
  <c r="AC1199" i="5"/>
  <c r="M1199" i="5"/>
  <c r="AE1199" i="5"/>
  <c r="AD1199" i="5"/>
  <c r="AA1199" i="5"/>
  <c r="AE1316" i="5"/>
  <c r="AD1316" i="5"/>
  <c r="M1316" i="5"/>
  <c r="AC1316" i="5"/>
  <c r="M1293" i="5"/>
  <c r="AE1293" i="5"/>
  <c r="AD1293" i="5"/>
  <c r="AC1293" i="5"/>
  <c r="AB1293" i="5"/>
  <c r="AA1293" i="5"/>
  <c r="AB1346" i="5"/>
  <c r="AE1346" i="5"/>
  <c r="AC1346" i="5"/>
  <c r="AA1346" i="5"/>
  <c r="AE1327" i="5"/>
  <c r="AB1327" i="5"/>
  <c r="AD1242" i="5"/>
  <c r="M1242" i="5"/>
  <c r="AB1242" i="5"/>
  <c r="M1322" i="5"/>
  <c r="AB1322" i="5"/>
  <c r="AB1275" i="5"/>
  <c r="M1275" i="5"/>
  <c r="AE1275" i="5"/>
  <c r="AE1255" i="5"/>
  <c r="M1255" i="5"/>
  <c r="AB1255" i="5"/>
  <c r="AA1255" i="5"/>
  <c r="AC1255" i="5"/>
  <c r="AD518" i="5"/>
  <c r="AE518" i="5"/>
  <c r="AA518" i="5"/>
  <c r="M518" i="5"/>
  <c r="AE198" i="5"/>
  <c r="AC198" i="5"/>
  <c r="AD198" i="5"/>
  <c r="AB205" i="5"/>
  <c r="AE205" i="5"/>
  <c r="AD205" i="5"/>
  <c r="AC205" i="5"/>
  <c r="AA205" i="5"/>
  <c r="M205" i="5"/>
  <c r="AE456" i="5"/>
  <c r="AC456" i="5"/>
  <c r="AA456" i="5"/>
  <c r="M456" i="5"/>
  <c r="AB247" i="5"/>
  <c r="AC247" i="5"/>
  <c r="M247" i="5"/>
  <c r="AE247" i="5"/>
  <c r="AA247" i="5"/>
  <c r="AD247" i="5"/>
  <c r="AA382" i="5"/>
  <c r="AD382" i="5"/>
  <c r="AB382" i="5"/>
  <c r="M382" i="5"/>
  <c r="AD287" i="5"/>
  <c r="AB287" i="5"/>
  <c r="M252" i="5"/>
  <c r="AC252" i="5"/>
  <c r="AA252" i="5"/>
  <c r="AD349" i="5"/>
  <c r="AB349" i="5"/>
  <c r="AA349" i="5"/>
  <c r="AE428" i="5"/>
  <c r="AB428" i="5"/>
  <c r="M428" i="5"/>
  <c r="AD418" i="5"/>
  <c r="AA418" i="5"/>
  <c r="M418" i="5"/>
  <c r="AC418" i="5"/>
  <c r="AB418" i="5"/>
  <c r="AD457" i="5"/>
  <c r="AB457" i="5"/>
  <c r="AA457" i="5"/>
  <c r="AE703" i="5"/>
  <c r="M703" i="5"/>
  <c r="AB414" i="5"/>
  <c r="AC414" i="5"/>
  <c r="M414" i="5"/>
  <c r="AE414" i="5"/>
  <c r="AD414" i="5"/>
  <c r="AC427" i="5"/>
  <c r="M427" i="5"/>
  <c r="AD427" i="5"/>
  <c r="AA427" i="5"/>
  <c r="AE618" i="5"/>
  <c r="M618" i="5"/>
  <c r="AD618" i="5"/>
  <c r="AC618" i="5"/>
  <c r="AB618" i="5"/>
  <c r="AA618" i="5"/>
  <c r="M529" i="5"/>
  <c r="AE529" i="5"/>
  <c r="AB529" i="5"/>
  <c r="AD529" i="5"/>
  <c r="AA529" i="5"/>
  <c r="AE482" i="5"/>
  <c r="M482" i="5"/>
  <c r="AC482" i="5"/>
  <c r="AA482" i="5"/>
  <c r="M458" i="5"/>
  <c r="AD458" i="5"/>
  <c r="AC458" i="5"/>
  <c r="AA458" i="5"/>
  <c r="AE464" i="5"/>
  <c r="AA464" i="5"/>
  <c r="AB548" i="5"/>
  <c r="AA548" i="5"/>
  <c r="AD594" i="5"/>
  <c r="AC594" i="5"/>
  <c r="AE718" i="5"/>
  <c r="AB718" i="5"/>
  <c r="AA718" i="5"/>
  <c r="AB650" i="5"/>
  <c r="AE650" i="5"/>
  <c r="AD650" i="5"/>
  <c r="AA650" i="5"/>
  <c r="AC605" i="5"/>
  <c r="AE605" i="5"/>
  <c r="AA605" i="5"/>
  <c r="M605" i="5"/>
  <c r="AE956" i="5"/>
  <c r="AB956" i="5"/>
  <c r="AA956" i="5"/>
  <c r="AC889" i="5"/>
  <c r="AE889" i="5"/>
  <c r="AB889" i="5"/>
  <c r="AA889" i="5"/>
  <c r="AD889" i="5"/>
  <c r="M889" i="5"/>
  <c r="AD710" i="5"/>
  <c r="M710" i="5"/>
  <c r="AC710" i="5"/>
  <c r="AE858" i="5"/>
  <c r="M858" i="5"/>
  <c r="AD815" i="5"/>
  <c r="AC815" i="5"/>
  <c r="AA815" i="5"/>
  <c r="AA888" i="5"/>
  <c r="AB888" i="5"/>
  <c r="M888" i="5"/>
  <c r="AE888" i="5"/>
  <c r="AD888" i="5"/>
  <c r="AC832" i="5"/>
  <c r="M832" i="5"/>
  <c r="AB832" i="5"/>
  <c r="AD832" i="5"/>
  <c r="AC709" i="5"/>
  <c r="M709" i="5"/>
  <c r="M903" i="5"/>
  <c r="AE903" i="5"/>
  <c r="AD903" i="5"/>
  <c r="AB903" i="5"/>
  <c r="AD883" i="5"/>
  <c r="AE883" i="5"/>
  <c r="AC883" i="5"/>
  <c r="AA883" i="5"/>
  <c r="AB713" i="5"/>
  <c r="M713" i="5"/>
  <c r="AE713" i="5"/>
  <c r="AD817" i="5"/>
  <c r="AE817" i="5"/>
  <c r="AC817" i="5"/>
  <c r="AA817" i="5"/>
  <c r="M817" i="5"/>
  <c r="M873" i="5"/>
  <c r="AC873" i="5"/>
  <c r="AD873" i="5"/>
  <c r="AE849" i="5"/>
  <c r="AC849" i="5"/>
  <c r="AB849" i="5"/>
  <c r="AB915" i="5"/>
  <c r="AC915" i="5"/>
  <c r="AA915" i="5"/>
  <c r="M915" i="5"/>
  <c r="M1122" i="5"/>
  <c r="AB1122" i="5"/>
  <c r="AE1155" i="5"/>
  <c r="AC1155" i="5"/>
  <c r="AA1155" i="5"/>
  <c r="M1262" i="5"/>
  <c r="AA1262" i="5"/>
  <c r="AC1262" i="5"/>
  <c r="AB1262" i="5"/>
  <c r="AB1085" i="5"/>
  <c r="AD1085" i="5"/>
  <c r="AC1085" i="5"/>
  <c r="AA1085" i="5"/>
  <c r="M1085" i="5"/>
  <c r="AE1085" i="5"/>
  <c r="AB1329" i="5"/>
  <c r="AE1329" i="5"/>
  <c r="AD1329" i="5"/>
  <c r="AC1329" i="5"/>
  <c r="AA1329" i="5"/>
  <c r="M1329" i="5"/>
  <c r="AB1110" i="5"/>
  <c r="AA1110" i="5"/>
  <c r="M1110" i="5"/>
  <c r="AE1110" i="5"/>
  <c r="AC1110" i="5"/>
  <c r="AD1110" i="5"/>
  <c r="AE1062" i="5"/>
  <c r="AA1062" i="5"/>
  <c r="AD1149" i="5"/>
  <c r="AB1149" i="5"/>
  <c r="AA1149" i="5"/>
  <c r="AB1090" i="5"/>
  <c r="M1090" i="5"/>
  <c r="AE1090" i="5"/>
  <c r="AD1090" i="5"/>
  <c r="AA1090" i="5"/>
  <c r="AC1090" i="5"/>
  <c r="AD1358" i="5"/>
  <c r="AE1358" i="5"/>
  <c r="AB1358" i="5"/>
  <c r="AC1143" i="5"/>
  <c r="AE1143" i="5"/>
  <c r="AD1143" i="5"/>
  <c r="AA1143" i="5"/>
  <c r="M1143" i="5"/>
  <c r="M1205" i="5"/>
  <c r="AD1205" i="5"/>
  <c r="AE1205" i="5"/>
  <c r="AC1205" i="5"/>
  <c r="AC1369" i="5"/>
  <c r="AA1369" i="5"/>
  <c r="AC1366" i="5"/>
  <c r="AA1366" i="5"/>
  <c r="AE1366" i="5"/>
  <c r="AB1250" i="5"/>
  <c r="AD1250" i="5"/>
  <c r="M1250" i="5"/>
  <c r="AE1250" i="5"/>
  <c r="AC1250" i="5"/>
  <c r="AA1250" i="5"/>
  <c r="AA1238" i="5"/>
  <c r="M1238" i="5"/>
  <c r="AE1238" i="5"/>
  <c r="AC1238" i="5"/>
  <c r="AB1238" i="5"/>
  <c r="AE1330" i="5"/>
  <c r="AB1330" i="5"/>
  <c r="AB1268" i="5"/>
  <c r="AE1268" i="5"/>
  <c r="AD1268" i="5"/>
  <c r="M1268" i="5"/>
  <c r="AB1288" i="5"/>
  <c r="AA1288" i="5"/>
  <c r="AC186" i="5"/>
  <c r="AA186" i="5"/>
  <c r="AB186" i="5"/>
  <c r="AB101" i="5"/>
  <c r="AE101" i="5"/>
  <c r="AC101" i="5"/>
  <c r="M101" i="5"/>
  <c r="AA101" i="5"/>
  <c r="AD101" i="5"/>
  <c r="AB170" i="5"/>
  <c r="M170" i="5"/>
  <c r="AE170" i="5"/>
  <c r="AA170" i="5"/>
  <c r="AC110" i="5"/>
  <c r="M110" i="5"/>
  <c r="AD110" i="5"/>
  <c r="AC210" i="5"/>
  <c r="AA210" i="5"/>
  <c r="AC276" i="5"/>
  <c r="AA276" i="5"/>
  <c r="AE390" i="5"/>
  <c r="AD390" i="5"/>
  <c r="AC390" i="5"/>
  <c r="AA390" i="5"/>
  <c r="M390" i="5"/>
  <c r="AC508" i="5"/>
  <c r="AE508" i="5"/>
  <c r="AB508" i="5"/>
  <c r="AA508" i="5"/>
  <c r="AE323" i="5"/>
  <c r="AA323" i="5"/>
  <c r="M323" i="5"/>
  <c r="AD323" i="5"/>
  <c r="AA262" i="5"/>
  <c r="AC262" i="5"/>
  <c r="AB353" i="5"/>
  <c r="M353" i="5"/>
  <c r="AE353" i="5"/>
  <c r="AD353" i="5"/>
  <c r="AC353" i="5"/>
  <c r="AA353" i="5"/>
  <c r="AC238" i="5"/>
  <c r="AE238" i="5"/>
  <c r="AD238" i="5"/>
  <c r="AA238" i="5"/>
  <c r="M238" i="5"/>
  <c r="M325" i="5"/>
  <c r="AB325" i="5"/>
  <c r="AE325" i="5"/>
  <c r="AE444" i="5"/>
  <c r="AB444" i="5"/>
  <c r="AA444" i="5"/>
  <c r="M444" i="5"/>
  <c r="AB337" i="5"/>
  <c r="AE337" i="5"/>
  <c r="AD337" i="5"/>
  <c r="AA337" i="5"/>
  <c r="M337" i="5"/>
  <c r="AC337" i="5"/>
  <c r="AD497" i="5"/>
  <c r="AE497" i="5"/>
  <c r="AE687" i="5"/>
  <c r="AD687" i="5"/>
  <c r="AE935" i="5"/>
  <c r="AA935" i="5"/>
  <c r="AC935" i="5"/>
  <c r="AD677" i="5"/>
  <c r="AE677" i="5"/>
  <c r="AC677" i="5"/>
  <c r="AB677" i="5"/>
  <c r="AE669" i="5"/>
  <c r="AB669" i="5"/>
  <c r="AA669" i="5"/>
  <c r="AD662" i="5"/>
  <c r="M662" i="5"/>
  <c r="AE662" i="5"/>
  <c r="AC662" i="5"/>
  <c r="AA816" i="5"/>
  <c r="AE816" i="5"/>
  <c r="AC816" i="5"/>
  <c r="AB722" i="5"/>
  <c r="AE722" i="5"/>
  <c r="AD722" i="5"/>
  <c r="M722" i="5"/>
  <c r="AC722" i="5"/>
  <c r="AA722" i="5"/>
  <c r="AD931" i="5"/>
  <c r="AA931" i="5"/>
  <c r="AC771" i="5"/>
  <c r="AE771" i="5"/>
  <c r="AD771" i="5"/>
  <c r="AA771" i="5"/>
  <c r="AD609" i="5"/>
  <c r="AE609" i="5"/>
  <c r="AC609" i="5"/>
  <c r="AA609" i="5"/>
  <c r="M609" i="5"/>
  <c r="AD726" i="5"/>
  <c r="AC726" i="5"/>
  <c r="M726" i="5"/>
  <c r="AB726" i="5"/>
  <c r="AA726" i="5"/>
  <c r="AC786" i="5"/>
  <c r="AB786" i="5"/>
  <c r="AA786" i="5"/>
  <c r="AD786" i="5"/>
  <c r="AE786" i="5"/>
  <c r="AD778" i="5"/>
  <c r="M778" i="5"/>
  <c r="AE778" i="5"/>
  <c r="AE879" i="5"/>
  <c r="M879" i="5"/>
  <c r="AD879" i="5"/>
  <c r="AB860" i="5"/>
  <c r="AD860" i="5"/>
  <c r="AC860" i="5"/>
  <c r="M860" i="5"/>
  <c r="AE714" i="5"/>
  <c r="M714" i="5"/>
  <c r="AC836" i="5"/>
  <c r="AA836" i="5"/>
  <c r="AB836" i="5"/>
  <c r="AE461" i="5"/>
  <c r="AD461" i="5"/>
  <c r="AC461" i="5"/>
  <c r="M461" i="5"/>
  <c r="AA268" i="5"/>
  <c r="M268" i="5"/>
  <c r="AB268" i="5"/>
  <c r="AE361" i="5"/>
  <c r="AC361" i="5"/>
  <c r="AA361" i="5"/>
  <c r="AA138" i="5"/>
  <c r="AB138" i="5"/>
  <c r="AE190" i="5"/>
  <c r="AA190" i="5"/>
  <c r="AB190" i="5"/>
  <c r="M190" i="5"/>
  <c r="AD99" i="5"/>
  <c r="AC99" i="5"/>
  <c r="AE99" i="5"/>
  <c r="M99" i="5"/>
  <c r="AA343" i="5"/>
  <c r="AE343" i="5"/>
  <c r="AD343" i="5"/>
  <c r="AB343" i="5"/>
  <c r="M343" i="5"/>
  <c r="AD216" i="5"/>
  <c r="AE216" i="5"/>
  <c r="AB389" i="5"/>
  <c r="AE389" i="5"/>
  <c r="AC389" i="5"/>
  <c r="AA389" i="5"/>
  <c r="M389" i="5"/>
  <c r="AD389" i="5"/>
  <c r="AD294" i="5"/>
  <c r="AB294" i="5"/>
  <c r="AA294" i="5"/>
  <c r="AD368" i="5"/>
  <c r="AC368" i="5"/>
  <c r="AB368" i="5"/>
  <c r="AD311" i="5"/>
  <c r="M311" i="5"/>
  <c r="AC311" i="5"/>
  <c r="AE440" i="5"/>
  <c r="AC440" i="5"/>
  <c r="AA440" i="5"/>
  <c r="M440" i="5"/>
  <c r="AE266" i="5"/>
  <c r="M266" i="5"/>
  <c r="AB266" i="5"/>
  <c r="AA266" i="5"/>
  <c r="AD242" i="5"/>
  <c r="AC242" i="5"/>
  <c r="AB242" i="5"/>
  <c r="M242" i="5"/>
  <c r="AD620" i="5"/>
  <c r="AE620" i="5"/>
  <c r="AB620" i="5"/>
  <c r="AA620" i="5"/>
  <c r="M620" i="5"/>
  <c r="AC620" i="5"/>
  <c r="AB484" i="5"/>
  <c r="AC484" i="5"/>
  <c r="AA484" i="5"/>
  <c r="M484" i="5"/>
  <c r="AE484" i="5"/>
  <c r="AD484" i="5"/>
  <c r="AC665" i="5"/>
  <c r="AA665" i="5"/>
  <c r="AD408" i="5"/>
  <c r="AB408" i="5"/>
  <c r="AA408" i="5"/>
  <c r="M488" i="5"/>
  <c r="AE488" i="5"/>
  <c r="AC488" i="5"/>
  <c r="AA488" i="5"/>
  <c r="AB621" i="5"/>
  <c r="AE621" i="5"/>
  <c r="AC621" i="5"/>
  <c r="AA621" i="5"/>
  <c r="M621" i="5"/>
  <c r="AD621" i="5"/>
  <c r="AD473" i="5"/>
  <c r="AB473" i="5"/>
  <c r="AA473" i="5"/>
  <c r="M577" i="5"/>
  <c r="AE577" i="5"/>
  <c r="AA577" i="5"/>
  <c r="M416" i="5"/>
  <c r="AE416" i="5"/>
  <c r="AD416" i="5"/>
  <c r="AD683" i="5"/>
  <c r="M683" i="5"/>
  <c r="AE683" i="5"/>
  <c r="AC683" i="5"/>
  <c r="AB680" i="5"/>
  <c r="AE680" i="5"/>
  <c r="AD680" i="5"/>
  <c r="AA680" i="5"/>
  <c r="M680" i="5"/>
  <c r="AC680" i="5"/>
  <c r="AE629" i="5"/>
  <c r="AC629" i="5"/>
  <c r="AB629" i="5"/>
  <c r="AA629" i="5"/>
  <c r="AD668" i="5"/>
  <c r="AA668" i="5"/>
  <c r="M668" i="5"/>
  <c r="AE668" i="5"/>
  <c r="AC668" i="5"/>
  <c r="AB668" i="5"/>
  <c r="M831" i="5"/>
  <c r="AE831" i="5"/>
  <c r="AC831" i="5"/>
  <c r="AB831" i="5"/>
  <c r="AA831" i="5"/>
  <c r="AC614" i="5"/>
  <c r="AB614" i="5"/>
  <c r="M614" i="5"/>
  <c r="AD654" i="5"/>
  <c r="AA654" i="5"/>
  <c r="AE753" i="5"/>
  <c r="AC753" i="5"/>
  <c r="M753" i="5"/>
  <c r="AD753" i="5"/>
  <c r="M656" i="5"/>
  <c r="AB684" i="5"/>
  <c r="AD684" i="5"/>
  <c r="AE684" i="5"/>
  <c r="AC684" i="5"/>
  <c r="AA684" i="5"/>
  <c r="M684" i="5"/>
  <c r="AB734" i="5"/>
  <c r="AE734" i="5"/>
  <c r="AA791" i="5"/>
  <c r="AD791" i="5"/>
  <c r="AA891" i="5"/>
  <c r="AE891" i="5"/>
  <c r="AB901" i="5"/>
  <c r="AA901" i="5"/>
  <c r="M901" i="5"/>
  <c r="AE901" i="5"/>
  <c r="AD901" i="5"/>
  <c r="AC901" i="5"/>
  <c r="AD719" i="5"/>
  <c r="AE719" i="5"/>
  <c r="AB719" i="5"/>
  <c r="AA719" i="5"/>
  <c r="M719" i="5"/>
  <c r="AE1020" i="5"/>
  <c r="AD1020" i="5"/>
  <c r="AC1020" i="5"/>
  <c r="M1020" i="5"/>
  <c r="AE1043" i="5"/>
  <c r="AD1043" i="5"/>
  <c r="AB1043" i="5"/>
  <c r="AA1043" i="5"/>
  <c r="M1043" i="5"/>
  <c r="AB1038" i="5"/>
  <c r="AE1038" i="5"/>
  <c r="AC1038" i="5"/>
  <c r="AA1038" i="5"/>
  <c r="M1038" i="5"/>
  <c r="AD1038" i="5"/>
  <c r="M968" i="5"/>
  <c r="AC968" i="5"/>
  <c r="AB968" i="5"/>
  <c r="AC928" i="5"/>
  <c r="AD928" i="5"/>
  <c r="AB928" i="5"/>
  <c r="AC1002" i="5"/>
  <c r="AB1002" i="5"/>
  <c r="AA1002" i="5"/>
  <c r="M1002" i="5"/>
  <c r="AD1009" i="5"/>
  <c r="AB1009" i="5"/>
  <c r="AE1009" i="5"/>
  <c r="AC1009" i="5"/>
  <c r="AA1009" i="5"/>
  <c r="M1009" i="5"/>
  <c r="AC1044" i="5"/>
  <c r="AE1044" i="5"/>
  <c r="AD1044" i="5"/>
  <c r="AA1044" i="5"/>
  <c r="M1044" i="5"/>
  <c r="AE1367" i="5"/>
  <c r="M1367" i="5"/>
  <c r="AD1367" i="5"/>
  <c r="AC1367" i="5"/>
  <c r="AA1367" i="5"/>
  <c r="AE1096" i="5"/>
  <c r="AC1096" i="5"/>
  <c r="AB1096" i="5"/>
  <c r="AD1209" i="5"/>
  <c r="AE1209" i="5"/>
  <c r="AC1209" i="5"/>
  <c r="M1209" i="5"/>
  <c r="AA1209" i="5"/>
  <c r="L1076" i="5"/>
  <c r="AB1074" i="5"/>
  <c r="M1074" i="5"/>
  <c r="AE1074" i="5"/>
  <c r="AA1074" i="5"/>
  <c r="AD1074" i="5"/>
  <c r="AC1074" i="5"/>
  <c r="AC1135" i="5"/>
  <c r="M1135" i="5"/>
  <c r="AB1135" i="5"/>
  <c r="AE1135" i="5"/>
  <c r="AB1116" i="5"/>
  <c r="M1116" i="5"/>
  <c r="AD1116" i="5"/>
  <c r="AC1116" i="5"/>
  <c r="AA1116" i="5"/>
  <c r="AE1116" i="5"/>
  <c r="AB1198" i="5"/>
  <c r="AD1198" i="5"/>
  <c r="AE1203" i="5"/>
  <c r="AB1203" i="5"/>
  <c r="AA1203" i="5"/>
  <c r="M1203" i="5"/>
  <c r="AE1400" i="5"/>
  <c r="AB1400" i="5"/>
  <c r="AA1400" i="5"/>
  <c r="AB1277" i="5"/>
  <c r="AE1277" i="5"/>
  <c r="M1277" i="5"/>
  <c r="AA1277" i="5"/>
  <c r="AD1277" i="5"/>
  <c r="AC1277" i="5"/>
  <c r="AA1215" i="5"/>
  <c r="M1215" i="5"/>
  <c r="AE1215" i="5"/>
  <c r="AD1215" i="5"/>
  <c r="AC1215" i="5"/>
  <c r="M1402" i="5"/>
  <c r="AD1402" i="5"/>
  <c r="AC1402" i="5"/>
  <c r="AE1402" i="5"/>
  <c r="M1340" i="5"/>
  <c r="M1302" i="5"/>
  <c r="AD1302" i="5"/>
  <c r="AC1302" i="5"/>
  <c r="AA1302" i="5"/>
  <c r="AE1178" i="5"/>
  <c r="AC1178" i="5"/>
  <c r="AE1314" i="5"/>
  <c r="AA1314" i="5"/>
  <c r="AB1314" i="5"/>
  <c r="AB173" i="5"/>
  <c r="M173" i="5"/>
  <c r="AD152" i="5"/>
  <c r="AB152" i="5"/>
  <c r="AB103" i="5"/>
  <c r="AE103" i="5"/>
  <c r="AE374" i="5"/>
  <c r="AD374" i="5"/>
  <c r="AC374" i="5"/>
  <c r="AA374" i="5"/>
  <c r="M374" i="5"/>
  <c r="M80" i="5"/>
  <c r="AA80" i="5"/>
  <c r="AE80" i="5"/>
  <c r="AD80" i="5"/>
  <c r="AE241" i="5"/>
  <c r="AD241" i="5"/>
  <c r="AC241" i="5"/>
  <c r="M241" i="5"/>
  <c r="AB241" i="5"/>
  <c r="AE132" i="5"/>
  <c r="M132" i="5"/>
  <c r="AD132" i="5"/>
  <c r="AC132" i="5"/>
  <c r="AB132" i="5"/>
  <c r="AA132" i="5"/>
  <c r="AA230" i="5"/>
  <c r="M230" i="5"/>
  <c r="AD230" i="5"/>
  <c r="AC230" i="5"/>
  <c r="AB230" i="5"/>
  <c r="AB180" i="5"/>
  <c r="AA180" i="5"/>
  <c r="AC180" i="5"/>
  <c r="AB179" i="5"/>
  <c r="AD179" i="5"/>
  <c r="AC179" i="5"/>
  <c r="AA179" i="5"/>
  <c r="AE179" i="5"/>
  <c r="M179" i="5"/>
  <c r="M153" i="5"/>
  <c r="AA122" i="5"/>
  <c r="AB122" i="5"/>
  <c r="AB373" i="5"/>
  <c r="AE373" i="5"/>
  <c r="AD373" i="5"/>
  <c r="AC373" i="5"/>
  <c r="AA373" i="5"/>
  <c r="M373" i="5"/>
  <c r="AD224" i="5"/>
  <c r="AB224" i="5"/>
  <c r="M224" i="5"/>
  <c r="AE254" i="5"/>
  <c r="AB254" i="5"/>
  <c r="AA254" i="5"/>
  <c r="AD254" i="5"/>
  <c r="AD547" i="5"/>
  <c r="AC547" i="5"/>
  <c r="AB547" i="5"/>
  <c r="M547" i="5"/>
  <c r="AD331" i="5"/>
  <c r="AC331" i="5"/>
  <c r="AB400" i="5"/>
  <c r="AA400" i="5"/>
  <c r="M400" i="5"/>
  <c r="AD400" i="5"/>
  <c r="AE319" i="5"/>
  <c r="M319" i="5"/>
  <c r="AD319" i="5"/>
  <c r="AC319" i="5"/>
  <c r="AA319" i="5"/>
  <c r="AB357" i="5"/>
  <c r="M357" i="5"/>
  <c r="AE357" i="5"/>
  <c r="AD357" i="5"/>
  <c r="AC357" i="5"/>
  <c r="AA357" i="5"/>
  <c r="AE685" i="5"/>
  <c r="M685" i="5"/>
  <c r="AA685" i="5"/>
  <c r="M801" i="5"/>
  <c r="AD801" i="5"/>
  <c r="AC801" i="5"/>
  <c r="AE801" i="5"/>
  <c r="AA801" i="5"/>
  <c r="AB485" i="5"/>
  <c r="AA485" i="5"/>
  <c r="M485" i="5"/>
  <c r="AD485" i="5"/>
  <c r="AC485" i="5"/>
  <c r="AE485" i="5"/>
  <c r="AC510" i="5"/>
  <c r="AE510" i="5"/>
  <c r="AB510" i="5"/>
  <c r="AE612" i="5"/>
  <c r="AB612" i="5"/>
  <c r="AA612" i="5"/>
  <c r="AB549" i="5"/>
  <c r="M549" i="5"/>
  <c r="AE549" i="5"/>
  <c r="AC549" i="5"/>
  <c r="AD549" i="5"/>
  <c r="AA549" i="5"/>
  <c r="AE649" i="5"/>
  <c r="AA649" i="5"/>
  <c r="AB420" i="5"/>
  <c r="AE420" i="5"/>
  <c r="AD420" i="5"/>
  <c r="AC420" i="5"/>
  <c r="M420" i="5"/>
  <c r="AA420" i="5"/>
  <c r="AA407" i="5"/>
  <c r="AE407" i="5"/>
  <c r="AD407" i="5"/>
  <c r="AD579" i="5"/>
  <c r="M579" i="5"/>
  <c r="AE579" i="5"/>
  <c r="AC579" i="5"/>
  <c r="AA579" i="5"/>
  <c r="AB688" i="5"/>
  <c r="AC688" i="5"/>
  <c r="AE864" i="5"/>
  <c r="AD864" i="5"/>
  <c r="AB748" i="5"/>
  <c r="AD748" i="5"/>
  <c r="AC748" i="5"/>
  <c r="AA748" i="5"/>
  <c r="AE691" i="5"/>
  <c r="AB691" i="5"/>
  <c r="AB562" i="5"/>
  <c r="AA562" i="5"/>
  <c r="AD562" i="5"/>
  <c r="AC562" i="5"/>
  <c r="M562" i="5"/>
  <c r="AE562" i="5"/>
  <c r="AC590" i="5"/>
  <c r="AD590" i="5"/>
  <c r="AC567" i="5"/>
  <c r="AB567" i="5"/>
  <c r="AA567" i="5"/>
  <c r="AB552" i="5"/>
  <c r="AE552" i="5"/>
  <c r="AD552" i="5"/>
  <c r="AA552" i="5"/>
  <c r="M552" i="5"/>
  <c r="AD843" i="5"/>
  <c r="M843" i="5"/>
  <c r="AC843" i="5"/>
  <c r="AB843" i="5"/>
  <c r="AA843" i="5"/>
  <c r="AB744" i="5"/>
  <c r="M744" i="5"/>
  <c r="AE744" i="5"/>
  <c r="AD744" i="5"/>
  <c r="AC744" i="5"/>
  <c r="AA744" i="5"/>
  <c r="AE874" i="5"/>
  <c r="AD874" i="5"/>
  <c r="AB874" i="5"/>
  <c r="AE930" i="5"/>
  <c r="AD930" i="5"/>
  <c r="M727" i="5"/>
  <c r="AD727" i="5"/>
  <c r="AC727" i="5"/>
  <c r="AA727" i="5"/>
  <c r="AC793" i="5"/>
  <c r="AE793" i="5"/>
  <c r="AD793" i="5"/>
  <c r="M793" i="5"/>
  <c r="M841" i="5"/>
  <c r="AE841" i="5"/>
  <c r="AD841" i="5"/>
  <c r="AA841" i="5"/>
  <c r="AA957" i="5"/>
  <c r="M957" i="5"/>
  <c r="AD840" i="5"/>
  <c r="M840" i="5"/>
  <c r="M1186" i="5"/>
  <c r="AE1186" i="5"/>
  <c r="AC1186" i="5"/>
  <c r="AE887" i="5"/>
  <c r="M887" i="5"/>
  <c r="AA887" i="5"/>
  <c r="AD887" i="5"/>
  <c r="AC887" i="5"/>
  <c r="AB933" i="5"/>
  <c r="AE933" i="5"/>
  <c r="AC933" i="5"/>
  <c r="AA933" i="5"/>
  <c r="M933" i="5"/>
  <c r="AD933" i="5"/>
  <c r="AC1014" i="5"/>
  <c r="AD1014" i="5"/>
  <c r="AB1014" i="5"/>
  <c r="M1014" i="5"/>
  <c r="AB1166" i="5"/>
  <c r="AA1166" i="5"/>
  <c r="M1166" i="5"/>
  <c r="AC1379" i="5"/>
  <c r="AB1379" i="5"/>
  <c r="AD1379" i="5"/>
  <c r="M1214" i="5"/>
  <c r="AC1214" i="5"/>
  <c r="AB1214" i="5"/>
  <c r="M1082" i="5"/>
  <c r="AD1158" i="5"/>
  <c r="AA1158" i="5"/>
  <c r="AB1164" i="5"/>
  <c r="AA1164" i="5"/>
  <c r="AC1164" i="5"/>
  <c r="AD1164" i="5"/>
  <c r="AC1141" i="5"/>
  <c r="M1141" i="5"/>
  <c r="AD1237" i="5"/>
  <c r="M1237" i="5"/>
  <c r="AE1237" i="5"/>
  <c r="AB1237" i="5"/>
  <c r="AA1237" i="5"/>
  <c r="AD1068" i="5"/>
  <c r="M1068" i="5"/>
  <c r="AA1068" i="5"/>
  <c r="AB1068" i="5"/>
  <c r="AE1088" i="5"/>
  <c r="AC1088" i="5"/>
  <c r="AB1088" i="5"/>
  <c r="M1088" i="5"/>
  <c r="AE1105" i="5"/>
  <c r="AD1105" i="5"/>
  <c r="AA1105" i="5"/>
  <c r="AD1328" i="5"/>
  <c r="AC1328" i="5"/>
  <c r="AB1328" i="5"/>
  <c r="AD1343" i="5"/>
  <c r="AA1343" i="5"/>
  <c r="AC1343" i="5"/>
  <c r="M1343" i="5"/>
  <c r="AE1343" i="5"/>
  <c r="M1259" i="5"/>
  <c r="AE1259" i="5"/>
  <c r="AC1259" i="5"/>
  <c r="AB1259" i="5"/>
  <c r="AE1286" i="5"/>
  <c r="AA1286" i="5"/>
  <c r="AC1286" i="5"/>
  <c r="AB1286" i="5"/>
  <c r="AA1338" i="5"/>
  <c r="AE1338" i="5"/>
  <c r="AD1338" i="5"/>
  <c r="M1338" i="5"/>
  <c r="AE1383" i="5"/>
  <c r="M1383" i="5"/>
  <c r="AD1383" i="5"/>
  <c r="AC1383" i="5"/>
  <c r="AA1383" i="5"/>
  <c r="AB189" i="5"/>
  <c r="M189" i="5"/>
  <c r="AD189" i="5"/>
  <c r="AA189" i="5"/>
  <c r="AE189" i="5"/>
  <c r="AC189" i="5"/>
  <c r="AA86" i="5"/>
  <c r="AB86" i="5"/>
  <c r="AB568" i="5"/>
  <c r="AC568" i="5"/>
  <c r="AA568" i="5"/>
  <c r="AB359" i="5"/>
  <c r="AA359" i="5"/>
  <c r="M359" i="5"/>
  <c r="AE359" i="5"/>
  <c r="AD359" i="5"/>
  <c r="AC380" i="5"/>
  <c r="AA380" i="5"/>
  <c r="M380" i="5"/>
  <c r="AE380" i="5"/>
  <c r="AD380" i="5"/>
  <c r="AE449" i="5"/>
  <c r="AD449" i="5"/>
  <c r="AB449" i="5"/>
  <c r="AE388" i="5"/>
  <c r="AA388" i="5"/>
  <c r="M388" i="5"/>
  <c r="AB388" i="5"/>
  <c r="AB243" i="5"/>
  <c r="AD243" i="5"/>
  <c r="AA243" i="5"/>
  <c r="AB462" i="5"/>
  <c r="AE462" i="5"/>
  <c r="AD462" i="5"/>
  <c r="AC462" i="5"/>
  <c r="M462" i="5"/>
  <c r="AB265" i="5"/>
  <c r="M265" i="5"/>
  <c r="AA265" i="5"/>
  <c r="AE265" i="5"/>
  <c r="AD265" i="5"/>
  <c r="AC265" i="5"/>
  <c r="AB338" i="5"/>
  <c r="M338" i="5"/>
  <c r="AE338" i="5"/>
  <c r="AC338" i="5"/>
  <c r="AA338" i="5"/>
  <c r="AB533" i="5"/>
  <c r="M533" i="5"/>
  <c r="AE533" i="5"/>
  <c r="AD533" i="5"/>
  <c r="AC533" i="5"/>
  <c r="AA533" i="5"/>
  <c r="AD402" i="5"/>
  <c r="AB402" i="5"/>
  <c r="AC402" i="5"/>
  <c r="AC435" i="5"/>
  <c r="AB435" i="5"/>
  <c r="M435" i="5"/>
  <c r="AD563" i="5"/>
  <c r="AE563" i="5"/>
  <c r="M563" i="5"/>
  <c r="AC563" i="5"/>
  <c r="AA563" i="5"/>
  <c r="AE626" i="5"/>
  <c r="M626" i="5"/>
  <c r="AD626" i="5"/>
  <c r="AC626" i="5"/>
  <c r="AA626" i="5"/>
  <c r="AE432" i="5"/>
  <c r="AD432" i="5"/>
  <c r="AC432" i="5"/>
  <c r="AA432" i="5"/>
  <c r="AD502" i="5"/>
  <c r="AC502" i="5"/>
  <c r="AC730" i="5"/>
  <c r="AE730" i="5"/>
  <c r="M730" i="5"/>
  <c r="AA813" i="5"/>
  <c r="AD813" i="5"/>
  <c r="AC813" i="5"/>
  <c r="AE586" i="5"/>
  <c r="AD586" i="5"/>
  <c r="AA586" i="5"/>
  <c r="M586" i="5"/>
  <c r="AC779" i="5"/>
  <c r="M779" i="5"/>
  <c r="AE779" i="5"/>
  <c r="AD779" i="5"/>
  <c r="AB700" i="5"/>
  <c r="M700" i="5"/>
  <c r="AA700" i="5"/>
  <c r="AE700" i="5"/>
  <c r="AD700" i="5"/>
  <c r="AC700" i="5"/>
  <c r="AB819" i="5"/>
  <c r="AE819" i="5"/>
  <c r="AD819" i="5"/>
  <c r="AC819" i="5"/>
  <c r="AA819" i="5"/>
  <c r="M819" i="5"/>
  <c r="AC635" i="5"/>
  <c r="M635" i="5"/>
  <c r="AD592" i="5"/>
  <c r="AC592" i="5"/>
  <c r="AB592" i="5"/>
  <c r="M695" i="5"/>
  <c r="AC695" i="5"/>
  <c r="AD695" i="5"/>
  <c r="AA695" i="5"/>
  <c r="AB925" i="5"/>
  <c r="AA925" i="5"/>
  <c r="M925" i="5"/>
  <c r="L697" i="5"/>
  <c r="AA997" i="5"/>
  <c r="AE997" i="5"/>
  <c r="AC997" i="5"/>
  <c r="M997" i="5"/>
  <c r="AB997" i="5"/>
  <c r="AB706" i="5"/>
  <c r="AE706" i="5"/>
  <c r="AC706" i="5"/>
  <c r="AA706" i="5"/>
  <c r="M706" i="5"/>
  <c r="AD706" i="5"/>
  <c r="AD772" i="5"/>
  <c r="AC772" i="5"/>
  <c r="AE772" i="5"/>
  <c r="AD842" i="5"/>
  <c r="AA842" i="5"/>
  <c r="M842" i="5"/>
  <c r="AB842" i="5"/>
  <c r="AE747" i="5"/>
  <c r="AD747" i="5"/>
  <c r="AC747" i="5"/>
  <c r="M747" i="5"/>
  <c r="M881" i="5"/>
  <c r="AD881" i="5"/>
  <c r="AD762" i="5"/>
  <c r="AE762" i="5"/>
  <c r="M762" i="5"/>
  <c r="AE704" i="5"/>
  <c r="AC704" i="5"/>
  <c r="M704" i="5"/>
  <c r="AD805" i="5"/>
  <c r="AC805" i="5"/>
  <c r="AB805" i="5"/>
  <c r="AE923" i="5"/>
  <c r="AB923" i="5"/>
  <c r="AA923" i="5"/>
  <c r="M923" i="5"/>
  <c r="AC923" i="5"/>
  <c r="AB1196" i="5"/>
  <c r="M1196" i="5"/>
  <c r="AC1196" i="5"/>
  <c r="AE1196" i="5"/>
  <c r="AD1196" i="5"/>
  <c r="AA1196" i="5"/>
  <c r="AD914" i="5"/>
  <c r="AC914" i="5"/>
  <c r="AA914" i="5"/>
  <c r="AA992" i="5"/>
  <c r="AE992" i="5"/>
  <c r="AB992" i="5"/>
  <c r="AA1051" i="5"/>
  <c r="AC1051" i="5"/>
  <c r="AB1051" i="5"/>
  <c r="M1051" i="5"/>
  <c r="AD962" i="5"/>
  <c r="AC962" i="5"/>
  <c r="AB962" i="5"/>
  <c r="AE1030" i="5"/>
  <c r="AB1030" i="5"/>
  <c r="AB911" i="5"/>
  <c r="AE911" i="5"/>
  <c r="AC911" i="5"/>
  <c r="AA911" i="5"/>
  <c r="AE975" i="5"/>
  <c r="M975" i="5"/>
  <c r="AC979" i="5"/>
  <c r="AE979" i="5"/>
  <c r="M979" i="5"/>
  <c r="AE1150" i="5"/>
  <c r="AA1150" i="5"/>
  <c r="M1150" i="5"/>
  <c r="AD1108" i="5"/>
  <c r="AB1108" i="5"/>
  <c r="M1108" i="5"/>
  <c r="AC1370" i="5"/>
  <c r="AD1370" i="5"/>
  <c r="AE1370" i="5"/>
  <c r="M1370" i="5"/>
  <c r="AC1174" i="5"/>
  <c r="AD1174" i="5"/>
  <c r="AE1131" i="5"/>
  <c r="AD1131" i="5"/>
  <c r="AA1131" i="5"/>
  <c r="AB1131" i="5"/>
  <c r="AE1034" i="5"/>
  <c r="AA1034" i="5"/>
  <c r="M1034" i="5"/>
  <c r="AB1151" i="5"/>
  <c r="AE1151" i="5"/>
  <c r="AD1151" i="5"/>
  <c r="AC1151" i="5"/>
  <c r="AA1151" i="5"/>
  <c r="M1151" i="5"/>
  <c r="AE1310" i="5"/>
  <c r="AC1310" i="5"/>
  <c r="AD1310" i="5"/>
  <c r="M1310" i="5"/>
  <c r="AB1310" i="5"/>
  <c r="AC1285" i="5"/>
  <c r="AE1285" i="5"/>
  <c r="AD1285" i="5"/>
  <c r="AD1281" i="5"/>
  <c r="AE1281" i="5"/>
  <c r="AA1281" i="5"/>
  <c r="M1281" i="5"/>
  <c r="AD1359" i="5"/>
  <c r="AE1359" i="5"/>
  <c r="M1359" i="5"/>
  <c r="AC1359" i="5"/>
  <c r="AA1359" i="5"/>
  <c r="AC1307" i="5"/>
  <c r="AD1307" i="5"/>
  <c r="M1307" i="5"/>
  <c r="AE1307" i="5"/>
  <c r="AA1307" i="5"/>
  <c r="AE1368" i="5"/>
  <c r="M1368" i="5"/>
  <c r="AA1368" i="5"/>
  <c r="AE1406" i="5"/>
  <c r="M1406" i="5"/>
  <c r="AC1406" i="5"/>
  <c r="AA1406" i="5"/>
  <c r="AD1334" i="5"/>
  <c r="AB1334" i="5"/>
  <c r="AA1334" i="5"/>
  <c r="M1334" i="5"/>
  <c r="AB1308" i="5"/>
  <c r="AE1308" i="5"/>
  <c r="M1308" i="5"/>
  <c r="AD1308" i="5"/>
  <c r="AC1308" i="5"/>
  <c r="AB1364" i="5"/>
  <c r="AC1364" i="5"/>
  <c r="AD1364" i="5"/>
  <c r="AD162" i="5"/>
  <c r="AC162" i="5"/>
  <c r="AA162" i="5"/>
  <c r="AB162" i="5"/>
  <c r="AB785" i="5"/>
  <c r="AE785" i="5"/>
  <c r="AD1036" i="5"/>
  <c r="M1036" i="5"/>
  <c r="AE1036" i="5"/>
  <c r="AC1036" i="5"/>
  <c r="AD922" i="5"/>
  <c r="AC922" i="5"/>
  <c r="AB922" i="5"/>
  <c r="AB1028" i="5"/>
  <c r="M1028" i="5"/>
  <c r="AD1028" i="5"/>
  <c r="AC1028" i="5"/>
  <c r="AA1028" i="5"/>
  <c r="AE1028" i="5"/>
  <c r="AE913" i="5"/>
  <c r="AC913" i="5"/>
  <c r="AB913" i="5"/>
  <c r="AE1033" i="5"/>
  <c r="AD1033" i="5"/>
  <c r="AA1033" i="5"/>
  <c r="M1033" i="5"/>
  <c r="AC950" i="5"/>
  <c r="AD950" i="5"/>
  <c r="AB950" i="5"/>
  <c r="M950" i="5"/>
  <c r="AE950" i="5"/>
  <c r="AA950" i="5"/>
  <c r="M1050" i="5"/>
  <c r="AC1050" i="5"/>
  <c r="AA1050" i="5"/>
  <c r="AB1050" i="5"/>
  <c r="AD924" i="5"/>
  <c r="AB924" i="5"/>
  <c r="AA924" i="5"/>
  <c r="AB1126" i="5"/>
  <c r="AE1126" i="5"/>
  <c r="AD1126" i="5"/>
  <c r="AC1126" i="5"/>
  <c r="AA1126" i="5"/>
  <c r="M1126" i="5"/>
  <c r="AC1159" i="5"/>
  <c r="AE1159" i="5"/>
  <c r="AD1159" i="5"/>
  <c r="AA1159" i="5"/>
  <c r="M1159" i="5"/>
  <c r="AD1204" i="5"/>
  <c r="M1204" i="5"/>
  <c r="AB1204" i="5"/>
  <c r="AD1161" i="5"/>
  <c r="AB1161" i="5"/>
  <c r="M1161" i="5"/>
  <c r="AC1393" i="5"/>
  <c r="AE1393" i="5"/>
  <c r="AD1393" i="5"/>
  <c r="AA1393" i="5"/>
  <c r="M1393" i="5"/>
  <c r="AE1273" i="5"/>
  <c r="AB1273" i="5"/>
  <c r="AC1241" i="5"/>
  <c r="M1241" i="5"/>
  <c r="AE1241" i="5"/>
  <c r="AB1241" i="5"/>
  <c r="AA1241" i="5"/>
  <c r="AA1342" i="5"/>
  <c r="M1342" i="5"/>
  <c r="AD1342" i="5"/>
  <c r="M1294" i="5"/>
  <c r="AB1294" i="5"/>
  <c r="AA1294" i="5"/>
  <c r="AB1313" i="5"/>
  <c r="AE1313" i="5"/>
  <c r="AD1313" i="5"/>
  <c r="AC1313" i="5"/>
  <c r="AA1313" i="5"/>
  <c r="M1313" i="5"/>
  <c r="AB1378" i="5"/>
  <c r="AE1378" i="5"/>
  <c r="AA1378" i="5"/>
  <c r="M1378" i="5"/>
  <c r="AC1378" i="5"/>
  <c r="AD1378" i="5"/>
  <c r="AD133" i="5"/>
  <c r="AC133" i="5"/>
  <c r="AA133" i="5"/>
  <c r="M133" i="5"/>
  <c r="AE133" i="5"/>
  <c r="AE1381" i="5"/>
  <c r="AC1381" i="5"/>
  <c r="AB1381" i="5"/>
  <c r="AA1381" i="5"/>
  <c r="AB1356" i="5"/>
  <c r="M1356" i="5"/>
  <c r="AD1356" i="5"/>
  <c r="AE1356" i="5"/>
  <c r="AA1356" i="5"/>
  <c r="AB82" i="5"/>
  <c r="AE82" i="5"/>
  <c r="M82" i="5"/>
  <c r="AE72" i="5"/>
  <c r="M72" i="5"/>
  <c r="AE1254" i="5"/>
  <c r="AD1254" i="5"/>
  <c r="AB1254" i="5"/>
  <c r="M1254" i="5"/>
  <c r="AC1227" i="5"/>
  <c r="AE1227" i="5"/>
  <c r="AD1227" i="5"/>
  <c r="M1227" i="5"/>
  <c r="AA1227" i="5"/>
  <c r="AD1177" i="5"/>
  <c r="M1177" i="5"/>
  <c r="AA1177" i="5"/>
  <c r="AC1240" i="5"/>
  <c r="M1240" i="5"/>
  <c r="AC1299" i="5"/>
  <c r="AE1299" i="5"/>
  <c r="AA1299" i="5"/>
  <c r="AD1299" i="5"/>
  <c r="M1299" i="5"/>
  <c r="M1290" i="5"/>
  <c r="AE1290" i="5"/>
  <c r="AB1290" i="5"/>
  <c r="M1390" i="5"/>
  <c r="AD1390" i="5"/>
  <c r="AA1390" i="5"/>
  <c r="AE1390" i="5"/>
  <c r="AE1208" i="5"/>
  <c r="AC1208" i="5"/>
  <c r="AB1208" i="5"/>
  <c r="AD1208" i="5"/>
  <c r="AB1324" i="5"/>
  <c r="AD1324" i="5"/>
  <c r="AC1324" i="5"/>
  <c r="AE1324" i="5"/>
  <c r="M1324" i="5"/>
  <c r="M1332" i="5"/>
  <c r="AE1332" i="5"/>
  <c r="AB1332" i="5"/>
  <c r="AA1332" i="5"/>
  <c r="AB1403" i="5"/>
  <c r="M1403" i="5"/>
  <c r="AD1403" i="5"/>
  <c r="AE1403" i="5"/>
  <c r="AC1403" i="5"/>
  <c r="AD1119" i="5"/>
  <c r="AC1119" i="5"/>
  <c r="AE1258" i="5"/>
  <c r="AC1258" i="5"/>
  <c r="AB1111" i="5"/>
  <c r="AA1111" i="5"/>
  <c r="M1111" i="5"/>
  <c r="AD1349" i="5"/>
  <c r="AB1349" i="5"/>
  <c r="M1057" i="5"/>
  <c r="AE1057" i="5"/>
  <c r="AB1057" i="5"/>
  <c r="AC1057" i="5"/>
  <c r="AA1057" i="5"/>
  <c r="AD1091" i="5"/>
  <c r="AC1091" i="5"/>
  <c r="AB1091" i="5"/>
  <c r="AE1181" i="5"/>
  <c r="AD1181" i="5"/>
  <c r="AB1181" i="5"/>
  <c r="AC1181" i="5"/>
  <c r="AA1047" i="5"/>
  <c r="AE1047" i="5"/>
  <c r="AD1047" i="5"/>
  <c r="AB1047" i="5"/>
  <c r="M1047" i="5"/>
  <c r="AB1180" i="5"/>
  <c r="M1180" i="5"/>
  <c r="AE1180" i="5"/>
  <c r="AD1180" i="5"/>
  <c r="AC1180" i="5"/>
  <c r="AA1180" i="5"/>
  <c r="AD1326" i="5"/>
  <c r="M1326" i="5"/>
  <c r="AE1326" i="5"/>
  <c r="AB1326" i="5"/>
  <c r="AC1312" i="5"/>
  <c r="AA1312" i="5"/>
  <c r="AD1312" i="5"/>
  <c r="AB1312" i="5"/>
  <c r="AC1303" i="5"/>
  <c r="AA1303" i="5"/>
  <c r="AB1303" i="5"/>
  <c r="AE1303" i="5"/>
  <c r="AD1303" i="5"/>
  <c r="AD1193" i="5"/>
  <c r="M1193" i="5"/>
  <c r="AB1345" i="5"/>
  <c r="AC1345" i="5"/>
  <c r="M1345" i="5"/>
  <c r="AA1345" i="5"/>
  <c r="AE1345" i="5"/>
  <c r="AD1345" i="5"/>
  <c r="M1221" i="5"/>
  <c r="AE1221" i="5"/>
  <c r="AD1221" i="5"/>
  <c r="AC1221" i="5"/>
  <c r="M1331" i="5"/>
  <c r="AB1331" i="5"/>
  <c r="AE1339" i="5"/>
  <c r="AA1339" i="5"/>
  <c r="AE1335" i="5"/>
  <c r="AB1335" i="5"/>
  <c r="AE1374" i="5"/>
  <c r="AD1374" i="5"/>
  <c r="AD1318" i="5"/>
  <c r="M1318" i="5"/>
  <c r="AC1318" i="5"/>
  <c r="AA1318" i="5"/>
  <c r="AB565" i="5"/>
  <c r="AD565" i="5"/>
  <c r="AC565" i="5"/>
  <c r="AA565" i="5"/>
  <c r="AE565" i="5"/>
  <c r="M565" i="5"/>
  <c r="AA878" i="5"/>
  <c r="AE878" i="5"/>
  <c r="AD878" i="5"/>
  <c r="AB878" i="5"/>
  <c r="AD837" i="5"/>
  <c r="M837" i="5"/>
  <c r="AB829" i="5"/>
  <c r="M829" i="5"/>
  <c r="AC829" i="5"/>
  <c r="AA829" i="5"/>
  <c r="AE829" i="5"/>
  <c r="AD829" i="5"/>
  <c r="AC790" i="5"/>
  <c r="AA790" i="5"/>
  <c r="AE790" i="5"/>
  <c r="AD790" i="5"/>
  <c r="AB790" i="5"/>
  <c r="AD682" i="5"/>
  <c r="AB682" i="5"/>
  <c r="AA682" i="5"/>
  <c r="M682" i="5"/>
  <c r="AE682" i="5"/>
  <c r="M951" i="5"/>
  <c r="AB951" i="5"/>
  <c r="AA951" i="5"/>
  <c r="M743" i="5"/>
  <c r="AD743" i="5"/>
  <c r="AA743" i="5"/>
  <c r="AC739" i="5"/>
  <c r="AE739" i="5"/>
  <c r="AD739" i="5"/>
  <c r="AA739" i="5"/>
  <c r="AB835" i="5"/>
  <c r="M835" i="5"/>
  <c r="AE835" i="5"/>
  <c r="AD835" i="5"/>
  <c r="AC835" i="5"/>
  <c r="AA835" i="5"/>
  <c r="AD1010" i="5"/>
  <c r="M1010" i="5"/>
  <c r="AE1010" i="5"/>
  <c r="AC1010" i="5"/>
  <c r="AA1010" i="5"/>
  <c r="AC984" i="5"/>
  <c r="AE984" i="5"/>
  <c r="AD984" i="5"/>
  <c r="M984" i="5"/>
  <c r="AB984" i="5"/>
  <c r="AE1017" i="5"/>
  <c r="AA1017" i="5"/>
  <c r="M1017" i="5"/>
  <c r="AD1017" i="5"/>
  <c r="AE1129" i="5"/>
  <c r="AC1129" i="5"/>
  <c r="AB1129" i="5"/>
  <c r="AA1129" i="5"/>
  <c r="M1129" i="5"/>
  <c r="AC850" i="5"/>
  <c r="M850" i="5"/>
  <c r="AD1079" i="5"/>
  <c r="AC1079" i="5"/>
  <c r="AB1079" i="5"/>
  <c r="M1079" i="5"/>
  <c r="AA1087" i="5"/>
  <c r="AC1087" i="5"/>
  <c r="AB1087" i="5"/>
  <c r="AE958" i="5"/>
  <c r="AC958" i="5"/>
  <c r="AA958" i="5"/>
  <c r="M958" i="5"/>
  <c r="AB958" i="5"/>
  <c r="M961" i="5"/>
  <c r="AA961" i="5"/>
  <c r="AB1176" i="5"/>
  <c r="AC1176" i="5"/>
  <c r="AA1176" i="5"/>
  <c r="AB1070" i="5"/>
  <c r="M1070" i="5"/>
  <c r="AC1070" i="5"/>
  <c r="AE1070" i="5"/>
  <c r="AD1070" i="5"/>
  <c r="AA1070" i="5"/>
  <c r="AA1153" i="5"/>
  <c r="M1153" i="5"/>
  <c r="AE1153" i="5"/>
  <c r="AB1153" i="5"/>
  <c r="M1144" i="5"/>
  <c r="AD1144" i="5"/>
  <c r="AC1144" i="5"/>
  <c r="AE1144" i="5"/>
  <c r="AB1094" i="5"/>
  <c r="M1094" i="5"/>
  <c r="AE1094" i="5"/>
  <c r="AD1094" i="5"/>
  <c r="AC1094" i="5"/>
  <c r="AC1267" i="5"/>
  <c r="AE1267" i="5"/>
  <c r="AD1267" i="5"/>
  <c r="M1267" i="5"/>
  <c r="AA1229" i="5"/>
  <c r="AE1229" i="5"/>
  <c r="AB1229" i="5"/>
  <c r="M1229" i="5"/>
  <c r="AC1323" i="5"/>
  <c r="AA1323" i="5"/>
  <c r="AE1323" i="5"/>
  <c r="AD1323" i="5"/>
  <c r="M1323" i="5"/>
  <c r="AC1315" i="5"/>
  <c r="AA1315" i="5"/>
  <c r="M1315" i="5"/>
  <c r="AE1315" i="5"/>
  <c r="AD1315" i="5"/>
  <c r="AA1420" i="5"/>
  <c r="AD1420" i="5"/>
  <c r="M1420" i="5"/>
  <c r="AE1420" i="5"/>
  <c r="AE1257" i="5"/>
  <c r="AB1257" i="5"/>
  <c r="AA1257" i="5"/>
  <c r="M1386" i="5"/>
  <c r="AC1386" i="5"/>
  <c r="AE1386" i="5"/>
  <c r="AD1386" i="5"/>
  <c r="AD1309" i="5"/>
  <c r="AE1309" i="5"/>
  <c r="AB1309" i="5"/>
  <c r="AB1412" i="5"/>
  <c r="M1412" i="5"/>
  <c r="AE1404" i="5"/>
  <c r="AC1404" i="5"/>
  <c r="M1404" i="5"/>
  <c r="AA1404" i="5"/>
  <c r="AB1246" i="5"/>
  <c r="AA1246" i="5"/>
  <c r="AD1347" i="5"/>
  <c r="M1347" i="5"/>
  <c r="AE1347" i="5"/>
  <c r="AA1347" i="5"/>
  <c r="AA1243" i="5"/>
  <c r="M1243" i="5"/>
  <c r="AB1243" i="5"/>
  <c r="AE1243" i="5"/>
  <c r="AC1243" i="5"/>
  <c r="AE1410" i="5"/>
  <c r="M1410" i="5"/>
  <c r="AC1410" i="5"/>
  <c r="AA1410" i="5"/>
  <c r="AC1377" i="5"/>
  <c r="M1377" i="5"/>
  <c r="AE1377" i="5"/>
  <c r="AD1377" i="5"/>
  <c r="AA1377" i="5"/>
  <c r="AD1409" i="5"/>
  <c r="AE1409" i="5"/>
  <c r="M1409" i="5"/>
  <c r="AC1409" i="5"/>
  <c r="AB280" i="5"/>
  <c r="AD280" i="5"/>
  <c r="M211" i="5"/>
  <c r="AE211" i="5"/>
  <c r="AD211" i="5"/>
  <c r="AA211" i="5"/>
  <c r="AB844" i="5"/>
  <c r="AC844" i="5"/>
  <c r="M857" i="5"/>
  <c r="AD857" i="5"/>
  <c r="AC857" i="5"/>
  <c r="AA857" i="5"/>
  <c r="AC919" i="5"/>
  <c r="AB919" i="5"/>
  <c r="M919" i="5"/>
  <c r="AE919" i="5"/>
  <c r="AC993" i="5"/>
  <c r="AD993" i="5"/>
  <c r="AB993" i="5"/>
  <c r="M993" i="5"/>
  <c r="AE993" i="5"/>
  <c r="AA981" i="5"/>
  <c r="AB981" i="5"/>
  <c r="AE981" i="5"/>
  <c r="AC981" i="5"/>
  <c r="M981" i="5"/>
  <c r="AC893" i="5"/>
  <c r="AE893" i="5"/>
  <c r="AD893" i="5"/>
  <c r="AA893" i="5"/>
  <c r="M893" i="5"/>
  <c r="AB893" i="5"/>
  <c r="M974" i="5"/>
  <c r="AD974" i="5"/>
  <c r="AC974" i="5"/>
  <c r="AA974" i="5"/>
  <c r="AB974" i="5"/>
  <c r="AD1071" i="5"/>
  <c r="AC1071" i="5"/>
  <c r="AB1071" i="5"/>
  <c r="AA1071" i="5"/>
  <c r="M1071" i="5"/>
  <c r="AE1071" i="5"/>
  <c r="AE1207" i="5"/>
  <c r="AA1207" i="5"/>
  <c r="AE1202" i="5"/>
  <c r="AB1202" i="5"/>
  <c r="AC1029" i="5"/>
  <c r="AB1029" i="5"/>
  <c r="AE1029" i="5"/>
  <c r="AE1216" i="5"/>
  <c r="AA1216" i="5"/>
  <c r="AD1216" i="5"/>
  <c r="M1216" i="5"/>
  <c r="AC1035" i="5"/>
  <c r="AE1035" i="5"/>
  <c r="M1035" i="5"/>
  <c r="AD1035" i="5"/>
  <c r="AE1156" i="5"/>
  <c r="M1156" i="5"/>
  <c r="AC1156" i="5"/>
  <c r="AA1156" i="5"/>
  <c r="AC1194" i="5"/>
  <c r="AB1194" i="5"/>
  <c r="AC1301" i="5"/>
  <c r="M1301" i="5"/>
  <c r="AD1301" i="5"/>
  <c r="AB1167" i="5"/>
  <c r="AE1167" i="5"/>
  <c r="AD1167" i="5"/>
  <c r="AC1167" i="5"/>
  <c r="AA1167" i="5"/>
  <c r="M1167" i="5"/>
  <c r="AD1253" i="5"/>
  <c r="AC1253" i="5"/>
  <c r="AA1253" i="5"/>
  <c r="AE1253" i="5"/>
  <c r="M1253" i="5"/>
  <c r="AD1276" i="5"/>
  <c r="AA1276" i="5"/>
  <c r="M1276" i="5"/>
  <c r="AB1276" i="5"/>
  <c r="AE1276" i="5"/>
  <c r="AD1247" i="5"/>
  <c r="M1247" i="5"/>
  <c r="AA1247" i="5"/>
  <c r="AB1247" i="5"/>
  <c r="AA1305" i="5"/>
  <c r="AC1305" i="5"/>
  <c r="AA1417" i="5"/>
  <c r="M1417" i="5"/>
  <c r="AB1245" i="5"/>
  <c r="AC1245" i="5"/>
  <c r="AE1245" i="5"/>
  <c r="AD1245" i="5"/>
  <c r="M1245" i="5"/>
  <c r="AA1245" i="5"/>
  <c r="AB1394" i="5"/>
  <c r="AE1394" i="5"/>
  <c r="AD1394" i="5"/>
  <c r="AC1394" i="5"/>
  <c r="M1394" i="5"/>
  <c r="AA1394" i="5"/>
  <c r="AE554" i="5"/>
  <c r="AD554" i="5"/>
  <c r="AC554" i="5"/>
  <c r="AB554" i="5"/>
  <c r="AE633" i="5"/>
  <c r="AA633" i="5"/>
  <c r="AE856" i="5"/>
  <c r="M856" i="5"/>
  <c r="AD856" i="5"/>
  <c r="AC856" i="5"/>
  <c r="AA856" i="5"/>
  <c r="AE566" i="5"/>
  <c r="AD566" i="5"/>
  <c r="AC566" i="5"/>
  <c r="AB566" i="5"/>
  <c r="M566" i="5"/>
  <c r="AE588" i="5"/>
  <c r="AB588" i="5"/>
  <c r="M588" i="5"/>
  <c r="M765" i="5"/>
  <c r="AD765" i="5"/>
  <c r="AB802" i="5"/>
  <c r="M802" i="5"/>
  <c r="AD802" i="5"/>
  <c r="AC802" i="5"/>
  <c r="AA802" i="5"/>
  <c r="AE802" i="5"/>
  <c r="AB839" i="5"/>
  <c r="M839" i="5"/>
  <c r="AE839" i="5"/>
  <c r="AD839" i="5"/>
  <c r="AC839" i="5"/>
  <c r="AA839" i="5"/>
  <c r="AB826" i="5"/>
  <c r="AA826" i="5"/>
  <c r="M826" i="5"/>
  <c r="AD946" i="5"/>
  <c r="AA946" i="5"/>
  <c r="AE946" i="5"/>
  <c r="AC755" i="5"/>
  <c r="AE755" i="5"/>
  <c r="AD755" i="5"/>
  <c r="AA755" i="5"/>
  <c r="AC758" i="5"/>
  <c r="M758" i="5"/>
  <c r="AB996" i="5"/>
  <c r="AA996" i="5"/>
  <c r="AE996" i="5"/>
  <c r="AD996" i="5"/>
  <c r="AC996" i="5"/>
  <c r="M996" i="5"/>
  <c r="AC1000" i="5"/>
  <c r="AE1000" i="5"/>
  <c r="AD1000" i="5"/>
  <c r="AB1000" i="5"/>
  <c r="M1000" i="5"/>
  <c r="AE877" i="5"/>
  <c r="M877" i="5"/>
  <c r="AD877" i="5"/>
  <c r="AE859" i="5"/>
  <c r="AB859" i="5"/>
  <c r="AA859" i="5"/>
  <c r="AB847" i="5"/>
  <c r="AD847" i="5"/>
  <c r="AD1118" i="5"/>
  <c r="AB1118" i="5"/>
  <c r="AA1118" i="5"/>
  <c r="M1118" i="5"/>
  <c r="AE1118" i="5"/>
  <c r="AB934" i="5"/>
  <c r="M934" i="5"/>
  <c r="M1018" i="5"/>
  <c r="AE1018" i="5"/>
  <c r="AB1018" i="5"/>
  <c r="AA1018" i="5"/>
  <c r="AD971" i="5"/>
  <c r="AB971" i="5"/>
  <c r="AA971" i="5"/>
  <c r="AC1114" i="5"/>
  <c r="M1114" i="5"/>
  <c r="AB1212" i="5"/>
  <c r="AA1212" i="5"/>
  <c r="M1212" i="5"/>
  <c r="AE1212" i="5"/>
  <c r="AD1212" i="5"/>
  <c r="AC1212" i="5"/>
  <c r="AB1142" i="5"/>
  <c r="M1142" i="5"/>
  <c r="AE1226" i="5"/>
  <c r="AD1226" i="5"/>
  <c r="AC1226" i="5"/>
  <c r="AA1226" i="5"/>
  <c r="M1226" i="5"/>
  <c r="AC1076" i="5"/>
  <c r="AE1076" i="5"/>
  <c r="AA1076" i="5"/>
  <c r="M1076" i="5"/>
  <c r="M1128" i="5"/>
  <c r="AD1128" i="5"/>
  <c r="AB1128" i="5"/>
  <c r="AA1128" i="5"/>
  <c r="AE1128" i="5"/>
  <c r="AD1165" i="5"/>
  <c r="AC1165" i="5"/>
  <c r="AA1165" i="5"/>
  <c r="M1165" i="5"/>
  <c r="AE1165" i="5"/>
  <c r="M1032" i="5"/>
  <c r="AC1032" i="5"/>
  <c r="AD1032" i="5"/>
  <c r="AA1032" i="5"/>
  <c r="AE1218" i="5"/>
  <c r="M1218" i="5"/>
  <c r="AD1218" i="5"/>
  <c r="AA1081" i="5"/>
  <c r="AE1081" i="5"/>
  <c r="AB1081" i="5"/>
  <c r="M1040" i="5"/>
  <c r="AE1040" i="5"/>
  <c r="AD1040" i="5"/>
  <c r="AC1040" i="5"/>
  <c r="M1251" i="5"/>
  <c r="AC1251" i="5"/>
  <c r="AE1251" i="5"/>
  <c r="AB1251" i="5"/>
  <c r="AA1251" i="5"/>
  <c r="AC1073" i="5"/>
  <c r="AB1073" i="5"/>
  <c r="AB1162" i="5"/>
  <c r="M1162" i="5"/>
  <c r="AD1162" i="5"/>
  <c r="AC1162" i="5"/>
  <c r="AD1197" i="5"/>
  <c r="M1197" i="5"/>
  <c r="AE1197" i="5"/>
  <c r="AA1197" i="5"/>
  <c r="AB1282" i="5"/>
  <c r="AD1282" i="5"/>
  <c r="AE1282" i="5"/>
  <c r="AC1282" i="5"/>
  <c r="AA1282" i="5"/>
  <c r="M1282" i="5"/>
  <c r="AD1224" i="5"/>
  <c r="AE1224" i="5"/>
  <c r="AC1224" i="5"/>
  <c r="AA1224" i="5"/>
  <c r="AB1362" i="5"/>
  <c r="M1362" i="5"/>
  <c r="AC1362" i="5"/>
  <c r="AA1362" i="5"/>
  <c r="AD1362" i="5"/>
  <c r="AE1362" i="5"/>
  <c r="M1357" i="5"/>
  <c r="AE1357" i="5"/>
  <c r="AB1317" i="5"/>
  <c r="AD1317" i="5"/>
  <c r="AE1317" i="5"/>
  <c r="M1317" i="5"/>
  <c r="AC1317" i="5"/>
  <c r="AD1360" i="5"/>
  <c r="AE1360" i="5"/>
  <c r="AC1360" i="5"/>
  <c r="AB1266" i="5"/>
  <c r="AC1266" i="5"/>
  <c r="AA1266" i="5"/>
  <c r="AD1266" i="5"/>
  <c r="M1266" i="5"/>
  <c r="AE1266" i="5"/>
  <c r="AE1365" i="5"/>
  <c r="AA1365" i="5"/>
  <c r="AC1365" i="5"/>
  <c r="AE1350" i="5"/>
  <c r="AD1350" i="5"/>
  <c r="M1350" i="5"/>
  <c r="AA1350" i="5"/>
  <c r="H209" i="25"/>
  <c r="H112" i="25"/>
  <c r="H49" i="25"/>
  <c r="H111" i="25"/>
  <c r="H94" i="25"/>
  <c r="H107" i="25"/>
  <c r="H35" i="25"/>
  <c r="H159" i="25"/>
  <c r="H126" i="25"/>
  <c r="H176" i="25"/>
  <c r="H76" i="25"/>
  <c r="H92" i="25"/>
  <c r="H66" i="25"/>
  <c r="H60" i="25"/>
  <c r="H71" i="25"/>
  <c r="H81" i="25"/>
  <c r="H145" i="25"/>
  <c r="H118" i="25"/>
  <c r="H128" i="25"/>
  <c r="H72" i="25"/>
  <c r="H59" i="25"/>
  <c r="H51" i="25"/>
  <c r="H41" i="25"/>
  <c r="H185" i="25"/>
  <c r="H211" i="25"/>
  <c r="H119" i="25"/>
  <c r="H48" i="25"/>
  <c r="H45" i="25"/>
  <c r="U1392" i="5"/>
  <c r="U1396" i="5"/>
  <c r="U1343" i="5"/>
  <c r="U1290" i="5"/>
  <c r="U1258" i="5"/>
  <c r="U1280" i="5"/>
  <c r="U1154" i="5"/>
  <c r="U1137" i="5"/>
  <c r="U1122" i="5"/>
  <c r="U995" i="5"/>
  <c r="U966" i="5"/>
  <c r="U938" i="5"/>
  <c r="U732" i="5"/>
  <c r="U769" i="5"/>
  <c r="U434" i="5"/>
  <c r="U452" i="5"/>
  <c r="U89" i="5"/>
  <c r="U187" i="5"/>
  <c r="U230" i="5"/>
  <c r="U664" i="5"/>
  <c r="U1028" i="5"/>
  <c r="U1340" i="5"/>
  <c r="U60" i="5"/>
  <c r="U1236" i="5"/>
  <c r="U551" i="5"/>
  <c r="U1418" i="5"/>
  <c r="U1285" i="5"/>
  <c r="U1112" i="5"/>
  <c r="U1104" i="5"/>
  <c r="U1111" i="5"/>
  <c r="U1021" i="5"/>
  <c r="U998" i="5"/>
  <c r="U967" i="5"/>
  <c r="U955" i="5"/>
  <c r="U897" i="5"/>
  <c r="U811" i="5"/>
  <c r="U789" i="5"/>
  <c r="U714" i="5"/>
  <c r="U712" i="5"/>
  <c r="U619" i="5"/>
  <c r="U423" i="5"/>
  <c r="U565" i="5"/>
  <c r="U273" i="5"/>
  <c r="U244" i="5"/>
  <c r="U255" i="5"/>
  <c r="U133" i="5"/>
  <c r="U163" i="5"/>
  <c r="U207" i="5"/>
  <c r="U429" i="5"/>
  <c r="U629" i="5"/>
  <c r="U1038" i="5"/>
  <c r="U1344" i="5"/>
  <c r="U44" i="5"/>
  <c r="U1129" i="5"/>
  <c r="U947" i="5"/>
  <c r="U943" i="5"/>
  <c r="U937" i="5"/>
  <c r="U870" i="5"/>
  <c r="U734" i="5"/>
  <c r="U742" i="5"/>
  <c r="U609" i="5"/>
  <c r="U563" i="5"/>
  <c r="U595" i="5"/>
  <c r="U1375" i="5"/>
  <c r="U23" i="5"/>
  <c r="U1385" i="5"/>
  <c r="U1300" i="5"/>
  <c r="U1278" i="5"/>
  <c r="U1275" i="5"/>
  <c r="U1191" i="5"/>
  <c r="U1199" i="5"/>
  <c r="U1204" i="5"/>
  <c r="U1167" i="5"/>
  <c r="U1057" i="5"/>
  <c r="U940" i="5"/>
  <c r="U925" i="5"/>
  <c r="U872" i="5"/>
  <c r="U845" i="5"/>
  <c r="U873" i="5"/>
  <c r="U896" i="5"/>
  <c r="U724" i="5"/>
  <c r="U637" i="5"/>
  <c r="U499" i="5"/>
  <c r="U398" i="5"/>
  <c r="U184" i="5"/>
  <c r="U403" i="5"/>
  <c r="U669" i="5"/>
  <c r="U1039" i="5"/>
  <c r="U985" i="5"/>
  <c r="U988" i="5"/>
  <c r="U1020" i="5"/>
  <c r="U890" i="5"/>
  <c r="U767" i="5"/>
  <c r="U803" i="5"/>
  <c r="U758" i="5"/>
  <c r="U405" i="5"/>
  <c r="U250" i="5"/>
  <c r="U245" i="5"/>
  <c r="U303" i="5"/>
  <c r="U991" i="5"/>
  <c r="U37" i="5"/>
  <c r="U59" i="5"/>
  <c r="U48" i="5"/>
  <c r="U220" i="5"/>
  <c r="U32" i="5"/>
  <c r="U192" i="5"/>
  <c r="U173" i="5"/>
  <c r="U156" i="5"/>
  <c r="U97" i="5"/>
  <c r="U81" i="5"/>
  <c r="U65" i="5"/>
  <c r="U49" i="5"/>
  <c r="U153" i="5"/>
  <c r="U43" i="5"/>
  <c r="U58" i="5"/>
  <c r="U33" i="5"/>
  <c r="U166" i="5"/>
  <c r="U141" i="5"/>
  <c r="U83" i="5"/>
  <c r="U213" i="5"/>
  <c r="U225" i="5"/>
  <c r="U180" i="5"/>
  <c r="U1417" i="5"/>
  <c r="U1243" i="5"/>
  <c r="U1145" i="5"/>
  <c r="U1172" i="5"/>
  <c r="U928" i="5"/>
  <c r="U813" i="5"/>
  <c r="U681" i="5"/>
  <c r="U643" i="5"/>
  <c r="U546" i="5"/>
  <c r="U527" i="5"/>
  <c r="U297" i="5"/>
  <c r="U214" i="5"/>
  <c r="U334" i="5"/>
  <c r="U259" i="5"/>
  <c r="U282" i="5"/>
  <c r="U446" i="5"/>
  <c r="U421" i="5"/>
  <c r="U418" i="5"/>
  <c r="U539" i="5"/>
  <c r="U603" i="5"/>
  <c r="U508" i="5"/>
  <c r="U466" i="5"/>
  <c r="U570" i="5"/>
  <c r="U557" i="5"/>
  <c r="U697" i="5"/>
  <c r="U716" i="5"/>
  <c r="U655" i="5"/>
  <c r="U764" i="5"/>
  <c r="U802" i="5"/>
  <c r="U855" i="5"/>
  <c r="U816" i="5"/>
  <c r="U891" i="5"/>
  <c r="U918" i="5"/>
  <c r="U935" i="5"/>
  <c r="U945" i="5"/>
  <c r="U979" i="5"/>
  <c r="U942" i="5"/>
  <c r="U980" i="5"/>
  <c r="U968" i="5"/>
  <c r="U1011" i="5"/>
  <c r="U1070" i="5"/>
  <c r="U1030" i="5"/>
  <c r="U1062" i="5"/>
  <c r="U1125" i="5"/>
  <c r="U1142" i="5"/>
  <c r="U1105" i="5"/>
  <c r="U1281" i="5"/>
  <c r="U1302" i="5"/>
  <c r="U1299" i="5"/>
  <c r="U1249" i="5"/>
  <c r="U1308" i="5"/>
  <c r="U1359" i="5"/>
  <c r="U1408" i="5"/>
  <c r="U1383" i="5"/>
  <c r="U1387" i="5"/>
  <c r="U881" i="5"/>
  <c r="U962" i="5"/>
  <c r="U1017" i="5"/>
  <c r="U1048" i="5"/>
  <c r="U42" i="5"/>
  <c r="U190" i="5"/>
  <c r="U201" i="5"/>
  <c r="U158" i="5"/>
  <c r="U120" i="5"/>
  <c r="U84" i="5"/>
  <c r="U88" i="5"/>
  <c r="U209" i="5"/>
  <c r="U116" i="5"/>
  <c r="U144" i="5"/>
  <c r="U204" i="5"/>
  <c r="U1356" i="5"/>
  <c r="U1222" i="5"/>
  <c r="U1189" i="5"/>
  <c r="U1194" i="5"/>
  <c r="U963" i="5"/>
  <c r="U765" i="5"/>
  <c r="U838" i="5"/>
  <c r="U642" i="5"/>
  <c r="U578" i="5"/>
  <c r="U509" i="5"/>
  <c r="U311" i="5"/>
  <c r="U80" i="5"/>
  <c r="U164" i="5"/>
  <c r="U64" i="5"/>
  <c r="U224" i="5"/>
  <c r="U374" i="5"/>
  <c r="U332" i="5"/>
  <c r="U283" i="5"/>
  <c r="U353" i="5"/>
  <c r="U304" i="5"/>
  <c r="U359" i="5"/>
  <c r="U352" i="5"/>
  <c r="U489" i="5"/>
  <c r="U544" i="5"/>
  <c r="U569" i="5"/>
  <c r="U472" i="5"/>
  <c r="U378" i="5"/>
  <c r="U516" i="5"/>
  <c r="U400" i="5"/>
  <c r="U610" i="5"/>
  <c r="U668" i="5"/>
  <c r="U705" i="5"/>
  <c r="U658" i="5"/>
  <c r="U780" i="5"/>
  <c r="U740" i="5"/>
  <c r="U848" i="5"/>
  <c r="U950" i="5"/>
  <c r="U892" i="5"/>
  <c r="U948" i="5"/>
  <c r="U1035" i="5"/>
  <c r="U1093" i="5"/>
  <c r="U1041" i="5"/>
  <c r="U1181" i="5"/>
  <c r="U35" i="5"/>
  <c r="U121" i="5"/>
  <c r="U106" i="5"/>
  <c r="U114" i="5"/>
  <c r="U200" i="5"/>
  <c r="U91" i="5"/>
  <c r="U118" i="5"/>
  <c r="U98" i="5"/>
  <c r="U36" i="5"/>
  <c r="U178" i="5"/>
  <c r="U1351" i="5"/>
  <c r="U1318" i="5"/>
  <c r="U1193" i="5"/>
  <c r="U1009" i="5"/>
  <c r="U907" i="5"/>
  <c r="U717" i="5"/>
  <c r="U733" i="5"/>
  <c r="U588" i="5"/>
  <c r="U572" i="5"/>
  <c r="U510" i="5"/>
  <c r="U371" i="5"/>
  <c r="U202" i="5"/>
  <c r="U322" i="5"/>
  <c r="U219" i="5"/>
  <c r="U360" i="5"/>
  <c r="U288" i="5"/>
  <c r="U292" i="5"/>
  <c r="U277" i="5"/>
  <c r="U372" i="5"/>
  <c r="U415" i="5"/>
  <c r="U388" i="5"/>
  <c r="U494" i="5"/>
  <c r="U541" i="5"/>
  <c r="U654" i="5"/>
  <c r="U526" i="5"/>
  <c r="U674" i="5"/>
  <c r="U590" i="5"/>
  <c r="U592" i="5"/>
  <c r="U695" i="5"/>
  <c r="U708" i="5"/>
  <c r="U719" i="5"/>
  <c r="U772" i="5"/>
  <c r="U859" i="5"/>
  <c r="U820" i="5"/>
  <c r="U822" i="5"/>
  <c r="U875" i="5"/>
  <c r="U971" i="5"/>
  <c r="U921" i="5"/>
  <c r="U970" i="5"/>
  <c r="U974" i="5"/>
  <c r="U952" i="5"/>
  <c r="U1087" i="5"/>
  <c r="U1078" i="5"/>
  <c r="U1031" i="5"/>
  <c r="U1042" i="5"/>
  <c r="U1176" i="5"/>
  <c r="U1180" i="5"/>
  <c r="U1168" i="5"/>
  <c r="U1219" i="5"/>
  <c r="U1264" i="5"/>
  <c r="U1337" i="5"/>
  <c r="U1369" i="5"/>
  <c r="U1412" i="5"/>
  <c r="U1404" i="5"/>
  <c r="U90" i="5"/>
  <c r="U177" i="5"/>
  <c r="U122" i="5"/>
  <c r="U161" i="5"/>
  <c r="U51" i="5"/>
  <c r="U56" i="5"/>
  <c r="U142" i="5"/>
  <c r="U154" i="5"/>
  <c r="U169" i="5"/>
  <c r="U67" i="5"/>
  <c r="U155" i="5"/>
  <c r="U57" i="5"/>
  <c r="U74" i="5"/>
  <c r="U198" i="5"/>
  <c r="U238" i="5"/>
  <c r="U30" i="5"/>
  <c r="U216" i="5"/>
  <c r="U85" i="5"/>
  <c r="U256" i="5"/>
  <c r="U34" i="5"/>
  <c r="U31" i="5"/>
  <c r="U1391" i="5"/>
  <c r="U1196" i="5"/>
  <c r="U1054" i="5"/>
  <c r="U1037" i="5"/>
  <c r="U901" i="5"/>
  <c r="U680" i="5"/>
  <c r="U613" i="5"/>
  <c r="U659" i="5"/>
  <c r="U552" i="5"/>
  <c r="U532" i="5"/>
  <c r="U215" i="5"/>
  <c r="U261" i="5"/>
  <c r="U343" i="5"/>
  <c r="U306" i="5"/>
  <c r="U320" i="5"/>
  <c r="U392" i="5"/>
  <c r="U361" i="5"/>
  <c r="U390" i="5"/>
  <c r="U432" i="5"/>
  <c r="U517" i="5"/>
  <c r="U550" i="5"/>
  <c r="U593" i="5"/>
  <c r="U662" i="5"/>
  <c r="U646" i="5"/>
  <c r="U706" i="5"/>
  <c r="U833" i="5"/>
  <c r="U844" i="5"/>
  <c r="U856" i="5"/>
  <c r="U851" i="5"/>
  <c r="U874" i="5"/>
  <c r="U926" i="5"/>
  <c r="U959" i="5"/>
  <c r="U976" i="5"/>
  <c r="U1012" i="5"/>
  <c r="U1086" i="5"/>
  <c r="U1069" i="5"/>
  <c r="U1024" i="5"/>
  <c r="U1114" i="5"/>
  <c r="U1160" i="5"/>
  <c r="U1195" i="5"/>
  <c r="U1128" i="5"/>
  <c r="U1184" i="5"/>
  <c r="U1221" i="5"/>
  <c r="U1272" i="5"/>
  <c r="U1309" i="5"/>
  <c r="U1245" i="5"/>
  <c r="U1237" i="5"/>
  <c r="U1386" i="5"/>
  <c r="U1416" i="5"/>
  <c r="U40" i="5"/>
  <c r="U134" i="5"/>
  <c r="U136" i="5"/>
  <c r="U93" i="5"/>
  <c r="U1324" i="5"/>
  <c r="U1214" i="5"/>
  <c r="U1113" i="5"/>
  <c r="U1027" i="5"/>
  <c r="U934" i="5"/>
  <c r="U671" i="5"/>
  <c r="U640" i="5"/>
  <c r="U469" i="5"/>
  <c r="U471" i="5"/>
  <c r="U411" i="5"/>
  <c r="U197" i="5"/>
  <c r="U284" i="5"/>
  <c r="U383" i="5"/>
  <c r="U299" i="5"/>
  <c r="U518" i="5"/>
  <c r="U433" i="5"/>
  <c r="U417" i="5"/>
  <c r="U486" i="5"/>
  <c r="U553" i="5"/>
  <c r="U675" i="5"/>
  <c r="U581" i="5"/>
  <c r="U573" i="5"/>
  <c r="U616" i="5"/>
  <c r="U623" i="5"/>
  <c r="U630" i="5"/>
  <c r="U684" i="5"/>
  <c r="U663" i="5"/>
  <c r="U677" i="5"/>
  <c r="U634" i="5"/>
  <c r="U720" i="5"/>
  <c r="U798" i="5"/>
  <c r="U790" i="5"/>
  <c r="U797" i="5"/>
  <c r="U846" i="5"/>
  <c r="U808" i="5"/>
  <c r="U886" i="5"/>
  <c r="U900" i="5"/>
  <c r="U983" i="5"/>
  <c r="U944" i="5"/>
  <c r="U1095" i="5"/>
  <c r="U1014" i="5"/>
  <c r="U1163" i="5"/>
  <c r="U1120" i="5"/>
  <c r="U1108" i="5"/>
  <c r="U1135" i="5"/>
  <c r="U1090" i="5"/>
  <c r="U1131" i="5"/>
  <c r="U1157" i="5"/>
  <c r="U1208" i="5"/>
  <c r="U1244" i="5"/>
  <c r="U1240" i="5"/>
  <c r="U1200" i="5"/>
  <c r="U1225" i="5"/>
  <c r="U1311" i="5"/>
  <c r="U1336" i="5"/>
  <c r="U1365" i="5"/>
  <c r="U1398" i="5"/>
  <c r="U69" i="5"/>
  <c r="U270" i="5"/>
  <c r="U1175" i="5"/>
  <c r="U661" i="5"/>
  <c r="U107" i="5"/>
  <c r="U416" i="5"/>
  <c r="U430" i="5"/>
  <c r="U700" i="5"/>
  <c r="U774" i="5"/>
  <c r="U919" i="5"/>
  <c r="U72" i="5"/>
  <c r="U45" i="5"/>
  <c r="U95" i="5"/>
  <c r="U132" i="5"/>
  <c r="U108" i="5"/>
  <c r="U176" i="5"/>
  <c r="U1263" i="5"/>
  <c r="U1159" i="5"/>
  <c r="U1047" i="5"/>
  <c r="U993" i="5"/>
  <c r="U830" i="5"/>
  <c r="U739" i="5"/>
  <c r="U638" i="5"/>
  <c r="U576" i="5"/>
  <c r="U455" i="5"/>
  <c r="U396" i="5"/>
  <c r="U167" i="5"/>
  <c r="U285" i="5"/>
  <c r="U329" i="5"/>
  <c r="U305" i="5"/>
  <c r="U397" i="5"/>
  <c r="U503" i="5"/>
  <c r="U419" i="5"/>
  <c r="U525" i="5"/>
  <c r="U505" i="5"/>
  <c r="U463" i="5"/>
  <c r="U438" i="5"/>
  <c r="U441" i="5"/>
  <c r="U602" i="5"/>
  <c r="U534" i="5"/>
  <c r="U636" i="5"/>
  <c r="U673" i="5"/>
  <c r="U639" i="5"/>
  <c r="U783" i="5"/>
  <c r="U824" i="5"/>
  <c r="U703" i="5"/>
  <c r="U775" i="5"/>
  <c r="U793" i="5"/>
  <c r="U800" i="5"/>
  <c r="U837" i="5"/>
  <c r="U810" i="5"/>
  <c r="U880" i="5"/>
  <c r="U861" i="5"/>
  <c r="U939" i="5"/>
  <c r="U1019" i="5"/>
  <c r="U1067" i="5"/>
  <c r="U1220" i="5"/>
  <c r="U1246" i="5"/>
  <c r="U1260" i="5"/>
  <c r="U1242" i="5"/>
  <c r="U1296" i="5"/>
  <c r="U1346" i="5"/>
  <c r="U1345" i="5"/>
  <c r="U1402" i="5"/>
  <c r="U1406" i="5"/>
  <c r="U1413" i="5"/>
  <c r="U327" i="5"/>
  <c r="U1274" i="5"/>
  <c r="U836" i="5"/>
  <c r="U560" i="5"/>
  <c r="U376" i="5"/>
  <c r="U564" i="5"/>
  <c r="U600" i="5"/>
  <c r="U715" i="5"/>
  <c r="U799" i="5"/>
  <c r="U781" i="5"/>
  <c r="U889" i="5"/>
  <c r="U162" i="5"/>
  <c r="U104" i="5"/>
  <c r="U143" i="5"/>
  <c r="U194" i="5"/>
  <c r="U223" i="5"/>
  <c r="U1279" i="5"/>
  <c r="U1148" i="5"/>
  <c r="U1045" i="5"/>
  <c r="U977" i="5"/>
  <c r="U815" i="5"/>
  <c r="U755" i="5"/>
  <c r="U648" i="5"/>
  <c r="U524" i="5"/>
  <c r="U485" i="5"/>
  <c r="U355" i="5"/>
  <c r="U290" i="5"/>
  <c r="U287" i="5"/>
  <c r="U345" i="5"/>
  <c r="U309" i="5"/>
  <c r="U271" i="5"/>
  <c r="U279" i="5"/>
  <c r="U535" i="5"/>
  <c r="U497" i="5"/>
  <c r="U528" i="5"/>
  <c r="U460" i="5"/>
  <c r="U589" i="5"/>
  <c r="U529" i="5"/>
  <c r="U607" i="5"/>
  <c r="U597" i="5"/>
  <c r="U653" i="5"/>
  <c r="U614" i="5"/>
  <c r="U679" i="5"/>
  <c r="U779" i="5"/>
  <c r="U796" i="5"/>
  <c r="U853" i="5"/>
  <c r="U910" i="5"/>
  <c r="U922" i="5"/>
  <c r="U865" i="5"/>
  <c r="U882" i="5"/>
  <c r="U964" i="5"/>
  <c r="U978" i="5"/>
  <c r="U1138" i="5"/>
  <c r="U1198" i="5"/>
  <c r="U1259" i="5"/>
  <c r="U1231" i="5"/>
  <c r="U1293" i="5"/>
  <c r="U1271" i="5"/>
  <c r="U1297" i="5"/>
  <c r="U1358" i="5"/>
  <c r="U1347" i="5"/>
  <c r="U138" i="5"/>
  <c r="U217" i="5"/>
  <c r="U222" i="5"/>
  <c r="U1162" i="5"/>
  <c r="U408" i="5"/>
  <c r="U357" i="5"/>
  <c r="U381" i="5"/>
  <c r="U462" i="5"/>
  <c r="U487" i="5"/>
  <c r="U586" i="5"/>
  <c r="U599" i="5"/>
  <c r="U763" i="5"/>
  <c r="U898" i="5"/>
  <c r="U956" i="5"/>
  <c r="U50" i="5"/>
  <c r="U52" i="5"/>
  <c r="U99" i="5"/>
  <c r="U148" i="5"/>
  <c r="U115" i="5"/>
  <c r="U147" i="5"/>
  <c r="U248" i="5"/>
  <c r="U233" i="5"/>
  <c r="U210" i="5"/>
  <c r="U1314" i="5"/>
  <c r="U1164" i="5"/>
  <c r="U1107" i="5"/>
  <c r="U1007" i="5"/>
  <c r="U788" i="5"/>
  <c r="U713" i="5"/>
  <c r="U627" i="5"/>
  <c r="U495" i="5"/>
  <c r="U554" i="5"/>
  <c r="U294" i="5"/>
  <c r="U188" i="5"/>
  <c r="U236" i="5"/>
  <c r="U232" i="5"/>
  <c r="U312" i="5"/>
  <c r="U351" i="5"/>
  <c r="U289" i="5"/>
  <c r="U350" i="5"/>
  <c r="U326" i="5"/>
  <c r="U389" i="5"/>
  <c r="U493" i="5"/>
  <c r="U549" i="5"/>
  <c r="U571" i="5"/>
  <c r="U377" i="5"/>
  <c r="U457" i="5"/>
  <c r="U440" i="5"/>
  <c r="U498" i="5"/>
  <c r="U583" i="5"/>
  <c r="U626" i="5"/>
  <c r="U596" i="5"/>
  <c r="U683" i="5"/>
  <c r="U670" i="5"/>
  <c r="U743" i="5"/>
  <c r="U866" i="5"/>
  <c r="U932" i="5"/>
  <c r="U877" i="5"/>
  <c r="U927" i="5"/>
  <c r="U1001" i="5"/>
  <c r="U1029" i="5"/>
  <c r="U1036" i="5"/>
  <c r="U1152" i="5"/>
  <c r="U1178" i="5"/>
  <c r="U1132" i="5"/>
  <c r="U1206" i="5"/>
  <c r="U1261" i="5"/>
  <c r="U1262" i="5"/>
  <c r="U1229" i="5"/>
  <c r="U1327" i="5"/>
  <c r="U1310" i="5"/>
  <c r="U1372" i="5"/>
  <c r="U1352" i="5"/>
  <c r="U1390" i="5"/>
  <c r="U975" i="5"/>
  <c r="U475" i="5"/>
  <c r="U263" i="5"/>
  <c r="U482" i="5"/>
  <c r="U682" i="5"/>
  <c r="U756" i="5"/>
  <c r="U66" i="5"/>
  <c r="U100" i="5"/>
  <c r="U53" i="5"/>
  <c r="U126" i="5"/>
  <c r="U128" i="5"/>
  <c r="U252" i="5"/>
  <c r="U124" i="5"/>
  <c r="U1401" i="5"/>
  <c r="U1315" i="5"/>
  <c r="U1182" i="5"/>
  <c r="U1082" i="5"/>
  <c r="U946" i="5"/>
  <c r="U771" i="5"/>
  <c r="U693" i="5"/>
  <c r="U644" i="5"/>
  <c r="U427" i="5"/>
  <c r="U310" i="5"/>
  <c r="U199" i="5"/>
  <c r="U241" i="5"/>
  <c r="U254" i="5"/>
  <c r="U212" i="5"/>
  <c r="U276" i="5"/>
  <c r="U349" i="5"/>
  <c r="U368" i="5"/>
  <c r="U298" i="5"/>
  <c r="U342" i="5"/>
  <c r="U318" i="5"/>
  <c r="U324" i="5"/>
  <c r="U384" i="5"/>
  <c r="U447" i="5"/>
  <c r="U413" i="5"/>
  <c r="U456" i="5"/>
  <c r="U425" i="5"/>
  <c r="U476" i="5"/>
  <c r="U547" i="5"/>
  <c r="U558" i="5"/>
  <c r="U500" i="5"/>
  <c r="U606" i="5"/>
  <c r="U585" i="5"/>
  <c r="U676" i="5"/>
  <c r="U731" i="5"/>
  <c r="U736" i="5"/>
  <c r="U687" i="5"/>
  <c r="U757" i="5"/>
  <c r="U906" i="5"/>
  <c r="U929" i="5"/>
  <c r="U941" i="5"/>
  <c r="U1006" i="5"/>
  <c r="U1051" i="5"/>
  <c r="U1052" i="5"/>
  <c r="U1073" i="5"/>
  <c r="U1085" i="5"/>
  <c r="U1088" i="5"/>
  <c r="U1064" i="5"/>
  <c r="U1110" i="5"/>
  <c r="U1166" i="5"/>
  <c r="U1158" i="5"/>
  <c r="U1094" i="5"/>
  <c r="U1147" i="5"/>
  <c r="U1223" i="5"/>
  <c r="U1367" i="5"/>
  <c r="U1254" i="5"/>
  <c r="U1273" i="5"/>
  <c r="U1252" i="5"/>
  <c r="U1292" i="5"/>
  <c r="U1354" i="5"/>
  <c r="U725" i="5"/>
  <c r="U317" i="5"/>
  <c r="U291" i="5"/>
  <c r="U386" i="5"/>
  <c r="U511" i="5"/>
  <c r="U540" i="5"/>
  <c r="U465" i="5"/>
  <c r="U473" i="5"/>
  <c r="U647" i="5"/>
  <c r="U795" i="5"/>
  <c r="U904" i="5"/>
  <c r="U82" i="5"/>
  <c r="U101" i="5"/>
  <c r="U68" i="5"/>
  <c r="U130" i="5"/>
  <c r="U105" i="5"/>
  <c r="U171" i="5"/>
  <c r="U246" i="5"/>
  <c r="U1407" i="5"/>
  <c r="U1291" i="5"/>
  <c r="U1187" i="5"/>
  <c r="U1071" i="5"/>
  <c r="U973" i="5"/>
  <c r="U834" i="5"/>
  <c r="U660" i="5"/>
  <c r="U632" i="5"/>
  <c r="U584" i="5"/>
  <c r="U443" i="5"/>
  <c r="U348" i="5"/>
  <c r="U179" i="5"/>
  <c r="U75" i="5"/>
  <c r="U307" i="5"/>
  <c r="U293" i="5"/>
  <c r="U362" i="5"/>
  <c r="U275" i="5"/>
  <c r="U251" i="5"/>
  <c r="U394" i="5"/>
  <c r="U385" i="5"/>
  <c r="U435" i="5"/>
  <c r="U504" i="5"/>
  <c r="U531" i="5"/>
  <c r="U483" i="5"/>
  <c r="U562" i="5"/>
  <c r="U598" i="5"/>
  <c r="U481" i="5"/>
  <c r="U656" i="5"/>
  <c r="U605" i="5"/>
  <c r="U751" i="5"/>
  <c r="U726" i="5"/>
  <c r="U759" i="5"/>
  <c r="U814" i="5"/>
  <c r="U931" i="5"/>
  <c r="U930" i="5"/>
  <c r="U989" i="5"/>
  <c r="U1101" i="5"/>
  <c r="U1059" i="5"/>
  <c r="U1170" i="5"/>
  <c r="U1115" i="5"/>
  <c r="U1139" i="5"/>
  <c r="U1207" i="5"/>
  <c r="U1257" i="5"/>
  <c r="U1294" i="5"/>
  <c r="U1332" i="5"/>
  <c r="U1322" i="5"/>
  <c r="U1393" i="5"/>
  <c r="U1363" i="5"/>
  <c r="U1388" i="5"/>
  <c r="U18" i="5"/>
  <c r="P18" i="5" s="1"/>
  <c r="U1411" i="5"/>
  <c r="U1374" i="5"/>
  <c r="U1255" i="5"/>
  <c r="U1241" i="5"/>
  <c r="U1106" i="5"/>
  <c r="U1136" i="5"/>
  <c r="U1099" i="5"/>
  <c r="U1171" i="5"/>
  <c r="U961" i="5"/>
  <c r="U969" i="5"/>
  <c r="U908" i="5"/>
  <c r="U867" i="5"/>
  <c r="U860" i="5"/>
  <c r="U879" i="5"/>
  <c r="U850" i="5"/>
  <c r="U827" i="5"/>
  <c r="U828" i="5"/>
  <c r="U785" i="5"/>
  <c r="U718" i="5"/>
  <c r="U821" i="5"/>
  <c r="U678" i="5"/>
  <c r="U515" i="5"/>
  <c r="U414" i="5"/>
  <c r="U365" i="5"/>
  <c r="U228" i="5"/>
  <c r="U453" i="5"/>
  <c r="U701" i="5"/>
  <c r="U1044" i="5"/>
  <c r="U257" i="5"/>
  <c r="U258" i="5"/>
  <c r="U1235" i="5"/>
  <c r="U1210" i="5"/>
  <c r="U1146" i="5"/>
  <c r="U1098" i="5"/>
  <c r="U1124" i="5"/>
  <c r="U1081" i="5"/>
  <c r="U1015" i="5"/>
  <c r="U960" i="5"/>
  <c r="U902" i="5"/>
  <c r="U863" i="5"/>
  <c r="U735" i="5"/>
  <c r="U728" i="5"/>
  <c r="U750" i="5"/>
  <c r="U709" i="5"/>
  <c r="U672" i="5"/>
  <c r="U625" i="5"/>
  <c r="U641" i="5"/>
  <c r="U522" i="5"/>
  <c r="U628" i="5"/>
  <c r="U422" i="5"/>
  <c r="U514" i="5"/>
  <c r="U537" i="5"/>
  <c r="U412" i="5"/>
  <c r="U373" i="5"/>
  <c r="U420" i="5"/>
  <c r="U253" i="5"/>
  <c r="U512" i="5"/>
  <c r="U723" i="5"/>
  <c r="U1023" i="5"/>
  <c r="U226" i="5"/>
  <c r="U140" i="5"/>
  <c r="U1361" i="5"/>
  <c r="U1360" i="5"/>
  <c r="U1188" i="5"/>
  <c r="U1103" i="5"/>
  <c r="U982" i="5"/>
  <c r="U888" i="5"/>
  <c r="U858" i="5"/>
  <c r="U832" i="5"/>
  <c r="U768" i="5"/>
  <c r="U782" i="5"/>
  <c r="U611" i="5"/>
  <c r="U333" i="5"/>
  <c r="U183" i="5"/>
  <c r="U382" i="5"/>
  <c r="U729" i="5"/>
  <c r="U1091" i="5"/>
  <c r="U191" i="5"/>
  <c r="U87" i="5"/>
  <c r="U146" i="5"/>
  <c r="P1373" i="5"/>
  <c r="U1348" i="5"/>
  <c r="U1161" i="5"/>
  <c r="U1097" i="5"/>
  <c r="U501" i="5"/>
  <c r="U492" i="5"/>
  <c r="U313" i="5"/>
  <c r="U280" i="5"/>
  <c r="U369" i="5"/>
  <c r="U1405" i="5"/>
  <c r="U1341" i="5"/>
  <c r="U1334" i="5"/>
  <c r="U1218" i="5"/>
  <c r="U1183" i="5"/>
  <c r="U1123" i="5"/>
  <c r="U1077" i="5"/>
  <c r="U1065" i="5"/>
  <c r="U997" i="5"/>
  <c r="U1013" i="5"/>
  <c r="U1008" i="5"/>
  <c r="U864" i="5"/>
  <c r="U884" i="5"/>
  <c r="U849" i="5"/>
  <c r="U727" i="5"/>
  <c r="U698" i="5"/>
  <c r="U651" i="5"/>
  <c r="U652" i="5"/>
  <c r="U545" i="5"/>
  <c r="U300" i="5"/>
  <c r="U410" i="5"/>
  <c r="U356" i="5"/>
  <c r="U479" i="5"/>
  <c r="U691" i="5"/>
  <c r="U1149" i="5"/>
  <c r="U218" i="5"/>
  <c r="U160" i="5"/>
  <c r="U1307" i="5"/>
  <c r="U1265" i="5"/>
  <c r="U1144" i="5"/>
  <c r="U1056" i="5"/>
  <c r="U1025" i="5"/>
  <c r="U924" i="5"/>
  <c r="U854" i="5"/>
  <c r="U843" i="5"/>
  <c r="U825" i="5"/>
  <c r="U794" i="5"/>
  <c r="U601" i="5"/>
  <c r="U393" i="5"/>
  <c r="U467" i="5"/>
  <c r="U407" i="5"/>
  <c r="U315" i="5"/>
  <c r="U242" i="5"/>
  <c r="U1420" i="5"/>
  <c r="U1379" i="5"/>
  <c r="U1119" i="5"/>
  <c r="U1002" i="5"/>
  <c r="U1127" i="5"/>
  <c r="U792" i="5"/>
  <c r="U688" i="5"/>
  <c r="U650" i="5"/>
  <c r="U631" i="5"/>
  <c r="U406" i="5"/>
  <c r="U496" i="5"/>
  <c r="U295" i="5"/>
  <c r="U296" i="5"/>
  <c r="U480" i="5"/>
  <c r="U711" i="5"/>
  <c r="U1165" i="5"/>
  <c r="U247" i="5"/>
  <c r="U165" i="5"/>
  <c r="U73" i="5"/>
  <c r="U170" i="5"/>
  <c r="U119" i="5"/>
  <c r="U111" i="5"/>
  <c r="U1399" i="5"/>
  <c r="U1377" i="5"/>
  <c r="U1394" i="5"/>
  <c r="U1389" i="5"/>
  <c r="U1321" i="5"/>
  <c r="U1316" i="5"/>
  <c r="U1288" i="5"/>
  <c r="U1190" i="5"/>
  <c r="U1134" i="5"/>
  <c r="U1040" i="5"/>
  <c r="U1074" i="5"/>
  <c r="U1061" i="5"/>
  <c r="U1000" i="5"/>
  <c r="U915" i="5"/>
  <c r="U868" i="5"/>
  <c r="U862" i="5"/>
  <c r="U748" i="5"/>
  <c r="U477" i="5"/>
  <c r="U264" i="5"/>
  <c r="U580" i="5"/>
  <c r="U722" i="5"/>
  <c r="U1179" i="5"/>
  <c r="U206" i="5"/>
  <c r="U79" i="5"/>
  <c r="U145" i="5"/>
  <c r="U1364" i="5"/>
  <c r="U1339" i="5"/>
  <c r="U1251" i="5"/>
  <c r="U1250" i="5"/>
  <c r="U1283" i="5"/>
  <c r="U1216" i="5"/>
  <c r="U1286" i="5"/>
  <c r="U1209" i="5"/>
  <c r="U1084" i="5"/>
  <c r="U1053" i="5"/>
  <c r="U1032" i="5"/>
  <c r="U949" i="5"/>
  <c r="U831" i="5"/>
  <c r="U805" i="5"/>
  <c r="U730" i="5"/>
  <c r="U621" i="5"/>
  <c r="U594" i="5"/>
  <c r="U577" i="5"/>
  <c r="U431" i="5"/>
  <c r="U391" i="5"/>
  <c r="U281" i="5"/>
  <c r="U340" i="5"/>
  <c r="U439" i="5"/>
  <c r="U749" i="5"/>
  <c r="U1233" i="5"/>
  <c r="U137" i="5"/>
  <c r="U77" i="5"/>
  <c r="U1395" i="5"/>
  <c r="U1349" i="5"/>
  <c r="U1382" i="5"/>
  <c r="U1338" i="5"/>
  <c r="U1342" i="5"/>
  <c r="U1227" i="5"/>
  <c r="U1239" i="5"/>
  <c r="U1121" i="5"/>
  <c r="U1079" i="5"/>
  <c r="U1034" i="5"/>
  <c r="U1046" i="5"/>
  <c r="U923" i="5"/>
  <c r="U992" i="5"/>
  <c r="U909" i="5"/>
  <c r="U835" i="5"/>
  <c r="U776" i="5"/>
  <c r="U773" i="5"/>
  <c r="U826" i="5"/>
  <c r="U657" i="5"/>
  <c r="U620" i="5"/>
  <c r="U488" i="5"/>
  <c r="U608" i="5"/>
  <c r="U437" i="5"/>
  <c r="U399" i="5"/>
  <c r="U364" i="5"/>
  <c r="U301" i="5"/>
  <c r="U338" i="5"/>
  <c r="U235" i="5"/>
  <c r="U366" i="5"/>
  <c r="U530" i="5"/>
  <c r="U857" i="5"/>
  <c r="U1212" i="5"/>
  <c r="U1287" i="5"/>
  <c r="U1215" i="5"/>
  <c r="U1150" i="5"/>
  <c r="U1185" i="5"/>
  <c r="U1063" i="5"/>
  <c r="U1203" i="5"/>
  <c r="U1066" i="5"/>
  <c r="U986" i="5"/>
  <c r="U842" i="5"/>
  <c r="U778" i="5"/>
  <c r="U618" i="5"/>
  <c r="U707" i="5"/>
  <c r="U548" i="5"/>
  <c r="U574" i="5"/>
  <c r="U582" i="5"/>
  <c r="U567" i="5"/>
  <c r="U478" i="5"/>
  <c r="U468" i="5"/>
  <c r="U286" i="5"/>
  <c r="U237" i="5"/>
  <c r="U667" i="5"/>
  <c r="U818" i="5"/>
  <c r="U1247" i="5"/>
  <c r="U92" i="5"/>
  <c r="U175" i="5"/>
  <c r="U55" i="5"/>
  <c r="U1313" i="5"/>
  <c r="U1370" i="5"/>
  <c r="U1320" i="5"/>
  <c r="U1384" i="5"/>
  <c r="U1328" i="5"/>
  <c r="U1277" i="5"/>
  <c r="U1083" i="5"/>
  <c r="U1357" i="5"/>
  <c r="U1174" i="5"/>
  <c r="U1169" i="5"/>
  <c r="U1186" i="5"/>
  <c r="U1155" i="5"/>
  <c r="U1005" i="5"/>
  <c r="U953" i="5"/>
  <c r="U869" i="5"/>
  <c r="U887" i="5"/>
  <c r="U624" i="5"/>
  <c r="U474" i="5"/>
  <c r="U450" i="5"/>
  <c r="U523" i="5"/>
  <c r="U506" i="5"/>
  <c r="U375" i="5"/>
  <c r="U354" i="5"/>
  <c r="U363" i="5"/>
  <c r="U227" i="5"/>
  <c r="U665" i="5"/>
  <c r="U852" i="5"/>
  <c r="U1266" i="5"/>
  <c r="U274" i="5"/>
  <c r="U63" i="5"/>
  <c r="U1295" i="5"/>
  <c r="U1415" i="5"/>
  <c r="U1301" i="5"/>
  <c r="U1366" i="5"/>
  <c r="U1228" i="5"/>
  <c r="U1276" i="5"/>
  <c r="U1211" i="5"/>
  <c r="U1173" i="5"/>
  <c r="U1080" i="5"/>
  <c r="U1140" i="5"/>
  <c r="U1153" i="5"/>
  <c r="U1102" i="5"/>
  <c r="U958" i="5"/>
  <c r="U913" i="5"/>
  <c r="U883" i="5"/>
  <c r="U787" i="5"/>
  <c r="U741" i="5"/>
  <c r="U696" i="5"/>
  <c r="U612" i="5"/>
  <c r="U666" i="5"/>
  <c r="U490" i="5"/>
  <c r="U449" i="5"/>
  <c r="U461" i="5"/>
  <c r="U395" i="5"/>
  <c r="U335" i="5"/>
  <c r="U205" i="5"/>
  <c r="U96" i="5"/>
  <c r="U249" i="5"/>
  <c r="U645" i="5"/>
  <c r="U920" i="5"/>
  <c r="U1326" i="5"/>
  <c r="U76" i="5"/>
  <c r="U61" i="5"/>
  <c r="U1282" i="5"/>
  <c r="U1381" i="5"/>
  <c r="U1306" i="5"/>
  <c r="U1201" i="5"/>
  <c r="U1409" i="5"/>
  <c r="U1371" i="5"/>
  <c r="U1397" i="5"/>
  <c r="U1304" i="5"/>
  <c r="U1333" i="5"/>
  <c r="U1238" i="5"/>
  <c r="U1224" i="5"/>
  <c r="U1213" i="5"/>
  <c r="U1217" i="5"/>
  <c r="U1117" i="5"/>
  <c r="U1089" i="5"/>
  <c r="U1068" i="5"/>
  <c r="U747" i="5"/>
  <c r="U806" i="5"/>
  <c r="U699" i="5"/>
  <c r="U587" i="5"/>
  <c r="U561" i="5"/>
  <c r="U491" i="5"/>
  <c r="U566" i="5"/>
  <c r="U182" i="5"/>
  <c r="U268" i="5"/>
  <c r="U957" i="5"/>
  <c r="U1329" i="5"/>
  <c r="U1421" i="5"/>
  <c r="U1376" i="5"/>
  <c r="U1331" i="5"/>
  <c r="U1268" i="5"/>
  <c r="U1269" i="5"/>
  <c r="U1118" i="5"/>
  <c r="U1033" i="5"/>
  <c r="U1055" i="5"/>
  <c r="U987" i="5"/>
  <c r="U914" i="5"/>
  <c r="U895" i="5"/>
  <c r="U791" i="5"/>
  <c r="U744" i="5"/>
  <c r="U760" i="5"/>
  <c r="U766" i="5"/>
  <c r="U591" i="5"/>
  <c r="U633" i="5"/>
  <c r="U442" i="5"/>
  <c r="U464" i="5"/>
  <c r="U556" i="5"/>
  <c r="U424" i="5"/>
  <c r="U336" i="5"/>
  <c r="U316" i="5"/>
  <c r="U331" i="5"/>
  <c r="U260" i="5"/>
  <c r="U239" i="5"/>
  <c r="U203" i="5"/>
  <c r="U181" i="5"/>
  <c r="U174" i="5"/>
  <c r="U229" i="5"/>
  <c r="U195" i="5"/>
  <c r="U208" i="5"/>
  <c r="U129" i="5"/>
  <c r="U102" i="5"/>
  <c r="U1355" i="5"/>
  <c r="U1362" i="5"/>
  <c r="U1298" i="5"/>
  <c r="U1256" i="5"/>
  <c r="U1289" i="5"/>
  <c r="U1284" i="5"/>
  <c r="U1267" i="5"/>
  <c r="U1109" i="5"/>
  <c r="U1026" i="5"/>
  <c r="U1010" i="5"/>
  <c r="U876" i="5"/>
  <c r="U936" i="5"/>
  <c r="U829" i="5"/>
  <c r="U777" i="5"/>
  <c r="U801" i="5"/>
  <c r="U689" i="5"/>
  <c r="U704" i="5"/>
  <c r="U686" i="5"/>
  <c r="U692" i="5"/>
  <c r="U604" i="5"/>
  <c r="U428" i="5"/>
  <c r="U458" i="5"/>
  <c r="U314" i="5"/>
  <c r="U196" i="5"/>
  <c r="U211" i="5"/>
  <c r="U151" i="5"/>
  <c r="U103" i="5"/>
  <c r="U70" i="5"/>
  <c r="U899" i="5"/>
  <c r="U502" i="5"/>
  <c r="U520" i="5"/>
  <c r="U278" i="5"/>
  <c r="U193" i="5"/>
  <c r="U152" i="5"/>
  <c r="U1323" i="5"/>
  <c r="U1305" i="5"/>
  <c r="U1248" i="5"/>
  <c r="U1253" i="5"/>
  <c r="U1060" i="5"/>
  <c r="U1049" i="5"/>
  <c r="U905" i="5"/>
  <c r="U911" i="5"/>
  <c r="U878" i="5"/>
  <c r="U847" i="5"/>
  <c r="U809" i="5"/>
  <c r="U812" i="5"/>
  <c r="U762" i="5"/>
  <c r="U635" i="5"/>
  <c r="U444" i="5"/>
  <c r="U436" i="5"/>
  <c r="U321" i="5"/>
  <c r="U272" i="5"/>
  <c r="U262" i="5"/>
  <c r="U172" i="5"/>
  <c r="U38" i="5"/>
  <c r="U745" i="5"/>
  <c r="U1330" i="5"/>
  <c r="U1226" i="5"/>
  <c r="U1205" i="5"/>
  <c r="U1130" i="5"/>
  <c r="U1133" i="5"/>
  <c r="U1100" i="5"/>
  <c r="U1022" i="5"/>
  <c r="U994" i="5"/>
  <c r="U951" i="5"/>
  <c r="U649" i="5"/>
  <c r="U543" i="5"/>
  <c r="U451" i="5"/>
  <c r="U402" i="5"/>
  <c r="U308" i="5"/>
  <c r="U367" i="5"/>
  <c r="U344" i="5"/>
  <c r="U337" i="5"/>
  <c r="U267" i="5"/>
  <c r="U323" i="5"/>
  <c r="U302" i="5"/>
  <c r="U346" i="5"/>
  <c r="U231" i="5"/>
  <c r="U243" i="5"/>
  <c r="U109" i="5"/>
  <c r="U112" i="5"/>
  <c r="U78" i="5"/>
  <c r="U47" i="5"/>
  <c r="U139" i="5"/>
  <c r="U46" i="5"/>
  <c r="U39" i="5"/>
  <c r="U125" i="5"/>
  <c r="U807" i="5"/>
  <c r="U484" i="5"/>
  <c r="U339" i="5"/>
  <c r="U387" i="5"/>
  <c r="U328" i="5"/>
  <c r="U135" i="5"/>
  <c r="U1303" i="5"/>
  <c r="U1319" i="5"/>
  <c r="U1197" i="5"/>
  <c r="U1202" i="5"/>
  <c r="U1126" i="5"/>
  <c r="U1141" i="5"/>
  <c r="U1075" i="5"/>
  <c r="U1072" i="5"/>
  <c r="U1018" i="5"/>
  <c r="U1050" i="5"/>
  <c r="U1003" i="5"/>
  <c r="U840" i="5"/>
  <c r="U894" i="5"/>
  <c r="U786" i="5"/>
  <c r="U721" i="5"/>
  <c r="U823" i="5"/>
  <c r="U737" i="5"/>
  <c r="U746" i="5"/>
  <c r="U542" i="5"/>
  <c r="U579" i="5"/>
  <c r="U536" i="5"/>
  <c r="U521" i="5"/>
  <c r="U380" i="5"/>
  <c r="U409" i="5"/>
  <c r="U266" i="5"/>
  <c r="U189" i="5"/>
  <c r="U912" i="5"/>
  <c r="U761" i="5"/>
  <c r="U617" i="5"/>
  <c r="U513" i="5"/>
  <c r="U325" i="5"/>
  <c r="U358" i="5"/>
  <c r="U1156" i="5"/>
  <c r="U1192" i="5"/>
  <c r="U1092" i="5"/>
  <c r="U1058" i="5"/>
  <c r="U984" i="5"/>
  <c r="U999" i="5"/>
  <c r="U981" i="5"/>
  <c r="U916" i="5"/>
  <c r="U990" i="5"/>
  <c r="U893" i="5"/>
  <c r="U841" i="5"/>
  <c r="U871" i="5"/>
  <c r="U784" i="5"/>
  <c r="U738" i="5"/>
  <c r="U702" i="5"/>
  <c r="U568" i="5"/>
  <c r="U454" i="5"/>
  <c r="U404" i="5"/>
  <c r="U234" i="5"/>
  <c r="U86" i="5"/>
  <c r="U1419" i="5"/>
  <c r="U1350" i="5"/>
  <c r="U1400" i="5"/>
  <c r="U1353" i="5"/>
  <c r="U1312" i="5"/>
  <c r="U1325" i="5"/>
  <c r="U1234" i="5"/>
  <c r="U1177" i="5"/>
  <c r="U1116" i="5"/>
  <c r="U1004" i="5"/>
  <c r="U954" i="5"/>
  <c r="U972" i="5"/>
  <c r="U885" i="5"/>
  <c r="U839" i="5"/>
  <c r="U752" i="5"/>
  <c r="U710" i="5"/>
  <c r="U819" i="5"/>
  <c r="U770" i="5"/>
  <c r="U817" i="5"/>
  <c r="U575" i="5"/>
  <c r="U555" i="5"/>
  <c r="U470" i="5"/>
  <c r="U459" i="5"/>
  <c r="U448" i="5"/>
  <c r="U538" i="5"/>
  <c r="U370" i="5"/>
  <c r="U185" i="5"/>
  <c r="U29" i="5"/>
  <c r="U62" i="5"/>
  <c r="U117" i="5"/>
  <c r="U41" i="5"/>
  <c r="U110" i="5"/>
  <c r="U157" i="5"/>
  <c r="D29" i="5"/>
  <c r="U94" i="5"/>
  <c r="U123" i="5"/>
  <c r="U54" i="5"/>
  <c r="U1410" i="5"/>
  <c r="U1403" i="5"/>
  <c r="U1368" i="5"/>
  <c r="U1317" i="5"/>
  <c r="U1230" i="5"/>
  <c r="U1232" i="5"/>
  <c r="U1143" i="5"/>
  <c r="U804" i="5"/>
  <c r="U507" i="5"/>
  <c r="U533" i="5"/>
  <c r="U319" i="5"/>
  <c r="U240" i="5"/>
  <c r="U186" i="5"/>
  <c r="U159" i="5"/>
  <c r="U113" i="5"/>
  <c r="U168" i="5"/>
  <c r="U131" i="5"/>
  <c r="U150" i="5"/>
  <c r="U965" i="5"/>
  <c r="U622" i="5"/>
  <c r="U615" i="5"/>
  <c r="U559" i="5"/>
  <c r="U426" i="5"/>
  <c r="U341" i="5"/>
  <c r="U330" i="5"/>
  <c r="U269" i="5"/>
  <c r="U265" i="5"/>
  <c r="U71" i="5"/>
  <c r="E29" i="5"/>
  <c r="U127" i="5"/>
  <c r="U149" i="5"/>
  <c r="U1151" i="5"/>
  <c r="U1076" i="5"/>
  <c r="U903" i="5"/>
  <c r="U694" i="5"/>
  <c r="U753" i="5"/>
  <c r="U1378" i="5"/>
  <c r="U1096" i="5"/>
  <c r="U1043" i="5"/>
  <c r="U1016" i="5"/>
  <c r="U996" i="5"/>
  <c r="U917" i="5"/>
  <c r="U933" i="5"/>
  <c r="U754" i="5"/>
  <c r="U690" i="5"/>
  <c r="U685" i="5"/>
  <c r="U445" i="5"/>
  <c r="U519" i="5"/>
  <c r="U347" i="5"/>
  <c r="U401" i="5"/>
  <c r="U379" i="5"/>
  <c r="U221" i="5"/>
  <c r="U9" i="5"/>
  <c r="P23" i="5"/>
  <c r="U8" i="5"/>
  <c r="U14" i="5"/>
  <c r="U15" i="5"/>
  <c r="U12" i="5"/>
  <c r="U19" i="5"/>
  <c r="U13" i="5"/>
  <c r="U10" i="5"/>
  <c r="U22" i="5"/>
  <c r="U28" i="5"/>
  <c r="U21" i="5"/>
  <c r="U25" i="5"/>
  <c r="U24" i="5"/>
  <c r="Q23" i="5" s="1"/>
  <c r="U11" i="5"/>
  <c r="U27" i="5"/>
  <c r="U17" i="5"/>
  <c r="U16" i="5"/>
  <c r="U20" i="5"/>
  <c r="U26" i="5"/>
  <c r="H15" i="8"/>
  <c r="Q1373" i="5" l="1"/>
  <c r="L86" i="5"/>
  <c r="L453" i="5"/>
  <c r="L609" i="5"/>
  <c r="Q1414" i="5"/>
  <c r="L387" i="5"/>
  <c r="L903" i="5"/>
  <c r="L437" i="5"/>
  <c r="Q18" i="5"/>
  <c r="Q1380" i="5"/>
  <c r="L733" i="5"/>
  <c r="L633" i="5"/>
  <c r="N633" i="5" s="1"/>
  <c r="L715" i="5"/>
  <c r="L1342" i="5"/>
  <c r="L580" i="5"/>
  <c r="L775" i="5"/>
  <c r="N775" i="5" s="1"/>
  <c r="L257" i="5"/>
  <c r="L129" i="5"/>
  <c r="N129" i="5" s="1"/>
  <c r="L1004" i="5"/>
  <c r="L691" i="5"/>
  <c r="L421" i="5"/>
  <c r="L727" i="5"/>
  <c r="N727" i="5" s="1"/>
  <c r="L931" i="5"/>
  <c r="L649" i="5"/>
  <c r="L250" i="5"/>
  <c r="N250" i="5" s="1"/>
  <c r="N41" i="5"/>
  <c r="L798" i="5"/>
  <c r="L1261" i="5"/>
  <c r="L891" i="5"/>
  <c r="N891" i="5" s="1"/>
  <c r="L777" i="5"/>
  <c r="N777" i="5" s="1"/>
  <c r="L558" i="5"/>
  <c r="N558" i="5" s="1"/>
  <c r="L85" i="5"/>
  <c r="N85" i="5" s="1"/>
  <c r="L225" i="5"/>
  <c r="N225" i="5" s="1"/>
  <c r="L674" i="5"/>
  <c r="N674" i="5" s="1"/>
  <c r="L438" i="5"/>
  <c r="N438" i="5" s="1"/>
  <c r="L909" i="5"/>
  <c r="L1278" i="5"/>
  <c r="N1278" i="5" s="1"/>
  <c r="L416" i="5"/>
  <c r="L890" i="5"/>
  <c r="N890" i="5" s="1"/>
  <c r="L748" i="5"/>
  <c r="N748" i="5" s="1"/>
  <c r="L919" i="5"/>
  <c r="N919" i="5" s="1"/>
  <c r="L1317" i="5"/>
  <c r="L676" i="5"/>
  <c r="N676" i="5" s="1"/>
  <c r="L785" i="5"/>
  <c r="L1195" i="5"/>
  <c r="N1195" i="5" s="1"/>
  <c r="L700" i="5"/>
  <c r="L138" i="5"/>
  <c r="N138" i="5" s="1"/>
  <c r="L126" i="5"/>
  <c r="N126" i="5" s="1"/>
  <c r="L182" i="5"/>
  <c r="N182" i="5" s="1"/>
  <c r="L150" i="5"/>
  <c r="N150" i="5" s="1"/>
  <c r="L451" i="5"/>
  <c r="N451" i="5" s="1"/>
  <c r="L1294" i="5"/>
  <c r="N209" i="5"/>
  <c r="N49" i="5"/>
  <c r="L590" i="5"/>
  <c r="N590" i="5" s="1"/>
  <c r="L278" i="5"/>
  <c r="N278" i="5" s="1"/>
  <c r="L405" i="5"/>
  <c r="L806" i="5"/>
  <c r="N806" i="5" s="1"/>
  <c r="L673" i="5"/>
  <c r="N673" i="5" s="1"/>
  <c r="L78" i="5"/>
  <c r="N78" i="5" s="1"/>
  <c r="L419" i="5"/>
  <c r="N419" i="5" s="1"/>
  <c r="L619" i="5"/>
  <c r="N619" i="5" s="1"/>
  <c r="L888" i="5"/>
  <c r="N888" i="5" s="1"/>
  <c r="L835" i="5"/>
  <c r="N835" i="5" s="1"/>
  <c r="L498" i="5"/>
  <c r="N498" i="5" s="1"/>
  <c r="L765" i="5"/>
  <c r="N765" i="5" s="1"/>
  <c r="L397" i="5"/>
  <c r="N397" i="5" s="1"/>
  <c r="L559" i="5"/>
  <c r="L730" i="5"/>
  <c r="N730" i="5" s="1"/>
  <c r="L693" i="5"/>
  <c r="N693" i="5" s="1"/>
  <c r="L527" i="5"/>
  <c r="N527" i="5" s="1"/>
  <c r="N58" i="5"/>
  <c r="L699" i="5"/>
  <c r="N699" i="5" s="1"/>
  <c r="L611" i="5"/>
  <c r="N611" i="5" s="1"/>
  <c r="L570" i="5"/>
  <c r="N570" i="5" s="1"/>
  <c r="L409" i="5"/>
  <c r="N409" i="5" s="1"/>
  <c r="L855" i="5"/>
  <c r="N855" i="5" s="1"/>
  <c r="L632" i="5"/>
  <c r="N632" i="5" s="1"/>
  <c r="L870" i="5"/>
  <c r="N870" i="5" s="1"/>
  <c r="L631" i="5"/>
  <c r="N631" i="5" s="1"/>
  <c r="N48" i="5"/>
  <c r="N47" i="5"/>
  <c r="L331" i="5"/>
  <c r="N331" i="5" s="1"/>
  <c r="L218" i="5"/>
  <c r="N218" i="5" s="1"/>
  <c r="L819" i="5"/>
  <c r="N819" i="5" s="1"/>
  <c r="L304" i="5"/>
  <c r="L786" i="5"/>
  <c r="N786" i="5" s="1"/>
  <c r="L567" i="5"/>
  <c r="N567" i="5" s="1"/>
  <c r="L975" i="5"/>
  <c r="N975" i="5" s="1"/>
  <c r="L878" i="5"/>
  <c r="N878" i="5" s="1"/>
  <c r="L634" i="5"/>
  <c r="N634" i="5" s="1"/>
  <c r="L186" i="5"/>
  <c r="N186" i="5" s="1"/>
  <c r="L600" i="5"/>
  <c r="N600" i="5" s="1"/>
  <c r="L110" i="5"/>
  <c r="N110" i="5" s="1"/>
  <c r="L1093" i="5"/>
  <c r="N1093" i="5" s="1"/>
  <c r="L1022" i="5"/>
  <c r="N1022" i="5" s="1"/>
  <c r="N18" i="5"/>
  <c r="L1285" i="5"/>
  <c r="N1285" i="5" s="1"/>
  <c r="L605" i="5"/>
  <c r="N605" i="5" s="1"/>
  <c r="L105" i="5"/>
  <c r="N105" i="5" s="1"/>
  <c r="L925" i="5"/>
  <c r="N925" i="5" s="1"/>
  <c r="L417" i="5"/>
  <c r="N417" i="5" s="1"/>
  <c r="L1043" i="5"/>
  <c r="N1043" i="5" s="1"/>
  <c r="N9" i="5"/>
  <c r="N25" i="25" s="1"/>
  <c r="L1125" i="5"/>
  <c r="N1125" i="5" s="1"/>
  <c r="N62" i="5"/>
  <c r="L384" i="5"/>
  <c r="N384" i="5" s="1"/>
  <c r="L591" i="5"/>
  <c r="N591" i="5" s="1"/>
  <c r="L1358" i="5"/>
  <c r="N1358" i="5" s="1"/>
  <c r="L184" i="5"/>
  <c r="N184" i="5" s="1"/>
  <c r="L248" i="5"/>
  <c r="N248" i="5" s="1"/>
  <c r="L1072" i="5"/>
  <c r="N1072" i="5" s="1"/>
  <c r="L477" i="5"/>
  <c r="N477" i="5" s="1"/>
  <c r="L652" i="5"/>
  <c r="N652" i="5" s="1"/>
  <c r="L314" i="5"/>
  <c r="N314" i="5" s="1"/>
  <c r="N149" i="5"/>
  <c r="L320" i="5"/>
  <c r="N320" i="5" s="1"/>
  <c r="L948" i="5"/>
  <c r="L613" i="5"/>
  <c r="N613" i="5" s="1"/>
  <c r="N26" i="5"/>
  <c r="L972" i="5"/>
  <c r="N972" i="5" s="1"/>
  <c r="N123" i="5"/>
  <c r="L834" i="5"/>
  <c r="N834" i="5" s="1"/>
  <c r="L904" i="5"/>
  <c r="N904" i="5" s="1"/>
  <c r="L456" i="5"/>
  <c r="N456" i="5" s="1"/>
  <c r="L664" i="5"/>
  <c r="N664" i="5" s="1"/>
  <c r="L68" i="5"/>
  <c r="N68" i="5" s="1"/>
  <c r="L983" i="5"/>
  <c r="N983" i="5" s="1"/>
  <c r="N30" i="5"/>
  <c r="L1104" i="5"/>
  <c r="N1104" i="5" s="1"/>
  <c r="L471" i="5"/>
  <c r="N471" i="5" s="1"/>
  <c r="L832" i="5"/>
  <c r="N832" i="5" s="1"/>
  <c r="N35" i="5"/>
  <c r="L193" i="5"/>
  <c r="L783" i="5"/>
  <c r="N783" i="5" s="1"/>
  <c r="L57" i="5"/>
  <c r="N57" i="5" s="1"/>
  <c r="N43" i="5"/>
  <c r="N37" i="5"/>
  <c r="N20" i="5"/>
  <c r="N29" i="5"/>
  <c r="N44" i="5"/>
  <c r="N15" i="5"/>
  <c r="N34" i="5"/>
  <c r="N67" i="5"/>
  <c r="N313" i="5"/>
  <c r="N113" i="5"/>
  <c r="N187" i="5"/>
  <c r="N11" i="5"/>
  <c r="N121" i="5"/>
  <c r="N38" i="5"/>
  <c r="L1185" i="5"/>
  <c r="N1185" i="5" s="1"/>
  <c r="L817" i="5"/>
  <c r="N817" i="5" s="1"/>
  <c r="L1325" i="5"/>
  <c r="N1325" i="5" s="1"/>
  <c r="L1073" i="5"/>
  <c r="N1073" i="5" s="1"/>
  <c r="L1026" i="5"/>
  <c r="N1026" i="5" s="1"/>
  <c r="N60" i="5"/>
  <c r="N39" i="5"/>
  <c r="N25" i="5"/>
  <c r="L985" i="5"/>
  <c r="N985" i="5" s="1"/>
  <c r="L837" i="5"/>
  <c r="N837" i="5" s="1"/>
  <c r="L267" i="5"/>
  <c r="N267" i="5" s="1"/>
  <c r="L64" i="5"/>
  <c r="N64" i="5" s="1"/>
  <c r="L474" i="5"/>
  <c r="N474" i="5" s="1"/>
  <c r="L1237" i="5"/>
  <c r="N1237" i="5" s="1"/>
  <c r="L1272" i="5"/>
  <c r="N1272" i="5" s="1"/>
  <c r="L160" i="5"/>
  <c r="N160" i="5" s="1"/>
  <c r="L174" i="5"/>
  <c r="N174" i="5" s="1"/>
  <c r="L270" i="5"/>
  <c r="N270" i="5" s="1"/>
  <c r="L208" i="5"/>
  <c r="N208" i="5" s="1"/>
  <c r="L379" i="5"/>
  <c r="N379" i="5" s="1"/>
  <c r="L302" i="5"/>
  <c r="N302" i="5" s="1"/>
  <c r="L122" i="5"/>
  <c r="N122" i="5" s="1"/>
  <c r="L681" i="5"/>
  <c r="N681" i="5" s="1"/>
  <c r="L139" i="5"/>
  <c r="N139" i="5" s="1"/>
  <c r="N22" i="5"/>
  <c r="N16" i="5"/>
  <c r="L1088" i="5"/>
  <c r="N1088" i="5" s="1"/>
  <c r="L1163" i="5"/>
  <c r="N1163" i="5" s="1"/>
  <c r="L336" i="5"/>
  <c r="N336" i="5" s="1"/>
  <c r="L280" i="5"/>
  <c r="N280" i="5" s="1"/>
  <c r="N59" i="5"/>
  <c r="N10" i="5"/>
  <c r="L932" i="5"/>
  <c r="N932" i="5" s="1"/>
  <c r="L1140" i="5"/>
  <c r="N1140" i="5" s="1"/>
  <c r="N23" i="5"/>
  <c r="N27" i="5"/>
  <c r="N19" i="5"/>
  <c r="L395" i="5"/>
  <c r="N395" i="5" s="1"/>
  <c r="N21" i="5"/>
  <c r="N13" i="5"/>
  <c r="N33" i="5"/>
  <c r="N28" i="5"/>
  <c r="N45" i="5"/>
  <c r="N14" i="5"/>
  <c r="N36" i="5"/>
  <c r="N31" i="5"/>
  <c r="N46" i="5"/>
  <c r="N177" i="5"/>
  <c r="N233" i="5"/>
  <c r="N56" i="5"/>
  <c r="N104" i="5"/>
  <c r="N166" i="5"/>
  <c r="N55" i="5"/>
  <c r="N185" i="5"/>
  <c r="N17" i="5"/>
  <c r="N295" i="5"/>
  <c r="N205" i="5"/>
  <c r="L411" i="5"/>
  <c r="N411" i="5" s="1"/>
  <c r="N65" i="5"/>
  <c r="N24" i="5"/>
  <c r="L128" i="5"/>
  <c r="N128" i="5" s="1"/>
  <c r="L202" i="5"/>
  <c r="N202" i="5" s="1"/>
  <c r="L568" i="5"/>
  <c r="N568" i="5" s="1"/>
  <c r="L408" i="5"/>
  <c r="N408" i="5" s="1"/>
  <c r="L321" i="5"/>
  <c r="N321" i="5" s="1"/>
  <c r="L954" i="5"/>
  <c r="N954" i="5" s="1"/>
  <c r="L452" i="5"/>
  <c r="N452" i="5" s="1"/>
  <c r="L170" i="5"/>
  <c r="N170" i="5" s="1"/>
  <c r="L504" i="5"/>
  <c r="N504" i="5" s="1"/>
  <c r="L192" i="5"/>
  <c r="N192" i="5" s="1"/>
  <c r="L234" i="5"/>
  <c r="N234" i="5" s="1"/>
  <c r="L206" i="5"/>
  <c r="N206" i="5" s="1"/>
  <c r="L238" i="5"/>
  <c r="N238" i="5" s="1"/>
  <c r="L344" i="5"/>
  <c r="N344" i="5" s="1"/>
  <c r="L298" i="5"/>
  <c r="N298" i="5" s="1"/>
  <c r="L536" i="5"/>
  <c r="N536" i="5" s="1"/>
  <c r="L54" i="5"/>
  <c r="N54" i="5" s="1"/>
  <c r="L346" i="5"/>
  <c r="N346" i="5" s="1"/>
  <c r="L434" i="5"/>
  <c r="L347" i="5"/>
  <c r="N347" i="5" s="1"/>
  <c r="L555" i="5"/>
  <c r="N555" i="5" s="1"/>
  <c r="L112" i="5"/>
  <c r="N112" i="5" s="1"/>
  <c r="L289" i="5"/>
  <c r="N289" i="5" s="1"/>
  <c r="L272" i="5"/>
  <c r="N272" i="5" s="1"/>
  <c r="L97" i="5"/>
  <c r="N97" i="5" s="1"/>
  <c r="L144" i="5"/>
  <c r="N144" i="5" s="1"/>
  <c r="L224" i="5"/>
  <c r="N224" i="5" s="1"/>
  <c r="L495" i="5"/>
  <c r="N495" i="5" s="1"/>
  <c r="L618" i="5"/>
  <c r="N618" i="5" s="1"/>
  <c r="L152" i="5"/>
  <c r="N152" i="5" s="1"/>
  <c r="L472" i="5"/>
  <c r="N472" i="5" s="1"/>
  <c r="N111" i="5"/>
  <c r="N66" i="5"/>
  <c r="L1020" i="5"/>
  <c r="N1020" i="5" s="1"/>
  <c r="L484" i="5"/>
  <c r="L282" i="5"/>
  <c r="N282" i="5" s="1"/>
  <c r="L120" i="5"/>
  <c r="N120" i="5" s="1"/>
  <c r="L376" i="5"/>
  <c r="N376" i="5" s="1"/>
  <c r="L378" i="5"/>
  <c r="N378" i="5" s="1"/>
  <c r="L312" i="5"/>
  <c r="N312" i="5" s="1"/>
  <c r="L363" i="5"/>
  <c r="N363" i="5" s="1"/>
  <c r="L80" i="5"/>
  <c r="N80" i="5" s="1"/>
  <c r="L442" i="5"/>
  <c r="N442" i="5" s="1"/>
  <c r="L154" i="5"/>
  <c r="N154" i="5" s="1"/>
  <c r="L377" i="5"/>
  <c r="N377" i="5" s="1"/>
  <c r="L440" i="5"/>
  <c r="N440" i="5" s="1"/>
  <c r="L240" i="5"/>
  <c r="N240" i="5" s="1"/>
  <c r="L573" i="5"/>
  <c r="N573" i="5" s="1"/>
  <c r="L96" i="5"/>
  <c r="N96" i="5" s="1"/>
  <c r="L266" i="5"/>
  <c r="N266" i="5" s="1"/>
  <c r="L216" i="5"/>
  <c r="L345" i="5"/>
  <c r="N345" i="5" s="1"/>
  <c r="L235" i="5"/>
  <c r="N235" i="5" s="1"/>
  <c r="L849" i="5"/>
  <c r="N849" i="5" s="1"/>
  <c r="L362" i="5"/>
  <c r="N362" i="5" s="1"/>
  <c r="L256" i="5"/>
  <c r="N256" i="5" s="1"/>
  <c r="L410" i="5"/>
  <c r="N410" i="5" s="1"/>
  <c r="L176" i="5"/>
  <c r="N176" i="5" s="1"/>
  <c r="L142" i="5"/>
  <c r="N142" i="5" s="1"/>
  <c r="N12" i="5"/>
  <c r="L334" i="5"/>
  <c r="N334" i="5" s="1"/>
  <c r="L489" i="5"/>
  <c r="N489" i="5" s="1"/>
  <c r="L506" i="5"/>
  <c r="N506" i="5" s="1"/>
  <c r="L514" i="5"/>
  <c r="N514" i="5" s="1"/>
  <c r="N53" i="5"/>
  <c r="N115" i="5"/>
  <c r="N159" i="5"/>
  <c r="N183" i="5"/>
  <c r="N70" i="5"/>
  <c r="N32" i="5"/>
  <c r="N61" i="5"/>
  <c r="N52" i="5"/>
  <c r="N50" i="5"/>
  <c r="N31" i="25" s="1"/>
  <c r="N63" i="5"/>
  <c r="N69" i="5"/>
  <c r="N207" i="5"/>
  <c r="N167" i="5"/>
  <c r="N109" i="5"/>
  <c r="N430" i="5"/>
  <c r="N93" i="5"/>
  <c r="N181" i="5"/>
  <c r="N86" i="5"/>
  <c r="N164" i="5"/>
  <c r="N375" i="5"/>
  <c r="N245" i="5"/>
  <c r="N188" i="5"/>
  <c r="N311" i="5"/>
  <c r="N420" i="5"/>
  <c r="O28" i="5"/>
  <c r="O25" i="5" s="1"/>
  <c r="L140" i="25"/>
  <c r="L182" i="25"/>
  <c r="L167" i="25"/>
  <c r="L113" i="25"/>
  <c r="L53" i="25"/>
  <c r="L191" i="25"/>
  <c r="L197" i="25"/>
  <c r="L98" i="25"/>
  <c r="L23" i="25"/>
  <c r="L170" i="25"/>
  <c r="L158" i="25"/>
  <c r="L83" i="25"/>
  <c r="L212" i="25"/>
  <c r="L32" i="25"/>
  <c r="L44" i="25"/>
  <c r="L149" i="25"/>
  <c r="L122" i="25"/>
  <c r="L101" i="25"/>
  <c r="L188" i="25"/>
  <c r="L125" i="25"/>
  <c r="L203" i="25"/>
  <c r="L134" i="25"/>
  <c r="L47" i="25"/>
  <c r="L206" i="25"/>
  <c r="L62" i="25"/>
  <c r="L26" i="25"/>
  <c r="L38" i="25"/>
  <c r="L194" i="25"/>
  <c r="L68" i="25"/>
  <c r="L119" i="25"/>
  <c r="L56" i="25"/>
  <c r="L146" i="25"/>
  <c r="L110" i="25"/>
  <c r="L185" i="25"/>
  <c r="L71" i="25"/>
  <c r="L29" i="25"/>
  <c r="L155" i="25"/>
  <c r="L143" i="25"/>
  <c r="L200" i="25"/>
  <c r="L59" i="25"/>
  <c r="L116" i="25"/>
  <c r="L50" i="25"/>
  <c r="L35" i="25"/>
  <c r="L89" i="25"/>
  <c r="L65" i="25"/>
  <c r="L80" i="25"/>
  <c r="L74" i="25"/>
  <c r="L77" i="25"/>
  <c r="L176" i="25"/>
  <c r="L128" i="25"/>
  <c r="L137" i="25"/>
  <c r="L41" i="25"/>
  <c r="L104" i="25"/>
  <c r="L152" i="25"/>
  <c r="L86" i="25"/>
  <c r="L107" i="25"/>
  <c r="L164" i="25"/>
  <c r="L161" i="25"/>
  <c r="L131" i="25"/>
  <c r="L92" i="25"/>
  <c r="L209" i="25"/>
  <c r="L95" i="25"/>
  <c r="L179" i="25"/>
  <c r="L7" i="25"/>
  <c r="L173" i="25"/>
  <c r="N42" i="5"/>
  <c r="L202" i="25"/>
  <c r="L136" i="25"/>
  <c r="L190" i="25"/>
  <c r="L148" i="25"/>
  <c r="L9" i="25"/>
  <c r="L115" i="25"/>
  <c r="L106" i="25"/>
  <c r="L37" i="25"/>
  <c r="L88" i="25"/>
  <c r="L49" i="25"/>
  <c r="L178" i="25"/>
  <c r="L79" i="25"/>
  <c r="L64" i="25"/>
  <c r="L181" i="25"/>
  <c r="L166" i="25"/>
  <c r="L142" i="25"/>
  <c r="L43" i="25"/>
  <c r="L157" i="25"/>
  <c r="L52" i="25"/>
  <c r="L172" i="25"/>
  <c r="L55" i="25"/>
  <c r="L28" i="25"/>
  <c r="L214" i="25"/>
  <c r="L196" i="25"/>
  <c r="L34" i="25"/>
  <c r="L85" i="25"/>
  <c r="L82" i="25"/>
  <c r="L31" i="25"/>
  <c r="L133" i="25"/>
  <c r="L160" i="25"/>
  <c r="L124" i="25"/>
  <c r="L91" i="25"/>
  <c r="L193" i="25"/>
  <c r="L76" i="25"/>
  <c r="L208" i="25"/>
  <c r="L205" i="25"/>
  <c r="L187" i="25"/>
  <c r="L73" i="25"/>
  <c r="L130" i="25"/>
  <c r="L94" i="25"/>
  <c r="L70" i="25"/>
  <c r="L46" i="25"/>
  <c r="L151" i="25"/>
  <c r="L58" i="25"/>
  <c r="L109" i="25"/>
  <c r="L163" i="25"/>
  <c r="L67" i="25"/>
  <c r="L97" i="25"/>
  <c r="L61" i="25"/>
  <c r="L100" i="25"/>
  <c r="L103" i="25"/>
  <c r="L139" i="25"/>
  <c r="L40" i="25"/>
  <c r="L145" i="25"/>
  <c r="L211" i="25"/>
  <c r="L169" i="25"/>
  <c r="L154" i="25"/>
  <c r="L127" i="25"/>
  <c r="L112" i="25"/>
  <c r="L25" i="25"/>
  <c r="L118" i="25"/>
  <c r="L175" i="25"/>
  <c r="L121" i="25"/>
  <c r="L199" i="25"/>
  <c r="L184" i="25"/>
  <c r="L213" i="25"/>
  <c r="L84" i="25"/>
  <c r="L120" i="25"/>
  <c r="L75" i="25"/>
  <c r="L174" i="25"/>
  <c r="L57" i="25"/>
  <c r="L156" i="25"/>
  <c r="L102" i="25"/>
  <c r="L117" i="25"/>
  <c r="L186" i="25"/>
  <c r="L180" i="25"/>
  <c r="L162" i="25"/>
  <c r="L135" i="25"/>
  <c r="L204" i="25"/>
  <c r="L141" i="25"/>
  <c r="L138" i="25"/>
  <c r="L93" i="25"/>
  <c r="L24" i="25"/>
  <c r="L207" i="25"/>
  <c r="L105" i="25"/>
  <c r="L78" i="25"/>
  <c r="L153" i="25"/>
  <c r="L39" i="25"/>
  <c r="L168" i="25"/>
  <c r="L192" i="25"/>
  <c r="L63" i="25"/>
  <c r="L195" i="25"/>
  <c r="L171" i="25"/>
  <c r="L144" i="25"/>
  <c r="L54" i="25"/>
  <c r="L99" i="25"/>
  <c r="L30" i="25"/>
  <c r="L114" i="25"/>
  <c r="L126" i="25"/>
  <c r="L69" i="25"/>
  <c r="L183" i="25"/>
  <c r="L36" i="25"/>
  <c r="L132" i="25"/>
  <c r="L177" i="25"/>
  <c r="L48" i="25"/>
  <c r="L8" i="25"/>
  <c r="L201" i="25"/>
  <c r="L198" i="25"/>
  <c r="L27" i="25"/>
  <c r="L42" i="25"/>
  <c r="L147" i="25"/>
  <c r="L111" i="25"/>
  <c r="L210" i="25"/>
  <c r="L51" i="25"/>
  <c r="L150" i="25"/>
  <c r="L87" i="25"/>
  <c r="L90" i="25"/>
  <c r="L108" i="25"/>
  <c r="L96" i="25"/>
  <c r="L72" i="25"/>
  <c r="L165" i="25"/>
  <c r="L33" i="25"/>
  <c r="L45" i="25"/>
  <c r="L189" i="25"/>
  <c r="L66" i="25"/>
  <c r="L81" i="25"/>
  <c r="L123" i="25"/>
  <c r="L129" i="25"/>
  <c r="L159" i="25"/>
  <c r="L60" i="25"/>
  <c r="N1178" i="5"/>
  <c r="O14" i="5"/>
  <c r="O11" i="5" s="1"/>
  <c r="N1018" i="5"/>
  <c r="N1314" i="5"/>
  <c r="N179" i="5"/>
  <c r="O35" i="5"/>
  <c r="O49" i="5"/>
  <c r="O56" i="5"/>
  <c r="N1396" i="5"/>
  <c r="N653" i="5"/>
  <c r="O63" i="5"/>
  <c r="N341" i="5"/>
  <c r="N140" i="5"/>
  <c r="N1041" i="5"/>
  <c r="N626" i="5"/>
  <c r="N646" i="5"/>
  <c r="N88" i="5"/>
  <c r="O21" i="5"/>
  <c r="O16" i="5" s="1"/>
  <c r="N317" i="5"/>
  <c r="N124" i="5"/>
  <c r="N1351" i="5"/>
  <c r="N91" i="5"/>
  <c r="N151" i="5"/>
  <c r="N939" i="5"/>
  <c r="N252" i="5"/>
  <c r="N1374" i="5"/>
  <c r="N868" i="5"/>
  <c r="N812" i="5"/>
  <c r="N133" i="5"/>
  <c r="O42" i="5"/>
  <c r="O36" i="5" s="1"/>
  <c r="N986" i="5"/>
  <c r="N1167" i="5"/>
  <c r="N571" i="5"/>
  <c r="N692" i="5"/>
  <c r="N175" i="5"/>
  <c r="N1386" i="5"/>
  <c r="N814" i="5"/>
  <c r="O70" i="5"/>
  <c r="N1084" i="5"/>
  <c r="N1308" i="5"/>
  <c r="N782" i="5"/>
  <c r="N169" i="5"/>
  <c r="N1059" i="5"/>
  <c r="N960" i="5"/>
  <c r="N1036" i="5"/>
  <c r="N1366" i="5"/>
  <c r="N1311" i="5"/>
  <c r="N1410" i="5"/>
  <c r="N1354" i="5"/>
  <c r="N923" i="5"/>
  <c r="N811" i="5"/>
  <c r="N1238" i="5"/>
  <c r="N738" i="5"/>
  <c r="N1271" i="5"/>
  <c r="N534" i="5"/>
  <c r="N957" i="5"/>
  <c r="N1405" i="5"/>
  <c r="N938" i="5"/>
  <c r="N1203" i="5"/>
  <c r="N858" i="5"/>
  <c r="N965" i="5"/>
  <c r="N1330" i="5"/>
  <c r="N497" i="5"/>
  <c r="N1004" i="5"/>
  <c r="N1364" i="5"/>
  <c r="N1021" i="5"/>
  <c r="N1096" i="5"/>
  <c r="N764" i="5"/>
  <c r="N1337" i="5"/>
  <c r="N578" i="5"/>
  <c r="N1182" i="5"/>
  <c r="N1355" i="5"/>
  <c r="N1380" i="5"/>
  <c r="N1023" i="5"/>
  <c r="N228" i="5"/>
  <c r="N1118" i="5"/>
  <c r="N863" i="5"/>
  <c r="N1030" i="5"/>
  <c r="N911" i="5"/>
  <c r="N691" i="5"/>
  <c r="N1205" i="5"/>
  <c r="N1232" i="5"/>
  <c r="N780" i="5"/>
  <c r="N1013" i="5"/>
  <c r="N1251" i="5"/>
  <c r="N306" i="5"/>
  <c r="N322" i="5"/>
  <c r="N1302" i="5"/>
  <c r="N349" i="5"/>
  <c r="N1223" i="5"/>
  <c r="N1132" i="5"/>
  <c r="N1176" i="5"/>
  <c r="N1133" i="5"/>
  <c r="N962" i="5"/>
  <c r="N900" i="5"/>
  <c r="N928" i="5"/>
  <c r="N951" i="5"/>
  <c r="N1110" i="5"/>
  <c r="N625" i="5"/>
  <c r="N1236" i="5"/>
  <c r="N924" i="5"/>
  <c r="N657" i="5"/>
  <c r="N76" i="5"/>
  <c r="N1372" i="5"/>
  <c r="N1008" i="5"/>
  <c r="N247" i="5"/>
  <c r="N1243" i="5"/>
  <c r="N1360" i="5"/>
  <c r="N1388" i="5"/>
  <c r="N914" i="5"/>
  <c r="N1188" i="5"/>
  <c r="N1164" i="5"/>
  <c r="N1153" i="5"/>
  <c r="N655" i="5"/>
  <c r="N1210" i="5"/>
  <c r="N1183" i="5"/>
  <c r="N1202" i="5"/>
  <c r="N747" i="5"/>
  <c r="N791" i="5"/>
  <c r="N623" i="5"/>
  <c r="N369" i="5"/>
  <c r="N1198" i="5"/>
  <c r="N610" i="5"/>
  <c r="N72" i="5"/>
  <c r="N1091" i="5"/>
  <c r="N1401" i="5"/>
  <c r="N1274" i="5"/>
  <c r="N1421" i="5"/>
  <c r="N966" i="5"/>
  <c r="N323" i="5"/>
  <c r="N465" i="5"/>
  <c r="N1240" i="5"/>
  <c r="N702" i="5"/>
  <c r="N1389" i="5"/>
  <c r="N778" i="5"/>
  <c r="N1078" i="5"/>
  <c r="N615" i="5"/>
  <c r="N1344" i="5"/>
  <c r="N1376" i="5"/>
  <c r="N1035" i="5"/>
  <c r="N75" i="5"/>
  <c r="N659" i="5"/>
  <c r="N1288" i="5"/>
  <c r="N981" i="5"/>
  <c r="N1199" i="5"/>
  <c r="N1121" i="5"/>
  <c r="N672" i="5"/>
  <c r="N455" i="5"/>
  <c r="N1146" i="5"/>
  <c r="N1384" i="5"/>
  <c r="N586" i="5"/>
  <c r="N825" i="5"/>
  <c r="N1371" i="5"/>
  <c r="N1259" i="5"/>
  <c r="N337" i="5"/>
  <c r="N1087" i="5"/>
  <c r="N944" i="5"/>
  <c r="N1270" i="5"/>
  <c r="N916" i="5"/>
  <c r="N1102" i="5"/>
  <c r="N1138" i="5"/>
  <c r="N952" i="5"/>
  <c r="N1226" i="5"/>
  <c r="N718" i="5"/>
  <c r="N774" i="5"/>
  <c r="N857" i="5"/>
  <c r="N310" i="5"/>
  <c r="N1306" i="5"/>
  <c r="N1293" i="5"/>
  <c r="N1244" i="5"/>
  <c r="N449" i="5"/>
  <c r="N342" i="5"/>
  <c r="N1019" i="5"/>
  <c r="N269" i="5"/>
  <c r="N940" i="5"/>
  <c r="N847" i="5"/>
  <c r="N934" i="5"/>
  <c r="N388" i="5"/>
  <c r="N654" i="5"/>
  <c r="N1048" i="5"/>
  <c r="N705" i="5"/>
  <c r="N1131" i="5"/>
  <c r="N608" i="5"/>
  <c r="N439" i="5"/>
  <c r="N604" i="5"/>
  <c r="N1264" i="5"/>
  <c r="N1157" i="5"/>
  <c r="N865" i="5"/>
  <c r="N1080" i="5"/>
  <c r="N942" i="5"/>
  <c r="N1320" i="5"/>
  <c r="N1062" i="5"/>
  <c r="N582" i="5"/>
  <c r="N171" i="5"/>
  <c r="N1224" i="5"/>
  <c r="N1387" i="5"/>
  <c r="N990" i="5"/>
  <c r="N822" i="5"/>
  <c r="N390" i="5"/>
  <c r="N368" i="5"/>
  <c r="N743" i="5"/>
  <c r="N844" i="5"/>
  <c r="N930" i="5"/>
  <c r="N1099" i="5"/>
  <c r="N1305" i="5"/>
  <c r="N563" i="5"/>
  <c r="N1367" i="5"/>
  <c r="N499" i="5"/>
  <c r="N288" i="5"/>
  <c r="N606" i="5"/>
  <c r="N910" i="5"/>
  <c r="N682" i="5"/>
  <c r="N1113" i="5"/>
  <c r="N795" i="5"/>
  <c r="N1115" i="5"/>
  <c r="N644" i="5"/>
  <c r="N1326" i="5"/>
  <c r="N694" i="5"/>
  <c r="N695" i="5"/>
  <c r="N561" i="5"/>
  <c r="N757" i="5"/>
  <c r="N494" i="5"/>
  <c r="N828" i="5"/>
  <c r="N1184" i="5"/>
  <c r="N190" i="25" s="1"/>
  <c r="N678" i="5"/>
  <c r="N1284" i="5"/>
  <c r="N648" i="5"/>
  <c r="N178" i="5"/>
  <c r="N1172" i="5"/>
  <c r="N1068" i="5"/>
  <c r="N444" i="5"/>
  <c r="N429" i="5"/>
  <c r="N601" i="5"/>
  <c r="N1256" i="5"/>
  <c r="N1229" i="5"/>
  <c r="N544" i="5"/>
  <c r="N967" i="5"/>
  <c r="N542" i="5"/>
  <c r="N572" i="5"/>
  <c r="N898" i="5"/>
  <c r="N810" i="5"/>
  <c r="N728" i="5"/>
  <c r="N637" i="5"/>
  <c r="N1180" i="5"/>
  <c r="N1295" i="5"/>
  <c r="N667" i="5"/>
  <c r="N353" i="5"/>
  <c r="N261" i="5"/>
  <c r="N927" i="5"/>
  <c r="N949" i="5"/>
  <c r="N463" i="5"/>
  <c r="N1215" i="5"/>
  <c r="N294" i="5"/>
  <c r="N1230" i="5"/>
  <c r="N512" i="5"/>
  <c r="N1231" i="5"/>
  <c r="N525" i="5"/>
  <c r="N564" i="5"/>
  <c r="N1038" i="5"/>
  <c r="N580" i="5"/>
  <c r="N880" i="5"/>
  <c r="N853" i="5"/>
  <c r="N1134" i="5"/>
  <c r="N1058" i="5"/>
  <c r="N687" i="5"/>
  <c r="N649" i="5"/>
  <c r="N1148" i="5"/>
  <c r="N841" i="5"/>
  <c r="N892" i="5"/>
  <c r="N1291" i="5"/>
  <c r="N824" i="5"/>
  <c r="N1192" i="5"/>
  <c r="N1397" i="5"/>
  <c r="N199" i="5"/>
  <c r="N929" i="5"/>
  <c r="N71" i="5"/>
  <c r="N920" i="5"/>
  <c r="N773" i="5"/>
  <c r="N1079" i="5"/>
  <c r="N273" i="5"/>
  <c r="N1156" i="5"/>
  <c r="N92" i="5"/>
  <c r="N859" i="5"/>
  <c r="N161" i="5"/>
  <c r="N1106" i="5"/>
  <c r="N1217" i="5"/>
  <c r="N127" i="5"/>
  <c r="N1201" i="5"/>
  <c r="N457" i="5"/>
  <c r="N352" i="5"/>
  <c r="N943" i="5"/>
  <c r="N714" i="5"/>
  <c r="N1155" i="5"/>
  <c r="N1122" i="5"/>
  <c r="N575" i="5"/>
  <c r="N447" i="5"/>
  <c r="N445" i="5"/>
  <c r="N350" i="5"/>
  <c r="N818" i="5"/>
  <c r="N935" i="5"/>
  <c r="N479" i="5"/>
  <c r="N259" i="5"/>
  <c r="N1006" i="5"/>
  <c r="N308" i="5"/>
  <c r="N971" i="5"/>
  <c r="N262" i="5"/>
  <c r="N330" i="5"/>
  <c r="N543" i="5"/>
  <c r="N1300" i="5"/>
  <c r="N356" i="5"/>
  <c r="N821" i="5"/>
  <c r="N468" i="5"/>
  <c r="N213" i="5"/>
  <c r="N1144" i="5"/>
  <c r="N883" i="5"/>
  <c r="N399" i="5"/>
  <c r="N912" i="5"/>
  <c r="N1418" i="5"/>
  <c r="N521" i="5"/>
  <c r="N554" i="5"/>
  <c r="N1286" i="5"/>
  <c r="N1046" i="5"/>
  <c r="N720" i="5"/>
  <c r="N894" i="5"/>
  <c r="N739" i="5"/>
  <c r="N889" i="5"/>
  <c r="N630" i="5"/>
  <c r="N809" i="5"/>
  <c r="N287" i="5"/>
  <c r="N800" i="5"/>
  <c r="N203" i="5"/>
  <c r="N1162" i="5"/>
  <c r="N996" i="5"/>
  <c r="N1150" i="5"/>
  <c r="N840" i="5"/>
  <c r="N216" i="5"/>
  <c r="N520" i="5"/>
  <c r="N257" i="5"/>
  <c r="N622" i="5"/>
  <c r="N1363" i="5"/>
  <c r="N87" i="5"/>
  <c r="N371" i="5"/>
  <c r="N211" i="5"/>
  <c r="N1055" i="5"/>
  <c r="N223" i="5"/>
  <c r="N1179" i="5"/>
  <c r="N507" i="5"/>
  <c r="N526" i="5"/>
  <c r="N991" i="5"/>
  <c r="N1255" i="5"/>
  <c r="N1067" i="5"/>
  <c r="N766" i="5"/>
  <c r="N1404" i="5"/>
  <c r="N1309" i="5"/>
  <c r="N1116" i="5"/>
  <c r="N913" i="5"/>
  <c r="N214" i="5"/>
  <c r="N745" i="5"/>
  <c r="N867" i="5"/>
  <c r="N326" i="5"/>
  <c r="N1069" i="5"/>
  <c r="N852" i="5"/>
  <c r="N1402" i="5"/>
  <c r="N788" i="5"/>
  <c r="N1127" i="5"/>
  <c r="N594" i="5"/>
  <c r="N647" i="5"/>
  <c r="N1090" i="5"/>
  <c r="N476" i="5"/>
  <c r="N433" i="5"/>
  <c r="N772" i="5"/>
  <c r="N866" i="5"/>
  <c r="N1039" i="5"/>
  <c r="N785" i="5"/>
  <c r="N265" i="5"/>
  <c r="N1413" i="5"/>
  <c r="N1135" i="5"/>
  <c r="N246" i="5"/>
  <c r="N1045" i="5"/>
  <c r="N717" i="5"/>
  <c r="N281" i="5"/>
  <c r="N1034" i="5"/>
  <c r="N254" i="5"/>
  <c r="N931" i="5"/>
  <c r="N1061" i="5"/>
  <c r="N77" i="5"/>
  <c r="N135" i="5"/>
  <c r="N1040" i="5"/>
  <c r="N1260" i="5"/>
  <c r="N1089" i="5"/>
  <c r="N768" i="5"/>
  <c r="N895" i="5"/>
  <c r="N823" i="5"/>
  <c r="N763" i="5"/>
  <c r="N1261" i="5"/>
  <c r="N843" i="5"/>
  <c r="N1042" i="5"/>
  <c r="N196" i="5"/>
  <c r="N1403" i="5"/>
  <c r="N1313" i="5"/>
  <c r="N803" i="5"/>
  <c r="N95" i="5"/>
  <c r="N661" i="5"/>
  <c r="N1053" i="5"/>
  <c r="N403" i="5"/>
  <c r="N733" i="5"/>
  <c r="N1124" i="5"/>
  <c r="N1399" i="5"/>
  <c r="N491" i="5"/>
  <c r="N189" i="5"/>
  <c r="N830" i="5"/>
  <c r="N510" i="5"/>
  <c r="N1392" i="5"/>
  <c r="N305" i="5"/>
  <c r="N756" i="5"/>
  <c r="N1105" i="5"/>
  <c r="N959" i="5"/>
  <c r="N333" i="5"/>
  <c r="N283" i="5"/>
  <c r="N801" i="5"/>
  <c r="N1107" i="5"/>
  <c r="N398" i="5"/>
  <c r="N90" i="5"/>
  <c r="N145" i="5"/>
  <c r="N107" i="5"/>
  <c r="N1000" i="5"/>
  <c r="N1010" i="5"/>
  <c r="N1359" i="5"/>
  <c r="N660" i="5"/>
  <c r="N759" i="5"/>
  <c r="N559" i="5"/>
  <c r="N595" i="5"/>
  <c r="N887" i="5"/>
  <c r="N744" i="5"/>
  <c r="N1349" i="5"/>
  <c r="N1228" i="5"/>
  <c r="N1312" i="5"/>
  <c r="N933" i="5"/>
  <c r="N1064" i="5"/>
  <c r="N557" i="5"/>
  <c r="N1204" i="5"/>
  <c r="N690" i="5"/>
  <c r="N1063" i="5"/>
  <c r="N1011" i="5"/>
  <c r="N432" i="5"/>
  <c r="N503" i="5"/>
  <c r="N713" i="5"/>
  <c r="N1297" i="5"/>
  <c r="N948" i="5"/>
  <c r="N1169" i="5"/>
  <c r="N385" i="5"/>
  <c r="N749" i="5"/>
  <c r="N1098" i="5"/>
  <c r="N156" i="5"/>
  <c r="N566" i="5"/>
  <c r="N1290" i="5"/>
  <c r="N1249" i="5"/>
  <c r="N271" i="5"/>
  <c r="N918" i="5"/>
  <c r="N562" i="5"/>
  <c r="N1321" i="5"/>
  <c r="N680" i="5"/>
  <c r="N751" i="5"/>
  <c r="N671" i="5"/>
  <c r="N382" i="5"/>
  <c r="N1007" i="5"/>
  <c r="N537" i="5"/>
  <c r="N569" i="5"/>
  <c r="N794" i="5"/>
  <c r="N980" i="5"/>
  <c r="N198" i="5"/>
  <c r="N355" i="5"/>
  <c r="N249" i="5"/>
  <c r="N734" i="5"/>
  <c r="N1375" i="5"/>
  <c r="N636" i="5"/>
  <c r="N639" i="5"/>
  <c r="N118" i="25" s="1"/>
  <c r="N1016" i="5"/>
  <c r="N172" i="25" s="1"/>
  <c r="N1139" i="5"/>
  <c r="N961" i="5"/>
  <c r="N1329" i="5"/>
  <c r="N1262" i="5"/>
  <c r="N414" i="5"/>
  <c r="N585" i="5"/>
  <c r="N74" i="5"/>
  <c r="N1419" i="5"/>
  <c r="N1357" i="5"/>
  <c r="N401" i="5"/>
  <c r="N882" i="5"/>
  <c r="N1051" i="5"/>
  <c r="N242" i="5"/>
  <c r="N343" i="5"/>
  <c r="N361" i="5"/>
  <c r="N643" i="5"/>
  <c r="N807" i="5"/>
  <c r="N464" i="5"/>
  <c r="N999" i="5"/>
  <c r="N1377" i="5"/>
  <c r="N1227" i="5"/>
  <c r="N473" i="5"/>
  <c r="N158" i="5"/>
  <c r="N528" i="5"/>
  <c r="N754" i="5"/>
  <c r="N1049" i="5"/>
  <c r="N1024" i="5"/>
  <c r="N551" i="5"/>
  <c r="N669" i="5"/>
  <c r="N848" i="5"/>
  <c r="N1129" i="5"/>
  <c r="N978" i="5"/>
  <c r="N404" i="5"/>
  <c r="N628" i="5"/>
  <c r="N391" i="5"/>
  <c r="N587" i="5"/>
  <c r="N501" i="5"/>
  <c r="N905" i="5"/>
  <c r="N1345" i="5"/>
  <c r="N683" i="5"/>
  <c r="N1250" i="5"/>
  <c r="N1275" i="5"/>
  <c r="N711" i="5"/>
  <c r="N116" i="5"/>
  <c r="N761" i="5"/>
  <c r="N316" i="5"/>
  <c r="N389" i="5"/>
  <c r="N392" i="5"/>
  <c r="N277" i="5"/>
  <c r="N422" i="5"/>
  <c r="N1408" i="5"/>
  <c r="N1415" i="5"/>
  <c r="N629" i="5"/>
  <c r="N958" i="5"/>
  <c r="N997" i="5"/>
  <c r="N1191" i="5"/>
  <c r="N1112" i="5"/>
  <c r="N318" i="5"/>
  <c r="N132" i="5"/>
  <c r="N1160" i="5"/>
  <c r="N424" i="5"/>
  <c r="N1362" i="5"/>
  <c r="N1032" i="5"/>
  <c r="N1347" i="5"/>
  <c r="N236" i="5"/>
  <c r="N478" i="5"/>
  <c r="N275" i="5"/>
  <c r="N994" i="5"/>
  <c r="N977" i="5"/>
  <c r="N335" i="5"/>
  <c r="N492" i="5"/>
  <c r="N383" i="5"/>
  <c r="N909" i="5"/>
  <c r="N513" i="5"/>
  <c r="N650" i="5"/>
  <c r="N304" i="5"/>
  <c r="N953" i="5"/>
  <c r="N483" i="5"/>
  <c r="N141" i="5"/>
  <c r="N193" i="5"/>
  <c r="N241" i="5"/>
  <c r="N229" i="5"/>
  <c r="N212" i="5"/>
  <c r="N434" i="5"/>
  <c r="N833" i="5"/>
  <c r="N82" i="5"/>
  <c r="N251" i="5"/>
  <c r="N502" i="5"/>
  <c r="N1170" i="5"/>
  <c r="N769" i="5"/>
  <c r="N407" i="5"/>
  <c r="N360" i="5"/>
  <c r="N1187" i="5"/>
  <c r="N386" i="5"/>
  <c r="N1395" i="5"/>
  <c r="N663" i="5"/>
  <c r="N450" i="5"/>
  <c r="N1235" i="5"/>
  <c r="N484" i="5"/>
  <c r="N1142" i="5"/>
  <c r="N976" i="5"/>
  <c r="N845" i="5"/>
  <c r="N488" i="5"/>
  <c r="N666" i="5"/>
  <c r="N642" i="5"/>
  <c r="N1031" i="5"/>
  <c r="N227" i="5"/>
  <c r="N470" i="5"/>
  <c r="N1398" i="5"/>
  <c r="N1343" i="5"/>
  <c r="N1152" i="5"/>
  <c r="N425" i="5"/>
  <c r="N539" i="5"/>
  <c r="N1161" i="5"/>
  <c r="N1242" i="5"/>
  <c r="N1171" i="5"/>
  <c r="N327" i="5"/>
  <c r="N1095" i="5"/>
  <c r="N1075" i="5"/>
  <c r="N83" i="5"/>
  <c r="N290" i="5"/>
  <c r="N329" i="5"/>
  <c r="N94" i="5"/>
  <c r="N103" i="5"/>
  <c r="N541" i="5"/>
  <c r="N1406" i="5"/>
  <c r="N675" i="5"/>
  <c r="N722" i="5"/>
  <c r="N136" i="25" s="1"/>
  <c r="N396" i="5"/>
  <c r="N1234" i="5"/>
  <c r="N875" i="5"/>
  <c r="N602" i="5"/>
  <c r="N850" i="5"/>
  <c r="N264" i="5"/>
  <c r="N560" i="5"/>
  <c r="N519" i="5"/>
  <c r="O378" i="5"/>
  <c r="O373" i="5" s="1"/>
  <c r="N1361" i="5"/>
  <c r="N372" i="5"/>
  <c r="N603" i="5"/>
  <c r="N406" i="5"/>
  <c r="N758" i="5"/>
  <c r="N1012" i="5"/>
  <c r="N461" i="5"/>
  <c r="N710" i="5"/>
  <c r="N1301" i="5"/>
  <c r="N1009" i="5"/>
  <c r="N415" i="5"/>
  <c r="N1315" i="5"/>
  <c r="N1324" i="5"/>
  <c r="O553" i="5"/>
  <c r="N1283" i="5"/>
  <c r="N707" i="5"/>
  <c r="N101" i="5"/>
  <c r="N598" i="5"/>
  <c r="N540" i="5"/>
  <c r="N839" i="5"/>
  <c r="N876" i="5"/>
  <c r="N119" i="5"/>
  <c r="N862" i="5"/>
  <c r="N118" i="5"/>
  <c r="N688" i="5"/>
  <c r="N1265" i="5"/>
  <c r="N1316" i="5"/>
  <c r="N487" i="5"/>
  <c r="N871" i="5"/>
  <c r="O931" i="5"/>
  <c r="O930" i="5" s="1"/>
  <c r="N524" i="5"/>
  <c r="N621" i="5"/>
  <c r="N328" i="5"/>
  <c r="N155" i="5"/>
  <c r="N1027" i="5"/>
  <c r="N1263" i="5"/>
  <c r="O924" i="5"/>
  <c r="O923" i="5" s="1"/>
  <c r="N143" i="5"/>
  <c r="N232" i="5"/>
  <c r="N258" i="5"/>
  <c r="N1328" i="5"/>
  <c r="N1298" i="5"/>
  <c r="N802" i="5"/>
  <c r="N1108" i="5"/>
  <c r="N1252" i="5"/>
  <c r="N599" i="5"/>
  <c r="N1348" i="5"/>
  <c r="N736" i="5"/>
  <c r="O1316" i="5"/>
  <c r="N99" i="5"/>
  <c r="N750" i="5"/>
  <c r="N658" i="5"/>
  <c r="O1050" i="5"/>
  <c r="O1048" i="5" s="1"/>
  <c r="N263" i="5"/>
  <c r="N546" i="5"/>
  <c r="N365" i="5"/>
  <c r="O406" i="5"/>
  <c r="N428" i="5"/>
  <c r="N88" i="25" s="1"/>
  <c r="N505" i="5"/>
  <c r="N220" i="5"/>
  <c r="O1204" i="5"/>
  <c r="O1203" i="5" s="1"/>
  <c r="N701" i="5"/>
  <c r="N130" i="25" s="1"/>
  <c r="N1411" i="5"/>
  <c r="N210" i="5"/>
  <c r="N292" i="5"/>
  <c r="N1407" i="5"/>
  <c r="N114" i="5"/>
  <c r="O1134" i="5"/>
  <c r="O1132" i="5" s="1"/>
  <c r="N1033" i="5"/>
  <c r="N195" i="5"/>
  <c r="N215" i="5"/>
  <c r="O140" i="5"/>
  <c r="O137" i="5" s="1"/>
  <c r="O315" i="5"/>
  <c r="N877" i="5"/>
  <c r="N1281" i="5"/>
  <c r="O1036" i="5"/>
  <c r="O1032" i="5" s="1"/>
  <c r="O917" i="5"/>
  <c r="O911" i="5" s="1"/>
  <c r="S160" i="25" s="1"/>
  <c r="N469" i="5"/>
  <c r="N239" i="5"/>
  <c r="N1151" i="5"/>
  <c r="O1092" i="5"/>
  <c r="O1087" i="5" s="1"/>
  <c r="O189" i="5"/>
  <c r="O183" i="5" s="1"/>
  <c r="N556" i="5"/>
  <c r="N771" i="5"/>
  <c r="O700" i="5"/>
  <c r="O694" i="5" s="1"/>
  <c r="N1166" i="5"/>
  <c r="N1056" i="5"/>
  <c r="O1337" i="5"/>
  <c r="O1332" i="5" s="1"/>
  <c r="N1177" i="5"/>
  <c r="N435" i="5"/>
  <c r="N1189" i="5"/>
  <c r="N651" i="5"/>
  <c r="N364" i="5"/>
  <c r="N799" i="5"/>
  <c r="O1078" i="5"/>
  <c r="O945" i="5"/>
  <c r="O943" i="5" s="1"/>
  <c r="N84" i="5"/>
  <c r="N531" i="5"/>
  <c r="N530" i="5"/>
  <c r="N897" i="5"/>
  <c r="N1287" i="5"/>
  <c r="N1221" i="5"/>
  <c r="N704" i="5"/>
  <c r="N798" i="5"/>
  <c r="N163" i="5"/>
  <c r="N808" i="5"/>
  <c r="N1200" i="5"/>
  <c r="N1273" i="5"/>
  <c r="N1304" i="5"/>
  <c r="O1414" i="5"/>
  <c r="N1074" i="5"/>
  <c r="N201" i="5"/>
  <c r="O938" i="5"/>
  <c r="O935" i="5" s="1"/>
  <c r="O882" i="5"/>
  <c r="O878" i="5" s="1"/>
  <c r="O1190" i="5"/>
  <c r="N856" i="5"/>
  <c r="N836" i="5"/>
  <c r="N1267" i="5"/>
  <c r="N1294" i="5"/>
  <c r="N416" i="5"/>
  <c r="N466" i="5"/>
  <c r="N106" i="5"/>
  <c r="N947" i="5"/>
  <c r="N387" i="5"/>
  <c r="N1015" i="5"/>
  <c r="N670" i="5"/>
  <c r="O595" i="5"/>
  <c r="O592" i="5" s="1"/>
  <c r="N393" i="5"/>
  <c r="N1356" i="5"/>
  <c r="N979" i="5"/>
  <c r="N490" i="5"/>
  <c r="N325" i="5"/>
  <c r="N359" i="5"/>
  <c r="N864" i="5"/>
  <c r="N340" i="5"/>
  <c r="N1268" i="5"/>
  <c r="N915" i="5"/>
  <c r="N609" i="5"/>
  <c r="N1350" i="5"/>
  <c r="N1050" i="5"/>
  <c r="N1299" i="5"/>
  <c r="N1197" i="5"/>
  <c r="N1165" i="5"/>
  <c r="N592" i="5"/>
  <c r="N1220" i="5"/>
  <c r="N955" i="5"/>
  <c r="N153" i="5"/>
  <c r="N709" i="5"/>
  <c r="N617" i="5"/>
  <c r="N458" i="5"/>
  <c r="N1322" i="5"/>
  <c r="N244" i="5"/>
  <c r="N98" i="5"/>
  <c r="O119" i="5"/>
  <c r="O118" i="5" s="1"/>
  <c r="N332" i="5"/>
  <c r="N496" i="5"/>
  <c r="N779" i="5"/>
  <c r="N1209" i="5"/>
  <c r="N190" i="5"/>
  <c r="N300" i="5"/>
  <c r="N509" i="5"/>
  <c r="N1065" i="5"/>
  <c r="N1412" i="5"/>
  <c r="N443" i="5"/>
  <c r="N1266" i="5"/>
  <c r="N1368" i="5"/>
  <c r="N1082" i="5"/>
  <c r="N741" i="5"/>
  <c r="N770" i="5"/>
  <c r="N583" i="5"/>
  <c r="N574" i="5"/>
  <c r="N467" i="5"/>
  <c r="N125" i="5"/>
  <c r="N872" i="5"/>
  <c r="N274" i="5"/>
  <c r="N402" i="5"/>
  <c r="N1158" i="5"/>
  <c r="N1342" i="5"/>
  <c r="N1334" i="5"/>
  <c r="N968" i="5"/>
  <c r="O1330" i="5"/>
  <c r="O833" i="5"/>
  <c r="O829" i="5" s="1"/>
  <c r="O714" i="5"/>
  <c r="N482" i="5"/>
  <c r="N869" i="5"/>
  <c r="N147" i="5"/>
  <c r="N366" i="5"/>
  <c r="N73" i="5"/>
  <c r="N1269" i="5"/>
  <c r="N1086" i="5"/>
  <c r="N1193" i="5"/>
  <c r="N549" i="5"/>
  <c r="N1037" i="5"/>
  <c r="N284" i="5"/>
  <c r="N219" i="5"/>
  <c r="N453" i="5"/>
  <c r="N964" i="5"/>
  <c r="N760" i="5"/>
  <c r="N936" i="5"/>
  <c r="N627" i="5"/>
  <c r="N324" i="5"/>
  <c r="N846" i="5"/>
  <c r="N180" i="5"/>
  <c r="N698" i="5"/>
  <c r="N1101" i="5"/>
  <c r="N1001" i="5"/>
  <c r="N1394" i="5"/>
  <c r="N656" i="5"/>
  <c r="O483" i="5"/>
  <c r="O478" i="5" s="1"/>
  <c r="O462" i="5"/>
  <c r="O461" i="5" s="1"/>
  <c r="O175" i="5"/>
  <c r="O173" i="5" s="1"/>
  <c r="O1113" i="5"/>
  <c r="O1107" i="5" s="1"/>
  <c r="O1197" i="5"/>
  <c r="N804" i="5"/>
  <c r="O1274" i="5"/>
  <c r="O1271" i="5" s="1"/>
  <c r="N851" i="5"/>
  <c r="N1340" i="5"/>
  <c r="O1120" i="5"/>
  <c r="O1115" i="5" s="1"/>
  <c r="N776" i="5"/>
  <c r="O112" i="5"/>
  <c r="O110" i="5" s="1"/>
  <c r="N260" i="5"/>
  <c r="N199" i="25" s="1"/>
  <c r="O770" i="5"/>
  <c r="O768" i="5" s="1"/>
  <c r="O350" i="5"/>
  <c r="O349" i="5" s="1"/>
  <c r="O252" i="5"/>
  <c r="O250" i="5" s="1"/>
  <c r="N339" i="5"/>
  <c r="O497" i="5"/>
  <c r="O491" i="5" s="1"/>
  <c r="S205" i="25" s="1"/>
  <c r="N1296" i="5"/>
  <c r="O154" i="5"/>
  <c r="O153" i="5" s="1"/>
  <c r="O1141" i="5"/>
  <c r="O1137" i="5" s="1"/>
  <c r="O98" i="5"/>
  <c r="O854" i="5"/>
  <c r="O1225" i="5"/>
  <c r="O1224" i="5" s="1"/>
  <c r="N1047" i="5"/>
  <c r="N427" i="5"/>
  <c r="N685" i="5"/>
  <c r="O371" i="5"/>
  <c r="O367" i="5" s="1"/>
  <c r="N616" i="5"/>
  <c r="O560" i="5"/>
  <c r="O558" i="5" s="1"/>
  <c r="O420" i="5"/>
  <c r="O414" i="5" s="1"/>
  <c r="N436" i="5"/>
  <c r="N742" i="5"/>
  <c r="O441" i="5"/>
  <c r="O439" i="5" s="1"/>
  <c r="O721" i="5"/>
  <c r="N731" i="5"/>
  <c r="O735" i="5"/>
  <c r="O733" i="5" s="1"/>
  <c r="O322" i="5"/>
  <c r="O320" i="5" s="1"/>
  <c r="O791" i="5"/>
  <c r="O789" i="5" s="1"/>
  <c r="O210" i="5"/>
  <c r="O205" i="5" s="1"/>
  <c r="O980" i="5"/>
  <c r="O84" i="5"/>
  <c r="O427" i="5"/>
  <c r="O421" i="5" s="1"/>
  <c r="N706" i="5"/>
  <c r="O588" i="5"/>
  <c r="O587" i="5" s="1"/>
  <c r="N1414" i="5"/>
  <c r="N148" i="5"/>
  <c r="O805" i="5"/>
  <c r="O804" i="5" s="1"/>
  <c r="O1015" i="5"/>
  <c r="O1010" i="5" s="1"/>
  <c r="N987" i="5"/>
  <c r="N1253" i="5"/>
  <c r="O1071" i="5"/>
  <c r="O1066" i="5" s="1"/>
  <c r="O847" i="5"/>
  <c r="O841" i="5" s="1"/>
  <c r="N547" i="5"/>
  <c r="O1281" i="5"/>
  <c r="O1276" i="5" s="1"/>
  <c r="N413" i="5"/>
  <c r="O875" i="5"/>
  <c r="N460" i="5"/>
  <c r="O1176" i="5"/>
  <c r="N1245" i="5"/>
  <c r="N1289" i="5"/>
  <c r="N297" i="5"/>
  <c r="O280" i="5"/>
  <c r="O278" i="5" s="1"/>
  <c r="O336" i="5"/>
  <c r="O333" i="5" s="1"/>
  <c r="N1239" i="5"/>
  <c r="O231" i="5"/>
  <c r="O226" i="5" s="1"/>
  <c r="O490" i="5"/>
  <c r="O484" i="5" s="1"/>
  <c r="S125" i="25" s="1"/>
  <c r="O203" i="5"/>
  <c r="N854" i="5"/>
  <c r="O644" i="5"/>
  <c r="O642" i="5" s="1"/>
  <c r="O287" i="5"/>
  <c r="O283" i="5" s="1"/>
  <c r="O1267" i="5"/>
  <c r="O1264" i="5" s="1"/>
  <c r="O1323" i="5"/>
  <c r="O1322" i="5" s="1"/>
  <c r="O1148" i="5"/>
  <c r="O1146" i="5" s="1"/>
  <c r="O1022" i="5"/>
  <c r="O1020" i="5" s="1"/>
  <c r="N1190" i="5"/>
  <c r="N1070" i="5"/>
  <c r="O1057" i="5"/>
  <c r="O1052" i="5" s="1"/>
  <c r="O1001" i="5"/>
  <c r="O999" i="5" s="1"/>
  <c r="O784" i="5"/>
  <c r="N725" i="5"/>
  <c r="O532" i="5"/>
  <c r="O531" i="5" s="1"/>
  <c r="N1145" i="5"/>
  <c r="N303" i="5"/>
  <c r="N351" i="5"/>
  <c r="N716" i="5"/>
  <c r="N950" i="5"/>
  <c r="O1400" i="5"/>
  <c r="O1395" i="5" s="1"/>
  <c r="N516" i="5"/>
  <c r="O819" i="5"/>
  <c r="O1127" i="5"/>
  <c r="O973" i="5"/>
  <c r="O972" i="5" s="1"/>
  <c r="N165" i="5"/>
  <c r="N640" i="5"/>
  <c r="N1077" i="5"/>
  <c r="O357" i="5"/>
  <c r="O351" i="5" s="1"/>
  <c r="O658" i="5"/>
  <c r="O653" i="5" s="1"/>
  <c r="O1386" i="5"/>
  <c r="O1384" i="5" s="1"/>
  <c r="O1309" i="5"/>
  <c r="O1307" i="5" s="1"/>
  <c r="O329" i="5"/>
  <c r="O323" i="5" s="1"/>
  <c r="S73" i="25" s="1"/>
  <c r="N255" i="5"/>
  <c r="O896" i="5"/>
  <c r="O894" i="5" s="1"/>
  <c r="O77" i="5"/>
  <c r="O73" i="5" s="1"/>
  <c r="O1043" i="5"/>
  <c r="O1038" i="5" s="1"/>
  <c r="N684" i="5"/>
  <c r="O616" i="5"/>
  <c r="O611" i="5" s="1"/>
  <c r="N529" i="5"/>
  <c r="N550" i="5"/>
  <c r="N168" i="5"/>
  <c r="N1390" i="5"/>
  <c r="N131" i="5"/>
  <c r="N418" i="5"/>
  <c r="O434" i="5"/>
  <c r="O429" i="5" s="1"/>
  <c r="O224" i="5"/>
  <c r="O218" i="5" s="1"/>
  <c r="S196" i="25" s="1"/>
  <c r="N1066" i="5"/>
  <c r="O168" i="5"/>
  <c r="O167" i="5" s="1"/>
  <c r="O742" i="5"/>
  <c r="O738" i="5" s="1"/>
  <c r="O476" i="5"/>
  <c r="O472" i="5" s="1"/>
  <c r="O1351" i="5"/>
  <c r="O1253" i="5"/>
  <c r="O1211" i="5"/>
  <c r="O1206" i="5" s="1"/>
  <c r="N1085" i="5"/>
  <c r="O1358" i="5"/>
  <c r="O1354" i="5" s="1"/>
  <c r="O868" i="5"/>
  <c r="O294" i="5"/>
  <c r="N679" i="5"/>
  <c r="N715" i="5"/>
  <c r="N907" i="5"/>
  <c r="O539" i="5"/>
  <c r="O266" i="5"/>
  <c r="O265" i="5" s="1"/>
  <c r="O1239" i="5"/>
  <c r="O1233" i="5" s="1"/>
  <c r="O798" i="5"/>
  <c r="N614" i="5"/>
  <c r="N197" i="5"/>
  <c r="N58" i="25" s="1"/>
  <c r="N134" i="5"/>
  <c r="N286" i="5"/>
  <c r="O1218" i="5"/>
  <c r="O1214" i="5" s="1"/>
  <c r="N1014" i="5"/>
  <c r="O1085" i="5"/>
  <c r="O1083" i="5" s="1"/>
  <c r="O686" i="5"/>
  <c r="O684" i="5" s="1"/>
  <c r="O1365" i="5"/>
  <c r="N901" i="5"/>
  <c r="N222" i="5"/>
  <c r="N724" i="5"/>
  <c r="O455" i="5"/>
  <c r="N373" i="5"/>
  <c r="N553" i="5"/>
  <c r="N319" i="5"/>
  <c r="O693" i="5"/>
  <c r="O687" i="5" s="1"/>
  <c r="O763" i="5"/>
  <c r="O602" i="5"/>
  <c r="O599" i="5" s="1"/>
  <c r="N296" i="5"/>
  <c r="O994" i="5"/>
  <c r="O990" i="5" s="1"/>
  <c r="O385" i="5"/>
  <c r="O383" i="5" s="1"/>
  <c r="N612" i="5"/>
  <c r="N899" i="5"/>
  <c r="O1379" i="5"/>
  <c r="O1421" i="5"/>
  <c r="O1417" i="5" s="1"/>
  <c r="N984" i="5"/>
  <c r="O413" i="5"/>
  <c r="O412" i="5" s="1"/>
  <c r="O1064" i="5"/>
  <c r="O1062" i="5" s="1"/>
  <c r="N1248" i="5"/>
  <c r="N963" i="5"/>
  <c r="O504" i="5"/>
  <c r="O501" i="5" s="1"/>
  <c r="O182" i="5"/>
  <c r="O177" i="5" s="1"/>
  <c r="N793" i="5"/>
  <c r="N1420" i="5"/>
  <c r="O1260" i="5"/>
  <c r="O1254" i="5" s="1"/>
  <c r="O1407" i="5"/>
  <c r="O1406" i="5" s="1"/>
  <c r="N1117" i="5"/>
  <c r="O749" i="5"/>
  <c r="O748" i="5" s="1"/>
  <c r="O903" i="5"/>
  <c r="O899" i="5" s="1"/>
  <c r="N437" i="5"/>
  <c r="N291" i="5"/>
  <c r="O812" i="5"/>
  <c r="O811" i="5" s="1"/>
  <c r="N293" i="5"/>
  <c r="O756" i="5"/>
  <c r="O754" i="5" s="1"/>
  <c r="O196" i="5"/>
  <c r="O190" i="5" s="1"/>
  <c r="N394" i="5"/>
  <c r="N354" i="5"/>
  <c r="N735" i="5"/>
  <c r="N532" i="5"/>
  <c r="O511" i="5"/>
  <c r="O510" i="5" s="1"/>
  <c r="N1331" i="5"/>
  <c r="O1344" i="5"/>
  <c r="O1339" i="5" s="1"/>
  <c r="O1393" i="5"/>
  <c r="O1392" i="5" s="1"/>
  <c r="N831" i="5"/>
  <c r="N405" i="5"/>
  <c r="N700" i="5"/>
  <c r="N1071" i="5"/>
  <c r="N1028" i="5"/>
  <c r="N861" i="5"/>
  <c r="N146" i="5"/>
  <c r="N301" i="5"/>
  <c r="N309" i="5"/>
  <c r="N696" i="5"/>
  <c r="N1111" i="5"/>
  <c r="O1162" i="5"/>
  <c r="N576" i="5"/>
  <c r="N412" i="5"/>
  <c r="N307" i="5"/>
  <c r="N1044" i="5"/>
  <c r="N357" i="5"/>
  <c r="O651" i="5"/>
  <c r="N827" i="5"/>
  <c r="N145" i="25" s="1"/>
  <c r="N358" i="5"/>
  <c r="N475" i="5"/>
  <c r="N1060" i="5"/>
  <c r="N1092" i="5"/>
  <c r="O399" i="5"/>
  <c r="O397" i="5" s="1"/>
  <c r="N448" i="5"/>
  <c r="O574" i="5"/>
  <c r="N1219" i="5"/>
  <c r="N1254" i="5"/>
  <c r="O959" i="5"/>
  <c r="O955" i="5" s="1"/>
  <c r="N596" i="5"/>
  <c r="N1206" i="5"/>
  <c r="O1288" i="5"/>
  <c r="O105" i="5"/>
  <c r="O273" i="5"/>
  <c r="N787" i="5"/>
  <c r="N753" i="5"/>
  <c r="O469" i="5"/>
  <c r="O467" i="5" s="1"/>
  <c r="N1186" i="5"/>
  <c r="N624" i="5"/>
  <c r="N226" i="5"/>
  <c r="N826" i="5"/>
  <c r="O826" i="5"/>
  <c r="N726" i="5"/>
  <c r="N589" i="5"/>
  <c r="O1295" i="5"/>
  <c r="O1293" i="5" s="1"/>
  <c r="O1302" i="5"/>
  <c r="O1297" i="5" s="1"/>
  <c r="N370" i="5"/>
  <c r="O518" i="5"/>
  <c r="N400" i="5"/>
  <c r="N1216" i="5"/>
  <c r="N926" i="5"/>
  <c r="O728" i="5"/>
  <c r="O725" i="5" s="1"/>
  <c r="N518" i="5"/>
  <c r="N500" i="5"/>
  <c r="N737" i="5"/>
  <c r="N204" i="5"/>
  <c r="N1338" i="5"/>
  <c r="N1393" i="5"/>
  <c r="N243" i="5"/>
  <c r="O581" i="5"/>
  <c r="N231" i="5"/>
  <c r="O392" i="5"/>
  <c r="O1246" i="5"/>
  <c r="O1245" i="5" s="1"/>
  <c r="N1168" i="5"/>
  <c r="N1417" i="5"/>
  <c r="N607" i="5"/>
  <c r="O1099" i="5"/>
  <c r="O1094" i="5" s="1"/>
  <c r="O665" i="5"/>
  <c r="O663" i="5" s="1"/>
  <c r="N538" i="5"/>
  <c r="O301" i="5"/>
  <c r="O299" i="5" s="1"/>
  <c r="N421" i="5"/>
  <c r="N1307" i="5"/>
  <c r="N1241" i="5"/>
  <c r="N173" i="5"/>
  <c r="O308" i="5"/>
  <c r="O305" i="5" s="1"/>
  <c r="N668" i="5"/>
  <c r="N367" i="5"/>
  <c r="O525" i="5"/>
  <c r="N285" i="5"/>
  <c r="N100" i="5"/>
  <c r="N969" i="5"/>
  <c r="N1332" i="5"/>
  <c r="O1155" i="5"/>
  <c r="O1151" i="5" s="1"/>
  <c r="O966" i="5"/>
  <c r="O964" i="5" s="1"/>
  <c r="N903" i="5"/>
  <c r="O147" i="5"/>
  <c r="O145" i="5" s="1"/>
  <c r="N299" i="5"/>
  <c r="O1106" i="5"/>
  <c r="O1100" i="5" s="1"/>
  <c r="S211" i="25" s="1"/>
  <c r="O987" i="5"/>
  <c r="N1143" i="5"/>
  <c r="N719" i="5"/>
  <c r="N1409" i="5"/>
  <c r="N1277" i="5"/>
  <c r="O1008" i="5"/>
  <c r="N191" i="5"/>
  <c r="O672" i="5"/>
  <c r="O668" i="5" s="1"/>
  <c r="N441" i="5"/>
  <c r="O448" i="5"/>
  <c r="O952" i="5"/>
  <c r="O609" i="5"/>
  <c r="O546" i="5"/>
  <c r="O540" i="5" s="1"/>
  <c r="O364" i="5"/>
  <c r="O777" i="5"/>
  <c r="O774" i="5" s="1"/>
  <c r="O1169" i="5"/>
  <c r="O840" i="5"/>
  <c r="O1029" i="5"/>
  <c r="O637" i="5"/>
  <c r="O633" i="5" s="1"/>
  <c r="O245" i="5"/>
  <c r="O241" i="5" s="1"/>
  <c r="O707" i="5"/>
  <c r="O343" i="5"/>
  <c r="O623" i="5"/>
  <c r="O861" i="5"/>
  <c r="O126" i="5"/>
  <c r="O125" i="5" s="1"/>
  <c r="O567" i="5"/>
  <c r="O561" i="5" s="1"/>
  <c r="O889" i="5"/>
  <c r="O679" i="5"/>
  <c r="O1183" i="5"/>
  <c r="N1054" i="5"/>
  <c r="N1057" i="5"/>
  <c r="N1218" i="5"/>
  <c r="N268" i="5"/>
  <c r="N829" i="5"/>
  <c r="O259" i="5"/>
  <c r="N1196" i="5"/>
  <c r="O910" i="5"/>
  <c r="O217" i="5"/>
  <c r="O91" i="5"/>
  <c r="N974" i="5"/>
  <c r="N166" i="25" s="1"/>
  <c r="N1317" i="5"/>
  <c r="N1126" i="5"/>
  <c r="N381" i="5"/>
  <c r="N194" i="5"/>
  <c r="N752" i="5"/>
  <c r="N511" i="5"/>
  <c r="N446" i="5"/>
  <c r="N172" i="5"/>
  <c r="N517" i="5"/>
  <c r="N338" i="5"/>
  <c r="N579" i="5"/>
  <c r="N697" i="5"/>
  <c r="N906" i="5"/>
  <c r="N1247" i="5"/>
  <c r="N1233" i="5"/>
  <c r="N1212" i="5"/>
  <c r="N1094" i="5"/>
  <c r="N921" i="5"/>
  <c r="N1383" i="5"/>
  <c r="N374" i="5"/>
  <c r="N1003" i="5"/>
  <c r="N917" i="5"/>
  <c r="N130" i="5"/>
  <c r="N1005" i="5"/>
  <c r="N89" i="5"/>
  <c r="N842" i="5"/>
  <c r="O161" i="5"/>
  <c r="N860" i="5"/>
  <c r="N993" i="5"/>
  <c r="N1276" i="5"/>
  <c r="N1282" i="5"/>
  <c r="N1076" i="5"/>
  <c r="N137" i="5"/>
  <c r="N1378" i="5"/>
  <c r="O630" i="5"/>
  <c r="N485" i="5"/>
  <c r="N533" i="5"/>
  <c r="N1017" i="5"/>
  <c r="N230" i="5"/>
  <c r="N762" i="5"/>
  <c r="N1141" i="5"/>
  <c r="N1159" i="5"/>
  <c r="N881" i="5"/>
  <c r="N873" i="5"/>
  <c r="N493" i="5"/>
  <c r="N1100" i="5"/>
  <c r="N886" i="5"/>
  <c r="N136" i="5"/>
  <c r="N315" i="5"/>
  <c r="N712" i="5"/>
  <c r="N581" i="5"/>
  <c r="N970" i="5"/>
  <c r="N1279" i="5"/>
  <c r="N1214" i="5"/>
  <c r="N902" i="5"/>
  <c r="N746" i="5"/>
  <c r="N462" i="5"/>
  <c r="N703" i="5"/>
  <c r="N885" i="5"/>
  <c r="N689" i="5"/>
  <c r="O238" i="5"/>
  <c r="N1318" i="5"/>
  <c r="N1136" i="5"/>
  <c r="N1323" i="5"/>
  <c r="N1114" i="5"/>
  <c r="N348" i="5"/>
  <c r="N620" i="5"/>
  <c r="N221" i="5"/>
  <c r="N1175" i="5"/>
  <c r="N781" i="5"/>
  <c r="O1372" i="5"/>
  <c r="N820" i="5"/>
  <c r="N81" i="5"/>
  <c r="N588" i="5"/>
  <c r="N1370" i="5"/>
  <c r="N1002" i="5"/>
  <c r="N662" i="5"/>
  <c r="N552" i="5"/>
  <c r="N79" i="5"/>
  <c r="N995" i="5"/>
  <c r="N200" i="5"/>
  <c r="N879" i="5"/>
  <c r="N732" i="5"/>
  <c r="N584" i="5"/>
  <c r="N796" i="5"/>
  <c r="N1310" i="5"/>
  <c r="N426" i="5"/>
  <c r="N1292" i="5"/>
  <c r="N1128" i="5"/>
  <c r="N565" i="5"/>
  <c r="N893" i="5"/>
  <c r="O1232" i="5"/>
  <c r="N1352" i="5"/>
  <c r="N635" i="5"/>
  <c r="N577" i="5"/>
  <c r="N217" i="5"/>
  <c r="N459" i="5"/>
  <c r="N380" i="5"/>
  <c r="N237" i="5"/>
  <c r="O133" i="5"/>
  <c r="Q38" i="5"/>
  <c r="P38" i="5"/>
  <c r="Q1140" i="5"/>
  <c r="P1140" i="5"/>
  <c r="Q1399" i="5"/>
  <c r="P1399" i="5"/>
  <c r="Q470" i="5"/>
  <c r="P470" i="5"/>
  <c r="P193" i="5"/>
  <c r="Q193" i="5"/>
  <c r="Q1080" i="5"/>
  <c r="P1080" i="5"/>
  <c r="P1338" i="5"/>
  <c r="Q1338" i="5"/>
  <c r="Q1000" i="5"/>
  <c r="P1000" i="5"/>
  <c r="Q1127" i="5"/>
  <c r="P369" i="5"/>
  <c r="Q369" i="5"/>
  <c r="P512" i="5"/>
  <c r="Q512" i="5"/>
  <c r="Q908" i="5"/>
  <c r="P908" i="5"/>
  <c r="Q598" i="5"/>
  <c r="P598" i="5"/>
  <c r="Q1252" i="5"/>
  <c r="P1252" i="5"/>
  <c r="Q113" i="5"/>
  <c r="P113" i="5"/>
  <c r="Q555" i="5"/>
  <c r="P555" i="5"/>
  <c r="Q330" i="5"/>
  <c r="P330" i="5"/>
  <c r="Q159" i="5"/>
  <c r="P159" i="5"/>
  <c r="Q1143" i="5"/>
  <c r="P1143" i="5"/>
  <c r="P1116" i="5"/>
  <c r="Q1116" i="5"/>
  <c r="Q916" i="5"/>
  <c r="P916" i="5"/>
  <c r="Q761" i="5"/>
  <c r="P761" i="5"/>
  <c r="Q1202" i="5"/>
  <c r="P1202" i="5"/>
  <c r="Q484" i="5"/>
  <c r="P484" i="5"/>
  <c r="P323" i="5"/>
  <c r="Q323" i="5"/>
  <c r="Q1022" i="5"/>
  <c r="P911" i="5"/>
  <c r="Q911" i="5"/>
  <c r="P520" i="5"/>
  <c r="Q520" i="5"/>
  <c r="Q1289" i="5"/>
  <c r="P1289" i="5"/>
  <c r="Q208" i="5"/>
  <c r="P208" i="5"/>
  <c r="Q442" i="5"/>
  <c r="P442" i="5"/>
  <c r="Q1268" i="5"/>
  <c r="P1268" i="5"/>
  <c r="Q1397" i="5"/>
  <c r="P1397" i="5"/>
  <c r="Q1326" i="5"/>
  <c r="P1326" i="5"/>
  <c r="Q741" i="5"/>
  <c r="P741" i="5"/>
  <c r="Q1211" i="5"/>
  <c r="Q953" i="5"/>
  <c r="P953" i="5"/>
  <c r="P478" i="5"/>
  <c r="Q478" i="5"/>
  <c r="Q235" i="5"/>
  <c r="P235" i="5"/>
  <c r="Q1349" i="5"/>
  <c r="P1349" i="5"/>
  <c r="P431" i="5"/>
  <c r="Q431" i="5"/>
  <c r="P206" i="5"/>
  <c r="Q206" i="5"/>
  <c r="Q1074" i="5"/>
  <c r="P1074" i="5"/>
  <c r="Q496" i="5"/>
  <c r="P496" i="5"/>
  <c r="Q1119" i="5"/>
  <c r="P1119" i="5"/>
  <c r="Q794" i="5"/>
  <c r="P794" i="5"/>
  <c r="Q924" i="5"/>
  <c r="P1123" i="5"/>
  <c r="Q1123" i="5"/>
  <c r="Q313" i="5"/>
  <c r="P313" i="5"/>
  <c r="Q191" i="5"/>
  <c r="P191" i="5"/>
  <c r="Q832" i="5"/>
  <c r="P832" i="5"/>
  <c r="Q641" i="5"/>
  <c r="P641" i="5"/>
  <c r="Q1235" i="5"/>
  <c r="P1235" i="5"/>
  <c r="Q961" i="5"/>
  <c r="P961" i="5"/>
  <c r="P1059" i="5"/>
  <c r="Q1059" i="5"/>
  <c r="P632" i="5"/>
  <c r="Q632" i="5"/>
  <c r="Q795" i="5"/>
  <c r="P795" i="5"/>
  <c r="Q1254" i="5"/>
  <c r="P1254" i="5"/>
  <c r="P929" i="5"/>
  <c r="Q929" i="5"/>
  <c r="P447" i="5"/>
  <c r="Q447" i="5"/>
  <c r="Q682" i="5"/>
  <c r="P682" i="5"/>
  <c r="P1178" i="5"/>
  <c r="Q1178" i="5"/>
  <c r="Q440" i="5"/>
  <c r="P440" i="5"/>
  <c r="P554" i="5"/>
  <c r="Q554" i="5"/>
  <c r="Q99" i="5"/>
  <c r="P99" i="5"/>
  <c r="Q138" i="5"/>
  <c r="P138" i="5"/>
  <c r="Q978" i="5"/>
  <c r="P978" i="5"/>
  <c r="Q460" i="5"/>
  <c r="P460" i="5"/>
  <c r="P977" i="5"/>
  <c r="Q977" i="5"/>
  <c r="P376" i="5"/>
  <c r="Q376" i="5"/>
  <c r="Q1260" i="5"/>
  <c r="Q639" i="5"/>
  <c r="P639" i="5"/>
  <c r="P285" i="5"/>
  <c r="Q285" i="5"/>
  <c r="Q95" i="5"/>
  <c r="P95" i="5"/>
  <c r="Q1131" i="5"/>
  <c r="P1131" i="5"/>
  <c r="Q93" i="5"/>
  <c r="P93" i="5"/>
  <c r="Q1114" i="5"/>
  <c r="P1114" i="5"/>
  <c r="P593" i="5"/>
  <c r="Q593" i="5"/>
  <c r="Q613" i="5"/>
  <c r="P613" i="5"/>
  <c r="P74" i="5"/>
  <c r="Q74" i="5"/>
  <c r="P1412" i="5"/>
  <c r="Q1412" i="5"/>
  <c r="Q971" i="5"/>
  <c r="P971" i="5"/>
  <c r="Q388" i="5"/>
  <c r="P388" i="5"/>
  <c r="Q907" i="5"/>
  <c r="P907" i="5"/>
  <c r="P1181" i="5"/>
  <c r="Q1181" i="5"/>
  <c r="Q311" i="5"/>
  <c r="P311" i="5"/>
  <c r="Q968" i="5"/>
  <c r="P968" i="5"/>
  <c r="P570" i="5"/>
  <c r="Q570" i="5"/>
  <c r="P681" i="5"/>
  <c r="Q681" i="5"/>
  <c r="Q153" i="5"/>
  <c r="P153" i="5"/>
  <c r="P250" i="5"/>
  <c r="Q250" i="5"/>
  <c r="P803" i="5"/>
  <c r="Q803" i="5"/>
  <c r="P499" i="5"/>
  <c r="Q499" i="5"/>
  <c r="P1199" i="5"/>
  <c r="Q1199" i="5"/>
  <c r="Q44" i="5"/>
  <c r="P44" i="5"/>
  <c r="Q712" i="5"/>
  <c r="P712" i="5"/>
  <c r="Q1418" i="5"/>
  <c r="P1418" i="5"/>
  <c r="P1280" i="5"/>
  <c r="Q1280" i="5"/>
  <c r="Q702" i="5"/>
  <c r="P702" i="5"/>
  <c r="Q131" i="5"/>
  <c r="P131" i="5"/>
  <c r="Q387" i="5"/>
  <c r="P387" i="5"/>
  <c r="Q773" i="5"/>
  <c r="P773" i="5"/>
  <c r="Q519" i="5"/>
  <c r="P519" i="5"/>
  <c r="Q339" i="5"/>
  <c r="P339" i="5"/>
  <c r="Q612" i="5"/>
  <c r="P612" i="5"/>
  <c r="Q341" i="5"/>
  <c r="P341" i="5"/>
  <c r="P186" i="5"/>
  <c r="Q186" i="5"/>
  <c r="P157" i="5"/>
  <c r="Q157" i="5"/>
  <c r="P575" i="5"/>
  <c r="Q575" i="5"/>
  <c r="P1177" i="5"/>
  <c r="Q1177" i="5"/>
  <c r="Q86" i="5"/>
  <c r="P86" i="5"/>
  <c r="P981" i="5"/>
  <c r="Q981" i="5"/>
  <c r="P737" i="5"/>
  <c r="Q737" i="5"/>
  <c r="Q1197" i="5"/>
  <c r="Q807" i="5"/>
  <c r="P807" i="5"/>
  <c r="P267" i="5"/>
  <c r="Q267" i="5"/>
  <c r="Q1100" i="5"/>
  <c r="P1100" i="5"/>
  <c r="Q272" i="5"/>
  <c r="P272" i="5"/>
  <c r="P502" i="5"/>
  <c r="Q502" i="5"/>
  <c r="Q704" i="5"/>
  <c r="P704" i="5"/>
  <c r="Q1256" i="5"/>
  <c r="P1256" i="5"/>
  <c r="Q195" i="5"/>
  <c r="P195" i="5"/>
  <c r="P633" i="5"/>
  <c r="Q633" i="5"/>
  <c r="Q1331" i="5"/>
  <c r="P1331" i="5"/>
  <c r="P1371" i="5"/>
  <c r="Q1371" i="5"/>
  <c r="Q920" i="5"/>
  <c r="P920" i="5"/>
  <c r="Q787" i="5"/>
  <c r="P787" i="5"/>
  <c r="Q1276" i="5"/>
  <c r="P1276" i="5"/>
  <c r="Q227" i="5"/>
  <c r="P227" i="5"/>
  <c r="Q1320" i="5"/>
  <c r="P1320" i="5"/>
  <c r="Q1185" i="5"/>
  <c r="P1185" i="5"/>
  <c r="P338" i="5"/>
  <c r="Q338" i="5"/>
  <c r="Q835" i="5"/>
  <c r="P835" i="5"/>
  <c r="Q1395" i="5"/>
  <c r="P1395" i="5"/>
  <c r="Q1179" i="5"/>
  <c r="P1179" i="5"/>
  <c r="Q1040" i="5"/>
  <c r="P1040" i="5"/>
  <c r="Q111" i="5"/>
  <c r="P111" i="5"/>
  <c r="Q406" i="5"/>
  <c r="Q825" i="5"/>
  <c r="P825" i="5"/>
  <c r="Q1025" i="5"/>
  <c r="P1025" i="5"/>
  <c r="P652" i="5"/>
  <c r="Q652" i="5"/>
  <c r="Q1183" i="5"/>
  <c r="P858" i="5"/>
  <c r="Q858" i="5"/>
  <c r="Q625" i="5"/>
  <c r="P625" i="5"/>
  <c r="P258" i="5"/>
  <c r="Q258" i="5"/>
  <c r="P1101" i="5"/>
  <c r="Q1101" i="5"/>
  <c r="P531" i="5"/>
  <c r="Q531" i="5"/>
  <c r="Q660" i="5"/>
  <c r="P660" i="5"/>
  <c r="P647" i="5"/>
  <c r="Q647" i="5"/>
  <c r="Q1367" i="5"/>
  <c r="P1367" i="5"/>
  <c r="Q906" i="5"/>
  <c r="P906" i="5"/>
  <c r="Q384" i="5"/>
  <c r="P384" i="5"/>
  <c r="Q482" i="5"/>
  <c r="P482" i="5"/>
  <c r="P1152" i="5"/>
  <c r="Q1152" i="5"/>
  <c r="P457" i="5"/>
  <c r="Q457" i="5"/>
  <c r="Q495" i="5"/>
  <c r="P495" i="5"/>
  <c r="Q52" i="5"/>
  <c r="P52" i="5"/>
  <c r="Q964" i="5"/>
  <c r="P964" i="5"/>
  <c r="Q528" i="5"/>
  <c r="P528" i="5"/>
  <c r="Q1045" i="5"/>
  <c r="P1045" i="5"/>
  <c r="Q1246" i="5"/>
  <c r="Q673" i="5"/>
  <c r="P673" i="5"/>
  <c r="Q167" i="5"/>
  <c r="P167" i="5"/>
  <c r="Q45" i="5"/>
  <c r="P45" i="5"/>
  <c r="Q1090" i="5"/>
  <c r="P1090" i="5"/>
  <c r="Q720" i="5"/>
  <c r="P720" i="5"/>
  <c r="Q299" i="5"/>
  <c r="P299" i="5"/>
  <c r="P136" i="5"/>
  <c r="Q136" i="5"/>
  <c r="Q1024" i="5"/>
  <c r="P1024" i="5"/>
  <c r="Q680" i="5"/>
  <c r="P680" i="5"/>
  <c r="Q57" i="5"/>
  <c r="P57" i="5"/>
  <c r="Q1369" i="5"/>
  <c r="P1369" i="5"/>
  <c r="Q415" i="5"/>
  <c r="P415" i="5"/>
  <c r="Q1009" i="5"/>
  <c r="P1009" i="5"/>
  <c r="Q1041" i="5"/>
  <c r="P1041" i="5"/>
  <c r="Q472" i="5"/>
  <c r="P472" i="5"/>
  <c r="Q509" i="5"/>
  <c r="P509" i="5"/>
  <c r="P120" i="5"/>
  <c r="Q120" i="5"/>
  <c r="Q1383" i="5"/>
  <c r="P1383" i="5"/>
  <c r="Q980" i="5"/>
  <c r="Q466" i="5"/>
  <c r="P466" i="5"/>
  <c r="P813" i="5"/>
  <c r="Q813" i="5"/>
  <c r="Q49" i="5"/>
  <c r="Q405" i="5"/>
  <c r="P405" i="5"/>
  <c r="Q767" i="5"/>
  <c r="P767" i="5"/>
  <c r="Q1191" i="5"/>
  <c r="P1191" i="5"/>
  <c r="Q742" i="5"/>
  <c r="Q1344" i="5"/>
  <c r="Q1258" i="5"/>
  <c r="P1258" i="5"/>
  <c r="Q127" i="5"/>
  <c r="P127" i="5"/>
  <c r="P542" i="5"/>
  <c r="Q542" i="5"/>
  <c r="Q1333" i="5"/>
  <c r="P1333" i="5"/>
  <c r="Q1342" i="5"/>
  <c r="P1342" i="5"/>
  <c r="P269" i="5"/>
  <c r="Q269" i="5"/>
  <c r="P604" i="5"/>
  <c r="Q604" i="5"/>
  <c r="P887" i="5"/>
  <c r="Q887" i="5"/>
  <c r="Q753" i="5"/>
  <c r="P753" i="5"/>
  <c r="P999" i="5"/>
  <c r="Q999" i="5"/>
  <c r="Q912" i="5"/>
  <c r="P912" i="5"/>
  <c r="Q823" i="5"/>
  <c r="P823" i="5"/>
  <c r="Q125" i="5"/>
  <c r="P125" i="5"/>
  <c r="P337" i="5"/>
  <c r="Q337" i="5"/>
  <c r="P1133" i="5"/>
  <c r="Q1133" i="5"/>
  <c r="Q321" i="5"/>
  <c r="P321" i="5"/>
  <c r="Q905" i="5"/>
  <c r="P905" i="5"/>
  <c r="Q899" i="5"/>
  <c r="P899" i="5"/>
  <c r="Q689" i="5"/>
  <c r="P689" i="5"/>
  <c r="P1298" i="5"/>
  <c r="Q1298" i="5"/>
  <c r="Q229" i="5"/>
  <c r="P229" i="5"/>
  <c r="Q591" i="5"/>
  <c r="P591" i="5"/>
  <c r="Q1376" i="5"/>
  <c r="P1376" i="5"/>
  <c r="Q699" i="5"/>
  <c r="P699" i="5"/>
  <c r="Q1409" i="5"/>
  <c r="P1409" i="5"/>
  <c r="Q645" i="5"/>
  <c r="P645" i="5"/>
  <c r="P883" i="5"/>
  <c r="Q883" i="5"/>
  <c r="Q1228" i="5"/>
  <c r="P1228" i="5"/>
  <c r="Q1370" i="5"/>
  <c r="P1370" i="5"/>
  <c r="Q1150" i="5"/>
  <c r="P1150" i="5"/>
  <c r="Q301" i="5"/>
  <c r="Q909" i="5"/>
  <c r="P909" i="5"/>
  <c r="Q577" i="5"/>
  <c r="P577" i="5"/>
  <c r="Q722" i="5"/>
  <c r="P722" i="5"/>
  <c r="Q843" i="5"/>
  <c r="P843" i="5"/>
  <c r="Q1056" i="5"/>
  <c r="P1056" i="5"/>
  <c r="Q1218" i="5"/>
  <c r="P1091" i="5"/>
  <c r="Q1091" i="5"/>
  <c r="Q888" i="5"/>
  <c r="P888" i="5"/>
  <c r="Q257" i="5"/>
  <c r="P257" i="5"/>
  <c r="Q989" i="5"/>
  <c r="P989" i="5"/>
  <c r="P834" i="5"/>
  <c r="Q834" i="5"/>
  <c r="P473" i="5"/>
  <c r="Q473" i="5"/>
  <c r="Q1223" i="5"/>
  <c r="P1223" i="5"/>
  <c r="Q757" i="5"/>
  <c r="P757" i="5"/>
  <c r="Q324" i="5"/>
  <c r="P324" i="5"/>
  <c r="Q771" i="5"/>
  <c r="P771" i="5"/>
  <c r="P263" i="5"/>
  <c r="Q263" i="5"/>
  <c r="Q1036" i="5"/>
  <c r="Q377" i="5"/>
  <c r="P377" i="5"/>
  <c r="Q627" i="5"/>
  <c r="P627" i="5"/>
  <c r="Q50" i="5"/>
  <c r="P50" i="5"/>
  <c r="Q1148" i="5"/>
  <c r="P836" i="5"/>
  <c r="Q836" i="5"/>
  <c r="Q1220" i="5"/>
  <c r="P1220" i="5"/>
  <c r="P636" i="5"/>
  <c r="Q636" i="5"/>
  <c r="Q396" i="5"/>
  <c r="P396" i="5"/>
  <c r="P72" i="5"/>
  <c r="Q72" i="5"/>
  <c r="Q1135" i="5"/>
  <c r="P1135" i="5"/>
  <c r="Q634" i="5"/>
  <c r="P634" i="5"/>
  <c r="Q383" i="5"/>
  <c r="P383" i="5"/>
  <c r="P134" i="5"/>
  <c r="Q134" i="5"/>
  <c r="Q1069" i="5"/>
  <c r="P1069" i="5"/>
  <c r="P550" i="5"/>
  <c r="Q550" i="5"/>
  <c r="Q901" i="5"/>
  <c r="P901" i="5"/>
  <c r="Q155" i="5"/>
  <c r="P155" i="5"/>
  <c r="Q1337" i="5"/>
  <c r="Q822" i="5"/>
  <c r="P822" i="5"/>
  <c r="Q372" i="5"/>
  <c r="P372" i="5"/>
  <c r="P1193" i="5"/>
  <c r="Q1193" i="5"/>
  <c r="Q1093" i="5"/>
  <c r="P1093" i="5"/>
  <c r="Q569" i="5"/>
  <c r="P569" i="5"/>
  <c r="Q578" i="5"/>
  <c r="P578" i="5"/>
  <c r="Q158" i="5"/>
  <c r="P158" i="5"/>
  <c r="P1408" i="5"/>
  <c r="Q1408" i="5"/>
  <c r="Q942" i="5"/>
  <c r="P942" i="5"/>
  <c r="Q508" i="5"/>
  <c r="P508" i="5"/>
  <c r="Q928" i="5"/>
  <c r="P928" i="5"/>
  <c r="Q65" i="5"/>
  <c r="P65" i="5"/>
  <c r="Q890" i="5"/>
  <c r="P890" i="5"/>
  <c r="Q1275" i="5"/>
  <c r="P1275" i="5"/>
  <c r="Q734" i="5"/>
  <c r="P734" i="5"/>
  <c r="P1038" i="5"/>
  <c r="Q1038" i="5"/>
  <c r="Q789" i="5"/>
  <c r="P789" i="5"/>
  <c r="Q1290" i="5"/>
  <c r="P1290" i="5"/>
  <c r="Q996" i="5"/>
  <c r="P996" i="5"/>
  <c r="Q876" i="5"/>
  <c r="P876" i="5"/>
  <c r="P325" i="5"/>
  <c r="Q325" i="5"/>
  <c r="Q1282" i="5"/>
  <c r="P1282" i="5"/>
  <c r="Q1364" i="5"/>
  <c r="P1364" i="5"/>
  <c r="Q123" i="5"/>
  <c r="P123" i="5"/>
  <c r="Q172" i="5"/>
  <c r="P172" i="5"/>
  <c r="Q852" i="5"/>
  <c r="P852" i="5"/>
  <c r="P110" i="5"/>
  <c r="Q110" i="5"/>
  <c r="Q694" i="5"/>
  <c r="P694" i="5"/>
  <c r="Q721" i="5"/>
  <c r="P1319" i="5"/>
  <c r="Q1319" i="5"/>
  <c r="Q39" i="5"/>
  <c r="P39" i="5"/>
  <c r="P344" i="5"/>
  <c r="Q344" i="5"/>
  <c r="P1130" i="5"/>
  <c r="Q1130" i="5"/>
  <c r="Q436" i="5"/>
  <c r="P436" i="5"/>
  <c r="Q1049" i="5"/>
  <c r="P1049" i="5"/>
  <c r="Q70" i="5"/>
  <c r="Q801" i="5"/>
  <c r="P801" i="5"/>
  <c r="Q174" i="5"/>
  <c r="P174" i="5"/>
  <c r="Q766" i="5"/>
  <c r="P766" i="5"/>
  <c r="P806" i="5"/>
  <c r="Q806" i="5"/>
  <c r="P249" i="5"/>
  <c r="Q249" i="5"/>
  <c r="P1366" i="5"/>
  <c r="Q1366" i="5"/>
  <c r="Q363" i="5"/>
  <c r="P363" i="5"/>
  <c r="Q1005" i="5"/>
  <c r="P1005" i="5"/>
  <c r="P582" i="5"/>
  <c r="Q582" i="5"/>
  <c r="Q1215" i="5"/>
  <c r="P1215" i="5"/>
  <c r="Q364" i="5"/>
  <c r="P992" i="5"/>
  <c r="Q992" i="5"/>
  <c r="P580" i="5"/>
  <c r="Q580" i="5"/>
  <c r="Q1134" i="5"/>
  <c r="P631" i="5"/>
  <c r="Q631" i="5"/>
  <c r="Q1144" i="5"/>
  <c r="P1144" i="5"/>
  <c r="Q698" i="5"/>
  <c r="P698" i="5"/>
  <c r="Q729" i="5"/>
  <c r="P729" i="5"/>
  <c r="Q982" i="5"/>
  <c r="P982" i="5"/>
  <c r="Q709" i="5"/>
  <c r="P709" i="5"/>
  <c r="Q930" i="5"/>
  <c r="P930" i="5"/>
  <c r="Q435" i="5"/>
  <c r="P435" i="5"/>
  <c r="Q973" i="5"/>
  <c r="Q465" i="5"/>
  <c r="P465" i="5"/>
  <c r="Q1147" i="5"/>
  <c r="P1147" i="5"/>
  <c r="Q687" i="5"/>
  <c r="P687" i="5"/>
  <c r="Q318" i="5"/>
  <c r="P318" i="5"/>
  <c r="P946" i="5"/>
  <c r="Q946" i="5"/>
  <c r="P475" i="5"/>
  <c r="Q475" i="5"/>
  <c r="Q1029" i="5"/>
  <c r="Q571" i="5"/>
  <c r="P571" i="5"/>
  <c r="P713" i="5"/>
  <c r="Q713" i="5"/>
  <c r="Q956" i="5"/>
  <c r="P956" i="5"/>
  <c r="Q865" i="5"/>
  <c r="P865" i="5"/>
  <c r="Q535" i="5"/>
  <c r="P535" i="5"/>
  <c r="Q1279" i="5"/>
  <c r="P1279" i="5"/>
  <c r="Q1274" i="5"/>
  <c r="Q1067" i="5"/>
  <c r="P1067" i="5"/>
  <c r="P534" i="5"/>
  <c r="Q534" i="5"/>
  <c r="Q919" i="5"/>
  <c r="P919" i="5"/>
  <c r="Q1108" i="5"/>
  <c r="P1108" i="5"/>
  <c r="Q677" i="5"/>
  <c r="P677" i="5"/>
  <c r="Q284" i="5"/>
  <c r="P284" i="5"/>
  <c r="Q40" i="5"/>
  <c r="P40" i="5"/>
  <c r="Q1086" i="5"/>
  <c r="P1086" i="5"/>
  <c r="P517" i="5"/>
  <c r="Q517" i="5"/>
  <c r="Q1037" i="5"/>
  <c r="P1037" i="5"/>
  <c r="Q67" i="5"/>
  <c r="P67" i="5"/>
  <c r="P1264" i="5"/>
  <c r="Q1264" i="5"/>
  <c r="P820" i="5"/>
  <c r="Q820" i="5"/>
  <c r="Q277" i="5"/>
  <c r="P277" i="5"/>
  <c r="P1318" i="5"/>
  <c r="Q1318" i="5"/>
  <c r="Q1035" i="5"/>
  <c r="P1035" i="5"/>
  <c r="Q544" i="5"/>
  <c r="P544" i="5"/>
  <c r="Q642" i="5"/>
  <c r="P642" i="5"/>
  <c r="Q201" i="5"/>
  <c r="P201" i="5"/>
  <c r="Q1359" i="5"/>
  <c r="P1359" i="5"/>
  <c r="P979" i="5"/>
  <c r="Q979" i="5"/>
  <c r="Q603" i="5"/>
  <c r="P603" i="5"/>
  <c r="Q1172" i="5"/>
  <c r="P1172" i="5"/>
  <c r="Q81" i="5"/>
  <c r="P81" i="5"/>
  <c r="Q637" i="5"/>
  <c r="P1278" i="5"/>
  <c r="Q1278" i="5"/>
  <c r="P870" i="5"/>
  <c r="Q870" i="5"/>
  <c r="Q629" i="5"/>
  <c r="P629" i="5"/>
  <c r="Q811" i="5"/>
  <c r="P811" i="5"/>
  <c r="Q1343" i="5"/>
  <c r="P1343" i="5"/>
  <c r="P1403" i="5"/>
  <c r="Q1403" i="5"/>
  <c r="P566" i="5"/>
  <c r="Q566" i="5"/>
  <c r="Q841" i="5"/>
  <c r="P841" i="5"/>
  <c r="Q281" i="5"/>
  <c r="P281" i="5"/>
  <c r="Q951" i="5"/>
  <c r="P951" i="5"/>
  <c r="P1304" i="5"/>
  <c r="Q1304" i="5"/>
  <c r="P817" i="5"/>
  <c r="Q817" i="5"/>
  <c r="Q690" i="5"/>
  <c r="P690" i="5"/>
  <c r="Q41" i="5"/>
  <c r="P41" i="5"/>
  <c r="Q117" i="5"/>
  <c r="P117" i="5"/>
  <c r="P1303" i="5"/>
  <c r="Q1303" i="5"/>
  <c r="Q46" i="5"/>
  <c r="P46" i="5"/>
  <c r="Q367" i="5"/>
  <c r="P367" i="5"/>
  <c r="Q1205" i="5"/>
  <c r="P1205" i="5"/>
  <c r="Q444" i="5"/>
  <c r="P444" i="5"/>
  <c r="Q1060" i="5"/>
  <c r="P1060" i="5"/>
  <c r="P1362" i="5"/>
  <c r="Q1362" i="5"/>
  <c r="Q181" i="5"/>
  <c r="P181" i="5"/>
  <c r="Q760" i="5"/>
  <c r="P760" i="5"/>
  <c r="Q747" i="5"/>
  <c r="P747" i="5"/>
  <c r="Q96" i="5"/>
  <c r="P96" i="5"/>
  <c r="P354" i="5"/>
  <c r="Q354" i="5"/>
  <c r="Q1155" i="5"/>
  <c r="P1313" i="5"/>
  <c r="Q1313" i="5"/>
  <c r="Q574" i="5"/>
  <c r="Q1287" i="5"/>
  <c r="P1287" i="5"/>
  <c r="P923" i="5"/>
  <c r="Q923" i="5"/>
  <c r="Q1084" i="5"/>
  <c r="P1084" i="5"/>
  <c r="Q264" i="5"/>
  <c r="P264" i="5"/>
  <c r="Q170" i="5"/>
  <c r="P170" i="5"/>
  <c r="Q650" i="5"/>
  <c r="P650" i="5"/>
  <c r="Q1265" i="5"/>
  <c r="P1265" i="5"/>
  <c r="Q727" i="5"/>
  <c r="P727" i="5"/>
  <c r="Q1334" i="5"/>
  <c r="P1334" i="5"/>
  <c r="Q382" i="5"/>
  <c r="P382" i="5"/>
  <c r="Q1103" i="5"/>
  <c r="P1103" i="5"/>
  <c r="Q750" i="5"/>
  <c r="P750" i="5"/>
  <c r="Q1044" i="5"/>
  <c r="P1044" i="5"/>
  <c r="Q678" i="5"/>
  <c r="P678" i="5"/>
  <c r="Q1171" i="5"/>
  <c r="P1171" i="5"/>
  <c r="Q931" i="5"/>
  <c r="Q385" i="5"/>
  <c r="Q1071" i="5"/>
  <c r="Q540" i="5"/>
  <c r="P540" i="5"/>
  <c r="Q1094" i="5"/>
  <c r="P1094" i="5"/>
  <c r="Q736" i="5"/>
  <c r="P736" i="5"/>
  <c r="P342" i="5"/>
  <c r="Q342" i="5"/>
  <c r="Q1082" i="5"/>
  <c r="P1082" i="5"/>
  <c r="Q975" i="5"/>
  <c r="P975" i="5"/>
  <c r="Q1001" i="5"/>
  <c r="Q549" i="5"/>
  <c r="P549" i="5"/>
  <c r="Q788" i="5"/>
  <c r="P788" i="5"/>
  <c r="Q898" i="5"/>
  <c r="P898" i="5"/>
  <c r="P922" i="5"/>
  <c r="Q922" i="5"/>
  <c r="Q279" i="5"/>
  <c r="P279" i="5"/>
  <c r="Q327" i="5"/>
  <c r="P327" i="5"/>
  <c r="Q1019" i="5"/>
  <c r="P1019" i="5"/>
  <c r="Q576" i="5"/>
  <c r="P576" i="5"/>
  <c r="Q774" i="5"/>
  <c r="P774" i="5"/>
  <c r="Q1398" i="5"/>
  <c r="P1398" i="5"/>
  <c r="Q1120" i="5"/>
  <c r="P663" i="5"/>
  <c r="Q663" i="5"/>
  <c r="Q197" i="5"/>
  <c r="P197" i="5"/>
  <c r="P1012" i="5"/>
  <c r="Q1012" i="5"/>
  <c r="Q432" i="5"/>
  <c r="P432" i="5"/>
  <c r="Q1054" i="5"/>
  <c r="P1054" i="5"/>
  <c r="P169" i="5"/>
  <c r="Q169" i="5"/>
  <c r="Q1219" i="5"/>
  <c r="P1219" i="5"/>
  <c r="Q859" i="5"/>
  <c r="P859" i="5"/>
  <c r="P292" i="5"/>
  <c r="Q292" i="5"/>
  <c r="Q1351" i="5"/>
  <c r="P948" i="5"/>
  <c r="Q948" i="5"/>
  <c r="P489" i="5"/>
  <c r="Q489" i="5"/>
  <c r="Q838" i="5"/>
  <c r="P838" i="5"/>
  <c r="P190" i="5"/>
  <c r="Q190" i="5"/>
  <c r="Q1308" i="5"/>
  <c r="P1308" i="5"/>
  <c r="Q945" i="5"/>
  <c r="Q1145" i="5"/>
  <c r="P1145" i="5"/>
  <c r="Q97" i="5"/>
  <c r="P97" i="5"/>
  <c r="Q1020" i="5"/>
  <c r="P1020" i="5"/>
  <c r="Q724" i="5"/>
  <c r="P724" i="5"/>
  <c r="Q1300" i="5"/>
  <c r="P1300" i="5"/>
  <c r="P937" i="5"/>
  <c r="Q937" i="5"/>
  <c r="Q429" i="5"/>
  <c r="P429" i="5"/>
  <c r="Q897" i="5"/>
  <c r="P897" i="5"/>
  <c r="P551" i="5"/>
  <c r="Q551" i="5"/>
  <c r="Q452" i="5"/>
  <c r="P452" i="5"/>
  <c r="Q1323" i="5"/>
  <c r="P459" i="5"/>
  <c r="Q459" i="5"/>
  <c r="P424" i="5"/>
  <c r="Q424" i="5"/>
  <c r="Q237" i="5"/>
  <c r="P237" i="5"/>
  <c r="Q1378" i="5"/>
  <c r="P1378" i="5"/>
  <c r="Q346" i="5"/>
  <c r="P346" i="5"/>
  <c r="Q1328" i="5"/>
  <c r="P1328" i="5"/>
  <c r="P685" i="5"/>
  <c r="Q685" i="5"/>
  <c r="P319" i="5"/>
  <c r="Q319" i="5"/>
  <c r="P234" i="5"/>
  <c r="Q234" i="5"/>
  <c r="P1230" i="5"/>
  <c r="Q1230" i="5"/>
  <c r="Q615" i="5"/>
  <c r="P615" i="5"/>
  <c r="P1317" i="5"/>
  <c r="Q1317" i="5"/>
  <c r="Q62" i="5"/>
  <c r="P62" i="5"/>
  <c r="Q710" i="5"/>
  <c r="P710" i="5"/>
  <c r="Q1325" i="5"/>
  <c r="P1325" i="5"/>
  <c r="Q404" i="5"/>
  <c r="P404" i="5"/>
  <c r="Q1058" i="5"/>
  <c r="P1058" i="5"/>
  <c r="Q786" i="5"/>
  <c r="P786" i="5"/>
  <c r="Q139" i="5"/>
  <c r="P139" i="5"/>
  <c r="P1226" i="5"/>
  <c r="Q1226" i="5"/>
  <c r="Q1253" i="5"/>
  <c r="Q103" i="5"/>
  <c r="P103" i="5"/>
  <c r="Q1355" i="5"/>
  <c r="P1355" i="5"/>
  <c r="Q744" i="5"/>
  <c r="P744" i="5"/>
  <c r="Q1068" i="5"/>
  <c r="P1068" i="5"/>
  <c r="Q1201" i="5"/>
  <c r="P1201" i="5"/>
  <c r="Q205" i="5"/>
  <c r="P205" i="5"/>
  <c r="P1301" i="5"/>
  <c r="Q1301" i="5"/>
  <c r="P375" i="5"/>
  <c r="Q375" i="5"/>
  <c r="Q1186" i="5"/>
  <c r="P1186" i="5"/>
  <c r="Q55" i="5"/>
  <c r="P55" i="5"/>
  <c r="Q548" i="5"/>
  <c r="P548" i="5"/>
  <c r="Q437" i="5"/>
  <c r="P437" i="5"/>
  <c r="P594" i="5"/>
  <c r="Q594" i="5"/>
  <c r="P1209" i="5"/>
  <c r="Q1209" i="5"/>
  <c r="Q477" i="5"/>
  <c r="P477" i="5"/>
  <c r="Q1190" i="5"/>
  <c r="Q73" i="5"/>
  <c r="P73" i="5"/>
  <c r="Q688" i="5"/>
  <c r="P688" i="5"/>
  <c r="Q1379" i="5"/>
  <c r="Q1307" i="5"/>
  <c r="P1307" i="5"/>
  <c r="Q849" i="5"/>
  <c r="P849" i="5"/>
  <c r="Q1341" i="5"/>
  <c r="P1341" i="5"/>
  <c r="Q1188" i="5"/>
  <c r="P1188" i="5"/>
  <c r="P701" i="5"/>
  <c r="Q701" i="5"/>
  <c r="P821" i="5"/>
  <c r="Q821" i="5"/>
  <c r="Q1099" i="5"/>
  <c r="Q1388" i="5"/>
  <c r="P1388" i="5"/>
  <c r="Q814" i="5"/>
  <c r="P814" i="5"/>
  <c r="Q394" i="5"/>
  <c r="P394" i="5"/>
  <c r="P1187" i="5"/>
  <c r="Q1187" i="5"/>
  <c r="Q511" i="5"/>
  <c r="Q1158" i="5"/>
  <c r="P1158" i="5"/>
  <c r="Q731" i="5"/>
  <c r="P731" i="5"/>
  <c r="P298" i="5"/>
  <c r="Q298" i="5"/>
  <c r="P1182" i="5"/>
  <c r="Q1182" i="5"/>
  <c r="P927" i="5"/>
  <c r="Q927" i="5"/>
  <c r="Q493" i="5"/>
  <c r="P493" i="5"/>
  <c r="Q1007" i="5"/>
  <c r="P1007" i="5"/>
  <c r="Q763" i="5"/>
  <c r="Q271" i="5"/>
  <c r="P271" i="5"/>
  <c r="Q223" i="5"/>
  <c r="P223" i="5"/>
  <c r="Q939" i="5"/>
  <c r="P939" i="5"/>
  <c r="Q638" i="5"/>
  <c r="P638" i="5"/>
  <c r="Q700" i="5"/>
  <c r="Q1163" i="5"/>
  <c r="P1163" i="5"/>
  <c r="P684" i="5"/>
  <c r="Q684" i="5"/>
  <c r="Q411" i="5"/>
  <c r="P411" i="5"/>
  <c r="Q1416" i="5"/>
  <c r="P1416" i="5"/>
  <c r="Q976" i="5"/>
  <c r="P976" i="5"/>
  <c r="Q390" i="5"/>
  <c r="P390" i="5"/>
  <c r="Q1196" i="5"/>
  <c r="P1196" i="5"/>
  <c r="Q154" i="5"/>
  <c r="P1168" i="5"/>
  <c r="Q1168" i="5"/>
  <c r="Q772" i="5"/>
  <c r="P772" i="5"/>
  <c r="Q288" i="5"/>
  <c r="P288" i="5"/>
  <c r="Q892" i="5"/>
  <c r="P892" i="5"/>
  <c r="P352" i="5"/>
  <c r="Q352" i="5"/>
  <c r="P765" i="5"/>
  <c r="Q765" i="5"/>
  <c r="Q1249" i="5"/>
  <c r="P1249" i="5"/>
  <c r="P935" i="5"/>
  <c r="Q935" i="5"/>
  <c r="Q418" i="5"/>
  <c r="P418" i="5"/>
  <c r="Q1243" i="5"/>
  <c r="P1243" i="5"/>
  <c r="Q156" i="5"/>
  <c r="P156" i="5"/>
  <c r="Q988" i="5"/>
  <c r="P988" i="5"/>
  <c r="Q1385" i="5"/>
  <c r="P1385" i="5"/>
  <c r="Q943" i="5"/>
  <c r="P943" i="5"/>
  <c r="Q207" i="5"/>
  <c r="P207" i="5"/>
  <c r="Q1396" i="5"/>
  <c r="P1396" i="5"/>
  <c r="Q196" i="5"/>
  <c r="P1075" i="5"/>
  <c r="Q1075" i="5"/>
  <c r="Q1118" i="5"/>
  <c r="P1118" i="5"/>
  <c r="Q1053" i="5"/>
  <c r="P1053" i="5"/>
  <c r="P513" i="5"/>
  <c r="Q513" i="5"/>
  <c r="Q556" i="5"/>
  <c r="P556" i="5"/>
  <c r="Q426" i="5"/>
  <c r="P426" i="5"/>
  <c r="Q1232" i="5"/>
  <c r="P1076" i="5"/>
  <c r="Q1076" i="5"/>
  <c r="Q917" i="5"/>
  <c r="Q1151" i="5"/>
  <c r="P1151" i="5"/>
  <c r="Q622" i="5"/>
  <c r="P622" i="5"/>
  <c r="Q533" i="5"/>
  <c r="P533" i="5"/>
  <c r="Q29" i="5"/>
  <c r="P29" i="5"/>
  <c r="Q752" i="5"/>
  <c r="P752" i="5"/>
  <c r="P1312" i="5"/>
  <c r="Q1312" i="5"/>
  <c r="Q454" i="5"/>
  <c r="P454" i="5"/>
  <c r="Q1092" i="5"/>
  <c r="Q894" i="5"/>
  <c r="P894" i="5"/>
  <c r="P47" i="5"/>
  <c r="Q47" i="5"/>
  <c r="P402" i="5"/>
  <c r="Q402" i="5"/>
  <c r="Q1330" i="5"/>
  <c r="Q1248" i="5"/>
  <c r="P1248" i="5"/>
  <c r="Q151" i="5"/>
  <c r="P151" i="5"/>
  <c r="P829" i="5"/>
  <c r="Q829" i="5"/>
  <c r="Q1306" i="5"/>
  <c r="P1306" i="5"/>
  <c r="Q335" i="5"/>
  <c r="P335" i="5"/>
  <c r="Q506" i="5"/>
  <c r="P506" i="5"/>
  <c r="Q1169" i="5"/>
  <c r="Q175" i="5"/>
  <c r="P1212" i="5"/>
  <c r="Q1212" i="5"/>
  <c r="Q608" i="5"/>
  <c r="P608" i="5"/>
  <c r="Q1046" i="5"/>
  <c r="P1046" i="5"/>
  <c r="P621" i="5"/>
  <c r="Q621" i="5"/>
  <c r="Q1286" i="5"/>
  <c r="P1286" i="5"/>
  <c r="Q1288" i="5"/>
  <c r="Q792" i="5"/>
  <c r="P792" i="5"/>
  <c r="P1420" i="5"/>
  <c r="Q1420" i="5"/>
  <c r="Q160" i="5"/>
  <c r="P160" i="5"/>
  <c r="Q884" i="5"/>
  <c r="P884" i="5"/>
  <c r="Q453" i="5"/>
  <c r="P453" i="5"/>
  <c r="P718" i="5"/>
  <c r="Q718" i="5"/>
  <c r="P1136" i="5"/>
  <c r="Q1136" i="5"/>
  <c r="P1363" i="5"/>
  <c r="Q1363" i="5"/>
  <c r="P759" i="5"/>
  <c r="Q759" i="5"/>
  <c r="P251" i="5"/>
  <c r="Q251" i="5"/>
  <c r="Q1291" i="5"/>
  <c r="P1291" i="5"/>
  <c r="P386" i="5"/>
  <c r="Q386" i="5"/>
  <c r="P1166" i="5"/>
  <c r="Q1166" i="5"/>
  <c r="Q676" i="5"/>
  <c r="P676" i="5"/>
  <c r="Q368" i="5"/>
  <c r="P368" i="5"/>
  <c r="Q1315" i="5"/>
  <c r="P1315" i="5"/>
  <c r="P1390" i="5"/>
  <c r="Q1390" i="5"/>
  <c r="Q877" i="5"/>
  <c r="P877" i="5"/>
  <c r="Q389" i="5"/>
  <c r="P389" i="5"/>
  <c r="Q1107" i="5"/>
  <c r="P1107" i="5"/>
  <c r="P599" i="5"/>
  <c r="Q599" i="5"/>
  <c r="Q1347" i="5"/>
  <c r="P1347" i="5"/>
  <c r="Q853" i="5"/>
  <c r="P853" i="5"/>
  <c r="Q309" i="5"/>
  <c r="P309" i="5"/>
  <c r="Q194" i="5"/>
  <c r="P194" i="5"/>
  <c r="Q739" i="5"/>
  <c r="P739" i="5"/>
  <c r="P430" i="5"/>
  <c r="Q430" i="5"/>
  <c r="Q1014" i="5"/>
  <c r="P1014" i="5"/>
  <c r="Q471" i="5"/>
  <c r="P471" i="5"/>
  <c r="Q1386" i="5"/>
  <c r="Q959" i="5"/>
  <c r="Q361" i="5"/>
  <c r="P361" i="5"/>
  <c r="Q1391" i="5"/>
  <c r="P1391" i="5"/>
  <c r="Q142" i="5"/>
  <c r="P142" i="5"/>
  <c r="Q1180" i="5"/>
  <c r="P1180" i="5"/>
  <c r="Q719" i="5"/>
  <c r="P719" i="5"/>
  <c r="Q360" i="5"/>
  <c r="P360" i="5"/>
  <c r="Q178" i="5"/>
  <c r="P178" i="5"/>
  <c r="Q950" i="5"/>
  <c r="P950" i="5"/>
  <c r="P359" i="5"/>
  <c r="Q359" i="5"/>
  <c r="Q963" i="5"/>
  <c r="P963" i="5"/>
  <c r="Q1048" i="5"/>
  <c r="P1048" i="5"/>
  <c r="Q1299" i="5"/>
  <c r="P1299" i="5"/>
  <c r="P918" i="5"/>
  <c r="Q918" i="5"/>
  <c r="P421" i="5"/>
  <c r="Q421" i="5"/>
  <c r="Q1417" i="5"/>
  <c r="P1417" i="5"/>
  <c r="P173" i="5"/>
  <c r="Q173" i="5"/>
  <c r="Q985" i="5"/>
  <c r="P985" i="5"/>
  <c r="Q896" i="5"/>
  <c r="P947" i="5"/>
  <c r="Q947" i="5"/>
  <c r="Q163" i="5"/>
  <c r="P163" i="5"/>
  <c r="P955" i="5"/>
  <c r="Q955" i="5"/>
  <c r="Q60" i="5"/>
  <c r="P60" i="5"/>
  <c r="Q769" i="5"/>
  <c r="P769" i="5"/>
  <c r="Q1392" i="5"/>
  <c r="P1392" i="5"/>
  <c r="Q762" i="5"/>
  <c r="P762" i="5"/>
  <c r="Q102" i="5"/>
  <c r="P102" i="5"/>
  <c r="Q1066" i="5"/>
  <c r="P1066" i="5"/>
  <c r="Q1141" i="5"/>
  <c r="Q61" i="5"/>
  <c r="P61" i="5"/>
  <c r="Q240" i="5"/>
  <c r="P240" i="5"/>
  <c r="Q559" i="5"/>
  <c r="P559" i="5"/>
  <c r="P984" i="5"/>
  <c r="Q984" i="5"/>
  <c r="Q754" i="5"/>
  <c r="P754" i="5"/>
  <c r="P1234" i="5"/>
  <c r="Q1234" i="5"/>
  <c r="Q933" i="5"/>
  <c r="P933" i="5"/>
  <c r="Q149" i="5"/>
  <c r="P149" i="5"/>
  <c r="Q507" i="5"/>
  <c r="P507" i="5"/>
  <c r="P1368" i="5"/>
  <c r="Q1368" i="5"/>
  <c r="Q185" i="5"/>
  <c r="P185" i="5"/>
  <c r="Q839" i="5"/>
  <c r="P839" i="5"/>
  <c r="Q1353" i="5"/>
  <c r="P1353" i="5"/>
  <c r="Q568" i="5"/>
  <c r="P568" i="5"/>
  <c r="Q1192" i="5"/>
  <c r="P1192" i="5"/>
  <c r="Q409" i="5"/>
  <c r="P409" i="5"/>
  <c r="Q78" i="5"/>
  <c r="P78" i="5"/>
  <c r="Q451" i="5"/>
  <c r="P451" i="5"/>
  <c r="Q635" i="5"/>
  <c r="P635" i="5"/>
  <c r="Q1305" i="5"/>
  <c r="P1305" i="5"/>
  <c r="P211" i="5"/>
  <c r="Q211" i="5"/>
  <c r="Q936" i="5"/>
  <c r="P936" i="5"/>
  <c r="Q239" i="5"/>
  <c r="P239" i="5"/>
  <c r="P895" i="5"/>
  <c r="Q895" i="5"/>
  <c r="Q1089" i="5"/>
  <c r="P1089" i="5"/>
  <c r="Q395" i="5"/>
  <c r="P395" i="5"/>
  <c r="Q1415" i="5"/>
  <c r="P1415" i="5"/>
  <c r="Q523" i="5"/>
  <c r="P523" i="5"/>
  <c r="P1174" i="5"/>
  <c r="Q1174" i="5"/>
  <c r="Q618" i="5"/>
  <c r="P618" i="5"/>
  <c r="P857" i="5"/>
  <c r="Q857" i="5"/>
  <c r="P488" i="5"/>
  <c r="Q488" i="5"/>
  <c r="Q1034" i="5"/>
  <c r="P1034" i="5"/>
  <c r="Q730" i="5"/>
  <c r="P730" i="5"/>
  <c r="P1216" i="5"/>
  <c r="Q1216" i="5"/>
  <c r="Q1316" i="5"/>
  <c r="Q165" i="5"/>
  <c r="P165" i="5"/>
  <c r="Q218" i="5"/>
  <c r="P218" i="5"/>
  <c r="Q492" i="5"/>
  <c r="P492" i="5"/>
  <c r="P1360" i="5"/>
  <c r="Q1360" i="5"/>
  <c r="Q373" i="5"/>
  <c r="P373" i="5"/>
  <c r="Q863" i="5"/>
  <c r="P863" i="5"/>
  <c r="Q785" i="5"/>
  <c r="P785" i="5"/>
  <c r="Q1106" i="5"/>
  <c r="Q1393" i="5"/>
  <c r="Q726" i="5"/>
  <c r="P726" i="5"/>
  <c r="Q275" i="5"/>
  <c r="P275" i="5"/>
  <c r="Q1407" i="5"/>
  <c r="Q291" i="5"/>
  <c r="P291" i="5"/>
  <c r="Q1110" i="5"/>
  <c r="P1110" i="5"/>
  <c r="Q585" i="5"/>
  <c r="P585" i="5"/>
  <c r="Q349" i="5"/>
  <c r="P349" i="5"/>
  <c r="Q1401" i="5"/>
  <c r="P1401" i="5"/>
  <c r="Q1352" i="5"/>
  <c r="P1352" i="5"/>
  <c r="Q932" i="5"/>
  <c r="P932" i="5"/>
  <c r="Q326" i="5"/>
  <c r="P326" i="5"/>
  <c r="Q1164" i="5"/>
  <c r="P1164" i="5"/>
  <c r="P586" i="5"/>
  <c r="Q586" i="5"/>
  <c r="Q796" i="5"/>
  <c r="P796" i="5"/>
  <c r="Q345" i="5"/>
  <c r="P345" i="5"/>
  <c r="Q143" i="5"/>
  <c r="P143" i="5"/>
  <c r="Q880" i="5"/>
  <c r="P880" i="5"/>
  <c r="Q438" i="5"/>
  <c r="P438" i="5"/>
  <c r="P830" i="5"/>
  <c r="Q830" i="5"/>
  <c r="Q416" i="5"/>
  <c r="P416" i="5"/>
  <c r="Q1365" i="5"/>
  <c r="P1095" i="5"/>
  <c r="Q1095" i="5"/>
  <c r="Q469" i="5"/>
  <c r="P1237" i="5"/>
  <c r="Q1237" i="5"/>
  <c r="Q926" i="5"/>
  <c r="P926" i="5"/>
  <c r="Q1176" i="5"/>
  <c r="Q708" i="5"/>
  <c r="P708" i="5"/>
  <c r="Q219" i="5"/>
  <c r="P219" i="5"/>
  <c r="P36" i="5"/>
  <c r="Q36" i="5"/>
  <c r="Q848" i="5"/>
  <c r="P848" i="5"/>
  <c r="P304" i="5"/>
  <c r="Q304" i="5"/>
  <c r="Q1194" i="5"/>
  <c r="P1194" i="5"/>
  <c r="P1017" i="5"/>
  <c r="Q1017" i="5"/>
  <c r="Q1302" i="5"/>
  <c r="Q891" i="5"/>
  <c r="P891" i="5"/>
  <c r="P446" i="5"/>
  <c r="Q446" i="5"/>
  <c r="Q180" i="5"/>
  <c r="P180" i="5"/>
  <c r="P192" i="5"/>
  <c r="Q192" i="5"/>
  <c r="Q873" i="5"/>
  <c r="P873" i="5"/>
  <c r="Q133" i="5"/>
  <c r="Q967" i="5"/>
  <c r="P967" i="5"/>
  <c r="Q1340" i="5"/>
  <c r="P1340" i="5"/>
  <c r="Q732" i="5"/>
  <c r="P732" i="5"/>
  <c r="Q112" i="5"/>
  <c r="Q1295" i="5"/>
  <c r="P530" i="5"/>
  <c r="Q530" i="5"/>
  <c r="Q805" i="5"/>
  <c r="Q1321" i="5"/>
  <c r="P1321" i="5"/>
  <c r="Q247" i="5"/>
  <c r="P247" i="5"/>
  <c r="Q864" i="5"/>
  <c r="P864" i="5"/>
  <c r="Q1405" i="5"/>
  <c r="P1405" i="5"/>
  <c r="Q501" i="5"/>
  <c r="P501" i="5"/>
  <c r="Q1361" i="5"/>
  <c r="P1361" i="5"/>
  <c r="Q412" i="5"/>
  <c r="P412" i="5"/>
  <c r="P902" i="5"/>
  <c r="Q902" i="5"/>
  <c r="Q228" i="5"/>
  <c r="P228" i="5"/>
  <c r="P828" i="5"/>
  <c r="Q828" i="5"/>
  <c r="Q1322" i="5"/>
  <c r="P1322" i="5"/>
  <c r="Q751" i="5"/>
  <c r="P751" i="5"/>
  <c r="P362" i="5"/>
  <c r="Q362" i="5"/>
  <c r="Q246" i="5"/>
  <c r="P246" i="5"/>
  <c r="Q317" i="5"/>
  <c r="P317" i="5"/>
  <c r="Q1064" i="5"/>
  <c r="Q606" i="5"/>
  <c r="P606" i="5"/>
  <c r="P276" i="5"/>
  <c r="Q276" i="5"/>
  <c r="Q124" i="5"/>
  <c r="P124" i="5"/>
  <c r="Q1372" i="5"/>
  <c r="Q866" i="5"/>
  <c r="P866" i="5"/>
  <c r="P1314" i="5"/>
  <c r="Q1314" i="5"/>
  <c r="Q487" i="5"/>
  <c r="P487" i="5"/>
  <c r="Q1358" i="5"/>
  <c r="Q779" i="5"/>
  <c r="P779" i="5"/>
  <c r="P104" i="5"/>
  <c r="Q104" i="5"/>
  <c r="P1413" i="5"/>
  <c r="Q1413" i="5"/>
  <c r="P810" i="5"/>
  <c r="Q810" i="5"/>
  <c r="P463" i="5"/>
  <c r="Q463" i="5"/>
  <c r="Q993" i="5"/>
  <c r="P993" i="5"/>
  <c r="Q107" i="5"/>
  <c r="P107" i="5"/>
  <c r="Q1336" i="5"/>
  <c r="P1336" i="5"/>
  <c r="P944" i="5"/>
  <c r="Q944" i="5"/>
  <c r="Q616" i="5"/>
  <c r="Q640" i="5"/>
  <c r="P640" i="5"/>
  <c r="P1245" i="5"/>
  <c r="Q1245" i="5"/>
  <c r="Q874" i="5"/>
  <c r="P874" i="5"/>
  <c r="Q320" i="5"/>
  <c r="P320" i="5"/>
  <c r="P31" i="5"/>
  <c r="Q31" i="5"/>
  <c r="Q51" i="5"/>
  <c r="P51" i="5"/>
  <c r="Q1042" i="5"/>
  <c r="P1042" i="5"/>
  <c r="Q695" i="5"/>
  <c r="P695" i="5"/>
  <c r="Q322" i="5"/>
  <c r="Q740" i="5"/>
  <c r="P740" i="5"/>
  <c r="Q353" i="5"/>
  <c r="P353" i="5"/>
  <c r="Q1189" i="5"/>
  <c r="P1189" i="5"/>
  <c r="Q962" i="5"/>
  <c r="P962" i="5"/>
  <c r="Q1281" i="5"/>
  <c r="Q816" i="5"/>
  <c r="P816" i="5"/>
  <c r="P282" i="5"/>
  <c r="Q282" i="5"/>
  <c r="Q225" i="5"/>
  <c r="P225" i="5"/>
  <c r="Q32" i="5"/>
  <c r="P32" i="5"/>
  <c r="Q1335" i="5"/>
  <c r="Q845" i="5"/>
  <c r="P845" i="5"/>
  <c r="P255" i="5"/>
  <c r="Q255" i="5"/>
  <c r="P998" i="5"/>
  <c r="Q998" i="5"/>
  <c r="Q1028" i="5"/>
  <c r="P1028" i="5"/>
  <c r="Q938" i="5"/>
  <c r="P370" i="5"/>
  <c r="Q370" i="5"/>
  <c r="P1117" i="5"/>
  <c r="Q1117" i="5"/>
  <c r="Q1357" i="5"/>
  <c r="P1357" i="5"/>
  <c r="P620" i="5"/>
  <c r="Q620" i="5"/>
  <c r="Q748" i="5"/>
  <c r="P748" i="5"/>
  <c r="Q885" i="5"/>
  <c r="P885" i="5"/>
  <c r="P1003" i="5"/>
  <c r="Q1003" i="5"/>
  <c r="Q1010" i="5"/>
  <c r="P1010" i="5"/>
  <c r="Q914" i="5"/>
  <c r="P914" i="5"/>
  <c r="P491" i="5"/>
  <c r="Q491" i="5"/>
  <c r="Q1217" i="5"/>
  <c r="P1217" i="5"/>
  <c r="Q1381" i="5"/>
  <c r="P1381" i="5"/>
  <c r="Q913" i="5"/>
  <c r="P913" i="5"/>
  <c r="Q1247" i="5"/>
  <c r="P1247" i="5"/>
  <c r="Q657" i="5"/>
  <c r="P657" i="5"/>
  <c r="Q1121" i="5"/>
  <c r="P1121" i="5"/>
  <c r="Q1233" i="5"/>
  <c r="P1233" i="5"/>
  <c r="Q831" i="5"/>
  <c r="P831" i="5"/>
  <c r="Q1250" i="5"/>
  <c r="P1250" i="5"/>
  <c r="Q1389" i="5"/>
  <c r="P1389" i="5"/>
  <c r="P1149" i="5"/>
  <c r="Q1149" i="5"/>
  <c r="Q1008" i="5"/>
  <c r="Q1097" i="5"/>
  <c r="P1097" i="5"/>
  <c r="Q537" i="5"/>
  <c r="P537" i="5"/>
  <c r="P960" i="5"/>
  <c r="Q960" i="5"/>
  <c r="Q365" i="5"/>
  <c r="P365" i="5"/>
  <c r="Q827" i="5"/>
  <c r="P827" i="5"/>
  <c r="Q1241" i="5"/>
  <c r="P1241" i="5"/>
  <c r="P1332" i="5"/>
  <c r="Q1332" i="5"/>
  <c r="Q293" i="5"/>
  <c r="P293" i="5"/>
  <c r="Q171" i="5"/>
  <c r="P171" i="5"/>
  <c r="P725" i="5"/>
  <c r="Q725" i="5"/>
  <c r="P1088" i="5"/>
  <c r="Q1088" i="5"/>
  <c r="Q500" i="5"/>
  <c r="P500" i="5"/>
  <c r="Q212" i="5"/>
  <c r="P212" i="5"/>
  <c r="Q1310" i="5"/>
  <c r="P1310" i="5"/>
  <c r="P743" i="5"/>
  <c r="Q743" i="5"/>
  <c r="Q289" i="5"/>
  <c r="P289" i="5"/>
  <c r="P1297" i="5"/>
  <c r="Q1297" i="5"/>
  <c r="Q679" i="5"/>
  <c r="Q290" i="5"/>
  <c r="P290" i="5"/>
  <c r="Q162" i="5"/>
  <c r="P162" i="5"/>
  <c r="Q837" i="5"/>
  <c r="P837" i="5"/>
  <c r="Q505" i="5"/>
  <c r="P505" i="5"/>
  <c r="Q1047" i="5"/>
  <c r="P1047" i="5"/>
  <c r="Q661" i="5"/>
  <c r="P661" i="5"/>
  <c r="Q1311" i="5"/>
  <c r="P1311" i="5"/>
  <c r="P983" i="5"/>
  <c r="Q983" i="5"/>
  <c r="Q573" i="5"/>
  <c r="P573" i="5"/>
  <c r="P671" i="5"/>
  <c r="Q671" i="5"/>
  <c r="Q1309" i="5"/>
  <c r="Q851" i="5"/>
  <c r="P851" i="5"/>
  <c r="Q306" i="5"/>
  <c r="P306" i="5"/>
  <c r="Q34" i="5"/>
  <c r="P34" i="5"/>
  <c r="Q1031" i="5"/>
  <c r="P1031" i="5"/>
  <c r="P592" i="5"/>
  <c r="Q592" i="5"/>
  <c r="Q202" i="5"/>
  <c r="P202" i="5"/>
  <c r="Q118" i="5"/>
  <c r="P118" i="5"/>
  <c r="Q780" i="5"/>
  <c r="P780" i="5"/>
  <c r="P283" i="5"/>
  <c r="Q283" i="5"/>
  <c r="Q1222" i="5"/>
  <c r="P1222" i="5"/>
  <c r="P881" i="5"/>
  <c r="Q881" i="5"/>
  <c r="Q1105" i="5"/>
  <c r="P1105" i="5"/>
  <c r="Q855" i="5"/>
  <c r="P855" i="5"/>
  <c r="Q259" i="5"/>
  <c r="Q213" i="5"/>
  <c r="P213" i="5"/>
  <c r="Q220" i="5"/>
  <c r="P220" i="5"/>
  <c r="P1039" i="5"/>
  <c r="Q1039" i="5"/>
  <c r="P872" i="5"/>
  <c r="Q872" i="5"/>
  <c r="Q244" i="5"/>
  <c r="P244" i="5"/>
  <c r="P1021" i="5"/>
  <c r="Q1021" i="5"/>
  <c r="Q664" i="5"/>
  <c r="P664" i="5"/>
  <c r="Q966" i="5"/>
  <c r="Q1156" i="5"/>
  <c r="P1156" i="5"/>
  <c r="Q778" i="5"/>
  <c r="P778" i="5"/>
  <c r="P1283" i="5"/>
  <c r="Q1283" i="5"/>
  <c r="Q1016" i="5"/>
  <c r="P172" i="25" s="1"/>
  <c r="P1016" i="5"/>
  <c r="P738" i="5"/>
  <c r="Q738" i="5"/>
  <c r="Q109" i="5"/>
  <c r="P109" i="5"/>
  <c r="P379" i="5"/>
  <c r="Q379" i="5"/>
  <c r="P965" i="5"/>
  <c r="Q965" i="5"/>
  <c r="Q972" i="5"/>
  <c r="P972" i="5"/>
  <c r="Q536" i="5"/>
  <c r="P536" i="5"/>
  <c r="Q1050" i="5"/>
  <c r="Q243" i="5"/>
  <c r="P243" i="5"/>
  <c r="P314" i="5"/>
  <c r="Q314" i="5"/>
  <c r="Q1026" i="5"/>
  <c r="P1026" i="5"/>
  <c r="Q331" i="5"/>
  <c r="P331" i="5"/>
  <c r="Q987" i="5"/>
  <c r="Q561" i="5"/>
  <c r="P561" i="5"/>
  <c r="Q1213" i="5"/>
  <c r="P1213" i="5"/>
  <c r="Q449" i="5"/>
  <c r="P449" i="5"/>
  <c r="Q958" i="5"/>
  <c r="P958" i="5"/>
  <c r="Q474" i="5"/>
  <c r="P474" i="5"/>
  <c r="Q818" i="5"/>
  <c r="P818" i="5"/>
  <c r="P949" i="5"/>
  <c r="Q949" i="5"/>
  <c r="P862" i="5"/>
  <c r="Q862" i="5"/>
  <c r="Q1394" i="5"/>
  <c r="P1394" i="5"/>
  <c r="Q1165" i="5"/>
  <c r="P1165" i="5"/>
  <c r="Q242" i="5"/>
  <c r="P242" i="5"/>
  <c r="Q691" i="5"/>
  <c r="P691" i="5"/>
  <c r="P1013" i="5"/>
  <c r="Q1013" i="5"/>
  <c r="Q1161" i="5"/>
  <c r="P1161" i="5"/>
  <c r="Q226" i="5"/>
  <c r="P226" i="5"/>
  <c r="P514" i="5"/>
  <c r="Q514" i="5"/>
  <c r="Q1015" i="5"/>
  <c r="Q414" i="5"/>
  <c r="P414" i="5"/>
  <c r="Q850" i="5"/>
  <c r="P850" i="5"/>
  <c r="Q1255" i="5"/>
  <c r="P1255" i="5"/>
  <c r="Q1294" i="5"/>
  <c r="P1294" i="5"/>
  <c r="Q605" i="5"/>
  <c r="P605" i="5"/>
  <c r="Q307" i="5"/>
  <c r="P307" i="5"/>
  <c r="Q1085" i="5"/>
  <c r="P558" i="5"/>
  <c r="Q558" i="5"/>
  <c r="P254" i="5"/>
  <c r="Q254" i="5"/>
  <c r="P128" i="5"/>
  <c r="Q128" i="5"/>
  <c r="Q1327" i="5"/>
  <c r="P1327" i="5"/>
  <c r="Q670" i="5"/>
  <c r="P670" i="5"/>
  <c r="Q351" i="5"/>
  <c r="P351" i="5"/>
  <c r="Q381" i="5"/>
  <c r="P381" i="5"/>
  <c r="Q1271" i="5"/>
  <c r="P1271" i="5"/>
  <c r="Q614" i="5"/>
  <c r="P614" i="5"/>
  <c r="Q355" i="5"/>
  <c r="P355" i="5"/>
  <c r="P1406" i="5"/>
  <c r="Q1406" i="5"/>
  <c r="Q800" i="5"/>
  <c r="P800" i="5"/>
  <c r="Q1159" i="5"/>
  <c r="P1159" i="5"/>
  <c r="Q1175" i="5"/>
  <c r="P1175" i="5"/>
  <c r="Q900" i="5"/>
  <c r="P900" i="5"/>
  <c r="P934" i="5"/>
  <c r="Q934" i="5"/>
  <c r="Q1272" i="5"/>
  <c r="P1272" i="5"/>
  <c r="P856" i="5"/>
  <c r="Q856" i="5"/>
  <c r="Q343" i="5"/>
  <c r="Q256" i="5"/>
  <c r="P256" i="5"/>
  <c r="Q122" i="5"/>
  <c r="P122" i="5"/>
  <c r="Q1078" i="5"/>
  <c r="P590" i="5"/>
  <c r="Q590" i="5"/>
  <c r="Q91" i="5"/>
  <c r="Q658" i="5"/>
  <c r="Q332" i="5"/>
  <c r="P332" i="5"/>
  <c r="Q1356" i="5"/>
  <c r="P1356" i="5"/>
  <c r="Q1142" i="5"/>
  <c r="P1142" i="5"/>
  <c r="P802" i="5"/>
  <c r="Q802" i="5"/>
  <c r="Q334" i="5"/>
  <c r="P334" i="5"/>
  <c r="Q83" i="5"/>
  <c r="P83" i="5"/>
  <c r="Q48" i="5"/>
  <c r="P48" i="5"/>
  <c r="Q669" i="5"/>
  <c r="P669" i="5"/>
  <c r="Q925" i="5"/>
  <c r="P925" i="5"/>
  <c r="P1111" i="5"/>
  <c r="Q1111" i="5"/>
  <c r="Q230" i="5"/>
  <c r="P230" i="5"/>
  <c r="Q450" i="5"/>
  <c r="P450" i="5"/>
  <c r="Q1079" i="5"/>
  <c r="P181" i="25" s="1"/>
  <c r="P1079" i="5"/>
  <c r="Q1400" i="5"/>
  <c r="Q71" i="5"/>
  <c r="P71" i="5"/>
  <c r="Q401" i="5"/>
  <c r="P401" i="5"/>
  <c r="P804" i="5"/>
  <c r="Q804" i="5"/>
  <c r="Q954" i="5"/>
  <c r="P954" i="5"/>
  <c r="Q784" i="5"/>
  <c r="Q1018" i="5"/>
  <c r="P1018" i="5"/>
  <c r="P1109" i="5"/>
  <c r="Q1109" i="5"/>
  <c r="P1055" i="5"/>
  <c r="Q1055" i="5"/>
  <c r="Q587" i="5"/>
  <c r="P587" i="5"/>
  <c r="Q1224" i="5"/>
  <c r="P1224" i="5"/>
  <c r="Q490" i="5"/>
  <c r="Q1102" i="5"/>
  <c r="P1102" i="5"/>
  <c r="Q1083" i="5"/>
  <c r="P1083" i="5"/>
  <c r="P667" i="5"/>
  <c r="Q667" i="5"/>
  <c r="P842" i="5"/>
  <c r="Q842" i="5"/>
  <c r="Q1239" i="5"/>
  <c r="Q439" i="5"/>
  <c r="P439" i="5"/>
  <c r="P1251" i="5"/>
  <c r="Q1251" i="5"/>
  <c r="Q711" i="5"/>
  <c r="P711" i="5"/>
  <c r="P479" i="5"/>
  <c r="Q479" i="5"/>
  <c r="P997" i="5"/>
  <c r="Q997" i="5"/>
  <c r="Q1348" i="5"/>
  <c r="P1348" i="5"/>
  <c r="Q183" i="5"/>
  <c r="P183" i="5"/>
  <c r="Q1081" i="5"/>
  <c r="P1081" i="5"/>
  <c r="P515" i="5"/>
  <c r="Q515" i="5"/>
  <c r="P879" i="5"/>
  <c r="Q879" i="5"/>
  <c r="Q1257" i="5"/>
  <c r="P1257" i="5"/>
  <c r="Q75" i="5"/>
  <c r="P75" i="5"/>
  <c r="Q130" i="5"/>
  <c r="P130" i="5"/>
  <c r="P1073" i="5"/>
  <c r="Q1073" i="5"/>
  <c r="P547" i="5"/>
  <c r="Q547" i="5"/>
  <c r="Q241" i="5"/>
  <c r="P241" i="5"/>
  <c r="P1229" i="5"/>
  <c r="Q1229" i="5"/>
  <c r="Q683" i="5"/>
  <c r="P683" i="5"/>
  <c r="Q312" i="5"/>
  <c r="P312" i="5"/>
  <c r="P233" i="5"/>
  <c r="Q233" i="5"/>
  <c r="P1293" i="5"/>
  <c r="Q1293" i="5"/>
  <c r="Q653" i="5"/>
  <c r="P653" i="5"/>
  <c r="Q485" i="5"/>
  <c r="P485" i="5"/>
  <c r="Q781" i="5"/>
  <c r="P781" i="5"/>
  <c r="Q1402" i="5"/>
  <c r="P1402" i="5"/>
  <c r="Q793" i="5"/>
  <c r="P793" i="5"/>
  <c r="Q419" i="5"/>
  <c r="P419" i="5"/>
  <c r="Q1263" i="5"/>
  <c r="P1263" i="5"/>
  <c r="P1200" i="5"/>
  <c r="Q1200" i="5"/>
  <c r="P886" i="5"/>
  <c r="Q886" i="5"/>
  <c r="Q675" i="5"/>
  <c r="P675" i="5"/>
  <c r="Q1027" i="5"/>
  <c r="P1027" i="5"/>
  <c r="Q1221" i="5"/>
  <c r="P1221" i="5"/>
  <c r="Q844" i="5"/>
  <c r="P844" i="5"/>
  <c r="P261" i="5"/>
  <c r="Q261" i="5"/>
  <c r="P85" i="5"/>
  <c r="Q85" i="5"/>
  <c r="P177" i="5"/>
  <c r="Q177" i="5"/>
  <c r="Q1087" i="5"/>
  <c r="P1087" i="5"/>
  <c r="P674" i="5"/>
  <c r="Q674" i="5"/>
  <c r="Q510" i="5"/>
  <c r="P510" i="5"/>
  <c r="P200" i="5"/>
  <c r="Q200" i="5"/>
  <c r="P705" i="5"/>
  <c r="Q705" i="5"/>
  <c r="P374" i="5"/>
  <c r="Q374" i="5"/>
  <c r="P204" i="5"/>
  <c r="Q204" i="5"/>
  <c r="Q1125" i="5"/>
  <c r="P1125" i="5"/>
  <c r="Q764" i="5"/>
  <c r="P764" i="5"/>
  <c r="Q214" i="5"/>
  <c r="P214" i="5"/>
  <c r="P141" i="5"/>
  <c r="Q141" i="5"/>
  <c r="Q59" i="5"/>
  <c r="P59" i="5"/>
  <c r="Q403" i="5"/>
  <c r="P403" i="5"/>
  <c r="Q940" i="5"/>
  <c r="P940" i="5"/>
  <c r="P1104" i="5"/>
  <c r="Q1104" i="5"/>
  <c r="Q1236" i="5"/>
  <c r="P1236" i="5"/>
  <c r="Q187" i="5"/>
  <c r="P187" i="5"/>
  <c r="P995" i="5"/>
  <c r="Q995" i="5"/>
  <c r="Q461" i="5"/>
  <c r="P461" i="5"/>
  <c r="Q92" i="5"/>
  <c r="P92" i="5"/>
  <c r="P137" i="5"/>
  <c r="Q137" i="5"/>
  <c r="Q221" i="5"/>
  <c r="P221" i="5"/>
  <c r="P521" i="5"/>
  <c r="Q521" i="5"/>
  <c r="Q543" i="5"/>
  <c r="P543" i="5"/>
  <c r="P260" i="5"/>
  <c r="Q260" i="5"/>
  <c r="Q1043" i="5"/>
  <c r="P1096" i="5"/>
  <c r="Q1096" i="5"/>
  <c r="Q1410" i="5"/>
  <c r="P1410" i="5"/>
  <c r="P538" i="5"/>
  <c r="Q538" i="5"/>
  <c r="Q1350" i="5"/>
  <c r="P1350" i="5"/>
  <c r="Q579" i="5"/>
  <c r="P579" i="5"/>
  <c r="Q135" i="5"/>
  <c r="P135" i="5"/>
  <c r="Q458" i="5"/>
  <c r="P458" i="5"/>
  <c r="Q316" i="5"/>
  <c r="P316" i="5"/>
  <c r="Q1329" i="5"/>
  <c r="P1329" i="5"/>
  <c r="P347" i="5"/>
  <c r="Q347" i="5"/>
  <c r="P150" i="5"/>
  <c r="Q150" i="5"/>
  <c r="Q448" i="5"/>
  <c r="Q1004" i="5"/>
  <c r="P1004" i="5"/>
  <c r="Q1419" i="5"/>
  <c r="P1419" i="5"/>
  <c r="Q871" i="5"/>
  <c r="P871" i="5"/>
  <c r="P358" i="5"/>
  <c r="Q358" i="5"/>
  <c r="Q1072" i="5"/>
  <c r="P1072" i="5"/>
  <c r="Q328" i="5"/>
  <c r="P328" i="5"/>
  <c r="P649" i="5"/>
  <c r="Q649" i="5"/>
  <c r="Q745" i="5"/>
  <c r="P745" i="5"/>
  <c r="P809" i="5"/>
  <c r="Q809" i="5"/>
  <c r="Q428" i="5"/>
  <c r="P428" i="5"/>
  <c r="P1033" i="5"/>
  <c r="Q1033" i="5"/>
  <c r="Q957" i="5"/>
  <c r="P957" i="5"/>
  <c r="P1238" i="5"/>
  <c r="Q1238" i="5"/>
  <c r="Q666" i="5"/>
  <c r="P666" i="5"/>
  <c r="P1153" i="5"/>
  <c r="Q1153" i="5"/>
  <c r="Q274" i="5"/>
  <c r="P274" i="5"/>
  <c r="Q624" i="5"/>
  <c r="P624" i="5"/>
  <c r="Q986" i="5"/>
  <c r="P986" i="5"/>
  <c r="Q826" i="5"/>
  <c r="P1227" i="5"/>
  <c r="Q1227" i="5"/>
  <c r="P340" i="5"/>
  <c r="Q340" i="5"/>
  <c r="P1032" i="5"/>
  <c r="Q1032" i="5"/>
  <c r="Q1339" i="5"/>
  <c r="P1339" i="5"/>
  <c r="Q868" i="5"/>
  <c r="Q1377" i="5"/>
  <c r="P1377" i="5"/>
  <c r="Q480" i="5"/>
  <c r="P480" i="5"/>
  <c r="P407" i="5"/>
  <c r="Q407" i="5"/>
  <c r="Q356" i="5"/>
  <c r="P356" i="5"/>
  <c r="P1065" i="5"/>
  <c r="Q1065" i="5"/>
  <c r="Q333" i="5"/>
  <c r="P333" i="5"/>
  <c r="Q1023" i="5"/>
  <c r="P1023" i="5"/>
  <c r="Q422" i="5"/>
  <c r="P422" i="5"/>
  <c r="Q1124" i="5"/>
  <c r="P1124" i="5"/>
  <c r="Q860" i="5"/>
  <c r="P860" i="5"/>
  <c r="Q1374" i="5"/>
  <c r="P1374" i="5"/>
  <c r="Q1207" i="5"/>
  <c r="P1207" i="5"/>
  <c r="Q656" i="5"/>
  <c r="P656" i="5"/>
  <c r="P179" i="5"/>
  <c r="Q179" i="5"/>
  <c r="Q68" i="5"/>
  <c r="P68" i="5"/>
  <c r="Q1354" i="5"/>
  <c r="P1354" i="5"/>
  <c r="Q1052" i="5"/>
  <c r="P1052" i="5"/>
  <c r="Q199" i="5"/>
  <c r="P199" i="5"/>
  <c r="P53" i="5"/>
  <c r="Q53" i="5"/>
  <c r="P1262" i="5"/>
  <c r="Q1262" i="5"/>
  <c r="P596" i="5"/>
  <c r="Q596" i="5"/>
  <c r="P232" i="5"/>
  <c r="Q232" i="5"/>
  <c r="P248" i="5"/>
  <c r="Q248" i="5"/>
  <c r="Q408" i="5"/>
  <c r="P408" i="5"/>
  <c r="Q1231" i="5"/>
  <c r="P1231" i="5"/>
  <c r="P597" i="5"/>
  <c r="Q597" i="5"/>
  <c r="Q524" i="5"/>
  <c r="P524" i="5"/>
  <c r="P799" i="5"/>
  <c r="Q799" i="5"/>
  <c r="Q1345" i="5"/>
  <c r="P1345" i="5"/>
  <c r="Q775" i="5"/>
  <c r="P775" i="5"/>
  <c r="Q503" i="5"/>
  <c r="P503" i="5"/>
  <c r="P270" i="5"/>
  <c r="Q270" i="5"/>
  <c r="Q1240" i="5"/>
  <c r="P1240" i="5"/>
  <c r="Q808" i="5"/>
  <c r="P808" i="5"/>
  <c r="Q553" i="5"/>
  <c r="Q1113" i="5"/>
  <c r="P1184" i="5"/>
  <c r="Q1184" i="5"/>
  <c r="Q215" i="5"/>
  <c r="P215" i="5"/>
  <c r="P216" i="5"/>
  <c r="Q216" i="5"/>
  <c r="P90" i="5"/>
  <c r="Q90" i="5"/>
  <c r="Q952" i="5"/>
  <c r="Q526" i="5"/>
  <c r="P526" i="5"/>
  <c r="Q572" i="5"/>
  <c r="P572" i="5"/>
  <c r="Q114" i="5"/>
  <c r="P114" i="5"/>
  <c r="Q668" i="5"/>
  <c r="P668" i="5"/>
  <c r="P144" i="5"/>
  <c r="Q144" i="5"/>
  <c r="Q1062" i="5"/>
  <c r="P1062" i="5"/>
  <c r="Q655" i="5"/>
  <c r="P655" i="5"/>
  <c r="Q297" i="5"/>
  <c r="P297" i="5"/>
  <c r="Q166" i="5"/>
  <c r="P166" i="5"/>
  <c r="P37" i="5"/>
  <c r="Q37" i="5"/>
  <c r="P184" i="5"/>
  <c r="Q184" i="5"/>
  <c r="Q1057" i="5"/>
  <c r="Q1375" i="5"/>
  <c r="P1375" i="5"/>
  <c r="Q89" i="5"/>
  <c r="P89" i="5"/>
  <c r="Q1122" i="5"/>
  <c r="P1122" i="5"/>
  <c r="P410" i="5"/>
  <c r="Q410" i="5"/>
  <c r="Q1077" i="5"/>
  <c r="P1077" i="5"/>
  <c r="Q611" i="5"/>
  <c r="P611" i="5"/>
  <c r="Q723" i="5"/>
  <c r="P723" i="5"/>
  <c r="Q628" i="5"/>
  <c r="P628" i="5"/>
  <c r="Q1098" i="5"/>
  <c r="P1098" i="5"/>
  <c r="P867" i="5"/>
  <c r="Q867" i="5"/>
  <c r="Q1411" i="5"/>
  <c r="P1411" i="5"/>
  <c r="Q1139" i="5"/>
  <c r="P1139" i="5"/>
  <c r="Q481" i="5"/>
  <c r="P481" i="5"/>
  <c r="Q348" i="5"/>
  <c r="P348" i="5"/>
  <c r="P101" i="5"/>
  <c r="Q101" i="5"/>
  <c r="Q1292" i="5"/>
  <c r="P1292" i="5"/>
  <c r="P1051" i="5"/>
  <c r="Q1051" i="5"/>
  <c r="Q425" i="5"/>
  <c r="P425" i="5"/>
  <c r="Q310" i="5"/>
  <c r="P310" i="5"/>
  <c r="Q100" i="5"/>
  <c r="P100" i="5"/>
  <c r="Q1261" i="5"/>
  <c r="P1261" i="5"/>
  <c r="P626" i="5"/>
  <c r="Q626" i="5"/>
  <c r="Q236" i="5"/>
  <c r="P236" i="5"/>
  <c r="Q1162" i="5"/>
  <c r="P1259" i="5"/>
  <c r="Q1259" i="5"/>
  <c r="Q607" i="5"/>
  <c r="P607" i="5"/>
  <c r="Q648" i="5"/>
  <c r="P648" i="5"/>
  <c r="Q715" i="5"/>
  <c r="P715" i="5"/>
  <c r="P1346" i="5"/>
  <c r="Q1346" i="5"/>
  <c r="Q703" i="5"/>
  <c r="P703" i="5"/>
  <c r="Q397" i="5"/>
  <c r="P397" i="5"/>
  <c r="Q176" i="5"/>
  <c r="P176" i="5"/>
  <c r="P69" i="5"/>
  <c r="Q69" i="5"/>
  <c r="Q1244" i="5"/>
  <c r="P1244" i="5"/>
  <c r="P846" i="5"/>
  <c r="Q846" i="5"/>
  <c r="Q486" i="5"/>
  <c r="P486" i="5"/>
  <c r="Q1214" i="5"/>
  <c r="P1214" i="5"/>
  <c r="Q1128" i="5"/>
  <c r="P1128" i="5"/>
  <c r="Q706" i="5"/>
  <c r="P706" i="5"/>
  <c r="Q532" i="5"/>
  <c r="Q30" i="5"/>
  <c r="P30" i="5"/>
  <c r="Q974" i="5"/>
  <c r="P974" i="5"/>
  <c r="Q654" i="5"/>
  <c r="P654" i="5"/>
  <c r="P106" i="5"/>
  <c r="Q106" i="5"/>
  <c r="Q610" i="5"/>
  <c r="P610" i="5"/>
  <c r="Q64" i="5"/>
  <c r="P64" i="5"/>
  <c r="P116" i="5"/>
  <c r="Q116" i="5"/>
  <c r="Q1030" i="5"/>
  <c r="P1030" i="5"/>
  <c r="P716" i="5"/>
  <c r="Q716" i="5"/>
  <c r="P527" i="5"/>
  <c r="Q527" i="5"/>
  <c r="Q33" i="5"/>
  <c r="P33" i="5"/>
  <c r="P991" i="5"/>
  <c r="Q991" i="5"/>
  <c r="Q398" i="5"/>
  <c r="P398" i="5"/>
  <c r="Q1167" i="5"/>
  <c r="P1167" i="5"/>
  <c r="Q595" i="5"/>
  <c r="Q1129" i="5"/>
  <c r="P1129" i="5"/>
  <c r="Q565" i="5"/>
  <c r="P565" i="5"/>
  <c r="P1112" i="5"/>
  <c r="Q1112" i="5"/>
  <c r="Q1137" i="5"/>
  <c r="P1137" i="5"/>
  <c r="Q265" i="5"/>
  <c r="P265" i="5"/>
  <c r="P152" i="5"/>
  <c r="Q152" i="5"/>
  <c r="Q1277" i="5"/>
  <c r="P1277" i="5"/>
  <c r="Q467" i="5"/>
  <c r="P467" i="5"/>
  <c r="Q1267" i="5"/>
  <c r="P286" i="5"/>
  <c r="Q286" i="5"/>
  <c r="P391" i="5"/>
  <c r="Q391" i="5"/>
  <c r="Q393" i="5"/>
  <c r="P393" i="5"/>
  <c r="Q782" i="5"/>
  <c r="P782" i="5"/>
  <c r="Q1146" i="5"/>
  <c r="P1146" i="5"/>
  <c r="Q1115" i="5"/>
  <c r="P1115" i="5"/>
  <c r="Q82" i="5"/>
  <c r="P82" i="5"/>
  <c r="Q1006" i="5"/>
  <c r="P1006" i="5"/>
  <c r="Q427" i="5"/>
  <c r="Q66" i="5"/>
  <c r="P66" i="5"/>
  <c r="P1206" i="5"/>
  <c r="Q1206" i="5"/>
  <c r="Q583" i="5"/>
  <c r="P583" i="5"/>
  <c r="P188" i="5"/>
  <c r="Q188" i="5"/>
  <c r="Q115" i="5"/>
  <c r="P115" i="5"/>
  <c r="P222" i="5"/>
  <c r="Q222" i="5"/>
  <c r="Q1198" i="5"/>
  <c r="P1198" i="5"/>
  <c r="Q529" i="5"/>
  <c r="P529" i="5"/>
  <c r="Q755" i="5"/>
  <c r="P755" i="5"/>
  <c r="P600" i="5"/>
  <c r="Q600" i="5"/>
  <c r="P1296" i="5"/>
  <c r="Q1296" i="5"/>
  <c r="P824" i="5"/>
  <c r="Q824" i="5"/>
  <c r="Q305" i="5"/>
  <c r="P305" i="5"/>
  <c r="Q108" i="5"/>
  <c r="P108" i="5"/>
  <c r="Q1208" i="5"/>
  <c r="P1208" i="5"/>
  <c r="Q797" i="5"/>
  <c r="P797" i="5"/>
  <c r="Q417" i="5"/>
  <c r="P417" i="5"/>
  <c r="Q1324" i="5"/>
  <c r="P1324" i="5"/>
  <c r="Q1195" i="5"/>
  <c r="P1195" i="5"/>
  <c r="Q646" i="5"/>
  <c r="P646" i="5"/>
  <c r="Q552" i="5"/>
  <c r="P552" i="5"/>
  <c r="Q238" i="5"/>
  <c r="Q970" i="5"/>
  <c r="P970" i="5"/>
  <c r="Q541" i="5"/>
  <c r="P541" i="5"/>
  <c r="P733" i="5"/>
  <c r="Q733" i="5"/>
  <c r="Q121" i="5"/>
  <c r="P121" i="5"/>
  <c r="Q400" i="5"/>
  <c r="P400" i="5"/>
  <c r="Q164" i="5"/>
  <c r="P164" i="5"/>
  <c r="Q209" i="5"/>
  <c r="P209" i="5"/>
  <c r="P1070" i="5"/>
  <c r="Q1070" i="5"/>
  <c r="P697" i="5"/>
  <c r="Q697" i="5"/>
  <c r="P58" i="5"/>
  <c r="Q58" i="5"/>
  <c r="Q303" i="5"/>
  <c r="P303" i="5"/>
  <c r="Q423" i="5"/>
  <c r="P423" i="5"/>
  <c r="P1285" i="5"/>
  <c r="Q1285" i="5"/>
  <c r="Q380" i="5"/>
  <c r="P380" i="5"/>
  <c r="Q54" i="5"/>
  <c r="P54" i="5"/>
  <c r="Q847" i="5"/>
  <c r="Q1266" i="5"/>
  <c r="P1266" i="5"/>
  <c r="Q915" i="5"/>
  <c r="P915" i="5"/>
  <c r="Q893" i="5"/>
  <c r="P893" i="5"/>
  <c r="Q268" i="5"/>
  <c r="P268" i="5"/>
  <c r="Q1203" i="5"/>
  <c r="P1203" i="5"/>
  <c r="Q145" i="5"/>
  <c r="P145" i="5"/>
  <c r="P296" i="5"/>
  <c r="Q296" i="5"/>
  <c r="P300" i="5"/>
  <c r="Q300" i="5"/>
  <c r="Q146" i="5"/>
  <c r="P146" i="5"/>
  <c r="Q522" i="5"/>
  <c r="P522" i="5"/>
  <c r="P443" i="5"/>
  <c r="Q443" i="5"/>
  <c r="Q456" i="5"/>
  <c r="P456" i="5"/>
  <c r="Q445" i="5"/>
  <c r="P445" i="5"/>
  <c r="Q94" i="5"/>
  <c r="P94" i="5"/>
  <c r="P990" i="5"/>
  <c r="Q990" i="5"/>
  <c r="P617" i="5"/>
  <c r="Q617" i="5"/>
  <c r="Q746" i="5"/>
  <c r="P746" i="5"/>
  <c r="Q1126" i="5"/>
  <c r="P1126" i="5"/>
  <c r="Q302" i="5"/>
  <c r="P302" i="5"/>
  <c r="Q994" i="5"/>
  <c r="Q262" i="5"/>
  <c r="P262" i="5"/>
  <c r="Q878" i="5"/>
  <c r="P878" i="5"/>
  <c r="P278" i="5"/>
  <c r="Q278" i="5"/>
  <c r="Q692" i="5"/>
  <c r="P692" i="5"/>
  <c r="Q1284" i="5"/>
  <c r="P1284" i="5"/>
  <c r="P129" i="5"/>
  <c r="Q129" i="5"/>
  <c r="Q464" i="5"/>
  <c r="P464" i="5"/>
  <c r="Q1269" i="5"/>
  <c r="P1269" i="5"/>
  <c r="Q76" i="5"/>
  <c r="P76" i="5"/>
  <c r="Q696" i="5"/>
  <c r="P696" i="5"/>
  <c r="P1173" i="5"/>
  <c r="Q1173" i="5"/>
  <c r="P869" i="5"/>
  <c r="Q869" i="5"/>
  <c r="P1384" i="5"/>
  <c r="Q1384" i="5"/>
  <c r="Q468" i="5"/>
  <c r="P468" i="5"/>
  <c r="Q1063" i="5"/>
  <c r="P1063" i="5"/>
  <c r="Q366" i="5"/>
  <c r="P366" i="5"/>
  <c r="Q776" i="5"/>
  <c r="P776" i="5"/>
  <c r="Q1382" i="5"/>
  <c r="P1382" i="5"/>
  <c r="Q79" i="5"/>
  <c r="P79" i="5"/>
  <c r="Q1061" i="5"/>
  <c r="P1061" i="5"/>
  <c r="Q295" i="5"/>
  <c r="P295" i="5"/>
  <c r="Q1002" i="5"/>
  <c r="P1002" i="5"/>
  <c r="P601" i="5"/>
  <c r="Q601" i="5"/>
  <c r="Q545" i="5"/>
  <c r="P545" i="5"/>
  <c r="Q280" i="5"/>
  <c r="Q87" i="5"/>
  <c r="P87" i="5"/>
  <c r="Q768" i="5"/>
  <c r="P768" i="5"/>
  <c r="Q253" i="5"/>
  <c r="P253" i="5"/>
  <c r="P1210" i="5"/>
  <c r="Q1210" i="5"/>
  <c r="Q969" i="5"/>
  <c r="P969" i="5"/>
  <c r="P1170" i="5"/>
  <c r="Q1170" i="5"/>
  <c r="Q562" i="5"/>
  <c r="P562" i="5"/>
  <c r="Q584" i="5"/>
  <c r="P584" i="5"/>
  <c r="Q904" i="5"/>
  <c r="P904" i="5"/>
  <c r="P1273" i="5"/>
  <c r="Q1273" i="5"/>
  <c r="Q941" i="5"/>
  <c r="P941" i="5"/>
  <c r="P1132" i="5"/>
  <c r="Q1132" i="5"/>
  <c r="Q498" i="5"/>
  <c r="P498" i="5"/>
  <c r="Q148" i="5"/>
  <c r="P148" i="5"/>
  <c r="Q217" i="5"/>
  <c r="P1138" i="5"/>
  <c r="Q1138" i="5"/>
  <c r="Q589" i="5"/>
  <c r="P589" i="5"/>
  <c r="P815" i="5"/>
  <c r="Q815" i="5"/>
  <c r="P564" i="5"/>
  <c r="Q564" i="5"/>
  <c r="Q1242" i="5"/>
  <c r="P1242" i="5"/>
  <c r="P783" i="5"/>
  <c r="Q783" i="5"/>
  <c r="P132" i="5"/>
  <c r="Q132" i="5"/>
  <c r="Q1157" i="5"/>
  <c r="P1157" i="5"/>
  <c r="Q790" i="5"/>
  <c r="P790" i="5"/>
  <c r="P433" i="5"/>
  <c r="Q433" i="5"/>
  <c r="Q1160" i="5"/>
  <c r="P1160" i="5"/>
  <c r="Q662" i="5"/>
  <c r="P662" i="5"/>
  <c r="Q659" i="5"/>
  <c r="P659" i="5"/>
  <c r="Q198" i="5"/>
  <c r="P198" i="5"/>
  <c r="P1404" i="5"/>
  <c r="Q1404" i="5"/>
  <c r="Q921" i="5"/>
  <c r="P921" i="5"/>
  <c r="P494" i="5"/>
  <c r="Q494" i="5"/>
  <c r="P717" i="5"/>
  <c r="Q717" i="5"/>
  <c r="Q516" i="5"/>
  <c r="P516" i="5"/>
  <c r="Q80" i="5"/>
  <c r="P80" i="5"/>
  <c r="P88" i="5"/>
  <c r="Q88" i="5"/>
  <c r="P1387" i="5"/>
  <c r="Q1387" i="5"/>
  <c r="P1011" i="5"/>
  <c r="Q1011" i="5"/>
  <c r="Q557" i="5"/>
  <c r="P557" i="5"/>
  <c r="Q643" i="5"/>
  <c r="P643" i="5"/>
  <c r="Q43" i="5"/>
  <c r="P43" i="5"/>
  <c r="Q758" i="5"/>
  <c r="P758" i="5"/>
  <c r="Q1204" i="5"/>
  <c r="P563" i="5"/>
  <c r="Q563" i="5"/>
  <c r="Q1270" i="5"/>
  <c r="P619" i="5"/>
  <c r="Q619" i="5"/>
  <c r="Q1154" i="5"/>
  <c r="P1154" i="5"/>
  <c r="P22" i="5"/>
  <c r="Q22" i="5"/>
  <c r="P10" i="5"/>
  <c r="Q10" i="5"/>
  <c r="P13" i="5"/>
  <c r="Q13" i="5"/>
  <c r="Q19" i="5"/>
  <c r="P19" i="5"/>
  <c r="P15" i="5"/>
  <c r="Q15" i="5"/>
  <c r="P8" i="5"/>
  <c r="Q8" i="5"/>
  <c r="P12" i="5"/>
  <c r="Q12" i="5"/>
  <c r="P27" i="5"/>
  <c r="Q27" i="5"/>
  <c r="P20" i="5"/>
  <c r="Q20" i="5"/>
  <c r="P11" i="5"/>
  <c r="Q11" i="5"/>
  <c r="P26" i="5"/>
  <c r="Q26" i="5"/>
  <c r="P24" i="5"/>
  <c r="Q24" i="5"/>
  <c r="P9" i="5"/>
  <c r="Q9" i="5"/>
  <c r="Q28" i="5"/>
  <c r="P17" i="5"/>
  <c r="Q17" i="5"/>
  <c r="Q25" i="5"/>
  <c r="P25" i="5"/>
  <c r="P16" i="5"/>
  <c r="Q16" i="5"/>
  <c r="Q15" i="25"/>
  <c r="N103" i="25" l="1"/>
  <c r="N55" i="25"/>
  <c r="N28" i="25"/>
  <c r="N67" i="25"/>
  <c r="N79" i="25"/>
  <c r="N151" i="25"/>
  <c r="P163" i="25"/>
  <c r="N163" i="25"/>
  <c r="N91" i="25"/>
  <c r="N112" i="25"/>
  <c r="N160" i="25"/>
  <c r="P214" i="25"/>
  <c r="N82" i="25"/>
  <c r="P190" i="25"/>
  <c r="P157" i="25"/>
  <c r="N202" i="25"/>
  <c r="N154" i="25"/>
  <c r="N37" i="25"/>
  <c r="P166" i="25"/>
  <c r="P187" i="25"/>
  <c r="P160" i="25"/>
  <c r="N49" i="25"/>
  <c r="N85" i="25"/>
  <c r="N205" i="25"/>
  <c r="N139" i="25"/>
  <c r="P211" i="25"/>
  <c r="N178" i="25"/>
  <c r="N208" i="25"/>
  <c r="N157" i="25"/>
  <c r="N169" i="25"/>
  <c r="P169" i="25"/>
  <c r="P178" i="25"/>
  <c r="N181" i="25"/>
  <c r="N211" i="25"/>
  <c r="N94" i="25"/>
  <c r="N46" i="25"/>
  <c r="N124" i="25"/>
  <c r="N64" i="25"/>
  <c r="N115" i="25"/>
  <c r="N100" i="25"/>
  <c r="N9" i="25"/>
  <c r="N61" i="25"/>
  <c r="N142" i="25"/>
  <c r="N196" i="25"/>
  <c r="N187" i="25"/>
  <c r="N40" i="25"/>
  <c r="N34" i="25"/>
  <c r="P208" i="25"/>
  <c r="P193" i="25"/>
  <c r="N214" i="25"/>
  <c r="N73" i="25"/>
  <c r="N193" i="25"/>
  <c r="N76" i="25"/>
  <c r="N33" i="25"/>
  <c r="P105" i="25"/>
  <c r="N176" i="25"/>
  <c r="N26" i="25"/>
  <c r="N206" i="25"/>
  <c r="N32" i="25"/>
  <c r="P132" i="25"/>
  <c r="P131" i="25"/>
  <c r="P176" i="25"/>
  <c r="N105" i="25"/>
  <c r="S183" i="25"/>
  <c r="N65" i="25"/>
  <c r="N104" i="25"/>
  <c r="N27" i="25"/>
  <c r="N182" i="25"/>
  <c r="N204" i="25"/>
  <c r="P207" i="25"/>
  <c r="N203" i="25"/>
  <c r="N207" i="25"/>
  <c r="N66" i="25"/>
  <c r="P183" i="25"/>
  <c r="N177" i="25"/>
  <c r="P177" i="25"/>
  <c r="N131" i="25"/>
  <c r="N183" i="25"/>
  <c r="N132" i="25"/>
  <c r="P182" i="25"/>
  <c r="P206" i="25"/>
  <c r="P104" i="25"/>
  <c r="N35" i="25"/>
  <c r="P159" i="25"/>
  <c r="P158" i="25"/>
  <c r="N155" i="25"/>
  <c r="N23" i="25"/>
  <c r="N60" i="25"/>
  <c r="N210" i="25"/>
  <c r="N140" i="25"/>
  <c r="N162" i="25"/>
  <c r="N62" i="25"/>
  <c r="N200" i="25"/>
  <c r="N171" i="25"/>
  <c r="N90" i="25"/>
  <c r="N107" i="25"/>
  <c r="N164" i="25"/>
  <c r="N165" i="25"/>
  <c r="N138" i="25"/>
  <c r="N44" i="25"/>
  <c r="P119" i="25"/>
  <c r="N78" i="25"/>
  <c r="P126" i="25"/>
  <c r="N146" i="25"/>
  <c r="N186" i="25"/>
  <c r="N180" i="25"/>
  <c r="N188" i="25"/>
  <c r="N156" i="25"/>
  <c r="N126" i="25"/>
  <c r="P188" i="25"/>
  <c r="N59" i="25"/>
  <c r="N75" i="25"/>
  <c r="N48" i="25"/>
  <c r="N185" i="25"/>
  <c r="N81" i="25"/>
  <c r="N72" i="25"/>
  <c r="N95" i="25"/>
  <c r="N42" i="25"/>
  <c r="P108" i="25"/>
  <c r="P179" i="25"/>
  <c r="P167" i="25"/>
  <c r="N111" i="25"/>
  <c r="N8" i="25"/>
  <c r="N161" i="25"/>
  <c r="S7" i="25"/>
  <c r="N50" i="25"/>
  <c r="N125" i="25"/>
  <c r="N84" i="25"/>
  <c r="N143" i="25"/>
  <c r="N93" i="25"/>
  <c r="N149" i="25"/>
  <c r="P147" i="25"/>
  <c r="P41" i="25"/>
  <c r="P180" i="25"/>
  <c r="N80" i="25"/>
  <c r="N159" i="25"/>
  <c r="N114" i="25"/>
  <c r="N7" i="25"/>
  <c r="N110" i="25"/>
  <c r="N123" i="25"/>
  <c r="N194" i="25"/>
  <c r="N71" i="25"/>
  <c r="P161" i="25"/>
  <c r="P162" i="25"/>
  <c r="P125" i="25"/>
  <c r="N56" i="25"/>
  <c r="S8" i="25"/>
  <c r="N77" i="25"/>
  <c r="N117" i="25"/>
  <c r="N168" i="25"/>
  <c r="N69" i="25"/>
  <c r="N129" i="25"/>
  <c r="N209" i="25"/>
  <c r="N137" i="25"/>
  <c r="N54" i="25"/>
  <c r="N96" i="25"/>
  <c r="N147" i="25"/>
  <c r="N41" i="25"/>
  <c r="N51" i="25"/>
  <c r="N167" i="25"/>
  <c r="P95" i="25"/>
  <c r="P50" i="25"/>
  <c r="P189" i="25"/>
  <c r="P68" i="25"/>
  <c r="P173" i="25"/>
  <c r="N113" i="25"/>
  <c r="N134" i="25"/>
  <c r="N86" i="25"/>
  <c r="P146" i="25"/>
  <c r="N83" i="25"/>
  <c r="N135" i="25"/>
  <c r="N122" i="25"/>
  <c r="N101" i="25"/>
  <c r="N57" i="25"/>
  <c r="N29" i="25"/>
  <c r="P96" i="25"/>
  <c r="P120" i="25"/>
  <c r="P171" i="25"/>
  <c r="P51" i="25"/>
  <c r="N128" i="25"/>
  <c r="N173" i="25"/>
  <c r="N152" i="25"/>
  <c r="N158" i="25"/>
  <c r="N87" i="25"/>
  <c r="P213" i="25"/>
  <c r="P209" i="25"/>
  <c r="N99" i="25"/>
  <c r="N141" i="25"/>
  <c r="N68" i="25"/>
  <c r="N92" i="25"/>
  <c r="N198" i="25"/>
  <c r="N213" i="25"/>
  <c r="N24" i="25"/>
  <c r="P170" i="25"/>
  <c r="N195" i="25"/>
  <c r="N108" i="25"/>
  <c r="N47" i="25"/>
  <c r="N120" i="25"/>
  <c r="N192" i="25"/>
  <c r="N38" i="25"/>
  <c r="N119" i="25"/>
  <c r="P107" i="25"/>
  <c r="P212" i="25"/>
  <c r="N102" i="25"/>
  <c r="N116" i="25"/>
  <c r="N98" i="25"/>
  <c r="N170" i="25"/>
  <c r="N144" i="25"/>
  <c r="N30" i="25"/>
  <c r="P155" i="25"/>
  <c r="N153" i="25"/>
  <c r="N74" i="25"/>
  <c r="N150" i="25"/>
  <c r="N174" i="25"/>
  <c r="N197" i="25"/>
  <c r="N89" i="25"/>
  <c r="P210" i="25"/>
  <c r="N179" i="25"/>
  <c r="N63" i="25"/>
  <c r="P186" i="25"/>
  <c r="P185" i="25"/>
  <c r="P165" i="25"/>
  <c r="N212" i="25"/>
  <c r="N45" i="25"/>
  <c r="N189" i="25"/>
  <c r="N36" i="25"/>
  <c r="P42" i="25"/>
  <c r="P69" i="25"/>
  <c r="P168" i="25"/>
  <c r="P164" i="25"/>
  <c r="P191" i="25"/>
  <c r="P174" i="25"/>
  <c r="N201" i="25"/>
  <c r="N191" i="25"/>
  <c r="N53" i="25"/>
  <c r="N39" i="25"/>
  <c r="O8" i="5"/>
  <c r="O13" i="5"/>
  <c r="O10" i="5"/>
  <c r="O22" i="5"/>
  <c r="O26" i="5"/>
  <c r="O24" i="5"/>
  <c r="O27" i="5"/>
  <c r="O23" i="5"/>
  <c r="O9" i="5"/>
  <c r="O12" i="5"/>
  <c r="O31" i="5"/>
  <c r="O34" i="5"/>
  <c r="O33" i="5"/>
  <c r="O32" i="5"/>
  <c r="O47" i="5"/>
  <c r="O45" i="5"/>
  <c r="O43" i="5"/>
  <c r="O46" i="5"/>
  <c r="O44" i="5"/>
  <c r="O48" i="5"/>
  <c r="O54" i="5"/>
  <c r="O52" i="5"/>
  <c r="O50" i="5"/>
  <c r="S31" i="25" s="1"/>
  <c r="O53" i="5"/>
  <c r="O51" i="5"/>
  <c r="O55" i="5"/>
  <c r="O61" i="5"/>
  <c r="O59" i="5"/>
  <c r="O57" i="5"/>
  <c r="O62" i="5"/>
  <c r="O58" i="5"/>
  <c r="O60" i="5"/>
  <c r="O65" i="5"/>
  <c r="O29" i="5"/>
  <c r="S28" i="25" s="1"/>
  <c r="O30" i="5"/>
  <c r="O38" i="5"/>
  <c r="O18" i="5"/>
  <c r="O17" i="5"/>
  <c r="O64" i="5"/>
  <c r="S35" i="25" s="1"/>
  <c r="O67" i="5"/>
  <c r="O69" i="5"/>
  <c r="O66" i="5"/>
  <c r="O15" i="5"/>
  <c r="S24" i="25" s="1"/>
  <c r="O19" i="5"/>
  <c r="O20" i="5"/>
  <c r="O41" i="5"/>
  <c r="O39" i="5"/>
  <c r="O37" i="5"/>
  <c r="O40" i="5"/>
  <c r="O68" i="5"/>
  <c r="O549" i="5"/>
  <c r="O551" i="5"/>
  <c r="O589" i="5"/>
  <c r="O788" i="5"/>
  <c r="O593" i="5"/>
  <c r="O713" i="5"/>
  <c r="O709" i="5"/>
  <c r="O1200" i="5"/>
  <c r="O96" i="5"/>
  <c r="O480" i="5"/>
  <c r="O710" i="5"/>
  <c r="O1072" i="5"/>
  <c r="O313" i="5"/>
  <c r="O309" i="5"/>
  <c r="O1077" i="5"/>
  <c r="O1334" i="5"/>
  <c r="O1116" i="5"/>
  <c r="O1118" i="5"/>
  <c r="O248" i="5"/>
  <c r="O93" i="5"/>
  <c r="O247" i="5"/>
  <c r="O97" i="5"/>
  <c r="O1119" i="5"/>
  <c r="O477" i="5"/>
  <c r="S123" i="25" s="1"/>
  <c r="O828" i="5"/>
  <c r="O1117" i="5"/>
  <c r="O482" i="5"/>
  <c r="O831" i="5"/>
  <c r="O827" i="5"/>
  <c r="S145" i="25" s="1"/>
  <c r="O815" i="5"/>
  <c r="O1184" i="5"/>
  <c r="S190" i="25" s="1"/>
  <c r="O711" i="5"/>
  <c r="O489" i="5"/>
  <c r="O479" i="5"/>
  <c r="O458" i="5"/>
  <c r="O832" i="5"/>
  <c r="O251" i="5"/>
  <c r="O879" i="5"/>
  <c r="O1215" i="5"/>
  <c r="O108" i="5"/>
  <c r="O376" i="5"/>
  <c r="O377" i="5"/>
  <c r="O548" i="5"/>
  <c r="O1114" i="5"/>
  <c r="O1345" i="5"/>
  <c r="O556" i="5"/>
  <c r="O559" i="5"/>
  <c r="O246" i="5"/>
  <c r="O533" i="5"/>
  <c r="O106" i="5"/>
  <c r="O384" i="5"/>
  <c r="O1220" i="5"/>
  <c r="O185" i="5"/>
  <c r="O481" i="5"/>
  <c r="O1108" i="5"/>
  <c r="O184" i="5"/>
  <c r="O186" i="5"/>
  <c r="O1320" i="5"/>
  <c r="O554" i="5"/>
  <c r="S103" i="25" s="1"/>
  <c r="O874" i="5"/>
  <c r="O557" i="5"/>
  <c r="O249" i="5"/>
  <c r="O712" i="5"/>
  <c r="O310" i="5"/>
  <c r="O1011" i="5"/>
  <c r="O1124" i="5"/>
  <c r="O1075" i="5"/>
  <c r="O453" i="5"/>
  <c r="O794" i="5"/>
  <c r="O1073" i="5"/>
  <c r="O720" i="5"/>
  <c r="O449" i="5"/>
  <c r="S91" i="25" s="1"/>
  <c r="O1361" i="5"/>
  <c r="O534" i="5"/>
  <c r="O717" i="5"/>
  <c r="O452" i="5"/>
  <c r="O1349" i="5"/>
  <c r="O276" i="5"/>
  <c r="O708" i="5"/>
  <c r="S206" i="25" s="1"/>
  <c r="O459" i="5"/>
  <c r="O1140" i="5"/>
  <c r="O200" i="5"/>
  <c r="O655" i="5"/>
  <c r="O488" i="5"/>
  <c r="O830" i="5"/>
  <c r="O691" i="5"/>
  <c r="O1123" i="5"/>
  <c r="O410" i="5"/>
  <c r="O407" i="5"/>
  <c r="S85" i="25" s="1"/>
  <c r="O1235" i="5"/>
  <c r="O1390" i="5"/>
  <c r="O240" i="5"/>
  <c r="O657" i="5"/>
  <c r="O1347" i="5"/>
  <c r="O1189" i="5"/>
  <c r="O380" i="5"/>
  <c r="O550" i="5"/>
  <c r="O892" i="5"/>
  <c r="O423" i="5"/>
  <c r="O1084" i="5"/>
  <c r="O107" i="5"/>
  <c r="O1263" i="5"/>
  <c r="O289" i="5"/>
  <c r="O552" i="5"/>
  <c r="O102" i="5"/>
  <c r="O547" i="5"/>
  <c r="S126" i="25" s="1"/>
  <c r="O379" i="5"/>
  <c r="S204" i="25" s="1"/>
  <c r="O1187" i="5"/>
  <c r="O116" i="5"/>
  <c r="O1090" i="5"/>
  <c r="O1301" i="5"/>
  <c r="O1188" i="5"/>
  <c r="O1045" i="5"/>
  <c r="O1185" i="5"/>
  <c r="O114" i="5"/>
  <c r="O1047" i="5"/>
  <c r="O1265" i="5"/>
  <c r="O111" i="5"/>
  <c r="O1261" i="5"/>
  <c r="O1262" i="5"/>
  <c r="O422" i="5"/>
  <c r="O1046" i="5"/>
  <c r="O109" i="5"/>
  <c r="O1186" i="5"/>
  <c r="O1049" i="5"/>
  <c r="O1044" i="5"/>
  <c r="O803" i="5"/>
  <c r="O974" i="5"/>
  <c r="S166" i="25" s="1"/>
  <c r="O425" i="5"/>
  <c r="O1299" i="5"/>
  <c r="O113" i="5"/>
  <c r="S40" i="25" s="1"/>
  <c r="O382" i="5"/>
  <c r="O426" i="5"/>
  <c r="O1080" i="5"/>
  <c r="O761" i="5"/>
  <c r="O937" i="5"/>
  <c r="O1109" i="5"/>
  <c r="O331" i="5"/>
  <c r="O498" i="5"/>
  <c r="O219" i="5"/>
  <c r="O600" i="5"/>
  <c r="O279" i="5"/>
  <c r="O500" i="5"/>
  <c r="O1135" i="5"/>
  <c r="O863" i="5"/>
  <c r="O760" i="5"/>
  <c r="O1139" i="5"/>
  <c r="O197" i="5"/>
  <c r="S58" i="25" s="1"/>
  <c r="O1380" i="5"/>
  <c r="O594" i="5"/>
  <c r="O801" i="5"/>
  <c r="O1125" i="5"/>
  <c r="O450" i="5"/>
  <c r="O1234" i="5"/>
  <c r="O1082" i="5"/>
  <c r="O799" i="5"/>
  <c r="O1238" i="5"/>
  <c r="O800" i="5"/>
  <c r="O664" i="5"/>
  <c r="O740" i="5"/>
  <c r="O736" i="5"/>
  <c r="S188" i="25" s="1"/>
  <c r="O409" i="5"/>
  <c r="O715" i="5"/>
  <c r="S207" i="25" s="1"/>
  <c r="O1110" i="5"/>
  <c r="O718" i="5"/>
  <c r="O1391" i="5"/>
  <c r="O895" i="5"/>
  <c r="O1033" i="5"/>
  <c r="O221" i="5"/>
  <c r="O1324" i="5"/>
  <c r="O585" i="5"/>
  <c r="O381" i="5"/>
  <c r="O502" i="5"/>
  <c r="O555" i="5"/>
  <c r="O1213" i="5"/>
  <c r="O1318" i="5"/>
  <c r="O891" i="5"/>
  <c r="O103" i="5"/>
  <c r="O419" i="5"/>
  <c r="O220" i="5"/>
  <c r="O222" i="5"/>
  <c r="O1081" i="5"/>
  <c r="O415" i="5"/>
  <c r="O223" i="5"/>
  <c r="O865" i="5"/>
  <c r="O1237" i="5"/>
  <c r="O1385" i="5"/>
  <c r="O615" i="5"/>
  <c r="O187" i="5"/>
  <c r="O1079" i="5"/>
  <c r="S181" i="25" s="1"/>
  <c r="O1328" i="5"/>
  <c r="O1143" i="5"/>
  <c r="O1325" i="5"/>
  <c r="O590" i="5"/>
  <c r="O1145" i="5"/>
  <c r="O934" i="5"/>
  <c r="O1144" i="5"/>
  <c r="O1401" i="5"/>
  <c r="O1326" i="5"/>
  <c r="O584" i="5"/>
  <c r="O932" i="5"/>
  <c r="S208" i="25" s="1"/>
  <c r="O1266" i="5"/>
  <c r="O660" i="5"/>
  <c r="O591" i="5"/>
  <c r="O1418" i="5"/>
  <c r="O586" i="5"/>
  <c r="O802" i="5"/>
  <c r="O1067" i="5"/>
  <c r="O1121" i="5"/>
  <c r="O1138" i="5"/>
  <c r="O716" i="5"/>
  <c r="O893" i="5"/>
  <c r="O936" i="5"/>
  <c r="O1415" i="5"/>
  <c r="O582" i="5"/>
  <c r="O1069" i="5"/>
  <c r="O1306" i="5"/>
  <c r="O1420" i="5"/>
  <c r="O583" i="5"/>
  <c r="O1068" i="5"/>
  <c r="O1126" i="5"/>
  <c r="O890" i="5"/>
  <c r="S157" i="25" s="1"/>
  <c r="O1136" i="5"/>
  <c r="O1317" i="5"/>
  <c r="O277" i="5"/>
  <c r="O850" i="5"/>
  <c r="O1219" i="5"/>
  <c r="O610" i="5"/>
  <c r="S158" i="25" s="1"/>
  <c r="O1222" i="5"/>
  <c r="O956" i="5"/>
  <c r="O1221" i="5"/>
  <c r="O1236" i="5"/>
  <c r="O741" i="5"/>
  <c r="O954" i="5"/>
  <c r="O1350" i="5"/>
  <c r="O275" i="5"/>
  <c r="O244" i="5"/>
  <c r="O1223" i="5"/>
  <c r="O1201" i="5"/>
  <c r="O411" i="5"/>
  <c r="O1346" i="5"/>
  <c r="O996" i="5"/>
  <c r="O1105" i="5"/>
  <c r="O778" i="5"/>
  <c r="O1198" i="5"/>
  <c r="O998" i="5"/>
  <c r="O402" i="5"/>
  <c r="O228" i="5"/>
  <c r="O1112" i="5"/>
  <c r="O780" i="5"/>
  <c r="O1202" i="5"/>
  <c r="O732" i="5"/>
  <c r="O464" i="5"/>
  <c r="O345" i="5"/>
  <c r="O929" i="5"/>
  <c r="O997" i="5"/>
  <c r="O408" i="5"/>
  <c r="O403" i="5"/>
  <c r="O229" i="5"/>
  <c r="O782" i="5"/>
  <c r="O334" i="5"/>
  <c r="O1199" i="5"/>
  <c r="S147" i="25"/>
  <c r="O318" i="5"/>
  <c r="O1249" i="5"/>
  <c r="O405" i="5"/>
  <c r="O401" i="5"/>
  <c r="O230" i="5"/>
  <c r="O400" i="5"/>
  <c r="O225" i="5"/>
  <c r="S72" i="25" s="1"/>
  <c r="O1111" i="5"/>
  <c r="O781" i="5"/>
  <c r="O332" i="5"/>
  <c r="O454" i="5"/>
  <c r="O292" i="5"/>
  <c r="O1014" i="5"/>
  <c r="O319" i="5"/>
  <c r="O227" i="5"/>
  <c r="O317" i="5"/>
  <c r="O94" i="5"/>
  <c r="O451" i="5"/>
  <c r="O654" i="5"/>
  <c r="O1147" i="5"/>
  <c r="O321" i="5"/>
  <c r="O470" i="5"/>
  <c r="S202" i="25" s="1"/>
  <c r="O1398" i="5"/>
  <c r="O431" i="5"/>
  <c r="O460" i="5"/>
  <c r="O869" i="5"/>
  <c r="S154" i="25" s="1"/>
  <c r="O404" i="5"/>
  <c r="O1397" i="5"/>
  <c r="O779" i="5"/>
  <c r="O1171" i="5"/>
  <c r="O456" i="5"/>
  <c r="O873" i="5"/>
  <c r="O424" i="5"/>
  <c r="O418" i="5"/>
  <c r="O101" i="5"/>
  <c r="O1321" i="5"/>
  <c r="O465" i="5"/>
  <c r="O151" i="5"/>
  <c r="O870" i="5"/>
  <c r="O417" i="5"/>
  <c r="O468" i="5"/>
  <c r="O795" i="5"/>
  <c r="O463" i="5"/>
  <c r="O344" i="5"/>
  <c r="O346" i="5"/>
  <c r="O267" i="5"/>
  <c r="O348" i="5"/>
  <c r="O944" i="5"/>
  <c r="O271" i="5"/>
  <c r="O1327" i="5"/>
  <c r="O939" i="5"/>
  <c r="O928" i="5"/>
  <c r="O347" i="5"/>
  <c r="O925" i="5"/>
  <c r="O432" i="5"/>
  <c r="O818" i="5"/>
  <c r="O288" i="5"/>
  <c r="O1329" i="5"/>
  <c r="O927" i="5"/>
  <c r="O1040" i="5"/>
  <c r="O1256" i="5"/>
  <c r="O457" i="5"/>
  <c r="O1248" i="5"/>
  <c r="O269" i="5"/>
  <c r="O1399" i="5"/>
  <c r="O428" i="5"/>
  <c r="S88" i="25" s="1"/>
  <c r="O1394" i="5"/>
  <c r="O433" i="5"/>
  <c r="O1258" i="5"/>
  <c r="O1396" i="5"/>
  <c r="O430" i="5"/>
  <c r="O901" i="5"/>
  <c r="O1411" i="5"/>
  <c r="O1259" i="5"/>
  <c r="O1314" i="5"/>
  <c r="O1416" i="5"/>
  <c r="O1419" i="5"/>
  <c r="O730" i="5"/>
  <c r="O851" i="5"/>
  <c r="O466" i="5"/>
  <c r="O960" i="5"/>
  <c r="O921" i="5"/>
  <c r="O1037" i="5"/>
  <c r="O734" i="5"/>
  <c r="O1122" i="5"/>
  <c r="O797" i="5"/>
  <c r="O731" i="5"/>
  <c r="O940" i="5"/>
  <c r="O1039" i="5"/>
  <c r="O473" i="5"/>
  <c r="O902" i="5"/>
  <c r="O793" i="5"/>
  <c r="O152" i="5"/>
  <c r="O474" i="5"/>
  <c r="O898" i="5"/>
  <c r="O150" i="5"/>
  <c r="O970" i="5"/>
  <c r="O1310" i="5"/>
  <c r="O1409" i="5"/>
  <c r="O745" i="5"/>
  <c r="O1389" i="5"/>
  <c r="O669" i="5"/>
  <c r="O969" i="5"/>
  <c r="O1269" i="5"/>
  <c r="O912" i="5"/>
  <c r="O808" i="5"/>
  <c r="O746" i="5"/>
  <c r="O1387" i="5"/>
  <c r="O1270" i="5"/>
  <c r="O913" i="5"/>
  <c r="O968" i="5"/>
  <c r="O853" i="5"/>
  <c r="O699" i="5"/>
  <c r="O747" i="5"/>
  <c r="O962" i="5"/>
  <c r="O1194" i="5"/>
  <c r="O1056" i="5"/>
  <c r="O1034" i="5"/>
  <c r="O1208" i="5"/>
  <c r="O1272" i="5"/>
  <c r="O915" i="5"/>
  <c r="O1315" i="5"/>
  <c r="O1413" i="5"/>
  <c r="O807" i="5"/>
  <c r="O1311" i="5"/>
  <c r="O852" i="5"/>
  <c r="O697" i="5"/>
  <c r="O743" i="5"/>
  <c r="S139" i="25" s="1"/>
  <c r="O961" i="5"/>
  <c r="O1196" i="5"/>
  <c r="O1051" i="5"/>
  <c r="O1268" i="5"/>
  <c r="O914" i="5"/>
  <c r="O729" i="5"/>
  <c r="S186" i="25" s="1"/>
  <c r="O848" i="5"/>
  <c r="S151" i="25" s="1"/>
  <c r="O695" i="5"/>
  <c r="O965" i="5"/>
  <c r="O1192" i="5"/>
  <c r="O1053" i="5"/>
  <c r="O1035" i="5"/>
  <c r="O1210" i="5"/>
  <c r="O1273" i="5"/>
  <c r="O916" i="5"/>
  <c r="O1313" i="5"/>
  <c r="O897" i="5"/>
  <c r="O967" i="5"/>
  <c r="O1312" i="5"/>
  <c r="O1410" i="5"/>
  <c r="O849" i="5"/>
  <c r="O698" i="5"/>
  <c r="O963" i="5"/>
  <c r="O1193" i="5"/>
  <c r="O1055" i="5"/>
  <c r="O919" i="5"/>
  <c r="O1041" i="5"/>
  <c r="O1054" i="5"/>
  <c r="O958" i="5"/>
  <c r="O1251" i="5"/>
  <c r="O922" i="5"/>
  <c r="O783" i="5"/>
  <c r="O475" i="5"/>
  <c r="O1408" i="5"/>
  <c r="O792" i="5"/>
  <c r="O696" i="5"/>
  <c r="O1009" i="5"/>
  <c r="O1042" i="5"/>
  <c r="O614" i="5"/>
  <c r="O1247" i="5"/>
  <c r="O612" i="5"/>
  <c r="O1250" i="5"/>
  <c r="O565" i="5"/>
  <c r="O335" i="5"/>
  <c r="O796" i="5"/>
  <c r="O1012" i="5"/>
  <c r="O330" i="5"/>
  <c r="S95" i="25" s="1"/>
  <c r="O471" i="5"/>
  <c r="O719" i="5"/>
  <c r="O814" i="5"/>
  <c r="O692" i="5"/>
  <c r="O1412" i="5"/>
  <c r="O1217" i="5"/>
  <c r="O1362" i="5"/>
  <c r="O1388" i="5"/>
  <c r="O1013" i="5"/>
  <c r="O737" i="5"/>
  <c r="O613" i="5"/>
  <c r="O1252" i="5"/>
  <c r="O543" i="5"/>
  <c r="O92" i="5"/>
  <c r="S37" i="25" s="1"/>
  <c r="O1191" i="5"/>
  <c r="O1031" i="5"/>
  <c r="O95" i="5"/>
  <c r="O900" i="5"/>
  <c r="O293" i="5"/>
  <c r="O1319" i="5"/>
  <c r="O661" i="5"/>
  <c r="O1195" i="5"/>
  <c r="O941" i="5"/>
  <c r="O148" i="5"/>
  <c r="O871" i="5"/>
  <c r="O1030" i="5"/>
  <c r="O971" i="5"/>
  <c r="O1063" i="5"/>
  <c r="O942" i="5"/>
  <c r="O149" i="5"/>
  <c r="O1060" i="5"/>
  <c r="O920" i="5"/>
  <c r="O918" i="5"/>
  <c r="O953" i="5"/>
  <c r="S163" i="25" s="1"/>
  <c r="O872" i="5"/>
  <c r="O262" i="5"/>
  <c r="O1338" i="5"/>
  <c r="O752" i="5"/>
  <c r="O486" i="5"/>
  <c r="O688" i="5"/>
  <c r="O270" i="5"/>
  <c r="O1257" i="5"/>
  <c r="O1102" i="5"/>
  <c r="O1342" i="5"/>
  <c r="O786" i="5"/>
  <c r="O485" i="5"/>
  <c r="O689" i="5"/>
  <c r="O487" i="5"/>
  <c r="O690" i="5"/>
  <c r="O268" i="5"/>
  <c r="O1255" i="5"/>
  <c r="O739" i="5"/>
  <c r="O316" i="5"/>
  <c r="O188" i="5"/>
  <c r="O790" i="5"/>
  <c r="O881" i="5"/>
  <c r="O544" i="5"/>
  <c r="O787" i="5"/>
  <c r="O416" i="5"/>
  <c r="O877" i="5"/>
  <c r="O785" i="5"/>
  <c r="S142" i="25" s="1"/>
  <c r="O880" i="5"/>
  <c r="O876" i="5"/>
  <c r="O437" i="5"/>
  <c r="O372" i="5"/>
  <c r="S203" i="25" s="1"/>
  <c r="O1240" i="5"/>
  <c r="O652" i="5"/>
  <c r="O1335" i="5"/>
  <c r="O529" i="5"/>
  <c r="O1241" i="5"/>
  <c r="O656" i="5"/>
  <c r="O1331" i="5"/>
  <c r="O527" i="5"/>
  <c r="O1243" i="5"/>
  <c r="O1333" i="5"/>
  <c r="O1340" i="5"/>
  <c r="O755" i="5"/>
  <c r="O1242" i="5"/>
  <c r="O438" i="5"/>
  <c r="O375" i="5"/>
  <c r="O374" i="5"/>
  <c r="O260" i="5"/>
  <c r="O1244" i="5"/>
  <c r="O671" i="5"/>
  <c r="O1336" i="5"/>
  <c r="O1061" i="5"/>
  <c r="O1343" i="5"/>
  <c r="O750" i="5"/>
  <c r="S191" i="25" s="1"/>
  <c r="O165" i="5"/>
  <c r="O194" i="5"/>
  <c r="O436" i="5"/>
  <c r="O1304" i="5"/>
  <c r="O162" i="5"/>
  <c r="S62" i="25" s="1"/>
  <c r="O1308" i="5"/>
  <c r="O170" i="5"/>
  <c r="O1348" i="5"/>
  <c r="O274" i="5"/>
  <c r="S83" i="25" s="1"/>
  <c r="O753" i="5"/>
  <c r="O933" i="5"/>
  <c r="O264" i="5"/>
  <c r="O171" i="5"/>
  <c r="O75" i="5"/>
  <c r="O263" i="5"/>
  <c r="O1212" i="5"/>
  <c r="O72" i="5"/>
  <c r="O261" i="5"/>
  <c r="O867" i="5"/>
  <c r="O601" i="5"/>
  <c r="O440" i="5"/>
  <c r="O1103" i="5"/>
  <c r="O135" i="5"/>
  <c r="O1373" i="5"/>
  <c r="O1374" i="5"/>
  <c r="O138" i="5"/>
  <c r="O1376" i="5"/>
  <c r="O136" i="5"/>
  <c r="O1096" i="5"/>
  <c r="O1375" i="5"/>
  <c r="O744" i="5"/>
  <c r="O139" i="5"/>
  <c r="O566" i="5"/>
  <c r="O1341" i="5"/>
  <c r="O1152" i="5"/>
  <c r="O163" i="5"/>
  <c r="O134" i="5"/>
  <c r="O164" i="5"/>
  <c r="O562" i="5"/>
  <c r="O99" i="5"/>
  <c r="O76" i="5"/>
  <c r="O1378" i="5"/>
  <c r="O1294" i="5"/>
  <c r="O1205" i="5"/>
  <c r="S193" i="25" s="1"/>
  <c r="O71" i="5"/>
  <c r="S34" i="25" s="1"/>
  <c r="O1377" i="5"/>
  <c r="O121" i="5"/>
  <c r="O496" i="5"/>
  <c r="O1289" i="5"/>
  <c r="O74" i="5"/>
  <c r="O545" i="5"/>
  <c r="O993" i="5"/>
  <c r="O494" i="5"/>
  <c r="O864" i="5"/>
  <c r="O596" i="5"/>
  <c r="S112" i="25" s="1"/>
  <c r="O435" i="5"/>
  <c r="S114" i="25" s="1"/>
  <c r="O1175" i="5"/>
  <c r="O166" i="5"/>
  <c r="O1101" i="5"/>
  <c r="O1149" i="5"/>
  <c r="O1104" i="5"/>
  <c r="O1086" i="5"/>
  <c r="O862" i="5"/>
  <c r="O282" i="5"/>
  <c r="O641" i="5"/>
  <c r="O290" i="5"/>
  <c r="O649" i="5"/>
  <c r="O242" i="5"/>
  <c r="O989" i="5"/>
  <c r="O1130" i="5"/>
  <c r="O104" i="5"/>
  <c r="O646" i="5"/>
  <c r="O243" i="5"/>
  <c r="O992" i="5"/>
  <c r="O1128" i="5"/>
  <c r="O976" i="5"/>
  <c r="O640" i="5"/>
  <c r="O634" i="5"/>
  <c r="O648" i="5"/>
  <c r="O365" i="5"/>
  <c r="S79" i="25" s="1"/>
  <c r="O1091" i="5"/>
  <c r="O285" i="5"/>
  <c r="O988" i="5"/>
  <c r="O1131" i="5"/>
  <c r="O1065" i="5"/>
  <c r="O503" i="5"/>
  <c r="O1088" i="5"/>
  <c r="O284" i="5"/>
  <c r="O977" i="5"/>
  <c r="O764" i="5"/>
  <c r="O635" i="5"/>
  <c r="O650" i="5"/>
  <c r="O370" i="5"/>
  <c r="O1133" i="5"/>
  <c r="O866" i="5"/>
  <c r="O979" i="5"/>
  <c r="O643" i="5"/>
  <c r="O632" i="5"/>
  <c r="O1070" i="5"/>
  <c r="O1089" i="5"/>
  <c r="O975" i="5"/>
  <c r="O201" i="5"/>
  <c r="O645" i="5"/>
  <c r="O83" i="5"/>
  <c r="O368" i="5"/>
  <c r="O1129" i="5"/>
  <c r="O291" i="5"/>
  <c r="O281" i="5"/>
  <c r="O1305" i="5"/>
  <c r="O1093" i="5"/>
  <c r="O499" i="5"/>
  <c r="O636" i="5"/>
  <c r="O1303" i="5"/>
  <c r="O1095" i="5"/>
  <c r="O272" i="5"/>
  <c r="O597" i="5"/>
  <c r="O978" i="5"/>
  <c r="O198" i="5"/>
  <c r="O631" i="5"/>
  <c r="S162" i="25" s="1"/>
  <c r="O647" i="5"/>
  <c r="O78" i="5"/>
  <c r="S44" i="25" s="1"/>
  <c r="O117" i="5"/>
  <c r="O762" i="5"/>
  <c r="O598" i="5"/>
  <c r="O1383" i="5"/>
  <c r="O1298" i="5"/>
  <c r="O1356" i="5"/>
  <c r="O115" i="5"/>
  <c r="O1381" i="5"/>
  <c r="O1300" i="5"/>
  <c r="O1355" i="5"/>
  <c r="O1154" i="5"/>
  <c r="O1352" i="5"/>
  <c r="O757" i="5"/>
  <c r="O143" i="5"/>
  <c r="O758" i="5"/>
  <c r="O1216" i="5"/>
  <c r="O1382" i="5"/>
  <c r="O667" i="5"/>
  <c r="O926" i="5"/>
  <c r="O1296" i="5"/>
  <c r="O492" i="5"/>
  <c r="O1153" i="5"/>
  <c r="O957" i="5"/>
  <c r="O144" i="5"/>
  <c r="O1357" i="5"/>
  <c r="O312" i="5"/>
  <c r="O816" i="5"/>
  <c r="O1359" i="5"/>
  <c r="O537" i="5"/>
  <c r="O1173" i="5"/>
  <c r="O1097" i="5"/>
  <c r="O314" i="5"/>
  <c r="O759" i="5"/>
  <c r="O817" i="5"/>
  <c r="O1363" i="5"/>
  <c r="O536" i="5"/>
  <c r="O1170" i="5"/>
  <c r="O239" i="5"/>
  <c r="S61" i="25" s="1"/>
  <c r="O1142" i="5"/>
  <c r="S214" i="25" s="1"/>
  <c r="O563" i="5"/>
  <c r="O1405" i="5"/>
  <c r="O991" i="5"/>
  <c r="O100" i="5"/>
  <c r="O495" i="5"/>
  <c r="O1353" i="5"/>
  <c r="O1098" i="5"/>
  <c r="O311" i="5"/>
  <c r="O813" i="5"/>
  <c r="S210" i="25" s="1"/>
  <c r="O1360" i="5"/>
  <c r="O535" i="5"/>
  <c r="O1172" i="5"/>
  <c r="O1290" i="5"/>
  <c r="O1364" i="5"/>
  <c r="O538" i="5"/>
  <c r="O1174" i="5"/>
  <c r="O1292" i="5"/>
  <c r="O297" i="5"/>
  <c r="O295" i="5"/>
  <c r="O1018" i="5"/>
  <c r="O174" i="5"/>
  <c r="O1291" i="5"/>
  <c r="O296" i="5"/>
  <c r="O1019" i="5"/>
  <c r="O172" i="5"/>
  <c r="O300" i="5"/>
  <c r="O1016" i="5"/>
  <c r="S172" i="25" s="1"/>
  <c r="O509" i="5"/>
  <c r="O298" i="5"/>
  <c r="O1017" i="5"/>
  <c r="O505" i="5"/>
  <c r="O1076" i="5"/>
  <c r="O169" i="5"/>
  <c r="O1074" i="5"/>
  <c r="O202" i="5"/>
  <c r="O1021" i="5"/>
  <c r="O767" i="5"/>
  <c r="O769" i="5"/>
  <c r="O195" i="5"/>
  <c r="O81" i="5"/>
  <c r="O493" i="5"/>
  <c r="O766" i="5"/>
  <c r="O1277" i="5"/>
  <c r="O1279" i="5"/>
  <c r="O765" i="5"/>
  <c r="O1278" i="5"/>
  <c r="O1275" i="5"/>
  <c r="O1280" i="5"/>
  <c r="O776" i="5"/>
  <c r="O1402" i="5"/>
  <c r="O771" i="5"/>
  <c r="S195" i="25" s="1"/>
  <c r="O773" i="5"/>
  <c r="O1403" i="5"/>
  <c r="O638" i="5"/>
  <c r="O775" i="5"/>
  <c r="O1404" i="5"/>
  <c r="O639" i="5"/>
  <c r="O772" i="5"/>
  <c r="O751" i="5"/>
  <c r="O176" i="5"/>
  <c r="S55" i="25" s="1"/>
  <c r="O80" i="5"/>
  <c r="O306" i="5"/>
  <c r="O82" i="5"/>
  <c r="O193" i="5"/>
  <c r="O79" i="5"/>
  <c r="O328" i="5"/>
  <c r="O325" i="5"/>
  <c r="O286" i="5"/>
  <c r="O845" i="5"/>
  <c r="O191" i="5"/>
  <c r="O326" i="5"/>
  <c r="O181" i="5"/>
  <c r="O324" i="5"/>
  <c r="O179" i="5"/>
  <c r="O327" i="5"/>
  <c r="O192" i="5"/>
  <c r="O178" i="5"/>
  <c r="O180" i="5"/>
  <c r="O564" i="5"/>
  <c r="O208" i="5"/>
  <c r="O207" i="5"/>
  <c r="O142" i="5"/>
  <c r="O809" i="5"/>
  <c r="O146" i="5"/>
  <c r="O810" i="5"/>
  <c r="O806" i="5"/>
  <c r="S209" i="25" s="1"/>
  <c r="O199" i="5"/>
  <c r="O662" i="5"/>
  <c r="O141" i="5"/>
  <c r="S57" i="25" s="1"/>
  <c r="O541" i="5"/>
  <c r="O1058" i="5"/>
  <c r="S178" i="25" s="1"/>
  <c r="O353" i="5"/>
  <c r="O843" i="5"/>
  <c r="O659" i="5"/>
  <c r="O666" i="5"/>
  <c r="O542" i="5"/>
  <c r="O1059" i="5"/>
  <c r="O354" i="5"/>
  <c r="O844" i="5"/>
  <c r="O1207" i="5"/>
  <c r="O355" i="5"/>
  <c r="O526" i="5"/>
  <c r="S137" i="25" s="1"/>
  <c r="O842" i="5"/>
  <c r="O356" i="5"/>
  <c r="O530" i="5"/>
  <c r="O398" i="5"/>
  <c r="O846" i="5"/>
  <c r="O670" i="5"/>
  <c r="O366" i="5"/>
  <c r="O1209" i="5"/>
  <c r="O352" i="5"/>
  <c r="O528" i="5"/>
  <c r="O394" i="5"/>
  <c r="O369" i="5"/>
  <c r="O204" i="5"/>
  <c r="O209" i="5"/>
  <c r="O206" i="5"/>
  <c r="O722" i="5"/>
  <c r="O685" i="5"/>
  <c r="O682" i="5"/>
  <c r="O680" i="5"/>
  <c r="O683" i="5"/>
  <c r="O995" i="5"/>
  <c r="S169" i="25" s="1"/>
  <c r="O681" i="5"/>
  <c r="O1000" i="5"/>
  <c r="O522" i="5"/>
  <c r="O519" i="5"/>
  <c r="S135" i="25" s="1"/>
  <c r="O524" i="5"/>
  <c r="O576" i="5"/>
  <c r="O579" i="5"/>
  <c r="O575" i="5"/>
  <c r="O580" i="5"/>
  <c r="O577" i="5"/>
  <c r="O578" i="5"/>
  <c r="O573" i="5"/>
  <c r="O568" i="5"/>
  <c r="O571" i="5"/>
  <c r="O304" i="5"/>
  <c r="O302" i="5"/>
  <c r="S67" i="25" s="1"/>
  <c r="O307" i="5"/>
  <c r="O303" i="5"/>
  <c r="O1157" i="5"/>
  <c r="O1161" i="5"/>
  <c r="O1156" i="5"/>
  <c r="O1159" i="5"/>
  <c r="O1160" i="5"/>
  <c r="O1158" i="5"/>
  <c r="O1006" i="5"/>
  <c r="O1004" i="5"/>
  <c r="O1005" i="5"/>
  <c r="O1003" i="5"/>
  <c r="O1002" i="5"/>
  <c r="O1007" i="5"/>
  <c r="O513" i="5"/>
  <c r="O517" i="5"/>
  <c r="O512" i="5"/>
  <c r="S94" i="25" s="1"/>
  <c r="O515" i="5"/>
  <c r="O514" i="5"/>
  <c r="O516" i="5"/>
  <c r="O395" i="5"/>
  <c r="O396" i="5"/>
  <c r="O393" i="5"/>
  <c r="O572" i="5"/>
  <c r="O570" i="5"/>
  <c r="O506" i="5"/>
  <c r="O508" i="5"/>
  <c r="O507" i="5"/>
  <c r="O1150" i="5"/>
  <c r="O569" i="5"/>
  <c r="O1283" i="5"/>
  <c r="O1285" i="5"/>
  <c r="O1286" i="5"/>
  <c r="O1287" i="5"/>
  <c r="O1282" i="5"/>
  <c r="O1284" i="5"/>
  <c r="O821" i="5"/>
  <c r="O824" i="5"/>
  <c r="O823" i="5"/>
  <c r="O825" i="5"/>
  <c r="O822" i="5"/>
  <c r="O820" i="5"/>
  <c r="O523" i="5"/>
  <c r="O521" i="5"/>
  <c r="O982" i="5"/>
  <c r="O983" i="5"/>
  <c r="O981" i="5"/>
  <c r="O986" i="5"/>
  <c r="O985" i="5"/>
  <c r="O984" i="5"/>
  <c r="O726" i="5"/>
  <c r="O723" i="5"/>
  <c r="O727" i="5"/>
  <c r="O520" i="5"/>
  <c r="O724" i="5"/>
  <c r="O390" i="5"/>
  <c r="O388" i="5"/>
  <c r="O387" i="5"/>
  <c r="O386" i="5"/>
  <c r="S82" i="25" s="1"/>
  <c r="O389" i="5"/>
  <c r="O391" i="5"/>
  <c r="O1371" i="5"/>
  <c r="O1366" i="5"/>
  <c r="O1368" i="5"/>
  <c r="O1370" i="5"/>
  <c r="O1367" i="5"/>
  <c r="O1369" i="5"/>
  <c r="O216" i="5"/>
  <c r="O211" i="5"/>
  <c r="O213" i="5"/>
  <c r="O215" i="5"/>
  <c r="O212" i="5"/>
  <c r="O214" i="5"/>
  <c r="O1024" i="5"/>
  <c r="O1027" i="5"/>
  <c r="O1025" i="5"/>
  <c r="O1028" i="5"/>
  <c r="O1026" i="5"/>
  <c r="O1023" i="5"/>
  <c r="O603" i="5"/>
  <c r="O605" i="5"/>
  <c r="O607" i="5"/>
  <c r="O606" i="5"/>
  <c r="O608" i="5"/>
  <c r="O604" i="5"/>
  <c r="O906" i="5"/>
  <c r="O905" i="5"/>
  <c r="O907" i="5"/>
  <c r="O904" i="5"/>
  <c r="O909" i="5"/>
  <c r="O908" i="5"/>
  <c r="O1179" i="5"/>
  <c r="O1182" i="5"/>
  <c r="O1181" i="5"/>
  <c r="O1178" i="5"/>
  <c r="O1180" i="5"/>
  <c r="O1177" i="5"/>
  <c r="O1230" i="5"/>
  <c r="O1228" i="5"/>
  <c r="O1229" i="5"/>
  <c r="O1227" i="5"/>
  <c r="O1226" i="5"/>
  <c r="O1231" i="5"/>
  <c r="O678" i="5"/>
  <c r="O677" i="5"/>
  <c r="O676" i="5"/>
  <c r="O675" i="5"/>
  <c r="O674" i="5"/>
  <c r="O673" i="5"/>
  <c r="S171" i="25" s="1"/>
  <c r="O888" i="5"/>
  <c r="O887" i="5"/>
  <c r="O883" i="5"/>
  <c r="O884" i="5"/>
  <c r="O885" i="5"/>
  <c r="O886" i="5"/>
  <c r="O949" i="5"/>
  <c r="O947" i="5"/>
  <c r="O950" i="5"/>
  <c r="O946" i="5"/>
  <c r="O948" i="5"/>
  <c r="O951" i="5"/>
  <c r="O837" i="5"/>
  <c r="O838" i="5"/>
  <c r="O834" i="5"/>
  <c r="O835" i="5"/>
  <c r="O836" i="5"/>
  <c r="O839" i="5"/>
  <c r="O253" i="5"/>
  <c r="O258" i="5"/>
  <c r="O256" i="5"/>
  <c r="O257" i="5"/>
  <c r="O254" i="5"/>
  <c r="O255" i="5"/>
  <c r="O124" i="5"/>
  <c r="O130" i="5"/>
  <c r="O132" i="5"/>
  <c r="O127" i="5"/>
  <c r="O129" i="5"/>
  <c r="O131" i="5"/>
  <c r="O128" i="5"/>
  <c r="O860" i="5"/>
  <c r="O857" i="5"/>
  <c r="O855" i="5"/>
  <c r="S213" i="25" s="1"/>
  <c r="O856" i="5"/>
  <c r="O859" i="5"/>
  <c r="O858" i="5"/>
  <c r="O122" i="5"/>
  <c r="O157" i="5"/>
  <c r="O160" i="5"/>
  <c r="O156" i="5"/>
  <c r="O159" i="5"/>
  <c r="O155" i="5"/>
  <c r="O158" i="5"/>
  <c r="O1165" i="5"/>
  <c r="O1164" i="5"/>
  <c r="O1163" i="5"/>
  <c r="S187" i="25" s="1"/>
  <c r="O1167" i="5"/>
  <c r="O1166" i="5"/>
  <c r="O1168" i="5"/>
  <c r="O120" i="5"/>
  <c r="O706" i="5"/>
  <c r="O705" i="5"/>
  <c r="O702" i="5"/>
  <c r="O704" i="5"/>
  <c r="O703" i="5"/>
  <c r="O701" i="5"/>
  <c r="S130" i="25" s="1"/>
  <c r="O123" i="5"/>
  <c r="O236" i="5"/>
  <c r="O235" i="5"/>
  <c r="O237" i="5"/>
  <c r="O232" i="5"/>
  <c r="O234" i="5"/>
  <c r="O233" i="5"/>
  <c r="O620" i="5"/>
  <c r="O622" i="5"/>
  <c r="O619" i="5"/>
  <c r="O621" i="5"/>
  <c r="O617" i="5"/>
  <c r="S115" i="25" s="1"/>
  <c r="O618" i="5"/>
  <c r="O447" i="5"/>
  <c r="O446" i="5"/>
  <c r="O442" i="5"/>
  <c r="O445" i="5"/>
  <c r="O443" i="5"/>
  <c r="O444" i="5"/>
  <c r="O88" i="5"/>
  <c r="O86" i="5"/>
  <c r="O89" i="5"/>
  <c r="O90" i="5"/>
  <c r="O87" i="5"/>
  <c r="O85" i="5"/>
  <c r="O342" i="5"/>
  <c r="O339" i="5"/>
  <c r="O341" i="5"/>
  <c r="O338" i="5"/>
  <c r="O340" i="5"/>
  <c r="O337" i="5"/>
  <c r="O624" i="5"/>
  <c r="O629" i="5"/>
  <c r="O625" i="5"/>
  <c r="O627" i="5"/>
  <c r="O626" i="5"/>
  <c r="O628" i="5"/>
  <c r="O363" i="5"/>
  <c r="O362" i="5"/>
  <c r="O360" i="5"/>
  <c r="O361" i="5"/>
  <c r="O359" i="5"/>
  <c r="O358" i="5"/>
  <c r="J4" i="25"/>
  <c r="K4" i="25" s="1"/>
  <c r="S56" i="25" l="1"/>
  <c r="S46" i="25"/>
  <c r="S98" i="25"/>
  <c r="S76" i="25"/>
  <c r="S99" i="25"/>
  <c r="S9" i="25"/>
  <c r="S100" i="25"/>
  <c r="S60" i="25"/>
  <c r="S49" i="25"/>
  <c r="S23" i="25"/>
  <c r="S25" i="25"/>
  <c r="S164" i="25"/>
  <c r="S118" i="25"/>
  <c r="S185" i="25"/>
  <c r="S136" i="25"/>
  <c r="S84" i="25"/>
  <c r="S64" i="25"/>
  <c r="S173" i="25"/>
  <c r="S124" i="25"/>
  <c r="S71" i="25"/>
  <c r="S199" i="25"/>
  <c r="S59" i="25"/>
  <c r="S90" i="25"/>
  <c r="S129" i="25"/>
  <c r="S128" i="25"/>
  <c r="S53" i="25"/>
  <c r="S78" i="25"/>
  <c r="S156" i="25"/>
  <c r="S89" i="25"/>
  <c r="S113" i="25"/>
  <c r="S81" i="25"/>
  <c r="S159" i="25"/>
  <c r="S167" i="25"/>
  <c r="S54" i="25"/>
  <c r="S192" i="25"/>
  <c r="S198" i="25"/>
  <c r="S120" i="25"/>
  <c r="S170" i="25"/>
  <c r="S134" i="25"/>
  <c r="S189" i="25"/>
  <c r="S153" i="25"/>
  <c r="S101" i="25"/>
  <c r="S102" i="25"/>
  <c r="S86" i="25"/>
  <c r="S96" i="25"/>
  <c r="S107" i="25"/>
  <c r="S42" i="25"/>
  <c r="S51" i="25"/>
  <c r="S150" i="25"/>
  <c r="S132" i="25"/>
  <c r="S87" i="25"/>
  <c r="S50" i="25"/>
  <c r="S29" i="25"/>
  <c r="S26" i="25"/>
  <c r="S174" i="25"/>
  <c r="S138" i="25"/>
  <c r="S140" i="25"/>
  <c r="S161" i="25"/>
  <c r="S116" i="25"/>
  <c r="S104" i="25"/>
  <c r="S180" i="25"/>
  <c r="S63" i="25"/>
  <c r="S77" i="25"/>
  <c r="S30" i="25"/>
  <c r="S27" i="25"/>
  <c r="S36" i="25"/>
  <c r="S74" i="25"/>
  <c r="S65" i="25"/>
  <c r="S75" i="25"/>
  <c r="S66" i="25"/>
  <c r="S122" i="25"/>
  <c r="S168" i="25"/>
  <c r="S92" i="25"/>
  <c r="S146" i="25"/>
  <c r="S201" i="25"/>
  <c r="S177" i="25"/>
  <c r="S144" i="25"/>
  <c r="S200" i="25"/>
  <c r="S176" i="25"/>
  <c r="S143" i="25"/>
  <c r="S39" i="25"/>
  <c r="S33" i="25"/>
  <c r="S141" i="25"/>
  <c r="S93" i="25"/>
  <c r="S45" i="25"/>
  <c r="S194" i="25"/>
  <c r="S80" i="25"/>
  <c r="S108" i="25"/>
  <c r="S152" i="25"/>
  <c r="S117" i="25"/>
  <c r="S105" i="25"/>
  <c r="S149" i="25"/>
  <c r="S131" i="25"/>
  <c r="S48" i="25"/>
  <c r="S119" i="25"/>
  <c r="S212" i="25"/>
  <c r="S182" i="25"/>
  <c r="S165" i="25"/>
  <c r="S155" i="25"/>
  <c r="S47" i="25"/>
  <c r="S197" i="25"/>
  <c r="S41" i="25"/>
  <c r="S38" i="25"/>
  <c r="S32" i="25"/>
  <c r="S111" i="25"/>
  <c r="S69" i="25"/>
  <c r="S110" i="25"/>
  <c r="S68" i="25"/>
  <c r="S179" i="25"/>
  <c r="N10" i="25"/>
  <c r="G23" i="8"/>
  <c r="H23" i="8"/>
  <c r="C23" i="8"/>
  <c r="M10" i="8" l="1"/>
  <c r="H13" i="8"/>
  <c r="H12" i="8"/>
  <c r="H11" i="8"/>
  <c r="H10" i="8"/>
  <c r="M11" i="8" l="1"/>
  <c r="N11" i="8"/>
  <c r="M12" i="8"/>
  <c r="N12" i="8"/>
  <c r="M13" i="8"/>
  <c r="N13" i="8"/>
  <c r="M14" i="8"/>
  <c r="N14" i="8"/>
  <c r="M15" i="8"/>
  <c r="O15" i="8" s="1"/>
  <c r="N10" i="8"/>
  <c r="O10" i="8" s="1"/>
  <c r="H22" i="8"/>
  <c r="G22" i="8"/>
  <c r="G21" i="8"/>
  <c r="H21" i="8"/>
  <c r="C21" i="8"/>
  <c r="C22" i="8"/>
  <c r="G20" i="8"/>
  <c r="H20" i="8"/>
  <c r="G19" i="8"/>
  <c r="H19" i="8"/>
  <c r="C19" i="8"/>
  <c r="C20" i="8"/>
  <c r="O14" i="8" l="1"/>
  <c r="O13" i="8"/>
  <c r="O12" i="8"/>
  <c r="O11" i="8"/>
  <c r="G3" i="9" l="1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344" i="9"/>
  <c r="G345" i="9"/>
  <c r="G346" i="9"/>
  <c r="G347" i="9"/>
  <c r="G348" i="9"/>
  <c r="G349" i="9"/>
  <c r="G350" i="9"/>
  <c r="G351" i="9"/>
  <c r="G352" i="9"/>
  <c r="G353" i="9"/>
  <c r="G354" i="9"/>
  <c r="G355" i="9"/>
  <c r="G356" i="9"/>
  <c r="G357" i="9"/>
  <c r="G358" i="9"/>
  <c r="G359" i="9"/>
  <c r="G360" i="9"/>
  <c r="G361" i="9"/>
  <c r="G362" i="9"/>
  <c r="G363" i="9"/>
  <c r="G364" i="9"/>
  <c r="G365" i="9"/>
  <c r="G366" i="9"/>
  <c r="G367" i="9"/>
  <c r="C18" i="8"/>
  <c r="C17" i="8"/>
  <c r="C16" i="8"/>
  <c r="C15" i="8"/>
  <c r="C14" i="8"/>
  <c r="C13" i="8"/>
  <c r="C12" i="8"/>
  <c r="C11" i="8"/>
  <c r="C10" i="8"/>
  <c r="T123" i="25" l="1"/>
  <c r="U123" i="25" s="1"/>
  <c r="P1351" i="5"/>
  <c r="P1288" i="5"/>
  <c r="P392" i="5"/>
  <c r="P952" i="5"/>
  <c r="P161" i="5"/>
  <c r="P406" i="5"/>
  <c r="P721" i="5"/>
  <c r="O207" i="25" s="1"/>
  <c r="P875" i="5"/>
  <c r="P784" i="5"/>
  <c r="P1253" i="5"/>
  <c r="P105" i="5"/>
  <c r="Q105" i="5" s="1"/>
  <c r="P36" i="25" s="1"/>
  <c r="P581" i="5"/>
  <c r="Q581" i="5" s="1"/>
  <c r="P448" i="5"/>
  <c r="P1190" i="5"/>
  <c r="O190" i="25" s="1"/>
  <c r="P1197" i="5"/>
  <c r="P980" i="5"/>
  <c r="O166" i="25" s="1"/>
  <c r="P1176" i="5"/>
  <c r="P574" i="5"/>
  <c r="P518" i="5"/>
  <c r="P1008" i="5"/>
  <c r="P1169" i="5"/>
  <c r="O187" i="25" s="1"/>
  <c r="P707" i="5"/>
  <c r="P861" i="5"/>
  <c r="Q861" i="5" s="1"/>
  <c r="P150" i="25" s="1"/>
  <c r="P91" i="5"/>
  <c r="P1372" i="5"/>
  <c r="P868" i="5"/>
  <c r="P539" i="5"/>
  <c r="T122" i="25"/>
  <c r="U122" i="25" s="1"/>
  <c r="P273" i="5"/>
  <c r="Q273" i="5" s="1"/>
  <c r="P198" i="25" s="1"/>
  <c r="P364" i="5"/>
  <c r="P1232" i="5"/>
  <c r="T27" i="25"/>
  <c r="P70" i="5"/>
  <c r="P1078" i="5"/>
  <c r="P203" i="5"/>
  <c r="P1127" i="5"/>
  <c r="P763" i="5"/>
  <c r="P651" i="5"/>
  <c r="Q651" i="5" s="1"/>
  <c r="P117" i="25" s="1"/>
  <c r="P826" i="5"/>
  <c r="P987" i="5"/>
  <c r="P609" i="5"/>
  <c r="Q609" i="5" s="1"/>
  <c r="P111" i="25" s="1"/>
  <c r="P343" i="5"/>
  <c r="P217" i="5"/>
  <c r="T25" i="25"/>
  <c r="T28" i="25"/>
  <c r="T29" i="25"/>
  <c r="T30" i="25"/>
  <c r="T154" i="25"/>
  <c r="U154" i="25" s="1"/>
  <c r="T26" i="25"/>
  <c r="P35" i="5"/>
  <c r="T31" i="25"/>
  <c r="T24" i="25"/>
  <c r="U24" i="25" s="1"/>
  <c r="T106" i="25"/>
  <c r="P483" i="5"/>
  <c r="T177" i="25"/>
  <c r="U177" i="25" s="1"/>
  <c r="P560" i="5"/>
  <c r="T90" i="25"/>
  <c r="U90" i="25" s="1"/>
  <c r="T98" i="25"/>
  <c r="U98" i="25" s="1"/>
  <c r="P1120" i="5"/>
  <c r="T125" i="25"/>
  <c r="P1001" i="5"/>
  <c r="O169" i="25" s="1"/>
  <c r="P805" i="5"/>
  <c r="P385" i="5"/>
  <c r="P1050" i="5"/>
  <c r="P644" i="5"/>
  <c r="O118" i="25" s="1"/>
  <c r="T173" i="25"/>
  <c r="U173" i="25" s="1"/>
  <c r="T163" i="25"/>
  <c r="P1071" i="5"/>
  <c r="P959" i="5"/>
  <c r="O163" i="25" s="1"/>
  <c r="O147" i="25"/>
  <c r="T126" i="25"/>
  <c r="U126" i="25" s="1"/>
  <c r="T213" i="25"/>
  <c r="U213" i="25" s="1"/>
  <c r="P588" i="5"/>
  <c r="Q588" i="5" s="1"/>
  <c r="T178" i="25"/>
  <c r="U178" i="25" s="1"/>
  <c r="P1148" i="5"/>
  <c r="O214" i="25" s="1"/>
  <c r="P532" i="5"/>
  <c r="T96" i="25"/>
  <c r="U96" i="25" s="1"/>
  <c r="T95" i="25"/>
  <c r="U95" i="25" s="1"/>
  <c r="T207" i="25"/>
  <c r="U207" i="25" s="1"/>
  <c r="T164" i="25"/>
  <c r="U164" i="25" s="1"/>
  <c r="T34" i="25"/>
  <c r="U34" i="25" s="1"/>
  <c r="P1407" i="5"/>
  <c r="T198" i="25"/>
  <c r="U198" i="25" s="1"/>
  <c r="T111" i="25"/>
  <c r="U111" i="25" s="1"/>
  <c r="P322" i="5"/>
  <c r="T135" i="25"/>
  <c r="U135" i="25" s="1"/>
  <c r="P616" i="5"/>
  <c r="R616" i="5" s="1"/>
  <c r="P231" i="5"/>
  <c r="Q231" i="5" s="1"/>
  <c r="P195" i="25" s="1"/>
  <c r="P735" i="5"/>
  <c r="T79" i="25"/>
  <c r="U79" i="25" s="1"/>
  <c r="T89" i="25"/>
  <c r="U89" i="25" s="1"/>
  <c r="T87" i="25"/>
  <c r="U87" i="25" s="1"/>
  <c r="T71" i="25"/>
  <c r="U71" i="25" s="1"/>
  <c r="T60" i="25"/>
  <c r="P350" i="5"/>
  <c r="T156" i="25"/>
  <c r="U156" i="25" s="1"/>
  <c r="T83" i="25"/>
  <c r="U83" i="25" s="1"/>
  <c r="P476" i="5"/>
  <c r="P1274" i="5"/>
  <c r="P154" i="5"/>
  <c r="P1393" i="5"/>
  <c r="T174" i="25"/>
  <c r="U174" i="25" s="1"/>
  <c r="T145" i="25"/>
  <c r="P966" i="5"/>
  <c r="T140" i="25"/>
  <c r="U140" i="25" s="1"/>
  <c r="P497" i="5"/>
  <c r="T127" i="25"/>
  <c r="T162" i="25"/>
  <c r="U162" i="25" s="1"/>
  <c r="P1036" i="5"/>
  <c r="T137" i="25"/>
  <c r="U137" i="25" s="1"/>
  <c r="P1064" i="5"/>
  <c r="O178" i="25" s="1"/>
  <c r="T69" i="25"/>
  <c r="U69" i="25" s="1"/>
  <c r="P1155" i="5"/>
  <c r="P924" i="5"/>
  <c r="P903" i="5"/>
  <c r="P973" i="5"/>
  <c r="T155" i="25"/>
  <c r="U155" i="25" s="1"/>
  <c r="P434" i="5"/>
  <c r="T41" i="25"/>
  <c r="U41" i="25" s="1"/>
  <c r="T33" i="25"/>
  <c r="P770" i="5"/>
  <c r="Q770" i="5" s="1"/>
  <c r="T132" i="25"/>
  <c r="U132" i="25" s="1"/>
  <c r="T209" i="25"/>
  <c r="U209" i="25" s="1"/>
  <c r="P1295" i="5"/>
  <c r="T134" i="25"/>
  <c r="U134" i="25" s="1"/>
  <c r="P329" i="5"/>
  <c r="T104" i="25"/>
  <c r="T103" i="25"/>
  <c r="U103" i="25" s="1"/>
  <c r="T39" i="25"/>
  <c r="U39" i="25" s="1"/>
  <c r="P742" i="5"/>
  <c r="T136" i="25"/>
  <c r="U136" i="25" s="1"/>
  <c r="P693" i="5"/>
  <c r="Q693" i="5" s="1"/>
  <c r="P123" i="25" s="1"/>
  <c r="T149" i="25"/>
  <c r="U149" i="25" s="1"/>
  <c r="T75" i="25"/>
  <c r="T201" i="25"/>
  <c r="U201" i="25" s="1"/>
  <c r="T117" i="25"/>
  <c r="U117" i="25" s="1"/>
  <c r="P756" i="5"/>
  <c r="Q756" i="5" s="1"/>
  <c r="P137" i="25" s="1"/>
  <c r="P882" i="5"/>
  <c r="Q882" i="5" s="1"/>
  <c r="P152" i="25" s="1"/>
  <c r="T131" i="25"/>
  <c r="U131" i="25" s="1"/>
  <c r="T48" i="25"/>
  <c r="U48" i="25" s="1"/>
  <c r="T61" i="25"/>
  <c r="U61" i="25" s="1"/>
  <c r="T197" i="25"/>
  <c r="P77" i="5"/>
  <c r="O34" i="25" s="1"/>
  <c r="P1309" i="5"/>
  <c r="P441" i="5"/>
  <c r="Q441" i="5" s="1"/>
  <c r="P87" i="25" s="1"/>
  <c r="T180" i="25"/>
  <c r="U180" i="25" s="1"/>
  <c r="T187" i="25"/>
  <c r="P287" i="5"/>
  <c r="T44" i="25"/>
  <c r="U44" i="25" s="1"/>
  <c r="T196" i="25"/>
  <c r="U196" i="25" s="1"/>
  <c r="T32" i="25"/>
  <c r="U32" i="25" s="1"/>
  <c r="T208" i="25"/>
  <c r="U208" i="25" s="1"/>
  <c r="P546" i="5"/>
  <c r="Q546" i="5" s="1"/>
  <c r="T107" i="25"/>
  <c r="U107" i="25" s="1"/>
  <c r="T84" i="25"/>
  <c r="T188" i="25"/>
  <c r="U188" i="25" s="1"/>
  <c r="P602" i="5"/>
  <c r="P175" i="5"/>
  <c r="O63" i="25" s="1"/>
  <c r="T200" i="25"/>
  <c r="U200" i="25" s="1"/>
  <c r="T74" i="25"/>
  <c r="U74" i="25" s="1"/>
  <c r="P1218" i="5"/>
  <c r="P847" i="5"/>
  <c r="T176" i="25"/>
  <c r="U176" i="25" s="1"/>
  <c r="T116" i="25"/>
  <c r="U116" i="25" s="1"/>
  <c r="T62" i="25"/>
  <c r="U62" i="25" s="1"/>
  <c r="T210" i="25"/>
  <c r="P1099" i="5"/>
  <c r="P931" i="5"/>
  <c r="P1386" i="5"/>
  <c r="T56" i="25"/>
  <c r="P245" i="5"/>
  <c r="T47" i="25"/>
  <c r="T113" i="25"/>
  <c r="U113" i="25" s="1"/>
  <c r="T64" i="25"/>
  <c r="P301" i="5"/>
  <c r="P399" i="5"/>
  <c r="Q399" i="5" s="1"/>
  <c r="P81" i="25" s="1"/>
  <c r="T169" i="25"/>
  <c r="U169" i="25" s="1"/>
  <c r="P147" i="5"/>
  <c r="Q147" i="5" s="1"/>
  <c r="P45" i="25" s="1"/>
  <c r="T94" i="25"/>
  <c r="U94" i="25" s="1"/>
  <c r="T46" i="25"/>
  <c r="U46" i="25" s="1"/>
  <c r="P1022" i="5"/>
  <c r="O172" i="25" s="1"/>
  <c r="T23" i="25"/>
  <c r="T141" i="25"/>
  <c r="P371" i="5"/>
  <c r="T175" i="25"/>
  <c r="P1211" i="5"/>
  <c r="O193" i="25" s="1"/>
  <c r="T97" i="25"/>
  <c r="U97" i="25" s="1"/>
  <c r="T51" i="25"/>
  <c r="U51" i="25" s="1"/>
  <c r="T40" i="25"/>
  <c r="U40" i="25" s="1"/>
  <c r="T146" i="25"/>
  <c r="U146" i="25" s="1"/>
  <c r="T52" i="25"/>
  <c r="U52" i="25" s="1"/>
  <c r="T170" i="25"/>
  <c r="U170" i="25" s="1"/>
  <c r="T108" i="25"/>
  <c r="U108" i="25" s="1"/>
  <c r="T192" i="25"/>
  <c r="U192" i="25" s="1"/>
  <c r="T199" i="25"/>
  <c r="U199" i="25" s="1"/>
  <c r="T150" i="25"/>
  <c r="U150" i="25" s="1"/>
  <c r="T159" i="25"/>
  <c r="U159" i="25" s="1"/>
  <c r="T85" i="25"/>
  <c r="U85" i="25" s="1"/>
  <c r="T124" i="25"/>
  <c r="U124" i="25" s="1"/>
  <c r="T112" i="25"/>
  <c r="U112" i="25" s="1"/>
  <c r="P910" i="5"/>
  <c r="Q910" i="5" s="1"/>
  <c r="T73" i="25"/>
  <c r="U73" i="25" s="1"/>
  <c r="P1085" i="5"/>
  <c r="O181" i="25" s="1"/>
  <c r="T99" i="25"/>
  <c r="U99" i="25" s="1"/>
  <c r="P938" i="5"/>
  <c r="O208" i="25" s="1"/>
  <c r="T53" i="25"/>
  <c r="U53" i="25" s="1"/>
  <c r="P1113" i="5"/>
  <c r="P1421" i="5"/>
  <c r="Q1421" i="5" s="1"/>
  <c r="P665" i="5"/>
  <c r="P1267" i="5"/>
  <c r="T109" i="25"/>
  <c r="U109" i="25" s="1"/>
  <c r="P420" i="5"/>
  <c r="Q420" i="5" s="1"/>
  <c r="P83" i="25" s="1"/>
  <c r="P1358" i="5"/>
  <c r="T105" i="25"/>
  <c r="P1239" i="5"/>
  <c r="T166" i="25"/>
  <c r="U166" i="25" s="1"/>
  <c r="T54" i="25"/>
  <c r="T194" i="25"/>
  <c r="T211" i="25"/>
  <c r="T101" i="25"/>
  <c r="T171" i="25"/>
  <c r="T35" i="25"/>
  <c r="T168" i="25"/>
  <c r="T157" i="25"/>
  <c r="T183" i="25"/>
  <c r="T142" i="25"/>
  <c r="T181" i="25"/>
  <c r="T70" i="25"/>
  <c r="T55" i="25"/>
  <c r="T58" i="25"/>
  <c r="T59" i="25"/>
  <c r="T86" i="25"/>
  <c r="T167" i="25"/>
  <c r="T65" i="25"/>
  <c r="T42" i="25"/>
  <c r="T165" i="25"/>
  <c r="T147" i="25"/>
  <c r="T63" i="25"/>
  <c r="T88" i="25"/>
  <c r="T186" i="25"/>
  <c r="T204" i="25"/>
  <c r="T49" i="25"/>
  <c r="T78" i="25"/>
  <c r="T179" i="25"/>
  <c r="T43" i="25"/>
  <c r="T172" i="25"/>
  <c r="T143" i="25"/>
  <c r="T152" i="25"/>
  <c r="T205" i="25"/>
  <c r="T100" i="25"/>
  <c r="T158" i="25"/>
  <c r="T191" i="25"/>
  <c r="T182" i="25"/>
  <c r="T139" i="25"/>
  <c r="T7" i="25"/>
  <c r="T212" i="25"/>
  <c r="T92" i="25"/>
  <c r="T72" i="25"/>
  <c r="T195" i="25"/>
  <c r="T68" i="25"/>
  <c r="T138" i="25"/>
  <c r="T76" i="25"/>
  <c r="T66" i="25"/>
  <c r="T82" i="25"/>
  <c r="T128" i="25"/>
  <c r="T148" i="25"/>
  <c r="T151" i="25"/>
  <c r="T184" i="25"/>
  <c r="T38" i="25"/>
  <c r="T185" i="25"/>
  <c r="T115" i="25"/>
  <c r="T203" i="25"/>
  <c r="T81" i="25"/>
  <c r="T110" i="25"/>
  <c r="T102" i="25"/>
  <c r="T93" i="25"/>
  <c r="T118" i="25"/>
  <c r="T160" i="25"/>
  <c r="T161" i="25"/>
  <c r="T37" i="25"/>
  <c r="T129" i="25"/>
  <c r="T67" i="25"/>
  <c r="T133" i="25"/>
  <c r="T214" i="25"/>
  <c r="T36" i="25"/>
  <c r="T45" i="25"/>
  <c r="T202" i="25"/>
  <c r="T130" i="25"/>
  <c r="T50" i="25"/>
  <c r="T91" i="25"/>
  <c r="T8" i="25"/>
  <c r="T9" i="25"/>
  <c r="T206" i="25"/>
  <c r="T193" i="25"/>
  <c r="T144" i="25"/>
  <c r="T114" i="25"/>
  <c r="T190" i="25"/>
  <c r="T119" i="25"/>
  <c r="T57" i="25"/>
  <c r="T153" i="25"/>
  <c r="T77" i="25"/>
  <c r="T189" i="25"/>
  <c r="T80" i="25"/>
  <c r="T120" i="25"/>
  <c r="T121" i="25"/>
  <c r="F367" i="9"/>
  <c r="F366" i="9"/>
  <c r="F365" i="9"/>
  <c r="F364" i="9"/>
  <c r="F363" i="9"/>
  <c r="F362" i="9"/>
  <c r="F361" i="9"/>
  <c r="F360" i="9"/>
  <c r="F359" i="9"/>
  <c r="F358" i="9"/>
  <c r="F357" i="9"/>
  <c r="F356" i="9"/>
  <c r="F355" i="9"/>
  <c r="F354" i="9"/>
  <c r="F353" i="9"/>
  <c r="F352" i="9"/>
  <c r="F351" i="9"/>
  <c r="F350" i="9"/>
  <c r="F349" i="9"/>
  <c r="F348" i="9"/>
  <c r="F347" i="9"/>
  <c r="F346" i="9"/>
  <c r="F345" i="9"/>
  <c r="F344" i="9"/>
  <c r="F343" i="9"/>
  <c r="F342" i="9"/>
  <c r="F341" i="9"/>
  <c r="F340" i="9"/>
  <c r="F339" i="9"/>
  <c r="F338" i="9"/>
  <c r="F337" i="9"/>
  <c r="F336" i="9"/>
  <c r="F335" i="9"/>
  <c r="F334" i="9"/>
  <c r="F333" i="9"/>
  <c r="F332" i="9"/>
  <c r="F331" i="9"/>
  <c r="F330" i="9"/>
  <c r="F329" i="9"/>
  <c r="F328" i="9"/>
  <c r="F327" i="9"/>
  <c r="F326" i="9"/>
  <c r="F325" i="9"/>
  <c r="F324" i="9"/>
  <c r="F323" i="9"/>
  <c r="F322" i="9"/>
  <c r="F321" i="9"/>
  <c r="F320" i="9"/>
  <c r="F319" i="9"/>
  <c r="F318" i="9"/>
  <c r="F317" i="9"/>
  <c r="F316" i="9"/>
  <c r="F315" i="9"/>
  <c r="F314" i="9"/>
  <c r="F313" i="9"/>
  <c r="F312" i="9"/>
  <c r="F311" i="9"/>
  <c r="F310" i="9"/>
  <c r="F309" i="9"/>
  <c r="F308" i="9"/>
  <c r="F307" i="9"/>
  <c r="F306" i="9"/>
  <c r="F305" i="9"/>
  <c r="F304" i="9"/>
  <c r="F303" i="9"/>
  <c r="F302" i="9"/>
  <c r="F301" i="9"/>
  <c r="F300" i="9"/>
  <c r="F299" i="9"/>
  <c r="F298" i="9"/>
  <c r="F297" i="9"/>
  <c r="F296" i="9"/>
  <c r="F295" i="9"/>
  <c r="F294" i="9"/>
  <c r="F293" i="9"/>
  <c r="F292" i="9"/>
  <c r="F291" i="9"/>
  <c r="F290" i="9"/>
  <c r="F289" i="9"/>
  <c r="F288" i="9"/>
  <c r="F287" i="9"/>
  <c r="F286" i="9"/>
  <c r="F285" i="9"/>
  <c r="F284" i="9"/>
  <c r="F283" i="9"/>
  <c r="F282" i="9"/>
  <c r="F281" i="9"/>
  <c r="F280" i="9"/>
  <c r="F279" i="9"/>
  <c r="F278" i="9"/>
  <c r="F277" i="9"/>
  <c r="F276" i="9"/>
  <c r="F275" i="9"/>
  <c r="F274" i="9"/>
  <c r="F273" i="9"/>
  <c r="F272" i="9"/>
  <c r="F271" i="9"/>
  <c r="F270" i="9"/>
  <c r="F269" i="9"/>
  <c r="F268" i="9"/>
  <c r="F267" i="9"/>
  <c r="F266" i="9"/>
  <c r="F265" i="9"/>
  <c r="F264" i="9"/>
  <c r="F263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8" i="9"/>
  <c r="F237" i="9"/>
  <c r="F236" i="9"/>
  <c r="F235" i="9"/>
  <c r="F234" i="9"/>
  <c r="F233" i="9"/>
  <c r="F232" i="9"/>
  <c r="F231" i="9"/>
  <c r="F230" i="9"/>
  <c r="F229" i="9"/>
  <c r="F228" i="9"/>
  <c r="F227" i="9"/>
  <c r="F226" i="9"/>
  <c r="F225" i="9"/>
  <c r="F224" i="9"/>
  <c r="F223" i="9"/>
  <c r="F222" i="9"/>
  <c r="F221" i="9"/>
  <c r="F220" i="9"/>
  <c r="F219" i="9"/>
  <c r="F218" i="9"/>
  <c r="F217" i="9"/>
  <c r="F216" i="9"/>
  <c r="F215" i="9"/>
  <c r="F214" i="9"/>
  <c r="F213" i="9"/>
  <c r="F212" i="9"/>
  <c r="F211" i="9"/>
  <c r="F210" i="9"/>
  <c r="F209" i="9"/>
  <c r="F208" i="9"/>
  <c r="F207" i="9"/>
  <c r="F206" i="9"/>
  <c r="F205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1" i="9"/>
  <c r="F190" i="9"/>
  <c r="F189" i="9"/>
  <c r="F188" i="9"/>
  <c r="F187" i="9"/>
  <c r="F186" i="9"/>
  <c r="F185" i="9"/>
  <c r="F184" i="9"/>
  <c r="F183" i="9"/>
  <c r="F182" i="9"/>
  <c r="F181" i="9"/>
  <c r="F180" i="9"/>
  <c r="F179" i="9"/>
  <c r="F178" i="9"/>
  <c r="F177" i="9"/>
  <c r="F176" i="9"/>
  <c r="F175" i="9"/>
  <c r="F174" i="9"/>
  <c r="F173" i="9"/>
  <c r="F172" i="9"/>
  <c r="F171" i="9"/>
  <c r="F170" i="9"/>
  <c r="F169" i="9"/>
  <c r="F168" i="9"/>
  <c r="F167" i="9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Q350" i="5" l="1"/>
  <c r="O76" i="25"/>
  <c r="Q76" i="25" s="1"/>
  <c r="R76" i="25" s="1"/>
  <c r="V76" i="25" s="1"/>
  <c r="X76" i="25" s="1"/>
  <c r="Q329" i="5"/>
  <c r="O73" i="25"/>
  <c r="Q73" i="25" s="1"/>
  <c r="R73" i="25" s="1"/>
  <c r="Q602" i="5"/>
  <c r="O112" i="25"/>
  <c r="Q245" i="5"/>
  <c r="O61" i="25"/>
  <c r="Q539" i="5"/>
  <c r="O100" i="25"/>
  <c r="O9" i="25"/>
  <c r="Q497" i="5"/>
  <c r="O205" i="25"/>
  <c r="Q371" i="5"/>
  <c r="O79" i="25"/>
  <c r="Q79" i="25" s="1"/>
  <c r="R79" i="25" s="1"/>
  <c r="Q560" i="5"/>
  <c r="O103" i="25"/>
  <c r="Q875" i="5"/>
  <c r="P154" i="25" s="1"/>
  <c r="O154" i="25"/>
  <c r="Q434" i="5"/>
  <c r="O88" i="25"/>
  <c r="Q707" i="5"/>
  <c r="O130" i="25"/>
  <c r="Q161" i="5"/>
  <c r="O49" i="25"/>
  <c r="Q287" i="5"/>
  <c r="O64" i="25"/>
  <c r="Q64" i="25" s="1"/>
  <c r="R64" i="25" s="1"/>
  <c r="Q203" i="5"/>
  <c r="O58" i="25"/>
  <c r="Q518" i="5"/>
  <c r="O94" i="25"/>
  <c r="Q392" i="5"/>
  <c r="O82" i="25"/>
  <c r="Q476" i="5"/>
  <c r="O202" i="25"/>
  <c r="Q35" i="5"/>
  <c r="O28" i="25"/>
  <c r="O87" i="25"/>
  <c r="O42" i="25"/>
  <c r="Q77" i="5"/>
  <c r="P99" i="25"/>
  <c r="P8" i="25"/>
  <c r="O186" i="25"/>
  <c r="Q735" i="5"/>
  <c r="P135" i="25" s="1"/>
  <c r="O123" i="25"/>
  <c r="Q483" i="5"/>
  <c r="P201" i="25" s="1"/>
  <c r="O92" i="25"/>
  <c r="O168" i="25"/>
  <c r="Q665" i="5"/>
  <c r="R665" i="5" s="1"/>
  <c r="P7" i="25"/>
  <c r="P98" i="25"/>
  <c r="O146" i="25"/>
  <c r="Q644" i="5"/>
  <c r="O72" i="25"/>
  <c r="O137" i="25"/>
  <c r="O101" i="25"/>
  <c r="O57" i="25"/>
  <c r="O188" i="25"/>
  <c r="O201" i="25"/>
  <c r="O177" i="25"/>
  <c r="O104" i="25"/>
  <c r="Q104" i="25" s="1"/>
  <c r="R104" i="25" s="1"/>
  <c r="V104" i="25" s="1"/>
  <c r="X104" i="25" s="1"/>
  <c r="O150" i="25"/>
  <c r="Q150" i="25" s="1"/>
  <c r="R150" i="25" s="1"/>
  <c r="O132" i="25"/>
  <c r="Q132" i="25" s="1"/>
  <c r="R132" i="25" s="1"/>
  <c r="O156" i="25"/>
  <c r="O192" i="25"/>
  <c r="O213" i="25"/>
  <c r="O183" i="25"/>
  <c r="O131" i="25"/>
  <c r="O164" i="25"/>
  <c r="Q164" i="25" s="1"/>
  <c r="R164" i="25" s="1"/>
  <c r="O98" i="25"/>
  <c r="Q98" i="25" s="1"/>
  <c r="R98" i="25" s="1"/>
  <c r="O110" i="25"/>
  <c r="O7" i="25"/>
  <c r="Q903" i="5"/>
  <c r="R1351" i="5"/>
  <c r="R1288" i="5"/>
  <c r="R952" i="5"/>
  <c r="R161" i="5"/>
  <c r="R406" i="5"/>
  <c r="R721" i="5"/>
  <c r="R875" i="5"/>
  <c r="Q148" i="25"/>
  <c r="R148" i="25" s="1"/>
  <c r="V148" i="25" s="1"/>
  <c r="X148" i="25" s="1"/>
  <c r="R784" i="5"/>
  <c r="R1253" i="5"/>
  <c r="R105" i="5"/>
  <c r="R581" i="5"/>
  <c r="R448" i="5"/>
  <c r="R1190" i="5"/>
  <c r="R1197" i="5"/>
  <c r="R980" i="5"/>
  <c r="Q163" i="25"/>
  <c r="R163" i="25" s="1"/>
  <c r="V163" i="25" s="1"/>
  <c r="X163" i="25" s="1"/>
  <c r="R1176" i="5"/>
  <c r="R574" i="5"/>
  <c r="Q103" i="25"/>
  <c r="R103" i="25" s="1"/>
  <c r="R1008" i="5"/>
  <c r="Q190" i="25"/>
  <c r="R190" i="25" s="1"/>
  <c r="V190" i="25" s="1"/>
  <c r="X190" i="25" s="1"/>
  <c r="R1169" i="5"/>
  <c r="R707" i="5"/>
  <c r="R861" i="5"/>
  <c r="R91" i="5"/>
  <c r="R1372" i="5"/>
  <c r="R868" i="5"/>
  <c r="Q147" i="25"/>
  <c r="R147" i="25" s="1"/>
  <c r="V147" i="25" s="1"/>
  <c r="X147" i="25" s="1"/>
  <c r="R539" i="5"/>
  <c r="R273" i="5"/>
  <c r="R364" i="5"/>
  <c r="R1232" i="5"/>
  <c r="U27" i="25"/>
  <c r="R70" i="5"/>
  <c r="R1078" i="5"/>
  <c r="R203" i="5"/>
  <c r="R1127" i="5"/>
  <c r="Q184" i="25"/>
  <c r="R184" i="25" s="1"/>
  <c r="V184" i="25" s="1"/>
  <c r="X184" i="25" s="1"/>
  <c r="R763" i="5"/>
  <c r="R651" i="5"/>
  <c r="R826" i="5"/>
  <c r="R987" i="5"/>
  <c r="R609" i="5"/>
  <c r="R343" i="5"/>
  <c r="Q70" i="25"/>
  <c r="R70" i="25" s="1"/>
  <c r="V70" i="25" s="1"/>
  <c r="X70" i="25" s="1"/>
  <c r="R217" i="5"/>
  <c r="U25" i="25"/>
  <c r="U28" i="25"/>
  <c r="U29" i="25"/>
  <c r="U30" i="25"/>
  <c r="U26" i="25"/>
  <c r="R35" i="5"/>
  <c r="U31" i="25"/>
  <c r="U106" i="25"/>
  <c r="R1120" i="5"/>
  <c r="U125" i="25"/>
  <c r="Q166" i="25"/>
  <c r="R166" i="25" s="1"/>
  <c r="R1001" i="5"/>
  <c r="R805" i="5"/>
  <c r="R385" i="5"/>
  <c r="R1050" i="5"/>
  <c r="U163" i="25"/>
  <c r="Q82" i="25"/>
  <c r="R82" i="25" s="1"/>
  <c r="V82" i="25" s="1"/>
  <c r="X82" i="25" s="1"/>
  <c r="R1071" i="5"/>
  <c r="R959" i="5"/>
  <c r="R588" i="5"/>
  <c r="Q109" i="25"/>
  <c r="R109" i="25" s="1"/>
  <c r="Q187" i="25"/>
  <c r="R187" i="25" s="1"/>
  <c r="V187" i="25" s="1"/>
  <c r="X187" i="25" s="1"/>
  <c r="R1148" i="5"/>
  <c r="R532" i="5"/>
  <c r="Q97" i="25"/>
  <c r="R97" i="25" s="1"/>
  <c r="R1407" i="5"/>
  <c r="R322" i="5"/>
  <c r="R231" i="5"/>
  <c r="U60" i="25"/>
  <c r="R350" i="5"/>
  <c r="R476" i="5"/>
  <c r="R1274" i="5"/>
  <c r="Q43" i="25"/>
  <c r="R43" i="25" s="1"/>
  <c r="V43" i="25" s="1"/>
  <c r="X43" i="25" s="1"/>
  <c r="R154" i="5"/>
  <c r="R1393" i="5"/>
  <c r="U145" i="25"/>
  <c r="R966" i="5"/>
  <c r="R497" i="5"/>
  <c r="U127" i="25"/>
  <c r="R1036" i="5"/>
  <c r="R1064" i="5"/>
  <c r="Q175" i="25"/>
  <c r="R175" i="25" s="1"/>
  <c r="V175" i="25" s="1"/>
  <c r="X175" i="25" s="1"/>
  <c r="R1155" i="5"/>
  <c r="R924" i="5"/>
  <c r="R973" i="5"/>
  <c r="R434" i="5"/>
  <c r="U33" i="25"/>
  <c r="R770" i="5"/>
  <c r="R1295" i="5"/>
  <c r="Q208" i="25"/>
  <c r="R208" i="25" s="1"/>
  <c r="R329" i="5"/>
  <c r="U104" i="25"/>
  <c r="R742" i="5"/>
  <c r="R693" i="5"/>
  <c r="U75" i="25"/>
  <c r="R756" i="5"/>
  <c r="R882" i="5"/>
  <c r="U197" i="25"/>
  <c r="R77" i="5"/>
  <c r="R1309" i="5"/>
  <c r="R441" i="5"/>
  <c r="U187" i="25"/>
  <c r="R287" i="5"/>
  <c r="R546" i="5"/>
  <c r="U84" i="25"/>
  <c r="R602" i="5"/>
  <c r="R175" i="5"/>
  <c r="R1218" i="5"/>
  <c r="R847" i="5"/>
  <c r="U210" i="25"/>
  <c r="R1099" i="5"/>
  <c r="R931" i="5"/>
  <c r="R1386" i="5"/>
  <c r="U56" i="25"/>
  <c r="R245" i="5"/>
  <c r="U47" i="25"/>
  <c r="U64" i="25"/>
  <c r="R301" i="5"/>
  <c r="R399" i="5"/>
  <c r="R147" i="5"/>
  <c r="Q169" i="25"/>
  <c r="R169" i="25" s="1"/>
  <c r="R1022" i="5"/>
  <c r="U23" i="25"/>
  <c r="U141" i="25"/>
  <c r="R371" i="5"/>
  <c r="U175" i="25"/>
  <c r="R1211" i="5"/>
  <c r="R910" i="5"/>
  <c r="Q178" i="25"/>
  <c r="R178" i="25" s="1"/>
  <c r="R1085" i="5"/>
  <c r="R938" i="5"/>
  <c r="R1113" i="5"/>
  <c r="R1421" i="5"/>
  <c r="Q118" i="25"/>
  <c r="R118" i="25" s="1"/>
  <c r="V118" i="25" s="1"/>
  <c r="X118" i="25" s="1"/>
  <c r="R1267" i="5"/>
  <c r="R420" i="5"/>
  <c r="R1358" i="5"/>
  <c r="U105" i="25"/>
  <c r="R1239" i="5"/>
  <c r="U54" i="25"/>
  <c r="U194" i="25"/>
  <c r="U211" i="25"/>
  <c r="U101" i="25"/>
  <c r="U171" i="25"/>
  <c r="U35" i="25"/>
  <c r="U168" i="25"/>
  <c r="U157" i="25"/>
  <c r="U183" i="25"/>
  <c r="U142" i="25"/>
  <c r="U181" i="25"/>
  <c r="U70" i="25"/>
  <c r="U55" i="25"/>
  <c r="U58" i="25"/>
  <c r="U59" i="25"/>
  <c r="U86" i="25"/>
  <c r="U167" i="25"/>
  <c r="U65" i="25"/>
  <c r="U42" i="25"/>
  <c r="U165" i="25"/>
  <c r="U147" i="25"/>
  <c r="U63" i="25"/>
  <c r="U88" i="25"/>
  <c r="U186" i="25"/>
  <c r="U204" i="25"/>
  <c r="U49" i="25"/>
  <c r="U78" i="25"/>
  <c r="U179" i="25"/>
  <c r="U43" i="25"/>
  <c r="U172" i="25"/>
  <c r="U143" i="25"/>
  <c r="U152" i="25"/>
  <c r="U205" i="25"/>
  <c r="U100" i="25"/>
  <c r="U158" i="25"/>
  <c r="U191" i="25"/>
  <c r="U182" i="25"/>
  <c r="U139" i="25"/>
  <c r="U7" i="25"/>
  <c r="U212" i="25"/>
  <c r="U92" i="25"/>
  <c r="U72" i="25"/>
  <c r="U195" i="25"/>
  <c r="U68" i="25"/>
  <c r="U138" i="25"/>
  <c r="U76" i="25"/>
  <c r="U66" i="25"/>
  <c r="U82" i="25"/>
  <c r="U128" i="25"/>
  <c r="U148" i="25"/>
  <c r="U151" i="25"/>
  <c r="U184" i="25"/>
  <c r="U38" i="25"/>
  <c r="U185" i="25"/>
  <c r="U115" i="25"/>
  <c r="U203" i="25"/>
  <c r="U81" i="25"/>
  <c r="U110" i="25"/>
  <c r="U102" i="25"/>
  <c r="U93" i="25"/>
  <c r="U118" i="25"/>
  <c r="U160" i="25"/>
  <c r="U161" i="25"/>
  <c r="U37" i="25"/>
  <c r="U129" i="25"/>
  <c r="U67" i="25"/>
  <c r="U133" i="25"/>
  <c r="U214" i="25"/>
  <c r="U36" i="25"/>
  <c r="U45" i="25"/>
  <c r="U202" i="25"/>
  <c r="U130" i="25"/>
  <c r="U50" i="25"/>
  <c r="U91" i="25"/>
  <c r="U8" i="25"/>
  <c r="U9" i="25"/>
  <c r="U206" i="25"/>
  <c r="U193" i="25"/>
  <c r="U144" i="25"/>
  <c r="U114" i="25"/>
  <c r="U190" i="25"/>
  <c r="U119" i="25"/>
  <c r="U57" i="25"/>
  <c r="U153" i="25"/>
  <c r="U77" i="25"/>
  <c r="U189" i="25"/>
  <c r="U80" i="25"/>
  <c r="U120" i="25"/>
  <c r="U121" i="25"/>
  <c r="B7" i="9"/>
  <c r="B279" i="9"/>
  <c r="B16" i="9"/>
  <c r="B6" i="9"/>
  <c r="B22" i="9"/>
  <c r="B38" i="9"/>
  <c r="B54" i="9"/>
  <c r="B70" i="9"/>
  <c r="B86" i="9"/>
  <c r="B102" i="9"/>
  <c r="B118" i="9"/>
  <c r="B134" i="9"/>
  <c r="B150" i="9"/>
  <c r="B166" i="9"/>
  <c r="B182" i="9"/>
  <c r="B198" i="9"/>
  <c r="B214" i="9"/>
  <c r="B230" i="9"/>
  <c r="B246" i="9"/>
  <c r="B262" i="9"/>
  <c r="B278" i="9"/>
  <c r="B294" i="9"/>
  <c r="B310" i="9"/>
  <c r="B326" i="9"/>
  <c r="B342" i="9"/>
  <c r="B358" i="9"/>
  <c r="B87" i="9"/>
  <c r="B327" i="9"/>
  <c r="B312" i="9"/>
  <c r="B9" i="9"/>
  <c r="B73" i="9"/>
  <c r="B89" i="9"/>
  <c r="B105" i="9"/>
  <c r="B121" i="9"/>
  <c r="B137" i="9"/>
  <c r="B153" i="9"/>
  <c r="B169" i="9"/>
  <c r="B185" i="9"/>
  <c r="B201" i="9"/>
  <c r="B217" i="9"/>
  <c r="B233" i="9"/>
  <c r="B249" i="9"/>
  <c r="B265" i="9"/>
  <c r="B281" i="9"/>
  <c r="B297" i="9"/>
  <c r="B313" i="9"/>
  <c r="B329" i="9"/>
  <c r="B345" i="9"/>
  <c r="B361" i="9"/>
  <c r="B151" i="9"/>
  <c r="B24" i="9"/>
  <c r="B216" i="9"/>
  <c r="B57" i="9"/>
  <c r="B26" i="9"/>
  <c r="B42" i="9"/>
  <c r="B58" i="9"/>
  <c r="B74" i="9"/>
  <c r="B90" i="9"/>
  <c r="B106" i="9"/>
  <c r="B122" i="9"/>
  <c r="B138" i="9"/>
  <c r="B154" i="9"/>
  <c r="B170" i="9"/>
  <c r="B186" i="9"/>
  <c r="B202" i="9"/>
  <c r="B218" i="9"/>
  <c r="B234" i="9"/>
  <c r="B250" i="9"/>
  <c r="B266" i="9"/>
  <c r="B282" i="9"/>
  <c r="B298" i="9"/>
  <c r="B314" i="9"/>
  <c r="B330" i="9"/>
  <c r="B346" i="9"/>
  <c r="B362" i="9"/>
  <c r="B39" i="9"/>
  <c r="B183" i="9"/>
  <c r="B8" i="9"/>
  <c r="B168" i="9"/>
  <c r="B360" i="9"/>
  <c r="B41" i="9"/>
  <c r="B10" i="9"/>
  <c r="B11" i="9"/>
  <c r="B27" i="9"/>
  <c r="B43" i="9"/>
  <c r="B59" i="9"/>
  <c r="B75" i="9"/>
  <c r="B91" i="9"/>
  <c r="B107" i="9"/>
  <c r="B139" i="9"/>
  <c r="B155" i="9"/>
  <c r="B171" i="9"/>
  <c r="B187" i="9"/>
  <c r="B203" i="9"/>
  <c r="B219" i="9"/>
  <c r="B235" i="9"/>
  <c r="B251" i="9"/>
  <c r="B267" i="9"/>
  <c r="B283" i="9"/>
  <c r="B299" i="9"/>
  <c r="B315" i="9"/>
  <c r="B331" i="9"/>
  <c r="B347" i="9"/>
  <c r="B363" i="9"/>
  <c r="B119" i="9"/>
  <c r="B359" i="9"/>
  <c r="B40" i="9"/>
  <c r="B60" i="9"/>
  <c r="B76" i="9"/>
  <c r="B92" i="9"/>
  <c r="B108" i="9"/>
  <c r="B124" i="9"/>
  <c r="B140" i="9"/>
  <c r="B156" i="9"/>
  <c r="B172" i="9"/>
  <c r="B188" i="9"/>
  <c r="B204" i="9"/>
  <c r="B220" i="9"/>
  <c r="B236" i="9"/>
  <c r="B252" i="9"/>
  <c r="B268" i="9"/>
  <c r="B284" i="9"/>
  <c r="B300" i="9"/>
  <c r="B316" i="9"/>
  <c r="B332" i="9"/>
  <c r="B348" i="9"/>
  <c r="B364" i="9"/>
  <c r="B71" i="9"/>
  <c r="B247" i="9"/>
  <c r="B120" i="9"/>
  <c r="B280" i="9"/>
  <c r="B25" i="9"/>
  <c r="B28" i="9"/>
  <c r="B13" i="9"/>
  <c r="B29" i="9"/>
  <c r="B45" i="9"/>
  <c r="B61" i="9"/>
  <c r="B77" i="9"/>
  <c r="B93" i="9"/>
  <c r="B109" i="9"/>
  <c r="B125" i="9"/>
  <c r="B141" i="9"/>
  <c r="B157" i="9"/>
  <c r="B173" i="9"/>
  <c r="B189" i="9"/>
  <c r="B205" i="9"/>
  <c r="B221" i="9"/>
  <c r="B237" i="9"/>
  <c r="B253" i="9"/>
  <c r="B269" i="9"/>
  <c r="B285" i="9"/>
  <c r="B301" i="9"/>
  <c r="B317" i="9"/>
  <c r="B333" i="9"/>
  <c r="B349" i="9"/>
  <c r="B365" i="9"/>
  <c r="B23" i="9"/>
  <c r="B295" i="9"/>
  <c r="B56" i="9"/>
  <c r="B232" i="9"/>
  <c r="B12" i="9"/>
  <c r="B44" i="9"/>
  <c r="B14" i="9"/>
  <c r="B30" i="9"/>
  <c r="B46" i="9"/>
  <c r="B62" i="9"/>
  <c r="B78" i="9"/>
  <c r="B94" i="9"/>
  <c r="B110" i="9"/>
  <c r="B126" i="9"/>
  <c r="B142" i="9"/>
  <c r="B158" i="9"/>
  <c r="B174" i="9"/>
  <c r="B190" i="9"/>
  <c r="B206" i="9"/>
  <c r="B222" i="9"/>
  <c r="B238" i="9"/>
  <c r="B254" i="9"/>
  <c r="B270" i="9"/>
  <c r="B286" i="9"/>
  <c r="B302" i="9"/>
  <c r="B318" i="9"/>
  <c r="B334" i="9"/>
  <c r="B350" i="9"/>
  <c r="B366" i="9"/>
  <c r="B231" i="9"/>
  <c r="B200" i="9"/>
  <c r="B47" i="9"/>
  <c r="B127" i="9"/>
  <c r="B143" i="9"/>
  <c r="B159" i="9"/>
  <c r="B175" i="9"/>
  <c r="B191" i="9"/>
  <c r="B207" i="9"/>
  <c r="B223" i="9"/>
  <c r="B239" i="9"/>
  <c r="B255" i="9"/>
  <c r="B271" i="9"/>
  <c r="B287" i="9"/>
  <c r="B303" i="9"/>
  <c r="B319" i="9"/>
  <c r="B335" i="9"/>
  <c r="B351" i="9"/>
  <c r="B367" i="9"/>
  <c r="B199" i="9"/>
  <c r="B184" i="9"/>
  <c r="B15" i="9"/>
  <c r="B48" i="9"/>
  <c r="B64" i="9"/>
  <c r="B80" i="9"/>
  <c r="B96" i="9"/>
  <c r="B112" i="9"/>
  <c r="B128" i="9"/>
  <c r="B144" i="9"/>
  <c r="B160" i="9"/>
  <c r="B176" i="9"/>
  <c r="B192" i="9"/>
  <c r="B208" i="9"/>
  <c r="B224" i="9"/>
  <c r="B240" i="9"/>
  <c r="B256" i="9"/>
  <c r="B272" i="9"/>
  <c r="B288" i="9"/>
  <c r="B304" i="9"/>
  <c r="B320" i="9"/>
  <c r="B336" i="9"/>
  <c r="B352" i="9"/>
  <c r="B55" i="9"/>
  <c r="B215" i="9"/>
  <c r="B104" i="9"/>
  <c r="B296" i="9"/>
  <c r="B31" i="9"/>
  <c r="B32" i="9"/>
  <c r="B17" i="9"/>
  <c r="B33" i="9"/>
  <c r="B49" i="9"/>
  <c r="B65" i="9"/>
  <c r="B81" i="9"/>
  <c r="B97" i="9"/>
  <c r="B113" i="9"/>
  <c r="B129" i="9"/>
  <c r="B145" i="9"/>
  <c r="B161" i="9"/>
  <c r="B177" i="9"/>
  <c r="B193" i="9"/>
  <c r="B209" i="9"/>
  <c r="B225" i="9"/>
  <c r="B241" i="9"/>
  <c r="B257" i="9"/>
  <c r="B273" i="9"/>
  <c r="B289" i="9"/>
  <c r="B305" i="9"/>
  <c r="B321" i="9"/>
  <c r="B337" i="9"/>
  <c r="B353" i="9"/>
  <c r="B167" i="9"/>
  <c r="B72" i="9"/>
  <c r="B344" i="9"/>
  <c r="B63" i="9"/>
  <c r="B18" i="9"/>
  <c r="B34" i="9"/>
  <c r="B50" i="9"/>
  <c r="B66" i="9"/>
  <c r="B82" i="9"/>
  <c r="B98" i="9"/>
  <c r="B114" i="9"/>
  <c r="B130" i="9"/>
  <c r="B146" i="9"/>
  <c r="B162" i="9"/>
  <c r="B178" i="9"/>
  <c r="B194" i="9"/>
  <c r="B210" i="9"/>
  <c r="B226" i="9"/>
  <c r="B242" i="9"/>
  <c r="B258" i="9"/>
  <c r="B274" i="9"/>
  <c r="B290" i="9"/>
  <c r="B306" i="9"/>
  <c r="B322" i="9"/>
  <c r="B338" i="9"/>
  <c r="B354" i="9"/>
  <c r="B135" i="9"/>
  <c r="B263" i="9"/>
  <c r="B152" i="9"/>
  <c r="B264" i="9"/>
  <c r="B111" i="9"/>
  <c r="B3" i="9"/>
  <c r="B19" i="9"/>
  <c r="B35" i="9"/>
  <c r="B51" i="9"/>
  <c r="B67" i="9"/>
  <c r="B83" i="9"/>
  <c r="B99" i="9"/>
  <c r="B115" i="9"/>
  <c r="B131" i="9"/>
  <c r="B147" i="9"/>
  <c r="B163" i="9"/>
  <c r="B179" i="9"/>
  <c r="B195" i="9"/>
  <c r="B211" i="9"/>
  <c r="B227" i="9"/>
  <c r="B243" i="9"/>
  <c r="B259" i="9"/>
  <c r="B275" i="9"/>
  <c r="B291" i="9"/>
  <c r="B307" i="9"/>
  <c r="B323" i="9"/>
  <c r="B339" i="9"/>
  <c r="B355" i="9"/>
  <c r="B103" i="9"/>
  <c r="B311" i="9"/>
  <c r="B136" i="9"/>
  <c r="B328" i="9"/>
  <c r="B95" i="9"/>
  <c r="B4" i="9"/>
  <c r="B20" i="9"/>
  <c r="B36" i="9"/>
  <c r="B52" i="9"/>
  <c r="B68" i="9"/>
  <c r="B84" i="9"/>
  <c r="B100" i="9"/>
  <c r="B116" i="9"/>
  <c r="B132" i="9"/>
  <c r="B148" i="9"/>
  <c r="B164" i="9"/>
  <c r="B180" i="9"/>
  <c r="B196" i="9"/>
  <c r="B212" i="9"/>
  <c r="B228" i="9"/>
  <c r="B244" i="9"/>
  <c r="B260" i="9"/>
  <c r="B276" i="9"/>
  <c r="B292" i="9"/>
  <c r="B308" i="9"/>
  <c r="B324" i="9"/>
  <c r="B340" i="9"/>
  <c r="B356" i="9"/>
  <c r="B343" i="9"/>
  <c r="B88" i="9"/>
  <c r="B248" i="9"/>
  <c r="B79" i="9"/>
  <c r="B5" i="9"/>
  <c r="B21" i="9"/>
  <c r="B37" i="9"/>
  <c r="B53" i="9"/>
  <c r="B69" i="9"/>
  <c r="B85" i="9"/>
  <c r="B101" i="9"/>
  <c r="B117" i="9"/>
  <c r="B133" i="9"/>
  <c r="B149" i="9"/>
  <c r="B165" i="9"/>
  <c r="B181" i="9"/>
  <c r="B197" i="9"/>
  <c r="B213" i="9"/>
  <c r="B229" i="9"/>
  <c r="B245" i="9"/>
  <c r="B261" i="9"/>
  <c r="B277" i="9"/>
  <c r="B293" i="9"/>
  <c r="B309" i="9"/>
  <c r="B325" i="9"/>
  <c r="B341" i="9"/>
  <c r="B357" i="9"/>
  <c r="G15" i="8"/>
  <c r="G11" i="8"/>
  <c r="H18" i="8"/>
  <c r="G18" i="8"/>
  <c r="G12" i="8"/>
  <c r="H14" i="8"/>
  <c r="G14" i="8"/>
  <c r="H17" i="8"/>
  <c r="G17" i="8"/>
  <c r="G13" i="8"/>
  <c r="H16" i="8"/>
  <c r="G16" i="8"/>
  <c r="G10" i="8"/>
  <c r="K7" i="8"/>
  <c r="P80" i="25" l="1"/>
  <c r="P82" i="25"/>
  <c r="P101" i="25"/>
  <c r="Q101" i="25" s="1"/>
  <c r="R101" i="25" s="1"/>
  <c r="V101" i="25" s="1"/>
  <c r="X101" i="25" s="1"/>
  <c r="P103" i="25"/>
  <c r="R560" i="5"/>
  <c r="R392" i="5"/>
  <c r="P57" i="25"/>
  <c r="P58" i="25"/>
  <c r="P204" i="25"/>
  <c r="P205" i="25"/>
  <c r="P78" i="25"/>
  <c r="P79" i="25"/>
  <c r="P63" i="25"/>
  <c r="Q63" i="25" s="1"/>
  <c r="R63" i="25" s="1"/>
  <c r="V63" i="25" s="1"/>
  <c r="X63" i="25" s="1"/>
  <c r="P64" i="25"/>
  <c r="Q57" i="25"/>
  <c r="R57" i="25" s="1"/>
  <c r="V57" i="25" s="1"/>
  <c r="X57" i="25" s="1"/>
  <c r="P100" i="25"/>
  <c r="P9" i="25"/>
  <c r="P33" i="25"/>
  <c r="P34" i="25"/>
  <c r="P48" i="25"/>
  <c r="P49" i="25"/>
  <c r="P60" i="25"/>
  <c r="P61" i="25"/>
  <c r="P129" i="25"/>
  <c r="P130" i="25"/>
  <c r="P92" i="25"/>
  <c r="Q92" i="25" s="1"/>
  <c r="R92" i="25" s="1"/>
  <c r="V92" i="25" s="1"/>
  <c r="X92" i="25" s="1"/>
  <c r="P94" i="25"/>
  <c r="P116" i="25"/>
  <c r="P118" i="25"/>
  <c r="P110" i="25"/>
  <c r="Q110" i="25" s="1"/>
  <c r="R110" i="25" s="1"/>
  <c r="P112" i="25"/>
  <c r="P27" i="25"/>
  <c r="P28" i="25"/>
  <c r="P86" i="25"/>
  <c r="P88" i="25"/>
  <c r="P72" i="25"/>
  <c r="P73" i="25"/>
  <c r="R518" i="5"/>
  <c r="P200" i="25"/>
  <c r="P202" i="25"/>
  <c r="P74" i="25"/>
  <c r="P76" i="25"/>
  <c r="R644" i="5"/>
  <c r="P192" i="25"/>
  <c r="P156" i="25"/>
  <c r="Q156" i="25" s="1"/>
  <c r="R156" i="25" s="1"/>
  <c r="R483" i="5"/>
  <c r="R735" i="5"/>
  <c r="Q7" i="25"/>
  <c r="P427" i="5"/>
  <c r="P595" i="5"/>
  <c r="P294" i="5"/>
  <c r="Q294" i="5" s="1"/>
  <c r="P62" i="25" s="1"/>
  <c r="P630" i="5"/>
  <c r="P252" i="5"/>
  <c r="Q252" i="5" s="1"/>
  <c r="P59" i="25" s="1"/>
  <c r="P889" i="5"/>
  <c r="Q889" i="5" s="1"/>
  <c r="P153" i="25" s="1"/>
  <c r="P56" i="5"/>
  <c r="O31" i="25" s="1"/>
  <c r="Q31" i="25" s="1"/>
  <c r="R31" i="25" s="1"/>
  <c r="V31" i="25" s="1"/>
  <c r="X31" i="25" s="1"/>
  <c r="P819" i="5"/>
  <c r="P133" i="5"/>
  <c r="O48" i="25" s="1"/>
  <c r="P896" i="5"/>
  <c r="P567" i="5"/>
  <c r="P315" i="5"/>
  <c r="P469" i="5"/>
  <c r="P728" i="5"/>
  <c r="O136" i="25" s="1"/>
  <c r="P511" i="5"/>
  <c r="O204" i="25" s="1"/>
  <c r="Q204" i="25" s="1"/>
  <c r="R204" i="25" s="1"/>
  <c r="V204" i="25" s="1"/>
  <c r="X204" i="25" s="1"/>
  <c r="P21" i="5"/>
  <c r="Q21" i="5" s="1"/>
  <c r="P24" i="25" s="1"/>
  <c r="W190" i="25"/>
  <c r="Y190" i="25" s="1"/>
  <c r="R903" i="5"/>
  <c r="W70" i="25"/>
  <c r="Y70" i="25" s="1"/>
  <c r="W163" i="25"/>
  <c r="Y163" i="25" s="1"/>
  <c r="W147" i="25"/>
  <c r="Y147" i="25" s="1"/>
  <c r="W43" i="25"/>
  <c r="Y43" i="25" s="1"/>
  <c r="W150" i="25"/>
  <c r="Y150" i="25" s="1"/>
  <c r="V150" i="25"/>
  <c r="X150" i="25" s="1"/>
  <c r="W79" i="25"/>
  <c r="Y79" i="25" s="1"/>
  <c r="V79" i="25"/>
  <c r="X79" i="25" s="1"/>
  <c r="W103" i="25"/>
  <c r="Y103" i="25" s="1"/>
  <c r="V103" i="25"/>
  <c r="X103" i="25" s="1"/>
  <c r="W98" i="25"/>
  <c r="Y98" i="25" s="1"/>
  <c r="V98" i="25"/>
  <c r="X98" i="25" s="1"/>
  <c r="W73" i="25"/>
  <c r="Y73" i="25" s="1"/>
  <c r="V73" i="25"/>
  <c r="X73" i="25" s="1"/>
  <c r="W132" i="25"/>
  <c r="Y132" i="25" s="1"/>
  <c r="V132" i="25"/>
  <c r="X132" i="25" s="1"/>
  <c r="W164" i="25"/>
  <c r="Y164" i="25" s="1"/>
  <c r="V164" i="25"/>
  <c r="X164" i="25" s="1"/>
  <c r="W166" i="25"/>
  <c r="Y166" i="25" s="1"/>
  <c r="V166" i="25"/>
  <c r="X166" i="25" s="1"/>
  <c r="R7" i="25"/>
  <c r="W109" i="25"/>
  <c r="Y109" i="25" s="1"/>
  <c r="V109" i="25"/>
  <c r="X109" i="25" s="1"/>
  <c r="W97" i="25"/>
  <c r="Y97" i="25" s="1"/>
  <c r="V97" i="25"/>
  <c r="X97" i="25" s="1"/>
  <c r="W208" i="25"/>
  <c r="Y208" i="25" s="1"/>
  <c r="V208" i="25"/>
  <c r="X208" i="25" s="1"/>
  <c r="W169" i="25"/>
  <c r="Y169" i="25" s="1"/>
  <c r="V169" i="25"/>
  <c r="X169" i="25" s="1"/>
  <c r="W178" i="25"/>
  <c r="Y178" i="25" s="1"/>
  <c r="V178" i="25"/>
  <c r="X178" i="25" s="1"/>
  <c r="W76" i="25"/>
  <c r="Y76" i="25" s="1"/>
  <c r="W82" i="25"/>
  <c r="Y82" i="25" s="1"/>
  <c r="W148" i="25"/>
  <c r="Y148" i="25" s="1"/>
  <c r="W184" i="25"/>
  <c r="Y184" i="25" s="1"/>
  <c r="W118" i="25"/>
  <c r="Y118" i="25" s="1"/>
  <c r="W175" i="25"/>
  <c r="Y175" i="25" s="1"/>
  <c r="W104" i="25"/>
  <c r="Y104" i="25" s="1"/>
  <c r="W187" i="25"/>
  <c r="Y187" i="25" s="1"/>
  <c r="W64" i="25"/>
  <c r="Y64" i="25" s="1"/>
  <c r="V64" i="25"/>
  <c r="X64" i="25" s="1"/>
  <c r="P1281" i="5"/>
  <c r="Q188" i="25" s="1"/>
  <c r="R188" i="25" s="1"/>
  <c r="W188" i="25" s="1"/>
  <c r="Y188" i="25" s="1"/>
  <c r="P42" i="5"/>
  <c r="P1260" i="5"/>
  <c r="P84" i="5"/>
  <c r="Q84" i="5" s="1"/>
  <c r="P32" i="25" s="1"/>
  <c r="P196" i="5"/>
  <c r="P749" i="5"/>
  <c r="O139" i="25" s="1"/>
  <c r="P189" i="5"/>
  <c r="Q189" i="5" s="1"/>
  <c r="P54" i="25" s="1"/>
  <c r="P700" i="5"/>
  <c r="P1302" i="5"/>
  <c r="P259" i="5"/>
  <c r="O60" i="25" s="1"/>
  <c r="Q60" i="25" s="1"/>
  <c r="R60" i="25" s="1"/>
  <c r="V60" i="25" s="1"/>
  <c r="X60" i="25" s="1"/>
  <c r="P182" i="5"/>
  <c r="O55" i="25" s="1"/>
  <c r="P1330" i="5"/>
  <c r="P14" i="5"/>
  <c r="O25" i="25" s="1"/>
  <c r="P1204" i="5"/>
  <c r="Q177" i="25" s="1"/>
  <c r="R177" i="25" s="1"/>
  <c r="W177" i="25" s="1"/>
  <c r="Y177" i="25" s="1"/>
  <c r="P357" i="5"/>
  <c r="P308" i="5"/>
  <c r="P336" i="5"/>
  <c r="Q336" i="5" s="1"/>
  <c r="P71" i="25" s="1"/>
  <c r="P1316" i="5"/>
  <c r="Q193" i="25" s="1"/>
  <c r="R193" i="25" s="1"/>
  <c r="V193" i="25" s="1"/>
  <c r="X193" i="25" s="1"/>
  <c r="P1029" i="5"/>
  <c r="P98" i="5"/>
  <c r="O37" i="25" s="1"/>
  <c r="P49" i="5"/>
  <c r="O27" i="25" s="1"/>
  <c r="P168" i="5"/>
  <c r="Q168" i="5" s="1"/>
  <c r="P47" i="25" s="1"/>
  <c r="P637" i="5"/>
  <c r="P119" i="5"/>
  <c r="P525" i="5"/>
  <c r="P714" i="5"/>
  <c r="P63" i="5"/>
  <c r="Q63" i="5" s="1"/>
  <c r="P30" i="25" s="1"/>
  <c r="P462" i="5"/>
  <c r="P994" i="5"/>
  <c r="P1323" i="5"/>
  <c r="P1043" i="5"/>
  <c r="P658" i="5"/>
  <c r="P266" i="5"/>
  <c r="P686" i="5"/>
  <c r="O124" i="25" s="1"/>
  <c r="Q124" i="25" s="1"/>
  <c r="R124" i="25" s="1"/>
  <c r="W124" i="25" s="1"/>
  <c r="Y124" i="25" s="1"/>
  <c r="P672" i="5"/>
  <c r="P1092" i="5"/>
  <c r="P504" i="5"/>
  <c r="P1134" i="5"/>
  <c r="P777" i="5"/>
  <c r="P553" i="5"/>
  <c r="O126" i="25" s="1"/>
  <c r="Q126" i="25" s="1"/>
  <c r="R126" i="25" s="1"/>
  <c r="V126" i="25" s="1"/>
  <c r="X126" i="25" s="1"/>
  <c r="P455" i="5"/>
  <c r="O91" i="25" s="1"/>
  <c r="P1365" i="5"/>
  <c r="P623" i="5"/>
  <c r="O115" i="25" s="1"/>
  <c r="P1183" i="5"/>
  <c r="P378" i="5"/>
  <c r="P833" i="5"/>
  <c r="P1400" i="5"/>
  <c r="Q205" i="25" s="1"/>
  <c r="R205" i="25" s="1"/>
  <c r="V205" i="25" s="1"/>
  <c r="X205" i="25" s="1"/>
  <c r="P1141" i="5"/>
  <c r="P1106" i="5"/>
  <c r="O211" i="25" s="1"/>
  <c r="P1225" i="5"/>
  <c r="Q1225" i="5" s="1"/>
  <c r="P1057" i="5"/>
  <c r="P917" i="5"/>
  <c r="O160" i="25" s="1"/>
  <c r="Q160" i="25" s="1"/>
  <c r="R160" i="25" s="1"/>
  <c r="V160" i="25" s="1"/>
  <c r="X160" i="25" s="1"/>
  <c r="P812" i="5"/>
  <c r="Q812" i="5" s="1"/>
  <c r="P224" i="5"/>
  <c r="P945" i="5"/>
  <c r="Q146" i="25" s="1"/>
  <c r="R146" i="25" s="1"/>
  <c r="W146" i="25" s="1"/>
  <c r="Y146" i="25" s="1"/>
  <c r="P840" i="5"/>
  <c r="P490" i="5"/>
  <c r="P1246" i="5"/>
  <c r="Q183" i="25" s="1"/>
  <c r="R183" i="25" s="1"/>
  <c r="V183" i="25" s="1"/>
  <c r="X183" i="25" s="1"/>
  <c r="P1344" i="5"/>
  <c r="P140" i="5"/>
  <c r="P1337" i="5"/>
  <c r="P126" i="5"/>
  <c r="Q126" i="5" s="1"/>
  <c r="P38" i="25" s="1"/>
  <c r="P679" i="5"/>
  <c r="P1414" i="5"/>
  <c r="Q207" i="25" s="1"/>
  <c r="R207" i="25" s="1"/>
  <c r="W207" i="25" s="1"/>
  <c r="Y207" i="25" s="1"/>
  <c r="P1162" i="5"/>
  <c r="P798" i="5"/>
  <c r="P1379" i="5"/>
  <c r="Q202" i="25" s="1"/>
  <c r="R202" i="25" s="1"/>
  <c r="V202" i="25" s="1"/>
  <c r="X202" i="25" s="1"/>
  <c r="P854" i="5"/>
  <c r="P28" i="5"/>
  <c r="P210" i="5"/>
  <c r="P1015" i="5"/>
  <c r="P112" i="5"/>
  <c r="P791" i="5"/>
  <c r="P413" i="5"/>
  <c r="O85" i="25" s="1"/>
  <c r="Q85" i="25" s="1"/>
  <c r="R85" i="25" s="1"/>
  <c r="V85" i="25" s="1"/>
  <c r="X85" i="25" s="1"/>
  <c r="P238" i="5"/>
  <c r="O65" i="25" s="1"/>
  <c r="P280" i="5"/>
  <c r="O83" i="25" s="1"/>
  <c r="J41" i="8"/>
  <c r="K41" i="8" s="1"/>
  <c r="J40" i="8"/>
  <c r="K40" i="8" s="1"/>
  <c r="J37" i="8"/>
  <c r="K37" i="8" s="1"/>
  <c r="J33" i="8"/>
  <c r="K33" i="8" s="1"/>
  <c r="J34" i="8"/>
  <c r="K34" i="8" s="1"/>
  <c r="J10" i="8"/>
  <c r="J31" i="8"/>
  <c r="K31" i="8" s="1"/>
  <c r="J32" i="8"/>
  <c r="K32" i="8" s="1"/>
  <c r="J29" i="8"/>
  <c r="K29" i="8" s="1"/>
  <c r="J30" i="8"/>
  <c r="K30" i="8" s="1"/>
  <c r="J26" i="8"/>
  <c r="K26" i="8" s="1"/>
  <c r="J36" i="8"/>
  <c r="K36" i="8" s="1"/>
  <c r="J28" i="8"/>
  <c r="K28" i="8" s="1"/>
  <c r="J35" i="8"/>
  <c r="K35" i="8" s="1"/>
  <c r="J27" i="8"/>
  <c r="K27" i="8" s="1"/>
  <c r="J24" i="8"/>
  <c r="K24" i="8" s="1"/>
  <c r="J25" i="8"/>
  <c r="K25" i="8" s="1"/>
  <c r="B123" i="9"/>
  <c r="J23" i="8"/>
  <c r="K23" i="8" s="1"/>
  <c r="J22" i="8"/>
  <c r="K22" i="8" s="1"/>
  <c r="J11" i="8"/>
  <c r="K11" i="8" s="1"/>
  <c r="J21" i="8"/>
  <c r="K21" i="8" s="1"/>
  <c r="J16" i="8"/>
  <c r="K16" i="8" s="1"/>
  <c r="J20" i="8"/>
  <c r="K20" i="8" s="1"/>
  <c r="J19" i="8"/>
  <c r="K19" i="8" s="1"/>
  <c r="J17" i="8"/>
  <c r="K17" i="8" s="1"/>
  <c r="K10" i="8"/>
  <c r="J15" i="8"/>
  <c r="K15" i="8" s="1"/>
  <c r="J12" i="8"/>
  <c r="K12" i="8" s="1"/>
  <c r="J13" i="8"/>
  <c r="K13" i="8" s="1"/>
  <c r="J18" i="8"/>
  <c r="K18" i="8" s="1"/>
  <c r="J14" i="8"/>
  <c r="K14" i="8" s="1"/>
  <c r="W92" i="25" l="1"/>
  <c r="Y92" i="25" s="1"/>
  <c r="W85" i="25"/>
  <c r="Y85" i="25" s="1"/>
  <c r="W31" i="25"/>
  <c r="Y31" i="25" s="1"/>
  <c r="W63" i="25"/>
  <c r="Y63" i="25" s="1"/>
  <c r="W101" i="25"/>
  <c r="Y101" i="25" s="1"/>
  <c r="V110" i="25"/>
  <c r="X110" i="25" s="1"/>
  <c r="W110" i="25"/>
  <c r="Y110" i="25" s="1"/>
  <c r="Q266" i="5"/>
  <c r="O199" i="25"/>
  <c r="Q199" i="25" s="1"/>
  <c r="R199" i="25" s="1"/>
  <c r="Q308" i="5"/>
  <c r="O67" i="25"/>
  <c r="Q67" i="25" s="1"/>
  <c r="R67" i="25" s="1"/>
  <c r="O191" i="25"/>
  <c r="O157" i="25"/>
  <c r="Q157" i="25" s="1"/>
  <c r="R157" i="25" s="1"/>
  <c r="Q833" i="5"/>
  <c r="O145" i="25"/>
  <c r="Q145" i="25" s="1"/>
  <c r="R145" i="25" s="1"/>
  <c r="Q140" i="5"/>
  <c r="O46" i="25"/>
  <c r="Q46" i="25" s="1"/>
  <c r="R46" i="25" s="1"/>
  <c r="W46" i="25" s="1"/>
  <c r="Y46" i="25" s="1"/>
  <c r="W57" i="25"/>
  <c r="Y57" i="25" s="1"/>
  <c r="Q791" i="5"/>
  <c r="O142" i="25"/>
  <c r="Q119" i="5"/>
  <c r="O40" i="25"/>
  <c r="Q40" i="25" s="1"/>
  <c r="R40" i="25" s="1"/>
  <c r="W160" i="25"/>
  <c r="Y160" i="25" s="1"/>
  <c r="V124" i="25"/>
  <c r="X124" i="25" s="1"/>
  <c r="Q224" i="5"/>
  <c r="O196" i="25"/>
  <c r="Q196" i="25" s="1"/>
  <c r="R196" i="25" s="1"/>
  <c r="Q854" i="5"/>
  <c r="O151" i="25"/>
  <c r="Q151" i="25" s="1"/>
  <c r="R151" i="25" s="1"/>
  <c r="V156" i="25"/>
  <c r="X156" i="25" s="1"/>
  <c r="W156" i="25"/>
  <c r="Y156" i="25" s="1"/>
  <c r="O152" i="25"/>
  <c r="Q152" i="25" s="1"/>
  <c r="R152" i="25" s="1"/>
  <c r="V152" i="25" s="1"/>
  <c r="X152" i="25" s="1"/>
  <c r="Q672" i="5"/>
  <c r="O180" i="25"/>
  <c r="Q180" i="25" s="1"/>
  <c r="R180" i="25" s="1"/>
  <c r="W180" i="25" s="1"/>
  <c r="Y180" i="25" s="1"/>
  <c r="Q819" i="5"/>
  <c r="O32" i="25"/>
  <c r="Q32" i="25" s="1"/>
  <c r="R32" i="25" s="1"/>
  <c r="W32" i="25" s="1"/>
  <c r="Y32" i="25" s="1"/>
  <c r="Q56" i="5"/>
  <c r="O116" i="25"/>
  <c r="Q504" i="5"/>
  <c r="P203" i="25" s="1"/>
  <c r="O59" i="25"/>
  <c r="O155" i="25"/>
  <c r="Q686" i="5"/>
  <c r="O122" i="25"/>
  <c r="O35" i="25"/>
  <c r="Q42" i="5"/>
  <c r="P26" i="25" s="1"/>
  <c r="O143" i="25"/>
  <c r="Q630" i="5"/>
  <c r="P113" i="25" s="1"/>
  <c r="O41" i="25"/>
  <c r="Q98" i="5"/>
  <c r="O203" i="25"/>
  <c r="Q378" i="5"/>
  <c r="P77" i="25" s="1"/>
  <c r="O23" i="25"/>
  <c r="Q14" i="5"/>
  <c r="W60" i="25"/>
  <c r="Y60" i="25" s="1"/>
  <c r="O107" i="25"/>
  <c r="Q107" i="25" s="1"/>
  <c r="R107" i="25" s="1"/>
  <c r="W107" i="25" s="1"/>
  <c r="Y107" i="25" s="1"/>
  <c r="Q462" i="5"/>
  <c r="P89" i="25" s="1"/>
  <c r="W204" i="25"/>
  <c r="Y204" i="25" s="1"/>
  <c r="O194" i="25"/>
  <c r="Q182" i="5"/>
  <c r="O197" i="25"/>
  <c r="Q210" i="5"/>
  <c r="P56" i="25" s="1"/>
  <c r="Q525" i="5"/>
  <c r="P93" i="25" s="1"/>
  <c r="O93" i="25"/>
  <c r="Q728" i="5"/>
  <c r="O134" i="25"/>
  <c r="Q798" i="5"/>
  <c r="P140" i="25" s="1"/>
  <c r="Q140" i="25" s="1"/>
  <c r="R140" i="25" s="1"/>
  <c r="O140" i="25"/>
  <c r="Q357" i="5"/>
  <c r="P75" i="25" s="1"/>
  <c r="O75" i="25"/>
  <c r="Q623" i="5"/>
  <c r="O114" i="25"/>
  <c r="O96" i="25"/>
  <c r="Q96" i="25" s="1"/>
  <c r="R96" i="25" s="1"/>
  <c r="Q413" i="5"/>
  <c r="O84" i="25"/>
  <c r="O206" i="25"/>
  <c r="Q714" i="5"/>
  <c r="P128" i="25" s="1"/>
  <c r="O113" i="25"/>
  <c r="O105" i="25"/>
  <c r="Q105" i="25" s="1"/>
  <c r="R105" i="25" s="1"/>
  <c r="V105" i="25" s="1"/>
  <c r="X105" i="25" s="1"/>
  <c r="Q455" i="5"/>
  <c r="O182" i="25"/>
  <c r="Q182" i="25" s="1"/>
  <c r="R182" i="25" s="1"/>
  <c r="V182" i="25" s="1"/>
  <c r="X182" i="25" s="1"/>
  <c r="AA182" i="25" s="1"/>
  <c r="AA183" i="25" s="1"/>
  <c r="AD183" i="25" s="1"/>
  <c r="C76" i="25" s="1"/>
  <c r="Q840" i="5"/>
  <c r="P143" i="25" s="1"/>
  <c r="O195" i="25"/>
  <c r="Q777" i="5"/>
  <c r="R777" i="5" s="1"/>
  <c r="Q749" i="5"/>
  <c r="O138" i="25"/>
  <c r="O81" i="25"/>
  <c r="Q81" i="25" s="1"/>
  <c r="R81" i="25" s="1"/>
  <c r="V81" i="25" s="1"/>
  <c r="X81" i="25" s="1"/>
  <c r="Q315" i="5"/>
  <c r="P66" i="25" s="1"/>
  <c r="Q66" i="25" s="1"/>
  <c r="R66" i="25" s="1"/>
  <c r="V66" i="25" s="1"/>
  <c r="X66" i="25" s="1"/>
  <c r="O66" i="25"/>
  <c r="Q567" i="5"/>
  <c r="P102" i="25" s="1"/>
  <c r="O102" i="25"/>
  <c r="O171" i="25"/>
  <c r="Q171" i="25" s="1"/>
  <c r="R171" i="25" s="1"/>
  <c r="V171" i="25" s="1"/>
  <c r="X171" i="25" s="1"/>
  <c r="Q191" i="25"/>
  <c r="R191" i="25" s="1"/>
  <c r="V191" i="25" s="1"/>
  <c r="X191" i="25" s="1"/>
  <c r="O56" i="25"/>
  <c r="O44" i="25"/>
  <c r="O99" i="25"/>
  <c r="Q99" i="25" s="1"/>
  <c r="R99" i="25" s="1"/>
  <c r="W99" i="25" s="1"/>
  <c r="Y99" i="25" s="1"/>
  <c r="W126" i="25"/>
  <c r="Y126" i="25" s="1"/>
  <c r="O39" i="25"/>
  <c r="O33" i="25"/>
  <c r="Q33" i="25" s="1"/>
  <c r="R33" i="25" s="1"/>
  <c r="O78" i="25"/>
  <c r="Q78" i="25" s="1"/>
  <c r="R78" i="25" s="1"/>
  <c r="V78" i="25" s="1"/>
  <c r="X78" i="25" s="1"/>
  <c r="O69" i="25"/>
  <c r="Q69" i="25" s="1"/>
  <c r="R69" i="25" s="1"/>
  <c r="O51" i="25"/>
  <c r="Q51" i="25" s="1"/>
  <c r="R51" i="25" s="1"/>
  <c r="O45" i="25"/>
  <c r="Q45" i="25" s="1"/>
  <c r="R45" i="25" s="1"/>
  <c r="O179" i="25"/>
  <c r="O158" i="25"/>
  <c r="Q158" i="25" s="1"/>
  <c r="R158" i="25" s="1"/>
  <c r="O198" i="25"/>
  <c r="O174" i="25"/>
  <c r="Q174" i="25" s="1"/>
  <c r="R174" i="25" s="1"/>
  <c r="O189" i="25"/>
  <c r="Q189" i="25" s="1"/>
  <c r="R189" i="25" s="1"/>
  <c r="O165" i="25"/>
  <c r="Q165" i="25" s="1"/>
  <c r="R165" i="25" s="1"/>
  <c r="O36" i="25"/>
  <c r="Q36" i="25" s="1"/>
  <c r="R36" i="25" s="1"/>
  <c r="V36" i="25" s="1"/>
  <c r="X36" i="25" s="1"/>
  <c r="O30" i="25"/>
  <c r="Q155" i="25"/>
  <c r="R155" i="25" s="1"/>
  <c r="W155" i="25" s="1"/>
  <c r="Y155" i="25" s="1"/>
  <c r="O29" i="25"/>
  <c r="O26" i="25"/>
  <c r="O200" i="25"/>
  <c r="Q200" i="25" s="1"/>
  <c r="R200" i="25" s="1"/>
  <c r="W200" i="25" s="1"/>
  <c r="Y200" i="25" s="1"/>
  <c r="O176" i="25"/>
  <c r="Q176" i="25" s="1"/>
  <c r="R176" i="25" s="1"/>
  <c r="O135" i="25"/>
  <c r="Q135" i="25" s="1"/>
  <c r="R135" i="25" s="1"/>
  <c r="W135" i="25" s="1"/>
  <c r="Y135" i="25" s="1"/>
  <c r="V107" i="25"/>
  <c r="X107" i="25" s="1"/>
  <c r="O167" i="25"/>
  <c r="Q167" i="25" s="1"/>
  <c r="R167" i="25" s="1"/>
  <c r="V167" i="25" s="1"/>
  <c r="X167" i="25" s="1"/>
  <c r="O149" i="25"/>
  <c r="O24" i="25"/>
  <c r="Q24" i="25" s="1"/>
  <c r="R24" i="25" s="1"/>
  <c r="R21" i="5"/>
  <c r="O129" i="25"/>
  <c r="Q129" i="25" s="1"/>
  <c r="R129" i="25" s="1"/>
  <c r="R511" i="5"/>
  <c r="O185" i="25"/>
  <c r="Q185" i="25" s="1"/>
  <c r="R185" i="25" s="1"/>
  <c r="R728" i="5"/>
  <c r="O120" i="25"/>
  <c r="Q120" i="25" s="1"/>
  <c r="R120" i="25" s="1"/>
  <c r="R469" i="5"/>
  <c r="O90" i="25"/>
  <c r="O144" i="25"/>
  <c r="R896" i="5"/>
  <c r="O54" i="25"/>
  <c r="Q54" i="25" s="1"/>
  <c r="R54" i="25" s="1"/>
  <c r="R133" i="5"/>
  <c r="O210" i="25"/>
  <c r="Q210" i="25" s="1"/>
  <c r="R210" i="25" s="1"/>
  <c r="R819" i="5"/>
  <c r="O38" i="25"/>
  <c r="Q38" i="25" s="1"/>
  <c r="R38" i="25" s="1"/>
  <c r="R56" i="5"/>
  <c r="R889" i="5"/>
  <c r="O77" i="25"/>
  <c r="R252" i="5"/>
  <c r="O161" i="25"/>
  <c r="Q161" i="25" s="1"/>
  <c r="R161" i="25" s="1"/>
  <c r="O86" i="25"/>
  <c r="Q86" i="25" s="1"/>
  <c r="R86" i="25" s="1"/>
  <c r="R294" i="5"/>
  <c r="O153" i="25"/>
  <c r="Q153" i="25" s="1"/>
  <c r="R153" i="25" s="1"/>
  <c r="V153" i="25" s="1"/>
  <c r="X153" i="25" s="1"/>
  <c r="R595" i="5"/>
  <c r="O111" i="25"/>
  <c r="Q111" i="25" s="1"/>
  <c r="R111" i="25" s="1"/>
  <c r="O8" i="25"/>
  <c r="Q8" i="25" s="1"/>
  <c r="R8" i="25" s="1"/>
  <c r="R427" i="5"/>
  <c r="Q127" i="25"/>
  <c r="R127" i="25" s="1"/>
  <c r="W127" i="25" s="1"/>
  <c r="Y127" i="25" s="1"/>
  <c r="O209" i="25"/>
  <c r="Q209" i="25" s="1"/>
  <c r="R209" i="25" s="1"/>
  <c r="O128" i="25"/>
  <c r="O68" i="25"/>
  <c r="Q68" i="25" s="1"/>
  <c r="R68" i="25" s="1"/>
  <c r="O47" i="25"/>
  <c r="Q47" i="25" s="1"/>
  <c r="R47" i="25" s="1"/>
  <c r="Q131" i="25"/>
  <c r="R131" i="25" s="1"/>
  <c r="W131" i="25" s="1"/>
  <c r="Y131" i="25" s="1"/>
  <c r="O212" i="25"/>
  <c r="Q212" i="25" s="1"/>
  <c r="R212" i="25" s="1"/>
  <c r="Q133" i="25"/>
  <c r="R133" i="25" s="1"/>
  <c r="V133" i="25" s="1"/>
  <c r="X133" i="25" s="1"/>
  <c r="O170" i="25"/>
  <c r="Q170" i="25" s="1"/>
  <c r="R170" i="25" s="1"/>
  <c r="Q52" i="25"/>
  <c r="R52" i="25" s="1"/>
  <c r="W52" i="25" s="1"/>
  <c r="Y52" i="25" s="1"/>
  <c r="O74" i="25"/>
  <c r="Q74" i="25" s="1"/>
  <c r="R74" i="25" s="1"/>
  <c r="Q106" i="25"/>
  <c r="R106" i="25" s="1"/>
  <c r="W106" i="25" s="1"/>
  <c r="Y106" i="25" s="1"/>
  <c r="O159" i="25"/>
  <c r="Q159" i="25" s="1"/>
  <c r="R159" i="25" s="1"/>
  <c r="W159" i="25" s="1"/>
  <c r="Y159" i="25" s="1"/>
  <c r="Q88" i="25"/>
  <c r="R88" i="25" s="1"/>
  <c r="V88" i="25" s="1"/>
  <c r="X88" i="25" s="1"/>
  <c r="O125" i="25"/>
  <c r="Q125" i="25" s="1"/>
  <c r="R125" i="25" s="1"/>
  <c r="Q34" i="25"/>
  <c r="R34" i="25" s="1"/>
  <c r="W34" i="25" s="1"/>
  <c r="Y34" i="25" s="1"/>
  <c r="O50" i="25"/>
  <c r="Q50" i="25" s="1"/>
  <c r="R50" i="25" s="1"/>
  <c r="V50" i="25" s="1"/>
  <c r="X50" i="25" s="1"/>
  <c r="Q115" i="25"/>
  <c r="R115" i="25" s="1"/>
  <c r="V115" i="25" s="1"/>
  <c r="X115" i="25" s="1"/>
  <c r="O173" i="25"/>
  <c r="Q173" i="25" s="1"/>
  <c r="R173" i="25" s="1"/>
  <c r="O80" i="25"/>
  <c r="Q80" i="25" s="1"/>
  <c r="R80" i="25" s="1"/>
  <c r="O95" i="25"/>
  <c r="Q95" i="25" s="1"/>
  <c r="R95" i="25" s="1"/>
  <c r="O108" i="25"/>
  <c r="Q108" i="25" s="1"/>
  <c r="R108" i="25" s="1"/>
  <c r="Q83" i="25"/>
  <c r="R83" i="25" s="1"/>
  <c r="W83" i="25" s="1"/>
  <c r="Y83" i="25" s="1"/>
  <c r="O117" i="25"/>
  <c r="Q117" i="25" s="1"/>
  <c r="R117" i="25" s="1"/>
  <c r="O89" i="25"/>
  <c r="O53" i="25"/>
  <c r="O119" i="25"/>
  <c r="Q119" i="25" s="1"/>
  <c r="R119" i="25" s="1"/>
  <c r="Q116" i="25"/>
  <c r="R116" i="25" s="1"/>
  <c r="W116" i="25" s="1"/>
  <c r="Y116" i="25" s="1"/>
  <c r="Q94" i="25"/>
  <c r="R94" i="25" s="1"/>
  <c r="W94" i="25" s="1"/>
  <c r="Y94" i="25" s="1"/>
  <c r="O141" i="25"/>
  <c r="O162" i="25"/>
  <c r="Q162" i="25" s="1"/>
  <c r="R162" i="25" s="1"/>
  <c r="O71" i="25"/>
  <c r="Q71" i="25" s="1"/>
  <c r="R71" i="25" s="1"/>
  <c r="Q42" i="25"/>
  <c r="R42" i="25" s="1"/>
  <c r="V42" i="25" s="1"/>
  <c r="X42" i="25" s="1"/>
  <c r="O62" i="25"/>
  <c r="Q62" i="25" s="1"/>
  <c r="R62" i="25" s="1"/>
  <c r="V188" i="25"/>
  <c r="X188" i="25" s="1"/>
  <c r="V177" i="25"/>
  <c r="X177" i="25" s="1"/>
  <c r="W205" i="25"/>
  <c r="Y205" i="25" s="1"/>
  <c r="V207" i="25"/>
  <c r="X207" i="25" s="1"/>
  <c r="W183" i="25"/>
  <c r="Y183" i="25" s="1"/>
  <c r="W202" i="25"/>
  <c r="Y202" i="25" s="1"/>
  <c r="V146" i="25"/>
  <c r="X146" i="25" s="1"/>
  <c r="AA146" i="25" s="1"/>
  <c r="W193" i="25"/>
  <c r="Y193" i="25" s="1"/>
  <c r="W7" i="25"/>
  <c r="Y7" i="25" s="1"/>
  <c r="V7" i="25"/>
  <c r="X7" i="25" s="1"/>
  <c r="R1281" i="5"/>
  <c r="Q206" i="25"/>
  <c r="R206" i="25" s="1"/>
  <c r="Q27" i="25"/>
  <c r="R27" i="25" s="1"/>
  <c r="R1260" i="5"/>
  <c r="R84" i="5"/>
  <c r="Q49" i="25"/>
  <c r="R49" i="25" s="1"/>
  <c r="R196" i="5"/>
  <c r="Q130" i="25"/>
  <c r="R130" i="25" s="1"/>
  <c r="R749" i="5"/>
  <c r="Q48" i="25"/>
  <c r="R48" i="25" s="1"/>
  <c r="R189" i="5"/>
  <c r="Q123" i="25"/>
  <c r="R123" i="25" s="1"/>
  <c r="R700" i="5"/>
  <c r="R1302" i="5"/>
  <c r="Q58" i="25"/>
  <c r="R58" i="25" s="1"/>
  <c r="R259" i="5"/>
  <c r="R182" i="5"/>
  <c r="Q213" i="25"/>
  <c r="R213" i="25" s="1"/>
  <c r="R1330" i="5"/>
  <c r="R14" i="5"/>
  <c r="R1204" i="5"/>
  <c r="Q195" i="25"/>
  <c r="R195" i="25" s="1"/>
  <c r="Q72" i="25"/>
  <c r="R72" i="25" s="1"/>
  <c r="R357" i="5"/>
  <c r="R308" i="5"/>
  <c r="R336" i="5"/>
  <c r="Q211" i="25"/>
  <c r="R211" i="25" s="1"/>
  <c r="R1316" i="5"/>
  <c r="R1029" i="5"/>
  <c r="R98" i="5"/>
  <c r="Q28" i="25"/>
  <c r="R28" i="25" s="1"/>
  <c r="R49" i="5"/>
  <c r="R168" i="5"/>
  <c r="R637" i="5"/>
  <c r="R119" i="5"/>
  <c r="R714" i="5"/>
  <c r="R63" i="5"/>
  <c r="Q30" i="25"/>
  <c r="R30" i="25" s="1"/>
  <c r="Q87" i="25"/>
  <c r="R87" i="25" s="1"/>
  <c r="R994" i="5"/>
  <c r="R1323" i="5"/>
  <c r="Q172" i="25"/>
  <c r="R172" i="25" s="1"/>
  <c r="R1043" i="5"/>
  <c r="R658" i="5"/>
  <c r="R266" i="5"/>
  <c r="Q59" i="25"/>
  <c r="R59" i="25" s="1"/>
  <c r="R686" i="5"/>
  <c r="Q121" i="25"/>
  <c r="R121" i="25" s="1"/>
  <c r="R672" i="5"/>
  <c r="R1092" i="5"/>
  <c r="Q179" i="25"/>
  <c r="R179" i="25" s="1"/>
  <c r="Q93" i="25"/>
  <c r="R93" i="25" s="1"/>
  <c r="R1134" i="5"/>
  <c r="Q100" i="25"/>
  <c r="R100" i="25" s="1"/>
  <c r="R553" i="5"/>
  <c r="R1365" i="5"/>
  <c r="Q112" i="25"/>
  <c r="R112" i="25" s="1"/>
  <c r="Q9" i="25"/>
  <c r="Q192" i="25"/>
  <c r="R192" i="25" s="1"/>
  <c r="R1183" i="5"/>
  <c r="R833" i="5"/>
  <c r="Q142" i="25"/>
  <c r="R142" i="25" s="1"/>
  <c r="R1400" i="5"/>
  <c r="R1141" i="5"/>
  <c r="Q186" i="25"/>
  <c r="R186" i="25" s="1"/>
  <c r="R1106" i="5"/>
  <c r="Q181" i="25"/>
  <c r="R181" i="25" s="1"/>
  <c r="Q198" i="25"/>
  <c r="R198" i="25" s="1"/>
  <c r="R1225" i="5"/>
  <c r="R1057" i="5"/>
  <c r="R917" i="5"/>
  <c r="Q154" i="25"/>
  <c r="R154" i="25" s="1"/>
  <c r="Q139" i="25"/>
  <c r="R139" i="25" s="1"/>
  <c r="R812" i="5"/>
  <c r="R224" i="5"/>
  <c r="R945" i="5"/>
  <c r="Q143" i="25"/>
  <c r="R143" i="25" s="1"/>
  <c r="R840" i="5"/>
  <c r="Q91" i="25"/>
  <c r="R91" i="25" s="1"/>
  <c r="R490" i="5"/>
  <c r="R1246" i="5"/>
  <c r="Q201" i="25"/>
  <c r="R201" i="25" s="1"/>
  <c r="R1344" i="5"/>
  <c r="R140" i="5"/>
  <c r="Q41" i="25"/>
  <c r="R41" i="25" s="1"/>
  <c r="R1337" i="5"/>
  <c r="Q214" i="25"/>
  <c r="R214" i="25" s="1"/>
  <c r="R126" i="5"/>
  <c r="R679" i="5"/>
  <c r="R1414" i="5"/>
  <c r="R1162" i="5"/>
  <c r="Q137" i="25"/>
  <c r="R137" i="25" s="1"/>
  <c r="R798" i="5"/>
  <c r="R1379" i="5"/>
  <c r="R854" i="5"/>
  <c r="R28" i="5"/>
  <c r="Q25" i="25"/>
  <c r="R25" i="25" s="1"/>
  <c r="Q168" i="25"/>
  <c r="R168" i="25" s="1"/>
  <c r="R1015" i="5"/>
  <c r="R112" i="5"/>
  <c r="Q37" i="25"/>
  <c r="R37" i="25" s="1"/>
  <c r="Q136" i="25"/>
  <c r="R136" i="25" s="1"/>
  <c r="R791" i="5"/>
  <c r="R413" i="5"/>
  <c r="Q55" i="25"/>
  <c r="R55" i="25" s="1"/>
  <c r="R238" i="5"/>
  <c r="R280" i="5"/>
  <c r="Q61" i="25"/>
  <c r="R61" i="25" s="1"/>
  <c r="AB146" i="25"/>
  <c r="W196" i="25" l="1"/>
  <c r="Y196" i="25" s="1"/>
  <c r="V196" i="25"/>
  <c r="X196" i="25" s="1"/>
  <c r="Q75" i="25"/>
  <c r="R75" i="25" s="1"/>
  <c r="Q113" i="25"/>
  <c r="R113" i="25" s="1"/>
  <c r="W113" i="25" s="1"/>
  <c r="Y113" i="25" s="1"/>
  <c r="Q56" i="25"/>
  <c r="R56" i="25" s="1"/>
  <c r="V56" i="25" s="1"/>
  <c r="X56" i="25" s="1"/>
  <c r="W191" i="25"/>
  <c r="Y191" i="25" s="1"/>
  <c r="Q203" i="25"/>
  <c r="R203" i="25" s="1"/>
  <c r="W203" i="25" s="1"/>
  <c r="Y203" i="25" s="1"/>
  <c r="AB203" i="25" s="1"/>
  <c r="V157" i="25"/>
  <c r="X157" i="25" s="1"/>
  <c r="W157" i="25"/>
  <c r="Y157" i="25" s="1"/>
  <c r="P141" i="25"/>
  <c r="Q141" i="25" s="1"/>
  <c r="R141" i="25" s="1"/>
  <c r="P142" i="25"/>
  <c r="R315" i="5"/>
  <c r="P138" i="25"/>
  <c r="P139" i="25"/>
  <c r="Q29" i="25"/>
  <c r="R29" i="25" s="1"/>
  <c r="V29" i="25" s="1"/>
  <c r="X29" i="25" s="1"/>
  <c r="Q144" i="25"/>
  <c r="R144" i="25" s="1"/>
  <c r="V144" i="25" s="1"/>
  <c r="X144" i="25" s="1"/>
  <c r="P35" i="25"/>
  <c r="Q35" i="25" s="1"/>
  <c r="R35" i="25" s="1"/>
  <c r="W35" i="25" s="1"/>
  <c r="Y35" i="25" s="1"/>
  <c r="P37" i="25"/>
  <c r="W78" i="25"/>
  <c r="Y78" i="25" s="1"/>
  <c r="P134" i="25"/>
  <c r="Q134" i="25" s="1"/>
  <c r="R134" i="25" s="1"/>
  <c r="W134" i="25" s="1"/>
  <c r="Y134" i="25" s="1"/>
  <c r="P136" i="25"/>
  <c r="P44" i="25"/>
  <c r="Q44" i="25" s="1"/>
  <c r="R44" i="25" s="1"/>
  <c r="W44" i="25" s="1"/>
  <c r="Y44" i="25" s="1"/>
  <c r="P46" i="25"/>
  <c r="P90" i="25"/>
  <c r="Q90" i="25" s="1"/>
  <c r="R90" i="25" s="1"/>
  <c r="P91" i="25"/>
  <c r="P144" i="25"/>
  <c r="P145" i="25"/>
  <c r="V151" i="25"/>
  <c r="X151" i="25" s="1"/>
  <c r="W151" i="25"/>
  <c r="Y151" i="25" s="1"/>
  <c r="P149" i="25"/>
  <c r="Q149" i="25" s="1"/>
  <c r="R149" i="25" s="1"/>
  <c r="P151" i="25"/>
  <c r="P53" i="25"/>
  <c r="Q53" i="25" s="1"/>
  <c r="R53" i="25" s="1"/>
  <c r="P55" i="25"/>
  <c r="Q102" i="25"/>
  <c r="R102" i="25" s="1"/>
  <c r="V102" i="25" s="1"/>
  <c r="X102" i="25" s="1"/>
  <c r="AA101" i="25" s="1"/>
  <c r="P122" i="25"/>
  <c r="Q122" i="25" s="1"/>
  <c r="R122" i="25" s="1"/>
  <c r="W122" i="25" s="1"/>
  <c r="Y122" i="25" s="1"/>
  <c r="P124" i="25"/>
  <c r="P194" i="25"/>
  <c r="Q194" i="25" s="1"/>
  <c r="R194" i="25" s="1"/>
  <c r="V194" i="25" s="1"/>
  <c r="X194" i="25" s="1"/>
  <c r="P196" i="25"/>
  <c r="V67" i="25"/>
  <c r="X67" i="25" s="1"/>
  <c r="W67" i="25"/>
  <c r="Y67" i="25" s="1"/>
  <c r="P84" i="25"/>
  <c r="Q84" i="25" s="1"/>
  <c r="R84" i="25" s="1"/>
  <c r="P85" i="25"/>
  <c r="P65" i="25"/>
  <c r="Q65" i="25" s="1"/>
  <c r="R65" i="25" s="1"/>
  <c r="V65" i="25" s="1"/>
  <c r="X65" i="25" s="1"/>
  <c r="P67" i="25"/>
  <c r="W199" i="25"/>
  <c r="Y199" i="25" s="1"/>
  <c r="V199" i="25"/>
  <c r="X199" i="25" s="1"/>
  <c r="W40" i="25"/>
  <c r="Y40" i="25" s="1"/>
  <c r="V40" i="25"/>
  <c r="X40" i="25" s="1"/>
  <c r="P197" i="25"/>
  <c r="Q197" i="25" s="1"/>
  <c r="R197" i="25" s="1"/>
  <c r="P199" i="25"/>
  <c r="R567" i="5"/>
  <c r="P114" i="25"/>
  <c r="Q114" i="25" s="1"/>
  <c r="R114" i="25" s="1"/>
  <c r="P115" i="25"/>
  <c r="P39" i="25"/>
  <c r="Q39" i="25" s="1"/>
  <c r="R39" i="25" s="1"/>
  <c r="V39" i="25" s="1"/>
  <c r="X39" i="25" s="1"/>
  <c r="P40" i="25"/>
  <c r="P23" i="25"/>
  <c r="Q23" i="25" s="1"/>
  <c r="R23" i="25" s="1"/>
  <c r="V23" i="25" s="1"/>
  <c r="X23" i="25" s="1"/>
  <c r="P25" i="25"/>
  <c r="P29" i="25"/>
  <c r="P31" i="25"/>
  <c r="W152" i="25"/>
  <c r="Y152" i="25" s="1"/>
  <c r="Q138" i="25"/>
  <c r="R138" i="25" s="1"/>
  <c r="V138" i="25" s="1"/>
  <c r="X138" i="25" s="1"/>
  <c r="V99" i="25"/>
  <c r="X99" i="25" s="1"/>
  <c r="W81" i="25"/>
  <c r="Y81" i="25" s="1"/>
  <c r="R504" i="5"/>
  <c r="R462" i="5"/>
  <c r="R42" i="5"/>
  <c r="R630" i="5"/>
  <c r="Q26" i="25"/>
  <c r="R26" i="25" s="1"/>
  <c r="V26" i="25" s="1"/>
  <c r="X26" i="25" s="1"/>
  <c r="W182" i="25"/>
  <c r="Y182" i="25" s="1"/>
  <c r="AB182" i="25" s="1"/>
  <c r="AB183" i="25" s="1"/>
  <c r="AE183" i="25" s="1"/>
  <c r="W105" i="25"/>
  <c r="Y105" i="25" s="1"/>
  <c r="AB104" i="25" s="1"/>
  <c r="AB105" i="25" s="1"/>
  <c r="AE105" i="25" s="1"/>
  <c r="D50" i="25" s="1"/>
  <c r="R525" i="5"/>
  <c r="Q77" i="25"/>
  <c r="R77" i="25" s="1"/>
  <c r="V77" i="25" s="1"/>
  <c r="X77" i="25" s="1"/>
  <c r="AA77" i="25" s="1"/>
  <c r="Q89" i="25"/>
  <c r="R89" i="25" s="1"/>
  <c r="W89" i="25" s="1"/>
  <c r="Y89" i="25" s="1"/>
  <c r="W140" i="25"/>
  <c r="Y140" i="25" s="1"/>
  <c r="V140" i="25"/>
  <c r="X140" i="25" s="1"/>
  <c r="R378" i="5"/>
  <c r="R623" i="5"/>
  <c r="V180" i="25"/>
  <c r="X180" i="25" s="1"/>
  <c r="R210" i="5"/>
  <c r="Q128" i="25"/>
  <c r="R128" i="25" s="1"/>
  <c r="V128" i="25" s="1"/>
  <c r="X128" i="25" s="1"/>
  <c r="R455" i="5"/>
  <c r="V131" i="25"/>
  <c r="X131" i="25" s="1"/>
  <c r="AA131" i="25" s="1"/>
  <c r="AA132" i="25" s="1"/>
  <c r="AD132" i="25" s="1"/>
  <c r="C59" i="25" s="1"/>
  <c r="V135" i="25"/>
  <c r="X135" i="25" s="1"/>
  <c r="AB155" i="25"/>
  <c r="V155" i="25"/>
  <c r="X155" i="25" s="1"/>
  <c r="AA155" i="25" s="1"/>
  <c r="W176" i="25"/>
  <c r="Y176" i="25" s="1"/>
  <c r="AB176" i="25" s="1"/>
  <c r="AB177" i="25" s="1"/>
  <c r="AE177" i="25" s="1"/>
  <c r="D74" i="25" s="1"/>
  <c r="V176" i="25"/>
  <c r="X176" i="25" s="1"/>
  <c r="AA176" i="25" s="1"/>
  <c r="V32" i="25"/>
  <c r="X32" i="25" s="1"/>
  <c r="V127" i="25"/>
  <c r="X127" i="25" s="1"/>
  <c r="W88" i="25"/>
  <c r="Y88" i="25" s="1"/>
  <c r="V34" i="25"/>
  <c r="X34" i="25" s="1"/>
  <c r="V94" i="25"/>
  <c r="X94" i="25" s="1"/>
  <c r="V46" i="25"/>
  <c r="X46" i="25" s="1"/>
  <c r="W153" i="25"/>
  <c r="Y153" i="25" s="1"/>
  <c r="V54" i="25"/>
  <c r="X54" i="25" s="1"/>
  <c r="W54" i="25"/>
  <c r="Y54" i="25" s="1"/>
  <c r="V161" i="25"/>
  <c r="X161" i="25" s="1"/>
  <c r="W161" i="25"/>
  <c r="Y161" i="25" s="1"/>
  <c r="V129" i="25"/>
  <c r="X129" i="25" s="1"/>
  <c r="W129" i="25"/>
  <c r="Y129" i="25" s="1"/>
  <c r="V210" i="25"/>
  <c r="X210" i="25" s="1"/>
  <c r="W210" i="25"/>
  <c r="Y210" i="25" s="1"/>
  <c r="W24" i="25"/>
  <c r="Y24" i="25" s="1"/>
  <c r="V24" i="25"/>
  <c r="X24" i="25" s="1"/>
  <c r="W115" i="25"/>
  <c r="Y115" i="25" s="1"/>
  <c r="V52" i="25"/>
  <c r="X52" i="25" s="1"/>
  <c r="W133" i="25"/>
  <c r="Y133" i="25" s="1"/>
  <c r="AB131" i="25" s="1"/>
  <c r="AB132" i="25" s="1"/>
  <c r="AE132" i="25" s="1"/>
  <c r="D59" i="25" s="1"/>
  <c r="V106" i="25"/>
  <c r="X106" i="25" s="1"/>
  <c r="AA104" i="25" s="1"/>
  <c r="AA105" i="25" s="1"/>
  <c r="AD105" i="25" s="1"/>
  <c r="C50" i="25" s="1"/>
  <c r="W36" i="25"/>
  <c r="Y36" i="25" s="1"/>
  <c r="V83" i="25"/>
  <c r="X83" i="25" s="1"/>
  <c r="W56" i="25"/>
  <c r="Y56" i="25" s="1"/>
  <c r="V44" i="25"/>
  <c r="X44" i="25" s="1"/>
  <c r="V113" i="25"/>
  <c r="X113" i="25" s="1"/>
  <c r="W171" i="25"/>
  <c r="Y171" i="25" s="1"/>
  <c r="W167" i="25"/>
  <c r="Y167" i="25" s="1"/>
  <c r="W108" i="25"/>
  <c r="Y108" i="25" s="1"/>
  <c r="AB107" i="25" s="1"/>
  <c r="V108" i="25"/>
  <c r="X108" i="25" s="1"/>
  <c r="AA107" i="25" s="1"/>
  <c r="AA108" i="25" s="1"/>
  <c r="AD108" i="25" s="1"/>
  <c r="C51" i="25" s="1"/>
  <c r="W42" i="25"/>
  <c r="Y42" i="25" s="1"/>
  <c r="V116" i="25"/>
  <c r="X116" i="25" s="1"/>
  <c r="W62" i="25"/>
  <c r="Y62" i="25" s="1"/>
  <c r="AB62" i="25" s="1"/>
  <c r="V62" i="25"/>
  <c r="X62" i="25" s="1"/>
  <c r="AA62" i="25" s="1"/>
  <c r="W71" i="25"/>
  <c r="Y71" i="25" s="1"/>
  <c r="V71" i="25"/>
  <c r="X71" i="25" s="1"/>
  <c r="W95" i="25"/>
  <c r="Y95" i="25" s="1"/>
  <c r="V95" i="25"/>
  <c r="X95" i="25" s="1"/>
  <c r="V159" i="25"/>
  <c r="X159" i="25" s="1"/>
  <c r="W50" i="25"/>
  <c r="Y50" i="25" s="1"/>
  <c r="W173" i="25"/>
  <c r="Y173" i="25" s="1"/>
  <c r="V173" i="25"/>
  <c r="X173" i="25" s="1"/>
  <c r="V162" i="25"/>
  <c r="X162" i="25" s="1"/>
  <c r="W162" i="25"/>
  <c r="Y162" i="25" s="1"/>
  <c r="V68" i="25"/>
  <c r="X68" i="25" s="1"/>
  <c r="W68" i="25"/>
  <c r="Y68" i="25" s="1"/>
  <c r="W66" i="25"/>
  <c r="Y66" i="25" s="1"/>
  <c r="V200" i="25"/>
  <c r="X200" i="25" s="1"/>
  <c r="V74" i="25"/>
  <c r="X74" i="25" s="1"/>
  <c r="W74" i="25"/>
  <c r="Y74" i="25" s="1"/>
  <c r="W111" i="25"/>
  <c r="Y111" i="25" s="1"/>
  <c r="V111" i="25"/>
  <c r="X111" i="25" s="1"/>
  <c r="V8" i="25"/>
  <c r="X8" i="25" s="1"/>
  <c r="W8" i="25"/>
  <c r="Y8" i="25" s="1"/>
  <c r="W206" i="25"/>
  <c r="Y206" i="25" s="1"/>
  <c r="AB206" i="25" s="1"/>
  <c r="V206" i="25"/>
  <c r="X206" i="25" s="1"/>
  <c r="AA206" i="25" s="1"/>
  <c r="W27" i="25"/>
  <c r="Y27" i="25" s="1"/>
  <c r="V27" i="25"/>
  <c r="X27" i="25" s="1"/>
  <c r="V33" i="25"/>
  <c r="X33" i="25" s="1"/>
  <c r="W33" i="25"/>
  <c r="Y33" i="25" s="1"/>
  <c r="AB32" i="25" s="1"/>
  <c r="V49" i="25"/>
  <c r="X49" i="25" s="1"/>
  <c r="W49" i="25"/>
  <c r="Y49" i="25" s="1"/>
  <c r="W130" i="25"/>
  <c r="Y130" i="25" s="1"/>
  <c r="V130" i="25"/>
  <c r="X130" i="25" s="1"/>
  <c r="W48" i="25"/>
  <c r="Y48" i="25" s="1"/>
  <c r="V48" i="25"/>
  <c r="X48" i="25" s="1"/>
  <c r="W123" i="25"/>
  <c r="Y123" i="25" s="1"/>
  <c r="V123" i="25"/>
  <c r="X123" i="25" s="1"/>
  <c r="W209" i="25"/>
  <c r="Y209" i="25" s="1"/>
  <c r="V209" i="25"/>
  <c r="X209" i="25" s="1"/>
  <c r="V58" i="25"/>
  <c r="X58" i="25" s="1"/>
  <c r="AA56" i="25" s="1"/>
  <c r="W58" i="25"/>
  <c r="Y58" i="25" s="1"/>
  <c r="V47" i="25"/>
  <c r="X47" i="25" s="1"/>
  <c r="W47" i="25"/>
  <c r="Y47" i="25" s="1"/>
  <c r="W213" i="25"/>
  <c r="Y213" i="25" s="1"/>
  <c r="V213" i="25"/>
  <c r="X213" i="25" s="1"/>
  <c r="W195" i="25"/>
  <c r="Y195" i="25" s="1"/>
  <c r="V195" i="25"/>
  <c r="X195" i="25" s="1"/>
  <c r="W72" i="25"/>
  <c r="Y72" i="25" s="1"/>
  <c r="V72" i="25"/>
  <c r="X72" i="25" s="1"/>
  <c r="W69" i="25"/>
  <c r="Y69" i="25" s="1"/>
  <c r="V69" i="25"/>
  <c r="X69" i="25" s="1"/>
  <c r="V211" i="25"/>
  <c r="X211" i="25" s="1"/>
  <c r="W211" i="25"/>
  <c r="Y211" i="25" s="1"/>
  <c r="W170" i="25"/>
  <c r="Y170" i="25" s="1"/>
  <c r="V170" i="25"/>
  <c r="X170" i="25" s="1"/>
  <c r="V28" i="25"/>
  <c r="X28" i="25" s="1"/>
  <c r="W28" i="25"/>
  <c r="Y28" i="25" s="1"/>
  <c r="W45" i="25"/>
  <c r="Y45" i="25" s="1"/>
  <c r="V45" i="25"/>
  <c r="X45" i="25" s="1"/>
  <c r="W114" i="25"/>
  <c r="Y114" i="25" s="1"/>
  <c r="V114" i="25"/>
  <c r="X114" i="25" s="1"/>
  <c r="W38" i="25"/>
  <c r="Y38" i="25" s="1"/>
  <c r="V38" i="25"/>
  <c r="X38" i="25" s="1"/>
  <c r="W96" i="25"/>
  <c r="Y96" i="25" s="1"/>
  <c r="V96" i="25"/>
  <c r="X96" i="25" s="1"/>
  <c r="V125" i="25"/>
  <c r="X125" i="25" s="1"/>
  <c r="W125" i="25"/>
  <c r="Y125" i="25" s="1"/>
  <c r="AB125" i="25" s="1"/>
  <c r="AB126" i="25" s="1"/>
  <c r="AE126" i="25" s="1"/>
  <c r="D57" i="25" s="1"/>
  <c r="W30" i="25"/>
  <c r="Y30" i="25" s="1"/>
  <c r="V30" i="25"/>
  <c r="X30" i="25" s="1"/>
  <c r="AA29" i="25" s="1"/>
  <c r="W87" i="25"/>
  <c r="Y87" i="25" s="1"/>
  <c r="V87" i="25"/>
  <c r="X87" i="25" s="1"/>
  <c r="V165" i="25"/>
  <c r="X165" i="25" s="1"/>
  <c r="AA164" i="25" s="1"/>
  <c r="W165" i="25"/>
  <c r="Y165" i="25" s="1"/>
  <c r="AB164" i="25" s="1"/>
  <c r="W212" i="25"/>
  <c r="Y212" i="25" s="1"/>
  <c r="V212" i="25"/>
  <c r="X212" i="25" s="1"/>
  <c r="V172" i="25"/>
  <c r="X172" i="25" s="1"/>
  <c r="W172" i="25"/>
  <c r="Y172" i="25" s="1"/>
  <c r="W117" i="25"/>
  <c r="Y117" i="25" s="1"/>
  <c r="AB116" i="25" s="1"/>
  <c r="V117" i="25"/>
  <c r="X117" i="25" s="1"/>
  <c r="W59" i="25"/>
  <c r="Y59" i="25" s="1"/>
  <c r="V59" i="25"/>
  <c r="X59" i="25" s="1"/>
  <c r="W121" i="25"/>
  <c r="Y121" i="25" s="1"/>
  <c r="V121" i="25"/>
  <c r="X121" i="25" s="1"/>
  <c r="W119" i="25"/>
  <c r="Y119" i="25" s="1"/>
  <c r="V119" i="25"/>
  <c r="X119" i="25" s="1"/>
  <c r="V179" i="25"/>
  <c r="X179" i="25" s="1"/>
  <c r="W179" i="25"/>
  <c r="Y179" i="25" s="1"/>
  <c r="W93" i="25"/>
  <c r="Y93" i="25" s="1"/>
  <c r="AB92" i="25" s="1"/>
  <c r="V93" i="25"/>
  <c r="X93" i="25" s="1"/>
  <c r="W185" i="25"/>
  <c r="Y185" i="25" s="1"/>
  <c r="V185" i="25"/>
  <c r="X185" i="25" s="1"/>
  <c r="W100" i="25"/>
  <c r="Y100" i="25" s="1"/>
  <c r="AB98" i="25" s="1"/>
  <c r="V100" i="25"/>
  <c r="X100" i="25" s="1"/>
  <c r="AA98" i="25" s="1"/>
  <c r="W86" i="25"/>
  <c r="Y86" i="25" s="1"/>
  <c r="V86" i="25"/>
  <c r="X86" i="25" s="1"/>
  <c r="W112" i="25"/>
  <c r="Y112" i="25" s="1"/>
  <c r="V112" i="25"/>
  <c r="X112" i="25" s="1"/>
  <c r="Q10" i="25"/>
  <c r="R10" i="25" s="1"/>
  <c r="R9" i="25"/>
  <c r="W192" i="25"/>
  <c r="Y192" i="25" s="1"/>
  <c r="AB191" i="25" s="1"/>
  <c r="V192" i="25"/>
  <c r="X192" i="25" s="1"/>
  <c r="AA191" i="25" s="1"/>
  <c r="W75" i="25"/>
  <c r="Y75" i="25" s="1"/>
  <c r="V75" i="25"/>
  <c r="X75" i="25" s="1"/>
  <c r="V142" i="25"/>
  <c r="X142" i="25" s="1"/>
  <c r="W142" i="25"/>
  <c r="Y142" i="25" s="1"/>
  <c r="V186" i="25"/>
  <c r="X186" i="25" s="1"/>
  <c r="W186" i="25"/>
  <c r="Y186" i="25" s="1"/>
  <c r="V181" i="25"/>
  <c r="X181" i="25" s="1"/>
  <c r="W181" i="25"/>
  <c r="Y181" i="25" s="1"/>
  <c r="W198" i="25"/>
  <c r="Y198" i="25" s="1"/>
  <c r="V198" i="25"/>
  <c r="X198" i="25" s="1"/>
  <c r="W174" i="25"/>
  <c r="Y174" i="25" s="1"/>
  <c r="V174" i="25"/>
  <c r="X174" i="25" s="1"/>
  <c r="W154" i="25"/>
  <c r="Y154" i="25" s="1"/>
  <c r="V154" i="25"/>
  <c r="X154" i="25" s="1"/>
  <c r="AA152" i="25" s="1"/>
  <c r="W139" i="25"/>
  <c r="Y139" i="25" s="1"/>
  <c r="V139" i="25"/>
  <c r="X139" i="25" s="1"/>
  <c r="W158" i="25"/>
  <c r="Y158" i="25" s="1"/>
  <c r="AB158" i="25" s="1"/>
  <c r="V158" i="25"/>
  <c r="X158" i="25" s="1"/>
  <c r="W143" i="25"/>
  <c r="Y143" i="25" s="1"/>
  <c r="V143" i="25"/>
  <c r="X143" i="25" s="1"/>
  <c r="W91" i="25"/>
  <c r="Y91" i="25" s="1"/>
  <c r="V91" i="25"/>
  <c r="X91" i="25" s="1"/>
  <c r="W201" i="25"/>
  <c r="Y201" i="25" s="1"/>
  <c r="AB200" i="25" s="1"/>
  <c r="V201" i="25"/>
  <c r="X201" i="25" s="1"/>
  <c r="W41" i="25"/>
  <c r="Y41" i="25" s="1"/>
  <c r="V41" i="25"/>
  <c r="X41" i="25" s="1"/>
  <c r="AA41" i="25" s="1"/>
  <c r="W214" i="25"/>
  <c r="Y214" i="25" s="1"/>
  <c r="V214" i="25"/>
  <c r="X214" i="25" s="1"/>
  <c r="W120" i="25"/>
  <c r="Y120" i="25" s="1"/>
  <c r="V120" i="25"/>
  <c r="X120" i="25" s="1"/>
  <c r="W189" i="25"/>
  <c r="Y189" i="25" s="1"/>
  <c r="AB188" i="25" s="1"/>
  <c r="V189" i="25"/>
  <c r="X189" i="25" s="1"/>
  <c r="AA188" i="25" s="1"/>
  <c r="W137" i="25"/>
  <c r="Y137" i="25" s="1"/>
  <c r="V137" i="25"/>
  <c r="X137" i="25" s="1"/>
  <c r="V145" i="25"/>
  <c r="X145" i="25" s="1"/>
  <c r="W145" i="25"/>
  <c r="Y145" i="25" s="1"/>
  <c r="W25" i="25"/>
  <c r="Y25" i="25" s="1"/>
  <c r="V25" i="25"/>
  <c r="X25" i="25" s="1"/>
  <c r="W51" i="25"/>
  <c r="Y51" i="25" s="1"/>
  <c r="V51" i="25"/>
  <c r="X51" i="25" s="1"/>
  <c r="W168" i="25"/>
  <c r="Y168" i="25" s="1"/>
  <c r="V168" i="25"/>
  <c r="X168" i="25" s="1"/>
  <c r="AA167" i="25" s="1"/>
  <c r="W37" i="25"/>
  <c r="Y37" i="25" s="1"/>
  <c r="V37" i="25"/>
  <c r="X37" i="25" s="1"/>
  <c r="W136" i="25"/>
  <c r="Y136" i="25" s="1"/>
  <c r="V136" i="25"/>
  <c r="X136" i="25" s="1"/>
  <c r="W80" i="25"/>
  <c r="Y80" i="25" s="1"/>
  <c r="V80" i="25"/>
  <c r="X80" i="25" s="1"/>
  <c r="AA80" i="25" s="1"/>
  <c r="V55" i="25"/>
  <c r="X55" i="25" s="1"/>
  <c r="W55" i="25"/>
  <c r="Y55" i="25" s="1"/>
  <c r="W61" i="25"/>
  <c r="Y61" i="25" s="1"/>
  <c r="V61" i="25"/>
  <c r="X61" i="25" s="1"/>
  <c r="AA147" i="25"/>
  <c r="AD147" i="25" s="1"/>
  <c r="C64" i="25" s="1"/>
  <c r="AB147" i="25"/>
  <c r="AE147" i="25" s="1"/>
  <c r="D64" i="25" s="1"/>
  <c r="AB80" i="25" l="1"/>
  <c r="W194" i="25"/>
  <c r="Y194" i="25" s="1"/>
  <c r="W144" i="25"/>
  <c r="Y144" i="25" s="1"/>
  <c r="AB156" i="25"/>
  <c r="AE156" i="25" s="1"/>
  <c r="D67" i="25" s="1"/>
  <c r="D76" i="25"/>
  <c r="E76" i="25" s="1"/>
  <c r="W29" i="25"/>
  <c r="Y29" i="25" s="1"/>
  <c r="AB29" i="25" s="1"/>
  <c r="AB30" i="25" s="1"/>
  <c r="AE30" i="25" s="1"/>
  <c r="D25" i="25" s="1"/>
  <c r="AA65" i="25"/>
  <c r="AA156" i="25"/>
  <c r="AD156" i="25" s="1"/>
  <c r="C67" i="25" s="1"/>
  <c r="E67" i="25" s="1"/>
  <c r="W102" i="25"/>
  <c r="Y102" i="25" s="1"/>
  <c r="AB101" i="25" s="1"/>
  <c r="AB102" i="25" s="1"/>
  <c r="AE102" i="25" s="1"/>
  <c r="D49" i="25" s="1"/>
  <c r="W39" i="25"/>
  <c r="Y39" i="25" s="1"/>
  <c r="W65" i="25"/>
  <c r="Y65" i="25" s="1"/>
  <c r="AB65" i="25" s="1"/>
  <c r="AB66" i="25" s="1"/>
  <c r="AE66" i="25" s="1"/>
  <c r="D37" i="25" s="1"/>
  <c r="AA194" i="25"/>
  <c r="V134" i="25"/>
  <c r="X134" i="25" s="1"/>
  <c r="AA134" i="25" s="1"/>
  <c r="W23" i="25"/>
  <c r="Y23" i="25" s="1"/>
  <c r="AB23" i="25" s="1"/>
  <c r="AB44" i="25"/>
  <c r="AB45" i="25" s="1"/>
  <c r="AE45" i="25" s="1"/>
  <c r="D30" i="25" s="1"/>
  <c r="V203" i="25"/>
  <c r="X203" i="25" s="1"/>
  <c r="AA203" i="25" s="1"/>
  <c r="AA204" i="25" s="1"/>
  <c r="AD204" i="25" s="1"/>
  <c r="C83" i="25" s="1"/>
  <c r="V89" i="25"/>
  <c r="X89" i="25" s="1"/>
  <c r="V53" i="25"/>
  <c r="X53" i="25" s="1"/>
  <c r="W53" i="25"/>
  <c r="Y53" i="25" s="1"/>
  <c r="AB53" i="25" s="1"/>
  <c r="V149" i="25"/>
  <c r="X149" i="25" s="1"/>
  <c r="AA149" i="25" s="1"/>
  <c r="AA150" i="25" s="1"/>
  <c r="AD150" i="25" s="1"/>
  <c r="C65" i="25" s="1"/>
  <c r="W149" i="25"/>
  <c r="Y149" i="25" s="1"/>
  <c r="AB149" i="25" s="1"/>
  <c r="AB150" i="25" s="1"/>
  <c r="AE150" i="25" s="1"/>
  <c r="D65" i="25" s="1"/>
  <c r="W141" i="25"/>
  <c r="Y141" i="25" s="1"/>
  <c r="V141" i="25"/>
  <c r="X141" i="25" s="1"/>
  <c r="V84" i="25"/>
  <c r="X84" i="25" s="1"/>
  <c r="W84" i="25"/>
  <c r="Y84" i="25" s="1"/>
  <c r="AB83" i="25" s="1"/>
  <c r="W90" i="25"/>
  <c r="Y90" i="25" s="1"/>
  <c r="AB89" i="25" s="1"/>
  <c r="V90" i="25"/>
  <c r="X90" i="25" s="1"/>
  <c r="AA89" i="25" s="1"/>
  <c r="AB122" i="25"/>
  <c r="V197" i="25"/>
  <c r="X197" i="25" s="1"/>
  <c r="AA197" i="25" s="1"/>
  <c r="W197" i="25"/>
  <c r="Y197" i="25" s="1"/>
  <c r="AB197" i="25" s="1"/>
  <c r="AB198" i="25" s="1"/>
  <c r="AE198" i="25" s="1"/>
  <c r="D81" i="25" s="1"/>
  <c r="W138" i="25"/>
  <c r="Y138" i="25" s="1"/>
  <c r="AA83" i="25"/>
  <c r="V35" i="25"/>
  <c r="X35" i="25" s="1"/>
  <c r="W77" i="25"/>
  <c r="Y77" i="25" s="1"/>
  <c r="AB77" i="25" s="1"/>
  <c r="AB78" i="25" s="1"/>
  <c r="AE78" i="25" s="1"/>
  <c r="D41" i="25" s="1"/>
  <c r="V122" i="25"/>
  <c r="X122" i="25" s="1"/>
  <c r="AA122" i="25" s="1"/>
  <c r="AB194" i="25"/>
  <c r="W26" i="25"/>
  <c r="Y26" i="25" s="1"/>
  <c r="W128" i="25"/>
  <c r="Y128" i="25" s="1"/>
  <c r="AA177" i="25"/>
  <c r="AD177" i="25" s="1"/>
  <c r="AA125" i="25"/>
  <c r="AA126" i="25" s="1"/>
  <c r="AD126" i="25" s="1"/>
  <c r="C57" i="25" s="1"/>
  <c r="AA32" i="25"/>
  <c r="AB33" i="25" s="1"/>
  <c r="AE33" i="25" s="1"/>
  <c r="D26" i="25" s="1"/>
  <c r="AB152" i="25"/>
  <c r="AA153" i="25" s="1"/>
  <c r="AD153" i="25" s="1"/>
  <c r="C66" i="25" s="1"/>
  <c r="AB56" i="25"/>
  <c r="AB57" i="25" s="1"/>
  <c r="AE57" i="25" s="1"/>
  <c r="D34" i="25" s="1"/>
  <c r="AA200" i="25"/>
  <c r="AA201" i="25" s="1"/>
  <c r="AD201" i="25" s="1"/>
  <c r="C82" i="25" s="1"/>
  <c r="AA207" i="25"/>
  <c r="AD207" i="25" s="1"/>
  <c r="C84" i="25" s="1"/>
  <c r="E50" i="25"/>
  <c r="AA113" i="25"/>
  <c r="AA189" i="25"/>
  <c r="AD189" i="25" s="1"/>
  <c r="C78" i="25" s="1"/>
  <c r="AB161" i="25"/>
  <c r="AB63" i="25"/>
  <c r="AE63" i="25" s="1"/>
  <c r="D36" i="25" s="1"/>
  <c r="AA92" i="25"/>
  <c r="AA93" i="25" s="1"/>
  <c r="AD93" i="25" s="1"/>
  <c r="C46" i="25" s="1"/>
  <c r="AB108" i="25"/>
  <c r="AE108" i="25" s="1"/>
  <c r="AA44" i="25"/>
  <c r="AB113" i="25"/>
  <c r="AB167" i="25"/>
  <c r="AA168" i="25" s="1"/>
  <c r="AD168" i="25" s="1"/>
  <c r="C71" i="25" s="1"/>
  <c r="AA161" i="25"/>
  <c r="AA50" i="25"/>
  <c r="AA81" i="25"/>
  <c r="AD81" i="25" s="1"/>
  <c r="C42" i="25" s="1"/>
  <c r="AA30" i="25"/>
  <c r="AD30" i="25" s="1"/>
  <c r="C25" i="25" s="1"/>
  <c r="E59" i="25"/>
  <c r="AB173" i="25"/>
  <c r="AB50" i="25"/>
  <c r="AB51" i="25" s="1"/>
  <c r="AE51" i="25" s="1"/>
  <c r="D32" i="25" s="1"/>
  <c r="AA116" i="25"/>
  <c r="AA117" i="25" s="1"/>
  <c r="AD117" i="25" s="1"/>
  <c r="C54" i="25" s="1"/>
  <c r="AB41" i="25"/>
  <c r="AB42" i="25" s="1"/>
  <c r="AE42" i="25" s="1"/>
  <c r="D29" i="25" s="1"/>
  <c r="AB140" i="25"/>
  <c r="AA71" i="25"/>
  <c r="AA140" i="25"/>
  <c r="AB71" i="25"/>
  <c r="AB128" i="25"/>
  <c r="AA110" i="25"/>
  <c r="AA95" i="25"/>
  <c r="AA68" i="25"/>
  <c r="AA128" i="25"/>
  <c r="AB110" i="25"/>
  <c r="AA63" i="25"/>
  <c r="AD63" i="25" s="1"/>
  <c r="C36" i="25" s="1"/>
  <c r="AA158" i="25"/>
  <c r="AA159" i="25" s="1"/>
  <c r="AD159" i="25" s="1"/>
  <c r="C68" i="25" s="1"/>
  <c r="AA74" i="25"/>
  <c r="AB74" i="25"/>
  <c r="AA173" i="25"/>
  <c r="AB95" i="25"/>
  <c r="AB96" i="25" s="1"/>
  <c r="AE96" i="25" s="1"/>
  <c r="D47" i="25" s="1"/>
  <c r="AB68" i="25"/>
  <c r="AA99" i="25"/>
  <c r="AD99" i="25" s="1"/>
  <c r="C48" i="25" s="1"/>
  <c r="AA192" i="25"/>
  <c r="AD192" i="25" s="1"/>
  <c r="C79" i="25" s="1"/>
  <c r="AB165" i="25"/>
  <c r="AE165" i="25" s="1"/>
  <c r="D70" i="25" s="1"/>
  <c r="AA86" i="25"/>
  <c r="AB99" i="25"/>
  <c r="AE99" i="25" s="1"/>
  <c r="D48" i="25" s="1"/>
  <c r="AB47" i="25"/>
  <c r="AA47" i="25"/>
  <c r="AB86" i="25"/>
  <c r="AA143" i="25"/>
  <c r="E64" i="25"/>
  <c r="AB143" i="25"/>
  <c r="AB185" i="25"/>
  <c r="AA179" i="25"/>
  <c r="AB179" i="25"/>
  <c r="AA185" i="25"/>
  <c r="W9" i="25"/>
  <c r="Y9" i="25" s="1"/>
  <c r="AB7" i="25" s="1"/>
  <c r="V9" i="25"/>
  <c r="X9" i="25" s="1"/>
  <c r="AA7" i="25" s="1"/>
  <c r="AB38" i="25"/>
  <c r="AA38" i="25"/>
  <c r="AB81" i="25"/>
  <c r="AE81" i="25" s="1"/>
  <c r="D42" i="25" s="1"/>
  <c r="AA165" i="25"/>
  <c r="AD165" i="25" s="1"/>
  <c r="C70" i="25" s="1"/>
  <c r="AB212" i="25"/>
  <c r="AA212" i="25"/>
  <c r="AB59" i="25"/>
  <c r="AB93" i="25"/>
  <c r="AE93" i="25" s="1"/>
  <c r="D46" i="25" s="1"/>
  <c r="AA59" i="25"/>
  <c r="AB119" i="25"/>
  <c r="AA119" i="25"/>
  <c r="AA53" i="25"/>
  <c r="AB137" i="25"/>
  <c r="AA137" i="25"/>
  <c r="AB134" i="25"/>
  <c r="AB189" i="25"/>
  <c r="AE189" i="25" s="1"/>
  <c r="D78" i="25" s="1"/>
  <c r="AA23" i="25"/>
  <c r="AB207" i="25"/>
  <c r="AE207" i="25" s="1"/>
  <c r="D84" i="25" s="1"/>
  <c r="AB209" i="25"/>
  <c r="AA209" i="25"/>
  <c r="AB26" i="25"/>
  <c r="AA26" i="25"/>
  <c r="AB204" i="25"/>
  <c r="AE204" i="25" s="1"/>
  <c r="D83" i="25" s="1"/>
  <c r="AB192" i="25"/>
  <c r="AE192" i="25" s="1"/>
  <c r="D79" i="25" s="1"/>
  <c r="AB170" i="25"/>
  <c r="AA170" i="25"/>
  <c r="AB35" i="25"/>
  <c r="AA35" i="25"/>
  <c r="AB123" i="25" l="1"/>
  <c r="AE123" i="25" s="1"/>
  <c r="D56" i="25" s="1"/>
  <c r="AA195" i="25"/>
  <c r="AD195" i="25" s="1"/>
  <c r="C80" i="25" s="1"/>
  <c r="AB201" i="25"/>
  <c r="AE201" i="25" s="1"/>
  <c r="D82" i="25" s="1"/>
  <c r="AA45" i="25"/>
  <c r="AD45" i="25" s="1"/>
  <c r="C30" i="25" s="1"/>
  <c r="C74" i="25"/>
  <c r="E74" i="25" s="1"/>
  <c r="AB153" i="25"/>
  <c r="AE153" i="25" s="1"/>
  <c r="D66" i="25" s="1"/>
  <c r="D51" i="25"/>
  <c r="E51" i="25" s="1"/>
  <c r="AA57" i="25"/>
  <c r="AD57" i="25" s="1"/>
  <c r="C34" i="25" s="1"/>
  <c r="E34" i="25" s="1"/>
  <c r="AA84" i="25"/>
  <c r="AD84" i="25" s="1"/>
  <c r="C43" i="25" s="1"/>
  <c r="AB195" i="25"/>
  <c r="AE195" i="25" s="1"/>
  <c r="D80" i="25" s="1"/>
  <c r="AB117" i="25"/>
  <c r="AE117" i="25" s="1"/>
  <c r="D54" i="25" s="1"/>
  <c r="AA102" i="25"/>
  <c r="AD102" i="25" s="1"/>
  <c r="E65" i="25"/>
  <c r="AA123" i="25"/>
  <c r="AD123" i="25" s="1"/>
  <c r="C56" i="25" s="1"/>
  <c r="E56" i="25" s="1"/>
  <c r="AA78" i="25"/>
  <c r="AD78" i="25" s="1"/>
  <c r="AA33" i="25"/>
  <c r="AD33" i="25" s="1"/>
  <c r="C26" i="25" s="1"/>
  <c r="AA198" i="25"/>
  <c r="AD198" i="25" s="1"/>
  <c r="AB84" i="25"/>
  <c r="AE84" i="25" s="1"/>
  <c r="AA66" i="25"/>
  <c r="AD66" i="25" s="1"/>
  <c r="AA27" i="25"/>
  <c r="AD27" i="25" s="1"/>
  <c r="C24" i="25" s="1"/>
  <c r="AA174" i="25"/>
  <c r="AD174" i="25" s="1"/>
  <c r="C73" i="25" s="1"/>
  <c r="AB90" i="25"/>
  <c r="AE90" i="25" s="1"/>
  <c r="D45" i="25" s="1"/>
  <c r="AB141" i="25"/>
  <c r="AE141" i="25" s="1"/>
  <c r="D62" i="25" s="1"/>
  <c r="AA114" i="25"/>
  <c r="AD114" i="25" s="1"/>
  <c r="C53" i="25" s="1"/>
  <c r="AB48" i="25"/>
  <c r="AE48" i="25" s="1"/>
  <c r="D31" i="25" s="1"/>
  <c r="E36" i="25"/>
  <c r="AA51" i="25"/>
  <c r="AD51" i="25" s="1"/>
  <c r="AA162" i="25"/>
  <c r="AD162" i="25" s="1"/>
  <c r="C69" i="25" s="1"/>
  <c r="AB114" i="25"/>
  <c r="AE114" i="25" s="1"/>
  <c r="D53" i="25" s="1"/>
  <c r="AB162" i="25"/>
  <c r="AE162" i="25" s="1"/>
  <c r="D69" i="25" s="1"/>
  <c r="AB174" i="25"/>
  <c r="AE174" i="25" s="1"/>
  <c r="D73" i="25" s="1"/>
  <c r="AB168" i="25"/>
  <c r="AE168" i="25" s="1"/>
  <c r="AA42" i="25"/>
  <c r="AD42" i="25" s="1"/>
  <c r="C29" i="25" s="1"/>
  <c r="AA90" i="25"/>
  <c r="AD90" i="25" s="1"/>
  <c r="C45" i="25" s="1"/>
  <c r="AA48" i="25"/>
  <c r="AD48" i="25" s="1"/>
  <c r="C31" i="25" s="1"/>
  <c r="AB75" i="25"/>
  <c r="AE75" i="25" s="1"/>
  <c r="D40" i="25" s="1"/>
  <c r="AB72" i="25"/>
  <c r="AE72" i="25" s="1"/>
  <c r="D39" i="25" s="1"/>
  <c r="AA129" i="25"/>
  <c r="AD129" i="25" s="1"/>
  <c r="C58" i="25" s="1"/>
  <c r="AA141" i="25"/>
  <c r="AD141" i="25" s="1"/>
  <c r="C62" i="25" s="1"/>
  <c r="AA111" i="25"/>
  <c r="AD111" i="25" s="1"/>
  <c r="C52" i="25" s="1"/>
  <c r="AA75" i="25"/>
  <c r="AD75" i="25" s="1"/>
  <c r="C40" i="25" s="1"/>
  <c r="AB111" i="25"/>
  <c r="AE111" i="25" s="1"/>
  <c r="D52" i="25" s="1"/>
  <c r="AB129" i="25"/>
  <c r="AE129" i="25" s="1"/>
  <c r="D58" i="25" s="1"/>
  <c r="AB69" i="25"/>
  <c r="AE69" i="25" s="1"/>
  <c r="D38" i="25" s="1"/>
  <c r="AA72" i="25"/>
  <c r="AD72" i="25" s="1"/>
  <c r="C39" i="25" s="1"/>
  <c r="AB159" i="25"/>
  <c r="AE159" i="25" s="1"/>
  <c r="D68" i="25" s="1"/>
  <c r="AA69" i="25"/>
  <c r="AD69" i="25" s="1"/>
  <c r="C38" i="25" s="1"/>
  <c r="AA96" i="25"/>
  <c r="AD96" i="25" s="1"/>
  <c r="C47" i="25" s="1"/>
  <c r="AA120" i="25"/>
  <c r="AD120" i="25" s="1"/>
  <c r="C55" i="25" s="1"/>
  <c r="E42" i="25"/>
  <c r="E78" i="25"/>
  <c r="E80" i="25"/>
  <c r="E79" i="25"/>
  <c r="E84" i="25"/>
  <c r="E57" i="25"/>
  <c r="E66" i="25"/>
  <c r="E83" i="25"/>
  <c r="E70" i="25"/>
  <c r="E25" i="25"/>
  <c r="AB87" i="25"/>
  <c r="AE87" i="25" s="1"/>
  <c r="D44" i="25" s="1"/>
  <c r="AA186" i="25"/>
  <c r="AD186" i="25" s="1"/>
  <c r="C77" i="25" s="1"/>
  <c r="AA87" i="25"/>
  <c r="AD87" i="25" s="1"/>
  <c r="C44" i="25" s="1"/>
  <c r="AA213" i="25"/>
  <c r="AD213" i="25" s="1"/>
  <c r="C86" i="25" s="1"/>
  <c r="E26" i="25"/>
  <c r="E46" i="25"/>
  <c r="E48" i="25"/>
  <c r="AB144" i="25"/>
  <c r="AE144" i="25" s="1"/>
  <c r="D63" i="25" s="1"/>
  <c r="AA60" i="25"/>
  <c r="AD60" i="25" s="1"/>
  <c r="C35" i="25" s="1"/>
  <c r="AA171" i="25"/>
  <c r="AD171" i="25" s="1"/>
  <c r="C72" i="25" s="1"/>
  <c r="AA39" i="25"/>
  <c r="AD39" i="25" s="1"/>
  <c r="C28" i="25" s="1"/>
  <c r="AA54" i="25"/>
  <c r="AD54" i="25" s="1"/>
  <c r="C33" i="25" s="1"/>
  <c r="AB180" i="25"/>
  <c r="AE180" i="25" s="1"/>
  <c r="D75" i="25" s="1"/>
  <c r="AB24" i="25"/>
  <c r="AE24" i="25" s="1"/>
  <c r="AA180" i="25"/>
  <c r="AD180" i="25" s="1"/>
  <c r="C75" i="25" s="1"/>
  <c r="AA210" i="25"/>
  <c r="AD210" i="25" s="1"/>
  <c r="C85" i="25" s="1"/>
  <c r="AA138" i="25"/>
  <c r="AD138" i="25" s="1"/>
  <c r="C61" i="25" s="1"/>
  <c r="AB186" i="25"/>
  <c r="AE186" i="25" s="1"/>
  <c r="D77" i="25" s="1"/>
  <c r="AA135" i="25"/>
  <c r="AD135" i="25" s="1"/>
  <c r="C60" i="25" s="1"/>
  <c r="AA36" i="25"/>
  <c r="AD36" i="25" s="1"/>
  <c r="C27" i="25" s="1"/>
  <c r="AA144" i="25"/>
  <c r="AD144" i="25" s="1"/>
  <c r="C63" i="25" s="1"/>
  <c r="AA24" i="25"/>
  <c r="AD24" i="25" s="1"/>
  <c r="AB135" i="25"/>
  <c r="AE135" i="25" s="1"/>
  <c r="D60" i="25" s="1"/>
  <c r="AH5" i="25"/>
  <c r="AB8" i="25"/>
  <c r="AE8" i="25" s="1"/>
  <c r="AG6" i="25"/>
  <c r="AG5" i="25"/>
  <c r="AA8" i="25"/>
  <c r="AD8" i="25" s="1"/>
  <c r="AB120" i="25"/>
  <c r="AE120" i="25" s="1"/>
  <c r="D55" i="25" s="1"/>
  <c r="E82" i="25"/>
  <c r="AB36" i="25"/>
  <c r="AE36" i="25" s="1"/>
  <c r="D27" i="25" s="1"/>
  <c r="AB210" i="25"/>
  <c r="AE210" i="25" s="1"/>
  <c r="D85" i="25" s="1"/>
  <c r="AB213" i="25"/>
  <c r="AE213" i="25" s="1"/>
  <c r="D86" i="25" s="1"/>
  <c r="AB60" i="25"/>
  <c r="AE60" i="25" s="1"/>
  <c r="D35" i="25" s="1"/>
  <c r="AB171" i="25"/>
  <c r="AE171" i="25" s="1"/>
  <c r="D72" i="25" s="1"/>
  <c r="E30" i="25"/>
  <c r="E54" i="25"/>
  <c r="AB27" i="25"/>
  <c r="AE27" i="25" s="1"/>
  <c r="D24" i="25" s="1"/>
  <c r="AB39" i="25"/>
  <c r="AE39" i="25" s="1"/>
  <c r="D28" i="25" s="1"/>
  <c r="AB54" i="25"/>
  <c r="AE54" i="25" s="1"/>
  <c r="D33" i="25" s="1"/>
  <c r="AB138" i="25"/>
  <c r="AE138" i="25" s="1"/>
  <c r="D61" i="25" s="1"/>
  <c r="C49" i="25" l="1"/>
  <c r="E49" i="25" s="1"/>
  <c r="AD22" i="25"/>
  <c r="D23" i="25"/>
  <c r="C32" i="25"/>
  <c r="E32" i="25" s="1"/>
  <c r="AC22" i="25"/>
  <c r="C23" i="25"/>
  <c r="C37" i="25"/>
  <c r="E37" i="25" s="1"/>
  <c r="D43" i="25"/>
  <c r="E43" i="25" s="1"/>
  <c r="E81" i="25"/>
  <c r="D71" i="25"/>
  <c r="E71" i="25" s="1"/>
  <c r="C41" i="25"/>
  <c r="E41" i="25" s="1"/>
  <c r="E73" i="25"/>
  <c r="E53" i="25"/>
  <c r="E58" i="25"/>
  <c r="E62" i="25"/>
  <c r="E31" i="25"/>
  <c r="E68" i="25"/>
  <c r="E69" i="25"/>
  <c r="E29" i="25"/>
  <c r="E45" i="25"/>
  <c r="E38" i="25"/>
  <c r="E52" i="25"/>
  <c r="E40" i="25"/>
  <c r="E39" i="25"/>
  <c r="E47" i="25"/>
  <c r="E63" i="25"/>
  <c r="E86" i="25"/>
  <c r="E77" i="25"/>
  <c r="E35" i="25"/>
  <c r="E55" i="25"/>
  <c r="E44" i="25"/>
  <c r="E75" i="25"/>
  <c r="E85" i="25"/>
  <c r="E72" i="25"/>
  <c r="E28" i="25"/>
  <c r="E61" i="25"/>
  <c r="E33" i="25"/>
  <c r="E27" i="25"/>
  <c r="E60" i="25"/>
  <c r="C21" i="25" l="1"/>
  <c r="E21" i="25" s="1"/>
  <c r="D21" i="25"/>
  <c r="AE22" i="25"/>
  <c r="E23" i="25"/>
  <c r="E24" i="25"/>
  <c r="F21" i="2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<sst xmlns="http://schemas.openxmlformats.org/spreadsheetml/2006/main" count="7498" uniqueCount="270">
  <si>
    <t>Nombre completo</t>
  </si>
  <si>
    <t>SAZO DE LA CRUZ SELINA ROSSANA</t>
  </si>
  <si>
    <t>CASTILLO SOLARES CARLOS ARTURO</t>
  </si>
  <si>
    <t>DE PAZ REYES VICTOR ALFONSO</t>
  </si>
  <si>
    <t>GARCIA REYES CARLOS ANTONIO</t>
  </si>
  <si>
    <t>RIXTUN MELGAR CARLOS LEONEL</t>
  </si>
  <si>
    <t>KENER ALEXANDER HERNANDEZ HERNANDEZ</t>
  </si>
  <si>
    <t>RUBEN DARIO RAXON SOTO</t>
  </si>
  <si>
    <t>MYNOR ROLANDO ACAJABON MORALES</t>
  </si>
  <si>
    <t>ADOLFO DE JESUS LOPEZ CHAVEZ</t>
  </si>
  <si>
    <t>VICTOR MANUEL GARCIA CORADO</t>
  </si>
  <si>
    <t>AMILCAR EDELBERTO LOPEZ AROCHE</t>
  </si>
  <si>
    <t>ESWIN ESTUARDO ORTEGA LIMA</t>
  </si>
  <si>
    <t>YORMAN ALEJANDRO PEREZ CHAJON</t>
  </si>
  <si>
    <t>HECTOR RENE ALVIZUREZ MEJIA</t>
  </si>
  <si>
    <t>JARDIN NATANAHEL GARCIA CHAPEN</t>
  </si>
  <si>
    <t>RUDY ALEXANDER RODRIGUEZ ORTEGA</t>
  </si>
  <si>
    <t>HOSLIN HELYEL MAYORGA LOPEZ</t>
  </si>
  <si>
    <t>HELIO ANGEL GABRIEL GUZMAN RIVERA</t>
  </si>
  <si>
    <t>STEFAN GABRIEL ALVARADO DE LA ROSA</t>
  </si>
  <si>
    <t>MANUEL ALEJANDRO OSORIO CAHUEC</t>
  </si>
  <si>
    <t>ELMER CRISTOBAL LOPEZ HERNANDEZ</t>
  </si>
  <si>
    <t>BAYRON AMILCAR JIMENEZ VEGA</t>
  </si>
  <si>
    <t>Fecha</t>
  </si>
  <si>
    <t>Horas Presenciadas</t>
  </si>
  <si>
    <t>Horas Efectivas</t>
  </si>
  <si>
    <t>Empleado</t>
  </si>
  <si>
    <t>Tipo de Turno</t>
  </si>
  <si>
    <t>Lunes</t>
  </si>
  <si>
    <t>Martes</t>
  </si>
  <si>
    <t>Miércoles</t>
  </si>
  <si>
    <t>Jueves</t>
  </si>
  <si>
    <t>Viernes</t>
  </si>
  <si>
    <t>Sábado</t>
  </si>
  <si>
    <t>Domingo</t>
  </si>
  <si>
    <t>DIA</t>
  </si>
  <si>
    <t>NOCHE</t>
  </si>
  <si>
    <t>Dia</t>
  </si>
  <si>
    <t>Quincena</t>
  </si>
  <si>
    <t>Mes</t>
  </si>
  <si>
    <t>Hora Efectiva</t>
  </si>
  <si>
    <t>3 = 2-1</t>
  </si>
  <si>
    <t>Formulas</t>
  </si>
  <si>
    <t>5 = 3-4</t>
  </si>
  <si>
    <t>Semana</t>
  </si>
  <si>
    <t>Codigo1</t>
  </si>
  <si>
    <t>Codigo 2</t>
  </si>
  <si>
    <t>Codigo</t>
  </si>
  <si>
    <t>Qui1</t>
  </si>
  <si>
    <t xml:space="preserve">Tabla de Horas Ordinarias </t>
  </si>
  <si>
    <t xml:space="preserve">Diurno </t>
  </si>
  <si>
    <t>Turnos 6x3</t>
  </si>
  <si>
    <t>Duracion Turno</t>
  </si>
  <si>
    <t xml:space="preserve">Nocturno </t>
  </si>
  <si>
    <t>Hora Descanso</t>
  </si>
  <si>
    <t>Horas Efectivas Turno</t>
  </si>
  <si>
    <t xml:space="preserve">Diurnos </t>
  </si>
  <si>
    <t xml:space="preserve">Nocturnos </t>
  </si>
  <si>
    <t xml:space="preserve">Descanso </t>
  </si>
  <si>
    <t xml:space="preserve">Total </t>
  </si>
  <si>
    <t xml:space="preserve">Horas Ordinarias </t>
  </si>
  <si>
    <t>Horas Trabajas Efectivas</t>
  </si>
  <si>
    <t>Horas Extras</t>
  </si>
  <si>
    <t>Notas:</t>
  </si>
  <si>
    <t>Día</t>
  </si>
  <si>
    <t>Sistema</t>
  </si>
  <si>
    <t>Codigo 3</t>
  </si>
  <si>
    <t>Codigo 4</t>
  </si>
  <si>
    <t>Hora de Almuerzo/Cena</t>
  </si>
  <si>
    <t>Año</t>
  </si>
  <si>
    <t># de Día</t>
  </si>
  <si>
    <t>Dia del mes</t>
  </si>
  <si>
    <t>DESCANSO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</si>
  <si>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</si>
  <si>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</si>
  <si>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</si>
  <si>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</si>
  <si>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</si>
  <si>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</si>
  <si>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</si>
  <si>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</si>
  <si>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</si>
  <si>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</si>
  <si>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</si>
  <si>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</si>
  <si>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Quincena numero</t>
  </si>
  <si>
    <t>Dia Semana</t>
  </si>
  <si>
    <t>Excedente/Faltante</t>
  </si>
  <si>
    <t>Semana del año</t>
  </si>
  <si>
    <t>Total Ordinarias</t>
  </si>
  <si>
    <t>Día Semanal</t>
  </si>
  <si>
    <t>Turno Ingreso</t>
  </si>
  <si>
    <t>Turno Salida</t>
  </si>
  <si>
    <t>Marcaje Ingreso</t>
  </si>
  <si>
    <t>Marcaje Salida</t>
  </si>
  <si>
    <t>viernes</t>
  </si>
  <si>
    <t>sábado</t>
  </si>
  <si>
    <t>domingo</t>
  </si>
  <si>
    <t>lunes</t>
  </si>
  <si>
    <t>martes</t>
  </si>
  <si>
    <t>miércoles</t>
  </si>
  <si>
    <t>jueves</t>
  </si>
  <si>
    <t>EFREN ESTUARDO LOPEZ GARCIA</t>
  </si>
  <si>
    <t>Turno</t>
  </si>
  <si>
    <t>Codigo 5</t>
  </si>
  <si>
    <t>Turno Egreso</t>
  </si>
  <si>
    <t>Ingreso Oficial</t>
  </si>
  <si>
    <t>Salida Oficial</t>
  </si>
  <si>
    <t>Marcaje salida</t>
  </si>
  <si>
    <t>Temprano?</t>
  </si>
  <si>
    <t>NOMBRE</t>
  </si>
  <si>
    <t>Ordinarias Total</t>
  </si>
  <si>
    <t>EMPLEADO</t>
  </si>
  <si>
    <t>TOTAL (COMO NÚMERO NO HORA)</t>
  </si>
  <si>
    <t xml:space="preserve">Extras Diurnas </t>
  </si>
  <si>
    <t>Extras Nocturnas</t>
  </si>
  <si>
    <t xml:space="preserve">Proporcion Tarifa </t>
  </si>
  <si>
    <t xml:space="preserve">Ratio </t>
  </si>
  <si>
    <t>Proporción Dia</t>
  </si>
  <si>
    <t>Proporción Noche</t>
  </si>
  <si>
    <t>Saldo Horas Dia</t>
  </si>
  <si>
    <t>Saldo Horas Noche</t>
  </si>
  <si>
    <t>Multiplicador día (1.5)</t>
  </si>
  <si>
    <t>Multiplicador Noche (2)</t>
  </si>
  <si>
    <t>Noche</t>
  </si>
  <si>
    <t>Horas Extras Finales</t>
  </si>
  <si>
    <t>Info Base de Datos</t>
  </si>
  <si>
    <t>Info Horarios</t>
  </si>
  <si>
    <t>Fechas</t>
  </si>
  <si>
    <t>Turnos</t>
  </si>
  <si>
    <t>Ingreso (mas tarde)</t>
  </si>
  <si>
    <t>MES</t>
  </si>
  <si>
    <t>ASUETO-D</t>
  </si>
  <si>
    <t>ASUETO-N</t>
  </si>
  <si>
    <t>Ifs</t>
  </si>
  <si>
    <t>A</t>
  </si>
  <si>
    <t>B</t>
  </si>
  <si>
    <t>Si a o b es menor o igual a 0, entonces 0</t>
  </si>
  <si>
    <t>Si a es mayor a cero y b es menor a cero, sacar suma, si la suma es menor a 0, entonces 0</t>
  </si>
  <si>
    <t>Biometrico</t>
  </si>
  <si>
    <t>RUIZ GARCIA  CARLOS RENE</t>
  </si>
  <si>
    <t xml:space="preserve">1. Si termina la semana con saldo negativo, NO se corre a la siguiente semana </t>
  </si>
  <si>
    <t xml:space="preserve">2. Si termina la quincena/catorcena/semana con saldo negativo, no se descuenta nada. </t>
  </si>
  <si>
    <t xml:space="preserve">3. Si termina la quincena/catorcena/semana con salgo negativo, no se jala el saldo a la proxima quincena. </t>
  </si>
  <si>
    <t xml:space="preserve">4. Todas las quincenas/catorcenas empiezan en CERO. </t>
  </si>
  <si>
    <t>Qui2</t>
  </si>
  <si>
    <t>Quincena mensual</t>
  </si>
  <si>
    <t>Adolfo De Jesus Lopez Chavez</t>
  </si>
  <si>
    <t>Adolfo Leonel Quixal Ruiz</t>
  </si>
  <si>
    <t>Alfredo Gutberto Argueta Vasquez</t>
  </si>
  <si>
    <t>Amilcar Edelberto Lopez Aroche</t>
  </si>
  <si>
    <t>Anderson Faustino Lopez Chavez</t>
  </si>
  <si>
    <t>Anderson Jose Valenzuela Revolorio</t>
  </si>
  <si>
    <t>Bayron Amilcar Jimenez Vega</t>
  </si>
  <si>
    <t>Braulio Vinicio Lopez Rancho</t>
  </si>
  <si>
    <t>Brayan Alexander Pu Gutierrez</t>
  </si>
  <si>
    <t>Bryan Amilcar Yax Rivera</t>
  </si>
  <si>
    <t>Cahuec Alvarado Jonathan Misael</t>
  </si>
  <si>
    <t>Carlos Antonio De Jesus Duarte Urias</t>
  </si>
  <si>
    <t>Castillo Solares Carlos Arturo</t>
  </si>
  <si>
    <t>Cristian Fernando Diaz Garcia</t>
  </si>
  <si>
    <t>Darwin Antonio Samayoa Cortez</t>
  </si>
  <si>
    <t>David Alexander Ordonez Sales</t>
  </si>
  <si>
    <t>De Paz Reyes Victor Alfonso</t>
  </si>
  <si>
    <t>Duvitsa Asuceli Albizures Valenzuela</t>
  </si>
  <si>
    <t>Edgar Jeovany Valenzuela Morales</t>
  </si>
  <si>
    <t>Efren Estuardo Lopez Garcia</t>
  </si>
  <si>
    <t>Eldin Steven Lemus Navas</t>
  </si>
  <si>
    <t>Elmer Alexander Estrada Aguilar</t>
  </si>
  <si>
    <t>Elmer Cristobal Lopez Hernandez</t>
  </si>
  <si>
    <t>Emerson Contreras</t>
  </si>
  <si>
    <t>Eswin Estuardo Ortega Lima</t>
  </si>
  <si>
    <t>Francisco Puaque</t>
  </si>
  <si>
    <t>Franklin Misael Santos Blanco</t>
  </si>
  <si>
    <t>Gomez De Paz Maynor Jovel</t>
  </si>
  <si>
    <t>Guzman Morales Edgar Ricardo</t>
  </si>
  <si>
    <t>Hector Rene Alvizurez Mejia</t>
  </si>
  <si>
    <t>Helio Angel Gabriel Guzman Rivera</t>
  </si>
  <si>
    <t>Herber Adolfo Hill Medrano</t>
  </si>
  <si>
    <t>Hernandez Pocon Ervin Alfonso</t>
  </si>
  <si>
    <t>Hoslin Helyel Mayorga Lopez</t>
  </si>
  <si>
    <t>Jardin Natanahel Garcia Chapen</t>
  </si>
  <si>
    <t>Jhosept Daniells Barahona Marin</t>
  </si>
  <si>
    <t>Johan Daniel Santay Ortiz</t>
  </si>
  <si>
    <t>Jose Braulio Navarro Archila</t>
  </si>
  <si>
    <t>Jose Miguel Ronquillo Pineda</t>
  </si>
  <si>
    <t>Kener Alexander Hernandez Hernandez</t>
  </si>
  <si>
    <t>Kenneth Eduardo Otzin Lopez</t>
  </si>
  <si>
    <t>Lusvin Alvizures</t>
  </si>
  <si>
    <t>Manuel Alejandro Osorio Cahuec</t>
  </si>
  <si>
    <t>Marcos Hosdualvi Hernadez Obando</t>
  </si>
  <si>
    <t>Marroqin Hernandez William Ernesto</t>
  </si>
  <si>
    <t>Marvin Alexander Flores Fuentes</t>
  </si>
  <si>
    <t>Mynor Adolfo Garcia Ixcotop</t>
  </si>
  <si>
    <t>Mynor Rolando Acajabon Morales</t>
  </si>
  <si>
    <t>Oscar Fernando Aceituno Sul</t>
  </si>
  <si>
    <t>Oscar Gerardo Asturias Ruiz</t>
  </si>
  <si>
    <t>Rixtun Melgar Carlos Leonel</t>
  </si>
  <si>
    <t>Roberto Aceituno</t>
  </si>
  <si>
    <t>Ruben Dario Raxon Soto</t>
  </si>
  <si>
    <t>Rudy Alexander Rodriguez Ortega</t>
  </si>
  <si>
    <t>Ruiz Garcia Carlos Rene</t>
  </si>
  <si>
    <t>Sara Abigail Chacon Parada</t>
  </si>
  <si>
    <t>Sazo De La Cruz Selina Rossana</t>
  </si>
  <si>
    <t>Stefan Gabriel Alvarado De La Rosa</t>
  </si>
  <si>
    <t>Victor Manuel Garcia Corado</t>
  </si>
  <si>
    <t>Wilber Alexander Argeta Vazquez</t>
  </si>
  <si>
    <t>Wilmar Abraham Aviche Solis</t>
  </si>
  <si>
    <t>Yocelyn Roxana Rodriguez Gomez</t>
  </si>
  <si>
    <t>Yorman Alejandro Perez Chajon</t>
  </si>
  <si>
    <t>Yostin Daniel Mayorga Lopez</t>
  </si>
  <si>
    <t>Total</t>
  </si>
  <si>
    <t>BRYAN GEOVANI PELEN MAYEN</t>
  </si>
  <si>
    <t>Braulio Vinicio López Rancho</t>
  </si>
  <si>
    <t>CRISTIAN DANIEL CANAHUI CASTAÑEDA</t>
  </si>
  <si>
    <t>Carlos Humberto Alvarado</t>
  </si>
  <si>
    <t>Christian Omar Tiney Davila</t>
  </si>
  <si>
    <t>David Alexander Ordoñez Sales</t>
  </si>
  <si>
    <t>Diego Flavio Rivas</t>
  </si>
  <si>
    <t>EDSON JAIR LEAL GRIJALVA</t>
  </si>
  <si>
    <t>EMERSON ALDAIR BIAN CONTRERAS</t>
  </si>
  <si>
    <t>ERVIN ROLANDO CHINCHILLA ZAMORA</t>
  </si>
  <si>
    <t>EVER GESTRUDES BOLVITO ESTRADA</t>
  </si>
  <si>
    <t>FILIBERTO SACUL CUCUL</t>
  </si>
  <si>
    <t>GUZMÁN MORALES  EDGAR RICARDO</t>
  </si>
  <si>
    <t>JEREMY ELIAS JUAREZ GUZMAN</t>
  </si>
  <si>
    <t>José Miguel Ronquillo Pineda</t>
  </si>
  <si>
    <t>KEVIN ALEJANDRO RODRIGUEZ ARGUETA</t>
  </si>
  <si>
    <t>LUIS ESTUARDO GARCIA BARILLAS</t>
  </si>
  <si>
    <t>Lusvin Ardani Alvizures</t>
  </si>
  <si>
    <t>OSCAR GERARDO ASTURIAS RUIZ</t>
  </si>
  <si>
    <t>Roberto Misael Aceituno</t>
  </si>
  <si>
    <t>Wilber Alexader Jimenez Luna</t>
  </si>
  <si>
    <t>kenneth Eduardo otzin López</t>
  </si>
  <si>
    <t>CARLOS ANTONIO DE JESUS DUARTE URIAS</t>
  </si>
  <si>
    <t>CARLOS DANIEL RUIZ SANTOS</t>
  </si>
  <si>
    <t>Edvin Omar Chavez Cuque</t>
  </si>
  <si>
    <t>Dias de la Semana</t>
  </si>
  <si>
    <t>Ordinarias Semana Completa</t>
  </si>
  <si>
    <t>Ordinarias Semana dividida</t>
  </si>
  <si>
    <t>Semanas del periodo (ISO)</t>
  </si>
  <si>
    <t>Semana 1</t>
  </si>
  <si>
    <t>Semana 2</t>
  </si>
  <si>
    <t>Semana 3</t>
  </si>
  <si>
    <t>Total 3 Semanas</t>
  </si>
  <si>
    <t>Neto Periodo</t>
  </si>
  <si>
    <t>Neto Periodo Proporcional</t>
  </si>
  <si>
    <t>Semana (etiqueta)</t>
  </si>
  <si>
    <t>Tipo de Semana</t>
  </si>
  <si>
    <t>Ordinarias Semana Dividida</t>
  </si>
  <si>
    <t>MARROQUIN HERNANDEZ WILLIAM ERNESTO</t>
  </si>
  <si>
    <t>DUVITSA ASUCELI ALBIZURES VALENZUELA</t>
  </si>
  <si>
    <t>WINDER ALEXANDER BOLVITO ESTRADA</t>
  </si>
  <si>
    <t>Cristian Arody Ordoñez Reyes</t>
  </si>
  <si>
    <t>Elkyn Geocanny Bran Navarro</t>
  </si>
  <si>
    <t>Elmar Gustavo Lopez Magallon</t>
  </si>
  <si>
    <t>ROGER EVENOR ALONZO DIAZ</t>
  </si>
  <si>
    <t>Sergio Enrique Rodriguez de Paz</t>
  </si>
  <si>
    <t>CRISTIAN ARODY ORDOÑEZ REYES</t>
  </si>
  <si>
    <t>ELKYN GEOCANNY BRAN NAVARRO</t>
  </si>
  <si>
    <t>ELMAR GUSTAVO LOPEZ MAGALLON</t>
  </si>
  <si>
    <t>SERGIO ENRIQUE RODRIGUEZ DE PAZ</t>
  </si>
  <si>
    <t>LUDWIN MARIO BENJAMIN POITAN JOLON</t>
  </si>
  <si>
    <t>HERNÁNDEZ POCÓN ERVIN ALFONSO</t>
  </si>
  <si>
    <t>JOSÈ BRAULIO NAVARRO ARCHILA</t>
  </si>
  <si>
    <t>LÁZARO CHOCHÉ</t>
  </si>
  <si>
    <t>MARROQIN HERNANDEZ WILLIAM ERNESTO</t>
  </si>
  <si>
    <t>SARA ABIGAIL CHACÓN PARADA</t>
  </si>
  <si>
    <t>Smith Dario Reyes Tintilla</t>
  </si>
  <si>
    <t>SMITH DARIO REYES TINTILLA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</si>
</sst>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F400]h:mm:ss\ AM/PM"/>
    <numFmt numFmtId="165" formatCode="dd/mm/yyyy;@"/>
    <numFmt numFmtId="166" formatCode="yyyy\-mm\-dd;@"/>
    <numFmt numFmtId="167" formatCode="0.000"/>
    <numFmt numFmtId="168" formatCode="yyyy\-mm\-dd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i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Calibri"/>
      <charset val="1"/>
    </font>
    <font>
      <b/>
      <sz val="11"/>
      <color rgb="FF0000F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4" fillId="0" borderId="0" xfId="0" applyFont="1"/>
    <xf numFmtId="0" fontId="0" fillId="0" borderId="1" xfId="0" applyBorder="1"/>
    <xf numFmtId="0" fontId="0" fillId="0" borderId="2" xfId="0" applyBorder="1"/>
    <xf numFmtId="0" fontId="2" fillId="0" borderId="0" xfId="2"/>
    <xf numFmtId="14" fontId="6" fillId="0" borderId="0" xfId="0" applyNumberFormat="1" applyFont="1"/>
    <xf numFmtId="0" fontId="3" fillId="0" borderId="0" xfId="3"/>
    <xf numFmtId="0" fontId="0" fillId="4" borderId="0" xfId="0" applyFill="1"/>
    <xf numFmtId="20" fontId="0" fillId="0" borderId="0" xfId="0" applyNumberFormat="1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0" fontId="0" fillId="0" borderId="1" xfId="0" applyBorder="1" applyAlignment="1">
      <alignment horizontal="center" vertical="center"/>
    </xf>
    <xf numFmtId="2" fontId="0" fillId="0" borderId="4" xfId="0" applyNumberFormat="1" applyBorder="1"/>
    <xf numFmtId="0" fontId="0" fillId="0" borderId="5" xfId="0" applyBorder="1"/>
    <xf numFmtId="2" fontId="0" fillId="0" borderId="3" xfId="0" applyNumberFormat="1" applyBorder="1"/>
    <xf numFmtId="2" fontId="0" fillId="0" borderId="6" xfId="0" applyNumberFormat="1" applyBorder="1"/>
    <xf numFmtId="43" fontId="0" fillId="0" borderId="0" xfId="1" applyFont="1" applyFill="1" applyBorder="1"/>
    <xf numFmtId="0" fontId="0" fillId="4" borderId="0" xfId="0" applyFill="1" applyAlignment="1">
      <alignment horizontal="center"/>
    </xf>
    <xf numFmtId="166" fontId="0" fillId="0" borderId="0" xfId="0" applyNumberFormat="1"/>
    <xf numFmtId="43" fontId="0" fillId="5" borderId="0" xfId="1" applyFont="1" applyFill="1"/>
    <xf numFmtId="164" fontId="0" fillId="0" borderId="0" xfId="1" applyNumberFormat="1" applyFont="1"/>
    <xf numFmtId="43" fontId="0" fillId="0" borderId="1" xfId="1" applyFont="1" applyBorder="1"/>
    <xf numFmtId="43" fontId="0" fillId="0" borderId="0" xfId="0" applyNumberFormat="1"/>
    <xf numFmtId="2" fontId="0" fillId="0" borderId="0" xfId="0" applyNumberFormat="1"/>
    <xf numFmtId="9" fontId="0" fillId="0" borderId="0" xfId="4" applyFont="1"/>
    <xf numFmtId="167" fontId="0" fillId="0" borderId="0" xfId="0" applyNumberFormat="1"/>
    <xf numFmtId="9" fontId="0" fillId="0" borderId="1" xfId="4" applyFont="1" applyBorder="1"/>
    <xf numFmtId="43" fontId="8" fillId="0" borderId="1" xfId="0" applyNumberFormat="1" applyFont="1" applyBorder="1" applyAlignment="1">
      <alignment vertical="center"/>
    </xf>
    <xf numFmtId="0" fontId="5" fillId="0" borderId="0" xfId="0" applyFont="1"/>
    <xf numFmtId="43" fontId="5" fillId="0" borderId="0" xfId="1" applyFont="1" applyFill="1" applyBorder="1" applyAlignment="1">
      <alignment horizontal="center"/>
    </xf>
    <xf numFmtId="43" fontId="0" fillId="0" borderId="0" xfId="1" applyFont="1" applyFill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166" fontId="0" fillId="2" borderId="0" xfId="0" applyNumberFormat="1" applyFill="1"/>
    <xf numFmtId="164" fontId="0" fillId="2" borderId="0" xfId="0" applyNumberFormat="1" applyFill="1"/>
    <xf numFmtId="43" fontId="0" fillId="9" borderId="0" xfId="1" applyFont="1" applyFill="1"/>
    <xf numFmtId="0" fontId="0" fillId="9" borderId="0" xfId="0" applyFill="1"/>
    <xf numFmtId="43" fontId="11" fillId="10" borderId="0" xfId="1" applyFont="1" applyFill="1"/>
    <xf numFmtId="0" fontId="11" fillId="10" borderId="0" xfId="0" applyFont="1" applyFill="1"/>
    <xf numFmtId="20" fontId="0" fillId="0" borderId="0" xfId="1" applyNumberFormat="1" applyFont="1"/>
    <xf numFmtId="0" fontId="4" fillId="2" borderId="1" xfId="0" applyFont="1" applyFill="1" applyBorder="1"/>
    <xf numFmtId="43" fontId="4" fillId="2" borderId="1" xfId="1" applyFont="1" applyFill="1" applyBorder="1"/>
    <xf numFmtId="0" fontId="12" fillId="6" borderId="1" xfId="0" applyFont="1" applyFill="1" applyBorder="1"/>
    <xf numFmtId="43" fontId="12" fillId="6" borderId="1" xfId="1" applyFont="1" applyFill="1" applyBorder="1"/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/>
    <xf numFmtId="0" fontId="4" fillId="8" borderId="1" xfId="0" applyFont="1" applyFill="1" applyBorder="1"/>
    <xf numFmtId="0" fontId="9" fillId="2" borderId="1" xfId="0" applyFont="1" applyFill="1" applyBorder="1" applyAlignment="1">
      <alignment horizontal="left" vertical="center"/>
    </xf>
    <xf numFmtId="0" fontId="0" fillId="2" borderId="1" xfId="0" applyFill="1" applyBorder="1"/>
    <xf numFmtId="164" fontId="0" fillId="2" borderId="1" xfId="1" applyNumberFormat="1" applyFont="1" applyFill="1" applyBorder="1"/>
    <xf numFmtId="164" fontId="0" fillId="2" borderId="1" xfId="1" applyNumberFormat="1" applyFont="1" applyFill="1" applyBorder="1" applyAlignment="1">
      <alignment horizontal="center"/>
    </xf>
    <xf numFmtId="0" fontId="13" fillId="6" borderId="1" xfId="0" applyFont="1" applyFill="1" applyBorder="1"/>
    <xf numFmtId="43" fontId="13" fillId="6" borderId="1" xfId="1" applyFont="1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65" fontId="0" fillId="7" borderId="1" xfId="0" applyNumberFormat="1" applyFill="1" applyBorder="1"/>
    <xf numFmtId="0" fontId="0" fillId="8" borderId="1" xfId="0" applyFill="1" applyBorder="1"/>
    <xf numFmtId="14" fontId="0" fillId="7" borderId="1" xfId="0" applyNumberFormat="1" applyFill="1" applyBorder="1"/>
    <xf numFmtId="0" fontId="14" fillId="0" borderId="0" xfId="0" applyFont="1"/>
    <xf numFmtId="0" fontId="15" fillId="2" borderId="1" xfId="0" applyFont="1" applyFill="1" applyBorder="1" applyAlignment="1">
      <alignment horizontal="left" vertical="center"/>
    </xf>
    <xf numFmtId="0" fontId="14" fillId="2" borderId="1" xfId="0" applyFont="1" applyFill="1" applyBorder="1"/>
    <xf numFmtId="164" fontId="14" fillId="2" borderId="1" xfId="1" applyNumberFormat="1" applyFont="1" applyFill="1" applyBorder="1"/>
    <xf numFmtId="164" fontId="14" fillId="2" borderId="1" xfId="1" applyNumberFormat="1" applyFont="1" applyFill="1" applyBorder="1" applyAlignment="1">
      <alignment horizontal="center"/>
    </xf>
    <xf numFmtId="0" fontId="14" fillId="6" borderId="1" xfId="0" applyFont="1" applyFill="1" applyBorder="1"/>
    <xf numFmtId="43" fontId="14" fillId="6" borderId="1" xfId="1" applyFont="1" applyFill="1" applyBorder="1"/>
    <xf numFmtId="0" fontId="14" fillId="7" borderId="1" xfId="0" applyFont="1" applyFill="1" applyBorder="1" applyAlignment="1">
      <alignment horizontal="center"/>
    </xf>
    <xf numFmtId="0" fontId="14" fillId="7" borderId="1" xfId="0" applyFont="1" applyFill="1" applyBorder="1"/>
    <xf numFmtId="14" fontId="14" fillId="7" borderId="1" xfId="0" applyNumberFormat="1" applyFont="1" applyFill="1" applyBorder="1"/>
    <xf numFmtId="0" fontId="14" fillId="8" borderId="1" xfId="0" applyFont="1" applyFill="1" applyBorder="1"/>
    <xf numFmtId="43" fontId="14" fillId="0" borderId="0" xfId="1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3" fontId="0" fillId="0" borderId="7" xfId="1" applyFont="1" applyBorder="1"/>
    <xf numFmtId="43" fontId="4" fillId="11" borderId="0" xfId="0" applyNumberFormat="1" applyFont="1" applyFill="1"/>
    <xf numFmtId="0" fontId="4" fillId="3" borderId="10" xfId="0" applyFont="1" applyFill="1" applyBorder="1"/>
    <xf numFmtId="0" fontId="4" fillId="0" borderId="12" xfId="0" applyFont="1" applyBorder="1" applyAlignment="1">
      <alignment horizontal="center" vertical="center"/>
    </xf>
    <xf numFmtId="43" fontId="0" fillId="0" borderId="12" xfId="1" applyFont="1" applyBorder="1"/>
    <xf numFmtId="9" fontId="0" fillId="0" borderId="12" xfId="4" applyFont="1" applyBorder="1"/>
    <xf numFmtId="43" fontId="8" fillId="0" borderId="12" xfId="0" applyNumberFormat="1" applyFont="1" applyBorder="1" applyAlignment="1">
      <alignment vertical="center"/>
    </xf>
    <xf numFmtId="0" fontId="0" fillId="0" borderId="9" xfId="0" applyBorder="1"/>
    <xf numFmtId="0" fontId="4" fillId="0" borderId="10" xfId="0" applyFont="1" applyBorder="1"/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/>
    <xf numFmtId="0" fontId="4" fillId="2" borderId="10" xfId="0" applyFont="1" applyFill="1" applyBorder="1"/>
    <xf numFmtId="0" fontId="4" fillId="11" borderId="10" xfId="0" applyFont="1" applyFill="1" applyBorder="1"/>
    <xf numFmtId="0" fontId="4" fillId="2" borderId="13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16" fillId="9" borderId="10" xfId="0" applyFont="1" applyFill="1" applyBorder="1" applyAlignment="1">
      <alignment horizontal="center" vertical="center"/>
    </xf>
    <xf numFmtId="0" fontId="16" fillId="8" borderId="10" xfId="0" applyFont="1" applyFill="1" applyBorder="1"/>
    <xf numFmtId="0" fontId="16" fillId="9" borderId="10" xfId="0" applyFont="1" applyFill="1" applyBorder="1"/>
    <xf numFmtId="0" fontId="16" fillId="9" borderId="11" xfId="0" applyFont="1" applyFill="1" applyBorder="1"/>
    <xf numFmtId="0" fontId="4" fillId="0" borderId="14" xfId="0" applyFont="1" applyBorder="1"/>
    <xf numFmtId="0" fontId="4" fillId="0" borderId="17" xfId="0" applyFont="1" applyBorder="1"/>
    <xf numFmtId="0" fontId="4" fillId="0" borderId="19" xfId="0" applyFont="1" applyBorder="1"/>
    <xf numFmtId="14" fontId="4" fillId="0" borderId="1" xfId="0" applyNumberFormat="1" applyFont="1" applyBorder="1"/>
    <xf numFmtId="43" fontId="4" fillId="0" borderId="15" xfId="0" applyNumberFormat="1" applyFont="1" applyBorder="1"/>
    <xf numFmtId="43" fontId="4" fillId="0" borderId="16" xfId="0" applyNumberFormat="1" applyFont="1" applyBorder="1"/>
    <xf numFmtId="43" fontId="4" fillId="0" borderId="1" xfId="1" applyFont="1" applyFill="1" applyBorder="1"/>
    <xf numFmtId="43" fontId="4" fillId="0" borderId="18" xfId="1" applyFont="1" applyFill="1" applyBorder="1"/>
    <xf numFmtId="43" fontId="4" fillId="0" borderId="20" xfId="1" applyFont="1" applyFill="1" applyBorder="1"/>
    <xf numFmtId="43" fontId="4" fillId="0" borderId="21" xfId="1" applyFont="1" applyFill="1" applyBorder="1"/>
    <xf numFmtId="43" fontId="4" fillId="8" borderId="0" xfId="1" applyFont="1" applyFill="1"/>
    <xf numFmtId="43" fontId="4" fillId="9" borderId="0" xfId="1" applyFont="1" applyFill="1"/>
    <xf numFmtId="164" fontId="0" fillId="0" borderId="0" xfId="1" applyNumberFormat="1" applyFont="1" applyFill="1" applyBorder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20" fontId="17" fillId="0" borderId="0" xfId="0" applyNumberFormat="1" applyFont="1" applyAlignment="1">
      <alignment horizontal="center" vertical="center"/>
    </xf>
    <xf numFmtId="43" fontId="10" fillId="8" borderId="0" xfId="1" applyFont="1" applyFill="1" applyBorder="1" applyAlignment="1">
      <alignment horizontal="left" vertical="center"/>
    </xf>
    <xf numFmtId="43" fontId="10" fillId="9" borderId="0" xfId="1" applyFont="1" applyFill="1" applyBorder="1" applyAlignment="1">
      <alignment horizontal="left" vertical="center"/>
    </xf>
    <xf numFmtId="0" fontId="4" fillId="0" borderId="22" xfId="0" applyFont="1" applyBorder="1"/>
    <xf numFmtId="0" fontId="4" fillId="8" borderId="23" xfId="0" applyFont="1" applyFill="1" applyBorder="1" applyAlignment="1">
      <alignment horizontal="center"/>
    </xf>
    <xf numFmtId="0" fontId="4" fillId="9" borderId="23" xfId="0" applyFont="1" applyFill="1" applyBorder="1" applyAlignment="1">
      <alignment horizontal="center"/>
    </xf>
    <xf numFmtId="0" fontId="4" fillId="11" borderId="24" xfId="0" applyFont="1" applyFill="1" applyBorder="1" applyAlignment="1">
      <alignment horizontal="center"/>
    </xf>
    <xf numFmtId="43" fontId="0" fillId="11" borderId="26" xfId="1" applyFont="1" applyFill="1" applyBorder="1"/>
    <xf numFmtId="1" fontId="4" fillId="0" borderId="1" xfId="0" applyNumberFormat="1" applyFont="1" applyBorder="1"/>
    <xf numFmtId="168" fontId="0" fillId="0" borderId="0" xfId="0" applyNumberFormat="1"/>
    <xf numFmtId="21" fontId="0" fillId="0" borderId="0" xfId="0" applyNumberFormat="1"/>
    <xf numFmtId="0" fontId="18" fillId="4" borderId="0" xfId="0" applyFont="1" applyFill="1"/>
    <xf numFmtId="0" fontId="18" fillId="0" borderId="0" xfId="0" applyFont="1"/>
    <xf numFmtId="0" fontId="0" fillId="0" borderId="25" xfId="0" applyBorder="1"/>
    <xf numFmtId="0" fontId="4" fillId="2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5">
    <cellStyle name="Encabezado 4" xfId="3" builtinId="19"/>
    <cellStyle name="Millares" xfId="1" builtinId="3"/>
    <cellStyle name="Normal" xfId="0" builtinId="0"/>
    <cellStyle name="Porcentaje" xfId="4" builtinId="5"/>
    <cellStyle name="Título" xfId="2" builtinId="1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2DE1602-ECF5-4AA9-ABA7-B6AB327F07FB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2760745f-697c-41a6-a95c-43c3c430dae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D685E40-2536-4D6C-A0A7-8E983D446E5B}">
  <we:reference id="wa200010725" version="1.0.0.1" store="es-ES" storeType="OMEX"/>
  <we:alternateReferences>
    <we:reference id="WA200010725" version="1.0.0.1" store="" storeType="OMEX"/>
  </we:alternateReferences>
  <we:properties>
    <we:property name="claude.fileId" value="&quot;6c90b8bc-2210-4b75-8e33-b2d69600e00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DBDF6-55A3-4B6B-8E68-08374D056366}">
  <sheetPr>
    <tabColor rgb="FFFF0000"/>
  </sheetPr>
  <dimension ref="B2:AH247"/>
  <sheetViews>
    <sheetView showGridLines="0" tabSelected="1" topLeftCell="A47" zoomScaleNormal="100" workbookViewId="0">
      <selection activeCell="E23" sqref="E23"/>
    </sheetView>
  </sheetViews>
  <sheetFormatPr baseColWidth="10" defaultColWidth="11.5703125" defaultRowHeight="15" outlineLevelRow="1" outlineLevelCol="1"/>
  <cols>
    <col min="2" max="4" width="37.85546875" customWidth="1"/>
    <col min="5" max="6" width="14.85546875" customWidth="1"/>
    <col min="7" max="7" width="11.5703125" customWidth="1"/>
    <col min="8" max="8" width="6" customWidth="1" outlineLevel="1"/>
    <col min="9" max="9" width="38.42578125" customWidth="1" outlineLevel="1"/>
    <col min="10" max="12" width="21" customWidth="1" outlineLevel="1"/>
    <col min="13" max="13" width="56.85546875" style="75" customWidth="1" outlineLevel="1"/>
    <col min="14" max="14" width="21" customWidth="1" outlineLevel="1"/>
    <col min="15" max="15" width="38.42578125" customWidth="1" outlineLevel="1"/>
    <col min="16" max="16" width="36.5703125" customWidth="1" outlineLevel="1"/>
    <col min="17" max="19" width="21" customWidth="1" outlineLevel="1"/>
    <col min="20" max="25" width="31" customWidth="1" outlineLevel="1"/>
    <col min="26" max="26" width="24.5703125" customWidth="1" outlineLevel="1"/>
    <col min="27" max="27" width="10.42578125" customWidth="1" outlineLevel="1"/>
    <col min="28" max="28" width="10.7109375" customWidth="1" outlineLevel="1"/>
    <col min="33" max="33" width="11.5703125" customWidth="1"/>
  </cols>
  <sheetData>
    <row r="2" spans="7:34" s="9" customFormat="1">
      <c r="M2" s="74"/>
    </row>
    <row r="3" spans="7:34" outlineLevel="1">
      <c r="J3" s="72" t="s">
        <v>23</v>
      </c>
      <c r="K3" s="72" t="s">
        <v>88</v>
      </c>
    </row>
    <row r="4" spans="7:34" outlineLevel="1">
      <c r="J4" s="98">
        <f ca="1">+TODAY()</f>
        <v>46308</v>
      </c>
      <c r="K4" s="72">
        <f ca="1">+WEEKNUM(J4)</f>
        <v>42</v>
      </c>
      <c r="X4" t="s">
        <v>135</v>
      </c>
      <c r="Y4" t="s">
        <v>136</v>
      </c>
      <c r="AD4" t="s">
        <v>134</v>
      </c>
    </row>
    <row r="5" spans="7:34" ht="15.75" outlineLevel="1" thickBot="1">
      <c r="X5">
        <v>1.5</v>
      </c>
      <c r="Y5">
        <v>1.5</v>
      </c>
      <c r="AD5" t="s">
        <v>137</v>
      </c>
      <c r="AG5">
        <f>+IF(AA7&lt;0,0,1)</f>
        <v>1</v>
      </c>
      <c r="AH5">
        <f>+IF(AB7&lt;0,0,1)</f>
        <v>1</v>
      </c>
    </row>
    <row r="6" spans="7:34" ht="16.5" outlineLevel="1" thickBot="1">
      <c r="H6" s="83" t="s">
        <v>47</v>
      </c>
      <c r="I6" s="88" t="s">
        <v>39</v>
      </c>
      <c r="J6" s="88" t="s">
        <v>247</v>
      </c>
      <c r="K6" s="88" t="s">
        <v>44</v>
      </c>
      <c r="L6" s="88" t="s">
        <v>248</v>
      </c>
      <c r="M6" s="89" t="s">
        <v>110</v>
      </c>
      <c r="N6" s="87" t="s">
        <v>25</v>
      </c>
      <c r="O6" s="78" t="s">
        <v>238</v>
      </c>
      <c r="P6" s="78" t="s">
        <v>249</v>
      </c>
      <c r="Q6" s="78" t="s">
        <v>111</v>
      </c>
      <c r="R6" s="78" t="s">
        <v>87</v>
      </c>
      <c r="S6" s="78" t="s">
        <v>65</v>
      </c>
      <c r="T6" s="90" t="s">
        <v>118</v>
      </c>
      <c r="U6" s="91" t="s">
        <v>119</v>
      </c>
      <c r="V6" s="92" t="s">
        <v>120</v>
      </c>
      <c r="W6" s="93" t="s">
        <v>121</v>
      </c>
      <c r="X6" s="92" t="s">
        <v>122</v>
      </c>
      <c r="Y6" s="94" t="s">
        <v>123</v>
      </c>
      <c r="Z6" s="3"/>
      <c r="AA6" s="3"/>
      <c r="AB6" s="3"/>
      <c r="AC6" s="3"/>
      <c r="AD6" s="3" t="s">
        <v>138</v>
      </c>
      <c r="AG6" s="13">
        <f>+IF(AA7+AB7&lt;0,0,AA7+AB7)</f>
        <v>67.125000000000114</v>
      </c>
    </row>
    <row r="7" spans="7:34" outlineLevel="1">
      <c r="H7" t="str">
        <f>+I7&amp;J7&amp;K7&amp;M7</f>
        <v>SEPTIEMBRESem3838GUZMÁN MORALES  EDGAR RICARDO</v>
      </c>
      <c r="I7" s="14" t="str">
        <f>+_xlfn.XLOOKUP(K7,DetalleCalculos!W:W,DetalleCalculos!S:S,"",0,1)</f>
        <v>SEPTIEMBRE</v>
      </c>
      <c r="J7" s="72" t="str">
        <f>+"Sem"&amp;K7</f>
        <v>Sem38</v>
      </c>
      <c r="K7" s="72">
        <f>+$H$17</f>
        <v>38</v>
      </c>
      <c r="L7" s="72">
        <f>+IF(_xlfn.XLOOKUP(K7,DetalleCalculos!W:W,DetalleCalculos!U:U,0,0,1)=7,1,2)</f>
        <v>1</v>
      </c>
      <c r="M7" s="79" t="s">
        <v>224</v>
      </c>
      <c r="N7" s="76">
        <f>SUMIFS(DetalleCalculos!$N:$N,DetalleCalculos!$W:$W,$K7,DetalleCalculos!$H:$H,$M7)*24</f>
        <v>49.000000000000014</v>
      </c>
      <c r="O7" s="80">
        <f>SUMIFS(DetalleCalculos!$P:$P,DetalleCalculos!$W:$W,$K7,DetalleCalculos!$H:$H,$M7)</f>
        <v>44</v>
      </c>
      <c r="P7" s="80">
        <f>SUMIFS(DetalleCalculos!$Q:$Q,DetalleCalculos!$W:$W,$K7,DetalleCalculos!$H:$H,$M7)</f>
        <v>0</v>
      </c>
      <c r="Q7" s="80">
        <f>+IF(L7=1,O7,P7)</f>
        <v>44</v>
      </c>
      <c r="R7" s="80">
        <f>+IF(N7-Q7&lt;=0,0,N7-Q7)</f>
        <v>5.0000000000000142</v>
      </c>
      <c r="S7" s="80" t="str">
        <f>_xlfn.XLOOKUP($J7&amp;$K7&amp;$M7,DetalleCalculos!$B:$B,DetalleCalculos!$O:$O,"",0,1)</f>
        <v>5-0-2</v>
      </c>
      <c r="T7" s="81">
        <f>+_xlfn.XLOOKUP($S7,'Horarios y Sistemas'!$C:$C,'Horarios y Sistemas'!M:M,0,0,1)</f>
        <v>1</v>
      </c>
      <c r="U7" s="81">
        <f>1-T7</f>
        <v>0</v>
      </c>
      <c r="V7" s="82">
        <f>+T7*R7</f>
        <v>5.0000000000000142</v>
      </c>
      <c r="W7" s="82">
        <f>+U7*R7</f>
        <v>0</v>
      </c>
      <c r="X7" s="80">
        <f t="shared" ref="X7:Y9" si="0">+V7*X$5</f>
        <v>7.5000000000000213</v>
      </c>
      <c r="Y7" s="80">
        <f t="shared" si="0"/>
        <v>0</v>
      </c>
      <c r="Z7" s="95" t="s">
        <v>245</v>
      </c>
      <c r="AA7" s="99">
        <f>+SUM(X7:X9)</f>
        <v>36.750000000000071</v>
      </c>
      <c r="AB7" s="100">
        <f>+SUM(Y7:Y9)</f>
        <v>30.375000000000043</v>
      </c>
    </row>
    <row r="8" spans="7:34" ht="15.75" outlineLevel="1" thickBot="1">
      <c r="H8" t="str">
        <f>+I8&amp;J8&amp;K8&amp;M8</f>
        <v>SEPTIEMBRESem3939GUZMÁN MORALES  EDGAR RICARDO</v>
      </c>
      <c r="I8" s="14" t="str">
        <f>+_xlfn.XLOOKUP(K8,DetalleCalculos!W:W,DetalleCalculos!S:S,"",0,1)</f>
        <v>SEPTIEMBRE</v>
      </c>
      <c r="J8" s="72" t="str">
        <f>+"Sem"&amp;K8</f>
        <v>Sem39</v>
      </c>
      <c r="K8" s="72">
        <f>+$H$18</f>
        <v>39</v>
      </c>
      <c r="L8" s="72">
        <f>+IF(_xlfn.XLOOKUP(K8,DetalleCalculos!W:W,DetalleCalculos!U:U,0,0,1)=7,1,2)</f>
        <v>1</v>
      </c>
      <c r="M8" s="73" t="str">
        <f>$M$7</f>
        <v>GUZMÁN MORALES  EDGAR RICARDO</v>
      </c>
      <c r="N8" s="76">
        <f>SUMIFS(DetalleCalculos!$N:$N,DetalleCalculos!$W:$W,$K8,DetalleCalculos!$H:$H,$M8)*24</f>
        <v>56.250000000000028</v>
      </c>
      <c r="O8" s="80">
        <f>SUMIFS(DetalleCalculos!$P:$P,DetalleCalculos!$W:$W,$K8,DetalleCalculos!$H:$H,$M8)</f>
        <v>36</v>
      </c>
      <c r="P8" s="80">
        <f>SUMIFS(DetalleCalculos!$Q:$Q,DetalleCalculos!$W:$W,$K8,DetalleCalculos!$H:$H,$M8)</f>
        <v>0</v>
      </c>
      <c r="Q8" s="24">
        <f>+IF(L8=1,O8,P8)</f>
        <v>36</v>
      </c>
      <c r="R8" s="24">
        <f>+IF(N8-Q8&lt;=0,0,N8-Q8)</f>
        <v>20.250000000000028</v>
      </c>
      <c r="S8" s="80" t="str">
        <f>_xlfn.XLOOKUP($J8&amp;$K8&amp;$M8,DetalleCalculos!$B:$B,DetalleCalculos!$O:$O,"",0,1)</f>
        <v>0-5-2</v>
      </c>
      <c r="T8" s="29">
        <f>+_xlfn.XLOOKUP($S8,'Horarios y Sistemas'!$C:$C,'Horarios y Sistemas'!M:M,0,0,1)</f>
        <v>0</v>
      </c>
      <c r="U8" s="29">
        <f>1-T8</f>
        <v>1</v>
      </c>
      <c r="V8" s="30">
        <f>+T8*R8</f>
        <v>0</v>
      </c>
      <c r="W8" s="30">
        <f>+U8*R8</f>
        <v>20.250000000000028</v>
      </c>
      <c r="X8" s="24">
        <f t="shared" si="0"/>
        <v>0</v>
      </c>
      <c r="Y8" s="24">
        <f t="shared" si="0"/>
        <v>30.375000000000043</v>
      </c>
      <c r="Z8" s="96" t="s">
        <v>246</v>
      </c>
      <c r="AA8" s="101">
        <f>+IF(AA7&lt;=0,0,IF(AND(AA7&gt;AB7,AB7&lt;=0),IF(AA7+AB7&gt;0,AA7+AB7,0),IF(AND(AA7&gt;0,AB7&gt;0),AA7,0)))</f>
        <v>36.750000000000071</v>
      </c>
      <c r="AB8" s="102">
        <f>+IF(AB7&lt;=0,0,IF(AND(AB7&gt;AA7,AA7&lt;=0),IF(AB7+AA7&gt;0,AB7+AA7,0),IF(AND(AB7&gt;0,AA7&gt;0),AB7,0)))</f>
        <v>30.375000000000043</v>
      </c>
      <c r="AC8" s="97" t="s">
        <v>125</v>
      </c>
      <c r="AD8" s="103">
        <f>+AA8/$X$5</f>
        <v>24.500000000000046</v>
      </c>
      <c r="AE8" s="104">
        <f>+AB8/$Y$5</f>
        <v>20.250000000000028</v>
      </c>
    </row>
    <row r="9" spans="7:34" outlineLevel="1">
      <c r="H9" t="str">
        <f>+I9&amp;J9&amp;K9&amp;M9</f>
        <v>SEPTIEMBRESem4040GUZMÁN MORALES  EDGAR RICARDO</v>
      </c>
      <c r="I9" s="14" t="str">
        <f>+_xlfn.XLOOKUP(K9,DetalleCalculos!W:W,DetalleCalculos!S:S,"",0,1)</f>
        <v>SEPTIEMBRE</v>
      </c>
      <c r="J9" s="72" t="str">
        <f>+"Sem"&amp;K9</f>
        <v>Sem40</v>
      </c>
      <c r="K9" s="72">
        <f>+$H$19</f>
        <v>40</v>
      </c>
      <c r="L9" s="72">
        <f>+IF(_xlfn.XLOOKUP(K9,DetalleCalculos!W:W,DetalleCalculos!U:U,0,0,1)=7,1,2)</f>
        <v>1</v>
      </c>
      <c r="M9" s="73" t="str">
        <f>$M$7</f>
        <v>GUZMÁN MORALES  EDGAR RICARDO</v>
      </c>
      <c r="N9" s="76">
        <f>SUMIFS(DetalleCalculos!$N:$N,DetalleCalculos!$W:$W,$K9,DetalleCalculos!$H:$H,$M9)*24</f>
        <v>63.500000000000036</v>
      </c>
      <c r="O9" s="80">
        <f>SUMIFS(DetalleCalculos!$P:$P,DetalleCalculos!$W:$W,$K9,DetalleCalculos!$H:$H,$M9)</f>
        <v>44</v>
      </c>
      <c r="P9" s="80">
        <f>SUMIFS(DetalleCalculos!$Q:$Q,DetalleCalculos!$W:$W,$K9,DetalleCalculos!$H:$H,$M9)</f>
        <v>0</v>
      </c>
      <c r="Q9" s="24">
        <f>+IF(L9=1,O9,P9)</f>
        <v>44</v>
      </c>
      <c r="R9" s="24">
        <f>+IF(N9-Q9&lt;=0,0,N9-Q9)</f>
        <v>19.500000000000036</v>
      </c>
      <c r="S9" s="80" t="str">
        <f>_xlfn.XLOOKUP($J9&amp;$K9&amp;$M9,DetalleCalculos!$B:$B,DetalleCalculos!$O:$O,"",0,1)</f>
        <v>6-0-1</v>
      </c>
      <c r="T9" s="29">
        <f>+_xlfn.XLOOKUP($S9,'Horarios y Sistemas'!$C:$C,'Horarios y Sistemas'!M:M,0,0,1)</f>
        <v>1</v>
      </c>
      <c r="U9" s="29">
        <f>1-T9</f>
        <v>0</v>
      </c>
      <c r="V9" s="30">
        <f>+T9*R9</f>
        <v>19.500000000000036</v>
      </c>
      <c r="W9" s="30">
        <f>+U9*R9</f>
        <v>0</v>
      </c>
      <c r="X9" s="24">
        <f t="shared" si="0"/>
        <v>29.250000000000053</v>
      </c>
      <c r="Y9" s="24">
        <f t="shared" si="0"/>
        <v>0</v>
      </c>
      <c r="Z9" s="95"/>
      <c r="AA9" s="99"/>
      <c r="AB9" s="100"/>
    </row>
    <row r="10" spans="7:34" outlineLevel="1">
      <c r="N10" s="25">
        <f>+SUM(N7:N9)</f>
        <v>168.75000000000009</v>
      </c>
      <c r="Q10" s="25">
        <f>+SUM(Q7:Q9)</f>
        <v>124</v>
      </c>
      <c r="R10" s="25">
        <f>+N10-Q10</f>
        <v>44.750000000000085</v>
      </c>
    </row>
    <row r="11" spans="7:34" outlineLevel="1"/>
    <row r="12" spans="7:34" outlineLevel="1"/>
    <row r="13" spans="7:34" outlineLevel="1"/>
    <row r="14" spans="7:34" outlineLevel="1">
      <c r="I14" s="2"/>
    </row>
    <row r="15" spans="7:34" outlineLevel="1">
      <c r="I15" s="2"/>
      <c r="Q15">
        <f>4*9.5</f>
        <v>38</v>
      </c>
    </row>
    <row r="16" spans="7:34" outlineLevel="1">
      <c r="G16" s="3" t="s">
        <v>240</v>
      </c>
      <c r="I16" s="2"/>
    </row>
    <row r="17" spans="2:31" s="9" customFormat="1">
      <c r="G17" s="9" t="s">
        <v>241</v>
      </c>
      <c r="H17" s="123">
        <v>38</v>
      </c>
      <c r="I17" s="20"/>
      <c r="M17" s="74"/>
    </row>
    <row r="18" spans="2:31">
      <c r="G18" t="s">
        <v>242</v>
      </c>
      <c r="H18" s="124">
        <v>39</v>
      </c>
      <c r="I18" s="2"/>
    </row>
    <row r="19" spans="2:31">
      <c r="G19" t="s">
        <v>243</v>
      </c>
      <c r="H19" s="124">
        <v>40</v>
      </c>
      <c r="I19" s="2"/>
    </row>
    <row r="20" spans="2:31">
      <c r="B20" t="s">
        <v>125</v>
      </c>
      <c r="D20" s="25"/>
      <c r="E20" s="25"/>
      <c r="F20" s="25"/>
      <c r="I20" s="2"/>
    </row>
    <row r="21" spans="2:31" ht="15.75" thickBot="1">
      <c r="B21" s="3" t="s">
        <v>113</v>
      </c>
      <c r="C21" s="105">
        <f>+SUM(C23:C89)</f>
        <v>781.25861111111055</v>
      </c>
      <c r="D21" s="106">
        <f>+SUM(D23:D89)</f>
        <v>688.52472222222161</v>
      </c>
      <c r="E21" s="77">
        <f>+SUM(C21:D21)</f>
        <v>1469.7833333333322</v>
      </c>
      <c r="F21" t="str">
        <f>+IF(E21-AE22=0,"SI","NO")</f>
        <v>SI</v>
      </c>
      <c r="I21" s="2"/>
      <c r="R21" s="25"/>
      <c r="S21" s="25"/>
      <c r="AC21" s="3" t="s">
        <v>37</v>
      </c>
      <c r="AD21" s="3" t="s">
        <v>124</v>
      </c>
      <c r="AE21" s="3" t="s">
        <v>211</v>
      </c>
    </row>
    <row r="22" spans="2:31" ht="15.75" thickBot="1">
      <c r="B22" s="115" t="s">
        <v>112</v>
      </c>
      <c r="C22" s="116" t="s">
        <v>37</v>
      </c>
      <c r="D22" s="117" t="s">
        <v>124</v>
      </c>
      <c r="E22" s="118" t="s">
        <v>244</v>
      </c>
      <c r="F22" s="108"/>
      <c r="H22" s="83" t="s">
        <v>47</v>
      </c>
      <c r="I22" s="84" t="s">
        <v>39</v>
      </c>
      <c r="J22" s="84" t="s">
        <v>247</v>
      </c>
      <c r="K22" s="84" t="s">
        <v>44</v>
      </c>
      <c r="L22" s="84" t="s">
        <v>248</v>
      </c>
      <c r="M22" s="85" t="s">
        <v>110</v>
      </c>
      <c r="N22" s="84" t="s">
        <v>25</v>
      </c>
      <c r="O22" s="84" t="s">
        <v>238</v>
      </c>
      <c r="P22" s="84" t="s">
        <v>249</v>
      </c>
      <c r="Q22" s="84" t="s">
        <v>111</v>
      </c>
      <c r="R22" s="84" t="s">
        <v>87</v>
      </c>
      <c r="S22" s="84" t="s">
        <v>65</v>
      </c>
      <c r="T22" s="84" t="s">
        <v>118</v>
      </c>
      <c r="U22" s="84" t="s">
        <v>119</v>
      </c>
      <c r="V22" s="84" t="s">
        <v>120</v>
      </c>
      <c r="W22" s="84" t="s">
        <v>121</v>
      </c>
      <c r="X22" s="84" t="s">
        <v>122</v>
      </c>
      <c r="Y22" s="86" t="s">
        <v>123</v>
      </c>
      <c r="AA22" s="13"/>
      <c r="AB22" s="13"/>
      <c r="AC22" s="13">
        <f>+SUMIF($AC$23:$AC$223,$AC$24,AD23:AD223)</f>
        <v>781.25861111111055</v>
      </c>
      <c r="AD22" s="13">
        <f>+SUMIF($AC$23:$AC$223,$AC$24,AE23:AE223)</f>
        <v>688.52472222222161</v>
      </c>
      <c r="AE22" s="13">
        <f>+AC22+AD22</f>
        <v>1469.7833333333322</v>
      </c>
    </row>
    <row r="23" spans="2:31">
      <c r="B23" s="125" t="s">
        <v>9</v>
      </c>
      <c r="C23" s="113">
        <f>+SUMIFS(AD$23:AD$223,$M$23:$M$223,$B23,$AC$23:$AC$223,$B$20)</f>
        <v>24.500000000000046</v>
      </c>
      <c r="D23" s="114">
        <f>+SUMIFS(AE$23:AE$223,$M$23:$M$223,$B23,$AC$23:$AC$223,$B$20)</f>
        <v>20.250000000000028</v>
      </c>
      <c r="E23" s="119">
        <f t="shared" ref="E23:E54" si="1">+SUM(C23:D23)</f>
        <v>44.750000000000071</v>
      </c>
      <c r="F23" s="19"/>
      <c r="H23" t="str">
        <f>+I23&amp;J23&amp;K23&amp;M23</f>
        <v>SEPTIEMBRESem3838ADOLFO DE JESUS LOPEZ CHAVEZ</v>
      </c>
      <c r="I23" s="14" t="str">
        <f>+_xlfn.XLOOKUP(K23,DetalleCalculos!W:W,DetalleCalculos!S:S,"",0,1)</f>
        <v>SEPTIEMBRE</v>
      </c>
      <c r="J23" s="72" t="str">
        <f>+"Sem"&amp;K23</f>
        <v>Sem38</v>
      </c>
      <c r="K23" s="72">
        <f>+$H$17</f>
        <v>38</v>
      </c>
      <c r="L23" s="72">
        <f>+IF(_xlfn.XLOOKUP(K23,DetalleCalculos!W:W,DetalleCalculos!U:U,0,0,1)=7,1,2)</f>
        <v>1</v>
      </c>
      <c r="M23" s="79" t="str" cm="1">
        <f t="array" ref="M23">+INDEX($B$23:$B$89,ROUNDUP((ROW()-22)/3,0))</f>
        <v>ADOLFO DE JESUS LOPEZ CHAVEZ</v>
      </c>
      <c r="N23" s="76">
        <f>SUMIFS(DetalleCalculos!$N:$N,DetalleCalculos!$W:$W,$K23,DetalleCalculos!$H:$H,$M23)*24</f>
        <v>49.000000000000014</v>
      </c>
      <c r="O23" s="80">
        <f>SUMIFS(DetalleCalculos!$P:$P,DetalleCalculos!$W:$W,$K23,DetalleCalculos!$H:$H,$M23)</f>
        <v>44</v>
      </c>
      <c r="P23" s="80">
        <f>SUMIFS(DetalleCalculos!$Q:$Q,DetalleCalculos!$W:$W,$K23,DetalleCalculos!$H:$H,$M23)</f>
        <v>0</v>
      </c>
      <c r="Q23" s="80">
        <f>+IF(L23=1,O23,P23)</f>
        <v>44</v>
      </c>
      <c r="R23" s="80">
        <f>+IF(N23-Q23&lt;=0,0,N23-Q23)</f>
        <v>5.0000000000000142</v>
      </c>
      <c r="S23" s="80" t="str">
        <f>_xlfn.XLOOKUP($J23&amp;$K23&amp;$M23,DetalleCalculos!$B:$B,DetalleCalculos!$O:$O,"",0,1)</f>
        <v>5-0-2</v>
      </c>
      <c r="T23" s="81">
        <f>+_xlfn.XLOOKUP($S23,'Horarios y Sistemas'!$C:$C,'Horarios y Sistemas'!M:M,0,0,1)</f>
        <v>1</v>
      </c>
      <c r="U23" s="81">
        <f>1-T23</f>
        <v>0</v>
      </c>
      <c r="V23" s="82">
        <f>+T23*R23</f>
        <v>5.0000000000000142</v>
      </c>
      <c r="W23" s="82">
        <f>+U23*R23</f>
        <v>0</v>
      </c>
      <c r="X23" s="80">
        <f t="shared" ref="X23:Y25" si="2">+V23*X$5</f>
        <v>7.5000000000000213</v>
      </c>
      <c r="Y23" s="80">
        <f t="shared" si="2"/>
        <v>0</v>
      </c>
      <c r="Z23" s="95" t="s">
        <v>245</v>
      </c>
      <c r="AA23" s="99">
        <f>+SUM(X23:X25)</f>
        <v>36.750000000000071</v>
      </c>
      <c r="AB23" s="100">
        <f>+SUM(Y23:Y25)</f>
        <v>30.375000000000043</v>
      </c>
    </row>
    <row r="24" spans="2:31" ht="15.75" thickBot="1">
      <c r="B24" s="125" t="s">
        <v>11</v>
      </c>
      <c r="C24" s="113">
        <f>+SUMIFS(AD$23:AD$223,$M$23:$M$223,$B24,$AC$23:$AC$223,$B$20)</f>
        <v>18.749999999999993</v>
      </c>
      <c r="D24" s="114">
        <f>+SUMIFS(AE$23:AE$223,$M$23:$M$223,$B24,$AC$23:$AC$223,$B$20)</f>
        <v>21.25</v>
      </c>
      <c r="E24" s="119">
        <f t="shared" si="1"/>
        <v>39.999999999999993</v>
      </c>
      <c r="F24" s="19"/>
      <c r="H24" t="str">
        <f>+I24&amp;J24&amp;K24&amp;M24</f>
        <v>SEPTIEMBRESem3939ADOLFO DE JESUS LOPEZ CHAVEZ</v>
      </c>
      <c r="I24" s="14" t="str">
        <f>+_xlfn.XLOOKUP(K24,DetalleCalculos!W:W,DetalleCalculos!S:S,"",0,1)</f>
        <v>SEPTIEMBRE</v>
      </c>
      <c r="J24" s="72" t="str">
        <f>+"Sem"&amp;K24</f>
        <v>Sem39</v>
      </c>
      <c r="K24" s="72">
        <f>+$H$18</f>
        <v>39</v>
      </c>
      <c r="L24" s="72">
        <f>+IF(_xlfn.XLOOKUP(K24,DetalleCalculos!W:W,DetalleCalculos!U:U,0,0,1)=7,1,2)</f>
        <v>1</v>
      </c>
      <c r="M24" s="79" t="str" cm="1">
        <f t="array" ref="M24">+INDEX($B$23:$B$89,ROUNDUP((ROW()-22)/3,0))</f>
        <v>ADOLFO DE JESUS LOPEZ CHAVEZ</v>
      </c>
      <c r="N24" s="76">
        <f>SUMIFS(DetalleCalculos!$N:$N,DetalleCalculos!$W:$W,$K24,DetalleCalculos!$H:$H,$M24)*24</f>
        <v>56.250000000000028</v>
      </c>
      <c r="O24" s="80">
        <f>SUMIFS(DetalleCalculos!$P:$P,DetalleCalculos!$W:$W,$K24,DetalleCalculos!$H:$H,$M24)</f>
        <v>36</v>
      </c>
      <c r="P24" s="80">
        <f>SUMIFS(DetalleCalculos!$Q:$Q,DetalleCalculos!$W:$W,$K24,DetalleCalculos!$H:$H,$M24)</f>
        <v>0</v>
      </c>
      <c r="Q24" s="24">
        <f>+IF(L24=1,O24,P24)</f>
        <v>36</v>
      </c>
      <c r="R24" s="24">
        <f>+IF(N24-Q24&lt;=0,0,N24-Q24)</f>
        <v>20.250000000000028</v>
      </c>
      <c r="S24" s="80" t="str">
        <f>_xlfn.XLOOKUP($J24&amp;$K24&amp;$M24,DetalleCalculos!$B:$B,DetalleCalculos!$O:$O,"",0,1)</f>
        <v>0-5-2</v>
      </c>
      <c r="T24" s="29">
        <f>+_xlfn.XLOOKUP($S24,'Horarios y Sistemas'!$C:$C,'Horarios y Sistemas'!M:M,0,0,1)</f>
        <v>0</v>
      </c>
      <c r="U24" s="29">
        <f>1-T24</f>
        <v>1</v>
      </c>
      <c r="V24" s="30">
        <f>+T24*R24</f>
        <v>0</v>
      </c>
      <c r="W24" s="30">
        <f>+U24*R24</f>
        <v>20.250000000000028</v>
      </c>
      <c r="X24" s="24">
        <f t="shared" si="2"/>
        <v>0</v>
      </c>
      <c r="Y24" s="24">
        <f t="shared" si="2"/>
        <v>30.375000000000043</v>
      </c>
      <c r="Z24" s="96" t="s">
        <v>246</v>
      </c>
      <c r="AA24" s="101">
        <f>+IF(AA23&lt;=0,0,IF(AND(AA23&gt;AB23,AB23&lt;=0),IF(AA23+AB23&gt;0,AA23+AB23,0),IF(AND(AA23&gt;0,AB23&gt;0),AA23,0)))</f>
        <v>36.750000000000071</v>
      </c>
      <c r="AB24" s="102">
        <f>+IF(AB23&lt;=0,0,IF(AND(AB23&gt;AA23,AA23&lt;=0),IF(AB23+AA23&gt;0,AB23+AA23,0),IF(AND(AB23&gt;0,AA23&gt;0),AB23,0)))</f>
        <v>30.375000000000043</v>
      </c>
      <c r="AC24" s="97" t="s">
        <v>125</v>
      </c>
      <c r="AD24" s="103">
        <f>+AA24/$X$5</f>
        <v>24.500000000000046</v>
      </c>
      <c r="AE24" s="104">
        <f>+AB24/$Y$5</f>
        <v>20.250000000000028</v>
      </c>
    </row>
    <row r="25" spans="2:31" ht="15.75" thickBot="1">
      <c r="B25" s="125" t="s">
        <v>22</v>
      </c>
      <c r="C25" s="113">
        <f>+SUMIFS(AD$23:AD$223,$M$23:$M$223,$B25,$AC$23:$AC$223,$B$20)</f>
        <v>0</v>
      </c>
      <c r="D25" s="114">
        <f>+SUMIFS(AE$23:AE$223,$M$23:$M$223,$B25,$AC$23:$AC$223,$B$20)</f>
        <v>8.9999999999999289</v>
      </c>
      <c r="E25" s="119">
        <f t="shared" si="1"/>
        <v>8.9999999999999289</v>
      </c>
      <c r="F25" s="19"/>
      <c r="H25" t="str">
        <f>+I25&amp;J25&amp;K25&amp;M25</f>
        <v>SEPTIEMBRESem4040ADOLFO DE JESUS LOPEZ CHAVEZ</v>
      </c>
      <c r="I25" s="14" t="str">
        <f>+_xlfn.XLOOKUP(K25,DetalleCalculos!W:W,DetalleCalculos!S:S,"",0,1)</f>
        <v>SEPTIEMBRE</v>
      </c>
      <c r="J25" s="72" t="str">
        <f>+"Sem"&amp;K25</f>
        <v>Sem40</v>
      </c>
      <c r="K25" s="72">
        <f>+$H$19</f>
        <v>40</v>
      </c>
      <c r="L25" s="72">
        <f>+IF(_xlfn.XLOOKUP(K25,DetalleCalculos!W:W,DetalleCalculos!U:U,0,0,1)=7,1,2)</f>
        <v>1</v>
      </c>
      <c r="M25" s="79" t="str" cm="1">
        <f t="array" ref="M25">+INDEX($B$23:$B$89,ROUNDUP((ROW()-22)/3,0))</f>
        <v>ADOLFO DE JESUS LOPEZ CHAVEZ</v>
      </c>
      <c r="N25" s="76">
        <f>SUMIFS(DetalleCalculos!$N:$N,DetalleCalculos!$W:$W,$K25,DetalleCalculos!$H:$H,$M25)*24</f>
        <v>63.500000000000036</v>
      </c>
      <c r="O25" s="80">
        <f>SUMIFS(DetalleCalculos!$P:$P,DetalleCalculos!$W:$W,$K25,DetalleCalculos!$H:$H,$M25)</f>
        <v>44</v>
      </c>
      <c r="P25" s="80">
        <f>SUMIFS(DetalleCalculos!$Q:$Q,DetalleCalculos!$W:$W,$K25,DetalleCalculos!$H:$H,$M25)</f>
        <v>0</v>
      </c>
      <c r="Q25" s="24">
        <f>+IF(L25=1,O25,P25)</f>
        <v>44</v>
      </c>
      <c r="R25" s="24">
        <f>+IF(N25-Q25&lt;=0,0,N25-Q25)</f>
        <v>19.500000000000036</v>
      </c>
      <c r="S25" s="80" t="str">
        <f>_xlfn.XLOOKUP($J25&amp;$K25&amp;$M25,DetalleCalculos!$B:$B,DetalleCalculos!$O:$O,"",0,1)</f>
        <v>6-0-1</v>
      </c>
      <c r="T25" s="29">
        <f>+_xlfn.XLOOKUP($S25,'Horarios y Sistemas'!$C:$C,'Horarios y Sistemas'!M:M,0,0,1)</f>
        <v>1</v>
      </c>
      <c r="U25" s="29">
        <f>1-T25</f>
        <v>0</v>
      </c>
      <c r="V25" s="30">
        <f>+T25*R25</f>
        <v>19.500000000000036</v>
      </c>
      <c r="W25" s="30">
        <f>+U25*R25</f>
        <v>0</v>
      </c>
      <c r="X25" s="24">
        <f t="shared" si="2"/>
        <v>29.250000000000053</v>
      </c>
      <c r="Y25" s="24">
        <f t="shared" si="2"/>
        <v>0</v>
      </c>
      <c r="Z25" s="95"/>
      <c r="AA25" s="99"/>
      <c r="AB25" s="100"/>
    </row>
    <row r="26" spans="2:31">
      <c r="B26" s="125" t="s">
        <v>212</v>
      </c>
      <c r="C26" s="113">
        <f>+SUMIFS(AD$23:AD$223,$M$23:$M$223,$B26,$AC$23:$AC$223,$B$20)</f>
        <v>18.749999999999993</v>
      </c>
      <c r="D26" s="114">
        <f>+SUMIFS(AE$23:AE$223,$M$23:$M$223,$B26,$AC$23:$AC$223,$B$20)</f>
        <v>21.25</v>
      </c>
      <c r="E26" s="119">
        <f t="shared" si="1"/>
        <v>39.999999999999993</v>
      </c>
      <c r="F26" s="19"/>
      <c r="H26" t="str">
        <f t="shared" ref="H26:H89" si="3">+I26&amp;J26&amp;K26&amp;M26</f>
        <v>SEPTIEMBRESem3838AMILCAR EDELBERTO LOPEZ AROCHE</v>
      </c>
      <c r="I26" s="14" t="str">
        <f>+_xlfn.XLOOKUP(K26,DetalleCalculos!W:W,DetalleCalculos!S:S,"",0,1)</f>
        <v>SEPTIEMBRE</v>
      </c>
      <c r="J26" s="72" t="str">
        <f t="shared" ref="J26:J89" si="4">+"Sem"&amp;K26</f>
        <v>Sem38</v>
      </c>
      <c r="K26" s="72">
        <f t="shared" ref="K26" si="5">+$H$17</f>
        <v>38</v>
      </c>
      <c r="L26" s="72">
        <f>+IF(_xlfn.XLOOKUP(K26,DetalleCalculos!W:W,DetalleCalculos!U:U,0,0,1)=7,1,2)</f>
        <v>1</v>
      </c>
      <c r="M26" s="79" t="str" cm="1">
        <f t="array" ref="M26">+INDEX($B$23:$B$89,ROUNDUP((ROW()-22)/3,0))</f>
        <v>AMILCAR EDELBERTO LOPEZ AROCHE</v>
      </c>
      <c r="N26" s="76">
        <f>SUMIFS(DetalleCalculos!$N:$N,DetalleCalculos!$W:$W,$K26,DetalleCalculos!$H:$H,$M26)*24</f>
        <v>41</v>
      </c>
      <c r="O26" s="80">
        <f>SUMIFS(DetalleCalculos!$P:$P,DetalleCalculos!$W:$W,$K26,DetalleCalculos!$H:$H,$M26)</f>
        <v>38</v>
      </c>
      <c r="P26" s="80">
        <f>SUMIFS(DetalleCalculos!$Q:$Q,DetalleCalculos!$W:$W,$K26,DetalleCalculos!$H:$H,$M26)</f>
        <v>0</v>
      </c>
      <c r="Q26" s="80">
        <f t="shared" ref="Q26:Q89" si="6">+IF(L26=1,O26,P26)</f>
        <v>38</v>
      </c>
      <c r="R26" s="80">
        <f t="shared" ref="R26:R89" si="7">+IF(N26-Q26&lt;=0,0,N26-Q26)</f>
        <v>3</v>
      </c>
      <c r="S26" s="80" t="str">
        <f>_xlfn.XLOOKUP($J26&amp;$K26&amp;$M26,DetalleCalculos!$B:$B,DetalleCalculos!$O:$O,"",0,1)</f>
        <v>1-3-3</v>
      </c>
      <c r="T26" s="81">
        <f>+_xlfn.XLOOKUP($S26,'Horarios y Sistemas'!$C:$C,'Horarios y Sistemas'!M:M,0,0,1)</f>
        <v>0.25</v>
      </c>
      <c r="U26" s="81">
        <f t="shared" ref="U26:U89" si="8">1-T26</f>
        <v>0.75</v>
      </c>
      <c r="V26" s="82">
        <f t="shared" ref="V26:V89" si="9">+T26*R26</f>
        <v>0.75</v>
      </c>
      <c r="W26" s="82">
        <f t="shared" ref="W26:W89" si="10">+U26*R26</f>
        <v>2.25</v>
      </c>
      <c r="X26" s="80">
        <f t="shared" ref="X26:X89" si="11">+V26*X$5</f>
        <v>1.125</v>
      </c>
      <c r="Y26" s="80">
        <f t="shared" ref="Y26:Y89" si="12">+W26*Y$5</f>
        <v>3.375</v>
      </c>
      <c r="Z26" s="95" t="s">
        <v>245</v>
      </c>
      <c r="AA26" s="99">
        <f t="shared" ref="AA26:AB26" si="13">+SUM(X26:X28)</f>
        <v>28.124999999999989</v>
      </c>
      <c r="AB26" s="100">
        <f t="shared" si="13"/>
        <v>31.875</v>
      </c>
    </row>
    <row r="27" spans="2:31" ht="15.75" thickBot="1">
      <c r="B27" s="125" t="s">
        <v>213</v>
      </c>
      <c r="C27" s="113">
        <f>+SUMIFS(AD$23:AD$223,$M$23:$M$223,$B27,$AC$23:$AC$223,$B$20)</f>
        <v>30</v>
      </c>
      <c r="D27" s="114">
        <f>+SUMIFS(AE$23:AE$223,$M$23:$M$223,$B27,$AC$23:$AC$223,$B$20)</f>
        <v>0</v>
      </c>
      <c r="E27" s="119">
        <f t="shared" si="1"/>
        <v>30</v>
      </c>
      <c r="F27" s="19"/>
      <c r="H27" t="str">
        <f t="shared" si="3"/>
        <v>SEPTIEMBRESem3939AMILCAR EDELBERTO LOPEZ AROCHE</v>
      </c>
      <c r="I27" s="14" t="str">
        <f>+_xlfn.XLOOKUP(K27,DetalleCalculos!W:W,DetalleCalculos!S:S,"",0,1)</f>
        <v>SEPTIEMBRE</v>
      </c>
      <c r="J27" s="72" t="str">
        <f t="shared" si="4"/>
        <v>Sem39</v>
      </c>
      <c r="K27" s="72">
        <f t="shared" ref="K27" si="14">+$H$18</f>
        <v>39</v>
      </c>
      <c r="L27" s="72">
        <f>+IF(_xlfn.XLOOKUP(K27,DetalleCalculos!W:W,DetalleCalculos!U:U,0,0,1)=7,1,2)</f>
        <v>1</v>
      </c>
      <c r="M27" s="79" t="str" cm="1">
        <f t="array" ref="M27">+INDEX($B$23:$B$89,ROUNDUP((ROW()-22)/3,0))</f>
        <v>AMILCAR EDELBERTO LOPEZ AROCHE</v>
      </c>
      <c r="N27" s="76">
        <f>SUMIFS(DetalleCalculos!$N:$N,DetalleCalculos!$W:$W,$K27,DetalleCalculos!$H:$H,$M27)*24</f>
        <v>61.999999999999993</v>
      </c>
      <c r="O27" s="80">
        <f>SUMIFS(DetalleCalculos!$P:$P,DetalleCalculos!$W:$W,$K27,DetalleCalculos!$H:$H,$M27)</f>
        <v>44</v>
      </c>
      <c r="P27" s="80">
        <f>SUMIFS(DetalleCalculos!$Q:$Q,DetalleCalculos!$W:$W,$K27,DetalleCalculos!$H:$H,$M27)</f>
        <v>0</v>
      </c>
      <c r="Q27" s="24">
        <f t="shared" si="6"/>
        <v>44</v>
      </c>
      <c r="R27" s="24">
        <f t="shared" si="7"/>
        <v>17.999999999999993</v>
      </c>
      <c r="S27" s="80" t="str">
        <f>_xlfn.XLOOKUP($J27&amp;$K27&amp;$M27,DetalleCalculos!$B:$B,DetalleCalculos!$O:$O,"",0,1)</f>
        <v>6-0-1</v>
      </c>
      <c r="T27" s="29">
        <f>+_xlfn.XLOOKUP($S27,'Horarios y Sistemas'!$C:$C,'Horarios y Sistemas'!M:M,0,0,1)</f>
        <v>1</v>
      </c>
      <c r="U27" s="29">
        <f t="shared" si="8"/>
        <v>0</v>
      </c>
      <c r="V27" s="30">
        <f t="shared" si="9"/>
        <v>17.999999999999993</v>
      </c>
      <c r="W27" s="30">
        <f t="shared" si="10"/>
        <v>0</v>
      </c>
      <c r="X27" s="24">
        <f t="shared" si="11"/>
        <v>26.999999999999989</v>
      </c>
      <c r="Y27" s="24">
        <f t="shared" si="12"/>
        <v>0</v>
      </c>
      <c r="Z27" s="96" t="s">
        <v>246</v>
      </c>
      <c r="AA27" s="101">
        <f t="shared" ref="AA27" si="15">+IF(AA26&lt;=0,0,IF(AND(AA26&gt;AB26,AB26&lt;=0),IF(AA26+AB26&gt;0,AA26+AB26,0),IF(AND(AA26&gt;0,AB26&gt;0),AA26,0)))</f>
        <v>28.124999999999989</v>
      </c>
      <c r="AB27" s="102">
        <f t="shared" ref="AB27" si="16">+IF(AB26&lt;=0,0,IF(AND(AB26&gt;AA26,AA26&lt;=0),IF(AB26+AA26&gt;0,AB26+AA26,0),IF(AND(AB26&gt;0,AA26&gt;0),AB26,0)))</f>
        <v>31.875</v>
      </c>
      <c r="AC27" s="97" t="s">
        <v>125</v>
      </c>
      <c r="AD27" s="103">
        <f t="shared" ref="AD27" si="17">+AA27/$X$5</f>
        <v>18.749999999999993</v>
      </c>
      <c r="AE27" s="104">
        <f t="shared" ref="AE27" si="18">+AB27/$Y$5</f>
        <v>21.25</v>
      </c>
    </row>
    <row r="28" spans="2:31" ht="15.75" thickBot="1">
      <c r="B28" s="125" t="s">
        <v>156</v>
      </c>
      <c r="C28" s="113">
        <f>+SUMIFS(AD$23:AD$223,$M$23:$M$223,$B28,$AC$23:$AC$223,$B$20)</f>
        <v>24.88</v>
      </c>
      <c r="D28" s="114">
        <f>+SUMIFS(AE$23:AE$223,$M$23:$M$223,$B28,$AC$23:$AC$223,$B$20)</f>
        <v>31.52</v>
      </c>
      <c r="E28" s="119">
        <f t="shared" si="1"/>
        <v>56.4</v>
      </c>
      <c r="F28" s="19"/>
      <c r="H28" t="str">
        <f t="shared" si="3"/>
        <v>SEPTIEMBRESem4040AMILCAR EDELBERTO LOPEZ AROCHE</v>
      </c>
      <c r="I28" s="14" t="str">
        <f>+_xlfn.XLOOKUP(K28,DetalleCalculos!W:W,DetalleCalculos!S:S,"",0,1)</f>
        <v>SEPTIEMBRE</v>
      </c>
      <c r="J28" s="72" t="str">
        <f t="shared" si="4"/>
        <v>Sem40</v>
      </c>
      <c r="K28" s="72">
        <f t="shared" ref="K28" si="19">+$H$19</f>
        <v>40</v>
      </c>
      <c r="L28" s="72">
        <f>+IF(_xlfn.XLOOKUP(K28,DetalleCalculos!W:W,DetalleCalculos!U:U,0,0,1)=7,1,2)</f>
        <v>1</v>
      </c>
      <c r="M28" s="79" t="str" cm="1">
        <f t="array" ref="M28">+INDEX($B$23:$B$89,ROUNDUP((ROW()-22)/3,0))</f>
        <v>AMILCAR EDELBERTO LOPEZ AROCHE</v>
      </c>
      <c r="N28" s="76">
        <f>SUMIFS(DetalleCalculos!$N:$N,DetalleCalculos!$W:$W,$K28,DetalleCalculos!$H:$H,$M28)*24</f>
        <v>55</v>
      </c>
      <c r="O28" s="80">
        <f>SUMIFS(DetalleCalculos!$P:$P,DetalleCalculos!$W:$W,$K28,DetalleCalculos!$H:$H,$M28)</f>
        <v>36</v>
      </c>
      <c r="P28" s="80">
        <f>SUMIFS(DetalleCalculos!$Q:$Q,DetalleCalculos!$W:$W,$K28,DetalleCalculos!$H:$H,$M28)</f>
        <v>0</v>
      </c>
      <c r="Q28" s="24">
        <f t="shared" si="6"/>
        <v>36</v>
      </c>
      <c r="R28" s="24">
        <f t="shared" si="7"/>
        <v>19</v>
      </c>
      <c r="S28" s="80" t="str">
        <f>_xlfn.XLOOKUP($J28&amp;$K28&amp;$M28,DetalleCalculos!$B:$B,DetalleCalculos!$O:$O,"",0,1)</f>
        <v>0-5-2</v>
      </c>
      <c r="T28" s="29">
        <f>+_xlfn.XLOOKUP($S28,'Horarios y Sistemas'!$C:$C,'Horarios y Sistemas'!M:M,0,0,1)</f>
        <v>0</v>
      </c>
      <c r="U28" s="29">
        <f t="shared" si="8"/>
        <v>1</v>
      </c>
      <c r="V28" s="30">
        <f t="shared" si="9"/>
        <v>0</v>
      </c>
      <c r="W28" s="30">
        <f t="shared" si="10"/>
        <v>19</v>
      </c>
      <c r="X28" s="24">
        <f t="shared" si="11"/>
        <v>0</v>
      </c>
      <c r="Y28" s="24">
        <f t="shared" si="12"/>
        <v>28.5</v>
      </c>
      <c r="Z28" s="95"/>
      <c r="AA28" s="99"/>
      <c r="AB28" s="100"/>
    </row>
    <row r="29" spans="2:31">
      <c r="B29" s="125" t="s">
        <v>234</v>
      </c>
      <c r="C29" s="113">
        <f>+SUMIFS(AD$23:AD$223,$M$23:$M$223,$B29,$AC$23:$AC$223,$B$20)</f>
        <v>0</v>
      </c>
      <c r="D29" s="114">
        <f>+SUMIFS(AE$23:AE$223,$M$23:$M$223,$B29,$AC$23:$AC$223,$B$20)</f>
        <v>0</v>
      </c>
      <c r="E29" s="119">
        <f t="shared" si="1"/>
        <v>0</v>
      </c>
      <c r="F29" s="19"/>
      <c r="H29" t="str">
        <f t="shared" si="3"/>
        <v>SEPTIEMBRESem3838BAYRON AMILCAR JIMENEZ VEGA</v>
      </c>
      <c r="I29" s="14" t="str">
        <f>+_xlfn.XLOOKUP(K29,DetalleCalculos!W:W,DetalleCalculos!S:S,"",0,1)</f>
        <v>SEPTIEMBRE</v>
      </c>
      <c r="J29" s="72" t="str">
        <f t="shared" si="4"/>
        <v>Sem38</v>
      </c>
      <c r="K29" s="72">
        <f t="shared" ref="K29" si="20">+$H$17</f>
        <v>38</v>
      </c>
      <c r="L29" s="72">
        <f>+IF(_xlfn.XLOOKUP(K29,DetalleCalculos!W:W,DetalleCalculos!U:U,0,0,1)=7,1,2)</f>
        <v>1</v>
      </c>
      <c r="M29" s="79" t="str" cm="1">
        <f t="array" ref="M29">+INDEX($B$23:$B$89,ROUNDUP((ROW()-22)/3,0))</f>
        <v>BAYRON AMILCAR JIMENEZ VEGA</v>
      </c>
      <c r="N29" s="76">
        <f>SUMIFS(DetalleCalculos!$N:$N,DetalleCalculos!$W:$W,$K29,DetalleCalculos!$H:$H,$M29)*24</f>
        <v>35.999999999999986</v>
      </c>
      <c r="O29" s="80">
        <f>SUMIFS(DetalleCalculos!$P:$P,DetalleCalculos!$W:$W,$K29,DetalleCalculos!$H:$H,$M29)</f>
        <v>44</v>
      </c>
      <c r="P29" s="80">
        <f>SUMIFS(DetalleCalculos!$Q:$Q,DetalleCalculos!$W:$W,$K29,DetalleCalculos!$H:$H,$M29)</f>
        <v>0</v>
      </c>
      <c r="Q29" s="80">
        <f t="shared" si="6"/>
        <v>44</v>
      </c>
      <c r="R29" s="80">
        <f t="shared" si="7"/>
        <v>0</v>
      </c>
      <c r="S29" s="80" t="str">
        <f>_xlfn.XLOOKUP($J29&amp;$K29&amp;$M29,DetalleCalculos!$B:$B,DetalleCalculos!$O:$O,"",0,1)</f>
        <v>5-0-2</v>
      </c>
      <c r="T29" s="81">
        <f>+_xlfn.XLOOKUP($S29,'Horarios y Sistemas'!$C:$C,'Horarios y Sistemas'!M:M,0,0,1)</f>
        <v>1</v>
      </c>
      <c r="U29" s="81">
        <f t="shared" si="8"/>
        <v>0</v>
      </c>
      <c r="V29" s="82">
        <f t="shared" si="9"/>
        <v>0</v>
      </c>
      <c r="W29" s="82">
        <f t="shared" si="10"/>
        <v>0</v>
      </c>
      <c r="X29" s="80">
        <f t="shared" si="11"/>
        <v>0</v>
      </c>
      <c r="Y29" s="80">
        <f t="shared" si="12"/>
        <v>0</v>
      </c>
      <c r="Z29" s="95" t="s">
        <v>245</v>
      </c>
      <c r="AA29" s="99">
        <f t="shared" ref="AA29:AB29" si="21">+SUM(X29:X31)</f>
        <v>0</v>
      </c>
      <c r="AB29" s="100">
        <f t="shared" si="21"/>
        <v>13.499999999999893</v>
      </c>
    </row>
    <row r="30" spans="2:31" ht="15.75" thickBot="1">
      <c r="B30" s="125" t="s">
        <v>235</v>
      </c>
      <c r="C30" s="113">
        <f>+SUMIFS(AD$23:AD$223,$M$23:$M$223,$B30,$AC$23:$AC$223,$B$20)</f>
        <v>17.999999999999993</v>
      </c>
      <c r="D30" s="114">
        <f>+SUMIFS(AE$23:AE$223,$M$23:$M$223,$B30,$AC$23:$AC$223,$B$20)</f>
        <v>19</v>
      </c>
      <c r="E30" s="119">
        <f t="shared" si="1"/>
        <v>36.999999999999993</v>
      </c>
      <c r="F30" s="19"/>
      <c r="H30" t="str">
        <f t="shared" si="3"/>
        <v>SEPTIEMBRESem3939BAYRON AMILCAR JIMENEZ VEGA</v>
      </c>
      <c r="I30" s="14" t="str">
        <f>+_xlfn.XLOOKUP(K30,DetalleCalculos!W:W,DetalleCalculos!S:S,"",0,1)</f>
        <v>SEPTIEMBRE</v>
      </c>
      <c r="J30" s="72" t="str">
        <f t="shared" si="4"/>
        <v>Sem39</v>
      </c>
      <c r="K30" s="72">
        <f t="shared" ref="K30" si="22">+$H$18</f>
        <v>39</v>
      </c>
      <c r="L30" s="72">
        <f>+IF(_xlfn.XLOOKUP(K30,DetalleCalculos!W:W,DetalleCalculos!U:U,0,0,1)=7,1,2)</f>
        <v>1</v>
      </c>
      <c r="M30" s="79" t="str" cm="1">
        <f t="array" ref="M30">+INDEX($B$23:$B$89,ROUNDUP((ROW()-22)/3,0))</f>
        <v>BAYRON AMILCAR JIMENEZ VEGA</v>
      </c>
      <c r="N30" s="76">
        <f>SUMIFS(DetalleCalculos!$N:$N,DetalleCalculos!$W:$W,$K30,DetalleCalculos!$H:$H,$M30)*24</f>
        <v>44.999999999999929</v>
      </c>
      <c r="O30" s="80">
        <f>SUMIFS(DetalleCalculos!$P:$P,DetalleCalculos!$W:$W,$K30,DetalleCalculos!$H:$H,$M30)</f>
        <v>36</v>
      </c>
      <c r="P30" s="80">
        <f>SUMIFS(DetalleCalculos!$Q:$Q,DetalleCalculos!$W:$W,$K30,DetalleCalculos!$H:$H,$M30)</f>
        <v>0</v>
      </c>
      <c r="Q30" s="24">
        <f t="shared" si="6"/>
        <v>36</v>
      </c>
      <c r="R30" s="24">
        <f t="shared" si="7"/>
        <v>8.9999999999999289</v>
      </c>
      <c r="S30" s="80" t="str">
        <f>_xlfn.XLOOKUP($J30&amp;$K30&amp;$M30,DetalleCalculos!$B:$B,DetalleCalculos!$O:$O,"",0,1)</f>
        <v>0-5-2</v>
      </c>
      <c r="T30" s="29">
        <f>+_xlfn.XLOOKUP($S30,'Horarios y Sistemas'!$C:$C,'Horarios y Sistemas'!M:M,0,0,1)</f>
        <v>0</v>
      </c>
      <c r="U30" s="29">
        <f t="shared" si="8"/>
        <v>1</v>
      </c>
      <c r="V30" s="30">
        <f t="shared" si="9"/>
        <v>0</v>
      </c>
      <c r="W30" s="30">
        <f t="shared" si="10"/>
        <v>8.9999999999999289</v>
      </c>
      <c r="X30" s="24">
        <f t="shared" si="11"/>
        <v>0</v>
      </c>
      <c r="Y30" s="24">
        <f t="shared" si="12"/>
        <v>13.499999999999893</v>
      </c>
      <c r="Z30" s="96" t="s">
        <v>246</v>
      </c>
      <c r="AA30" s="101">
        <f t="shared" ref="AA30" si="23">+IF(AA29&lt;=0,0,IF(AND(AA29&gt;AB29,AB29&lt;=0),IF(AA29+AB29&gt;0,AA29+AB29,0),IF(AND(AA29&gt;0,AB29&gt;0),AA29,0)))</f>
        <v>0</v>
      </c>
      <c r="AB30" s="102">
        <f t="shared" ref="AB30" si="24">+IF(AB29&lt;=0,0,IF(AND(AB29&gt;AA29,AA29&lt;=0),IF(AB29+AA29&gt;0,AB29+AA29,0),IF(AND(AB29&gt;0,AA29&gt;0),AB29,0)))</f>
        <v>13.499999999999893</v>
      </c>
      <c r="AC30" s="97" t="s">
        <v>125</v>
      </c>
      <c r="AD30" s="103">
        <f t="shared" ref="AD30" si="25">+AA30/$X$5</f>
        <v>0</v>
      </c>
      <c r="AE30" s="104">
        <f t="shared" ref="AE30" si="26">+AB30/$Y$5</f>
        <v>8.9999999999999289</v>
      </c>
    </row>
    <row r="31" spans="2:31" ht="15.75" thickBot="1">
      <c r="B31" s="125" t="s">
        <v>2</v>
      </c>
      <c r="C31" s="113">
        <f>+SUMIFS(AD$23:AD$223,$M$23:$M$223,$B31,$AC$23:$AC$223,$B$20)</f>
        <v>0</v>
      </c>
      <c r="D31" s="114">
        <f>+SUMIFS(AE$23:AE$223,$M$23:$M$223,$B31,$AC$23:$AC$223,$B$20)</f>
        <v>8.9999999999999289</v>
      </c>
      <c r="E31" s="119">
        <f t="shared" si="1"/>
        <v>8.9999999999999289</v>
      </c>
      <c r="F31" s="19"/>
      <c r="H31" t="str">
        <f t="shared" si="3"/>
        <v>SEPTIEMBRESem4040BAYRON AMILCAR JIMENEZ VEGA</v>
      </c>
      <c r="I31" s="14" t="str">
        <f>+_xlfn.XLOOKUP(K31,DetalleCalculos!W:W,DetalleCalculos!S:S,"",0,1)</f>
        <v>SEPTIEMBRE</v>
      </c>
      <c r="J31" s="72" t="str">
        <f t="shared" si="4"/>
        <v>Sem40</v>
      </c>
      <c r="K31" s="72">
        <f t="shared" ref="K31" si="27">+$H$19</f>
        <v>40</v>
      </c>
      <c r="L31" s="72">
        <f>+IF(_xlfn.XLOOKUP(K31,DetalleCalculos!W:W,DetalleCalculos!U:U,0,0,1)=7,1,2)</f>
        <v>1</v>
      </c>
      <c r="M31" s="79" t="str" cm="1">
        <f t="array" ref="M31">+INDEX($B$23:$B$89,ROUNDUP((ROW()-22)/3,0))</f>
        <v>BAYRON AMILCAR JIMENEZ VEGA</v>
      </c>
      <c r="N31" s="76">
        <f>SUMIFS(DetalleCalculos!$N:$N,DetalleCalculos!$W:$W,$K31,DetalleCalculos!$H:$H,$M31)*24</f>
        <v>43.999999999999986</v>
      </c>
      <c r="O31" s="80">
        <f>SUMIFS(DetalleCalculos!$P:$P,DetalleCalculos!$W:$W,$K31,DetalleCalculos!$H:$H,$M31)</f>
        <v>44</v>
      </c>
      <c r="P31" s="80">
        <f>SUMIFS(DetalleCalculos!$Q:$Q,DetalleCalculos!$W:$W,$K31,DetalleCalculos!$H:$H,$M31)</f>
        <v>0</v>
      </c>
      <c r="Q31" s="24">
        <f t="shared" si="6"/>
        <v>44</v>
      </c>
      <c r="R31" s="24">
        <f t="shared" si="7"/>
        <v>0</v>
      </c>
      <c r="S31" s="80" t="str">
        <f>_xlfn.XLOOKUP($J31&amp;$K31&amp;$M31,DetalleCalculos!$B:$B,DetalleCalculos!$O:$O,"",0,1)</f>
        <v>6-0-1</v>
      </c>
      <c r="T31" s="29">
        <f>+_xlfn.XLOOKUP($S31,'Horarios y Sistemas'!$C:$C,'Horarios y Sistemas'!M:M,0,0,1)</f>
        <v>1</v>
      </c>
      <c r="U31" s="29">
        <f t="shared" si="8"/>
        <v>0</v>
      </c>
      <c r="V31" s="30">
        <f t="shared" si="9"/>
        <v>0</v>
      </c>
      <c r="W31" s="30">
        <f t="shared" si="10"/>
        <v>0</v>
      </c>
      <c r="X31" s="24">
        <f t="shared" si="11"/>
        <v>0</v>
      </c>
      <c r="Y31" s="24">
        <f t="shared" si="12"/>
        <v>0</v>
      </c>
      <c r="Z31" s="95"/>
      <c r="AA31" s="99"/>
      <c r="AB31" s="100"/>
    </row>
    <row r="32" spans="2:31">
      <c r="B32" s="125" t="s">
        <v>214</v>
      </c>
      <c r="C32" s="113">
        <f>+SUMIFS(AD$23:AD$223,$M$23:$M$223,$B32,$AC$23:$AC$223,$B$20)</f>
        <v>0</v>
      </c>
      <c r="D32" s="114">
        <f>+SUMIFS(AE$23:AE$223,$M$23:$M$223,$B32,$AC$23:$AC$223,$B$20)</f>
        <v>0</v>
      </c>
      <c r="E32" s="119">
        <f t="shared" si="1"/>
        <v>0</v>
      </c>
      <c r="F32" s="19"/>
      <c r="H32" t="str">
        <f t="shared" si="3"/>
        <v>SEPTIEMBRESem3838BRYAN GEOVANI PELEN MAYEN</v>
      </c>
      <c r="I32" s="14" t="str">
        <f>+_xlfn.XLOOKUP(K32,DetalleCalculos!W:W,DetalleCalculos!S:S,"",0,1)</f>
        <v>SEPTIEMBRE</v>
      </c>
      <c r="J32" s="72" t="str">
        <f t="shared" si="4"/>
        <v>Sem38</v>
      </c>
      <c r="K32" s="72">
        <f t="shared" ref="K32" si="28">+$H$17</f>
        <v>38</v>
      </c>
      <c r="L32" s="72">
        <f>+IF(_xlfn.XLOOKUP(K32,DetalleCalculos!W:W,DetalleCalculos!U:U,0,0,1)=7,1,2)</f>
        <v>1</v>
      </c>
      <c r="M32" s="79" t="str" cm="1">
        <f t="array" ref="M32">+INDEX($B$23:$B$89,ROUNDUP((ROW()-22)/3,0))</f>
        <v>BRYAN GEOVANI PELEN MAYEN</v>
      </c>
      <c r="N32" s="76">
        <f>SUMIFS(DetalleCalculos!$N:$N,DetalleCalculos!$W:$W,$K32,DetalleCalculos!$H:$H,$M32)*24</f>
        <v>41</v>
      </c>
      <c r="O32" s="80">
        <f>SUMIFS(DetalleCalculos!$P:$P,DetalleCalculos!$W:$W,$K32,DetalleCalculos!$H:$H,$M32)</f>
        <v>38</v>
      </c>
      <c r="P32" s="80">
        <f>SUMIFS(DetalleCalculos!$Q:$Q,DetalleCalculos!$W:$W,$K32,DetalleCalculos!$H:$H,$M32)</f>
        <v>0</v>
      </c>
      <c r="Q32" s="80">
        <f t="shared" si="6"/>
        <v>38</v>
      </c>
      <c r="R32" s="80">
        <f t="shared" si="7"/>
        <v>3</v>
      </c>
      <c r="S32" s="80" t="str">
        <f>_xlfn.XLOOKUP($J32&amp;$K32&amp;$M32,DetalleCalculos!$B:$B,DetalleCalculos!$O:$O,"",0,1)</f>
        <v>1-3-3</v>
      </c>
      <c r="T32" s="81">
        <f>+_xlfn.XLOOKUP($S32,'Horarios y Sistemas'!$C:$C,'Horarios y Sistemas'!M:M,0,0,1)</f>
        <v>0.25</v>
      </c>
      <c r="U32" s="81">
        <f t="shared" si="8"/>
        <v>0.75</v>
      </c>
      <c r="V32" s="82">
        <f t="shared" si="9"/>
        <v>0.75</v>
      </c>
      <c r="W32" s="82">
        <f t="shared" si="10"/>
        <v>2.25</v>
      </c>
      <c r="X32" s="80">
        <f t="shared" si="11"/>
        <v>1.125</v>
      </c>
      <c r="Y32" s="80">
        <f t="shared" si="12"/>
        <v>3.375</v>
      </c>
      <c r="Z32" s="95" t="s">
        <v>245</v>
      </c>
      <c r="AA32" s="99">
        <f t="shared" ref="AA32:AB32" si="29">+SUM(X32:X34)</f>
        <v>28.124999999999989</v>
      </c>
      <c r="AB32" s="100">
        <f t="shared" si="29"/>
        <v>31.875</v>
      </c>
    </row>
    <row r="33" spans="2:31" ht="15.75" thickBot="1">
      <c r="B33" s="125" t="s">
        <v>215</v>
      </c>
      <c r="C33" s="113">
        <f>+SUMIFS(AD$23:AD$223,$M$23:$M$223,$B33,$AC$23:$AC$223,$B$20)</f>
        <v>25.999999999999989</v>
      </c>
      <c r="D33" s="114">
        <f>+SUMIFS(AE$23:AE$223,$M$23:$M$223,$B33,$AC$23:$AC$223,$B$20)</f>
        <v>0</v>
      </c>
      <c r="E33" s="119">
        <f t="shared" si="1"/>
        <v>25.999999999999989</v>
      </c>
      <c r="F33" s="19"/>
      <c r="H33" t="str">
        <f t="shared" si="3"/>
        <v>SEPTIEMBRESem3939BRYAN GEOVANI PELEN MAYEN</v>
      </c>
      <c r="I33" s="14" t="str">
        <f>+_xlfn.XLOOKUP(K33,DetalleCalculos!W:W,DetalleCalculos!S:S,"",0,1)</f>
        <v>SEPTIEMBRE</v>
      </c>
      <c r="J33" s="72" t="str">
        <f t="shared" si="4"/>
        <v>Sem39</v>
      </c>
      <c r="K33" s="72">
        <f t="shared" ref="K33" si="30">+$H$18</f>
        <v>39</v>
      </c>
      <c r="L33" s="72">
        <f>+IF(_xlfn.XLOOKUP(K33,DetalleCalculos!W:W,DetalleCalculos!U:U,0,0,1)=7,1,2)</f>
        <v>1</v>
      </c>
      <c r="M33" s="79" t="str" cm="1">
        <f t="array" ref="M33">+INDEX($B$23:$B$89,ROUNDUP((ROW()-22)/3,0))</f>
        <v>BRYAN GEOVANI PELEN MAYEN</v>
      </c>
      <c r="N33" s="76">
        <f>SUMIFS(DetalleCalculos!$N:$N,DetalleCalculos!$W:$W,$K33,DetalleCalculos!$H:$H,$M33)*24</f>
        <v>61.999999999999993</v>
      </c>
      <c r="O33" s="80">
        <f>SUMIFS(DetalleCalculos!$P:$P,DetalleCalculos!$W:$W,$K33,DetalleCalculos!$H:$H,$M33)</f>
        <v>44</v>
      </c>
      <c r="P33" s="80">
        <f>SUMIFS(DetalleCalculos!$Q:$Q,DetalleCalculos!$W:$W,$K33,DetalleCalculos!$H:$H,$M33)</f>
        <v>0</v>
      </c>
      <c r="Q33" s="24">
        <f t="shared" si="6"/>
        <v>44</v>
      </c>
      <c r="R33" s="24">
        <f t="shared" si="7"/>
        <v>17.999999999999993</v>
      </c>
      <c r="S33" s="80" t="str">
        <f>_xlfn.XLOOKUP($J33&amp;$K33&amp;$M33,DetalleCalculos!$B:$B,DetalleCalculos!$O:$O,"",0,1)</f>
        <v>6-0-1</v>
      </c>
      <c r="T33" s="29">
        <f>+_xlfn.XLOOKUP($S33,'Horarios y Sistemas'!$C:$C,'Horarios y Sistemas'!M:M,0,0,1)</f>
        <v>1</v>
      </c>
      <c r="U33" s="29">
        <f t="shared" si="8"/>
        <v>0</v>
      </c>
      <c r="V33" s="30">
        <f t="shared" si="9"/>
        <v>17.999999999999993</v>
      </c>
      <c r="W33" s="30">
        <f t="shared" si="10"/>
        <v>0</v>
      </c>
      <c r="X33" s="24">
        <f t="shared" si="11"/>
        <v>26.999999999999989</v>
      </c>
      <c r="Y33" s="24">
        <f t="shared" si="12"/>
        <v>0</v>
      </c>
      <c r="Z33" s="96" t="s">
        <v>246</v>
      </c>
      <c r="AA33" s="101">
        <f t="shared" ref="AA33" si="31">+IF(AA32&lt;=0,0,IF(AND(AA32&gt;AB32,AB32&lt;=0),IF(AA32+AB32&gt;0,AA32+AB32,0),IF(AND(AA32&gt;0,AB32&gt;0),AA32,0)))</f>
        <v>28.124999999999989</v>
      </c>
      <c r="AB33" s="102">
        <f t="shared" ref="AB33" si="32">+IF(AB32&lt;=0,0,IF(AND(AB32&gt;AA32,AA32&lt;=0),IF(AB32+AA32&gt;0,AB32+AA32,0),IF(AND(AB32&gt;0,AA32&gt;0),AB32,0)))</f>
        <v>31.875</v>
      </c>
      <c r="AC33" s="97" t="s">
        <v>125</v>
      </c>
      <c r="AD33" s="103">
        <f t="shared" ref="AD33" si="33">+AA33/$X$5</f>
        <v>18.749999999999993</v>
      </c>
      <c r="AE33" s="104">
        <f t="shared" ref="AE33" si="34">+AB33/$Y$5</f>
        <v>21.25</v>
      </c>
    </row>
    <row r="34" spans="2:31" ht="15.75" thickBot="1">
      <c r="B34" s="125" t="s">
        <v>216</v>
      </c>
      <c r="C34" s="113">
        <f>+SUMIFS(AD$23:AD$223,$M$23:$M$223,$B34,$AC$23:$AC$223,$B$20)</f>
        <v>25.999999999999986</v>
      </c>
      <c r="D34" s="114">
        <f>+SUMIFS(AE$23:AE$223,$M$23:$M$223,$B34,$AC$23:$AC$223,$B$20)</f>
        <v>0</v>
      </c>
      <c r="E34" s="119">
        <f t="shared" si="1"/>
        <v>25.999999999999986</v>
      </c>
      <c r="F34" s="19"/>
      <c r="H34" t="str">
        <f t="shared" si="3"/>
        <v>SEPTIEMBRESem4040BRYAN GEOVANI PELEN MAYEN</v>
      </c>
      <c r="I34" s="14" t="str">
        <f>+_xlfn.XLOOKUP(K34,DetalleCalculos!W:W,DetalleCalculos!S:S,"",0,1)</f>
        <v>SEPTIEMBRE</v>
      </c>
      <c r="J34" s="72" t="str">
        <f t="shared" si="4"/>
        <v>Sem40</v>
      </c>
      <c r="K34" s="72">
        <f t="shared" ref="K34" si="35">+$H$19</f>
        <v>40</v>
      </c>
      <c r="L34" s="72">
        <f>+IF(_xlfn.XLOOKUP(K34,DetalleCalculos!W:W,DetalleCalculos!U:U,0,0,1)=7,1,2)</f>
        <v>1</v>
      </c>
      <c r="M34" s="79" t="str" cm="1">
        <f t="array" ref="M34">+INDEX($B$23:$B$89,ROUNDUP((ROW()-22)/3,0))</f>
        <v>BRYAN GEOVANI PELEN MAYEN</v>
      </c>
      <c r="N34" s="76">
        <f>SUMIFS(DetalleCalculos!$N:$N,DetalleCalculos!$W:$W,$K34,DetalleCalculos!$H:$H,$M34)*24</f>
        <v>55</v>
      </c>
      <c r="O34" s="80">
        <f>SUMIFS(DetalleCalculos!$P:$P,DetalleCalculos!$W:$W,$K34,DetalleCalculos!$H:$H,$M34)</f>
        <v>36</v>
      </c>
      <c r="P34" s="80">
        <f>SUMIFS(DetalleCalculos!$Q:$Q,DetalleCalculos!$W:$W,$K34,DetalleCalculos!$H:$H,$M34)</f>
        <v>0</v>
      </c>
      <c r="Q34" s="24">
        <f t="shared" si="6"/>
        <v>36</v>
      </c>
      <c r="R34" s="24">
        <f t="shared" si="7"/>
        <v>19</v>
      </c>
      <c r="S34" s="80" t="str">
        <f>_xlfn.XLOOKUP($J34&amp;$K34&amp;$M34,DetalleCalculos!$B:$B,DetalleCalculos!$O:$O,"",0,1)</f>
        <v>0-5-2</v>
      </c>
      <c r="T34" s="29">
        <f>+_xlfn.XLOOKUP($S34,'Horarios y Sistemas'!$C:$C,'Horarios y Sistemas'!M:M,0,0,1)</f>
        <v>0</v>
      </c>
      <c r="U34" s="29">
        <f t="shared" si="8"/>
        <v>1</v>
      </c>
      <c r="V34" s="30">
        <f t="shared" si="9"/>
        <v>0</v>
      </c>
      <c r="W34" s="30">
        <f t="shared" si="10"/>
        <v>19</v>
      </c>
      <c r="X34" s="24">
        <f t="shared" si="11"/>
        <v>0</v>
      </c>
      <c r="Y34" s="24">
        <f t="shared" si="12"/>
        <v>28.5</v>
      </c>
      <c r="Z34" s="95"/>
      <c r="AA34" s="99"/>
      <c r="AB34" s="100"/>
    </row>
    <row r="35" spans="2:31">
      <c r="B35" s="125" t="s">
        <v>3</v>
      </c>
      <c r="C35" s="113">
        <f>+SUMIFS(AD$23:AD$223,$M$23:$M$223,$B35,$AC$23:$AC$223,$B$20)</f>
        <v>23.517500000000044</v>
      </c>
      <c r="D35" s="114">
        <f>+SUMIFS(AE$23:AE$223,$M$23:$M$223,$B35,$AC$23:$AC$223,$B$20)</f>
        <v>15.132500000000038</v>
      </c>
      <c r="E35" s="119">
        <f t="shared" si="1"/>
        <v>38.650000000000084</v>
      </c>
      <c r="F35" s="19"/>
      <c r="H35" t="str">
        <f t="shared" si="3"/>
        <v>SEPTIEMBRESem3838Braulio Vinicio López Rancho</v>
      </c>
      <c r="I35" s="14" t="str">
        <f>+_xlfn.XLOOKUP(K35,DetalleCalculos!W:W,DetalleCalculos!S:S,"",0,1)</f>
        <v>SEPTIEMBRE</v>
      </c>
      <c r="J35" s="72" t="str">
        <f t="shared" si="4"/>
        <v>Sem38</v>
      </c>
      <c r="K35" s="72">
        <f t="shared" ref="K35" si="36">+$H$17</f>
        <v>38</v>
      </c>
      <c r="L35" s="72">
        <f>+IF(_xlfn.XLOOKUP(K35,DetalleCalculos!W:W,DetalleCalculos!U:U,0,0,1)=7,1,2)</f>
        <v>1</v>
      </c>
      <c r="M35" s="79" t="str" cm="1">
        <f t="array" ref="M35">+INDEX($B$23:$B$89,ROUNDUP((ROW()-22)/3,0))</f>
        <v>Braulio Vinicio López Rancho</v>
      </c>
      <c r="N35" s="76">
        <f>SUMIFS(DetalleCalculos!$N:$N,DetalleCalculos!$W:$W,$K35,DetalleCalculos!$H:$H,$M35)*24</f>
        <v>52</v>
      </c>
      <c r="O35" s="80">
        <f>SUMIFS(DetalleCalculos!$P:$P,DetalleCalculos!$W:$W,$K35,DetalleCalculos!$H:$H,$M35)</f>
        <v>44</v>
      </c>
      <c r="P35" s="80">
        <f>SUMIFS(DetalleCalculos!$Q:$Q,DetalleCalculos!$W:$W,$K35,DetalleCalculos!$H:$H,$M35)</f>
        <v>0</v>
      </c>
      <c r="Q35" s="80">
        <f t="shared" si="6"/>
        <v>44</v>
      </c>
      <c r="R35" s="80">
        <f t="shared" si="7"/>
        <v>8</v>
      </c>
      <c r="S35" s="80" t="str">
        <f>_xlfn.XLOOKUP($J35&amp;$K35&amp;$M35,DetalleCalculos!$B:$B,DetalleCalculos!$O:$O,"",0,1)</f>
        <v>5-0-2</v>
      </c>
      <c r="T35" s="81">
        <f>+_xlfn.XLOOKUP($S35,'Horarios y Sistemas'!$C:$C,'Horarios y Sistemas'!M:M,0,0,1)</f>
        <v>1</v>
      </c>
      <c r="U35" s="81">
        <f t="shared" si="8"/>
        <v>0</v>
      </c>
      <c r="V35" s="82">
        <f t="shared" si="9"/>
        <v>8</v>
      </c>
      <c r="W35" s="82">
        <f t="shared" si="10"/>
        <v>0</v>
      </c>
      <c r="X35" s="80">
        <f t="shared" si="11"/>
        <v>12</v>
      </c>
      <c r="Y35" s="80">
        <f t="shared" si="12"/>
        <v>0</v>
      </c>
      <c r="Z35" s="95" t="s">
        <v>245</v>
      </c>
      <c r="AA35" s="99">
        <f t="shared" ref="AA35:AB35" si="37">+SUM(X35:X37)</f>
        <v>45</v>
      </c>
      <c r="AB35" s="100">
        <f t="shared" si="37"/>
        <v>0</v>
      </c>
    </row>
    <row r="36" spans="2:31" ht="15.75" thickBot="1">
      <c r="B36" s="125" t="s">
        <v>217</v>
      </c>
      <c r="C36" s="113">
        <f>+SUMIFS(AD$23:AD$223,$M$23:$M$223,$B36,$AC$23:$AC$223,$B$20)</f>
        <v>2.8800000000000003</v>
      </c>
      <c r="D36" s="114">
        <f>+SUMIFS(AE$23:AE$223,$M$23:$M$223,$B36,$AC$23:$AC$223,$B$20)</f>
        <v>30.52</v>
      </c>
      <c r="E36" s="119">
        <f t="shared" si="1"/>
        <v>33.4</v>
      </c>
      <c r="F36" s="19"/>
      <c r="H36" t="str">
        <f t="shared" si="3"/>
        <v>SEPTIEMBRESem3939Braulio Vinicio López Rancho</v>
      </c>
      <c r="I36" s="14" t="str">
        <f>+_xlfn.XLOOKUP(K36,DetalleCalculos!W:W,DetalleCalculos!S:S,"",0,1)</f>
        <v>SEPTIEMBRE</v>
      </c>
      <c r="J36" s="72" t="str">
        <f t="shared" si="4"/>
        <v>Sem39</v>
      </c>
      <c r="K36" s="72">
        <f t="shared" ref="K36" si="38">+$H$18</f>
        <v>39</v>
      </c>
      <c r="L36" s="72">
        <f>+IF(_xlfn.XLOOKUP(K36,DetalleCalculos!W:W,DetalleCalculos!U:U,0,0,1)=7,1,2)</f>
        <v>1</v>
      </c>
      <c r="M36" s="79" t="str" cm="1">
        <f t="array" ref="M36">+INDEX($B$23:$B$89,ROUNDUP((ROW()-22)/3,0))</f>
        <v>Braulio Vinicio López Rancho</v>
      </c>
      <c r="N36" s="76">
        <f>SUMIFS(DetalleCalculos!$N:$N,DetalleCalculos!$W:$W,$K36,DetalleCalculos!$H:$H,$M36)*24</f>
        <v>33.000000000000007</v>
      </c>
      <c r="O36" s="80">
        <f>SUMIFS(DetalleCalculos!$P:$P,DetalleCalculos!$W:$W,$K36,DetalleCalculos!$H:$H,$M36)</f>
        <v>36</v>
      </c>
      <c r="P36" s="80">
        <f>SUMIFS(DetalleCalculos!$Q:$Q,DetalleCalculos!$W:$W,$K36,DetalleCalculos!$H:$H,$M36)</f>
        <v>0</v>
      </c>
      <c r="Q36" s="24">
        <f t="shared" si="6"/>
        <v>36</v>
      </c>
      <c r="R36" s="24">
        <f t="shared" si="7"/>
        <v>0</v>
      </c>
      <c r="S36" s="80" t="str">
        <f>_xlfn.XLOOKUP($J36&amp;$K36&amp;$M36,DetalleCalculos!$B:$B,DetalleCalculos!$O:$O,"",0,1)</f>
        <v>0-4-3</v>
      </c>
      <c r="T36" s="29">
        <f>+_xlfn.XLOOKUP($S36,'Horarios y Sistemas'!$C:$C,'Horarios y Sistemas'!M:M,0,0,1)</f>
        <v>0</v>
      </c>
      <c r="U36" s="29">
        <f t="shared" si="8"/>
        <v>1</v>
      </c>
      <c r="V36" s="30">
        <f t="shared" si="9"/>
        <v>0</v>
      </c>
      <c r="W36" s="30">
        <f t="shared" si="10"/>
        <v>0</v>
      </c>
      <c r="X36" s="24">
        <f t="shared" si="11"/>
        <v>0</v>
      </c>
      <c r="Y36" s="24">
        <f t="shared" si="12"/>
        <v>0</v>
      </c>
      <c r="Z36" s="96" t="s">
        <v>246</v>
      </c>
      <c r="AA36" s="101">
        <f t="shared" ref="AA36" si="39">+IF(AA35&lt;=0,0,IF(AND(AA35&gt;AB35,AB35&lt;=0),IF(AA35+AB35&gt;0,AA35+AB35,0),IF(AND(AA35&gt;0,AB35&gt;0),AA35,0)))</f>
        <v>45</v>
      </c>
      <c r="AB36" s="102">
        <f t="shared" ref="AB36" si="40">+IF(AB35&lt;=0,0,IF(AND(AB35&gt;AA35,AA35&lt;=0),IF(AB35+AA35&gt;0,AB35+AA35,0),IF(AND(AB35&gt;0,AA35&gt;0),AB35,0)))</f>
        <v>0</v>
      </c>
      <c r="AC36" s="97" t="s">
        <v>125</v>
      </c>
      <c r="AD36" s="103">
        <f t="shared" ref="AD36" si="41">+AA36/$X$5</f>
        <v>30</v>
      </c>
      <c r="AE36" s="104">
        <f t="shared" ref="AE36" si="42">+AB36/$Y$5</f>
        <v>0</v>
      </c>
    </row>
    <row r="37" spans="2:31" ht="15.75" thickBot="1">
      <c r="B37" s="125" t="s">
        <v>218</v>
      </c>
      <c r="C37" s="113">
        <f>+SUMIFS(AD$23:AD$223,$M$23:$M$223,$B37,$AC$23:$AC$223,$B$20)</f>
        <v>2.8800000000000003</v>
      </c>
      <c r="D37" s="114">
        <f>+SUMIFS(AE$23:AE$223,$M$23:$M$223,$B37,$AC$23:$AC$223,$B$20)</f>
        <v>30.52</v>
      </c>
      <c r="E37" s="119">
        <f t="shared" si="1"/>
        <v>33.4</v>
      </c>
      <c r="F37" s="19"/>
      <c r="H37" t="str">
        <f t="shared" si="3"/>
        <v>SEPTIEMBRESem4040Braulio Vinicio López Rancho</v>
      </c>
      <c r="I37" s="14" t="str">
        <f>+_xlfn.XLOOKUP(K37,DetalleCalculos!W:W,DetalleCalculos!S:S,"",0,1)</f>
        <v>SEPTIEMBRE</v>
      </c>
      <c r="J37" s="72" t="str">
        <f t="shared" si="4"/>
        <v>Sem40</v>
      </c>
      <c r="K37" s="72">
        <f t="shared" ref="K37" si="43">+$H$19</f>
        <v>40</v>
      </c>
      <c r="L37" s="72">
        <f>+IF(_xlfn.XLOOKUP(K37,DetalleCalculos!W:W,DetalleCalculos!U:U,0,0,1)=7,1,2)</f>
        <v>1</v>
      </c>
      <c r="M37" s="79" t="str" cm="1">
        <f t="array" ref="M37">+INDEX($B$23:$B$89,ROUNDUP((ROW()-22)/3,0))</f>
        <v>Braulio Vinicio López Rancho</v>
      </c>
      <c r="N37" s="76">
        <f>SUMIFS(DetalleCalculos!$N:$N,DetalleCalculos!$W:$W,$K37,DetalleCalculos!$H:$H,$M37)*24</f>
        <v>66</v>
      </c>
      <c r="O37" s="80">
        <f>SUMIFS(DetalleCalculos!$P:$P,DetalleCalculos!$W:$W,$K37,DetalleCalculos!$H:$H,$M37)</f>
        <v>44</v>
      </c>
      <c r="P37" s="80">
        <f>SUMIFS(DetalleCalculos!$Q:$Q,DetalleCalculos!$W:$W,$K37,DetalleCalculos!$H:$H,$M37)</f>
        <v>0</v>
      </c>
      <c r="Q37" s="24">
        <f t="shared" si="6"/>
        <v>44</v>
      </c>
      <c r="R37" s="24">
        <f t="shared" si="7"/>
        <v>22</v>
      </c>
      <c r="S37" s="80" t="str">
        <f>_xlfn.XLOOKUP($J37&amp;$K37&amp;$M37,DetalleCalculos!$B:$B,DetalleCalculos!$O:$O,"",0,1)</f>
        <v>6-0-1</v>
      </c>
      <c r="T37" s="29">
        <f>+_xlfn.XLOOKUP($S37,'Horarios y Sistemas'!$C:$C,'Horarios y Sistemas'!M:M,0,0,1)</f>
        <v>1</v>
      </c>
      <c r="U37" s="29">
        <f t="shared" si="8"/>
        <v>0</v>
      </c>
      <c r="V37" s="30">
        <f t="shared" si="9"/>
        <v>22</v>
      </c>
      <c r="W37" s="30">
        <f t="shared" si="10"/>
        <v>0</v>
      </c>
      <c r="X37" s="24">
        <f t="shared" si="11"/>
        <v>33</v>
      </c>
      <c r="Y37" s="24">
        <f t="shared" si="12"/>
        <v>0</v>
      </c>
      <c r="Z37" s="95"/>
      <c r="AA37" s="99"/>
      <c r="AB37" s="100"/>
    </row>
    <row r="38" spans="2:31">
      <c r="B38" s="125" t="s">
        <v>219</v>
      </c>
      <c r="C38" s="113">
        <f>+SUMIFS(AD$23:AD$223,$M$23:$M$223,$B38,$AC$23:$AC$223,$B$20)</f>
        <v>0</v>
      </c>
      <c r="D38" s="114">
        <f>+SUMIFS(AE$23:AE$223,$M$23:$M$223,$B38,$AC$23:$AC$223,$B$20)</f>
        <v>0</v>
      </c>
      <c r="E38" s="119">
        <f t="shared" si="1"/>
        <v>0</v>
      </c>
      <c r="F38" s="19"/>
      <c r="H38" t="str">
        <f t="shared" si="3"/>
        <v>SEPTIEMBRESem3838Bryan Amilcar Yax Rivera</v>
      </c>
      <c r="I38" s="14" t="str">
        <f>+_xlfn.XLOOKUP(K38,DetalleCalculos!W:W,DetalleCalculos!S:S,"",0,1)</f>
        <v>SEPTIEMBRE</v>
      </c>
      <c r="J38" s="72" t="str">
        <f t="shared" si="4"/>
        <v>Sem38</v>
      </c>
      <c r="K38" s="72">
        <f t="shared" ref="K38" si="44">+$H$17</f>
        <v>38</v>
      </c>
      <c r="L38" s="72">
        <f>+IF(_xlfn.XLOOKUP(K38,DetalleCalculos!W:W,DetalleCalculos!U:U,0,0,1)=7,1,2)</f>
        <v>1</v>
      </c>
      <c r="M38" s="79" t="str" cm="1">
        <f t="array" ref="M38">+INDEX($B$23:$B$89,ROUNDUP((ROW()-22)/3,0))</f>
        <v>Bryan Amilcar Yax Rivera</v>
      </c>
      <c r="N38" s="76">
        <f>SUMIFS(DetalleCalculos!$N:$N,DetalleCalculos!$W:$W,$K38,DetalleCalculos!$H:$H,$M38)*24</f>
        <v>52</v>
      </c>
      <c r="O38" s="80">
        <f>SUMIFS(DetalleCalculos!$P:$P,DetalleCalculos!$W:$W,$K38,DetalleCalculos!$H:$H,$M38)</f>
        <v>37.6</v>
      </c>
      <c r="P38" s="80">
        <f>SUMIFS(DetalleCalculos!$Q:$Q,DetalleCalculos!$W:$W,$K38,DetalleCalculos!$H:$H,$M38)</f>
        <v>0</v>
      </c>
      <c r="Q38" s="80">
        <f t="shared" si="6"/>
        <v>37.6</v>
      </c>
      <c r="R38" s="80">
        <f t="shared" si="7"/>
        <v>14.399999999999999</v>
      </c>
      <c r="S38" s="80" t="str">
        <f>_xlfn.XLOOKUP($J38&amp;$K38&amp;$M38,DetalleCalculos!$B:$B,DetalleCalculos!$O:$O,"",0,1)</f>
        <v>1-4-2</v>
      </c>
      <c r="T38" s="81">
        <f>+_xlfn.XLOOKUP($S38,'Horarios y Sistemas'!$C:$C,'Horarios y Sistemas'!M:M,0,0,1)</f>
        <v>0.2</v>
      </c>
      <c r="U38" s="81">
        <f t="shared" si="8"/>
        <v>0.8</v>
      </c>
      <c r="V38" s="82">
        <f t="shared" si="9"/>
        <v>2.88</v>
      </c>
      <c r="W38" s="82">
        <f t="shared" si="10"/>
        <v>11.52</v>
      </c>
      <c r="X38" s="80">
        <f t="shared" si="11"/>
        <v>4.32</v>
      </c>
      <c r="Y38" s="80">
        <f t="shared" si="12"/>
        <v>17.28</v>
      </c>
      <c r="Z38" s="95" t="s">
        <v>245</v>
      </c>
      <c r="AA38" s="99">
        <f t="shared" ref="AA38:AB38" si="45">+SUM(X38:X40)</f>
        <v>37.32</v>
      </c>
      <c r="AB38" s="100">
        <f t="shared" si="45"/>
        <v>47.28</v>
      </c>
    </row>
    <row r="39" spans="2:31" ht="15.75" thickBot="1">
      <c r="B39" s="125" t="s">
        <v>102</v>
      </c>
      <c r="C39" s="113">
        <f>+SUMIFS(AD$23:AD$223,$M$23:$M$223,$B39,$AC$23:$AC$223,$B$20)</f>
        <v>13.777777777777766</v>
      </c>
      <c r="D39" s="114">
        <f>+SUMIFS(AE$23:AE$223,$M$23:$M$223,$B39,$AC$23:$AC$223,$B$20)</f>
        <v>2.5555555555555554</v>
      </c>
      <c r="E39" s="119">
        <f t="shared" si="1"/>
        <v>16.333333333333321</v>
      </c>
      <c r="F39" s="19"/>
      <c r="H39" t="str">
        <f t="shared" si="3"/>
        <v>SEPTIEMBRESem3939Bryan Amilcar Yax Rivera</v>
      </c>
      <c r="I39" s="14" t="str">
        <f>+_xlfn.XLOOKUP(K39,DetalleCalculos!W:W,DetalleCalculos!S:S,"",0,1)</f>
        <v>SEPTIEMBRE</v>
      </c>
      <c r="J39" s="72" t="str">
        <f t="shared" si="4"/>
        <v>Sem39</v>
      </c>
      <c r="K39" s="72">
        <f t="shared" ref="K39" si="46">+$H$18</f>
        <v>39</v>
      </c>
      <c r="L39" s="72">
        <f>+IF(_xlfn.XLOOKUP(K39,DetalleCalculos!W:W,DetalleCalculos!U:U,0,0,1)=7,1,2)</f>
        <v>1</v>
      </c>
      <c r="M39" s="79" t="str" cm="1">
        <f t="array" ref="M39">+INDEX($B$23:$B$89,ROUNDUP((ROW()-22)/3,0))</f>
        <v>Bryan Amilcar Yax Rivera</v>
      </c>
      <c r="N39" s="76">
        <f>SUMIFS(DetalleCalculos!$N:$N,DetalleCalculos!$W:$W,$K39,DetalleCalculos!$H:$H,$M39)*24</f>
        <v>66</v>
      </c>
      <c r="O39" s="80">
        <f>SUMIFS(DetalleCalculos!$P:$P,DetalleCalculos!$W:$W,$K39,DetalleCalculos!$H:$H,$M39)</f>
        <v>44</v>
      </c>
      <c r="P39" s="80">
        <f>SUMIFS(DetalleCalculos!$Q:$Q,DetalleCalculos!$W:$W,$K39,DetalleCalculos!$H:$H,$M39)</f>
        <v>0</v>
      </c>
      <c r="Q39" s="24">
        <f t="shared" si="6"/>
        <v>44</v>
      </c>
      <c r="R39" s="24">
        <f t="shared" si="7"/>
        <v>22</v>
      </c>
      <c r="S39" s="80" t="str">
        <f>_xlfn.XLOOKUP($J39&amp;$K39&amp;$M39,DetalleCalculos!$B:$B,DetalleCalculos!$O:$O,"",0,1)</f>
        <v>6-0-1</v>
      </c>
      <c r="T39" s="29">
        <f>+_xlfn.XLOOKUP($S39,'Horarios y Sistemas'!$C:$C,'Horarios y Sistemas'!M:M,0,0,1)</f>
        <v>1</v>
      </c>
      <c r="U39" s="29">
        <f t="shared" si="8"/>
        <v>0</v>
      </c>
      <c r="V39" s="30">
        <f t="shared" si="9"/>
        <v>22</v>
      </c>
      <c r="W39" s="30">
        <f t="shared" si="10"/>
        <v>0</v>
      </c>
      <c r="X39" s="24">
        <f t="shared" si="11"/>
        <v>33</v>
      </c>
      <c r="Y39" s="24">
        <f t="shared" si="12"/>
        <v>0</v>
      </c>
      <c r="Z39" s="96" t="s">
        <v>246</v>
      </c>
      <c r="AA39" s="101">
        <f t="shared" ref="AA39" si="47">+IF(AA38&lt;=0,0,IF(AND(AA38&gt;AB38,AB38&lt;=0),IF(AA38+AB38&gt;0,AA38+AB38,0),IF(AND(AA38&gt;0,AB38&gt;0),AA38,0)))</f>
        <v>37.32</v>
      </c>
      <c r="AB39" s="102">
        <f t="shared" ref="AB39" si="48">+IF(AB38&lt;=0,0,IF(AND(AB38&gt;AA38,AA38&lt;=0),IF(AB38+AA38&gt;0,AB38+AA38,0),IF(AND(AB38&gt;0,AA38&gt;0),AB38,0)))</f>
        <v>47.28</v>
      </c>
      <c r="AC39" s="97" t="s">
        <v>125</v>
      </c>
      <c r="AD39" s="103">
        <f t="shared" ref="AD39" si="49">+AA39/$X$5</f>
        <v>24.88</v>
      </c>
      <c r="AE39" s="104">
        <f t="shared" ref="AE39" si="50">+AB39/$Y$5</f>
        <v>31.52</v>
      </c>
    </row>
    <row r="40" spans="2:31" ht="15.75" thickBot="1">
      <c r="B40" s="125" t="s">
        <v>21</v>
      </c>
      <c r="C40" s="113">
        <f>+SUMIFS(AD$23:AD$223,$M$23:$M$223,$B40,$AC$23:$AC$223,$B$20)</f>
        <v>0</v>
      </c>
      <c r="D40" s="114">
        <f>+SUMIFS(AE$23:AE$223,$M$23:$M$223,$B40,$AC$23:$AC$223,$B$20)</f>
        <v>0</v>
      </c>
      <c r="E40" s="119">
        <f t="shared" si="1"/>
        <v>0</v>
      </c>
      <c r="F40" s="19"/>
      <c r="H40" t="str">
        <f t="shared" si="3"/>
        <v>SEPTIEMBRESem4040Bryan Amilcar Yax Rivera</v>
      </c>
      <c r="I40" s="14" t="str">
        <f>+_xlfn.XLOOKUP(K40,DetalleCalculos!W:W,DetalleCalculos!S:S,"",0,1)</f>
        <v>SEPTIEMBRE</v>
      </c>
      <c r="J40" s="72" t="str">
        <f t="shared" si="4"/>
        <v>Sem40</v>
      </c>
      <c r="K40" s="72">
        <f t="shared" ref="K40" si="51">+$H$19</f>
        <v>40</v>
      </c>
      <c r="L40" s="72">
        <f>+IF(_xlfn.XLOOKUP(K40,DetalleCalculos!W:W,DetalleCalculos!U:U,0,0,1)=7,1,2)</f>
        <v>1</v>
      </c>
      <c r="M40" s="79" t="str" cm="1">
        <f t="array" ref="M40">+INDEX($B$23:$B$89,ROUNDUP((ROW()-22)/3,0))</f>
        <v>Bryan Amilcar Yax Rivera</v>
      </c>
      <c r="N40" s="76">
        <f>SUMIFS(DetalleCalculos!$N:$N,DetalleCalculos!$W:$W,$K40,DetalleCalculos!$H:$H,$M40)*24</f>
        <v>56</v>
      </c>
      <c r="O40" s="80">
        <f>SUMIFS(DetalleCalculos!$P:$P,DetalleCalculos!$W:$W,$K40,DetalleCalculos!$H:$H,$M40)</f>
        <v>36</v>
      </c>
      <c r="P40" s="80">
        <f>SUMIFS(DetalleCalculos!$Q:$Q,DetalleCalculos!$W:$W,$K40,DetalleCalculos!$H:$H,$M40)</f>
        <v>0</v>
      </c>
      <c r="Q40" s="24">
        <f t="shared" si="6"/>
        <v>36</v>
      </c>
      <c r="R40" s="24">
        <f t="shared" si="7"/>
        <v>20</v>
      </c>
      <c r="S40" s="80" t="str">
        <f>_xlfn.XLOOKUP($J40&amp;$K40&amp;$M40,DetalleCalculos!$B:$B,DetalleCalculos!$O:$O,"",0,1)</f>
        <v>0-5-2</v>
      </c>
      <c r="T40" s="29">
        <f>+_xlfn.XLOOKUP($S40,'Horarios y Sistemas'!$C:$C,'Horarios y Sistemas'!M:M,0,0,1)</f>
        <v>0</v>
      </c>
      <c r="U40" s="29">
        <f t="shared" si="8"/>
        <v>1</v>
      </c>
      <c r="V40" s="30">
        <f t="shared" si="9"/>
        <v>0</v>
      </c>
      <c r="W40" s="30">
        <f t="shared" si="10"/>
        <v>20</v>
      </c>
      <c r="X40" s="24">
        <f t="shared" si="11"/>
        <v>0</v>
      </c>
      <c r="Y40" s="24">
        <f t="shared" si="12"/>
        <v>30</v>
      </c>
      <c r="Z40" s="95"/>
      <c r="AA40" s="99"/>
      <c r="AB40" s="100"/>
    </row>
    <row r="41" spans="2:31">
      <c r="B41" s="125" t="s">
        <v>220</v>
      </c>
      <c r="C41" s="113">
        <f>+SUMIFS(AD$23:AD$223,$M$23:$M$223,$B41,$AC$23:$AC$223,$B$20)</f>
        <v>18.749999999999993</v>
      </c>
      <c r="D41" s="114">
        <f>+SUMIFS(AE$23:AE$223,$M$23:$M$223,$B41,$AC$23:$AC$223,$B$20)</f>
        <v>21.25</v>
      </c>
      <c r="E41" s="119">
        <f t="shared" si="1"/>
        <v>39.999999999999993</v>
      </c>
      <c r="F41" s="19"/>
      <c r="H41" t="str">
        <f t="shared" si="3"/>
        <v>SEPTIEMBRESem3838CARLOS ANTONIO DE JESUS DUARTE URIAS</v>
      </c>
      <c r="I41" s="14" t="str">
        <f>+_xlfn.XLOOKUP(K41,DetalleCalculos!W:W,DetalleCalculos!S:S,"",0,1)</f>
        <v>SEPTIEMBRE</v>
      </c>
      <c r="J41" s="72" t="str">
        <f t="shared" si="4"/>
        <v>Sem38</v>
      </c>
      <c r="K41" s="72">
        <f t="shared" ref="K41" si="52">+$H$17</f>
        <v>38</v>
      </c>
      <c r="L41" s="72">
        <f>+IF(_xlfn.XLOOKUP(K41,DetalleCalculos!W:W,DetalleCalculos!U:U,0,0,1)=7,1,2)</f>
        <v>1</v>
      </c>
      <c r="M41" s="79" t="str" cm="1">
        <f t="array" ref="M41">+INDEX($B$23:$B$89,ROUNDUP((ROW()-22)/3,0))</f>
        <v>CARLOS ANTONIO DE JESUS DUARTE URIAS</v>
      </c>
      <c r="N41" s="76">
        <f>SUMIFS(DetalleCalculos!$N:$N,DetalleCalculos!$W:$W,$K41,DetalleCalculos!$H:$H,$M41)*24</f>
        <v>0</v>
      </c>
      <c r="O41" s="80">
        <f>SUMIFS(DetalleCalculos!$P:$P,DetalleCalculos!$W:$W,$K41,DetalleCalculos!$H:$H,$M41)</f>
        <v>0</v>
      </c>
      <c r="P41" s="80">
        <f>SUMIFS(DetalleCalculos!$Q:$Q,DetalleCalculos!$W:$W,$K41,DetalleCalculos!$H:$H,$M41)</f>
        <v>0</v>
      </c>
      <c r="Q41" s="80">
        <f t="shared" si="6"/>
        <v>0</v>
      </c>
      <c r="R41" s="80">
        <f t="shared" si="7"/>
        <v>0</v>
      </c>
      <c r="S41" s="80" t="str">
        <f>_xlfn.XLOOKUP($J41&amp;$K41&amp;$M41,DetalleCalculos!$B:$B,DetalleCalculos!$O:$O,"",0,1)</f>
        <v/>
      </c>
      <c r="T41" s="81">
        <f>+_xlfn.XLOOKUP($S41,'Horarios y Sistemas'!$C:$C,'Horarios y Sistemas'!M:M,0,0,1)</f>
        <v>0</v>
      </c>
      <c r="U41" s="81">
        <f t="shared" si="8"/>
        <v>1</v>
      </c>
      <c r="V41" s="82">
        <f t="shared" si="9"/>
        <v>0</v>
      </c>
      <c r="W41" s="82">
        <f t="shared" si="10"/>
        <v>0</v>
      </c>
      <c r="X41" s="80">
        <f t="shared" si="11"/>
        <v>0</v>
      </c>
      <c r="Y41" s="80">
        <f t="shared" si="12"/>
        <v>0</v>
      </c>
      <c r="Z41" s="95" t="s">
        <v>245</v>
      </c>
      <c r="AA41" s="99">
        <f t="shared" ref="AA41:AB41" si="53">+SUM(X41:X43)</f>
        <v>0</v>
      </c>
      <c r="AB41" s="100">
        <f t="shared" si="53"/>
        <v>0</v>
      </c>
    </row>
    <row r="42" spans="2:31" ht="15.75" thickBot="1">
      <c r="B42" s="125" t="s">
        <v>221</v>
      </c>
      <c r="C42" s="113">
        <f>+SUMIFS(AD$23:AD$223,$M$23:$M$223,$B42,$AC$23:$AC$223,$B$20)</f>
        <v>21.999999999999982</v>
      </c>
      <c r="D42" s="114">
        <f>+SUMIFS(AE$23:AE$223,$M$23:$M$223,$B42,$AC$23:$AC$223,$B$20)</f>
        <v>19</v>
      </c>
      <c r="E42" s="119">
        <f t="shared" si="1"/>
        <v>40.999999999999986</v>
      </c>
      <c r="F42" s="19"/>
      <c r="H42" t="str">
        <f t="shared" si="3"/>
        <v>SEPTIEMBRESem3939CARLOS ANTONIO DE JESUS DUARTE URIAS</v>
      </c>
      <c r="I42" s="14" t="str">
        <f>+_xlfn.XLOOKUP(K42,DetalleCalculos!W:W,DetalleCalculos!S:S,"",0,1)</f>
        <v>SEPTIEMBRE</v>
      </c>
      <c r="J42" s="72" t="str">
        <f t="shared" si="4"/>
        <v>Sem39</v>
      </c>
      <c r="K42" s="72">
        <f t="shared" ref="K42" si="54">+$H$18</f>
        <v>39</v>
      </c>
      <c r="L42" s="72">
        <f>+IF(_xlfn.XLOOKUP(K42,DetalleCalculos!W:W,DetalleCalculos!U:U,0,0,1)=7,1,2)</f>
        <v>1</v>
      </c>
      <c r="M42" s="79" t="str" cm="1">
        <f t="array" ref="M42">+INDEX($B$23:$B$89,ROUNDUP((ROW()-22)/3,0))</f>
        <v>CARLOS ANTONIO DE JESUS DUARTE URIAS</v>
      </c>
      <c r="N42" s="76">
        <f>SUMIFS(DetalleCalculos!$N:$N,DetalleCalculos!$W:$W,$K42,DetalleCalculos!$H:$H,$M42)*24</f>
        <v>0</v>
      </c>
      <c r="O42" s="80">
        <f>SUMIFS(DetalleCalculos!$P:$P,DetalleCalculos!$W:$W,$K42,DetalleCalculos!$H:$H,$M42)</f>
        <v>0</v>
      </c>
      <c r="P42" s="80">
        <f>SUMIFS(DetalleCalculos!$Q:$Q,DetalleCalculos!$W:$W,$K42,DetalleCalculos!$H:$H,$M42)</f>
        <v>0</v>
      </c>
      <c r="Q42" s="24">
        <f t="shared" si="6"/>
        <v>0</v>
      </c>
      <c r="R42" s="24">
        <f t="shared" si="7"/>
        <v>0</v>
      </c>
      <c r="S42" s="80" t="str">
        <f>_xlfn.XLOOKUP($J42&amp;$K42&amp;$M42,DetalleCalculos!$B:$B,DetalleCalculos!$O:$O,"",0,1)</f>
        <v/>
      </c>
      <c r="T42" s="29">
        <f>+_xlfn.XLOOKUP($S42,'Horarios y Sistemas'!$C:$C,'Horarios y Sistemas'!M:M,0,0,1)</f>
        <v>0</v>
      </c>
      <c r="U42" s="29">
        <f t="shared" si="8"/>
        <v>1</v>
      </c>
      <c r="V42" s="30">
        <f t="shared" si="9"/>
        <v>0</v>
      </c>
      <c r="W42" s="30">
        <f t="shared" si="10"/>
        <v>0</v>
      </c>
      <c r="X42" s="24">
        <f t="shared" si="11"/>
        <v>0</v>
      </c>
      <c r="Y42" s="24">
        <f t="shared" si="12"/>
        <v>0</v>
      </c>
      <c r="Z42" s="96" t="s">
        <v>246</v>
      </c>
      <c r="AA42" s="101">
        <f t="shared" ref="AA42" si="55">+IF(AA41&lt;=0,0,IF(AND(AA41&gt;AB41,AB41&lt;=0),IF(AA41+AB41&gt;0,AA41+AB41,0),IF(AND(AA41&gt;0,AB41&gt;0),AA41,0)))</f>
        <v>0</v>
      </c>
      <c r="AB42" s="102">
        <f t="shared" ref="AB42" si="56">+IF(AB41&lt;=0,0,IF(AND(AB41&gt;AA41,AA41&lt;=0),IF(AB41+AA41&gt;0,AB41+AA41,0),IF(AND(AB41&gt;0,AA41&gt;0),AB41,0)))</f>
        <v>0</v>
      </c>
      <c r="AC42" s="97" t="s">
        <v>125</v>
      </c>
      <c r="AD42" s="103">
        <f t="shared" ref="AD42" si="57">+AA42/$X$5</f>
        <v>0</v>
      </c>
      <c r="AE42" s="104">
        <f t="shared" ref="AE42" si="58">+AB42/$Y$5</f>
        <v>0</v>
      </c>
    </row>
    <row r="43" spans="2:31" ht="15.75" thickBot="1">
      <c r="B43" s="125" t="s">
        <v>12</v>
      </c>
      <c r="C43" s="113">
        <f>+SUMIFS(AD$23:AD$223,$M$23:$M$223,$B43,$AC$23:$AC$223,$B$20)</f>
        <v>36.749999999999986</v>
      </c>
      <c r="D43" s="114">
        <f>+SUMIFS(AE$23:AE$223,$M$23:$M$223,$B43,$AC$23:$AC$223,$B$20)</f>
        <v>2.25</v>
      </c>
      <c r="E43" s="119">
        <f t="shared" si="1"/>
        <v>38.999999999999986</v>
      </c>
      <c r="F43" s="19"/>
      <c r="H43" t="str">
        <f t="shared" si="3"/>
        <v>SEPTIEMBRESem4040CARLOS ANTONIO DE JESUS DUARTE URIAS</v>
      </c>
      <c r="I43" s="14" t="str">
        <f>+_xlfn.XLOOKUP(K43,DetalleCalculos!W:W,DetalleCalculos!S:S,"",0,1)</f>
        <v>SEPTIEMBRE</v>
      </c>
      <c r="J43" s="72" t="str">
        <f t="shared" si="4"/>
        <v>Sem40</v>
      </c>
      <c r="K43" s="72">
        <f t="shared" ref="K43" si="59">+$H$19</f>
        <v>40</v>
      </c>
      <c r="L43" s="72">
        <f>+IF(_xlfn.XLOOKUP(K43,DetalleCalculos!W:W,DetalleCalculos!U:U,0,0,1)=7,1,2)</f>
        <v>1</v>
      </c>
      <c r="M43" s="79" t="str" cm="1">
        <f t="array" ref="M43">+INDEX($B$23:$B$89,ROUNDUP((ROW()-22)/3,0))</f>
        <v>CARLOS ANTONIO DE JESUS DUARTE URIAS</v>
      </c>
      <c r="N43" s="76">
        <f>SUMIFS(DetalleCalculos!$N:$N,DetalleCalculos!$W:$W,$K43,DetalleCalculos!$H:$H,$M43)*24</f>
        <v>0</v>
      </c>
      <c r="O43" s="80">
        <f>SUMIFS(DetalleCalculos!$P:$P,DetalleCalculos!$W:$W,$K43,DetalleCalculos!$H:$H,$M43)</f>
        <v>0</v>
      </c>
      <c r="P43" s="80">
        <f>SUMIFS(DetalleCalculos!$Q:$Q,DetalleCalculos!$W:$W,$K43,DetalleCalculos!$H:$H,$M43)</f>
        <v>0</v>
      </c>
      <c r="Q43" s="24">
        <f t="shared" si="6"/>
        <v>0</v>
      </c>
      <c r="R43" s="24">
        <f t="shared" si="7"/>
        <v>0</v>
      </c>
      <c r="S43" s="80" t="str">
        <f>_xlfn.XLOOKUP($J43&amp;$K43&amp;$M43,DetalleCalculos!$B:$B,DetalleCalculos!$O:$O,"",0,1)</f>
        <v/>
      </c>
      <c r="T43" s="29">
        <f>+_xlfn.XLOOKUP($S43,'Horarios y Sistemas'!$C:$C,'Horarios y Sistemas'!M:M,0,0,1)</f>
        <v>0</v>
      </c>
      <c r="U43" s="29">
        <f t="shared" si="8"/>
        <v>1</v>
      </c>
      <c r="V43" s="30">
        <f t="shared" si="9"/>
        <v>0</v>
      </c>
      <c r="W43" s="30">
        <f t="shared" si="10"/>
        <v>0</v>
      </c>
      <c r="X43" s="24">
        <f t="shared" si="11"/>
        <v>0</v>
      </c>
      <c r="Y43" s="24">
        <f t="shared" si="12"/>
        <v>0</v>
      </c>
      <c r="Z43" s="95"/>
      <c r="AA43" s="99"/>
      <c r="AB43" s="100"/>
    </row>
    <row r="44" spans="2:31">
      <c r="B44" s="125" t="s">
        <v>222</v>
      </c>
      <c r="C44" s="113">
        <f>+SUMIFS(AD$23:AD$223,$M$23:$M$223,$B44,$AC$23:$AC$223,$B$20)</f>
        <v>11</v>
      </c>
      <c r="D44" s="114">
        <f>+SUMIFS(AE$23:AE$223,$M$23:$M$223,$B44,$AC$23:$AC$223,$B$20)</f>
        <v>0</v>
      </c>
      <c r="E44" s="119">
        <f t="shared" si="1"/>
        <v>11</v>
      </c>
      <c r="F44" s="19"/>
      <c r="H44" t="str">
        <f t="shared" si="3"/>
        <v>SEPTIEMBRESem3838CARLOS DANIEL RUIZ SANTOS</v>
      </c>
      <c r="I44" s="14" t="str">
        <f>+_xlfn.XLOOKUP(K44,DetalleCalculos!W:W,DetalleCalculos!S:S,"",0,1)</f>
        <v>SEPTIEMBRE</v>
      </c>
      <c r="J44" s="72" t="str">
        <f t="shared" si="4"/>
        <v>Sem38</v>
      </c>
      <c r="K44" s="72">
        <f t="shared" ref="K44" si="60">+$H$17</f>
        <v>38</v>
      </c>
      <c r="L44" s="72">
        <f>+IF(_xlfn.XLOOKUP(K44,DetalleCalculos!W:W,DetalleCalculos!U:U,0,0,1)=7,1,2)</f>
        <v>1</v>
      </c>
      <c r="M44" s="79" t="str" cm="1">
        <f t="array" ref="M44">+INDEX($B$23:$B$89,ROUNDUP((ROW()-22)/3,0))</f>
        <v>CARLOS DANIEL RUIZ SANTOS</v>
      </c>
      <c r="N44" s="76">
        <f>SUMIFS(DetalleCalculos!$N:$N,DetalleCalculos!$W:$W,$K44,DetalleCalculos!$H:$H,$M44)*24</f>
        <v>38</v>
      </c>
      <c r="O44" s="80">
        <f>SUMIFS(DetalleCalculos!$P:$P,DetalleCalculos!$W:$W,$K44,DetalleCalculos!$H:$H,$M44)</f>
        <v>44</v>
      </c>
      <c r="P44" s="80">
        <f>SUMIFS(DetalleCalculos!$Q:$Q,DetalleCalculos!$W:$W,$K44,DetalleCalculos!$H:$H,$M44)</f>
        <v>0</v>
      </c>
      <c r="Q44" s="80">
        <f t="shared" si="6"/>
        <v>44</v>
      </c>
      <c r="R44" s="80">
        <f t="shared" si="7"/>
        <v>0</v>
      </c>
      <c r="S44" s="80" t="str">
        <f>_xlfn.XLOOKUP($J44&amp;$K44&amp;$M44,DetalleCalculos!$B:$B,DetalleCalculos!$O:$O,"",0,1)</f>
        <v>4-0-3</v>
      </c>
      <c r="T44" s="81">
        <f>+_xlfn.XLOOKUP($S44,'Horarios y Sistemas'!$C:$C,'Horarios y Sistemas'!M:M,0,0,1)</f>
        <v>1</v>
      </c>
      <c r="U44" s="81">
        <f t="shared" si="8"/>
        <v>0</v>
      </c>
      <c r="V44" s="82">
        <f t="shared" si="9"/>
        <v>0</v>
      </c>
      <c r="W44" s="82">
        <f t="shared" si="10"/>
        <v>0</v>
      </c>
      <c r="X44" s="80">
        <f t="shared" si="11"/>
        <v>0</v>
      </c>
      <c r="Y44" s="80">
        <f t="shared" si="12"/>
        <v>0</v>
      </c>
      <c r="Z44" s="95" t="s">
        <v>245</v>
      </c>
      <c r="AA44" s="99">
        <f t="shared" ref="AA44:AB44" si="61">+SUM(X44:X46)</f>
        <v>26.999999999999989</v>
      </c>
      <c r="AB44" s="100">
        <f t="shared" si="61"/>
        <v>28.5</v>
      </c>
    </row>
    <row r="45" spans="2:31" ht="15.75" thickBot="1">
      <c r="B45" s="125" t="s">
        <v>236</v>
      </c>
      <c r="C45" s="113">
        <f>+SUMIFS(AD$23:AD$223,$M$23:$M$223,$B45,$AC$23:$AC$223,$B$20)</f>
        <v>26</v>
      </c>
      <c r="D45" s="114">
        <f>+SUMIFS(AE$23:AE$223,$M$23:$M$223,$B45,$AC$23:$AC$223,$B$20)</f>
        <v>0</v>
      </c>
      <c r="E45" s="119">
        <f t="shared" si="1"/>
        <v>26</v>
      </c>
      <c r="F45" s="19"/>
      <c r="H45" t="str">
        <f t="shared" si="3"/>
        <v>SEPTIEMBRESem3939CARLOS DANIEL RUIZ SANTOS</v>
      </c>
      <c r="I45" s="14" t="str">
        <f>+_xlfn.XLOOKUP(K45,DetalleCalculos!W:W,DetalleCalculos!S:S,"",0,1)</f>
        <v>SEPTIEMBRE</v>
      </c>
      <c r="J45" s="72" t="str">
        <f t="shared" si="4"/>
        <v>Sem39</v>
      </c>
      <c r="K45" s="72">
        <f t="shared" ref="K45" si="62">+$H$18</f>
        <v>39</v>
      </c>
      <c r="L45" s="72">
        <f>+IF(_xlfn.XLOOKUP(K45,DetalleCalculos!W:W,DetalleCalculos!U:U,0,0,1)=7,1,2)</f>
        <v>1</v>
      </c>
      <c r="M45" s="79" t="str" cm="1">
        <f t="array" ref="M45">+INDEX($B$23:$B$89,ROUNDUP((ROW()-22)/3,0))</f>
        <v>CARLOS DANIEL RUIZ SANTOS</v>
      </c>
      <c r="N45" s="76">
        <f>SUMIFS(DetalleCalculos!$N:$N,DetalleCalculos!$W:$W,$K45,DetalleCalculos!$H:$H,$M45)*24</f>
        <v>61.999999999999993</v>
      </c>
      <c r="O45" s="80">
        <f>SUMIFS(DetalleCalculos!$P:$P,DetalleCalculos!$W:$W,$K45,DetalleCalculos!$H:$H,$M45)</f>
        <v>44</v>
      </c>
      <c r="P45" s="80">
        <f>SUMIFS(DetalleCalculos!$Q:$Q,DetalleCalculos!$W:$W,$K45,DetalleCalculos!$H:$H,$M45)</f>
        <v>0</v>
      </c>
      <c r="Q45" s="24">
        <f t="shared" si="6"/>
        <v>44</v>
      </c>
      <c r="R45" s="24">
        <f t="shared" si="7"/>
        <v>17.999999999999993</v>
      </c>
      <c r="S45" s="80" t="str">
        <f>_xlfn.XLOOKUP($J45&amp;$K45&amp;$M45,DetalleCalculos!$B:$B,DetalleCalculos!$O:$O,"",0,1)</f>
        <v>6-0-1</v>
      </c>
      <c r="T45" s="29">
        <f>+_xlfn.XLOOKUP($S45,'Horarios y Sistemas'!$C:$C,'Horarios y Sistemas'!M:M,0,0,1)</f>
        <v>1</v>
      </c>
      <c r="U45" s="29">
        <f t="shared" si="8"/>
        <v>0</v>
      </c>
      <c r="V45" s="30">
        <f t="shared" si="9"/>
        <v>17.999999999999993</v>
      </c>
      <c r="W45" s="30">
        <f t="shared" si="10"/>
        <v>0</v>
      </c>
      <c r="X45" s="24">
        <f t="shared" si="11"/>
        <v>26.999999999999989</v>
      </c>
      <c r="Y45" s="24">
        <f t="shared" si="12"/>
        <v>0</v>
      </c>
      <c r="Z45" s="96" t="s">
        <v>246</v>
      </c>
      <c r="AA45" s="101">
        <f t="shared" ref="AA45" si="63">+IF(AA44&lt;=0,0,IF(AND(AA44&gt;AB44,AB44&lt;=0),IF(AA44+AB44&gt;0,AA44+AB44,0),IF(AND(AA44&gt;0,AB44&gt;0),AA44,0)))</f>
        <v>26.999999999999989</v>
      </c>
      <c r="AB45" s="102">
        <f t="shared" ref="AB45" si="64">+IF(AB44&lt;=0,0,IF(AND(AB44&gt;AA44,AA44&lt;=0),IF(AB44+AA44&gt;0,AB44+AA44,0),IF(AND(AB44&gt;0,AA44&gt;0),AB44,0)))</f>
        <v>28.5</v>
      </c>
      <c r="AC45" s="97" t="s">
        <v>125</v>
      </c>
      <c r="AD45" s="103">
        <f t="shared" ref="AD45" si="65">+AA45/$X$5</f>
        <v>17.999999999999993</v>
      </c>
      <c r="AE45" s="104">
        <f t="shared" ref="AE45" si="66">+AB45/$Y$5</f>
        <v>19</v>
      </c>
    </row>
    <row r="46" spans="2:31" ht="15.75" thickBot="1">
      <c r="B46" s="125" t="s">
        <v>223</v>
      </c>
      <c r="C46" s="113">
        <f>+SUMIFS(AD$23:AD$223,$M$23:$M$223,$B46,$AC$23:$AC$223,$B$20)</f>
        <v>0</v>
      </c>
      <c r="D46" s="114">
        <f>+SUMIFS(AE$23:AE$223,$M$23:$M$223,$B46,$AC$23:$AC$223,$B$20)</f>
        <v>0</v>
      </c>
      <c r="E46" s="119">
        <f t="shared" si="1"/>
        <v>0</v>
      </c>
      <c r="F46" s="19"/>
      <c r="H46" t="str">
        <f t="shared" si="3"/>
        <v>SEPTIEMBRESem4040CARLOS DANIEL RUIZ SANTOS</v>
      </c>
      <c r="I46" s="14" t="str">
        <f>+_xlfn.XLOOKUP(K46,DetalleCalculos!W:W,DetalleCalculos!S:S,"",0,1)</f>
        <v>SEPTIEMBRE</v>
      </c>
      <c r="J46" s="72" t="str">
        <f t="shared" si="4"/>
        <v>Sem40</v>
      </c>
      <c r="K46" s="72">
        <f t="shared" ref="K46" si="67">+$H$19</f>
        <v>40</v>
      </c>
      <c r="L46" s="72">
        <f>+IF(_xlfn.XLOOKUP(K46,DetalleCalculos!W:W,DetalleCalculos!U:U,0,0,1)=7,1,2)</f>
        <v>1</v>
      </c>
      <c r="M46" s="79" t="str" cm="1">
        <f t="array" ref="M46">+INDEX($B$23:$B$89,ROUNDUP((ROW()-22)/3,0))</f>
        <v>CARLOS DANIEL RUIZ SANTOS</v>
      </c>
      <c r="N46" s="76">
        <f>SUMIFS(DetalleCalculos!$N:$N,DetalleCalculos!$W:$W,$K46,DetalleCalculos!$H:$H,$M46)*24</f>
        <v>55</v>
      </c>
      <c r="O46" s="80">
        <f>SUMIFS(DetalleCalculos!$P:$P,DetalleCalculos!$W:$W,$K46,DetalleCalculos!$H:$H,$M46)</f>
        <v>36</v>
      </c>
      <c r="P46" s="80">
        <f>SUMIFS(DetalleCalculos!$Q:$Q,DetalleCalculos!$W:$W,$K46,DetalleCalculos!$H:$H,$M46)</f>
        <v>0</v>
      </c>
      <c r="Q46" s="24">
        <f t="shared" si="6"/>
        <v>36</v>
      </c>
      <c r="R46" s="24">
        <f t="shared" si="7"/>
        <v>19</v>
      </c>
      <c r="S46" s="80" t="str">
        <f>_xlfn.XLOOKUP($J46&amp;$K46&amp;$M46,DetalleCalculos!$B:$B,DetalleCalculos!$O:$O,"",0,1)</f>
        <v>0-5-2</v>
      </c>
      <c r="T46" s="29">
        <f>+_xlfn.XLOOKUP($S46,'Horarios y Sistemas'!$C:$C,'Horarios y Sistemas'!M:M,0,0,1)</f>
        <v>0</v>
      </c>
      <c r="U46" s="29">
        <f t="shared" si="8"/>
        <v>1</v>
      </c>
      <c r="V46" s="30">
        <f t="shared" si="9"/>
        <v>0</v>
      </c>
      <c r="W46" s="30">
        <f t="shared" si="10"/>
        <v>19</v>
      </c>
      <c r="X46" s="24">
        <f t="shared" si="11"/>
        <v>0</v>
      </c>
      <c r="Y46" s="24">
        <f t="shared" si="12"/>
        <v>28.5</v>
      </c>
      <c r="Z46" s="95"/>
      <c r="AA46" s="99"/>
      <c r="AB46" s="100"/>
    </row>
    <row r="47" spans="2:31">
      <c r="B47" s="125" t="s">
        <v>4</v>
      </c>
      <c r="C47" s="113">
        <f>+SUMIFS(AD$23:AD$223,$M$23:$M$223,$B47,$AC$23:$AC$223,$B$20)</f>
        <v>0</v>
      </c>
      <c r="D47" s="114">
        <f>+SUMIFS(AE$23:AE$223,$M$23:$M$223,$B47,$AC$23:$AC$223,$B$20)</f>
        <v>0</v>
      </c>
      <c r="E47" s="119">
        <f t="shared" si="1"/>
        <v>0</v>
      </c>
      <c r="F47" s="19"/>
      <c r="H47" t="str">
        <f t="shared" si="3"/>
        <v>SEPTIEMBRESem3838CASTILLO SOLARES CARLOS ARTURO</v>
      </c>
      <c r="I47" s="14" t="str">
        <f>+_xlfn.XLOOKUP(K47,DetalleCalculos!W:W,DetalleCalculos!S:S,"",0,1)</f>
        <v>SEPTIEMBRE</v>
      </c>
      <c r="J47" s="72" t="str">
        <f t="shared" si="4"/>
        <v>Sem38</v>
      </c>
      <c r="K47" s="72">
        <f t="shared" ref="K47" si="68">+$H$17</f>
        <v>38</v>
      </c>
      <c r="L47" s="72">
        <f>+IF(_xlfn.XLOOKUP(K47,DetalleCalculos!W:W,DetalleCalculos!U:U,0,0,1)=7,1,2)</f>
        <v>1</v>
      </c>
      <c r="M47" s="79" t="str" cm="1">
        <f t="array" ref="M47">+INDEX($B$23:$B$89,ROUNDUP((ROW()-22)/3,0))</f>
        <v>CASTILLO SOLARES CARLOS ARTURO</v>
      </c>
      <c r="N47" s="76">
        <f>SUMIFS(DetalleCalculos!$N:$N,DetalleCalculos!$W:$W,$K47,DetalleCalculos!$H:$H,$M47)*24</f>
        <v>35.999999999999986</v>
      </c>
      <c r="O47" s="80">
        <f>SUMIFS(DetalleCalculos!$P:$P,DetalleCalculos!$W:$W,$K47,DetalleCalculos!$H:$H,$M47)</f>
        <v>44</v>
      </c>
      <c r="P47" s="80">
        <f>SUMIFS(DetalleCalculos!$Q:$Q,DetalleCalculos!$W:$W,$K47,DetalleCalculos!$H:$H,$M47)</f>
        <v>0</v>
      </c>
      <c r="Q47" s="80">
        <f t="shared" si="6"/>
        <v>44</v>
      </c>
      <c r="R47" s="80">
        <f t="shared" si="7"/>
        <v>0</v>
      </c>
      <c r="S47" s="80" t="str">
        <f>_xlfn.XLOOKUP($J47&amp;$K47&amp;$M47,DetalleCalculos!$B:$B,DetalleCalculos!$O:$O,"",0,1)</f>
        <v>5-0-2</v>
      </c>
      <c r="T47" s="81">
        <f>+_xlfn.XLOOKUP($S47,'Horarios y Sistemas'!$C:$C,'Horarios y Sistemas'!M:M,0,0,1)</f>
        <v>1</v>
      </c>
      <c r="U47" s="81">
        <f t="shared" si="8"/>
        <v>0</v>
      </c>
      <c r="V47" s="82">
        <f t="shared" si="9"/>
        <v>0</v>
      </c>
      <c r="W47" s="82">
        <f t="shared" si="10"/>
        <v>0</v>
      </c>
      <c r="X47" s="80">
        <f t="shared" si="11"/>
        <v>0</v>
      </c>
      <c r="Y47" s="80">
        <f t="shared" si="12"/>
        <v>0</v>
      </c>
      <c r="Z47" s="95" t="s">
        <v>245</v>
      </c>
      <c r="AA47" s="99">
        <f t="shared" ref="AA47:AB47" si="69">+SUM(X47:X49)</f>
        <v>0</v>
      </c>
      <c r="AB47" s="100">
        <f t="shared" si="69"/>
        <v>13.499999999999893</v>
      </c>
    </row>
    <row r="48" spans="2:31" ht="15.75" thickBot="1">
      <c r="B48" s="125" t="s">
        <v>224</v>
      </c>
      <c r="C48" s="113">
        <f>+SUMIFS(AD$23:AD$223,$M$23:$M$223,$B48,$AC$23:$AC$223,$B$20)</f>
        <v>24.500000000000046</v>
      </c>
      <c r="D48" s="114">
        <f>+SUMIFS(AE$23:AE$223,$M$23:$M$223,$B48,$AC$23:$AC$223,$B$20)</f>
        <v>20.250000000000028</v>
      </c>
      <c r="E48" s="119">
        <f t="shared" si="1"/>
        <v>44.750000000000071</v>
      </c>
      <c r="F48" s="19"/>
      <c r="H48" t="str">
        <f t="shared" si="3"/>
        <v>SEPTIEMBRESem3939CASTILLO SOLARES CARLOS ARTURO</v>
      </c>
      <c r="I48" s="14" t="str">
        <f>+_xlfn.XLOOKUP(K48,DetalleCalculos!W:W,DetalleCalculos!S:S,"",0,1)</f>
        <v>SEPTIEMBRE</v>
      </c>
      <c r="J48" s="72" t="str">
        <f t="shared" si="4"/>
        <v>Sem39</v>
      </c>
      <c r="K48" s="72">
        <f t="shared" ref="K48" si="70">+$H$18</f>
        <v>39</v>
      </c>
      <c r="L48" s="72">
        <f>+IF(_xlfn.XLOOKUP(K48,DetalleCalculos!W:W,DetalleCalculos!U:U,0,0,1)=7,1,2)</f>
        <v>1</v>
      </c>
      <c r="M48" s="79" t="str" cm="1">
        <f t="array" ref="M48">+INDEX($B$23:$B$89,ROUNDUP((ROW()-22)/3,0))</f>
        <v>CASTILLO SOLARES CARLOS ARTURO</v>
      </c>
      <c r="N48" s="76">
        <f>SUMIFS(DetalleCalculos!$N:$N,DetalleCalculos!$W:$W,$K48,DetalleCalculos!$H:$H,$M48)*24</f>
        <v>44.999999999999929</v>
      </c>
      <c r="O48" s="80">
        <f>SUMIFS(DetalleCalculos!$P:$P,DetalleCalculos!$W:$W,$K48,DetalleCalculos!$H:$H,$M48)</f>
        <v>36</v>
      </c>
      <c r="P48" s="80">
        <f>SUMIFS(DetalleCalculos!$Q:$Q,DetalleCalculos!$W:$W,$K48,DetalleCalculos!$H:$H,$M48)</f>
        <v>0</v>
      </c>
      <c r="Q48" s="24">
        <f t="shared" si="6"/>
        <v>36</v>
      </c>
      <c r="R48" s="24">
        <f t="shared" si="7"/>
        <v>8.9999999999999289</v>
      </c>
      <c r="S48" s="80" t="str">
        <f>_xlfn.XLOOKUP($J48&amp;$K48&amp;$M48,DetalleCalculos!$B:$B,DetalleCalculos!$O:$O,"",0,1)</f>
        <v>0-5-2</v>
      </c>
      <c r="T48" s="29">
        <f>+_xlfn.XLOOKUP($S48,'Horarios y Sistemas'!$C:$C,'Horarios y Sistemas'!M:M,0,0,1)</f>
        <v>0</v>
      </c>
      <c r="U48" s="29">
        <f t="shared" si="8"/>
        <v>1</v>
      </c>
      <c r="V48" s="30">
        <f t="shared" si="9"/>
        <v>0</v>
      </c>
      <c r="W48" s="30">
        <f t="shared" si="10"/>
        <v>8.9999999999999289</v>
      </c>
      <c r="X48" s="24">
        <f t="shared" si="11"/>
        <v>0</v>
      </c>
      <c r="Y48" s="24">
        <f t="shared" si="12"/>
        <v>13.499999999999893</v>
      </c>
      <c r="Z48" s="96" t="s">
        <v>246</v>
      </c>
      <c r="AA48" s="101">
        <f t="shared" ref="AA48" si="71">+IF(AA47&lt;=0,0,IF(AND(AA47&gt;AB47,AB47&lt;=0),IF(AA47+AB47&gt;0,AA47+AB47,0),IF(AND(AA47&gt;0,AB47&gt;0),AA47,0)))</f>
        <v>0</v>
      </c>
      <c r="AB48" s="102">
        <f t="shared" ref="AB48" si="72">+IF(AB47&lt;=0,0,IF(AND(AB47&gt;AA47,AA47&lt;=0),IF(AB47+AA47&gt;0,AB47+AA47,0),IF(AND(AB47&gt;0,AA47&gt;0),AB47,0)))</f>
        <v>13.499999999999893</v>
      </c>
      <c r="AC48" s="97" t="s">
        <v>125</v>
      </c>
      <c r="AD48" s="103">
        <f t="shared" ref="AD48" si="73">+AA48/$X$5</f>
        <v>0</v>
      </c>
      <c r="AE48" s="104">
        <f t="shared" ref="AE48" si="74">+AB48/$Y$5</f>
        <v>8.9999999999999289</v>
      </c>
    </row>
    <row r="49" spans="2:31" ht="15.75" thickBot="1">
      <c r="B49" s="125" t="s">
        <v>14</v>
      </c>
      <c r="C49" s="113">
        <f>+SUMIFS(AD$23:AD$223,$M$23:$M$223,$B49,$AC$23:$AC$223,$B$20)</f>
        <v>0.99999999999997158</v>
      </c>
      <c r="D49" s="114">
        <f>+SUMIFS(AE$23:AE$223,$M$23:$M$223,$B49,$AC$23:$AC$223,$B$20)</f>
        <v>0</v>
      </c>
      <c r="E49" s="119">
        <f t="shared" si="1"/>
        <v>0.99999999999997158</v>
      </c>
      <c r="F49" s="19"/>
      <c r="H49" t="str">
        <f t="shared" si="3"/>
        <v>SEPTIEMBRESem4040CASTILLO SOLARES CARLOS ARTURO</v>
      </c>
      <c r="I49" s="14" t="str">
        <f>+_xlfn.XLOOKUP(K49,DetalleCalculos!W:W,DetalleCalculos!S:S,"",0,1)</f>
        <v>SEPTIEMBRE</v>
      </c>
      <c r="J49" s="72" t="str">
        <f t="shared" si="4"/>
        <v>Sem40</v>
      </c>
      <c r="K49" s="72">
        <f t="shared" ref="K49" si="75">+$H$19</f>
        <v>40</v>
      </c>
      <c r="L49" s="72">
        <f>+IF(_xlfn.XLOOKUP(K49,DetalleCalculos!W:W,DetalleCalculos!U:U,0,0,1)=7,1,2)</f>
        <v>1</v>
      </c>
      <c r="M49" s="79" t="str" cm="1">
        <f t="array" ref="M49">+INDEX($B$23:$B$89,ROUNDUP((ROW()-22)/3,0))</f>
        <v>CASTILLO SOLARES CARLOS ARTURO</v>
      </c>
      <c r="N49" s="76">
        <f>SUMIFS(DetalleCalculos!$N:$N,DetalleCalculos!$W:$W,$K49,DetalleCalculos!$H:$H,$M49)*24</f>
        <v>43.999999999999986</v>
      </c>
      <c r="O49" s="80">
        <f>SUMIFS(DetalleCalculos!$P:$P,DetalleCalculos!$W:$W,$K49,DetalleCalculos!$H:$H,$M49)</f>
        <v>44</v>
      </c>
      <c r="P49" s="80">
        <f>SUMIFS(DetalleCalculos!$Q:$Q,DetalleCalculos!$W:$W,$K49,DetalleCalculos!$H:$H,$M49)</f>
        <v>0</v>
      </c>
      <c r="Q49" s="24">
        <f t="shared" si="6"/>
        <v>44</v>
      </c>
      <c r="R49" s="24">
        <f t="shared" si="7"/>
        <v>0</v>
      </c>
      <c r="S49" s="80" t="str">
        <f>_xlfn.XLOOKUP($J49&amp;$K49&amp;$M49,DetalleCalculos!$B:$B,DetalleCalculos!$O:$O,"",0,1)</f>
        <v>6-0-1</v>
      </c>
      <c r="T49" s="29">
        <f>+_xlfn.XLOOKUP($S49,'Horarios y Sistemas'!$C:$C,'Horarios y Sistemas'!M:M,0,0,1)</f>
        <v>1</v>
      </c>
      <c r="U49" s="29">
        <f t="shared" si="8"/>
        <v>0</v>
      </c>
      <c r="V49" s="30">
        <f t="shared" si="9"/>
        <v>0</v>
      </c>
      <c r="W49" s="30">
        <f t="shared" si="10"/>
        <v>0</v>
      </c>
      <c r="X49" s="24">
        <f t="shared" si="11"/>
        <v>0</v>
      </c>
      <c r="Y49" s="24">
        <f t="shared" si="12"/>
        <v>0</v>
      </c>
      <c r="Z49" s="95"/>
      <c r="AA49" s="99"/>
      <c r="AB49" s="100"/>
    </row>
    <row r="50" spans="2:31">
      <c r="B50" s="125" t="s">
        <v>18</v>
      </c>
      <c r="C50" s="113">
        <f>+SUMIFS(AD$23:AD$223,$M$23:$M$223,$B50,$AC$23:$AC$223,$B$20)</f>
        <v>0</v>
      </c>
      <c r="D50" s="114">
        <f>+SUMIFS(AE$23:AE$223,$M$23:$M$223,$B50,$AC$23:$AC$223,$B$20)</f>
        <v>0</v>
      </c>
      <c r="E50" s="119">
        <f t="shared" si="1"/>
        <v>0</v>
      </c>
      <c r="F50" s="19"/>
      <c r="H50" t="str">
        <f t="shared" si="3"/>
        <v>SEPTIEMBRESem3838CRISTIAN DANIEL CANAHUI CASTAÑEDA</v>
      </c>
      <c r="I50" s="14" t="str">
        <f>+_xlfn.XLOOKUP(K50,DetalleCalculos!W:W,DetalleCalculos!S:S,"",0,1)</f>
        <v>SEPTIEMBRE</v>
      </c>
      <c r="J50" s="72" t="str">
        <f t="shared" si="4"/>
        <v>Sem38</v>
      </c>
      <c r="K50" s="72">
        <f t="shared" ref="K50" si="76">+$H$17</f>
        <v>38</v>
      </c>
      <c r="L50" s="72">
        <f>+IF(_xlfn.XLOOKUP(K50,DetalleCalculos!W:W,DetalleCalculos!U:U,0,0,1)=7,1,2)</f>
        <v>1</v>
      </c>
      <c r="M50" s="79" t="str" cm="1">
        <f t="array" ref="M50">+INDEX($B$23:$B$89,ROUNDUP((ROW()-22)/3,0))</f>
        <v>CRISTIAN DANIEL CANAHUI CASTAÑEDA</v>
      </c>
      <c r="N50" s="76">
        <f>SUMIFS(DetalleCalculos!$N:$N,DetalleCalculos!$W:$W,$K50,DetalleCalculos!$H:$H,$M50)*24</f>
        <v>0</v>
      </c>
      <c r="O50" s="80">
        <f>SUMIFS(DetalleCalculos!$P:$P,DetalleCalculos!$W:$W,$K50,DetalleCalculos!$H:$H,$M50)</f>
        <v>0</v>
      </c>
      <c r="P50" s="80">
        <f>SUMIFS(DetalleCalculos!$Q:$Q,DetalleCalculos!$W:$W,$K50,DetalleCalculos!$H:$H,$M50)</f>
        <v>0</v>
      </c>
      <c r="Q50" s="80">
        <f t="shared" si="6"/>
        <v>0</v>
      </c>
      <c r="R50" s="80">
        <f t="shared" si="7"/>
        <v>0</v>
      </c>
      <c r="S50" s="80" t="str">
        <f>_xlfn.XLOOKUP($J50&amp;$K50&amp;$M50,DetalleCalculos!$B:$B,DetalleCalculos!$O:$O,"",0,1)</f>
        <v/>
      </c>
      <c r="T50" s="81">
        <f>+_xlfn.XLOOKUP($S50,'Horarios y Sistemas'!$C:$C,'Horarios y Sistemas'!M:M,0,0,1)</f>
        <v>0</v>
      </c>
      <c r="U50" s="81">
        <f t="shared" si="8"/>
        <v>1</v>
      </c>
      <c r="V50" s="82">
        <f t="shared" si="9"/>
        <v>0</v>
      </c>
      <c r="W50" s="82">
        <f t="shared" si="10"/>
        <v>0</v>
      </c>
      <c r="X50" s="80">
        <f t="shared" si="11"/>
        <v>0</v>
      </c>
      <c r="Y50" s="80">
        <f t="shared" si="12"/>
        <v>0</v>
      </c>
      <c r="Z50" s="95" t="s">
        <v>245</v>
      </c>
      <c r="AA50" s="99">
        <f t="shared" ref="AA50:AB50" si="77">+SUM(X50:X52)</f>
        <v>0</v>
      </c>
      <c r="AB50" s="100">
        <f t="shared" si="77"/>
        <v>0</v>
      </c>
    </row>
    <row r="51" spans="2:31" ht="15.75" thickBot="1">
      <c r="B51" s="125" t="s">
        <v>263</v>
      </c>
      <c r="C51" s="113">
        <f>+SUMIFS(AD$23:AD$223,$M$23:$M$223,$B51,$AC$23:$AC$223,$B$20)</f>
        <v>25.250000000000043</v>
      </c>
      <c r="D51" s="114">
        <f>+SUMIFS(AE$23:AE$223,$M$23:$M$223,$B51,$AC$23:$AC$223,$B$20)</f>
        <v>20.250000000000028</v>
      </c>
      <c r="E51" s="119">
        <f t="shared" si="1"/>
        <v>45.500000000000071</v>
      </c>
      <c r="F51" s="19"/>
      <c r="H51" t="str">
        <f t="shared" si="3"/>
        <v>SEPTIEMBRESem3939CRISTIAN DANIEL CANAHUI CASTAÑEDA</v>
      </c>
      <c r="I51" s="14" t="str">
        <f>+_xlfn.XLOOKUP(K51,DetalleCalculos!W:W,DetalleCalculos!S:S,"",0,1)</f>
        <v>SEPTIEMBRE</v>
      </c>
      <c r="J51" s="72" t="str">
        <f t="shared" si="4"/>
        <v>Sem39</v>
      </c>
      <c r="K51" s="72">
        <f t="shared" ref="K51" si="78">+$H$18</f>
        <v>39</v>
      </c>
      <c r="L51" s="72">
        <f>+IF(_xlfn.XLOOKUP(K51,DetalleCalculos!W:W,DetalleCalculos!U:U,0,0,1)=7,1,2)</f>
        <v>1</v>
      </c>
      <c r="M51" s="79" t="str" cm="1">
        <f t="array" ref="M51">+INDEX($B$23:$B$89,ROUNDUP((ROW()-22)/3,0))</f>
        <v>CRISTIAN DANIEL CANAHUI CASTAÑEDA</v>
      </c>
      <c r="N51" s="76">
        <f>SUMIFS(DetalleCalculos!$N:$N,DetalleCalculos!$W:$W,$K51,DetalleCalculos!$H:$H,$M51)*24</f>
        <v>0</v>
      </c>
      <c r="O51" s="80">
        <f>SUMIFS(DetalleCalculos!$P:$P,DetalleCalculos!$W:$W,$K51,DetalleCalculos!$H:$H,$M51)</f>
        <v>0</v>
      </c>
      <c r="P51" s="80">
        <f>SUMIFS(DetalleCalculos!$Q:$Q,DetalleCalculos!$W:$W,$K51,DetalleCalculos!$H:$H,$M51)</f>
        <v>0</v>
      </c>
      <c r="Q51" s="24">
        <f t="shared" si="6"/>
        <v>0</v>
      </c>
      <c r="R51" s="24">
        <f t="shared" si="7"/>
        <v>0</v>
      </c>
      <c r="S51" s="80" t="str">
        <f>_xlfn.XLOOKUP($J51&amp;$K51&amp;$M51,DetalleCalculos!$B:$B,DetalleCalculos!$O:$O,"",0,1)</f>
        <v/>
      </c>
      <c r="T51" s="29">
        <f>+_xlfn.XLOOKUP($S51,'Horarios y Sistemas'!$C:$C,'Horarios y Sistemas'!M:M,0,0,1)</f>
        <v>0</v>
      </c>
      <c r="U51" s="29">
        <f t="shared" si="8"/>
        <v>1</v>
      </c>
      <c r="V51" s="30">
        <f t="shared" si="9"/>
        <v>0</v>
      </c>
      <c r="W51" s="30">
        <f t="shared" si="10"/>
        <v>0</v>
      </c>
      <c r="X51" s="24">
        <f t="shared" si="11"/>
        <v>0</v>
      </c>
      <c r="Y51" s="24">
        <f t="shared" si="12"/>
        <v>0</v>
      </c>
      <c r="Z51" s="96" t="s">
        <v>246</v>
      </c>
      <c r="AA51" s="101">
        <f t="shared" ref="AA51" si="79">+IF(AA50&lt;=0,0,IF(AND(AA50&gt;AB50,AB50&lt;=0),IF(AA50+AB50&gt;0,AA50+AB50,0),IF(AND(AA50&gt;0,AB50&gt;0),AA50,0)))</f>
        <v>0</v>
      </c>
      <c r="AB51" s="102">
        <f t="shared" ref="AB51" si="80">+IF(AB50&lt;=0,0,IF(AND(AB50&gt;AA50,AA50&lt;=0),IF(AB50+AA50&gt;0,AB50+AA50,0),IF(AND(AB50&gt;0,AA50&gt;0),AB50,0)))</f>
        <v>0</v>
      </c>
      <c r="AC51" s="97" t="s">
        <v>125</v>
      </c>
      <c r="AD51" s="103">
        <f t="shared" ref="AD51" si="81">+AA51/$X$5</f>
        <v>0</v>
      </c>
      <c r="AE51" s="104">
        <f t="shared" ref="AE51" si="82">+AB51/$Y$5</f>
        <v>0</v>
      </c>
    </row>
    <row r="52" spans="2:31" ht="15.75" thickBot="1">
      <c r="B52" s="125" t="s">
        <v>17</v>
      </c>
      <c r="C52" s="113">
        <f>+SUMIFS(AD$23:AD$223,$M$23:$M$223,$B52,$AC$23:$AC$223,$B$20)</f>
        <v>0</v>
      </c>
      <c r="D52" s="114">
        <f>+SUMIFS(AE$23:AE$223,$M$23:$M$223,$B52,$AC$23:$AC$223,$B$20)</f>
        <v>0</v>
      </c>
      <c r="E52" s="119">
        <f t="shared" si="1"/>
        <v>0</v>
      </c>
      <c r="F52" s="19"/>
      <c r="H52" t="str">
        <f t="shared" si="3"/>
        <v>SEPTIEMBRESem4040CRISTIAN DANIEL CANAHUI CASTAÑEDA</v>
      </c>
      <c r="I52" s="14" t="str">
        <f>+_xlfn.XLOOKUP(K52,DetalleCalculos!W:W,DetalleCalculos!S:S,"",0,1)</f>
        <v>SEPTIEMBRE</v>
      </c>
      <c r="J52" s="72" t="str">
        <f t="shared" si="4"/>
        <v>Sem40</v>
      </c>
      <c r="K52" s="72">
        <f t="shared" ref="K52" si="83">+$H$19</f>
        <v>40</v>
      </c>
      <c r="L52" s="72">
        <f>+IF(_xlfn.XLOOKUP(K52,DetalleCalculos!W:W,DetalleCalculos!U:U,0,0,1)=7,1,2)</f>
        <v>1</v>
      </c>
      <c r="M52" s="79" t="str" cm="1">
        <f t="array" ref="M52">+INDEX($B$23:$B$89,ROUNDUP((ROW()-22)/3,0))</f>
        <v>CRISTIAN DANIEL CANAHUI CASTAÑEDA</v>
      </c>
      <c r="N52" s="76">
        <f>SUMIFS(DetalleCalculos!$N:$N,DetalleCalculos!$W:$W,$K52,DetalleCalculos!$H:$H,$M52)*24</f>
        <v>0</v>
      </c>
      <c r="O52" s="80">
        <f>SUMIFS(DetalleCalculos!$P:$P,DetalleCalculos!$W:$W,$K52,DetalleCalculos!$H:$H,$M52)</f>
        <v>0</v>
      </c>
      <c r="P52" s="80">
        <f>SUMIFS(DetalleCalculos!$Q:$Q,DetalleCalculos!$W:$W,$K52,DetalleCalculos!$H:$H,$M52)</f>
        <v>0</v>
      </c>
      <c r="Q52" s="24">
        <f t="shared" si="6"/>
        <v>0</v>
      </c>
      <c r="R52" s="24">
        <f t="shared" si="7"/>
        <v>0</v>
      </c>
      <c r="S52" s="80" t="str">
        <f>_xlfn.XLOOKUP($J52&amp;$K52&amp;$M52,DetalleCalculos!$B:$B,DetalleCalculos!$O:$O,"",0,1)</f>
        <v/>
      </c>
      <c r="T52" s="29">
        <f>+_xlfn.XLOOKUP($S52,'Horarios y Sistemas'!$C:$C,'Horarios y Sistemas'!M:M,0,0,1)</f>
        <v>0</v>
      </c>
      <c r="U52" s="29">
        <f t="shared" si="8"/>
        <v>1</v>
      </c>
      <c r="V52" s="30">
        <f t="shared" si="9"/>
        <v>0</v>
      </c>
      <c r="W52" s="30">
        <f t="shared" si="10"/>
        <v>0</v>
      </c>
      <c r="X52" s="24">
        <f t="shared" si="11"/>
        <v>0</v>
      </c>
      <c r="Y52" s="24">
        <f t="shared" si="12"/>
        <v>0</v>
      </c>
      <c r="Z52" s="95"/>
      <c r="AA52" s="99"/>
      <c r="AB52" s="100"/>
    </row>
    <row r="53" spans="2:31">
      <c r="B53" s="125" t="s">
        <v>15</v>
      </c>
      <c r="C53" s="113">
        <f>+SUMIFS(AD$23:AD$223,$M$23:$M$223,$B53,$AC$23:$AC$223,$B$20)</f>
        <v>1.2799999999999885</v>
      </c>
      <c r="D53" s="114">
        <f>+SUMIFS(AE$23:AE$223,$M$23:$M$223,$B53,$AC$23:$AC$223,$B$20)</f>
        <v>5.1199999999999539</v>
      </c>
      <c r="E53" s="119">
        <f t="shared" si="1"/>
        <v>6.3999999999999426</v>
      </c>
      <c r="F53" s="19"/>
      <c r="H53" t="str">
        <f t="shared" si="3"/>
        <v>SEPTIEMBRESem3838Carlos Humberto Alvarado</v>
      </c>
      <c r="I53" s="14" t="str">
        <f>+_xlfn.XLOOKUP(K53,DetalleCalculos!W:W,DetalleCalculos!S:S,"",0,1)</f>
        <v>SEPTIEMBRE</v>
      </c>
      <c r="J53" s="72" t="str">
        <f t="shared" si="4"/>
        <v>Sem38</v>
      </c>
      <c r="K53" s="72">
        <f t="shared" ref="K53" si="84">+$H$17</f>
        <v>38</v>
      </c>
      <c r="L53" s="72">
        <f>+IF(_xlfn.XLOOKUP(K53,DetalleCalculos!W:W,DetalleCalculos!U:U,0,0,1)=7,1,2)</f>
        <v>1</v>
      </c>
      <c r="M53" s="79" t="str" cm="1">
        <f t="array" ref="M53">+INDEX($B$23:$B$89,ROUNDUP((ROW()-22)/3,0))</f>
        <v>Carlos Humberto Alvarado</v>
      </c>
      <c r="N53" s="76">
        <f>SUMIFS(DetalleCalculos!$N:$N,DetalleCalculos!$W:$W,$K53,DetalleCalculos!$H:$H,$M53)*24</f>
        <v>52</v>
      </c>
      <c r="O53" s="80">
        <f>SUMIFS(DetalleCalculos!$P:$P,DetalleCalculos!$W:$W,$K53,DetalleCalculos!$H:$H,$M53)</f>
        <v>44</v>
      </c>
      <c r="P53" s="80">
        <f>SUMIFS(DetalleCalculos!$Q:$Q,DetalleCalculos!$W:$W,$K53,DetalleCalculos!$H:$H,$M53)</f>
        <v>0</v>
      </c>
      <c r="Q53" s="80">
        <f t="shared" si="6"/>
        <v>44</v>
      </c>
      <c r="R53" s="80">
        <f t="shared" si="7"/>
        <v>8</v>
      </c>
      <c r="S53" s="80" t="str">
        <f>_xlfn.XLOOKUP($J53&amp;$K53&amp;$M53,DetalleCalculos!$B:$B,DetalleCalculos!$O:$O,"",0,1)</f>
        <v>5-0-2</v>
      </c>
      <c r="T53" s="81">
        <f>+_xlfn.XLOOKUP($S53,'Horarios y Sistemas'!$C:$C,'Horarios y Sistemas'!M:M,0,0,1)</f>
        <v>1</v>
      </c>
      <c r="U53" s="81">
        <f t="shared" si="8"/>
        <v>0</v>
      </c>
      <c r="V53" s="82">
        <f t="shared" si="9"/>
        <v>8</v>
      </c>
      <c r="W53" s="82">
        <f t="shared" si="10"/>
        <v>0</v>
      </c>
      <c r="X53" s="80">
        <f t="shared" si="11"/>
        <v>12</v>
      </c>
      <c r="Y53" s="80">
        <f t="shared" si="12"/>
        <v>0</v>
      </c>
      <c r="Z53" s="95" t="s">
        <v>245</v>
      </c>
      <c r="AA53" s="99">
        <f t="shared" ref="AA53:AB53" si="85">+SUM(X53:X55)</f>
        <v>38.999999999999986</v>
      </c>
      <c r="AB53" s="100">
        <f t="shared" si="85"/>
        <v>0</v>
      </c>
    </row>
    <row r="54" spans="2:31" ht="15.75" thickBot="1">
      <c r="B54" s="125" t="s">
        <v>225</v>
      </c>
      <c r="C54" s="113">
        <f>+SUMIFS(AD$23:AD$223,$M$23:$M$223,$B54,$AC$23:$AC$223,$B$20)</f>
        <v>21.999999999999982</v>
      </c>
      <c r="D54" s="114">
        <f>+SUMIFS(AE$23:AE$223,$M$23:$M$223,$B54,$AC$23:$AC$223,$B$20)</f>
        <v>19</v>
      </c>
      <c r="E54" s="119">
        <f t="shared" si="1"/>
        <v>40.999999999999986</v>
      </c>
      <c r="F54" s="19"/>
      <c r="H54" t="str">
        <f t="shared" si="3"/>
        <v>SEPTIEMBRESem3939Carlos Humberto Alvarado</v>
      </c>
      <c r="I54" s="14" t="str">
        <f>+_xlfn.XLOOKUP(K54,DetalleCalculos!W:W,DetalleCalculos!S:S,"",0,1)</f>
        <v>SEPTIEMBRE</v>
      </c>
      <c r="J54" s="72" t="str">
        <f t="shared" si="4"/>
        <v>Sem39</v>
      </c>
      <c r="K54" s="72">
        <f t="shared" ref="K54" si="86">+$H$18</f>
        <v>39</v>
      </c>
      <c r="L54" s="72">
        <f>+IF(_xlfn.XLOOKUP(K54,DetalleCalculos!W:W,DetalleCalculos!U:U,0,0,1)=7,1,2)</f>
        <v>1</v>
      </c>
      <c r="M54" s="79" t="str" cm="1">
        <f t="array" ref="M54">+INDEX($B$23:$B$89,ROUNDUP((ROW()-22)/3,0))</f>
        <v>Carlos Humberto Alvarado</v>
      </c>
      <c r="N54" s="76">
        <f>SUMIFS(DetalleCalculos!$N:$N,DetalleCalculos!$W:$W,$K54,DetalleCalculos!$H:$H,$M54)*24</f>
        <v>33</v>
      </c>
      <c r="O54" s="80">
        <f>SUMIFS(DetalleCalculos!$P:$P,DetalleCalculos!$W:$W,$K54,DetalleCalculos!$H:$H,$M54)</f>
        <v>36</v>
      </c>
      <c r="P54" s="80">
        <f>SUMIFS(DetalleCalculos!$Q:$Q,DetalleCalculos!$W:$W,$K54,DetalleCalculos!$H:$H,$M54)</f>
        <v>0</v>
      </c>
      <c r="Q54" s="24">
        <f t="shared" si="6"/>
        <v>36</v>
      </c>
      <c r="R54" s="24">
        <f t="shared" si="7"/>
        <v>0</v>
      </c>
      <c r="S54" s="80" t="str">
        <f>_xlfn.XLOOKUP($J54&amp;$K54&amp;$M54,DetalleCalculos!$B:$B,DetalleCalculos!$O:$O,"",0,1)</f>
        <v>0-3-4</v>
      </c>
      <c r="T54" s="29">
        <f>+_xlfn.XLOOKUP($S54,'Horarios y Sistemas'!$C:$C,'Horarios y Sistemas'!M:M,0,0,1)</f>
        <v>0</v>
      </c>
      <c r="U54" s="29">
        <f t="shared" si="8"/>
        <v>1</v>
      </c>
      <c r="V54" s="30">
        <f t="shared" si="9"/>
        <v>0</v>
      </c>
      <c r="W54" s="30">
        <f t="shared" si="10"/>
        <v>0</v>
      </c>
      <c r="X54" s="24">
        <f t="shared" si="11"/>
        <v>0</v>
      </c>
      <c r="Y54" s="24">
        <f t="shared" si="12"/>
        <v>0</v>
      </c>
      <c r="Z54" s="96" t="s">
        <v>246</v>
      </c>
      <c r="AA54" s="101">
        <f t="shared" ref="AA54" si="87">+IF(AA53&lt;=0,0,IF(AND(AA53&gt;AB53,AB53&lt;=0),IF(AA53+AB53&gt;0,AA53+AB53,0),IF(AND(AA53&gt;0,AB53&gt;0),AA53,0)))</f>
        <v>38.999999999999986</v>
      </c>
      <c r="AB54" s="102">
        <f t="shared" ref="AB54" si="88">+IF(AB53&lt;=0,0,IF(AND(AB53&gt;AA53,AA53&lt;=0),IF(AB53+AA53&gt;0,AB53+AA53,0),IF(AND(AB53&gt;0,AA53&gt;0),AB53,0)))</f>
        <v>0</v>
      </c>
      <c r="AC54" s="97" t="s">
        <v>125</v>
      </c>
      <c r="AD54" s="103">
        <f t="shared" ref="AD54" si="89">+AA54/$X$5</f>
        <v>25.999999999999989</v>
      </c>
      <c r="AE54" s="104">
        <f t="shared" ref="AE54" si="90">+AB54/$Y$5</f>
        <v>0</v>
      </c>
    </row>
    <row r="55" spans="2:31" ht="15.75" thickBot="1">
      <c r="B55" s="125" t="s">
        <v>264</v>
      </c>
      <c r="C55" s="113">
        <f>+SUMIFS(AD$23:AD$223,$M$23:$M$223,$B55,$AC$23:$AC$223,$B$20)</f>
        <v>0</v>
      </c>
      <c r="D55" s="114">
        <f>+SUMIFS(AE$23:AE$223,$M$23:$M$223,$B55,$AC$23:$AC$223,$B$20)</f>
        <v>17.999999999999858</v>
      </c>
      <c r="E55" s="119">
        <f t="shared" ref="E55:E86" si="91">+SUM(C55:D55)</f>
        <v>17.999999999999858</v>
      </c>
      <c r="F55" s="19"/>
      <c r="H55" t="str">
        <f t="shared" si="3"/>
        <v>SEPTIEMBRESem4040Carlos Humberto Alvarado</v>
      </c>
      <c r="I55" s="14" t="str">
        <f>+_xlfn.XLOOKUP(K55,DetalleCalculos!W:W,DetalleCalculos!S:S,"",0,1)</f>
        <v>SEPTIEMBRE</v>
      </c>
      <c r="J55" s="72" t="str">
        <f t="shared" si="4"/>
        <v>Sem40</v>
      </c>
      <c r="K55" s="72">
        <f t="shared" ref="K55" si="92">+$H$19</f>
        <v>40</v>
      </c>
      <c r="L55" s="72">
        <f>+IF(_xlfn.XLOOKUP(K55,DetalleCalculos!W:W,DetalleCalculos!U:U,0,0,1)=7,1,2)</f>
        <v>1</v>
      </c>
      <c r="M55" s="79" t="str" cm="1">
        <f t="array" ref="M55">+INDEX($B$23:$B$89,ROUNDUP((ROW()-22)/3,0))</f>
        <v>Carlos Humberto Alvarado</v>
      </c>
      <c r="N55" s="76">
        <f>SUMIFS(DetalleCalculos!$N:$N,DetalleCalculos!$W:$W,$K55,DetalleCalculos!$H:$H,$M55)*24</f>
        <v>61.999999999999993</v>
      </c>
      <c r="O55" s="80">
        <f>SUMIFS(DetalleCalculos!$P:$P,DetalleCalculos!$W:$W,$K55,DetalleCalculos!$H:$H,$M55)</f>
        <v>44</v>
      </c>
      <c r="P55" s="80">
        <f>SUMIFS(DetalleCalculos!$Q:$Q,DetalleCalculos!$W:$W,$K55,DetalleCalculos!$H:$H,$M55)</f>
        <v>0</v>
      </c>
      <c r="Q55" s="24">
        <f t="shared" si="6"/>
        <v>44</v>
      </c>
      <c r="R55" s="24">
        <f t="shared" si="7"/>
        <v>17.999999999999993</v>
      </c>
      <c r="S55" s="80" t="str">
        <f>_xlfn.XLOOKUP($J55&amp;$K55&amp;$M55,DetalleCalculos!$B:$B,DetalleCalculos!$O:$O,"",0,1)</f>
        <v>6-0-1</v>
      </c>
      <c r="T55" s="29">
        <f>+_xlfn.XLOOKUP($S55,'Horarios y Sistemas'!$C:$C,'Horarios y Sistemas'!M:M,0,0,1)</f>
        <v>1</v>
      </c>
      <c r="U55" s="29">
        <f t="shared" si="8"/>
        <v>0</v>
      </c>
      <c r="V55" s="30">
        <f t="shared" si="9"/>
        <v>17.999999999999993</v>
      </c>
      <c r="W55" s="30">
        <f t="shared" si="10"/>
        <v>0</v>
      </c>
      <c r="X55" s="24">
        <f t="shared" si="11"/>
        <v>26.999999999999989</v>
      </c>
      <c r="Y55" s="24">
        <f t="shared" si="12"/>
        <v>0</v>
      </c>
      <c r="Z55" s="95"/>
      <c r="AA55" s="99"/>
      <c r="AB55" s="100"/>
    </row>
    <row r="56" spans="2:31">
      <c r="B56" s="125" t="s">
        <v>226</v>
      </c>
      <c r="C56" s="113">
        <f>+SUMIFS(AD$23:AD$223,$M$23:$M$223,$B56,$AC$23:$AC$223,$B$20)</f>
        <v>30</v>
      </c>
      <c r="D56" s="114">
        <f>+SUMIFS(AE$23:AE$223,$M$23:$M$223,$B56,$AC$23:$AC$223,$B$20)</f>
        <v>30</v>
      </c>
      <c r="E56" s="119">
        <f t="shared" si="91"/>
        <v>60</v>
      </c>
      <c r="F56" s="19"/>
      <c r="H56" t="str">
        <f t="shared" si="3"/>
        <v>SEPTIEMBRESem3838Christian Omar Tiney Davila</v>
      </c>
      <c r="I56" s="14" t="str">
        <f>+_xlfn.XLOOKUP(K56,DetalleCalculos!W:W,DetalleCalculos!S:S,"",0,1)</f>
        <v>SEPTIEMBRE</v>
      </c>
      <c r="J56" s="72" t="str">
        <f t="shared" si="4"/>
        <v>Sem38</v>
      </c>
      <c r="K56" s="72">
        <f t="shared" ref="K56" si="93">+$H$17</f>
        <v>38</v>
      </c>
      <c r="L56" s="72">
        <f>+IF(_xlfn.XLOOKUP(K56,DetalleCalculos!W:W,DetalleCalculos!U:U,0,0,1)=7,1,2)</f>
        <v>1</v>
      </c>
      <c r="M56" s="79" t="str" cm="1">
        <f t="array" ref="M56">+INDEX($B$23:$B$89,ROUNDUP((ROW()-22)/3,0))</f>
        <v>Christian Omar Tiney Davila</v>
      </c>
      <c r="N56" s="76">
        <f>SUMIFS(DetalleCalculos!$N:$N,DetalleCalculos!$W:$W,$K56,DetalleCalculos!$H:$H,$M56)*24</f>
        <v>50.999999999999986</v>
      </c>
      <c r="O56" s="80">
        <f>SUMIFS(DetalleCalculos!$P:$P,DetalleCalculos!$W:$W,$K56,DetalleCalculos!$H:$H,$M56)</f>
        <v>44</v>
      </c>
      <c r="P56" s="80">
        <f>SUMIFS(DetalleCalculos!$Q:$Q,DetalleCalculos!$W:$W,$K56,DetalleCalculos!$H:$H,$M56)</f>
        <v>0</v>
      </c>
      <c r="Q56" s="80">
        <f t="shared" si="6"/>
        <v>44</v>
      </c>
      <c r="R56" s="80">
        <f t="shared" si="7"/>
        <v>6.9999999999999858</v>
      </c>
      <c r="S56" s="80" t="str">
        <f>_xlfn.XLOOKUP($J56&amp;$K56&amp;$M56,DetalleCalculos!$B:$B,DetalleCalculos!$O:$O,"",0,1)</f>
        <v>5-0-2</v>
      </c>
      <c r="T56" s="81">
        <f>+_xlfn.XLOOKUP($S56,'Horarios y Sistemas'!$C:$C,'Horarios y Sistemas'!M:M,0,0,1)</f>
        <v>1</v>
      </c>
      <c r="U56" s="81">
        <f t="shared" si="8"/>
        <v>0</v>
      </c>
      <c r="V56" s="82">
        <f t="shared" si="9"/>
        <v>6.9999999999999858</v>
      </c>
      <c r="W56" s="82">
        <f t="shared" si="10"/>
        <v>0</v>
      </c>
      <c r="X56" s="80">
        <f t="shared" si="11"/>
        <v>10.499999999999979</v>
      </c>
      <c r="Y56" s="80">
        <f t="shared" si="12"/>
        <v>0</v>
      </c>
      <c r="Z56" s="95" t="s">
        <v>245</v>
      </c>
      <c r="AA56" s="99">
        <f t="shared" ref="AA56:AB56" si="94">+SUM(X56:X58)</f>
        <v>38.999999999999979</v>
      </c>
      <c r="AB56" s="100">
        <f t="shared" si="94"/>
        <v>0</v>
      </c>
    </row>
    <row r="57" spans="2:31" ht="15.75" thickBot="1">
      <c r="B57" s="125" t="s">
        <v>6</v>
      </c>
      <c r="C57" s="113">
        <f>+SUMIFS(AD$23:AD$223,$M$23:$M$223,$B57,$AC$23:$AC$223,$B$20)</f>
        <v>0</v>
      </c>
      <c r="D57" s="114">
        <f>+SUMIFS(AE$23:AE$223,$M$23:$M$223,$B57,$AC$23:$AC$223,$B$20)</f>
        <v>0</v>
      </c>
      <c r="E57" s="119">
        <f t="shared" si="91"/>
        <v>0</v>
      </c>
      <c r="F57" s="19"/>
      <c r="H57" t="str">
        <f t="shared" si="3"/>
        <v>SEPTIEMBRESem3939Christian Omar Tiney Davila</v>
      </c>
      <c r="I57" s="14" t="str">
        <f>+_xlfn.XLOOKUP(K57,DetalleCalculos!W:W,DetalleCalculos!S:S,"",0,1)</f>
        <v>SEPTIEMBRE</v>
      </c>
      <c r="J57" s="72" t="str">
        <f t="shared" si="4"/>
        <v>Sem39</v>
      </c>
      <c r="K57" s="72">
        <f t="shared" ref="K57" si="95">+$H$18</f>
        <v>39</v>
      </c>
      <c r="L57" s="72">
        <f>+IF(_xlfn.XLOOKUP(K57,DetalleCalculos!W:W,DetalleCalculos!U:U,0,0,1)=7,1,2)</f>
        <v>1</v>
      </c>
      <c r="M57" s="79" t="str" cm="1">
        <f t="array" ref="M57">+INDEX($B$23:$B$89,ROUNDUP((ROW()-22)/3,0))</f>
        <v>Christian Omar Tiney Davila</v>
      </c>
      <c r="N57" s="76">
        <f>SUMIFS(DetalleCalculos!$N:$N,DetalleCalculos!$W:$W,$K57,DetalleCalculos!$H:$H,$M57)*24</f>
        <v>42.999999999999972</v>
      </c>
      <c r="O57" s="80">
        <f>SUMIFS(DetalleCalculos!$P:$P,DetalleCalculos!$W:$W,$K57,DetalleCalculos!$H:$H,$M57)</f>
        <v>44</v>
      </c>
      <c r="P57" s="80">
        <f>SUMIFS(DetalleCalculos!$Q:$Q,DetalleCalculos!$W:$W,$K57,DetalleCalculos!$H:$H,$M57)</f>
        <v>0</v>
      </c>
      <c r="Q57" s="24">
        <f t="shared" si="6"/>
        <v>44</v>
      </c>
      <c r="R57" s="24">
        <f t="shared" si="7"/>
        <v>0</v>
      </c>
      <c r="S57" s="80" t="str">
        <f>_xlfn.XLOOKUP($J57&amp;$K57&amp;$M57,DetalleCalculos!$B:$B,DetalleCalculos!$O:$O,"",0,1)</f>
        <v>6-0-1</v>
      </c>
      <c r="T57" s="29">
        <f>+_xlfn.XLOOKUP($S57,'Horarios y Sistemas'!$C:$C,'Horarios y Sistemas'!M:M,0,0,1)</f>
        <v>1</v>
      </c>
      <c r="U57" s="29">
        <f t="shared" si="8"/>
        <v>0</v>
      </c>
      <c r="V57" s="30">
        <f t="shared" si="9"/>
        <v>0</v>
      </c>
      <c r="W57" s="30">
        <f t="shared" si="10"/>
        <v>0</v>
      </c>
      <c r="X57" s="24">
        <f t="shared" si="11"/>
        <v>0</v>
      </c>
      <c r="Y57" s="24">
        <f t="shared" si="12"/>
        <v>0</v>
      </c>
      <c r="Z57" s="96" t="s">
        <v>246</v>
      </c>
      <c r="AA57" s="101">
        <f t="shared" ref="AA57" si="96">+IF(AA56&lt;=0,0,IF(AND(AA56&gt;AB56,AB56&lt;=0),IF(AA56+AB56&gt;0,AA56+AB56,0),IF(AND(AA56&gt;0,AB56&gt;0),AA56,0)))</f>
        <v>38.999999999999979</v>
      </c>
      <c r="AB57" s="102">
        <f t="shared" ref="AB57" si="97">+IF(AB56&lt;=0,0,IF(AND(AB56&gt;AA56,AA56&lt;=0),IF(AB56+AA56&gt;0,AB56+AA56,0),IF(AND(AB56&gt;0,AA56&gt;0),AB56,0)))</f>
        <v>0</v>
      </c>
      <c r="AC57" s="97" t="s">
        <v>125</v>
      </c>
      <c r="AD57" s="103">
        <f t="shared" ref="AD57" si="98">+AA57/$X$5</f>
        <v>25.999999999999986</v>
      </c>
      <c r="AE57" s="104">
        <f t="shared" ref="AE57" si="99">+AB57/$Y$5</f>
        <v>0</v>
      </c>
    </row>
    <row r="58" spans="2:31" ht="15.75" thickBot="1">
      <c r="B58" s="125" t="s">
        <v>227</v>
      </c>
      <c r="C58" s="113">
        <f>+SUMIFS(AD$23:AD$223,$M$23:$M$223,$B58,$AC$23:$AC$223,$B$20)</f>
        <v>18.999999999999979</v>
      </c>
      <c r="D58" s="114">
        <f>+SUMIFS(AE$23:AE$223,$M$23:$M$223,$B58,$AC$23:$AC$223,$B$20)</f>
        <v>19</v>
      </c>
      <c r="E58" s="119">
        <f t="shared" si="91"/>
        <v>37.999999999999979</v>
      </c>
      <c r="F58" s="19"/>
      <c r="H58" t="str">
        <f t="shared" si="3"/>
        <v>SEPTIEMBRESem4040Christian Omar Tiney Davila</v>
      </c>
      <c r="I58" s="14" t="str">
        <f>+_xlfn.XLOOKUP(K58,DetalleCalculos!W:W,DetalleCalculos!S:S,"",0,1)</f>
        <v>SEPTIEMBRE</v>
      </c>
      <c r="J58" s="72" t="str">
        <f t="shared" si="4"/>
        <v>Sem40</v>
      </c>
      <c r="K58" s="72">
        <f t="shared" ref="K58" si="100">+$H$19</f>
        <v>40</v>
      </c>
      <c r="L58" s="72">
        <f>+IF(_xlfn.XLOOKUP(K58,DetalleCalculos!W:W,DetalleCalculos!U:U,0,0,1)=7,1,2)</f>
        <v>1</v>
      </c>
      <c r="M58" s="79" t="str" cm="1">
        <f t="array" ref="M58">+INDEX($B$23:$B$89,ROUNDUP((ROW()-22)/3,0))</f>
        <v>Christian Omar Tiney Davila</v>
      </c>
      <c r="N58" s="76">
        <f>SUMIFS(DetalleCalculos!$N:$N,DetalleCalculos!$W:$W,$K58,DetalleCalculos!$H:$H,$M58)*24</f>
        <v>63</v>
      </c>
      <c r="O58" s="80">
        <f>SUMIFS(DetalleCalculos!$P:$P,DetalleCalculos!$W:$W,$K58,DetalleCalculos!$H:$H,$M58)</f>
        <v>44</v>
      </c>
      <c r="P58" s="80">
        <f>SUMIFS(DetalleCalculos!$Q:$Q,DetalleCalculos!$W:$W,$K58,DetalleCalculos!$H:$H,$M58)</f>
        <v>0</v>
      </c>
      <c r="Q58" s="24">
        <f t="shared" si="6"/>
        <v>44</v>
      </c>
      <c r="R58" s="24">
        <f t="shared" si="7"/>
        <v>19</v>
      </c>
      <c r="S58" s="80" t="str">
        <f>_xlfn.XLOOKUP($J58&amp;$K58&amp;$M58,DetalleCalculos!$B:$B,DetalleCalculos!$O:$O,"",0,1)</f>
        <v>6-0-1</v>
      </c>
      <c r="T58" s="29">
        <f>+_xlfn.XLOOKUP($S58,'Horarios y Sistemas'!$C:$C,'Horarios y Sistemas'!M:M,0,0,1)</f>
        <v>1</v>
      </c>
      <c r="U58" s="29">
        <f t="shared" si="8"/>
        <v>0</v>
      </c>
      <c r="V58" s="30">
        <f t="shared" si="9"/>
        <v>19</v>
      </c>
      <c r="W58" s="30">
        <f t="shared" si="10"/>
        <v>0</v>
      </c>
      <c r="X58" s="24">
        <f t="shared" si="11"/>
        <v>28.5</v>
      </c>
      <c r="Y58" s="24">
        <f t="shared" si="12"/>
        <v>0</v>
      </c>
      <c r="Z58" s="95"/>
      <c r="AA58" s="99"/>
      <c r="AB58" s="100"/>
    </row>
    <row r="59" spans="2:31">
      <c r="B59" s="125" t="s">
        <v>262</v>
      </c>
      <c r="C59" s="113">
        <f>+SUMIFS(AD$23:AD$223,$M$23:$M$223,$B59,$AC$23:$AC$223,$B$20)</f>
        <v>0</v>
      </c>
      <c r="D59" s="114">
        <f>+SUMIFS(AE$23:AE$223,$M$23:$M$223,$B59,$AC$23:$AC$223,$B$20)</f>
        <v>0</v>
      </c>
      <c r="E59" s="119">
        <f t="shared" si="91"/>
        <v>0</v>
      </c>
      <c r="F59" s="19"/>
      <c r="H59" t="str">
        <f t="shared" si="3"/>
        <v>SEPTIEMBRESem3838DE PAZ REYES VICTOR ALFONSO</v>
      </c>
      <c r="I59" s="14" t="str">
        <f>+_xlfn.XLOOKUP(K59,DetalleCalculos!W:W,DetalleCalculos!S:S,"",0,1)</f>
        <v>SEPTIEMBRE</v>
      </c>
      <c r="J59" s="72" t="str">
        <f t="shared" si="4"/>
        <v>Sem38</v>
      </c>
      <c r="K59" s="72">
        <f t="shared" ref="K59" si="101">+$H$17</f>
        <v>38</v>
      </c>
      <c r="L59" s="72">
        <f>+IF(_xlfn.XLOOKUP(K59,DetalleCalculos!W:W,DetalleCalculos!U:U,0,0,1)=7,1,2)</f>
        <v>1</v>
      </c>
      <c r="M59" s="79" t="str" cm="1">
        <f t="array" ref="M59">+INDEX($B$23:$B$89,ROUNDUP((ROW()-22)/3,0))</f>
        <v>DE PAZ REYES VICTOR ALFONSO</v>
      </c>
      <c r="N59" s="76">
        <f>SUMIFS(DetalleCalculos!$N:$N,DetalleCalculos!$W:$W,$K59,DetalleCalculos!$H:$H,$M59)*24</f>
        <v>41.750000000000021</v>
      </c>
      <c r="O59" s="80">
        <f>SUMIFS(DetalleCalculos!$P:$P,DetalleCalculos!$W:$W,$K59,DetalleCalculos!$H:$H,$M59)</f>
        <v>38</v>
      </c>
      <c r="P59" s="80">
        <f>SUMIFS(DetalleCalculos!$Q:$Q,DetalleCalculos!$W:$W,$K59,DetalleCalculos!$H:$H,$M59)</f>
        <v>0</v>
      </c>
      <c r="Q59" s="80">
        <f t="shared" si="6"/>
        <v>38</v>
      </c>
      <c r="R59" s="80">
        <f t="shared" si="7"/>
        <v>3.7500000000000213</v>
      </c>
      <c r="S59" s="80" t="str">
        <f>_xlfn.XLOOKUP($J59&amp;$K59&amp;$M59,DetalleCalculos!$B:$B,DetalleCalculos!$O:$O,"",0,1)</f>
        <v>1-3-3</v>
      </c>
      <c r="T59" s="81">
        <f>+_xlfn.XLOOKUP($S59,'Horarios y Sistemas'!$C:$C,'Horarios y Sistemas'!M:M,0,0,1)</f>
        <v>0.25</v>
      </c>
      <c r="U59" s="81">
        <f t="shared" si="8"/>
        <v>0.75</v>
      </c>
      <c r="V59" s="82">
        <f t="shared" si="9"/>
        <v>0.93750000000000533</v>
      </c>
      <c r="W59" s="82">
        <f t="shared" si="10"/>
        <v>2.812500000000016</v>
      </c>
      <c r="X59" s="80">
        <f t="shared" si="11"/>
        <v>1.406250000000008</v>
      </c>
      <c r="Y59" s="80">
        <f t="shared" si="12"/>
        <v>4.218750000000024</v>
      </c>
      <c r="Z59" s="95" t="s">
        <v>245</v>
      </c>
      <c r="AA59" s="99">
        <f t="shared" ref="AA59:AB59" si="102">+SUM(X59:X61)</f>
        <v>35.276250000000068</v>
      </c>
      <c r="AB59" s="100">
        <f t="shared" si="102"/>
        <v>22.698750000000057</v>
      </c>
    </row>
    <row r="60" spans="2:31" ht="15.75" thickBot="1">
      <c r="B60" s="125" t="s">
        <v>228</v>
      </c>
      <c r="C60" s="113">
        <f>+SUMIFS(AD$23:AD$223,$M$23:$M$223,$B60,$AC$23:$AC$223,$B$20)</f>
        <v>22.999999999999986</v>
      </c>
      <c r="D60" s="114">
        <f>+SUMIFS(AE$23:AE$223,$M$23:$M$223,$B60,$AC$23:$AC$223,$B$20)</f>
        <v>19</v>
      </c>
      <c r="E60" s="119">
        <f t="shared" si="91"/>
        <v>41.999999999999986</v>
      </c>
      <c r="F60" s="19"/>
      <c r="H60" t="str">
        <f t="shared" si="3"/>
        <v>SEPTIEMBRESem3939DE PAZ REYES VICTOR ALFONSO</v>
      </c>
      <c r="I60" s="14" t="str">
        <f>+_xlfn.XLOOKUP(K60,DetalleCalculos!W:W,DetalleCalculos!S:S,"",0,1)</f>
        <v>SEPTIEMBRE</v>
      </c>
      <c r="J60" s="72" t="str">
        <f t="shared" si="4"/>
        <v>Sem39</v>
      </c>
      <c r="K60" s="72">
        <f t="shared" ref="K60" si="103">+$H$18</f>
        <v>39</v>
      </c>
      <c r="L60" s="72">
        <f>+IF(_xlfn.XLOOKUP(K60,DetalleCalculos!W:W,DetalleCalculos!U:U,0,0,1)=7,1,2)</f>
        <v>1</v>
      </c>
      <c r="M60" s="79" t="str" cm="1">
        <f t="array" ref="M60">+INDEX($B$23:$B$89,ROUNDUP((ROW()-22)/3,0))</f>
        <v>DE PAZ REYES VICTOR ALFONSO</v>
      </c>
      <c r="N60" s="76">
        <f>SUMIFS(DetalleCalculos!$N:$N,DetalleCalculos!$W:$W,$K60,DetalleCalculos!$H:$H,$M60)*24</f>
        <v>63.500000000000036</v>
      </c>
      <c r="O60" s="80">
        <f>SUMIFS(DetalleCalculos!$P:$P,DetalleCalculos!$W:$W,$K60,DetalleCalculos!$H:$H,$M60)</f>
        <v>44</v>
      </c>
      <c r="P60" s="80">
        <f>SUMIFS(DetalleCalculos!$Q:$Q,DetalleCalculos!$W:$W,$K60,DetalleCalculos!$H:$H,$M60)</f>
        <v>0</v>
      </c>
      <c r="Q60" s="24">
        <f t="shared" si="6"/>
        <v>44</v>
      </c>
      <c r="R60" s="24">
        <f t="shared" si="7"/>
        <v>19.500000000000036</v>
      </c>
      <c r="S60" s="80" t="str">
        <f>_xlfn.XLOOKUP($J60&amp;$K60&amp;$M60,DetalleCalculos!$B:$B,DetalleCalculos!$O:$O,"",0,1)</f>
        <v>6-0-1</v>
      </c>
      <c r="T60" s="29">
        <f>+_xlfn.XLOOKUP($S60,'Horarios y Sistemas'!$C:$C,'Horarios y Sistemas'!M:M,0,0,1)</f>
        <v>1</v>
      </c>
      <c r="U60" s="29">
        <f t="shared" si="8"/>
        <v>0</v>
      </c>
      <c r="V60" s="30">
        <f t="shared" si="9"/>
        <v>19.500000000000036</v>
      </c>
      <c r="W60" s="30">
        <f t="shared" si="10"/>
        <v>0</v>
      </c>
      <c r="X60" s="24">
        <f t="shared" si="11"/>
        <v>29.250000000000053</v>
      </c>
      <c r="Y60" s="24">
        <f t="shared" si="12"/>
        <v>0</v>
      </c>
      <c r="Z60" s="96" t="s">
        <v>246</v>
      </c>
      <c r="AA60" s="101">
        <f t="shared" ref="AA60" si="104">+IF(AA59&lt;=0,0,IF(AND(AA59&gt;AB59,AB59&lt;=0),IF(AA59+AB59&gt;0,AA59+AB59,0),IF(AND(AA59&gt;0,AB59&gt;0),AA59,0)))</f>
        <v>35.276250000000068</v>
      </c>
      <c r="AB60" s="102">
        <f t="shared" ref="AB60" si="105">+IF(AB59&lt;=0,0,IF(AND(AB59&gt;AA59,AA59&lt;=0),IF(AB59+AA59&gt;0,AB59+AA59,0),IF(AND(AB59&gt;0,AA59&gt;0),AB59,0)))</f>
        <v>22.698750000000057</v>
      </c>
      <c r="AC60" s="97" t="s">
        <v>125</v>
      </c>
      <c r="AD60" s="103">
        <f t="shared" ref="AD60" si="106">+AA60/$X$5</f>
        <v>23.517500000000044</v>
      </c>
      <c r="AE60" s="104">
        <f t="shared" ref="AE60" si="107">+AB60/$Y$5</f>
        <v>15.132500000000038</v>
      </c>
    </row>
    <row r="61" spans="2:31" ht="15.75" thickBot="1">
      <c r="B61" s="125" t="s">
        <v>229</v>
      </c>
      <c r="C61" s="113">
        <f>+SUMIFS(AD$23:AD$223,$M$23:$M$223,$B61,$AC$23:$AC$223,$B$20)</f>
        <v>26.999999999999957</v>
      </c>
      <c r="D61" s="114">
        <f>+SUMIFS(AE$23:AE$223,$M$23:$M$223,$B61,$AC$23:$AC$223,$B$20)</f>
        <v>0</v>
      </c>
      <c r="E61" s="119">
        <f t="shared" si="91"/>
        <v>26.999999999999957</v>
      </c>
      <c r="F61" s="19"/>
      <c r="H61" t="str">
        <f t="shared" si="3"/>
        <v>SEPTIEMBRESem4040DE PAZ REYES VICTOR ALFONSO</v>
      </c>
      <c r="I61" s="14" t="str">
        <f>+_xlfn.XLOOKUP(K61,DetalleCalculos!W:W,DetalleCalculos!S:S,"",0,1)</f>
        <v>SEPTIEMBRE</v>
      </c>
      <c r="J61" s="72" t="str">
        <f t="shared" si="4"/>
        <v>Sem40</v>
      </c>
      <c r="K61" s="72">
        <f t="shared" ref="K61" si="108">+$H$19</f>
        <v>40</v>
      </c>
      <c r="L61" s="72">
        <f>+IF(_xlfn.XLOOKUP(K61,DetalleCalculos!W:W,DetalleCalculos!U:U,0,0,1)=7,1,2)</f>
        <v>1</v>
      </c>
      <c r="M61" s="79" t="str" cm="1">
        <f t="array" ref="M61">+INDEX($B$23:$B$89,ROUNDUP((ROW()-22)/3,0))</f>
        <v>DE PAZ REYES VICTOR ALFONSO</v>
      </c>
      <c r="N61" s="76">
        <f>SUMIFS(DetalleCalculos!$N:$N,DetalleCalculos!$W:$W,$K61,DetalleCalculos!$H:$H,$M61)*24</f>
        <v>53.000000000000028</v>
      </c>
      <c r="O61" s="80">
        <f>SUMIFS(DetalleCalculos!$P:$P,DetalleCalculos!$W:$W,$K61,DetalleCalculos!$H:$H,$M61)</f>
        <v>37.6</v>
      </c>
      <c r="P61" s="80">
        <f>SUMIFS(DetalleCalculos!$Q:$Q,DetalleCalculos!$W:$W,$K61,DetalleCalculos!$H:$H,$M61)</f>
        <v>0</v>
      </c>
      <c r="Q61" s="24">
        <f t="shared" si="6"/>
        <v>37.6</v>
      </c>
      <c r="R61" s="24">
        <f t="shared" si="7"/>
        <v>15.400000000000027</v>
      </c>
      <c r="S61" s="80" t="str">
        <f>_xlfn.XLOOKUP($J61&amp;$K61&amp;$M61,DetalleCalculos!$B:$B,DetalleCalculos!$O:$O,"",0,1)</f>
        <v>1-4-2</v>
      </c>
      <c r="T61" s="29">
        <f>+_xlfn.XLOOKUP($S61,'Horarios y Sistemas'!$C:$C,'Horarios y Sistemas'!M:M,0,0,1)</f>
        <v>0.2</v>
      </c>
      <c r="U61" s="29">
        <f t="shared" si="8"/>
        <v>0.8</v>
      </c>
      <c r="V61" s="30">
        <f t="shared" si="9"/>
        <v>3.0800000000000054</v>
      </c>
      <c r="W61" s="30">
        <f t="shared" si="10"/>
        <v>12.320000000000022</v>
      </c>
      <c r="X61" s="24">
        <f t="shared" si="11"/>
        <v>4.6200000000000081</v>
      </c>
      <c r="Y61" s="24">
        <f t="shared" si="12"/>
        <v>18.480000000000032</v>
      </c>
      <c r="Z61" s="95"/>
      <c r="AA61" s="99"/>
      <c r="AB61" s="100"/>
    </row>
    <row r="62" spans="2:31">
      <c r="B62" s="125" t="s">
        <v>20</v>
      </c>
      <c r="C62" s="113">
        <f>+SUMIFS(AD$23:AD$223,$M$23:$M$223,$B62,$AC$23:$AC$223,$B$20)</f>
        <v>1.5199999999999818</v>
      </c>
      <c r="D62" s="114">
        <f>+SUMIFS(AE$23:AE$223,$M$23:$M$223,$B62,$AC$23:$AC$223,$B$20)</f>
        <v>2.2799999999999727</v>
      </c>
      <c r="E62" s="119">
        <f t="shared" si="91"/>
        <v>3.7999999999999545</v>
      </c>
      <c r="F62" s="19"/>
      <c r="H62" t="str">
        <f t="shared" si="3"/>
        <v>SEPTIEMBRESem3838David Alexander Ordoñez Sales</v>
      </c>
      <c r="I62" s="14" t="str">
        <f>+_xlfn.XLOOKUP(K62,DetalleCalculos!W:W,DetalleCalculos!S:S,"",0,1)</f>
        <v>SEPTIEMBRE</v>
      </c>
      <c r="J62" s="72" t="str">
        <f t="shared" si="4"/>
        <v>Sem38</v>
      </c>
      <c r="K62" s="72">
        <f t="shared" ref="K62" si="109">+$H$17</f>
        <v>38</v>
      </c>
      <c r="L62" s="72">
        <f>+IF(_xlfn.XLOOKUP(K62,DetalleCalculos!W:W,DetalleCalculos!U:U,0,0,1)=7,1,2)</f>
        <v>1</v>
      </c>
      <c r="M62" s="79" t="str" cm="1">
        <f t="array" ref="M62">+INDEX($B$23:$B$89,ROUNDUP((ROW()-22)/3,0))</f>
        <v>David Alexander Ordoñez Sales</v>
      </c>
      <c r="N62" s="76">
        <f>SUMIFS(DetalleCalculos!$N:$N,DetalleCalculos!$W:$W,$K62,DetalleCalculos!$H:$H,$M62)*24</f>
        <v>52</v>
      </c>
      <c r="O62" s="80">
        <f>SUMIFS(DetalleCalculos!$P:$P,DetalleCalculos!$W:$W,$K62,DetalleCalculos!$H:$H,$M62)</f>
        <v>37.6</v>
      </c>
      <c r="P62" s="80">
        <f>SUMIFS(DetalleCalculos!$Q:$Q,DetalleCalculos!$W:$W,$K62,DetalleCalculos!$H:$H,$M62)</f>
        <v>0</v>
      </c>
      <c r="Q62" s="80">
        <f t="shared" si="6"/>
        <v>37.6</v>
      </c>
      <c r="R62" s="80">
        <f t="shared" si="7"/>
        <v>14.399999999999999</v>
      </c>
      <c r="S62" s="80" t="str">
        <f>_xlfn.XLOOKUP($J62&amp;$K62&amp;$M62,DetalleCalculos!$B:$B,DetalleCalculos!$O:$O,"",0,1)</f>
        <v>1-4-2</v>
      </c>
      <c r="T62" s="81">
        <f>+_xlfn.XLOOKUP($S62,'Horarios y Sistemas'!$C:$C,'Horarios y Sistemas'!M:M,0,0,1)</f>
        <v>0.2</v>
      </c>
      <c r="U62" s="81">
        <f t="shared" si="8"/>
        <v>0.8</v>
      </c>
      <c r="V62" s="82">
        <f t="shared" si="9"/>
        <v>2.88</v>
      </c>
      <c r="W62" s="82">
        <f t="shared" si="10"/>
        <v>11.52</v>
      </c>
      <c r="X62" s="80">
        <f t="shared" si="11"/>
        <v>4.32</v>
      </c>
      <c r="Y62" s="80">
        <f t="shared" si="12"/>
        <v>17.28</v>
      </c>
      <c r="Z62" s="95" t="s">
        <v>245</v>
      </c>
      <c r="AA62" s="99">
        <f t="shared" ref="AA62:AB62" si="110">+SUM(X62:X64)</f>
        <v>4.32</v>
      </c>
      <c r="AB62" s="100">
        <f t="shared" si="110"/>
        <v>45.78</v>
      </c>
    </row>
    <row r="63" spans="2:31" ht="15.75" thickBot="1">
      <c r="B63" s="125" t="s">
        <v>250</v>
      </c>
      <c r="C63" s="113">
        <f>+SUMIFS(AD$23:AD$223,$M$23:$M$223,$B63,$AC$23:$AC$223,$B$20)</f>
        <v>0</v>
      </c>
      <c r="D63" s="114">
        <f>+SUMIFS(AE$23:AE$223,$M$23:$M$223,$B63,$AC$23:$AC$223,$B$20)</f>
        <v>9.0000000000000284</v>
      </c>
      <c r="E63" s="119">
        <f t="shared" si="91"/>
        <v>9.0000000000000284</v>
      </c>
      <c r="F63" s="19"/>
      <c r="H63" t="str">
        <f t="shared" si="3"/>
        <v>SEPTIEMBRESem3939David Alexander Ordoñez Sales</v>
      </c>
      <c r="I63" s="14" t="str">
        <f>+_xlfn.XLOOKUP(K63,DetalleCalculos!W:W,DetalleCalculos!S:S,"",0,1)</f>
        <v>SEPTIEMBRE</v>
      </c>
      <c r="J63" s="72" t="str">
        <f t="shared" si="4"/>
        <v>Sem39</v>
      </c>
      <c r="K63" s="72">
        <f t="shared" ref="K63" si="111">+$H$18</f>
        <v>39</v>
      </c>
      <c r="L63" s="72">
        <f>+IF(_xlfn.XLOOKUP(K63,DetalleCalculos!W:W,DetalleCalculos!U:U,0,0,1)=7,1,2)</f>
        <v>1</v>
      </c>
      <c r="M63" s="79" t="str" cm="1">
        <f t="array" ref="M63">+INDEX($B$23:$B$89,ROUNDUP((ROW()-22)/3,0))</f>
        <v>David Alexander Ordoñez Sales</v>
      </c>
      <c r="N63" s="76">
        <f>SUMIFS(DetalleCalculos!$N:$N,DetalleCalculos!$W:$W,$K63,DetalleCalculos!$H:$H,$M63)*24</f>
        <v>44</v>
      </c>
      <c r="O63" s="80">
        <f>SUMIFS(DetalleCalculos!$P:$P,DetalleCalculos!$W:$W,$K63,DetalleCalculos!$H:$H,$M63)</f>
        <v>44</v>
      </c>
      <c r="P63" s="80">
        <f>SUMIFS(DetalleCalculos!$Q:$Q,DetalleCalculos!$W:$W,$K63,DetalleCalculos!$H:$H,$M63)</f>
        <v>0</v>
      </c>
      <c r="Q63" s="24">
        <f t="shared" si="6"/>
        <v>44</v>
      </c>
      <c r="R63" s="24">
        <f t="shared" si="7"/>
        <v>0</v>
      </c>
      <c r="S63" s="80" t="str">
        <f>_xlfn.XLOOKUP($J63&amp;$K63&amp;$M63,DetalleCalculos!$B:$B,DetalleCalculos!$O:$O,"",0,1)</f>
        <v>4-0-3</v>
      </c>
      <c r="T63" s="29">
        <f>+_xlfn.XLOOKUP($S63,'Horarios y Sistemas'!$C:$C,'Horarios y Sistemas'!M:M,0,0,1)</f>
        <v>1</v>
      </c>
      <c r="U63" s="29">
        <f t="shared" si="8"/>
        <v>0</v>
      </c>
      <c r="V63" s="30">
        <f t="shared" si="9"/>
        <v>0</v>
      </c>
      <c r="W63" s="30">
        <f t="shared" si="10"/>
        <v>0</v>
      </c>
      <c r="X63" s="24">
        <f t="shared" si="11"/>
        <v>0</v>
      </c>
      <c r="Y63" s="24">
        <f t="shared" si="12"/>
        <v>0</v>
      </c>
      <c r="Z63" s="96" t="s">
        <v>246</v>
      </c>
      <c r="AA63" s="101">
        <f t="shared" ref="AA63" si="112">+IF(AA62&lt;=0,0,IF(AND(AA62&gt;AB62,AB62&lt;=0),IF(AA62+AB62&gt;0,AA62+AB62,0),IF(AND(AA62&gt;0,AB62&gt;0),AA62,0)))</f>
        <v>4.32</v>
      </c>
      <c r="AB63" s="102">
        <f t="shared" ref="AB63" si="113">+IF(AB62&lt;=0,0,IF(AND(AB62&gt;AA62,AA62&lt;=0),IF(AB62+AA62&gt;0,AB62+AA62,0),IF(AND(AB62&gt;0,AA62&gt;0),AB62,0)))</f>
        <v>45.78</v>
      </c>
      <c r="AC63" s="97" t="s">
        <v>125</v>
      </c>
      <c r="AD63" s="103">
        <f t="shared" ref="AD63" si="114">+AA63/$X$5</f>
        <v>2.8800000000000003</v>
      </c>
      <c r="AE63" s="104">
        <f t="shared" ref="AE63" si="115">+AB63/$Y$5</f>
        <v>30.52</v>
      </c>
    </row>
    <row r="64" spans="2:31" ht="15.75" thickBot="1">
      <c r="B64" s="125" t="s">
        <v>8</v>
      </c>
      <c r="C64" s="113">
        <f>+SUMIFS(AD$23:AD$223,$M$23:$M$223,$B64,$AC$23:$AC$223,$B$20)</f>
        <v>0</v>
      </c>
      <c r="D64" s="114">
        <f>+SUMIFS(AE$23:AE$223,$M$23:$M$223,$B64,$AC$23:$AC$223,$B$20)</f>
        <v>0</v>
      </c>
      <c r="E64" s="119">
        <f t="shared" si="91"/>
        <v>0</v>
      </c>
      <c r="F64" s="19"/>
      <c r="H64" t="str">
        <f t="shared" si="3"/>
        <v>SEPTIEMBRESem4040David Alexander Ordoñez Sales</v>
      </c>
      <c r="I64" s="14" t="str">
        <f>+_xlfn.XLOOKUP(K64,DetalleCalculos!W:W,DetalleCalculos!S:S,"",0,1)</f>
        <v>SEPTIEMBRE</v>
      </c>
      <c r="J64" s="72" t="str">
        <f t="shared" si="4"/>
        <v>Sem40</v>
      </c>
      <c r="K64" s="72">
        <f t="shared" ref="K64" si="116">+$H$19</f>
        <v>40</v>
      </c>
      <c r="L64" s="72">
        <f>+IF(_xlfn.XLOOKUP(K64,DetalleCalculos!W:W,DetalleCalculos!U:U,0,0,1)=7,1,2)</f>
        <v>1</v>
      </c>
      <c r="M64" s="79" t="str" cm="1">
        <f t="array" ref="M64">+INDEX($B$23:$B$89,ROUNDUP((ROW()-22)/3,0))</f>
        <v>David Alexander Ordoñez Sales</v>
      </c>
      <c r="N64" s="76">
        <f>SUMIFS(DetalleCalculos!$N:$N,DetalleCalculos!$W:$W,$K64,DetalleCalculos!$H:$H,$M64)*24</f>
        <v>55</v>
      </c>
      <c r="O64" s="80">
        <f>SUMIFS(DetalleCalculos!$P:$P,DetalleCalculos!$W:$W,$K64,DetalleCalculos!$H:$H,$M64)</f>
        <v>36</v>
      </c>
      <c r="P64" s="80">
        <f>SUMIFS(DetalleCalculos!$Q:$Q,DetalleCalculos!$W:$W,$K64,DetalleCalculos!$H:$H,$M64)</f>
        <v>0</v>
      </c>
      <c r="Q64" s="24">
        <f t="shared" si="6"/>
        <v>36</v>
      </c>
      <c r="R64" s="24">
        <f t="shared" si="7"/>
        <v>19</v>
      </c>
      <c r="S64" s="80" t="str">
        <f>_xlfn.XLOOKUP($J64&amp;$K64&amp;$M64,DetalleCalculos!$B:$B,DetalleCalculos!$O:$O,"",0,1)</f>
        <v>0-5-2</v>
      </c>
      <c r="T64" s="29">
        <f>+_xlfn.XLOOKUP($S64,'Horarios y Sistemas'!$C:$C,'Horarios y Sistemas'!M:M,0,0,1)</f>
        <v>0</v>
      </c>
      <c r="U64" s="29">
        <f t="shared" si="8"/>
        <v>1</v>
      </c>
      <c r="V64" s="30">
        <f t="shared" si="9"/>
        <v>0</v>
      </c>
      <c r="W64" s="30">
        <f t="shared" si="10"/>
        <v>19</v>
      </c>
      <c r="X64" s="24">
        <f t="shared" si="11"/>
        <v>0</v>
      </c>
      <c r="Y64" s="24">
        <f t="shared" si="12"/>
        <v>28.5</v>
      </c>
      <c r="Z64" s="95"/>
      <c r="AA64" s="99"/>
      <c r="AB64" s="100"/>
    </row>
    <row r="65" spans="2:31">
      <c r="B65" s="125" t="s">
        <v>190</v>
      </c>
      <c r="C65" s="113">
        <f>+SUMIFS(AD$23:AD$223,$M$23:$M$223,$B65,$AC$23:$AC$223,$B$20)</f>
        <v>0</v>
      </c>
      <c r="D65" s="114">
        <f>+SUMIFS(AE$23:AE$223,$M$23:$M$223,$B65,$AC$23:$AC$223,$B$20)</f>
        <v>19</v>
      </c>
      <c r="E65" s="119">
        <f t="shared" si="91"/>
        <v>19</v>
      </c>
      <c r="F65" s="19"/>
      <c r="H65" t="str">
        <f t="shared" si="3"/>
        <v>SEPTIEMBRESem3838Diego Flavio Rivas</v>
      </c>
      <c r="I65" s="14" t="str">
        <f>+_xlfn.XLOOKUP(K65,DetalleCalculos!W:W,DetalleCalculos!S:S,"",0,1)</f>
        <v>SEPTIEMBRE</v>
      </c>
      <c r="J65" s="72" t="str">
        <f t="shared" si="4"/>
        <v>Sem38</v>
      </c>
      <c r="K65" s="72">
        <f t="shared" ref="K65" si="117">+$H$17</f>
        <v>38</v>
      </c>
      <c r="L65" s="72">
        <f>+IF(_xlfn.XLOOKUP(K65,DetalleCalculos!W:W,DetalleCalculos!U:U,0,0,1)=7,1,2)</f>
        <v>1</v>
      </c>
      <c r="M65" s="79" t="str" cm="1">
        <f t="array" ref="M65">+INDEX($B$23:$B$89,ROUNDUP((ROW()-22)/3,0))</f>
        <v>Diego Flavio Rivas</v>
      </c>
      <c r="N65" s="76">
        <f>SUMIFS(DetalleCalculos!$N:$N,DetalleCalculos!$W:$W,$K65,DetalleCalculos!$H:$H,$M65)*24</f>
        <v>52</v>
      </c>
      <c r="O65" s="80">
        <f>SUMIFS(DetalleCalculos!$P:$P,DetalleCalculos!$W:$W,$K65,DetalleCalculos!$H:$H,$M65)</f>
        <v>37.6</v>
      </c>
      <c r="P65" s="80">
        <f>SUMIFS(DetalleCalculos!$Q:$Q,DetalleCalculos!$W:$W,$K65,DetalleCalculos!$H:$H,$M65)</f>
        <v>0</v>
      </c>
      <c r="Q65" s="80">
        <f t="shared" si="6"/>
        <v>37.6</v>
      </c>
      <c r="R65" s="80">
        <f t="shared" si="7"/>
        <v>14.399999999999999</v>
      </c>
      <c r="S65" s="80" t="str">
        <f>_xlfn.XLOOKUP($J65&amp;$K65&amp;$M65,DetalleCalculos!$B:$B,DetalleCalculos!$O:$O,"",0,1)</f>
        <v>1-4-2</v>
      </c>
      <c r="T65" s="81">
        <f>+_xlfn.XLOOKUP($S65,'Horarios y Sistemas'!$C:$C,'Horarios y Sistemas'!M:M,0,0,1)</f>
        <v>0.2</v>
      </c>
      <c r="U65" s="81">
        <f t="shared" si="8"/>
        <v>0.8</v>
      </c>
      <c r="V65" s="82">
        <f t="shared" si="9"/>
        <v>2.88</v>
      </c>
      <c r="W65" s="82">
        <f t="shared" si="10"/>
        <v>11.52</v>
      </c>
      <c r="X65" s="80">
        <f t="shared" si="11"/>
        <v>4.32</v>
      </c>
      <c r="Y65" s="80">
        <f t="shared" si="12"/>
        <v>17.28</v>
      </c>
      <c r="Z65" s="95" t="s">
        <v>245</v>
      </c>
      <c r="AA65" s="99">
        <f t="shared" ref="AA65:AB65" si="118">+SUM(X65:X67)</f>
        <v>4.32</v>
      </c>
      <c r="AB65" s="100">
        <f t="shared" si="118"/>
        <v>45.78</v>
      </c>
    </row>
    <row r="66" spans="2:31" ht="15.75" thickBot="1">
      <c r="B66" s="125" t="s">
        <v>192</v>
      </c>
      <c r="C66" s="113">
        <f>+SUMIFS(AD$23:AD$223,$M$23:$M$223,$B66,$AC$23:$AC$223,$B$20)</f>
        <v>21.000000000000014</v>
      </c>
      <c r="D66" s="114">
        <f>+SUMIFS(AE$23:AE$223,$M$23:$M$223,$B66,$AC$23:$AC$223,$B$20)</f>
        <v>0</v>
      </c>
      <c r="E66" s="119">
        <f t="shared" si="91"/>
        <v>21.000000000000014</v>
      </c>
      <c r="F66" s="19"/>
      <c r="H66" t="str">
        <f t="shared" si="3"/>
        <v>SEPTIEMBRESem3939Diego Flavio Rivas</v>
      </c>
      <c r="I66" s="14" t="str">
        <f>+_xlfn.XLOOKUP(K66,DetalleCalculos!W:W,DetalleCalculos!S:S,"",0,1)</f>
        <v>SEPTIEMBRE</v>
      </c>
      <c r="J66" s="72" t="str">
        <f t="shared" si="4"/>
        <v>Sem39</v>
      </c>
      <c r="K66" s="72">
        <f t="shared" ref="K66" si="119">+$H$18</f>
        <v>39</v>
      </c>
      <c r="L66" s="72">
        <f>+IF(_xlfn.XLOOKUP(K66,DetalleCalculos!W:W,DetalleCalculos!U:U,0,0,1)=7,1,2)</f>
        <v>1</v>
      </c>
      <c r="M66" s="79" t="str" cm="1">
        <f t="array" ref="M66">+INDEX($B$23:$B$89,ROUNDUP((ROW()-22)/3,0))</f>
        <v>Diego Flavio Rivas</v>
      </c>
      <c r="N66" s="76">
        <f>SUMIFS(DetalleCalculos!$N:$N,DetalleCalculos!$W:$W,$K66,DetalleCalculos!$H:$H,$M66)*24</f>
        <v>44</v>
      </c>
      <c r="O66" s="80">
        <f>SUMIFS(DetalleCalculos!$P:$P,DetalleCalculos!$W:$W,$K66,DetalleCalculos!$H:$H,$M66)</f>
        <v>44</v>
      </c>
      <c r="P66" s="80">
        <f>SUMIFS(DetalleCalculos!$Q:$Q,DetalleCalculos!$W:$W,$K66,DetalleCalculos!$H:$H,$M66)</f>
        <v>0</v>
      </c>
      <c r="Q66" s="24">
        <f t="shared" si="6"/>
        <v>44</v>
      </c>
      <c r="R66" s="24">
        <f t="shared" si="7"/>
        <v>0</v>
      </c>
      <c r="S66" s="80" t="str">
        <f>_xlfn.XLOOKUP($J66&amp;$K66&amp;$M66,DetalleCalculos!$B:$B,DetalleCalculos!$O:$O,"",0,1)</f>
        <v>4-0-3</v>
      </c>
      <c r="T66" s="29">
        <f>+_xlfn.XLOOKUP($S66,'Horarios y Sistemas'!$C:$C,'Horarios y Sistemas'!M:M,0,0,1)</f>
        <v>1</v>
      </c>
      <c r="U66" s="29">
        <f t="shared" si="8"/>
        <v>0</v>
      </c>
      <c r="V66" s="30">
        <f t="shared" si="9"/>
        <v>0</v>
      </c>
      <c r="W66" s="30">
        <f t="shared" si="10"/>
        <v>0</v>
      </c>
      <c r="X66" s="24">
        <f t="shared" si="11"/>
        <v>0</v>
      </c>
      <c r="Y66" s="24">
        <f t="shared" si="12"/>
        <v>0</v>
      </c>
      <c r="Z66" s="96" t="s">
        <v>246</v>
      </c>
      <c r="AA66" s="101">
        <f t="shared" ref="AA66" si="120">+IF(AA65&lt;=0,0,IF(AND(AA65&gt;AB65,AB65&lt;=0),IF(AA65+AB65&gt;0,AA65+AB65,0),IF(AND(AA65&gt;0,AB65&gt;0),AA65,0)))</f>
        <v>4.32</v>
      </c>
      <c r="AB66" s="102">
        <f t="shared" ref="AB66" si="121">+IF(AB65&lt;=0,0,IF(AND(AB65&gt;AA65,AA65&lt;=0),IF(AB65+AA65&gt;0,AB65+AA65,0),IF(AND(AB65&gt;0,AA65&gt;0),AB65,0)))</f>
        <v>45.78</v>
      </c>
      <c r="AC66" s="97" t="s">
        <v>125</v>
      </c>
      <c r="AD66" s="103">
        <f t="shared" ref="AD66" si="122">+AA66/$X$5</f>
        <v>2.8800000000000003</v>
      </c>
      <c r="AE66" s="104">
        <f t="shared" ref="AE66" si="123">+AB66/$Y$5</f>
        <v>30.52</v>
      </c>
    </row>
    <row r="67" spans="2:31" ht="15.75" thickBot="1">
      <c r="B67" s="125" t="s">
        <v>230</v>
      </c>
      <c r="C67" s="113">
        <f>+SUMIFS(AD$23:AD$223,$M$23:$M$223,$B67,$AC$23:$AC$223,$B$20)</f>
        <v>1.2799999999999885</v>
      </c>
      <c r="D67" s="114">
        <f>+SUMIFS(AE$23:AE$223,$M$23:$M$223,$B67,$AC$23:$AC$223,$B$20)</f>
        <v>5.1199999999999539</v>
      </c>
      <c r="E67" s="119">
        <f t="shared" si="91"/>
        <v>6.3999999999999426</v>
      </c>
      <c r="F67" s="19"/>
      <c r="H67" t="str">
        <f t="shared" si="3"/>
        <v>SEPTIEMBRESem4040Diego Flavio Rivas</v>
      </c>
      <c r="I67" s="14" t="str">
        <f>+_xlfn.XLOOKUP(K67,DetalleCalculos!W:W,DetalleCalculos!S:S,"",0,1)</f>
        <v>SEPTIEMBRE</v>
      </c>
      <c r="J67" s="72" t="str">
        <f t="shared" si="4"/>
        <v>Sem40</v>
      </c>
      <c r="K67" s="72">
        <f t="shared" ref="K67" si="124">+$H$19</f>
        <v>40</v>
      </c>
      <c r="L67" s="72">
        <f>+IF(_xlfn.XLOOKUP(K67,DetalleCalculos!W:W,DetalleCalculos!U:U,0,0,1)=7,1,2)</f>
        <v>1</v>
      </c>
      <c r="M67" s="79" t="str" cm="1">
        <f t="array" ref="M67">+INDEX($B$23:$B$89,ROUNDUP((ROW()-22)/3,0))</f>
        <v>Diego Flavio Rivas</v>
      </c>
      <c r="N67" s="76">
        <f>SUMIFS(DetalleCalculos!$N:$N,DetalleCalculos!$W:$W,$K67,DetalleCalculos!$H:$H,$M67)*24</f>
        <v>55</v>
      </c>
      <c r="O67" s="80">
        <f>SUMIFS(DetalleCalculos!$P:$P,DetalleCalculos!$W:$W,$K67,DetalleCalculos!$H:$H,$M67)</f>
        <v>36</v>
      </c>
      <c r="P67" s="80">
        <f>SUMIFS(DetalleCalculos!$Q:$Q,DetalleCalculos!$W:$W,$K67,DetalleCalculos!$H:$H,$M67)</f>
        <v>0</v>
      </c>
      <c r="Q67" s="24">
        <f t="shared" si="6"/>
        <v>36</v>
      </c>
      <c r="R67" s="24">
        <f t="shared" si="7"/>
        <v>19</v>
      </c>
      <c r="S67" s="80" t="str">
        <f>_xlfn.XLOOKUP($J67&amp;$K67&amp;$M67,DetalleCalculos!$B:$B,DetalleCalculos!$O:$O,"",0,1)</f>
        <v>0-5-2</v>
      </c>
      <c r="T67" s="29">
        <f>+_xlfn.XLOOKUP($S67,'Horarios y Sistemas'!$C:$C,'Horarios y Sistemas'!M:M,0,0,1)</f>
        <v>0</v>
      </c>
      <c r="U67" s="29">
        <f t="shared" si="8"/>
        <v>1</v>
      </c>
      <c r="V67" s="30">
        <f t="shared" si="9"/>
        <v>0</v>
      </c>
      <c r="W67" s="30">
        <f t="shared" si="10"/>
        <v>19</v>
      </c>
      <c r="X67" s="24">
        <f t="shared" si="11"/>
        <v>0</v>
      </c>
      <c r="Y67" s="24">
        <f t="shared" si="12"/>
        <v>28.5</v>
      </c>
      <c r="Z67" s="95"/>
      <c r="AA67" s="99"/>
      <c r="AB67" s="100"/>
    </row>
    <row r="68" spans="2:31">
      <c r="B68" s="125" t="s">
        <v>5</v>
      </c>
      <c r="C68" s="113">
        <f>+SUMIFS(AD$23:AD$223,$M$23:$M$223,$B68,$AC$23:$AC$223,$B$20)</f>
        <v>12.999999999999943</v>
      </c>
      <c r="D68" s="114">
        <f>+SUMIFS(AE$23:AE$223,$M$23:$M$223,$B68,$AC$23:$AC$223,$B$20)</f>
        <v>9.0000000000000284</v>
      </c>
      <c r="E68" s="119">
        <f t="shared" si="91"/>
        <v>21.999999999999972</v>
      </c>
      <c r="F68" s="19"/>
      <c r="H68" t="str">
        <f t="shared" si="3"/>
        <v>SEPTIEMBRESem3838EDSON JAIR LEAL GRIJALVA</v>
      </c>
      <c r="I68" s="14" t="str">
        <f>+_xlfn.XLOOKUP(K68,DetalleCalculos!W:W,DetalleCalculos!S:S,"",0,1)</f>
        <v>SEPTIEMBRE</v>
      </c>
      <c r="J68" s="72" t="str">
        <f t="shared" si="4"/>
        <v>Sem38</v>
      </c>
      <c r="K68" s="72">
        <f t="shared" ref="K68" si="125">+$H$17</f>
        <v>38</v>
      </c>
      <c r="L68" s="72">
        <f>+IF(_xlfn.XLOOKUP(K68,DetalleCalculos!W:W,DetalleCalculos!U:U,0,0,1)=7,1,2)</f>
        <v>1</v>
      </c>
      <c r="M68" s="79" t="str" cm="1">
        <f t="array" ref="M68">+INDEX($B$23:$B$89,ROUNDUP((ROW()-22)/3,0))</f>
        <v>EDSON JAIR LEAL GRIJALVA</v>
      </c>
      <c r="N68" s="76">
        <f>SUMIFS(DetalleCalculos!$N:$N,DetalleCalculos!$W:$W,$K68,DetalleCalculos!$H:$H,$M68)*24</f>
        <v>0</v>
      </c>
      <c r="O68" s="80">
        <f>SUMIFS(DetalleCalculos!$P:$P,DetalleCalculos!$W:$W,$K68,DetalleCalculos!$H:$H,$M68)</f>
        <v>0</v>
      </c>
      <c r="P68" s="80">
        <f>SUMIFS(DetalleCalculos!$Q:$Q,DetalleCalculos!$W:$W,$K68,DetalleCalculos!$H:$H,$M68)</f>
        <v>0</v>
      </c>
      <c r="Q68" s="80">
        <f t="shared" si="6"/>
        <v>0</v>
      </c>
      <c r="R68" s="80">
        <f t="shared" si="7"/>
        <v>0</v>
      </c>
      <c r="S68" s="80" t="str">
        <f>_xlfn.XLOOKUP($J68&amp;$K68&amp;$M68,DetalleCalculos!$B:$B,DetalleCalculos!$O:$O,"",0,1)</f>
        <v/>
      </c>
      <c r="T68" s="81">
        <f>+_xlfn.XLOOKUP($S68,'Horarios y Sistemas'!$C:$C,'Horarios y Sistemas'!M:M,0,0,1)</f>
        <v>0</v>
      </c>
      <c r="U68" s="81">
        <f t="shared" si="8"/>
        <v>1</v>
      </c>
      <c r="V68" s="82">
        <f t="shared" si="9"/>
        <v>0</v>
      </c>
      <c r="W68" s="82">
        <f t="shared" si="10"/>
        <v>0</v>
      </c>
      <c r="X68" s="80">
        <f t="shared" si="11"/>
        <v>0</v>
      </c>
      <c r="Y68" s="80">
        <f t="shared" si="12"/>
        <v>0</v>
      </c>
      <c r="Z68" s="95" t="s">
        <v>245</v>
      </c>
      <c r="AA68" s="99">
        <f t="shared" ref="AA68:AB68" si="126">+SUM(X68:X70)</f>
        <v>0</v>
      </c>
      <c r="AB68" s="100">
        <f t="shared" si="126"/>
        <v>0</v>
      </c>
    </row>
    <row r="69" spans="2:31" ht="15.75" thickBot="1">
      <c r="B69" s="125" t="s">
        <v>7</v>
      </c>
      <c r="C69" s="113">
        <f>+SUMIFS(AD$23:AD$223,$M$23:$M$223,$B69,$AC$23:$AC$223,$B$20)</f>
        <v>19.500000000000036</v>
      </c>
      <c r="D69" s="114">
        <f>+SUMIFS(AE$23:AE$223,$M$23:$M$223,$B69,$AC$23:$AC$223,$B$20)</f>
        <v>20.250000000000028</v>
      </c>
      <c r="E69" s="119">
        <f t="shared" si="91"/>
        <v>39.750000000000064</v>
      </c>
      <c r="F69" s="19"/>
      <c r="H69" t="str">
        <f t="shared" si="3"/>
        <v>SEPTIEMBRESem3939EDSON JAIR LEAL GRIJALVA</v>
      </c>
      <c r="I69" s="14" t="str">
        <f>+_xlfn.XLOOKUP(K69,DetalleCalculos!W:W,DetalleCalculos!S:S,"",0,1)</f>
        <v>SEPTIEMBRE</v>
      </c>
      <c r="J69" s="72" t="str">
        <f t="shared" si="4"/>
        <v>Sem39</v>
      </c>
      <c r="K69" s="72">
        <f t="shared" ref="K69" si="127">+$H$18</f>
        <v>39</v>
      </c>
      <c r="L69" s="72">
        <f>+IF(_xlfn.XLOOKUP(K69,DetalleCalculos!W:W,DetalleCalculos!U:U,0,0,1)=7,1,2)</f>
        <v>1</v>
      </c>
      <c r="M69" s="79" t="str" cm="1">
        <f t="array" ref="M69">+INDEX($B$23:$B$89,ROUNDUP((ROW()-22)/3,0))</f>
        <v>EDSON JAIR LEAL GRIJALVA</v>
      </c>
      <c r="N69" s="76">
        <f>SUMIFS(DetalleCalculos!$N:$N,DetalleCalculos!$W:$W,$K69,DetalleCalculos!$H:$H,$M69)*24</f>
        <v>0</v>
      </c>
      <c r="O69" s="80">
        <f>SUMIFS(DetalleCalculos!$P:$P,DetalleCalculos!$W:$W,$K69,DetalleCalculos!$H:$H,$M69)</f>
        <v>0</v>
      </c>
      <c r="P69" s="80">
        <f>SUMIFS(DetalleCalculos!$Q:$Q,DetalleCalculos!$W:$W,$K69,DetalleCalculos!$H:$H,$M69)</f>
        <v>0</v>
      </c>
      <c r="Q69" s="24">
        <f t="shared" si="6"/>
        <v>0</v>
      </c>
      <c r="R69" s="24">
        <f t="shared" si="7"/>
        <v>0</v>
      </c>
      <c r="S69" s="80" t="str">
        <f>_xlfn.XLOOKUP($J69&amp;$K69&amp;$M69,DetalleCalculos!$B:$B,DetalleCalculos!$O:$O,"",0,1)</f>
        <v/>
      </c>
      <c r="T69" s="29">
        <f>+_xlfn.XLOOKUP($S69,'Horarios y Sistemas'!$C:$C,'Horarios y Sistemas'!M:M,0,0,1)</f>
        <v>0</v>
      </c>
      <c r="U69" s="29">
        <f t="shared" si="8"/>
        <v>1</v>
      </c>
      <c r="V69" s="30">
        <f t="shared" si="9"/>
        <v>0</v>
      </c>
      <c r="W69" s="30">
        <f t="shared" si="10"/>
        <v>0</v>
      </c>
      <c r="X69" s="24">
        <f t="shared" si="11"/>
        <v>0</v>
      </c>
      <c r="Y69" s="24">
        <f t="shared" si="12"/>
        <v>0</v>
      </c>
      <c r="Z69" s="96" t="s">
        <v>246</v>
      </c>
      <c r="AA69" s="101">
        <f t="shared" ref="AA69" si="128">+IF(AA68&lt;=0,0,IF(AND(AA68&gt;AB68,AB68&lt;=0),IF(AA68+AB68&gt;0,AA68+AB68,0),IF(AND(AA68&gt;0,AB68&gt;0),AA68,0)))</f>
        <v>0</v>
      </c>
      <c r="AB69" s="102">
        <f t="shared" ref="AB69" si="129">+IF(AB68&lt;=0,0,IF(AND(AB68&gt;AA68,AA68&lt;=0),IF(AB68+AA68&gt;0,AB68+AA68,0),IF(AND(AB68&gt;0,AA68&gt;0),AB68,0)))</f>
        <v>0</v>
      </c>
      <c r="AC69" s="97" t="s">
        <v>125</v>
      </c>
      <c r="AD69" s="103">
        <f t="shared" ref="AD69" si="130">+AA69/$X$5</f>
        <v>0</v>
      </c>
      <c r="AE69" s="104">
        <f t="shared" ref="AE69" si="131">+AB69/$Y$5</f>
        <v>0</v>
      </c>
    </row>
    <row r="70" spans="2:31" ht="15.75" thickBot="1">
      <c r="B70" s="125" t="s">
        <v>16</v>
      </c>
      <c r="C70" s="113">
        <f>+SUMIFS(AD$23:AD$223,$M$23:$M$223,$B70,$AC$23:$AC$223,$B$20)</f>
        <v>11.999999999999943</v>
      </c>
      <c r="D70" s="114">
        <f>+SUMIFS(AE$23:AE$223,$M$23:$M$223,$B70,$AC$23:$AC$223,$B$20)</f>
        <v>0</v>
      </c>
      <c r="E70" s="119">
        <f t="shared" si="91"/>
        <v>11.999999999999943</v>
      </c>
      <c r="F70" s="19"/>
      <c r="H70" t="str">
        <f t="shared" si="3"/>
        <v>SEPTIEMBRESem4040EDSON JAIR LEAL GRIJALVA</v>
      </c>
      <c r="I70" s="14" t="str">
        <f>+_xlfn.XLOOKUP(K70,DetalleCalculos!W:W,DetalleCalculos!S:S,"",0,1)</f>
        <v>SEPTIEMBRE</v>
      </c>
      <c r="J70" s="72" t="str">
        <f t="shared" si="4"/>
        <v>Sem40</v>
      </c>
      <c r="K70" s="72">
        <f t="shared" ref="K70" si="132">+$H$19</f>
        <v>40</v>
      </c>
      <c r="L70" s="72">
        <f>+IF(_xlfn.XLOOKUP(K70,DetalleCalculos!W:W,DetalleCalculos!U:U,0,0,1)=7,1,2)</f>
        <v>1</v>
      </c>
      <c r="M70" s="79" t="str" cm="1">
        <f t="array" ref="M70">+INDEX($B$23:$B$89,ROUNDUP((ROW()-22)/3,0))</f>
        <v>EDSON JAIR LEAL GRIJALVA</v>
      </c>
      <c r="N70" s="76">
        <f>SUMIFS(DetalleCalculos!$N:$N,DetalleCalculos!$W:$W,$K70,DetalleCalculos!$H:$H,$M70)*24</f>
        <v>0</v>
      </c>
      <c r="O70" s="80">
        <f>SUMIFS(DetalleCalculos!$P:$P,DetalleCalculos!$W:$W,$K70,DetalleCalculos!$H:$H,$M70)</f>
        <v>0</v>
      </c>
      <c r="P70" s="80">
        <f>SUMIFS(DetalleCalculos!$Q:$Q,DetalleCalculos!$W:$W,$K70,DetalleCalculos!$H:$H,$M70)</f>
        <v>0</v>
      </c>
      <c r="Q70" s="24">
        <f t="shared" si="6"/>
        <v>0</v>
      </c>
      <c r="R70" s="24">
        <f t="shared" si="7"/>
        <v>0</v>
      </c>
      <c r="S70" s="80" t="str">
        <f>_xlfn.XLOOKUP($J70&amp;$K70&amp;$M70,DetalleCalculos!$B:$B,DetalleCalculos!$O:$O,"",0,1)</f>
        <v/>
      </c>
      <c r="T70" s="29">
        <f>+_xlfn.XLOOKUP($S70,'Horarios y Sistemas'!$C:$C,'Horarios y Sistemas'!M:M,0,0,1)</f>
        <v>0</v>
      </c>
      <c r="U70" s="29">
        <f t="shared" si="8"/>
        <v>1</v>
      </c>
      <c r="V70" s="30">
        <f t="shared" si="9"/>
        <v>0</v>
      </c>
      <c r="W70" s="30">
        <f t="shared" si="10"/>
        <v>0</v>
      </c>
      <c r="X70" s="24">
        <f t="shared" si="11"/>
        <v>0</v>
      </c>
      <c r="Y70" s="24">
        <f t="shared" si="12"/>
        <v>0</v>
      </c>
      <c r="Z70" s="95"/>
      <c r="AA70" s="99"/>
      <c r="AB70" s="100"/>
    </row>
    <row r="71" spans="2:31">
      <c r="B71" s="125" t="s">
        <v>140</v>
      </c>
      <c r="C71" s="113">
        <f>+SUMIFS(AD$23:AD$223,$M$23:$M$223,$B71,$AC$23:$AC$223,$B$20)</f>
        <v>19.500000000000036</v>
      </c>
      <c r="D71" s="114">
        <f>+SUMIFS(AE$23:AE$223,$M$23:$M$223,$B71,$AC$23:$AC$223,$B$20)</f>
        <v>20.250000000000028</v>
      </c>
      <c r="E71" s="119">
        <f t="shared" si="91"/>
        <v>39.750000000000064</v>
      </c>
      <c r="F71" s="19"/>
      <c r="H71" t="str">
        <f t="shared" si="3"/>
        <v>SEPTIEMBRESem3838EFREN ESTUARDO LOPEZ GARCIA</v>
      </c>
      <c r="I71" s="14" t="str">
        <f>+_xlfn.XLOOKUP(K71,DetalleCalculos!W:W,DetalleCalculos!S:S,"",0,1)</f>
        <v>SEPTIEMBRE</v>
      </c>
      <c r="J71" s="72" t="str">
        <f t="shared" si="4"/>
        <v>Sem38</v>
      </c>
      <c r="K71" s="72">
        <f t="shared" ref="K71" si="133">+$H$17</f>
        <v>38</v>
      </c>
      <c r="L71" s="72">
        <f>+IF(_xlfn.XLOOKUP(K71,DetalleCalculos!W:W,DetalleCalculos!U:U,0,0,1)=7,1,2)</f>
        <v>1</v>
      </c>
      <c r="M71" s="79" t="str" cm="1">
        <f t="array" ref="M71">+INDEX($B$23:$B$89,ROUNDUP((ROW()-22)/3,0))</f>
        <v>EFREN ESTUARDO LOPEZ GARCIA</v>
      </c>
      <c r="N71" s="76">
        <f>SUMIFS(DetalleCalculos!$N:$N,DetalleCalculos!$W:$W,$K71,DetalleCalculos!$H:$H,$M71)*24</f>
        <v>44.999999999999986</v>
      </c>
      <c r="O71" s="80">
        <f>SUMIFS(DetalleCalculos!$P:$P,DetalleCalculos!$W:$W,$K71,DetalleCalculos!$H:$H,$M71)</f>
        <v>44</v>
      </c>
      <c r="P71" s="80">
        <f>SUMIFS(DetalleCalculos!$Q:$Q,DetalleCalculos!$W:$W,$K71,DetalleCalculos!$H:$H,$M71)</f>
        <v>0</v>
      </c>
      <c r="Q71" s="80">
        <f t="shared" si="6"/>
        <v>44</v>
      </c>
      <c r="R71" s="80">
        <f t="shared" si="7"/>
        <v>0.99999999999998579</v>
      </c>
      <c r="S71" s="80" t="str">
        <f>_xlfn.XLOOKUP($J71&amp;$K71&amp;$M71,DetalleCalculos!$B:$B,DetalleCalculos!$O:$O,"",0,1)</f>
        <v>5-0-2</v>
      </c>
      <c r="T71" s="81">
        <f>+_xlfn.XLOOKUP($S71,'Horarios y Sistemas'!$C:$C,'Horarios y Sistemas'!M:M,0,0,1)</f>
        <v>1</v>
      </c>
      <c r="U71" s="81">
        <f t="shared" si="8"/>
        <v>0</v>
      </c>
      <c r="V71" s="82">
        <f t="shared" si="9"/>
        <v>0.99999999999998579</v>
      </c>
      <c r="W71" s="82">
        <f t="shared" si="10"/>
        <v>0</v>
      </c>
      <c r="X71" s="80">
        <f t="shared" si="11"/>
        <v>1.4999999999999787</v>
      </c>
      <c r="Y71" s="80">
        <f t="shared" si="12"/>
        <v>0</v>
      </c>
      <c r="Z71" s="95" t="s">
        <v>245</v>
      </c>
      <c r="AA71" s="99">
        <f t="shared" ref="AA71:AB71" si="134">+SUM(X71:X73)</f>
        <v>20.66666666666665</v>
      </c>
      <c r="AB71" s="100">
        <f t="shared" si="134"/>
        <v>3.833333333333333</v>
      </c>
    </row>
    <row r="72" spans="2:31" ht="15.75" thickBot="1">
      <c r="B72" s="125" t="s">
        <v>231</v>
      </c>
      <c r="C72" s="113">
        <f>+SUMIFS(AD$23:AD$223,$M$23:$M$223,$B72,$AC$23:$AC$223,$B$20)</f>
        <v>2.8800000000000003</v>
      </c>
      <c r="D72" s="114">
        <f>+SUMIFS(AE$23:AE$223,$M$23:$M$223,$B72,$AC$23:$AC$223,$B$20)</f>
        <v>30.52</v>
      </c>
      <c r="E72" s="119">
        <f t="shared" si="91"/>
        <v>33.4</v>
      </c>
      <c r="F72" s="19"/>
      <c r="H72" t="str">
        <f t="shared" si="3"/>
        <v>SEPTIEMBRESem3939EFREN ESTUARDO LOPEZ GARCIA</v>
      </c>
      <c r="I72" s="14" t="str">
        <f>+_xlfn.XLOOKUP(K72,DetalleCalculos!W:W,DetalleCalculos!S:S,"",0,1)</f>
        <v>SEPTIEMBRE</v>
      </c>
      <c r="J72" s="72" t="str">
        <f t="shared" si="4"/>
        <v>Sem39</v>
      </c>
      <c r="K72" s="72">
        <f t="shared" ref="K72" si="135">+$H$18</f>
        <v>39</v>
      </c>
      <c r="L72" s="72">
        <f>+IF(_xlfn.XLOOKUP(K72,DetalleCalculos!W:W,DetalleCalculos!U:U,0,0,1)=7,1,2)</f>
        <v>1</v>
      </c>
      <c r="M72" s="79" t="str" cm="1">
        <f t="array" ref="M72">+INDEX($B$23:$B$89,ROUNDUP((ROW()-22)/3,0))</f>
        <v>EFREN ESTUARDO LOPEZ GARCIA</v>
      </c>
      <c r="N72" s="76">
        <f>SUMIFS(DetalleCalculos!$N:$N,DetalleCalculos!$W:$W,$K72,DetalleCalculos!$H:$H,$M72)*24</f>
        <v>11</v>
      </c>
      <c r="O72" s="80">
        <f>SUMIFS(DetalleCalculos!$P:$P,DetalleCalculos!$W:$W,$K72,DetalleCalculos!$H:$H,$M72)</f>
        <v>44</v>
      </c>
      <c r="P72" s="80">
        <f>SUMIFS(DetalleCalculos!$Q:$Q,DetalleCalculos!$W:$W,$K72,DetalleCalculos!$H:$H,$M72)</f>
        <v>0</v>
      </c>
      <c r="Q72" s="24">
        <f t="shared" si="6"/>
        <v>44</v>
      </c>
      <c r="R72" s="24">
        <f t="shared" si="7"/>
        <v>0</v>
      </c>
      <c r="S72" s="80" t="str">
        <f>_xlfn.XLOOKUP($J72&amp;$K72&amp;$M72,DetalleCalculos!$B:$B,DetalleCalculos!$O:$O,"",0,1)</f>
        <v>1-0-6</v>
      </c>
      <c r="T72" s="29">
        <f>+_xlfn.XLOOKUP($S72,'Horarios y Sistemas'!$C:$C,'Horarios y Sistemas'!M:M,0,0,1)</f>
        <v>1</v>
      </c>
      <c r="U72" s="29">
        <f t="shared" si="8"/>
        <v>0</v>
      </c>
      <c r="V72" s="30">
        <f t="shared" si="9"/>
        <v>0</v>
      </c>
      <c r="W72" s="30">
        <f t="shared" si="10"/>
        <v>0</v>
      </c>
      <c r="X72" s="24">
        <f t="shared" si="11"/>
        <v>0</v>
      </c>
      <c r="Y72" s="24">
        <f t="shared" si="12"/>
        <v>0</v>
      </c>
      <c r="Z72" s="96" t="s">
        <v>246</v>
      </c>
      <c r="AA72" s="101">
        <f t="shared" ref="AA72" si="136">+IF(AA71&lt;=0,0,IF(AND(AA71&gt;AB71,AB71&lt;=0),IF(AA71+AB71&gt;0,AA71+AB71,0),IF(AND(AA71&gt;0,AB71&gt;0),AA71,0)))</f>
        <v>20.66666666666665</v>
      </c>
      <c r="AB72" s="102">
        <f t="shared" ref="AB72" si="137">+IF(AB71&lt;=0,0,IF(AND(AB71&gt;AA71,AA71&lt;=0),IF(AB71+AA71&gt;0,AB71+AA71,0),IF(AND(AB71&gt;0,AA71&gt;0),AB71,0)))</f>
        <v>3.833333333333333</v>
      </c>
      <c r="AC72" s="97" t="s">
        <v>125</v>
      </c>
      <c r="AD72" s="103">
        <f t="shared" ref="AD72" si="138">+AA72/$X$5</f>
        <v>13.777777777777766</v>
      </c>
      <c r="AE72" s="104">
        <f t="shared" ref="AE72" si="139">+AB72/$Y$5</f>
        <v>2.5555555555555554</v>
      </c>
    </row>
    <row r="73" spans="2:31" ht="15.75" thickBot="1">
      <c r="B73" s="125" t="s">
        <v>267</v>
      </c>
      <c r="C73" s="113">
        <f>+SUMIFS(AD$23:AD$223,$M$23:$M$223,$B73,$AC$23:$AC$223,$B$20)</f>
        <v>0</v>
      </c>
      <c r="D73" s="114">
        <f>+SUMIFS(AE$23:AE$223,$M$23:$M$223,$B73,$AC$23:$AC$223,$B$20)</f>
        <v>0</v>
      </c>
      <c r="E73" s="119">
        <f t="shared" si="91"/>
        <v>0</v>
      </c>
      <c r="F73" s="19"/>
      <c r="H73" t="str">
        <f t="shared" si="3"/>
        <v>SEPTIEMBRESem4040EFREN ESTUARDO LOPEZ GARCIA</v>
      </c>
      <c r="I73" s="14" t="str">
        <f>+_xlfn.XLOOKUP(K73,DetalleCalculos!W:W,DetalleCalculos!S:S,"",0,1)</f>
        <v>SEPTIEMBRE</v>
      </c>
      <c r="J73" s="72" t="str">
        <f t="shared" si="4"/>
        <v>Sem40</v>
      </c>
      <c r="K73" s="72">
        <f t="shared" ref="K73" si="140">+$H$19</f>
        <v>40</v>
      </c>
      <c r="L73" s="72">
        <f>+IF(_xlfn.XLOOKUP(K73,DetalleCalculos!W:W,DetalleCalculos!U:U,0,0,1)=7,1,2)</f>
        <v>1</v>
      </c>
      <c r="M73" s="79" t="str" cm="1">
        <f t="array" ref="M73">+INDEX($B$23:$B$89,ROUNDUP((ROW()-22)/3,0))</f>
        <v>EFREN ESTUARDO LOPEZ GARCIA</v>
      </c>
      <c r="N73" s="76">
        <f>SUMIFS(DetalleCalculos!$N:$N,DetalleCalculos!$W:$W,$K73,DetalleCalculos!$H:$H,$M73)*24</f>
        <v>58.000000000000007</v>
      </c>
      <c r="O73" s="80">
        <f>SUMIFS(DetalleCalculos!$P:$P,DetalleCalculos!$W:$W,$K73,DetalleCalculos!$H:$H,$M73)</f>
        <v>42.666666666666671</v>
      </c>
      <c r="P73" s="80">
        <f>SUMIFS(DetalleCalculos!$Q:$Q,DetalleCalculos!$W:$W,$K73,DetalleCalculos!$H:$H,$M73)</f>
        <v>0</v>
      </c>
      <c r="Q73" s="24">
        <f t="shared" si="6"/>
        <v>42.666666666666671</v>
      </c>
      <c r="R73" s="24">
        <f t="shared" si="7"/>
        <v>15.333333333333336</v>
      </c>
      <c r="S73" s="80" t="str">
        <f>_xlfn.XLOOKUP($J73&amp;$K73&amp;$M73,DetalleCalculos!$B:$B,DetalleCalculos!$O:$O,"",0,1)</f>
        <v>5-1-1</v>
      </c>
      <c r="T73" s="29">
        <f>+_xlfn.XLOOKUP($S73,'Horarios y Sistemas'!$C:$C,'Horarios y Sistemas'!M:M,0,0,1)</f>
        <v>0.83333333333333337</v>
      </c>
      <c r="U73" s="29">
        <f t="shared" si="8"/>
        <v>0.16666666666666663</v>
      </c>
      <c r="V73" s="30">
        <f t="shared" si="9"/>
        <v>12.77777777777778</v>
      </c>
      <c r="W73" s="30">
        <f t="shared" si="10"/>
        <v>2.5555555555555554</v>
      </c>
      <c r="X73" s="24">
        <f t="shared" si="11"/>
        <v>19.166666666666671</v>
      </c>
      <c r="Y73" s="24">
        <f t="shared" si="12"/>
        <v>3.833333333333333</v>
      </c>
      <c r="Z73" s="95"/>
      <c r="AA73" s="99"/>
      <c r="AB73" s="100"/>
    </row>
    <row r="74" spans="2:31">
      <c r="B74" s="125" t="s">
        <v>1</v>
      </c>
      <c r="C74" s="113">
        <f>+SUMIFS(AD$23:AD$223,$M$23:$M$223,$B74,$AC$23:$AC$223,$B$20)</f>
        <v>0</v>
      </c>
      <c r="D74" s="114">
        <f>+SUMIFS(AE$23:AE$223,$M$23:$M$223,$B74,$AC$23:$AC$223,$B$20)</f>
        <v>0</v>
      </c>
      <c r="E74" s="119">
        <f t="shared" si="91"/>
        <v>0</v>
      </c>
      <c r="F74" s="19"/>
      <c r="H74" t="str">
        <f t="shared" si="3"/>
        <v>SEPTIEMBRESem3838ELMER CRISTOBAL LOPEZ HERNANDEZ</v>
      </c>
      <c r="I74" s="14" t="str">
        <f>+_xlfn.XLOOKUP(K74,DetalleCalculos!W:W,DetalleCalculos!S:S,"",0,1)</f>
        <v>SEPTIEMBRE</v>
      </c>
      <c r="J74" s="72" t="str">
        <f t="shared" si="4"/>
        <v>Sem38</v>
      </c>
      <c r="K74" s="72">
        <f t="shared" ref="K74" si="141">+$H$17</f>
        <v>38</v>
      </c>
      <c r="L74" s="72">
        <f>+IF(_xlfn.XLOOKUP(K74,DetalleCalculos!W:W,DetalleCalculos!U:U,0,0,1)=7,1,2)</f>
        <v>1</v>
      </c>
      <c r="M74" s="79" t="str" cm="1">
        <f t="array" ref="M74">+INDEX($B$23:$B$89,ROUNDUP((ROW()-22)/3,0))</f>
        <v>ELMER CRISTOBAL LOPEZ HERNANDEZ</v>
      </c>
      <c r="N74" s="76">
        <f>SUMIFS(DetalleCalculos!$N:$N,DetalleCalculos!$W:$W,$K74,DetalleCalculos!$H:$H,$M74)*24</f>
        <v>35.999999999999986</v>
      </c>
      <c r="O74" s="80">
        <f>SUMIFS(DetalleCalculos!$P:$P,DetalleCalculos!$W:$W,$K74,DetalleCalculos!$H:$H,$M74)</f>
        <v>44</v>
      </c>
      <c r="P74" s="80">
        <f>SUMIFS(DetalleCalculos!$Q:$Q,DetalleCalculos!$W:$W,$K74,DetalleCalculos!$H:$H,$M74)</f>
        <v>0</v>
      </c>
      <c r="Q74" s="80">
        <f t="shared" si="6"/>
        <v>44</v>
      </c>
      <c r="R74" s="80">
        <f t="shared" si="7"/>
        <v>0</v>
      </c>
      <c r="S74" s="80" t="str">
        <f>_xlfn.XLOOKUP($J74&amp;$K74&amp;$M74,DetalleCalculos!$B:$B,DetalleCalculos!$O:$O,"",0,1)</f>
        <v>5-0-2</v>
      </c>
      <c r="T74" s="81">
        <f>+_xlfn.XLOOKUP($S74,'Horarios y Sistemas'!$C:$C,'Horarios y Sistemas'!M:M,0,0,1)</f>
        <v>1</v>
      </c>
      <c r="U74" s="81">
        <f t="shared" si="8"/>
        <v>0</v>
      </c>
      <c r="V74" s="82">
        <f t="shared" si="9"/>
        <v>0</v>
      </c>
      <c r="W74" s="82">
        <f t="shared" si="10"/>
        <v>0</v>
      </c>
      <c r="X74" s="80">
        <f t="shared" si="11"/>
        <v>0</v>
      </c>
      <c r="Y74" s="80">
        <f t="shared" si="12"/>
        <v>0</v>
      </c>
      <c r="Z74" s="95" t="s">
        <v>245</v>
      </c>
      <c r="AA74" s="99">
        <f t="shared" ref="AA74:AB74" si="142">+SUM(X74:X76)</f>
        <v>0</v>
      </c>
      <c r="AB74" s="100">
        <f t="shared" si="142"/>
        <v>0</v>
      </c>
    </row>
    <row r="75" spans="2:31" ht="15.75" thickBot="1">
      <c r="B75" s="125" t="s">
        <v>19</v>
      </c>
      <c r="C75" s="113">
        <f>+SUMIFS(AD$23:AD$223,$M$23:$M$223,$B75,$AC$23:$AC$223,$B$20)</f>
        <v>1.5199999999999791</v>
      </c>
      <c r="D75" s="114">
        <f>+SUMIFS(AE$23:AE$223,$M$23:$M$223,$B75,$AC$23:$AC$223,$B$20)</f>
        <v>11.279999999999896</v>
      </c>
      <c r="E75" s="119">
        <f t="shared" si="91"/>
        <v>12.799999999999876</v>
      </c>
      <c r="F75" s="19"/>
      <c r="H75" t="str">
        <f t="shared" si="3"/>
        <v>SEPTIEMBRESem3939ELMER CRISTOBAL LOPEZ HERNANDEZ</v>
      </c>
      <c r="I75" s="14" t="str">
        <f>+_xlfn.XLOOKUP(K75,DetalleCalculos!W:W,DetalleCalculos!S:S,"",0,1)</f>
        <v>SEPTIEMBRE</v>
      </c>
      <c r="J75" s="72" t="str">
        <f t="shared" si="4"/>
        <v>Sem39</v>
      </c>
      <c r="K75" s="72">
        <f t="shared" ref="K75" si="143">+$H$18</f>
        <v>39</v>
      </c>
      <c r="L75" s="72">
        <f>+IF(_xlfn.XLOOKUP(K75,DetalleCalculos!W:W,DetalleCalculos!U:U,0,0,1)=7,1,2)</f>
        <v>1</v>
      </c>
      <c r="M75" s="79" t="str" cm="1">
        <f t="array" ref="M75">+INDEX($B$23:$B$89,ROUNDUP((ROW()-22)/3,0))</f>
        <v>ELMER CRISTOBAL LOPEZ HERNANDEZ</v>
      </c>
      <c r="N75" s="76">
        <f>SUMIFS(DetalleCalculos!$N:$N,DetalleCalculos!$W:$W,$K75,DetalleCalculos!$H:$H,$M75)*24</f>
        <v>43.999999999999986</v>
      </c>
      <c r="O75" s="80">
        <f>SUMIFS(DetalleCalculos!$P:$P,DetalleCalculos!$W:$W,$K75,DetalleCalculos!$H:$H,$M75)</f>
        <v>44</v>
      </c>
      <c r="P75" s="80">
        <f>SUMIFS(DetalleCalculos!$Q:$Q,DetalleCalculos!$W:$W,$K75,DetalleCalculos!$H:$H,$M75)</f>
        <v>0</v>
      </c>
      <c r="Q75" s="24">
        <f t="shared" si="6"/>
        <v>44</v>
      </c>
      <c r="R75" s="24">
        <f t="shared" si="7"/>
        <v>0</v>
      </c>
      <c r="S75" s="80" t="str">
        <f>_xlfn.XLOOKUP($J75&amp;$K75&amp;$M75,DetalleCalculos!$B:$B,DetalleCalculos!$O:$O,"",0,1)</f>
        <v>6-0-1</v>
      </c>
      <c r="T75" s="29">
        <f>+_xlfn.XLOOKUP($S75,'Horarios y Sistemas'!$C:$C,'Horarios y Sistemas'!M:M,0,0,1)</f>
        <v>1</v>
      </c>
      <c r="U75" s="29">
        <f t="shared" si="8"/>
        <v>0</v>
      </c>
      <c r="V75" s="30">
        <f t="shared" si="9"/>
        <v>0</v>
      </c>
      <c r="W75" s="30">
        <f t="shared" si="10"/>
        <v>0</v>
      </c>
      <c r="X75" s="24">
        <f t="shared" si="11"/>
        <v>0</v>
      </c>
      <c r="Y75" s="24">
        <f t="shared" si="12"/>
        <v>0</v>
      </c>
      <c r="Z75" s="96" t="s">
        <v>246</v>
      </c>
      <c r="AA75" s="101">
        <f t="shared" ref="AA75" si="144">+IF(AA74&lt;=0,0,IF(AND(AA74&gt;AB74,AB74&lt;=0),IF(AA74+AB74&gt;0,AA74+AB74,0),IF(AND(AA74&gt;0,AB74&gt;0),AA74,0)))</f>
        <v>0</v>
      </c>
      <c r="AB75" s="102">
        <f t="shared" ref="AB75" si="145">+IF(AB74&lt;=0,0,IF(AND(AB74&gt;AA74,AA74&lt;=0),IF(AB74+AA74&gt;0,AB74+AA74,0),IF(AND(AB74&gt;0,AA74&gt;0),AB74,0)))</f>
        <v>0</v>
      </c>
      <c r="AC75" s="97" t="s">
        <v>125</v>
      </c>
      <c r="AD75" s="103">
        <f t="shared" ref="AD75" si="146">+AA75/$X$5</f>
        <v>0</v>
      </c>
      <c r="AE75" s="104">
        <f t="shared" ref="AE75" si="147">+AB75/$Y$5</f>
        <v>0</v>
      </c>
    </row>
    <row r="76" spans="2:31" ht="15.75" thickBot="1">
      <c r="B76" s="125" t="s">
        <v>10</v>
      </c>
      <c r="C76" s="113">
        <f>+SUMIFS(AD$23:AD$223,$M$23:$M$223,$B76,$AC$23:$AC$223,$B$20)</f>
        <v>0</v>
      </c>
      <c r="D76" s="114">
        <f>+SUMIFS(AE$23:AE$223,$M$23:$M$223,$B76,$AC$23:$AC$223,$B$20)</f>
        <v>0</v>
      </c>
      <c r="E76" s="119">
        <f t="shared" si="91"/>
        <v>0</v>
      </c>
      <c r="F76" s="19"/>
      <c r="H76" t="str">
        <f t="shared" si="3"/>
        <v>SEPTIEMBRESem4040ELMER CRISTOBAL LOPEZ HERNANDEZ</v>
      </c>
      <c r="I76" s="14" t="str">
        <f>+_xlfn.XLOOKUP(K76,DetalleCalculos!W:W,DetalleCalculos!S:S,"",0,1)</f>
        <v>SEPTIEMBRE</v>
      </c>
      <c r="J76" s="72" t="str">
        <f t="shared" si="4"/>
        <v>Sem40</v>
      </c>
      <c r="K76" s="72">
        <f t="shared" ref="K76" si="148">+$H$19</f>
        <v>40</v>
      </c>
      <c r="L76" s="72">
        <f>+IF(_xlfn.XLOOKUP(K76,DetalleCalculos!W:W,DetalleCalculos!U:U,0,0,1)=7,1,2)</f>
        <v>1</v>
      </c>
      <c r="M76" s="79" t="str" cm="1">
        <f t="array" ref="M76">+INDEX($B$23:$B$89,ROUNDUP((ROW()-22)/3,0))</f>
        <v>ELMER CRISTOBAL LOPEZ HERNANDEZ</v>
      </c>
      <c r="N76" s="76">
        <f>SUMIFS(DetalleCalculos!$N:$N,DetalleCalculos!$W:$W,$K76,DetalleCalculos!$H:$H,$M76)*24</f>
        <v>43.999999999999986</v>
      </c>
      <c r="O76" s="80">
        <f>SUMIFS(DetalleCalculos!$P:$P,DetalleCalculos!$W:$W,$K76,DetalleCalculos!$H:$H,$M76)</f>
        <v>44</v>
      </c>
      <c r="P76" s="80">
        <f>SUMIFS(DetalleCalculos!$Q:$Q,DetalleCalculos!$W:$W,$K76,DetalleCalculos!$H:$H,$M76)</f>
        <v>0</v>
      </c>
      <c r="Q76" s="24">
        <f t="shared" si="6"/>
        <v>44</v>
      </c>
      <c r="R76" s="24">
        <f t="shared" si="7"/>
        <v>0</v>
      </c>
      <c r="S76" s="80" t="str">
        <f>_xlfn.XLOOKUP($J76&amp;$K76&amp;$M76,DetalleCalculos!$B:$B,DetalleCalculos!$O:$O,"",0,1)</f>
        <v>6-0-1</v>
      </c>
      <c r="T76" s="29">
        <f>+_xlfn.XLOOKUP($S76,'Horarios y Sistemas'!$C:$C,'Horarios y Sistemas'!M:M,0,0,1)</f>
        <v>1</v>
      </c>
      <c r="U76" s="29">
        <f t="shared" si="8"/>
        <v>0</v>
      </c>
      <c r="V76" s="30">
        <f t="shared" si="9"/>
        <v>0</v>
      </c>
      <c r="W76" s="30">
        <f t="shared" si="10"/>
        <v>0</v>
      </c>
      <c r="X76" s="24">
        <f t="shared" si="11"/>
        <v>0</v>
      </c>
      <c r="Y76" s="24">
        <f t="shared" si="12"/>
        <v>0</v>
      </c>
      <c r="Z76" s="95"/>
      <c r="AA76" s="99"/>
      <c r="AB76" s="100"/>
    </row>
    <row r="77" spans="2:31">
      <c r="B77" s="125" t="s">
        <v>232</v>
      </c>
      <c r="C77" s="113">
        <f>+SUMIFS(AD$23:AD$223,$M$23:$M$223,$B77,$AC$23:$AC$223,$B$20)</f>
        <v>22.999999999999989</v>
      </c>
      <c r="D77" s="114">
        <f>+SUMIFS(AE$23:AE$223,$M$23:$M$223,$B77,$AC$23:$AC$223,$B$20)</f>
        <v>0</v>
      </c>
      <c r="E77" s="119">
        <f t="shared" si="91"/>
        <v>22.999999999999989</v>
      </c>
      <c r="F77" s="19"/>
      <c r="H77" t="str">
        <f t="shared" si="3"/>
        <v>SEPTIEMBRESem3838EMERSON ALDAIR BIAN CONTRERAS</v>
      </c>
      <c r="I77" s="14" t="str">
        <f>+_xlfn.XLOOKUP(K77,DetalleCalculos!W:W,DetalleCalculos!S:S,"",0,1)</f>
        <v>SEPTIEMBRE</v>
      </c>
      <c r="J77" s="72" t="str">
        <f t="shared" si="4"/>
        <v>Sem38</v>
      </c>
      <c r="K77" s="72">
        <f t="shared" ref="K77" si="149">+$H$17</f>
        <v>38</v>
      </c>
      <c r="L77" s="72">
        <f>+IF(_xlfn.XLOOKUP(K77,DetalleCalculos!W:W,DetalleCalculos!U:U,0,0,1)=7,1,2)</f>
        <v>1</v>
      </c>
      <c r="M77" s="79" t="str" cm="1">
        <f t="array" ref="M77">+INDEX($B$23:$B$89,ROUNDUP((ROW()-22)/3,0))</f>
        <v>EMERSON ALDAIR BIAN CONTRERAS</v>
      </c>
      <c r="N77" s="76">
        <f>SUMIFS(DetalleCalculos!$N:$N,DetalleCalculos!$W:$W,$K77,DetalleCalculos!$H:$H,$M77)*24</f>
        <v>41</v>
      </c>
      <c r="O77" s="80">
        <f>SUMIFS(DetalleCalculos!$P:$P,DetalleCalculos!$W:$W,$K77,DetalleCalculos!$H:$H,$M77)</f>
        <v>38</v>
      </c>
      <c r="P77" s="80">
        <f>SUMIFS(DetalleCalculos!$Q:$Q,DetalleCalculos!$W:$W,$K77,DetalleCalculos!$H:$H,$M77)</f>
        <v>0</v>
      </c>
      <c r="Q77" s="80">
        <f t="shared" si="6"/>
        <v>38</v>
      </c>
      <c r="R77" s="80">
        <f t="shared" si="7"/>
        <v>3</v>
      </c>
      <c r="S77" s="80" t="str">
        <f>_xlfn.XLOOKUP($J77&amp;$K77&amp;$M77,DetalleCalculos!$B:$B,DetalleCalculos!$O:$O,"",0,1)</f>
        <v>1-3-3</v>
      </c>
      <c r="T77" s="81">
        <f>+_xlfn.XLOOKUP($S77,'Horarios y Sistemas'!$C:$C,'Horarios y Sistemas'!M:M,0,0,1)</f>
        <v>0.25</v>
      </c>
      <c r="U77" s="81">
        <f t="shared" si="8"/>
        <v>0.75</v>
      </c>
      <c r="V77" s="82">
        <f t="shared" si="9"/>
        <v>0.75</v>
      </c>
      <c r="W77" s="82">
        <f t="shared" si="10"/>
        <v>2.25</v>
      </c>
      <c r="X77" s="80">
        <f t="shared" si="11"/>
        <v>1.125</v>
      </c>
      <c r="Y77" s="80">
        <f t="shared" si="12"/>
        <v>3.375</v>
      </c>
      <c r="Z77" s="95" t="s">
        <v>245</v>
      </c>
      <c r="AA77" s="99">
        <f t="shared" ref="AA77:AB77" si="150">+SUM(X77:X79)</f>
        <v>28.124999999999989</v>
      </c>
      <c r="AB77" s="100">
        <f t="shared" si="150"/>
        <v>31.875</v>
      </c>
    </row>
    <row r="78" spans="2:31" ht="15.75" thickBot="1">
      <c r="B78" s="125" t="s">
        <v>13</v>
      </c>
      <c r="C78" s="113">
        <f>+SUMIFS(AD$23:AD$223,$M$23:$M$223,$B78,$AC$23:$AC$223,$B$20)</f>
        <v>0</v>
      </c>
      <c r="D78" s="114">
        <f>+SUMIFS(AE$23:AE$223,$M$23:$M$223,$B78,$AC$23:$AC$223,$B$20)</f>
        <v>8.9999999999999289</v>
      </c>
      <c r="E78" s="119">
        <f t="shared" si="91"/>
        <v>8.9999999999999289</v>
      </c>
      <c r="F78" s="19"/>
      <c r="H78" t="str">
        <f t="shared" si="3"/>
        <v>SEPTIEMBRESem3939EMERSON ALDAIR BIAN CONTRERAS</v>
      </c>
      <c r="I78" s="14" t="str">
        <f>+_xlfn.XLOOKUP(K78,DetalleCalculos!W:W,DetalleCalculos!S:S,"",0,1)</f>
        <v>SEPTIEMBRE</v>
      </c>
      <c r="J78" s="72" t="str">
        <f t="shared" si="4"/>
        <v>Sem39</v>
      </c>
      <c r="K78" s="72">
        <f t="shared" ref="K78" si="151">+$H$18</f>
        <v>39</v>
      </c>
      <c r="L78" s="72">
        <f>+IF(_xlfn.XLOOKUP(K78,DetalleCalculos!W:W,DetalleCalculos!U:U,0,0,1)=7,1,2)</f>
        <v>1</v>
      </c>
      <c r="M78" s="79" t="str" cm="1">
        <f t="array" ref="M78">+INDEX($B$23:$B$89,ROUNDUP((ROW()-22)/3,0))</f>
        <v>EMERSON ALDAIR BIAN CONTRERAS</v>
      </c>
      <c r="N78" s="76">
        <f>SUMIFS(DetalleCalculos!$N:$N,DetalleCalculos!$W:$W,$K78,DetalleCalculos!$H:$H,$M78)*24</f>
        <v>61.999999999999993</v>
      </c>
      <c r="O78" s="80">
        <f>SUMIFS(DetalleCalculos!$P:$P,DetalleCalculos!$W:$W,$K78,DetalleCalculos!$H:$H,$M78)</f>
        <v>44</v>
      </c>
      <c r="P78" s="80">
        <f>SUMIFS(DetalleCalculos!$Q:$Q,DetalleCalculos!$W:$W,$K78,DetalleCalculos!$H:$H,$M78)</f>
        <v>0</v>
      </c>
      <c r="Q78" s="24">
        <f t="shared" si="6"/>
        <v>44</v>
      </c>
      <c r="R78" s="24">
        <f t="shared" si="7"/>
        <v>17.999999999999993</v>
      </c>
      <c r="S78" s="80" t="str">
        <f>_xlfn.XLOOKUP($J78&amp;$K78&amp;$M78,DetalleCalculos!$B:$B,DetalleCalculos!$O:$O,"",0,1)</f>
        <v>6-0-1</v>
      </c>
      <c r="T78" s="29">
        <f>+_xlfn.XLOOKUP($S78,'Horarios y Sistemas'!$C:$C,'Horarios y Sistemas'!M:M,0,0,1)</f>
        <v>1</v>
      </c>
      <c r="U78" s="29">
        <f t="shared" si="8"/>
        <v>0</v>
      </c>
      <c r="V78" s="30">
        <f t="shared" si="9"/>
        <v>17.999999999999993</v>
      </c>
      <c r="W78" s="30">
        <f t="shared" si="10"/>
        <v>0</v>
      </c>
      <c r="X78" s="24">
        <f t="shared" si="11"/>
        <v>26.999999999999989</v>
      </c>
      <c r="Y78" s="24">
        <f t="shared" si="12"/>
        <v>0</v>
      </c>
      <c r="Z78" s="96" t="s">
        <v>246</v>
      </c>
      <c r="AA78" s="101">
        <f t="shared" ref="AA78" si="152">+IF(AA77&lt;=0,0,IF(AND(AA77&gt;AB77,AB77&lt;=0),IF(AA77+AB77&gt;0,AA77+AB77,0),IF(AND(AA77&gt;0,AB77&gt;0),AA77,0)))</f>
        <v>28.124999999999989</v>
      </c>
      <c r="AB78" s="102">
        <f t="shared" ref="AB78" si="153">+IF(AB77&lt;=0,0,IF(AND(AB77&gt;AA77,AA77&lt;=0),IF(AB77+AA77&gt;0,AB77+AA77,0),IF(AND(AB77&gt;0,AA77&gt;0),AB77,0)))</f>
        <v>31.875</v>
      </c>
      <c r="AC78" s="97" t="s">
        <v>125</v>
      </c>
      <c r="AD78" s="103">
        <f t="shared" ref="AD78" si="154">+AA78/$X$5</f>
        <v>18.749999999999993</v>
      </c>
      <c r="AE78" s="104">
        <f t="shared" ref="AE78" si="155">+AB78/$Y$5</f>
        <v>21.25</v>
      </c>
    </row>
    <row r="79" spans="2:31" ht="15.75" thickBot="1">
      <c r="B79" s="125" t="s">
        <v>233</v>
      </c>
      <c r="C79" s="113">
        <f>+SUMIFS(AD$23:AD$223,$M$23:$M$223,$B79,$AC$23:$AC$223,$B$20)</f>
        <v>2.8800000000000003</v>
      </c>
      <c r="D79" s="114">
        <f>+SUMIFS(AE$23:AE$223,$M$23:$M$223,$B79,$AC$23:$AC$223,$B$20)</f>
        <v>30.52</v>
      </c>
      <c r="E79" s="119">
        <f t="shared" si="91"/>
        <v>33.4</v>
      </c>
      <c r="F79" s="19"/>
      <c r="H79" t="str">
        <f t="shared" si="3"/>
        <v>SEPTIEMBRESem4040EMERSON ALDAIR BIAN CONTRERAS</v>
      </c>
      <c r="I79" s="14" t="str">
        <f>+_xlfn.XLOOKUP(K79,DetalleCalculos!W:W,DetalleCalculos!S:S,"",0,1)</f>
        <v>SEPTIEMBRE</v>
      </c>
      <c r="J79" s="72" t="str">
        <f t="shared" si="4"/>
        <v>Sem40</v>
      </c>
      <c r="K79" s="72">
        <f t="shared" ref="K79" si="156">+$H$19</f>
        <v>40</v>
      </c>
      <c r="L79" s="72">
        <f>+IF(_xlfn.XLOOKUP(K79,DetalleCalculos!W:W,DetalleCalculos!U:U,0,0,1)=7,1,2)</f>
        <v>1</v>
      </c>
      <c r="M79" s="79" t="str" cm="1">
        <f t="array" ref="M79">+INDEX($B$23:$B$89,ROUNDUP((ROW()-22)/3,0))</f>
        <v>EMERSON ALDAIR BIAN CONTRERAS</v>
      </c>
      <c r="N79" s="76">
        <f>SUMIFS(DetalleCalculos!$N:$N,DetalleCalculos!$W:$W,$K79,DetalleCalculos!$H:$H,$M79)*24</f>
        <v>55</v>
      </c>
      <c r="O79" s="80">
        <f>SUMIFS(DetalleCalculos!$P:$P,DetalleCalculos!$W:$W,$K79,DetalleCalculos!$H:$H,$M79)</f>
        <v>36</v>
      </c>
      <c r="P79" s="80">
        <f>SUMIFS(DetalleCalculos!$Q:$Q,DetalleCalculos!$W:$W,$K79,DetalleCalculos!$H:$H,$M79)</f>
        <v>0</v>
      </c>
      <c r="Q79" s="24">
        <f t="shared" si="6"/>
        <v>36</v>
      </c>
      <c r="R79" s="24">
        <f t="shared" si="7"/>
        <v>19</v>
      </c>
      <c r="S79" s="80" t="str">
        <f>_xlfn.XLOOKUP($J79&amp;$K79&amp;$M79,DetalleCalculos!$B:$B,DetalleCalculos!$O:$O,"",0,1)</f>
        <v>0-5-2</v>
      </c>
      <c r="T79" s="29">
        <f>+_xlfn.XLOOKUP($S79,'Horarios y Sistemas'!$C:$C,'Horarios y Sistemas'!M:M,0,0,1)</f>
        <v>0</v>
      </c>
      <c r="U79" s="29">
        <f t="shared" si="8"/>
        <v>1</v>
      </c>
      <c r="V79" s="30">
        <f t="shared" si="9"/>
        <v>0</v>
      </c>
      <c r="W79" s="30">
        <f t="shared" si="10"/>
        <v>19</v>
      </c>
      <c r="X79" s="24">
        <f t="shared" si="11"/>
        <v>0</v>
      </c>
      <c r="Y79" s="24">
        <f t="shared" si="12"/>
        <v>28.5</v>
      </c>
      <c r="Z79" s="95"/>
      <c r="AA79" s="99"/>
      <c r="AB79" s="100"/>
    </row>
    <row r="80" spans="2:31">
      <c r="B80" s="125" t="s">
        <v>258</v>
      </c>
      <c r="C80" s="113">
        <f>+SUMIFS(AD$23:AD$223,$M$23:$M$223,$B80,$AC$23:$AC$223,$B$20)</f>
        <v>21.999999999999982</v>
      </c>
      <c r="D80" s="114">
        <f>+SUMIFS(AE$23:AE$223,$M$23:$M$223,$B80,$AC$23:$AC$223,$B$20)</f>
        <v>19</v>
      </c>
      <c r="E80" s="119">
        <f t="shared" si="91"/>
        <v>40.999999999999986</v>
      </c>
      <c r="F80" s="19"/>
      <c r="H80" t="str">
        <f t="shared" si="3"/>
        <v>SEPTIEMBRESem3838ERVIN ROLANDO CHINCHILLA ZAMORA</v>
      </c>
      <c r="I80" s="14" t="str">
        <f>+_xlfn.XLOOKUP(K80,DetalleCalculos!W:W,DetalleCalculos!S:S,"",0,1)</f>
        <v>SEPTIEMBRE</v>
      </c>
      <c r="J80" s="72" t="str">
        <f t="shared" si="4"/>
        <v>Sem38</v>
      </c>
      <c r="K80" s="72">
        <f t="shared" ref="K80" si="157">+$H$17</f>
        <v>38</v>
      </c>
      <c r="L80" s="72">
        <f>+IF(_xlfn.XLOOKUP(K80,DetalleCalculos!W:W,DetalleCalculos!U:U,0,0,1)=7,1,2)</f>
        <v>1</v>
      </c>
      <c r="M80" s="79" t="str" cm="1">
        <f t="array" ref="M80">+INDEX($B$23:$B$89,ROUNDUP((ROW()-22)/3,0))</f>
        <v>ERVIN ROLANDO CHINCHILLA ZAMORA</v>
      </c>
      <c r="N80" s="76">
        <f>SUMIFS(DetalleCalculos!$N:$N,DetalleCalculos!$W:$W,$K80,DetalleCalculos!$H:$H,$M80)*24</f>
        <v>47.999999999999986</v>
      </c>
      <c r="O80" s="80">
        <f>SUMIFS(DetalleCalculos!$P:$P,DetalleCalculos!$W:$W,$K80,DetalleCalculos!$H:$H,$M80)</f>
        <v>44</v>
      </c>
      <c r="P80" s="80">
        <f>SUMIFS(DetalleCalculos!$Q:$Q,DetalleCalculos!$W:$W,$K80,DetalleCalculos!$H:$H,$M80)</f>
        <v>0</v>
      </c>
      <c r="Q80" s="80">
        <f t="shared" si="6"/>
        <v>44</v>
      </c>
      <c r="R80" s="80">
        <f t="shared" si="7"/>
        <v>3.9999999999999858</v>
      </c>
      <c r="S80" s="80" t="str">
        <f>_xlfn.XLOOKUP($J80&amp;$K80&amp;$M80,DetalleCalculos!$B:$B,DetalleCalculos!$O:$O,"",0,1)</f>
        <v>5-0-2</v>
      </c>
      <c r="T80" s="81">
        <f>+_xlfn.XLOOKUP($S80,'Horarios y Sistemas'!$C:$C,'Horarios y Sistemas'!M:M,0,0,1)</f>
        <v>1</v>
      </c>
      <c r="U80" s="81">
        <f t="shared" si="8"/>
        <v>0</v>
      </c>
      <c r="V80" s="82">
        <f t="shared" si="9"/>
        <v>3.9999999999999858</v>
      </c>
      <c r="W80" s="82">
        <f t="shared" si="10"/>
        <v>0</v>
      </c>
      <c r="X80" s="80">
        <f t="shared" si="11"/>
        <v>5.9999999999999787</v>
      </c>
      <c r="Y80" s="80">
        <f t="shared" si="12"/>
        <v>0</v>
      </c>
      <c r="Z80" s="95" t="s">
        <v>245</v>
      </c>
      <c r="AA80" s="99">
        <f t="shared" ref="AA80:AB80" si="158">+SUM(X80:X82)</f>
        <v>32.999999999999972</v>
      </c>
      <c r="AB80" s="100">
        <f t="shared" si="158"/>
        <v>28.5</v>
      </c>
    </row>
    <row r="81" spans="2:31" ht="15.75" thickBot="1">
      <c r="B81" s="125" t="s">
        <v>251</v>
      </c>
      <c r="C81" s="113">
        <f>+SUMIFS(AD$23:AD$223,$M$23:$M$223,$B81,$AC$23:$AC$223,$B$20)</f>
        <v>20.999999999999702</v>
      </c>
      <c r="D81" s="114">
        <f>+SUMIFS(AE$23:AE$223,$M$23:$M$223,$B81,$AC$23:$AC$223,$B$20)</f>
        <v>0</v>
      </c>
      <c r="E81" s="119">
        <f t="shared" si="91"/>
        <v>20.999999999999702</v>
      </c>
      <c r="F81" s="19"/>
      <c r="H81" t="str">
        <f t="shared" si="3"/>
        <v>SEPTIEMBRESem3939ERVIN ROLANDO CHINCHILLA ZAMORA</v>
      </c>
      <c r="I81" s="14" t="str">
        <f>+_xlfn.XLOOKUP(K81,DetalleCalculos!W:W,DetalleCalculos!S:S,"",0,1)</f>
        <v>SEPTIEMBRE</v>
      </c>
      <c r="J81" s="72" t="str">
        <f t="shared" si="4"/>
        <v>Sem39</v>
      </c>
      <c r="K81" s="72">
        <f t="shared" ref="K81" si="159">+$H$18</f>
        <v>39</v>
      </c>
      <c r="L81" s="72">
        <f>+IF(_xlfn.XLOOKUP(K81,DetalleCalculos!W:W,DetalleCalculos!U:U,0,0,1)=7,1,2)</f>
        <v>1</v>
      </c>
      <c r="M81" s="79" t="str" cm="1">
        <f t="array" ref="M81">+INDEX($B$23:$B$89,ROUNDUP((ROW()-22)/3,0))</f>
        <v>ERVIN ROLANDO CHINCHILLA ZAMORA</v>
      </c>
      <c r="N81" s="76">
        <f>SUMIFS(DetalleCalculos!$N:$N,DetalleCalculos!$W:$W,$K81,DetalleCalculos!$H:$H,$M81)*24</f>
        <v>55</v>
      </c>
      <c r="O81" s="80">
        <f>SUMIFS(DetalleCalculos!$P:$P,DetalleCalculos!$W:$W,$K81,DetalleCalculos!$H:$H,$M81)</f>
        <v>36</v>
      </c>
      <c r="P81" s="80">
        <f>SUMIFS(DetalleCalculos!$Q:$Q,DetalleCalculos!$W:$W,$K81,DetalleCalculos!$H:$H,$M81)</f>
        <v>0</v>
      </c>
      <c r="Q81" s="24">
        <f t="shared" si="6"/>
        <v>36</v>
      </c>
      <c r="R81" s="24">
        <f t="shared" si="7"/>
        <v>19</v>
      </c>
      <c r="S81" s="80" t="str">
        <f>_xlfn.XLOOKUP($J81&amp;$K81&amp;$M81,DetalleCalculos!$B:$B,DetalleCalculos!$O:$O,"",0,1)</f>
        <v>0-5-2</v>
      </c>
      <c r="T81" s="29">
        <f>+_xlfn.XLOOKUP($S81,'Horarios y Sistemas'!$C:$C,'Horarios y Sistemas'!M:M,0,0,1)</f>
        <v>0</v>
      </c>
      <c r="U81" s="29">
        <f t="shared" si="8"/>
        <v>1</v>
      </c>
      <c r="V81" s="30">
        <f t="shared" si="9"/>
        <v>0</v>
      </c>
      <c r="W81" s="30">
        <f t="shared" si="10"/>
        <v>19</v>
      </c>
      <c r="X81" s="24">
        <f t="shared" si="11"/>
        <v>0</v>
      </c>
      <c r="Y81" s="24">
        <f t="shared" si="12"/>
        <v>28.5</v>
      </c>
      <c r="Z81" s="96" t="s">
        <v>246</v>
      </c>
      <c r="AA81" s="101">
        <f t="shared" ref="AA81" si="160">+IF(AA80&lt;=0,0,IF(AND(AA80&gt;AB80,AB80&lt;=0),IF(AA80+AB80&gt;0,AA80+AB80,0),IF(AND(AA80&gt;0,AB80&gt;0),AA80,0)))</f>
        <v>32.999999999999972</v>
      </c>
      <c r="AB81" s="102">
        <f t="shared" ref="AB81" si="161">+IF(AB80&lt;=0,0,IF(AND(AB80&gt;AA80,AA80&lt;=0),IF(AB80+AA80&gt;0,AB80+AA80,0),IF(AND(AB80&gt;0,AA80&gt;0),AB80,0)))</f>
        <v>28.5</v>
      </c>
      <c r="AC81" s="97" t="s">
        <v>125</v>
      </c>
      <c r="AD81" s="103">
        <f t="shared" ref="AD81" si="162">+AA81/$X$5</f>
        <v>21.999999999999982</v>
      </c>
      <c r="AE81" s="104">
        <f t="shared" ref="AE81" si="163">+AB81/$Y$5</f>
        <v>19</v>
      </c>
    </row>
    <row r="82" spans="2:31" ht="15.75" thickBot="1">
      <c r="B82" s="125" t="s">
        <v>259</v>
      </c>
      <c r="C82" s="113">
        <f>+SUMIFS(AD$23:AD$223,$M$23:$M$223,$B82,$AC$23:$AC$223,$B$20)</f>
        <v>18.749999999999993</v>
      </c>
      <c r="D82" s="114">
        <f>+SUMIFS(AE$23:AE$223,$M$23:$M$223,$B82,$AC$23:$AC$223,$B$20)</f>
        <v>21.25</v>
      </c>
      <c r="E82" s="119">
        <f t="shared" si="91"/>
        <v>39.999999999999993</v>
      </c>
      <c r="F82" s="19"/>
      <c r="H82" t="str">
        <f t="shared" si="3"/>
        <v>SEPTIEMBRESem4040ERVIN ROLANDO CHINCHILLA ZAMORA</v>
      </c>
      <c r="I82" s="14" t="str">
        <f>+_xlfn.XLOOKUP(K82,DetalleCalculos!W:W,DetalleCalculos!S:S,"",0,1)</f>
        <v>SEPTIEMBRE</v>
      </c>
      <c r="J82" s="72" t="str">
        <f t="shared" si="4"/>
        <v>Sem40</v>
      </c>
      <c r="K82" s="72">
        <f t="shared" ref="K82" si="164">+$H$19</f>
        <v>40</v>
      </c>
      <c r="L82" s="72">
        <f>+IF(_xlfn.XLOOKUP(K82,DetalleCalculos!W:W,DetalleCalculos!U:U,0,0,1)=7,1,2)</f>
        <v>1</v>
      </c>
      <c r="M82" s="79" t="str" cm="1">
        <f t="array" ref="M82">+INDEX($B$23:$B$89,ROUNDUP((ROW()-22)/3,0))</f>
        <v>ERVIN ROLANDO CHINCHILLA ZAMORA</v>
      </c>
      <c r="N82" s="76">
        <f>SUMIFS(DetalleCalculos!$N:$N,DetalleCalculos!$W:$W,$K82,DetalleCalculos!$H:$H,$M82)*24</f>
        <v>61.999999999999993</v>
      </c>
      <c r="O82" s="80">
        <f>SUMIFS(DetalleCalculos!$P:$P,DetalleCalculos!$W:$W,$K82,DetalleCalculos!$H:$H,$M82)</f>
        <v>44</v>
      </c>
      <c r="P82" s="80">
        <f>SUMIFS(DetalleCalculos!$Q:$Q,DetalleCalculos!$W:$W,$K82,DetalleCalculos!$H:$H,$M82)</f>
        <v>0</v>
      </c>
      <c r="Q82" s="24">
        <f t="shared" si="6"/>
        <v>44</v>
      </c>
      <c r="R82" s="24">
        <f t="shared" si="7"/>
        <v>17.999999999999993</v>
      </c>
      <c r="S82" s="80" t="str">
        <f>_xlfn.XLOOKUP($J82&amp;$K82&amp;$M82,DetalleCalculos!$B:$B,DetalleCalculos!$O:$O,"",0,1)</f>
        <v>6-0-1</v>
      </c>
      <c r="T82" s="29">
        <f>+_xlfn.XLOOKUP($S82,'Horarios y Sistemas'!$C:$C,'Horarios y Sistemas'!M:M,0,0,1)</f>
        <v>1</v>
      </c>
      <c r="U82" s="29">
        <f t="shared" si="8"/>
        <v>0</v>
      </c>
      <c r="V82" s="30">
        <f t="shared" si="9"/>
        <v>17.999999999999993</v>
      </c>
      <c r="W82" s="30">
        <f t="shared" si="10"/>
        <v>0</v>
      </c>
      <c r="X82" s="24">
        <f t="shared" si="11"/>
        <v>26.999999999999989</v>
      </c>
      <c r="Y82" s="24">
        <f t="shared" si="12"/>
        <v>0</v>
      </c>
      <c r="Z82" s="95"/>
      <c r="AA82" s="99"/>
      <c r="AB82" s="100"/>
    </row>
    <row r="83" spans="2:31">
      <c r="B83" s="125" t="s">
        <v>260</v>
      </c>
      <c r="C83" s="113">
        <f>+SUMIFS(AD$23:AD$223,$M$23:$M$223,$B83,$AC$23:$AC$223,$B$20)</f>
        <v>3.6300000000000012</v>
      </c>
      <c r="D83" s="114">
        <f>+SUMIFS(AE$23:AE$223,$M$23:$M$223,$B83,$AC$23:$AC$223,$B$20)</f>
        <v>59.77</v>
      </c>
      <c r="E83" s="119">
        <f t="shared" si="91"/>
        <v>63.400000000000006</v>
      </c>
      <c r="F83" s="19"/>
      <c r="H83" t="str">
        <f t="shared" si="3"/>
        <v>SEPTIEMBRESem3838ESWIN ESTUARDO ORTEGA LIMA</v>
      </c>
      <c r="I83" s="14" t="str">
        <f>+_xlfn.XLOOKUP(K83,DetalleCalculos!W:W,DetalleCalculos!S:S,"",0,1)</f>
        <v>SEPTIEMBRE</v>
      </c>
      <c r="J83" s="72" t="str">
        <f t="shared" si="4"/>
        <v>Sem38</v>
      </c>
      <c r="K83" s="72">
        <f t="shared" ref="K83" si="165">+$H$17</f>
        <v>38</v>
      </c>
      <c r="L83" s="72">
        <f>+IF(_xlfn.XLOOKUP(K83,DetalleCalculos!W:W,DetalleCalculos!U:U,0,0,1)=7,1,2)</f>
        <v>1</v>
      </c>
      <c r="M83" s="79" t="str" cm="1">
        <f t="array" ref="M83">+INDEX($B$23:$B$89,ROUNDUP((ROW()-22)/3,0))</f>
        <v>ESWIN ESTUARDO ORTEGA LIMA</v>
      </c>
      <c r="N83" s="76">
        <f>SUMIFS(DetalleCalculos!$N:$N,DetalleCalculos!$W:$W,$K83,DetalleCalculos!$H:$H,$M83)*24</f>
        <v>41</v>
      </c>
      <c r="O83" s="80">
        <f>SUMIFS(DetalleCalculos!$P:$P,DetalleCalculos!$W:$W,$K83,DetalleCalculos!$H:$H,$M83)</f>
        <v>38</v>
      </c>
      <c r="P83" s="80">
        <f>SUMIFS(DetalleCalculos!$Q:$Q,DetalleCalculos!$W:$W,$K83,DetalleCalculos!$H:$H,$M83)</f>
        <v>0</v>
      </c>
      <c r="Q83" s="80">
        <f t="shared" si="6"/>
        <v>38</v>
      </c>
      <c r="R83" s="80">
        <f t="shared" si="7"/>
        <v>3</v>
      </c>
      <c r="S83" s="80" t="str">
        <f>_xlfn.XLOOKUP($J83&amp;$K83&amp;$M83,DetalleCalculos!$B:$B,DetalleCalculos!$O:$O,"",0,1)</f>
        <v>1-3-3</v>
      </c>
      <c r="T83" s="81">
        <f>+_xlfn.XLOOKUP($S83,'Horarios y Sistemas'!$C:$C,'Horarios y Sistemas'!M:M,0,0,1)</f>
        <v>0.25</v>
      </c>
      <c r="U83" s="81">
        <f t="shared" si="8"/>
        <v>0.75</v>
      </c>
      <c r="V83" s="82">
        <f t="shared" si="9"/>
        <v>0.75</v>
      </c>
      <c r="W83" s="82">
        <f t="shared" si="10"/>
        <v>2.25</v>
      </c>
      <c r="X83" s="80">
        <f t="shared" si="11"/>
        <v>1.125</v>
      </c>
      <c r="Y83" s="80">
        <f t="shared" si="12"/>
        <v>3.375</v>
      </c>
      <c r="Z83" s="95" t="s">
        <v>245</v>
      </c>
      <c r="AA83" s="99">
        <f t="shared" ref="AA83:AB83" si="166">+SUM(X83:X85)</f>
        <v>55.124999999999979</v>
      </c>
      <c r="AB83" s="100">
        <f t="shared" si="166"/>
        <v>3.375</v>
      </c>
    </row>
    <row r="84" spans="2:31" ht="15.75" thickBot="1">
      <c r="B84" s="125" t="s">
        <v>256</v>
      </c>
      <c r="C84" s="113">
        <f>+SUMIFS(AD$23:AD$223,$M$23:$M$223,$B84,$AC$23:$AC$223,$B$20)</f>
        <v>0.83333333333325044</v>
      </c>
      <c r="D84" s="114">
        <f>+SUMIFS(AE$23:AE$223,$M$23:$M$223,$B84,$AC$23:$AC$223,$B$20)</f>
        <v>0.16666666666665003</v>
      </c>
      <c r="E84" s="119">
        <f t="shared" si="91"/>
        <v>0.99999999999990052</v>
      </c>
      <c r="F84" s="19"/>
      <c r="H84" t="str">
        <f t="shared" si="3"/>
        <v>SEPTIEMBRESem3939ESWIN ESTUARDO ORTEGA LIMA</v>
      </c>
      <c r="I84" s="14" t="str">
        <f>+_xlfn.XLOOKUP(K84,DetalleCalculos!W:W,DetalleCalculos!S:S,"",0,1)</f>
        <v>SEPTIEMBRE</v>
      </c>
      <c r="J84" s="72" t="str">
        <f t="shared" si="4"/>
        <v>Sem39</v>
      </c>
      <c r="K84" s="72">
        <f t="shared" ref="K84" si="167">+$H$18</f>
        <v>39</v>
      </c>
      <c r="L84" s="72">
        <f>+IF(_xlfn.XLOOKUP(K84,DetalleCalculos!W:W,DetalleCalculos!U:U,0,0,1)=7,1,2)</f>
        <v>1</v>
      </c>
      <c r="M84" s="79" t="str" cm="1">
        <f t="array" ref="M84">+INDEX($B$23:$B$89,ROUNDUP((ROW()-22)/3,0))</f>
        <v>ESWIN ESTUARDO ORTEGA LIMA</v>
      </c>
      <c r="N84" s="76">
        <f>SUMIFS(DetalleCalculos!$N:$N,DetalleCalculos!$W:$W,$K84,DetalleCalculos!$H:$H,$M84)*24</f>
        <v>61.999999999999993</v>
      </c>
      <c r="O84" s="80">
        <f>SUMIFS(DetalleCalculos!$P:$P,DetalleCalculos!$W:$W,$K84,DetalleCalculos!$H:$H,$M84)</f>
        <v>44</v>
      </c>
      <c r="P84" s="80">
        <f>SUMIFS(DetalleCalculos!$Q:$Q,DetalleCalculos!$W:$W,$K84,DetalleCalculos!$H:$H,$M84)</f>
        <v>0</v>
      </c>
      <c r="Q84" s="24">
        <f t="shared" si="6"/>
        <v>44</v>
      </c>
      <c r="R84" s="24">
        <f t="shared" si="7"/>
        <v>17.999999999999993</v>
      </c>
      <c r="S84" s="80" t="str">
        <f>_xlfn.XLOOKUP($J84&amp;$K84&amp;$M84,DetalleCalculos!$B:$B,DetalleCalculos!$O:$O,"",0,1)</f>
        <v>6-0-1</v>
      </c>
      <c r="T84" s="29">
        <f>+_xlfn.XLOOKUP($S84,'Horarios y Sistemas'!$C:$C,'Horarios y Sistemas'!M:M,0,0,1)</f>
        <v>1</v>
      </c>
      <c r="U84" s="29">
        <f t="shared" si="8"/>
        <v>0</v>
      </c>
      <c r="V84" s="30">
        <f t="shared" si="9"/>
        <v>17.999999999999993</v>
      </c>
      <c r="W84" s="30">
        <f t="shared" si="10"/>
        <v>0</v>
      </c>
      <c r="X84" s="24">
        <f t="shared" si="11"/>
        <v>26.999999999999989</v>
      </c>
      <c r="Y84" s="24">
        <f t="shared" si="12"/>
        <v>0</v>
      </c>
      <c r="Z84" s="96" t="s">
        <v>246</v>
      </c>
      <c r="AA84" s="101">
        <f t="shared" ref="AA84" si="168">+IF(AA83&lt;=0,0,IF(AND(AA83&gt;AB83,AB83&lt;=0),IF(AA83+AB83&gt;0,AA83+AB83,0),IF(AND(AA83&gt;0,AB83&gt;0),AA83,0)))</f>
        <v>55.124999999999979</v>
      </c>
      <c r="AB84" s="102">
        <f t="shared" ref="AB84" si="169">+IF(AB83&lt;=0,0,IF(AND(AB83&gt;AA83,AA83&lt;=0),IF(AB83+AA83&gt;0,AB83+AA83,0),IF(AND(AB83&gt;0,AA83&gt;0),AB83,0)))</f>
        <v>3.375</v>
      </c>
      <c r="AC84" s="97" t="s">
        <v>125</v>
      </c>
      <c r="AD84" s="103">
        <f t="shared" ref="AD84" si="170">+AA84/$X$5</f>
        <v>36.749999999999986</v>
      </c>
      <c r="AE84" s="104">
        <f t="shared" ref="AE84" si="171">+AB84/$Y$5</f>
        <v>2.25</v>
      </c>
    </row>
    <row r="85" spans="2:31" ht="15.75" thickBot="1">
      <c r="B85" s="125" t="s">
        <v>261</v>
      </c>
      <c r="C85" s="113">
        <f>+SUMIFS(AD$23:AD$223,$M$23:$M$223,$B85,$AC$23:$AC$223,$B$20)</f>
        <v>21.999999999999982</v>
      </c>
      <c r="D85" s="114">
        <f>+SUMIFS(AE$23:AE$223,$M$23:$M$223,$B85,$AC$23:$AC$223,$B$20)</f>
        <v>19</v>
      </c>
      <c r="E85" s="119">
        <f t="shared" si="91"/>
        <v>40.999999999999986</v>
      </c>
      <c r="F85" s="19"/>
      <c r="H85" t="str">
        <f t="shared" si="3"/>
        <v>SEPTIEMBRESem4040ESWIN ESTUARDO ORTEGA LIMA</v>
      </c>
      <c r="I85" s="14" t="str">
        <f>+_xlfn.XLOOKUP(K85,DetalleCalculos!W:W,DetalleCalculos!S:S,"",0,1)</f>
        <v>SEPTIEMBRE</v>
      </c>
      <c r="J85" s="72" t="str">
        <f t="shared" si="4"/>
        <v>Sem40</v>
      </c>
      <c r="K85" s="72">
        <f t="shared" ref="K85" si="172">+$H$19</f>
        <v>40</v>
      </c>
      <c r="L85" s="72">
        <f>+IF(_xlfn.XLOOKUP(K85,DetalleCalculos!W:W,DetalleCalculos!U:U,0,0,1)=7,1,2)</f>
        <v>1</v>
      </c>
      <c r="M85" s="79" t="str" cm="1">
        <f t="array" ref="M85">+INDEX($B$23:$B$89,ROUNDUP((ROW()-22)/3,0))</f>
        <v>ESWIN ESTUARDO ORTEGA LIMA</v>
      </c>
      <c r="N85" s="76">
        <f>SUMIFS(DetalleCalculos!$N:$N,DetalleCalculos!$W:$W,$K85,DetalleCalculos!$H:$H,$M85)*24</f>
        <v>61.999999999999993</v>
      </c>
      <c r="O85" s="80">
        <f>SUMIFS(DetalleCalculos!$P:$P,DetalleCalculos!$W:$W,$K85,DetalleCalculos!$H:$H,$M85)</f>
        <v>44</v>
      </c>
      <c r="P85" s="80">
        <f>SUMIFS(DetalleCalculos!$Q:$Q,DetalleCalculos!$W:$W,$K85,DetalleCalculos!$H:$H,$M85)</f>
        <v>0</v>
      </c>
      <c r="Q85" s="24">
        <f t="shared" si="6"/>
        <v>44</v>
      </c>
      <c r="R85" s="24">
        <f t="shared" si="7"/>
        <v>17.999999999999993</v>
      </c>
      <c r="S85" s="80" t="str">
        <f>_xlfn.XLOOKUP($J85&amp;$K85&amp;$M85,DetalleCalculos!$B:$B,DetalleCalculos!$O:$O,"",0,1)</f>
        <v>6-0-1</v>
      </c>
      <c r="T85" s="29">
        <f>+_xlfn.XLOOKUP($S85,'Horarios y Sistemas'!$C:$C,'Horarios y Sistemas'!M:M,0,0,1)</f>
        <v>1</v>
      </c>
      <c r="U85" s="29">
        <f t="shared" si="8"/>
        <v>0</v>
      </c>
      <c r="V85" s="30">
        <f t="shared" si="9"/>
        <v>17.999999999999993</v>
      </c>
      <c r="W85" s="30">
        <f t="shared" si="10"/>
        <v>0</v>
      </c>
      <c r="X85" s="24">
        <f t="shared" si="11"/>
        <v>26.999999999999989</v>
      </c>
      <c r="Y85" s="24">
        <f t="shared" si="12"/>
        <v>0</v>
      </c>
      <c r="Z85" s="95"/>
      <c r="AA85" s="99"/>
      <c r="AB85" s="100"/>
    </row>
    <row r="86" spans="2:31">
      <c r="B86" s="125" t="s">
        <v>252</v>
      </c>
      <c r="C86" s="113">
        <f>+SUMIFS(AD$23:AD$223,$M$23:$M$223,$B86,$AC$23:$AC$223,$B$20)</f>
        <v>7.9999999999998579</v>
      </c>
      <c r="D86" s="114">
        <f>+SUMIFS(AE$23:AE$223,$M$23:$M$223,$B86,$AC$23:$AC$223,$B$20)</f>
        <v>0</v>
      </c>
      <c r="E86" s="119">
        <f t="shared" si="91"/>
        <v>7.9999999999998579</v>
      </c>
      <c r="F86" s="19"/>
      <c r="H86" t="str">
        <f t="shared" si="3"/>
        <v>SEPTIEMBRESem3838EVER GESTRUDES BOLVITO ESTRADA</v>
      </c>
      <c r="I86" s="14" t="str">
        <f>+_xlfn.XLOOKUP(K86,DetalleCalculos!W:W,DetalleCalculos!S:S,"",0,1)</f>
        <v>SEPTIEMBRE</v>
      </c>
      <c r="J86" s="72" t="str">
        <f t="shared" si="4"/>
        <v>Sem38</v>
      </c>
      <c r="K86" s="72">
        <f t="shared" ref="K86" si="173">+$H$17</f>
        <v>38</v>
      </c>
      <c r="L86" s="72">
        <f>+IF(_xlfn.XLOOKUP(K86,DetalleCalculos!W:W,DetalleCalculos!U:U,0,0,1)=7,1,2)</f>
        <v>1</v>
      </c>
      <c r="M86" s="79" t="str" cm="1">
        <f t="array" ref="M86">+INDEX($B$23:$B$89,ROUNDUP((ROW()-22)/3,0))</f>
        <v>EVER GESTRUDES BOLVITO ESTRADA</v>
      </c>
      <c r="N86" s="76">
        <f>SUMIFS(DetalleCalculos!$N:$N,DetalleCalculos!$W:$W,$K86,DetalleCalculos!$H:$H,$M86)*24</f>
        <v>41</v>
      </c>
      <c r="O86" s="80">
        <f>SUMIFS(DetalleCalculos!$P:$P,DetalleCalculos!$W:$W,$K86,DetalleCalculos!$H:$H,$M86)</f>
        <v>44</v>
      </c>
      <c r="P86" s="80">
        <f>SUMIFS(DetalleCalculos!$Q:$Q,DetalleCalculos!$W:$W,$K86,DetalleCalculos!$H:$H,$M86)</f>
        <v>0</v>
      </c>
      <c r="Q86" s="80">
        <f t="shared" si="6"/>
        <v>44</v>
      </c>
      <c r="R86" s="80">
        <f t="shared" si="7"/>
        <v>0</v>
      </c>
      <c r="S86" s="80" t="str">
        <f>_xlfn.XLOOKUP($J86&amp;$K86&amp;$M86,DetalleCalculos!$B:$B,DetalleCalculos!$O:$O,"",0,1)</f>
        <v>4-0-3</v>
      </c>
      <c r="T86" s="81">
        <f>+_xlfn.XLOOKUP($S86,'Horarios y Sistemas'!$C:$C,'Horarios y Sistemas'!M:M,0,0,1)</f>
        <v>1</v>
      </c>
      <c r="U86" s="81">
        <f t="shared" si="8"/>
        <v>0</v>
      </c>
      <c r="V86" s="82">
        <f t="shared" si="9"/>
        <v>0</v>
      </c>
      <c r="W86" s="82">
        <f t="shared" si="10"/>
        <v>0</v>
      </c>
      <c r="X86" s="80">
        <f t="shared" si="11"/>
        <v>0</v>
      </c>
      <c r="Y86" s="80">
        <f t="shared" si="12"/>
        <v>0</v>
      </c>
      <c r="Z86" s="95" t="s">
        <v>245</v>
      </c>
      <c r="AA86" s="99">
        <f t="shared" ref="AA86:AB86" si="174">+SUM(X86:X88)</f>
        <v>16.5</v>
      </c>
      <c r="AB86" s="100">
        <f t="shared" si="174"/>
        <v>0</v>
      </c>
    </row>
    <row r="87" spans="2:31" ht="15.75" thickBot="1">
      <c r="B87" s="125" t="s">
        <v>265</v>
      </c>
      <c r="C87" s="113">
        <f>+SUMIFS(AD$23:AD$223,$M$23:$M$223,$B87,$AC$23:$AC$223,$B$20)</f>
        <v>37.500000000000028</v>
      </c>
      <c r="D87" s="114">
        <f>+SUMIFS(AE$23:AE$223,$M$23:$M$223,$B87,$AC$23:$AC$223,$B$20)</f>
        <v>0</v>
      </c>
      <c r="E87" s="119">
        <f t="shared" ref="E87:E89" si="175">+SUM(C87:D87)</f>
        <v>37.500000000000028</v>
      </c>
      <c r="H87" t="str">
        <f t="shared" si="3"/>
        <v>SEPTIEMBRESem3939EVER GESTRUDES BOLVITO ESTRADA</v>
      </c>
      <c r="I87" s="14" t="str">
        <f>+_xlfn.XLOOKUP(K87,DetalleCalculos!W:W,DetalleCalculos!S:S,"",0,1)</f>
        <v>SEPTIEMBRE</v>
      </c>
      <c r="J87" s="72" t="str">
        <f t="shared" si="4"/>
        <v>Sem39</v>
      </c>
      <c r="K87" s="72">
        <f t="shared" ref="K87" si="176">+$H$18</f>
        <v>39</v>
      </c>
      <c r="L87" s="72">
        <f>+IF(_xlfn.XLOOKUP(K87,DetalleCalculos!W:W,DetalleCalculos!U:U,0,0,1)=7,1,2)</f>
        <v>1</v>
      </c>
      <c r="M87" s="79" t="str" cm="1">
        <f t="array" ref="M87">+INDEX($B$23:$B$89,ROUNDUP((ROW()-22)/3,0))</f>
        <v>EVER GESTRUDES BOLVITO ESTRADA</v>
      </c>
      <c r="N87" s="76">
        <f>SUMIFS(DetalleCalculos!$N:$N,DetalleCalculos!$W:$W,$K87,DetalleCalculos!$H:$H,$M87)*24</f>
        <v>11</v>
      </c>
      <c r="O87" s="80">
        <f>SUMIFS(DetalleCalculos!$P:$P,DetalleCalculos!$W:$W,$K87,DetalleCalculos!$H:$H,$M87)</f>
        <v>44</v>
      </c>
      <c r="P87" s="80">
        <f>SUMIFS(DetalleCalculos!$Q:$Q,DetalleCalculos!$W:$W,$K87,DetalleCalculos!$H:$H,$M87)</f>
        <v>0</v>
      </c>
      <c r="Q87" s="24">
        <f t="shared" si="6"/>
        <v>44</v>
      </c>
      <c r="R87" s="24">
        <f t="shared" si="7"/>
        <v>0</v>
      </c>
      <c r="S87" s="80" t="str">
        <f>_xlfn.XLOOKUP($J87&amp;$K87&amp;$M87,DetalleCalculos!$B:$B,DetalleCalculos!$O:$O,"",0,1)</f>
        <v>1-0-6</v>
      </c>
      <c r="T87" s="29">
        <f>+_xlfn.XLOOKUP($S87,'Horarios y Sistemas'!$C:$C,'Horarios y Sistemas'!M:M,0,0,1)</f>
        <v>1</v>
      </c>
      <c r="U87" s="29">
        <f t="shared" si="8"/>
        <v>0</v>
      </c>
      <c r="V87" s="30">
        <f t="shared" si="9"/>
        <v>0</v>
      </c>
      <c r="W87" s="30">
        <f t="shared" si="10"/>
        <v>0</v>
      </c>
      <c r="X87" s="24">
        <f t="shared" si="11"/>
        <v>0</v>
      </c>
      <c r="Y87" s="24">
        <f t="shared" si="12"/>
        <v>0</v>
      </c>
      <c r="Z87" s="96" t="s">
        <v>246</v>
      </c>
      <c r="AA87" s="101">
        <f t="shared" ref="AA87" si="177">+IF(AA86&lt;=0,0,IF(AND(AA86&gt;AB86,AB86&lt;=0),IF(AA86+AB86&gt;0,AA86+AB86,0),IF(AND(AA86&gt;0,AB86&gt;0),AA86,0)))</f>
        <v>16.5</v>
      </c>
      <c r="AB87" s="102">
        <f t="shared" ref="AB87" si="178">+IF(AB86&lt;=0,0,IF(AND(AB86&gt;AA86,AA86&lt;=0),IF(AB86+AA86&gt;0,AB86+AA86,0),IF(AND(AB86&gt;0,AA86&gt;0),AB86,0)))</f>
        <v>0</v>
      </c>
      <c r="AC87" s="97" t="s">
        <v>125</v>
      </c>
      <c r="AD87" s="103">
        <f t="shared" ref="AD87" si="179">+AA87/$X$5</f>
        <v>11</v>
      </c>
      <c r="AE87" s="104">
        <f t="shared" ref="AE87" si="180">+AB87/$Y$5</f>
        <v>0</v>
      </c>
    </row>
    <row r="88" spans="2:31" ht="15.75" thickBot="1">
      <c r="B88" s="125" t="s">
        <v>266</v>
      </c>
      <c r="C88" s="113">
        <f>+SUMIFS(AD$23:AD$223,$M$23:$M$223,$B88,$AC$23:$AC$223,$B$20)</f>
        <v>11.999999999999972</v>
      </c>
      <c r="D88" s="114">
        <f>+SUMIFS(AE$23:AE$223,$M$23:$M$223,$B88,$AC$23:$AC$223,$B$20)</f>
        <v>0</v>
      </c>
      <c r="E88" s="119">
        <f t="shared" si="175"/>
        <v>11.999999999999972</v>
      </c>
      <c r="H88" t="str">
        <f t="shared" si="3"/>
        <v>SEPTIEMBRESem4040EVER GESTRUDES BOLVITO ESTRADA</v>
      </c>
      <c r="I88" s="14" t="str">
        <f>+_xlfn.XLOOKUP(K88,DetalleCalculos!W:W,DetalleCalculos!S:S,"",0,1)</f>
        <v>SEPTIEMBRE</v>
      </c>
      <c r="J88" s="72" t="str">
        <f t="shared" si="4"/>
        <v>Sem40</v>
      </c>
      <c r="K88" s="72">
        <f t="shared" ref="K88" si="181">+$H$19</f>
        <v>40</v>
      </c>
      <c r="L88" s="72">
        <f>+IF(_xlfn.XLOOKUP(K88,DetalleCalculos!W:W,DetalleCalculos!U:U,0,0,1)=7,1,2)</f>
        <v>1</v>
      </c>
      <c r="M88" s="79" t="str" cm="1">
        <f t="array" ref="M88">+INDEX($B$23:$B$89,ROUNDUP((ROW()-22)/3,0))</f>
        <v>EVER GESTRUDES BOLVITO ESTRADA</v>
      </c>
      <c r="N88" s="76">
        <f>SUMIFS(DetalleCalculos!$N:$N,DetalleCalculos!$W:$W,$K88,DetalleCalculos!$H:$H,$M88)*24</f>
        <v>55</v>
      </c>
      <c r="O88" s="80">
        <f>SUMIFS(DetalleCalculos!$P:$P,DetalleCalculos!$W:$W,$K88,DetalleCalculos!$H:$H,$M88)</f>
        <v>44</v>
      </c>
      <c r="P88" s="80">
        <f>SUMIFS(DetalleCalculos!$Q:$Q,DetalleCalculos!$W:$W,$K88,DetalleCalculos!$H:$H,$M88)</f>
        <v>0</v>
      </c>
      <c r="Q88" s="24">
        <f t="shared" si="6"/>
        <v>44</v>
      </c>
      <c r="R88" s="24">
        <f t="shared" si="7"/>
        <v>11</v>
      </c>
      <c r="S88" s="80" t="str">
        <f>_xlfn.XLOOKUP($J88&amp;$K88&amp;$M88,DetalleCalculos!$B:$B,DetalleCalculos!$O:$O,"",0,1)</f>
        <v>5-0-2</v>
      </c>
      <c r="T88" s="29">
        <f>+_xlfn.XLOOKUP($S88,'Horarios y Sistemas'!$C:$C,'Horarios y Sistemas'!M:M,0,0,1)</f>
        <v>1</v>
      </c>
      <c r="U88" s="29">
        <f t="shared" si="8"/>
        <v>0</v>
      </c>
      <c r="V88" s="30">
        <f t="shared" si="9"/>
        <v>11</v>
      </c>
      <c r="W88" s="30">
        <f t="shared" si="10"/>
        <v>0</v>
      </c>
      <c r="X88" s="24">
        <f t="shared" si="11"/>
        <v>16.5</v>
      </c>
      <c r="Y88" s="24">
        <f t="shared" si="12"/>
        <v>0</v>
      </c>
      <c r="Z88" s="95"/>
      <c r="AA88" s="99"/>
      <c r="AB88" s="100"/>
    </row>
    <row r="89" spans="2:31">
      <c r="B89" s="125" t="s">
        <v>269</v>
      </c>
      <c r="C89" s="113">
        <f>+SUMIFS(AD$23:AD$223,$M$23:$M$223,$B89,$AC$23:$AC$223,$B$20)</f>
        <v>0</v>
      </c>
      <c r="D89" s="114">
        <f>+SUMIFS(AE$23:AE$223,$M$23:$M$223,$B89,$AC$23:$AC$223,$B$20)</f>
        <v>0</v>
      </c>
      <c r="E89" s="119">
        <f t="shared" si="175"/>
        <v>0</v>
      </c>
      <c r="H89" t="str">
        <f t="shared" si="3"/>
        <v>SEPTIEMBRESem3838Edvin Omar Chavez Cuque</v>
      </c>
      <c r="I89" s="14" t="str">
        <f>+_xlfn.XLOOKUP(K89,DetalleCalculos!W:W,DetalleCalculos!S:S,"",0,1)</f>
        <v>SEPTIEMBRE</v>
      </c>
      <c r="J89" s="72" t="str">
        <f t="shared" si="4"/>
        <v>Sem38</v>
      </c>
      <c r="K89" s="72">
        <f t="shared" ref="K89" si="182">+$H$17</f>
        <v>38</v>
      </c>
      <c r="L89" s="72">
        <f>+IF(_xlfn.XLOOKUP(K89,DetalleCalculos!W:W,DetalleCalculos!U:U,0,0,1)=7,1,2)</f>
        <v>1</v>
      </c>
      <c r="M89" s="79" t="str" cm="1">
        <f t="array" ref="M89">+INDEX($B$23:$B$89,ROUNDUP((ROW()-22)/3,0))</f>
        <v>Edvin Omar Chavez Cuque</v>
      </c>
      <c r="N89" s="76">
        <f>SUMIFS(DetalleCalculos!$N:$N,DetalleCalculos!$W:$W,$K89,DetalleCalculos!$H:$H,$M89)*24</f>
        <v>49</v>
      </c>
      <c r="O89" s="80">
        <f>SUMIFS(DetalleCalculos!$P:$P,DetalleCalculos!$W:$W,$K89,DetalleCalculos!$H:$H,$M89)</f>
        <v>44</v>
      </c>
      <c r="P89" s="80">
        <f>SUMIFS(DetalleCalculos!$Q:$Q,DetalleCalculos!$W:$W,$K89,DetalleCalculos!$H:$H,$M89)</f>
        <v>0</v>
      </c>
      <c r="Q89" s="80">
        <f t="shared" si="6"/>
        <v>44</v>
      </c>
      <c r="R89" s="80">
        <f t="shared" si="7"/>
        <v>5</v>
      </c>
      <c r="S89" s="80" t="str">
        <f>_xlfn.XLOOKUP($J89&amp;$K89&amp;$M89,DetalleCalculos!$B:$B,DetalleCalculos!$O:$O,"",0,1)</f>
        <v>5-0-2</v>
      </c>
      <c r="T89" s="81">
        <f>+_xlfn.XLOOKUP($S89,'Horarios y Sistemas'!$C:$C,'Horarios y Sistemas'!M:M,0,0,1)</f>
        <v>1</v>
      </c>
      <c r="U89" s="81">
        <f t="shared" si="8"/>
        <v>0</v>
      </c>
      <c r="V89" s="82">
        <f t="shared" si="9"/>
        <v>5</v>
      </c>
      <c r="W89" s="82">
        <f t="shared" si="10"/>
        <v>0</v>
      </c>
      <c r="X89" s="80">
        <f t="shared" si="11"/>
        <v>7.5</v>
      </c>
      <c r="Y89" s="80">
        <f t="shared" si="12"/>
        <v>0</v>
      </c>
      <c r="Z89" s="95" t="s">
        <v>245</v>
      </c>
      <c r="AA89" s="99">
        <f t="shared" ref="AA89:AB89" si="183">+SUM(X89:X91)</f>
        <v>39</v>
      </c>
      <c r="AB89" s="100">
        <f t="shared" si="183"/>
        <v>0</v>
      </c>
    </row>
    <row r="90" spans="2:31" ht="15.75" thickBot="1">
      <c r="H90" t="str">
        <f t="shared" ref="H90:H153" si="184">+I90&amp;J90&amp;K90&amp;M90</f>
        <v>SEPTIEMBRESem3939Edvin Omar Chavez Cuque</v>
      </c>
      <c r="I90" s="14" t="str">
        <f>+_xlfn.XLOOKUP(K90,DetalleCalculos!W:W,DetalleCalculos!S:S,"",0,1)</f>
        <v>SEPTIEMBRE</v>
      </c>
      <c r="J90" s="72" t="str">
        <f t="shared" ref="J90:J153" si="185">+"Sem"&amp;K90</f>
        <v>Sem39</v>
      </c>
      <c r="K90" s="72">
        <f t="shared" ref="K90" si="186">+$H$18</f>
        <v>39</v>
      </c>
      <c r="L90" s="72">
        <f>+IF(_xlfn.XLOOKUP(K90,DetalleCalculos!W:W,DetalleCalculos!U:U,0,0,1)=7,1,2)</f>
        <v>1</v>
      </c>
      <c r="M90" s="79" t="str" cm="1">
        <f t="array" ref="M90">+INDEX($B$23:$B$89,ROUNDUP((ROW()-22)/3,0))</f>
        <v>Edvin Omar Chavez Cuque</v>
      </c>
      <c r="N90" s="76">
        <f>SUMIFS(DetalleCalculos!$N:$N,DetalleCalculos!$W:$W,$K90,DetalleCalculos!$H:$H,$M90)*24</f>
        <v>33</v>
      </c>
      <c r="O90" s="80">
        <f>SUMIFS(DetalleCalculos!$P:$P,DetalleCalculos!$W:$W,$K90,DetalleCalculos!$H:$H,$M90)</f>
        <v>36</v>
      </c>
      <c r="P90" s="80">
        <f>SUMIFS(DetalleCalculos!$Q:$Q,DetalleCalculos!$W:$W,$K90,DetalleCalculos!$H:$H,$M90)</f>
        <v>0</v>
      </c>
      <c r="Q90" s="24">
        <f t="shared" ref="Q90:Q153" si="187">+IF(L90=1,O90,P90)</f>
        <v>36</v>
      </c>
      <c r="R90" s="24">
        <f t="shared" ref="R90:R153" si="188">+IF(N90-Q90&lt;=0,0,N90-Q90)</f>
        <v>0</v>
      </c>
      <c r="S90" s="80" t="str">
        <f>_xlfn.XLOOKUP($J90&amp;$K90&amp;$M90,DetalleCalculos!$B:$B,DetalleCalculos!$O:$O,"",0,1)</f>
        <v>0-3-4</v>
      </c>
      <c r="T90" s="29">
        <f>+_xlfn.XLOOKUP($S90,'Horarios y Sistemas'!$C:$C,'Horarios y Sistemas'!M:M,0,0,1)</f>
        <v>0</v>
      </c>
      <c r="U90" s="29">
        <f t="shared" ref="U90:U153" si="189">1-T90</f>
        <v>1</v>
      </c>
      <c r="V90" s="30">
        <f t="shared" ref="V90:V153" si="190">+T90*R90</f>
        <v>0</v>
      </c>
      <c r="W90" s="30">
        <f t="shared" ref="W90:W153" si="191">+U90*R90</f>
        <v>0</v>
      </c>
      <c r="X90" s="24">
        <f t="shared" ref="X90:X153" si="192">+V90*X$5</f>
        <v>0</v>
      </c>
      <c r="Y90" s="24">
        <f t="shared" ref="Y90:Y153" si="193">+W90*Y$5</f>
        <v>0</v>
      </c>
      <c r="Z90" s="96" t="s">
        <v>246</v>
      </c>
      <c r="AA90" s="101">
        <f t="shared" ref="AA90" si="194">+IF(AA89&lt;=0,0,IF(AND(AA89&gt;AB89,AB89&lt;=0),IF(AA89+AB89&gt;0,AA89+AB89,0),IF(AND(AA89&gt;0,AB89&gt;0),AA89,0)))</f>
        <v>39</v>
      </c>
      <c r="AB90" s="102">
        <f t="shared" ref="AB90" si="195">+IF(AB89&lt;=0,0,IF(AND(AB89&gt;AA89,AA89&lt;=0),IF(AB89+AA89&gt;0,AB89+AA89,0),IF(AND(AB89&gt;0,AA89&gt;0),AB89,0)))</f>
        <v>0</v>
      </c>
      <c r="AC90" s="97" t="s">
        <v>125</v>
      </c>
      <c r="AD90" s="103">
        <f t="shared" ref="AD90" si="196">+AA90/$X$5</f>
        <v>26</v>
      </c>
      <c r="AE90" s="104">
        <f t="shared" ref="AE90" si="197">+AB90/$Y$5</f>
        <v>0</v>
      </c>
    </row>
    <row r="91" spans="2:31" ht="15.75" thickBot="1">
      <c r="H91" t="str">
        <f t="shared" si="184"/>
        <v>SEPTIEMBRESem4040Edvin Omar Chavez Cuque</v>
      </c>
      <c r="I91" s="14" t="str">
        <f>+_xlfn.XLOOKUP(K91,DetalleCalculos!W:W,DetalleCalculos!S:S,"",0,1)</f>
        <v>SEPTIEMBRE</v>
      </c>
      <c r="J91" s="72" t="str">
        <f t="shared" si="185"/>
        <v>Sem40</v>
      </c>
      <c r="K91" s="72">
        <f t="shared" ref="K91" si="198">+$H$19</f>
        <v>40</v>
      </c>
      <c r="L91" s="72">
        <f>+IF(_xlfn.XLOOKUP(K91,DetalleCalculos!W:W,DetalleCalculos!U:U,0,0,1)=7,1,2)</f>
        <v>1</v>
      </c>
      <c r="M91" s="79" t="str" cm="1">
        <f t="array" ref="M91">+INDEX($B$23:$B$89,ROUNDUP((ROW()-22)/3,0))</f>
        <v>Edvin Omar Chavez Cuque</v>
      </c>
      <c r="N91" s="76">
        <f>SUMIFS(DetalleCalculos!$N:$N,DetalleCalculos!$W:$W,$K91,DetalleCalculos!$H:$H,$M91)*24</f>
        <v>65</v>
      </c>
      <c r="O91" s="80">
        <f>SUMIFS(DetalleCalculos!$P:$P,DetalleCalculos!$W:$W,$K91,DetalleCalculos!$H:$H,$M91)</f>
        <v>44</v>
      </c>
      <c r="P91" s="80">
        <f>SUMIFS(DetalleCalculos!$Q:$Q,DetalleCalculos!$W:$W,$K91,DetalleCalculos!$H:$H,$M91)</f>
        <v>0</v>
      </c>
      <c r="Q91" s="24">
        <f t="shared" si="187"/>
        <v>44</v>
      </c>
      <c r="R91" s="24">
        <f t="shared" si="188"/>
        <v>21</v>
      </c>
      <c r="S91" s="80" t="str">
        <f>_xlfn.XLOOKUP($J91&amp;$K91&amp;$M91,DetalleCalculos!$B:$B,DetalleCalculos!$O:$O,"",0,1)</f>
        <v>6-0-1</v>
      </c>
      <c r="T91" s="29">
        <f>+_xlfn.XLOOKUP($S91,'Horarios y Sistemas'!$C:$C,'Horarios y Sistemas'!M:M,0,0,1)</f>
        <v>1</v>
      </c>
      <c r="U91" s="29">
        <f t="shared" si="189"/>
        <v>0</v>
      </c>
      <c r="V91" s="30">
        <f t="shared" si="190"/>
        <v>21</v>
      </c>
      <c r="W91" s="30">
        <f t="shared" si="191"/>
        <v>0</v>
      </c>
      <c r="X91" s="24">
        <f t="shared" si="192"/>
        <v>31.5</v>
      </c>
      <c r="Y91" s="24">
        <f t="shared" si="193"/>
        <v>0</v>
      </c>
      <c r="Z91" s="95"/>
      <c r="AA91" s="99"/>
      <c r="AB91" s="100"/>
    </row>
    <row r="92" spans="2:31">
      <c r="H92" t="str">
        <f t="shared" si="184"/>
        <v>SEPTIEMBRESem3838FILIBERTO SACUL CUCUL</v>
      </c>
      <c r="I92" s="14" t="str">
        <f>+_xlfn.XLOOKUP(K92,DetalleCalculos!W:W,DetalleCalculos!S:S,"",0,1)</f>
        <v>SEPTIEMBRE</v>
      </c>
      <c r="J92" s="72" t="str">
        <f t="shared" si="185"/>
        <v>Sem38</v>
      </c>
      <c r="K92" s="72">
        <f t="shared" ref="K92" si="199">+$H$17</f>
        <v>38</v>
      </c>
      <c r="L92" s="72">
        <f>+IF(_xlfn.XLOOKUP(K92,DetalleCalculos!W:W,DetalleCalculos!U:U,0,0,1)=7,1,2)</f>
        <v>1</v>
      </c>
      <c r="M92" s="79" t="str" cm="1">
        <f t="array" ref="M92">+INDEX($B$23:$B$89,ROUNDUP((ROW()-22)/3,0))</f>
        <v>FILIBERTO SACUL CUCUL</v>
      </c>
      <c r="N92" s="76">
        <f>SUMIFS(DetalleCalculos!$N:$N,DetalleCalculos!$W:$W,$K92,DetalleCalculos!$H:$H,$M92)*24</f>
        <v>8</v>
      </c>
      <c r="O92" s="80">
        <f>SUMIFS(DetalleCalculos!$P:$P,DetalleCalculos!$W:$W,$K92,DetalleCalculos!$H:$H,$M92)</f>
        <v>44</v>
      </c>
      <c r="P92" s="80">
        <f>SUMIFS(DetalleCalculos!$Q:$Q,DetalleCalculos!$W:$W,$K92,DetalleCalculos!$H:$H,$M92)</f>
        <v>0</v>
      </c>
      <c r="Q92" s="80">
        <f t="shared" si="187"/>
        <v>44</v>
      </c>
      <c r="R92" s="80">
        <f t="shared" si="188"/>
        <v>0</v>
      </c>
      <c r="S92" s="80" t="str">
        <f>_xlfn.XLOOKUP($J92&amp;$K92&amp;$M92,DetalleCalculos!$B:$B,DetalleCalculos!$O:$O,"",0,1)</f>
        <v>1-0-6</v>
      </c>
      <c r="T92" s="81">
        <f>+_xlfn.XLOOKUP($S92,'Horarios y Sistemas'!$C:$C,'Horarios y Sistemas'!M:M,0,0,1)</f>
        <v>1</v>
      </c>
      <c r="U92" s="81">
        <f t="shared" si="189"/>
        <v>0</v>
      </c>
      <c r="V92" s="82">
        <f t="shared" si="190"/>
        <v>0</v>
      </c>
      <c r="W92" s="82">
        <f t="shared" si="191"/>
        <v>0</v>
      </c>
      <c r="X92" s="80">
        <f t="shared" si="192"/>
        <v>0</v>
      </c>
      <c r="Y92" s="80">
        <f t="shared" si="193"/>
        <v>0</v>
      </c>
      <c r="Z92" s="95" t="s">
        <v>245</v>
      </c>
      <c r="AA92" s="99">
        <f t="shared" ref="AA92:AB92" si="200">+SUM(X92:X94)</f>
        <v>0</v>
      </c>
      <c r="AB92" s="100">
        <f t="shared" si="200"/>
        <v>0</v>
      </c>
    </row>
    <row r="93" spans="2:31" ht="15.75" thickBot="1">
      <c r="H93" t="str">
        <f t="shared" si="184"/>
        <v>SEPTIEMBRESem3939FILIBERTO SACUL CUCUL</v>
      </c>
      <c r="I93" s="14" t="str">
        <f>+_xlfn.XLOOKUP(K93,DetalleCalculos!W:W,DetalleCalculos!S:S,"",0,1)</f>
        <v>SEPTIEMBRE</v>
      </c>
      <c r="J93" s="72" t="str">
        <f t="shared" si="185"/>
        <v>Sem39</v>
      </c>
      <c r="K93" s="72">
        <f t="shared" ref="K93" si="201">+$H$18</f>
        <v>39</v>
      </c>
      <c r="L93" s="72">
        <f>+IF(_xlfn.XLOOKUP(K93,DetalleCalculos!W:W,DetalleCalculos!U:U,0,0,1)=7,1,2)</f>
        <v>1</v>
      </c>
      <c r="M93" s="79" t="str" cm="1">
        <f t="array" ref="M93">+INDEX($B$23:$B$89,ROUNDUP((ROW()-22)/3,0))</f>
        <v>FILIBERTO SACUL CUCUL</v>
      </c>
      <c r="N93" s="76">
        <f>SUMIFS(DetalleCalculos!$N:$N,DetalleCalculos!$W:$W,$K93,DetalleCalculos!$H:$H,$M93)*24</f>
        <v>0</v>
      </c>
      <c r="O93" s="80">
        <f>SUMIFS(DetalleCalculos!$P:$P,DetalleCalculos!$W:$W,$K93,DetalleCalculos!$H:$H,$M93)</f>
        <v>0</v>
      </c>
      <c r="P93" s="80">
        <f>SUMIFS(DetalleCalculos!$Q:$Q,DetalleCalculos!$W:$W,$K93,DetalleCalculos!$H:$H,$M93)</f>
        <v>0</v>
      </c>
      <c r="Q93" s="24">
        <f t="shared" si="187"/>
        <v>0</v>
      </c>
      <c r="R93" s="24">
        <f t="shared" si="188"/>
        <v>0</v>
      </c>
      <c r="S93" s="80" t="str">
        <f>_xlfn.XLOOKUP($J93&amp;$K93&amp;$M93,DetalleCalculos!$B:$B,DetalleCalculos!$O:$O,"",0,1)</f>
        <v>0-0-7</v>
      </c>
      <c r="T93" s="29">
        <f>+_xlfn.XLOOKUP($S93,'Horarios y Sistemas'!$C:$C,'Horarios y Sistemas'!M:M,0,0,1)</f>
        <v>0</v>
      </c>
      <c r="U93" s="29">
        <f t="shared" si="189"/>
        <v>1</v>
      </c>
      <c r="V93" s="30">
        <f t="shared" si="190"/>
        <v>0</v>
      </c>
      <c r="W93" s="30">
        <f t="shared" si="191"/>
        <v>0</v>
      </c>
      <c r="X93" s="24">
        <f t="shared" si="192"/>
        <v>0</v>
      </c>
      <c r="Y93" s="24">
        <f t="shared" si="193"/>
        <v>0</v>
      </c>
      <c r="Z93" s="96" t="s">
        <v>246</v>
      </c>
      <c r="AA93" s="101">
        <f t="shared" ref="AA93" si="202">+IF(AA92&lt;=0,0,IF(AND(AA92&gt;AB92,AB92&lt;=0),IF(AA92+AB92&gt;0,AA92+AB92,0),IF(AND(AA92&gt;0,AB92&gt;0),AA92,0)))</f>
        <v>0</v>
      </c>
      <c r="AB93" s="102">
        <f t="shared" ref="AB93" si="203">+IF(AB92&lt;=0,0,IF(AND(AB92&gt;AA92,AA92&lt;=0),IF(AB92+AA92&gt;0,AB92+AA92,0),IF(AND(AB92&gt;0,AA92&gt;0),AB92,0)))</f>
        <v>0</v>
      </c>
      <c r="AC93" s="97" t="s">
        <v>125</v>
      </c>
      <c r="AD93" s="103">
        <f t="shared" ref="AD93" si="204">+AA93/$X$5</f>
        <v>0</v>
      </c>
      <c r="AE93" s="104">
        <f t="shared" ref="AE93" si="205">+AB93/$Y$5</f>
        <v>0</v>
      </c>
    </row>
    <row r="94" spans="2:31" ht="15.75" thickBot="1">
      <c r="H94" t="str">
        <f t="shared" si="184"/>
        <v>SEPTIEMBRESem4040FILIBERTO SACUL CUCUL</v>
      </c>
      <c r="I94" s="14" t="str">
        <f>+_xlfn.XLOOKUP(K94,DetalleCalculos!W:W,DetalleCalculos!S:S,"",0,1)</f>
        <v>SEPTIEMBRE</v>
      </c>
      <c r="J94" s="72" t="str">
        <f t="shared" si="185"/>
        <v>Sem40</v>
      </c>
      <c r="K94" s="72">
        <f t="shared" ref="K94" si="206">+$H$19</f>
        <v>40</v>
      </c>
      <c r="L94" s="72">
        <f>+IF(_xlfn.XLOOKUP(K94,DetalleCalculos!W:W,DetalleCalculos!U:U,0,0,1)=7,1,2)</f>
        <v>1</v>
      </c>
      <c r="M94" s="79" t="str" cm="1">
        <f t="array" ref="M94">+INDEX($B$23:$B$89,ROUNDUP((ROW()-22)/3,0))</f>
        <v>FILIBERTO SACUL CUCUL</v>
      </c>
      <c r="N94" s="76">
        <f>SUMIFS(DetalleCalculos!$N:$N,DetalleCalculos!$W:$W,$K94,DetalleCalculos!$H:$H,$M94)*24</f>
        <v>0</v>
      </c>
      <c r="O94" s="80">
        <f>SUMIFS(DetalleCalculos!$P:$P,DetalleCalculos!$W:$W,$K94,DetalleCalculos!$H:$H,$M94)</f>
        <v>0</v>
      </c>
      <c r="P94" s="80">
        <f>SUMIFS(DetalleCalculos!$Q:$Q,DetalleCalculos!$W:$W,$K94,DetalleCalculos!$H:$H,$M94)</f>
        <v>0</v>
      </c>
      <c r="Q94" s="24">
        <f t="shared" si="187"/>
        <v>0</v>
      </c>
      <c r="R94" s="24">
        <f t="shared" si="188"/>
        <v>0</v>
      </c>
      <c r="S94" s="80" t="str">
        <f>_xlfn.XLOOKUP($J94&amp;$K94&amp;$M94,DetalleCalculos!$B:$B,DetalleCalculos!$O:$O,"",0,1)</f>
        <v>0-0-7</v>
      </c>
      <c r="T94" s="29">
        <f>+_xlfn.XLOOKUP($S94,'Horarios y Sistemas'!$C:$C,'Horarios y Sistemas'!M:M,0,0,1)</f>
        <v>0</v>
      </c>
      <c r="U94" s="29">
        <f t="shared" si="189"/>
        <v>1</v>
      </c>
      <c r="V94" s="30">
        <f t="shared" si="190"/>
        <v>0</v>
      </c>
      <c r="W94" s="30">
        <f t="shared" si="191"/>
        <v>0</v>
      </c>
      <c r="X94" s="24">
        <f t="shared" si="192"/>
        <v>0</v>
      </c>
      <c r="Y94" s="24">
        <f t="shared" si="193"/>
        <v>0</v>
      </c>
      <c r="Z94" s="95"/>
      <c r="AA94" s="99"/>
      <c r="AB94" s="100"/>
    </row>
    <row r="95" spans="2:31">
      <c r="H95" t="str">
        <f t="shared" si="184"/>
        <v>SEPTIEMBRESem3838GARCIA REYES CARLOS ANTONIO</v>
      </c>
      <c r="I95" s="14" t="str">
        <f>+_xlfn.XLOOKUP(K95,DetalleCalculos!W:W,DetalleCalculos!S:S,"",0,1)</f>
        <v>SEPTIEMBRE</v>
      </c>
      <c r="J95" s="72" t="str">
        <f t="shared" si="185"/>
        <v>Sem38</v>
      </c>
      <c r="K95" s="72">
        <f t="shared" ref="K95" si="207">+$H$17</f>
        <v>38</v>
      </c>
      <c r="L95" s="72">
        <f>+IF(_xlfn.XLOOKUP(K95,DetalleCalculos!W:W,DetalleCalculos!U:U,0,0,1)=7,1,2)</f>
        <v>1</v>
      </c>
      <c r="M95" s="79" t="str" cm="1">
        <f t="array" ref="M95">+INDEX($B$23:$B$89,ROUNDUP((ROW()-22)/3,0))</f>
        <v>GARCIA REYES CARLOS ANTONIO</v>
      </c>
      <c r="N95" s="76">
        <f>SUMIFS(DetalleCalculos!$N:$N,DetalleCalculos!$W:$W,$K95,DetalleCalculos!$H:$H,$M95)*24</f>
        <v>0</v>
      </c>
      <c r="O95" s="80">
        <f>SUMIFS(DetalleCalculos!$P:$P,DetalleCalculos!$W:$W,$K95,DetalleCalculos!$H:$H,$M95)</f>
        <v>0</v>
      </c>
      <c r="P95" s="80">
        <f>SUMIFS(DetalleCalculos!$Q:$Q,DetalleCalculos!$W:$W,$K95,DetalleCalculos!$H:$H,$M95)</f>
        <v>0</v>
      </c>
      <c r="Q95" s="80">
        <f t="shared" si="187"/>
        <v>0</v>
      </c>
      <c r="R95" s="80">
        <f t="shared" si="188"/>
        <v>0</v>
      </c>
      <c r="S95" s="80" t="str">
        <f>_xlfn.XLOOKUP($J95&amp;$K95&amp;$M95,DetalleCalculos!$B:$B,DetalleCalculos!$O:$O,"",0,1)</f>
        <v/>
      </c>
      <c r="T95" s="81">
        <f>+_xlfn.XLOOKUP($S95,'Horarios y Sistemas'!$C:$C,'Horarios y Sistemas'!M:M,0,0,1)</f>
        <v>0</v>
      </c>
      <c r="U95" s="81">
        <f t="shared" si="189"/>
        <v>1</v>
      </c>
      <c r="V95" s="82">
        <f t="shared" si="190"/>
        <v>0</v>
      </c>
      <c r="W95" s="82">
        <f t="shared" si="191"/>
        <v>0</v>
      </c>
      <c r="X95" s="80">
        <f t="shared" si="192"/>
        <v>0</v>
      </c>
      <c r="Y95" s="80">
        <f t="shared" si="193"/>
        <v>0</v>
      </c>
      <c r="Z95" s="95" t="s">
        <v>245</v>
      </c>
      <c r="AA95" s="99">
        <f t="shared" ref="AA95:AB95" si="208">+SUM(X95:X97)</f>
        <v>0</v>
      </c>
      <c r="AB95" s="100">
        <f t="shared" si="208"/>
        <v>0</v>
      </c>
    </row>
    <row r="96" spans="2:31" ht="15.75" thickBot="1">
      <c r="H96" t="str">
        <f t="shared" si="184"/>
        <v>SEPTIEMBRESem3939GARCIA REYES CARLOS ANTONIO</v>
      </c>
      <c r="I96" s="14" t="str">
        <f>+_xlfn.XLOOKUP(K96,DetalleCalculos!W:W,DetalleCalculos!S:S,"",0,1)</f>
        <v>SEPTIEMBRE</v>
      </c>
      <c r="J96" s="72" t="str">
        <f t="shared" si="185"/>
        <v>Sem39</v>
      </c>
      <c r="K96" s="72">
        <f t="shared" ref="K96" si="209">+$H$18</f>
        <v>39</v>
      </c>
      <c r="L96" s="72">
        <f>+IF(_xlfn.XLOOKUP(K96,DetalleCalculos!W:W,DetalleCalculos!U:U,0,0,1)=7,1,2)</f>
        <v>1</v>
      </c>
      <c r="M96" s="79" t="str" cm="1">
        <f t="array" ref="M96">+INDEX($B$23:$B$89,ROUNDUP((ROW()-22)/3,0))</f>
        <v>GARCIA REYES CARLOS ANTONIO</v>
      </c>
      <c r="N96" s="76">
        <f>SUMIFS(DetalleCalculos!$N:$N,DetalleCalculos!$W:$W,$K96,DetalleCalculos!$H:$H,$M96)*24</f>
        <v>0</v>
      </c>
      <c r="O96" s="80">
        <f>SUMIFS(DetalleCalculos!$P:$P,DetalleCalculos!$W:$W,$K96,DetalleCalculos!$H:$H,$M96)</f>
        <v>0</v>
      </c>
      <c r="P96" s="80">
        <f>SUMIFS(DetalleCalculos!$Q:$Q,DetalleCalculos!$W:$W,$K96,DetalleCalculos!$H:$H,$M96)</f>
        <v>0</v>
      </c>
      <c r="Q96" s="24">
        <f t="shared" si="187"/>
        <v>0</v>
      </c>
      <c r="R96" s="24">
        <f t="shared" si="188"/>
        <v>0</v>
      </c>
      <c r="S96" s="80" t="str">
        <f>_xlfn.XLOOKUP($J96&amp;$K96&amp;$M96,DetalleCalculos!$B:$B,DetalleCalculos!$O:$O,"",0,1)</f>
        <v/>
      </c>
      <c r="T96" s="29">
        <f>+_xlfn.XLOOKUP($S96,'Horarios y Sistemas'!$C:$C,'Horarios y Sistemas'!M:M,0,0,1)</f>
        <v>0</v>
      </c>
      <c r="U96" s="29">
        <f t="shared" si="189"/>
        <v>1</v>
      </c>
      <c r="V96" s="30">
        <f t="shared" si="190"/>
        <v>0</v>
      </c>
      <c r="W96" s="30">
        <f t="shared" si="191"/>
        <v>0</v>
      </c>
      <c r="X96" s="24">
        <f t="shared" si="192"/>
        <v>0</v>
      </c>
      <c r="Y96" s="24">
        <f t="shared" si="193"/>
        <v>0</v>
      </c>
      <c r="Z96" s="96" t="s">
        <v>246</v>
      </c>
      <c r="AA96" s="101">
        <f t="shared" ref="AA96" si="210">+IF(AA95&lt;=0,0,IF(AND(AA95&gt;AB95,AB95&lt;=0),IF(AA95+AB95&gt;0,AA95+AB95,0),IF(AND(AA95&gt;0,AB95&gt;0),AA95,0)))</f>
        <v>0</v>
      </c>
      <c r="AB96" s="102">
        <f t="shared" ref="AB96" si="211">+IF(AB95&lt;=0,0,IF(AND(AB95&gt;AA95,AA95&lt;=0),IF(AB95+AA95&gt;0,AB95+AA95,0),IF(AND(AB95&gt;0,AA95&gt;0),AB95,0)))</f>
        <v>0</v>
      </c>
      <c r="AC96" s="97" t="s">
        <v>125</v>
      </c>
      <c r="AD96" s="103">
        <f t="shared" ref="AD96" si="212">+AA96/$X$5</f>
        <v>0</v>
      </c>
      <c r="AE96" s="104">
        <f t="shared" ref="AE96" si="213">+AB96/$Y$5</f>
        <v>0</v>
      </c>
    </row>
    <row r="97" spans="8:31" ht="15.75" thickBot="1">
      <c r="H97" t="str">
        <f t="shared" si="184"/>
        <v>SEPTIEMBRESem4040GARCIA REYES CARLOS ANTONIO</v>
      </c>
      <c r="I97" s="14" t="str">
        <f>+_xlfn.XLOOKUP(K97,DetalleCalculos!W:W,DetalleCalculos!S:S,"",0,1)</f>
        <v>SEPTIEMBRE</v>
      </c>
      <c r="J97" s="72" t="str">
        <f t="shared" si="185"/>
        <v>Sem40</v>
      </c>
      <c r="K97" s="72">
        <f t="shared" ref="K97" si="214">+$H$19</f>
        <v>40</v>
      </c>
      <c r="L97" s="72">
        <f>+IF(_xlfn.XLOOKUP(K97,DetalleCalculos!W:W,DetalleCalculos!U:U,0,0,1)=7,1,2)</f>
        <v>1</v>
      </c>
      <c r="M97" s="79" t="str" cm="1">
        <f t="array" ref="M97">+INDEX($B$23:$B$89,ROUNDUP((ROW()-22)/3,0))</f>
        <v>GARCIA REYES CARLOS ANTONIO</v>
      </c>
      <c r="N97" s="76">
        <f>SUMIFS(DetalleCalculos!$N:$N,DetalleCalculos!$W:$W,$K97,DetalleCalculos!$H:$H,$M97)*24</f>
        <v>0</v>
      </c>
      <c r="O97" s="80">
        <f>SUMIFS(DetalleCalculos!$P:$P,DetalleCalculos!$W:$W,$K97,DetalleCalculos!$H:$H,$M97)</f>
        <v>0</v>
      </c>
      <c r="P97" s="80">
        <f>SUMIFS(DetalleCalculos!$Q:$Q,DetalleCalculos!$W:$W,$K97,DetalleCalculos!$H:$H,$M97)</f>
        <v>0</v>
      </c>
      <c r="Q97" s="24">
        <f t="shared" si="187"/>
        <v>0</v>
      </c>
      <c r="R97" s="24">
        <f t="shared" si="188"/>
        <v>0</v>
      </c>
      <c r="S97" s="80" t="str">
        <f>_xlfn.XLOOKUP($J97&amp;$K97&amp;$M97,DetalleCalculos!$B:$B,DetalleCalculos!$O:$O,"",0,1)</f>
        <v/>
      </c>
      <c r="T97" s="29">
        <f>+_xlfn.XLOOKUP($S97,'Horarios y Sistemas'!$C:$C,'Horarios y Sistemas'!M:M,0,0,1)</f>
        <v>0</v>
      </c>
      <c r="U97" s="29">
        <f t="shared" si="189"/>
        <v>1</v>
      </c>
      <c r="V97" s="30">
        <f t="shared" si="190"/>
        <v>0</v>
      </c>
      <c r="W97" s="30">
        <f t="shared" si="191"/>
        <v>0</v>
      </c>
      <c r="X97" s="24">
        <f t="shared" si="192"/>
        <v>0</v>
      </c>
      <c r="Y97" s="24">
        <f t="shared" si="193"/>
        <v>0</v>
      </c>
      <c r="Z97" s="95"/>
      <c r="AA97" s="99"/>
      <c r="AB97" s="100"/>
    </row>
    <row r="98" spans="8:31">
      <c r="H98" t="str">
        <f t="shared" si="184"/>
        <v>SEPTIEMBRESem3838GUZMÁN MORALES  EDGAR RICARDO</v>
      </c>
      <c r="I98" s="14" t="str">
        <f>+_xlfn.XLOOKUP(K98,DetalleCalculos!W:W,DetalleCalculos!S:S,"",0,1)</f>
        <v>SEPTIEMBRE</v>
      </c>
      <c r="J98" s="72" t="str">
        <f t="shared" si="185"/>
        <v>Sem38</v>
      </c>
      <c r="K98" s="72">
        <f t="shared" ref="K98" si="215">+$H$17</f>
        <v>38</v>
      </c>
      <c r="L98" s="72">
        <f>+IF(_xlfn.XLOOKUP(K98,DetalleCalculos!W:W,DetalleCalculos!U:U,0,0,1)=7,1,2)</f>
        <v>1</v>
      </c>
      <c r="M98" s="79" t="str" cm="1">
        <f t="array" ref="M98">+INDEX($B$23:$B$89,ROUNDUP((ROW()-22)/3,0))</f>
        <v>GUZMÁN MORALES  EDGAR RICARDO</v>
      </c>
      <c r="N98" s="76">
        <f>SUMIFS(DetalleCalculos!$N:$N,DetalleCalculos!$W:$W,$K98,DetalleCalculos!$H:$H,$M98)*24</f>
        <v>49.000000000000014</v>
      </c>
      <c r="O98" s="80">
        <f>SUMIFS(DetalleCalculos!$P:$P,DetalleCalculos!$W:$W,$K98,DetalleCalculos!$H:$H,$M98)</f>
        <v>44</v>
      </c>
      <c r="P98" s="80">
        <f>SUMIFS(DetalleCalculos!$Q:$Q,DetalleCalculos!$W:$W,$K98,DetalleCalculos!$H:$H,$M98)</f>
        <v>0</v>
      </c>
      <c r="Q98" s="80">
        <f t="shared" si="187"/>
        <v>44</v>
      </c>
      <c r="R98" s="80">
        <f t="shared" si="188"/>
        <v>5.0000000000000142</v>
      </c>
      <c r="S98" s="80" t="str">
        <f>_xlfn.XLOOKUP($J98&amp;$K98&amp;$M98,DetalleCalculos!$B:$B,DetalleCalculos!$O:$O,"",0,1)</f>
        <v>5-0-2</v>
      </c>
      <c r="T98" s="81">
        <f>+_xlfn.XLOOKUP($S98,'Horarios y Sistemas'!$C:$C,'Horarios y Sistemas'!M:M,0,0,1)</f>
        <v>1</v>
      </c>
      <c r="U98" s="81">
        <f t="shared" si="189"/>
        <v>0</v>
      </c>
      <c r="V98" s="82">
        <f t="shared" si="190"/>
        <v>5.0000000000000142</v>
      </c>
      <c r="W98" s="82">
        <f t="shared" si="191"/>
        <v>0</v>
      </c>
      <c r="X98" s="80">
        <f t="shared" si="192"/>
        <v>7.5000000000000213</v>
      </c>
      <c r="Y98" s="80">
        <f t="shared" si="193"/>
        <v>0</v>
      </c>
      <c r="Z98" s="95" t="s">
        <v>245</v>
      </c>
      <c r="AA98" s="99">
        <f t="shared" ref="AA98:AB98" si="216">+SUM(X98:X100)</f>
        <v>36.750000000000071</v>
      </c>
      <c r="AB98" s="100">
        <f t="shared" si="216"/>
        <v>30.375000000000043</v>
      </c>
    </row>
    <row r="99" spans="8:31" ht="15.75" thickBot="1">
      <c r="H99" t="str">
        <f t="shared" si="184"/>
        <v>SEPTIEMBRESem3939GUZMÁN MORALES  EDGAR RICARDO</v>
      </c>
      <c r="I99" s="14" t="str">
        <f>+_xlfn.XLOOKUP(K99,DetalleCalculos!W:W,DetalleCalculos!S:S,"",0,1)</f>
        <v>SEPTIEMBRE</v>
      </c>
      <c r="J99" s="72" t="str">
        <f t="shared" si="185"/>
        <v>Sem39</v>
      </c>
      <c r="K99" s="72">
        <f t="shared" ref="K99" si="217">+$H$18</f>
        <v>39</v>
      </c>
      <c r="L99" s="72">
        <f>+IF(_xlfn.XLOOKUP(K99,DetalleCalculos!W:W,DetalleCalculos!U:U,0,0,1)=7,1,2)</f>
        <v>1</v>
      </c>
      <c r="M99" s="79" t="str" cm="1">
        <f t="array" ref="M99">+INDEX($B$23:$B$89,ROUNDUP((ROW()-22)/3,0))</f>
        <v>GUZMÁN MORALES  EDGAR RICARDO</v>
      </c>
      <c r="N99" s="76">
        <f>SUMIFS(DetalleCalculos!$N:$N,DetalleCalculos!$W:$W,$K99,DetalleCalculos!$H:$H,$M99)*24</f>
        <v>56.250000000000028</v>
      </c>
      <c r="O99" s="80">
        <f>SUMIFS(DetalleCalculos!$P:$P,DetalleCalculos!$W:$W,$K99,DetalleCalculos!$H:$H,$M99)</f>
        <v>36</v>
      </c>
      <c r="P99" s="80">
        <f>SUMIFS(DetalleCalculos!$Q:$Q,DetalleCalculos!$W:$W,$K99,DetalleCalculos!$H:$H,$M99)</f>
        <v>0</v>
      </c>
      <c r="Q99" s="24">
        <f t="shared" si="187"/>
        <v>36</v>
      </c>
      <c r="R99" s="24">
        <f t="shared" si="188"/>
        <v>20.250000000000028</v>
      </c>
      <c r="S99" s="80" t="str">
        <f>_xlfn.XLOOKUP($J99&amp;$K99&amp;$M99,DetalleCalculos!$B:$B,DetalleCalculos!$O:$O,"",0,1)</f>
        <v>0-5-2</v>
      </c>
      <c r="T99" s="29">
        <f>+_xlfn.XLOOKUP($S99,'Horarios y Sistemas'!$C:$C,'Horarios y Sistemas'!M:M,0,0,1)</f>
        <v>0</v>
      </c>
      <c r="U99" s="29">
        <f t="shared" si="189"/>
        <v>1</v>
      </c>
      <c r="V99" s="30">
        <f t="shared" si="190"/>
        <v>0</v>
      </c>
      <c r="W99" s="30">
        <f t="shared" si="191"/>
        <v>20.250000000000028</v>
      </c>
      <c r="X99" s="24">
        <f t="shared" si="192"/>
        <v>0</v>
      </c>
      <c r="Y99" s="24">
        <f t="shared" si="193"/>
        <v>30.375000000000043</v>
      </c>
      <c r="Z99" s="96" t="s">
        <v>246</v>
      </c>
      <c r="AA99" s="101">
        <f t="shared" ref="AA99" si="218">+IF(AA98&lt;=0,0,IF(AND(AA98&gt;AB98,AB98&lt;=0),IF(AA98+AB98&gt;0,AA98+AB98,0),IF(AND(AA98&gt;0,AB98&gt;0),AA98,0)))</f>
        <v>36.750000000000071</v>
      </c>
      <c r="AB99" s="102">
        <f t="shared" ref="AB99" si="219">+IF(AB98&lt;=0,0,IF(AND(AB98&gt;AA98,AA98&lt;=0),IF(AB98+AA98&gt;0,AB98+AA98,0),IF(AND(AB98&gt;0,AA98&gt;0),AB98,0)))</f>
        <v>30.375000000000043</v>
      </c>
      <c r="AC99" s="97" t="s">
        <v>125</v>
      </c>
      <c r="AD99" s="103">
        <f t="shared" ref="AD99" si="220">+AA99/$X$5</f>
        <v>24.500000000000046</v>
      </c>
      <c r="AE99" s="104">
        <f t="shared" ref="AE99" si="221">+AB99/$Y$5</f>
        <v>20.250000000000028</v>
      </c>
    </row>
    <row r="100" spans="8:31" ht="15.75" thickBot="1">
      <c r="H100" t="str">
        <f t="shared" si="184"/>
        <v>SEPTIEMBRESem4040GUZMÁN MORALES  EDGAR RICARDO</v>
      </c>
      <c r="I100" s="14" t="str">
        <f>+_xlfn.XLOOKUP(K100,DetalleCalculos!W:W,DetalleCalculos!S:S,"",0,1)</f>
        <v>SEPTIEMBRE</v>
      </c>
      <c r="J100" s="72" t="str">
        <f t="shared" si="185"/>
        <v>Sem40</v>
      </c>
      <c r="K100" s="72">
        <f t="shared" ref="K100" si="222">+$H$19</f>
        <v>40</v>
      </c>
      <c r="L100" s="72">
        <f>+IF(_xlfn.XLOOKUP(K100,DetalleCalculos!W:W,DetalleCalculos!U:U,0,0,1)=7,1,2)</f>
        <v>1</v>
      </c>
      <c r="M100" s="79" t="str" cm="1">
        <f t="array" ref="M100">+INDEX($B$23:$B$89,ROUNDUP((ROW()-22)/3,0))</f>
        <v>GUZMÁN MORALES  EDGAR RICARDO</v>
      </c>
      <c r="N100" s="76">
        <f>SUMIFS(DetalleCalculos!$N:$N,DetalleCalculos!$W:$W,$K100,DetalleCalculos!$H:$H,$M100)*24</f>
        <v>63.500000000000036</v>
      </c>
      <c r="O100" s="80">
        <f>SUMIFS(DetalleCalculos!$P:$P,DetalleCalculos!$W:$W,$K100,DetalleCalculos!$H:$H,$M100)</f>
        <v>44</v>
      </c>
      <c r="P100" s="80">
        <f>SUMIFS(DetalleCalculos!$Q:$Q,DetalleCalculos!$W:$W,$K100,DetalleCalculos!$H:$H,$M100)</f>
        <v>0</v>
      </c>
      <c r="Q100" s="24">
        <f t="shared" si="187"/>
        <v>44</v>
      </c>
      <c r="R100" s="24">
        <f t="shared" si="188"/>
        <v>19.500000000000036</v>
      </c>
      <c r="S100" s="80" t="str">
        <f>_xlfn.XLOOKUP($J100&amp;$K100&amp;$M100,DetalleCalculos!$B:$B,DetalleCalculos!$O:$O,"",0,1)</f>
        <v>6-0-1</v>
      </c>
      <c r="T100" s="29">
        <f>+_xlfn.XLOOKUP($S100,'Horarios y Sistemas'!$C:$C,'Horarios y Sistemas'!M:M,0,0,1)</f>
        <v>1</v>
      </c>
      <c r="U100" s="29">
        <f t="shared" si="189"/>
        <v>0</v>
      </c>
      <c r="V100" s="30">
        <f t="shared" si="190"/>
        <v>19.500000000000036</v>
      </c>
      <c r="W100" s="30">
        <f t="shared" si="191"/>
        <v>0</v>
      </c>
      <c r="X100" s="24">
        <f t="shared" si="192"/>
        <v>29.250000000000053</v>
      </c>
      <c r="Y100" s="24">
        <f t="shared" si="193"/>
        <v>0</v>
      </c>
      <c r="Z100" s="95"/>
      <c r="AA100" s="99"/>
      <c r="AB100" s="100"/>
    </row>
    <row r="101" spans="8:31">
      <c r="H101" t="str">
        <f t="shared" si="184"/>
        <v>SEPTIEMBRESem3838HECTOR RENE ALVIZUREZ MEJIA</v>
      </c>
      <c r="I101" s="14" t="str">
        <f>+_xlfn.XLOOKUP(K101,DetalleCalculos!W:W,DetalleCalculos!S:S,"",0,1)</f>
        <v>SEPTIEMBRE</v>
      </c>
      <c r="J101" s="72" t="str">
        <f t="shared" si="185"/>
        <v>Sem38</v>
      </c>
      <c r="K101" s="72">
        <f t="shared" ref="K101" si="223">+$H$17</f>
        <v>38</v>
      </c>
      <c r="L101" s="72">
        <f>+IF(_xlfn.XLOOKUP(K101,DetalleCalculos!W:W,DetalleCalculos!U:U,0,0,1)=7,1,2)</f>
        <v>1</v>
      </c>
      <c r="M101" s="79" t="str" cm="1">
        <f t="array" ref="M101">+INDEX($B$23:$B$89,ROUNDUP((ROW()-22)/3,0))</f>
        <v>HECTOR RENE ALVIZUREZ MEJIA</v>
      </c>
      <c r="N101" s="76">
        <f>SUMIFS(DetalleCalculos!$N:$N,DetalleCalculos!$W:$W,$K101,DetalleCalculos!$H:$H,$M101)*24</f>
        <v>29.999999999999964</v>
      </c>
      <c r="O101" s="80">
        <f>SUMIFS(DetalleCalculos!$P:$P,DetalleCalculos!$W:$W,$K101,DetalleCalculos!$H:$H,$M101)</f>
        <v>40</v>
      </c>
      <c r="P101" s="80">
        <f>SUMIFS(DetalleCalculos!$Q:$Q,DetalleCalculos!$W:$W,$K101,DetalleCalculos!$H:$H,$M101)</f>
        <v>0</v>
      </c>
      <c r="Q101" s="80">
        <f t="shared" si="187"/>
        <v>40</v>
      </c>
      <c r="R101" s="80">
        <f t="shared" si="188"/>
        <v>0</v>
      </c>
      <c r="S101" s="80" t="str">
        <f>_xlfn.XLOOKUP($J101&amp;$K101&amp;$M101,DetalleCalculos!$B:$B,DetalleCalculos!$O:$O,"",0,1)</f>
        <v>2-2-3</v>
      </c>
      <c r="T101" s="81">
        <f>+_xlfn.XLOOKUP($S101,'Horarios y Sistemas'!$C:$C,'Horarios y Sistemas'!M:M,0,0,1)</f>
        <v>0.5</v>
      </c>
      <c r="U101" s="81">
        <f t="shared" si="189"/>
        <v>0.5</v>
      </c>
      <c r="V101" s="82">
        <f t="shared" si="190"/>
        <v>0</v>
      </c>
      <c r="W101" s="82">
        <f t="shared" si="191"/>
        <v>0</v>
      </c>
      <c r="X101" s="80">
        <f t="shared" si="192"/>
        <v>0</v>
      </c>
      <c r="Y101" s="80">
        <f t="shared" si="193"/>
        <v>0</v>
      </c>
      <c r="Z101" s="95" t="s">
        <v>245</v>
      </c>
      <c r="AA101" s="99">
        <f t="shared" ref="AA101:AB101" si="224">+SUM(X101:X103)</f>
        <v>1.4999999999999574</v>
      </c>
      <c r="AB101" s="100">
        <f t="shared" si="224"/>
        <v>0</v>
      </c>
    </row>
    <row r="102" spans="8:31" ht="15.75" thickBot="1">
      <c r="H102" t="str">
        <f t="shared" si="184"/>
        <v>SEPTIEMBRESem3939HECTOR RENE ALVIZUREZ MEJIA</v>
      </c>
      <c r="I102" s="14" t="str">
        <f>+_xlfn.XLOOKUP(K102,DetalleCalculos!W:W,DetalleCalculos!S:S,"",0,1)</f>
        <v>SEPTIEMBRE</v>
      </c>
      <c r="J102" s="72" t="str">
        <f t="shared" si="185"/>
        <v>Sem39</v>
      </c>
      <c r="K102" s="72">
        <f t="shared" ref="K102" si="225">+$H$18</f>
        <v>39</v>
      </c>
      <c r="L102" s="72">
        <f>+IF(_xlfn.XLOOKUP(K102,DetalleCalculos!W:W,DetalleCalculos!U:U,0,0,1)=7,1,2)</f>
        <v>1</v>
      </c>
      <c r="M102" s="79" t="str" cm="1">
        <f t="array" ref="M102">+INDEX($B$23:$B$89,ROUNDUP((ROW()-22)/3,0))</f>
        <v>HECTOR RENE ALVIZUREZ MEJIA</v>
      </c>
      <c r="N102" s="76">
        <f>SUMIFS(DetalleCalculos!$N:$N,DetalleCalculos!$W:$W,$K102,DetalleCalculos!$H:$H,$M102)*24</f>
        <v>43.999999999999986</v>
      </c>
      <c r="O102" s="80">
        <f>SUMIFS(DetalleCalculos!$P:$P,DetalleCalculos!$W:$W,$K102,DetalleCalculos!$H:$H,$M102)</f>
        <v>44</v>
      </c>
      <c r="P102" s="80">
        <f>SUMIFS(DetalleCalculos!$Q:$Q,DetalleCalculos!$W:$W,$K102,DetalleCalculos!$H:$H,$M102)</f>
        <v>0</v>
      </c>
      <c r="Q102" s="24">
        <f t="shared" si="187"/>
        <v>44</v>
      </c>
      <c r="R102" s="24">
        <f t="shared" si="188"/>
        <v>0</v>
      </c>
      <c r="S102" s="80" t="str">
        <f>_xlfn.XLOOKUP($J102&amp;$K102&amp;$M102,DetalleCalculos!$B:$B,DetalleCalculos!$O:$O,"",0,1)</f>
        <v>6-0-1</v>
      </c>
      <c r="T102" s="29">
        <f>+_xlfn.XLOOKUP($S102,'Horarios y Sistemas'!$C:$C,'Horarios y Sistemas'!M:M,0,0,1)</f>
        <v>1</v>
      </c>
      <c r="U102" s="29">
        <f t="shared" si="189"/>
        <v>0</v>
      </c>
      <c r="V102" s="30">
        <f t="shared" si="190"/>
        <v>0</v>
      </c>
      <c r="W102" s="30">
        <f t="shared" si="191"/>
        <v>0</v>
      </c>
      <c r="X102" s="24">
        <f t="shared" si="192"/>
        <v>0</v>
      </c>
      <c r="Y102" s="24">
        <f t="shared" si="193"/>
        <v>0</v>
      </c>
      <c r="Z102" s="96" t="s">
        <v>246</v>
      </c>
      <c r="AA102" s="101">
        <f t="shared" ref="AA102" si="226">+IF(AA101&lt;=0,0,IF(AND(AA101&gt;AB101,AB101&lt;=0),IF(AA101+AB101&gt;0,AA101+AB101,0),IF(AND(AA101&gt;0,AB101&gt;0),AA101,0)))</f>
        <v>1.4999999999999574</v>
      </c>
      <c r="AB102" s="102">
        <f t="shared" ref="AB102" si="227">+IF(AB101&lt;=0,0,IF(AND(AB101&gt;AA101,AA101&lt;=0),IF(AB101+AA101&gt;0,AB101+AA101,0),IF(AND(AB101&gt;0,AA101&gt;0),AB101,0)))</f>
        <v>0</v>
      </c>
      <c r="AC102" s="97" t="s">
        <v>125</v>
      </c>
      <c r="AD102" s="103">
        <f t="shared" ref="AD102" si="228">+AA102/$X$5</f>
        <v>0.99999999999997158</v>
      </c>
      <c r="AE102" s="104">
        <f t="shared" ref="AE102" si="229">+AB102/$Y$5</f>
        <v>0</v>
      </c>
    </row>
    <row r="103" spans="8:31" ht="15.75" thickBot="1">
      <c r="H103" t="str">
        <f t="shared" si="184"/>
        <v>SEPTIEMBRESem4040HECTOR RENE ALVIZUREZ MEJIA</v>
      </c>
      <c r="I103" s="14" t="str">
        <f>+_xlfn.XLOOKUP(K103,DetalleCalculos!W:W,DetalleCalculos!S:S,"",0,1)</f>
        <v>SEPTIEMBRE</v>
      </c>
      <c r="J103" s="72" t="str">
        <f t="shared" si="185"/>
        <v>Sem40</v>
      </c>
      <c r="K103" s="72">
        <f t="shared" ref="K103" si="230">+$H$19</f>
        <v>40</v>
      </c>
      <c r="L103" s="72">
        <f>+IF(_xlfn.XLOOKUP(K103,DetalleCalculos!W:W,DetalleCalculos!U:U,0,0,1)=7,1,2)</f>
        <v>1</v>
      </c>
      <c r="M103" s="79" t="str" cm="1">
        <f t="array" ref="M103">+INDEX($B$23:$B$89,ROUNDUP((ROW()-22)/3,0))</f>
        <v>HECTOR RENE ALVIZUREZ MEJIA</v>
      </c>
      <c r="N103" s="76">
        <f>SUMIFS(DetalleCalculos!$N:$N,DetalleCalculos!$W:$W,$K103,DetalleCalculos!$H:$H,$M103)*24</f>
        <v>44.999999999999972</v>
      </c>
      <c r="O103" s="80">
        <f>SUMIFS(DetalleCalculos!$P:$P,DetalleCalculos!$W:$W,$K103,DetalleCalculos!$H:$H,$M103)</f>
        <v>44</v>
      </c>
      <c r="P103" s="80">
        <f>SUMIFS(DetalleCalculos!$Q:$Q,DetalleCalculos!$W:$W,$K103,DetalleCalculos!$H:$H,$M103)</f>
        <v>0</v>
      </c>
      <c r="Q103" s="24">
        <f t="shared" si="187"/>
        <v>44</v>
      </c>
      <c r="R103" s="24">
        <f t="shared" si="188"/>
        <v>0.99999999999997158</v>
      </c>
      <c r="S103" s="80" t="str">
        <f>_xlfn.XLOOKUP($J103&amp;$K103&amp;$M103,DetalleCalculos!$B:$B,DetalleCalculos!$O:$O,"",0,1)</f>
        <v>6-0-1</v>
      </c>
      <c r="T103" s="29">
        <f>+_xlfn.XLOOKUP($S103,'Horarios y Sistemas'!$C:$C,'Horarios y Sistemas'!M:M,0,0,1)</f>
        <v>1</v>
      </c>
      <c r="U103" s="29">
        <f t="shared" si="189"/>
        <v>0</v>
      </c>
      <c r="V103" s="30">
        <f t="shared" si="190"/>
        <v>0.99999999999997158</v>
      </c>
      <c r="W103" s="30">
        <f t="shared" si="191"/>
        <v>0</v>
      </c>
      <c r="X103" s="24">
        <f t="shared" si="192"/>
        <v>1.4999999999999574</v>
      </c>
      <c r="Y103" s="24">
        <f t="shared" si="193"/>
        <v>0</v>
      </c>
      <c r="Z103" s="95"/>
      <c r="AA103" s="99"/>
      <c r="AB103" s="100"/>
    </row>
    <row r="104" spans="8:31">
      <c r="H104" t="str">
        <f t="shared" si="184"/>
        <v>SEPTIEMBRESem3838HELIO ANGEL GABRIEL GUZMAN RIVERA</v>
      </c>
      <c r="I104" s="14" t="str">
        <f>+_xlfn.XLOOKUP(K104,DetalleCalculos!W:W,DetalleCalculos!S:S,"",0,1)</f>
        <v>SEPTIEMBRE</v>
      </c>
      <c r="J104" s="72" t="str">
        <f t="shared" si="185"/>
        <v>Sem38</v>
      </c>
      <c r="K104" s="72">
        <f t="shared" ref="K104" si="231">+$H$17</f>
        <v>38</v>
      </c>
      <c r="L104" s="72">
        <f>+IF(_xlfn.XLOOKUP(K104,DetalleCalculos!W:W,DetalleCalculos!U:U,0,0,1)=7,1,2)</f>
        <v>1</v>
      </c>
      <c r="M104" s="79" t="str" cm="1">
        <f t="array" ref="M104">+INDEX($B$23:$B$89,ROUNDUP((ROW()-22)/3,0))</f>
        <v>HELIO ANGEL GABRIEL GUZMAN RIVERA</v>
      </c>
      <c r="N104" s="76">
        <f>SUMIFS(DetalleCalculos!$N:$N,DetalleCalculos!$W:$W,$K104,DetalleCalculos!$H:$H,$M104)*24</f>
        <v>0</v>
      </c>
      <c r="O104" s="80">
        <f>SUMIFS(DetalleCalculos!$P:$P,DetalleCalculos!$W:$W,$K104,DetalleCalculos!$H:$H,$M104)</f>
        <v>0</v>
      </c>
      <c r="P104" s="80">
        <f>SUMIFS(DetalleCalculos!$Q:$Q,DetalleCalculos!$W:$W,$K104,DetalleCalculos!$H:$H,$M104)</f>
        <v>0</v>
      </c>
      <c r="Q104" s="80">
        <f t="shared" si="187"/>
        <v>0</v>
      </c>
      <c r="R104" s="80">
        <f t="shared" si="188"/>
        <v>0</v>
      </c>
      <c r="S104" s="80" t="str">
        <f>_xlfn.XLOOKUP($J104&amp;$K104&amp;$M104,DetalleCalculos!$B:$B,DetalleCalculos!$O:$O,"",0,1)</f>
        <v/>
      </c>
      <c r="T104" s="81">
        <f>+_xlfn.XLOOKUP($S104,'Horarios y Sistemas'!$C:$C,'Horarios y Sistemas'!M:M,0,0,1)</f>
        <v>0</v>
      </c>
      <c r="U104" s="81">
        <f t="shared" si="189"/>
        <v>1</v>
      </c>
      <c r="V104" s="82">
        <f t="shared" si="190"/>
        <v>0</v>
      </c>
      <c r="W104" s="82">
        <f t="shared" si="191"/>
        <v>0</v>
      </c>
      <c r="X104" s="80">
        <f t="shared" si="192"/>
        <v>0</v>
      </c>
      <c r="Y104" s="80">
        <f t="shared" si="193"/>
        <v>0</v>
      </c>
      <c r="Z104" s="95" t="s">
        <v>245</v>
      </c>
      <c r="AA104" s="99">
        <f t="shared" ref="AA104:AB104" si="232">+SUM(X104:X106)</f>
        <v>0</v>
      </c>
      <c r="AB104" s="100">
        <f t="shared" si="232"/>
        <v>0</v>
      </c>
    </row>
    <row r="105" spans="8:31" ht="15.75" thickBot="1">
      <c r="H105" t="str">
        <f t="shared" si="184"/>
        <v>SEPTIEMBRESem3939HELIO ANGEL GABRIEL GUZMAN RIVERA</v>
      </c>
      <c r="I105" s="14" t="str">
        <f>+_xlfn.XLOOKUP(K105,DetalleCalculos!W:W,DetalleCalculos!S:S,"",0,1)</f>
        <v>SEPTIEMBRE</v>
      </c>
      <c r="J105" s="72" t="str">
        <f t="shared" si="185"/>
        <v>Sem39</v>
      </c>
      <c r="K105" s="72">
        <f t="shared" ref="K105" si="233">+$H$18</f>
        <v>39</v>
      </c>
      <c r="L105" s="72">
        <f>+IF(_xlfn.XLOOKUP(K105,DetalleCalculos!W:W,DetalleCalculos!U:U,0,0,1)=7,1,2)</f>
        <v>1</v>
      </c>
      <c r="M105" s="79" t="str" cm="1">
        <f t="array" ref="M105">+INDEX($B$23:$B$89,ROUNDUP((ROW()-22)/3,0))</f>
        <v>HELIO ANGEL GABRIEL GUZMAN RIVERA</v>
      </c>
      <c r="N105" s="76">
        <f>SUMIFS(DetalleCalculos!$N:$N,DetalleCalculos!$W:$W,$K105,DetalleCalculos!$H:$H,$M105)*24</f>
        <v>0</v>
      </c>
      <c r="O105" s="80">
        <f>SUMIFS(DetalleCalculos!$P:$P,DetalleCalculos!$W:$W,$K105,DetalleCalculos!$H:$H,$M105)</f>
        <v>0</v>
      </c>
      <c r="P105" s="80">
        <f>SUMIFS(DetalleCalculos!$Q:$Q,DetalleCalculos!$W:$W,$K105,DetalleCalculos!$H:$H,$M105)</f>
        <v>0</v>
      </c>
      <c r="Q105" s="24">
        <f t="shared" si="187"/>
        <v>0</v>
      </c>
      <c r="R105" s="24">
        <f t="shared" si="188"/>
        <v>0</v>
      </c>
      <c r="S105" s="80" t="str">
        <f>_xlfn.XLOOKUP($J105&amp;$K105&amp;$M105,DetalleCalculos!$B:$B,DetalleCalculos!$O:$O,"",0,1)</f>
        <v/>
      </c>
      <c r="T105" s="29">
        <f>+_xlfn.XLOOKUP($S105,'Horarios y Sistemas'!$C:$C,'Horarios y Sistemas'!M:M,0,0,1)</f>
        <v>0</v>
      </c>
      <c r="U105" s="29">
        <f t="shared" si="189"/>
        <v>1</v>
      </c>
      <c r="V105" s="30">
        <f t="shared" si="190"/>
        <v>0</v>
      </c>
      <c r="W105" s="30">
        <f t="shared" si="191"/>
        <v>0</v>
      </c>
      <c r="X105" s="24">
        <f t="shared" si="192"/>
        <v>0</v>
      </c>
      <c r="Y105" s="24">
        <f t="shared" si="193"/>
        <v>0</v>
      </c>
      <c r="Z105" s="96" t="s">
        <v>246</v>
      </c>
      <c r="AA105" s="101">
        <f t="shared" ref="AA105" si="234">+IF(AA104&lt;=0,0,IF(AND(AA104&gt;AB104,AB104&lt;=0),IF(AA104+AB104&gt;0,AA104+AB104,0),IF(AND(AA104&gt;0,AB104&gt;0),AA104,0)))</f>
        <v>0</v>
      </c>
      <c r="AB105" s="102">
        <f t="shared" ref="AB105" si="235">+IF(AB104&lt;=0,0,IF(AND(AB104&gt;AA104,AA104&lt;=0),IF(AB104+AA104&gt;0,AB104+AA104,0),IF(AND(AB104&gt;0,AA104&gt;0),AB104,0)))</f>
        <v>0</v>
      </c>
      <c r="AC105" s="97" t="s">
        <v>125</v>
      </c>
      <c r="AD105" s="103">
        <f t="shared" ref="AD105" si="236">+AA105/$X$5</f>
        <v>0</v>
      </c>
      <c r="AE105" s="104">
        <f t="shared" ref="AE105" si="237">+AB105/$Y$5</f>
        <v>0</v>
      </c>
    </row>
    <row r="106" spans="8:31" ht="15.75" thickBot="1">
      <c r="H106" t="str">
        <f t="shared" si="184"/>
        <v>SEPTIEMBRESem4040HELIO ANGEL GABRIEL GUZMAN RIVERA</v>
      </c>
      <c r="I106" s="14" t="str">
        <f>+_xlfn.XLOOKUP(K106,DetalleCalculos!W:W,DetalleCalculos!S:S,"",0,1)</f>
        <v>SEPTIEMBRE</v>
      </c>
      <c r="J106" s="72" t="str">
        <f t="shared" si="185"/>
        <v>Sem40</v>
      </c>
      <c r="K106" s="72">
        <f t="shared" ref="K106" si="238">+$H$19</f>
        <v>40</v>
      </c>
      <c r="L106" s="72">
        <f>+IF(_xlfn.XLOOKUP(K106,DetalleCalculos!W:W,DetalleCalculos!U:U,0,0,1)=7,1,2)</f>
        <v>1</v>
      </c>
      <c r="M106" s="79" t="str" cm="1">
        <f t="array" ref="M106">+INDEX($B$23:$B$89,ROUNDUP((ROW()-22)/3,0))</f>
        <v>HELIO ANGEL GABRIEL GUZMAN RIVERA</v>
      </c>
      <c r="N106" s="76">
        <f>SUMIFS(DetalleCalculos!$N:$N,DetalleCalculos!$W:$W,$K106,DetalleCalculos!$H:$H,$M106)*24</f>
        <v>0</v>
      </c>
      <c r="O106" s="80">
        <f>SUMIFS(DetalleCalculos!$P:$P,DetalleCalculos!$W:$W,$K106,DetalleCalculos!$H:$H,$M106)</f>
        <v>0</v>
      </c>
      <c r="P106" s="80">
        <f>SUMIFS(DetalleCalculos!$Q:$Q,DetalleCalculos!$W:$W,$K106,DetalleCalculos!$H:$H,$M106)</f>
        <v>0</v>
      </c>
      <c r="Q106" s="24">
        <f t="shared" si="187"/>
        <v>0</v>
      </c>
      <c r="R106" s="24">
        <f t="shared" si="188"/>
        <v>0</v>
      </c>
      <c r="S106" s="80" t="str">
        <f>_xlfn.XLOOKUP($J106&amp;$K106&amp;$M106,DetalleCalculos!$B:$B,DetalleCalculos!$O:$O,"",0,1)</f>
        <v/>
      </c>
      <c r="T106" s="29">
        <f>+_xlfn.XLOOKUP($S106,'Horarios y Sistemas'!$C:$C,'Horarios y Sistemas'!M:M,0,0,1)</f>
        <v>0</v>
      </c>
      <c r="U106" s="29">
        <f t="shared" si="189"/>
        <v>1</v>
      </c>
      <c r="V106" s="30">
        <f t="shared" si="190"/>
        <v>0</v>
      </c>
      <c r="W106" s="30">
        <f t="shared" si="191"/>
        <v>0</v>
      </c>
      <c r="X106" s="24">
        <f t="shared" si="192"/>
        <v>0</v>
      </c>
      <c r="Y106" s="24">
        <f t="shared" si="193"/>
        <v>0</v>
      </c>
      <c r="Z106" s="95"/>
      <c r="AA106" s="99"/>
      <c r="AB106" s="100"/>
    </row>
    <row r="107" spans="8:31">
      <c r="H107" t="str">
        <f t="shared" si="184"/>
        <v>SEPTIEMBRESem3838HERNÁNDEZ POCÓN ERVIN ALFONSO</v>
      </c>
      <c r="I107" s="14" t="str">
        <f>+_xlfn.XLOOKUP(K107,DetalleCalculos!W:W,DetalleCalculos!S:S,"",0,1)</f>
        <v>SEPTIEMBRE</v>
      </c>
      <c r="J107" s="72" t="str">
        <f t="shared" si="185"/>
        <v>Sem38</v>
      </c>
      <c r="K107" s="72">
        <f t="shared" ref="K107" si="239">+$H$17</f>
        <v>38</v>
      </c>
      <c r="L107" s="72">
        <f>+IF(_xlfn.XLOOKUP(K107,DetalleCalculos!W:W,DetalleCalculos!U:U,0,0,1)=7,1,2)</f>
        <v>1</v>
      </c>
      <c r="M107" s="79" t="str" cm="1">
        <f t="array" ref="M107">+INDEX($B$23:$B$89,ROUNDUP((ROW()-22)/3,0))</f>
        <v>HERNÁNDEZ POCÓN ERVIN ALFONSO</v>
      </c>
      <c r="N107" s="76">
        <f>SUMIFS(DetalleCalculos!$N:$N,DetalleCalculos!$W:$W,$K107,DetalleCalculos!$H:$H,$M107)*24</f>
        <v>49.000000000000014</v>
      </c>
      <c r="O107" s="80">
        <f>SUMIFS(DetalleCalculos!$P:$P,DetalleCalculos!$W:$W,$K107,DetalleCalculos!$H:$H,$M107)</f>
        <v>44</v>
      </c>
      <c r="P107" s="80">
        <f>SUMIFS(DetalleCalculos!$Q:$Q,DetalleCalculos!$W:$W,$K107,DetalleCalculos!$H:$H,$M107)</f>
        <v>0</v>
      </c>
      <c r="Q107" s="80">
        <f t="shared" si="187"/>
        <v>44</v>
      </c>
      <c r="R107" s="80">
        <f t="shared" si="188"/>
        <v>5.0000000000000142</v>
      </c>
      <c r="S107" s="80" t="str">
        <f>_xlfn.XLOOKUP($J107&amp;$K107&amp;$M107,DetalleCalculos!$B:$B,DetalleCalculos!$O:$O,"",0,1)</f>
        <v>5-0-2</v>
      </c>
      <c r="T107" s="81">
        <f>+_xlfn.XLOOKUP($S107,'Horarios y Sistemas'!$C:$C,'Horarios y Sistemas'!M:M,0,0,1)</f>
        <v>1</v>
      </c>
      <c r="U107" s="81">
        <f t="shared" si="189"/>
        <v>0</v>
      </c>
      <c r="V107" s="82">
        <f t="shared" si="190"/>
        <v>5.0000000000000142</v>
      </c>
      <c r="W107" s="82">
        <f t="shared" si="191"/>
        <v>0</v>
      </c>
      <c r="X107" s="80">
        <f t="shared" si="192"/>
        <v>7.5000000000000213</v>
      </c>
      <c r="Y107" s="80">
        <f t="shared" si="193"/>
        <v>0</v>
      </c>
      <c r="Z107" s="95" t="s">
        <v>245</v>
      </c>
      <c r="AA107" s="99">
        <f t="shared" ref="AA107:AB107" si="240">+SUM(X107:X109)</f>
        <v>37.875000000000064</v>
      </c>
      <c r="AB107" s="100">
        <f t="shared" si="240"/>
        <v>30.375000000000043</v>
      </c>
    </row>
    <row r="108" spans="8:31" ht="15.75" thickBot="1">
      <c r="H108" t="str">
        <f t="shared" si="184"/>
        <v>SEPTIEMBRESem3939HERNÁNDEZ POCÓN ERVIN ALFONSO</v>
      </c>
      <c r="I108" s="14" t="str">
        <f>+_xlfn.XLOOKUP(K108,DetalleCalculos!W:W,DetalleCalculos!S:S,"",0,1)</f>
        <v>SEPTIEMBRE</v>
      </c>
      <c r="J108" s="72" t="str">
        <f t="shared" si="185"/>
        <v>Sem39</v>
      </c>
      <c r="K108" s="72">
        <f t="shared" ref="K108" si="241">+$H$18</f>
        <v>39</v>
      </c>
      <c r="L108" s="72">
        <f>+IF(_xlfn.XLOOKUP(K108,DetalleCalculos!W:W,DetalleCalculos!U:U,0,0,1)=7,1,2)</f>
        <v>1</v>
      </c>
      <c r="M108" s="79" t="str" cm="1">
        <f t="array" ref="M108">+INDEX($B$23:$B$89,ROUNDUP((ROW()-22)/3,0))</f>
        <v>HERNÁNDEZ POCÓN ERVIN ALFONSO</v>
      </c>
      <c r="N108" s="76">
        <f>SUMIFS(DetalleCalculos!$N:$N,DetalleCalculos!$W:$W,$K108,DetalleCalculos!$H:$H,$M108)*24</f>
        <v>56.250000000000028</v>
      </c>
      <c r="O108" s="80">
        <f>SUMIFS(DetalleCalculos!$P:$P,DetalleCalculos!$W:$W,$K108,DetalleCalculos!$H:$H,$M108)</f>
        <v>36</v>
      </c>
      <c r="P108" s="80">
        <f>SUMIFS(DetalleCalculos!$Q:$Q,DetalleCalculos!$W:$W,$K108,DetalleCalculos!$H:$H,$M108)</f>
        <v>0</v>
      </c>
      <c r="Q108" s="24">
        <f t="shared" si="187"/>
        <v>36</v>
      </c>
      <c r="R108" s="24">
        <f t="shared" si="188"/>
        <v>20.250000000000028</v>
      </c>
      <c r="S108" s="80" t="str">
        <f>_xlfn.XLOOKUP($J108&amp;$K108&amp;$M108,DetalleCalculos!$B:$B,DetalleCalculos!$O:$O,"",0,1)</f>
        <v>0-5-2</v>
      </c>
      <c r="T108" s="29">
        <f>+_xlfn.XLOOKUP($S108,'Horarios y Sistemas'!$C:$C,'Horarios y Sistemas'!M:M,0,0,1)</f>
        <v>0</v>
      </c>
      <c r="U108" s="29">
        <f t="shared" si="189"/>
        <v>1</v>
      </c>
      <c r="V108" s="30">
        <f t="shared" si="190"/>
        <v>0</v>
      </c>
      <c r="W108" s="30">
        <f t="shared" si="191"/>
        <v>20.250000000000028</v>
      </c>
      <c r="X108" s="24">
        <f t="shared" si="192"/>
        <v>0</v>
      </c>
      <c r="Y108" s="24">
        <f t="shared" si="193"/>
        <v>30.375000000000043</v>
      </c>
      <c r="Z108" s="96" t="s">
        <v>246</v>
      </c>
      <c r="AA108" s="101">
        <f t="shared" ref="AA108" si="242">+IF(AA107&lt;=0,0,IF(AND(AA107&gt;AB107,AB107&lt;=0),IF(AA107+AB107&gt;0,AA107+AB107,0),IF(AND(AA107&gt;0,AB107&gt;0),AA107,0)))</f>
        <v>37.875000000000064</v>
      </c>
      <c r="AB108" s="102">
        <f t="shared" ref="AB108" si="243">+IF(AB107&lt;=0,0,IF(AND(AB107&gt;AA107,AA107&lt;=0),IF(AB107+AA107&gt;0,AB107+AA107,0),IF(AND(AB107&gt;0,AA107&gt;0),AB107,0)))</f>
        <v>30.375000000000043</v>
      </c>
      <c r="AC108" s="97" t="s">
        <v>125</v>
      </c>
      <c r="AD108" s="103">
        <f t="shared" ref="AD108" si="244">+AA108/$X$5</f>
        <v>25.250000000000043</v>
      </c>
      <c r="AE108" s="104">
        <f t="shared" ref="AE108" si="245">+AB108/$Y$5</f>
        <v>20.250000000000028</v>
      </c>
    </row>
    <row r="109" spans="8:31" ht="15.75" thickBot="1">
      <c r="H109" t="str">
        <f t="shared" si="184"/>
        <v>SEPTIEMBRESem4040HERNÁNDEZ POCÓN ERVIN ALFONSO</v>
      </c>
      <c r="I109" s="14" t="str">
        <f>+_xlfn.XLOOKUP(K109,DetalleCalculos!W:W,DetalleCalculos!S:S,"",0,1)</f>
        <v>SEPTIEMBRE</v>
      </c>
      <c r="J109" s="72" t="str">
        <f t="shared" si="185"/>
        <v>Sem40</v>
      </c>
      <c r="K109" s="72">
        <f t="shared" ref="K109" si="246">+$H$19</f>
        <v>40</v>
      </c>
      <c r="L109" s="72">
        <f>+IF(_xlfn.XLOOKUP(K109,DetalleCalculos!W:W,DetalleCalculos!U:U,0,0,1)=7,1,2)</f>
        <v>1</v>
      </c>
      <c r="M109" s="79" t="str" cm="1">
        <f t="array" ref="M109">+INDEX($B$23:$B$89,ROUNDUP((ROW()-22)/3,0))</f>
        <v>HERNÁNDEZ POCÓN ERVIN ALFONSO</v>
      </c>
      <c r="N109" s="76">
        <f>SUMIFS(DetalleCalculos!$N:$N,DetalleCalculos!$W:$W,$K109,DetalleCalculos!$H:$H,$M109)*24</f>
        <v>64.250000000000028</v>
      </c>
      <c r="O109" s="80">
        <f>SUMIFS(DetalleCalculos!$P:$P,DetalleCalculos!$W:$W,$K109,DetalleCalculos!$H:$H,$M109)</f>
        <v>44</v>
      </c>
      <c r="P109" s="80">
        <f>SUMIFS(DetalleCalculos!$Q:$Q,DetalleCalculos!$W:$W,$K109,DetalleCalculos!$H:$H,$M109)</f>
        <v>0</v>
      </c>
      <c r="Q109" s="24">
        <f t="shared" si="187"/>
        <v>44</v>
      </c>
      <c r="R109" s="24">
        <f t="shared" si="188"/>
        <v>20.250000000000028</v>
      </c>
      <c r="S109" s="80" t="str">
        <f>_xlfn.XLOOKUP($J109&amp;$K109&amp;$M109,DetalleCalculos!$B:$B,DetalleCalculos!$O:$O,"",0,1)</f>
        <v>6-0-1</v>
      </c>
      <c r="T109" s="29">
        <f>+_xlfn.XLOOKUP($S109,'Horarios y Sistemas'!$C:$C,'Horarios y Sistemas'!M:M,0,0,1)</f>
        <v>1</v>
      </c>
      <c r="U109" s="29">
        <f t="shared" si="189"/>
        <v>0</v>
      </c>
      <c r="V109" s="30">
        <f t="shared" si="190"/>
        <v>20.250000000000028</v>
      </c>
      <c r="W109" s="30">
        <f t="shared" si="191"/>
        <v>0</v>
      </c>
      <c r="X109" s="24">
        <f t="shared" si="192"/>
        <v>30.375000000000043</v>
      </c>
      <c r="Y109" s="24">
        <f t="shared" si="193"/>
        <v>0</v>
      </c>
      <c r="Z109" s="95"/>
      <c r="AA109" s="99"/>
      <c r="AB109" s="100"/>
    </row>
    <row r="110" spans="8:31">
      <c r="H110" t="str">
        <f t="shared" si="184"/>
        <v>SEPTIEMBRESem3838HOSLIN HELYEL MAYORGA LOPEZ</v>
      </c>
      <c r="I110" s="14" t="str">
        <f>+_xlfn.XLOOKUP(K110,DetalleCalculos!W:W,DetalleCalculos!S:S,"",0,1)</f>
        <v>SEPTIEMBRE</v>
      </c>
      <c r="J110" s="72" t="str">
        <f t="shared" si="185"/>
        <v>Sem38</v>
      </c>
      <c r="K110" s="72">
        <f t="shared" ref="K110" si="247">+$H$17</f>
        <v>38</v>
      </c>
      <c r="L110" s="72">
        <f>+IF(_xlfn.XLOOKUP(K110,DetalleCalculos!W:W,DetalleCalculos!U:U,0,0,1)=7,1,2)</f>
        <v>1</v>
      </c>
      <c r="M110" s="79" t="str" cm="1">
        <f t="array" ref="M110">+INDEX($B$23:$B$89,ROUNDUP((ROW()-22)/3,0))</f>
        <v>HOSLIN HELYEL MAYORGA LOPEZ</v>
      </c>
      <c r="N110" s="76">
        <f>SUMIFS(DetalleCalculos!$N:$N,DetalleCalculos!$W:$W,$K110,DetalleCalculos!$H:$H,$M110)*24</f>
        <v>8</v>
      </c>
      <c r="O110" s="80">
        <f>SUMIFS(DetalleCalculos!$P:$P,DetalleCalculos!$W:$W,$K110,DetalleCalculos!$H:$H,$M110)</f>
        <v>44</v>
      </c>
      <c r="P110" s="80">
        <f>SUMIFS(DetalleCalculos!$Q:$Q,DetalleCalculos!$W:$W,$K110,DetalleCalculos!$H:$H,$M110)</f>
        <v>0</v>
      </c>
      <c r="Q110" s="80">
        <f t="shared" si="187"/>
        <v>44</v>
      </c>
      <c r="R110" s="80">
        <f t="shared" si="188"/>
        <v>0</v>
      </c>
      <c r="S110" s="80" t="str">
        <f>_xlfn.XLOOKUP($J110&amp;$K110&amp;$M110,DetalleCalculos!$B:$B,DetalleCalculos!$O:$O,"",0,1)</f>
        <v>1-0-6</v>
      </c>
      <c r="T110" s="81">
        <f>+_xlfn.XLOOKUP($S110,'Horarios y Sistemas'!$C:$C,'Horarios y Sistemas'!M:M,0,0,1)</f>
        <v>1</v>
      </c>
      <c r="U110" s="81">
        <f t="shared" si="189"/>
        <v>0</v>
      </c>
      <c r="V110" s="82">
        <f t="shared" si="190"/>
        <v>0</v>
      </c>
      <c r="W110" s="82">
        <f t="shared" si="191"/>
        <v>0</v>
      </c>
      <c r="X110" s="80">
        <f t="shared" si="192"/>
        <v>0</v>
      </c>
      <c r="Y110" s="80">
        <f t="shared" si="193"/>
        <v>0</v>
      </c>
      <c r="Z110" s="95" t="s">
        <v>245</v>
      </c>
      <c r="AA110" s="99">
        <f t="shared" ref="AA110:AB110" si="248">+SUM(X110:X112)</f>
        <v>0</v>
      </c>
      <c r="AB110" s="100">
        <f t="shared" si="248"/>
        <v>0</v>
      </c>
    </row>
    <row r="111" spans="8:31" ht="15.75" thickBot="1">
      <c r="H111" t="str">
        <f t="shared" si="184"/>
        <v>SEPTIEMBRESem3939HOSLIN HELYEL MAYORGA LOPEZ</v>
      </c>
      <c r="I111" s="14" t="str">
        <f>+_xlfn.XLOOKUP(K111,DetalleCalculos!W:W,DetalleCalculos!S:S,"",0,1)</f>
        <v>SEPTIEMBRE</v>
      </c>
      <c r="J111" s="72" t="str">
        <f t="shared" si="185"/>
        <v>Sem39</v>
      </c>
      <c r="K111" s="72">
        <f t="shared" ref="K111" si="249">+$H$18</f>
        <v>39</v>
      </c>
      <c r="L111" s="72">
        <f>+IF(_xlfn.XLOOKUP(K111,DetalleCalculos!W:W,DetalleCalculos!U:U,0,0,1)=7,1,2)</f>
        <v>1</v>
      </c>
      <c r="M111" s="79" t="str" cm="1">
        <f t="array" ref="M111">+INDEX($B$23:$B$89,ROUNDUP((ROW()-22)/3,0))</f>
        <v>HOSLIN HELYEL MAYORGA LOPEZ</v>
      </c>
      <c r="N111" s="76">
        <f>SUMIFS(DetalleCalculos!$N:$N,DetalleCalculos!$W:$W,$K111,DetalleCalculos!$H:$H,$M111)*24</f>
        <v>0</v>
      </c>
      <c r="O111" s="80">
        <f>SUMIFS(DetalleCalculos!$P:$P,DetalleCalculos!$W:$W,$K111,DetalleCalculos!$H:$H,$M111)</f>
        <v>0</v>
      </c>
      <c r="P111" s="80">
        <f>SUMIFS(DetalleCalculos!$Q:$Q,DetalleCalculos!$W:$W,$K111,DetalleCalculos!$H:$H,$M111)</f>
        <v>0</v>
      </c>
      <c r="Q111" s="24">
        <f t="shared" si="187"/>
        <v>0</v>
      </c>
      <c r="R111" s="24">
        <f t="shared" si="188"/>
        <v>0</v>
      </c>
      <c r="S111" s="80" t="str">
        <f>_xlfn.XLOOKUP($J111&amp;$K111&amp;$M111,DetalleCalculos!$B:$B,DetalleCalculos!$O:$O,"",0,1)</f>
        <v>0-0-7</v>
      </c>
      <c r="T111" s="29">
        <f>+_xlfn.XLOOKUP($S111,'Horarios y Sistemas'!$C:$C,'Horarios y Sistemas'!M:M,0,0,1)</f>
        <v>0</v>
      </c>
      <c r="U111" s="29">
        <f t="shared" si="189"/>
        <v>1</v>
      </c>
      <c r="V111" s="30">
        <f t="shared" si="190"/>
        <v>0</v>
      </c>
      <c r="W111" s="30">
        <f t="shared" si="191"/>
        <v>0</v>
      </c>
      <c r="X111" s="24">
        <f t="shared" si="192"/>
        <v>0</v>
      </c>
      <c r="Y111" s="24">
        <f t="shared" si="193"/>
        <v>0</v>
      </c>
      <c r="Z111" s="96" t="s">
        <v>246</v>
      </c>
      <c r="AA111" s="101">
        <f t="shared" ref="AA111" si="250">+IF(AA110&lt;=0,0,IF(AND(AA110&gt;AB110,AB110&lt;=0),IF(AA110+AB110&gt;0,AA110+AB110,0),IF(AND(AA110&gt;0,AB110&gt;0),AA110,0)))</f>
        <v>0</v>
      </c>
      <c r="AB111" s="102">
        <f t="shared" ref="AB111" si="251">+IF(AB110&lt;=0,0,IF(AND(AB110&gt;AA110,AA110&lt;=0),IF(AB110+AA110&gt;0,AB110+AA110,0),IF(AND(AB110&gt;0,AA110&gt;0),AB110,0)))</f>
        <v>0</v>
      </c>
      <c r="AC111" s="97" t="s">
        <v>125</v>
      </c>
      <c r="AD111" s="103">
        <f t="shared" ref="AD111" si="252">+AA111/$X$5</f>
        <v>0</v>
      </c>
      <c r="AE111" s="104">
        <f t="shared" ref="AE111" si="253">+AB111/$Y$5</f>
        <v>0</v>
      </c>
    </row>
    <row r="112" spans="8:31" ht="15.75" thickBot="1">
      <c r="H112" t="str">
        <f t="shared" si="184"/>
        <v>SEPTIEMBRESem4040HOSLIN HELYEL MAYORGA LOPEZ</v>
      </c>
      <c r="I112" s="14" t="str">
        <f>+_xlfn.XLOOKUP(K112,DetalleCalculos!W:W,DetalleCalculos!S:S,"",0,1)</f>
        <v>SEPTIEMBRE</v>
      </c>
      <c r="J112" s="72" t="str">
        <f t="shared" si="185"/>
        <v>Sem40</v>
      </c>
      <c r="K112" s="72">
        <f t="shared" ref="K112" si="254">+$H$19</f>
        <v>40</v>
      </c>
      <c r="L112" s="72">
        <f>+IF(_xlfn.XLOOKUP(K112,DetalleCalculos!W:W,DetalleCalculos!U:U,0,0,1)=7,1,2)</f>
        <v>1</v>
      </c>
      <c r="M112" s="79" t="str" cm="1">
        <f t="array" ref="M112">+INDEX($B$23:$B$89,ROUNDUP((ROW()-22)/3,0))</f>
        <v>HOSLIN HELYEL MAYORGA LOPEZ</v>
      </c>
      <c r="N112" s="76">
        <f>SUMIFS(DetalleCalculos!$N:$N,DetalleCalculos!$W:$W,$K112,DetalleCalculos!$H:$H,$M112)*24</f>
        <v>0</v>
      </c>
      <c r="O112" s="80">
        <f>SUMIFS(DetalleCalculos!$P:$P,DetalleCalculos!$W:$W,$K112,DetalleCalculos!$H:$H,$M112)</f>
        <v>0</v>
      </c>
      <c r="P112" s="80">
        <f>SUMIFS(DetalleCalculos!$Q:$Q,DetalleCalculos!$W:$W,$K112,DetalleCalculos!$H:$H,$M112)</f>
        <v>0</v>
      </c>
      <c r="Q112" s="24">
        <f t="shared" si="187"/>
        <v>0</v>
      </c>
      <c r="R112" s="24">
        <f t="shared" si="188"/>
        <v>0</v>
      </c>
      <c r="S112" s="80" t="str">
        <f>_xlfn.XLOOKUP($J112&amp;$K112&amp;$M112,DetalleCalculos!$B:$B,DetalleCalculos!$O:$O,"",0,1)</f>
        <v>0-0-7</v>
      </c>
      <c r="T112" s="29">
        <f>+_xlfn.XLOOKUP($S112,'Horarios y Sistemas'!$C:$C,'Horarios y Sistemas'!M:M,0,0,1)</f>
        <v>0</v>
      </c>
      <c r="U112" s="29">
        <f t="shared" si="189"/>
        <v>1</v>
      </c>
      <c r="V112" s="30">
        <f t="shared" si="190"/>
        <v>0</v>
      </c>
      <c r="W112" s="30">
        <f t="shared" si="191"/>
        <v>0</v>
      </c>
      <c r="X112" s="24">
        <f t="shared" si="192"/>
        <v>0</v>
      </c>
      <c r="Y112" s="24">
        <f t="shared" si="193"/>
        <v>0</v>
      </c>
      <c r="Z112" s="95"/>
      <c r="AA112" s="99"/>
      <c r="AB112" s="100"/>
    </row>
    <row r="113" spans="8:31">
      <c r="H113" t="str">
        <f t="shared" si="184"/>
        <v>SEPTIEMBRESem3838JARDIN NATANAHEL GARCIA CHAPEN</v>
      </c>
      <c r="I113" s="14" t="str">
        <f>+_xlfn.XLOOKUP(K113,DetalleCalculos!W:W,DetalleCalculos!S:S,"",0,1)</f>
        <v>SEPTIEMBRE</v>
      </c>
      <c r="J113" s="72" t="str">
        <f t="shared" si="185"/>
        <v>Sem38</v>
      </c>
      <c r="K113" s="72">
        <f t="shared" ref="K113" si="255">+$H$17</f>
        <v>38</v>
      </c>
      <c r="L113" s="72">
        <f>+IF(_xlfn.XLOOKUP(K113,DetalleCalculos!W:W,DetalleCalculos!U:U,0,0,1)=7,1,2)</f>
        <v>1</v>
      </c>
      <c r="M113" s="79" t="str" cm="1">
        <f t="array" ref="M113">+INDEX($B$23:$B$89,ROUNDUP((ROW()-22)/3,0))</f>
        <v>JARDIN NATANAHEL GARCIA CHAPEN</v>
      </c>
      <c r="N113" s="76">
        <f>SUMIFS(DetalleCalculos!$N:$N,DetalleCalculos!$W:$W,$K113,DetalleCalculos!$H:$H,$M113)*24</f>
        <v>35.999999999999986</v>
      </c>
      <c r="O113" s="80">
        <f>SUMIFS(DetalleCalculos!$P:$P,DetalleCalculos!$W:$W,$K113,DetalleCalculos!$H:$H,$M113)</f>
        <v>44</v>
      </c>
      <c r="P113" s="80">
        <f>SUMIFS(DetalleCalculos!$Q:$Q,DetalleCalculos!$W:$W,$K113,DetalleCalculos!$H:$H,$M113)</f>
        <v>0</v>
      </c>
      <c r="Q113" s="80">
        <f t="shared" si="187"/>
        <v>44</v>
      </c>
      <c r="R113" s="80">
        <f t="shared" si="188"/>
        <v>0</v>
      </c>
      <c r="S113" s="80" t="str">
        <f>_xlfn.XLOOKUP($J113&amp;$K113&amp;$M113,DetalleCalculos!$B:$B,DetalleCalculos!$O:$O,"",0,1)</f>
        <v>5-0-2</v>
      </c>
      <c r="T113" s="81">
        <f>+_xlfn.XLOOKUP($S113,'Horarios y Sistemas'!$C:$C,'Horarios y Sistemas'!M:M,0,0,1)</f>
        <v>1</v>
      </c>
      <c r="U113" s="81">
        <f t="shared" si="189"/>
        <v>0</v>
      </c>
      <c r="V113" s="82">
        <f t="shared" si="190"/>
        <v>0</v>
      </c>
      <c r="W113" s="82">
        <f t="shared" si="191"/>
        <v>0</v>
      </c>
      <c r="X113" s="80">
        <f t="shared" si="192"/>
        <v>0</v>
      </c>
      <c r="Y113" s="80">
        <f t="shared" si="193"/>
        <v>0</v>
      </c>
      <c r="Z113" s="95" t="s">
        <v>245</v>
      </c>
      <c r="AA113" s="99">
        <f t="shared" ref="AA113:AB113" si="256">+SUM(X113:X115)</f>
        <v>1.9199999999999826</v>
      </c>
      <c r="AB113" s="100">
        <f t="shared" si="256"/>
        <v>7.6799999999999304</v>
      </c>
    </row>
    <row r="114" spans="8:31" ht="15.75" thickBot="1">
      <c r="H114" t="str">
        <f t="shared" si="184"/>
        <v>SEPTIEMBRESem3939JARDIN NATANAHEL GARCIA CHAPEN</v>
      </c>
      <c r="I114" s="14" t="str">
        <f>+_xlfn.XLOOKUP(K114,DetalleCalculos!W:W,DetalleCalculos!S:S,"",0,1)</f>
        <v>SEPTIEMBRE</v>
      </c>
      <c r="J114" s="72" t="str">
        <f t="shared" si="185"/>
        <v>Sem39</v>
      </c>
      <c r="K114" s="72">
        <f t="shared" ref="K114" si="257">+$H$18</f>
        <v>39</v>
      </c>
      <c r="L114" s="72">
        <f>+IF(_xlfn.XLOOKUP(K114,DetalleCalculos!W:W,DetalleCalculos!U:U,0,0,1)=7,1,2)</f>
        <v>1</v>
      </c>
      <c r="M114" s="79" t="str" cm="1">
        <f t="array" ref="M114">+INDEX($B$23:$B$89,ROUNDUP((ROW()-22)/3,0))</f>
        <v>JARDIN NATANAHEL GARCIA CHAPEN</v>
      </c>
      <c r="N114" s="76">
        <f>SUMIFS(DetalleCalculos!$N:$N,DetalleCalculos!$W:$W,$K114,DetalleCalculos!$H:$H,$M114)*24</f>
        <v>43.999999999999986</v>
      </c>
      <c r="O114" s="80">
        <f>SUMIFS(DetalleCalculos!$P:$P,DetalleCalculos!$W:$W,$K114,DetalleCalculos!$H:$H,$M114)</f>
        <v>44</v>
      </c>
      <c r="P114" s="80">
        <f>SUMIFS(DetalleCalculos!$Q:$Q,DetalleCalculos!$W:$W,$K114,DetalleCalculos!$H:$H,$M114)</f>
        <v>0</v>
      </c>
      <c r="Q114" s="24">
        <f t="shared" si="187"/>
        <v>44</v>
      </c>
      <c r="R114" s="24">
        <f t="shared" si="188"/>
        <v>0</v>
      </c>
      <c r="S114" s="80" t="str">
        <f>_xlfn.XLOOKUP($J114&amp;$K114&amp;$M114,DetalleCalculos!$B:$B,DetalleCalculos!$O:$O,"",0,1)</f>
        <v>6-0-1</v>
      </c>
      <c r="T114" s="29">
        <f>+_xlfn.XLOOKUP($S114,'Horarios y Sistemas'!$C:$C,'Horarios y Sistemas'!M:M,0,0,1)</f>
        <v>1</v>
      </c>
      <c r="U114" s="29">
        <f t="shared" si="189"/>
        <v>0</v>
      </c>
      <c r="V114" s="30">
        <f t="shared" si="190"/>
        <v>0</v>
      </c>
      <c r="W114" s="30">
        <f t="shared" si="191"/>
        <v>0</v>
      </c>
      <c r="X114" s="24">
        <f t="shared" si="192"/>
        <v>0</v>
      </c>
      <c r="Y114" s="24">
        <f t="shared" si="193"/>
        <v>0</v>
      </c>
      <c r="Z114" s="96" t="s">
        <v>246</v>
      </c>
      <c r="AA114" s="101">
        <f t="shared" ref="AA114" si="258">+IF(AA113&lt;=0,0,IF(AND(AA113&gt;AB113,AB113&lt;=0),IF(AA113+AB113&gt;0,AA113+AB113,0),IF(AND(AA113&gt;0,AB113&gt;0),AA113,0)))</f>
        <v>1.9199999999999826</v>
      </c>
      <c r="AB114" s="102">
        <f t="shared" ref="AB114" si="259">+IF(AB113&lt;=0,0,IF(AND(AB113&gt;AA113,AA113&lt;=0),IF(AB113+AA113&gt;0,AB113+AA113,0),IF(AND(AB113&gt;0,AA113&gt;0),AB113,0)))</f>
        <v>7.6799999999999304</v>
      </c>
      <c r="AC114" s="97" t="s">
        <v>125</v>
      </c>
      <c r="AD114" s="103">
        <f t="shared" ref="AD114" si="260">+AA114/$X$5</f>
        <v>1.2799999999999885</v>
      </c>
      <c r="AE114" s="104">
        <f t="shared" ref="AE114" si="261">+AB114/$Y$5</f>
        <v>5.1199999999999539</v>
      </c>
    </row>
    <row r="115" spans="8:31" ht="15.75" thickBot="1">
      <c r="H115" t="str">
        <f t="shared" si="184"/>
        <v>SEPTIEMBRESem4040JARDIN NATANAHEL GARCIA CHAPEN</v>
      </c>
      <c r="I115" s="14" t="str">
        <f>+_xlfn.XLOOKUP(K115,DetalleCalculos!W:W,DetalleCalculos!S:S,"",0,1)</f>
        <v>SEPTIEMBRE</v>
      </c>
      <c r="J115" s="72" t="str">
        <f t="shared" si="185"/>
        <v>Sem40</v>
      </c>
      <c r="K115" s="72">
        <f t="shared" ref="K115" si="262">+$H$19</f>
        <v>40</v>
      </c>
      <c r="L115" s="72">
        <f>+IF(_xlfn.XLOOKUP(K115,DetalleCalculos!W:W,DetalleCalculos!U:U,0,0,1)=7,1,2)</f>
        <v>1</v>
      </c>
      <c r="M115" s="79" t="str" cm="1">
        <f t="array" ref="M115">+INDEX($B$23:$B$89,ROUNDUP((ROW()-22)/3,0))</f>
        <v>JARDIN NATANAHEL GARCIA CHAPEN</v>
      </c>
      <c r="N115" s="76">
        <f>SUMIFS(DetalleCalculos!$N:$N,DetalleCalculos!$W:$W,$K115,DetalleCalculos!$H:$H,$M115)*24</f>
        <v>43.999999999999943</v>
      </c>
      <c r="O115" s="80">
        <f>SUMIFS(DetalleCalculos!$P:$P,DetalleCalculos!$W:$W,$K115,DetalleCalculos!$H:$H,$M115)</f>
        <v>37.6</v>
      </c>
      <c r="P115" s="80">
        <f>SUMIFS(DetalleCalculos!$Q:$Q,DetalleCalculos!$W:$W,$K115,DetalleCalculos!$H:$H,$M115)</f>
        <v>0</v>
      </c>
      <c r="Q115" s="24">
        <f t="shared" si="187"/>
        <v>37.6</v>
      </c>
      <c r="R115" s="24">
        <f t="shared" si="188"/>
        <v>6.3999999999999417</v>
      </c>
      <c r="S115" s="80" t="str">
        <f>_xlfn.XLOOKUP($J115&amp;$K115&amp;$M115,DetalleCalculos!$B:$B,DetalleCalculos!$O:$O,"",0,1)</f>
        <v>1-4-2</v>
      </c>
      <c r="T115" s="29">
        <f>+_xlfn.XLOOKUP($S115,'Horarios y Sistemas'!$C:$C,'Horarios y Sistemas'!M:M,0,0,1)</f>
        <v>0.2</v>
      </c>
      <c r="U115" s="29">
        <f t="shared" si="189"/>
        <v>0.8</v>
      </c>
      <c r="V115" s="30">
        <f t="shared" si="190"/>
        <v>1.2799999999999885</v>
      </c>
      <c r="W115" s="30">
        <f t="shared" si="191"/>
        <v>5.1199999999999539</v>
      </c>
      <c r="X115" s="24">
        <f t="shared" si="192"/>
        <v>1.9199999999999826</v>
      </c>
      <c r="Y115" s="24">
        <f t="shared" si="193"/>
        <v>7.6799999999999304</v>
      </c>
      <c r="Z115" s="95"/>
      <c r="AA115" s="99"/>
      <c r="AB115" s="100"/>
    </row>
    <row r="116" spans="8:31">
      <c r="H116" t="str">
        <f t="shared" si="184"/>
        <v>SEPTIEMBRESem3838JEREMY ELIAS JUAREZ GUZMAN</v>
      </c>
      <c r="I116" s="14" t="str">
        <f>+_xlfn.XLOOKUP(K116,DetalleCalculos!W:W,DetalleCalculos!S:S,"",0,1)</f>
        <v>SEPTIEMBRE</v>
      </c>
      <c r="J116" s="72" t="str">
        <f t="shared" si="185"/>
        <v>Sem38</v>
      </c>
      <c r="K116" s="72">
        <f t="shared" ref="K116" si="263">+$H$17</f>
        <v>38</v>
      </c>
      <c r="L116" s="72">
        <f>+IF(_xlfn.XLOOKUP(K116,DetalleCalculos!W:W,DetalleCalculos!U:U,0,0,1)=7,1,2)</f>
        <v>1</v>
      </c>
      <c r="M116" s="79" t="str" cm="1">
        <f t="array" ref="M116">+INDEX($B$23:$B$89,ROUNDUP((ROW()-22)/3,0))</f>
        <v>JEREMY ELIAS JUAREZ GUZMAN</v>
      </c>
      <c r="N116" s="76">
        <f>SUMIFS(DetalleCalculos!$N:$N,DetalleCalculos!$W:$W,$K116,DetalleCalculos!$H:$H,$M116)*24</f>
        <v>47.999999999999986</v>
      </c>
      <c r="O116" s="80">
        <f>SUMIFS(DetalleCalculos!$P:$P,DetalleCalculos!$W:$W,$K116,DetalleCalculos!$H:$H,$M116)</f>
        <v>44</v>
      </c>
      <c r="P116" s="80">
        <f>SUMIFS(DetalleCalculos!$Q:$Q,DetalleCalculos!$W:$W,$K116,DetalleCalculos!$H:$H,$M116)</f>
        <v>0</v>
      </c>
      <c r="Q116" s="80">
        <f t="shared" si="187"/>
        <v>44</v>
      </c>
      <c r="R116" s="80">
        <f t="shared" si="188"/>
        <v>3.9999999999999858</v>
      </c>
      <c r="S116" s="80" t="str">
        <f>_xlfn.XLOOKUP($J116&amp;$K116&amp;$M116,DetalleCalculos!$B:$B,DetalleCalculos!$O:$O,"",0,1)</f>
        <v>5-0-2</v>
      </c>
      <c r="T116" s="81">
        <f>+_xlfn.XLOOKUP($S116,'Horarios y Sistemas'!$C:$C,'Horarios y Sistemas'!M:M,0,0,1)</f>
        <v>1</v>
      </c>
      <c r="U116" s="81">
        <f t="shared" si="189"/>
        <v>0</v>
      </c>
      <c r="V116" s="82">
        <f t="shared" si="190"/>
        <v>3.9999999999999858</v>
      </c>
      <c r="W116" s="82">
        <f t="shared" si="191"/>
        <v>0</v>
      </c>
      <c r="X116" s="80">
        <f t="shared" si="192"/>
        <v>5.9999999999999787</v>
      </c>
      <c r="Y116" s="80">
        <f t="shared" si="193"/>
        <v>0</v>
      </c>
      <c r="Z116" s="95" t="s">
        <v>245</v>
      </c>
      <c r="AA116" s="99">
        <f t="shared" ref="AA116:AB116" si="264">+SUM(X116:X118)</f>
        <v>32.999999999999972</v>
      </c>
      <c r="AB116" s="100">
        <f t="shared" si="264"/>
        <v>28.5</v>
      </c>
    </row>
    <row r="117" spans="8:31" ht="15.75" thickBot="1">
      <c r="H117" t="str">
        <f t="shared" si="184"/>
        <v>SEPTIEMBRESem3939JEREMY ELIAS JUAREZ GUZMAN</v>
      </c>
      <c r="I117" s="14" t="str">
        <f>+_xlfn.XLOOKUP(K117,DetalleCalculos!W:W,DetalleCalculos!S:S,"",0,1)</f>
        <v>SEPTIEMBRE</v>
      </c>
      <c r="J117" s="72" t="str">
        <f t="shared" si="185"/>
        <v>Sem39</v>
      </c>
      <c r="K117" s="72">
        <f t="shared" ref="K117" si="265">+$H$18</f>
        <v>39</v>
      </c>
      <c r="L117" s="72">
        <f>+IF(_xlfn.XLOOKUP(K117,DetalleCalculos!W:W,DetalleCalculos!U:U,0,0,1)=7,1,2)</f>
        <v>1</v>
      </c>
      <c r="M117" s="79" t="str" cm="1">
        <f t="array" ref="M117">+INDEX($B$23:$B$89,ROUNDUP((ROW()-22)/3,0))</f>
        <v>JEREMY ELIAS JUAREZ GUZMAN</v>
      </c>
      <c r="N117" s="76">
        <f>SUMIFS(DetalleCalculos!$N:$N,DetalleCalculos!$W:$W,$K117,DetalleCalculos!$H:$H,$M117)*24</f>
        <v>55</v>
      </c>
      <c r="O117" s="80">
        <f>SUMIFS(DetalleCalculos!$P:$P,DetalleCalculos!$W:$W,$K117,DetalleCalculos!$H:$H,$M117)</f>
        <v>36</v>
      </c>
      <c r="P117" s="80">
        <f>SUMIFS(DetalleCalculos!$Q:$Q,DetalleCalculos!$W:$W,$K117,DetalleCalculos!$H:$H,$M117)</f>
        <v>0</v>
      </c>
      <c r="Q117" s="24">
        <f t="shared" si="187"/>
        <v>36</v>
      </c>
      <c r="R117" s="24">
        <f t="shared" si="188"/>
        <v>19</v>
      </c>
      <c r="S117" s="80" t="str">
        <f>_xlfn.XLOOKUP($J117&amp;$K117&amp;$M117,DetalleCalculos!$B:$B,DetalleCalculos!$O:$O,"",0,1)</f>
        <v>0-5-2</v>
      </c>
      <c r="T117" s="29">
        <f>+_xlfn.XLOOKUP($S117,'Horarios y Sistemas'!$C:$C,'Horarios y Sistemas'!M:M,0,0,1)</f>
        <v>0</v>
      </c>
      <c r="U117" s="29">
        <f t="shared" si="189"/>
        <v>1</v>
      </c>
      <c r="V117" s="30">
        <f t="shared" si="190"/>
        <v>0</v>
      </c>
      <c r="W117" s="30">
        <f t="shared" si="191"/>
        <v>19</v>
      </c>
      <c r="X117" s="24">
        <f t="shared" si="192"/>
        <v>0</v>
      </c>
      <c r="Y117" s="24">
        <f t="shared" si="193"/>
        <v>28.5</v>
      </c>
      <c r="Z117" s="96" t="s">
        <v>246</v>
      </c>
      <c r="AA117" s="101">
        <f t="shared" ref="AA117" si="266">+IF(AA116&lt;=0,0,IF(AND(AA116&gt;AB116,AB116&lt;=0),IF(AA116+AB116&gt;0,AA116+AB116,0),IF(AND(AA116&gt;0,AB116&gt;0),AA116,0)))</f>
        <v>32.999999999999972</v>
      </c>
      <c r="AB117" s="102">
        <f t="shared" ref="AB117" si="267">+IF(AB116&lt;=0,0,IF(AND(AB116&gt;AA116,AA116&lt;=0),IF(AB116+AA116&gt;0,AB116+AA116,0),IF(AND(AB116&gt;0,AA116&gt;0),AB116,0)))</f>
        <v>28.5</v>
      </c>
      <c r="AC117" s="97" t="s">
        <v>125</v>
      </c>
      <c r="AD117" s="103">
        <f t="shared" ref="AD117" si="268">+AA117/$X$5</f>
        <v>21.999999999999982</v>
      </c>
      <c r="AE117" s="104">
        <f t="shared" ref="AE117" si="269">+AB117/$Y$5</f>
        <v>19</v>
      </c>
    </row>
    <row r="118" spans="8:31" ht="15.75" thickBot="1">
      <c r="H118" t="str">
        <f t="shared" si="184"/>
        <v>SEPTIEMBRESem4040JEREMY ELIAS JUAREZ GUZMAN</v>
      </c>
      <c r="I118" s="14" t="str">
        <f>+_xlfn.XLOOKUP(K118,DetalleCalculos!W:W,DetalleCalculos!S:S,"",0,1)</f>
        <v>SEPTIEMBRE</v>
      </c>
      <c r="J118" s="72" t="str">
        <f t="shared" si="185"/>
        <v>Sem40</v>
      </c>
      <c r="K118" s="72">
        <f t="shared" ref="K118" si="270">+$H$19</f>
        <v>40</v>
      </c>
      <c r="L118" s="72">
        <f>+IF(_xlfn.XLOOKUP(K118,DetalleCalculos!W:W,DetalleCalculos!U:U,0,0,1)=7,1,2)</f>
        <v>1</v>
      </c>
      <c r="M118" s="79" t="str" cm="1">
        <f t="array" ref="M118">+INDEX($B$23:$B$89,ROUNDUP((ROW()-22)/3,0))</f>
        <v>JEREMY ELIAS JUAREZ GUZMAN</v>
      </c>
      <c r="N118" s="76">
        <f>SUMIFS(DetalleCalculos!$N:$N,DetalleCalculos!$W:$W,$K118,DetalleCalculos!$H:$H,$M118)*24</f>
        <v>61.999999999999993</v>
      </c>
      <c r="O118" s="80">
        <f>SUMIFS(DetalleCalculos!$P:$P,DetalleCalculos!$W:$W,$K118,DetalleCalculos!$H:$H,$M118)</f>
        <v>44</v>
      </c>
      <c r="P118" s="80">
        <f>SUMIFS(DetalleCalculos!$Q:$Q,DetalleCalculos!$W:$W,$K118,DetalleCalculos!$H:$H,$M118)</f>
        <v>0</v>
      </c>
      <c r="Q118" s="24">
        <f t="shared" si="187"/>
        <v>44</v>
      </c>
      <c r="R118" s="24">
        <f t="shared" si="188"/>
        <v>17.999999999999993</v>
      </c>
      <c r="S118" s="80" t="str">
        <f>_xlfn.XLOOKUP($J118&amp;$K118&amp;$M118,DetalleCalculos!$B:$B,DetalleCalculos!$O:$O,"",0,1)</f>
        <v>6-0-1</v>
      </c>
      <c r="T118" s="29">
        <f>+_xlfn.XLOOKUP($S118,'Horarios y Sistemas'!$C:$C,'Horarios y Sistemas'!M:M,0,0,1)</f>
        <v>1</v>
      </c>
      <c r="U118" s="29">
        <f t="shared" si="189"/>
        <v>0</v>
      </c>
      <c r="V118" s="30">
        <f t="shared" si="190"/>
        <v>17.999999999999993</v>
      </c>
      <c r="W118" s="30">
        <f t="shared" si="191"/>
        <v>0</v>
      </c>
      <c r="X118" s="24">
        <f t="shared" si="192"/>
        <v>26.999999999999989</v>
      </c>
      <c r="Y118" s="24">
        <f t="shared" si="193"/>
        <v>0</v>
      </c>
      <c r="Z118" s="95"/>
      <c r="AA118" s="99"/>
      <c r="AB118" s="100"/>
    </row>
    <row r="119" spans="8:31">
      <c r="H119" t="str">
        <f t="shared" si="184"/>
        <v>SEPTIEMBRESem3838JOSÈ BRAULIO NAVARRO ARCHILA</v>
      </c>
      <c r="I119" s="14" t="str">
        <f>+_xlfn.XLOOKUP(K119,DetalleCalculos!W:W,DetalleCalculos!S:S,"",0,1)</f>
        <v>SEPTIEMBRE</v>
      </c>
      <c r="J119" s="72" t="str">
        <f t="shared" si="185"/>
        <v>Sem38</v>
      </c>
      <c r="K119" s="72">
        <f t="shared" ref="K119" si="271">+$H$17</f>
        <v>38</v>
      </c>
      <c r="L119" s="72">
        <f>+IF(_xlfn.XLOOKUP(K119,DetalleCalculos!W:W,DetalleCalculos!U:U,0,0,1)=7,1,2)</f>
        <v>1</v>
      </c>
      <c r="M119" s="79" t="str" cm="1">
        <f t="array" ref="M119">+INDEX($B$23:$B$89,ROUNDUP((ROW()-22)/3,0))</f>
        <v>JOSÈ BRAULIO NAVARRO ARCHILA</v>
      </c>
      <c r="N119" s="76">
        <f>SUMIFS(DetalleCalculos!$N:$N,DetalleCalculos!$W:$W,$K119,DetalleCalculos!$H:$H,$M119)*24</f>
        <v>43.999999999999957</v>
      </c>
      <c r="O119" s="80">
        <f>SUMIFS(DetalleCalculos!$P:$P,DetalleCalculos!$W:$W,$K119,DetalleCalculos!$H:$H,$M119)</f>
        <v>44</v>
      </c>
      <c r="P119" s="80">
        <f>SUMIFS(DetalleCalculos!$Q:$Q,DetalleCalculos!$W:$W,$K119,DetalleCalculos!$H:$H,$M119)</f>
        <v>0</v>
      </c>
      <c r="Q119" s="80">
        <f t="shared" si="187"/>
        <v>44</v>
      </c>
      <c r="R119" s="80">
        <f t="shared" si="188"/>
        <v>0</v>
      </c>
      <c r="S119" s="80" t="str">
        <f>_xlfn.XLOOKUP($J119&amp;$K119&amp;$M119,DetalleCalculos!$B:$B,DetalleCalculos!$O:$O,"",0,1)</f>
        <v>5-0-2</v>
      </c>
      <c r="T119" s="81">
        <f>+_xlfn.XLOOKUP($S119,'Horarios y Sistemas'!$C:$C,'Horarios y Sistemas'!M:M,0,0,1)</f>
        <v>1</v>
      </c>
      <c r="U119" s="81">
        <f t="shared" si="189"/>
        <v>0</v>
      </c>
      <c r="V119" s="82">
        <f t="shared" si="190"/>
        <v>0</v>
      </c>
      <c r="W119" s="82">
        <f t="shared" si="191"/>
        <v>0</v>
      </c>
      <c r="X119" s="80">
        <f t="shared" si="192"/>
        <v>0</v>
      </c>
      <c r="Y119" s="80">
        <f t="shared" si="193"/>
        <v>0</v>
      </c>
      <c r="Z119" s="95" t="s">
        <v>245</v>
      </c>
      <c r="AA119" s="99">
        <f t="shared" ref="AA119:AB119" si="272">+SUM(X119:X121)</f>
        <v>0</v>
      </c>
      <c r="AB119" s="100">
        <f t="shared" si="272"/>
        <v>26.999999999999787</v>
      </c>
    </row>
    <row r="120" spans="8:31" ht="15.75" thickBot="1">
      <c r="H120" t="str">
        <f t="shared" si="184"/>
        <v>SEPTIEMBRESem3939JOSÈ BRAULIO NAVARRO ARCHILA</v>
      </c>
      <c r="I120" s="14" t="str">
        <f>+_xlfn.XLOOKUP(K120,DetalleCalculos!W:W,DetalleCalculos!S:S,"",0,1)</f>
        <v>SEPTIEMBRE</v>
      </c>
      <c r="J120" s="72" t="str">
        <f t="shared" si="185"/>
        <v>Sem39</v>
      </c>
      <c r="K120" s="72">
        <f t="shared" ref="K120" si="273">+$H$18</f>
        <v>39</v>
      </c>
      <c r="L120" s="72">
        <f>+IF(_xlfn.XLOOKUP(K120,DetalleCalculos!W:W,DetalleCalculos!U:U,0,0,1)=7,1,2)</f>
        <v>1</v>
      </c>
      <c r="M120" s="79" t="str" cm="1">
        <f t="array" ref="M120">+INDEX($B$23:$B$89,ROUNDUP((ROW()-22)/3,0))</f>
        <v>JOSÈ BRAULIO NAVARRO ARCHILA</v>
      </c>
      <c r="N120" s="76">
        <f>SUMIFS(DetalleCalculos!$N:$N,DetalleCalculos!$W:$W,$K120,DetalleCalculos!$H:$H,$M120)*24</f>
        <v>44.999999999999929</v>
      </c>
      <c r="O120" s="80">
        <f>SUMIFS(DetalleCalculos!$P:$P,DetalleCalculos!$W:$W,$K120,DetalleCalculos!$H:$H,$M120)</f>
        <v>36</v>
      </c>
      <c r="P120" s="80">
        <f>SUMIFS(DetalleCalculos!$Q:$Q,DetalleCalculos!$W:$W,$K120,DetalleCalculos!$H:$H,$M120)</f>
        <v>0</v>
      </c>
      <c r="Q120" s="24">
        <f t="shared" si="187"/>
        <v>36</v>
      </c>
      <c r="R120" s="24">
        <f t="shared" si="188"/>
        <v>8.9999999999999289</v>
      </c>
      <c r="S120" s="80" t="str">
        <f>_xlfn.XLOOKUP($J120&amp;$K120&amp;$M120,DetalleCalculos!$B:$B,DetalleCalculos!$O:$O,"",0,1)</f>
        <v>0-5-2</v>
      </c>
      <c r="T120" s="29">
        <f>+_xlfn.XLOOKUP($S120,'Horarios y Sistemas'!$C:$C,'Horarios y Sistemas'!M:M,0,0,1)</f>
        <v>0</v>
      </c>
      <c r="U120" s="29">
        <f t="shared" si="189"/>
        <v>1</v>
      </c>
      <c r="V120" s="30">
        <f t="shared" si="190"/>
        <v>0</v>
      </c>
      <c r="W120" s="30">
        <f t="shared" si="191"/>
        <v>8.9999999999999289</v>
      </c>
      <c r="X120" s="24">
        <f t="shared" si="192"/>
        <v>0</v>
      </c>
      <c r="Y120" s="24">
        <f t="shared" si="193"/>
        <v>13.499999999999893</v>
      </c>
      <c r="Z120" s="96" t="s">
        <v>246</v>
      </c>
      <c r="AA120" s="101">
        <f t="shared" ref="AA120" si="274">+IF(AA119&lt;=0,0,IF(AND(AA119&gt;AB119,AB119&lt;=0),IF(AA119+AB119&gt;0,AA119+AB119,0),IF(AND(AA119&gt;0,AB119&gt;0),AA119,0)))</f>
        <v>0</v>
      </c>
      <c r="AB120" s="102">
        <f t="shared" ref="AB120" si="275">+IF(AB119&lt;=0,0,IF(AND(AB119&gt;AA119,AA119&lt;=0),IF(AB119+AA119&gt;0,AB119+AA119,0),IF(AND(AB119&gt;0,AA119&gt;0),AB119,0)))</f>
        <v>26.999999999999787</v>
      </c>
      <c r="AC120" s="97" t="s">
        <v>125</v>
      </c>
      <c r="AD120" s="103">
        <f t="shared" ref="AD120" si="276">+AA120/$X$5</f>
        <v>0</v>
      </c>
      <c r="AE120" s="104">
        <f t="shared" ref="AE120" si="277">+AB120/$Y$5</f>
        <v>17.999999999999858</v>
      </c>
    </row>
    <row r="121" spans="8:31" ht="15.75" thickBot="1">
      <c r="H121" t="str">
        <f t="shared" si="184"/>
        <v>SEPTIEMBRESem4040JOSÈ BRAULIO NAVARRO ARCHILA</v>
      </c>
      <c r="I121" s="14" t="str">
        <f>+_xlfn.XLOOKUP(K121,DetalleCalculos!W:W,DetalleCalculos!S:S,"",0,1)</f>
        <v>SEPTIEMBRE</v>
      </c>
      <c r="J121" s="72" t="str">
        <f t="shared" si="185"/>
        <v>Sem40</v>
      </c>
      <c r="K121" s="72">
        <f t="shared" ref="K121" si="278">+$H$19</f>
        <v>40</v>
      </c>
      <c r="L121" s="72">
        <f>+IF(_xlfn.XLOOKUP(K121,DetalleCalculos!W:W,DetalleCalculos!U:U,0,0,1)=7,1,2)</f>
        <v>1</v>
      </c>
      <c r="M121" s="79" t="str" cm="1">
        <f t="array" ref="M121">+INDEX($B$23:$B$89,ROUNDUP((ROW()-22)/3,0))</f>
        <v>JOSÈ BRAULIO NAVARRO ARCHILA</v>
      </c>
      <c r="N121" s="76">
        <f>SUMIFS(DetalleCalculos!$N:$N,DetalleCalculos!$W:$W,$K121,DetalleCalculos!$H:$H,$M121)*24</f>
        <v>44.999999999999929</v>
      </c>
      <c r="O121" s="80">
        <f>SUMIFS(DetalleCalculos!$P:$P,DetalleCalculos!$W:$W,$K121,DetalleCalculos!$H:$H,$M121)</f>
        <v>36</v>
      </c>
      <c r="P121" s="80">
        <f>SUMIFS(DetalleCalculos!$Q:$Q,DetalleCalculos!$W:$W,$K121,DetalleCalculos!$H:$H,$M121)</f>
        <v>0</v>
      </c>
      <c r="Q121" s="24">
        <f t="shared" si="187"/>
        <v>36</v>
      </c>
      <c r="R121" s="24">
        <f t="shared" si="188"/>
        <v>8.9999999999999289</v>
      </c>
      <c r="S121" s="80" t="str">
        <f>_xlfn.XLOOKUP($J121&amp;$K121&amp;$M121,DetalleCalculos!$B:$B,DetalleCalculos!$O:$O,"",0,1)</f>
        <v>0-5-2</v>
      </c>
      <c r="T121" s="29">
        <f>+_xlfn.XLOOKUP($S121,'Horarios y Sistemas'!$C:$C,'Horarios y Sistemas'!M:M,0,0,1)</f>
        <v>0</v>
      </c>
      <c r="U121" s="29">
        <f t="shared" si="189"/>
        <v>1</v>
      </c>
      <c r="V121" s="30">
        <f t="shared" si="190"/>
        <v>0</v>
      </c>
      <c r="W121" s="30">
        <f t="shared" si="191"/>
        <v>8.9999999999999289</v>
      </c>
      <c r="X121" s="24">
        <f t="shared" si="192"/>
        <v>0</v>
      </c>
      <c r="Y121" s="24">
        <f t="shared" si="193"/>
        <v>13.499999999999893</v>
      </c>
      <c r="Z121" s="95"/>
      <c r="AA121" s="99"/>
      <c r="AB121" s="100"/>
    </row>
    <row r="122" spans="8:31">
      <c r="H122" t="str">
        <f t="shared" si="184"/>
        <v>SEPTIEMBRESem3838José Miguel Ronquillo Pineda</v>
      </c>
      <c r="I122" s="14" t="str">
        <f>+_xlfn.XLOOKUP(K122,DetalleCalculos!W:W,DetalleCalculos!S:S,"",0,1)</f>
        <v>SEPTIEMBRE</v>
      </c>
      <c r="J122" s="72" t="str">
        <f t="shared" si="185"/>
        <v>Sem38</v>
      </c>
      <c r="K122" s="72">
        <f t="shared" ref="K122" si="279">+$H$17</f>
        <v>38</v>
      </c>
      <c r="L122" s="72">
        <f>+IF(_xlfn.XLOOKUP(K122,DetalleCalculos!W:W,DetalleCalculos!U:U,0,0,1)=7,1,2)</f>
        <v>1</v>
      </c>
      <c r="M122" s="79" t="str" cm="1">
        <f t="array" ref="M122">+INDEX($B$23:$B$89,ROUNDUP((ROW()-22)/3,0))</f>
        <v>José Miguel Ronquillo Pineda</v>
      </c>
      <c r="N122" s="76">
        <f>SUMIFS(DetalleCalculos!$N:$N,DetalleCalculos!$W:$W,$K122,DetalleCalculos!$H:$H,$M122)*24</f>
        <v>52</v>
      </c>
      <c r="O122" s="80">
        <f>SUMIFS(DetalleCalculos!$P:$P,DetalleCalculos!$W:$W,$K122,DetalleCalculos!$H:$H,$M122)</f>
        <v>44</v>
      </c>
      <c r="P122" s="80">
        <f>SUMIFS(DetalleCalculos!$Q:$Q,DetalleCalculos!$W:$W,$K122,DetalleCalculos!$H:$H,$M122)</f>
        <v>0</v>
      </c>
      <c r="Q122" s="80">
        <f t="shared" si="187"/>
        <v>44</v>
      </c>
      <c r="R122" s="80">
        <f t="shared" si="188"/>
        <v>8</v>
      </c>
      <c r="S122" s="80" t="str">
        <f>_xlfn.XLOOKUP($J122&amp;$K122&amp;$M122,DetalleCalculos!$B:$B,DetalleCalculos!$O:$O,"",0,1)</f>
        <v>5-0-2</v>
      </c>
      <c r="T122" s="81">
        <f>+_xlfn.XLOOKUP($S122,'Horarios y Sistemas'!$C:$C,'Horarios y Sistemas'!M:M,0,0,1)</f>
        <v>1</v>
      </c>
      <c r="U122" s="81">
        <f t="shared" si="189"/>
        <v>0</v>
      </c>
      <c r="V122" s="82">
        <f t="shared" si="190"/>
        <v>8</v>
      </c>
      <c r="W122" s="82">
        <f t="shared" si="191"/>
        <v>0</v>
      </c>
      <c r="X122" s="80">
        <f t="shared" si="192"/>
        <v>12</v>
      </c>
      <c r="Y122" s="80">
        <f t="shared" si="193"/>
        <v>0</v>
      </c>
      <c r="Z122" s="95" t="s">
        <v>245</v>
      </c>
      <c r="AA122" s="99">
        <f t="shared" ref="AA122:AB122" si="280">+SUM(X122:X124)</f>
        <v>45</v>
      </c>
      <c r="AB122" s="100">
        <f t="shared" si="280"/>
        <v>45</v>
      </c>
    </row>
    <row r="123" spans="8:31" ht="15.75" thickBot="1">
      <c r="H123" t="str">
        <f t="shared" si="184"/>
        <v>SEPTIEMBRESem3939José Miguel Ronquillo Pineda</v>
      </c>
      <c r="I123" s="14" t="str">
        <f>+_xlfn.XLOOKUP(K123,DetalleCalculos!W:W,DetalleCalculos!S:S,"",0,1)</f>
        <v>SEPTIEMBRE</v>
      </c>
      <c r="J123" s="72" t="str">
        <f t="shared" si="185"/>
        <v>Sem39</v>
      </c>
      <c r="K123" s="72">
        <f t="shared" ref="K123" si="281">+$H$18</f>
        <v>39</v>
      </c>
      <c r="L123" s="72">
        <f>+IF(_xlfn.XLOOKUP(K123,DetalleCalculos!W:W,DetalleCalculos!U:U,0,0,1)=7,1,2)</f>
        <v>1</v>
      </c>
      <c r="M123" s="79" t="str" cm="1">
        <f t="array" ref="M123">+INDEX($B$23:$B$89,ROUNDUP((ROW()-22)/3,0))</f>
        <v>José Miguel Ronquillo Pineda</v>
      </c>
      <c r="N123" s="76">
        <f>SUMIFS(DetalleCalculos!$N:$N,DetalleCalculos!$W:$W,$K123,DetalleCalculos!$H:$H,$M123)*24</f>
        <v>66</v>
      </c>
      <c r="O123" s="80">
        <f>SUMIFS(DetalleCalculos!$P:$P,DetalleCalculos!$W:$W,$K123,DetalleCalculos!$H:$H,$M123)</f>
        <v>36</v>
      </c>
      <c r="P123" s="80">
        <f>SUMIFS(DetalleCalculos!$Q:$Q,DetalleCalculos!$W:$W,$K123,DetalleCalculos!$H:$H,$M123)</f>
        <v>0</v>
      </c>
      <c r="Q123" s="24">
        <f t="shared" si="187"/>
        <v>36</v>
      </c>
      <c r="R123" s="24">
        <f t="shared" si="188"/>
        <v>30</v>
      </c>
      <c r="S123" s="80" t="str">
        <f>_xlfn.XLOOKUP($J123&amp;$K123&amp;$M123,DetalleCalculos!$B:$B,DetalleCalculos!$O:$O,"",0,1)</f>
        <v>0-6-1</v>
      </c>
      <c r="T123" s="29">
        <f>+_xlfn.XLOOKUP($S123,'Horarios y Sistemas'!$C:$C,'Horarios y Sistemas'!M:M,0,0,1)</f>
        <v>0</v>
      </c>
      <c r="U123" s="29">
        <f t="shared" si="189"/>
        <v>1</v>
      </c>
      <c r="V123" s="30">
        <f t="shared" si="190"/>
        <v>0</v>
      </c>
      <c r="W123" s="30">
        <f t="shared" si="191"/>
        <v>30</v>
      </c>
      <c r="X123" s="24">
        <f t="shared" si="192"/>
        <v>0</v>
      </c>
      <c r="Y123" s="24">
        <f t="shared" si="193"/>
        <v>45</v>
      </c>
      <c r="Z123" s="96" t="s">
        <v>246</v>
      </c>
      <c r="AA123" s="101">
        <f t="shared" ref="AA123" si="282">+IF(AA122&lt;=0,0,IF(AND(AA122&gt;AB122,AB122&lt;=0),IF(AA122+AB122&gt;0,AA122+AB122,0),IF(AND(AA122&gt;0,AB122&gt;0),AA122,0)))</f>
        <v>45</v>
      </c>
      <c r="AB123" s="102">
        <f t="shared" ref="AB123" si="283">+IF(AB122&lt;=0,0,IF(AND(AB122&gt;AA122,AA122&lt;=0),IF(AB122+AA122&gt;0,AB122+AA122,0),IF(AND(AB122&gt;0,AA122&gt;0),AB122,0)))</f>
        <v>45</v>
      </c>
      <c r="AC123" s="97" t="s">
        <v>125</v>
      </c>
      <c r="AD123" s="103">
        <f t="shared" ref="AD123" si="284">+AA123/$X$5</f>
        <v>30</v>
      </c>
      <c r="AE123" s="104">
        <f t="shared" ref="AE123" si="285">+AB123/$Y$5</f>
        <v>30</v>
      </c>
    </row>
    <row r="124" spans="8:31" ht="15.75" thickBot="1">
      <c r="H124" t="str">
        <f t="shared" si="184"/>
        <v>SEPTIEMBRESem4040José Miguel Ronquillo Pineda</v>
      </c>
      <c r="I124" s="14" t="str">
        <f>+_xlfn.XLOOKUP(K124,DetalleCalculos!W:W,DetalleCalculos!S:S,"",0,1)</f>
        <v>SEPTIEMBRE</v>
      </c>
      <c r="J124" s="72" t="str">
        <f t="shared" si="185"/>
        <v>Sem40</v>
      </c>
      <c r="K124" s="72">
        <f t="shared" ref="K124" si="286">+$H$19</f>
        <v>40</v>
      </c>
      <c r="L124" s="72">
        <f>+IF(_xlfn.XLOOKUP(K124,DetalleCalculos!W:W,DetalleCalculos!U:U,0,0,1)=7,1,2)</f>
        <v>1</v>
      </c>
      <c r="M124" s="79" t="str" cm="1">
        <f t="array" ref="M124">+INDEX($B$23:$B$89,ROUNDUP((ROW()-22)/3,0))</f>
        <v>José Miguel Ronquillo Pineda</v>
      </c>
      <c r="N124" s="76">
        <f>SUMIFS(DetalleCalculos!$N:$N,DetalleCalculos!$W:$W,$K124,DetalleCalculos!$H:$H,$M124)*24</f>
        <v>66</v>
      </c>
      <c r="O124" s="80">
        <f>SUMIFS(DetalleCalculos!$P:$P,DetalleCalculos!$W:$W,$K124,DetalleCalculos!$H:$H,$M124)</f>
        <v>44</v>
      </c>
      <c r="P124" s="80">
        <f>SUMIFS(DetalleCalculos!$Q:$Q,DetalleCalculos!$W:$W,$K124,DetalleCalculos!$H:$H,$M124)</f>
        <v>0</v>
      </c>
      <c r="Q124" s="24">
        <f t="shared" si="187"/>
        <v>44</v>
      </c>
      <c r="R124" s="24">
        <f t="shared" si="188"/>
        <v>22</v>
      </c>
      <c r="S124" s="80" t="str">
        <f>_xlfn.XLOOKUP($J124&amp;$K124&amp;$M124,DetalleCalculos!$B:$B,DetalleCalculos!$O:$O,"",0,1)</f>
        <v>6-0-1</v>
      </c>
      <c r="T124" s="29">
        <f>+_xlfn.XLOOKUP($S124,'Horarios y Sistemas'!$C:$C,'Horarios y Sistemas'!M:M,0,0,1)</f>
        <v>1</v>
      </c>
      <c r="U124" s="29">
        <f t="shared" si="189"/>
        <v>0</v>
      </c>
      <c r="V124" s="30">
        <f t="shared" si="190"/>
        <v>22</v>
      </c>
      <c r="W124" s="30">
        <f t="shared" si="191"/>
        <v>0</v>
      </c>
      <c r="X124" s="24">
        <f t="shared" si="192"/>
        <v>33</v>
      </c>
      <c r="Y124" s="24">
        <f t="shared" si="193"/>
        <v>0</v>
      </c>
      <c r="Z124" s="95"/>
      <c r="AA124" s="99"/>
      <c r="AB124" s="100"/>
    </row>
    <row r="125" spans="8:31">
      <c r="H125" t="str">
        <f t="shared" si="184"/>
        <v>SEPTIEMBRESem3838KENER ALEXANDER HERNANDEZ HERNANDEZ</v>
      </c>
      <c r="I125" s="14" t="str">
        <f>+_xlfn.XLOOKUP(K125,DetalleCalculos!W:W,DetalleCalculos!S:S,"",0,1)</f>
        <v>SEPTIEMBRE</v>
      </c>
      <c r="J125" s="72" t="str">
        <f t="shared" si="185"/>
        <v>Sem38</v>
      </c>
      <c r="K125" s="72">
        <f t="shared" ref="K125" si="287">+$H$17</f>
        <v>38</v>
      </c>
      <c r="L125" s="72">
        <f>+IF(_xlfn.XLOOKUP(K125,DetalleCalculos!W:W,DetalleCalculos!U:U,0,0,1)=7,1,2)</f>
        <v>1</v>
      </c>
      <c r="M125" s="79" t="str" cm="1">
        <f t="array" ref="M125">+INDEX($B$23:$B$89,ROUNDUP((ROW()-22)/3,0))</f>
        <v>KENER ALEXANDER HERNANDEZ HERNANDEZ</v>
      </c>
      <c r="N125" s="76">
        <f>SUMIFS(DetalleCalculos!$N:$N,DetalleCalculos!$W:$W,$K125,DetalleCalculos!$H:$H,$M125)*24</f>
        <v>0</v>
      </c>
      <c r="O125" s="80">
        <f>SUMIFS(DetalleCalculos!$P:$P,DetalleCalculos!$W:$W,$K125,DetalleCalculos!$H:$H,$M125)</f>
        <v>0</v>
      </c>
      <c r="P125" s="80">
        <f>SUMIFS(DetalleCalculos!$Q:$Q,DetalleCalculos!$W:$W,$K125,DetalleCalculos!$H:$H,$M125)</f>
        <v>0</v>
      </c>
      <c r="Q125" s="80">
        <f t="shared" si="187"/>
        <v>0</v>
      </c>
      <c r="R125" s="80">
        <f t="shared" si="188"/>
        <v>0</v>
      </c>
      <c r="S125" s="80" t="str">
        <f>_xlfn.XLOOKUP($J125&amp;$K125&amp;$M125,DetalleCalculos!$B:$B,DetalleCalculos!$O:$O,"",0,1)</f>
        <v/>
      </c>
      <c r="T125" s="81">
        <f>+_xlfn.XLOOKUP($S125,'Horarios y Sistemas'!$C:$C,'Horarios y Sistemas'!M:M,0,0,1)</f>
        <v>0</v>
      </c>
      <c r="U125" s="81">
        <f t="shared" si="189"/>
        <v>1</v>
      </c>
      <c r="V125" s="82">
        <f t="shared" si="190"/>
        <v>0</v>
      </c>
      <c r="W125" s="82">
        <f t="shared" si="191"/>
        <v>0</v>
      </c>
      <c r="X125" s="80">
        <f t="shared" si="192"/>
        <v>0</v>
      </c>
      <c r="Y125" s="80">
        <f t="shared" si="193"/>
        <v>0</v>
      </c>
      <c r="Z125" s="95" t="s">
        <v>245</v>
      </c>
      <c r="AA125" s="99">
        <f t="shared" ref="AA125:AB125" si="288">+SUM(X125:X127)</f>
        <v>0</v>
      </c>
      <c r="AB125" s="100">
        <f t="shared" si="288"/>
        <v>0</v>
      </c>
    </row>
    <row r="126" spans="8:31" ht="15.75" thickBot="1">
      <c r="H126" t="str">
        <f t="shared" si="184"/>
        <v>SEPTIEMBRESem3939KENER ALEXANDER HERNANDEZ HERNANDEZ</v>
      </c>
      <c r="I126" s="14" t="str">
        <f>+_xlfn.XLOOKUP(K126,DetalleCalculos!W:W,DetalleCalculos!S:S,"",0,1)</f>
        <v>SEPTIEMBRE</v>
      </c>
      <c r="J126" s="72" t="str">
        <f t="shared" si="185"/>
        <v>Sem39</v>
      </c>
      <c r="K126" s="72">
        <f t="shared" ref="K126" si="289">+$H$18</f>
        <v>39</v>
      </c>
      <c r="L126" s="72">
        <f>+IF(_xlfn.XLOOKUP(K126,DetalleCalculos!W:W,DetalleCalculos!U:U,0,0,1)=7,1,2)</f>
        <v>1</v>
      </c>
      <c r="M126" s="79" t="str" cm="1">
        <f t="array" ref="M126">+INDEX($B$23:$B$89,ROUNDUP((ROW()-22)/3,0))</f>
        <v>KENER ALEXANDER HERNANDEZ HERNANDEZ</v>
      </c>
      <c r="N126" s="76">
        <f>SUMIFS(DetalleCalculos!$N:$N,DetalleCalculos!$W:$W,$K126,DetalleCalculos!$H:$H,$M126)*24</f>
        <v>0</v>
      </c>
      <c r="O126" s="80">
        <f>SUMIFS(DetalleCalculos!$P:$P,DetalleCalculos!$W:$W,$K126,DetalleCalculos!$H:$H,$M126)</f>
        <v>0</v>
      </c>
      <c r="P126" s="80">
        <f>SUMIFS(DetalleCalculos!$Q:$Q,DetalleCalculos!$W:$W,$K126,DetalleCalculos!$H:$H,$M126)</f>
        <v>0</v>
      </c>
      <c r="Q126" s="24">
        <f t="shared" si="187"/>
        <v>0</v>
      </c>
      <c r="R126" s="24">
        <f t="shared" si="188"/>
        <v>0</v>
      </c>
      <c r="S126" s="80" t="str">
        <f>_xlfn.XLOOKUP($J126&amp;$K126&amp;$M126,DetalleCalculos!$B:$B,DetalleCalculos!$O:$O,"",0,1)</f>
        <v/>
      </c>
      <c r="T126" s="29">
        <f>+_xlfn.XLOOKUP($S126,'Horarios y Sistemas'!$C:$C,'Horarios y Sistemas'!M:M,0,0,1)</f>
        <v>0</v>
      </c>
      <c r="U126" s="29">
        <f t="shared" si="189"/>
        <v>1</v>
      </c>
      <c r="V126" s="30">
        <f t="shared" si="190"/>
        <v>0</v>
      </c>
      <c r="W126" s="30">
        <f t="shared" si="191"/>
        <v>0</v>
      </c>
      <c r="X126" s="24">
        <f t="shared" si="192"/>
        <v>0</v>
      </c>
      <c r="Y126" s="24">
        <f t="shared" si="193"/>
        <v>0</v>
      </c>
      <c r="Z126" s="96" t="s">
        <v>246</v>
      </c>
      <c r="AA126" s="101">
        <f t="shared" ref="AA126" si="290">+IF(AA125&lt;=0,0,IF(AND(AA125&gt;AB125,AB125&lt;=0),IF(AA125+AB125&gt;0,AA125+AB125,0),IF(AND(AA125&gt;0,AB125&gt;0),AA125,0)))</f>
        <v>0</v>
      </c>
      <c r="AB126" s="102">
        <f t="shared" ref="AB126" si="291">+IF(AB125&lt;=0,0,IF(AND(AB125&gt;AA125,AA125&lt;=0),IF(AB125+AA125&gt;0,AB125+AA125,0),IF(AND(AB125&gt;0,AA125&gt;0),AB125,0)))</f>
        <v>0</v>
      </c>
      <c r="AC126" s="97" t="s">
        <v>125</v>
      </c>
      <c r="AD126" s="103">
        <f t="shared" ref="AD126" si="292">+AA126/$X$5</f>
        <v>0</v>
      </c>
      <c r="AE126" s="104">
        <f t="shared" ref="AE126" si="293">+AB126/$Y$5</f>
        <v>0</v>
      </c>
    </row>
    <row r="127" spans="8:31" ht="15.75" thickBot="1">
      <c r="H127" t="str">
        <f t="shared" si="184"/>
        <v>SEPTIEMBRESem4040KENER ALEXANDER HERNANDEZ HERNANDEZ</v>
      </c>
      <c r="I127" s="14" t="str">
        <f>+_xlfn.XLOOKUP(K127,DetalleCalculos!W:W,DetalleCalculos!S:S,"",0,1)</f>
        <v>SEPTIEMBRE</v>
      </c>
      <c r="J127" s="72" t="str">
        <f t="shared" si="185"/>
        <v>Sem40</v>
      </c>
      <c r="K127" s="72">
        <f t="shared" ref="K127" si="294">+$H$19</f>
        <v>40</v>
      </c>
      <c r="L127" s="72">
        <f>+IF(_xlfn.XLOOKUP(K127,DetalleCalculos!W:W,DetalleCalculos!U:U,0,0,1)=7,1,2)</f>
        <v>1</v>
      </c>
      <c r="M127" s="79" t="str" cm="1">
        <f t="array" ref="M127">+INDEX($B$23:$B$89,ROUNDUP((ROW()-22)/3,0))</f>
        <v>KENER ALEXANDER HERNANDEZ HERNANDEZ</v>
      </c>
      <c r="N127" s="76">
        <f>SUMIFS(DetalleCalculos!$N:$N,DetalleCalculos!$W:$W,$K127,DetalleCalculos!$H:$H,$M127)*24</f>
        <v>0</v>
      </c>
      <c r="O127" s="80">
        <f>SUMIFS(DetalleCalculos!$P:$P,DetalleCalculos!$W:$W,$K127,DetalleCalculos!$H:$H,$M127)</f>
        <v>0</v>
      </c>
      <c r="P127" s="80">
        <f>SUMIFS(DetalleCalculos!$Q:$Q,DetalleCalculos!$W:$W,$K127,DetalleCalculos!$H:$H,$M127)</f>
        <v>0</v>
      </c>
      <c r="Q127" s="24">
        <f t="shared" si="187"/>
        <v>0</v>
      </c>
      <c r="R127" s="24">
        <f t="shared" si="188"/>
        <v>0</v>
      </c>
      <c r="S127" s="80" t="str">
        <f>_xlfn.XLOOKUP($J127&amp;$K127&amp;$M127,DetalleCalculos!$B:$B,DetalleCalculos!$O:$O,"",0,1)</f>
        <v/>
      </c>
      <c r="T127" s="29">
        <f>+_xlfn.XLOOKUP($S127,'Horarios y Sistemas'!$C:$C,'Horarios y Sistemas'!M:M,0,0,1)</f>
        <v>0</v>
      </c>
      <c r="U127" s="29">
        <f t="shared" si="189"/>
        <v>1</v>
      </c>
      <c r="V127" s="30">
        <f t="shared" si="190"/>
        <v>0</v>
      </c>
      <c r="W127" s="30">
        <f t="shared" si="191"/>
        <v>0</v>
      </c>
      <c r="X127" s="24">
        <f t="shared" si="192"/>
        <v>0</v>
      </c>
      <c r="Y127" s="24">
        <f t="shared" si="193"/>
        <v>0</v>
      </c>
      <c r="Z127" s="95"/>
      <c r="AA127" s="99"/>
      <c r="AB127" s="100"/>
    </row>
    <row r="128" spans="8:31">
      <c r="H128" t="str">
        <f t="shared" si="184"/>
        <v>SEPTIEMBRESem3838KEVIN ALEJANDRO RODRIGUEZ ARGUETA</v>
      </c>
      <c r="I128" s="14" t="str">
        <f>+_xlfn.XLOOKUP(K128,DetalleCalculos!W:W,DetalleCalculos!S:S,"",0,1)</f>
        <v>SEPTIEMBRE</v>
      </c>
      <c r="J128" s="72" t="str">
        <f t="shared" si="185"/>
        <v>Sem38</v>
      </c>
      <c r="K128" s="72">
        <f t="shared" ref="K128" si="295">+$H$17</f>
        <v>38</v>
      </c>
      <c r="L128" s="72">
        <f>+IF(_xlfn.XLOOKUP(K128,DetalleCalculos!W:W,DetalleCalculos!U:U,0,0,1)=7,1,2)</f>
        <v>1</v>
      </c>
      <c r="M128" s="79" t="str" cm="1">
        <f t="array" ref="M128">+INDEX($B$23:$B$89,ROUNDUP((ROW()-22)/3,0))</f>
        <v>KEVIN ALEJANDRO RODRIGUEZ ARGUETA</v>
      </c>
      <c r="N128" s="76">
        <f>SUMIFS(DetalleCalculos!$N:$N,DetalleCalculos!$W:$W,$K128,DetalleCalculos!$H:$H,$M128)*24</f>
        <v>47.999999999999986</v>
      </c>
      <c r="O128" s="80">
        <f>SUMIFS(DetalleCalculos!$P:$P,DetalleCalculos!$W:$W,$K128,DetalleCalculos!$H:$H,$M128)</f>
        <v>44</v>
      </c>
      <c r="P128" s="80">
        <f>SUMIFS(DetalleCalculos!$Q:$Q,DetalleCalculos!$W:$W,$K128,DetalleCalculos!$H:$H,$M128)</f>
        <v>0</v>
      </c>
      <c r="Q128" s="80">
        <f t="shared" si="187"/>
        <v>44</v>
      </c>
      <c r="R128" s="80">
        <f t="shared" si="188"/>
        <v>3.9999999999999858</v>
      </c>
      <c r="S128" s="80" t="str">
        <f>_xlfn.XLOOKUP($J128&amp;$K128&amp;$M128,DetalleCalculos!$B:$B,DetalleCalculos!$O:$O,"",0,1)</f>
        <v>5-0-2</v>
      </c>
      <c r="T128" s="81">
        <f>+_xlfn.XLOOKUP($S128,'Horarios y Sistemas'!$C:$C,'Horarios y Sistemas'!M:M,0,0,1)</f>
        <v>1</v>
      </c>
      <c r="U128" s="81">
        <f t="shared" si="189"/>
        <v>0</v>
      </c>
      <c r="V128" s="82">
        <f t="shared" si="190"/>
        <v>3.9999999999999858</v>
      </c>
      <c r="W128" s="82">
        <f t="shared" si="191"/>
        <v>0</v>
      </c>
      <c r="X128" s="80">
        <f t="shared" si="192"/>
        <v>5.9999999999999787</v>
      </c>
      <c r="Y128" s="80">
        <f t="shared" si="193"/>
        <v>0</v>
      </c>
      <c r="Z128" s="95" t="s">
        <v>245</v>
      </c>
      <c r="AA128" s="99">
        <f t="shared" ref="AA128:AB128" si="296">+SUM(X128:X130)</f>
        <v>28.499999999999968</v>
      </c>
      <c r="AB128" s="100">
        <f t="shared" si="296"/>
        <v>28.5</v>
      </c>
    </row>
    <row r="129" spans="8:31" ht="15.75" thickBot="1">
      <c r="H129" t="str">
        <f t="shared" si="184"/>
        <v>SEPTIEMBRESem3939KEVIN ALEJANDRO RODRIGUEZ ARGUETA</v>
      </c>
      <c r="I129" s="14" t="str">
        <f>+_xlfn.XLOOKUP(K129,DetalleCalculos!W:W,DetalleCalculos!S:S,"",0,1)</f>
        <v>SEPTIEMBRE</v>
      </c>
      <c r="J129" s="72" t="str">
        <f t="shared" si="185"/>
        <v>Sem39</v>
      </c>
      <c r="K129" s="72">
        <f t="shared" ref="K129" si="297">+$H$18</f>
        <v>39</v>
      </c>
      <c r="L129" s="72">
        <f>+IF(_xlfn.XLOOKUP(K129,DetalleCalculos!W:W,DetalleCalculos!U:U,0,0,1)=7,1,2)</f>
        <v>1</v>
      </c>
      <c r="M129" s="79" t="str" cm="1">
        <f t="array" ref="M129">+INDEX($B$23:$B$89,ROUNDUP((ROW()-22)/3,0))</f>
        <v>KEVIN ALEJANDRO RODRIGUEZ ARGUETA</v>
      </c>
      <c r="N129" s="76">
        <f>SUMIFS(DetalleCalculos!$N:$N,DetalleCalculos!$W:$W,$K129,DetalleCalculos!$H:$H,$M129)*24</f>
        <v>55</v>
      </c>
      <c r="O129" s="80">
        <f>SUMIFS(DetalleCalculos!$P:$P,DetalleCalculos!$W:$W,$K129,DetalleCalculos!$H:$H,$M129)</f>
        <v>36</v>
      </c>
      <c r="P129" s="80">
        <f>SUMIFS(DetalleCalculos!$Q:$Q,DetalleCalculos!$W:$W,$K129,DetalleCalculos!$H:$H,$M129)</f>
        <v>0</v>
      </c>
      <c r="Q129" s="24">
        <f t="shared" si="187"/>
        <v>36</v>
      </c>
      <c r="R129" s="24">
        <f t="shared" si="188"/>
        <v>19</v>
      </c>
      <c r="S129" s="80" t="str">
        <f>_xlfn.XLOOKUP($J129&amp;$K129&amp;$M129,DetalleCalculos!$B:$B,DetalleCalculos!$O:$O,"",0,1)</f>
        <v>0-5-2</v>
      </c>
      <c r="T129" s="29">
        <f>+_xlfn.XLOOKUP($S129,'Horarios y Sistemas'!$C:$C,'Horarios y Sistemas'!M:M,0,0,1)</f>
        <v>0</v>
      </c>
      <c r="U129" s="29">
        <f t="shared" si="189"/>
        <v>1</v>
      </c>
      <c r="V129" s="30">
        <f t="shared" si="190"/>
        <v>0</v>
      </c>
      <c r="W129" s="30">
        <f t="shared" si="191"/>
        <v>19</v>
      </c>
      <c r="X129" s="24">
        <f t="shared" si="192"/>
        <v>0</v>
      </c>
      <c r="Y129" s="24">
        <f t="shared" si="193"/>
        <v>28.5</v>
      </c>
      <c r="Z129" s="96" t="s">
        <v>246</v>
      </c>
      <c r="AA129" s="101">
        <f t="shared" ref="AA129" si="298">+IF(AA128&lt;=0,0,IF(AND(AA128&gt;AB128,AB128&lt;=0),IF(AA128+AB128&gt;0,AA128+AB128,0),IF(AND(AA128&gt;0,AB128&gt;0),AA128,0)))</f>
        <v>28.499999999999968</v>
      </c>
      <c r="AB129" s="102">
        <f t="shared" ref="AB129" si="299">+IF(AB128&lt;=0,0,IF(AND(AB128&gt;AA128,AA128&lt;=0),IF(AB128+AA128&gt;0,AB128+AA128,0),IF(AND(AB128&gt;0,AA128&gt;0),AB128,0)))</f>
        <v>28.5</v>
      </c>
      <c r="AC129" s="97" t="s">
        <v>125</v>
      </c>
      <c r="AD129" s="103">
        <f t="shared" ref="AD129" si="300">+AA129/$X$5</f>
        <v>18.999999999999979</v>
      </c>
      <c r="AE129" s="104">
        <f t="shared" ref="AE129" si="301">+AB129/$Y$5</f>
        <v>19</v>
      </c>
    </row>
    <row r="130" spans="8:31" ht="15.75" thickBot="1">
      <c r="H130" t="str">
        <f t="shared" si="184"/>
        <v>SEPTIEMBRESem4040KEVIN ALEJANDRO RODRIGUEZ ARGUETA</v>
      </c>
      <c r="I130" s="14" t="str">
        <f>+_xlfn.XLOOKUP(K130,DetalleCalculos!W:W,DetalleCalculos!S:S,"",0,1)</f>
        <v>SEPTIEMBRE</v>
      </c>
      <c r="J130" s="72" t="str">
        <f t="shared" si="185"/>
        <v>Sem40</v>
      </c>
      <c r="K130" s="72">
        <f t="shared" ref="K130" si="302">+$H$19</f>
        <v>40</v>
      </c>
      <c r="L130" s="72">
        <f>+IF(_xlfn.XLOOKUP(K130,DetalleCalculos!W:W,DetalleCalculos!U:U,0,0,1)=7,1,2)</f>
        <v>1</v>
      </c>
      <c r="M130" s="79" t="str" cm="1">
        <f t="array" ref="M130">+INDEX($B$23:$B$89,ROUNDUP((ROW()-22)/3,0))</f>
        <v>KEVIN ALEJANDRO RODRIGUEZ ARGUETA</v>
      </c>
      <c r="N130" s="76">
        <f>SUMIFS(DetalleCalculos!$N:$N,DetalleCalculos!$W:$W,$K130,DetalleCalculos!$H:$H,$M130)*24</f>
        <v>58.999999999999993</v>
      </c>
      <c r="O130" s="80">
        <f>SUMIFS(DetalleCalculos!$P:$P,DetalleCalculos!$W:$W,$K130,DetalleCalculos!$H:$H,$M130)</f>
        <v>44</v>
      </c>
      <c r="P130" s="80">
        <f>SUMIFS(DetalleCalculos!$Q:$Q,DetalleCalculos!$W:$W,$K130,DetalleCalculos!$H:$H,$M130)</f>
        <v>0</v>
      </c>
      <c r="Q130" s="24">
        <f t="shared" si="187"/>
        <v>44</v>
      </c>
      <c r="R130" s="24">
        <f t="shared" si="188"/>
        <v>14.999999999999993</v>
      </c>
      <c r="S130" s="80" t="str">
        <f>_xlfn.XLOOKUP($J130&amp;$K130&amp;$M130,DetalleCalculos!$B:$B,DetalleCalculos!$O:$O,"",0,1)</f>
        <v>6-0-1</v>
      </c>
      <c r="T130" s="29">
        <f>+_xlfn.XLOOKUP($S130,'Horarios y Sistemas'!$C:$C,'Horarios y Sistemas'!M:M,0,0,1)</f>
        <v>1</v>
      </c>
      <c r="U130" s="29">
        <f t="shared" si="189"/>
        <v>0</v>
      </c>
      <c r="V130" s="30">
        <f t="shared" si="190"/>
        <v>14.999999999999993</v>
      </c>
      <c r="W130" s="30">
        <f t="shared" si="191"/>
        <v>0</v>
      </c>
      <c r="X130" s="24">
        <f t="shared" si="192"/>
        <v>22.499999999999989</v>
      </c>
      <c r="Y130" s="24">
        <f t="shared" si="193"/>
        <v>0</v>
      </c>
      <c r="Z130" s="95"/>
      <c r="AA130" s="99"/>
      <c r="AB130" s="100"/>
    </row>
    <row r="131" spans="8:31">
      <c r="H131" t="str">
        <f t="shared" si="184"/>
        <v>SEPTIEMBRESem3838LUDWIN MARIO BENJAMIN POITAN JOLON</v>
      </c>
      <c r="I131" s="14" t="str">
        <f>+_xlfn.XLOOKUP(K131,DetalleCalculos!W:W,DetalleCalculos!S:S,"",0,1)</f>
        <v>SEPTIEMBRE</v>
      </c>
      <c r="J131" s="72" t="str">
        <f t="shared" si="185"/>
        <v>Sem38</v>
      </c>
      <c r="K131" s="72">
        <f t="shared" ref="K131" si="303">+$H$17</f>
        <v>38</v>
      </c>
      <c r="L131" s="72">
        <f>+IF(_xlfn.XLOOKUP(K131,DetalleCalculos!W:W,DetalleCalculos!U:U,0,0,1)=7,1,2)</f>
        <v>1</v>
      </c>
      <c r="M131" s="79" t="str" cm="1">
        <f t="array" ref="M131">+INDEX($B$23:$B$89,ROUNDUP((ROW()-22)/3,0))</f>
        <v>LUDWIN MARIO BENJAMIN POITAN JOLON</v>
      </c>
      <c r="N131" s="76">
        <f>SUMIFS(DetalleCalculos!$N:$N,DetalleCalculos!$W:$W,$K131,DetalleCalculos!$H:$H,$M131)*24</f>
        <v>0</v>
      </c>
      <c r="O131" s="80">
        <f>SUMIFS(DetalleCalculos!$P:$P,DetalleCalculos!$W:$W,$K131,DetalleCalculos!$H:$H,$M131)</f>
        <v>0</v>
      </c>
      <c r="P131" s="80">
        <f>SUMIFS(DetalleCalculos!$Q:$Q,DetalleCalculos!$W:$W,$K131,DetalleCalculos!$H:$H,$M131)</f>
        <v>0</v>
      </c>
      <c r="Q131" s="80">
        <f t="shared" si="187"/>
        <v>0</v>
      </c>
      <c r="R131" s="80">
        <f t="shared" si="188"/>
        <v>0</v>
      </c>
      <c r="S131" s="80" t="str">
        <f>_xlfn.XLOOKUP($J131&amp;$K131&amp;$M131,DetalleCalculos!$B:$B,DetalleCalculos!$O:$O,"",0,1)</f>
        <v/>
      </c>
      <c r="T131" s="81">
        <f>+_xlfn.XLOOKUP($S131,'Horarios y Sistemas'!$C:$C,'Horarios y Sistemas'!M:M,0,0,1)</f>
        <v>0</v>
      </c>
      <c r="U131" s="81">
        <f t="shared" si="189"/>
        <v>1</v>
      </c>
      <c r="V131" s="82">
        <f t="shared" si="190"/>
        <v>0</v>
      </c>
      <c r="W131" s="82">
        <f t="shared" si="191"/>
        <v>0</v>
      </c>
      <c r="X131" s="80">
        <f t="shared" si="192"/>
        <v>0</v>
      </c>
      <c r="Y131" s="80">
        <f t="shared" si="193"/>
        <v>0</v>
      </c>
      <c r="Z131" s="95" t="s">
        <v>245</v>
      </c>
      <c r="AA131" s="99">
        <f t="shared" ref="AA131:AB131" si="304">+SUM(X131:X133)</f>
        <v>0</v>
      </c>
      <c r="AB131" s="100">
        <f t="shared" si="304"/>
        <v>0</v>
      </c>
    </row>
    <row r="132" spans="8:31" ht="15.75" thickBot="1">
      <c r="H132" t="str">
        <f t="shared" si="184"/>
        <v>SEPTIEMBRESem3939LUDWIN MARIO BENJAMIN POITAN JOLON</v>
      </c>
      <c r="I132" s="14" t="str">
        <f>+_xlfn.XLOOKUP(K132,DetalleCalculos!W:W,DetalleCalculos!S:S,"",0,1)</f>
        <v>SEPTIEMBRE</v>
      </c>
      <c r="J132" s="72" t="str">
        <f t="shared" si="185"/>
        <v>Sem39</v>
      </c>
      <c r="K132" s="72">
        <f t="shared" ref="K132" si="305">+$H$18</f>
        <v>39</v>
      </c>
      <c r="L132" s="72">
        <f>+IF(_xlfn.XLOOKUP(K132,DetalleCalculos!W:W,DetalleCalculos!U:U,0,0,1)=7,1,2)</f>
        <v>1</v>
      </c>
      <c r="M132" s="79" t="str" cm="1">
        <f t="array" ref="M132">+INDEX($B$23:$B$89,ROUNDUP((ROW()-22)/3,0))</f>
        <v>LUDWIN MARIO BENJAMIN POITAN JOLON</v>
      </c>
      <c r="N132" s="76">
        <f>SUMIFS(DetalleCalculos!$N:$N,DetalleCalculos!$W:$W,$K132,DetalleCalculos!$H:$H,$M132)*24</f>
        <v>0</v>
      </c>
      <c r="O132" s="80">
        <f>SUMIFS(DetalleCalculos!$P:$P,DetalleCalculos!$W:$W,$K132,DetalleCalculos!$H:$H,$M132)</f>
        <v>0</v>
      </c>
      <c r="P132" s="80">
        <f>SUMIFS(DetalleCalculos!$Q:$Q,DetalleCalculos!$W:$W,$K132,DetalleCalculos!$H:$H,$M132)</f>
        <v>0</v>
      </c>
      <c r="Q132" s="24">
        <f t="shared" si="187"/>
        <v>0</v>
      </c>
      <c r="R132" s="24">
        <f t="shared" si="188"/>
        <v>0</v>
      </c>
      <c r="S132" s="80" t="str">
        <f>_xlfn.XLOOKUP($J132&amp;$K132&amp;$M132,DetalleCalculos!$B:$B,DetalleCalculos!$O:$O,"",0,1)</f>
        <v/>
      </c>
      <c r="T132" s="29">
        <f>+_xlfn.XLOOKUP($S132,'Horarios y Sistemas'!$C:$C,'Horarios y Sistemas'!M:M,0,0,1)</f>
        <v>0</v>
      </c>
      <c r="U132" s="29">
        <f t="shared" si="189"/>
        <v>1</v>
      </c>
      <c r="V132" s="30">
        <f t="shared" si="190"/>
        <v>0</v>
      </c>
      <c r="W132" s="30">
        <f t="shared" si="191"/>
        <v>0</v>
      </c>
      <c r="X132" s="24">
        <f t="shared" si="192"/>
        <v>0</v>
      </c>
      <c r="Y132" s="24">
        <f t="shared" si="193"/>
        <v>0</v>
      </c>
      <c r="Z132" s="96" t="s">
        <v>246</v>
      </c>
      <c r="AA132" s="101">
        <f t="shared" ref="AA132" si="306">+IF(AA131&lt;=0,0,IF(AND(AA131&gt;AB131,AB131&lt;=0),IF(AA131+AB131&gt;0,AA131+AB131,0),IF(AND(AA131&gt;0,AB131&gt;0),AA131,0)))</f>
        <v>0</v>
      </c>
      <c r="AB132" s="102">
        <f t="shared" ref="AB132" si="307">+IF(AB131&lt;=0,0,IF(AND(AB131&gt;AA131,AA131&lt;=0),IF(AB131+AA131&gt;0,AB131+AA131,0),IF(AND(AB131&gt;0,AA131&gt;0),AB131,0)))</f>
        <v>0</v>
      </c>
      <c r="AC132" s="97" t="s">
        <v>125</v>
      </c>
      <c r="AD132" s="103">
        <f t="shared" ref="AD132" si="308">+AA132/$X$5</f>
        <v>0</v>
      </c>
      <c r="AE132" s="104">
        <f t="shared" ref="AE132" si="309">+AB132/$Y$5</f>
        <v>0</v>
      </c>
    </row>
    <row r="133" spans="8:31" ht="15.75" thickBot="1">
      <c r="H133" t="str">
        <f t="shared" si="184"/>
        <v>SEPTIEMBRESem4040LUDWIN MARIO BENJAMIN POITAN JOLON</v>
      </c>
      <c r="I133" s="14" t="str">
        <f>+_xlfn.XLOOKUP(K133,DetalleCalculos!W:W,DetalleCalculos!S:S,"",0,1)</f>
        <v>SEPTIEMBRE</v>
      </c>
      <c r="J133" s="72" t="str">
        <f t="shared" si="185"/>
        <v>Sem40</v>
      </c>
      <c r="K133" s="72">
        <f t="shared" ref="K133" si="310">+$H$19</f>
        <v>40</v>
      </c>
      <c r="L133" s="72">
        <f>+IF(_xlfn.XLOOKUP(K133,DetalleCalculos!W:W,DetalleCalculos!U:U,0,0,1)=7,1,2)</f>
        <v>1</v>
      </c>
      <c r="M133" s="79" t="str" cm="1">
        <f t="array" ref="M133">+INDEX($B$23:$B$89,ROUNDUP((ROW()-22)/3,0))</f>
        <v>LUDWIN MARIO BENJAMIN POITAN JOLON</v>
      </c>
      <c r="N133" s="76">
        <f>SUMIFS(DetalleCalculos!$N:$N,DetalleCalculos!$W:$W,$K133,DetalleCalculos!$H:$H,$M133)*24</f>
        <v>0</v>
      </c>
      <c r="O133" s="80">
        <f>SUMIFS(DetalleCalculos!$P:$P,DetalleCalculos!$W:$W,$K133,DetalleCalculos!$H:$H,$M133)</f>
        <v>0</v>
      </c>
      <c r="P133" s="80">
        <f>SUMIFS(DetalleCalculos!$Q:$Q,DetalleCalculos!$W:$W,$K133,DetalleCalculos!$H:$H,$M133)</f>
        <v>0</v>
      </c>
      <c r="Q133" s="24">
        <f t="shared" si="187"/>
        <v>0</v>
      </c>
      <c r="R133" s="24">
        <f t="shared" si="188"/>
        <v>0</v>
      </c>
      <c r="S133" s="80" t="str">
        <f>_xlfn.XLOOKUP($J133&amp;$K133&amp;$M133,DetalleCalculos!$B:$B,DetalleCalculos!$O:$O,"",0,1)</f>
        <v/>
      </c>
      <c r="T133" s="29">
        <f>+_xlfn.XLOOKUP($S133,'Horarios y Sistemas'!$C:$C,'Horarios y Sistemas'!M:M,0,0,1)</f>
        <v>0</v>
      </c>
      <c r="U133" s="29">
        <f t="shared" si="189"/>
        <v>1</v>
      </c>
      <c r="V133" s="30">
        <f t="shared" si="190"/>
        <v>0</v>
      </c>
      <c r="W133" s="30">
        <f t="shared" si="191"/>
        <v>0</v>
      </c>
      <c r="X133" s="24">
        <f t="shared" si="192"/>
        <v>0</v>
      </c>
      <c r="Y133" s="24">
        <f t="shared" si="193"/>
        <v>0</v>
      </c>
      <c r="Z133" s="95"/>
      <c r="AA133" s="99"/>
      <c r="AB133" s="100"/>
    </row>
    <row r="134" spans="8:31">
      <c r="H134" t="str">
        <f t="shared" si="184"/>
        <v>SEPTIEMBRESem3838LUIS ESTUARDO GARCIA BARILLAS</v>
      </c>
      <c r="I134" s="14" t="str">
        <f>+_xlfn.XLOOKUP(K134,DetalleCalculos!W:W,DetalleCalculos!S:S,"",0,1)</f>
        <v>SEPTIEMBRE</v>
      </c>
      <c r="J134" s="72" t="str">
        <f t="shared" si="185"/>
        <v>Sem38</v>
      </c>
      <c r="K134" s="72">
        <f t="shared" ref="K134" si="311">+$H$17</f>
        <v>38</v>
      </c>
      <c r="L134" s="72">
        <f>+IF(_xlfn.XLOOKUP(K134,DetalleCalculos!W:W,DetalleCalculos!U:U,0,0,1)=7,1,2)</f>
        <v>1</v>
      </c>
      <c r="M134" s="79" t="str" cm="1">
        <f t="array" ref="M134">+INDEX($B$23:$B$89,ROUNDUP((ROW()-22)/3,0))</f>
        <v>LUIS ESTUARDO GARCIA BARILLAS</v>
      </c>
      <c r="N134" s="76">
        <f>SUMIFS(DetalleCalculos!$N:$N,DetalleCalculos!$W:$W,$K134,DetalleCalculos!$H:$H,$M134)*24</f>
        <v>47.999999999999986</v>
      </c>
      <c r="O134" s="80">
        <f>SUMIFS(DetalleCalculos!$P:$P,DetalleCalculos!$W:$W,$K134,DetalleCalculos!$H:$H,$M134)</f>
        <v>44</v>
      </c>
      <c r="P134" s="80">
        <f>SUMIFS(DetalleCalculos!$Q:$Q,DetalleCalculos!$W:$W,$K134,DetalleCalculos!$H:$H,$M134)</f>
        <v>0</v>
      </c>
      <c r="Q134" s="80">
        <f t="shared" si="187"/>
        <v>44</v>
      </c>
      <c r="R134" s="80">
        <f t="shared" si="188"/>
        <v>3.9999999999999858</v>
      </c>
      <c r="S134" s="80" t="str">
        <f>_xlfn.XLOOKUP($J134&amp;$K134&amp;$M134,DetalleCalculos!$B:$B,DetalleCalculos!$O:$O,"",0,1)</f>
        <v>5-0-2</v>
      </c>
      <c r="T134" s="81">
        <f>+_xlfn.XLOOKUP($S134,'Horarios y Sistemas'!$C:$C,'Horarios y Sistemas'!M:M,0,0,1)</f>
        <v>1</v>
      </c>
      <c r="U134" s="81">
        <f t="shared" si="189"/>
        <v>0</v>
      </c>
      <c r="V134" s="82">
        <f t="shared" si="190"/>
        <v>3.9999999999999858</v>
      </c>
      <c r="W134" s="82">
        <f t="shared" si="191"/>
        <v>0</v>
      </c>
      <c r="X134" s="80">
        <f t="shared" si="192"/>
        <v>5.9999999999999787</v>
      </c>
      <c r="Y134" s="80">
        <f t="shared" si="193"/>
        <v>0</v>
      </c>
      <c r="Z134" s="95" t="s">
        <v>245</v>
      </c>
      <c r="AA134" s="99">
        <f t="shared" ref="AA134:AB134" si="312">+SUM(X134:X136)</f>
        <v>34.499999999999979</v>
      </c>
      <c r="AB134" s="100">
        <f t="shared" si="312"/>
        <v>28.5</v>
      </c>
    </row>
    <row r="135" spans="8:31" ht="15.75" thickBot="1">
      <c r="H135" t="str">
        <f t="shared" si="184"/>
        <v>SEPTIEMBRESem3939LUIS ESTUARDO GARCIA BARILLAS</v>
      </c>
      <c r="I135" s="14" t="str">
        <f>+_xlfn.XLOOKUP(K135,DetalleCalculos!W:W,DetalleCalculos!S:S,"",0,1)</f>
        <v>SEPTIEMBRE</v>
      </c>
      <c r="J135" s="72" t="str">
        <f t="shared" si="185"/>
        <v>Sem39</v>
      </c>
      <c r="K135" s="72">
        <f t="shared" ref="K135" si="313">+$H$18</f>
        <v>39</v>
      </c>
      <c r="L135" s="72">
        <f>+IF(_xlfn.XLOOKUP(K135,DetalleCalculos!W:W,DetalleCalculos!U:U,0,0,1)=7,1,2)</f>
        <v>1</v>
      </c>
      <c r="M135" s="79" t="str" cm="1">
        <f t="array" ref="M135">+INDEX($B$23:$B$89,ROUNDUP((ROW()-22)/3,0))</f>
        <v>LUIS ESTUARDO GARCIA BARILLAS</v>
      </c>
      <c r="N135" s="76">
        <f>SUMIFS(DetalleCalculos!$N:$N,DetalleCalculos!$W:$W,$K135,DetalleCalculos!$H:$H,$M135)*24</f>
        <v>55</v>
      </c>
      <c r="O135" s="80">
        <f>SUMIFS(DetalleCalculos!$P:$P,DetalleCalculos!$W:$W,$K135,DetalleCalculos!$H:$H,$M135)</f>
        <v>36</v>
      </c>
      <c r="P135" s="80">
        <f>SUMIFS(DetalleCalculos!$Q:$Q,DetalleCalculos!$W:$W,$K135,DetalleCalculos!$H:$H,$M135)</f>
        <v>0</v>
      </c>
      <c r="Q135" s="24">
        <f t="shared" si="187"/>
        <v>36</v>
      </c>
      <c r="R135" s="24">
        <f t="shared" si="188"/>
        <v>19</v>
      </c>
      <c r="S135" s="80" t="str">
        <f>_xlfn.XLOOKUP($J135&amp;$K135&amp;$M135,DetalleCalculos!$B:$B,DetalleCalculos!$O:$O,"",0,1)</f>
        <v>0-5-2</v>
      </c>
      <c r="T135" s="29">
        <f>+_xlfn.XLOOKUP($S135,'Horarios y Sistemas'!$C:$C,'Horarios y Sistemas'!M:M,0,0,1)</f>
        <v>0</v>
      </c>
      <c r="U135" s="29">
        <f t="shared" si="189"/>
        <v>1</v>
      </c>
      <c r="V135" s="30">
        <f t="shared" si="190"/>
        <v>0</v>
      </c>
      <c r="W135" s="30">
        <f t="shared" si="191"/>
        <v>19</v>
      </c>
      <c r="X135" s="24">
        <f t="shared" si="192"/>
        <v>0</v>
      </c>
      <c r="Y135" s="24">
        <f t="shared" si="193"/>
        <v>28.5</v>
      </c>
      <c r="Z135" s="96" t="s">
        <v>246</v>
      </c>
      <c r="AA135" s="101">
        <f t="shared" ref="AA135" si="314">+IF(AA134&lt;=0,0,IF(AND(AA134&gt;AB134,AB134&lt;=0),IF(AA134+AB134&gt;0,AA134+AB134,0),IF(AND(AA134&gt;0,AB134&gt;0),AA134,0)))</f>
        <v>34.499999999999979</v>
      </c>
      <c r="AB135" s="102">
        <f t="shared" ref="AB135" si="315">+IF(AB134&lt;=0,0,IF(AND(AB134&gt;AA134,AA134&lt;=0),IF(AB134+AA134&gt;0,AB134+AA134,0),IF(AND(AB134&gt;0,AA134&gt;0),AB134,0)))</f>
        <v>28.5</v>
      </c>
      <c r="AC135" s="97" t="s">
        <v>125</v>
      </c>
      <c r="AD135" s="103">
        <f t="shared" ref="AD135" si="316">+AA135/$X$5</f>
        <v>22.999999999999986</v>
      </c>
      <c r="AE135" s="104">
        <f t="shared" ref="AE135" si="317">+AB135/$Y$5</f>
        <v>19</v>
      </c>
    </row>
    <row r="136" spans="8:31" ht="15.75" thickBot="1">
      <c r="H136" t="str">
        <f t="shared" si="184"/>
        <v>SEPTIEMBRESem4040LUIS ESTUARDO GARCIA BARILLAS</v>
      </c>
      <c r="I136" s="14" t="str">
        <f>+_xlfn.XLOOKUP(K136,DetalleCalculos!W:W,DetalleCalculos!S:S,"",0,1)</f>
        <v>SEPTIEMBRE</v>
      </c>
      <c r="J136" s="72" t="str">
        <f t="shared" si="185"/>
        <v>Sem40</v>
      </c>
      <c r="K136" s="72">
        <f t="shared" ref="K136" si="318">+$H$19</f>
        <v>40</v>
      </c>
      <c r="L136" s="72">
        <f>+IF(_xlfn.XLOOKUP(K136,DetalleCalculos!W:W,DetalleCalculos!U:U,0,0,1)=7,1,2)</f>
        <v>1</v>
      </c>
      <c r="M136" s="79" t="str" cm="1">
        <f t="array" ref="M136">+INDEX($B$23:$B$89,ROUNDUP((ROW()-22)/3,0))</f>
        <v>LUIS ESTUARDO GARCIA BARILLAS</v>
      </c>
      <c r="N136" s="76">
        <f>SUMIFS(DetalleCalculos!$N:$N,DetalleCalculos!$W:$W,$K136,DetalleCalculos!$H:$H,$M136)*24</f>
        <v>63</v>
      </c>
      <c r="O136" s="80">
        <f>SUMIFS(DetalleCalculos!$P:$P,DetalleCalculos!$W:$W,$K136,DetalleCalculos!$H:$H,$M136)</f>
        <v>44</v>
      </c>
      <c r="P136" s="80">
        <f>SUMIFS(DetalleCalculos!$Q:$Q,DetalleCalculos!$W:$W,$K136,DetalleCalculos!$H:$H,$M136)</f>
        <v>0</v>
      </c>
      <c r="Q136" s="24">
        <f t="shared" si="187"/>
        <v>44</v>
      </c>
      <c r="R136" s="24">
        <f t="shared" si="188"/>
        <v>19</v>
      </c>
      <c r="S136" s="80" t="str">
        <f>_xlfn.XLOOKUP($J136&amp;$K136&amp;$M136,DetalleCalculos!$B:$B,DetalleCalculos!$O:$O,"",0,1)</f>
        <v>6-0-1</v>
      </c>
      <c r="T136" s="29">
        <f>+_xlfn.XLOOKUP($S136,'Horarios y Sistemas'!$C:$C,'Horarios y Sistemas'!M:M,0,0,1)</f>
        <v>1</v>
      </c>
      <c r="U136" s="29">
        <f t="shared" si="189"/>
        <v>0</v>
      </c>
      <c r="V136" s="30">
        <f t="shared" si="190"/>
        <v>19</v>
      </c>
      <c r="W136" s="30">
        <f t="shared" si="191"/>
        <v>0</v>
      </c>
      <c r="X136" s="24">
        <f t="shared" si="192"/>
        <v>28.5</v>
      </c>
      <c r="Y136" s="24">
        <f t="shared" si="193"/>
        <v>0</v>
      </c>
      <c r="Z136" s="95"/>
      <c r="AA136" s="99"/>
      <c r="AB136" s="100"/>
    </row>
    <row r="137" spans="8:31">
      <c r="H137" t="str">
        <f t="shared" si="184"/>
        <v>SEPTIEMBRESem3838Lusvin Ardani Alvizures</v>
      </c>
      <c r="I137" s="14" t="str">
        <f>+_xlfn.XLOOKUP(K137,DetalleCalculos!W:W,DetalleCalculos!S:S,"",0,1)</f>
        <v>SEPTIEMBRE</v>
      </c>
      <c r="J137" s="72" t="str">
        <f t="shared" si="185"/>
        <v>Sem38</v>
      </c>
      <c r="K137" s="72">
        <f t="shared" ref="K137" si="319">+$H$17</f>
        <v>38</v>
      </c>
      <c r="L137" s="72">
        <f>+IF(_xlfn.XLOOKUP(K137,DetalleCalculos!W:W,DetalleCalculos!U:U,0,0,1)=7,1,2)</f>
        <v>1</v>
      </c>
      <c r="M137" s="79" t="str" cm="1">
        <f t="array" ref="M137">+INDEX($B$23:$B$89,ROUNDUP((ROW()-22)/3,0))</f>
        <v>Lusvin Ardani Alvizures</v>
      </c>
      <c r="N137" s="76">
        <f>SUMIFS(DetalleCalculos!$N:$N,DetalleCalculos!$W:$W,$K137,DetalleCalculos!$H:$H,$M137)*24</f>
        <v>40.000000000000007</v>
      </c>
      <c r="O137" s="80">
        <f>SUMIFS(DetalleCalculos!$P:$P,DetalleCalculos!$W:$W,$K137,DetalleCalculos!$H:$H,$M137)</f>
        <v>44</v>
      </c>
      <c r="P137" s="80">
        <f>SUMIFS(DetalleCalculos!$Q:$Q,DetalleCalculos!$W:$W,$K137,DetalleCalculos!$H:$H,$M137)</f>
        <v>0</v>
      </c>
      <c r="Q137" s="80">
        <f t="shared" si="187"/>
        <v>44</v>
      </c>
      <c r="R137" s="80">
        <f t="shared" si="188"/>
        <v>0</v>
      </c>
      <c r="S137" s="80" t="str">
        <f>_xlfn.XLOOKUP($J137&amp;$K137&amp;$M137,DetalleCalculos!$B:$B,DetalleCalculos!$O:$O,"",0,1)</f>
        <v>5-0-2</v>
      </c>
      <c r="T137" s="81">
        <f>+_xlfn.XLOOKUP($S137,'Horarios y Sistemas'!$C:$C,'Horarios y Sistemas'!M:M,0,0,1)</f>
        <v>1</v>
      </c>
      <c r="U137" s="81">
        <f t="shared" si="189"/>
        <v>0</v>
      </c>
      <c r="V137" s="82">
        <f t="shared" si="190"/>
        <v>0</v>
      </c>
      <c r="W137" s="82">
        <f t="shared" si="191"/>
        <v>0</v>
      </c>
      <c r="X137" s="80">
        <f t="shared" si="192"/>
        <v>0</v>
      </c>
      <c r="Y137" s="80">
        <f t="shared" si="193"/>
        <v>0</v>
      </c>
      <c r="Z137" s="95" t="s">
        <v>245</v>
      </c>
      <c r="AA137" s="99">
        <f t="shared" ref="AA137:AB137" si="320">+SUM(X137:X139)</f>
        <v>40.499999999999936</v>
      </c>
      <c r="AB137" s="100">
        <f t="shared" si="320"/>
        <v>0</v>
      </c>
    </row>
    <row r="138" spans="8:31" ht="15.75" thickBot="1">
      <c r="H138" t="str">
        <f t="shared" si="184"/>
        <v>SEPTIEMBRESem3939Lusvin Ardani Alvizures</v>
      </c>
      <c r="I138" s="14" t="str">
        <f>+_xlfn.XLOOKUP(K138,DetalleCalculos!W:W,DetalleCalculos!S:S,"",0,1)</f>
        <v>SEPTIEMBRE</v>
      </c>
      <c r="J138" s="72" t="str">
        <f t="shared" si="185"/>
        <v>Sem39</v>
      </c>
      <c r="K138" s="72">
        <f t="shared" ref="K138" si="321">+$H$18</f>
        <v>39</v>
      </c>
      <c r="L138" s="72">
        <f>+IF(_xlfn.XLOOKUP(K138,DetalleCalculos!W:W,DetalleCalculos!U:U,0,0,1)=7,1,2)</f>
        <v>1</v>
      </c>
      <c r="M138" s="79" t="str" cm="1">
        <f t="array" ref="M138">+INDEX($B$23:$B$89,ROUNDUP((ROW()-22)/3,0))</f>
        <v>Lusvin Ardani Alvizures</v>
      </c>
      <c r="N138" s="76">
        <f>SUMIFS(DetalleCalculos!$N:$N,DetalleCalculos!$W:$W,$K138,DetalleCalculos!$H:$H,$M138)*24</f>
        <v>49.999999999999957</v>
      </c>
      <c r="O138" s="80">
        <f>SUMIFS(DetalleCalculos!$P:$P,DetalleCalculos!$W:$W,$K138,DetalleCalculos!$H:$H,$M138)</f>
        <v>44</v>
      </c>
      <c r="P138" s="80">
        <f>SUMIFS(DetalleCalculos!$Q:$Q,DetalleCalculos!$W:$W,$K138,DetalleCalculos!$H:$H,$M138)</f>
        <v>0</v>
      </c>
      <c r="Q138" s="24">
        <f t="shared" si="187"/>
        <v>44</v>
      </c>
      <c r="R138" s="24">
        <f t="shared" si="188"/>
        <v>5.9999999999999574</v>
      </c>
      <c r="S138" s="80" t="str">
        <f>_xlfn.XLOOKUP($J138&amp;$K138&amp;$M138,DetalleCalculos!$B:$B,DetalleCalculos!$O:$O,"",0,1)</f>
        <v>6-0-1</v>
      </c>
      <c r="T138" s="29">
        <f>+_xlfn.XLOOKUP($S138,'Horarios y Sistemas'!$C:$C,'Horarios y Sistemas'!M:M,0,0,1)</f>
        <v>1</v>
      </c>
      <c r="U138" s="29">
        <f t="shared" si="189"/>
        <v>0</v>
      </c>
      <c r="V138" s="30">
        <f t="shared" si="190"/>
        <v>5.9999999999999574</v>
      </c>
      <c r="W138" s="30">
        <f t="shared" si="191"/>
        <v>0</v>
      </c>
      <c r="X138" s="24">
        <f t="shared" si="192"/>
        <v>8.9999999999999361</v>
      </c>
      <c r="Y138" s="24">
        <f t="shared" si="193"/>
        <v>0</v>
      </c>
      <c r="Z138" s="96" t="s">
        <v>246</v>
      </c>
      <c r="AA138" s="101">
        <f t="shared" ref="AA138" si="322">+IF(AA137&lt;=0,0,IF(AND(AA137&gt;AB137,AB137&lt;=0),IF(AA137+AB137&gt;0,AA137+AB137,0),IF(AND(AA137&gt;0,AB137&gt;0),AA137,0)))</f>
        <v>40.499999999999936</v>
      </c>
      <c r="AB138" s="102">
        <f t="shared" ref="AB138" si="323">+IF(AB137&lt;=0,0,IF(AND(AB137&gt;AA137,AA137&lt;=0),IF(AB137+AA137&gt;0,AB137+AA137,0),IF(AND(AB137&gt;0,AA137&gt;0),AB137,0)))</f>
        <v>0</v>
      </c>
      <c r="AC138" s="97" t="s">
        <v>125</v>
      </c>
      <c r="AD138" s="103">
        <f t="shared" ref="AD138" si="324">+AA138/$X$5</f>
        <v>26.999999999999957</v>
      </c>
      <c r="AE138" s="104">
        <f t="shared" ref="AE138" si="325">+AB138/$Y$5</f>
        <v>0</v>
      </c>
    </row>
    <row r="139" spans="8:31" ht="15.75" thickBot="1">
      <c r="H139" t="str">
        <f t="shared" si="184"/>
        <v>SEPTIEMBRESem4040Lusvin Ardani Alvizures</v>
      </c>
      <c r="I139" s="14" t="str">
        <f>+_xlfn.XLOOKUP(K139,DetalleCalculos!W:W,DetalleCalculos!S:S,"",0,1)</f>
        <v>SEPTIEMBRE</v>
      </c>
      <c r="J139" s="72" t="str">
        <f t="shared" si="185"/>
        <v>Sem40</v>
      </c>
      <c r="K139" s="72">
        <f t="shared" ref="K139" si="326">+$H$19</f>
        <v>40</v>
      </c>
      <c r="L139" s="72">
        <f>+IF(_xlfn.XLOOKUP(K139,DetalleCalculos!W:W,DetalleCalculos!U:U,0,0,1)=7,1,2)</f>
        <v>1</v>
      </c>
      <c r="M139" s="79" t="str" cm="1">
        <f t="array" ref="M139">+INDEX($B$23:$B$89,ROUNDUP((ROW()-22)/3,0))</f>
        <v>Lusvin Ardani Alvizures</v>
      </c>
      <c r="N139" s="76">
        <f>SUMIFS(DetalleCalculos!$N:$N,DetalleCalculos!$W:$W,$K139,DetalleCalculos!$H:$H,$M139)*24</f>
        <v>65</v>
      </c>
      <c r="O139" s="80">
        <f>SUMIFS(DetalleCalculos!$P:$P,DetalleCalculos!$W:$W,$K139,DetalleCalculos!$H:$H,$M139)</f>
        <v>44</v>
      </c>
      <c r="P139" s="80">
        <f>SUMIFS(DetalleCalculos!$Q:$Q,DetalleCalculos!$W:$W,$K139,DetalleCalculos!$H:$H,$M139)</f>
        <v>0</v>
      </c>
      <c r="Q139" s="24">
        <f t="shared" si="187"/>
        <v>44</v>
      </c>
      <c r="R139" s="24">
        <f t="shared" si="188"/>
        <v>21</v>
      </c>
      <c r="S139" s="80" t="str">
        <f>_xlfn.XLOOKUP($J139&amp;$K139&amp;$M139,DetalleCalculos!$B:$B,DetalleCalculos!$O:$O,"",0,1)</f>
        <v>6-0-1</v>
      </c>
      <c r="T139" s="29">
        <f>+_xlfn.XLOOKUP($S139,'Horarios y Sistemas'!$C:$C,'Horarios y Sistemas'!M:M,0,0,1)</f>
        <v>1</v>
      </c>
      <c r="U139" s="29">
        <f t="shared" si="189"/>
        <v>0</v>
      </c>
      <c r="V139" s="30">
        <f t="shared" si="190"/>
        <v>21</v>
      </c>
      <c r="W139" s="30">
        <f t="shared" si="191"/>
        <v>0</v>
      </c>
      <c r="X139" s="24">
        <f t="shared" si="192"/>
        <v>31.5</v>
      </c>
      <c r="Y139" s="24">
        <f t="shared" si="193"/>
        <v>0</v>
      </c>
      <c r="Z139" s="95"/>
      <c r="AA139" s="99"/>
      <c r="AB139" s="100"/>
    </row>
    <row r="140" spans="8:31">
      <c r="H140" t="str">
        <f t="shared" si="184"/>
        <v>SEPTIEMBRESem3838MANUEL ALEJANDRO OSORIO CAHUEC</v>
      </c>
      <c r="I140" s="14" t="str">
        <f>+_xlfn.XLOOKUP(K140,DetalleCalculos!W:W,DetalleCalculos!S:S,"",0,1)</f>
        <v>SEPTIEMBRE</v>
      </c>
      <c r="J140" s="72" t="str">
        <f t="shared" si="185"/>
        <v>Sem38</v>
      </c>
      <c r="K140" s="72">
        <f t="shared" ref="K140" si="327">+$H$17</f>
        <v>38</v>
      </c>
      <c r="L140" s="72">
        <f>+IF(_xlfn.XLOOKUP(K140,DetalleCalculos!W:W,DetalleCalculos!U:U,0,0,1)=7,1,2)</f>
        <v>1</v>
      </c>
      <c r="M140" s="79" t="str" cm="1">
        <f t="array" ref="M140">+INDEX($B$23:$B$89,ROUNDUP((ROW()-22)/3,0))</f>
        <v>MANUEL ALEJANDRO OSORIO CAHUEC</v>
      </c>
      <c r="N140" s="76">
        <f>SUMIFS(DetalleCalculos!$N:$N,DetalleCalculos!$W:$W,$K140,DetalleCalculos!$H:$H,$M140)*24</f>
        <v>29.999999999999964</v>
      </c>
      <c r="O140" s="80">
        <f>SUMIFS(DetalleCalculos!$P:$P,DetalleCalculos!$W:$W,$K140,DetalleCalculos!$H:$H,$M140)</f>
        <v>40</v>
      </c>
      <c r="P140" s="80">
        <f>SUMIFS(DetalleCalculos!$Q:$Q,DetalleCalculos!$W:$W,$K140,DetalleCalculos!$H:$H,$M140)</f>
        <v>0</v>
      </c>
      <c r="Q140" s="80">
        <f t="shared" si="187"/>
        <v>40</v>
      </c>
      <c r="R140" s="80">
        <f t="shared" si="188"/>
        <v>0</v>
      </c>
      <c r="S140" s="80" t="str">
        <f>_xlfn.XLOOKUP($J140&amp;$K140&amp;$M140,DetalleCalculos!$B:$B,DetalleCalculos!$O:$O,"",0,1)</f>
        <v>2-2-3</v>
      </c>
      <c r="T140" s="81">
        <f>+_xlfn.XLOOKUP($S140,'Horarios y Sistemas'!$C:$C,'Horarios y Sistemas'!M:M,0,0,1)</f>
        <v>0.5</v>
      </c>
      <c r="U140" s="81">
        <f t="shared" si="189"/>
        <v>0.5</v>
      </c>
      <c r="V140" s="82">
        <f t="shared" si="190"/>
        <v>0</v>
      </c>
      <c r="W140" s="82">
        <f t="shared" si="191"/>
        <v>0</v>
      </c>
      <c r="X140" s="80">
        <f t="shared" si="192"/>
        <v>0</v>
      </c>
      <c r="Y140" s="80">
        <f t="shared" si="193"/>
        <v>0</v>
      </c>
      <c r="Z140" s="95" t="s">
        <v>245</v>
      </c>
      <c r="AA140" s="99">
        <f t="shared" ref="AA140:AB140" si="328">+SUM(X140:X142)</f>
        <v>2.2799999999999727</v>
      </c>
      <c r="AB140" s="100">
        <f t="shared" si="328"/>
        <v>3.4199999999999591</v>
      </c>
    </row>
    <row r="141" spans="8:31" ht="15.75" thickBot="1">
      <c r="H141" t="str">
        <f t="shared" si="184"/>
        <v>SEPTIEMBRESem3939MANUEL ALEJANDRO OSORIO CAHUEC</v>
      </c>
      <c r="I141" s="14" t="str">
        <f>+_xlfn.XLOOKUP(K141,DetalleCalculos!W:W,DetalleCalculos!S:S,"",0,1)</f>
        <v>SEPTIEMBRE</v>
      </c>
      <c r="J141" s="72" t="str">
        <f t="shared" si="185"/>
        <v>Sem39</v>
      </c>
      <c r="K141" s="72">
        <f t="shared" ref="K141" si="329">+$H$18</f>
        <v>39</v>
      </c>
      <c r="L141" s="72">
        <f>+IF(_xlfn.XLOOKUP(K141,DetalleCalculos!W:W,DetalleCalculos!U:U,0,0,1)=7,1,2)</f>
        <v>1</v>
      </c>
      <c r="M141" s="79" t="str" cm="1">
        <f t="array" ref="M141">+INDEX($B$23:$B$89,ROUNDUP((ROW()-22)/3,0))</f>
        <v>MANUEL ALEJANDRO OSORIO CAHUEC</v>
      </c>
      <c r="N141" s="76">
        <f>SUMIFS(DetalleCalculos!$N:$N,DetalleCalculos!$W:$W,$K141,DetalleCalculos!$H:$H,$M141)*24</f>
        <v>43.999999999999986</v>
      </c>
      <c r="O141" s="80">
        <f>SUMIFS(DetalleCalculos!$P:$P,DetalleCalculos!$W:$W,$K141,DetalleCalculos!$H:$H,$M141)</f>
        <v>44</v>
      </c>
      <c r="P141" s="80">
        <f>SUMIFS(DetalleCalculos!$Q:$Q,DetalleCalculos!$W:$W,$K141,DetalleCalculos!$H:$H,$M141)</f>
        <v>0</v>
      </c>
      <c r="Q141" s="24">
        <f t="shared" si="187"/>
        <v>44</v>
      </c>
      <c r="R141" s="24">
        <f t="shared" si="188"/>
        <v>0</v>
      </c>
      <c r="S141" s="80" t="str">
        <f>_xlfn.XLOOKUP($J141&amp;$K141&amp;$M141,DetalleCalculos!$B:$B,DetalleCalculos!$O:$O,"",0,1)</f>
        <v>6-0-1</v>
      </c>
      <c r="T141" s="29">
        <f>+_xlfn.XLOOKUP($S141,'Horarios y Sistemas'!$C:$C,'Horarios y Sistemas'!M:M,0,0,1)</f>
        <v>1</v>
      </c>
      <c r="U141" s="29">
        <f t="shared" si="189"/>
        <v>0</v>
      </c>
      <c r="V141" s="30">
        <f t="shared" si="190"/>
        <v>0</v>
      </c>
      <c r="W141" s="30">
        <f t="shared" si="191"/>
        <v>0</v>
      </c>
      <c r="X141" s="24">
        <f t="shared" si="192"/>
        <v>0</v>
      </c>
      <c r="Y141" s="24">
        <f t="shared" si="193"/>
        <v>0</v>
      </c>
      <c r="Z141" s="96" t="s">
        <v>246</v>
      </c>
      <c r="AA141" s="101">
        <f t="shared" ref="AA141" si="330">+IF(AA140&lt;=0,0,IF(AND(AA140&gt;AB140,AB140&lt;=0),IF(AA140+AB140&gt;0,AA140+AB140,0),IF(AND(AA140&gt;0,AB140&gt;0),AA140,0)))</f>
        <v>2.2799999999999727</v>
      </c>
      <c r="AB141" s="102">
        <f t="shared" ref="AB141" si="331">+IF(AB140&lt;=0,0,IF(AND(AB140&gt;AA140,AA140&lt;=0),IF(AB140+AA140&gt;0,AB140+AA140,0),IF(AND(AB140&gt;0,AA140&gt;0),AB140,0)))</f>
        <v>3.4199999999999591</v>
      </c>
      <c r="AC141" s="97" t="s">
        <v>125</v>
      </c>
      <c r="AD141" s="103">
        <f t="shared" ref="AD141" si="332">+AA141/$X$5</f>
        <v>1.5199999999999818</v>
      </c>
      <c r="AE141" s="104">
        <f t="shared" ref="AE141" si="333">+AB141/$Y$5</f>
        <v>2.2799999999999727</v>
      </c>
    </row>
    <row r="142" spans="8:31" ht="15.75" thickBot="1">
      <c r="H142" t="str">
        <f t="shared" si="184"/>
        <v>SEPTIEMBRESem4040MANUEL ALEJANDRO OSORIO CAHUEC</v>
      </c>
      <c r="I142" s="14" t="str">
        <f>+_xlfn.XLOOKUP(K142,DetalleCalculos!W:W,DetalleCalculos!S:S,"",0,1)</f>
        <v>SEPTIEMBRE</v>
      </c>
      <c r="J142" s="72" t="str">
        <f t="shared" si="185"/>
        <v>Sem40</v>
      </c>
      <c r="K142" s="72">
        <f t="shared" ref="K142" si="334">+$H$19</f>
        <v>40</v>
      </c>
      <c r="L142" s="72">
        <f>+IF(_xlfn.XLOOKUP(K142,DetalleCalculos!W:W,DetalleCalculos!U:U,0,0,1)=7,1,2)</f>
        <v>1</v>
      </c>
      <c r="M142" s="79" t="str" cm="1">
        <f t="array" ref="M142">+INDEX($B$23:$B$89,ROUNDUP((ROW()-22)/3,0))</f>
        <v>MANUEL ALEJANDRO OSORIO CAHUEC</v>
      </c>
      <c r="N142" s="76">
        <f>SUMIFS(DetalleCalculos!$N:$N,DetalleCalculos!$W:$W,$K142,DetalleCalculos!$H:$H,$M142)*24</f>
        <v>42.999999999999957</v>
      </c>
      <c r="O142" s="80">
        <f>SUMIFS(DetalleCalculos!$P:$P,DetalleCalculos!$W:$W,$K142,DetalleCalculos!$H:$H,$M142)</f>
        <v>39.200000000000003</v>
      </c>
      <c r="P142" s="80">
        <f>SUMIFS(DetalleCalculos!$Q:$Q,DetalleCalculos!$W:$W,$K142,DetalleCalculos!$H:$H,$M142)</f>
        <v>0</v>
      </c>
      <c r="Q142" s="24">
        <f t="shared" si="187"/>
        <v>39.200000000000003</v>
      </c>
      <c r="R142" s="24">
        <f t="shared" si="188"/>
        <v>3.7999999999999545</v>
      </c>
      <c r="S142" s="80" t="str">
        <f>_xlfn.XLOOKUP($J142&amp;$K142&amp;$M142,DetalleCalculos!$B:$B,DetalleCalculos!$O:$O,"",0,1)</f>
        <v>2-3-2</v>
      </c>
      <c r="T142" s="29">
        <f>+_xlfn.XLOOKUP($S142,'Horarios y Sistemas'!$C:$C,'Horarios y Sistemas'!M:M,0,0,1)</f>
        <v>0.4</v>
      </c>
      <c r="U142" s="29">
        <f t="shared" si="189"/>
        <v>0.6</v>
      </c>
      <c r="V142" s="30">
        <f t="shared" si="190"/>
        <v>1.5199999999999818</v>
      </c>
      <c r="W142" s="30">
        <f t="shared" si="191"/>
        <v>2.2799999999999727</v>
      </c>
      <c r="X142" s="24">
        <f t="shared" si="192"/>
        <v>2.2799999999999727</v>
      </c>
      <c r="Y142" s="24">
        <f t="shared" si="193"/>
        <v>3.4199999999999591</v>
      </c>
      <c r="Z142" s="95"/>
      <c r="AA142" s="99"/>
      <c r="AB142" s="100"/>
    </row>
    <row r="143" spans="8:31">
      <c r="H143" t="str">
        <f t="shared" si="184"/>
        <v>SEPTIEMBRESem3838MARROQUIN HERNANDEZ WILLIAM ERNESTO</v>
      </c>
      <c r="I143" s="14" t="str">
        <f>+_xlfn.XLOOKUP(K143,DetalleCalculos!W:W,DetalleCalculos!S:S,"",0,1)</f>
        <v>SEPTIEMBRE</v>
      </c>
      <c r="J143" s="72" t="str">
        <f t="shared" si="185"/>
        <v>Sem38</v>
      </c>
      <c r="K143" s="72">
        <f t="shared" ref="K143" si="335">+$H$17</f>
        <v>38</v>
      </c>
      <c r="L143" s="72">
        <f>+IF(_xlfn.XLOOKUP(K143,DetalleCalculos!W:W,DetalleCalculos!U:U,0,0,1)=7,1,2)</f>
        <v>1</v>
      </c>
      <c r="M143" s="79" t="str" cm="1">
        <f t="array" ref="M143">+INDEX($B$23:$B$89,ROUNDUP((ROW()-22)/3,0))</f>
        <v>MARROQUIN HERNANDEZ WILLIAM ERNESTO</v>
      </c>
      <c r="N143" s="76">
        <f>SUMIFS(DetalleCalculos!$N:$N,DetalleCalculos!$W:$W,$K143,DetalleCalculos!$H:$H,$M143)*24</f>
        <v>0</v>
      </c>
      <c r="O143" s="80">
        <f>SUMIFS(DetalleCalculos!$P:$P,DetalleCalculos!$W:$W,$K143,DetalleCalculos!$H:$H,$M143)</f>
        <v>0</v>
      </c>
      <c r="P143" s="80">
        <f>SUMIFS(DetalleCalculos!$Q:$Q,DetalleCalculos!$W:$W,$K143,DetalleCalculos!$H:$H,$M143)</f>
        <v>0</v>
      </c>
      <c r="Q143" s="80">
        <f t="shared" si="187"/>
        <v>0</v>
      </c>
      <c r="R143" s="80">
        <f t="shared" si="188"/>
        <v>0</v>
      </c>
      <c r="S143" s="80" t="str">
        <f>_xlfn.XLOOKUP($J143&amp;$K143&amp;$M143,DetalleCalculos!$B:$B,DetalleCalculos!$O:$O,"",0,1)</f>
        <v>0-0-7</v>
      </c>
      <c r="T143" s="81">
        <f>+_xlfn.XLOOKUP($S143,'Horarios y Sistemas'!$C:$C,'Horarios y Sistemas'!M:M,0,0,1)</f>
        <v>0</v>
      </c>
      <c r="U143" s="81">
        <f t="shared" si="189"/>
        <v>1</v>
      </c>
      <c r="V143" s="82">
        <f t="shared" si="190"/>
        <v>0</v>
      </c>
      <c r="W143" s="82">
        <f t="shared" si="191"/>
        <v>0</v>
      </c>
      <c r="X143" s="80">
        <f t="shared" si="192"/>
        <v>0</v>
      </c>
      <c r="Y143" s="80">
        <f t="shared" si="193"/>
        <v>0</v>
      </c>
      <c r="Z143" s="95" t="s">
        <v>245</v>
      </c>
      <c r="AA143" s="99">
        <f t="shared" ref="AA143:AB143" si="336">+SUM(X143:X145)</f>
        <v>0</v>
      </c>
      <c r="AB143" s="100">
        <f t="shared" si="336"/>
        <v>13.500000000000043</v>
      </c>
    </row>
    <row r="144" spans="8:31" ht="15.75" thickBot="1">
      <c r="H144" t="str">
        <f t="shared" si="184"/>
        <v>SEPTIEMBRESem3939MARROQUIN HERNANDEZ WILLIAM ERNESTO</v>
      </c>
      <c r="I144" s="14" t="str">
        <f>+_xlfn.XLOOKUP(K144,DetalleCalculos!W:W,DetalleCalculos!S:S,"",0,1)</f>
        <v>SEPTIEMBRE</v>
      </c>
      <c r="J144" s="72" t="str">
        <f t="shared" si="185"/>
        <v>Sem39</v>
      </c>
      <c r="K144" s="72">
        <f t="shared" ref="K144" si="337">+$H$18</f>
        <v>39</v>
      </c>
      <c r="L144" s="72">
        <f>+IF(_xlfn.XLOOKUP(K144,DetalleCalculos!W:W,DetalleCalculos!U:U,0,0,1)=7,1,2)</f>
        <v>1</v>
      </c>
      <c r="M144" s="79" t="str" cm="1">
        <f t="array" ref="M144">+INDEX($B$23:$B$89,ROUNDUP((ROW()-22)/3,0))</f>
        <v>MARROQUIN HERNANDEZ WILLIAM ERNESTO</v>
      </c>
      <c r="N144" s="76">
        <f>SUMIFS(DetalleCalculos!$N:$N,DetalleCalculos!$W:$W,$K144,DetalleCalculos!$H:$H,$M144)*24</f>
        <v>0</v>
      </c>
      <c r="O144" s="80">
        <f>SUMIFS(DetalleCalculos!$P:$P,DetalleCalculos!$W:$W,$K144,DetalleCalculos!$H:$H,$M144)</f>
        <v>0</v>
      </c>
      <c r="P144" s="80">
        <f>SUMIFS(DetalleCalculos!$Q:$Q,DetalleCalculos!$W:$W,$K144,DetalleCalculos!$H:$H,$M144)</f>
        <v>0</v>
      </c>
      <c r="Q144" s="24">
        <f t="shared" si="187"/>
        <v>0</v>
      </c>
      <c r="R144" s="24">
        <f t="shared" si="188"/>
        <v>0</v>
      </c>
      <c r="S144" s="80" t="str">
        <f>_xlfn.XLOOKUP($J144&amp;$K144&amp;$M144,DetalleCalculos!$B:$B,DetalleCalculos!$O:$O,"",0,1)</f>
        <v>0-0-7</v>
      </c>
      <c r="T144" s="29">
        <f>+_xlfn.XLOOKUP($S144,'Horarios y Sistemas'!$C:$C,'Horarios y Sistemas'!M:M,0,0,1)</f>
        <v>0</v>
      </c>
      <c r="U144" s="29">
        <f t="shared" si="189"/>
        <v>1</v>
      </c>
      <c r="V144" s="30">
        <f t="shared" si="190"/>
        <v>0</v>
      </c>
      <c r="W144" s="30">
        <f t="shared" si="191"/>
        <v>0</v>
      </c>
      <c r="X144" s="24">
        <f t="shared" si="192"/>
        <v>0</v>
      </c>
      <c r="Y144" s="24">
        <f t="shared" si="193"/>
        <v>0</v>
      </c>
      <c r="Z144" s="96" t="s">
        <v>246</v>
      </c>
      <c r="AA144" s="101">
        <f t="shared" ref="AA144" si="338">+IF(AA143&lt;=0,0,IF(AND(AA143&gt;AB143,AB143&lt;=0),IF(AA143+AB143&gt;0,AA143+AB143,0),IF(AND(AA143&gt;0,AB143&gt;0),AA143,0)))</f>
        <v>0</v>
      </c>
      <c r="AB144" s="102">
        <f t="shared" ref="AB144" si="339">+IF(AB143&lt;=0,0,IF(AND(AB143&gt;AA143,AA143&lt;=0),IF(AB143+AA143&gt;0,AB143+AA143,0),IF(AND(AB143&gt;0,AA143&gt;0),AB143,0)))</f>
        <v>13.500000000000043</v>
      </c>
      <c r="AC144" s="97" t="s">
        <v>125</v>
      </c>
      <c r="AD144" s="103">
        <f t="shared" ref="AD144" si="340">+AA144/$X$5</f>
        <v>0</v>
      </c>
      <c r="AE144" s="104">
        <f t="shared" ref="AE144" si="341">+AB144/$Y$5</f>
        <v>9.0000000000000284</v>
      </c>
    </row>
    <row r="145" spans="8:31" ht="15.75" thickBot="1">
      <c r="H145" t="str">
        <f t="shared" si="184"/>
        <v>SEPTIEMBRESem4040MARROQUIN HERNANDEZ WILLIAM ERNESTO</v>
      </c>
      <c r="I145" s="14" t="str">
        <f>+_xlfn.XLOOKUP(K145,DetalleCalculos!W:W,DetalleCalculos!S:S,"",0,1)</f>
        <v>SEPTIEMBRE</v>
      </c>
      <c r="J145" s="72" t="str">
        <f t="shared" si="185"/>
        <v>Sem40</v>
      </c>
      <c r="K145" s="72">
        <f t="shared" ref="K145" si="342">+$H$19</f>
        <v>40</v>
      </c>
      <c r="L145" s="72">
        <f>+IF(_xlfn.XLOOKUP(K145,DetalleCalculos!W:W,DetalleCalculos!U:U,0,0,1)=7,1,2)</f>
        <v>1</v>
      </c>
      <c r="M145" s="79" t="str" cm="1">
        <f t="array" ref="M145">+INDEX($B$23:$B$89,ROUNDUP((ROW()-22)/3,0))</f>
        <v>MARROQUIN HERNANDEZ WILLIAM ERNESTO</v>
      </c>
      <c r="N145" s="76">
        <f>SUMIFS(DetalleCalculos!$N:$N,DetalleCalculos!$W:$W,$K145,DetalleCalculos!$H:$H,$M145)*24</f>
        <v>45.000000000000028</v>
      </c>
      <c r="O145" s="80">
        <f>SUMIFS(DetalleCalculos!$P:$P,DetalleCalculos!$W:$W,$K145,DetalleCalculos!$H:$H,$M145)</f>
        <v>36</v>
      </c>
      <c r="P145" s="80">
        <f>SUMIFS(DetalleCalculos!$Q:$Q,DetalleCalculos!$W:$W,$K145,DetalleCalculos!$H:$H,$M145)</f>
        <v>0</v>
      </c>
      <c r="Q145" s="24">
        <f t="shared" si="187"/>
        <v>36</v>
      </c>
      <c r="R145" s="24">
        <f t="shared" si="188"/>
        <v>9.0000000000000284</v>
      </c>
      <c r="S145" s="80" t="str">
        <f>_xlfn.XLOOKUP($J145&amp;$K145&amp;$M145,DetalleCalculos!$B:$B,DetalleCalculos!$O:$O,"",0,1)</f>
        <v>0-5-2</v>
      </c>
      <c r="T145" s="29">
        <f>+_xlfn.XLOOKUP($S145,'Horarios y Sistemas'!$C:$C,'Horarios y Sistemas'!M:M,0,0,1)</f>
        <v>0</v>
      </c>
      <c r="U145" s="29">
        <f t="shared" si="189"/>
        <v>1</v>
      </c>
      <c r="V145" s="30">
        <f t="shared" si="190"/>
        <v>0</v>
      </c>
      <c r="W145" s="30">
        <f t="shared" si="191"/>
        <v>9.0000000000000284</v>
      </c>
      <c r="X145" s="24">
        <f t="shared" si="192"/>
        <v>0</v>
      </c>
      <c r="Y145" s="24">
        <f t="shared" si="193"/>
        <v>13.500000000000043</v>
      </c>
      <c r="Z145" s="95"/>
      <c r="AA145" s="99"/>
      <c r="AB145" s="100"/>
    </row>
    <row r="146" spans="8:31">
      <c r="H146" t="str">
        <f t="shared" si="184"/>
        <v>SEPTIEMBRESem3838MYNOR ROLANDO ACAJABON MORALES</v>
      </c>
      <c r="I146" s="14" t="str">
        <f>+_xlfn.XLOOKUP(K146,DetalleCalculos!W:W,DetalleCalculos!S:S,"",0,1)</f>
        <v>SEPTIEMBRE</v>
      </c>
      <c r="J146" s="72" t="str">
        <f t="shared" si="185"/>
        <v>Sem38</v>
      </c>
      <c r="K146" s="72">
        <f t="shared" ref="K146" si="343">+$H$17</f>
        <v>38</v>
      </c>
      <c r="L146" s="72">
        <f>+IF(_xlfn.XLOOKUP(K146,DetalleCalculos!W:W,DetalleCalculos!U:U,0,0,1)=7,1,2)</f>
        <v>1</v>
      </c>
      <c r="M146" s="79" t="str" cm="1">
        <f t="array" ref="M146">+INDEX($B$23:$B$89,ROUNDUP((ROW()-22)/3,0))</f>
        <v>MYNOR ROLANDO ACAJABON MORALES</v>
      </c>
      <c r="N146" s="76">
        <f>SUMIFS(DetalleCalculos!$N:$N,DetalleCalculos!$W:$W,$K146,DetalleCalculos!$H:$H,$M146)*24</f>
        <v>0</v>
      </c>
      <c r="O146" s="80">
        <f>SUMIFS(DetalleCalculos!$P:$P,DetalleCalculos!$W:$W,$K146,DetalleCalculos!$H:$H,$M146)</f>
        <v>0</v>
      </c>
      <c r="P146" s="80">
        <f>SUMIFS(DetalleCalculos!$Q:$Q,DetalleCalculos!$W:$W,$K146,DetalleCalculos!$H:$H,$M146)</f>
        <v>0</v>
      </c>
      <c r="Q146" s="80">
        <f t="shared" si="187"/>
        <v>0</v>
      </c>
      <c r="R146" s="80">
        <f t="shared" si="188"/>
        <v>0</v>
      </c>
      <c r="S146" s="80" t="str">
        <f>_xlfn.XLOOKUP($J146&amp;$K146&amp;$M146,DetalleCalculos!$B:$B,DetalleCalculos!$O:$O,"",0,1)</f>
        <v/>
      </c>
      <c r="T146" s="81">
        <f>+_xlfn.XLOOKUP($S146,'Horarios y Sistemas'!$C:$C,'Horarios y Sistemas'!M:M,0,0,1)</f>
        <v>0</v>
      </c>
      <c r="U146" s="81">
        <f t="shared" si="189"/>
        <v>1</v>
      </c>
      <c r="V146" s="82">
        <f t="shared" si="190"/>
        <v>0</v>
      </c>
      <c r="W146" s="82">
        <f t="shared" si="191"/>
        <v>0</v>
      </c>
      <c r="X146" s="80">
        <f t="shared" si="192"/>
        <v>0</v>
      </c>
      <c r="Y146" s="80">
        <f t="shared" si="193"/>
        <v>0</v>
      </c>
      <c r="Z146" s="95" t="s">
        <v>245</v>
      </c>
      <c r="AA146" s="99">
        <f t="shared" ref="AA146:AB146" si="344">+SUM(X146:X148)</f>
        <v>0</v>
      </c>
      <c r="AB146" s="100">
        <f t="shared" si="344"/>
        <v>0</v>
      </c>
    </row>
    <row r="147" spans="8:31" ht="15.75" thickBot="1">
      <c r="H147" t="str">
        <f t="shared" si="184"/>
        <v>SEPTIEMBRESem3939MYNOR ROLANDO ACAJABON MORALES</v>
      </c>
      <c r="I147" s="14" t="str">
        <f>+_xlfn.XLOOKUP(K147,DetalleCalculos!W:W,DetalleCalculos!S:S,"",0,1)</f>
        <v>SEPTIEMBRE</v>
      </c>
      <c r="J147" s="72" t="str">
        <f t="shared" si="185"/>
        <v>Sem39</v>
      </c>
      <c r="K147" s="72">
        <f t="shared" ref="K147" si="345">+$H$18</f>
        <v>39</v>
      </c>
      <c r="L147" s="72">
        <f>+IF(_xlfn.XLOOKUP(K147,DetalleCalculos!W:W,DetalleCalculos!U:U,0,0,1)=7,1,2)</f>
        <v>1</v>
      </c>
      <c r="M147" s="79" t="str" cm="1">
        <f t="array" ref="M147">+INDEX($B$23:$B$89,ROUNDUP((ROW()-22)/3,0))</f>
        <v>MYNOR ROLANDO ACAJABON MORALES</v>
      </c>
      <c r="N147" s="76">
        <f>SUMIFS(DetalleCalculos!$N:$N,DetalleCalculos!$W:$W,$K147,DetalleCalculos!$H:$H,$M147)*24</f>
        <v>0</v>
      </c>
      <c r="O147" s="80">
        <f>SUMIFS(DetalleCalculos!$P:$P,DetalleCalculos!$W:$W,$K147,DetalleCalculos!$H:$H,$M147)</f>
        <v>0</v>
      </c>
      <c r="P147" s="80">
        <f>SUMIFS(DetalleCalculos!$Q:$Q,DetalleCalculos!$W:$W,$K147,DetalleCalculos!$H:$H,$M147)</f>
        <v>0</v>
      </c>
      <c r="Q147" s="24">
        <f t="shared" si="187"/>
        <v>0</v>
      </c>
      <c r="R147" s="24">
        <f t="shared" si="188"/>
        <v>0</v>
      </c>
      <c r="S147" s="80" t="str">
        <f>_xlfn.XLOOKUP($J147&amp;$K147&amp;$M147,DetalleCalculos!$B:$B,DetalleCalculos!$O:$O,"",0,1)</f>
        <v/>
      </c>
      <c r="T147" s="29">
        <f>+_xlfn.XLOOKUP($S147,'Horarios y Sistemas'!$C:$C,'Horarios y Sistemas'!M:M,0,0,1)</f>
        <v>0</v>
      </c>
      <c r="U147" s="29">
        <f t="shared" si="189"/>
        <v>1</v>
      </c>
      <c r="V147" s="30">
        <f t="shared" si="190"/>
        <v>0</v>
      </c>
      <c r="W147" s="30">
        <f t="shared" si="191"/>
        <v>0</v>
      </c>
      <c r="X147" s="24">
        <f t="shared" si="192"/>
        <v>0</v>
      </c>
      <c r="Y147" s="24">
        <f t="shared" si="193"/>
        <v>0</v>
      </c>
      <c r="Z147" s="96" t="s">
        <v>246</v>
      </c>
      <c r="AA147" s="101">
        <f t="shared" ref="AA147" si="346">+IF(AA146&lt;=0,0,IF(AND(AA146&gt;AB146,AB146&lt;=0),IF(AA146+AB146&gt;0,AA146+AB146,0),IF(AND(AA146&gt;0,AB146&gt;0),AA146,0)))</f>
        <v>0</v>
      </c>
      <c r="AB147" s="102">
        <f t="shared" ref="AB147" si="347">+IF(AB146&lt;=0,0,IF(AND(AB146&gt;AA146,AA146&lt;=0),IF(AB146+AA146&gt;0,AB146+AA146,0),IF(AND(AB146&gt;0,AA146&gt;0),AB146,0)))</f>
        <v>0</v>
      </c>
      <c r="AC147" s="97" t="s">
        <v>125</v>
      </c>
      <c r="AD147" s="103">
        <f t="shared" ref="AD147" si="348">+AA147/$X$5</f>
        <v>0</v>
      </c>
      <c r="AE147" s="104">
        <f t="shared" ref="AE147" si="349">+AB147/$Y$5</f>
        <v>0</v>
      </c>
    </row>
    <row r="148" spans="8:31" ht="15.75" thickBot="1">
      <c r="H148" t="str">
        <f t="shared" si="184"/>
        <v>SEPTIEMBRESem4040MYNOR ROLANDO ACAJABON MORALES</v>
      </c>
      <c r="I148" s="14" t="str">
        <f>+_xlfn.XLOOKUP(K148,DetalleCalculos!W:W,DetalleCalculos!S:S,"",0,1)</f>
        <v>SEPTIEMBRE</v>
      </c>
      <c r="J148" s="72" t="str">
        <f t="shared" si="185"/>
        <v>Sem40</v>
      </c>
      <c r="K148" s="72">
        <f t="shared" ref="K148" si="350">+$H$19</f>
        <v>40</v>
      </c>
      <c r="L148" s="72">
        <f>+IF(_xlfn.XLOOKUP(K148,DetalleCalculos!W:W,DetalleCalculos!U:U,0,0,1)=7,1,2)</f>
        <v>1</v>
      </c>
      <c r="M148" s="79" t="str" cm="1">
        <f t="array" ref="M148">+INDEX($B$23:$B$89,ROUNDUP((ROW()-22)/3,0))</f>
        <v>MYNOR ROLANDO ACAJABON MORALES</v>
      </c>
      <c r="N148" s="76">
        <f>SUMIFS(DetalleCalculos!$N:$N,DetalleCalculos!$W:$W,$K148,DetalleCalculos!$H:$H,$M148)*24</f>
        <v>0</v>
      </c>
      <c r="O148" s="80">
        <f>SUMIFS(DetalleCalculos!$P:$P,DetalleCalculos!$W:$W,$K148,DetalleCalculos!$H:$H,$M148)</f>
        <v>0</v>
      </c>
      <c r="P148" s="80">
        <f>SUMIFS(DetalleCalculos!$Q:$Q,DetalleCalculos!$W:$W,$K148,DetalleCalculos!$H:$H,$M148)</f>
        <v>0</v>
      </c>
      <c r="Q148" s="24">
        <f t="shared" si="187"/>
        <v>0</v>
      </c>
      <c r="R148" s="24">
        <f t="shared" si="188"/>
        <v>0</v>
      </c>
      <c r="S148" s="80" t="str">
        <f>_xlfn.XLOOKUP($J148&amp;$K148&amp;$M148,DetalleCalculos!$B:$B,DetalleCalculos!$O:$O,"",0,1)</f>
        <v/>
      </c>
      <c r="T148" s="29">
        <f>+_xlfn.XLOOKUP($S148,'Horarios y Sistemas'!$C:$C,'Horarios y Sistemas'!M:M,0,0,1)</f>
        <v>0</v>
      </c>
      <c r="U148" s="29">
        <f t="shared" si="189"/>
        <v>1</v>
      </c>
      <c r="V148" s="30">
        <f t="shared" si="190"/>
        <v>0</v>
      </c>
      <c r="W148" s="30">
        <f t="shared" si="191"/>
        <v>0</v>
      </c>
      <c r="X148" s="24">
        <f t="shared" si="192"/>
        <v>0</v>
      </c>
      <c r="Y148" s="24">
        <f t="shared" si="193"/>
        <v>0</v>
      </c>
      <c r="Z148" s="95"/>
      <c r="AA148" s="99"/>
      <c r="AB148" s="100"/>
    </row>
    <row r="149" spans="8:31">
      <c r="H149" t="str">
        <f t="shared" si="184"/>
        <v>SEPTIEMBRESem3838Marcos Hosdualvi Hernadez Obando</v>
      </c>
      <c r="I149" s="14" t="str">
        <f>+_xlfn.XLOOKUP(K149,DetalleCalculos!W:W,DetalleCalculos!S:S,"",0,1)</f>
        <v>SEPTIEMBRE</v>
      </c>
      <c r="J149" s="72" t="str">
        <f t="shared" si="185"/>
        <v>Sem38</v>
      </c>
      <c r="K149" s="72">
        <f t="shared" ref="K149" si="351">+$H$17</f>
        <v>38</v>
      </c>
      <c r="L149" s="72">
        <f>+IF(_xlfn.XLOOKUP(K149,DetalleCalculos!W:W,DetalleCalculos!U:U,0,0,1)=7,1,2)</f>
        <v>1</v>
      </c>
      <c r="M149" s="79" t="str" cm="1">
        <f t="array" ref="M149">+INDEX($B$23:$B$89,ROUNDUP((ROW()-22)/3,0))</f>
        <v>Marcos Hosdualvi Hernadez Obando</v>
      </c>
      <c r="N149" s="76">
        <f>SUMIFS(DetalleCalculos!$N:$N,DetalleCalculos!$W:$W,$K149,DetalleCalculos!$H:$H,$M149)*24</f>
        <v>32</v>
      </c>
      <c r="O149" s="80">
        <f>SUMIFS(DetalleCalculos!$P:$P,DetalleCalculos!$W:$W,$K149,DetalleCalculos!$H:$H,$M149)</f>
        <v>44</v>
      </c>
      <c r="P149" s="80">
        <f>SUMIFS(DetalleCalculos!$Q:$Q,DetalleCalculos!$W:$W,$K149,DetalleCalculos!$H:$H,$M149)</f>
        <v>0</v>
      </c>
      <c r="Q149" s="80">
        <f t="shared" si="187"/>
        <v>44</v>
      </c>
      <c r="R149" s="80">
        <f t="shared" si="188"/>
        <v>0</v>
      </c>
      <c r="S149" s="80" t="str">
        <f>_xlfn.XLOOKUP($J149&amp;$K149&amp;$M149,DetalleCalculos!$B:$B,DetalleCalculos!$O:$O,"",0,1)</f>
        <v>4-0-3</v>
      </c>
      <c r="T149" s="81">
        <f>+_xlfn.XLOOKUP($S149,'Horarios y Sistemas'!$C:$C,'Horarios y Sistemas'!M:M,0,0,1)</f>
        <v>1</v>
      </c>
      <c r="U149" s="81">
        <f t="shared" si="189"/>
        <v>0</v>
      </c>
      <c r="V149" s="82">
        <f t="shared" si="190"/>
        <v>0</v>
      </c>
      <c r="W149" s="82">
        <f t="shared" si="191"/>
        <v>0</v>
      </c>
      <c r="X149" s="80">
        <f t="shared" si="192"/>
        <v>0</v>
      </c>
      <c r="Y149" s="80">
        <f t="shared" si="193"/>
        <v>0</v>
      </c>
      <c r="Z149" s="95" t="s">
        <v>245</v>
      </c>
      <c r="AA149" s="99">
        <f t="shared" ref="AA149:AB149" si="352">+SUM(X149:X151)</f>
        <v>0</v>
      </c>
      <c r="AB149" s="100">
        <f t="shared" si="352"/>
        <v>28.5</v>
      </c>
    </row>
    <row r="150" spans="8:31" ht="15.75" thickBot="1">
      <c r="H150" t="str">
        <f t="shared" si="184"/>
        <v>SEPTIEMBRESem3939Marcos Hosdualvi Hernadez Obando</v>
      </c>
      <c r="I150" s="14" t="str">
        <f>+_xlfn.XLOOKUP(K150,DetalleCalculos!W:W,DetalleCalculos!S:S,"",0,1)</f>
        <v>SEPTIEMBRE</v>
      </c>
      <c r="J150" s="72" t="str">
        <f t="shared" si="185"/>
        <v>Sem39</v>
      </c>
      <c r="K150" s="72">
        <f t="shared" ref="K150" si="353">+$H$18</f>
        <v>39</v>
      </c>
      <c r="L150" s="72">
        <f>+IF(_xlfn.XLOOKUP(K150,DetalleCalculos!W:W,DetalleCalculos!U:U,0,0,1)=7,1,2)</f>
        <v>1</v>
      </c>
      <c r="M150" s="79" t="str" cm="1">
        <f t="array" ref="M150">+INDEX($B$23:$B$89,ROUNDUP((ROW()-22)/3,0))</f>
        <v>Marcos Hosdualvi Hernadez Obando</v>
      </c>
      <c r="N150" s="76">
        <f>SUMIFS(DetalleCalculos!$N:$N,DetalleCalculos!$W:$W,$K150,DetalleCalculos!$H:$H,$M150)*24</f>
        <v>41</v>
      </c>
      <c r="O150" s="80">
        <f>SUMIFS(DetalleCalculos!$P:$P,DetalleCalculos!$W:$W,$K150,DetalleCalculos!$H:$H,$M150)</f>
        <v>44</v>
      </c>
      <c r="P150" s="80">
        <f>SUMIFS(DetalleCalculos!$Q:$Q,DetalleCalculos!$W:$W,$K150,DetalleCalculos!$H:$H,$M150)</f>
        <v>0</v>
      </c>
      <c r="Q150" s="24">
        <f t="shared" si="187"/>
        <v>44</v>
      </c>
      <c r="R150" s="24">
        <f t="shared" si="188"/>
        <v>0</v>
      </c>
      <c r="S150" s="80" t="str">
        <f>_xlfn.XLOOKUP($J150&amp;$K150&amp;$M150,DetalleCalculos!$B:$B,DetalleCalculos!$O:$O,"",0,1)</f>
        <v>4-0-3</v>
      </c>
      <c r="T150" s="29">
        <f>+_xlfn.XLOOKUP($S150,'Horarios y Sistemas'!$C:$C,'Horarios y Sistemas'!M:M,0,0,1)</f>
        <v>1</v>
      </c>
      <c r="U150" s="29">
        <f t="shared" si="189"/>
        <v>0</v>
      </c>
      <c r="V150" s="30">
        <f t="shared" si="190"/>
        <v>0</v>
      </c>
      <c r="W150" s="30">
        <f t="shared" si="191"/>
        <v>0</v>
      </c>
      <c r="X150" s="24">
        <f t="shared" si="192"/>
        <v>0</v>
      </c>
      <c r="Y150" s="24">
        <f t="shared" si="193"/>
        <v>0</v>
      </c>
      <c r="Z150" s="96" t="s">
        <v>246</v>
      </c>
      <c r="AA150" s="101">
        <f t="shared" ref="AA150" si="354">+IF(AA149&lt;=0,0,IF(AND(AA149&gt;AB149,AB149&lt;=0),IF(AA149+AB149&gt;0,AA149+AB149,0),IF(AND(AA149&gt;0,AB149&gt;0),AA149,0)))</f>
        <v>0</v>
      </c>
      <c r="AB150" s="102">
        <f t="shared" ref="AB150" si="355">+IF(AB149&lt;=0,0,IF(AND(AB149&gt;AA149,AA149&lt;=0),IF(AB149+AA149&gt;0,AB149+AA149,0),IF(AND(AB149&gt;0,AA149&gt;0),AB149,0)))</f>
        <v>28.5</v>
      </c>
      <c r="AC150" s="97" t="s">
        <v>125</v>
      </c>
      <c r="AD150" s="103">
        <f t="shared" ref="AD150" si="356">+AA150/$X$5</f>
        <v>0</v>
      </c>
      <c r="AE150" s="104">
        <f t="shared" ref="AE150" si="357">+AB150/$Y$5</f>
        <v>19</v>
      </c>
    </row>
    <row r="151" spans="8:31" ht="15.75" thickBot="1">
      <c r="H151" t="str">
        <f t="shared" si="184"/>
        <v>SEPTIEMBRESem4040Marcos Hosdualvi Hernadez Obando</v>
      </c>
      <c r="I151" s="14" t="str">
        <f>+_xlfn.XLOOKUP(K151,DetalleCalculos!W:W,DetalleCalculos!S:S,"",0,1)</f>
        <v>SEPTIEMBRE</v>
      </c>
      <c r="J151" s="72" t="str">
        <f t="shared" si="185"/>
        <v>Sem40</v>
      </c>
      <c r="K151" s="72">
        <f t="shared" ref="K151" si="358">+$H$19</f>
        <v>40</v>
      </c>
      <c r="L151" s="72">
        <f>+IF(_xlfn.XLOOKUP(K151,DetalleCalculos!W:W,DetalleCalculos!U:U,0,0,1)=7,1,2)</f>
        <v>1</v>
      </c>
      <c r="M151" s="79" t="str" cm="1">
        <f t="array" ref="M151">+INDEX($B$23:$B$89,ROUNDUP((ROW()-22)/3,0))</f>
        <v>Marcos Hosdualvi Hernadez Obando</v>
      </c>
      <c r="N151" s="76">
        <f>SUMIFS(DetalleCalculos!$N:$N,DetalleCalculos!$W:$W,$K151,DetalleCalculos!$H:$H,$M151)*24</f>
        <v>55</v>
      </c>
      <c r="O151" s="80">
        <f>SUMIFS(DetalleCalculos!$P:$P,DetalleCalculos!$W:$W,$K151,DetalleCalculos!$H:$H,$M151)</f>
        <v>36</v>
      </c>
      <c r="P151" s="80">
        <f>SUMIFS(DetalleCalculos!$Q:$Q,DetalleCalculos!$W:$W,$K151,DetalleCalculos!$H:$H,$M151)</f>
        <v>0</v>
      </c>
      <c r="Q151" s="24">
        <f t="shared" si="187"/>
        <v>36</v>
      </c>
      <c r="R151" s="24">
        <f t="shared" si="188"/>
        <v>19</v>
      </c>
      <c r="S151" s="80" t="str">
        <f>_xlfn.XLOOKUP($J151&amp;$K151&amp;$M151,DetalleCalculos!$B:$B,DetalleCalculos!$O:$O,"",0,1)</f>
        <v>0-5-2</v>
      </c>
      <c r="T151" s="29">
        <f>+_xlfn.XLOOKUP($S151,'Horarios y Sistemas'!$C:$C,'Horarios y Sistemas'!M:M,0,0,1)</f>
        <v>0</v>
      </c>
      <c r="U151" s="29">
        <f t="shared" si="189"/>
        <v>1</v>
      </c>
      <c r="V151" s="30">
        <f t="shared" si="190"/>
        <v>0</v>
      </c>
      <c r="W151" s="30">
        <f t="shared" si="191"/>
        <v>19</v>
      </c>
      <c r="X151" s="24">
        <f t="shared" si="192"/>
        <v>0</v>
      </c>
      <c r="Y151" s="24">
        <f t="shared" si="193"/>
        <v>28.5</v>
      </c>
      <c r="Z151" s="95"/>
      <c r="AA151" s="99"/>
      <c r="AB151" s="100"/>
    </row>
    <row r="152" spans="8:31">
      <c r="H152" t="str">
        <f t="shared" si="184"/>
        <v>SEPTIEMBRESem3838Marvin Alexander Flores Fuentes</v>
      </c>
      <c r="I152" s="14" t="str">
        <f>+_xlfn.XLOOKUP(K152,DetalleCalculos!W:W,DetalleCalculos!S:S,"",0,1)</f>
        <v>SEPTIEMBRE</v>
      </c>
      <c r="J152" s="72" t="str">
        <f t="shared" si="185"/>
        <v>Sem38</v>
      </c>
      <c r="K152" s="72">
        <f t="shared" ref="K152" si="359">+$H$17</f>
        <v>38</v>
      </c>
      <c r="L152" s="72">
        <f>+IF(_xlfn.XLOOKUP(K152,DetalleCalculos!W:W,DetalleCalculos!U:U,0,0,1)=7,1,2)</f>
        <v>1</v>
      </c>
      <c r="M152" s="79" t="str" cm="1">
        <f t="array" ref="M152">+INDEX($B$23:$B$89,ROUNDUP((ROW()-22)/3,0))</f>
        <v>Marvin Alexander Flores Fuentes</v>
      </c>
      <c r="N152" s="76">
        <f>SUMIFS(DetalleCalculos!$N:$N,DetalleCalculos!$W:$W,$K152,DetalleCalculos!$H:$H,$M152)*24</f>
        <v>52</v>
      </c>
      <c r="O152" s="80">
        <f>SUMIFS(DetalleCalculos!$P:$P,DetalleCalculos!$W:$W,$K152,DetalleCalculos!$H:$H,$M152)</f>
        <v>44</v>
      </c>
      <c r="P152" s="80">
        <f>SUMIFS(DetalleCalculos!$Q:$Q,DetalleCalculos!$W:$W,$K152,DetalleCalculos!$H:$H,$M152)</f>
        <v>0</v>
      </c>
      <c r="Q152" s="80">
        <f t="shared" si="187"/>
        <v>44</v>
      </c>
      <c r="R152" s="80">
        <f t="shared" si="188"/>
        <v>8</v>
      </c>
      <c r="S152" s="80" t="str">
        <f>_xlfn.XLOOKUP($J152&amp;$K152&amp;$M152,DetalleCalculos!$B:$B,DetalleCalculos!$O:$O,"",0,1)</f>
        <v>5-0-2</v>
      </c>
      <c r="T152" s="81">
        <f>+_xlfn.XLOOKUP($S152,'Horarios y Sistemas'!$C:$C,'Horarios y Sistemas'!M:M,0,0,1)</f>
        <v>1</v>
      </c>
      <c r="U152" s="81">
        <f t="shared" si="189"/>
        <v>0</v>
      </c>
      <c r="V152" s="82">
        <f t="shared" si="190"/>
        <v>8</v>
      </c>
      <c r="W152" s="82">
        <f t="shared" si="191"/>
        <v>0</v>
      </c>
      <c r="X152" s="80">
        <f t="shared" si="192"/>
        <v>12</v>
      </c>
      <c r="Y152" s="80">
        <f t="shared" si="193"/>
        <v>0</v>
      </c>
      <c r="Z152" s="95" t="s">
        <v>245</v>
      </c>
      <c r="AA152" s="99">
        <f t="shared" ref="AA152:AB152" si="360">+SUM(X152:X154)</f>
        <v>31.500000000000021</v>
      </c>
      <c r="AB152" s="100">
        <f t="shared" si="360"/>
        <v>0</v>
      </c>
    </row>
    <row r="153" spans="8:31" ht="15.75" thickBot="1">
      <c r="H153" t="str">
        <f t="shared" si="184"/>
        <v>SEPTIEMBRESem3939Marvin Alexander Flores Fuentes</v>
      </c>
      <c r="I153" s="14" t="str">
        <f>+_xlfn.XLOOKUP(K153,DetalleCalculos!W:W,DetalleCalculos!S:S,"",0,1)</f>
        <v>SEPTIEMBRE</v>
      </c>
      <c r="J153" s="72" t="str">
        <f t="shared" si="185"/>
        <v>Sem39</v>
      </c>
      <c r="K153" s="72">
        <f t="shared" ref="K153" si="361">+$H$18</f>
        <v>39</v>
      </c>
      <c r="L153" s="72">
        <f>+IF(_xlfn.XLOOKUP(K153,DetalleCalculos!W:W,DetalleCalculos!U:U,0,0,1)=7,1,2)</f>
        <v>1</v>
      </c>
      <c r="M153" s="79" t="str" cm="1">
        <f t="array" ref="M153">+INDEX($B$23:$B$89,ROUNDUP((ROW()-22)/3,0))</f>
        <v>Marvin Alexander Flores Fuentes</v>
      </c>
      <c r="N153" s="76">
        <f>SUMIFS(DetalleCalculos!$N:$N,DetalleCalculos!$W:$W,$K153,DetalleCalculos!$H:$H,$M153)*24</f>
        <v>33</v>
      </c>
      <c r="O153" s="80">
        <f>SUMIFS(DetalleCalculos!$P:$P,DetalleCalculos!$W:$W,$K153,DetalleCalculos!$H:$H,$M153)</f>
        <v>36</v>
      </c>
      <c r="P153" s="80">
        <f>SUMIFS(DetalleCalculos!$Q:$Q,DetalleCalculos!$W:$W,$K153,DetalleCalculos!$H:$H,$M153)</f>
        <v>0</v>
      </c>
      <c r="Q153" s="24">
        <f t="shared" si="187"/>
        <v>36</v>
      </c>
      <c r="R153" s="24">
        <f t="shared" si="188"/>
        <v>0</v>
      </c>
      <c r="S153" s="80" t="str">
        <f>_xlfn.XLOOKUP($J153&amp;$K153&amp;$M153,DetalleCalculos!$B:$B,DetalleCalculos!$O:$O,"",0,1)</f>
        <v>0-3-4</v>
      </c>
      <c r="T153" s="29">
        <f>+_xlfn.XLOOKUP($S153,'Horarios y Sistemas'!$C:$C,'Horarios y Sistemas'!M:M,0,0,1)</f>
        <v>0</v>
      </c>
      <c r="U153" s="29">
        <f t="shared" si="189"/>
        <v>1</v>
      </c>
      <c r="V153" s="30">
        <f t="shared" si="190"/>
        <v>0</v>
      </c>
      <c r="W153" s="30">
        <f t="shared" si="191"/>
        <v>0</v>
      </c>
      <c r="X153" s="24">
        <f t="shared" si="192"/>
        <v>0</v>
      </c>
      <c r="Y153" s="24">
        <f t="shared" si="193"/>
        <v>0</v>
      </c>
      <c r="Z153" s="96" t="s">
        <v>246</v>
      </c>
      <c r="AA153" s="101">
        <f t="shared" ref="AA153" si="362">+IF(AA152&lt;=0,0,IF(AND(AA152&gt;AB152,AB152&lt;=0),IF(AA152+AB152&gt;0,AA152+AB152,0),IF(AND(AA152&gt;0,AB152&gt;0),AA152,0)))</f>
        <v>31.500000000000021</v>
      </c>
      <c r="AB153" s="102">
        <f t="shared" ref="AB153" si="363">+IF(AB152&lt;=0,0,IF(AND(AB152&gt;AA152,AA152&lt;=0),IF(AB152+AA152&gt;0,AB152+AA152,0),IF(AND(AB152&gt;0,AA152&gt;0),AB152,0)))</f>
        <v>0</v>
      </c>
      <c r="AC153" s="97" t="s">
        <v>125</v>
      </c>
      <c r="AD153" s="103">
        <f t="shared" ref="AD153" si="364">+AA153/$X$5</f>
        <v>21.000000000000014</v>
      </c>
      <c r="AE153" s="104">
        <f t="shared" ref="AE153" si="365">+AB153/$Y$5</f>
        <v>0</v>
      </c>
    </row>
    <row r="154" spans="8:31" ht="15.75" thickBot="1">
      <c r="H154" t="str">
        <f t="shared" ref="H154:H214" si="366">+I154&amp;J154&amp;K154&amp;M154</f>
        <v>SEPTIEMBRESem4040Marvin Alexander Flores Fuentes</v>
      </c>
      <c r="I154" s="14" t="str">
        <f>+_xlfn.XLOOKUP(K154,DetalleCalculos!W:W,DetalleCalculos!S:S,"",0,1)</f>
        <v>SEPTIEMBRE</v>
      </c>
      <c r="J154" s="72" t="str">
        <f t="shared" ref="J154:J214" si="367">+"Sem"&amp;K154</f>
        <v>Sem40</v>
      </c>
      <c r="K154" s="72">
        <f t="shared" ref="K154" si="368">+$H$19</f>
        <v>40</v>
      </c>
      <c r="L154" s="72">
        <f>+IF(_xlfn.XLOOKUP(K154,DetalleCalculos!W:W,DetalleCalculos!U:U,0,0,1)=7,1,2)</f>
        <v>1</v>
      </c>
      <c r="M154" s="79" t="str" cm="1">
        <f t="array" ref="M154">+INDEX($B$23:$B$89,ROUNDUP((ROW()-22)/3,0))</f>
        <v>Marvin Alexander Flores Fuentes</v>
      </c>
      <c r="N154" s="76">
        <f>SUMIFS(DetalleCalculos!$N:$N,DetalleCalculos!$W:$W,$K154,DetalleCalculos!$H:$H,$M154)*24</f>
        <v>57.000000000000014</v>
      </c>
      <c r="O154" s="80">
        <f>SUMIFS(DetalleCalculos!$P:$P,DetalleCalculos!$W:$W,$K154,DetalleCalculos!$H:$H,$M154)</f>
        <v>44</v>
      </c>
      <c r="P154" s="80">
        <f>SUMIFS(DetalleCalculos!$Q:$Q,DetalleCalculos!$W:$W,$K154,DetalleCalculos!$H:$H,$M154)</f>
        <v>0</v>
      </c>
      <c r="Q154" s="24">
        <f t="shared" ref="Q154:Q214" si="369">+IF(L154=1,O154,P154)</f>
        <v>44</v>
      </c>
      <c r="R154" s="24">
        <f t="shared" ref="R154:R214" si="370">+IF(N154-Q154&lt;=0,0,N154-Q154)</f>
        <v>13.000000000000014</v>
      </c>
      <c r="S154" s="80" t="str">
        <f>_xlfn.XLOOKUP($J154&amp;$K154&amp;$M154,DetalleCalculos!$B:$B,DetalleCalculos!$O:$O,"",0,1)</f>
        <v>6-0-1</v>
      </c>
      <c r="T154" s="29">
        <f>+_xlfn.XLOOKUP($S154,'Horarios y Sistemas'!$C:$C,'Horarios y Sistemas'!M:M,0,0,1)</f>
        <v>1</v>
      </c>
      <c r="U154" s="29">
        <f t="shared" ref="U154:U214" si="371">1-T154</f>
        <v>0</v>
      </c>
      <c r="V154" s="30">
        <f t="shared" ref="V154:V214" si="372">+T154*R154</f>
        <v>13.000000000000014</v>
      </c>
      <c r="W154" s="30">
        <f t="shared" ref="W154:W214" si="373">+U154*R154</f>
        <v>0</v>
      </c>
      <c r="X154" s="24">
        <f t="shared" ref="X154:X214" si="374">+V154*X$5</f>
        <v>19.500000000000021</v>
      </c>
      <c r="Y154" s="24">
        <f t="shared" ref="Y154:Y214" si="375">+W154*Y$5</f>
        <v>0</v>
      </c>
      <c r="Z154" s="95"/>
      <c r="AA154" s="99"/>
      <c r="AB154" s="100"/>
    </row>
    <row r="155" spans="8:31">
      <c r="H155" t="str">
        <f t="shared" si="366"/>
        <v>SEPTIEMBRESem3838OSCAR GERARDO ASTURIAS RUIZ</v>
      </c>
      <c r="I155" s="14" t="str">
        <f>+_xlfn.XLOOKUP(K155,DetalleCalculos!W:W,DetalleCalculos!S:S,"",0,1)</f>
        <v>SEPTIEMBRE</v>
      </c>
      <c r="J155" s="72" t="str">
        <f t="shared" si="367"/>
        <v>Sem38</v>
      </c>
      <c r="K155" s="72">
        <f t="shared" ref="K155" si="376">+$H$17</f>
        <v>38</v>
      </c>
      <c r="L155" s="72">
        <f>+IF(_xlfn.XLOOKUP(K155,DetalleCalculos!W:W,DetalleCalculos!U:U,0,0,1)=7,1,2)</f>
        <v>1</v>
      </c>
      <c r="M155" s="79" t="str" cm="1">
        <f t="array" ref="M155">+INDEX($B$23:$B$89,ROUNDUP((ROW()-22)/3,0))</f>
        <v>OSCAR GERARDO ASTURIAS RUIZ</v>
      </c>
      <c r="N155" s="76">
        <f>SUMIFS(DetalleCalculos!$N:$N,DetalleCalculos!$W:$W,$K155,DetalleCalculos!$H:$H,$M155)*24</f>
        <v>29.999999999999964</v>
      </c>
      <c r="O155" s="80">
        <f>SUMIFS(DetalleCalculos!$P:$P,DetalleCalculos!$W:$W,$K155,DetalleCalculos!$H:$H,$M155)</f>
        <v>40</v>
      </c>
      <c r="P155" s="80">
        <f>SUMIFS(DetalleCalculos!$Q:$Q,DetalleCalculos!$W:$W,$K155,DetalleCalculos!$H:$H,$M155)</f>
        <v>0</v>
      </c>
      <c r="Q155" s="80">
        <f t="shared" si="369"/>
        <v>40</v>
      </c>
      <c r="R155" s="80">
        <f t="shared" si="370"/>
        <v>0</v>
      </c>
      <c r="S155" s="80" t="str">
        <f>_xlfn.XLOOKUP($J155&amp;$K155&amp;$M155,DetalleCalculos!$B:$B,DetalleCalculos!$O:$O,"",0,1)</f>
        <v>2-2-3</v>
      </c>
      <c r="T155" s="81">
        <f>+_xlfn.XLOOKUP($S155,'Horarios y Sistemas'!$C:$C,'Horarios y Sistemas'!M:M,0,0,1)</f>
        <v>0.5</v>
      </c>
      <c r="U155" s="81">
        <f t="shared" si="371"/>
        <v>0.5</v>
      </c>
      <c r="V155" s="82">
        <f t="shared" si="372"/>
        <v>0</v>
      </c>
      <c r="W155" s="82">
        <f t="shared" si="373"/>
        <v>0</v>
      </c>
      <c r="X155" s="80">
        <f t="shared" si="374"/>
        <v>0</v>
      </c>
      <c r="Y155" s="80">
        <f t="shared" si="375"/>
        <v>0</v>
      </c>
      <c r="Z155" s="95" t="s">
        <v>245</v>
      </c>
      <c r="AA155" s="99">
        <f t="shared" ref="AA155:AB155" si="377">+SUM(X155:X157)</f>
        <v>1.9199999999999826</v>
      </c>
      <c r="AB155" s="100">
        <f t="shared" si="377"/>
        <v>7.6799999999999304</v>
      </c>
    </row>
    <row r="156" spans="8:31" ht="15.75" thickBot="1">
      <c r="H156" t="str">
        <f t="shared" si="366"/>
        <v>SEPTIEMBRESem3939OSCAR GERARDO ASTURIAS RUIZ</v>
      </c>
      <c r="I156" s="14" t="str">
        <f>+_xlfn.XLOOKUP(K156,DetalleCalculos!W:W,DetalleCalculos!S:S,"",0,1)</f>
        <v>SEPTIEMBRE</v>
      </c>
      <c r="J156" s="72" t="str">
        <f t="shared" si="367"/>
        <v>Sem39</v>
      </c>
      <c r="K156" s="72">
        <f t="shared" ref="K156" si="378">+$H$18</f>
        <v>39</v>
      </c>
      <c r="L156" s="72">
        <f>+IF(_xlfn.XLOOKUP(K156,DetalleCalculos!W:W,DetalleCalculos!U:U,0,0,1)=7,1,2)</f>
        <v>1</v>
      </c>
      <c r="M156" s="79" t="str" cm="1">
        <f t="array" ref="M156">+INDEX($B$23:$B$89,ROUNDUP((ROW()-22)/3,0))</f>
        <v>OSCAR GERARDO ASTURIAS RUIZ</v>
      </c>
      <c r="N156" s="76">
        <f>SUMIFS(DetalleCalculos!$N:$N,DetalleCalculos!$W:$W,$K156,DetalleCalculos!$H:$H,$M156)*24</f>
        <v>43.999999999999986</v>
      </c>
      <c r="O156" s="80">
        <f>SUMIFS(DetalleCalculos!$P:$P,DetalleCalculos!$W:$W,$K156,DetalleCalculos!$H:$H,$M156)</f>
        <v>44</v>
      </c>
      <c r="P156" s="80">
        <f>SUMIFS(DetalleCalculos!$Q:$Q,DetalleCalculos!$W:$W,$K156,DetalleCalculos!$H:$H,$M156)</f>
        <v>0</v>
      </c>
      <c r="Q156" s="24">
        <f t="shared" si="369"/>
        <v>44</v>
      </c>
      <c r="R156" s="24">
        <f t="shared" si="370"/>
        <v>0</v>
      </c>
      <c r="S156" s="80" t="str">
        <f>_xlfn.XLOOKUP($J156&amp;$K156&amp;$M156,DetalleCalculos!$B:$B,DetalleCalculos!$O:$O,"",0,1)</f>
        <v>6-0-1</v>
      </c>
      <c r="T156" s="29">
        <f>+_xlfn.XLOOKUP($S156,'Horarios y Sistemas'!$C:$C,'Horarios y Sistemas'!M:M,0,0,1)</f>
        <v>1</v>
      </c>
      <c r="U156" s="29">
        <f t="shared" si="371"/>
        <v>0</v>
      </c>
      <c r="V156" s="30">
        <f t="shared" si="372"/>
        <v>0</v>
      </c>
      <c r="W156" s="30">
        <f t="shared" si="373"/>
        <v>0</v>
      </c>
      <c r="X156" s="24">
        <f t="shared" si="374"/>
        <v>0</v>
      </c>
      <c r="Y156" s="24">
        <f t="shared" si="375"/>
        <v>0</v>
      </c>
      <c r="Z156" s="96" t="s">
        <v>246</v>
      </c>
      <c r="AA156" s="101">
        <f t="shared" ref="AA156" si="379">+IF(AA155&lt;=0,0,IF(AND(AA155&gt;AB155,AB155&lt;=0),IF(AA155+AB155&gt;0,AA155+AB155,0),IF(AND(AA155&gt;0,AB155&gt;0),AA155,0)))</f>
        <v>1.9199999999999826</v>
      </c>
      <c r="AB156" s="102">
        <f t="shared" ref="AB156" si="380">+IF(AB155&lt;=0,0,IF(AND(AB155&gt;AA155,AA155&lt;=0),IF(AB155+AA155&gt;0,AB155+AA155,0),IF(AND(AB155&gt;0,AA155&gt;0),AB155,0)))</f>
        <v>7.6799999999999304</v>
      </c>
      <c r="AC156" s="97" t="s">
        <v>125</v>
      </c>
      <c r="AD156" s="103">
        <f t="shared" ref="AD156" si="381">+AA156/$X$5</f>
        <v>1.2799999999999885</v>
      </c>
      <c r="AE156" s="104">
        <f t="shared" ref="AE156" si="382">+AB156/$Y$5</f>
        <v>5.1199999999999539</v>
      </c>
    </row>
    <row r="157" spans="8:31" ht="15.75" thickBot="1">
      <c r="H157" t="str">
        <f t="shared" si="366"/>
        <v>SEPTIEMBRESem4040OSCAR GERARDO ASTURIAS RUIZ</v>
      </c>
      <c r="I157" s="14" t="str">
        <f>+_xlfn.XLOOKUP(K157,DetalleCalculos!W:W,DetalleCalculos!S:S,"",0,1)</f>
        <v>SEPTIEMBRE</v>
      </c>
      <c r="J157" s="72" t="str">
        <f t="shared" si="367"/>
        <v>Sem40</v>
      </c>
      <c r="K157" s="72">
        <f t="shared" ref="K157" si="383">+$H$19</f>
        <v>40</v>
      </c>
      <c r="L157" s="72">
        <f>+IF(_xlfn.XLOOKUP(K157,DetalleCalculos!W:W,DetalleCalculos!U:U,0,0,1)=7,1,2)</f>
        <v>1</v>
      </c>
      <c r="M157" s="79" t="str" cm="1">
        <f t="array" ref="M157">+INDEX($B$23:$B$89,ROUNDUP((ROW()-22)/3,0))</f>
        <v>OSCAR GERARDO ASTURIAS RUIZ</v>
      </c>
      <c r="N157" s="76">
        <f>SUMIFS(DetalleCalculos!$N:$N,DetalleCalculos!$W:$W,$K157,DetalleCalculos!$H:$H,$M157)*24</f>
        <v>43.999999999999943</v>
      </c>
      <c r="O157" s="80">
        <f>SUMIFS(DetalleCalculos!$P:$P,DetalleCalculos!$W:$W,$K157,DetalleCalculos!$H:$H,$M157)</f>
        <v>37.6</v>
      </c>
      <c r="P157" s="80">
        <f>SUMIFS(DetalleCalculos!$Q:$Q,DetalleCalculos!$W:$W,$K157,DetalleCalculos!$H:$H,$M157)</f>
        <v>0</v>
      </c>
      <c r="Q157" s="24">
        <f t="shared" si="369"/>
        <v>37.6</v>
      </c>
      <c r="R157" s="24">
        <f t="shared" si="370"/>
        <v>6.3999999999999417</v>
      </c>
      <c r="S157" s="80" t="str">
        <f>_xlfn.XLOOKUP($J157&amp;$K157&amp;$M157,DetalleCalculos!$B:$B,DetalleCalculos!$O:$O,"",0,1)</f>
        <v>1-4-2</v>
      </c>
      <c r="T157" s="29">
        <f>+_xlfn.XLOOKUP($S157,'Horarios y Sistemas'!$C:$C,'Horarios y Sistemas'!M:M,0,0,1)</f>
        <v>0.2</v>
      </c>
      <c r="U157" s="29">
        <f t="shared" si="371"/>
        <v>0.8</v>
      </c>
      <c r="V157" s="30">
        <f t="shared" si="372"/>
        <v>1.2799999999999885</v>
      </c>
      <c r="W157" s="30">
        <f t="shared" si="373"/>
        <v>5.1199999999999539</v>
      </c>
      <c r="X157" s="24">
        <f t="shared" si="374"/>
        <v>1.9199999999999826</v>
      </c>
      <c r="Y157" s="24">
        <f t="shared" si="375"/>
        <v>7.6799999999999304</v>
      </c>
      <c r="Z157" s="95"/>
      <c r="AA157" s="99"/>
      <c r="AB157" s="100"/>
    </row>
    <row r="158" spans="8:31">
      <c r="H158" t="str">
        <f t="shared" si="366"/>
        <v>SEPTIEMBRESem3838RIXTUN MELGAR CARLOS LEONEL</v>
      </c>
      <c r="I158" s="14" t="str">
        <f>+_xlfn.XLOOKUP(K158,DetalleCalculos!W:W,DetalleCalculos!S:S,"",0,1)</f>
        <v>SEPTIEMBRE</v>
      </c>
      <c r="J158" s="72" t="str">
        <f t="shared" si="367"/>
        <v>Sem38</v>
      </c>
      <c r="K158" s="72">
        <f t="shared" ref="K158" si="384">+$H$17</f>
        <v>38</v>
      </c>
      <c r="L158" s="72">
        <f>+IF(_xlfn.XLOOKUP(K158,DetalleCalculos!W:W,DetalleCalculos!U:U,0,0,1)=7,1,2)</f>
        <v>1</v>
      </c>
      <c r="M158" s="79" t="str" cm="1">
        <f t="array" ref="M158">+INDEX($B$23:$B$89,ROUNDUP((ROW()-22)/3,0))</f>
        <v>RIXTUN MELGAR CARLOS LEONEL</v>
      </c>
      <c r="N158" s="76">
        <f>SUMIFS(DetalleCalculos!$N:$N,DetalleCalculos!$W:$W,$K158,DetalleCalculos!$H:$H,$M158)*24</f>
        <v>44.999999999999972</v>
      </c>
      <c r="O158" s="80">
        <f>SUMIFS(DetalleCalculos!$P:$P,DetalleCalculos!$W:$W,$K158,DetalleCalculos!$H:$H,$M158)</f>
        <v>44</v>
      </c>
      <c r="P158" s="80">
        <f>SUMIFS(DetalleCalculos!$Q:$Q,DetalleCalculos!$W:$W,$K158,DetalleCalculos!$H:$H,$M158)</f>
        <v>0</v>
      </c>
      <c r="Q158" s="80">
        <f t="shared" si="369"/>
        <v>44</v>
      </c>
      <c r="R158" s="80">
        <f t="shared" si="370"/>
        <v>0.99999999999997158</v>
      </c>
      <c r="S158" s="80" t="str">
        <f>_xlfn.XLOOKUP($J158&amp;$K158&amp;$M158,DetalleCalculos!$B:$B,DetalleCalculos!$O:$O,"",0,1)</f>
        <v>5-0-2</v>
      </c>
      <c r="T158" s="81">
        <f>+_xlfn.XLOOKUP($S158,'Horarios y Sistemas'!$C:$C,'Horarios y Sistemas'!M:M,0,0,1)</f>
        <v>1</v>
      </c>
      <c r="U158" s="81">
        <f t="shared" si="371"/>
        <v>0</v>
      </c>
      <c r="V158" s="82">
        <f t="shared" si="372"/>
        <v>0.99999999999997158</v>
      </c>
      <c r="W158" s="82">
        <f t="shared" si="373"/>
        <v>0</v>
      </c>
      <c r="X158" s="80">
        <f t="shared" si="374"/>
        <v>1.4999999999999574</v>
      </c>
      <c r="Y158" s="80">
        <f t="shared" si="375"/>
        <v>0</v>
      </c>
      <c r="Z158" s="95" t="s">
        <v>245</v>
      </c>
      <c r="AA158" s="99">
        <f t="shared" ref="AA158:AB158" si="385">+SUM(X158:X160)</f>
        <v>19.499999999999915</v>
      </c>
      <c r="AB158" s="100">
        <f t="shared" si="385"/>
        <v>13.500000000000043</v>
      </c>
    </row>
    <row r="159" spans="8:31" ht="15.75" thickBot="1">
      <c r="H159" t="str">
        <f t="shared" si="366"/>
        <v>SEPTIEMBRESem3939RIXTUN MELGAR CARLOS LEONEL</v>
      </c>
      <c r="I159" s="14" t="str">
        <f>+_xlfn.XLOOKUP(K159,DetalleCalculos!W:W,DetalleCalculos!S:S,"",0,1)</f>
        <v>SEPTIEMBRE</v>
      </c>
      <c r="J159" s="72" t="str">
        <f t="shared" si="367"/>
        <v>Sem39</v>
      </c>
      <c r="K159" s="72">
        <f t="shared" ref="K159" si="386">+$H$18</f>
        <v>39</v>
      </c>
      <c r="L159" s="72">
        <f>+IF(_xlfn.XLOOKUP(K159,DetalleCalculos!W:W,DetalleCalculos!U:U,0,0,1)=7,1,2)</f>
        <v>1</v>
      </c>
      <c r="M159" s="79" t="str" cm="1">
        <f t="array" ref="M159">+INDEX($B$23:$B$89,ROUNDUP((ROW()-22)/3,0))</f>
        <v>RIXTUN MELGAR CARLOS LEONEL</v>
      </c>
      <c r="N159" s="76">
        <f>SUMIFS(DetalleCalculos!$N:$N,DetalleCalculos!$W:$W,$K159,DetalleCalculos!$H:$H,$M159)*24</f>
        <v>45.000000000000028</v>
      </c>
      <c r="O159" s="80">
        <f>SUMIFS(DetalleCalculos!$P:$P,DetalleCalculos!$W:$W,$K159,DetalleCalculos!$H:$H,$M159)</f>
        <v>36</v>
      </c>
      <c r="P159" s="80">
        <f>SUMIFS(DetalleCalculos!$Q:$Q,DetalleCalculos!$W:$W,$K159,DetalleCalculos!$H:$H,$M159)</f>
        <v>0</v>
      </c>
      <c r="Q159" s="24">
        <f t="shared" si="369"/>
        <v>36</v>
      </c>
      <c r="R159" s="24">
        <f t="shared" si="370"/>
        <v>9.0000000000000284</v>
      </c>
      <c r="S159" s="80" t="str">
        <f>_xlfn.XLOOKUP($J159&amp;$K159&amp;$M159,DetalleCalculos!$B:$B,DetalleCalculos!$O:$O,"",0,1)</f>
        <v>0-5-2</v>
      </c>
      <c r="T159" s="29">
        <f>+_xlfn.XLOOKUP($S159,'Horarios y Sistemas'!$C:$C,'Horarios y Sistemas'!M:M,0,0,1)</f>
        <v>0</v>
      </c>
      <c r="U159" s="29">
        <f t="shared" si="371"/>
        <v>1</v>
      </c>
      <c r="V159" s="30">
        <f t="shared" si="372"/>
        <v>0</v>
      </c>
      <c r="W159" s="30">
        <f t="shared" si="373"/>
        <v>9.0000000000000284</v>
      </c>
      <c r="X159" s="24">
        <f t="shared" si="374"/>
        <v>0</v>
      </c>
      <c r="Y159" s="24">
        <f t="shared" si="375"/>
        <v>13.500000000000043</v>
      </c>
      <c r="Z159" s="96" t="s">
        <v>246</v>
      </c>
      <c r="AA159" s="101">
        <f t="shared" ref="AA159" si="387">+IF(AA158&lt;=0,0,IF(AND(AA158&gt;AB158,AB158&lt;=0),IF(AA158+AB158&gt;0,AA158+AB158,0),IF(AND(AA158&gt;0,AB158&gt;0),AA158,0)))</f>
        <v>19.499999999999915</v>
      </c>
      <c r="AB159" s="102">
        <f t="shared" ref="AB159" si="388">+IF(AB158&lt;=0,0,IF(AND(AB158&gt;AA158,AA158&lt;=0),IF(AB158+AA158&gt;0,AB158+AA158,0),IF(AND(AB158&gt;0,AA158&gt;0),AB158,0)))</f>
        <v>13.500000000000043</v>
      </c>
      <c r="AC159" s="97" t="s">
        <v>125</v>
      </c>
      <c r="AD159" s="103">
        <f t="shared" ref="AD159" si="389">+AA159/$X$5</f>
        <v>12.999999999999943</v>
      </c>
      <c r="AE159" s="104">
        <f t="shared" ref="AE159" si="390">+AB159/$Y$5</f>
        <v>9.0000000000000284</v>
      </c>
    </row>
    <row r="160" spans="8:31" ht="15.75" thickBot="1">
      <c r="H160" t="str">
        <f t="shared" si="366"/>
        <v>SEPTIEMBRESem4040RIXTUN MELGAR CARLOS LEONEL</v>
      </c>
      <c r="I160" s="14" t="str">
        <f>+_xlfn.XLOOKUP(K160,DetalleCalculos!W:W,DetalleCalculos!S:S,"",0,1)</f>
        <v>SEPTIEMBRE</v>
      </c>
      <c r="J160" s="72" t="str">
        <f t="shared" si="367"/>
        <v>Sem40</v>
      </c>
      <c r="K160" s="72">
        <f t="shared" ref="K160" si="391">+$H$19</f>
        <v>40</v>
      </c>
      <c r="L160" s="72">
        <f>+IF(_xlfn.XLOOKUP(K160,DetalleCalculos!W:W,DetalleCalculos!U:U,0,0,1)=7,1,2)</f>
        <v>1</v>
      </c>
      <c r="M160" s="79" t="str" cm="1">
        <f t="array" ref="M160">+INDEX($B$23:$B$89,ROUNDUP((ROW()-22)/3,0))</f>
        <v>RIXTUN MELGAR CARLOS LEONEL</v>
      </c>
      <c r="N160" s="76">
        <f>SUMIFS(DetalleCalculos!$N:$N,DetalleCalculos!$W:$W,$K160,DetalleCalculos!$H:$H,$M160)*24</f>
        <v>55.999999999999972</v>
      </c>
      <c r="O160" s="80">
        <f>SUMIFS(DetalleCalculos!$P:$P,DetalleCalculos!$W:$W,$K160,DetalleCalculos!$H:$H,$M160)</f>
        <v>44</v>
      </c>
      <c r="P160" s="80">
        <f>SUMIFS(DetalleCalculos!$Q:$Q,DetalleCalculos!$W:$W,$K160,DetalleCalculos!$H:$H,$M160)</f>
        <v>0</v>
      </c>
      <c r="Q160" s="24">
        <f t="shared" si="369"/>
        <v>44</v>
      </c>
      <c r="R160" s="24">
        <f t="shared" si="370"/>
        <v>11.999999999999972</v>
      </c>
      <c r="S160" s="80" t="str">
        <f>_xlfn.XLOOKUP($J160&amp;$K160&amp;$M160,DetalleCalculos!$B:$B,DetalleCalculos!$O:$O,"",0,1)</f>
        <v>6-0-1</v>
      </c>
      <c r="T160" s="29">
        <f>+_xlfn.XLOOKUP($S160,'Horarios y Sistemas'!$C:$C,'Horarios y Sistemas'!M:M,0,0,1)</f>
        <v>1</v>
      </c>
      <c r="U160" s="29">
        <f t="shared" si="371"/>
        <v>0</v>
      </c>
      <c r="V160" s="30">
        <f t="shared" si="372"/>
        <v>11.999999999999972</v>
      </c>
      <c r="W160" s="30">
        <f t="shared" si="373"/>
        <v>0</v>
      </c>
      <c r="X160" s="24">
        <f t="shared" si="374"/>
        <v>17.999999999999957</v>
      </c>
      <c r="Y160" s="24">
        <f t="shared" si="375"/>
        <v>0</v>
      </c>
      <c r="Z160" s="95"/>
      <c r="AA160" s="99"/>
      <c r="AB160" s="100"/>
    </row>
    <row r="161" spans="8:31">
      <c r="H161" t="str">
        <f t="shared" si="366"/>
        <v>SEPTIEMBRESem3838RUBEN DARIO RAXON SOTO</v>
      </c>
      <c r="I161" s="14" t="str">
        <f>+_xlfn.XLOOKUP(K161,DetalleCalculos!W:W,DetalleCalculos!S:S,"",0,1)</f>
        <v>SEPTIEMBRE</v>
      </c>
      <c r="J161" s="72" t="str">
        <f t="shared" si="367"/>
        <v>Sem38</v>
      </c>
      <c r="K161" s="72">
        <f t="shared" ref="K161" si="392">+$H$17</f>
        <v>38</v>
      </c>
      <c r="L161" s="72">
        <f>+IF(_xlfn.XLOOKUP(K161,DetalleCalculos!W:W,DetalleCalculos!U:U,0,0,1)=7,1,2)</f>
        <v>1</v>
      </c>
      <c r="M161" s="79" t="str" cm="1">
        <f t="array" ref="M161">+INDEX($B$23:$B$89,ROUNDUP((ROW()-22)/3,0))</f>
        <v>RUBEN DARIO RAXON SOTO</v>
      </c>
      <c r="N161" s="76">
        <f>SUMIFS(DetalleCalculos!$N:$N,DetalleCalculos!$W:$W,$K161,DetalleCalculos!$H:$H,$M161)*24</f>
        <v>38.500000000000014</v>
      </c>
      <c r="O161" s="80">
        <f>SUMIFS(DetalleCalculos!$P:$P,DetalleCalculos!$W:$W,$K161,DetalleCalculos!$H:$H,$M161)</f>
        <v>40</v>
      </c>
      <c r="P161" s="80">
        <f>SUMIFS(DetalleCalculos!$Q:$Q,DetalleCalculos!$W:$W,$K161,DetalleCalculos!$H:$H,$M161)</f>
        <v>0</v>
      </c>
      <c r="Q161" s="80">
        <f t="shared" si="369"/>
        <v>40</v>
      </c>
      <c r="R161" s="80">
        <f t="shared" si="370"/>
        <v>0</v>
      </c>
      <c r="S161" s="80" t="str">
        <f>_xlfn.XLOOKUP($J161&amp;$K161&amp;$M161,DetalleCalculos!$B:$B,DetalleCalculos!$O:$O,"",0,1)</f>
        <v>2-2-3</v>
      </c>
      <c r="T161" s="81">
        <f>+_xlfn.XLOOKUP($S161,'Horarios y Sistemas'!$C:$C,'Horarios y Sistemas'!M:M,0,0,1)</f>
        <v>0.5</v>
      </c>
      <c r="U161" s="81">
        <f t="shared" si="371"/>
        <v>0.5</v>
      </c>
      <c r="V161" s="82">
        <f t="shared" si="372"/>
        <v>0</v>
      </c>
      <c r="W161" s="82">
        <f t="shared" si="373"/>
        <v>0</v>
      </c>
      <c r="X161" s="80">
        <f t="shared" si="374"/>
        <v>0</v>
      </c>
      <c r="Y161" s="80">
        <f t="shared" si="375"/>
        <v>0</v>
      </c>
      <c r="Z161" s="95" t="s">
        <v>245</v>
      </c>
      <c r="AA161" s="99">
        <f t="shared" ref="AA161:AB161" si="393">+SUM(X161:X163)</f>
        <v>29.250000000000053</v>
      </c>
      <c r="AB161" s="100">
        <f t="shared" si="393"/>
        <v>30.375000000000043</v>
      </c>
    </row>
    <row r="162" spans="8:31" ht="15.75" thickBot="1">
      <c r="H162" t="str">
        <f t="shared" si="366"/>
        <v>SEPTIEMBRESem3939RUBEN DARIO RAXON SOTO</v>
      </c>
      <c r="I162" s="14" t="str">
        <f>+_xlfn.XLOOKUP(K162,DetalleCalculos!W:W,DetalleCalculos!S:S,"",0,1)</f>
        <v>SEPTIEMBRE</v>
      </c>
      <c r="J162" s="72" t="str">
        <f t="shared" si="367"/>
        <v>Sem39</v>
      </c>
      <c r="K162" s="72">
        <f t="shared" ref="K162" si="394">+$H$18</f>
        <v>39</v>
      </c>
      <c r="L162" s="72">
        <f>+IF(_xlfn.XLOOKUP(K162,DetalleCalculos!W:W,DetalleCalculos!U:U,0,0,1)=7,1,2)</f>
        <v>1</v>
      </c>
      <c r="M162" s="79" t="str" cm="1">
        <f t="array" ref="M162">+INDEX($B$23:$B$89,ROUNDUP((ROW()-22)/3,0))</f>
        <v>RUBEN DARIO RAXON SOTO</v>
      </c>
      <c r="N162" s="76">
        <f>SUMIFS(DetalleCalculos!$N:$N,DetalleCalculos!$W:$W,$K162,DetalleCalculos!$H:$H,$M162)*24</f>
        <v>63.500000000000036</v>
      </c>
      <c r="O162" s="80">
        <f>SUMIFS(DetalleCalculos!$P:$P,DetalleCalculos!$W:$W,$K162,DetalleCalculos!$H:$H,$M162)</f>
        <v>44</v>
      </c>
      <c r="P162" s="80">
        <f>SUMIFS(DetalleCalculos!$Q:$Q,DetalleCalculos!$W:$W,$K162,DetalleCalculos!$H:$H,$M162)</f>
        <v>0</v>
      </c>
      <c r="Q162" s="24">
        <f t="shared" si="369"/>
        <v>44</v>
      </c>
      <c r="R162" s="24">
        <f t="shared" si="370"/>
        <v>19.500000000000036</v>
      </c>
      <c r="S162" s="80" t="str">
        <f>_xlfn.XLOOKUP($J162&amp;$K162&amp;$M162,DetalleCalculos!$B:$B,DetalleCalculos!$O:$O,"",0,1)</f>
        <v>6-0-1</v>
      </c>
      <c r="T162" s="29">
        <f>+_xlfn.XLOOKUP($S162,'Horarios y Sistemas'!$C:$C,'Horarios y Sistemas'!M:M,0,0,1)</f>
        <v>1</v>
      </c>
      <c r="U162" s="29">
        <f t="shared" si="371"/>
        <v>0</v>
      </c>
      <c r="V162" s="30">
        <f t="shared" si="372"/>
        <v>19.500000000000036</v>
      </c>
      <c r="W162" s="30">
        <f t="shared" si="373"/>
        <v>0</v>
      </c>
      <c r="X162" s="24">
        <f t="shared" si="374"/>
        <v>29.250000000000053</v>
      </c>
      <c r="Y162" s="24">
        <f t="shared" si="375"/>
        <v>0</v>
      </c>
      <c r="Z162" s="96" t="s">
        <v>246</v>
      </c>
      <c r="AA162" s="101">
        <f t="shared" ref="AA162" si="395">+IF(AA161&lt;=0,0,IF(AND(AA161&gt;AB161,AB161&lt;=0),IF(AA161+AB161&gt;0,AA161+AB161,0),IF(AND(AA161&gt;0,AB161&gt;0),AA161,0)))</f>
        <v>29.250000000000053</v>
      </c>
      <c r="AB162" s="102">
        <f t="shared" ref="AB162" si="396">+IF(AB161&lt;=0,0,IF(AND(AB161&gt;AA161,AA161&lt;=0),IF(AB161+AA161&gt;0,AB161+AA161,0),IF(AND(AB161&gt;0,AA161&gt;0),AB161,0)))</f>
        <v>30.375000000000043</v>
      </c>
      <c r="AC162" s="97" t="s">
        <v>125</v>
      </c>
      <c r="AD162" s="103">
        <f t="shared" ref="AD162" si="397">+AA162/$X$5</f>
        <v>19.500000000000036</v>
      </c>
      <c r="AE162" s="104">
        <f t="shared" ref="AE162" si="398">+AB162/$Y$5</f>
        <v>20.250000000000028</v>
      </c>
    </row>
    <row r="163" spans="8:31" ht="15.75" thickBot="1">
      <c r="H163" t="str">
        <f t="shared" si="366"/>
        <v>SEPTIEMBRESem4040RUBEN DARIO RAXON SOTO</v>
      </c>
      <c r="I163" s="14" t="str">
        <f>+_xlfn.XLOOKUP(K163,DetalleCalculos!W:W,DetalleCalculos!S:S,"",0,1)</f>
        <v>SEPTIEMBRE</v>
      </c>
      <c r="J163" s="72" t="str">
        <f t="shared" si="367"/>
        <v>Sem40</v>
      </c>
      <c r="K163" s="72">
        <f t="shared" ref="K163" si="399">+$H$19</f>
        <v>40</v>
      </c>
      <c r="L163" s="72">
        <f>+IF(_xlfn.XLOOKUP(K163,DetalleCalculos!W:W,DetalleCalculos!U:U,0,0,1)=7,1,2)</f>
        <v>1</v>
      </c>
      <c r="M163" s="79" t="str" cm="1">
        <f t="array" ref="M163">+INDEX($B$23:$B$89,ROUNDUP((ROW()-22)/3,0))</f>
        <v>RUBEN DARIO RAXON SOTO</v>
      </c>
      <c r="N163" s="76">
        <f>SUMIFS(DetalleCalculos!$N:$N,DetalleCalculos!$W:$W,$K163,DetalleCalculos!$H:$H,$M163)*24</f>
        <v>56.250000000000028</v>
      </c>
      <c r="O163" s="80">
        <f>SUMIFS(DetalleCalculos!$P:$P,DetalleCalculos!$W:$W,$K163,DetalleCalculos!$H:$H,$M163)</f>
        <v>36</v>
      </c>
      <c r="P163" s="80">
        <f>SUMIFS(DetalleCalculos!$Q:$Q,DetalleCalculos!$W:$W,$K163,DetalleCalculos!$H:$H,$M163)</f>
        <v>0</v>
      </c>
      <c r="Q163" s="24">
        <f t="shared" si="369"/>
        <v>36</v>
      </c>
      <c r="R163" s="24">
        <f t="shared" si="370"/>
        <v>20.250000000000028</v>
      </c>
      <c r="S163" s="80" t="str">
        <f>_xlfn.XLOOKUP($J163&amp;$K163&amp;$M163,DetalleCalculos!$B:$B,DetalleCalculos!$O:$O,"",0,1)</f>
        <v>0-5-2</v>
      </c>
      <c r="T163" s="29">
        <f>+_xlfn.XLOOKUP($S163,'Horarios y Sistemas'!$C:$C,'Horarios y Sistemas'!M:M,0,0,1)</f>
        <v>0</v>
      </c>
      <c r="U163" s="29">
        <f t="shared" si="371"/>
        <v>1</v>
      </c>
      <c r="V163" s="30">
        <f t="shared" si="372"/>
        <v>0</v>
      </c>
      <c r="W163" s="30">
        <f t="shared" si="373"/>
        <v>20.250000000000028</v>
      </c>
      <c r="X163" s="24">
        <f t="shared" si="374"/>
        <v>0</v>
      </c>
      <c r="Y163" s="24">
        <f t="shared" si="375"/>
        <v>30.375000000000043</v>
      </c>
      <c r="Z163" s="95"/>
      <c r="AA163" s="99"/>
      <c r="AB163" s="100"/>
    </row>
    <row r="164" spans="8:31">
      <c r="H164" t="str">
        <f t="shared" si="366"/>
        <v>SEPTIEMBRESem3838RUDY ALEXANDER RODRIGUEZ ORTEGA</v>
      </c>
      <c r="I164" s="14" t="str">
        <f>+_xlfn.XLOOKUP(K164,DetalleCalculos!W:W,DetalleCalculos!S:S,"",0,1)</f>
        <v>SEPTIEMBRE</v>
      </c>
      <c r="J164" s="72" t="str">
        <f t="shared" si="367"/>
        <v>Sem38</v>
      </c>
      <c r="K164" s="72">
        <f t="shared" ref="K164" si="400">+$H$17</f>
        <v>38</v>
      </c>
      <c r="L164" s="72">
        <f>+IF(_xlfn.XLOOKUP(K164,DetalleCalculos!W:W,DetalleCalculos!U:U,0,0,1)=7,1,2)</f>
        <v>1</v>
      </c>
      <c r="M164" s="79" t="str" cm="1">
        <f t="array" ref="M164">+INDEX($B$23:$B$89,ROUNDUP((ROW()-22)/3,0))</f>
        <v>RUDY ALEXANDER RODRIGUEZ ORTEGA</v>
      </c>
      <c r="N164" s="76">
        <f>SUMIFS(DetalleCalculos!$N:$N,DetalleCalculos!$W:$W,$K164,DetalleCalculos!$H:$H,$M164)*24</f>
        <v>29.999999999999964</v>
      </c>
      <c r="O164" s="80">
        <f>SUMIFS(DetalleCalculos!$P:$P,DetalleCalculos!$W:$W,$K164,DetalleCalculos!$H:$H,$M164)</f>
        <v>40</v>
      </c>
      <c r="P164" s="80">
        <f>SUMIFS(DetalleCalculos!$Q:$Q,DetalleCalculos!$W:$W,$K164,DetalleCalculos!$H:$H,$M164)</f>
        <v>0</v>
      </c>
      <c r="Q164" s="80">
        <f t="shared" si="369"/>
        <v>40</v>
      </c>
      <c r="R164" s="80">
        <f t="shared" si="370"/>
        <v>0</v>
      </c>
      <c r="S164" s="80" t="str">
        <f>_xlfn.XLOOKUP($J164&amp;$K164&amp;$M164,DetalleCalculos!$B:$B,DetalleCalculos!$O:$O,"",0,1)</f>
        <v>2-2-3</v>
      </c>
      <c r="T164" s="81">
        <f>+_xlfn.XLOOKUP($S164,'Horarios y Sistemas'!$C:$C,'Horarios y Sistemas'!M:M,0,0,1)</f>
        <v>0.5</v>
      </c>
      <c r="U164" s="81">
        <f t="shared" si="371"/>
        <v>0.5</v>
      </c>
      <c r="V164" s="82">
        <f t="shared" si="372"/>
        <v>0</v>
      </c>
      <c r="W164" s="82">
        <f t="shared" si="373"/>
        <v>0</v>
      </c>
      <c r="X164" s="80">
        <f t="shared" si="374"/>
        <v>0</v>
      </c>
      <c r="Y164" s="80">
        <f t="shared" si="375"/>
        <v>0</v>
      </c>
      <c r="Z164" s="95" t="s">
        <v>245</v>
      </c>
      <c r="AA164" s="99">
        <f t="shared" ref="AA164:AB164" si="401">+SUM(X164:X166)</f>
        <v>17.999999999999915</v>
      </c>
      <c r="AB164" s="100">
        <f t="shared" si="401"/>
        <v>0</v>
      </c>
    </row>
    <row r="165" spans="8:31" ht="15.75" thickBot="1">
      <c r="H165" t="str">
        <f t="shared" si="366"/>
        <v>SEPTIEMBRESem3939RUDY ALEXANDER RODRIGUEZ ORTEGA</v>
      </c>
      <c r="I165" s="14" t="str">
        <f>+_xlfn.XLOOKUP(K165,DetalleCalculos!W:W,DetalleCalculos!S:S,"",0,1)</f>
        <v>SEPTIEMBRE</v>
      </c>
      <c r="J165" s="72" t="str">
        <f t="shared" si="367"/>
        <v>Sem39</v>
      </c>
      <c r="K165" s="72">
        <f t="shared" ref="K165" si="402">+$H$18</f>
        <v>39</v>
      </c>
      <c r="L165" s="72">
        <f>+IF(_xlfn.XLOOKUP(K165,DetalleCalculos!W:W,DetalleCalculos!U:U,0,0,1)=7,1,2)</f>
        <v>1</v>
      </c>
      <c r="M165" s="79" t="str" cm="1">
        <f t="array" ref="M165">+INDEX($B$23:$B$89,ROUNDUP((ROW()-22)/3,0))</f>
        <v>RUDY ALEXANDER RODRIGUEZ ORTEGA</v>
      </c>
      <c r="N165" s="76">
        <f>SUMIFS(DetalleCalculos!$N:$N,DetalleCalculos!$W:$W,$K165,DetalleCalculos!$H:$H,$M165)*24</f>
        <v>55.999999999999943</v>
      </c>
      <c r="O165" s="80">
        <f>SUMIFS(DetalleCalculos!$P:$P,DetalleCalculos!$W:$W,$K165,DetalleCalculos!$H:$H,$M165)</f>
        <v>44</v>
      </c>
      <c r="P165" s="80">
        <f>SUMIFS(DetalleCalculos!$Q:$Q,DetalleCalculos!$W:$W,$K165,DetalleCalculos!$H:$H,$M165)</f>
        <v>0</v>
      </c>
      <c r="Q165" s="24">
        <f t="shared" si="369"/>
        <v>44</v>
      </c>
      <c r="R165" s="24">
        <f t="shared" si="370"/>
        <v>11.999999999999943</v>
      </c>
      <c r="S165" s="80" t="str">
        <f>_xlfn.XLOOKUP($J165&amp;$K165&amp;$M165,DetalleCalculos!$B:$B,DetalleCalculos!$O:$O,"",0,1)</f>
        <v>6-0-1</v>
      </c>
      <c r="T165" s="29">
        <f>+_xlfn.XLOOKUP($S165,'Horarios y Sistemas'!$C:$C,'Horarios y Sistemas'!M:M,0,0,1)</f>
        <v>1</v>
      </c>
      <c r="U165" s="29">
        <f t="shared" si="371"/>
        <v>0</v>
      </c>
      <c r="V165" s="30">
        <f t="shared" si="372"/>
        <v>11.999999999999943</v>
      </c>
      <c r="W165" s="30">
        <f t="shared" si="373"/>
        <v>0</v>
      </c>
      <c r="X165" s="24">
        <f t="shared" si="374"/>
        <v>17.999999999999915</v>
      </c>
      <c r="Y165" s="24">
        <f t="shared" si="375"/>
        <v>0</v>
      </c>
      <c r="Z165" s="96" t="s">
        <v>246</v>
      </c>
      <c r="AA165" s="101">
        <f t="shared" ref="AA165" si="403">+IF(AA164&lt;=0,0,IF(AND(AA164&gt;AB164,AB164&lt;=0),IF(AA164+AB164&gt;0,AA164+AB164,0),IF(AND(AA164&gt;0,AB164&gt;0),AA164,0)))</f>
        <v>17.999999999999915</v>
      </c>
      <c r="AB165" s="102">
        <f t="shared" ref="AB165" si="404">+IF(AB164&lt;=0,0,IF(AND(AB164&gt;AA164,AA164&lt;=0),IF(AB164+AA164&gt;0,AB164+AA164,0),IF(AND(AB164&gt;0,AA164&gt;0),AB164,0)))</f>
        <v>0</v>
      </c>
      <c r="AC165" s="97" t="s">
        <v>125</v>
      </c>
      <c r="AD165" s="103">
        <f t="shared" ref="AD165" si="405">+AA165/$X$5</f>
        <v>11.999999999999943</v>
      </c>
      <c r="AE165" s="104">
        <f t="shared" ref="AE165" si="406">+AB165/$Y$5</f>
        <v>0</v>
      </c>
    </row>
    <row r="166" spans="8:31" ht="15.75" thickBot="1">
      <c r="H166" t="str">
        <f t="shared" si="366"/>
        <v>SEPTIEMBRESem4040RUDY ALEXANDER RODRIGUEZ ORTEGA</v>
      </c>
      <c r="I166" s="14" t="str">
        <f>+_xlfn.XLOOKUP(K166,DetalleCalculos!W:W,DetalleCalculos!S:S,"",0,1)</f>
        <v>SEPTIEMBRE</v>
      </c>
      <c r="J166" s="72" t="str">
        <f t="shared" si="367"/>
        <v>Sem40</v>
      </c>
      <c r="K166" s="72">
        <f t="shared" ref="K166" si="407">+$H$19</f>
        <v>40</v>
      </c>
      <c r="L166" s="72">
        <f>+IF(_xlfn.XLOOKUP(K166,DetalleCalculos!W:W,DetalleCalculos!U:U,0,0,1)=7,1,2)</f>
        <v>1</v>
      </c>
      <c r="M166" s="79" t="str" cm="1">
        <f t="array" ref="M166">+INDEX($B$23:$B$89,ROUNDUP((ROW()-22)/3,0))</f>
        <v>RUDY ALEXANDER RODRIGUEZ ORTEGA</v>
      </c>
      <c r="N166" s="76">
        <f>SUMIFS(DetalleCalculos!$N:$N,DetalleCalculos!$W:$W,$K166,DetalleCalculos!$H:$H,$M166)*24</f>
        <v>43.999999999999986</v>
      </c>
      <c r="O166" s="80">
        <f>SUMIFS(DetalleCalculos!$P:$P,DetalleCalculos!$W:$W,$K166,DetalleCalculos!$H:$H,$M166)</f>
        <v>44</v>
      </c>
      <c r="P166" s="80">
        <f>SUMIFS(DetalleCalculos!$Q:$Q,DetalleCalculos!$W:$W,$K166,DetalleCalculos!$H:$H,$M166)</f>
        <v>0</v>
      </c>
      <c r="Q166" s="24">
        <f t="shared" si="369"/>
        <v>44</v>
      </c>
      <c r="R166" s="24">
        <f t="shared" si="370"/>
        <v>0</v>
      </c>
      <c r="S166" s="80" t="str">
        <f>_xlfn.XLOOKUP($J166&amp;$K166&amp;$M166,DetalleCalculos!$B:$B,DetalleCalculos!$O:$O,"",0,1)</f>
        <v>6-0-1</v>
      </c>
      <c r="T166" s="29">
        <f>+_xlfn.XLOOKUP($S166,'Horarios y Sistemas'!$C:$C,'Horarios y Sistemas'!M:M,0,0,1)</f>
        <v>1</v>
      </c>
      <c r="U166" s="29">
        <f t="shared" si="371"/>
        <v>0</v>
      </c>
      <c r="V166" s="30">
        <f t="shared" si="372"/>
        <v>0</v>
      </c>
      <c r="W166" s="30">
        <f t="shared" si="373"/>
        <v>0</v>
      </c>
      <c r="X166" s="24">
        <f t="shared" si="374"/>
        <v>0</v>
      </c>
      <c r="Y166" s="24">
        <f t="shared" si="375"/>
        <v>0</v>
      </c>
      <c r="Z166" s="95"/>
      <c r="AA166" s="99"/>
      <c r="AB166" s="100"/>
    </row>
    <row r="167" spans="8:31">
      <c r="H167" t="str">
        <f t="shared" si="366"/>
        <v>SEPTIEMBRESem3838RUIZ GARCIA  CARLOS RENE</v>
      </c>
      <c r="I167" s="14" t="str">
        <f>+_xlfn.XLOOKUP(K167,DetalleCalculos!W:W,DetalleCalculos!S:S,"",0,1)</f>
        <v>SEPTIEMBRE</v>
      </c>
      <c r="J167" s="72" t="str">
        <f t="shared" si="367"/>
        <v>Sem38</v>
      </c>
      <c r="K167" s="72">
        <f t="shared" ref="K167" si="408">+$H$17</f>
        <v>38</v>
      </c>
      <c r="L167" s="72">
        <f>+IF(_xlfn.XLOOKUP(K167,DetalleCalculos!W:W,DetalleCalculos!U:U,0,0,1)=7,1,2)</f>
        <v>1</v>
      </c>
      <c r="M167" s="79" t="str" cm="1">
        <f t="array" ref="M167">+INDEX($B$23:$B$89,ROUNDUP((ROW()-22)/3,0))</f>
        <v>RUIZ GARCIA  CARLOS RENE</v>
      </c>
      <c r="N167" s="76">
        <f>SUMIFS(DetalleCalculos!$N:$N,DetalleCalculos!$W:$W,$K167,DetalleCalculos!$H:$H,$M167)*24</f>
        <v>38.500000000000014</v>
      </c>
      <c r="O167" s="80">
        <f>SUMIFS(DetalleCalculos!$P:$P,DetalleCalculos!$W:$W,$K167,DetalleCalculos!$H:$H,$M167)</f>
        <v>44</v>
      </c>
      <c r="P167" s="80">
        <f>SUMIFS(DetalleCalculos!$Q:$Q,DetalleCalculos!$W:$W,$K167,DetalleCalculos!$H:$H,$M167)</f>
        <v>0</v>
      </c>
      <c r="Q167" s="80">
        <f t="shared" si="369"/>
        <v>44</v>
      </c>
      <c r="R167" s="80">
        <f t="shared" si="370"/>
        <v>0</v>
      </c>
      <c r="S167" s="80" t="str">
        <f>_xlfn.XLOOKUP($J167&amp;$K167&amp;$M167,DetalleCalculos!$B:$B,DetalleCalculos!$O:$O,"",0,1)</f>
        <v>4-0-3</v>
      </c>
      <c r="T167" s="81">
        <f>+_xlfn.XLOOKUP($S167,'Horarios y Sistemas'!$C:$C,'Horarios y Sistemas'!M:M,0,0,1)</f>
        <v>1</v>
      </c>
      <c r="U167" s="81">
        <f t="shared" si="371"/>
        <v>0</v>
      </c>
      <c r="V167" s="82">
        <f t="shared" si="372"/>
        <v>0</v>
      </c>
      <c r="W167" s="82">
        <f t="shared" si="373"/>
        <v>0</v>
      </c>
      <c r="X167" s="80">
        <f t="shared" si="374"/>
        <v>0</v>
      </c>
      <c r="Y167" s="80">
        <f t="shared" si="375"/>
        <v>0</v>
      </c>
      <c r="Z167" s="95" t="s">
        <v>245</v>
      </c>
      <c r="AA167" s="99">
        <f t="shared" ref="AA167:AB167" si="409">+SUM(X167:X169)</f>
        <v>29.250000000000053</v>
      </c>
      <c r="AB167" s="100">
        <f t="shared" si="409"/>
        <v>30.375000000000043</v>
      </c>
    </row>
    <row r="168" spans="8:31" ht="15.75" thickBot="1">
      <c r="H168" t="str">
        <f t="shared" si="366"/>
        <v>SEPTIEMBRESem3939RUIZ GARCIA  CARLOS RENE</v>
      </c>
      <c r="I168" s="14" t="str">
        <f>+_xlfn.XLOOKUP(K168,DetalleCalculos!W:W,DetalleCalculos!S:S,"",0,1)</f>
        <v>SEPTIEMBRE</v>
      </c>
      <c r="J168" s="72" t="str">
        <f t="shared" si="367"/>
        <v>Sem39</v>
      </c>
      <c r="K168" s="72">
        <f t="shared" ref="K168" si="410">+$H$18</f>
        <v>39</v>
      </c>
      <c r="L168" s="72">
        <f>+IF(_xlfn.XLOOKUP(K168,DetalleCalculos!W:W,DetalleCalculos!U:U,0,0,1)=7,1,2)</f>
        <v>1</v>
      </c>
      <c r="M168" s="79" t="str" cm="1">
        <f t="array" ref="M168">+INDEX($B$23:$B$89,ROUNDUP((ROW()-22)/3,0))</f>
        <v>RUIZ GARCIA  CARLOS RENE</v>
      </c>
      <c r="N168" s="76">
        <f>SUMIFS(DetalleCalculos!$N:$N,DetalleCalculos!$W:$W,$K168,DetalleCalculos!$H:$H,$M168)*24</f>
        <v>63.500000000000036</v>
      </c>
      <c r="O168" s="80">
        <f>SUMIFS(DetalleCalculos!$P:$P,DetalleCalculos!$W:$W,$K168,DetalleCalculos!$H:$H,$M168)</f>
        <v>44</v>
      </c>
      <c r="P168" s="80">
        <f>SUMIFS(DetalleCalculos!$Q:$Q,DetalleCalculos!$W:$W,$K168,DetalleCalculos!$H:$H,$M168)</f>
        <v>0</v>
      </c>
      <c r="Q168" s="24">
        <f t="shared" si="369"/>
        <v>44</v>
      </c>
      <c r="R168" s="24">
        <f t="shared" si="370"/>
        <v>19.500000000000036</v>
      </c>
      <c r="S168" s="80" t="str">
        <f>_xlfn.XLOOKUP($J168&amp;$K168&amp;$M168,DetalleCalculos!$B:$B,DetalleCalculos!$O:$O,"",0,1)</f>
        <v>6-0-1</v>
      </c>
      <c r="T168" s="29">
        <f>+_xlfn.XLOOKUP($S168,'Horarios y Sistemas'!$C:$C,'Horarios y Sistemas'!M:M,0,0,1)</f>
        <v>1</v>
      </c>
      <c r="U168" s="29">
        <f t="shared" si="371"/>
        <v>0</v>
      </c>
      <c r="V168" s="30">
        <f t="shared" si="372"/>
        <v>19.500000000000036</v>
      </c>
      <c r="W168" s="30">
        <f t="shared" si="373"/>
        <v>0</v>
      </c>
      <c r="X168" s="24">
        <f t="shared" si="374"/>
        <v>29.250000000000053</v>
      </c>
      <c r="Y168" s="24">
        <f t="shared" si="375"/>
        <v>0</v>
      </c>
      <c r="Z168" s="96" t="s">
        <v>246</v>
      </c>
      <c r="AA168" s="101">
        <f t="shared" ref="AA168" si="411">+IF(AA167&lt;=0,0,IF(AND(AA167&gt;AB167,AB167&lt;=0),IF(AA167+AB167&gt;0,AA167+AB167,0),IF(AND(AA167&gt;0,AB167&gt;0),AA167,0)))</f>
        <v>29.250000000000053</v>
      </c>
      <c r="AB168" s="102">
        <f t="shared" ref="AB168" si="412">+IF(AB167&lt;=0,0,IF(AND(AB167&gt;AA167,AA167&lt;=0),IF(AB167+AA167&gt;0,AB167+AA167,0),IF(AND(AB167&gt;0,AA167&gt;0),AB167,0)))</f>
        <v>30.375000000000043</v>
      </c>
      <c r="AC168" s="97" t="s">
        <v>125</v>
      </c>
      <c r="AD168" s="103">
        <f t="shared" ref="AD168" si="413">+AA168/$X$5</f>
        <v>19.500000000000036</v>
      </c>
      <c r="AE168" s="104">
        <f t="shared" ref="AE168" si="414">+AB168/$Y$5</f>
        <v>20.250000000000028</v>
      </c>
    </row>
    <row r="169" spans="8:31" ht="15.75" thickBot="1">
      <c r="H169" t="str">
        <f t="shared" si="366"/>
        <v>SEPTIEMBRESem4040RUIZ GARCIA  CARLOS RENE</v>
      </c>
      <c r="I169" s="14" t="str">
        <f>+_xlfn.XLOOKUP(K169,DetalleCalculos!W:W,DetalleCalculos!S:S,"",0,1)</f>
        <v>SEPTIEMBRE</v>
      </c>
      <c r="J169" s="72" t="str">
        <f t="shared" si="367"/>
        <v>Sem40</v>
      </c>
      <c r="K169" s="72">
        <f t="shared" ref="K169" si="415">+$H$19</f>
        <v>40</v>
      </c>
      <c r="L169" s="72">
        <f>+IF(_xlfn.XLOOKUP(K169,DetalleCalculos!W:W,DetalleCalculos!U:U,0,0,1)=7,1,2)</f>
        <v>1</v>
      </c>
      <c r="M169" s="79" t="str" cm="1">
        <f t="array" ref="M169">+INDEX($B$23:$B$89,ROUNDUP((ROW()-22)/3,0))</f>
        <v>RUIZ GARCIA  CARLOS RENE</v>
      </c>
      <c r="N169" s="76">
        <f>SUMIFS(DetalleCalculos!$N:$N,DetalleCalculos!$W:$W,$K169,DetalleCalculos!$H:$H,$M169)*24</f>
        <v>56.250000000000028</v>
      </c>
      <c r="O169" s="80">
        <f>SUMIFS(DetalleCalculos!$P:$P,DetalleCalculos!$W:$W,$K169,DetalleCalculos!$H:$H,$M169)</f>
        <v>36</v>
      </c>
      <c r="P169" s="80">
        <f>SUMIFS(DetalleCalculos!$Q:$Q,DetalleCalculos!$W:$W,$K169,DetalleCalculos!$H:$H,$M169)</f>
        <v>0</v>
      </c>
      <c r="Q169" s="24">
        <f t="shared" si="369"/>
        <v>36</v>
      </c>
      <c r="R169" s="24">
        <f t="shared" si="370"/>
        <v>20.250000000000028</v>
      </c>
      <c r="S169" s="80" t="str">
        <f>_xlfn.XLOOKUP($J169&amp;$K169&amp;$M169,DetalleCalculos!$B:$B,DetalleCalculos!$O:$O,"",0,1)</f>
        <v>0-5-2</v>
      </c>
      <c r="T169" s="29">
        <f>+_xlfn.XLOOKUP($S169,'Horarios y Sistemas'!$C:$C,'Horarios y Sistemas'!M:M,0,0,1)</f>
        <v>0</v>
      </c>
      <c r="U169" s="29">
        <f t="shared" si="371"/>
        <v>1</v>
      </c>
      <c r="V169" s="30">
        <f t="shared" si="372"/>
        <v>0</v>
      </c>
      <c r="W169" s="30">
        <f t="shared" si="373"/>
        <v>20.250000000000028</v>
      </c>
      <c r="X169" s="24">
        <f t="shared" si="374"/>
        <v>0</v>
      </c>
      <c r="Y169" s="24">
        <f t="shared" si="375"/>
        <v>30.375000000000043</v>
      </c>
      <c r="Z169" s="95"/>
      <c r="AA169" s="99"/>
      <c r="AB169" s="100"/>
    </row>
    <row r="170" spans="8:31">
      <c r="H170" t="str">
        <f t="shared" si="366"/>
        <v>SEPTIEMBRESem3838Roberto Misael Aceituno</v>
      </c>
      <c r="I170" s="14" t="str">
        <f>+_xlfn.XLOOKUP(K170,DetalleCalculos!W:W,DetalleCalculos!S:S,"",0,1)</f>
        <v>SEPTIEMBRE</v>
      </c>
      <c r="J170" s="72" t="str">
        <f t="shared" si="367"/>
        <v>Sem38</v>
      </c>
      <c r="K170" s="72">
        <f t="shared" ref="K170" si="416">+$H$17</f>
        <v>38</v>
      </c>
      <c r="L170" s="72">
        <f>+IF(_xlfn.XLOOKUP(K170,DetalleCalculos!W:W,DetalleCalculos!U:U,0,0,1)=7,1,2)</f>
        <v>1</v>
      </c>
      <c r="M170" s="79" t="str" cm="1">
        <f t="array" ref="M170">+INDEX($B$23:$B$89,ROUNDUP((ROW()-22)/3,0))</f>
        <v>Roberto Misael Aceituno</v>
      </c>
      <c r="N170" s="76">
        <f>SUMIFS(DetalleCalculos!$N:$N,DetalleCalculos!$W:$W,$K170,DetalleCalculos!$H:$H,$M170)*24</f>
        <v>52</v>
      </c>
      <c r="O170" s="80">
        <f>SUMIFS(DetalleCalculos!$P:$P,DetalleCalculos!$W:$W,$K170,DetalleCalculos!$H:$H,$M170)</f>
        <v>37.6</v>
      </c>
      <c r="P170" s="80">
        <f>SUMIFS(DetalleCalculos!$Q:$Q,DetalleCalculos!$W:$W,$K170,DetalleCalculos!$H:$H,$M170)</f>
        <v>0</v>
      </c>
      <c r="Q170" s="80">
        <f t="shared" si="369"/>
        <v>37.6</v>
      </c>
      <c r="R170" s="80">
        <f t="shared" si="370"/>
        <v>14.399999999999999</v>
      </c>
      <c r="S170" s="80" t="str">
        <f>_xlfn.XLOOKUP($J170&amp;$K170&amp;$M170,DetalleCalculos!$B:$B,DetalleCalculos!$O:$O,"",0,1)</f>
        <v>1-4-2</v>
      </c>
      <c r="T170" s="81">
        <f>+_xlfn.XLOOKUP($S170,'Horarios y Sistemas'!$C:$C,'Horarios y Sistemas'!M:M,0,0,1)</f>
        <v>0.2</v>
      </c>
      <c r="U170" s="81">
        <f t="shared" si="371"/>
        <v>0.8</v>
      </c>
      <c r="V170" s="82">
        <f t="shared" si="372"/>
        <v>2.88</v>
      </c>
      <c r="W170" s="82">
        <f t="shared" si="373"/>
        <v>11.52</v>
      </c>
      <c r="X170" s="80">
        <f t="shared" si="374"/>
        <v>4.32</v>
      </c>
      <c r="Y170" s="80">
        <f t="shared" si="375"/>
        <v>17.28</v>
      </c>
      <c r="Z170" s="95" t="s">
        <v>245</v>
      </c>
      <c r="AA170" s="99">
        <f t="shared" ref="AA170:AB170" si="417">+SUM(X170:X172)</f>
        <v>4.32</v>
      </c>
      <c r="AB170" s="100">
        <f t="shared" si="417"/>
        <v>45.78</v>
      </c>
    </row>
    <row r="171" spans="8:31" ht="15.75" thickBot="1">
      <c r="H171" t="str">
        <f t="shared" si="366"/>
        <v>SEPTIEMBRESem3939Roberto Misael Aceituno</v>
      </c>
      <c r="I171" s="14" t="str">
        <f>+_xlfn.XLOOKUP(K171,DetalleCalculos!W:W,DetalleCalculos!S:S,"",0,1)</f>
        <v>SEPTIEMBRE</v>
      </c>
      <c r="J171" s="72" t="str">
        <f t="shared" si="367"/>
        <v>Sem39</v>
      </c>
      <c r="K171" s="72">
        <f t="shared" ref="K171" si="418">+$H$18</f>
        <v>39</v>
      </c>
      <c r="L171" s="72">
        <f>+IF(_xlfn.XLOOKUP(K171,DetalleCalculos!W:W,DetalleCalculos!U:U,0,0,1)=7,1,2)</f>
        <v>1</v>
      </c>
      <c r="M171" s="79" t="str" cm="1">
        <f t="array" ref="M171">+INDEX($B$23:$B$89,ROUNDUP((ROW()-22)/3,0))</f>
        <v>Roberto Misael Aceituno</v>
      </c>
      <c r="N171" s="76">
        <f>SUMIFS(DetalleCalculos!$N:$N,DetalleCalculos!$W:$W,$K171,DetalleCalculos!$H:$H,$M171)*24</f>
        <v>43.999999999999936</v>
      </c>
      <c r="O171" s="80">
        <f>SUMIFS(DetalleCalculos!$P:$P,DetalleCalculos!$W:$W,$K171,DetalleCalculos!$H:$H,$M171)</f>
        <v>44</v>
      </c>
      <c r="P171" s="80">
        <f>SUMIFS(DetalleCalculos!$Q:$Q,DetalleCalculos!$W:$W,$K171,DetalleCalculos!$H:$H,$M171)</f>
        <v>0</v>
      </c>
      <c r="Q171" s="24">
        <f t="shared" si="369"/>
        <v>44</v>
      </c>
      <c r="R171" s="24">
        <f t="shared" si="370"/>
        <v>0</v>
      </c>
      <c r="S171" s="80" t="str">
        <f>_xlfn.XLOOKUP($J171&amp;$K171&amp;$M171,DetalleCalculos!$B:$B,DetalleCalculos!$O:$O,"",0,1)</f>
        <v>5-0-2</v>
      </c>
      <c r="T171" s="29">
        <f>+_xlfn.XLOOKUP($S171,'Horarios y Sistemas'!$C:$C,'Horarios y Sistemas'!M:M,0,0,1)</f>
        <v>1</v>
      </c>
      <c r="U171" s="29">
        <f t="shared" si="371"/>
        <v>0</v>
      </c>
      <c r="V171" s="30">
        <f t="shared" si="372"/>
        <v>0</v>
      </c>
      <c r="W171" s="30">
        <f t="shared" si="373"/>
        <v>0</v>
      </c>
      <c r="X171" s="24">
        <f t="shared" si="374"/>
        <v>0</v>
      </c>
      <c r="Y171" s="24">
        <f t="shared" si="375"/>
        <v>0</v>
      </c>
      <c r="Z171" s="96" t="s">
        <v>246</v>
      </c>
      <c r="AA171" s="101">
        <f t="shared" ref="AA171" si="419">+IF(AA170&lt;=0,0,IF(AND(AA170&gt;AB170,AB170&lt;=0),IF(AA170+AB170&gt;0,AA170+AB170,0),IF(AND(AA170&gt;0,AB170&gt;0),AA170,0)))</f>
        <v>4.32</v>
      </c>
      <c r="AB171" s="102">
        <f t="shared" ref="AB171" si="420">+IF(AB170&lt;=0,0,IF(AND(AB170&gt;AA170,AA170&lt;=0),IF(AB170+AA170&gt;0,AB170+AA170,0),IF(AND(AB170&gt;0,AA170&gt;0),AB170,0)))</f>
        <v>45.78</v>
      </c>
      <c r="AC171" s="97" t="s">
        <v>125</v>
      </c>
      <c r="AD171" s="103">
        <f t="shared" ref="AD171" si="421">+AA171/$X$5</f>
        <v>2.8800000000000003</v>
      </c>
      <c r="AE171" s="104">
        <f t="shared" ref="AE171" si="422">+AB171/$Y$5</f>
        <v>30.52</v>
      </c>
    </row>
    <row r="172" spans="8:31" ht="15.75" thickBot="1">
      <c r="H172" t="str">
        <f t="shared" si="366"/>
        <v>SEPTIEMBRESem4040Roberto Misael Aceituno</v>
      </c>
      <c r="I172" s="14" t="str">
        <f>+_xlfn.XLOOKUP(K172,DetalleCalculos!W:W,DetalleCalculos!S:S,"",0,1)</f>
        <v>SEPTIEMBRE</v>
      </c>
      <c r="J172" s="72" t="str">
        <f t="shared" si="367"/>
        <v>Sem40</v>
      </c>
      <c r="K172" s="72">
        <f t="shared" ref="K172" si="423">+$H$19</f>
        <v>40</v>
      </c>
      <c r="L172" s="72">
        <f>+IF(_xlfn.XLOOKUP(K172,DetalleCalculos!W:W,DetalleCalculos!U:U,0,0,1)=7,1,2)</f>
        <v>1</v>
      </c>
      <c r="M172" s="79" t="str" cm="1">
        <f t="array" ref="M172">+INDEX($B$23:$B$89,ROUNDUP((ROW()-22)/3,0))</f>
        <v>Roberto Misael Aceituno</v>
      </c>
      <c r="N172" s="76">
        <f>SUMIFS(DetalleCalculos!$N:$N,DetalleCalculos!$W:$W,$K172,DetalleCalculos!$H:$H,$M172)*24</f>
        <v>55</v>
      </c>
      <c r="O172" s="80">
        <f>SUMIFS(DetalleCalculos!$P:$P,DetalleCalculos!$W:$W,$K172,DetalleCalculos!$H:$H,$M172)</f>
        <v>36</v>
      </c>
      <c r="P172" s="80">
        <f>SUMIFS(DetalleCalculos!$Q:$Q,DetalleCalculos!$W:$W,$K172,DetalleCalculos!$H:$H,$M172)</f>
        <v>0</v>
      </c>
      <c r="Q172" s="24">
        <f t="shared" si="369"/>
        <v>36</v>
      </c>
      <c r="R172" s="24">
        <f t="shared" si="370"/>
        <v>19</v>
      </c>
      <c r="S172" s="80" t="str">
        <f>_xlfn.XLOOKUP($J172&amp;$K172&amp;$M172,DetalleCalculos!$B:$B,DetalleCalculos!$O:$O,"",0,1)</f>
        <v>0-5-2</v>
      </c>
      <c r="T172" s="29">
        <f>+_xlfn.XLOOKUP($S172,'Horarios y Sistemas'!$C:$C,'Horarios y Sistemas'!M:M,0,0,1)</f>
        <v>0</v>
      </c>
      <c r="U172" s="29">
        <f t="shared" si="371"/>
        <v>1</v>
      </c>
      <c r="V172" s="30">
        <f t="shared" si="372"/>
        <v>0</v>
      </c>
      <c r="W172" s="30">
        <f t="shared" si="373"/>
        <v>19</v>
      </c>
      <c r="X172" s="24">
        <f t="shared" si="374"/>
        <v>0</v>
      </c>
      <c r="Y172" s="24">
        <f t="shared" si="375"/>
        <v>28.5</v>
      </c>
      <c r="Z172" s="95"/>
      <c r="AA172" s="99"/>
      <c r="AB172" s="100"/>
    </row>
    <row r="173" spans="8:31">
      <c r="H173" t="str">
        <f t="shared" si="366"/>
        <v>SEPTIEMBRESem3838SARA ABIGAIL CHACÓN PARADA</v>
      </c>
      <c r="I173" s="14" t="str">
        <f>+_xlfn.XLOOKUP(K173,DetalleCalculos!W:W,DetalleCalculos!S:S,"",0,1)</f>
        <v>SEPTIEMBRE</v>
      </c>
      <c r="J173" s="72" t="str">
        <f t="shared" si="367"/>
        <v>Sem38</v>
      </c>
      <c r="K173" s="72">
        <f t="shared" ref="K173" si="424">+$H$17</f>
        <v>38</v>
      </c>
      <c r="L173" s="72">
        <f>+IF(_xlfn.XLOOKUP(K173,DetalleCalculos!W:W,DetalleCalculos!U:U,0,0,1)=7,1,2)</f>
        <v>1</v>
      </c>
      <c r="M173" s="79" t="str" cm="1">
        <f t="array" ref="M173">+INDEX($B$23:$B$89,ROUNDUP((ROW()-22)/3,0))</f>
        <v>SARA ABIGAIL CHACÓN PARADA</v>
      </c>
      <c r="N173" s="76">
        <f>SUMIFS(DetalleCalculos!$N:$N,DetalleCalculos!$W:$W,$K173,DetalleCalculos!$H:$H,$M173)*24</f>
        <v>35.999999999999986</v>
      </c>
      <c r="O173" s="80">
        <f>SUMIFS(DetalleCalculos!$P:$P,DetalleCalculos!$W:$W,$K173,DetalleCalculos!$H:$H,$M173)</f>
        <v>44</v>
      </c>
      <c r="P173" s="80">
        <f>SUMIFS(DetalleCalculos!$Q:$Q,DetalleCalculos!$W:$W,$K173,DetalleCalculos!$H:$H,$M173)</f>
        <v>0</v>
      </c>
      <c r="Q173" s="80">
        <f t="shared" si="369"/>
        <v>44</v>
      </c>
      <c r="R173" s="80">
        <f t="shared" si="370"/>
        <v>0</v>
      </c>
      <c r="S173" s="80" t="str">
        <f>_xlfn.XLOOKUP($J173&amp;$K173&amp;$M173,DetalleCalculos!$B:$B,DetalleCalculos!$O:$O,"",0,1)</f>
        <v>5-0-2</v>
      </c>
      <c r="T173" s="81">
        <f>+_xlfn.XLOOKUP($S173,'Horarios y Sistemas'!$C:$C,'Horarios y Sistemas'!M:M,0,0,1)</f>
        <v>1</v>
      </c>
      <c r="U173" s="81">
        <f t="shared" si="371"/>
        <v>0</v>
      </c>
      <c r="V173" s="82">
        <f t="shared" si="372"/>
        <v>0</v>
      </c>
      <c r="W173" s="82">
        <f t="shared" si="373"/>
        <v>0</v>
      </c>
      <c r="X173" s="80">
        <f t="shared" si="374"/>
        <v>0</v>
      </c>
      <c r="Y173" s="80">
        <f t="shared" si="375"/>
        <v>0</v>
      </c>
      <c r="Z173" s="95" t="s">
        <v>245</v>
      </c>
      <c r="AA173" s="99">
        <f t="shared" ref="AA173:AB173" si="425">+SUM(X173:X175)</f>
        <v>0</v>
      </c>
      <c r="AB173" s="100">
        <f t="shared" si="425"/>
        <v>0</v>
      </c>
    </row>
    <row r="174" spans="8:31" ht="15.75" thickBot="1">
      <c r="H174" t="str">
        <f t="shared" si="366"/>
        <v>SEPTIEMBRESem3939SARA ABIGAIL CHACÓN PARADA</v>
      </c>
      <c r="I174" s="14" t="str">
        <f>+_xlfn.XLOOKUP(K174,DetalleCalculos!W:W,DetalleCalculos!S:S,"",0,1)</f>
        <v>SEPTIEMBRE</v>
      </c>
      <c r="J174" s="72" t="str">
        <f t="shared" si="367"/>
        <v>Sem39</v>
      </c>
      <c r="K174" s="72">
        <f t="shared" ref="K174" si="426">+$H$18</f>
        <v>39</v>
      </c>
      <c r="L174" s="72">
        <f>+IF(_xlfn.XLOOKUP(K174,DetalleCalculos!W:W,DetalleCalculos!U:U,0,0,1)=7,1,2)</f>
        <v>1</v>
      </c>
      <c r="M174" s="79" t="str" cm="1">
        <f t="array" ref="M174">+INDEX($B$23:$B$89,ROUNDUP((ROW()-22)/3,0))</f>
        <v>SARA ABIGAIL CHACÓN PARADA</v>
      </c>
      <c r="N174" s="76">
        <f>SUMIFS(DetalleCalculos!$N:$N,DetalleCalculos!$W:$W,$K174,DetalleCalculos!$H:$H,$M174)*24</f>
        <v>43.999999999999986</v>
      </c>
      <c r="O174" s="80">
        <f>SUMIFS(DetalleCalculos!$P:$P,DetalleCalculos!$W:$W,$K174,DetalleCalculos!$H:$H,$M174)</f>
        <v>44</v>
      </c>
      <c r="P174" s="80">
        <f>SUMIFS(DetalleCalculos!$Q:$Q,DetalleCalculos!$W:$W,$K174,DetalleCalculos!$H:$H,$M174)</f>
        <v>0</v>
      </c>
      <c r="Q174" s="24">
        <f t="shared" si="369"/>
        <v>44</v>
      </c>
      <c r="R174" s="24">
        <f t="shared" si="370"/>
        <v>0</v>
      </c>
      <c r="S174" s="80" t="str">
        <f>_xlfn.XLOOKUP($J174&amp;$K174&amp;$M174,DetalleCalculos!$B:$B,DetalleCalculos!$O:$O,"",0,1)</f>
        <v>6-0-1</v>
      </c>
      <c r="T174" s="29">
        <f>+_xlfn.XLOOKUP($S174,'Horarios y Sistemas'!$C:$C,'Horarios y Sistemas'!M:M,0,0,1)</f>
        <v>1</v>
      </c>
      <c r="U174" s="29">
        <f t="shared" si="371"/>
        <v>0</v>
      </c>
      <c r="V174" s="30">
        <f t="shared" si="372"/>
        <v>0</v>
      </c>
      <c r="W174" s="30">
        <f t="shared" si="373"/>
        <v>0</v>
      </c>
      <c r="X174" s="24">
        <f t="shared" si="374"/>
        <v>0</v>
      </c>
      <c r="Y174" s="24">
        <f t="shared" si="375"/>
        <v>0</v>
      </c>
      <c r="Z174" s="96" t="s">
        <v>246</v>
      </c>
      <c r="AA174" s="101">
        <f t="shared" ref="AA174" si="427">+IF(AA173&lt;=0,0,IF(AND(AA173&gt;AB173,AB173&lt;=0),IF(AA173+AB173&gt;0,AA173+AB173,0),IF(AND(AA173&gt;0,AB173&gt;0),AA173,0)))</f>
        <v>0</v>
      </c>
      <c r="AB174" s="102">
        <f t="shared" ref="AB174" si="428">+IF(AB173&lt;=0,0,IF(AND(AB173&gt;AA173,AA173&lt;=0),IF(AB173+AA173&gt;0,AB173+AA173,0),IF(AND(AB173&gt;0,AA173&gt;0),AB173,0)))</f>
        <v>0</v>
      </c>
      <c r="AC174" s="97" t="s">
        <v>125</v>
      </c>
      <c r="AD174" s="103">
        <f t="shared" ref="AD174" si="429">+AA174/$X$5</f>
        <v>0</v>
      </c>
      <c r="AE174" s="104">
        <f t="shared" ref="AE174" si="430">+AB174/$Y$5</f>
        <v>0</v>
      </c>
    </row>
    <row r="175" spans="8:31" ht="15.75" thickBot="1">
      <c r="H175" t="str">
        <f t="shared" si="366"/>
        <v>SEPTIEMBRESem4040SARA ABIGAIL CHACÓN PARADA</v>
      </c>
      <c r="I175" s="14" t="str">
        <f>+_xlfn.XLOOKUP(K175,DetalleCalculos!W:W,DetalleCalculos!S:S,"",0,1)</f>
        <v>SEPTIEMBRE</v>
      </c>
      <c r="J175" s="72" t="str">
        <f t="shared" si="367"/>
        <v>Sem40</v>
      </c>
      <c r="K175" s="72">
        <f t="shared" ref="K175" si="431">+$H$19</f>
        <v>40</v>
      </c>
      <c r="L175" s="72">
        <f>+IF(_xlfn.XLOOKUP(K175,DetalleCalculos!W:W,DetalleCalculos!U:U,0,0,1)=7,1,2)</f>
        <v>1</v>
      </c>
      <c r="M175" s="79" t="str" cm="1">
        <f t="array" ref="M175">+INDEX($B$23:$B$89,ROUNDUP((ROW()-22)/3,0))</f>
        <v>SARA ABIGAIL CHACÓN PARADA</v>
      </c>
      <c r="N175" s="76">
        <f>SUMIFS(DetalleCalculos!$N:$N,DetalleCalculos!$W:$W,$K175,DetalleCalculos!$H:$H,$M175)*24</f>
        <v>43.999999999999986</v>
      </c>
      <c r="O175" s="80">
        <f>SUMIFS(DetalleCalculos!$P:$P,DetalleCalculos!$W:$W,$K175,DetalleCalculos!$H:$H,$M175)</f>
        <v>44</v>
      </c>
      <c r="P175" s="80">
        <f>SUMIFS(DetalleCalculos!$Q:$Q,DetalleCalculos!$W:$W,$K175,DetalleCalculos!$H:$H,$M175)</f>
        <v>0</v>
      </c>
      <c r="Q175" s="24">
        <f t="shared" si="369"/>
        <v>44</v>
      </c>
      <c r="R175" s="24">
        <f t="shared" si="370"/>
        <v>0</v>
      </c>
      <c r="S175" s="80" t="str">
        <f>_xlfn.XLOOKUP($J175&amp;$K175&amp;$M175,DetalleCalculos!$B:$B,DetalleCalculos!$O:$O,"",0,1)</f>
        <v>6-0-1</v>
      </c>
      <c r="T175" s="29">
        <f>+_xlfn.XLOOKUP($S175,'Horarios y Sistemas'!$C:$C,'Horarios y Sistemas'!M:M,0,0,1)</f>
        <v>1</v>
      </c>
      <c r="U175" s="29">
        <f t="shared" si="371"/>
        <v>0</v>
      </c>
      <c r="V175" s="30">
        <f t="shared" si="372"/>
        <v>0</v>
      </c>
      <c r="W175" s="30">
        <f t="shared" si="373"/>
        <v>0</v>
      </c>
      <c r="X175" s="24">
        <f t="shared" si="374"/>
        <v>0</v>
      </c>
      <c r="Y175" s="24">
        <f t="shared" si="375"/>
        <v>0</v>
      </c>
      <c r="Z175" s="95"/>
      <c r="AA175" s="99"/>
      <c r="AB175" s="100"/>
    </row>
    <row r="176" spans="8:31">
      <c r="H176" t="str">
        <f t="shared" si="366"/>
        <v>SEPTIEMBRESem3838SAZO DE LA CRUZ SELINA ROSSANA</v>
      </c>
      <c r="I176" s="14" t="str">
        <f>+_xlfn.XLOOKUP(K176,DetalleCalculos!W:W,DetalleCalculos!S:S,"",0,1)</f>
        <v>SEPTIEMBRE</v>
      </c>
      <c r="J176" s="72" t="str">
        <f t="shared" si="367"/>
        <v>Sem38</v>
      </c>
      <c r="K176" s="72">
        <f t="shared" ref="K176" si="432">+$H$17</f>
        <v>38</v>
      </c>
      <c r="L176" s="72">
        <f>+IF(_xlfn.XLOOKUP(K176,DetalleCalculos!W:W,DetalleCalculos!U:U,0,0,1)=7,1,2)</f>
        <v>1</v>
      </c>
      <c r="M176" s="79" t="str" cm="1">
        <f t="array" ref="M176">+INDEX($B$23:$B$89,ROUNDUP((ROW()-22)/3,0))</f>
        <v>SAZO DE LA CRUZ SELINA ROSSANA</v>
      </c>
      <c r="N176" s="76">
        <f>SUMIFS(DetalleCalculos!$N:$N,DetalleCalculos!$W:$W,$K176,DetalleCalculos!$H:$H,$M176)*24</f>
        <v>35.999999999999986</v>
      </c>
      <c r="O176" s="80">
        <f>SUMIFS(DetalleCalculos!$P:$P,DetalleCalculos!$W:$W,$K176,DetalleCalculos!$H:$H,$M176)</f>
        <v>44</v>
      </c>
      <c r="P176" s="80">
        <f>SUMIFS(DetalleCalculos!$Q:$Q,DetalleCalculos!$W:$W,$K176,DetalleCalculos!$H:$H,$M176)</f>
        <v>0</v>
      </c>
      <c r="Q176" s="80">
        <f t="shared" si="369"/>
        <v>44</v>
      </c>
      <c r="R176" s="80">
        <f t="shared" si="370"/>
        <v>0</v>
      </c>
      <c r="S176" s="80" t="str">
        <f>_xlfn.XLOOKUP($J176&amp;$K176&amp;$M176,DetalleCalculos!$B:$B,DetalleCalculos!$O:$O,"",0,1)</f>
        <v>5-0-2</v>
      </c>
      <c r="T176" s="81">
        <f>+_xlfn.XLOOKUP($S176,'Horarios y Sistemas'!$C:$C,'Horarios y Sistemas'!M:M,0,0,1)</f>
        <v>1</v>
      </c>
      <c r="U176" s="81">
        <f t="shared" si="371"/>
        <v>0</v>
      </c>
      <c r="V176" s="82">
        <f t="shared" si="372"/>
        <v>0</v>
      </c>
      <c r="W176" s="82">
        <f t="shared" si="373"/>
        <v>0</v>
      </c>
      <c r="X176" s="80">
        <f t="shared" si="374"/>
        <v>0</v>
      </c>
      <c r="Y176" s="80">
        <f t="shared" si="375"/>
        <v>0</v>
      </c>
      <c r="Z176" s="95" t="s">
        <v>245</v>
      </c>
      <c r="AA176" s="99">
        <f t="shared" ref="AA176:AB176" si="433">+SUM(X176:X178)</f>
        <v>0</v>
      </c>
      <c r="AB176" s="100">
        <f t="shared" si="433"/>
        <v>0</v>
      </c>
    </row>
    <row r="177" spans="8:31" ht="15.75" thickBot="1">
      <c r="H177" t="str">
        <f t="shared" si="366"/>
        <v>SEPTIEMBRESem3939SAZO DE LA CRUZ SELINA ROSSANA</v>
      </c>
      <c r="I177" s="14" t="str">
        <f>+_xlfn.XLOOKUP(K177,DetalleCalculos!W:W,DetalleCalculos!S:S,"",0,1)</f>
        <v>SEPTIEMBRE</v>
      </c>
      <c r="J177" s="72" t="str">
        <f t="shared" si="367"/>
        <v>Sem39</v>
      </c>
      <c r="K177" s="72">
        <f t="shared" ref="K177" si="434">+$H$18</f>
        <v>39</v>
      </c>
      <c r="L177" s="72">
        <f>+IF(_xlfn.XLOOKUP(K177,DetalleCalculos!W:W,DetalleCalculos!U:U,0,0,1)=7,1,2)</f>
        <v>1</v>
      </c>
      <c r="M177" s="79" t="str" cm="1">
        <f t="array" ref="M177">+INDEX($B$23:$B$89,ROUNDUP((ROW()-22)/3,0))</f>
        <v>SAZO DE LA CRUZ SELINA ROSSANA</v>
      </c>
      <c r="N177" s="76">
        <f>SUMIFS(DetalleCalculos!$N:$N,DetalleCalculos!$W:$W,$K177,DetalleCalculos!$H:$H,$M177)*24</f>
        <v>43.999999999999986</v>
      </c>
      <c r="O177" s="80">
        <f>SUMIFS(DetalleCalculos!$P:$P,DetalleCalculos!$W:$W,$K177,DetalleCalculos!$H:$H,$M177)</f>
        <v>44</v>
      </c>
      <c r="P177" s="80">
        <f>SUMIFS(DetalleCalculos!$Q:$Q,DetalleCalculos!$W:$W,$K177,DetalleCalculos!$H:$H,$M177)</f>
        <v>0</v>
      </c>
      <c r="Q177" s="24">
        <f t="shared" si="369"/>
        <v>44</v>
      </c>
      <c r="R177" s="24">
        <f t="shared" si="370"/>
        <v>0</v>
      </c>
      <c r="S177" s="80" t="str">
        <f>_xlfn.XLOOKUP($J177&amp;$K177&amp;$M177,DetalleCalculos!$B:$B,DetalleCalculos!$O:$O,"",0,1)</f>
        <v>6-0-1</v>
      </c>
      <c r="T177" s="29">
        <f>+_xlfn.XLOOKUP($S177,'Horarios y Sistemas'!$C:$C,'Horarios y Sistemas'!M:M,0,0,1)</f>
        <v>1</v>
      </c>
      <c r="U177" s="29">
        <f t="shared" si="371"/>
        <v>0</v>
      </c>
      <c r="V177" s="30">
        <f t="shared" si="372"/>
        <v>0</v>
      </c>
      <c r="W177" s="30">
        <f t="shared" si="373"/>
        <v>0</v>
      </c>
      <c r="X177" s="24">
        <f t="shared" si="374"/>
        <v>0</v>
      </c>
      <c r="Y177" s="24">
        <f t="shared" si="375"/>
        <v>0</v>
      </c>
      <c r="Z177" s="96" t="s">
        <v>246</v>
      </c>
      <c r="AA177" s="101">
        <f t="shared" ref="AA177" si="435">+IF(AA176&lt;=0,0,IF(AND(AA176&gt;AB176,AB176&lt;=0),IF(AA176+AB176&gt;0,AA176+AB176,0),IF(AND(AA176&gt;0,AB176&gt;0),AA176,0)))</f>
        <v>0</v>
      </c>
      <c r="AB177" s="102">
        <f t="shared" ref="AB177" si="436">+IF(AB176&lt;=0,0,IF(AND(AB176&gt;AA176,AA176&lt;=0),IF(AB176+AA176&gt;0,AB176+AA176,0),IF(AND(AB176&gt;0,AA176&gt;0),AB176,0)))</f>
        <v>0</v>
      </c>
      <c r="AC177" s="97" t="s">
        <v>125</v>
      </c>
      <c r="AD177" s="103">
        <f t="shared" ref="AD177" si="437">+AA177/$X$5</f>
        <v>0</v>
      </c>
      <c r="AE177" s="104">
        <f t="shared" ref="AE177" si="438">+AB177/$Y$5</f>
        <v>0</v>
      </c>
    </row>
    <row r="178" spans="8:31" ht="15.75" thickBot="1">
      <c r="H178" t="str">
        <f t="shared" si="366"/>
        <v>SEPTIEMBRESem4040SAZO DE LA CRUZ SELINA ROSSANA</v>
      </c>
      <c r="I178" s="14" t="str">
        <f>+_xlfn.XLOOKUP(K178,DetalleCalculos!W:W,DetalleCalculos!S:S,"",0,1)</f>
        <v>SEPTIEMBRE</v>
      </c>
      <c r="J178" s="72" t="str">
        <f t="shared" si="367"/>
        <v>Sem40</v>
      </c>
      <c r="K178" s="72">
        <f t="shared" ref="K178" si="439">+$H$19</f>
        <v>40</v>
      </c>
      <c r="L178" s="72">
        <f>+IF(_xlfn.XLOOKUP(K178,DetalleCalculos!W:W,DetalleCalculos!U:U,0,0,1)=7,1,2)</f>
        <v>1</v>
      </c>
      <c r="M178" s="79" t="str" cm="1">
        <f t="array" ref="M178">+INDEX($B$23:$B$89,ROUNDUP((ROW()-22)/3,0))</f>
        <v>SAZO DE LA CRUZ SELINA ROSSANA</v>
      </c>
      <c r="N178" s="76">
        <f>SUMIFS(DetalleCalculos!$N:$N,DetalleCalculos!$W:$W,$K178,DetalleCalculos!$H:$H,$M178)*24</f>
        <v>43.999999999999986</v>
      </c>
      <c r="O178" s="80">
        <f>SUMIFS(DetalleCalculos!$P:$P,DetalleCalculos!$W:$W,$K178,DetalleCalculos!$H:$H,$M178)</f>
        <v>44</v>
      </c>
      <c r="P178" s="80">
        <f>SUMIFS(DetalleCalculos!$Q:$Q,DetalleCalculos!$W:$W,$K178,DetalleCalculos!$H:$H,$M178)</f>
        <v>0</v>
      </c>
      <c r="Q178" s="24">
        <f t="shared" si="369"/>
        <v>44</v>
      </c>
      <c r="R178" s="24">
        <f t="shared" si="370"/>
        <v>0</v>
      </c>
      <c r="S178" s="80" t="str">
        <f>_xlfn.XLOOKUP($J178&amp;$K178&amp;$M178,DetalleCalculos!$B:$B,DetalleCalculos!$O:$O,"",0,1)</f>
        <v>6-0-1</v>
      </c>
      <c r="T178" s="29">
        <f>+_xlfn.XLOOKUP($S178,'Horarios y Sistemas'!$C:$C,'Horarios y Sistemas'!M:M,0,0,1)</f>
        <v>1</v>
      </c>
      <c r="U178" s="29">
        <f t="shared" si="371"/>
        <v>0</v>
      </c>
      <c r="V178" s="30">
        <f t="shared" si="372"/>
        <v>0</v>
      </c>
      <c r="W178" s="30">
        <f t="shared" si="373"/>
        <v>0</v>
      </c>
      <c r="X178" s="24">
        <f t="shared" si="374"/>
        <v>0</v>
      </c>
      <c r="Y178" s="24">
        <f t="shared" si="375"/>
        <v>0</v>
      </c>
      <c r="Z178" s="95"/>
      <c r="AA178" s="99"/>
      <c r="AB178" s="100"/>
    </row>
    <row r="179" spans="8:31">
      <c r="H179" t="str">
        <f t="shared" si="366"/>
        <v>SEPTIEMBRESem3838STEFAN GABRIEL ALVARADO DE LA ROSA</v>
      </c>
      <c r="I179" s="14" t="str">
        <f>+_xlfn.XLOOKUP(K179,DetalleCalculos!W:W,DetalleCalculos!S:S,"",0,1)</f>
        <v>SEPTIEMBRE</v>
      </c>
      <c r="J179" s="72" t="str">
        <f t="shared" si="367"/>
        <v>Sem38</v>
      </c>
      <c r="K179" s="72">
        <f t="shared" ref="K179" si="440">+$H$17</f>
        <v>38</v>
      </c>
      <c r="L179" s="72">
        <f>+IF(_xlfn.XLOOKUP(K179,DetalleCalculos!W:W,DetalleCalculos!U:U,0,0,1)=7,1,2)</f>
        <v>1</v>
      </c>
      <c r="M179" s="79" t="str" cm="1">
        <f t="array" ref="M179">+INDEX($B$23:$B$89,ROUNDUP((ROW()-22)/3,0))</f>
        <v>STEFAN GABRIEL ALVARADO DE LA ROSA</v>
      </c>
      <c r="N179" s="76">
        <f>SUMIFS(DetalleCalculos!$N:$N,DetalleCalculos!$W:$W,$K179,DetalleCalculos!$H:$H,$M179)*24</f>
        <v>35.999999999999986</v>
      </c>
      <c r="O179" s="80">
        <f>SUMIFS(DetalleCalculos!$P:$P,DetalleCalculos!$W:$W,$K179,DetalleCalculos!$H:$H,$M179)</f>
        <v>44</v>
      </c>
      <c r="P179" s="80">
        <f>SUMIFS(DetalleCalculos!$Q:$Q,DetalleCalculos!$W:$W,$K179,DetalleCalculos!$H:$H,$M179)</f>
        <v>0</v>
      </c>
      <c r="Q179" s="80">
        <f t="shared" si="369"/>
        <v>44</v>
      </c>
      <c r="R179" s="80">
        <f t="shared" si="370"/>
        <v>0</v>
      </c>
      <c r="S179" s="80" t="str">
        <f>_xlfn.XLOOKUP($J179&amp;$K179&amp;$M179,DetalleCalculos!$B:$B,DetalleCalculos!$O:$O,"",0,1)</f>
        <v>5-0-2</v>
      </c>
      <c r="T179" s="81">
        <f>+_xlfn.XLOOKUP($S179,'Horarios y Sistemas'!$C:$C,'Horarios y Sistemas'!M:M,0,0,1)</f>
        <v>1</v>
      </c>
      <c r="U179" s="81">
        <f t="shared" si="371"/>
        <v>0</v>
      </c>
      <c r="V179" s="82">
        <f t="shared" si="372"/>
        <v>0</v>
      </c>
      <c r="W179" s="82">
        <f t="shared" si="373"/>
        <v>0</v>
      </c>
      <c r="X179" s="80">
        <f t="shared" si="374"/>
        <v>0</v>
      </c>
      <c r="Y179" s="80">
        <f t="shared" si="375"/>
        <v>0</v>
      </c>
      <c r="Z179" s="95" t="s">
        <v>245</v>
      </c>
      <c r="AA179" s="99">
        <f t="shared" ref="AA179:AB179" si="441">+SUM(X179:X181)</f>
        <v>2.2799999999999687</v>
      </c>
      <c r="AB179" s="100">
        <f t="shared" si="441"/>
        <v>16.919999999999845</v>
      </c>
    </row>
    <row r="180" spans="8:31" ht="15.75" thickBot="1">
      <c r="H180" t="str">
        <f t="shared" si="366"/>
        <v>SEPTIEMBRESem3939STEFAN GABRIEL ALVARADO DE LA ROSA</v>
      </c>
      <c r="I180" s="14" t="str">
        <f>+_xlfn.XLOOKUP(K180,DetalleCalculos!W:W,DetalleCalculos!S:S,"",0,1)</f>
        <v>SEPTIEMBRE</v>
      </c>
      <c r="J180" s="72" t="str">
        <f t="shared" si="367"/>
        <v>Sem39</v>
      </c>
      <c r="K180" s="72">
        <f t="shared" ref="K180" si="442">+$H$18</f>
        <v>39</v>
      </c>
      <c r="L180" s="72">
        <f>+IF(_xlfn.XLOOKUP(K180,DetalleCalculos!W:W,DetalleCalculos!U:U,0,0,1)=7,1,2)</f>
        <v>1</v>
      </c>
      <c r="M180" s="79" t="str" cm="1">
        <f t="array" ref="M180">+INDEX($B$23:$B$89,ROUNDUP((ROW()-22)/3,0))</f>
        <v>STEFAN GABRIEL ALVARADO DE LA ROSA</v>
      </c>
      <c r="N180" s="76">
        <f>SUMIFS(DetalleCalculos!$N:$N,DetalleCalculos!$W:$W,$K180,DetalleCalculos!$H:$H,$M180)*24</f>
        <v>44.999999999999929</v>
      </c>
      <c r="O180" s="80">
        <f>SUMIFS(DetalleCalculos!$P:$P,DetalleCalculos!$W:$W,$K180,DetalleCalculos!$H:$H,$M180)</f>
        <v>36</v>
      </c>
      <c r="P180" s="80">
        <f>SUMIFS(DetalleCalculos!$Q:$Q,DetalleCalculos!$W:$W,$K180,DetalleCalculos!$H:$H,$M180)</f>
        <v>0</v>
      </c>
      <c r="Q180" s="24">
        <f t="shared" si="369"/>
        <v>36</v>
      </c>
      <c r="R180" s="24">
        <f t="shared" si="370"/>
        <v>8.9999999999999289</v>
      </c>
      <c r="S180" s="80" t="str">
        <f>_xlfn.XLOOKUP($J180&amp;$K180&amp;$M180,DetalleCalculos!$B:$B,DetalleCalculos!$O:$O,"",0,1)</f>
        <v>0-5-2</v>
      </c>
      <c r="T180" s="29">
        <f>+_xlfn.XLOOKUP($S180,'Horarios y Sistemas'!$C:$C,'Horarios y Sistemas'!M:M,0,0,1)</f>
        <v>0</v>
      </c>
      <c r="U180" s="29">
        <f t="shared" si="371"/>
        <v>1</v>
      </c>
      <c r="V180" s="30">
        <f t="shared" si="372"/>
        <v>0</v>
      </c>
      <c r="W180" s="30">
        <f t="shared" si="373"/>
        <v>8.9999999999999289</v>
      </c>
      <c r="X180" s="24">
        <f t="shared" si="374"/>
        <v>0</v>
      </c>
      <c r="Y180" s="24">
        <f t="shared" si="375"/>
        <v>13.499999999999893</v>
      </c>
      <c r="Z180" s="96" t="s">
        <v>246</v>
      </c>
      <c r="AA180" s="101">
        <f t="shared" ref="AA180" si="443">+IF(AA179&lt;=0,0,IF(AND(AA179&gt;AB179,AB179&lt;=0),IF(AA179+AB179&gt;0,AA179+AB179,0),IF(AND(AA179&gt;0,AB179&gt;0),AA179,0)))</f>
        <v>2.2799999999999687</v>
      </c>
      <c r="AB180" s="102">
        <f t="shared" ref="AB180" si="444">+IF(AB179&lt;=0,0,IF(AND(AB179&gt;AA179,AA179&lt;=0),IF(AB179+AA179&gt;0,AB179+AA179,0),IF(AND(AB179&gt;0,AA179&gt;0),AB179,0)))</f>
        <v>16.919999999999845</v>
      </c>
      <c r="AC180" s="97" t="s">
        <v>125</v>
      </c>
      <c r="AD180" s="103">
        <f t="shared" ref="AD180" si="445">+AA180/$X$5</f>
        <v>1.5199999999999791</v>
      </c>
      <c r="AE180" s="104">
        <f t="shared" ref="AE180" si="446">+AB180/$Y$5</f>
        <v>11.279999999999896</v>
      </c>
    </row>
    <row r="181" spans="8:31" ht="15.75" thickBot="1">
      <c r="H181" t="str">
        <f t="shared" si="366"/>
        <v>SEPTIEMBRESem4040STEFAN GABRIEL ALVARADO DE LA ROSA</v>
      </c>
      <c r="I181" s="14" t="str">
        <f>+_xlfn.XLOOKUP(K181,DetalleCalculos!W:W,DetalleCalculos!S:S,"",0,1)</f>
        <v>SEPTIEMBRE</v>
      </c>
      <c r="J181" s="72" t="str">
        <f t="shared" si="367"/>
        <v>Sem40</v>
      </c>
      <c r="K181" s="72">
        <f t="shared" ref="K181" si="447">+$H$19</f>
        <v>40</v>
      </c>
      <c r="L181" s="72">
        <f>+IF(_xlfn.XLOOKUP(K181,DetalleCalculos!W:W,DetalleCalculos!U:U,0,0,1)=7,1,2)</f>
        <v>1</v>
      </c>
      <c r="M181" s="79" t="str" cm="1">
        <f t="array" ref="M181">+INDEX($B$23:$B$89,ROUNDUP((ROW()-22)/3,0))</f>
        <v>STEFAN GABRIEL ALVARADO DE LA ROSA</v>
      </c>
      <c r="N181" s="76">
        <f>SUMIFS(DetalleCalculos!$N:$N,DetalleCalculos!$W:$W,$K181,DetalleCalculos!$H:$H,$M181)*24</f>
        <v>42.99999999999995</v>
      </c>
      <c r="O181" s="80">
        <f>SUMIFS(DetalleCalculos!$P:$P,DetalleCalculos!$W:$W,$K181,DetalleCalculos!$H:$H,$M181)</f>
        <v>39.200000000000003</v>
      </c>
      <c r="P181" s="80">
        <f>SUMIFS(DetalleCalculos!$Q:$Q,DetalleCalculos!$W:$W,$K181,DetalleCalculos!$H:$H,$M181)</f>
        <v>0</v>
      </c>
      <c r="Q181" s="24">
        <f t="shared" si="369"/>
        <v>39.200000000000003</v>
      </c>
      <c r="R181" s="24">
        <f t="shared" si="370"/>
        <v>3.7999999999999474</v>
      </c>
      <c r="S181" s="80" t="str">
        <f>_xlfn.XLOOKUP($J181&amp;$K181&amp;$M181,DetalleCalculos!$B:$B,DetalleCalculos!$O:$O,"",0,1)</f>
        <v>2-3-2</v>
      </c>
      <c r="T181" s="29">
        <f>+_xlfn.XLOOKUP($S181,'Horarios y Sistemas'!$C:$C,'Horarios y Sistemas'!M:M,0,0,1)</f>
        <v>0.4</v>
      </c>
      <c r="U181" s="29">
        <f t="shared" si="371"/>
        <v>0.6</v>
      </c>
      <c r="V181" s="30">
        <f t="shared" si="372"/>
        <v>1.5199999999999791</v>
      </c>
      <c r="W181" s="30">
        <f t="shared" si="373"/>
        <v>2.2799999999999683</v>
      </c>
      <c r="X181" s="24">
        <f t="shared" si="374"/>
        <v>2.2799999999999687</v>
      </c>
      <c r="Y181" s="24">
        <f t="shared" si="375"/>
        <v>3.4199999999999524</v>
      </c>
      <c r="Z181" s="95"/>
      <c r="AA181" s="99"/>
      <c r="AB181" s="100"/>
    </row>
    <row r="182" spans="8:31">
      <c r="H182" t="str">
        <f t="shared" si="366"/>
        <v>SEPTIEMBRESem3838VICTOR MANUEL GARCIA CORADO</v>
      </c>
      <c r="I182" s="14" t="str">
        <f>+_xlfn.XLOOKUP(K182,DetalleCalculos!W:W,DetalleCalculos!S:S,"",0,1)</f>
        <v>SEPTIEMBRE</v>
      </c>
      <c r="J182" s="72" t="str">
        <f t="shared" si="367"/>
        <v>Sem38</v>
      </c>
      <c r="K182" s="72">
        <f t="shared" ref="K182" si="448">+$H$17</f>
        <v>38</v>
      </c>
      <c r="L182" s="72">
        <f>+IF(_xlfn.XLOOKUP(K182,DetalleCalculos!W:W,DetalleCalculos!U:U,0,0,1)=7,1,2)</f>
        <v>1</v>
      </c>
      <c r="M182" s="79" t="str" cm="1">
        <f t="array" ref="M182">+INDEX($B$23:$B$89,ROUNDUP((ROW()-22)/3,0))</f>
        <v>VICTOR MANUEL GARCIA CORADO</v>
      </c>
      <c r="N182" s="76">
        <f>SUMIFS(DetalleCalculos!$N:$N,DetalleCalculos!$W:$W,$K182,DetalleCalculos!$H:$H,$M182)*24</f>
        <v>0</v>
      </c>
      <c r="O182" s="80">
        <f>SUMIFS(DetalleCalculos!$P:$P,DetalleCalculos!$W:$W,$K182,DetalleCalculos!$H:$H,$M182)</f>
        <v>0</v>
      </c>
      <c r="P182" s="80">
        <f>SUMIFS(DetalleCalculos!$Q:$Q,DetalleCalculos!$W:$W,$K182,DetalleCalculos!$H:$H,$M182)</f>
        <v>0</v>
      </c>
      <c r="Q182" s="80">
        <f t="shared" si="369"/>
        <v>0</v>
      </c>
      <c r="R182" s="80">
        <f t="shared" si="370"/>
        <v>0</v>
      </c>
      <c r="S182" s="80" t="str">
        <f>_xlfn.XLOOKUP($J182&amp;$K182&amp;$M182,DetalleCalculos!$B:$B,DetalleCalculos!$O:$O,"",0,1)</f>
        <v/>
      </c>
      <c r="T182" s="81">
        <f>+_xlfn.XLOOKUP($S182,'Horarios y Sistemas'!$C:$C,'Horarios y Sistemas'!M:M,0,0,1)</f>
        <v>0</v>
      </c>
      <c r="U182" s="81">
        <f t="shared" si="371"/>
        <v>1</v>
      </c>
      <c r="V182" s="82">
        <f t="shared" si="372"/>
        <v>0</v>
      </c>
      <c r="W182" s="82">
        <f t="shared" si="373"/>
        <v>0</v>
      </c>
      <c r="X182" s="80">
        <f t="shared" si="374"/>
        <v>0</v>
      </c>
      <c r="Y182" s="80">
        <f t="shared" si="375"/>
        <v>0</v>
      </c>
      <c r="Z182" s="95" t="s">
        <v>245</v>
      </c>
      <c r="AA182" s="99">
        <f t="shared" ref="AA182:AB182" si="449">+SUM(X182:X184)</f>
        <v>0</v>
      </c>
      <c r="AB182" s="100">
        <f t="shared" si="449"/>
        <v>0</v>
      </c>
    </row>
    <row r="183" spans="8:31" ht="15.75" thickBot="1">
      <c r="H183" t="str">
        <f t="shared" si="366"/>
        <v>SEPTIEMBRESem3939VICTOR MANUEL GARCIA CORADO</v>
      </c>
      <c r="I183" s="14" t="str">
        <f>+_xlfn.XLOOKUP(K183,DetalleCalculos!W:W,DetalleCalculos!S:S,"",0,1)</f>
        <v>SEPTIEMBRE</v>
      </c>
      <c r="J183" s="72" t="str">
        <f t="shared" si="367"/>
        <v>Sem39</v>
      </c>
      <c r="K183" s="72">
        <f t="shared" ref="K183" si="450">+$H$18</f>
        <v>39</v>
      </c>
      <c r="L183" s="72">
        <f>+IF(_xlfn.XLOOKUP(K183,DetalleCalculos!W:W,DetalleCalculos!U:U,0,0,1)=7,1,2)</f>
        <v>1</v>
      </c>
      <c r="M183" s="79" t="str" cm="1">
        <f t="array" ref="M183">+INDEX($B$23:$B$89,ROUNDUP((ROW()-22)/3,0))</f>
        <v>VICTOR MANUEL GARCIA CORADO</v>
      </c>
      <c r="N183" s="76">
        <f>SUMIFS(DetalleCalculos!$N:$N,DetalleCalculos!$W:$W,$K183,DetalleCalculos!$H:$H,$M183)*24</f>
        <v>0</v>
      </c>
      <c r="O183" s="80">
        <f>SUMIFS(DetalleCalculos!$P:$P,DetalleCalculos!$W:$W,$K183,DetalleCalculos!$H:$H,$M183)</f>
        <v>0</v>
      </c>
      <c r="P183" s="80">
        <f>SUMIFS(DetalleCalculos!$Q:$Q,DetalleCalculos!$W:$W,$K183,DetalleCalculos!$H:$H,$M183)</f>
        <v>0</v>
      </c>
      <c r="Q183" s="24">
        <f t="shared" si="369"/>
        <v>0</v>
      </c>
      <c r="R183" s="24">
        <f t="shared" si="370"/>
        <v>0</v>
      </c>
      <c r="S183" s="80" t="str">
        <f>_xlfn.XLOOKUP($J183&amp;$K183&amp;$M183,DetalleCalculos!$B:$B,DetalleCalculos!$O:$O,"",0,1)</f>
        <v/>
      </c>
      <c r="T183" s="29">
        <f>+_xlfn.XLOOKUP($S183,'Horarios y Sistemas'!$C:$C,'Horarios y Sistemas'!M:M,0,0,1)</f>
        <v>0</v>
      </c>
      <c r="U183" s="29">
        <f t="shared" si="371"/>
        <v>1</v>
      </c>
      <c r="V183" s="30">
        <f t="shared" si="372"/>
        <v>0</v>
      </c>
      <c r="W183" s="30">
        <f t="shared" si="373"/>
        <v>0</v>
      </c>
      <c r="X183" s="24">
        <f t="shared" si="374"/>
        <v>0</v>
      </c>
      <c r="Y183" s="24">
        <f t="shared" si="375"/>
        <v>0</v>
      </c>
      <c r="Z183" s="96" t="s">
        <v>246</v>
      </c>
      <c r="AA183" s="101">
        <f t="shared" ref="AA183" si="451">+IF(AA182&lt;=0,0,IF(AND(AA182&gt;AB182,AB182&lt;=0),IF(AA182+AB182&gt;0,AA182+AB182,0),IF(AND(AA182&gt;0,AB182&gt;0),AA182,0)))</f>
        <v>0</v>
      </c>
      <c r="AB183" s="102">
        <f t="shared" ref="AB183" si="452">+IF(AB182&lt;=0,0,IF(AND(AB182&gt;AA182,AA182&lt;=0),IF(AB182+AA182&gt;0,AB182+AA182,0),IF(AND(AB182&gt;0,AA182&gt;0),AB182,0)))</f>
        <v>0</v>
      </c>
      <c r="AC183" s="97" t="s">
        <v>125</v>
      </c>
      <c r="AD183" s="103">
        <f t="shared" ref="AD183" si="453">+AA183/$X$5</f>
        <v>0</v>
      </c>
      <c r="AE183" s="104">
        <f t="shared" ref="AE183" si="454">+AB183/$Y$5</f>
        <v>0</v>
      </c>
    </row>
    <row r="184" spans="8:31" ht="15.75" thickBot="1">
      <c r="H184" t="str">
        <f t="shared" si="366"/>
        <v>SEPTIEMBRESem4040VICTOR MANUEL GARCIA CORADO</v>
      </c>
      <c r="I184" s="14" t="str">
        <f>+_xlfn.XLOOKUP(K184,DetalleCalculos!W:W,DetalleCalculos!S:S,"",0,1)</f>
        <v>SEPTIEMBRE</v>
      </c>
      <c r="J184" s="72" t="str">
        <f t="shared" si="367"/>
        <v>Sem40</v>
      </c>
      <c r="K184" s="72">
        <f t="shared" ref="K184" si="455">+$H$19</f>
        <v>40</v>
      </c>
      <c r="L184" s="72">
        <f>+IF(_xlfn.XLOOKUP(K184,DetalleCalculos!W:W,DetalleCalculos!U:U,0,0,1)=7,1,2)</f>
        <v>1</v>
      </c>
      <c r="M184" s="79" t="str" cm="1">
        <f t="array" ref="M184">+INDEX($B$23:$B$89,ROUNDUP((ROW()-22)/3,0))</f>
        <v>VICTOR MANUEL GARCIA CORADO</v>
      </c>
      <c r="N184" s="76">
        <f>SUMIFS(DetalleCalculos!$N:$N,DetalleCalculos!$W:$W,$K184,DetalleCalculos!$H:$H,$M184)*24</f>
        <v>0</v>
      </c>
      <c r="O184" s="80">
        <f>SUMIFS(DetalleCalculos!$P:$P,DetalleCalculos!$W:$W,$K184,DetalleCalculos!$H:$H,$M184)</f>
        <v>0</v>
      </c>
      <c r="P184" s="80">
        <f>SUMIFS(DetalleCalculos!$Q:$Q,DetalleCalculos!$W:$W,$K184,DetalleCalculos!$H:$H,$M184)</f>
        <v>0</v>
      </c>
      <c r="Q184" s="24">
        <f t="shared" si="369"/>
        <v>0</v>
      </c>
      <c r="R184" s="24">
        <f t="shared" si="370"/>
        <v>0</v>
      </c>
      <c r="S184" s="80" t="str">
        <f>_xlfn.XLOOKUP($J184&amp;$K184&amp;$M184,DetalleCalculos!$B:$B,DetalleCalculos!$O:$O,"",0,1)</f>
        <v/>
      </c>
      <c r="T184" s="29">
        <f>+_xlfn.XLOOKUP($S184,'Horarios y Sistemas'!$C:$C,'Horarios y Sistemas'!M:M,0,0,1)</f>
        <v>0</v>
      </c>
      <c r="U184" s="29">
        <f t="shared" si="371"/>
        <v>1</v>
      </c>
      <c r="V184" s="30">
        <f t="shared" si="372"/>
        <v>0</v>
      </c>
      <c r="W184" s="30">
        <f t="shared" si="373"/>
        <v>0</v>
      </c>
      <c r="X184" s="24">
        <f t="shared" si="374"/>
        <v>0</v>
      </c>
      <c r="Y184" s="24">
        <f t="shared" si="375"/>
        <v>0</v>
      </c>
      <c r="Z184" s="95"/>
      <c r="AA184" s="99"/>
      <c r="AB184" s="100"/>
    </row>
    <row r="185" spans="8:31">
      <c r="H185" t="str">
        <f t="shared" si="366"/>
        <v>SEPTIEMBRESem3838Wilber Alexader Jimenez Luna</v>
      </c>
      <c r="I185" s="14" t="str">
        <f>+_xlfn.XLOOKUP(K185,DetalleCalculos!W:W,DetalleCalculos!S:S,"",0,1)</f>
        <v>SEPTIEMBRE</v>
      </c>
      <c r="J185" s="72" t="str">
        <f t="shared" si="367"/>
        <v>Sem38</v>
      </c>
      <c r="K185" s="72">
        <f t="shared" ref="K185" si="456">+$H$17</f>
        <v>38</v>
      </c>
      <c r="L185" s="72">
        <f>+IF(_xlfn.XLOOKUP(K185,DetalleCalculos!W:W,DetalleCalculos!U:U,0,0,1)=7,1,2)</f>
        <v>1</v>
      </c>
      <c r="M185" s="79" t="str" cm="1">
        <f t="array" ref="M185">+INDEX($B$23:$B$89,ROUNDUP((ROW()-22)/3,0))</f>
        <v>Wilber Alexader Jimenez Luna</v>
      </c>
      <c r="N185" s="76">
        <f>SUMIFS(DetalleCalculos!$N:$N,DetalleCalculos!$W:$W,$K185,DetalleCalculos!$H:$H,$M185)*24</f>
        <v>47.999999999999993</v>
      </c>
      <c r="O185" s="80">
        <f>SUMIFS(DetalleCalculos!$P:$P,DetalleCalculos!$W:$W,$K185,DetalleCalculos!$H:$H,$M185)</f>
        <v>44</v>
      </c>
      <c r="P185" s="80">
        <f>SUMIFS(DetalleCalculos!$Q:$Q,DetalleCalculos!$W:$W,$K185,DetalleCalculos!$H:$H,$M185)</f>
        <v>0</v>
      </c>
      <c r="Q185" s="80">
        <f t="shared" si="369"/>
        <v>44</v>
      </c>
      <c r="R185" s="80">
        <f t="shared" si="370"/>
        <v>3.9999999999999929</v>
      </c>
      <c r="S185" s="80" t="str">
        <f>_xlfn.XLOOKUP($J185&amp;$K185&amp;$M185,DetalleCalculos!$B:$B,DetalleCalculos!$O:$O,"",0,1)</f>
        <v>5-0-2</v>
      </c>
      <c r="T185" s="81">
        <f>+_xlfn.XLOOKUP($S185,'Horarios y Sistemas'!$C:$C,'Horarios y Sistemas'!M:M,0,0,1)</f>
        <v>1</v>
      </c>
      <c r="U185" s="81">
        <f t="shared" si="371"/>
        <v>0</v>
      </c>
      <c r="V185" s="82">
        <f t="shared" si="372"/>
        <v>3.9999999999999929</v>
      </c>
      <c r="W185" s="82">
        <f t="shared" si="373"/>
        <v>0</v>
      </c>
      <c r="X185" s="80">
        <f t="shared" si="374"/>
        <v>5.9999999999999893</v>
      </c>
      <c r="Y185" s="80">
        <f t="shared" si="375"/>
        <v>0</v>
      </c>
      <c r="Z185" s="95" t="s">
        <v>245</v>
      </c>
      <c r="AA185" s="99">
        <f t="shared" ref="AA185:AB185" si="457">+SUM(X185:X187)</f>
        <v>34.499999999999986</v>
      </c>
      <c r="AB185" s="100">
        <f t="shared" si="457"/>
        <v>0</v>
      </c>
    </row>
    <row r="186" spans="8:31" ht="15.75" thickBot="1">
      <c r="H186" t="str">
        <f t="shared" si="366"/>
        <v>SEPTIEMBRESem3939Wilber Alexader Jimenez Luna</v>
      </c>
      <c r="I186" s="14" t="str">
        <f>+_xlfn.XLOOKUP(K186,DetalleCalculos!W:W,DetalleCalculos!S:S,"",0,1)</f>
        <v>SEPTIEMBRE</v>
      </c>
      <c r="J186" s="72" t="str">
        <f t="shared" si="367"/>
        <v>Sem39</v>
      </c>
      <c r="K186" s="72">
        <f t="shared" ref="K186" si="458">+$H$18</f>
        <v>39</v>
      </c>
      <c r="L186" s="72">
        <f>+IF(_xlfn.XLOOKUP(K186,DetalleCalculos!W:W,DetalleCalculos!U:U,0,0,1)=7,1,2)</f>
        <v>1</v>
      </c>
      <c r="M186" s="79" t="str" cm="1">
        <f t="array" ref="M186">+INDEX($B$23:$B$89,ROUNDUP((ROW()-22)/3,0))</f>
        <v>Wilber Alexader Jimenez Luna</v>
      </c>
      <c r="N186" s="76">
        <f>SUMIFS(DetalleCalculos!$N:$N,DetalleCalculos!$W:$W,$K186,DetalleCalculos!$H:$H,$M186)*24</f>
        <v>33</v>
      </c>
      <c r="O186" s="80">
        <f>SUMIFS(DetalleCalculos!$P:$P,DetalleCalculos!$W:$W,$K186,DetalleCalculos!$H:$H,$M186)</f>
        <v>36</v>
      </c>
      <c r="P186" s="80">
        <f>SUMIFS(DetalleCalculos!$Q:$Q,DetalleCalculos!$W:$W,$K186,DetalleCalculos!$H:$H,$M186)</f>
        <v>0</v>
      </c>
      <c r="Q186" s="24">
        <f t="shared" si="369"/>
        <v>36</v>
      </c>
      <c r="R186" s="24">
        <f t="shared" si="370"/>
        <v>0</v>
      </c>
      <c r="S186" s="80" t="str">
        <f>_xlfn.XLOOKUP($J186&amp;$K186&amp;$M186,DetalleCalculos!$B:$B,DetalleCalculos!$O:$O,"",0,1)</f>
        <v>0-3-4</v>
      </c>
      <c r="T186" s="29">
        <f>+_xlfn.XLOOKUP($S186,'Horarios y Sistemas'!$C:$C,'Horarios y Sistemas'!M:M,0,0,1)</f>
        <v>0</v>
      </c>
      <c r="U186" s="29">
        <f t="shared" si="371"/>
        <v>1</v>
      </c>
      <c r="V186" s="30">
        <f t="shared" si="372"/>
        <v>0</v>
      </c>
      <c r="W186" s="30">
        <f t="shared" si="373"/>
        <v>0</v>
      </c>
      <c r="X186" s="24">
        <f t="shared" si="374"/>
        <v>0</v>
      </c>
      <c r="Y186" s="24">
        <f t="shared" si="375"/>
        <v>0</v>
      </c>
      <c r="Z186" s="96" t="s">
        <v>246</v>
      </c>
      <c r="AA186" s="101">
        <f t="shared" ref="AA186" si="459">+IF(AA185&lt;=0,0,IF(AND(AA185&gt;AB185,AB185&lt;=0),IF(AA185+AB185&gt;0,AA185+AB185,0),IF(AND(AA185&gt;0,AB185&gt;0),AA185,0)))</f>
        <v>34.499999999999986</v>
      </c>
      <c r="AB186" s="102">
        <f t="shared" ref="AB186" si="460">+IF(AB185&lt;=0,0,IF(AND(AB185&gt;AA185,AA185&lt;=0),IF(AB185+AA185&gt;0,AB185+AA185,0),IF(AND(AB185&gt;0,AA185&gt;0),AB185,0)))</f>
        <v>0</v>
      </c>
      <c r="AC186" s="97" t="s">
        <v>125</v>
      </c>
      <c r="AD186" s="103">
        <f t="shared" ref="AD186" si="461">+AA186/$X$5</f>
        <v>22.999999999999989</v>
      </c>
      <c r="AE186" s="104">
        <f t="shared" ref="AE186" si="462">+AB186/$Y$5</f>
        <v>0</v>
      </c>
    </row>
    <row r="187" spans="8:31" ht="15.75" thickBot="1">
      <c r="H187" t="str">
        <f t="shared" si="366"/>
        <v>SEPTIEMBRESem4040Wilber Alexader Jimenez Luna</v>
      </c>
      <c r="I187" s="14" t="str">
        <f>+_xlfn.XLOOKUP(K187,DetalleCalculos!W:W,DetalleCalculos!S:S,"",0,1)</f>
        <v>SEPTIEMBRE</v>
      </c>
      <c r="J187" s="72" t="str">
        <f t="shared" si="367"/>
        <v>Sem40</v>
      </c>
      <c r="K187" s="72">
        <f t="shared" ref="K187" si="463">+$H$19</f>
        <v>40</v>
      </c>
      <c r="L187" s="72">
        <f>+IF(_xlfn.XLOOKUP(K187,DetalleCalculos!W:W,DetalleCalculos!U:U,0,0,1)=7,1,2)</f>
        <v>1</v>
      </c>
      <c r="M187" s="79" t="str" cm="1">
        <f t="array" ref="M187">+INDEX($B$23:$B$89,ROUNDUP((ROW()-22)/3,0))</f>
        <v>Wilber Alexader Jimenez Luna</v>
      </c>
      <c r="N187" s="76">
        <f>SUMIFS(DetalleCalculos!$N:$N,DetalleCalculos!$W:$W,$K187,DetalleCalculos!$H:$H,$M187)*24</f>
        <v>63</v>
      </c>
      <c r="O187" s="80">
        <f>SUMIFS(DetalleCalculos!$P:$P,DetalleCalculos!$W:$W,$K187,DetalleCalculos!$H:$H,$M187)</f>
        <v>44</v>
      </c>
      <c r="P187" s="80">
        <f>SUMIFS(DetalleCalculos!$Q:$Q,DetalleCalculos!$W:$W,$K187,DetalleCalculos!$H:$H,$M187)</f>
        <v>0</v>
      </c>
      <c r="Q187" s="24">
        <f t="shared" si="369"/>
        <v>44</v>
      </c>
      <c r="R187" s="24">
        <f t="shared" si="370"/>
        <v>19</v>
      </c>
      <c r="S187" s="80" t="str">
        <f>_xlfn.XLOOKUP($J187&amp;$K187&amp;$M187,DetalleCalculos!$B:$B,DetalleCalculos!$O:$O,"",0,1)</f>
        <v>6-0-1</v>
      </c>
      <c r="T187" s="29">
        <f>+_xlfn.XLOOKUP($S187,'Horarios y Sistemas'!$C:$C,'Horarios y Sistemas'!M:M,0,0,1)</f>
        <v>1</v>
      </c>
      <c r="U187" s="29">
        <f t="shared" si="371"/>
        <v>0</v>
      </c>
      <c r="V187" s="30">
        <f t="shared" si="372"/>
        <v>19</v>
      </c>
      <c r="W187" s="30">
        <f t="shared" si="373"/>
        <v>0</v>
      </c>
      <c r="X187" s="24">
        <f t="shared" si="374"/>
        <v>28.5</v>
      </c>
      <c r="Y187" s="24">
        <f t="shared" si="375"/>
        <v>0</v>
      </c>
      <c r="Z187" s="95"/>
      <c r="AA187" s="99"/>
      <c r="AB187" s="100"/>
    </row>
    <row r="188" spans="8:31">
      <c r="H188" t="str">
        <f t="shared" si="366"/>
        <v>SEPTIEMBRESem3838YORMAN ALEJANDRO PEREZ CHAJON</v>
      </c>
      <c r="I188" s="14" t="str">
        <f>+_xlfn.XLOOKUP(K188,DetalleCalculos!W:W,DetalleCalculos!S:S,"",0,1)</f>
        <v>SEPTIEMBRE</v>
      </c>
      <c r="J188" s="72" t="str">
        <f t="shared" si="367"/>
        <v>Sem38</v>
      </c>
      <c r="K188" s="72">
        <f t="shared" ref="K188" si="464">+$H$17</f>
        <v>38</v>
      </c>
      <c r="L188" s="72">
        <f>+IF(_xlfn.XLOOKUP(K188,DetalleCalculos!W:W,DetalleCalculos!U:U,0,0,1)=7,1,2)</f>
        <v>1</v>
      </c>
      <c r="M188" s="79" t="str" cm="1">
        <f t="array" ref="M188">+INDEX($B$23:$B$89,ROUNDUP((ROW()-22)/3,0))</f>
        <v>YORMAN ALEJANDRO PEREZ CHAJON</v>
      </c>
      <c r="N188" s="76">
        <f>SUMIFS(DetalleCalculos!$N:$N,DetalleCalculos!$W:$W,$K188,DetalleCalculos!$H:$H,$M188)*24</f>
        <v>35.999999999999986</v>
      </c>
      <c r="O188" s="80">
        <f>SUMIFS(DetalleCalculos!$P:$P,DetalleCalculos!$W:$W,$K188,DetalleCalculos!$H:$H,$M188)</f>
        <v>44</v>
      </c>
      <c r="P188" s="80">
        <f>SUMIFS(DetalleCalculos!$Q:$Q,DetalleCalculos!$W:$W,$K188,DetalleCalculos!$H:$H,$M188)</f>
        <v>0</v>
      </c>
      <c r="Q188" s="80">
        <f t="shared" si="369"/>
        <v>44</v>
      </c>
      <c r="R188" s="80">
        <f t="shared" si="370"/>
        <v>0</v>
      </c>
      <c r="S188" s="80" t="str">
        <f>_xlfn.XLOOKUP($J188&amp;$K188&amp;$M188,DetalleCalculos!$B:$B,DetalleCalculos!$O:$O,"",0,1)</f>
        <v>5-0-2</v>
      </c>
      <c r="T188" s="81">
        <f>+_xlfn.XLOOKUP($S188,'Horarios y Sistemas'!$C:$C,'Horarios y Sistemas'!M:M,0,0,1)</f>
        <v>1</v>
      </c>
      <c r="U188" s="81">
        <f t="shared" si="371"/>
        <v>0</v>
      </c>
      <c r="V188" s="82">
        <f t="shared" si="372"/>
        <v>0</v>
      </c>
      <c r="W188" s="82">
        <f t="shared" si="373"/>
        <v>0</v>
      </c>
      <c r="X188" s="80">
        <f t="shared" si="374"/>
        <v>0</v>
      </c>
      <c r="Y188" s="80">
        <f t="shared" si="375"/>
        <v>0</v>
      </c>
      <c r="Z188" s="95" t="s">
        <v>245</v>
      </c>
      <c r="AA188" s="99">
        <f t="shared" ref="AA188:AB188" si="465">+SUM(X188:X190)</f>
        <v>0</v>
      </c>
      <c r="AB188" s="100">
        <f t="shared" si="465"/>
        <v>13.499999999999893</v>
      </c>
    </row>
    <row r="189" spans="8:31" ht="15.75" thickBot="1">
      <c r="H189" t="str">
        <f t="shared" si="366"/>
        <v>SEPTIEMBRESem3939YORMAN ALEJANDRO PEREZ CHAJON</v>
      </c>
      <c r="I189" s="14" t="str">
        <f>+_xlfn.XLOOKUP(K189,DetalleCalculos!W:W,DetalleCalculos!S:S,"",0,1)</f>
        <v>SEPTIEMBRE</v>
      </c>
      <c r="J189" s="72" t="str">
        <f t="shared" si="367"/>
        <v>Sem39</v>
      </c>
      <c r="K189" s="72">
        <f t="shared" ref="K189" si="466">+$H$18</f>
        <v>39</v>
      </c>
      <c r="L189" s="72">
        <f>+IF(_xlfn.XLOOKUP(K189,DetalleCalculos!W:W,DetalleCalculos!U:U,0,0,1)=7,1,2)</f>
        <v>1</v>
      </c>
      <c r="M189" s="79" t="str" cm="1">
        <f t="array" ref="M189">+INDEX($B$23:$B$89,ROUNDUP((ROW()-22)/3,0))</f>
        <v>YORMAN ALEJANDRO PEREZ CHAJON</v>
      </c>
      <c r="N189" s="76">
        <f>SUMIFS(DetalleCalculos!$N:$N,DetalleCalculos!$W:$W,$K189,DetalleCalculos!$H:$H,$M189)*24</f>
        <v>44.999999999999929</v>
      </c>
      <c r="O189" s="80">
        <f>SUMIFS(DetalleCalculos!$P:$P,DetalleCalculos!$W:$W,$K189,DetalleCalculos!$H:$H,$M189)</f>
        <v>36</v>
      </c>
      <c r="P189" s="80">
        <f>SUMIFS(DetalleCalculos!$Q:$Q,DetalleCalculos!$W:$W,$K189,DetalleCalculos!$H:$H,$M189)</f>
        <v>0</v>
      </c>
      <c r="Q189" s="24">
        <f t="shared" si="369"/>
        <v>36</v>
      </c>
      <c r="R189" s="24">
        <f t="shared" si="370"/>
        <v>8.9999999999999289</v>
      </c>
      <c r="S189" s="80" t="str">
        <f>_xlfn.XLOOKUP($J189&amp;$K189&amp;$M189,DetalleCalculos!$B:$B,DetalleCalculos!$O:$O,"",0,1)</f>
        <v>0-5-2</v>
      </c>
      <c r="T189" s="29">
        <f>+_xlfn.XLOOKUP($S189,'Horarios y Sistemas'!$C:$C,'Horarios y Sistemas'!M:M,0,0,1)</f>
        <v>0</v>
      </c>
      <c r="U189" s="29">
        <f t="shared" si="371"/>
        <v>1</v>
      </c>
      <c r="V189" s="30">
        <f t="shared" si="372"/>
        <v>0</v>
      </c>
      <c r="W189" s="30">
        <f t="shared" si="373"/>
        <v>8.9999999999999289</v>
      </c>
      <c r="X189" s="24">
        <f t="shared" si="374"/>
        <v>0</v>
      </c>
      <c r="Y189" s="24">
        <f t="shared" si="375"/>
        <v>13.499999999999893</v>
      </c>
      <c r="Z189" s="96" t="s">
        <v>246</v>
      </c>
      <c r="AA189" s="101">
        <f t="shared" ref="AA189" si="467">+IF(AA188&lt;=0,0,IF(AND(AA188&gt;AB188,AB188&lt;=0),IF(AA188+AB188&gt;0,AA188+AB188,0),IF(AND(AA188&gt;0,AB188&gt;0),AA188,0)))</f>
        <v>0</v>
      </c>
      <c r="AB189" s="102">
        <f t="shared" ref="AB189" si="468">+IF(AB188&lt;=0,0,IF(AND(AB188&gt;AA188,AA188&lt;=0),IF(AB188+AA188&gt;0,AB188+AA188,0),IF(AND(AB188&gt;0,AA188&gt;0),AB188,0)))</f>
        <v>13.499999999999893</v>
      </c>
      <c r="AC189" s="97" t="s">
        <v>125</v>
      </c>
      <c r="AD189" s="103">
        <f t="shared" ref="AD189" si="469">+AA189/$X$5</f>
        <v>0</v>
      </c>
      <c r="AE189" s="104">
        <f t="shared" ref="AE189" si="470">+AB189/$Y$5</f>
        <v>8.9999999999999289</v>
      </c>
    </row>
    <row r="190" spans="8:31" ht="15.75" thickBot="1">
      <c r="H190" t="str">
        <f t="shared" si="366"/>
        <v>SEPTIEMBRESem4040YORMAN ALEJANDRO PEREZ CHAJON</v>
      </c>
      <c r="I190" s="14" t="str">
        <f>+_xlfn.XLOOKUP(K190,DetalleCalculos!W:W,DetalleCalculos!S:S,"",0,1)</f>
        <v>SEPTIEMBRE</v>
      </c>
      <c r="J190" s="72" t="str">
        <f t="shared" si="367"/>
        <v>Sem40</v>
      </c>
      <c r="K190" s="72">
        <f t="shared" ref="K190" si="471">+$H$19</f>
        <v>40</v>
      </c>
      <c r="L190" s="72">
        <f>+IF(_xlfn.XLOOKUP(K190,DetalleCalculos!W:W,DetalleCalculos!U:U,0,0,1)=7,1,2)</f>
        <v>1</v>
      </c>
      <c r="M190" s="79" t="str" cm="1">
        <f t="array" ref="M190">+INDEX($B$23:$B$89,ROUNDUP((ROW()-22)/3,0))</f>
        <v>YORMAN ALEJANDRO PEREZ CHAJON</v>
      </c>
      <c r="N190" s="76">
        <f>SUMIFS(DetalleCalculos!$N:$N,DetalleCalculos!$W:$W,$K190,DetalleCalculos!$H:$H,$M190)*24</f>
        <v>43.999999999999986</v>
      </c>
      <c r="O190" s="80">
        <f>SUMIFS(DetalleCalculos!$P:$P,DetalleCalculos!$W:$W,$K190,DetalleCalculos!$H:$H,$M190)</f>
        <v>44</v>
      </c>
      <c r="P190" s="80">
        <f>SUMIFS(DetalleCalculos!$Q:$Q,DetalleCalculos!$W:$W,$K190,DetalleCalculos!$H:$H,$M190)</f>
        <v>0</v>
      </c>
      <c r="Q190" s="24">
        <f t="shared" si="369"/>
        <v>44</v>
      </c>
      <c r="R190" s="24">
        <f t="shared" si="370"/>
        <v>0</v>
      </c>
      <c r="S190" s="80" t="str">
        <f>_xlfn.XLOOKUP($J190&amp;$K190&amp;$M190,DetalleCalculos!$B:$B,DetalleCalculos!$O:$O,"",0,1)</f>
        <v>6-0-1</v>
      </c>
      <c r="T190" s="29">
        <f>+_xlfn.XLOOKUP($S190,'Horarios y Sistemas'!$C:$C,'Horarios y Sistemas'!M:M,0,0,1)</f>
        <v>1</v>
      </c>
      <c r="U190" s="29">
        <f t="shared" si="371"/>
        <v>0</v>
      </c>
      <c r="V190" s="30">
        <f t="shared" si="372"/>
        <v>0</v>
      </c>
      <c r="W190" s="30">
        <f t="shared" si="373"/>
        <v>0</v>
      </c>
      <c r="X190" s="24">
        <f t="shared" si="374"/>
        <v>0</v>
      </c>
      <c r="Y190" s="24">
        <f t="shared" si="375"/>
        <v>0</v>
      </c>
      <c r="Z190" s="95"/>
      <c r="AA190" s="99"/>
      <c r="AB190" s="100"/>
    </row>
    <row r="191" spans="8:31">
      <c r="H191" t="str">
        <f t="shared" si="366"/>
        <v>SEPTIEMBRESem3838kenneth Eduardo otzin López</v>
      </c>
      <c r="I191" s="14" t="str">
        <f>+_xlfn.XLOOKUP(K191,DetalleCalculos!W:W,DetalleCalculos!S:S,"",0,1)</f>
        <v>SEPTIEMBRE</v>
      </c>
      <c r="J191" s="72" t="str">
        <f t="shared" si="367"/>
        <v>Sem38</v>
      </c>
      <c r="K191" s="72">
        <f t="shared" ref="K191" si="472">+$H$17</f>
        <v>38</v>
      </c>
      <c r="L191" s="72">
        <f>+IF(_xlfn.XLOOKUP(K191,DetalleCalculos!W:W,DetalleCalculos!U:U,0,0,1)=7,1,2)</f>
        <v>1</v>
      </c>
      <c r="M191" s="79" t="str" cm="1">
        <f t="array" ref="M191">+INDEX($B$23:$B$89,ROUNDUP((ROW()-22)/3,0))</f>
        <v>kenneth Eduardo otzin López</v>
      </c>
      <c r="N191" s="76">
        <f>SUMIFS(DetalleCalculos!$N:$N,DetalleCalculos!$W:$W,$K191,DetalleCalculos!$H:$H,$M191)*24</f>
        <v>52</v>
      </c>
      <c r="O191" s="80">
        <f>SUMIFS(DetalleCalculos!$P:$P,DetalleCalculos!$W:$W,$K191,DetalleCalculos!$H:$H,$M191)</f>
        <v>37.6</v>
      </c>
      <c r="P191" s="80">
        <f>SUMIFS(DetalleCalculos!$Q:$Q,DetalleCalculos!$W:$W,$K191,DetalleCalculos!$H:$H,$M191)</f>
        <v>0</v>
      </c>
      <c r="Q191" s="80">
        <f t="shared" si="369"/>
        <v>37.6</v>
      </c>
      <c r="R191" s="80">
        <f t="shared" si="370"/>
        <v>14.399999999999999</v>
      </c>
      <c r="S191" s="80" t="str">
        <f>_xlfn.XLOOKUP($J191&amp;$K191&amp;$M191,DetalleCalculos!$B:$B,DetalleCalculos!$O:$O,"",0,1)</f>
        <v>1-4-2</v>
      </c>
      <c r="T191" s="81">
        <f>+_xlfn.XLOOKUP($S191,'Horarios y Sistemas'!$C:$C,'Horarios y Sistemas'!M:M,0,0,1)</f>
        <v>0.2</v>
      </c>
      <c r="U191" s="81">
        <f t="shared" si="371"/>
        <v>0.8</v>
      </c>
      <c r="V191" s="82">
        <f t="shared" si="372"/>
        <v>2.88</v>
      </c>
      <c r="W191" s="82">
        <f t="shared" si="373"/>
        <v>11.52</v>
      </c>
      <c r="X191" s="80">
        <f t="shared" si="374"/>
        <v>4.32</v>
      </c>
      <c r="Y191" s="80">
        <f t="shared" si="375"/>
        <v>17.28</v>
      </c>
      <c r="Z191" s="95" t="s">
        <v>245</v>
      </c>
      <c r="AA191" s="99">
        <f t="shared" ref="AA191:AB191" si="473">+SUM(X191:X193)</f>
        <v>4.32</v>
      </c>
      <c r="AB191" s="100">
        <f t="shared" si="473"/>
        <v>45.78</v>
      </c>
    </row>
    <row r="192" spans="8:31" ht="15.75" thickBot="1">
      <c r="H192" t="str">
        <f t="shared" si="366"/>
        <v>SEPTIEMBRESem3939kenneth Eduardo otzin López</v>
      </c>
      <c r="I192" s="14" t="str">
        <f>+_xlfn.XLOOKUP(K192,DetalleCalculos!W:W,DetalleCalculos!S:S,"",0,1)</f>
        <v>SEPTIEMBRE</v>
      </c>
      <c r="J192" s="72" t="str">
        <f t="shared" si="367"/>
        <v>Sem39</v>
      </c>
      <c r="K192" s="72">
        <f t="shared" ref="K192" si="474">+$H$18</f>
        <v>39</v>
      </c>
      <c r="L192" s="72">
        <f>+IF(_xlfn.XLOOKUP(K192,DetalleCalculos!W:W,DetalleCalculos!U:U,0,0,1)=7,1,2)</f>
        <v>1</v>
      </c>
      <c r="M192" s="79" t="str" cm="1">
        <f t="array" ref="M192">+INDEX($B$23:$B$89,ROUNDUP((ROW()-22)/3,0))</f>
        <v>kenneth Eduardo otzin López</v>
      </c>
      <c r="N192" s="76">
        <f>SUMIFS(DetalleCalculos!$N:$N,DetalleCalculos!$W:$W,$K192,DetalleCalculos!$H:$H,$M192)*24</f>
        <v>41</v>
      </c>
      <c r="O192" s="80">
        <f>SUMIFS(DetalleCalculos!$P:$P,DetalleCalculos!$W:$W,$K192,DetalleCalculos!$H:$H,$M192)</f>
        <v>44</v>
      </c>
      <c r="P192" s="80">
        <f>SUMIFS(DetalleCalculos!$Q:$Q,DetalleCalculos!$W:$W,$K192,DetalleCalculos!$H:$H,$M192)</f>
        <v>0</v>
      </c>
      <c r="Q192" s="24">
        <f t="shared" si="369"/>
        <v>44</v>
      </c>
      <c r="R192" s="24">
        <f t="shared" si="370"/>
        <v>0</v>
      </c>
      <c r="S192" s="80" t="str">
        <f>_xlfn.XLOOKUP($J192&amp;$K192&amp;$M192,DetalleCalculos!$B:$B,DetalleCalculos!$O:$O,"",0,1)</f>
        <v>4-0-3</v>
      </c>
      <c r="T192" s="29">
        <f>+_xlfn.XLOOKUP($S192,'Horarios y Sistemas'!$C:$C,'Horarios y Sistemas'!M:M,0,0,1)</f>
        <v>1</v>
      </c>
      <c r="U192" s="29">
        <f t="shared" si="371"/>
        <v>0</v>
      </c>
      <c r="V192" s="30">
        <f t="shared" si="372"/>
        <v>0</v>
      </c>
      <c r="W192" s="30">
        <f t="shared" si="373"/>
        <v>0</v>
      </c>
      <c r="X192" s="24">
        <f t="shared" si="374"/>
        <v>0</v>
      </c>
      <c r="Y192" s="24">
        <f t="shared" si="375"/>
        <v>0</v>
      </c>
      <c r="Z192" s="96" t="s">
        <v>246</v>
      </c>
      <c r="AA192" s="101">
        <f t="shared" ref="AA192" si="475">+IF(AA191&lt;=0,0,IF(AND(AA191&gt;AB191,AB191&lt;=0),IF(AA191+AB191&gt;0,AA191+AB191,0),IF(AND(AA191&gt;0,AB191&gt;0),AA191,0)))</f>
        <v>4.32</v>
      </c>
      <c r="AB192" s="102">
        <f t="shared" ref="AB192" si="476">+IF(AB191&lt;=0,0,IF(AND(AB191&gt;AA191,AA191&lt;=0),IF(AB191+AA191&gt;0,AB191+AA191,0),IF(AND(AB191&gt;0,AA191&gt;0),AB191,0)))</f>
        <v>45.78</v>
      </c>
      <c r="AC192" s="97" t="s">
        <v>125</v>
      </c>
      <c r="AD192" s="103">
        <f t="shared" ref="AD192" si="477">+AA192/$X$5</f>
        <v>2.8800000000000003</v>
      </c>
      <c r="AE192" s="104">
        <f t="shared" ref="AE192" si="478">+AB192/$Y$5</f>
        <v>30.52</v>
      </c>
    </row>
    <row r="193" spans="8:31" ht="15.75" thickBot="1">
      <c r="H193" t="str">
        <f t="shared" si="366"/>
        <v>SEPTIEMBRESem4040kenneth Eduardo otzin López</v>
      </c>
      <c r="I193" s="14" t="str">
        <f>+_xlfn.XLOOKUP(K193,DetalleCalculos!W:W,DetalleCalculos!S:S,"",0,1)</f>
        <v>SEPTIEMBRE</v>
      </c>
      <c r="J193" s="72" t="str">
        <f t="shared" si="367"/>
        <v>Sem40</v>
      </c>
      <c r="K193" s="72">
        <f t="shared" ref="K193" si="479">+$H$19</f>
        <v>40</v>
      </c>
      <c r="L193" s="72">
        <f>+IF(_xlfn.XLOOKUP(K193,DetalleCalculos!W:W,DetalleCalculos!U:U,0,0,1)=7,1,2)</f>
        <v>1</v>
      </c>
      <c r="M193" s="79" t="str" cm="1">
        <f t="array" ref="M193">+INDEX($B$23:$B$89,ROUNDUP((ROW()-22)/3,0))</f>
        <v>kenneth Eduardo otzin López</v>
      </c>
      <c r="N193" s="76">
        <f>SUMIFS(DetalleCalculos!$N:$N,DetalleCalculos!$W:$W,$K193,DetalleCalculos!$H:$H,$M193)*24</f>
        <v>55</v>
      </c>
      <c r="O193" s="80">
        <f>SUMIFS(DetalleCalculos!$P:$P,DetalleCalculos!$W:$W,$K193,DetalleCalculos!$H:$H,$M193)</f>
        <v>36</v>
      </c>
      <c r="P193" s="80">
        <f>SUMIFS(DetalleCalculos!$Q:$Q,DetalleCalculos!$W:$W,$K193,DetalleCalculos!$H:$H,$M193)</f>
        <v>0</v>
      </c>
      <c r="Q193" s="24">
        <f t="shared" si="369"/>
        <v>36</v>
      </c>
      <c r="R193" s="24">
        <f t="shared" si="370"/>
        <v>19</v>
      </c>
      <c r="S193" s="80" t="str">
        <f>_xlfn.XLOOKUP($J193&amp;$K193&amp;$M193,DetalleCalculos!$B:$B,DetalleCalculos!$O:$O,"",0,1)</f>
        <v>0-5-2</v>
      </c>
      <c r="T193" s="29">
        <f>+_xlfn.XLOOKUP($S193,'Horarios y Sistemas'!$C:$C,'Horarios y Sistemas'!M:M,0,0,1)</f>
        <v>0</v>
      </c>
      <c r="U193" s="29">
        <f t="shared" si="371"/>
        <v>1</v>
      </c>
      <c r="V193" s="30">
        <f t="shared" si="372"/>
        <v>0</v>
      </c>
      <c r="W193" s="30">
        <f t="shared" si="373"/>
        <v>19</v>
      </c>
      <c r="X193" s="24">
        <f t="shared" si="374"/>
        <v>0</v>
      </c>
      <c r="Y193" s="24">
        <f t="shared" si="375"/>
        <v>28.5</v>
      </c>
      <c r="Z193" s="95"/>
      <c r="AA193" s="99"/>
      <c r="AB193" s="100"/>
    </row>
    <row r="194" spans="8:31">
      <c r="H194" t="str">
        <f t="shared" si="366"/>
        <v>SEPTIEMBRESem3838CRISTIAN ARODY ORDOÑEZ REYES</v>
      </c>
      <c r="I194" s="14" t="str">
        <f>+_xlfn.XLOOKUP(K194,DetalleCalculos!W:W,DetalleCalculos!S:S,"",0,1)</f>
        <v>SEPTIEMBRE</v>
      </c>
      <c r="J194" s="72" t="str">
        <f t="shared" si="367"/>
        <v>Sem38</v>
      </c>
      <c r="K194" s="72">
        <f t="shared" ref="K194" si="480">+$H$17</f>
        <v>38</v>
      </c>
      <c r="L194" s="72">
        <f>+IF(_xlfn.XLOOKUP(K194,DetalleCalculos!W:W,DetalleCalculos!U:U,0,0,1)=7,1,2)</f>
        <v>1</v>
      </c>
      <c r="M194" s="79" t="str" cm="1">
        <f t="array" ref="M194">+INDEX($B$23:$B$89,ROUNDUP((ROW()-22)/3,0))</f>
        <v>CRISTIAN ARODY ORDOÑEZ REYES</v>
      </c>
      <c r="N194" s="76">
        <f>SUMIFS(DetalleCalculos!$N:$N,DetalleCalculos!$W:$W,$K194,DetalleCalculos!$H:$H,$M194)*24</f>
        <v>47.999999999999986</v>
      </c>
      <c r="O194" s="80">
        <f>SUMIFS(DetalleCalculos!$P:$P,DetalleCalculos!$W:$W,$K194,DetalleCalculos!$H:$H,$M194)</f>
        <v>44</v>
      </c>
      <c r="P194" s="80">
        <f>SUMIFS(DetalleCalculos!$Q:$Q,DetalleCalculos!$W:$W,$K194,DetalleCalculos!$H:$H,$M194)</f>
        <v>0</v>
      </c>
      <c r="Q194" s="80">
        <f t="shared" si="369"/>
        <v>44</v>
      </c>
      <c r="R194" s="80">
        <f t="shared" si="370"/>
        <v>3.9999999999999858</v>
      </c>
      <c r="S194" s="80" t="str">
        <f>_xlfn.XLOOKUP($J194&amp;$K194&amp;$M194,DetalleCalculos!$B:$B,DetalleCalculos!$O:$O,"",0,1)</f>
        <v>5-0-2</v>
      </c>
      <c r="T194" s="81">
        <f>+_xlfn.XLOOKUP($S194,'Horarios y Sistemas'!$C:$C,'Horarios y Sistemas'!M:M,0,0,1)</f>
        <v>1</v>
      </c>
      <c r="U194" s="81">
        <f t="shared" si="371"/>
        <v>0</v>
      </c>
      <c r="V194" s="82">
        <f t="shared" si="372"/>
        <v>3.9999999999999858</v>
      </c>
      <c r="W194" s="82">
        <f t="shared" si="373"/>
        <v>0</v>
      </c>
      <c r="X194" s="80">
        <f t="shared" si="374"/>
        <v>5.9999999999999787</v>
      </c>
      <c r="Y194" s="80">
        <f t="shared" si="375"/>
        <v>0</v>
      </c>
      <c r="Z194" s="95" t="s">
        <v>245</v>
      </c>
      <c r="AA194" s="99">
        <f t="shared" ref="AA194:AB194" si="481">+SUM(X194:X196)</f>
        <v>32.999999999999972</v>
      </c>
      <c r="AB194" s="100">
        <f t="shared" si="481"/>
        <v>28.5</v>
      </c>
    </row>
    <row r="195" spans="8:31" ht="15.75" thickBot="1">
      <c r="H195" t="str">
        <f t="shared" si="366"/>
        <v>SEPTIEMBRESem3939CRISTIAN ARODY ORDOÑEZ REYES</v>
      </c>
      <c r="I195" s="14" t="str">
        <f>+_xlfn.XLOOKUP(K195,DetalleCalculos!W:W,DetalleCalculos!S:S,"",0,1)</f>
        <v>SEPTIEMBRE</v>
      </c>
      <c r="J195" s="72" t="str">
        <f t="shared" si="367"/>
        <v>Sem39</v>
      </c>
      <c r="K195" s="72">
        <f t="shared" ref="K195" si="482">+$H$18</f>
        <v>39</v>
      </c>
      <c r="L195" s="72">
        <f>+IF(_xlfn.XLOOKUP(K195,DetalleCalculos!W:W,DetalleCalculos!U:U,0,0,1)=7,1,2)</f>
        <v>1</v>
      </c>
      <c r="M195" s="79" t="str" cm="1">
        <f t="array" ref="M195">+INDEX($B$23:$B$89,ROUNDUP((ROW()-22)/3,0))</f>
        <v>CRISTIAN ARODY ORDOÑEZ REYES</v>
      </c>
      <c r="N195" s="76">
        <f>SUMIFS(DetalleCalculos!$N:$N,DetalleCalculos!$W:$W,$K195,DetalleCalculos!$H:$H,$M195)*24</f>
        <v>55</v>
      </c>
      <c r="O195" s="80">
        <f>SUMIFS(DetalleCalculos!$P:$P,DetalleCalculos!$W:$W,$K195,DetalleCalculos!$H:$H,$M195)</f>
        <v>36</v>
      </c>
      <c r="P195" s="80">
        <f>SUMIFS(DetalleCalculos!$Q:$Q,DetalleCalculos!$W:$W,$K195,DetalleCalculos!$H:$H,$M195)</f>
        <v>0</v>
      </c>
      <c r="Q195" s="24">
        <f t="shared" si="369"/>
        <v>36</v>
      </c>
      <c r="R195" s="24">
        <f t="shared" si="370"/>
        <v>19</v>
      </c>
      <c r="S195" s="80" t="str">
        <f>_xlfn.XLOOKUP($J195&amp;$K195&amp;$M195,DetalleCalculos!$B:$B,DetalleCalculos!$O:$O,"",0,1)</f>
        <v>0-5-2</v>
      </c>
      <c r="T195" s="29">
        <f>+_xlfn.XLOOKUP($S195,'Horarios y Sistemas'!$C:$C,'Horarios y Sistemas'!M:M,0,0,1)</f>
        <v>0</v>
      </c>
      <c r="U195" s="29">
        <f t="shared" si="371"/>
        <v>1</v>
      </c>
      <c r="V195" s="30">
        <f t="shared" si="372"/>
        <v>0</v>
      </c>
      <c r="W195" s="30">
        <f t="shared" si="373"/>
        <v>19</v>
      </c>
      <c r="X195" s="24">
        <f t="shared" si="374"/>
        <v>0</v>
      </c>
      <c r="Y195" s="24">
        <f t="shared" si="375"/>
        <v>28.5</v>
      </c>
      <c r="Z195" s="96" t="s">
        <v>246</v>
      </c>
      <c r="AA195" s="101">
        <f t="shared" ref="AA195" si="483">+IF(AA194&lt;=0,0,IF(AND(AA194&gt;AB194,AB194&lt;=0),IF(AA194+AB194&gt;0,AA194+AB194,0),IF(AND(AA194&gt;0,AB194&gt;0),AA194,0)))</f>
        <v>32.999999999999972</v>
      </c>
      <c r="AB195" s="102">
        <f t="shared" ref="AB195" si="484">+IF(AB194&lt;=0,0,IF(AND(AB194&gt;AA194,AA194&lt;=0),IF(AB194+AA194&gt;0,AB194+AA194,0),IF(AND(AB194&gt;0,AA194&gt;0),AB194,0)))</f>
        <v>28.5</v>
      </c>
      <c r="AC195" s="97" t="s">
        <v>125</v>
      </c>
      <c r="AD195" s="103">
        <f t="shared" ref="AD195" si="485">+AA195/$X$5</f>
        <v>21.999999999999982</v>
      </c>
      <c r="AE195" s="104">
        <f t="shared" ref="AE195" si="486">+AB195/$Y$5</f>
        <v>19</v>
      </c>
    </row>
    <row r="196" spans="8:31" ht="15.75" thickBot="1">
      <c r="H196" t="str">
        <f t="shared" si="366"/>
        <v>SEPTIEMBRESem4040CRISTIAN ARODY ORDOÑEZ REYES</v>
      </c>
      <c r="I196" s="14" t="str">
        <f>+_xlfn.XLOOKUP(K196,DetalleCalculos!W:W,DetalleCalculos!S:S,"",0,1)</f>
        <v>SEPTIEMBRE</v>
      </c>
      <c r="J196" s="72" t="str">
        <f t="shared" si="367"/>
        <v>Sem40</v>
      </c>
      <c r="K196" s="72">
        <f t="shared" ref="K196" si="487">+$H$19</f>
        <v>40</v>
      </c>
      <c r="L196" s="72">
        <f>+IF(_xlfn.XLOOKUP(K196,DetalleCalculos!W:W,DetalleCalculos!U:U,0,0,1)=7,1,2)</f>
        <v>1</v>
      </c>
      <c r="M196" s="79" t="str" cm="1">
        <f t="array" ref="M196">+INDEX($B$23:$B$89,ROUNDUP((ROW()-22)/3,0))</f>
        <v>CRISTIAN ARODY ORDOÑEZ REYES</v>
      </c>
      <c r="N196" s="76">
        <f>SUMIFS(DetalleCalculos!$N:$N,DetalleCalculos!$W:$W,$K196,DetalleCalculos!$H:$H,$M196)*24</f>
        <v>61.999999999999993</v>
      </c>
      <c r="O196" s="80">
        <f>SUMIFS(DetalleCalculos!$P:$P,DetalleCalculos!$W:$W,$K196,DetalleCalculos!$H:$H,$M196)</f>
        <v>44</v>
      </c>
      <c r="P196" s="80">
        <f>SUMIFS(DetalleCalculos!$Q:$Q,DetalleCalculos!$W:$W,$K196,DetalleCalculos!$H:$H,$M196)</f>
        <v>0</v>
      </c>
      <c r="Q196" s="24">
        <f t="shared" si="369"/>
        <v>44</v>
      </c>
      <c r="R196" s="24">
        <f t="shared" si="370"/>
        <v>17.999999999999993</v>
      </c>
      <c r="S196" s="80" t="str">
        <f>_xlfn.XLOOKUP($J196&amp;$K196&amp;$M196,DetalleCalculos!$B:$B,DetalleCalculos!$O:$O,"",0,1)</f>
        <v>6-0-1</v>
      </c>
      <c r="T196" s="29">
        <f>+_xlfn.XLOOKUP($S196,'Horarios y Sistemas'!$C:$C,'Horarios y Sistemas'!M:M,0,0,1)</f>
        <v>1</v>
      </c>
      <c r="U196" s="29">
        <f t="shared" si="371"/>
        <v>0</v>
      </c>
      <c r="V196" s="30">
        <f t="shared" si="372"/>
        <v>17.999999999999993</v>
      </c>
      <c r="W196" s="30">
        <f t="shared" si="373"/>
        <v>0</v>
      </c>
      <c r="X196" s="24">
        <f t="shared" si="374"/>
        <v>26.999999999999989</v>
      </c>
      <c r="Y196" s="24">
        <f t="shared" si="375"/>
        <v>0</v>
      </c>
      <c r="Z196" s="95"/>
      <c r="AA196" s="99"/>
      <c r="AB196" s="100"/>
    </row>
    <row r="197" spans="8:31">
      <c r="H197" t="str">
        <f t="shared" si="366"/>
        <v>SEPTIEMBRESem3838DUVITSA ASUCELI ALBIZURES VALENZUELA</v>
      </c>
      <c r="I197" s="14" t="str">
        <f>+_xlfn.XLOOKUP(K197,DetalleCalculos!W:W,DetalleCalculos!S:S,"",0,1)</f>
        <v>SEPTIEMBRE</v>
      </c>
      <c r="J197" s="72" t="str">
        <f t="shared" si="367"/>
        <v>Sem38</v>
      </c>
      <c r="K197" s="72">
        <f t="shared" ref="K197" si="488">+$H$17</f>
        <v>38</v>
      </c>
      <c r="L197" s="72">
        <f>+IF(_xlfn.XLOOKUP(K197,DetalleCalculos!W:W,DetalleCalculos!U:U,0,0,1)=7,1,2)</f>
        <v>1</v>
      </c>
      <c r="M197" s="79" t="str" cm="1">
        <f t="array" ref="M197">+INDEX($B$23:$B$89,ROUNDUP((ROW()-22)/3,0))</f>
        <v>DUVITSA ASUCELI ALBIZURES VALENZUELA</v>
      </c>
      <c r="N197" s="76">
        <f>SUMIFS(DetalleCalculos!$N:$N,DetalleCalculos!$W:$W,$K197,DetalleCalculos!$H:$H,$M197)*24</f>
        <v>50.999999999999901</v>
      </c>
      <c r="O197" s="80">
        <f>SUMIFS(DetalleCalculos!$P:$P,DetalleCalculos!$W:$W,$K197,DetalleCalculos!$H:$H,$M197)</f>
        <v>44</v>
      </c>
      <c r="P197" s="80">
        <f>SUMIFS(DetalleCalculos!$Q:$Q,DetalleCalculos!$W:$W,$K197,DetalleCalculos!$H:$H,$M197)</f>
        <v>0</v>
      </c>
      <c r="Q197" s="80">
        <f t="shared" si="369"/>
        <v>44</v>
      </c>
      <c r="R197" s="80">
        <f t="shared" si="370"/>
        <v>6.9999999999999005</v>
      </c>
      <c r="S197" s="80" t="str">
        <f>_xlfn.XLOOKUP($J197&amp;$K197&amp;$M197,DetalleCalculos!$B:$B,DetalleCalculos!$O:$O,"",0,1)</f>
        <v>6-0-1</v>
      </c>
      <c r="T197" s="81">
        <f>+_xlfn.XLOOKUP($S197,'Horarios y Sistemas'!$C:$C,'Horarios y Sistemas'!M:M,0,0,1)</f>
        <v>1</v>
      </c>
      <c r="U197" s="81">
        <f t="shared" si="371"/>
        <v>0</v>
      </c>
      <c r="V197" s="82">
        <f t="shared" si="372"/>
        <v>6.9999999999999005</v>
      </c>
      <c r="W197" s="82">
        <f t="shared" si="373"/>
        <v>0</v>
      </c>
      <c r="X197" s="80">
        <f t="shared" si="374"/>
        <v>10.499999999999851</v>
      </c>
      <c r="Y197" s="80">
        <f t="shared" si="375"/>
        <v>0</v>
      </c>
      <c r="Z197" s="95" t="s">
        <v>245</v>
      </c>
      <c r="AA197" s="99">
        <f t="shared" ref="AA197:AB197" si="489">+SUM(X197:X199)</f>
        <v>31.499999999999552</v>
      </c>
      <c r="AB197" s="100">
        <f t="shared" si="489"/>
        <v>0</v>
      </c>
    </row>
    <row r="198" spans="8:31" ht="15.75" thickBot="1">
      <c r="H198" t="str">
        <f t="shared" si="366"/>
        <v>SEPTIEMBRESem3939DUVITSA ASUCELI ALBIZURES VALENZUELA</v>
      </c>
      <c r="I198" s="14" t="str">
        <f>+_xlfn.XLOOKUP(K198,DetalleCalculos!W:W,DetalleCalculos!S:S,"",0,1)</f>
        <v>SEPTIEMBRE</v>
      </c>
      <c r="J198" s="72" t="str">
        <f t="shared" si="367"/>
        <v>Sem39</v>
      </c>
      <c r="K198" s="72">
        <f t="shared" ref="K198" si="490">+$H$18</f>
        <v>39</v>
      </c>
      <c r="L198" s="72">
        <f>+IF(_xlfn.XLOOKUP(K198,DetalleCalculos!W:W,DetalleCalculos!U:U,0,0,1)=7,1,2)</f>
        <v>1</v>
      </c>
      <c r="M198" s="79" t="str" cm="1">
        <f t="array" ref="M198">+INDEX($B$23:$B$89,ROUNDUP((ROW()-22)/3,0))</f>
        <v>DUVITSA ASUCELI ALBIZURES VALENZUELA</v>
      </c>
      <c r="N198" s="76">
        <f>SUMIFS(DetalleCalculos!$N:$N,DetalleCalculos!$W:$W,$K198,DetalleCalculos!$H:$H,$M198)*24</f>
        <v>50.999999999999901</v>
      </c>
      <c r="O198" s="80">
        <f>SUMIFS(DetalleCalculos!$P:$P,DetalleCalculos!$W:$W,$K198,DetalleCalculos!$H:$H,$M198)</f>
        <v>44</v>
      </c>
      <c r="P198" s="80">
        <f>SUMIFS(DetalleCalculos!$Q:$Q,DetalleCalculos!$W:$W,$K198,DetalleCalculos!$H:$H,$M198)</f>
        <v>0</v>
      </c>
      <c r="Q198" s="24">
        <f t="shared" si="369"/>
        <v>44</v>
      </c>
      <c r="R198" s="24">
        <f t="shared" si="370"/>
        <v>6.9999999999999005</v>
      </c>
      <c r="S198" s="80" t="str">
        <f>_xlfn.XLOOKUP($J198&amp;$K198&amp;$M198,DetalleCalculos!$B:$B,DetalleCalculos!$O:$O,"",0,1)</f>
        <v>6-0-1</v>
      </c>
      <c r="T198" s="29">
        <f>+_xlfn.XLOOKUP($S198,'Horarios y Sistemas'!$C:$C,'Horarios y Sistemas'!M:M,0,0,1)</f>
        <v>1</v>
      </c>
      <c r="U198" s="29">
        <f t="shared" si="371"/>
        <v>0</v>
      </c>
      <c r="V198" s="30">
        <f t="shared" si="372"/>
        <v>6.9999999999999005</v>
      </c>
      <c r="W198" s="30">
        <f t="shared" si="373"/>
        <v>0</v>
      </c>
      <c r="X198" s="24">
        <f t="shared" si="374"/>
        <v>10.499999999999851</v>
      </c>
      <c r="Y198" s="24">
        <f t="shared" si="375"/>
        <v>0</v>
      </c>
      <c r="Z198" s="96" t="s">
        <v>246</v>
      </c>
      <c r="AA198" s="101">
        <f t="shared" ref="AA198" si="491">+IF(AA197&lt;=0,0,IF(AND(AA197&gt;AB197,AB197&lt;=0),IF(AA197+AB197&gt;0,AA197+AB197,0),IF(AND(AA197&gt;0,AB197&gt;0),AA197,0)))</f>
        <v>31.499999999999552</v>
      </c>
      <c r="AB198" s="102">
        <f t="shared" ref="AB198" si="492">+IF(AB197&lt;=0,0,IF(AND(AB197&gt;AA197,AA197&lt;=0),IF(AB197+AA197&gt;0,AB197+AA197,0),IF(AND(AB197&gt;0,AA197&gt;0),AB197,0)))</f>
        <v>0</v>
      </c>
      <c r="AC198" s="97" t="s">
        <v>125</v>
      </c>
      <c r="AD198" s="103">
        <f t="shared" ref="AD198" si="493">+AA198/$X$5</f>
        <v>20.999999999999702</v>
      </c>
      <c r="AE198" s="104">
        <f t="shared" ref="AE198" si="494">+AB198/$Y$5</f>
        <v>0</v>
      </c>
    </row>
    <row r="199" spans="8:31" ht="15.75" thickBot="1">
      <c r="H199" t="str">
        <f t="shared" si="366"/>
        <v>SEPTIEMBRESem4040DUVITSA ASUCELI ALBIZURES VALENZUELA</v>
      </c>
      <c r="I199" s="14" t="str">
        <f>+_xlfn.XLOOKUP(K199,DetalleCalculos!W:W,DetalleCalculos!S:S,"",0,1)</f>
        <v>SEPTIEMBRE</v>
      </c>
      <c r="J199" s="72" t="str">
        <f t="shared" si="367"/>
        <v>Sem40</v>
      </c>
      <c r="K199" s="72">
        <f t="shared" ref="K199" si="495">+$H$19</f>
        <v>40</v>
      </c>
      <c r="L199" s="72">
        <f>+IF(_xlfn.XLOOKUP(K199,DetalleCalculos!W:W,DetalleCalculos!U:U,0,0,1)=7,1,2)</f>
        <v>1</v>
      </c>
      <c r="M199" s="79" t="str" cm="1">
        <f t="array" ref="M199">+INDEX($B$23:$B$89,ROUNDUP((ROW()-22)/3,0))</f>
        <v>DUVITSA ASUCELI ALBIZURES VALENZUELA</v>
      </c>
      <c r="N199" s="76">
        <f>SUMIFS(DetalleCalculos!$N:$N,DetalleCalculos!$W:$W,$K199,DetalleCalculos!$H:$H,$M199)*24</f>
        <v>50.999999999999901</v>
      </c>
      <c r="O199" s="80">
        <f>SUMIFS(DetalleCalculos!$P:$P,DetalleCalculos!$W:$W,$K199,DetalleCalculos!$H:$H,$M199)</f>
        <v>44</v>
      </c>
      <c r="P199" s="80">
        <f>SUMIFS(DetalleCalculos!$Q:$Q,DetalleCalculos!$W:$W,$K199,DetalleCalculos!$H:$H,$M199)</f>
        <v>0</v>
      </c>
      <c r="Q199" s="24">
        <f t="shared" si="369"/>
        <v>44</v>
      </c>
      <c r="R199" s="24">
        <f t="shared" si="370"/>
        <v>6.9999999999999005</v>
      </c>
      <c r="S199" s="80" t="str">
        <f>_xlfn.XLOOKUP($J199&amp;$K199&amp;$M199,DetalleCalculos!$B:$B,DetalleCalculos!$O:$O,"",0,1)</f>
        <v>6-0-1</v>
      </c>
      <c r="T199" s="29">
        <f>+_xlfn.XLOOKUP($S199,'Horarios y Sistemas'!$C:$C,'Horarios y Sistemas'!M:M,0,0,1)</f>
        <v>1</v>
      </c>
      <c r="U199" s="29">
        <f t="shared" si="371"/>
        <v>0</v>
      </c>
      <c r="V199" s="30">
        <f t="shared" si="372"/>
        <v>6.9999999999999005</v>
      </c>
      <c r="W199" s="30">
        <f t="shared" si="373"/>
        <v>0</v>
      </c>
      <c r="X199" s="24">
        <f t="shared" si="374"/>
        <v>10.499999999999851</v>
      </c>
      <c r="Y199" s="24">
        <f t="shared" si="375"/>
        <v>0</v>
      </c>
      <c r="Z199" s="95"/>
      <c r="AA199" s="99"/>
      <c r="AB199" s="100"/>
    </row>
    <row r="200" spans="8:31">
      <c r="H200" t="str">
        <f t="shared" si="366"/>
        <v>SEPTIEMBRESem3838ELKYN GEOCANNY BRAN NAVARRO</v>
      </c>
      <c r="I200" s="14" t="str">
        <f>+_xlfn.XLOOKUP(K200,DetalleCalculos!W:W,DetalleCalculos!S:S,"",0,1)</f>
        <v>SEPTIEMBRE</v>
      </c>
      <c r="J200" s="72" t="str">
        <f t="shared" si="367"/>
        <v>Sem38</v>
      </c>
      <c r="K200" s="72">
        <f t="shared" ref="K200" si="496">+$H$17</f>
        <v>38</v>
      </c>
      <c r="L200" s="72">
        <f>+IF(_xlfn.XLOOKUP(K200,DetalleCalculos!W:W,DetalleCalculos!U:U,0,0,1)=7,1,2)</f>
        <v>1</v>
      </c>
      <c r="M200" s="79" t="str" cm="1">
        <f t="array" ref="M200">+INDEX($B$23:$B$89,ROUNDUP((ROW()-22)/3,0))</f>
        <v>ELKYN GEOCANNY BRAN NAVARRO</v>
      </c>
      <c r="N200" s="76">
        <f>SUMIFS(DetalleCalculos!$N:$N,DetalleCalculos!$W:$W,$K200,DetalleCalculos!$H:$H,$M200)*24</f>
        <v>41</v>
      </c>
      <c r="O200" s="80">
        <f>SUMIFS(DetalleCalculos!$P:$P,DetalleCalculos!$W:$W,$K200,DetalleCalculos!$H:$H,$M200)</f>
        <v>38</v>
      </c>
      <c r="P200" s="80">
        <f>SUMIFS(DetalleCalculos!$Q:$Q,DetalleCalculos!$W:$W,$K200,DetalleCalculos!$H:$H,$M200)</f>
        <v>0</v>
      </c>
      <c r="Q200" s="80">
        <f t="shared" si="369"/>
        <v>38</v>
      </c>
      <c r="R200" s="80">
        <f t="shared" si="370"/>
        <v>3</v>
      </c>
      <c r="S200" s="80" t="str">
        <f>_xlfn.XLOOKUP($J200&amp;$K200&amp;$M200,DetalleCalculos!$B:$B,DetalleCalculos!$O:$O,"",0,1)</f>
        <v>1-3-3</v>
      </c>
      <c r="T200" s="81">
        <f>+_xlfn.XLOOKUP($S200,'Horarios y Sistemas'!$C:$C,'Horarios y Sistemas'!M:M,0,0,1)</f>
        <v>0.25</v>
      </c>
      <c r="U200" s="81">
        <f t="shared" si="371"/>
        <v>0.75</v>
      </c>
      <c r="V200" s="82">
        <f t="shared" si="372"/>
        <v>0.75</v>
      </c>
      <c r="W200" s="82">
        <f t="shared" si="373"/>
        <v>2.25</v>
      </c>
      <c r="X200" s="80">
        <f t="shared" si="374"/>
        <v>1.125</v>
      </c>
      <c r="Y200" s="80">
        <f t="shared" si="375"/>
        <v>3.375</v>
      </c>
      <c r="Z200" s="95" t="s">
        <v>245</v>
      </c>
      <c r="AA200" s="99">
        <f t="shared" ref="AA200:AB200" si="497">+SUM(X200:X202)</f>
        <v>28.124999999999989</v>
      </c>
      <c r="AB200" s="100">
        <f t="shared" si="497"/>
        <v>31.875</v>
      </c>
    </row>
    <row r="201" spans="8:31" ht="15.75" thickBot="1">
      <c r="H201" t="str">
        <f t="shared" si="366"/>
        <v>SEPTIEMBRESem3939ELKYN GEOCANNY BRAN NAVARRO</v>
      </c>
      <c r="I201" s="14" t="str">
        <f>+_xlfn.XLOOKUP(K201,DetalleCalculos!W:W,DetalleCalculos!S:S,"",0,1)</f>
        <v>SEPTIEMBRE</v>
      </c>
      <c r="J201" s="72" t="str">
        <f t="shared" si="367"/>
        <v>Sem39</v>
      </c>
      <c r="K201" s="72">
        <f t="shared" ref="K201" si="498">+$H$18</f>
        <v>39</v>
      </c>
      <c r="L201" s="72">
        <f>+IF(_xlfn.XLOOKUP(K201,DetalleCalculos!W:W,DetalleCalculos!U:U,0,0,1)=7,1,2)</f>
        <v>1</v>
      </c>
      <c r="M201" s="79" t="str" cm="1">
        <f t="array" ref="M201">+INDEX($B$23:$B$89,ROUNDUP((ROW()-22)/3,0))</f>
        <v>ELKYN GEOCANNY BRAN NAVARRO</v>
      </c>
      <c r="N201" s="76">
        <f>SUMIFS(DetalleCalculos!$N:$N,DetalleCalculos!$W:$W,$K201,DetalleCalculos!$H:$H,$M201)*24</f>
        <v>61.999999999999993</v>
      </c>
      <c r="O201" s="80">
        <f>SUMIFS(DetalleCalculos!$P:$P,DetalleCalculos!$W:$W,$K201,DetalleCalculos!$H:$H,$M201)</f>
        <v>44</v>
      </c>
      <c r="P201" s="80">
        <f>SUMIFS(DetalleCalculos!$Q:$Q,DetalleCalculos!$W:$W,$K201,DetalleCalculos!$H:$H,$M201)</f>
        <v>0</v>
      </c>
      <c r="Q201" s="24">
        <f t="shared" si="369"/>
        <v>44</v>
      </c>
      <c r="R201" s="24">
        <f t="shared" si="370"/>
        <v>17.999999999999993</v>
      </c>
      <c r="S201" s="80" t="str">
        <f>_xlfn.XLOOKUP($J201&amp;$K201&amp;$M201,DetalleCalculos!$B:$B,DetalleCalculos!$O:$O,"",0,1)</f>
        <v>6-0-1</v>
      </c>
      <c r="T201" s="29">
        <f>+_xlfn.XLOOKUP($S201,'Horarios y Sistemas'!$C:$C,'Horarios y Sistemas'!M:M,0,0,1)</f>
        <v>1</v>
      </c>
      <c r="U201" s="29">
        <f t="shared" si="371"/>
        <v>0</v>
      </c>
      <c r="V201" s="30">
        <f t="shared" si="372"/>
        <v>17.999999999999993</v>
      </c>
      <c r="W201" s="30">
        <f t="shared" si="373"/>
        <v>0</v>
      </c>
      <c r="X201" s="24">
        <f t="shared" si="374"/>
        <v>26.999999999999989</v>
      </c>
      <c r="Y201" s="24">
        <f t="shared" si="375"/>
        <v>0</v>
      </c>
      <c r="Z201" s="96" t="s">
        <v>246</v>
      </c>
      <c r="AA201" s="101">
        <f t="shared" ref="AA201" si="499">+IF(AA200&lt;=0,0,IF(AND(AA200&gt;AB200,AB200&lt;=0),IF(AA200+AB200&gt;0,AA200+AB200,0),IF(AND(AA200&gt;0,AB200&gt;0),AA200,0)))</f>
        <v>28.124999999999989</v>
      </c>
      <c r="AB201" s="102">
        <f t="shared" ref="AB201" si="500">+IF(AB200&lt;=0,0,IF(AND(AB200&gt;AA200,AA200&lt;=0),IF(AB200+AA200&gt;0,AB200+AA200,0),IF(AND(AB200&gt;0,AA200&gt;0),AB200,0)))</f>
        <v>31.875</v>
      </c>
      <c r="AC201" s="97" t="s">
        <v>125</v>
      </c>
      <c r="AD201" s="103">
        <f t="shared" ref="AD201" si="501">+AA201/$X$5</f>
        <v>18.749999999999993</v>
      </c>
      <c r="AE201" s="104">
        <f t="shared" ref="AE201" si="502">+AB201/$Y$5</f>
        <v>21.25</v>
      </c>
    </row>
    <row r="202" spans="8:31" ht="15.75" thickBot="1">
      <c r="H202" t="str">
        <f t="shared" si="366"/>
        <v>SEPTIEMBRESem4040ELKYN GEOCANNY BRAN NAVARRO</v>
      </c>
      <c r="I202" s="14" t="str">
        <f>+_xlfn.XLOOKUP(K202,DetalleCalculos!W:W,DetalleCalculos!S:S,"",0,1)</f>
        <v>SEPTIEMBRE</v>
      </c>
      <c r="J202" s="72" t="str">
        <f t="shared" si="367"/>
        <v>Sem40</v>
      </c>
      <c r="K202" s="72">
        <f t="shared" ref="K202" si="503">+$H$19</f>
        <v>40</v>
      </c>
      <c r="L202" s="72">
        <f>+IF(_xlfn.XLOOKUP(K202,DetalleCalculos!W:W,DetalleCalculos!U:U,0,0,1)=7,1,2)</f>
        <v>1</v>
      </c>
      <c r="M202" s="79" t="str" cm="1">
        <f t="array" ref="M202">+INDEX($B$23:$B$89,ROUNDUP((ROW()-22)/3,0))</f>
        <v>ELKYN GEOCANNY BRAN NAVARRO</v>
      </c>
      <c r="N202" s="76">
        <f>SUMIFS(DetalleCalculos!$N:$N,DetalleCalculos!$W:$W,$K202,DetalleCalculos!$H:$H,$M202)*24</f>
        <v>55</v>
      </c>
      <c r="O202" s="80">
        <f>SUMIFS(DetalleCalculos!$P:$P,DetalleCalculos!$W:$W,$K202,DetalleCalculos!$H:$H,$M202)</f>
        <v>36</v>
      </c>
      <c r="P202" s="80">
        <f>SUMIFS(DetalleCalculos!$Q:$Q,DetalleCalculos!$W:$W,$K202,DetalleCalculos!$H:$H,$M202)</f>
        <v>0</v>
      </c>
      <c r="Q202" s="24">
        <f t="shared" si="369"/>
        <v>36</v>
      </c>
      <c r="R202" s="24">
        <f t="shared" si="370"/>
        <v>19</v>
      </c>
      <c r="S202" s="80" t="str">
        <f>_xlfn.XLOOKUP($J202&amp;$K202&amp;$M202,DetalleCalculos!$B:$B,DetalleCalculos!$O:$O,"",0,1)</f>
        <v>0-5-2</v>
      </c>
      <c r="T202" s="29">
        <f>+_xlfn.XLOOKUP($S202,'Horarios y Sistemas'!$C:$C,'Horarios y Sistemas'!M:M,0,0,1)</f>
        <v>0</v>
      </c>
      <c r="U202" s="29">
        <f t="shared" si="371"/>
        <v>1</v>
      </c>
      <c r="V202" s="30">
        <f t="shared" si="372"/>
        <v>0</v>
      </c>
      <c r="W202" s="30">
        <f t="shared" si="373"/>
        <v>19</v>
      </c>
      <c r="X202" s="24">
        <f t="shared" si="374"/>
        <v>0</v>
      </c>
      <c r="Y202" s="24">
        <f t="shared" si="375"/>
        <v>28.5</v>
      </c>
      <c r="Z202" s="95"/>
      <c r="AA202" s="99"/>
      <c r="AB202" s="100"/>
    </row>
    <row r="203" spans="8:31">
      <c r="H203" t="str">
        <f t="shared" si="366"/>
        <v>SEPTIEMBRESem3838ELMAR GUSTAVO LOPEZ MAGALLON</v>
      </c>
      <c r="I203" s="14" t="str">
        <f>+_xlfn.XLOOKUP(K203,DetalleCalculos!W:W,DetalleCalculos!S:S,"",0,1)</f>
        <v>SEPTIEMBRE</v>
      </c>
      <c r="J203" s="72" t="str">
        <f t="shared" si="367"/>
        <v>Sem38</v>
      </c>
      <c r="K203" s="72">
        <f t="shared" ref="K203" si="504">+$H$17</f>
        <v>38</v>
      </c>
      <c r="L203" s="72">
        <f>+IF(_xlfn.XLOOKUP(K203,DetalleCalculos!W:W,DetalleCalculos!U:U,0,0,1)=7,1,2)</f>
        <v>1</v>
      </c>
      <c r="M203" s="79" t="str" cm="1">
        <f t="array" ref="M203">+INDEX($B$23:$B$89,ROUNDUP((ROW()-22)/3,0))</f>
        <v>ELMAR GUSTAVO LOPEZ MAGALLON</v>
      </c>
      <c r="N203" s="76">
        <f>SUMIFS(DetalleCalculos!$N:$N,DetalleCalculos!$W:$W,$K203,DetalleCalculos!$H:$H,$M203)*24</f>
        <v>41</v>
      </c>
      <c r="O203" s="80">
        <f>SUMIFS(DetalleCalculos!$P:$P,DetalleCalculos!$W:$W,$K203,DetalleCalculos!$H:$H,$M203)</f>
        <v>38</v>
      </c>
      <c r="P203" s="80">
        <f>SUMIFS(DetalleCalculos!$Q:$Q,DetalleCalculos!$W:$W,$K203,DetalleCalculos!$H:$H,$M203)</f>
        <v>0</v>
      </c>
      <c r="Q203" s="80">
        <f t="shared" si="369"/>
        <v>38</v>
      </c>
      <c r="R203" s="80">
        <f t="shared" si="370"/>
        <v>3</v>
      </c>
      <c r="S203" s="80" t="str">
        <f>_xlfn.XLOOKUP($J203&amp;$K203&amp;$M203,DetalleCalculos!$B:$B,DetalleCalculos!$O:$O,"",0,1)</f>
        <v>1-3-3</v>
      </c>
      <c r="T203" s="81">
        <f>+_xlfn.XLOOKUP($S203,'Horarios y Sistemas'!$C:$C,'Horarios y Sistemas'!M:M,0,0,1)</f>
        <v>0.25</v>
      </c>
      <c r="U203" s="81">
        <f t="shared" si="371"/>
        <v>0.75</v>
      </c>
      <c r="V203" s="82">
        <f t="shared" si="372"/>
        <v>0.75</v>
      </c>
      <c r="W203" s="82">
        <f t="shared" si="373"/>
        <v>2.25</v>
      </c>
      <c r="X203" s="80">
        <f t="shared" si="374"/>
        <v>1.125</v>
      </c>
      <c r="Y203" s="80">
        <f t="shared" si="375"/>
        <v>3.375</v>
      </c>
      <c r="Z203" s="95" t="s">
        <v>245</v>
      </c>
      <c r="AA203" s="99">
        <f t="shared" ref="AA203:AB203" si="505">+SUM(X203:X205)</f>
        <v>5.4450000000000021</v>
      </c>
      <c r="AB203" s="100">
        <f t="shared" si="505"/>
        <v>89.655000000000001</v>
      </c>
    </row>
    <row r="204" spans="8:31" ht="15.75" thickBot="1">
      <c r="H204" t="str">
        <f t="shared" si="366"/>
        <v>SEPTIEMBRESem3939ELMAR GUSTAVO LOPEZ MAGALLON</v>
      </c>
      <c r="I204" s="14" t="str">
        <f>+_xlfn.XLOOKUP(K204,DetalleCalculos!W:W,DetalleCalculos!S:S,"",0,1)</f>
        <v>SEPTIEMBRE</v>
      </c>
      <c r="J204" s="72" t="str">
        <f t="shared" si="367"/>
        <v>Sem39</v>
      </c>
      <c r="K204" s="72">
        <f t="shared" ref="K204" si="506">+$H$18</f>
        <v>39</v>
      </c>
      <c r="L204" s="72">
        <f>+IF(_xlfn.XLOOKUP(K204,DetalleCalculos!W:W,DetalleCalculos!U:U,0,0,1)=7,1,2)</f>
        <v>1</v>
      </c>
      <c r="M204" s="79" t="str" cm="1">
        <f t="array" ref="M204">+INDEX($B$23:$B$89,ROUNDUP((ROW()-22)/3,0))</f>
        <v>ELMAR GUSTAVO LOPEZ MAGALLON</v>
      </c>
      <c r="N204" s="76">
        <f>SUMIFS(DetalleCalculos!$N:$N,DetalleCalculos!$W:$W,$K204,DetalleCalculos!$H:$H,$M204)*24</f>
        <v>46</v>
      </c>
      <c r="O204" s="80">
        <f>SUMIFS(DetalleCalculos!$P:$P,DetalleCalculos!$W:$W,$K204,DetalleCalculos!$H:$H,$M204)</f>
        <v>0</v>
      </c>
      <c r="P204" s="80">
        <f>SUMIFS(DetalleCalculos!$Q:$Q,DetalleCalculos!$W:$W,$K204,DetalleCalculos!$H:$H,$M204)</f>
        <v>0</v>
      </c>
      <c r="Q204" s="24">
        <f t="shared" si="369"/>
        <v>0</v>
      </c>
      <c r="R204" s="24">
        <f t="shared" si="370"/>
        <v>46</v>
      </c>
      <c r="S204" s="80" t="str">
        <f>_xlfn.XLOOKUP($J204&amp;$K204&amp;$M204,DetalleCalculos!$B:$B,DetalleCalculos!$O:$O,"",0,1)</f>
        <v>3-2-2</v>
      </c>
      <c r="T204" s="29">
        <f>+_xlfn.XLOOKUP($S204,'Horarios y Sistemas'!$C:$C,'Horarios y Sistemas'!M:M,0,0,1)</f>
        <v>0</v>
      </c>
      <c r="U204" s="29">
        <f t="shared" si="371"/>
        <v>1</v>
      </c>
      <c r="V204" s="30">
        <f t="shared" si="372"/>
        <v>0</v>
      </c>
      <c r="W204" s="30">
        <f t="shared" si="373"/>
        <v>46</v>
      </c>
      <c r="X204" s="24">
        <f t="shared" si="374"/>
        <v>0</v>
      </c>
      <c r="Y204" s="24">
        <f t="shared" si="375"/>
        <v>69</v>
      </c>
      <c r="Z204" s="96" t="s">
        <v>246</v>
      </c>
      <c r="AA204" s="101">
        <f t="shared" ref="AA204" si="507">+IF(AA203&lt;=0,0,IF(AND(AA203&gt;AB203,AB203&lt;=0),IF(AA203+AB203&gt;0,AA203+AB203,0),IF(AND(AA203&gt;0,AB203&gt;0),AA203,0)))</f>
        <v>5.4450000000000021</v>
      </c>
      <c r="AB204" s="102">
        <f t="shared" ref="AB204" si="508">+IF(AB203&lt;=0,0,IF(AND(AB203&gt;AA203,AA203&lt;=0),IF(AB203+AA203&gt;0,AB203+AA203,0),IF(AND(AB203&gt;0,AA203&gt;0),AB203,0)))</f>
        <v>89.655000000000001</v>
      </c>
      <c r="AC204" s="97" t="s">
        <v>125</v>
      </c>
      <c r="AD204" s="103">
        <f t="shared" ref="AD204" si="509">+AA204/$X$5</f>
        <v>3.6300000000000012</v>
      </c>
      <c r="AE204" s="104">
        <f t="shared" ref="AE204" si="510">+AB204/$Y$5</f>
        <v>59.77</v>
      </c>
    </row>
    <row r="205" spans="8:31" ht="15.75" thickBot="1">
      <c r="H205" t="str">
        <f t="shared" si="366"/>
        <v>SEPTIEMBRESem4040ELMAR GUSTAVO LOPEZ MAGALLON</v>
      </c>
      <c r="I205" s="14" t="str">
        <f>+_xlfn.XLOOKUP(K205,DetalleCalculos!W:W,DetalleCalculos!S:S,"",0,1)</f>
        <v>SEPTIEMBRE</v>
      </c>
      <c r="J205" s="72" t="str">
        <f t="shared" si="367"/>
        <v>Sem40</v>
      </c>
      <c r="K205" s="72">
        <f t="shared" ref="K205" si="511">+$H$19</f>
        <v>40</v>
      </c>
      <c r="L205" s="72">
        <f>+IF(_xlfn.XLOOKUP(K205,DetalleCalculos!W:W,DetalleCalculos!U:U,0,0,1)=7,1,2)</f>
        <v>1</v>
      </c>
      <c r="M205" s="79" t="str" cm="1">
        <f t="array" ref="M205">+INDEX($B$23:$B$89,ROUNDUP((ROW()-22)/3,0))</f>
        <v>ELMAR GUSTAVO LOPEZ MAGALLON</v>
      </c>
      <c r="N205" s="76">
        <f>SUMIFS(DetalleCalculos!$N:$N,DetalleCalculos!$W:$W,$K205,DetalleCalculos!$H:$H,$M205)*24</f>
        <v>52.000000000000007</v>
      </c>
      <c r="O205" s="80">
        <f>SUMIFS(DetalleCalculos!$P:$P,DetalleCalculos!$W:$W,$K205,DetalleCalculos!$H:$H,$M205)</f>
        <v>37.6</v>
      </c>
      <c r="P205" s="80">
        <f>SUMIFS(DetalleCalculos!$Q:$Q,DetalleCalculos!$W:$W,$K205,DetalleCalculos!$H:$H,$M205)</f>
        <v>0</v>
      </c>
      <c r="Q205" s="24">
        <f t="shared" si="369"/>
        <v>37.6</v>
      </c>
      <c r="R205" s="24">
        <f t="shared" si="370"/>
        <v>14.400000000000006</v>
      </c>
      <c r="S205" s="80" t="str">
        <f>_xlfn.XLOOKUP($J205&amp;$K205&amp;$M205,DetalleCalculos!$B:$B,DetalleCalculos!$O:$O,"",0,1)</f>
        <v>1-4-2</v>
      </c>
      <c r="T205" s="29">
        <f>+_xlfn.XLOOKUP($S205,'Horarios y Sistemas'!$C:$C,'Horarios y Sistemas'!M:M,0,0,1)</f>
        <v>0.2</v>
      </c>
      <c r="U205" s="29">
        <f t="shared" si="371"/>
        <v>0.8</v>
      </c>
      <c r="V205" s="30">
        <f t="shared" si="372"/>
        <v>2.8800000000000012</v>
      </c>
      <c r="W205" s="30">
        <f t="shared" si="373"/>
        <v>11.520000000000005</v>
      </c>
      <c r="X205" s="24">
        <f t="shared" si="374"/>
        <v>4.3200000000000021</v>
      </c>
      <c r="Y205" s="24">
        <f t="shared" si="375"/>
        <v>17.280000000000008</v>
      </c>
      <c r="Z205" s="95"/>
      <c r="AA205" s="99"/>
      <c r="AB205" s="100"/>
    </row>
    <row r="206" spans="8:31">
      <c r="H206" t="str">
        <f t="shared" si="366"/>
        <v>SEPTIEMBRESem3838ROGER EVENOR ALONZO DIAZ</v>
      </c>
      <c r="I206" s="14" t="str">
        <f>+_xlfn.XLOOKUP(K206,DetalleCalculos!W:W,DetalleCalculos!S:S,"",0,1)</f>
        <v>SEPTIEMBRE</v>
      </c>
      <c r="J206" s="72" t="str">
        <f t="shared" si="367"/>
        <v>Sem38</v>
      </c>
      <c r="K206" s="72">
        <f t="shared" ref="K206" si="512">+$H$17</f>
        <v>38</v>
      </c>
      <c r="L206" s="72">
        <f>+IF(_xlfn.XLOOKUP(K206,DetalleCalculos!W:W,DetalleCalculos!U:U,0,0,1)=7,1,2)</f>
        <v>1</v>
      </c>
      <c r="M206" s="79" t="str" cm="1">
        <f t="array" ref="M206">+INDEX($B$23:$B$89,ROUNDUP((ROW()-22)/3,0))</f>
        <v>ROGER EVENOR ALONZO DIAZ</v>
      </c>
      <c r="N206" s="76">
        <f>SUMIFS(DetalleCalculos!$N:$N,DetalleCalculos!$W:$W,$K206,DetalleCalculos!$H:$H,$M206)*24</f>
        <v>42.999999999999972</v>
      </c>
      <c r="O206" s="80">
        <f>SUMIFS(DetalleCalculos!$P:$P,DetalleCalculos!$W:$W,$K206,DetalleCalculos!$H:$H,$M206)</f>
        <v>42.666666666666671</v>
      </c>
      <c r="P206" s="80">
        <f>SUMIFS(DetalleCalculos!$Q:$Q,DetalleCalculos!$W:$W,$K206,DetalleCalculos!$H:$H,$M206)</f>
        <v>0</v>
      </c>
      <c r="Q206" s="80">
        <f t="shared" si="369"/>
        <v>42.666666666666671</v>
      </c>
      <c r="R206" s="80">
        <f t="shared" si="370"/>
        <v>0.33333333333330017</v>
      </c>
      <c r="S206" s="80" t="str">
        <f>_xlfn.XLOOKUP($J206&amp;$K206&amp;$M206,DetalleCalculos!$B:$B,DetalleCalculos!$O:$O,"",0,1)</f>
        <v>5-1-1</v>
      </c>
      <c r="T206" s="81">
        <f>+_xlfn.XLOOKUP($S206,'Horarios y Sistemas'!$C:$C,'Horarios y Sistemas'!M:M,0,0,1)</f>
        <v>0.83333333333333337</v>
      </c>
      <c r="U206" s="81">
        <f t="shared" si="371"/>
        <v>0.16666666666666663</v>
      </c>
      <c r="V206" s="82">
        <f t="shared" si="372"/>
        <v>0.27777777777775015</v>
      </c>
      <c r="W206" s="82">
        <f t="shared" si="373"/>
        <v>5.5555555555550015E-2</v>
      </c>
      <c r="X206" s="80">
        <f t="shared" si="374"/>
        <v>0.41666666666662522</v>
      </c>
      <c r="Y206" s="80">
        <f t="shared" si="375"/>
        <v>8.3333333333325016E-2</v>
      </c>
      <c r="Z206" s="95" t="s">
        <v>245</v>
      </c>
      <c r="AA206" s="99">
        <f t="shared" ref="AA206:AB206" si="513">+SUM(X206:X208)</f>
        <v>1.2499999999998757</v>
      </c>
      <c r="AB206" s="100">
        <f t="shared" si="513"/>
        <v>0.24999999999997505</v>
      </c>
    </row>
    <row r="207" spans="8:31" ht="15.75" thickBot="1">
      <c r="H207" t="str">
        <f t="shared" si="366"/>
        <v>SEPTIEMBRESem3939ROGER EVENOR ALONZO DIAZ</v>
      </c>
      <c r="I207" s="14" t="str">
        <f>+_xlfn.XLOOKUP(K207,DetalleCalculos!W:W,DetalleCalculos!S:S,"",0,1)</f>
        <v>SEPTIEMBRE</v>
      </c>
      <c r="J207" s="72" t="str">
        <f t="shared" si="367"/>
        <v>Sem39</v>
      </c>
      <c r="K207" s="72">
        <f t="shared" ref="K207" si="514">+$H$18</f>
        <v>39</v>
      </c>
      <c r="L207" s="72">
        <f>+IF(_xlfn.XLOOKUP(K207,DetalleCalculos!W:W,DetalleCalculos!U:U,0,0,1)=7,1,2)</f>
        <v>1</v>
      </c>
      <c r="M207" s="79" t="str" cm="1">
        <f t="array" ref="M207">+INDEX($B$23:$B$89,ROUNDUP((ROW()-22)/3,0))</f>
        <v>ROGER EVENOR ALONZO DIAZ</v>
      </c>
      <c r="N207" s="76">
        <f>SUMIFS(DetalleCalculos!$N:$N,DetalleCalculos!$W:$W,$K207,DetalleCalculos!$H:$H,$M207)*24</f>
        <v>42.999999999999972</v>
      </c>
      <c r="O207" s="80">
        <f>SUMIFS(DetalleCalculos!$P:$P,DetalleCalculos!$W:$W,$K207,DetalleCalculos!$H:$H,$M207)</f>
        <v>42.666666666666671</v>
      </c>
      <c r="P207" s="80">
        <f>SUMIFS(DetalleCalculos!$Q:$Q,DetalleCalculos!$W:$W,$K207,DetalleCalculos!$H:$H,$M207)</f>
        <v>0</v>
      </c>
      <c r="Q207" s="24">
        <f t="shared" si="369"/>
        <v>42.666666666666671</v>
      </c>
      <c r="R207" s="24">
        <f t="shared" si="370"/>
        <v>0.33333333333330017</v>
      </c>
      <c r="S207" s="80" t="str">
        <f>_xlfn.XLOOKUP($J207&amp;$K207&amp;$M207,DetalleCalculos!$B:$B,DetalleCalculos!$O:$O,"",0,1)</f>
        <v>5-1-1</v>
      </c>
      <c r="T207" s="29">
        <f>+_xlfn.XLOOKUP($S207,'Horarios y Sistemas'!$C:$C,'Horarios y Sistemas'!M:M,0,0,1)</f>
        <v>0.83333333333333337</v>
      </c>
      <c r="U207" s="29">
        <f t="shared" si="371"/>
        <v>0.16666666666666663</v>
      </c>
      <c r="V207" s="30">
        <f t="shared" si="372"/>
        <v>0.27777777777775015</v>
      </c>
      <c r="W207" s="30">
        <f t="shared" si="373"/>
        <v>5.5555555555550015E-2</v>
      </c>
      <c r="X207" s="24">
        <f t="shared" si="374"/>
        <v>0.41666666666662522</v>
      </c>
      <c r="Y207" s="24">
        <f t="shared" si="375"/>
        <v>8.3333333333325016E-2</v>
      </c>
      <c r="Z207" s="96" t="s">
        <v>246</v>
      </c>
      <c r="AA207" s="101">
        <f t="shared" ref="AA207" si="515">+IF(AA206&lt;=0,0,IF(AND(AA206&gt;AB206,AB206&lt;=0),IF(AA206+AB206&gt;0,AA206+AB206,0),IF(AND(AA206&gt;0,AB206&gt;0),AA206,0)))</f>
        <v>1.2499999999998757</v>
      </c>
      <c r="AB207" s="102">
        <f t="shared" ref="AB207" si="516">+IF(AB206&lt;=0,0,IF(AND(AB206&gt;AA206,AA206&lt;=0),IF(AB206+AA206&gt;0,AB206+AA206,0),IF(AND(AB206&gt;0,AA206&gt;0),AB206,0)))</f>
        <v>0.24999999999997505</v>
      </c>
      <c r="AC207" s="97" t="s">
        <v>125</v>
      </c>
      <c r="AD207" s="103">
        <f t="shared" ref="AD207" si="517">+AA207/$X$5</f>
        <v>0.83333333333325044</v>
      </c>
      <c r="AE207" s="104">
        <f t="shared" ref="AE207" si="518">+AB207/$Y$5</f>
        <v>0.16666666666665003</v>
      </c>
    </row>
    <row r="208" spans="8:31" ht="15.75" thickBot="1">
      <c r="H208" t="str">
        <f t="shared" si="366"/>
        <v>SEPTIEMBRESem4040ROGER EVENOR ALONZO DIAZ</v>
      </c>
      <c r="I208" s="14" t="str">
        <f>+_xlfn.XLOOKUP(K208,DetalleCalculos!W:W,DetalleCalculos!S:S,"",0,1)</f>
        <v>SEPTIEMBRE</v>
      </c>
      <c r="J208" s="72" t="str">
        <f t="shared" si="367"/>
        <v>Sem40</v>
      </c>
      <c r="K208" s="72">
        <f t="shared" ref="K208" si="519">+$H$19</f>
        <v>40</v>
      </c>
      <c r="L208" s="72">
        <f>+IF(_xlfn.XLOOKUP(K208,DetalleCalculos!W:W,DetalleCalculos!U:U,0,0,1)=7,1,2)</f>
        <v>1</v>
      </c>
      <c r="M208" s="79" t="str" cm="1">
        <f t="array" ref="M208">+INDEX($B$23:$B$89,ROUNDUP((ROW()-22)/3,0))</f>
        <v>ROGER EVENOR ALONZO DIAZ</v>
      </c>
      <c r="N208" s="76">
        <f>SUMIFS(DetalleCalculos!$N:$N,DetalleCalculos!$W:$W,$K208,DetalleCalculos!$H:$H,$M208)*24</f>
        <v>42.999999999999972</v>
      </c>
      <c r="O208" s="80">
        <f>SUMIFS(DetalleCalculos!$P:$P,DetalleCalculos!$W:$W,$K208,DetalleCalculos!$H:$H,$M208)</f>
        <v>42.666666666666671</v>
      </c>
      <c r="P208" s="80">
        <f>SUMIFS(DetalleCalculos!$Q:$Q,DetalleCalculos!$W:$W,$K208,DetalleCalculos!$H:$H,$M208)</f>
        <v>0</v>
      </c>
      <c r="Q208" s="24">
        <f t="shared" si="369"/>
        <v>42.666666666666671</v>
      </c>
      <c r="R208" s="24">
        <f t="shared" si="370"/>
        <v>0.33333333333330017</v>
      </c>
      <c r="S208" s="80" t="str">
        <f>_xlfn.XLOOKUP($J208&amp;$K208&amp;$M208,DetalleCalculos!$B:$B,DetalleCalculos!$O:$O,"",0,1)</f>
        <v>5-1-1</v>
      </c>
      <c r="T208" s="29">
        <f>+_xlfn.XLOOKUP($S208,'Horarios y Sistemas'!$C:$C,'Horarios y Sistemas'!M:M,0,0,1)</f>
        <v>0.83333333333333337</v>
      </c>
      <c r="U208" s="29">
        <f t="shared" si="371"/>
        <v>0.16666666666666663</v>
      </c>
      <c r="V208" s="30">
        <f t="shared" si="372"/>
        <v>0.27777777777775015</v>
      </c>
      <c r="W208" s="30">
        <f t="shared" si="373"/>
        <v>5.5555555555550015E-2</v>
      </c>
      <c r="X208" s="24">
        <f t="shared" si="374"/>
        <v>0.41666666666662522</v>
      </c>
      <c r="Y208" s="24">
        <f t="shared" si="375"/>
        <v>8.3333333333325016E-2</v>
      </c>
      <c r="Z208" s="95"/>
      <c r="AA208" s="99"/>
      <c r="AB208" s="100"/>
    </row>
    <row r="209" spans="8:31">
      <c r="H209" t="str">
        <f t="shared" si="366"/>
        <v>SEPTIEMBRESem3838SERGIO ENRIQUE RODRIGUEZ DE PAZ</v>
      </c>
      <c r="I209" s="14" t="str">
        <f>+_xlfn.XLOOKUP(K209,DetalleCalculos!W:W,DetalleCalculos!S:S,"",0,1)</f>
        <v>SEPTIEMBRE</v>
      </c>
      <c r="J209" s="72" t="str">
        <f t="shared" si="367"/>
        <v>Sem38</v>
      </c>
      <c r="K209" s="72">
        <f t="shared" ref="K209" si="520">+$H$17</f>
        <v>38</v>
      </c>
      <c r="L209" s="72">
        <f>+IF(_xlfn.XLOOKUP(K209,DetalleCalculos!W:W,DetalleCalculos!U:U,0,0,1)=7,1,2)</f>
        <v>1</v>
      </c>
      <c r="M209" s="79" t="str" cm="1">
        <f t="array" ref="M209">+INDEX($B$23:$B$89,ROUNDUP((ROW()-22)/3,0))</f>
        <v>SERGIO ENRIQUE RODRIGUEZ DE PAZ</v>
      </c>
      <c r="N209" s="76">
        <f>SUMIFS(DetalleCalculos!$N:$N,DetalleCalculos!$W:$W,$K209,DetalleCalculos!$H:$H,$M209)*24</f>
        <v>47.999999999999986</v>
      </c>
      <c r="O209" s="80">
        <f>SUMIFS(DetalleCalculos!$P:$P,DetalleCalculos!$W:$W,$K209,DetalleCalculos!$H:$H,$M209)</f>
        <v>44</v>
      </c>
      <c r="P209" s="80">
        <f>SUMIFS(DetalleCalculos!$Q:$Q,DetalleCalculos!$W:$W,$K209,DetalleCalculos!$H:$H,$M209)</f>
        <v>0</v>
      </c>
      <c r="Q209" s="80">
        <f t="shared" si="369"/>
        <v>44</v>
      </c>
      <c r="R209" s="80">
        <f t="shared" si="370"/>
        <v>3.9999999999999858</v>
      </c>
      <c r="S209" s="80" t="str">
        <f>_xlfn.XLOOKUP($J209&amp;$K209&amp;$M209,DetalleCalculos!$B:$B,DetalleCalculos!$O:$O,"",0,1)</f>
        <v>5-0-2</v>
      </c>
      <c r="T209" s="81">
        <f>+_xlfn.XLOOKUP($S209,'Horarios y Sistemas'!$C:$C,'Horarios y Sistemas'!M:M,0,0,1)</f>
        <v>1</v>
      </c>
      <c r="U209" s="81">
        <f t="shared" si="371"/>
        <v>0</v>
      </c>
      <c r="V209" s="82">
        <f t="shared" si="372"/>
        <v>3.9999999999999858</v>
      </c>
      <c r="W209" s="82">
        <f t="shared" si="373"/>
        <v>0</v>
      </c>
      <c r="X209" s="80">
        <f t="shared" si="374"/>
        <v>5.9999999999999787</v>
      </c>
      <c r="Y209" s="80">
        <f t="shared" si="375"/>
        <v>0</v>
      </c>
      <c r="Z209" s="95" t="s">
        <v>245</v>
      </c>
      <c r="AA209" s="99">
        <f t="shared" ref="AA209:AB209" si="521">+SUM(X209:X211)</f>
        <v>32.999999999999972</v>
      </c>
      <c r="AB209" s="100">
        <f t="shared" si="521"/>
        <v>28.5</v>
      </c>
    </row>
    <row r="210" spans="8:31" ht="15.75" thickBot="1">
      <c r="H210" t="str">
        <f t="shared" si="366"/>
        <v>SEPTIEMBRESem3939SERGIO ENRIQUE RODRIGUEZ DE PAZ</v>
      </c>
      <c r="I210" s="14" t="str">
        <f>+_xlfn.XLOOKUP(K210,DetalleCalculos!W:W,DetalleCalculos!S:S,"",0,1)</f>
        <v>SEPTIEMBRE</v>
      </c>
      <c r="J210" s="72" t="str">
        <f t="shared" si="367"/>
        <v>Sem39</v>
      </c>
      <c r="K210" s="72">
        <f t="shared" ref="K210" si="522">+$H$18</f>
        <v>39</v>
      </c>
      <c r="L210" s="72">
        <f>+IF(_xlfn.XLOOKUP(K210,DetalleCalculos!W:W,DetalleCalculos!U:U,0,0,1)=7,1,2)</f>
        <v>1</v>
      </c>
      <c r="M210" s="79" t="str" cm="1">
        <f t="array" ref="M210">+INDEX($B$23:$B$89,ROUNDUP((ROW()-22)/3,0))</f>
        <v>SERGIO ENRIQUE RODRIGUEZ DE PAZ</v>
      </c>
      <c r="N210" s="76">
        <f>SUMIFS(DetalleCalculos!$N:$N,DetalleCalculos!$W:$W,$K210,DetalleCalculos!$H:$H,$M210)*24</f>
        <v>55</v>
      </c>
      <c r="O210" s="80">
        <f>SUMIFS(DetalleCalculos!$P:$P,DetalleCalculos!$W:$W,$K210,DetalleCalculos!$H:$H,$M210)</f>
        <v>36</v>
      </c>
      <c r="P210" s="80">
        <f>SUMIFS(DetalleCalculos!$Q:$Q,DetalleCalculos!$W:$W,$K210,DetalleCalculos!$H:$H,$M210)</f>
        <v>0</v>
      </c>
      <c r="Q210" s="24">
        <f t="shared" si="369"/>
        <v>36</v>
      </c>
      <c r="R210" s="24">
        <f t="shared" si="370"/>
        <v>19</v>
      </c>
      <c r="S210" s="80" t="str">
        <f>_xlfn.XLOOKUP($J210&amp;$K210&amp;$M210,DetalleCalculos!$B:$B,DetalleCalculos!$O:$O,"",0,1)</f>
        <v>0-5-2</v>
      </c>
      <c r="T210" s="29">
        <f>+_xlfn.XLOOKUP($S210,'Horarios y Sistemas'!$C:$C,'Horarios y Sistemas'!M:M,0,0,1)</f>
        <v>0</v>
      </c>
      <c r="U210" s="29">
        <f t="shared" si="371"/>
        <v>1</v>
      </c>
      <c r="V210" s="30">
        <f t="shared" si="372"/>
        <v>0</v>
      </c>
      <c r="W210" s="30">
        <f t="shared" si="373"/>
        <v>19</v>
      </c>
      <c r="X210" s="24">
        <f t="shared" si="374"/>
        <v>0</v>
      </c>
      <c r="Y210" s="24">
        <f t="shared" si="375"/>
        <v>28.5</v>
      </c>
      <c r="Z210" s="96" t="s">
        <v>246</v>
      </c>
      <c r="AA210" s="101">
        <f t="shared" ref="AA210" si="523">+IF(AA209&lt;=0,0,IF(AND(AA209&gt;AB209,AB209&lt;=0),IF(AA209+AB209&gt;0,AA209+AB209,0),IF(AND(AA209&gt;0,AB209&gt;0),AA209,0)))</f>
        <v>32.999999999999972</v>
      </c>
      <c r="AB210" s="102">
        <f t="shared" ref="AB210" si="524">+IF(AB209&lt;=0,0,IF(AND(AB209&gt;AA209,AA209&lt;=0),IF(AB209+AA209&gt;0,AB209+AA209,0),IF(AND(AB209&gt;0,AA209&gt;0),AB209,0)))</f>
        <v>28.5</v>
      </c>
      <c r="AC210" s="97" t="s">
        <v>125</v>
      </c>
      <c r="AD210" s="103">
        <f t="shared" ref="AD210" si="525">+AA210/$X$5</f>
        <v>21.999999999999982</v>
      </c>
      <c r="AE210" s="104">
        <f t="shared" ref="AE210" si="526">+AB210/$Y$5</f>
        <v>19</v>
      </c>
    </row>
    <row r="211" spans="8:31" ht="15.75" thickBot="1">
      <c r="H211" t="str">
        <f t="shared" si="366"/>
        <v>SEPTIEMBRESem4040SERGIO ENRIQUE RODRIGUEZ DE PAZ</v>
      </c>
      <c r="I211" s="14" t="str">
        <f>+_xlfn.XLOOKUP(K211,DetalleCalculos!W:W,DetalleCalculos!S:S,"",0,1)</f>
        <v>SEPTIEMBRE</v>
      </c>
      <c r="J211" s="72" t="str">
        <f t="shared" si="367"/>
        <v>Sem40</v>
      </c>
      <c r="K211" s="72">
        <f t="shared" ref="K211" si="527">+$H$19</f>
        <v>40</v>
      </c>
      <c r="L211" s="72">
        <f>+IF(_xlfn.XLOOKUP(K211,DetalleCalculos!W:W,DetalleCalculos!U:U,0,0,1)=7,1,2)</f>
        <v>1</v>
      </c>
      <c r="M211" s="79" t="str" cm="1">
        <f t="array" ref="M211">+INDEX($B$23:$B$89,ROUNDUP((ROW()-22)/3,0))</f>
        <v>SERGIO ENRIQUE RODRIGUEZ DE PAZ</v>
      </c>
      <c r="N211" s="76">
        <f>SUMIFS(DetalleCalculos!$N:$N,DetalleCalculos!$W:$W,$K211,DetalleCalculos!$H:$H,$M211)*24</f>
        <v>61.999999999999993</v>
      </c>
      <c r="O211" s="80">
        <f>SUMIFS(DetalleCalculos!$P:$P,DetalleCalculos!$W:$W,$K211,DetalleCalculos!$H:$H,$M211)</f>
        <v>44</v>
      </c>
      <c r="P211" s="80">
        <f>SUMIFS(DetalleCalculos!$Q:$Q,DetalleCalculos!$W:$W,$K211,DetalleCalculos!$H:$H,$M211)</f>
        <v>0</v>
      </c>
      <c r="Q211" s="24">
        <f t="shared" si="369"/>
        <v>44</v>
      </c>
      <c r="R211" s="24">
        <f t="shared" si="370"/>
        <v>17.999999999999993</v>
      </c>
      <c r="S211" s="80" t="str">
        <f>_xlfn.XLOOKUP($J211&amp;$K211&amp;$M211,DetalleCalculos!$B:$B,DetalleCalculos!$O:$O,"",0,1)</f>
        <v>6-0-1</v>
      </c>
      <c r="T211" s="29">
        <f>+_xlfn.XLOOKUP($S211,'Horarios y Sistemas'!$C:$C,'Horarios y Sistemas'!M:M,0,0,1)</f>
        <v>1</v>
      </c>
      <c r="U211" s="29">
        <f t="shared" si="371"/>
        <v>0</v>
      </c>
      <c r="V211" s="30">
        <f t="shared" si="372"/>
        <v>17.999999999999993</v>
      </c>
      <c r="W211" s="30">
        <f t="shared" si="373"/>
        <v>0</v>
      </c>
      <c r="X211" s="24">
        <f t="shared" si="374"/>
        <v>26.999999999999989</v>
      </c>
      <c r="Y211" s="24">
        <f t="shared" si="375"/>
        <v>0</v>
      </c>
      <c r="Z211" s="95"/>
      <c r="AA211" s="99"/>
      <c r="AB211" s="100"/>
    </row>
    <row r="212" spans="8:31">
      <c r="H212" t="str">
        <f t="shared" si="366"/>
        <v>SEPTIEMBRESem3838WINDER ALEXANDER BOLVITO ESTRADA</v>
      </c>
      <c r="I212" s="14" t="str">
        <f>+_xlfn.XLOOKUP(K212,DetalleCalculos!W:W,DetalleCalculos!S:S,"",0,1)</f>
        <v>SEPTIEMBRE</v>
      </c>
      <c r="J212" s="72" t="str">
        <f t="shared" si="367"/>
        <v>Sem38</v>
      </c>
      <c r="K212" s="72">
        <f t="shared" ref="K212" si="528">+$H$17</f>
        <v>38</v>
      </c>
      <c r="L212" s="72">
        <f>+IF(_xlfn.XLOOKUP(K212,DetalleCalculos!W:W,DetalleCalculos!U:U,0,0,1)=7,1,2)</f>
        <v>1</v>
      </c>
      <c r="M212" s="79" t="str" cm="1">
        <f t="array" ref="M212">+INDEX($B$23:$B$89,ROUNDUP((ROW()-22)/3,0))</f>
        <v>WINDER ALEXANDER BOLVITO ESTRADA</v>
      </c>
      <c r="N212" s="76">
        <f>SUMIFS(DetalleCalculos!$N:$N,DetalleCalculos!$W:$W,$K212,DetalleCalculos!$H:$H,$M212)*24</f>
        <v>34.999999999999957</v>
      </c>
      <c r="O212" s="80">
        <f>SUMIFS(DetalleCalculos!$P:$P,DetalleCalculos!$W:$W,$K212,DetalleCalculos!$H:$H,$M212)</f>
        <v>44</v>
      </c>
      <c r="P212" s="80">
        <f>SUMIFS(DetalleCalculos!$Q:$Q,DetalleCalculos!$W:$W,$K212,DetalleCalculos!$H:$H,$M212)</f>
        <v>0</v>
      </c>
      <c r="Q212" s="80">
        <f t="shared" si="369"/>
        <v>44</v>
      </c>
      <c r="R212" s="80">
        <f t="shared" si="370"/>
        <v>0</v>
      </c>
      <c r="S212" s="80" t="str">
        <f>_xlfn.XLOOKUP($J212&amp;$K212&amp;$M212,DetalleCalculos!$B:$B,DetalleCalculos!$O:$O,"",0,1)</f>
        <v>5-0-2</v>
      </c>
      <c r="T212" s="81">
        <f>+_xlfn.XLOOKUP($S212,'Horarios y Sistemas'!$C:$C,'Horarios y Sistemas'!M:M,0,0,1)</f>
        <v>1</v>
      </c>
      <c r="U212" s="81">
        <f t="shared" si="371"/>
        <v>0</v>
      </c>
      <c r="V212" s="82">
        <f t="shared" si="372"/>
        <v>0</v>
      </c>
      <c r="W212" s="82">
        <f t="shared" si="373"/>
        <v>0</v>
      </c>
      <c r="X212" s="80">
        <f t="shared" si="374"/>
        <v>0</v>
      </c>
      <c r="Y212" s="80">
        <f t="shared" si="375"/>
        <v>0</v>
      </c>
      <c r="Z212" s="95" t="s">
        <v>245</v>
      </c>
      <c r="AA212" s="99">
        <f t="shared" ref="AA212:AB212" si="529">+SUM(X212:X214)</f>
        <v>11.999999999999787</v>
      </c>
      <c r="AB212" s="100">
        <f t="shared" si="529"/>
        <v>0</v>
      </c>
    </row>
    <row r="213" spans="8:31" ht="15.75" thickBot="1">
      <c r="H213" t="str">
        <f t="shared" si="366"/>
        <v>SEPTIEMBRESem3939WINDER ALEXANDER BOLVITO ESTRADA</v>
      </c>
      <c r="I213" s="14" t="str">
        <f>+_xlfn.XLOOKUP(K213,DetalleCalculos!W:W,DetalleCalculos!S:S,"",0,1)</f>
        <v>SEPTIEMBRE</v>
      </c>
      <c r="J213" s="72" t="str">
        <f t="shared" si="367"/>
        <v>Sem39</v>
      </c>
      <c r="K213" s="72">
        <f t="shared" ref="K213" si="530">+$H$18</f>
        <v>39</v>
      </c>
      <c r="L213" s="72">
        <f>+IF(_xlfn.XLOOKUP(K213,DetalleCalculos!W:W,DetalleCalculos!U:U,0,0,1)=7,1,2)</f>
        <v>1</v>
      </c>
      <c r="M213" s="79" t="str" cm="1">
        <f t="array" ref="M213">+INDEX($B$23:$B$89,ROUNDUP((ROW()-22)/3,0))</f>
        <v>WINDER ALEXANDER BOLVITO ESTRADA</v>
      </c>
      <c r="N213" s="76">
        <f>SUMIFS(DetalleCalculos!$N:$N,DetalleCalculos!$W:$W,$K213,DetalleCalculos!$H:$H,$M213)*24</f>
        <v>47.999999999999929</v>
      </c>
      <c r="O213" s="80">
        <f>SUMIFS(DetalleCalculos!$P:$P,DetalleCalculos!$W:$W,$K213,DetalleCalculos!$H:$H,$M213)</f>
        <v>44</v>
      </c>
      <c r="P213" s="80">
        <f>SUMIFS(DetalleCalculos!$Q:$Q,DetalleCalculos!$W:$W,$K213,DetalleCalculos!$H:$H,$M213)</f>
        <v>0</v>
      </c>
      <c r="Q213" s="24">
        <f t="shared" si="369"/>
        <v>44</v>
      </c>
      <c r="R213" s="24">
        <f t="shared" si="370"/>
        <v>3.9999999999999289</v>
      </c>
      <c r="S213" s="80" t="str">
        <f>_xlfn.XLOOKUP($J213&amp;$K213&amp;$M213,DetalleCalculos!$B:$B,DetalleCalculos!$O:$O,"",0,1)</f>
        <v>6-0-1</v>
      </c>
      <c r="T213" s="29">
        <f>+_xlfn.XLOOKUP($S213,'Horarios y Sistemas'!$C:$C,'Horarios y Sistemas'!M:M,0,0,1)</f>
        <v>1</v>
      </c>
      <c r="U213" s="29">
        <f t="shared" si="371"/>
        <v>0</v>
      </c>
      <c r="V213" s="30">
        <f t="shared" si="372"/>
        <v>3.9999999999999289</v>
      </c>
      <c r="W213" s="30">
        <f t="shared" si="373"/>
        <v>0</v>
      </c>
      <c r="X213" s="24">
        <f t="shared" si="374"/>
        <v>5.9999999999998934</v>
      </c>
      <c r="Y213" s="24">
        <f t="shared" si="375"/>
        <v>0</v>
      </c>
      <c r="Z213" s="96" t="s">
        <v>246</v>
      </c>
      <c r="AA213" s="101">
        <f t="shared" ref="AA213" si="531">+IF(AA212&lt;=0,0,IF(AND(AA212&gt;AB212,AB212&lt;=0),IF(AA212+AB212&gt;0,AA212+AB212,0),IF(AND(AA212&gt;0,AB212&gt;0),AA212,0)))</f>
        <v>11.999999999999787</v>
      </c>
      <c r="AB213" s="102">
        <f t="shared" ref="AB213" si="532">+IF(AB212&lt;=0,0,IF(AND(AB212&gt;AA212,AA212&lt;=0),IF(AB212+AA212&gt;0,AB212+AA212,0),IF(AND(AB212&gt;0,AA212&gt;0),AB212,0)))</f>
        <v>0</v>
      </c>
      <c r="AC213" s="97" t="s">
        <v>125</v>
      </c>
      <c r="AD213" s="103">
        <f t="shared" ref="AD213" si="533">+AA213/$X$5</f>
        <v>7.9999999999998579</v>
      </c>
      <c r="AE213" s="104">
        <f t="shared" ref="AE213" si="534">+AB213/$Y$5</f>
        <v>0</v>
      </c>
    </row>
    <row r="214" spans="8:31" ht="15.75" thickBot="1">
      <c r="H214" t="str">
        <f t="shared" si="366"/>
        <v>SEPTIEMBRESem4040WINDER ALEXANDER BOLVITO ESTRADA</v>
      </c>
      <c r="I214" s="14" t="str">
        <f>+_xlfn.XLOOKUP(K214,DetalleCalculos!W:W,DetalleCalculos!S:S,"",0,1)</f>
        <v>SEPTIEMBRE</v>
      </c>
      <c r="J214" s="72" t="str">
        <f t="shared" si="367"/>
        <v>Sem40</v>
      </c>
      <c r="K214" s="72">
        <f t="shared" ref="K214" si="535">+$H$19</f>
        <v>40</v>
      </c>
      <c r="L214" s="72">
        <f>+IF(_xlfn.XLOOKUP(K214,DetalleCalculos!W:W,DetalleCalculos!U:U,0,0,1)=7,1,2)</f>
        <v>1</v>
      </c>
      <c r="M214" s="79" t="str" cm="1">
        <f t="array" ref="M214">+INDEX($B$23:$B$89,ROUNDUP((ROW()-22)/3,0))</f>
        <v>WINDER ALEXANDER BOLVITO ESTRADA</v>
      </c>
      <c r="N214" s="76">
        <f>SUMIFS(DetalleCalculos!$N:$N,DetalleCalculos!$W:$W,$K214,DetalleCalculos!$H:$H,$M214)*24</f>
        <v>47.999999999999929</v>
      </c>
      <c r="O214" s="80">
        <f>SUMIFS(DetalleCalculos!$P:$P,DetalleCalculos!$W:$W,$K214,DetalleCalculos!$H:$H,$M214)</f>
        <v>44</v>
      </c>
      <c r="P214" s="80">
        <f>SUMIFS(DetalleCalculos!$Q:$Q,DetalleCalculos!$W:$W,$K214,DetalleCalculos!$H:$H,$M214)</f>
        <v>0</v>
      </c>
      <c r="Q214" s="24">
        <f t="shared" si="369"/>
        <v>44</v>
      </c>
      <c r="R214" s="24">
        <f t="shared" si="370"/>
        <v>3.9999999999999289</v>
      </c>
      <c r="S214" s="80" t="str">
        <f>_xlfn.XLOOKUP($J214&amp;$K214&amp;$M214,DetalleCalculos!$B:$B,DetalleCalculos!$O:$O,"",0,1)</f>
        <v>6-0-1</v>
      </c>
      <c r="T214" s="29">
        <f>+_xlfn.XLOOKUP($S214,'Horarios y Sistemas'!$C:$C,'Horarios y Sistemas'!M:M,0,0,1)</f>
        <v>1</v>
      </c>
      <c r="U214" s="29">
        <f t="shared" si="371"/>
        <v>0</v>
      </c>
      <c r="V214" s="30">
        <f t="shared" si="372"/>
        <v>3.9999999999999289</v>
      </c>
      <c r="W214" s="30">
        <f t="shared" si="373"/>
        <v>0</v>
      </c>
      <c r="X214" s="24">
        <f t="shared" si="374"/>
        <v>5.9999999999998934</v>
      </c>
      <c r="Y214" s="24">
        <f t="shared" si="375"/>
        <v>0</v>
      </c>
      <c r="Z214" s="95"/>
      <c r="AA214" s="99"/>
      <c r="AB214" s="100"/>
    </row>
    <row r="215" spans="8:31">
      <c r="H215" t="str">
        <f t="shared" ref="H215:H223" si="536">+I215&amp;J215&amp;K215&amp;M215</f>
        <v>SEPTIEMBRESem3838LÁZARO CHOCHÉ</v>
      </c>
      <c r="I215" s="14" t="str">
        <f>+_xlfn.XLOOKUP(K215,DetalleCalculos!W:W,DetalleCalculos!S:S,"",0,1)</f>
        <v>SEPTIEMBRE</v>
      </c>
      <c r="J215" s="72" t="str">
        <f t="shared" ref="J215:J223" si="537">+"Sem"&amp;K215</f>
        <v>Sem38</v>
      </c>
      <c r="K215" s="72">
        <f t="shared" ref="K215:K223" si="538">+$H$17</f>
        <v>38</v>
      </c>
      <c r="L215" s="72">
        <f>+IF(_xlfn.XLOOKUP(K215,DetalleCalculos!W:W,DetalleCalculos!U:U,0,0,1)=7,1,2)</f>
        <v>1</v>
      </c>
      <c r="M215" s="79" t="str" cm="1">
        <f t="array" ref="M215">+INDEX($B$23:$B$89,ROUNDUP((ROW()-22)/3,0))</f>
        <v>LÁZARO CHOCHÉ</v>
      </c>
      <c r="N215" s="76">
        <f>SUMIFS(DetalleCalculos!$N:$N,DetalleCalculos!$W:$W,$K215,DetalleCalculos!$H:$H,$M215)*24</f>
        <v>39.000000000000014</v>
      </c>
      <c r="O215" s="80">
        <f>SUMIFS(DetalleCalculos!$P:$P,DetalleCalculos!$W:$W,$K215,DetalleCalculos!$H:$H,$M215)</f>
        <v>44</v>
      </c>
      <c r="P215" s="80">
        <f>SUMIFS(DetalleCalculos!$Q:$Q,DetalleCalculos!$W:$W,$K215,DetalleCalculos!$H:$H,$M215)</f>
        <v>0</v>
      </c>
      <c r="Q215" s="80">
        <f t="shared" ref="Q215:Q223" si="539">+IF(L215=1,O215,P215)</f>
        <v>44</v>
      </c>
      <c r="R215" s="80">
        <f t="shared" ref="R215:R223" si="540">+IF(N215-Q215&lt;=0,0,N215-Q215)</f>
        <v>0</v>
      </c>
      <c r="S215" s="80" t="str">
        <f>_xlfn.XLOOKUP($J215&amp;$K215&amp;$M215,DetalleCalculos!$B:$B,DetalleCalculos!$O:$O,"",0,1)</f>
        <v>5-0-2</v>
      </c>
      <c r="T215" s="81">
        <f>+_xlfn.XLOOKUP($S215,'Horarios y Sistemas'!$C:$C,'Horarios y Sistemas'!M:M,0,0,1)</f>
        <v>1</v>
      </c>
      <c r="U215" s="81">
        <f t="shared" ref="U215:U223" si="541">1-T215</f>
        <v>0</v>
      </c>
      <c r="V215" s="82">
        <f t="shared" ref="V215:V223" si="542">+T215*R215</f>
        <v>0</v>
      </c>
      <c r="W215" s="82">
        <f t="shared" ref="W215:W223" si="543">+U215*R215</f>
        <v>0</v>
      </c>
      <c r="X215" s="80">
        <f t="shared" ref="X215:X223" si="544">+V215*X$5</f>
        <v>0</v>
      </c>
      <c r="Y215" s="80">
        <f t="shared" ref="Y215:Y223" si="545">+W215*Y$5</f>
        <v>0</v>
      </c>
      <c r="Z215" s="95" t="s">
        <v>245</v>
      </c>
      <c r="AA215" s="99">
        <f t="shared" ref="AA215" si="546">+SUM(X215:X217)</f>
        <v>56.250000000000043</v>
      </c>
      <c r="AB215" s="100">
        <f t="shared" ref="AB215" si="547">+SUM(Y215:Y217)</f>
        <v>0</v>
      </c>
    </row>
    <row r="216" spans="8:31" ht="15.75" thickBot="1">
      <c r="H216" t="str">
        <f t="shared" si="536"/>
        <v>SEPTIEMBRESem3939LÁZARO CHOCHÉ</v>
      </c>
      <c r="I216" s="14" t="str">
        <f>+_xlfn.XLOOKUP(K216,DetalleCalculos!W:W,DetalleCalculos!S:S,"",0,1)</f>
        <v>SEPTIEMBRE</v>
      </c>
      <c r="J216" s="72" t="str">
        <f t="shared" si="537"/>
        <v>Sem39</v>
      </c>
      <c r="K216" s="72">
        <f t="shared" ref="K216:K223" si="548">+$H$18</f>
        <v>39</v>
      </c>
      <c r="L216" s="72">
        <f>+IF(_xlfn.XLOOKUP(K216,DetalleCalculos!W:W,DetalleCalculos!U:U,0,0,1)=7,1,2)</f>
        <v>1</v>
      </c>
      <c r="M216" s="79" t="str" cm="1">
        <f t="array" ref="M216">+INDEX($B$23:$B$89,ROUNDUP((ROW()-22)/3,0))</f>
        <v>LÁZARO CHOCHÉ</v>
      </c>
      <c r="N216" s="76">
        <f>SUMIFS(DetalleCalculos!$N:$N,DetalleCalculos!$W:$W,$K216,DetalleCalculos!$H:$H,$M216)*24</f>
        <v>63.500000000000036</v>
      </c>
      <c r="O216" s="80">
        <f>SUMIFS(DetalleCalculos!$P:$P,DetalleCalculos!$W:$W,$K216,DetalleCalculos!$H:$H,$M216)</f>
        <v>44</v>
      </c>
      <c r="P216" s="80">
        <f>SUMIFS(DetalleCalculos!$Q:$Q,DetalleCalculos!$W:$W,$K216,DetalleCalculos!$H:$H,$M216)</f>
        <v>0</v>
      </c>
      <c r="Q216" s="24">
        <f t="shared" si="539"/>
        <v>44</v>
      </c>
      <c r="R216" s="24">
        <f t="shared" si="540"/>
        <v>19.500000000000036</v>
      </c>
      <c r="S216" s="80" t="str">
        <f>_xlfn.XLOOKUP($J216&amp;$K216&amp;$M216,DetalleCalculos!$B:$B,DetalleCalculos!$O:$O,"",0,1)</f>
        <v>6-0-1</v>
      </c>
      <c r="T216" s="29">
        <f>+_xlfn.XLOOKUP($S216,'Horarios y Sistemas'!$C:$C,'Horarios y Sistemas'!M:M,0,0,1)</f>
        <v>1</v>
      </c>
      <c r="U216" s="29">
        <f t="shared" si="541"/>
        <v>0</v>
      </c>
      <c r="V216" s="30">
        <f t="shared" si="542"/>
        <v>19.500000000000036</v>
      </c>
      <c r="W216" s="30">
        <f t="shared" si="543"/>
        <v>0</v>
      </c>
      <c r="X216" s="24">
        <f t="shared" si="544"/>
        <v>29.250000000000053</v>
      </c>
      <c r="Y216" s="24">
        <f t="shared" si="545"/>
        <v>0</v>
      </c>
      <c r="Z216" s="96" t="s">
        <v>246</v>
      </c>
      <c r="AA216" s="101">
        <f t="shared" ref="AA216" si="549">+IF(AA215&lt;=0,0,IF(AND(AA215&gt;AB215,AB215&lt;=0),IF(AA215+AB215&gt;0,AA215+AB215,0),IF(AND(AA215&gt;0,AB215&gt;0),AA215,0)))</f>
        <v>56.250000000000043</v>
      </c>
      <c r="AB216" s="102">
        <f t="shared" ref="AB216" si="550">+IF(AB215&lt;=0,0,IF(AND(AB215&gt;AA215,AA215&lt;=0),IF(AB215+AA215&gt;0,AB215+AA215,0),IF(AND(AB215&gt;0,AA215&gt;0),AB215,0)))</f>
        <v>0</v>
      </c>
      <c r="AC216" s="97" t="s">
        <v>125</v>
      </c>
      <c r="AD216" s="103">
        <f t="shared" ref="AD216:AD223" si="551">+AA216/$X$5</f>
        <v>37.500000000000028</v>
      </c>
      <c r="AE216" s="104">
        <f t="shared" ref="AE216:AE223" si="552">+AB216/$Y$5</f>
        <v>0</v>
      </c>
    </row>
    <row r="217" spans="8:31" ht="15.75" thickBot="1">
      <c r="H217" t="str">
        <f t="shared" si="536"/>
        <v>SEPTIEMBRESem4040LÁZARO CHOCHÉ</v>
      </c>
      <c r="I217" s="14" t="str">
        <f>+_xlfn.XLOOKUP(K217,DetalleCalculos!W:W,DetalleCalculos!S:S,"",0,1)</f>
        <v>SEPTIEMBRE</v>
      </c>
      <c r="J217" s="72" t="str">
        <f t="shared" si="537"/>
        <v>Sem40</v>
      </c>
      <c r="K217" s="72">
        <f t="shared" ref="K217:K223" si="553">+$H$19</f>
        <v>40</v>
      </c>
      <c r="L217" s="72">
        <f>+IF(_xlfn.XLOOKUP(K217,DetalleCalculos!W:W,DetalleCalculos!U:U,0,0,1)=7,1,2)</f>
        <v>1</v>
      </c>
      <c r="M217" s="79" t="str" cm="1">
        <f t="array" ref="M217">+INDEX($B$23:$B$89,ROUNDUP((ROW()-22)/3,0))</f>
        <v>LÁZARO CHOCHÉ</v>
      </c>
      <c r="N217" s="76">
        <f>SUMIFS(DetalleCalculos!$N:$N,DetalleCalculos!$W:$W,$K217,DetalleCalculos!$H:$H,$M217)*24</f>
        <v>61.999999999999993</v>
      </c>
      <c r="O217" s="80">
        <f>SUMIFS(DetalleCalculos!$P:$P,DetalleCalculos!$W:$W,$K217,DetalleCalculos!$H:$H,$M217)</f>
        <v>44</v>
      </c>
      <c r="P217" s="80">
        <f>SUMIFS(DetalleCalculos!$Q:$Q,DetalleCalculos!$W:$W,$K217,DetalleCalculos!$H:$H,$M217)</f>
        <v>0</v>
      </c>
      <c r="Q217" s="24">
        <f t="shared" si="539"/>
        <v>44</v>
      </c>
      <c r="R217" s="24">
        <f t="shared" si="540"/>
        <v>17.999999999999993</v>
      </c>
      <c r="S217" s="80" t="str">
        <f>_xlfn.XLOOKUP($J217&amp;$K217&amp;$M217,DetalleCalculos!$B:$B,DetalleCalculos!$O:$O,"",0,1)</f>
        <v>6-0-1</v>
      </c>
      <c r="T217" s="29">
        <f>+_xlfn.XLOOKUP($S217,'Horarios y Sistemas'!$C:$C,'Horarios y Sistemas'!M:M,0,0,1)</f>
        <v>1</v>
      </c>
      <c r="U217" s="29">
        <f t="shared" si="541"/>
        <v>0</v>
      </c>
      <c r="V217" s="30">
        <f t="shared" si="542"/>
        <v>17.999999999999993</v>
      </c>
      <c r="W217" s="30">
        <f t="shared" si="543"/>
        <v>0</v>
      </c>
      <c r="X217" s="24">
        <f t="shared" si="544"/>
        <v>26.999999999999989</v>
      </c>
      <c r="Y217" s="24">
        <f t="shared" si="545"/>
        <v>0</v>
      </c>
      <c r="Z217" s="95"/>
      <c r="AA217" s="99"/>
      <c r="AB217" s="100"/>
    </row>
    <row r="218" spans="8:31">
      <c r="H218" t="str">
        <f t="shared" si="536"/>
        <v>SEPTIEMBRESem3838MARROQIN HERNANDEZ WILLIAM ERNESTO</v>
      </c>
      <c r="I218" s="14" t="str">
        <f>+_xlfn.XLOOKUP(K218,DetalleCalculos!W:W,DetalleCalculos!S:S,"",0,1)</f>
        <v>SEPTIEMBRE</v>
      </c>
      <c r="J218" s="72" t="str">
        <f t="shared" si="537"/>
        <v>Sem38</v>
      </c>
      <c r="K218" s="72">
        <f t="shared" ref="K218:K223" si="554">+$H$17</f>
        <v>38</v>
      </c>
      <c r="L218" s="72">
        <f>+IF(_xlfn.XLOOKUP(K218,DetalleCalculos!W:W,DetalleCalculos!U:U,0,0,1)=7,1,2)</f>
        <v>1</v>
      </c>
      <c r="M218" s="79" t="str" cm="1">
        <f t="array" ref="M218">+INDEX($B$23:$B$89,ROUNDUP((ROW()-22)/3,0))</f>
        <v>MARROQIN HERNANDEZ WILLIAM ERNESTO</v>
      </c>
      <c r="N218" s="76">
        <f>SUMIFS(DetalleCalculos!$N:$N,DetalleCalculos!$W:$W,$K218,DetalleCalculos!$H:$H,$M218)*24</f>
        <v>37.999999999999979</v>
      </c>
      <c r="O218" s="80">
        <f>SUMIFS(DetalleCalculos!$P:$P,DetalleCalculos!$W:$W,$K218,DetalleCalculos!$H:$H,$M218)</f>
        <v>38</v>
      </c>
      <c r="P218" s="80">
        <f>SUMIFS(DetalleCalculos!$Q:$Q,DetalleCalculos!$W:$W,$K218,DetalleCalculos!$H:$H,$M218)</f>
        <v>0</v>
      </c>
      <c r="Q218" s="80">
        <f t="shared" si="539"/>
        <v>38</v>
      </c>
      <c r="R218" s="80">
        <f t="shared" si="540"/>
        <v>0</v>
      </c>
      <c r="S218" s="80" t="str">
        <f>_xlfn.XLOOKUP($J218&amp;$K218&amp;$M218,DetalleCalculos!$B:$B,DetalleCalculos!$O:$O,"",0,1)</f>
        <v>1-3-3</v>
      </c>
      <c r="T218" s="81">
        <f>+_xlfn.XLOOKUP($S218,'Horarios y Sistemas'!$C:$C,'Horarios y Sistemas'!M:M,0,0,1)</f>
        <v>0.25</v>
      </c>
      <c r="U218" s="81">
        <f t="shared" si="541"/>
        <v>0.75</v>
      </c>
      <c r="V218" s="82">
        <f t="shared" si="542"/>
        <v>0</v>
      </c>
      <c r="W218" s="82">
        <f t="shared" si="543"/>
        <v>0</v>
      </c>
      <c r="X218" s="80">
        <f t="shared" si="544"/>
        <v>0</v>
      </c>
      <c r="Y218" s="80">
        <f t="shared" si="545"/>
        <v>0</v>
      </c>
      <c r="Z218" s="95" t="s">
        <v>245</v>
      </c>
      <c r="AA218" s="99">
        <f t="shared" ref="AA218" si="555">+SUM(X218:X220)</f>
        <v>17.999999999999957</v>
      </c>
      <c r="AB218" s="100">
        <f t="shared" ref="AB218" si="556">+SUM(Y218:Y220)</f>
        <v>0</v>
      </c>
    </row>
    <row r="219" spans="8:31" ht="15.75" thickBot="1">
      <c r="H219" t="str">
        <f t="shared" si="536"/>
        <v>SEPTIEMBRESem3939MARROQIN HERNANDEZ WILLIAM ERNESTO</v>
      </c>
      <c r="I219" s="14" t="str">
        <f>+_xlfn.XLOOKUP(K219,DetalleCalculos!W:W,DetalleCalculos!S:S,"",0,1)</f>
        <v>SEPTIEMBRE</v>
      </c>
      <c r="J219" s="72" t="str">
        <f t="shared" si="537"/>
        <v>Sem39</v>
      </c>
      <c r="K219" s="72">
        <f t="shared" ref="K219:K223" si="557">+$H$18</f>
        <v>39</v>
      </c>
      <c r="L219" s="72">
        <f>+IF(_xlfn.XLOOKUP(K219,DetalleCalculos!W:W,DetalleCalculos!U:U,0,0,1)=7,1,2)</f>
        <v>1</v>
      </c>
      <c r="M219" s="79" t="str" cm="1">
        <f t="array" ref="M219">+INDEX($B$23:$B$89,ROUNDUP((ROW()-22)/3,0))</f>
        <v>MARROQIN HERNANDEZ WILLIAM ERNESTO</v>
      </c>
      <c r="N219" s="76">
        <f>SUMIFS(DetalleCalculos!$N:$N,DetalleCalculos!$W:$W,$K219,DetalleCalculos!$H:$H,$M219)*24</f>
        <v>55.999999999999972</v>
      </c>
      <c r="O219" s="80">
        <f>SUMIFS(DetalleCalculos!$P:$P,DetalleCalculos!$W:$W,$K219,DetalleCalculos!$H:$H,$M219)</f>
        <v>44</v>
      </c>
      <c r="P219" s="80">
        <f>SUMIFS(DetalleCalculos!$Q:$Q,DetalleCalculos!$W:$W,$K219,DetalleCalculos!$H:$H,$M219)</f>
        <v>0</v>
      </c>
      <c r="Q219" s="24">
        <f t="shared" si="539"/>
        <v>44</v>
      </c>
      <c r="R219" s="24">
        <f t="shared" si="540"/>
        <v>11.999999999999972</v>
      </c>
      <c r="S219" s="80" t="str">
        <f>_xlfn.XLOOKUP($J219&amp;$K219&amp;$M219,DetalleCalculos!$B:$B,DetalleCalculos!$O:$O,"",0,1)</f>
        <v>6-0-1</v>
      </c>
      <c r="T219" s="29">
        <f>+_xlfn.XLOOKUP($S219,'Horarios y Sistemas'!$C:$C,'Horarios y Sistemas'!M:M,0,0,1)</f>
        <v>1</v>
      </c>
      <c r="U219" s="29">
        <f t="shared" si="541"/>
        <v>0</v>
      </c>
      <c r="V219" s="30">
        <f t="shared" si="542"/>
        <v>11.999999999999972</v>
      </c>
      <c r="W219" s="30">
        <f t="shared" si="543"/>
        <v>0</v>
      </c>
      <c r="X219" s="24">
        <f t="shared" si="544"/>
        <v>17.999999999999957</v>
      </c>
      <c r="Y219" s="24">
        <f t="shared" si="545"/>
        <v>0</v>
      </c>
      <c r="Z219" s="96" t="s">
        <v>246</v>
      </c>
      <c r="AA219" s="101">
        <f t="shared" ref="AA219" si="558">+IF(AA218&lt;=0,0,IF(AND(AA218&gt;AB218,AB218&lt;=0),IF(AA218+AB218&gt;0,AA218+AB218,0),IF(AND(AA218&gt;0,AB218&gt;0),AA218,0)))</f>
        <v>17.999999999999957</v>
      </c>
      <c r="AB219" s="102">
        <f t="shared" ref="AB219" si="559">+IF(AB218&lt;=0,0,IF(AND(AB218&gt;AA218,AA218&lt;=0),IF(AB218+AA218&gt;0,AB218+AA218,0),IF(AND(AB218&gt;0,AA218&gt;0),AB218,0)))</f>
        <v>0</v>
      </c>
      <c r="AC219" s="97" t="s">
        <v>125</v>
      </c>
      <c r="AD219" s="103">
        <f t="shared" ref="AD219:AD223" si="560">+AA219/$X$5</f>
        <v>11.999999999999972</v>
      </c>
      <c r="AE219" s="104">
        <f t="shared" ref="AE219:AE223" si="561">+AB219/$Y$5</f>
        <v>0</v>
      </c>
    </row>
    <row r="220" spans="8:31" ht="15.75" thickBot="1">
      <c r="H220" t="str">
        <f t="shared" si="536"/>
        <v>SEPTIEMBRESem4040MARROQIN HERNANDEZ WILLIAM ERNESTO</v>
      </c>
      <c r="I220" s="14" t="str">
        <f>+_xlfn.XLOOKUP(K220,DetalleCalculos!W:W,DetalleCalculos!S:S,"",0,1)</f>
        <v>SEPTIEMBRE</v>
      </c>
      <c r="J220" s="72" t="str">
        <f t="shared" si="537"/>
        <v>Sem40</v>
      </c>
      <c r="K220" s="72">
        <f t="shared" ref="K220:K223" si="562">+$H$19</f>
        <v>40</v>
      </c>
      <c r="L220" s="72">
        <f>+IF(_xlfn.XLOOKUP(K220,DetalleCalculos!W:W,DetalleCalculos!U:U,0,0,1)=7,1,2)</f>
        <v>1</v>
      </c>
      <c r="M220" s="79" t="str" cm="1">
        <f t="array" ref="M220">+INDEX($B$23:$B$89,ROUNDUP((ROW()-22)/3,0))</f>
        <v>MARROQIN HERNANDEZ WILLIAM ERNESTO</v>
      </c>
      <c r="N220" s="76">
        <f>SUMIFS(DetalleCalculos!$N:$N,DetalleCalculos!$W:$W,$K220,DetalleCalculos!$H:$H,$M220)*24</f>
        <v>0</v>
      </c>
      <c r="O220" s="80">
        <f>SUMIFS(DetalleCalculos!$P:$P,DetalleCalculos!$W:$W,$K220,DetalleCalculos!$H:$H,$M220)</f>
        <v>0</v>
      </c>
      <c r="P220" s="80">
        <f>SUMIFS(DetalleCalculos!$Q:$Q,DetalleCalculos!$W:$W,$K220,DetalleCalculos!$H:$H,$M220)</f>
        <v>0</v>
      </c>
      <c r="Q220" s="24">
        <f t="shared" si="539"/>
        <v>0</v>
      </c>
      <c r="R220" s="24">
        <f t="shared" si="540"/>
        <v>0</v>
      </c>
      <c r="S220" s="80" t="str">
        <f>_xlfn.XLOOKUP($J220&amp;$K220&amp;$M220,DetalleCalculos!$B:$B,DetalleCalculos!$O:$O,"",0,1)</f>
        <v>0-0-7</v>
      </c>
      <c r="T220" s="29">
        <f>+_xlfn.XLOOKUP($S220,'Horarios y Sistemas'!$C:$C,'Horarios y Sistemas'!M:M,0,0,1)</f>
        <v>0</v>
      </c>
      <c r="U220" s="29">
        <f t="shared" si="541"/>
        <v>1</v>
      </c>
      <c r="V220" s="30">
        <f t="shared" si="542"/>
        <v>0</v>
      </c>
      <c r="W220" s="30">
        <f t="shared" si="543"/>
        <v>0</v>
      </c>
      <c r="X220" s="24">
        <f t="shared" si="544"/>
        <v>0</v>
      </c>
      <c r="Y220" s="24">
        <f t="shared" si="545"/>
        <v>0</v>
      </c>
      <c r="Z220" s="95"/>
      <c r="AA220" s="99"/>
      <c r="AB220" s="100"/>
    </row>
    <row r="221" spans="8:31">
      <c r="H221" t="str">
        <f t="shared" si="536"/>
        <v>SEPTIEMBRESem3838SMITH DARIO REYES TINTILLA</v>
      </c>
      <c r="I221" s="14" t="str">
        <f>+_xlfn.XLOOKUP(K221,DetalleCalculos!W:W,DetalleCalculos!S:S,"",0,1)</f>
        <v>SEPTIEMBRE</v>
      </c>
      <c r="J221" s="72" t="str">
        <f t="shared" si="537"/>
        <v>Sem38</v>
      </c>
      <c r="K221" s="72">
        <f t="shared" ref="K221:K223" si="563">+$H$17</f>
        <v>38</v>
      </c>
      <c r="L221" s="72">
        <f>+IF(_xlfn.XLOOKUP(K221,DetalleCalculos!W:W,DetalleCalculos!U:U,0,0,1)=7,1,2)</f>
        <v>1</v>
      </c>
      <c r="M221" s="79" t="str" cm="1">
        <f t="array" ref="M221">+INDEX($B$23:$B$89,ROUNDUP((ROW()-22)/3,0))</f>
        <v>SMITH DARIO REYES TINTILLA</v>
      </c>
      <c r="N221" s="76">
        <f>SUMIFS(DetalleCalculos!$N:$N,DetalleCalculos!$W:$W,$K221,DetalleCalculos!$H:$H,$M221)*24</f>
        <v>0</v>
      </c>
      <c r="O221" s="80">
        <f>SUMIFS(DetalleCalculos!$P:$P,DetalleCalculos!$W:$W,$K221,DetalleCalculos!$H:$H,$M221)</f>
        <v>0</v>
      </c>
      <c r="P221" s="80">
        <f>SUMIFS(DetalleCalculos!$Q:$Q,DetalleCalculos!$W:$W,$K221,DetalleCalculos!$H:$H,$M221)</f>
        <v>0</v>
      </c>
      <c r="Q221" s="80">
        <f t="shared" si="539"/>
        <v>0</v>
      </c>
      <c r="R221" s="80">
        <f t="shared" si="540"/>
        <v>0</v>
      </c>
      <c r="S221" s="80" t="str">
        <f>_xlfn.XLOOKUP($J221&amp;$K221&amp;$M221,DetalleCalculos!$B:$B,DetalleCalculos!$O:$O,"",0,1)</f>
        <v>0-0-7</v>
      </c>
      <c r="T221" s="81">
        <f>+_xlfn.XLOOKUP($S221,'Horarios y Sistemas'!$C:$C,'Horarios y Sistemas'!M:M,0,0,1)</f>
        <v>0</v>
      </c>
      <c r="U221" s="81">
        <f t="shared" si="541"/>
        <v>1</v>
      </c>
      <c r="V221" s="82">
        <f t="shared" si="542"/>
        <v>0</v>
      </c>
      <c r="W221" s="82">
        <f t="shared" si="543"/>
        <v>0</v>
      </c>
      <c r="X221" s="80">
        <f t="shared" si="544"/>
        <v>0</v>
      </c>
      <c r="Y221" s="80">
        <f t="shared" si="545"/>
        <v>0</v>
      </c>
      <c r="Z221" s="95" t="s">
        <v>245</v>
      </c>
      <c r="AA221" s="99">
        <f t="shared" ref="AA221" si="564">+SUM(X221:X223)</f>
        <v>0</v>
      </c>
      <c r="AB221" s="100">
        <f t="shared" ref="AB221" si="565">+SUM(Y221:Y223)</f>
        <v>0</v>
      </c>
    </row>
    <row r="222" spans="8:31" ht="15.75" thickBot="1">
      <c r="H222" t="str">
        <f t="shared" si="536"/>
        <v>SEPTIEMBRESem3939SMITH DARIO REYES TINTILLA</v>
      </c>
      <c r="I222" s="14" t="str">
        <f>+_xlfn.XLOOKUP(K222,DetalleCalculos!W:W,DetalleCalculos!S:S,"",0,1)</f>
        <v>SEPTIEMBRE</v>
      </c>
      <c r="J222" s="72" t="str">
        <f t="shared" si="537"/>
        <v>Sem39</v>
      </c>
      <c r="K222" s="72">
        <f t="shared" ref="K222:K223" si="566">+$H$18</f>
        <v>39</v>
      </c>
      <c r="L222" s="72">
        <f>+IF(_xlfn.XLOOKUP(K222,DetalleCalculos!W:W,DetalleCalculos!U:U,0,0,1)=7,1,2)</f>
        <v>1</v>
      </c>
      <c r="M222" s="79" t="str" cm="1">
        <f t="array" ref="M222">+INDEX($B$23:$B$89,ROUNDUP((ROW()-22)/3,0))</f>
        <v>SMITH DARIO REYES TINTILLA</v>
      </c>
      <c r="N222" s="76">
        <f>SUMIFS(DetalleCalculos!$N:$N,DetalleCalculos!$W:$W,$K222,DetalleCalculos!$H:$H,$M222)*24</f>
        <v>0</v>
      </c>
      <c r="O222" s="80">
        <f>SUMIFS(DetalleCalculos!$P:$P,DetalleCalculos!$W:$W,$K222,DetalleCalculos!$H:$H,$M222)</f>
        <v>0</v>
      </c>
      <c r="P222" s="80">
        <f>SUMIFS(DetalleCalculos!$Q:$Q,DetalleCalculos!$W:$W,$K222,DetalleCalculos!$H:$H,$M222)</f>
        <v>0</v>
      </c>
      <c r="Q222" s="24">
        <f t="shared" si="539"/>
        <v>0</v>
      </c>
      <c r="R222" s="24">
        <f t="shared" si="540"/>
        <v>0</v>
      </c>
      <c r="S222" s="80" t="str">
        <f>_xlfn.XLOOKUP($J222&amp;$K222&amp;$M222,DetalleCalculos!$B:$B,DetalleCalculos!$O:$O,"",0,1)</f>
        <v>0-0-7</v>
      </c>
      <c r="T222" s="29">
        <f>+_xlfn.XLOOKUP($S222,'Horarios y Sistemas'!$C:$C,'Horarios y Sistemas'!M:M,0,0,1)</f>
        <v>0</v>
      </c>
      <c r="U222" s="29">
        <f t="shared" si="541"/>
        <v>1</v>
      </c>
      <c r="V222" s="30">
        <f t="shared" si="542"/>
        <v>0</v>
      </c>
      <c r="W222" s="30">
        <f t="shared" si="543"/>
        <v>0</v>
      </c>
      <c r="X222" s="24">
        <f t="shared" si="544"/>
        <v>0</v>
      </c>
      <c r="Y222" s="24">
        <f t="shared" si="545"/>
        <v>0</v>
      </c>
      <c r="Z222" s="96" t="s">
        <v>246</v>
      </c>
      <c r="AA222" s="101">
        <f t="shared" ref="AA222" si="567">+IF(AA221&lt;=0,0,IF(AND(AA221&gt;AB221,AB221&lt;=0),IF(AA221+AB221&gt;0,AA221+AB221,0),IF(AND(AA221&gt;0,AB221&gt;0),AA221,0)))</f>
        <v>0</v>
      </c>
      <c r="AB222" s="102">
        <f t="shared" ref="AB222" si="568">+IF(AB221&lt;=0,0,IF(AND(AB221&gt;AA221,AA221&lt;=0),IF(AB221+AA221&gt;0,AB221+AA221,0),IF(AND(AB221&gt;0,AA221&gt;0),AB221,0)))</f>
        <v>0</v>
      </c>
      <c r="AC222" s="97" t="s">
        <v>125</v>
      </c>
      <c r="AD222" s="103">
        <f t="shared" ref="AD222:AD223" si="569">+AA222/$X$5</f>
        <v>0</v>
      </c>
      <c r="AE222" s="104">
        <f t="shared" ref="AE222:AE223" si="570">+AB222/$Y$5</f>
        <v>0</v>
      </c>
    </row>
    <row r="223" spans="8:31">
      <c r="H223" t="str">
        <f t="shared" si="536"/>
        <v>SEPTIEMBRESem4040SMITH DARIO REYES TINTILLA</v>
      </c>
      <c r="I223" s="14" t="str">
        <f>+_xlfn.XLOOKUP(K223,DetalleCalculos!W:W,DetalleCalculos!S:S,"",0,1)</f>
        <v>SEPTIEMBRE</v>
      </c>
      <c r="J223" s="72" t="str">
        <f t="shared" si="537"/>
        <v>Sem40</v>
      </c>
      <c r="K223" s="72">
        <f t="shared" ref="K223" si="571">+$H$19</f>
        <v>40</v>
      </c>
      <c r="L223" s="72">
        <f>+IF(_xlfn.XLOOKUP(K223,DetalleCalculos!W:W,DetalleCalculos!U:U,0,0,1)=7,1,2)</f>
        <v>1</v>
      </c>
      <c r="M223" s="79" t="str" cm="1">
        <f t="array" ref="M223">+INDEX($B$23:$B$89,ROUNDUP((ROW()-22)/3,0))</f>
        <v>SMITH DARIO REYES TINTILLA</v>
      </c>
      <c r="N223" s="76">
        <f>SUMIFS(DetalleCalculos!$N:$N,DetalleCalculos!$W:$W,$K223,DetalleCalculos!$H:$H,$M223)*24</f>
        <v>43.000000000000014</v>
      </c>
      <c r="O223" s="80">
        <f>SUMIFS(DetalleCalculos!$P:$P,DetalleCalculos!$W:$W,$K223,DetalleCalculos!$H:$H,$M223)</f>
        <v>44</v>
      </c>
      <c r="P223" s="80">
        <f>SUMIFS(DetalleCalculos!$Q:$Q,DetalleCalculos!$W:$W,$K223,DetalleCalculos!$H:$H,$M223)</f>
        <v>0</v>
      </c>
      <c r="Q223" s="24">
        <f t="shared" si="539"/>
        <v>44</v>
      </c>
      <c r="R223" s="24">
        <f t="shared" si="540"/>
        <v>0</v>
      </c>
      <c r="S223" s="80" t="str">
        <f>_xlfn.XLOOKUP($J223&amp;$K223&amp;$M223,DetalleCalculos!$B:$B,DetalleCalculos!$O:$O,"",0,1)</f>
        <v>6-0-1</v>
      </c>
      <c r="T223" s="29">
        <f>+_xlfn.XLOOKUP($S223,'Horarios y Sistemas'!$C:$C,'Horarios y Sistemas'!M:M,0,0,1)</f>
        <v>1</v>
      </c>
      <c r="U223" s="29">
        <f t="shared" si="541"/>
        <v>0</v>
      </c>
      <c r="V223" s="30">
        <f t="shared" si="542"/>
        <v>0</v>
      </c>
      <c r="W223" s="30">
        <f t="shared" si="543"/>
        <v>0</v>
      </c>
      <c r="X223" s="24">
        <f t="shared" si="544"/>
        <v>0</v>
      </c>
      <c r="Y223" s="24">
        <f t="shared" si="545"/>
        <v>0</v>
      </c>
      <c r="Z223" s="95"/>
      <c r="AA223" s="99"/>
      <c r="AB223" s="100"/>
    </row>
    <row r="224" spans="8:31">
      <c r="M224"/>
    </row>
    <row r="225" spans="13:13">
      <c r="M225"/>
    </row>
    <row r="226" spans="13:13">
      <c r="M226"/>
    </row>
    <row r="227" spans="13:13">
      <c r="M227"/>
    </row>
    <row r="228" spans="13:13">
      <c r="M228"/>
    </row>
    <row r="229" spans="13:13">
      <c r="M229"/>
    </row>
    <row r="230" spans="13:13">
      <c r="M230"/>
    </row>
    <row r="231" spans="13:13">
      <c r="M231"/>
    </row>
    <row r="232" spans="13:13">
      <c r="M232"/>
    </row>
    <row r="233" spans="13:13">
      <c r="M233"/>
    </row>
    <row r="234" spans="13:13">
      <c r="M234"/>
    </row>
    <row r="235" spans="13:13">
      <c r="M235"/>
    </row>
    <row r="236" spans="13:13">
      <c r="M236"/>
    </row>
    <row r="237" spans="13:13">
      <c r="M237"/>
    </row>
    <row r="238" spans="13:13">
      <c r="M238"/>
    </row>
    <row r="239" spans="13:13">
      <c r="M239"/>
    </row>
    <row r="240" spans="13:13">
      <c r="M240"/>
    </row>
    <row r="241" spans="13:13">
      <c r="M241"/>
    </row>
    <row r="242" spans="13:13">
      <c r="M242"/>
    </row>
    <row r="243" spans="13:13">
      <c r="M243"/>
    </row>
    <row r="244" spans="13:13">
      <c r="M244"/>
    </row>
    <row r="245" spans="13:13">
      <c r="M245"/>
    </row>
    <row r="246" spans="13:13">
      <c r="M246"/>
    </row>
    <row r="247" spans="13:13">
      <c r="M247"/>
    </row>
  </sheetData>
  <autoFilter ref="H21:AE226" xr:uid="{F21DBDF6-55A3-4B6B-8E68-08374D056366}"/>
  <conditionalFormatting sqref="B23 M23:M223">
    <cfRule type="cellIs" dxfId="1" priority="2" operator="equal">
      <formula>$M$7</formula>
    </cfRule>
  </conditionalFormatting>
  <conditionalFormatting sqref="M7:M9">
    <cfRule type="cellIs" dxfId="0" priority="1" operator="equal">
      <formula>$M$7</formula>
    </cfRule>
  </conditionalFormatting>
  <dataValidations disablePrompts="1" count="1">
    <dataValidation type="list" allowBlank="1" showInputMessage="1" showErrorMessage="1" errorTitle="Nombre no válido" error="Seleccione un nombre del listado de empleados (B23:B90)." promptTitle="Empleado" prompt="Elija un empleado de la lista." sqref="M7" xr:uid="{5C21793F-B8AF-4A71-B4E2-64C561535548}">
      <formula1>$B$23:$B$90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6CBE-4371-4A54-B26B-E6DBE9274A05}">
  <sheetPr>
    <tabColor rgb="FFFF0000"/>
  </sheetPr>
  <dimension ref="B2:AH1526"/>
  <sheetViews>
    <sheetView zoomScaleNormal="100" workbookViewId="0">
      <pane ySplit="7" topLeftCell="A8" activePane="bottomLeft" state="frozen"/>
      <selection pane="bottomLeft" activeCell="Y32" sqref="Y32"/>
    </sheetView>
  </sheetViews>
  <sheetFormatPr baseColWidth="10" defaultColWidth="11.5703125" defaultRowHeight="15" outlineLevelCol="1"/>
  <cols>
    <col min="1" max="1" width="11.5703125" customWidth="1"/>
    <col min="2" max="6" width="1.85546875" customWidth="1" outlineLevel="1"/>
    <col min="7" max="7" width="3.28515625" customWidth="1" outlineLevel="1"/>
    <col min="8" max="8" width="34.28515625" customWidth="1"/>
    <col min="9" max="9" width="20.140625" bestFit="1" customWidth="1" outlineLevel="1"/>
    <col min="10" max="10" width="12.7109375" style="19" customWidth="1" outlineLevel="1"/>
    <col min="11" max="11" width="12.42578125" style="19" customWidth="1" outlineLevel="1"/>
    <col min="12" max="12" width="20" style="19" customWidth="1" outlineLevel="1"/>
    <col min="13" max="13" width="23.28515625" style="19" customWidth="1" outlineLevel="1"/>
    <col min="14" max="15" width="13.42578125" style="19" customWidth="1"/>
    <col min="16" max="16" width="30.5703125" style="19" bestFit="1" customWidth="1"/>
    <col min="17" max="17" width="29.28515625" style="19" bestFit="1" customWidth="1"/>
    <col min="18" max="18" width="24.42578125" style="2" customWidth="1"/>
    <col min="19" max="20" width="21.7109375" customWidth="1"/>
    <col min="21" max="21" width="15.28515625" style="2" customWidth="1"/>
    <col min="22" max="22" width="12.140625" style="2" customWidth="1" outlineLevel="1"/>
    <col min="23" max="23" width="11.5703125" customWidth="1" outlineLevel="1"/>
    <col min="24" max="24" width="14.140625" customWidth="1" outlineLevel="1"/>
    <col min="25" max="25" width="15.28515625" style="2" customWidth="1" outlineLevel="1"/>
    <col min="26" max="26" width="14.85546875" bestFit="1" customWidth="1" outlineLevel="1"/>
    <col min="27" max="27" width="5.5703125" style="2" bestFit="1" customWidth="1"/>
    <col min="28" max="28" width="9.7109375" style="2" bestFit="1" customWidth="1"/>
    <col min="29" max="29" width="14.42578125" style="2" bestFit="1" customWidth="1"/>
    <col min="30" max="31" width="11.140625" style="2" bestFit="1" customWidth="1"/>
    <col min="32" max="34" width="15.28515625" style="33" customWidth="1"/>
    <col min="42" max="42" width="18.28515625" bestFit="1" customWidth="1"/>
  </cols>
  <sheetData>
    <row r="2" spans="2:31">
      <c r="O2" s="126" t="s">
        <v>126</v>
      </c>
      <c r="P2" s="127" t="s">
        <v>127</v>
      </c>
      <c r="Q2" s="128" t="s">
        <v>128</v>
      </c>
      <c r="R2" s="129" t="s">
        <v>129</v>
      </c>
    </row>
    <row r="3" spans="2:31">
      <c r="O3" s="126"/>
      <c r="P3" s="127"/>
      <c r="Q3" s="128"/>
      <c r="R3" s="129"/>
    </row>
    <row r="4" spans="2:31">
      <c r="J4" s="107"/>
    </row>
    <row r="6" spans="2:31">
      <c r="I6" s="31" t="s">
        <v>42</v>
      </c>
      <c r="J6" s="32">
        <v>1</v>
      </c>
      <c r="K6" s="32">
        <v>2</v>
      </c>
      <c r="L6" s="32" t="s">
        <v>41</v>
      </c>
      <c r="M6" s="32">
        <v>4</v>
      </c>
      <c r="N6" s="32" t="s">
        <v>43</v>
      </c>
      <c r="O6" s="32"/>
      <c r="P6" s="32"/>
      <c r="Q6" s="32"/>
    </row>
    <row r="7" spans="2:31">
      <c r="B7" t="s">
        <v>45</v>
      </c>
      <c r="C7" t="s">
        <v>46</v>
      </c>
      <c r="D7" t="s">
        <v>66</v>
      </c>
      <c r="E7" t="s">
        <v>67</v>
      </c>
      <c r="F7" t="s">
        <v>104</v>
      </c>
      <c r="H7" s="42" t="s">
        <v>26</v>
      </c>
      <c r="I7" s="42" t="s">
        <v>27</v>
      </c>
      <c r="J7" s="43" t="s">
        <v>91</v>
      </c>
      <c r="K7" s="43" t="s">
        <v>105</v>
      </c>
      <c r="L7" s="43" t="s">
        <v>24</v>
      </c>
      <c r="M7" s="43" t="s">
        <v>68</v>
      </c>
      <c r="N7" s="43" t="s">
        <v>40</v>
      </c>
      <c r="O7" s="44" t="s">
        <v>65</v>
      </c>
      <c r="P7" s="45" t="s">
        <v>238</v>
      </c>
      <c r="Q7" s="45" t="s">
        <v>239</v>
      </c>
      <c r="R7" s="45" t="s">
        <v>89</v>
      </c>
      <c r="S7" s="46" t="s">
        <v>131</v>
      </c>
      <c r="T7" s="46" t="s">
        <v>44</v>
      </c>
      <c r="U7" s="47" t="s">
        <v>237</v>
      </c>
      <c r="V7" s="47" t="s">
        <v>23</v>
      </c>
      <c r="W7" s="47" t="s">
        <v>44</v>
      </c>
      <c r="X7" s="47" t="s">
        <v>71</v>
      </c>
      <c r="Y7" s="47" t="s">
        <v>37</v>
      </c>
      <c r="Z7" s="47" t="s">
        <v>86</v>
      </c>
      <c r="AA7" s="48" t="s">
        <v>35</v>
      </c>
      <c r="AB7" s="48" t="s">
        <v>36</v>
      </c>
      <c r="AC7" s="48" t="s">
        <v>72</v>
      </c>
      <c r="AD7" s="48" t="s">
        <v>132</v>
      </c>
      <c r="AE7" s="48" t="s">
        <v>133</v>
      </c>
    </row>
    <row r="8" spans="2:31">
      <c r="B8" t="str">
        <f t="shared" ref="B8:B28" si="0">+T8&amp;W8&amp;H8</f>
        <v>Sem3838ADOLFO DE JESUS LOPEZ CHAVEZ</v>
      </c>
      <c r="C8" t="str">
        <f t="shared" ref="C8:C28" si="1">+S8&amp;T8</f>
        <v>SEPTIEMBRESem38</v>
      </c>
      <c r="D8" t="str">
        <f t="shared" ref="D8:D28" si="2">+S8&amp;T8&amp;H8</f>
        <v>SEPTIEMBRESem38ADOLFO DE JESUS LOPEZ CHAVEZ</v>
      </c>
      <c r="E8" t="str">
        <f t="shared" ref="E8:E28" si="3">+S8&amp;T8&amp;W8&amp;H8</f>
        <v>SEPTIEMBRESem3838ADOLFO DE JESUS LOPEZ CHAVEZ</v>
      </c>
      <c r="F8" t="str">
        <f t="shared" ref="F8:F28" si="4">+H8&amp;V8</f>
        <v>ADOLFO DE JESUS LOPEZ CHAVEZ46279</v>
      </c>
      <c r="H8" s="49" t="s">
        <v>9</v>
      </c>
      <c r="I8" s="50" t="str">
        <f>+_xlfn.XLOOKUP($H8&amp;$V8,BASEDATOS!$B:$B,BASEDATOS!F:F,0,0,1)</f>
        <v>DESCANSO</v>
      </c>
      <c r="J8" s="51">
        <f>+_xlfn.XLOOKUP($H8&amp;$V8,BASEDATOS!$B:$B,BASEDATOS!Q:Q,0,0,1)</f>
        <v>0</v>
      </c>
      <c r="K8" s="51">
        <f>+_xlfn.XLOOKUP($H8&amp;$V8,BASEDATOS!$B:$B,BASEDATOS!R:R,0,0,1)</f>
        <v>0</v>
      </c>
      <c r="L8" s="51">
        <f t="shared" ref="L8:L28" si="5">+IF(OR(J8="Descanso",J8="AUSENTE",J8="ASUETO"),0,MOD(K8-J8,1))</f>
        <v>0</v>
      </c>
      <c r="M8" s="52">
        <f t="shared" ref="M8:M28" si="6">+IF(OR(I8="DIA",I8="NOCHE",I8="MIXTO"),"1:00",0)</f>
        <v>0</v>
      </c>
      <c r="N8" s="51">
        <f t="shared" ref="N8:N28" si="7">+IF(I8="ASUETO-D",8/24,IF(I8="ASUETO-N",6/24,MOD(L8-M8,1)))</f>
        <v>0</v>
      </c>
      <c r="O8" s="53" t="str">
        <f>+O14</f>
        <v>5-0-2</v>
      </c>
      <c r="P8" s="54">
        <f>+IF(AND(Y8="Domingo",U8=7),_xlfn.XLOOKUP(O8,'Horarios y Sistemas'!C:C,'Horarios y Sistemas'!H:H,0,0,1),0)</f>
        <v>0</v>
      </c>
      <c r="Q8" s="54">
        <f>IF(U8=U9,0,IF(AVERAGEIF(W:W,W8,U:U)=U8,0,_xlfn.XLOOKUP(O8,'Horarios y Sistemas'!C:C,'Horarios y Sistemas'!H:H,0,0,1)-P8))/7*U8</f>
        <v>0</v>
      </c>
      <c r="R8" s="54">
        <f t="shared" ref="R8:R28" si="8">+IF(Y8="Domingo",SUM(P2:Q8),0)</f>
        <v>0</v>
      </c>
      <c r="S8" s="55" t="str">
        <f t="shared" ref="S8:S28" si="9">+UPPER(TEXT(V8,"MMMMMMMM"))</f>
        <v>SEPTIEMBRE</v>
      </c>
      <c r="T8" s="55" t="str">
        <f t="shared" ref="T8:T28" si="10">+"Sem"&amp;W8</f>
        <v>Sem38</v>
      </c>
      <c r="U8" s="56">
        <f t="shared" ref="U8:U71" si="11">+COUNTIF(B:B,B8)</f>
        <v>7</v>
      </c>
      <c r="V8" s="57">
        <v>46279</v>
      </c>
      <c r="W8" s="56">
        <f t="shared" ref="W8:W28" si="12">+_xlfn.ISOWEEKNUM(V8)</f>
        <v>38</v>
      </c>
      <c r="X8" s="56">
        <f t="shared" ref="X8:X28" si="13">+DAY(V8)</f>
        <v>14</v>
      </c>
      <c r="Y8" s="56" t="s">
        <v>28</v>
      </c>
      <c r="Z8" s="56">
        <v>1</v>
      </c>
      <c r="AA8" s="58">
        <f t="shared" ref="AA8:AE17" si="14">+IF($I8=AA$7,1,0)</f>
        <v>0</v>
      </c>
      <c r="AB8" s="58">
        <f t="shared" si="14"/>
        <v>0</v>
      </c>
      <c r="AC8" s="58">
        <f t="shared" si="14"/>
        <v>1</v>
      </c>
      <c r="AD8" s="58">
        <f t="shared" si="14"/>
        <v>0</v>
      </c>
      <c r="AE8" s="58">
        <f t="shared" si="14"/>
        <v>0</v>
      </c>
    </row>
    <row r="9" spans="2:31">
      <c r="B9" t="str">
        <f t="shared" si="0"/>
        <v>Sem3838ADOLFO DE JESUS LOPEZ CHAVEZ</v>
      </c>
      <c r="C9" t="str">
        <f t="shared" si="1"/>
        <v>SEPTIEMBRESem38</v>
      </c>
      <c r="D9" t="str">
        <f t="shared" si="2"/>
        <v>SEPTIEMBRESem38ADOLFO DE JESUS LOPEZ CHAVEZ</v>
      </c>
      <c r="E9" t="str">
        <f t="shared" si="3"/>
        <v>SEPTIEMBRESem3838ADOLFO DE JESUS LOPEZ CHAVEZ</v>
      </c>
      <c r="F9" t="str">
        <f t="shared" si="4"/>
        <v>ADOLFO DE JESUS LOPEZ CHAVEZ46280</v>
      </c>
      <c r="H9" s="49" t="s">
        <v>9</v>
      </c>
      <c r="I9" s="50" t="str">
        <f>+_xlfn.XLOOKUP($H9&amp;$V9,BASEDATOS!$B:$B,BASEDATOS!F:F,0,0,1)</f>
        <v>DIA</v>
      </c>
      <c r="J9" s="51">
        <f>+_xlfn.XLOOKUP($H9&amp;$V9,BASEDATOS!$B:$B,BASEDATOS!Q:Q,0,0,1)</f>
        <v>0.33333333333333298</v>
      </c>
      <c r="K9" s="51">
        <f>+_xlfn.XLOOKUP($H9&amp;$V9,BASEDATOS!$B:$B,BASEDATOS!R:R,0,0,1)</f>
        <v>0.70833333333333304</v>
      </c>
      <c r="L9" s="51">
        <f t="shared" si="5"/>
        <v>0.37500000000000006</v>
      </c>
      <c r="M9" s="52" t="str">
        <f t="shared" si="6"/>
        <v>1:00</v>
      </c>
      <c r="N9" s="51">
        <f t="shared" si="7"/>
        <v>0.33333333333333337</v>
      </c>
      <c r="O9" s="53" t="str">
        <f>+O14</f>
        <v>5-0-2</v>
      </c>
      <c r="P9" s="54">
        <f>+IF(AND(Y9="Domingo",U9=7),_xlfn.XLOOKUP(O9,'Horarios y Sistemas'!C:C,'Horarios y Sistemas'!H:H,0,0,1),0)</f>
        <v>0</v>
      </c>
      <c r="Q9" s="54">
        <f>IF(U9=U10,0,IF(AVERAGEIF(W:W,W9,U:U)=U9,0,_xlfn.XLOOKUP(O9,'Horarios y Sistemas'!C:C,'Horarios y Sistemas'!H:H,0,0,1)-P9))/7*U9</f>
        <v>0</v>
      </c>
      <c r="R9" s="54">
        <f t="shared" si="8"/>
        <v>0</v>
      </c>
      <c r="S9" s="55" t="str">
        <f t="shared" si="9"/>
        <v>SEPTIEMBRE</v>
      </c>
      <c r="T9" s="55" t="str">
        <f t="shared" si="10"/>
        <v>Sem38</v>
      </c>
      <c r="U9" s="56">
        <f t="shared" si="11"/>
        <v>7</v>
      </c>
      <c r="V9" s="59">
        <v>46280</v>
      </c>
      <c r="W9" s="56">
        <f t="shared" si="12"/>
        <v>38</v>
      </c>
      <c r="X9" s="56">
        <f t="shared" si="13"/>
        <v>15</v>
      </c>
      <c r="Y9" s="56" t="s">
        <v>29</v>
      </c>
      <c r="Z9" s="56">
        <v>2</v>
      </c>
      <c r="AA9" s="58">
        <f t="shared" si="14"/>
        <v>1</v>
      </c>
      <c r="AB9" s="58">
        <f t="shared" si="14"/>
        <v>0</v>
      </c>
      <c r="AC9" s="58">
        <f t="shared" si="14"/>
        <v>0</v>
      </c>
      <c r="AD9" s="58">
        <f t="shared" si="14"/>
        <v>0</v>
      </c>
      <c r="AE9" s="58">
        <f t="shared" si="14"/>
        <v>0</v>
      </c>
    </row>
    <row r="10" spans="2:31">
      <c r="B10" t="str">
        <f t="shared" si="0"/>
        <v>Sem3838ADOLFO DE JESUS LOPEZ CHAVEZ</v>
      </c>
      <c r="C10" t="str">
        <f t="shared" si="1"/>
        <v>SEPTIEMBRESem38</v>
      </c>
      <c r="D10" t="str">
        <f t="shared" si="2"/>
        <v>SEPTIEMBRESem38ADOLFO DE JESUS LOPEZ CHAVEZ</v>
      </c>
      <c r="E10" t="str">
        <f t="shared" si="3"/>
        <v>SEPTIEMBRESem3838ADOLFO DE JESUS LOPEZ CHAVEZ</v>
      </c>
      <c r="F10" t="str">
        <f t="shared" si="4"/>
        <v>ADOLFO DE JESUS LOPEZ CHAVEZ46281</v>
      </c>
      <c r="H10" s="49" t="s">
        <v>9</v>
      </c>
      <c r="I10" s="50" t="str">
        <f>+_xlfn.XLOOKUP($H10&amp;$V10,BASEDATOS!$B:$B,BASEDATOS!F:F,0,0,1)</f>
        <v>DIA</v>
      </c>
      <c r="J10" s="51">
        <f>+_xlfn.XLOOKUP($H10&amp;$V10,BASEDATOS!$B:$B,BASEDATOS!Q:Q,0,0,1)</f>
        <v>0.23958333333333301</v>
      </c>
      <c r="K10" s="51">
        <f>+_xlfn.XLOOKUP($H10&amp;$V10,BASEDATOS!$B:$B,BASEDATOS!R:R,0,0,1)</f>
        <v>0.75</v>
      </c>
      <c r="L10" s="51">
        <f t="shared" si="5"/>
        <v>0.51041666666666696</v>
      </c>
      <c r="M10" s="52" t="str">
        <f t="shared" si="6"/>
        <v>1:00</v>
      </c>
      <c r="N10" s="51">
        <f t="shared" si="7"/>
        <v>0.46875000000000028</v>
      </c>
      <c r="O10" s="53" t="str">
        <f>+O14</f>
        <v>5-0-2</v>
      </c>
      <c r="P10" s="54">
        <f>+IF(AND(Y10="Domingo",U10=7),_xlfn.XLOOKUP(O10,'Horarios y Sistemas'!C:C,'Horarios y Sistemas'!H:H,0,0,1),0)</f>
        <v>0</v>
      </c>
      <c r="Q10" s="54">
        <f>IF(U10=U11,0,IF(AVERAGEIF(W:W,W10,U:U)=U10,0,_xlfn.XLOOKUP(O10,'Horarios y Sistemas'!C:C,'Horarios y Sistemas'!H:H,0,0,1)-P10))/7*U10</f>
        <v>0</v>
      </c>
      <c r="R10" s="54">
        <f t="shared" si="8"/>
        <v>0</v>
      </c>
      <c r="S10" s="55" t="str">
        <f t="shared" si="9"/>
        <v>SEPTIEMBRE</v>
      </c>
      <c r="T10" s="55" t="str">
        <f t="shared" si="10"/>
        <v>Sem38</v>
      </c>
      <c r="U10" s="56">
        <f t="shared" si="11"/>
        <v>7</v>
      </c>
      <c r="V10" s="59">
        <v>46281</v>
      </c>
      <c r="W10" s="56">
        <f t="shared" si="12"/>
        <v>38</v>
      </c>
      <c r="X10" s="56">
        <f t="shared" si="13"/>
        <v>16</v>
      </c>
      <c r="Y10" s="56" t="s">
        <v>30</v>
      </c>
      <c r="Z10" s="56">
        <v>3</v>
      </c>
      <c r="AA10" s="58">
        <f t="shared" si="14"/>
        <v>1</v>
      </c>
      <c r="AB10" s="58">
        <f t="shared" si="14"/>
        <v>0</v>
      </c>
      <c r="AC10" s="58">
        <f t="shared" si="14"/>
        <v>0</v>
      </c>
      <c r="AD10" s="58">
        <f t="shared" si="14"/>
        <v>0</v>
      </c>
      <c r="AE10" s="58">
        <f t="shared" si="14"/>
        <v>0</v>
      </c>
    </row>
    <row r="11" spans="2:31">
      <c r="B11" t="str">
        <f t="shared" si="0"/>
        <v>Sem3838ADOLFO DE JESUS LOPEZ CHAVEZ</v>
      </c>
      <c r="C11" t="str">
        <f t="shared" si="1"/>
        <v>SEPTIEMBRESem38</v>
      </c>
      <c r="D11" t="str">
        <f t="shared" si="2"/>
        <v>SEPTIEMBRESem38ADOLFO DE JESUS LOPEZ CHAVEZ</v>
      </c>
      <c r="E11" t="str">
        <f t="shared" si="3"/>
        <v>SEPTIEMBRESem3838ADOLFO DE JESUS LOPEZ CHAVEZ</v>
      </c>
      <c r="F11" t="str">
        <f t="shared" si="4"/>
        <v>ADOLFO DE JESUS LOPEZ CHAVEZ46282</v>
      </c>
      <c r="H11" s="49" t="s">
        <v>9</v>
      </c>
      <c r="I11" s="50" t="str">
        <f>+_xlfn.XLOOKUP($H11&amp;$V11,BASEDATOS!$B:$B,BASEDATOS!F:F,0,0,1)</f>
        <v>DIA</v>
      </c>
      <c r="J11" s="51">
        <f>+_xlfn.XLOOKUP($H11&amp;$V11,BASEDATOS!$B:$B,BASEDATOS!Q:Q,0,0,1)</f>
        <v>0.23958333333333301</v>
      </c>
      <c r="K11" s="51">
        <f>+_xlfn.XLOOKUP($H11&amp;$V11,BASEDATOS!$B:$B,BASEDATOS!R:R,0,0,1)</f>
        <v>0.75</v>
      </c>
      <c r="L11" s="51">
        <f t="shared" si="5"/>
        <v>0.51041666666666696</v>
      </c>
      <c r="M11" s="52" t="str">
        <f t="shared" si="6"/>
        <v>1:00</v>
      </c>
      <c r="N11" s="51">
        <f t="shared" si="7"/>
        <v>0.46875000000000028</v>
      </c>
      <c r="O11" s="53" t="str">
        <f>+O14</f>
        <v>5-0-2</v>
      </c>
      <c r="P11" s="54">
        <f>+IF(AND(Y11="Domingo",U11=7),_xlfn.XLOOKUP(O11,'Horarios y Sistemas'!C:C,'Horarios y Sistemas'!H:H,0,0,1),0)</f>
        <v>0</v>
      </c>
      <c r="Q11" s="54">
        <f>IF(U11=U12,0,IF(AVERAGEIF(W:W,W11,U:U)=U11,0,_xlfn.XLOOKUP(O11,'Horarios y Sistemas'!C:C,'Horarios y Sistemas'!H:H,0,0,1)-P11))/7*U11</f>
        <v>0</v>
      </c>
      <c r="R11" s="54">
        <f t="shared" si="8"/>
        <v>0</v>
      </c>
      <c r="S11" s="55" t="str">
        <f t="shared" si="9"/>
        <v>SEPTIEMBRE</v>
      </c>
      <c r="T11" s="55" t="str">
        <f t="shared" si="10"/>
        <v>Sem38</v>
      </c>
      <c r="U11" s="56">
        <f t="shared" si="11"/>
        <v>7</v>
      </c>
      <c r="V11" s="59">
        <v>46282</v>
      </c>
      <c r="W11" s="56">
        <f t="shared" si="12"/>
        <v>38</v>
      </c>
      <c r="X11" s="56">
        <f t="shared" si="13"/>
        <v>17</v>
      </c>
      <c r="Y11" s="56" t="s">
        <v>31</v>
      </c>
      <c r="Z11" s="56">
        <v>4</v>
      </c>
      <c r="AA11" s="58">
        <f t="shared" si="14"/>
        <v>1</v>
      </c>
      <c r="AB11" s="58">
        <f t="shared" si="14"/>
        <v>0</v>
      </c>
      <c r="AC11" s="58">
        <f t="shared" si="14"/>
        <v>0</v>
      </c>
      <c r="AD11" s="58">
        <f t="shared" si="14"/>
        <v>0</v>
      </c>
      <c r="AE11" s="58">
        <f t="shared" si="14"/>
        <v>0</v>
      </c>
    </row>
    <row r="12" spans="2:31">
      <c r="B12" t="str">
        <f t="shared" si="0"/>
        <v>Sem3838ADOLFO DE JESUS LOPEZ CHAVEZ</v>
      </c>
      <c r="C12" t="str">
        <f t="shared" si="1"/>
        <v>SEPTIEMBRESem38</v>
      </c>
      <c r="D12" t="str">
        <f t="shared" si="2"/>
        <v>SEPTIEMBRESem38ADOLFO DE JESUS LOPEZ CHAVEZ</v>
      </c>
      <c r="E12" t="str">
        <f t="shared" si="3"/>
        <v>SEPTIEMBRESem3838ADOLFO DE JESUS LOPEZ CHAVEZ</v>
      </c>
      <c r="F12" t="str">
        <f t="shared" si="4"/>
        <v>ADOLFO DE JESUS LOPEZ CHAVEZ46283</v>
      </c>
      <c r="H12" s="49" t="s">
        <v>9</v>
      </c>
      <c r="I12" s="50" t="str">
        <f>+_xlfn.XLOOKUP($H12&amp;$V12,BASEDATOS!$B:$B,BASEDATOS!F:F,0,0,1)</f>
        <v>DIA</v>
      </c>
      <c r="J12" s="51">
        <f>+_xlfn.XLOOKUP($H12&amp;$V12,BASEDATOS!$B:$B,BASEDATOS!Q:Q,0,0,1)</f>
        <v>0.23958333333333301</v>
      </c>
      <c r="K12" s="51">
        <f>+_xlfn.XLOOKUP($H12&amp;$V12,BASEDATOS!$B:$B,BASEDATOS!R:R,0,0,1)</f>
        <v>0.75</v>
      </c>
      <c r="L12" s="51">
        <f t="shared" si="5"/>
        <v>0.51041666666666696</v>
      </c>
      <c r="M12" s="52" t="str">
        <f t="shared" si="6"/>
        <v>1:00</v>
      </c>
      <c r="N12" s="51">
        <f t="shared" si="7"/>
        <v>0.46875000000000028</v>
      </c>
      <c r="O12" s="53" t="str">
        <f>+O14</f>
        <v>5-0-2</v>
      </c>
      <c r="P12" s="54">
        <f>+IF(AND(Y12="Domingo",U12=7),_xlfn.XLOOKUP(O12,'Horarios y Sistemas'!C:C,'Horarios y Sistemas'!H:H,0,0,1),0)</f>
        <v>0</v>
      </c>
      <c r="Q12" s="54">
        <f>IF(U12=U13,0,IF(AVERAGEIF(W:W,W12,U:U)=U12,0,_xlfn.XLOOKUP(O12,'Horarios y Sistemas'!C:C,'Horarios y Sistemas'!H:H,0,0,1)-P12))/7*U12</f>
        <v>0</v>
      </c>
      <c r="R12" s="54">
        <f t="shared" si="8"/>
        <v>0</v>
      </c>
      <c r="S12" s="55" t="str">
        <f t="shared" si="9"/>
        <v>SEPTIEMBRE</v>
      </c>
      <c r="T12" s="55" t="str">
        <f t="shared" si="10"/>
        <v>Sem38</v>
      </c>
      <c r="U12" s="56">
        <f t="shared" si="11"/>
        <v>7</v>
      </c>
      <c r="V12" s="59">
        <v>46283</v>
      </c>
      <c r="W12" s="56">
        <f t="shared" si="12"/>
        <v>38</v>
      </c>
      <c r="X12" s="56">
        <f t="shared" si="13"/>
        <v>18</v>
      </c>
      <c r="Y12" s="56" t="s">
        <v>32</v>
      </c>
      <c r="Z12" s="56">
        <v>5</v>
      </c>
      <c r="AA12" s="58">
        <f t="shared" si="14"/>
        <v>1</v>
      </c>
      <c r="AB12" s="58">
        <f t="shared" si="14"/>
        <v>0</v>
      </c>
      <c r="AC12" s="58">
        <f t="shared" si="14"/>
        <v>0</v>
      </c>
      <c r="AD12" s="58">
        <f t="shared" si="14"/>
        <v>0</v>
      </c>
      <c r="AE12" s="58">
        <f t="shared" si="14"/>
        <v>0</v>
      </c>
    </row>
    <row r="13" spans="2:31">
      <c r="B13" t="str">
        <f t="shared" si="0"/>
        <v>Sem3838ADOLFO DE JESUS LOPEZ CHAVEZ</v>
      </c>
      <c r="C13" t="str">
        <f t="shared" si="1"/>
        <v>SEPTIEMBRESem38</v>
      </c>
      <c r="D13" t="str">
        <f t="shared" si="2"/>
        <v>SEPTIEMBRESem38ADOLFO DE JESUS LOPEZ CHAVEZ</v>
      </c>
      <c r="E13" t="str">
        <f t="shared" si="3"/>
        <v>SEPTIEMBRESem3838ADOLFO DE JESUS LOPEZ CHAVEZ</v>
      </c>
      <c r="F13" t="str">
        <f t="shared" si="4"/>
        <v>ADOLFO DE JESUS LOPEZ CHAVEZ46284</v>
      </c>
      <c r="H13" s="49" t="s">
        <v>9</v>
      </c>
      <c r="I13" s="50" t="str">
        <f>+_xlfn.XLOOKUP($H13&amp;$V13,BASEDATOS!$B:$B,BASEDATOS!F:F,0,0,1)</f>
        <v>DIA</v>
      </c>
      <c r="J13" s="51">
        <f>+_xlfn.XLOOKUP($H13&amp;$V13,BASEDATOS!$B:$B,BASEDATOS!Q:Q,0,0,1)</f>
        <v>0.23958333333333301</v>
      </c>
      <c r="K13" s="51">
        <f>+_xlfn.XLOOKUP($H13&amp;$V13,BASEDATOS!$B:$B,BASEDATOS!R:R,0,0,1)</f>
        <v>0.58333333333333304</v>
      </c>
      <c r="L13" s="51">
        <f t="shared" si="5"/>
        <v>0.34375</v>
      </c>
      <c r="M13" s="52" t="str">
        <f t="shared" si="6"/>
        <v>1:00</v>
      </c>
      <c r="N13" s="51">
        <f t="shared" si="7"/>
        <v>0.30208333333333331</v>
      </c>
      <c r="O13" s="53" t="str">
        <f>+O14</f>
        <v>5-0-2</v>
      </c>
      <c r="P13" s="54">
        <f>+IF(AND(Y13="Domingo",U13=7),_xlfn.XLOOKUP(O13,'Horarios y Sistemas'!C:C,'Horarios y Sistemas'!H:H,0,0,1),0)</f>
        <v>0</v>
      </c>
      <c r="Q13" s="54">
        <f>IF(U13=U14,0,IF(AVERAGEIF(W:W,W13,U:U)=U13,0,_xlfn.XLOOKUP(O13,'Horarios y Sistemas'!C:C,'Horarios y Sistemas'!H:H,0,0,1)-P13))/7*U13</f>
        <v>0</v>
      </c>
      <c r="R13" s="54">
        <f t="shared" si="8"/>
        <v>0</v>
      </c>
      <c r="S13" s="55" t="str">
        <f t="shared" si="9"/>
        <v>SEPTIEMBRE</v>
      </c>
      <c r="T13" s="55" t="str">
        <f t="shared" si="10"/>
        <v>Sem38</v>
      </c>
      <c r="U13" s="56">
        <f t="shared" si="11"/>
        <v>7</v>
      </c>
      <c r="V13" s="59">
        <v>46284</v>
      </c>
      <c r="W13" s="56">
        <f t="shared" si="12"/>
        <v>38</v>
      </c>
      <c r="X13" s="56">
        <f t="shared" si="13"/>
        <v>19</v>
      </c>
      <c r="Y13" s="56" t="s">
        <v>33</v>
      </c>
      <c r="Z13" s="56">
        <v>6</v>
      </c>
      <c r="AA13" s="58">
        <f t="shared" si="14"/>
        <v>1</v>
      </c>
      <c r="AB13" s="58">
        <f t="shared" si="14"/>
        <v>0</v>
      </c>
      <c r="AC13" s="58">
        <f t="shared" si="14"/>
        <v>0</v>
      </c>
      <c r="AD13" s="58">
        <f t="shared" si="14"/>
        <v>0</v>
      </c>
      <c r="AE13" s="58">
        <f t="shared" si="14"/>
        <v>0</v>
      </c>
    </row>
    <row r="14" spans="2:31" s="60" customFormat="1">
      <c r="B14" s="60" t="str">
        <f t="shared" si="0"/>
        <v>Sem3838ADOLFO DE JESUS LOPEZ CHAVEZ</v>
      </c>
      <c r="C14" s="60" t="str">
        <f t="shared" si="1"/>
        <v>SEPTIEMBRESem38</v>
      </c>
      <c r="D14" s="60" t="str">
        <f t="shared" si="2"/>
        <v>SEPTIEMBRESem38ADOLFO DE JESUS LOPEZ CHAVEZ</v>
      </c>
      <c r="E14" s="60" t="str">
        <f t="shared" si="3"/>
        <v>SEPTIEMBRESem3838ADOLFO DE JESUS LOPEZ CHAVEZ</v>
      </c>
      <c r="F14" s="60" t="str">
        <f t="shared" si="4"/>
        <v>ADOLFO DE JESUS LOPEZ CHAVEZ46285</v>
      </c>
      <c r="H14" s="61" t="s">
        <v>9</v>
      </c>
      <c r="I14" s="62" t="str">
        <f>+_xlfn.XLOOKUP($H14&amp;$V14,BASEDATOS!$B:$B,BASEDATOS!F:F,0,0,1)</f>
        <v>DESCANSO</v>
      </c>
      <c r="J14" s="63">
        <f>+_xlfn.XLOOKUP($H14&amp;$V14,BASEDATOS!$B:$B,BASEDATOS!Q:Q,0,0,1)</f>
        <v>0</v>
      </c>
      <c r="K14" s="63">
        <f>+_xlfn.XLOOKUP($H14&amp;$V14,BASEDATOS!$B:$B,BASEDATOS!R:R,0,0,1)</f>
        <v>0</v>
      </c>
      <c r="L14" s="63">
        <f t="shared" si="5"/>
        <v>0</v>
      </c>
      <c r="M14" s="64">
        <f t="shared" si="6"/>
        <v>0</v>
      </c>
      <c r="N14" s="63">
        <f t="shared" si="7"/>
        <v>0</v>
      </c>
      <c r="O14" s="65" t="str">
        <f>+IF(Y14="Domingo",SUM(AA8:AA14)&amp;"-"&amp;SUM(AB8:AB14)&amp;"-"&amp;SUM(AC8:AE14),"")</f>
        <v>5-0-2</v>
      </c>
      <c r="P14" s="66">
        <f>+IF(AND(Y14="Domingo",U14=7),_xlfn.XLOOKUP(O14,'Horarios y Sistemas'!C:C,'Horarios y Sistemas'!H:H,0,0,1),0)</f>
        <v>44</v>
      </c>
      <c r="Q14" s="66">
        <f>IF(U14=U15,0,IF(AVERAGEIF(W:W,W14,U:U)=U14,0,_xlfn.XLOOKUP(O14,'Horarios y Sistemas'!C:C,'Horarios y Sistemas'!H:H,0,0,1)-P14))/7*U14</f>
        <v>0</v>
      </c>
      <c r="R14" s="66">
        <f t="shared" si="8"/>
        <v>44</v>
      </c>
      <c r="S14" s="67" t="str">
        <f t="shared" si="9"/>
        <v>SEPTIEMBRE</v>
      </c>
      <c r="T14" s="55" t="str">
        <f t="shared" si="10"/>
        <v>Sem38</v>
      </c>
      <c r="U14" s="68">
        <f t="shared" si="11"/>
        <v>7</v>
      </c>
      <c r="V14" s="69">
        <v>46285</v>
      </c>
      <c r="W14" s="68">
        <f t="shared" si="12"/>
        <v>38</v>
      </c>
      <c r="X14" s="68">
        <f t="shared" si="13"/>
        <v>20</v>
      </c>
      <c r="Y14" s="68" t="s">
        <v>34</v>
      </c>
      <c r="Z14" s="68">
        <v>7</v>
      </c>
      <c r="AA14" s="70">
        <f t="shared" si="14"/>
        <v>0</v>
      </c>
      <c r="AB14" s="70">
        <f t="shared" si="14"/>
        <v>0</v>
      </c>
      <c r="AC14" s="70">
        <f t="shared" si="14"/>
        <v>1</v>
      </c>
      <c r="AD14" s="70">
        <f t="shared" si="14"/>
        <v>0</v>
      </c>
      <c r="AE14" s="70">
        <f t="shared" si="14"/>
        <v>0</v>
      </c>
    </row>
    <row r="15" spans="2:31">
      <c r="B15" t="str">
        <f t="shared" si="0"/>
        <v>Sem3939ADOLFO DE JESUS LOPEZ CHAVEZ</v>
      </c>
      <c r="C15" t="str">
        <f t="shared" si="1"/>
        <v>SEPTIEMBRESem39</v>
      </c>
      <c r="D15" t="str">
        <f t="shared" si="2"/>
        <v>SEPTIEMBRESem39ADOLFO DE JESUS LOPEZ CHAVEZ</v>
      </c>
      <c r="E15" t="str">
        <f t="shared" si="3"/>
        <v>SEPTIEMBRESem3939ADOLFO DE JESUS LOPEZ CHAVEZ</v>
      </c>
      <c r="F15" t="str">
        <f t="shared" si="4"/>
        <v>ADOLFO DE JESUS LOPEZ CHAVEZ46286</v>
      </c>
      <c r="H15" s="49" t="s">
        <v>9</v>
      </c>
      <c r="I15" s="50" t="str">
        <f>+_xlfn.XLOOKUP($H15&amp;$V15,BASEDATOS!$B:$B,BASEDATOS!F:F,0,0,1)</f>
        <v>NOCHE</v>
      </c>
      <c r="J15" s="51">
        <f>+_xlfn.XLOOKUP($H15&amp;$V15,BASEDATOS!$B:$B,BASEDATOS!Q:Q,0,0,1)</f>
        <v>0.73958333333333304</v>
      </c>
      <c r="K15" s="51">
        <f>+_xlfn.XLOOKUP($H15&amp;$V15,BASEDATOS!$B:$B,BASEDATOS!R:R,0,0,1)</f>
        <v>0.25</v>
      </c>
      <c r="L15" s="51">
        <f t="shared" si="5"/>
        <v>0.51041666666666696</v>
      </c>
      <c r="M15" s="52" t="str">
        <f t="shared" si="6"/>
        <v>1:00</v>
      </c>
      <c r="N15" s="51">
        <f t="shared" si="7"/>
        <v>0.46875000000000028</v>
      </c>
      <c r="O15" s="53" t="str">
        <f>+O21</f>
        <v>0-5-2</v>
      </c>
      <c r="P15" s="54">
        <f>+IF(AND(Y15="Domingo",U15=7),_xlfn.XLOOKUP(O15,'Horarios y Sistemas'!C:C,'Horarios y Sistemas'!H:H,0,0,1),0)</f>
        <v>0</v>
      </c>
      <c r="Q15" s="54">
        <f>IF(U15=U16,0,IF(AVERAGEIF(W:W,W15,U:U)=U15,0,_xlfn.XLOOKUP(O15,'Horarios y Sistemas'!C:C,'Horarios y Sistemas'!H:H,0,0,1)-P15))/7*U15</f>
        <v>0</v>
      </c>
      <c r="R15" s="54">
        <f t="shared" si="8"/>
        <v>0</v>
      </c>
      <c r="S15" s="55" t="str">
        <f t="shared" si="9"/>
        <v>SEPTIEMBRE</v>
      </c>
      <c r="T15" s="55" t="str">
        <f t="shared" si="10"/>
        <v>Sem39</v>
      </c>
      <c r="U15" s="56">
        <f t="shared" si="11"/>
        <v>7</v>
      </c>
      <c r="V15" s="59">
        <v>46286</v>
      </c>
      <c r="W15" s="56">
        <f t="shared" si="12"/>
        <v>39</v>
      </c>
      <c r="X15" s="56">
        <f t="shared" si="13"/>
        <v>21</v>
      </c>
      <c r="Y15" s="56" t="s">
        <v>28</v>
      </c>
      <c r="Z15" s="56">
        <v>1</v>
      </c>
      <c r="AA15" s="58">
        <f t="shared" si="14"/>
        <v>0</v>
      </c>
      <c r="AB15" s="58">
        <f t="shared" si="14"/>
        <v>1</v>
      </c>
      <c r="AC15" s="58">
        <f t="shared" si="14"/>
        <v>0</v>
      </c>
      <c r="AD15" s="58">
        <f t="shared" si="14"/>
        <v>0</v>
      </c>
      <c r="AE15" s="58">
        <f t="shared" si="14"/>
        <v>0</v>
      </c>
    </row>
    <row r="16" spans="2:31">
      <c r="B16" t="str">
        <f t="shared" si="0"/>
        <v>Sem3939ADOLFO DE JESUS LOPEZ CHAVEZ</v>
      </c>
      <c r="C16" t="str">
        <f t="shared" si="1"/>
        <v>SEPTIEMBRESem39</v>
      </c>
      <c r="D16" t="str">
        <f t="shared" si="2"/>
        <v>SEPTIEMBRESem39ADOLFO DE JESUS LOPEZ CHAVEZ</v>
      </c>
      <c r="E16" t="str">
        <f t="shared" si="3"/>
        <v>SEPTIEMBRESem3939ADOLFO DE JESUS LOPEZ CHAVEZ</v>
      </c>
      <c r="F16" t="str">
        <f t="shared" si="4"/>
        <v>ADOLFO DE JESUS LOPEZ CHAVEZ46287</v>
      </c>
      <c r="H16" s="49" t="s">
        <v>9</v>
      </c>
      <c r="I16" s="50" t="str">
        <f>+_xlfn.XLOOKUP($H16&amp;$V16,BASEDATOS!$B:$B,BASEDATOS!F:F,0,0,1)</f>
        <v>NOCHE</v>
      </c>
      <c r="J16" s="51">
        <f>+_xlfn.XLOOKUP($H16&amp;$V16,BASEDATOS!$B:$B,BASEDATOS!Q:Q,0,0,1)</f>
        <v>0.73958333333333304</v>
      </c>
      <c r="K16" s="51">
        <f>+_xlfn.XLOOKUP($H16&amp;$V16,BASEDATOS!$B:$B,BASEDATOS!R:R,0,0,1)</f>
        <v>0.25</v>
      </c>
      <c r="L16" s="51">
        <f t="shared" si="5"/>
        <v>0.51041666666666696</v>
      </c>
      <c r="M16" s="52" t="str">
        <f t="shared" si="6"/>
        <v>1:00</v>
      </c>
      <c r="N16" s="51">
        <f t="shared" si="7"/>
        <v>0.46875000000000028</v>
      </c>
      <c r="O16" s="53" t="str">
        <f>+O21</f>
        <v>0-5-2</v>
      </c>
      <c r="P16" s="54">
        <f>+IF(AND(Y16="Domingo",U16=7),_xlfn.XLOOKUP(O16,'Horarios y Sistemas'!C:C,'Horarios y Sistemas'!H:H,0,0,1),0)</f>
        <v>0</v>
      </c>
      <c r="Q16" s="54">
        <f>IF(U16=U17,0,IF(AVERAGEIF(W:W,W16,U:U)=U16,0,_xlfn.XLOOKUP(O16,'Horarios y Sistemas'!C:C,'Horarios y Sistemas'!H:H,0,0,1)-P16))/7*U16</f>
        <v>0</v>
      </c>
      <c r="R16" s="54">
        <f t="shared" si="8"/>
        <v>0</v>
      </c>
      <c r="S16" s="55" t="str">
        <f t="shared" si="9"/>
        <v>SEPTIEMBRE</v>
      </c>
      <c r="T16" s="55" t="str">
        <f t="shared" si="10"/>
        <v>Sem39</v>
      </c>
      <c r="U16" s="56">
        <f t="shared" si="11"/>
        <v>7</v>
      </c>
      <c r="V16" s="59">
        <v>46287</v>
      </c>
      <c r="W16" s="56">
        <f t="shared" si="12"/>
        <v>39</v>
      </c>
      <c r="X16" s="56">
        <f t="shared" si="13"/>
        <v>22</v>
      </c>
      <c r="Y16" s="56" t="s">
        <v>29</v>
      </c>
      <c r="Z16" s="56">
        <v>2</v>
      </c>
      <c r="AA16" s="58">
        <f t="shared" si="14"/>
        <v>0</v>
      </c>
      <c r="AB16" s="58">
        <f t="shared" si="14"/>
        <v>1</v>
      </c>
      <c r="AC16" s="58">
        <f t="shared" si="14"/>
        <v>0</v>
      </c>
      <c r="AD16" s="58">
        <f t="shared" si="14"/>
        <v>0</v>
      </c>
      <c r="AE16" s="58">
        <f t="shared" si="14"/>
        <v>0</v>
      </c>
    </row>
    <row r="17" spans="2:31">
      <c r="B17" t="str">
        <f t="shared" si="0"/>
        <v>Sem3939ADOLFO DE JESUS LOPEZ CHAVEZ</v>
      </c>
      <c r="C17" t="str">
        <f t="shared" si="1"/>
        <v>SEPTIEMBRESem39</v>
      </c>
      <c r="D17" t="str">
        <f t="shared" si="2"/>
        <v>SEPTIEMBRESem39ADOLFO DE JESUS LOPEZ CHAVEZ</v>
      </c>
      <c r="E17" t="str">
        <f t="shared" si="3"/>
        <v>SEPTIEMBRESem3939ADOLFO DE JESUS LOPEZ CHAVEZ</v>
      </c>
      <c r="F17" t="str">
        <f t="shared" si="4"/>
        <v>ADOLFO DE JESUS LOPEZ CHAVEZ46288</v>
      </c>
      <c r="H17" s="49" t="s">
        <v>9</v>
      </c>
      <c r="I17" s="50" t="str">
        <f>+_xlfn.XLOOKUP($H17&amp;$V17,BASEDATOS!$B:$B,BASEDATOS!F:F,0,0,1)</f>
        <v>NOCHE</v>
      </c>
      <c r="J17" s="51">
        <f>+_xlfn.XLOOKUP($H17&amp;$V17,BASEDATOS!$B:$B,BASEDATOS!Q:Q,0,0,1)</f>
        <v>0.73958333333333304</v>
      </c>
      <c r="K17" s="51">
        <f>+_xlfn.XLOOKUP($H17&amp;$V17,BASEDATOS!$B:$B,BASEDATOS!R:R,0,0,1)</f>
        <v>0.25</v>
      </c>
      <c r="L17" s="51">
        <f t="shared" si="5"/>
        <v>0.51041666666666696</v>
      </c>
      <c r="M17" s="52" t="str">
        <f t="shared" si="6"/>
        <v>1:00</v>
      </c>
      <c r="N17" s="51">
        <f t="shared" si="7"/>
        <v>0.46875000000000028</v>
      </c>
      <c r="O17" s="53" t="str">
        <f>+O21</f>
        <v>0-5-2</v>
      </c>
      <c r="P17" s="54">
        <f>+IF(AND(Y17="Domingo",U17=7),_xlfn.XLOOKUP(O17,'Horarios y Sistemas'!C:C,'Horarios y Sistemas'!H:H,0,0,1),0)</f>
        <v>0</v>
      </c>
      <c r="Q17" s="54">
        <f>IF(U17=U18,0,IF(AVERAGEIF(W:W,W17,U:U)=U17,0,_xlfn.XLOOKUP(O17,'Horarios y Sistemas'!C:C,'Horarios y Sistemas'!H:H,0,0,1)-P17))/7*U17</f>
        <v>0</v>
      </c>
      <c r="R17" s="54">
        <f t="shared" si="8"/>
        <v>0</v>
      </c>
      <c r="S17" s="55" t="str">
        <f t="shared" si="9"/>
        <v>SEPTIEMBRE</v>
      </c>
      <c r="T17" s="55" t="str">
        <f t="shared" si="10"/>
        <v>Sem39</v>
      </c>
      <c r="U17" s="56">
        <f t="shared" si="11"/>
        <v>7</v>
      </c>
      <c r="V17" s="59">
        <v>46288</v>
      </c>
      <c r="W17" s="56">
        <f t="shared" si="12"/>
        <v>39</v>
      </c>
      <c r="X17" s="56">
        <f t="shared" si="13"/>
        <v>23</v>
      </c>
      <c r="Y17" s="56" t="s">
        <v>30</v>
      </c>
      <c r="Z17" s="56">
        <v>3</v>
      </c>
      <c r="AA17" s="58">
        <f t="shared" si="14"/>
        <v>0</v>
      </c>
      <c r="AB17" s="58">
        <f t="shared" si="14"/>
        <v>1</v>
      </c>
      <c r="AC17" s="58">
        <f t="shared" si="14"/>
        <v>0</v>
      </c>
      <c r="AD17" s="58">
        <f t="shared" si="14"/>
        <v>0</v>
      </c>
      <c r="AE17" s="58">
        <f t="shared" si="14"/>
        <v>0</v>
      </c>
    </row>
    <row r="18" spans="2:31">
      <c r="B18" t="str">
        <f t="shared" si="0"/>
        <v>Sem3939ADOLFO DE JESUS LOPEZ CHAVEZ</v>
      </c>
      <c r="C18" t="str">
        <f t="shared" si="1"/>
        <v>SEPTIEMBRESem39</v>
      </c>
      <c r="D18" t="str">
        <f t="shared" si="2"/>
        <v>SEPTIEMBRESem39ADOLFO DE JESUS LOPEZ CHAVEZ</v>
      </c>
      <c r="E18" t="str">
        <f t="shared" si="3"/>
        <v>SEPTIEMBRESem3939ADOLFO DE JESUS LOPEZ CHAVEZ</v>
      </c>
      <c r="F18" t="str">
        <f t="shared" si="4"/>
        <v>ADOLFO DE JESUS LOPEZ CHAVEZ46289</v>
      </c>
      <c r="H18" s="49" t="s">
        <v>9</v>
      </c>
      <c r="I18" s="50" t="str">
        <f>+_xlfn.XLOOKUP($H18&amp;$V18,BASEDATOS!$B:$B,BASEDATOS!F:F,0,0,1)</f>
        <v>NOCHE</v>
      </c>
      <c r="J18" s="51">
        <f>+_xlfn.XLOOKUP($H18&amp;$V18,BASEDATOS!$B:$B,BASEDATOS!Q:Q,0,0,1)</f>
        <v>0.73958333333333304</v>
      </c>
      <c r="K18" s="51">
        <f>+_xlfn.XLOOKUP($H18&amp;$V18,BASEDATOS!$B:$B,BASEDATOS!R:R,0,0,1)</f>
        <v>0.25</v>
      </c>
      <c r="L18" s="51">
        <f t="shared" si="5"/>
        <v>0.51041666666666696</v>
      </c>
      <c r="M18" s="52" t="str">
        <f t="shared" si="6"/>
        <v>1:00</v>
      </c>
      <c r="N18" s="51">
        <f t="shared" si="7"/>
        <v>0.46875000000000028</v>
      </c>
      <c r="O18" s="53" t="str">
        <f>+O21</f>
        <v>0-5-2</v>
      </c>
      <c r="P18" s="54">
        <f>+IF(AND(Y18="Domingo",U18=7),_xlfn.XLOOKUP(O18,'Horarios y Sistemas'!C:C,'Horarios y Sistemas'!H:H,0,0,1),0)</f>
        <v>0</v>
      </c>
      <c r="Q18" s="54">
        <f>IF(U18=U19,0,IF(AVERAGEIF(W:W,W18,U:U)=U18,0,_xlfn.XLOOKUP(O18,'Horarios y Sistemas'!C:C,'Horarios y Sistemas'!H:H,0,0,1)-P18))/7*U18</f>
        <v>0</v>
      </c>
      <c r="R18" s="54">
        <f t="shared" si="8"/>
        <v>0</v>
      </c>
      <c r="S18" s="55" t="str">
        <f t="shared" si="9"/>
        <v>SEPTIEMBRE</v>
      </c>
      <c r="T18" s="55" t="str">
        <f t="shared" si="10"/>
        <v>Sem39</v>
      </c>
      <c r="U18" s="56">
        <f t="shared" si="11"/>
        <v>7</v>
      </c>
      <c r="V18" s="59">
        <v>46289</v>
      </c>
      <c r="W18" s="56">
        <f t="shared" si="12"/>
        <v>39</v>
      </c>
      <c r="X18" s="56">
        <f t="shared" si="13"/>
        <v>24</v>
      </c>
      <c r="Y18" s="56" t="s">
        <v>31</v>
      </c>
      <c r="Z18" s="56">
        <v>4</v>
      </c>
      <c r="AA18" s="58">
        <f t="shared" ref="AA18:AE28" si="15">+IF($I18=AA$7,1,0)</f>
        <v>0</v>
      </c>
      <c r="AB18" s="58">
        <f t="shared" si="15"/>
        <v>1</v>
      </c>
      <c r="AC18" s="58">
        <f t="shared" si="15"/>
        <v>0</v>
      </c>
      <c r="AD18" s="58">
        <f t="shared" si="15"/>
        <v>0</v>
      </c>
      <c r="AE18" s="58">
        <f t="shared" si="15"/>
        <v>0</v>
      </c>
    </row>
    <row r="19" spans="2:31">
      <c r="B19" t="str">
        <f t="shared" si="0"/>
        <v>Sem3939ADOLFO DE JESUS LOPEZ CHAVEZ</v>
      </c>
      <c r="C19" t="str">
        <f t="shared" si="1"/>
        <v>SEPTIEMBRESem39</v>
      </c>
      <c r="D19" t="str">
        <f t="shared" si="2"/>
        <v>SEPTIEMBRESem39ADOLFO DE JESUS LOPEZ CHAVEZ</v>
      </c>
      <c r="E19" t="str">
        <f t="shared" si="3"/>
        <v>SEPTIEMBRESem3939ADOLFO DE JESUS LOPEZ CHAVEZ</v>
      </c>
      <c r="F19" t="str">
        <f t="shared" si="4"/>
        <v>ADOLFO DE JESUS LOPEZ CHAVEZ46290</v>
      </c>
      <c r="H19" s="49" t="s">
        <v>9</v>
      </c>
      <c r="I19" s="50" t="str">
        <f>+_xlfn.XLOOKUP($H19&amp;$V19,BASEDATOS!$B:$B,BASEDATOS!F:F,0,0,1)</f>
        <v>NOCHE</v>
      </c>
      <c r="J19" s="51">
        <f>+_xlfn.XLOOKUP($H19&amp;$V19,BASEDATOS!$B:$B,BASEDATOS!Q:Q,0,0,1)</f>
        <v>0.73958333333333304</v>
      </c>
      <c r="K19" s="51">
        <f>+_xlfn.XLOOKUP($H19&amp;$V19,BASEDATOS!$B:$B,BASEDATOS!R:R,0,0,1)</f>
        <v>0.25</v>
      </c>
      <c r="L19" s="51">
        <f t="shared" si="5"/>
        <v>0.51041666666666696</v>
      </c>
      <c r="M19" s="52" t="str">
        <f t="shared" si="6"/>
        <v>1:00</v>
      </c>
      <c r="N19" s="51">
        <f t="shared" si="7"/>
        <v>0.46875000000000028</v>
      </c>
      <c r="O19" s="53" t="str">
        <f>+O21</f>
        <v>0-5-2</v>
      </c>
      <c r="P19" s="54">
        <f>+IF(AND(Y19="Domingo",U19=7),_xlfn.XLOOKUP(O19,'Horarios y Sistemas'!C:C,'Horarios y Sistemas'!H:H,0,0,1),0)</f>
        <v>0</v>
      </c>
      <c r="Q19" s="54">
        <f>IF(U19=U20,0,IF(AVERAGEIF(W:W,W19,U:U)=U19,0,_xlfn.XLOOKUP(O19,'Horarios y Sistemas'!C:C,'Horarios y Sistemas'!H:H,0,0,1)-P19))/7*U19</f>
        <v>0</v>
      </c>
      <c r="R19" s="54">
        <f t="shared" si="8"/>
        <v>0</v>
      </c>
      <c r="S19" s="55" t="str">
        <f t="shared" si="9"/>
        <v>SEPTIEMBRE</v>
      </c>
      <c r="T19" s="55" t="str">
        <f t="shared" si="10"/>
        <v>Sem39</v>
      </c>
      <c r="U19" s="56">
        <f t="shared" si="11"/>
        <v>7</v>
      </c>
      <c r="V19" s="59">
        <v>46290</v>
      </c>
      <c r="W19" s="56">
        <f t="shared" si="12"/>
        <v>39</v>
      </c>
      <c r="X19" s="56">
        <f t="shared" si="13"/>
        <v>25</v>
      </c>
      <c r="Y19" s="56" t="s">
        <v>32</v>
      </c>
      <c r="Z19" s="56">
        <v>5</v>
      </c>
      <c r="AA19" s="58">
        <f t="shared" si="15"/>
        <v>0</v>
      </c>
      <c r="AB19" s="58">
        <f t="shared" si="15"/>
        <v>1</v>
      </c>
      <c r="AC19" s="58">
        <f t="shared" si="15"/>
        <v>0</v>
      </c>
      <c r="AD19" s="58">
        <f t="shared" si="15"/>
        <v>0</v>
      </c>
      <c r="AE19" s="58">
        <f t="shared" si="15"/>
        <v>0</v>
      </c>
    </row>
    <row r="20" spans="2:31">
      <c r="B20" t="str">
        <f t="shared" si="0"/>
        <v>Sem3939ADOLFO DE JESUS LOPEZ CHAVEZ</v>
      </c>
      <c r="C20" t="str">
        <f t="shared" si="1"/>
        <v>SEPTIEMBRESem39</v>
      </c>
      <c r="D20" t="str">
        <f t="shared" si="2"/>
        <v>SEPTIEMBRESem39ADOLFO DE JESUS LOPEZ CHAVEZ</v>
      </c>
      <c r="E20" t="str">
        <f t="shared" si="3"/>
        <v>SEPTIEMBRESem3939ADOLFO DE JESUS LOPEZ CHAVEZ</v>
      </c>
      <c r="F20" t="str">
        <f t="shared" si="4"/>
        <v>ADOLFO DE JESUS LOPEZ CHAVEZ46291</v>
      </c>
      <c r="H20" s="49" t="s">
        <v>9</v>
      </c>
      <c r="I20" s="50" t="str">
        <f>+_xlfn.XLOOKUP($H20&amp;$V20,BASEDATOS!$B:$B,BASEDATOS!F:F,0,0,1)</f>
        <v>DESCANSO</v>
      </c>
      <c r="J20" s="51">
        <f>+_xlfn.XLOOKUP($H20&amp;$V20,BASEDATOS!$B:$B,BASEDATOS!Q:Q,0,0,1)</f>
        <v>0</v>
      </c>
      <c r="K20" s="51">
        <f>+_xlfn.XLOOKUP($H20&amp;$V20,BASEDATOS!$B:$B,BASEDATOS!R:R,0,0,1)</f>
        <v>0</v>
      </c>
      <c r="L20" s="51">
        <f t="shared" si="5"/>
        <v>0</v>
      </c>
      <c r="M20" s="52">
        <f t="shared" si="6"/>
        <v>0</v>
      </c>
      <c r="N20" s="51">
        <f t="shared" si="7"/>
        <v>0</v>
      </c>
      <c r="O20" s="53" t="str">
        <f>+O21</f>
        <v>0-5-2</v>
      </c>
      <c r="P20" s="54">
        <f>+IF(AND(Y20="Domingo",U20=7),_xlfn.XLOOKUP(O20,'Horarios y Sistemas'!C:C,'Horarios y Sistemas'!H:H,0,0,1),0)</f>
        <v>0</v>
      </c>
      <c r="Q20" s="54">
        <f>IF(U20=U21,0,IF(AVERAGEIF(W:W,W20,U:U)=U20,0,_xlfn.XLOOKUP(O20,'Horarios y Sistemas'!C:C,'Horarios y Sistemas'!H:H,0,0,1)-P20))/7*U20</f>
        <v>0</v>
      </c>
      <c r="R20" s="54">
        <f t="shared" si="8"/>
        <v>0</v>
      </c>
      <c r="S20" s="55" t="str">
        <f t="shared" si="9"/>
        <v>SEPTIEMBRE</v>
      </c>
      <c r="T20" s="55" t="str">
        <f t="shared" si="10"/>
        <v>Sem39</v>
      </c>
      <c r="U20" s="56">
        <f t="shared" si="11"/>
        <v>7</v>
      </c>
      <c r="V20" s="59">
        <v>46291</v>
      </c>
      <c r="W20" s="56">
        <f t="shared" si="12"/>
        <v>39</v>
      </c>
      <c r="X20" s="56">
        <f t="shared" si="13"/>
        <v>26</v>
      </c>
      <c r="Y20" s="56" t="s">
        <v>33</v>
      </c>
      <c r="Z20" s="56">
        <v>6</v>
      </c>
      <c r="AA20" s="58">
        <f t="shared" si="15"/>
        <v>0</v>
      </c>
      <c r="AB20" s="58">
        <f t="shared" si="15"/>
        <v>0</v>
      </c>
      <c r="AC20" s="58">
        <f t="shared" si="15"/>
        <v>1</v>
      </c>
      <c r="AD20" s="58">
        <f t="shared" si="15"/>
        <v>0</v>
      </c>
      <c r="AE20" s="58">
        <f t="shared" si="15"/>
        <v>0</v>
      </c>
    </row>
    <row r="21" spans="2:31" s="60" customFormat="1">
      <c r="B21" s="60" t="str">
        <f t="shared" si="0"/>
        <v>Sem3939ADOLFO DE JESUS LOPEZ CHAVEZ</v>
      </c>
      <c r="C21" s="60" t="str">
        <f t="shared" si="1"/>
        <v>SEPTIEMBRESem39</v>
      </c>
      <c r="D21" s="60" t="str">
        <f t="shared" si="2"/>
        <v>SEPTIEMBRESem39ADOLFO DE JESUS LOPEZ CHAVEZ</v>
      </c>
      <c r="E21" s="60" t="str">
        <f t="shared" si="3"/>
        <v>SEPTIEMBRESem3939ADOLFO DE JESUS LOPEZ CHAVEZ</v>
      </c>
      <c r="F21" s="60" t="str">
        <f t="shared" si="4"/>
        <v>ADOLFO DE JESUS LOPEZ CHAVEZ46292</v>
      </c>
      <c r="H21" s="61" t="s">
        <v>9</v>
      </c>
      <c r="I21" s="62" t="str">
        <f>+_xlfn.XLOOKUP($H21&amp;$V21,BASEDATOS!$B:$B,BASEDATOS!F:F,0,0,1)</f>
        <v>DESCANSO</v>
      </c>
      <c r="J21" s="63">
        <f>+_xlfn.XLOOKUP($H21&amp;$V21,BASEDATOS!$B:$B,BASEDATOS!Q:Q,0,0,1)</f>
        <v>0</v>
      </c>
      <c r="K21" s="63">
        <f>+_xlfn.XLOOKUP($H21&amp;$V21,BASEDATOS!$B:$B,BASEDATOS!R:R,0,0,1)</f>
        <v>0</v>
      </c>
      <c r="L21" s="63">
        <f t="shared" si="5"/>
        <v>0</v>
      </c>
      <c r="M21" s="64">
        <f t="shared" si="6"/>
        <v>0</v>
      </c>
      <c r="N21" s="63">
        <f t="shared" si="7"/>
        <v>0</v>
      </c>
      <c r="O21" s="65" t="str">
        <f>+IF(Y21="Domingo",SUM(AA15:AA21)&amp;"-"&amp;SUM(AB15:AB21)&amp;"-"&amp;SUM(AC15:AE21),"")</f>
        <v>0-5-2</v>
      </c>
      <c r="P21" s="66">
        <f>+IF(AND(Y21="Domingo",U21=7),_xlfn.XLOOKUP(O21,'Horarios y Sistemas'!C:C,'Horarios y Sistemas'!H:H,0,0,1),0)</f>
        <v>36</v>
      </c>
      <c r="Q21" s="66">
        <f>IF(U21=U22,0,IF(AVERAGEIF(W:W,W21,U:U)=U21,0,_xlfn.XLOOKUP(O21,'Horarios y Sistemas'!C:C,'Horarios y Sistemas'!H:H,0,0,1)-P21))/7*U21</f>
        <v>0</v>
      </c>
      <c r="R21" s="66">
        <f t="shared" si="8"/>
        <v>36</v>
      </c>
      <c r="S21" s="67" t="str">
        <f t="shared" si="9"/>
        <v>SEPTIEMBRE</v>
      </c>
      <c r="T21" s="55" t="str">
        <f t="shared" si="10"/>
        <v>Sem39</v>
      </c>
      <c r="U21" s="68">
        <f t="shared" si="11"/>
        <v>7</v>
      </c>
      <c r="V21" s="69">
        <v>46292</v>
      </c>
      <c r="W21" s="68">
        <f t="shared" si="12"/>
        <v>39</v>
      </c>
      <c r="X21" s="68">
        <f t="shared" si="13"/>
        <v>27</v>
      </c>
      <c r="Y21" s="68" t="s">
        <v>34</v>
      </c>
      <c r="Z21" s="68">
        <v>7</v>
      </c>
      <c r="AA21" s="70">
        <f t="shared" si="15"/>
        <v>0</v>
      </c>
      <c r="AB21" s="70">
        <f t="shared" si="15"/>
        <v>0</v>
      </c>
      <c r="AC21" s="70">
        <f t="shared" si="15"/>
        <v>1</v>
      </c>
      <c r="AD21" s="70">
        <f t="shared" si="15"/>
        <v>0</v>
      </c>
      <c r="AE21" s="70">
        <f t="shared" si="15"/>
        <v>0</v>
      </c>
    </row>
    <row r="22" spans="2:31">
      <c r="B22" t="str">
        <f t="shared" si="0"/>
        <v>Sem4040ADOLFO DE JESUS LOPEZ CHAVEZ</v>
      </c>
      <c r="C22" t="str">
        <f t="shared" si="1"/>
        <v>SEPTIEMBRESem40</v>
      </c>
      <c r="D22" t="str">
        <f t="shared" si="2"/>
        <v>SEPTIEMBRESem40ADOLFO DE JESUS LOPEZ CHAVEZ</v>
      </c>
      <c r="E22" t="str">
        <f t="shared" si="3"/>
        <v>SEPTIEMBRESem4040ADOLFO DE JESUS LOPEZ CHAVEZ</v>
      </c>
      <c r="F22" t="str">
        <f t="shared" si="4"/>
        <v>ADOLFO DE JESUS LOPEZ CHAVEZ46293</v>
      </c>
      <c r="H22" s="49" t="s">
        <v>9</v>
      </c>
      <c r="I22" s="50" t="str">
        <f>+_xlfn.XLOOKUP($H22&amp;$V22,BASEDATOS!$B:$B,BASEDATOS!F:F,0,0,1)</f>
        <v>DIA</v>
      </c>
      <c r="J22" s="51">
        <f>+_xlfn.XLOOKUP($H22&amp;$V22,BASEDATOS!$B:$B,BASEDATOS!Q:Q,0,0,1)</f>
        <v>0.23958333333333301</v>
      </c>
      <c r="K22" s="51">
        <f>+_xlfn.XLOOKUP($H22&amp;$V22,BASEDATOS!$B:$B,BASEDATOS!R:R,0,0,1)</f>
        <v>0.75</v>
      </c>
      <c r="L22" s="51">
        <f t="shared" si="5"/>
        <v>0.51041666666666696</v>
      </c>
      <c r="M22" s="52" t="str">
        <f t="shared" si="6"/>
        <v>1:00</v>
      </c>
      <c r="N22" s="51">
        <f t="shared" si="7"/>
        <v>0.46875000000000028</v>
      </c>
      <c r="O22" s="53" t="str">
        <f>+O28</f>
        <v>6-0-1</v>
      </c>
      <c r="P22" s="54">
        <f>+IF(AND(Y22="Domingo",U22=7),_xlfn.XLOOKUP(O22,'Horarios y Sistemas'!C:C,'Horarios y Sistemas'!H:H,0,0,1),0)</f>
        <v>0</v>
      </c>
      <c r="Q22" s="54">
        <f>IF(U22=U23,0,IF(AVERAGEIF(W:W,W22,U:U)=U22,0,_xlfn.XLOOKUP(O22,'Horarios y Sistemas'!C:C,'Horarios y Sistemas'!H:H,0,0,1)-P22))/7*U22</f>
        <v>0</v>
      </c>
      <c r="R22" s="54">
        <f t="shared" si="8"/>
        <v>0</v>
      </c>
      <c r="S22" s="55" t="str">
        <f t="shared" si="9"/>
        <v>SEPTIEMBRE</v>
      </c>
      <c r="T22" s="55" t="str">
        <f t="shared" si="10"/>
        <v>Sem40</v>
      </c>
      <c r="U22" s="56">
        <f t="shared" si="11"/>
        <v>7</v>
      </c>
      <c r="V22" s="59">
        <v>46293</v>
      </c>
      <c r="W22" s="56">
        <f t="shared" si="12"/>
        <v>40</v>
      </c>
      <c r="X22" s="56">
        <f t="shared" si="13"/>
        <v>28</v>
      </c>
      <c r="Y22" s="56" t="s">
        <v>28</v>
      </c>
      <c r="Z22" s="56">
        <v>1</v>
      </c>
      <c r="AA22" s="58">
        <f t="shared" si="15"/>
        <v>1</v>
      </c>
      <c r="AB22" s="58">
        <f t="shared" si="15"/>
        <v>0</v>
      </c>
      <c r="AC22" s="58">
        <f t="shared" si="15"/>
        <v>0</v>
      </c>
      <c r="AD22" s="58">
        <f t="shared" si="15"/>
        <v>0</v>
      </c>
      <c r="AE22" s="58">
        <f t="shared" si="15"/>
        <v>0</v>
      </c>
    </row>
    <row r="23" spans="2:31">
      <c r="B23" t="str">
        <f t="shared" si="0"/>
        <v>Sem4040ADOLFO DE JESUS LOPEZ CHAVEZ</v>
      </c>
      <c r="C23" t="str">
        <f t="shared" si="1"/>
        <v>SEPTIEMBRESem40</v>
      </c>
      <c r="D23" t="str">
        <f t="shared" si="2"/>
        <v>SEPTIEMBRESem40ADOLFO DE JESUS LOPEZ CHAVEZ</v>
      </c>
      <c r="E23" t="str">
        <f t="shared" si="3"/>
        <v>SEPTIEMBRESem4040ADOLFO DE JESUS LOPEZ CHAVEZ</v>
      </c>
      <c r="F23" t="str">
        <f t="shared" si="4"/>
        <v>ADOLFO DE JESUS LOPEZ CHAVEZ46294</v>
      </c>
      <c r="H23" s="49" t="s">
        <v>9</v>
      </c>
      <c r="I23" s="50" t="str">
        <f>+_xlfn.XLOOKUP($H23&amp;$V23,BASEDATOS!$B:$B,BASEDATOS!F:F,0,0,1)</f>
        <v>DIA</v>
      </c>
      <c r="J23" s="51">
        <f>+_xlfn.XLOOKUP($H23&amp;$V23,BASEDATOS!$B:$B,BASEDATOS!Q:Q,0,0,1)</f>
        <v>0.23958333333333301</v>
      </c>
      <c r="K23" s="51">
        <f>+_xlfn.XLOOKUP($H23&amp;$V23,BASEDATOS!$B:$B,BASEDATOS!R:R,0,0,1)</f>
        <v>0.75</v>
      </c>
      <c r="L23" s="51">
        <f t="shared" si="5"/>
        <v>0.51041666666666696</v>
      </c>
      <c r="M23" s="52" t="str">
        <f t="shared" si="6"/>
        <v>1:00</v>
      </c>
      <c r="N23" s="51">
        <f t="shared" si="7"/>
        <v>0.46875000000000028</v>
      </c>
      <c r="O23" s="53" t="str">
        <f>+O28</f>
        <v>6-0-1</v>
      </c>
      <c r="P23" s="54">
        <f>+IF(AND(Y23="Domingo",U23=7),_xlfn.XLOOKUP(O23,'Horarios y Sistemas'!C:C,'Horarios y Sistemas'!H:H,0,0,1),0)</f>
        <v>0</v>
      </c>
      <c r="Q23" s="54">
        <f>IF(U23=U24,0,IF(AVERAGEIF(W:W,W23,U:U)=U23,0,_xlfn.XLOOKUP(O23,'Horarios y Sistemas'!C:C,'Horarios y Sistemas'!H:H,0,0,1)-P23))/7*U23</f>
        <v>0</v>
      </c>
      <c r="R23" s="54">
        <f t="shared" si="8"/>
        <v>0</v>
      </c>
      <c r="S23" s="55" t="str">
        <f t="shared" si="9"/>
        <v>SEPTIEMBRE</v>
      </c>
      <c r="T23" s="55" t="str">
        <f t="shared" si="10"/>
        <v>Sem40</v>
      </c>
      <c r="U23" s="56">
        <f t="shared" si="11"/>
        <v>7</v>
      </c>
      <c r="V23" s="59">
        <v>46294</v>
      </c>
      <c r="W23" s="56">
        <f t="shared" si="12"/>
        <v>40</v>
      </c>
      <c r="X23" s="56">
        <f t="shared" si="13"/>
        <v>29</v>
      </c>
      <c r="Y23" s="56" t="s">
        <v>29</v>
      </c>
      <c r="Z23" s="56">
        <v>2</v>
      </c>
      <c r="AA23" s="58">
        <f t="shared" si="15"/>
        <v>1</v>
      </c>
      <c r="AB23" s="58">
        <f t="shared" si="15"/>
        <v>0</v>
      </c>
      <c r="AC23" s="58">
        <f t="shared" si="15"/>
        <v>0</v>
      </c>
      <c r="AD23" s="58">
        <f t="shared" si="15"/>
        <v>0</v>
      </c>
      <c r="AE23" s="58">
        <f t="shared" si="15"/>
        <v>0</v>
      </c>
    </row>
    <row r="24" spans="2:31">
      <c r="B24" t="str">
        <f t="shared" si="0"/>
        <v>Sem4040ADOLFO DE JESUS LOPEZ CHAVEZ</v>
      </c>
      <c r="C24" t="str">
        <f t="shared" si="1"/>
        <v>SEPTIEMBRESem40</v>
      </c>
      <c r="D24" t="str">
        <f t="shared" si="2"/>
        <v>SEPTIEMBRESem40ADOLFO DE JESUS LOPEZ CHAVEZ</v>
      </c>
      <c r="E24" t="str">
        <f t="shared" si="3"/>
        <v>SEPTIEMBRESem4040ADOLFO DE JESUS LOPEZ CHAVEZ</v>
      </c>
      <c r="F24" t="str">
        <f t="shared" si="4"/>
        <v>ADOLFO DE JESUS LOPEZ CHAVEZ46295</v>
      </c>
      <c r="H24" s="49" t="s">
        <v>9</v>
      </c>
      <c r="I24" s="50" t="str">
        <f>+_xlfn.XLOOKUP($H24&amp;$V24,BASEDATOS!$B:$B,BASEDATOS!F:F,0,0,1)</f>
        <v>DIA</v>
      </c>
      <c r="J24" s="51">
        <f>+_xlfn.XLOOKUP($H24&amp;$V24,BASEDATOS!$B:$B,BASEDATOS!Q:Q,0,0,1)</f>
        <v>0.23958333333333301</v>
      </c>
      <c r="K24" s="51">
        <f>+_xlfn.XLOOKUP($H24&amp;$V24,BASEDATOS!$B:$B,BASEDATOS!R:R,0,0,1)</f>
        <v>0.75</v>
      </c>
      <c r="L24" s="51">
        <f t="shared" si="5"/>
        <v>0.51041666666666696</v>
      </c>
      <c r="M24" s="52" t="str">
        <f t="shared" si="6"/>
        <v>1:00</v>
      </c>
      <c r="N24" s="51">
        <f t="shared" si="7"/>
        <v>0.46875000000000028</v>
      </c>
      <c r="O24" s="53" t="str">
        <f>+O28</f>
        <v>6-0-1</v>
      </c>
      <c r="P24" s="54">
        <f>+IF(AND(Y24="Domingo",U24=7),_xlfn.XLOOKUP(O24,'Horarios y Sistemas'!C:C,'Horarios y Sistemas'!H:H,0,0,1),0)</f>
        <v>0</v>
      </c>
      <c r="Q24" s="54">
        <f>IF(U24=U25,0,IF(AVERAGEIF(W:W,W24,U:U)=U24,0,_xlfn.XLOOKUP(O24,'Horarios y Sistemas'!C:C,'Horarios y Sistemas'!H:H,0,0,1)-P24))/7*U24</f>
        <v>0</v>
      </c>
      <c r="R24" s="54">
        <f t="shared" si="8"/>
        <v>0</v>
      </c>
      <c r="S24" s="55" t="str">
        <f t="shared" si="9"/>
        <v>SEPTIEMBRE</v>
      </c>
      <c r="T24" s="55" t="str">
        <f t="shared" si="10"/>
        <v>Sem40</v>
      </c>
      <c r="U24" s="56">
        <f t="shared" si="11"/>
        <v>7</v>
      </c>
      <c r="V24" s="59">
        <v>46295</v>
      </c>
      <c r="W24" s="56">
        <f t="shared" si="12"/>
        <v>40</v>
      </c>
      <c r="X24" s="56">
        <f t="shared" si="13"/>
        <v>30</v>
      </c>
      <c r="Y24" s="56" t="s">
        <v>30</v>
      </c>
      <c r="Z24" s="56">
        <v>3</v>
      </c>
      <c r="AA24" s="58">
        <f t="shared" si="15"/>
        <v>1</v>
      </c>
      <c r="AB24" s="58">
        <f t="shared" si="15"/>
        <v>0</v>
      </c>
      <c r="AC24" s="58">
        <f t="shared" si="15"/>
        <v>0</v>
      </c>
      <c r="AD24" s="58">
        <f t="shared" si="15"/>
        <v>0</v>
      </c>
      <c r="AE24" s="58">
        <f t="shared" si="15"/>
        <v>0</v>
      </c>
    </row>
    <row r="25" spans="2:31">
      <c r="B25" t="str">
        <f t="shared" si="0"/>
        <v>Sem4040ADOLFO DE JESUS LOPEZ CHAVEZ</v>
      </c>
      <c r="C25" t="str">
        <f t="shared" si="1"/>
        <v>OCTUBRESem40</v>
      </c>
      <c r="D25" t="str">
        <f t="shared" si="2"/>
        <v>OCTUBRESem40ADOLFO DE JESUS LOPEZ CHAVEZ</v>
      </c>
      <c r="E25" t="str">
        <f t="shared" si="3"/>
        <v>OCTUBRESem4040ADOLFO DE JESUS LOPEZ CHAVEZ</v>
      </c>
      <c r="F25" t="str">
        <f t="shared" si="4"/>
        <v>ADOLFO DE JESUS LOPEZ CHAVEZ46296</v>
      </c>
      <c r="H25" s="49" t="s">
        <v>9</v>
      </c>
      <c r="I25" s="50" t="str">
        <f>+_xlfn.XLOOKUP($H25&amp;$V25,BASEDATOS!$B:$B,BASEDATOS!F:F,0,0,1)</f>
        <v>DIA</v>
      </c>
      <c r="J25" s="51">
        <f>+_xlfn.XLOOKUP($H25&amp;$V25,BASEDATOS!$B:$B,BASEDATOS!Q:Q,0,0,1)</f>
        <v>0.23958333333333301</v>
      </c>
      <c r="K25" s="51">
        <f>+_xlfn.XLOOKUP($H25&amp;$V25,BASEDATOS!$B:$B,BASEDATOS!R:R,0,0,1)</f>
        <v>0.75</v>
      </c>
      <c r="L25" s="51">
        <f t="shared" si="5"/>
        <v>0.51041666666666696</v>
      </c>
      <c r="M25" s="52" t="str">
        <f t="shared" si="6"/>
        <v>1:00</v>
      </c>
      <c r="N25" s="51">
        <f t="shared" si="7"/>
        <v>0.46875000000000028</v>
      </c>
      <c r="O25" s="53" t="str">
        <f>+O28</f>
        <v>6-0-1</v>
      </c>
      <c r="P25" s="54">
        <f>+IF(AND(Y25="Domingo",U25=7),_xlfn.XLOOKUP(O25,'Horarios y Sistemas'!C:C,'Horarios y Sistemas'!H:H,0,0,1),0)</f>
        <v>0</v>
      </c>
      <c r="Q25" s="54">
        <f>IF(U25=U26,0,IF(AVERAGEIF(W:W,W25,U:U)=U25,0,_xlfn.XLOOKUP(O25,'Horarios y Sistemas'!C:C,'Horarios y Sistemas'!H:H,0,0,1)-P25))/7*U25</f>
        <v>0</v>
      </c>
      <c r="R25" s="54">
        <f t="shared" si="8"/>
        <v>0</v>
      </c>
      <c r="S25" s="55" t="str">
        <f t="shared" si="9"/>
        <v>OCTUBRE</v>
      </c>
      <c r="T25" s="55" t="str">
        <f t="shared" si="10"/>
        <v>Sem40</v>
      </c>
      <c r="U25" s="56">
        <f t="shared" si="11"/>
        <v>7</v>
      </c>
      <c r="V25" s="59">
        <v>46296</v>
      </c>
      <c r="W25" s="56">
        <f t="shared" si="12"/>
        <v>40</v>
      </c>
      <c r="X25" s="56">
        <f t="shared" si="13"/>
        <v>1</v>
      </c>
      <c r="Y25" s="56" t="s">
        <v>31</v>
      </c>
      <c r="Z25" s="56">
        <v>4</v>
      </c>
      <c r="AA25" s="58">
        <f t="shared" si="15"/>
        <v>1</v>
      </c>
      <c r="AB25" s="58">
        <f t="shared" si="15"/>
        <v>0</v>
      </c>
      <c r="AC25" s="58">
        <f t="shared" si="15"/>
        <v>0</v>
      </c>
      <c r="AD25" s="58">
        <f t="shared" si="15"/>
        <v>0</v>
      </c>
      <c r="AE25" s="58">
        <f t="shared" si="15"/>
        <v>0</v>
      </c>
    </row>
    <row r="26" spans="2:31">
      <c r="B26" t="str">
        <f t="shared" si="0"/>
        <v>Sem4040ADOLFO DE JESUS LOPEZ CHAVEZ</v>
      </c>
      <c r="C26" t="str">
        <f t="shared" si="1"/>
        <v>OCTUBRESem40</v>
      </c>
      <c r="D26" t="str">
        <f t="shared" si="2"/>
        <v>OCTUBRESem40ADOLFO DE JESUS LOPEZ CHAVEZ</v>
      </c>
      <c r="E26" t="str">
        <f t="shared" si="3"/>
        <v>OCTUBRESem4040ADOLFO DE JESUS LOPEZ CHAVEZ</v>
      </c>
      <c r="F26" t="str">
        <f t="shared" si="4"/>
        <v>ADOLFO DE JESUS LOPEZ CHAVEZ46297</v>
      </c>
      <c r="H26" s="49" t="s">
        <v>9</v>
      </c>
      <c r="I26" s="50" t="str">
        <f>+_xlfn.XLOOKUP($H26&amp;$V26,BASEDATOS!$B:$B,BASEDATOS!F:F,0,0,1)</f>
        <v>DIA</v>
      </c>
      <c r="J26" s="51">
        <f>+_xlfn.XLOOKUP($H26&amp;$V26,BASEDATOS!$B:$B,BASEDATOS!Q:Q,0,0,1)</f>
        <v>0.23958333333333301</v>
      </c>
      <c r="K26" s="51">
        <f>+_xlfn.XLOOKUP($H26&amp;$V26,BASEDATOS!$B:$B,BASEDATOS!R:R,0,0,1)</f>
        <v>0.75</v>
      </c>
      <c r="L26" s="51">
        <f t="shared" si="5"/>
        <v>0.51041666666666696</v>
      </c>
      <c r="M26" s="52" t="str">
        <f t="shared" si="6"/>
        <v>1:00</v>
      </c>
      <c r="N26" s="51">
        <f t="shared" si="7"/>
        <v>0.46875000000000028</v>
      </c>
      <c r="O26" s="53" t="str">
        <f>+O28</f>
        <v>6-0-1</v>
      </c>
      <c r="P26" s="54">
        <f>+IF(AND(Y26="Domingo",U26=7),_xlfn.XLOOKUP(O26,'Horarios y Sistemas'!C:C,'Horarios y Sistemas'!H:H,0,0,1),0)</f>
        <v>0</v>
      </c>
      <c r="Q26" s="54">
        <f>IF(U26=U27,0,IF(AVERAGEIF(W:W,W26,U:U)=U26,0,_xlfn.XLOOKUP(O26,'Horarios y Sistemas'!C:C,'Horarios y Sistemas'!H:H,0,0,1)-P26))/7*U26</f>
        <v>0</v>
      </c>
      <c r="R26" s="54">
        <f t="shared" si="8"/>
        <v>0</v>
      </c>
      <c r="S26" s="55" t="str">
        <f t="shared" si="9"/>
        <v>OCTUBRE</v>
      </c>
      <c r="T26" s="55" t="str">
        <f t="shared" si="10"/>
        <v>Sem40</v>
      </c>
      <c r="U26" s="56">
        <f t="shared" si="11"/>
        <v>7</v>
      </c>
      <c r="V26" s="59">
        <v>46297</v>
      </c>
      <c r="W26" s="56">
        <f t="shared" si="12"/>
        <v>40</v>
      </c>
      <c r="X26" s="56">
        <f t="shared" si="13"/>
        <v>2</v>
      </c>
      <c r="Y26" s="56" t="s">
        <v>32</v>
      </c>
      <c r="Z26" s="56">
        <v>5</v>
      </c>
      <c r="AA26" s="58">
        <f t="shared" si="15"/>
        <v>1</v>
      </c>
      <c r="AB26" s="58">
        <f t="shared" si="15"/>
        <v>0</v>
      </c>
      <c r="AC26" s="58">
        <f t="shared" si="15"/>
        <v>0</v>
      </c>
      <c r="AD26" s="58">
        <f t="shared" si="15"/>
        <v>0</v>
      </c>
      <c r="AE26" s="58">
        <f t="shared" si="15"/>
        <v>0</v>
      </c>
    </row>
    <row r="27" spans="2:31">
      <c r="B27" t="str">
        <f t="shared" si="0"/>
        <v>Sem4040ADOLFO DE JESUS LOPEZ CHAVEZ</v>
      </c>
      <c r="C27" t="str">
        <f t="shared" si="1"/>
        <v>OCTUBRESem40</v>
      </c>
      <c r="D27" t="str">
        <f t="shared" si="2"/>
        <v>OCTUBRESem40ADOLFO DE JESUS LOPEZ CHAVEZ</v>
      </c>
      <c r="E27" t="str">
        <f t="shared" si="3"/>
        <v>OCTUBRESem4040ADOLFO DE JESUS LOPEZ CHAVEZ</v>
      </c>
      <c r="F27" t="str">
        <f t="shared" si="4"/>
        <v>ADOLFO DE JESUS LOPEZ CHAVEZ46298</v>
      </c>
      <c r="H27" s="49" t="s">
        <v>9</v>
      </c>
      <c r="I27" s="50" t="str">
        <f>+_xlfn.XLOOKUP($H27&amp;$V27,BASEDATOS!$B:$B,BASEDATOS!F:F,0,0,1)</f>
        <v>DIA</v>
      </c>
      <c r="J27" s="51">
        <f>+_xlfn.XLOOKUP($H27&amp;$V27,BASEDATOS!$B:$B,BASEDATOS!Q:Q,0,0,1)</f>
        <v>0.23958333333333301</v>
      </c>
      <c r="K27" s="51">
        <f>+_xlfn.XLOOKUP($H27&amp;$V27,BASEDATOS!$B:$B,BASEDATOS!R:R,0,0,1)</f>
        <v>0.58333333333333304</v>
      </c>
      <c r="L27" s="51">
        <f t="shared" si="5"/>
        <v>0.34375</v>
      </c>
      <c r="M27" s="52" t="str">
        <f t="shared" si="6"/>
        <v>1:00</v>
      </c>
      <c r="N27" s="51">
        <f t="shared" si="7"/>
        <v>0.30208333333333331</v>
      </c>
      <c r="O27" s="53" t="str">
        <f>+O28</f>
        <v>6-0-1</v>
      </c>
      <c r="P27" s="54">
        <f>+IF(AND(Y27="Domingo",U27=7),_xlfn.XLOOKUP(O27,'Horarios y Sistemas'!C:C,'Horarios y Sistemas'!H:H,0,0,1),0)</f>
        <v>0</v>
      </c>
      <c r="Q27" s="54">
        <f>IF(U27=U28,0,IF(AVERAGEIF(W:W,W27,U:U)=U27,0,_xlfn.XLOOKUP(O27,'Horarios y Sistemas'!C:C,'Horarios y Sistemas'!H:H,0,0,1)-P27))/7*U27</f>
        <v>0</v>
      </c>
      <c r="R27" s="54">
        <f t="shared" si="8"/>
        <v>0</v>
      </c>
      <c r="S27" s="55" t="str">
        <f t="shared" si="9"/>
        <v>OCTUBRE</v>
      </c>
      <c r="T27" s="55" t="str">
        <f t="shared" si="10"/>
        <v>Sem40</v>
      </c>
      <c r="U27" s="56">
        <f t="shared" si="11"/>
        <v>7</v>
      </c>
      <c r="V27" s="59">
        <v>46298</v>
      </c>
      <c r="W27" s="56">
        <f t="shared" si="12"/>
        <v>40</v>
      </c>
      <c r="X27" s="56">
        <f t="shared" si="13"/>
        <v>3</v>
      </c>
      <c r="Y27" s="56" t="s">
        <v>33</v>
      </c>
      <c r="Z27" s="56">
        <v>6</v>
      </c>
      <c r="AA27" s="58">
        <f t="shared" si="15"/>
        <v>1</v>
      </c>
      <c r="AB27" s="58">
        <f t="shared" si="15"/>
        <v>0</v>
      </c>
      <c r="AC27" s="58">
        <f t="shared" si="15"/>
        <v>0</v>
      </c>
      <c r="AD27" s="58">
        <f t="shared" si="15"/>
        <v>0</v>
      </c>
      <c r="AE27" s="58">
        <f t="shared" si="15"/>
        <v>0</v>
      </c>
    </row>
    <row r="28" spans="2:31" s="60" customFormat="1">
      <c r="B28" s="60" t="str">
        <f t="shared" si="0"/>
        <v>Sem4040ADOLFO DE JESUS LOPEZ CHAVEZ</v>
      </c>
      <c r="C28" s="60" t="str">
        <f t="shared" si="1"/>
        <v>OCTUBRESem40</v>
      </c>
      <c r="D28" s="60" t="str">
        <f t="shared" si="2"/>
        <v>OCTUBRESem40ADOLFO DE JESUS LOPEZ CHAVEZ</v>
      </c>
      <c r="E28" s="60" t="str">
        <f t="shared" si="3"/>
        <v>OCTUBRESem4040ADOLFO DE JESUS LOPEZ CHAVEZ</v>
      </c>
      <c r="F28" s="60" t="str">
        <f t="shared" si="4"/>
        <v>ADOLFO DE JESUS LOPEZ CHAVEZ46299</v>
      </c>
      <c r="H28" s="61" t="s">
        <v>9</v>
      </c>
      <c r="I28" s="62" t="str">
        <f>+_xlfn.XLOOKUP($H28&amp;$V28,BASEDATOS!$B:$B,BASEDATOS!F:F,0,0,1)</f>
        <v>DESCANSO</v>
      </c>
      <c r="J28" s="63">
        <f>+_xlfn.XLOOKUP($H28&amp;$V28,BASEDATOS!$B:$B,BASEDATOS!Q:Q,0,0,1)</f>
        <v>0</v>
      </c>
      <c r="K28" s="63">
        <f>+_xlfn.XLOOKUP($H28&amp;$V28,BASEDATOS!$B:$B,BASEDATOS!R:R,0,0,1)</f>
        <v>0</v>
      </c>
      <c r="L28" s="63">
        <f t="shared" si="5"/>
        <v>0</v>
      </c>
      <c r="M28" s="64">
        <f t="shared" si="6"/>
        <v>0</v>
      </c>
      <c r="N28" s="63">
        <f t="shared" si="7"/>
        <v>0</v>
      </c>
      <c r="O28" s="65" t="str">
        <f>+IF(Y28="Domingo",SUM(AA22:AA28)&amp;"-"&amp;SUM(AB22:AB28)&amp;"-"&amp;SUM(AC22:AE28),"")</f>
        <v>6-0-1</v>
      </c>
      <c r="P28" s="66">
        <f>+IF(AND(Y28="Domingo",U28=7),_xlfn.XLOOKUP(O28,'Horarios y Sistemas'!C:C,'Horarios y Sistemas'!H:H,0,0,1),0)</f>
        <v>44</v>
      </c>
      <c r="Q28" s="66">
        <f>IF(U28=U29,0,IF(AVERAGEIF(W:W,W28,U:U)=U28,0,_xlfn.XLOOKUP(O28,'Horarios y Sistemas'!C:C,'Horarios y Sistemas'!H:H,0,0,1)-P28))/7*U28</f>
        <v>0</v>
      </c>
      <c r="R28" s="66">
        <f t="shared" si="8"/>
        <v>44</v>
      </c>
      <c r="S28" s="67" t="str">
        <f t="shared" si="9"/>
        <v>OCTUBRE</v>
      </c>
      <c r="T28" s="55" t="str">
        <f t="shared" si="10"/>
        <v>Sem40</v>
      </c>
      <c r="U28" s="68">
        <f t="shared" si="11"/>
        <v>7</v>
      </c>
      <c r="V28" s="69">
        <v>46299</v>
      </c>
      <c r="W28" s="68">
        <f t="shared" si="12"/>
        <v>40</v>
      </c>
      <c r="X28" s="68">
        <f t="shared" si="13"/>
        <v>4</v>
      </c>
      <c r="Y28" s="68" t="s">
        <v>34</v>
      </c>
      <c r="Z28" s="68">
        <v>7</v>
      </c>
      <c r="AA28" s="70">
        <f t="shared" si="15"/>
        <v>0</v>
      </c>
      <c r="AB28" s="70">
        <f t="shared" si="15"/>
        <v>0</v>
      </c>
      <c r="AC28" s="70">
        <f t="shared" si="15"/>
        <v>1</v>
      </c>
      <c r="AD28" s="70">
        <f t="shared" si="15"/>
        <v>0</v>
      </c>
      <c r="AE28" s="70">
        <f t="shared" si="15"/>
        <v>0</v>
      </c>
    </row>
    <row r="29" spans="2:31">
      <c r="B29" t="str">
        <f t="shared" ref="B29:B92" si="16">+T29&amp;W29&amp;H29</f>
        <v>Sem3838AMILCAR EDELBERTO LOPEZ AROCHE</v>
      </c>
      <c r="C29" t="str">
        <f t="shared" ref="C29:C92" si="17">+S29&amp;T29</f>
        <v>SEPTIEMBRESem38</v>
      </c>
      <c r="D29" t="str">
        <f t="shared" ref="D29:D92" si="18">+S29&amp;T29&amp;H29</f>
        <v>SEPTIEMBRESem38AMILCAR EDELBERTO LOPEZ AROCHE</v>
      </c>
      <c r="E29" t="str">
        <f t="shared" ref="E29:E92" si="19">+S29&amp;T29&amp;W29&amp;H29</f>
        <v>SEPTIEMBRESem3838AMILCAR EDELBERTO LOPEZ AROCHE</v>
      </c>
      <c r="F29" t="str">
        <f t="shared" ref="F29:F92" si="20">+H29&amp;V29</f>
        <v>AMILCAR EDELBERTO LOPEZ AROCHE46279</v>
      </c>
      <c r="H29" s="49" t="s">
        <v>11</v>
      </c>
      <c r="I29" s="50" t="str">
        <f>+_xlfn.XLOOKUP($H29&amp;$V29,BASEDATOS!$B:$B,BASEDATOS!F:F,0,0,1)</f>
        <v>DESCANSO</v>
      </c>
      <c r="J29" s="51">
        <f>+_xlfn.XLOOKUP($H29&amp;$V29,BASEDATOS!$B:$B,BASEDATOS!Q:Q,0,0,1)</f>
        <v>0</v>
      </c>
      <c r="K29" s="51">
        <f>+_xlfn.XLOOKUP($H29&amp;$V29,BASEDATOS!$B:$B,BASEDATOS!R:R,0,0,1)</f>
        <v>0</v>
      </c>
      <c r="L29" s="51">
        <f t="shared" ref="L29:L92" si="21">+IF(OR(J29="Descanso",J29="AUSENTE",J29="ASUETO"),0,MOD(K29-J29,1))</f>
        <v>0</v>
      </c>
      <c r="M29" s="52">
        <f t="shared" ref="M29:M92" si="22">+IF(OR(I29="DIA",I29="NOCHE",I29="MIXTO"),"1:00",0)</f>
        <v>0</v>
      </c>
      <c r="N29" s="51">
        <f t="shared" ref="N29:N92" si="23">+IF(I29="ASUETO-D",8/24,IF(I29="ASUETO-N",6/24,MOD(L29-M29,1)))</f>
        <v>0</v>
      </c>
      <c r="O29" s="53" t="str">
        <f t="shared" ref="O29" si="24">+O35</f>
        <v>1-3-3</v>
      </c>
      <c r="P29" s="54">
        <f>+IF(AND(Y29="Domingo",U29=7),_xlfn.XLOOKUP(O29,'Horarios y Sistemas'!C:C,'Horarios y Sistemas'!H:H,0,0,1),0)</f>
        <v>0</v>
      </c>
      <c r="Q29" s="54">
        <f>IF(U29=U30,0,IF(AVERAGEIF(W:W,W29,U:U)=U29,0,_xlfn.XLOOKUP(O29,'Horarios y Sistemas'!C:C,'Horarios y Sistemas'!H:H,0,0,1)-P29))/7*U29</f>
        <v>0</v>
      </c>
      <c r="R29" s="54">
        <f t="shared" ref="R29:R92" si="25">+IF(Y29="Domingo",SUM(P23:Q29),0)</f>
        <v>0</v>
      </c>
      <c r="S29" s="55" t="str">
        <f t="shared" ref="S29:S92" si="26">+UPPER(TEXT(V29,"MMMMMMMM"))</f>
        <v>SEPTIEMBRE</v>
      </c>
      <c r="T29" s="55" t="str">
        <f t="shared" ref="T29:T92" si="27">+"Sem"&amp;W29</f>
        <v>Sem38</v>
      </c>
      <c r="U29" s="56">
        <f t="shared" si="11"/>
        <v>7</v>
      </c>
      <c r="V29" s="57">
        <v>46279</v>
      </c>
      <c r="W29" s="56">
        <f t="shared" ref="W29:W92" si="28">+_xlfn.ISOWEEKNUM(V29)</f>
        <v>38</v>
      </c>
      <c r="X29" s="56">
        <f t="shared" ref="X29:X92" si="29">+DAY(V29)</f>
        <v>14</v>
      </c>
      <c r="Y29" s="56" t="s">
        <v>28</v>
      </c>
      <c r="Z29" s="56">
        <v>1</v>
      </c>
      <c r="AA29" s="58">
        <f t="shared" ref="AA29:AE79" si="30">+IF($I29=AA$7,1,0)</f>
        <v>0</v>
      </c>
      <c r="AB29" s="58">
        <f t="shared" si="30"/>
        <v>0</v>
      </c>
      <c r="AC29" s="58">
        <f t="shared" si="30"/>
        <v>1</v>
      </c>
      <c r="AD29" s="58">
        <f t="shared" si="30"/>
        <v>0</v>
      </c>
      <c r="AE29" s="58">
        <f t="shared" si="30"/>
        <v>0</v>
      </c>
    </row>
    <row r="30" spans="2:31">
      <c r="B30" t="str">
        <f t="shared" si="16"/>
        <v>Sem3838AMILCAR EDELBERTO LOPEZ AROCHE</v>
      </c>
      <c r="C30" t="str">
        <f t="shared" si="17"/>
        <v>SEPTIEMBRESem38</v>
      </c>
      <c r="D30" t="str">
        <f t="shared" si="18"/>
        <v>SEPTIEMBRESem38AMILCAR EDELBERTO LOPEZ AROCHE</v>
      </c>
      <c r="E30" t="str">
        <f t="shared" si="19"/>
        <v>SEPTIEMBRESem3838AMILCAR EDELBERTO LOPEZ AROCHE</v>
      </c>
      <c r="F30" t="str">
        <f t="shared" si="20"/>
        <v>AMILCAR EDELBERTO LOPEZ AROCHE46280</v>
      </c>
      <c r="H30" s="49" t="s">
        <v>11</v>
      </c>
      <c r="I30" s="50" t="str">
        <f>+_xlfn.XLOOKUP($H30&amp;$V30,BASEDATOS!$B:$B,BASEDATOS!F:F,0,0,1)</f>
        <v>DIA</v>
      </c>
      <c r="J30" s="51">
        <f>+_xlfn.XLOOKUP($H30&amp;$V30,BASEDATOS!$B:$B,BASEDATOS!Q:Q,0,0,1)</f>
        <v>0.33333333333333298</v>
      </c>
      <c r="K30" s="51">
        <f>+_xlfn.XLOOKUP($H30&amp;$V30,BASEDATOS!$B:$B,BASEDATOS!R:R,0,0,1)</f>
        <v>0.70833333333333304</v>
      </c>
      <c r="L30" s="51">
        <f t="shared" si="21"/>
        <v>0.37500000000000006</v>
      </c>
      <c r="M30" s="52" t="str">
        <f t="shared" si="22"/>
        <v>1:00</v>
      </c>
      <c r="N30" s="51">
        <f t="shared" si="23"/>
        <v>0.33333333333333337</v>
      </c>
      <c r="O30" s="53" t="str">
        <f t="shared" ref="O30" si="31">+O35</f>
        <v>1-3-3</v>
      </c>
      <c r="P30" s="54">
        <f>+IF(AND(Y30="Domingo",U30=7),_xlfn.XLOOKUP(O30,'Horarios y Sistemas'!C:C,'Horarios y Sistemas'!H:H,0,0,1),0)</f>
        <v>0</v>
      </c>
      <c r="Q30" s="54">
        <f>IF(U30=U31,0,IF(AVERAGEIF(W:W,W30,U:U)=U30,0,_xlfn.XLOOKUP(O30,'Horarios y Sistemas'!C:C,'Horarios y Sistemas'!H:H,0,0,1)-P30))/7*U30</f>
        <v>0</v>
      </c>
      <c r="R30" s="54">
        <f t="shared" si="25"/>
        <v>0</v>
      </c>
      <c r="S30" s="55" t="str">
        <f t="shared" si="26"/>
        <v>SEPTIEMBRE</v>
      </c>
      <c r="T30" s="55" t="str">
        <f t="shared" si="27"/>
        <v>Sem38</v>
      </c>
      <c r="U30" s="56">
        <f t="shared" si="11"/>
        <v>7</v>
      </c>
      <c r="V30" s="59">
        <v>46280</v>
      </c>
      <c r="W30" s="56">
        <f t="shared" si="28"/>
        <v>38</v>
      </c>
      <c r="X30" s="56">
        <f t="shared" si="29"/>
        <v>15</v>
      </c>
      <c r="Y30" s="56" t="s">
        <v>29</v>
      </c>
      <c r="Z30" s="56">
        <v>2</v>
      </c>
      <c r="AA30" s="58">
        <f t="shared" si="30"/>
        <v>1</v>
      </c>
      <c r="AB30" s="58">
        <f t="shared" si="30"/>
        <v>0</v>
      </c>
      <c r="AC30" s="58">
        <f t="shared" si="30"/>
        <v>0</v>
      </c>
      <c r="AD30" s="58">
        <f t="shared" si="30"/>
        <v>0</v>
      </c>
      <c r="AE30" s="58">
        <f t="shared" si="30"/>
        <v>0</v>
      </c>
    </row>
    <row r="31" spans="2:31">
      <c r="B31" t="str">
        <f t="shared" si="16"/>
        <v>Sem3838AMILCAR EDELBERTO LOPEZ AROCHE</v>
      </c>
      <c r="C31" t="str">
        <f t="shared" si="17"/>
        <v>SEPTIEMBRESem38</v>
      </c>
      <c r="D31" t="str">
        <f t="shared" si="18"/>
        <v>SEPTIEMBRESem38AMILCAR EDELBERTO LOPEZ AROCHE</v>
      </c>
      <c r="E31" t="str">
        <f t="shared" si="19"/>
        <v>SEPTIEMBRESem3838AMILCAR EDELBERTO LOPEZ AROCHE</v>
      </c>
      <c r="F31" t="str">
        <f t="shared" si="20"/>
        <v>AMILCAR EDELBERTO LOPEZ AROCHE46281</v>
      </c>
      <c r="H31" s="49" t="s">
        <v>11</v>
      </c>
      <c r="I31" s="50" t="str">
        <f>+_xlfn.XLOOKUP($H31&amp;$V31,BASEDATOS!$B:$B,BASEDATOS!F:F,0,0,1)</f>
        <v>NOCHE</v>
      </c>
      <c r="J31" s="51">
        <f>+_xlfn.XLOOKUP($H31&amp;$V31,BASEDATOS!$B:$B,BASEDATOS!Q:Q,0,0,1)</f>
        <v>0.75</v>
      </c>
      <c r="K31" s="51">
        <f>+_xlfn.XLOOKUP($H31&amp;$V31,BASEDATOS!$B:$B,BASEDATOS!R:R,0,0,1)</f>
        <v>0.25</v>
      </c>
      <c r="L31" s="51">
        <f t="shared" si="21"/>
        <v>0.5</v>
      </c>
      <c r="M31" s="52" t="str">
        <f t="shared" si="22"/>
        <v>1:00</v>
      </c>
      <c r="N31" s="51">
        <f t="shared" si="23"/>
        <v>0.45833333333333331</v>
      </c>
      <c r="O31" s="53" t="str">
        <f t="shared" ref="O31" si="32">+O35</f>
        <v>1-3-3</v>
      </c>
      <c r="P31" s="54">
        <f>+IF(AND(Y31="Domingo",U31=7),_xlfn.XLOOKUP(O31,'Horarios y Sistemas'!C:C,'Horarios y Sistemas'!H:H,0,0,1),0)</f>
        <v>0</v>
      </c>
      <c r="Q31" s="54">
        <f>IF(U31=U32,0,IF(AVERAGEIF(W:W,W31,U:U)=U31,0,_xlfn.XLOOKUP(O31,'Horarios y Sistemas'!C:C,'Horarios y Sistemas'!H:H,0,0,1)-P31))/7*U31</f>
        <v>0</v>
      </c>
      <c r="R31" s="54">
        <f t="shared" si="25"/>
        <v>0</v>
      </c>
      <c r="S31" s="55" t="str">
        <f t="shared" si="26"/>
        <v>SEPTIEMBRE</v>
      </c>
      <c r="T31" s="55" t="str">
        <f t="shared" si="27"/>
        <v>Sem38</v>
      </c>
      <c r="U31" s="56">
        <f t="shared" si="11"/>
        <v>7</v>
      </c>
      <c r="V31" s="59">
        <v>46281</v>
      </c>
      <c r="W31" s="56">
        <f t="shared" si="28"/>
        <v>38</v>
      </c>
      <c r="X31" s="56">
        <f t="shared" si="29"/>
        <v>16</v>
      </c>
      <c r="Y31" s="56" t="s">
        <v>30</v>
      </c>
      <c r="Z31" s="56">
        <v>3</v>
      </c>
      <c r="AA31" s="58">
        <f t="shared" si="30"/>
        <v>0</v>
      </c>
      <c r="AB31" s="58">
        <f t="shared" si="30"/>
        <v>1</v>
      </c>
      <c r="AC31" s="58">
        <f t="shared" si="30"/>
        <v>0</v>
      </c>
      <c r="AD31" s="58">
        <f t="shared" si="30"/>
        <v>0</v>
      </c>
      <c r="AE31" s="58">
        <f t="shared" si="30"/>
        <v>0</v>
      </c>
    </row>
    <row r="32" spans="2:31">
      <c r="B32" t="str">
        <f t="shared" si="16"/>
        <v>Sem3838AMILCAR EDELBERTO LOPEZ AROCHE</v>
      </c>
      <c r="C32" t="str">
        <f t="shared" si="17"/>
        <v>SEPTIEMBRESem38</v>
      </c>
      <c r="D32" t="str">
        <f t="shared" si="18"/>
        <v>SEPTIEMBRESem38AMILCAR EDELBERTO LOPEZ AROCHE</v>
      </c>
      <c r="E32" t="str">
        <f t="shared" si="19"/>
        <v>SEPTIEMBRESem3838AMILCAR EDELBERTO LOPEZ AROCHE</v>
      </c>
      <c r="F32" t="str">
        <f t="shared" si="20"/>
        <v>AMILCAR EDELBERTO LOPEZ AROCHE46282</v>
      </c>
      <c r="H32" s="49" t="s">
        <v>11</v>
      </c>
      <c r="I32" s="50" t="str">
        <f>+_xlfn.XLOOKUP($H32&amp;$V32,BASEDATOS!$B:$B,BASEDATOS!F:F,0,0,1)</f>
        <v>NOCHE</v>
      </c>
      <c r="J32" s="51">
        <f>+_xlfn.XLOOKUP($H32&amp;$V32,BASEDATOS!$B:$B,BASEDATOS!Q:Q,0,0,1)</f>
        <v>0.75</v>
      </c>
      <c r="K32" s="51">
        <f>+_xlfn.XLOOKUP($H32&amp;$V32,BASEDATOS!$B:$B,BASEDATOS!R:R,0,0,1)</f>
        <v>0.25</v>
      </c>
      <c r="L32" s="51">
        <f t="shared" si="21"/>
        <v>0.5</v>
      </c>
      <c r="M32" s="52" t="str">
        <f t="shared" si="22"/>
        <v>1:00</v>
      </c>
      <c r="N32" s="51">
        <f t="shared" si="23"/>
        <v>0.45833333333333331</v>
      </c>
      <c r="O32" s="53" t="str">
        <f t="shared" ref="O32" si="33">+O35</f>
        <v>1-3-3</v>
      </c>
      <c r="P32" s="54">
        <f>+IF(AND(Y32="Domingo",U32=7),_xlfn.XLOOKUP(O32,'Horarios y Sistemas'!C:C,'Horarios y Sistemas'!H:H,0,0,1),0)</f>
        <v>0</v>
      </c>
      <c r="Q32" s="54">
        <f>IF(U32=U33,0,IF(AVERAGEIF(W:W,W32,U:U)=U32,0,_xlfn.XLOOKUP(O32,'Horarios y Sistemas'!C:C,'Horarios y Sistemas'!H:H,0,0,1)-P32))/7*U32</f>
        <v>0</v>
      </c>
      <c r="R32" s="54">
        <f t="shared" si="25"/>
        <v>0</v>
      </c>
      <c r="S32" s="55" t="str">
        <f t="shared" si="26"/>
        <v>SEPTIEMBRE</v>
      </c>
      <c r="T32" s="55" t="str">
        <f t="shared" si="27"/>
        <v>Sem38</v>
      </c>
      <c r="U32" s="56">
        <f t="shared" si="11"/>
        <v>7</v>
      </c>
      <c r="V32" s="59">
        <v>46282</v>
      </c>
      <c r="W32" s="56">
        <f t="shared" si="28"/>
        <v>38</v>
      </c>
      <c r="X32" s="56">
        <f t="shared" si="29"/>
        <v>17</v>
      </c>
      <c r="Y32" s="56" t="s">
        <v>31</v>
      </c>
      <c r="Z32" s="56">
        <v>4</v>
      </c>
      <c r="AA32" s="58">
        <f t="shared" si="30"/>
        <v>0</v>
      </c>
      <c r="AB32" s="58">
        <f t="shared" si="30"/>
        <v>1</v>
      </c>
      <c r="AC32" s="58">
        <f t="shared" si="30"/>
        <v>0</v>
      </c>
      <c r="AD32" s="58">
        <f t="shared" si="30"/>
        <v>0</v>
      </c>
      <c r="AE32" s="58">
        <f t="shared" si="30"/>
        <v>0</v>
      </c>
    </row>
    <row r="33" spans="2:34">
      <c r="B33" t="str">
        <f t="shared" si="16"/>
        <v>Sem3838AMILCAR EDELBERTO LOPEZ AROCHE</v>
      </c>
      <c r="C33" t="str">
        <f t="shared" si="17"/>
        <v>SEPTIEMBRESem38</v>
      </c>
      <c r="D33" t="str">
        <f t="shared" si="18"/>
        <v>SEPTIEMBRESem38AMILCAR EDELBERTO LOPEZ AROCHE</v>
      </c>
      <c r="E33" t="str">
        <f t="shared" si="19"/>
        <v>SEPTIEMBRESem3838AMILCAR EDELBERTO LOPEZ AROCHE</v>
      </c>
      <c r="F33" t="str">
        <f t="shared" si="20"/>
        <v>AMILCAR EDELBERTO LOPEZ AROCHE46283</v>
      </c>
      <c r="H33" s="49" t="s">
        <v>11</v>
      </c>
      <c r="I33" s="50" t="str">
        <f>+_xlfn.XLOOKUP($H33&amp;$V33,BASEDATOS!$B:$B,BASEDATOS!F:F,0,0,1)</f>
        <v>NOCHE</v>
      </c>
      <c r="J33" s="51">
        <f>+_xlfn.XLOOKUP($H33&amp;$V33,BASEDATOS!$B:$B,BASEDATOS!Q:Q,0,0,1)</f>
        <v>0.75</v>
      </c>
      <c r="K33" s="51">
        <f>+_xlfn.XLOOKUP($H33&amp;$V33,BASEDATOS!$B:$B,BASEDATOS!R:R,0,0,1)</f>
        <v>0.25</v>
      </c>
      <c r="L33" s="51">
        <f t="shared" si="21"/>
        <v>0.5</v>
      </c>
      <c r="M33" s="52" t="str">
        <f t="shared" si="22"/>
        <v>1:00</v>
      </c>
      <c r="N33" s="51">
        <f t="shared" si="23"/>
        <v>0.45833333333333331</v>
      </c>
      <c r="O33" s="53" t="str">
        <f t="shared" ref="O33" si="34">+O35</f>
        <v>1-3-3</v>
      </c>
      <c r="P33" s="54">
        <f>+IF(AND(Y33="Domingo",U33=7),_xlfn.XLOOKUP(O33,'Horarios y Sistemas'!C:C,'Horarios y Sistemas'!H:H,0,0,1),0)</f>
        <v>0</v>
      </c>
      <c r="Q33" s="54">
        <f>IF(U33=U34,0,IF(AVERAGEIF(W:W,W33,U:U)=U33,0,_xlfn.XLOOKUP(O33,'Horarios y Sistemas'!C:C,'Horarios y Sistemas'!H:H,0,0,1)-P33))/7*U33</f>
        <v>0</v>
      </c>
      <c r="R33" s="54">
        <f t="shared" si="25"/>
        <v>0</v>
      </c>
      <c r="S33" s="55" t="str">
        <f t="shared" si="26"/>
        <v>SEPTIEMBRE</v>
      </c>
      <c r="T33" s="55" t="str">
        <f t="shared" si="27"/>
        <v>Sem38</v>
      </c>
      <c r="U33" s="56">
        <f t="shared" si="11"/>
        <v>7</v>
      </c>
      <c r="V33" s="59">
        <v>46283</v>
      </c>
      <c r="W33" s="56">
        <f t="shared" si="28"/>
        <v>38</v>
      </c>
      <c r="X33" s="56">
        <f t="shared" si="29"/>
        <v>18</v>
      </c>
      <c r="Y33" s="56" t="s">
        <v>32</v>
      </c>
      <c r="Z33" s="56">
        <v>5</v>
      </c>
      <c r="AA33" s="58">
        <f t="shared" si="30"/>
        <v>0</v>
      </c>
      <c r="AB33" s="58">
        <f t="shared" si="30"/>
        <v>1</v>
      </c>
      <c r="AC33" s="58">
        <f t="shared" si="30"/>
        <v>0</v>
      </c>
      <c r="AD33" s="58">
        <f t="shared" si="30"/>
        <v>0</v>
      </c>
      <c r="AE33" s="58">
        <f t="shared" si="30"/>
        <v>0</v>
      </c>
    </row>
    <row r="34" spans="2:34">
      <c r="B34" t="str">
        <f t="shared" si="16"/>
        <v>Sem3838AMILCAR EDELBERTO LOPEZ AROCHE</v>
      </c>
      <c r="C34" t="str">
        <f t="shared" si="17"/>
        <v>SEPTIEMBRESem38</v>
      </c>
      <c r="D34" t="str">
        <f t="shared" si="18"/>
        <v>SEPTIEMBRESem38AMILCAR EDELBERTO LOPEZ AROCHE</v>
      </c>
      <c r="E34" t="str">
        <f t="shared" si="19"/>
        <v>SEPTIEMBRESem3838AMILCAR EDELBERTO LOPEZ AROCHE</v>
      </c>
      <c r="F34" t="str">
        <f t="shared" si="20"/>
        <v>AMILCAR EDELBERTO LOPEZ AROCHE46284</v>
      </c>
      <c r="H34" s="49" t="s">
        <v>11</v>
      </c>
      <c r="I34" s="50" t="str">
        <f>+_xlfn.XLOOKUP($H34&amp;$V34,BASEDATOS!$B:$B,BASEDATOS!F:F,0,0,1)</f>
        <v>DESCANSO</v>
      </c>
      <c r="J34" s="51">
        <f>+_xlfn.XLOOKUP($H34&amp;$V34,BASEDATOS!$B:$B,BASEDATOS!Q:Q,0,0,1)</f>
        <v>0</v>
      </c>
      <c r="K34" s="51">
        <f>+_xlfn.XLOOKUP($H34&amp;$V34,BASEDATOS!$B:$B,BASEDATOS!R:R,0,0,1)</f>
        <v>0</v>
      </c>
      <c r="L34" s="51">
        <f t="shared" si="21"/>
        <v>0</v>
      </c>
      <c r="M34" s="52">
        <f t="shared" si="22"/>
        <v>0</v>
      </c>
      <c r="N34" s="51">
        <f t="shared" si="23"/>
        <v>0</v>
      </c>
      <c r="O34" s="53" t="str">
        <f t="shared" ref="O34" si="35">+O35</f>
        <v>1-3-3</v>
      </c>
      <c r="P34" s="54">
        <f>+IF(AND(Y34="Domingo",U34=7),_xlfn.XLOOKUP(O34,'Horarios y Sistemas'!C:C,'Horarios y Sistemas'!H:H,0,0,1),0)</f>
        <v>0</v>
      </c>
      <c r="Q34" s="54">
        <f>IF(U34=U35,0,IF(AVERAGEIF(W:W,W34,U:U)=U34,0,_xlfn.XLOOKUP(O34,'Horarios y Sistemas'!C:C,'Horarios y Sistemas'!H:H,0,0,1)-P34))/7*U34</f>
        <v>0</v>
      </c>
      <c r="R34" s="54">
        <f t="shared" si="25"/>
        <v>0</v>
      </c>
      <c r="S34" s="55" t="str">
        <f t="shared" si="26"/>
        <v>SEPTIEMBRE</v>
      </c>
      <c r="T34" s="55" t="str">
        <f t="shared" si="27"/>
        <v>Sem38</v>
      </c>
      <c r="U34" s="56">
        <f t="shared" si="11"/>
        <v>7</v>
      </c>
      <c r="V34" s="59">
        <v>46284</v>
      </c>
      <c r="W34" s="56">
        <f t="shared" si="28"/>
        <v>38</v>
      </c>
      <c r="X34" s="56">
        <f t="shared" si="29"/>
        <v>19</v>
      </c>
      <c r="Y34" s="56" t="s">
        <v>33</v>
      </c>
      <c r="Z34" s="56">
        <v>6</v>
      </c>
      <c r="AA34" s="58">
        <f t="shared" si="30"/>
        <v>0</v>
      </c>
      <c r="AB34" s="58">
        <f t="shared" si="30"/>
        <v>0</v>
      </c>
      <c r="AC34" s="58">
        <f t="shared" si="30"/>
        <v>1</v>
      </c>
      <c r="AD34" s="58">
        <f t="shared" si="30"/>
        <v>0</v>
      </c>
      <c r="AE34" s="58">
        <f t="shared" si="30"/>
        <v>0</v>
      </c>
    </row>
    <row r="35" spans="2:34" s="60" customFormat="1">
      <c r="B35" s="60" t="str">
        <f t="shared" si="16"/>
        <v>Sem3838AMILCAR EDELBERTO LOPEZ AROCHE</v>
      </c>
      <c r="C35" s="60" t="str">
        <f t="shared" si="17"/>
        <v>SEPTIEMBRESem38</v>
      </c>
      <c r="D35" s="60" t="str">
        <f t="shared" si="18"/>
        <v>SEPTIEMBRESem38AMILCAR EDELBERTO LOPEZ AROCHE</v>
      </c>
      <c r="E35" s="60" t="str">
        <f t="shared" si="19"/>
        <v>SEPTIEMBRESem3838AMILCAR EDELBERTO LOPEZ AROCHE</v>
      </c>
      <c r="F35" s="60" t="str">
        <f t="shared" si="20"/>
        <v>AMILCAR EDELBERTO LOPEZ AROCHE46285</v>
      </c>
      <c r="H35" s="61" t="s">
        <v>11</v>
      </c>
      <c r="I35" s="62" t="str">
        <f>+_xlfn.XLOOKUP($H35&amp;$V35,BASEDATOS!$B:$B,BASEDATOS!F:F,0,0,1)</f>
        <v>DESCANSO</v>
      </c>
      <c r="J35" s="63">
        <f>+_xlfn.XLOOKUP($H35&amp;$V35,BASEDATOS!$B:$B,BASEDATOS!Q:Q,0,0,1)</f>
        <v>0</v>
      </c>
      <c r="K35" s="63">
        <f>+_xlfn.XLOOKUP($H35&amp;$V35,BASEDATOS!$B:$B,BASEDATOS!R:R,0,0,1)</f>
        <v>0</v>
      </c>
      <c r="L35" s="63">
        <f t="shared" si="21"/>
        <v>0</v>
      </c>
      <c r="M35" s="64">
        <f t="shared" si="22"/>
        <v>0</v>
      </c>
      <c r="N35" s="63">
        <f t="shared" si="23"/>
        <v>0</v>
      </c>
      <c r="O35" s="65" t="str">
        <f t="shared" ref="O35" si="36">+IF(Y35="Domingo",SUM(AA29:AA35)&amp;"-"&amp;SUM(AB29:AB35)&amp;"-"&amp;SUM(AC29:AE35),"")</f>
        <v>1-3-3</v>
      </c>
      <c r="P35" s="66">
        <f>+IF(AND(Y35="Domingo",U35=7),_xlfn.XLOOKUP(O35,'Horarios y Sistemas'!C:C,'Horarios y Sistemas'!H:H,0,0,1),0)</f>
        <v>38</v>
      </c>
      <c r="Q35" s="66">
        <f>IF(U35=U36,0,IF(AVERAGEIF(W:W,W35,U:U)=U35,0,_xlfn.XLOOKUP(O35,'Horarios y Sistemas'!C:C,'Horarios y Sistemas'!H:H,0,0,1)-P35))/7*U35</f>
        <v>0</v>
      </c>
      <c r="R35" s="66">
        <f t="shared" si="25"/>
        <v>38</v>
      </c>
      <c r="S35" s="67" t="str">
        <f t="shared" si="26"/>
        <v>SEPTIEMBRE</v>
      </c>
      <c r="T35" s="55" t="str">
        <f t="shared" si="27"/>
        <v>Sem38</v>
      </c>
      <c r="U35" s="68">
        <f t="shared" si="11"/>
        <v>7</v>
      </c>
      <c r="V35" s="69">
        <v>46285</v>
      </c>
      <c r="W35" s="68">
        <f t="shared" si="28"/>
        <v>38</v>
      </c>
      <c r="X35" s="68">
        <f t="shared" si="29"/>
        <v>20</v>
      </c>
      <c r="Y35" s="68" t="s">
        <v>34</v>
      </c>
      <c r="Z35" s="68">
        <v>7</v>
      </c>
      <c r="AA35" s="70">
        <f t="shared" si="30"/>
        <v>0</v>
      </c>
      <c r="AB35" s="70">
        <f t="shared" si="30"/>
        <v>0</v>
      </c>
      <c r="AC35" s="70">
        <f t="shared" si="30"/>
        <v>1</v>
      </c>
      <c r="AD35" s="70">
        <f t="shared" si="30"/>
        <v>0</v>
      </c>
      <c r="AE35" s="70">
        <f t="shared" si="30"/>
        <v>0</v>
      </c>
      <c r="AF35" s="71"/>
      <c r="AG35" s="71"/>
      <c r="AH35" s="71"/>
    </row>
    <row r="36" spans="2:34">
      <c r="B36" t="str">
        <f t="shared" si="16"/>
        <v>Sem3939AMILCAR EDELBERTO LOPEZ AROCHE</v>
      </c>
      <c r="C36" t="str">
        <f t="shared" si="17"/>
        <v>SEPTIEMBRESem39</v>
      </c>
      <c r="D36" t="str">
        <f t="shared" si="18"/>
        <v>SEPTIEMBRESem39AMILCAR EDELBERTO LOPEZ AROCHE</v>
      </c>
      <c r="E36" t="str">
        <f t="shared" si="19"/>
        <v>SEPTIEMBRESem3939AMILCAR EDELBERTO LOPEZ AROCHE</v>
      </c>
      <c r="F36" t="str">
        <f t="shared" si="20"/>
        <v>AMILCAR EDELBERTO LOPEZ AROCHE46286</v>
      </c>
      <c r="H36" s="49" t="s">
        <v>11</v>
      </c>
      <c r="I36" s="50" t="str">
        <f>+_xlfn.XLOOKUP($H36&amp;$V36,BASEDATOS!$B:$B,BASEDATOS!F:F,0,0,1)</f>
        <v>DIA</v>
      </c>
      <c r="J36" s="51">
        <f>+_xlfn.XLOOKUP($H36&amp;$V36,BASEDATOS!$B:$B,BASEDATOS!Q:Q,0,0,1)</f>
        <v>0.25</v>
      </c>
      <c r="K36" s="51">
        <f>+_xlfn.XLOOKUP($H36&amp;$V36,BASEDATOS!$B:$B,BASEDATOS!R:R,0,0,1)</f>
        <v>0.75</v>
      </c>
      <c r="L36" s="51">
        <f t="shared" si="21"/>
        <v>0.5</v>
      </c>
      <c r="M36" s="52" t="str">
        <f t="shared" si="22"/>
        <v>1:00</v>
      </c>
      <c r="N36" s="51">
        <f t="shared" si="23"/>
        <v>0.45833333333333331</v>
      </c>
      <c r="O36" s="53" t="str">
        <f t="shared" ref="O36" si="37">+O42</f>
        <v>6-0-1</v>
      </c>
      <c r="P36" s="54">
        <f>+IF(AND(Y36="Domingo",U36=7),_xlfn.XLOOKUP(O36,'Horarios y Sistemas'!C:C,'Horarios y Sistemas'!H:H,0,0,1),0)</f>
        <v>0</v>
      </c>
      <c r="Q36" s="54">
        <f>IF(U36=U37,0,IF(AVERAGEIF(W:W,W36,U:U)=U36,0,_xlfn.XLOOKUP(O36,'Horarios y Sistemas'!C:C,'Horarios y Sistemas'!H:H,0,0,1)-P36))/7*U36</f>
        <v>0</v>
      </c>
      <c r="R36" s="54">
        <f t="shared" si="25"/>
        <v>0</v>
      </c>
      <c r="S36" s="55" t="str">
        <f t="shared" si="26"/>
        <v>SEPTIEMBRE</v>
      </c>
      <c r="T36" s="55" t="str">
        <f t="shared" si="27"/>
        <v>Sem39</v>
      </c>
      <c r="U36" s="56">
        <f t="shared" si="11"/>
        <v>7</v>
      </c>
      <c r="V36" s="59">
        <v>46286</v>
      </c>
      <c r="W36" s="56">
        <f t="shared" si="28"/>
        <v>39</v>
      </c>
      <c r="X36" s="56">
        <f t="shared" si="29"/>
        <v>21</v>
      </c>
      <c r="Y36" s="56" t="s">
        <v>28</v>
      </c>
      <c r="Z36" s="56">
        <v>1</v>
      </c>
      <c r="AA36" s="58">
        <f t="shared" si="30"/>
        <v>1</v>
      </c>
      <c r="AB36" s="58">
        <f t="shared" si="30"/>
        <v>0</v>
      </c>
      <c r="AC36" s="58">
        <f t="shared" si="30"/>
        <v>0</v>
      </c>
      <c r="AD36" s="58">
        <f t="shared" si="30"/>
        <v>0</v>
      </c>
      <c r="AE36" s="58">
        <f t="shared" si="30"/>
        <v>0</v>
      </c>
    </row>
    <row r="37" spans="2:34">
      <c r="B37" t="str">
        <f t="shared" si="16"/>
        <v>Sem3939AMILCAR EDELBERTO LOPEZ AROCHE</v>
      </c>
      <c r="C37" t="str">
        <f t="shared" si="17"/>
        <v>SEPTIEMBRESem39</v>
      </c>
      <c r="D37" t="str">
        <f t="shared" si="18"/>
        <v>SEPTIEMBRESem39AMILCAR EDELBERTO LOPEZ AROCHE</v>
      </c>
      <c r="E37" t="str">
        <f t="shared" si="19"/>
        <v>SEPTIEMBRESem3939AMILCAR EDELBERTO LOPEZ AROCHE</v>
      </c>
      <c r="F37" t="str">
        <f t="shared" si="20"/>
        <v>AMILCAR EDELBERTO LOPEZ AROCHE46287</v>
      </c>
      <c r="H37" s="49" t="s">
        <v>11</v>
      </c>
      <c r="I37" s="50" t="str">
        <f>+_xlfn.XLOOKUP($H37&amp;$V37,BASEDATOS!$B:$B,BASEDATOS!F:F,0,0,1)</f>
        <v>DIA</v>
      </c>
      <c r="J37" s="51">
        <f>+_xlfn.XLOOKUP($H37&amp;$V37,BASEDATOS!$B:$B,BASEDATOS!Q:Q,0,0,1)</f>
        <v>0.25</v>
      </c>
      <c r="K37" s="51">
        <f>+_xlfn.XLOOKUP($H37&amp;$V37,BASEDATOS!$B:$B,BASEDATOS!R:R,0,0,1)</f>
        <v>0.75</v>
      </c>
      <c r="L37" s="51">
        <f t="shared" si="21"/>
        <v>0.5</v>
      </c>
      <c r="M37" s="52" t="str">
        <f t="shared" si="22"/>
        <v>1:00</v>
      </c>
      <c r="N37" s="51">
        <f t="shared" si="23"/>
        <v>0.45833333333333331</v>
      </c>
      <c r="O37" s="53" t="str">
        <f t="shared" ref="O37" si="38">+O42</f>
        <v>6-0-1</v>
      </c>
      <c r="P37" s="54">
        <f>+IF(AND(Y37="Domingo",U37=7),_xlfn.XLOOKUP(O37,'Horarios y Sistemas'!C:C,'Horarios y Sistemas'!H:H,0,0,1),0)</f>
        <v>0</v>
      </c>
      <c r="Q37" s="54">
        <f>IF(U37=U38,0,IF(AVERAGEIF(W:W,W37,U:U)=U37,0,_xlfn.XLOOKUP(O37,'Horarios y Sistemas'!C:C,'Horarios y Sistemas'!H:H,0,0,1)-P37))/7*U37</f>
        <v>0</v>
      </c>
      <c r="R37" s="54">
        <f t="shared" si="25"/>
        <v>0</v>
      </c>
      <c r="S37" s="55" t="str">
        <f t="shared" si="26"/>
        <v>SEPTIEMBRE</v>
      </c>
      <c r="T37" s="55" t="str">
        <f t="shared" si="27"/>
        <v>Sem39</v>
      </c>
      <c r="U37" s="56">
        <f t="shared" si="11"/>
        <v>7</v>
      </c>
      <c r="V37" s="59">
        <v>46287</v>
      </c>
      <c r="W37" s="56">
        <f t="shared" si="28"/>
        <v>39</v>
      </c>
      <c r="X37" s="56">
        <f t="shared" si="29"/>
        <v>22</v>
      </c>
      <c r="Y37" s="56" t="s">
        <v>29</v>
      </c>
      <c r="Z37" s="56">
        <v>2</v>
      </c>
      <c r="AA37" s="58">
        <f t="shared" si="30"/>
        <v>1</v>
      </c>
      <c r="AB37" s="58">
        <f t="shared" si="30"/>
        <v>0</v>
      </c>
      <c r="AC37" s="58">
        <f t="shared" si="30"/>
        <v>0</v>
      </c>
      <c r="AD37" s="58">
        <f t="shared" si="30"/>
        <v>0</v>
      </c>
      <c r="AE37" s="58">
        <f t="shared" si="30"/>
        <v>0</v>
      </c>
    </row>
    <row r="38" spans="2:34">
      <c r="B38" t="str">
        <f t="shared" si="16"/>
        <v>Sem3939AMILCAR EDELBERTO LOPEZ AROCHE</v>
      </c>
      <c r="C38" t="str">
        <f t="shared" si="17"/>
        <v>SEPTIEMBRESem39</v>
      </c>
      <c r="D38" t="str">
        <f t="shared" si="18"/>
        <v>SEPTIEMBRESem39AMILCAR EDELBERTO LOPEZ AROCHE</v>
      </c>
      <c r="E38" t="str">
        <f t="shared" si="19"/>
        <v>SEPTIEMBRESem3939AMILCAR EDELBERTO LOPEZ AROCHE</v>
      </c>
      <c r="F38" t="str">
        <f t="shared" si="20"/>
        <v>AMILCAR EDELBERTO LOPEZ AROCHE46288</v>
      </c>
      <c r="H38" s="49" t="s">
        <v>11</v>
      </c>
      <c r="I38" s="50" t="str">
        <f>+_xlfn.XLOOKUP($H38&amp;$V38,BASEDATOS!$B:$B,BASEDATOS!F:F,0,0,1)</f>
        <v>DIA</v>
      </c>
      <c r="J38" s="51">
        <f>+_xlfn.XLOOKUP($H38&amp;$V38,BASEDATOS!$B:$B,BASEDATOS!Q:Q,0,0,1)</f>
        <v>0.25</v>
      </c>
      <c r="K38" s="51">
        <f>+_xlfn.XLOOKUP($H38&amp;$V38,BASEDATOS!$B:$B,BASEDATOS!R:R,0,0,1)</f>
        <v>0.75</v>
      </c>
      <c r="L38" s="51">
        <f t="shared" si="21"/>
        <v>0.5</v>
      </c>
      <c r="M38" s="52" t="str">
        <f t="shared" si="22"/>
        <v>1:00</v>
      </c>
      <c r="N38" s="51">
        <f t="shared" si="23"/>
        <v>0.45833333333333331</v>
      </c>
      <c r="O38" s="53" t="str">
        <f t="shared" ref="O38" si="39">+O42</f>
        <v>6-0-1</v>
      </c>
      <c r="P38" s="54">
        <f>+IF(AND(Y38="Domingo",U38=7),_xlfn.XLOOKUP(O38,'Horarios y Sistemas'!C:C,'Horarios y Sistemas'!H:H,0,0,1),0)</f>
        <v>0</v>
      </c>
      <c r="Q38" s="54">
        <f>IF(U38=U39,0,IF(AVERAGEIF(W:W,W38,U:U)=U38,0,_xlfn.XLOOKUP(O38,'Horarios y Sistemas'!C:C,'Horarios y Sistemas'!H:H,0,0,1)-P38))/7*U38</f>
        <v>0</v>
      </c>
      <c r="R38" s="54">
        <f t="shared" si="25"/>
        <v>0</v>
      </c>
      <c r="S38" s="55" t="str">
        <f t="shared" si="26"/>
        <v>SEPTIEMBRE</v>
      </c>
      <c r="T38" s="55" t="str">
        <f t="shared" si="27"/>
        <v>Sem39</v>
      </c>
      <c r="U38" s="56">
        <f t="shared" si="11"/>
        <v>7</v>
      </c>
      <c r="V38" s="59">
        <v>46288</v>
      </c>
      <c r="W38" s="56">
        <f t="shared" si="28"/>
        <v>39</v>
      </c>
      <c r="X38" s="56">
        <f t="shared" si="29"/>
        <v>23</v>
      </c>
      <c r="Y38" s="56" t="s">
        <v>30</v>
      </c>
      <c r="Z38" s="56">
        <v>3</v>
      </c>
      <c r="AA38" s="58">
        <f t="shared" si="30"/>
        <v>1</v>
      </c>
      <c r="AB38" s="58">
        <f t="shared" si="30"/>
        <v>0</v>
      </c>
      <c r="AC38" s="58">
        <f t="shared" si="30"/>
        <v>0</v>
      </c>
      <c r="AD38" s="58">
        <f t="shared" si="30"/>
        <v>0</v>
      </c>
      <c r="AE38" s="58">
        <f t="shared" si="30"/>
        <v>0</v>
      </c>
    </row>
    <row r="39" spans="2:34">
      <c r="B39" t="str">
        <f t="shared" si="16"/>
        <v>Sem3939AMILCAR EDELBERTO LOPEZ AROCHE</v>
      </c>
      <c r="C39" t="str">
        <f t="shared" si="17"/>
        <v>SEPTIEMBRESem39</v>
      </c>
      <c r="D39" t="str">
        <f t="shared" si="18"/>
        <v>SEPTIEMBRESem39AMILCAR EDELBERTO LOPEZ AROCHE</v>
      </c>
      <c r="E39" t="str">
        <f t="shared" si="19"/>
        <v>SEPTIEMBRESem3939AMILCAR EDELBERTO LOPEZ AROCHE</v>
      </c>
      <c r="F39" t="str">
        <f t="shared" si="20"/>
        <v>AMILCAR EDELBERTO LOPEZ AROCHE46289</v>
      </c>
      <c r="H39" s="49" t="s">
        <v>11</v>
      </c>
      <c r="I39" s="50" t="str">
        <f>+_xlfn.XLOOKUP($H39&amp;$V39,BASEDATOS!$B:$B,BASEDATOS!F:F,0,0,1)</f>
        <v>DIA</v>
      </c>
      <c r="J39" s="51">
        <f>+_xlfn.XLOOKUP($H39&amp;$V39,BASEDATOS!$B:$B,BASEDATOS!Q:Q,0,0,1)</f>
        <v>0.25</v>
      </c>
      <c r="K39" s="51">
        <f>+_xlfn.XLOOKUP($H39&amp;$V39,BASEDATOS!$B:$B,BASEDATOS!R:R,0,0,1)</f>
        <v>0.75</v>
      </c>
      <c r="L39" s="51">
        <f t="shared" si="21"/>
        <v>0.5</v>
      </c>
      <c r="M39" s="52" t="str">
        <f t="shared" si="22"/>
        <v>1:00</v>
      </c>
      <c r="N39" s="51">
        <f t="shared" si="23"/>
        <v>0.45833333333333331</v>
      </c>
      <c r="O39" s="53" t="str">
        <f t="shared" ref="O39" si="40">+O42</f>
        <v>6-0-1</v>
      </c>
      <c r="P39" s="54">
        <f>+IF(AND(Y39="Domingo",U39=7),_xlfn.XLOOKUP(O39,'Horarios y Sistemas'!C:C,'Horarios y Sistemas'!H:H,0,0,1),0)</f>
        <v>0</v>
      </c>
      <c r="Q39" s="54">
        <f>IF(U39=U40,0,IF(AVERAGEIF(W:W,W39,U:U)=U39,0,_xlfn.XLOOKUP(O39,'Horarios y Sistemas'!C:C,'Horarios y Sistemas'!H:H,0,0,1)-P39))/7*U39</f>
        <v>0</v>
      </c>
      <c r="R39" s="54">
        <f t="shared" si="25"/>
        <v>0</v>
      </c>
      <c r="S39" s="55" t="str">
        <f t="shared" si="26"/>
        <v>SEPTIEMBRE</v>
      </c>
      <c r="T39" s="55" t="str">
        <f t="shared" si="27"/>
        <v>Sem39</v>
      </c>
      <c r="U39" s="56">
        <f t="shared" si="11"/>
        <v>7</v>
      </c>
      <c r="V39" s="59">
        <v>46289</v>
      </c>
      <c r="W39" s="56">
        <f t="shared" si="28"/>
        <v>39</v>
      </c>
      <c r="X39" s="56">
        <f t="shared" si="29"/>
        <v>24</v>
      </c>
      <c r="Y39" s="56" t="s">
        <v>31</v>
      </c>
      <c r="Z39" s="56">
        <v>4</v>
      </c>
      <c r="AA39" s="58">
        <f t="shared" si="30"/>
        <v>1</v>
      </c>
      <c r="AB39" s="58">
        <f t="shared" si="30"/>
        <v>0</v>
      </c>
      <c r="AC39" s="58">
        <f t="shared" si="30"/>
        <v>0</v>
      </c>
      <c r="AD39" s="58">
        <f t="shared" si="30"/>
        <v>0</v>
      </c>
      <c r="AE39" s="58">
        <f t="shared" si="30"/>
        <v>0</v>
      </c>
    </row>
    <row r="40" spans="2:34">
      <c r="B40" t="str">
        <f t="shared" si="16"/>
        <v>Sem3939AMILCAR EDELBERTO LOPEZ AROCHE</v>
      </c>
      <c r="C40" t="str">
        <f t="shared" si="17"/>
        <v>SEPTIEMBRESem39</v>
      </c>
      <c r="D40" t="str">
        <f t="shared" si="18"/>
        <v>SEPTIEMBRESem39AMILCAR EDELBERTO LOPEZ AROCHE</v>
      </c>
      <c r="E40" t="str">
        <f t="shared" si="19"/>
        <v>SEPTIEMBRESem3939AMILCAR EDELBERTO LOPEZ AROCHE</v>
      </c>
      <c r="F40" t="str">
        <f t="shared" si="20"/>
        <v>AMILCAR EDELBERTO LOPEZ AROCHE46290</v>
      </c>
      <c r="H40" s="49" t="s">
        <v>11</v>
      </c>
      <c r="I40" s="50" t="str">
        <f>+_xlfn.XLOOKUP($H40&amp;$V40,BASEDATOS!$B:$B,BASEDATOS!F:F,0,0,1)</f>
        <v>DIA</v>
      </c>
      <c r="J40" s="51">
        <f>+_xlfn.XLOOKUP($H40&amp;$V40,BASEDATOS!$B:$B,BASEDATOS!Q:Q,0,0,1)</f>
        <v>0.25</v>
      </c>
      <c r="K40" s="51">
        <f>+_xlfn.XLOOKUP($H40&amp;$V40,BASEDATOS!$B:$B,BASEDATOS!R:R,0,0,1)</f>
        <v>0.75</v>
      </c>
      <c r="L40" s="51">
        <f t="shared" si="21"/>
        <v>0.5</v>
      </c>
      <c r="M40" s="52" t="str">
        <f t="shared" si="22"/>
        <v>1:00</v>
      </c>
      <c r="N40" s="51">
        <f t="shared" si="23"/>
        <v>0.45833333333333331</v>
      </c>
      <c r="O40" s="53" t="str">
        <f t="shared" ref="O40" si="41">+O42</f>
        <v>6-0-1</v>
      </c>
      <c r="P40" s="54">
        <f>+IF(AND(Y40="Domingo",U40=7),_xlfn.XLOOKUP(O40,'Horarios y Sistemas'!C:C,'Horarios y Sistemas'!H:H,0,0,1),0)</f>
        <v>0</v>
      </c>
      <c r="Q40" s="54">
        <f>IF(U40=U41,0,IF(AVERAGEIF(W:W,W40,U:U)=U40,0,_xlfn.XLOOKUP(O40,'Horarios y Sistemas'!C:C,'Horarios y Sistemas'!H:H,0,0,1)-P40))/7*U40</f>
        <v>0</v>
      </c>
      <c r="R40" s="54">
        <f t="shared" si="25"/>
        <v>0</v>
      </c>
      <c r="S40" s="55" t="str">
        <f t="shared" si="26"/>
        <v>SEPTIEMBRE</v>
      </c>
      <c r="T40" s="55" t="str">
        <f t="shared" si="27"/>
        <v>Sem39</v>
      </c>
      <c r="U40" s="56">
        <f t="shared" si="11"/>
        <v>7</v>
      </c>
      <c r="V40" s="59">
        <v>46290</v>
      </c>
      <c r="W40" s="56">
        <f t="shared" si="28"/>
        <v>39</v>
      </c>
      <c r="X40" s="56">
        <f t="shared" si="29"/>
        <v>25</v>
      </c>
      <c r="Y40" s="56" t="s">
        <v>32</v>
      </c>
      <c r="Z40" s="56">
        <v>5</v>
      </c>
      <c r="AA40" s="58">
        <f t="shared" si="30"/>
        <v>1</v>
      </c>
      <c r="AB40" s="58">
        <f t="shared" si="30"/>
        <v>0</v>
      </c>
      <c r="AC40" s="58">
        <f t="shared" si="30"/>
        <v>0</v>
      </c>
      <c r="AD40" s="58">
        <f t="shared" si="30"/>
        <v>0</v>
      </c>
      <c r="AE40" s="58">
        <f t="shared" si="30"/>
        <v>0</v>
      </c>
    </row>
    <row r="41" spans="2:34">
      <c r="B41" t="str">
        <f t="shared" si="16"/>
        <v>Sem3939AMILCAR EDELBERTO LOPEZ AROCHE</v>
      </c>
      <c r="C41" t="str">
        <f t="shared" si="17"/>
        <v>SEPTIEMBRESem39</v>
      </c>
      <c r="D41" t="str">
        <f t="shared" si="18"/>
        <v>SEPTIEMBRESem39AMILCAR EDELBERTO LOPEZ AROCHE</v>
      </c>
      <c r="E41" t="str">
        <f t="shared" si="19"/>
        <v>SEPTIEMBRESem3939AMILCAR EDELBERTO LOPEZ AROCHE</v>
      </c>
      <c r="F41" t="str">
        <f t="shared" si="20"/>
        <v>AMILCAR EDELBERTO LOPEZ AROCHE46291</v>
      </c>
      <c r="H41" s="49" t="s">
        <v>11</v>
      </c>
      <c r="I41" s="50" t="str">
        <f>+_xlfn.XLOOKUP($H41&amp;$V41,BASEDATOS!$B:$B,BASEDATOS!F:F,0,0,1)</f>
        <v>DIA</v>
      </c>
      <c r="J41" s="51">
        <f>+_xlfn.XLOOKUP($H41&amp;$V41,BASEDATOS!$B:$B,BASEDATOS!Q:Q,0,0,1)</f>
        <v>0.25</v>
      </c>
      <c r="K41" s="51">
        <f>+_xlfn.XLOOKUP($H41&amp;$V41,BASEDATOS!$B:$B,BASEDATOS!R:R,0,0,1)</f>
        <v>0.58333333333333304</v>
      </c>
      <c r="L41" s="51">
        <f t="shared" si="21"/>
        <v>0.33333333333333304</v>
      </c>
      <c r="M41" s="52" t="str">
        <f t="shared" si="22"/>
        <v>1:00</v>
      </c>
      <c r="N41" s="51">
        <f t="shared" si="23"/>
        <v>0.29166666666666635</v>
      </c>
      <c r="O41" s="53" t="str">
        <f t="shared" ref="O41" si="42">+O42</f>
        <v>6-0-1</v>
      </c>
      <c r="P41" s="54">
        <f>+IF(AND(Y41="Domingo",U41=7),_xlfn.XLOOKUP(O41,'Horarios y Sistemas'!C:C,'Horarios y Sistemas'!H:H,0,0,1),0)</f>
        <v>0</v>
      </c>
      <c r="Q41" s="54">
        <f>IF(U41=U42,0,IF(AVERAGEIF(W:W,W41,U:U)=U41,0,_xlfn.XLOOKUP(O41,'Horarios y Sistemas'!C:C,'Horarios y Sistemas'!H:H,0,0,1)-P41))/7*U41</f>
        <v>0</v>
      </c>
      <c r="R41" s="54">
        <f t="shared" si="25"/>
        <v>0</v>
      </c>
      <c r="S41" s="55" t="str">
        <f t="shared" si="26"/>
        <v>SEPTIEMBRE</v>
      </c>
      <c r="T41" s="55" t="str">
        <f t="shared" si="27"/>
        <v>Sem39</v>
      </c>
      <c r="U41" s="56">
        <f t="shared" si="11"/>
        <v>7</v>
      </c>
      <c r="V41" s="59">
        <v>46291</v>
      </c>
      <c r="W41" s="56">
        <f t="shared" si="28"/>
        <v>39</v>
      </c>
      <c r="X41" s="56">
        <f t="shared" si="29"/>
        <v>26</v>
      </c>
      <c r="Y41" s="56" t="s">
        <v>33</v>
      </c>
      <c r="Z41" s="56">
        <v>6</v>
      </c>
      <c r="AA41" s="58">
        <f t="shared" si="30"/>
        <v>1</v>
      </c>
      <c r="AB41" s="58">
        <f t="shared" si="30"/>
        <v>0</v>
      </c>
      <c r="AC41" s="58">
        <f t="shared" si="30"/>
        <v>0</v>
      </c>
      <c r="AD41" s="58">
        <f t="shared" si="30"/>
        <v>0</v>
      </c>
      <c r="AE41" s="58">
        <f t="shared" si="30"/>
        <v>0</v>
      </c>
    </row>
    <row r="42" spans="2:34" s="60" customFormat="1">
      <c r="B42" s="60" t="str">
        <f t="shared" si="16"/>
        <v>Sem3939AMILCAR EDELBERTO LOPEZ AROCHE</v>
      </c>
      <c r="C42" s="60" t="str">
        <f t="shared" si="17"/>
        <v>SEPTIEMBRESem39</v>
      </c>
      <c r="D42" s="60" t="str">
        <f t="shared" si="18"/>
        <v>SEPTIEMBRESem39AMILCAR EDELBERTO LOPEZ AROCHE</v>
      </c>
      <c r="E42" s="60" t="str">
        <f t="shared" si="19"/>
        <v>SEPTIEMBRESem3939AMILCAR EDELBERTO LOPEZ AROCHE</v>
      </c>
      <c r="F42" s="60" t="str">
        <f t="shared" si="20"/>
        <v>AMILCAR EDELBERTO LOPEZ AROCHE46292</v>
      </c>
      <c r="H42" s="61" t="s">
        <v>11</v>
      </c>
      <c r="I42" s="62" t="str">
        <f>+_xlfn.XLOOKUP($H42&amp;$V42,BASEDATOS!$B:$B,BASEDATOS!F:F,0,0,1)</f>
        <v>DESCANSO</v>
      </c>
      <c r="J42" s="63">
        <f>+_xlfn.XLOOKUP($H42&amp;$V42,BASEDATOS!$B:$B,BASEDATOS!Q:Q,0,0,1)</f>
        <v>0</v>
      </c>
      <c r="K42" s="63">
        <f>+_xlfn.XLOOKUP($H42&amp;$V42,BASEDATOS!$B:$B,BASEDATOS!R:R,0,0,1)</f>
        <v>0</v>
      </c>
      <c r="L42" s="63">
        <f t="shared" si="21"/>
        <v>0</v>
      </c>
      <c r="M42" s="64">
        <f t="shared" si="22"/>
        <v>0</v>
      </c>
      <c r="N42" s="63">
        <f t="shared" si="23"/>
        <v>0</v>
      </c>
      <c r="O42" s="65" t="str">
        <f t="shared" ref="O42" si="43">+IF(Y42="Domingo",SUM(AA36:AA42)&amp;"-"&amp;SUM(AB36:AB42)&amp;"-"&amp;SUM(AC36:AE42),"")</f>
        <v>6-0-1</v>
      </c>
      <c r="P42" s="66">
        <f>+IF(AND(Y42="Domingo",U42=7),_xlfn.XLOOKUP(O42,'Horarios y Sistemas'!C:C,'Horarios y Sistemas'!H:H,0,0,1),0)</f>
        <v>44</v>
      </c>
      <c r="Q42" s="66">
        <f>IF(U42=U43,0,IF(AVERAGEIF(W:W,W42,U:U)=U42,0,_xlfn.XLOOKUP(O42,'Horarios y Sistemas'!C:C,'Horarios y Sistemas'!H:H,0,0,1)-P42))/7*U42</f>
        <v>0</v>
      </c>
      <c r="R42" s="66">
        <f t="shared" si="25"/>
        <v>44</v>
      </c>
      <c r="S42" s="67" t="str">
        <f t="shared" si="26"/>
        <v>SEPTIEMBRE</v>
      </c>
      <c r="T42" s="55" t="str">
        <f t="shared" si="27"/>
        <v>Sem39</v>
      </c>
      <c r="U42" s="68">
        <f t="shared" si="11"/>
        <v>7</v>
      </c>
      <c r="V42" s="69">
        <v>46292</v>
      </c>
      <c r="W42" s="68">
        <f t="shared" si="28"/>
        <v>39</v>
      </c>
      <c r="X42" s="68">
        <f t="shared" si="29"/>
        <v>27</v>
      </c>
      <c r="Y42" s="68" t="s">
        <v>34</v>
      </c>
      <c r="Z42" s="68">
        <v>7</v>
      </c>
      <c r="AA42" s="70">
        <f t="shared" si="30"/>
        <v>0</v>
      </c>
      <c r="AB42" s="70">
        <f t="shared" si="30"/>
        <v>0</v>
      </c>
      <c r="AC42" s="70">
        <f t="shared" si="30"/>
        <v>1</v>
      </c>
      <c r="AD42" s="70">
        <f t="shared" si="30"/>
        <v>0</v>
      </c>
      <c r="AE42" s="70">
        <f t="shared" si="30"/>
        <v>0</v>
      </c>
      <c r="AF42" s="71"/>
      <c r="AG42" s="71"/>
      <c r="AH42" s="71"/>
    </row>
    <row r="43" spans="2:34">
      <c r="B43" t="str">
        <f t="shared" si="16"/>
        <v>Sem4040AMILCAR EDELBERTO LOPEZ AROCHE</v>
      </c>
      <c r="C43" t="str">
        <f t="shared" si="17"/>
        <v>SEPTIEMBRESem40</v>
      </c>
      <c r="D43" t="str">
        <f t="shared" si="18"/>
        <v>SEPTIEMBRESem40AMILCAR EDELBERTO LOPEZ AROCHE</v>
      </c>
      <c r="E43" t="str">
        <f t="shared" si="19"/>
        <v>SEPTIEMBRESem4040AMILCAR EDELBERTO LOPEZ AROCHE</v>
      </c>
      <c r="F43" t="str">
        <f t="shared" si="20"/>
        <v>AMILCAR EDELBERTO LOPEZ AROCHE46293</v>
      </c>
      <c r="H43" s="49" t="s">
        <v>11</v>
      </c>
      <c r="I43" s="50" t="str">
        <f>+_xlfn.XLOOKUP($H43&amp;$V43,BASEDATOS!$B:$B,BASEDATOS!F:F,0,0,1)</f>
        <v>NOCHE</v>
      </c>
      <c r="J43" s="51">
        <f>+_xlfn.XLOOKUP($H43&amp;$V43,BASEDATOS!$B:$B,BASEDATOS!Q:Q,0,0,1)</f>
        <v>0.75</v>
      </c>
      <c r="K43" s="51">
        <f>+_xlfn.XLOOKUP($H43&amp;$V43,BASEDATOS!$B:$B,BASEDATOS!R:R,0,0,1)</f>
        <v>0.25</v>
      </c>
      <c r="L43" s="51">
        <f t="shared" si="21"/>
        <v>0.5</v>
      </c>
      <c r="M43" s="52" t="str">
        <f t="shared" si="22"/>
        <v>1:00</v>
      </c>
      <c r="N43" s="51">
        <f t="shared" si="23"/>
        <v>0.45833333333333331</v>
      </c>
      <c r="O43" s="53" t="str">
        <f t="shared" ref="O43" si="44">+O49</f>
        <v>0-5-2</v>
      </c>
      <c r="P43" s="54">
        <f>+IF(AND(Y43="Domingo",U43=7),_xlfn.XLOOKUP(O43,'Horarios y Sistemas'!C:C,'Horarios y Sistemas'!H:H,0,0,1),0)</f>
        <v>0</v>
      </c>
      <c r="Q43" s="54">
        <f>IF(U43=U44,0,IF(AVERAGEIF(W:W,W43,U:U)=U43,0,_xlfn.XLOOKUP(O43,'Horarios y Sistemas'!C:C,'Horarios y Sistemas'!H:H,0,0,1)-P43))/7*U43</f>
        <v>0</v>
      </c>
      <c r="R43" s="54">
        <f t="shared" si="25"/>
        <v>0</v>
      </c>
      <c r="S43" s="55" t="str">
        <f t="shared" si="26"/>
        <v>SEPTIEMBRE</v>
      </c>
      <c r="T43" s="55" t="str">
        <f t="shared" si="27"/>
        <v>Sem40</v>
      </c>
      <c r="U43" s="56">
        <f t="shared" si="11"/>
        <v>7</v>
      </c>
      <c r="V43" s="59">
        <v>46293</v>
      </c>
      <c r="W43" s="56">
        <f t="shared" si="28"/>
        <v>40</v>
      </c>
      <c r="X43" s="56">
        <f t="shared" si="29"/>
        <v>28</v>
      </c>
      <c r="Y43" s="56" t="s">
        <v>28</v>
      </c>
      <c r="Z43" s="56">
        <v>1</v>
      </c>
      <c r="AA43" s="58">
        <f t="shared" si="30"/>
        <v>0</v>
      </c>
      <c r="AB43" s="58">
        <f t="shared" si="30"/>
        <v>1</v>
      </c>
      <c r="AC43" s="58">
        <f t="shared" si="30"/>
        <v>0</v>
      </c>
      <c r="AD43" s="58">
        <f t="shared" si="30"/>
        <v>0</v>
      </c>
      <c r="AE43" s="58">
        <f t="shared" si="30"/>
        <v>0</v>
      </c>
    </row>
    <row r="44" spans="2:34">
      <c r="B44" t="str">
        <f t="shared" si="16"/>
        <v>Sem4040AMILCAR EDELBERTO LOPEZ AROCHE</v>
      </c>
      <c r="C44" t="str">
        <f t="shared" si="17"/>
        <v>SEPTIEMBRESem40</v>
      </c>
      <c r="D44" t="str">
        <f t="shared" si="18"/>
        <v>SEPTIEMBRESem40AMILCAR EDELBERTO LOPEZ AROCHE</v>
      </c>
      <c r="E44" t="str">
        <f t="shared" si="19"/>
        <v>SEPTIEMBRESem4040AMILCAR EDELBERTO LOPEZ AROCHE</v>
      </c>
      <c r="F44" t="str">
        <f t="shared" si="20"/>
        <v>AMILCAR EDELBERTO LOPEZ AROCHE46294</v>
      </c>
      <c r="H44" s="49" t="s">
        <v>11</v>
      </c>
      <c r="I44" s="50" t="str">
        <f>+_xlfn.XLOOKUP($H44&amp;$V44,BASEDATOS!$B:$B,BASEDATOS!F:F,0,0,1)</f>
        <v>NOCHE</v>
      </c>
      <c r="J44" s="51">
        <f>+_xlfn.XLOOKUP($H44&amp;$V44,BASEDATOS!$B:$B,BASEDATOS!Q:Q,0,0,1)</f>
        <v>0.75</v>
      </c>
      <c r="K44" s="51">
        <f>+_xlfn.XLOOKUP($H44&amp;$V44,BASEDATOS!$B:$B,BASEDATOS!R:R,0,0,1)</f>
        <v>0.25</v>
      </c>
      <c r="L44" s="51">
        <f t="shared" si="21"/>
        <v>0.5</v>
      </c>
      <c r="M44" s="52" t="str">
        <f t="shared" si="22"/>
        <v>1:00</v>
      </c>
      <c r="N44" s="51">
        <f t="shared" si="23"/>
        <v>0.45833333333333331</v>
      </c>
      <c r="O44" s="53" t="str">
        <f t="shared" ref="O44" si="45">+O49</f>
        <v>0-5-2</v>
      </c>
      <c r="P44" s="54">
        <f>+IF(AND(Y44="Domingo",U44=7),_xlfn.XLOOKUP(O44,'Horarios y Sistemas'!C:C,'Horarios y Sistemas'!H:H,0,0,1),0)</f>
        <v>0</v>
      </c>
      <c r="Q44" s="54">
        <f>IF(U44=U45,0,IF(AVERAGEIF(W:W,W44,U:U)=U44,0,_xlfn.XLOOKUP(O44,'Horarios y Sistemas'!C:C,'Horarios y Sistemas'!H:H,0,0,1)-P44))/7*U44</f>
        <v>0</v>
      </c>
      <c r="R44" s="54">
        <f t="shared" si="25"/>
        <v>0</v>
      </c>
      <c r="S44" s="55" t="str">
        <f t="shared" si="26"/>
        <v>SEPTIEMBRE</v>
      </c>
      <c r="T44" s="55" t="str">
        <f t="shared" si="27"/>
        <v>Sem40</v>
      </c>
      <c r="U44" s="56">
        <f t="shared" si="11"/>
        <v>7</v>
      </c>
      <c r="V44" s="59">
        <v>46294</v>
      </c>
      <c r="W44" s="56">
        <f t="shared" si="28"/>
        <v>40</v>
      </c>
      <c r="X44" s="56">
        <f t="shared" si="29"/>
        <v>29</v>
      </c>
      <c r="Y44" s="56" t="s">
        <v>29</v>
      </c>
      <c r="Z44" s="56">
        <v>2</v>
      </c>
      <c r="AA44" s="58">
        <f t="shared" si="30"/>
        <v>0</v>
      </c>
      <c r="AB44" s="58">
        <f t="shared" si="30"/>
        <v>1</v>
      </c>
      <c r="AC44" s="58">
        <f t="shared" si="30"/>
        <v>0</v>
      </c>
      <c r="AD44" s="58">
        <f t="shared" si="30"/>
        <v>0</v>
      </c>
      <c r="AE44" s="58">
        <f t="shared" si="30"/>
        <v>0</v>
      </c>
    </row>
    <row r="45" spans="2:34">
      <c r="B45" t="str">
        <f t="shared" si="16"/>
        <v>Sem4040AMILCAR EDELBERTO LOPEZ AROCHE</v>
      </c>
      <c r="C45" t="str">
        <f t="shared" si="17"/>
        <v>SEPTIEMBRESem40</v>
      </c>
      <c r="D45" t="str">
        <f t="shared" si="18"/>
        <v>SEPTIEMBRESem40AMILCAR EDELBERTO LOPEZ AROCHE</v>
      </c>
      <c r="E45" t="str">
        <f t="shared" si="19"/>
        <v>SEPTIEMBRESem4040AMILCAR EDELBERTO LOPEZ AROCHE</v>
      </c>
      <c r="F45" t="str">
        <f t="shared" si="20"/>
        <v>AMILCAR EDELBERTO LOPEZ AROCHE46295</v>
      </c>
      <c r="H45" s="49" t="s">
        <v>11</v>
      </c>
      <c r="I45" s="50" t="str">
        <f>+_xlfn.XLOOKUP($H45&amp;$V45,BASEDATOS!$B:$B,BASEDATOS!F:F,0,0,1)</f>
        <v>NOCHE</v>
      </c>
      <c r="J45" s="51">
        <f>+_xlfn.XLOOKUP($H45&amp;$V45,BASEDATOS!$B:$B,BASEDATOS!Q:Q,0,0,1)</f>
        <v>0.75</v>
      </c>
      <c r="K45" s="51">
        <f>+_xlfn.XLOOKUP($H45&amp;$V45,BASEDATOS!$B:$B,BASEDATOS!R:R,0,0,1)</f>
        <v>0.25</v>
      </c>
      <c r="L45" s="51">
        <f t="shared" si="21"/>
        <v>0.5</v>
      </c>
      <c r="M45" s="52" t="str">
        <f t="shared" si="22"/>
        <v>1:00</v>
      </c>
      <c r="N45" s="51">
        <f t="shared" si="23"/>
        <v>0.45833333333333331</v>
      </c>
      <c r="O45" s="53" t="str">
        <f t="shared" ref="O45" si="46">+O49</f>
        <v>0-5-2</v>
      </c>
      <c r="P45" s="54">
        <f>+IF(AND(Y45="Domingo",U45=7),_xlfn.XLOOKUP(O45,'Horarios y Sistemas'!C:C,'Horarios y Sistemas'!H:H,0,0,1),0)</f>
        <v>0</v>
      </c>
      <c r="Q45" s="54">
        <f>IF(U45=U46,0,IF(AVERAGEIF(W:W,W45,U:U)=U45,0,_xlfn.XLOOKUP(O45,'Horarios y Sistemas'!C:C,'Horarios y Sistemas'!H:H,0,0,1)-P45))/7*U45</f>
        <v>0</v>
      </c>
      <c r="R45" s="54">
        <f t="shared" si="25"/>
        <v>0</v>
      </c>
      <c r="S45" s="55" t="str">
        <f t="shared" si="26"/>
        <v>SEPTIEMBRE</v>
      </c>
      <c r="T45" s="55" t="str">
        <f t="shared" si="27"/>
        <v>Sem40</v>
      </c>
      <c r="U45" s="56">
        <f t="shared" si="11"/>
        <v>7</v>
      </c>
      <c r="V45" s="59">
        <v>46295</v>
      </c>
      <c r="W45" s="56">
        <f t="shared" si="28"/>
        <v>40</v>
      </c>
      <c r="X45" s="56">
        <f t="shared" si="29"/>
        <v>30</v>
      </c>
      <c r="Y45" s="56" t="s">
        <v>30</v>
      </c>
      <c r="Z45" s="56">
        <v>3</v>
      </c>
      <c r="AA45" s="58">
        <f t="shared" si="30"/>
        <v>0</v>
      </c>
      <c r="AB45" s="58">
        <f t="shared" si="30"/>
        <v>1</v>
      </c>
      <c r="AC45" s="58">
        <f t="shared" si="30"/>
        <v>0</v>
      </c>
      <c r="AD45" s="58">
        <f t="shared" si="30"/>
        <v>0</v>
      </c>
      <c r="AE45" s="58">
        <f t="shared" si="30"/>
        <v>0</v>
      </c>
    </row>
    <row r="46" spans="2:34">
      <c r="B46" t="str">
        <f t="shared" si="16"/>
        <v>Sem4040AMILCAR EDELBERTO LOPEZ AROCHE</v>
      </c>
      <c r="C46" t="str">
        <f t="shared" si="17"/>
        <v>OCTUBRESem40</v>
      </c>
      <c r="D46" t="str">
        <f t="shared" si="18"/>
        <v>OCTUBRESem40AMILCAR EDELBERTO LOPEZ AROCHE</v>
      </c>
      <c r="E46" t="str">
        <f t="shared" si="19"/>
        <v>OCTUBRESem4040AMILCAR EDELBERTO LOPEZ AROCHE</v>
      </c>
      <c r="F46" t="str">
        <f t="shared" si="20"/>
        <v>AMILCAR EDELBERTO LOPEZ AROCHE46296</v>
      </c>
      <c r="H46" s="49" t="s">
        <v>11</v>
      </c>
      <c r="I46" s="50" t="str">
        <f>+_xlfn.XLOOKUP($H46&amp;$V46,BASEDATOS!$B:$B,BASEDATOS!F:F,0,0,1)</f>
        <v>NOCHE</v>
      </c>
      <c r="J46" s="51">
        <f>+_xlfn.XLOOKUP($H46&amp;$V46,BASEDATOS!$B:$B,BASEDATOS!Q:Q,0,0,1)</f>
        <v>0.75</v>
      </c>
      <c r="K46" s="51">
        <f>+_xlfn.XLOOKUP($H46&amp;$V46,BASEDATOS!$B:$B,BASEDATOS!R:R,0,0,1)</f>
        <v>0.25</v>
      </c>
      <c r="L46" s="51">
        <f t="shared" si="21"/>
        <v>0.5</v>
      </c>
      <c r="M46" s="52" t="str">
        <f t="shared" si="22"/>
        <v>1:00</v>
      </c>
      <c r="N46" s="51">
        <f t="shared" si="23"/>
        <v>0.45833333333333331</v>
      </c>
      <c r="O46" s="53" t="str">
        <f t="shared" ref="O46" si="47">+O49</f>
        <v>0-5-2</v>
      </c>
      <c r="P46" s="54">
        <f>+IF(AND(Y46="Domingo",U46=7),_xlfn.XLOOKUP(O46,'Horarios y Sistemas'!C:C,'Horarios y Sistemas'!H:H,0,0,1),0)</f>
        <v>0</v>
      </c>
      <c r="Q46" s="54">
        <f>IF(U46=U47,0,IF(AVERAGEIF(W:W,W46,U:U)=U46,0,_xlfn.XLOOKUP(O46,'Horarios y Sistemas'!C:C,'Horarios y Sistemas'!H:H,0,0,1)-P46))/7*U46</f>
        <v>0</v>
      </c>
      <c r="R46" s="54">
        <f t="shared" si="25"/>
        <v>0</v>
      </c>
      <c r="S46" s="55" t="str">
        <f t="shared" si="26"/>
        <v>OCTUBRE</v>
      </c>
      <c r="T46" s="55" t="str">
        <f t="shared" si="27"/>
        <v>Sem40</v>
      </c>
      <c r="U46" s="56">
        <f t="shared" si="11"/>
        <v>7</v>
      </c>
      <c r="V46" s="59">
        <v>46296</v>
      </c>
      <c r="W46" s="56">
        <f t="shared" si="28"/>
        <v>40</v>
      </c>
      <c r="X46" s="56">
        <f t="shared" si="29"/>
        <v>1</v>
      </c>
      <c r="Y46" s="56" t="s">
        <v>31</v>
      </c>
      <c r="Z46" s="56">
        <v>4</v>
      </c>
      <c r="AA46" s="58">
        <f t="shared" si="30"/>
        <v>0</v>
      </c>
      <c r="AB46" s="58">
        <f t="shared" si="30"/>
        <v>1</v>
      </c>
      <c r="AC46" s="58">
        <f t="shared" si="30"/>
        <v>0</v>
      </c>
      <c r="AD46" s="58">
        <f t="shared" si="30"/>
        <v>0</v>
      </c>
      <c r="AE46" s="58">
        <f t="shared" si="30"/>
        <v>0</v>
      </c>
    </row>
    <row r="47" spans="2:34">
      <c r="B47" t="str">
        <f t="shared" si="16"/>
        <v>Sem4040AMILCAR EDELBERTO LOPEZ AROCHE</v>
      </c>
      <c r="C47" t="str">
        <f t="shared" si="17"/>
        <v>OCTUBRESem40</v>
      </c>
      <c r="D47" t="str">
        <f t="shared" si="18"/>
        <v>OCTUBRESem40AMILCAR EDELBERTO LOPEZ AROCHE</v>
      </c>
      <c r="E47" t="str">
        <f t="shared" si="19"/>
        <v>OCTUBRESem4040AMILCAR EDELBERTO LOPEZ AROCHE</v>
      </c>
      <c r="F47" t="str">
        <f t="shared" si="20"/>
        <v>AMILCAR EDELBERTO LOPEZ AROCHE46297</v>
      </c>
      <c r="H47" s="49" t="s">
        <v>11</v>
      </c>
      <c r="I47" s="50" t="str">
        <f>+_xlfn.XLOOKUP($H47&amp;$V47,BASEDATOS!$B:$B,BASEDATOS!F:F,0,0,1)</f>
        <v>NOCHE</v>
      </c>
      <c r="J47" s="51">
        <f>+_xlfn.XLOOKUP($H47&amp;$V47,BASEDATOS!$B:$B,BASEDATOS!Q:Q,0,0,1)</f>
        <v>0.75</v>
      </c>
      <c r="K47" s="51">
        <f>+_xlfn.XLOOKUP($H47&amp;$V47,BASEDATOS!$B:$B,BASEDATOS!R:R,0,0,1)</f>
        <v>0.25</v>
      </c>
      <c r="L47" s="51">
        <f t="shared" si="21"/>
        <v>0.5</v>
      </c>
      <c r="M47" s="52" t="str">
        <f t="shared" si="22"/>
        <v>1:00</v>
      </c>
      <c r="N47" s="51">
        <f t="shared" si="23"/>
        <v>0.45833333333333331</v>
      </c>
      <c r="O47" s="53" t="str">
        <f t="shared" ref="O47" si="48">+O49</f>
        <v>0-5-2</v>
      </c>
      <c r="P47" s="54">
        <f>+IF(AND(Y47="Domingo",U47=7),_xlfn.XLOOKUP(O47,'Horarios y Sistemas'!C:C,'Horarios y Sistemas'!H:H,0,0,1),0)</f>
        <v>0</v>
      </c>
      <c r="Q47" s="54">
        <f>IF(U47=U48,0,IF(AVERAGEIF(W:W,W47,U:U)=U47,0,_xlfn.XLOOKUP(O47,'Horarios y Sistemas'!C:C,'Horarios y Sistemas'!H:H,0,0,1)-P47))/7*U47</f>
        <v>0</v>
      </c>
      <c r="R47" s="54">
        <f t="shared" si="25"/>
        <v>0</v>
      </c>
      <c r="S47" s="55" t="str">
        <f t="shared" si="26"/>
        <v>OCTUBRE</v>
      </c>
      <c r="T47" s="55" t="str">
        <f t="shared" si="27"/>
        <v>Sem40</v>
      </c>
      <c r="U47" s="56">
        <f t="shared" si="11"/>
        <v>7</v>
      </c>
      <c r="V47" s="59">
        <v>46297</v>
      </c>
      <c r="W47" s="56">
        <f t="shared" si="28"/>
        <v>40</v>
      </c>
      <c r="X47" s="56">
        <f t="shared" si="29"/>
        <v>2</v>
      </c>
      <c r="Y47" s="56" t="s">
        <v>32</v>
      </c>
      <c r="Z47" s="56">
        <v>5</v>
      </c>
      <c r="AA47" s="58">
        <f t="shared" si="30"/>
        <v>0</v>
      </c>
      <c r="AB47" s="58">
        <f t="shared" si="30"/>
        <v>1</v>
      </c>
      <c r="AC47" s="58">
        <f t="shared" si="30"/>
        <v>0</v>
      </c>
      <c r="AD47" s="58">
        <f t="shared" si="30"/>
        <v>0</v>
      </c>
      <c r="AE47" s="58">
        <f t="shared" si="30"/>
        <v>0</v>
      </c>
    </row>
    <row r="48" spans="2:34">
      <c r="B48" t="str">
        <f t="shared" si="16"/>
        <v>Sem4040AMILCAR EDELBERTO LOPEZ AROCHE</v>
      </c>
      <c r="C48" t="str">
        <f t="shared" si="17"/>
        <v>OCTUBRESem40</v>
      </c>
      <c r="D48" t="str">
        <f t="shared" si="18"/>
        <v>OCTUBRESem40AMILCAR EDELBERTO LOPEZ AROCHE</v>
      </c>
      <c r="E48" t="str">
        <f t="shared" si="19"/>
        <v>OCTUBRESem4040AMILCAR EDELBERTO LOPEZ AROCHE</v>
      </c>
      <c r="F48" t="str">
        <f t="shared" si="20"/>
        <v>AMILCAR EDELBERTO LOPEZ AROCHE46298</v>
      </c>
      <c r="H48" s="49" t="s">
        <v>11</v>
      </c>
      <c r="I48" s="50" t="str">
        <f>+_xlfn.XLOOKUP($H48&amp;$V48,BASEDATOS!$B:$B,BASEDATOS!F:F,0,0,1)</f>
        <v>DESCANSO</v>
      </c>
      <c r="J48" s="51">
        <f>+_xlfn.XLOOKUP($H48&amp;$V48,BASEDATOS!$B:$B,BASEDATOS!Q:Q,0,0,1)</f>
        <v>0</v>
      </c>
      <c r="K48" s="51">
        <f>+_xlfn.XLOOKUP($H48&amp;$V48,BASEDATOS!$B:$B,BASEDATOS!R:R,0,0,1)</f>
        <v>0</v>
      </c>
      <c r="L48" s="51">
        <f t="shared" si="21"/>
        <v>0</v>
      </c>
      <c r="M48" s="52">
        <f t="shared" si="22"/>
        <v>0</v>
      </c>
      <c r="N48" s="51">
        <f t="shared" si="23"/>
        <v>0</v>
      </c>
      <c r="O48" s="53" t="str">
        <f t="shared" ref="O48" si="49">+O49</f>
        <v>0-5-2</v>
      </c>
      <c r="P48" s="54">
        <f>+IF(AND(Y48="Domingo",U48=7),_xlfn.XLOOKUP(O48,'Horarios y Sistemas'!C:C,'Horarios y Sistemas'!H:H,0,0,1),0)</f>
        <v>0</v>
      </c>
      <c r="Q48" s="54">
        <f>IF(U48=U49,0,IF(AVERAGEIF(W:W,W48,U:U)=U48,0,_xlfn.XLOOKUP(O48,'Horarios y Sistemas'!C:C,'Horarios y Sistemas'!H:H,0,0,1)-P48))/7*U48</f>
        <v>0</v>
      </c>
      <c r="R48" s="54">
        <f t="shared" si="25"/>
        <v>0</v>
      </c>
      <c r="S48" s="55" t="str">
        <f t="shared" si="26"/>
        <v>OCTUBRE</v>
      </c>
      <c r="T48" s="55" t="str">
        <f t="shared" si="27"/>
        <v>Sem40</v>
      </c>
      <c r="U48" s="56">
        <f t="shared" si="11"/>
        <v>7</v>
      </c>
      <c r="V48" s="59">
        <v>46298</v>
      </c>
      <c r="W48" s="56">
        <f t="shared" si="28"/>
        <v>40</v>
      </c>
      <c r="X48" s="56">
        <f t="shared" si="29"/>
        <v>3</v>
      </c>
      <c r="Y48" s="56" t="s">
        <v>33</v>
      </c>
      <c r="Z48" s="56">
        <v>6</v>
      </c>
      <c r="AA48" s="58">
        <f t="shared" si="30"/>
        <v>0</v>
      </c>
      <c r="AB48" s="58">
        <f t="shared" si="30"/>
        <v>0</v>
      </c>
      <c r="AC48" s="58">
        <f t="shared" si="30"/>
        <v>1</v>
      </c>
      <c r="AD48" s="58">
        <f t="shared" si="30"/>
        <v>0</v>
      </c>
      <c r="AE48" s="58">
        <f t="shared" si="30"/>
        <v>0</v>
      </c>
    </row>
    <row r="49" spans="2:34" s="60" customFormat="1">
      <c r="B49" s="60" t="str">
        <f t="shared" si="16"/>
        <v>Sem4040AMILCAR EDELBERTO LOPEZ AROCHE</v>
      </c>
      <c r="C49" s="60" t="str">
        <f t="shared" si="17"/>
        <v>OCTUBRESem40</v>
      </c>
      <c r="D49" s="60" t="str">
        <f t="shared" si="18"/>
        <v>OCTUBRESem40AMILCAR EDELBERTO LOPEZ AROCHE</v>
      </c>
      <c r="E49" s="60" t="str">
        <f t="shared" si="19"/>
        <v>OCTUBRESem4040AMILCAR EDELBERTO LOPEZ AROCHE</v>
      </c>
      <c r="F49" s="60" t="str">
        <f t="shared" si="20"/>
        <v>AMILCAR EDELBERTO LOPEZ AROCHE46299</v>
      </c>
      <c r="H49" s="61" t="s">
        <v>11</v>
      </c>
      <c r="I49" s="62" t="str">
        <f>+_xlfn.XLOOKUP($H49&amp;$V49,BASEDATOS!$B:$B,BASEDATOS!F:F,0,0,1)</f>
        <v>DESCANSO</v>
      </c>
      <c r="J49" s="63">
        <f>+_xlfn.XLOOKUP($H49&amp;$V49,BASEDATOS!$B:$B,BASEDATOS!Q:Q,0,0,1)</f>
        <v>0</v>
      </c>
      <c r="K49" s="63">
        <f>+_xlfn.XLOOKUP($H49&amp;$V49,BASEDATOS!$B:$B,BASEDATOS!R:R,0,0,1)</f>
        <v>0</v>
      </c>
      <c r="L49" s="63">
        <f t="shared" si="21"/>
        <v>0</v>
      </c>
      <c r="M49" s="64">
        <f t="shared" si="22"/>
        <v>0</v>
      </c>
      <c r="N49" s="63">
        <f t="shared" si="23"/>
        <v>0</v>
      </c>
      <c r="O49" s="65" t="str">
        <f t="shared" ref="O49" si="50">+IF(Y49="Domingo",SUM(AA43:AA49)&amp;"-"&amp;SUM(AB43:AB49)&amp;"-"&amp;SUM(AC43:AE49),"")</f>
        <v>0-5-2</v>
      </c>
      <c r="P49" s="66">
        <f>+IF(AND(Y49="Domingo",U49=7),_xlfn.XLOOKUP(O49,'Horarios y Sistemas'!C:C,'Horarios y Sistemas'!H:H,0,0,1),0)</f>
        <v>36</v>
      </c>
      <c r="Q49" s="66">
        <f>IF(U49=U50,0,IF(AVERAGEIF(W:W,W49,U:U)=U49,0,_xlfn.XLOOKUP(O49,'Horarios y Sistemas'!C:C,'Horarios y Sistemas'!H:H,0,0,1)-P49))/7*U49</f>
        <v>0</v>
      </c>
      <c r="R49" s="66">
        <f t="shared" si="25"/>
        <v>36</v>
      </c>
      <c r="S49" s="67" t="str">
        <f t="shared" si="26"/>
        <v>OCTUBRE</v>
      </c>
      <c r="T49" s="55" t="str">
        <f t="shared" si="27"/>
        <v>Sem40</v>
      </c>
      <c r="U49" s="68">
        <f t="shared" si="11"/>
        <v>7</v>
      </c>
      <c r="V49" s="69">
        <v>46299</v>
      </c>
      <c r="W49" s="68">
        <f t="shared" si="28"/>
        <v>40</v>
      </c>
      <c r="X49" s="68">
        <f t="shared" si="29"/>
        <v>4</v>
      </c>
      <c r="Y49" s="68" t="s">
        <v>34</v>
      </c>
      <c r="Z49" s="68">
        <v>7</v>
      </c>
      <c r="AA49" s="70">
        <f t="shared" si="30"/>
        <v>0</v>
      </c>
      <c r="AB49" s="70">
        <f t="shared" si="30"/>
        <v>0</v>
      </c>
      <c r="AC49" s="70">
        <f t="shared" si="30"/>
        <v>1</v>
      </c>
      <c r="AD49" s="70">
        <f t="shared" si="30"/>
        <v>0</v>
      </c>
      <c r="AE49" s="70">
        <f t="shared" si="30"/>
        <v>0</v>
      </c>
      <c r="AF49" s="71"/>
      <c r="AG49" s="71"/>
      <c r="AH49" s="71"/>
    </row>
    <row r="50" spans="2:34">
      <c r="B50" t="str">
        <f t="shared" si="16"/>
        <v>Sem3838BAYRON AMILCAR JIMENEZ VEGA</v>
      </c>
      <c r="C50" t="str">
        <f t="shared" si="17"/>
        <v>SEPTIEMBRESem38</v>
      </c>
      <c r="D50" t="str">
        <f t="shared" si="18"/>
        <v>SEPTIEMBRESem38BAYRON AMILCAR JIMENEZ VEGA</v>
      </c>
      <c r="E50" t="str">
        <f t="shared" si="19"/>
        <v>SEPTIEMBRESem3838BAYRON AMILCAR JIMENEZ VEGA</v>
      </c>
      <c r="F50" t="str">
        <f t="shared" si="20"/>
        <v>BAYRON AMILCAR JIMENEZ VEGA46279</v>
      </c>
      <c r="H50" s="49" t="s">
        <v>22</v>
      </c>
      <c r="I50" s="50" t="str">
        <f>+_xlfn.XLOOKUP($H50&amp;$V50,BASEDATOS!$B:$B,BASEDATOS!F:F,0,0,1)</f>
        <v>DESCANSO</v>
      </c>
      <c r="J50" s="51">
        <f>+_xlfn.XLOOKUP($H50&amp;$V50,BASEDATOS!$B:$B,BASEDATOS!Q:Q,0,0,1)</f>
        <v>0</v>
      </c>
      <c r="K50" s="51">
        <f>+_xlfn.XLOOKUP($H50&amp;$V50,BASEDATOS!$B:$B,BASEDATOS!R:R,0,0,1)</f>
        <v>0</v>
      </c>
      <c r="L50" s="51">
        <f t="shared" si="21"/>
        <v>0</v>
      </c>
      <c r="M50" s="52">
        <f t="shared" si="22"/>
        <v>0</v>
      </c>
      <c r="N50" s="51">
        <f t="shared" si="23"/>
        <v>0</v>
      </c>
      <c r="O50" s="53" t="str">
        <f t="shared" ref="O50" si="51">+O56</f>
        <v>5-0-2</v>
      </c>
      <c r="P50" s="54">
        <f>+IF(AND(Y50="Domingo",U50=7),_xlfn.XLOOKUP(O50,'Horarios y Sistemas'!C:C,'Horarios y Sistemas'!H:H,0,0,1),0)</f>
        <v>0</v>
      </c>
      <c r="Q50" s="54">
        <f>IF(U50=U51,0,IF(AVERAGEIF(W:W,W50,U:U)=U50,0,_xlfn.XLOOKUP(O50,'Horarios y Sistemas'!C:C,'Horarios y Sistemas'!H:H,0,0,1)-P50))/7*U50</f>
        <v>0</v>
      </c>
      <c r="R50" s="54">
        <f t="shared" si="25"/>
        <v>0</v>
      </c>
      <c r="S50" s="55" t="str">
        <f t="shared" si="26"/>
        <v>SEPTIEMBRE</v>
      </c>
      <c r="T50" s="55" t="str">
        <f t="shared" si="27"/>
        <v>Sem38</v>
      </c>
      <c r="U50" s="56">
        <f t="shared" si="11"/>
        <v>7</v>
      </c>
      <c r="V50" s="57">
        <v>46279</v>
      </c>
      <c r="W50" s="56">
        <f t="shared" si="28"/>
        <v>38</v>
      </c>
      <c r="X50" s="56">
        <f t="shared" si="29"/>
        <v>14</v>
      </c>
      <c r="Y50" s="56" t="s">
        <v>28</v>
      </c>
      <c r="Z50" s="56">
        <v>1</v>
      </c>
      <c r="AA50" s="58">
        <f t="shared" si="30"/>
        <v>0</v>
      </c>
      <c r="AB50" s="58">
        <f t="shared" si="30"/>
        <v>0</v>
      </c>
      <c r="AC50" s="58">
        <f t="shared" si="30"/>
        <v>1</v>
      </c>
      <c r="AD50" s="58">
        <f t="shared" si="30"/>
        <v>0</v>
      </c>
      <c r="AE50" s="58">
        <f t="shared" si="30"/>
        <v>0</v>
      </c>
    </row>
    <row r="51" spans="2:34">
      <c r="B51" t="str">
        <f t="shared" si="16"/>
        <v>Sem3838BAYRON AMILCAR JIMENEZ VEGA</v>
      </c>
      <c r="C51" t="str">
        <f t="shared" si="17"/>
        <v>SEPTIEMBRESem38</v>
      </c>
      <c r="D51" t="str">
        <f t="shared" si="18"/>
        <v>SEPTIEMBRESem38BAYRON AMILCAR JIMENEZ VEGA</v>
      </c>
      <c r="E51" t="str">
        <f t="shared" si="19"/>
        <v>SEPTIEMBRESem3838BAYRON AMILCAR JIMENEZ VEGA</v>
      </c>
      <c r="F51" t="str">
        <f t="shared" si="20"/>
        <v>BAYRON AMILCAR JIMENEZ VEGA46280</v>
      </c>
      <c r="H51" s="49" t="s">
        <v>22</v>
      </c>
      <c r="I51" s="50" t="str">
        <f>+_xlfn.XLOOKUP($H51&amp;$V51,BASEDATOS!$B:$B,BASEDATOS!F:F,0,0,1)</f>
        <v>DIA</v>
      </c>
      <c r="J51" s="51">
        <f>+_xlfn.XLOOKUP($H51&amp;$V51,BASEDATOS!$B:$B,BASEDATOS!Q:Q,0,0,1)</f>
        <v>0.33333333333333298</v>
      </c>
      <c r="K51" s="51">
        <f>+_xlfn.XLOOKUP($H51&amp;$V51,BASEDATOS!$B:$B,BASEDATOS!R:R,0,0,1)</f>
        <v>0.70833333333333304</v>
      </c>
      <c r="L51" s="51">
        <f t="shared" si="21"/>
        <v>0.37500000000000006</v>
      </c>
      <c r="M51" s="52" t="str">
        <f t="shared" si="22"/>
        <v>1:00</v>
      </c>
      <c r="N51" s="51">
        <f t="shared" si="23"/>
        <v>0.33333333333333337</v>
      </c>
      <c r="O51" s="53" t="str">
        <f t="shared" ref="O51" si="52">+O56</f>
        <v>5-0-2</v>
      </c>
      <c r="P51" s="54">
        <f>+IF(AND(Y51="Domingo",U51=7),_xlfn.XLOOKUP(O51,'Horarios y Sistemas'!C:C,'Horarios y Sistemas'!H:H,0,0,1),0)</f>
        <v>0</v>
      </c>
      <c r="Q51" s="54">
        <f>IF(U51=U52,0,IF(AVERAGEIF(W:W,W51,U:U)=U51,0,_xlfn.XLOOKUP(O51,'Horarios y Sistemas'!C:C,'Horarios y Sistemas'!H:H,0,0,1)-P51))/7*U51</f>
        <v>0</v>
      </c>
      <c r="R51" s="54">
        <f t="shared" si="25"/>
        <v>0</v>
      </c>
      <c r="S51" s="55" t="str">
        <f t="shared" si="26"/>
        <v>SEPTIEMBRE</v>
      </c>
      <c r="T51" s="55" t="str">
        <f t="shared" si="27"/>
        <v>Sem38</v>
      </c>
      <c r="U51" s="56">
        <f t="shared" si="11"/>
        <v>7</v>
      </c>
      <c r="V51" s="59">
        <v>46280</v>
      </c>
      <c r="W51" s="56">
        <f t="shared" si="28"/>
        <v>38</v>
      </c>
      <c r="X51" s="56">
        <f t="shared" si="29"/>
        <v>15</v>
      </c>
      <c r="Y51" s="56" t="s">
        <v>29</v>
      </c>
      <c r="Z51" s="56">
        <v>2</v>
      </c>
      <c r="AA51" s="58">
        <f t="shared" si="30"/>
        <v>1</v>
      </c>
      <c r="AB51" s="58">
        <f t="shared" si="30"/>
        <v>0</v>
      </c>
      <c r="AC51" s="58">
        <f t="shared" si="30"/>
        <v>0</v>
      </c>
      <c r="AD51" s="58">
        <f t="shared" si="30"/>
        <v>0</v>
      </c>
      <c r="AE51" s="58">
        <f t="shared" si="30"/>
        <v>0</v>
      </c>
    </row>
    <row r="52" spans="2:34">
      <c r="B52" t="str">
        <f t="shared" si="16"/>
        <v>Sem3838BAYRON AMILCAR JIMENEZ VEGA</v>
      </c>
      <c r="C52" t="str">
        <f t="shared" si="17"/>
        <v>SEPTIEMBRESem38</v>
      </c>
      <c r="D52" t="str">
        <f t="shared" si="18"/>
        <v>SEPTIEMBRESem38BAYRON AMILCAR JIMENEZ VEGA</v>
      </c>
      <c r="E52" t="str">
        <f t="shared" si="19"/>
        <v>SEPTIEMBRESem3838BAYRON AMILCAR JIMENEZ VEGA</v>
      </c>
      <c r="F52" t="str">
        <f t="shared" si="20"/>
        <v>BAYRON AMILCAR JIMENEZ VEGA46281</v>
      </c>
      <c r="H52" s="49" t="s">
        <v>22</v>
      </c>
      <c r="I52" s="50" t="str">
        <f>+_xlfn.XLOOKUP($H52&amp;$V52,BASEDATOS!$B:$B,BASEDATOS!F:F,0,0,1)</f>
        <v>DIA</v>
      </c>
      <c r="J52" s="51">
        <f>+_xlfn.XLOOKUP($H52&amp;$V52,BASEDATOS!$B:$B,BASEDATOS!Q:Q,0,0,1)</f>
        <v>0.29166666666666702</v>
      </c>
      <c r="K52" s="51">
        <f>+_xlfn.XLOOKUP($H52&amp;$V52,BASEDATOS!$B:$B,BASEDATOS!R:R,0,0,1)</f>
        <v>0.66666666666666696</v>
      </c>
      <c r="L52" s="51">
        <f t="shared" si="21"/>
        <v>0.37499999999999994</v>
      </c>
      <c r="M52" s="52" t="str">
        <f t="shared" si="22"/>
        <v>1:00</v>
      </c>
      <c r="N52" s="51">
        <f t="shared" si="23"/>
        <v>0.33333333333333326</v>
      </c>
      <c r="O52" s="53" t="str">
        <f t="shared" ref="O52" si="53">+O56</f>
        <v>5-0-2</v>
      </c>
      <c r="P52" s="54">
        <f>+IF(AND(Y52="Domingo",U52=7),_xlfn.XLOOKUP(O52,'Horarios y Sistemas'!C:C,'Horarios y Sistemas'!H:H,0,0,1),0)</f>
        <v>0</v>
      </c>
      <c r="Q52" s="54">
        <f>IF(U52=U53,0,IF(AVERAGEIF(W:W,W52,U:U)=U52,0,_xlfn.XLOOKUP(O52,'Horarios y Sistemas'!C:C,'Horarios y Sistemas'!H:H,0,0,1)-P52))/7*U52</f>
        <v>0</v>
      </c>
      <c r="R52" s="54">
        <f t="shared" si="25"/>
        <v>0</v>
      </c>
      <c r="S52" s="55" t="str">
        <f t="shared" si="26"/>
        <v>SEPTIEMBRE</v>
      </c>
      <c r="T52" s="55" t="str">
        <f t="shared" si="27"/>
        <v>Sem38</v>
      </c>
      <c r="U52" s="56">
        <f t="shared" si="11"/>
        <v>7</v>
      </c>
      <c r="V52" s="59">
        <v>46281</v>
      </c>
      <c r="W52" s="56">
        <f t="shared" si="28"/>
        <v>38</v>
      </c>
      <c r="X52" s="56">
        <f t="shared" si="29"/>
        <v>16</v>
      </c>
      <c r="Y52" s="56" t="s">
        <v>30</v>
      </c>
      <c r="Z52" s="56">
        <v>3</v>
      </c>
      <c r="AA52" s="58">
        <f t="shared" si="30"/>
        <v>1</v>
      </c>
      <c r="AB52" s="58">
        <f t="shared" si="30"/>
        <v>0</v>
      </c>
      <c r="AC52" s="58">
        <f t="shared" si="30"/>
        <v>0</v>
      </c>
      <c r="AD52" s="58">
        <f t="shared" si="30"/>
        <v>0</v>
      </c>
      <c r="AE52" s="58">
        <f t="shared" si="30"/>
        <v>0</v>
      </c>
    </row>
    <row r="53" spans="2:34">
      <c r="B53" t="str">
        <f t="shared" si="16"/>
        <v>Sem3838BAYRON AMILCAR JIMENEZ VEGA</v>
      </c>
      <c r="C53" t="str">
        <f t="shared" si="17"/>
        <v>SEPTIEMBRESem38</v>
      </c>
      <c r="D53" t="str">
        <f t="shared" si="18"/>
        <v>SEPTIEMBRESem38BAYRON AMILCAR JIMENEZ VEGA</v>
      </c>
      <c r="E53" t="str">
        <f t="shared" si="19"/>
        <v>SEPTIEMBRESem3838BAYRON AMILCAR JIMENEZ VEGA</v>
      </c>
      <c r="F53" t="str">
        <f t="shared" si="20"/>
        <v>BAYRON AMILCAR JIMENEZ VEGA46282</v>
      </c>
      <c r="H53" s="49" t="s">
        <v>22</v>
      </c>
      <c r="I53" s="50" t="str">
        <f>+_xlfn.XLOOKUP($H53&amp;$V53,BASEDATOS!$B:$B,BASEDATOS!F:F,0,0,1)</f>
        <v>DIA</v>
      </c>
      <c r="J53" s="51">
        <f>+_xlfn.XLOOKUP($H53&amp;$V53,BASEDATOS!$B:$B,BASEDATOS!Q:Q,0,0,1)</f>
        <v>0.375</v>
      </c>
      <c r="K53" s="51">
        <f>+_xlfn.XLOOKUP($H53&amp;$V53,BASEDATOS!$B:$B,BASEDATOS!R:R,0,0,1)</f>
        <v>0.75</v>
      </c>
      <c r="L53" s="51">
        <f t="shared" si="21"/>
        <v>0.375</v>
      </c>
      <c r="M53" s="52" t="str">
        <f t="shared" si="22"/>
        <v>1:00</v>
      </c>
      <c r="N53" s="51">
        <f t="shared" si="23"/>
        <v>0.33333333333333331</v>
      </c>
      <c r="O53" s="53" t="str">
        <f t="shared" ref="O53" si="54">+O56</f>
        <v>5-0-2</v>
      </c>
      <c r="P53" s="54">
        <f>+IF(AND(Y53="Domingo",U53=7),_xlfn.XLOOKUP(O53,'Horarios y Sistemas'!C:C,'Horarios y Sistemas'!H:H,0,0,1),0)</f>
        <v>0</v>
      </c>
      <c r="Q53" s="54">
        <f>IF(U53=U54,0,IF(AVERAGEIF(W:W,W53,U:U)=U53,0,_xlfn.XLOOKUP(O53,'Horarios y Sistemas'!C:C,'Horarios y Sistemas'!H:H,0,0,1)-P53))/7*U53</f>
        <v>0</v>
      </c>
      <c r="R53" s="54">
        <f t="shared" si="25"/>
        <v>0</v>
      </c>
      <c r="S53" s="55" t="str">
        <f t="shared" si="26"/>
        <v>SEPTIEMBRE</v>
      </c>
      <c r="T53" s="55" t="str">
        <f t="shared" si="27"/>
        <v>Sem38</v>
      </c>
      <c r="U53" s="56">
        <f t="shared" si="11"/>
        <v>7</v>
      </c>
      <c r="V53" s="59">
        <v>46282</v>
      </c>
      <c r="W53" s="56">
        <f t="shared" si="28"/>
        <v>38</v>
      </c>
      <c r="X53" s="56">
        <f t="shared" si="29"/>
        <v>17</v>
      </c>
      <c r="Y53" s="56" t="s">
        <v>31</v>
      </c>
      <c r="Z53" s="56">
        <v>4</v>
      </c>
      <c r="AA53" s="58">
        <f t="shared" si="30"/>
        <v>1</v>
      </c>
      <c r="AB53" s="58">
        <f t="shared" si="30"/>
        <v>0</v>
      </c>
      <c r="AC53" s="58">
        <f t="shared" si="30"/>
        <v>0</v>
      </c>
      <c r="AD53" s="58">
        <f t="shared" si="30"/>
        <v>0</v>
      </c>
      <c r="AE53" s="58">
        <f t="shared" si="30"/>
        <v>0</v>
      </c>
    </row>
    <row r="54" spans="2:34">
      <c r="B54" t="str">
        <f t="shared" si="16"/>
        <v>Sem3838BAYRON AMILCAR JIMENEZ VEGA</v>
      </c>
      <c r="C54" t="str">
        <f t="shared" si="17"/>
        <v>SEPTIEMBRESem38</v>
      </c>
      <c r="D54" t="str">
        <f t="shared" si="18"/>
        <v>SEPTIEMBRESem38BAYRON AMILCAR JIMENEZ VEGA</v>
      </c>
      <c r="E54" t="str">
        <f t="shared" si="19"/>
        <v>SEPTIEMBRESem3838BAYRON AMILCAR JIMENEZ VEGA</v>
      </c>
      <c r="F54" t="str">
        <f t="shared" si="20"/>
        <v>BAYRON AMILCAR JIMENEZ VEGA46283</v>
      </c>
      <c r="H54" s="49" t="s">
        <v>22</v>
      </c>
      <c r="I54" s="50" t="str">
        <f>+_xlfn.XLOOKUP($H54&amp;$V54,BASEDATOS!$B:$B,BASEDATOS!F:F,0,0,1)</f>
        <v>DIA</v>
      </c>
      <c r="J54" s="51">
        <f>+_xlfn.XLOOKUP($H54&amp;$V54,BASEDATOS!$B:$B,BASEDATOS!Q:Q,0,0,1)</f>
        <v>0.29166666666666702</v>
      </c>
      <c r="K54" s="51">
        <f>+_xlfn.XLOOKUP($H54&amp;$V54,BASEDATOS!$B:$B,BASEDATOS!R:R,0,0,1)</f>
        <v>0.66666666666666696</v>
      </c>
      <c r="L54" s="51">
        <f t="shared" si="21"/>
        <v>0.37499999999999994</v>
      </c>
      <c r="M54" s="52" t="str">
        <f t="shared" si="22"/>
        <v>1:00</v>
      </c>
      <c r="N54" s="51">
        <f t="shared" si="23"/>
        <v>0.33333333333333326</v>
      </c>
      <c r="O54" s="53" t="str">
        <f t="shared" ref="O54" si="55">+O56</f>
        <v>5-0-2</v>
      </c>
      <c r="P54" s="54">
        <f>+IF(AND(Y54="Domingo",U54=7),_xlfn.XLOOKUP(O54,'Horarios y Sistemas'!C:C,'Horarios y Sistemas'!H:H,0,0,1),0)</f>
        <v>0</v>
      </c>
      <c r="Q54" s="54">
        <f>IF(U54=U55,0,IF(AVERAGEIF(W:W,W54,U:U)=U54,0,_xlfn.XLOOKUP(O54,'Horarios y Sistemas'!C:C,'Horarios y Sistemas'!H:H,0,0,1)-P54))/7*U54</f>
        <v>0</v>
      </c>
      <c r="R54" s="54">
        <f t="shared" si="25"/>
        <v>0</v>
      </c>
      <c r="S54" s="55" t="str">
        <f t="shared" si="26"/>
        <v>SEPTIEMBRE</v>
      </c>
      <c r="T54" s="55" t="str">
        <f t="shared" si="27"/>
        <v>Sem38</v>
      </c>
      <c r="U54" s="56">
        <f t="shared" si="11"/>
        <v>7</v>
      </c>
      <c r="V54" s="59">
        <v>46283</v>
      </c>
      <c r="W54" s="56">
        <f t="shared" si="28"/>
        <v>38</v>
      </c>
      <c r="X54" s="56">
        <f t="shared" si="29"/>
        <v>18</v>
      </c>
      <c r="Y54" s="56" t="s">
        <v>32</v>
      </c>
      <c r="Z54" s="56">
        <v>5</v>
      </c>
      <c r="AA54" s="58">
        <f t="shared" si="30"/>
        <v>1</v>
      </c>
      <c r="AB54" s="58">
        <f t="shared" si="30"/>
        <v>0</v>
      </c>
      <c r="AC54" s="58">
        <f t="shared" si="30"/>
        <v>0</v>
      </c>
      <c r="AD54" s="58">
        <f t="shared" si="30"/>
        <v>0</v>
      </c>
      <c r="AE54" s="58">
        <f t="shared" si="30"/>
        <v>0</v>
      </c>
    </row>
    <row r="55" spans="2:34">
      <c r="B55" t="str">
        <f t="shared" si="16"/>
        <v>Sem3838BAYRON AMILCAR JIMENEZ VEGA</v>
      </c>
      <c r="C55" t="str">
        <f t="shared" si="17"/>
        <v>SEPTIEMBRESem38</v>
      </c>
      <c r="D55" t="str">
        <f t="shared" si="18"/>
        <v>SEPTIEMBRESem38BAYRON AMILCAR JIMENEZ VEGA</v>
      </c>
      <c r="E55" t="str">
        <f t="shared" si="19"/>
        <v>SEPTIEMBRESem3838BAYRON AMILCAR JIMENEZ VEGA</v>
      </c>
      <c r="F55" t="str">
        <f t="shared" si="20"/>
        <v>BAYRON AMILCAR JIMENEZ VEGA46284</v>
      </c>
      <c r="H55" s="49" t="s">
        <v>22</v>
      </c>
      <c r="I55" s="50" t="str">
        <f>+_xlfn.XLOOKUP($H55&amp;$V55,BASEDATOS!$B:$B,BASEDATOS!F:F,0,0,1)</f>
        <v>DIA</v>
      </c>
      <c r="J55" s="51">
        <f>+_xlfn.XLOOKUP($H55&amp;$V55,BASEDATOS!$B:$B,BASEDATOS!Q:Q,0,0,1)</f>
        <v>0.29166666666666702</v>
      </c>
      <c r="K55" s="51">
        <f>+_xlfn.XLOOKUP($H55&amp;$V55,BASEDATOS!$B:$B,BASEDATOS!R:R,0,0,1)</f>
        <v>0.5</v>
      </c>
      <c r="L55" s="51">
        <f t="shared" si="21"/>
        <v>0.20833333333333298</v>
      </c>
      <c r="M55" s="52" t="str">
        <f t="shared" si="22"/>
        <v>1:00</v>
      </c>
      <c r="N55" s="51">
        <f t="shared" si="23"/>
        <v>0.16666666666666632</v>
      </c>
      <c r="O55" s="53" t="str">
        <f t="shared" ref="O55" si="56">+O56</f>
        <v>5-0-2</v>
      </c>
      <c r="P55" s="54">
        <f>+IF(AND(Y55="Domingo",U55=7),_xlfn.XLOOKUP(O55,'Horarios y Sistemas'!C:C,'Horarios y Sistemas'!H:H,0,0,1),0)</f>
        <v>0</v>
      </c>
      <c r="Q55" s="54">
        <f>IF(U55=U56,0,IF(AVERAGEIF(W:W,W55,U:U)=U55,0,_xlfn.XLOOKUP(O55,'Horarios y Sistemas'!C:C,'Horarios y Sistemas'!H:H,0,0,1)-P55))/7*U55</f>
        <v>0</v>
      </c>
      <c r="R55" s="54">
        <f t="shared" si="25"/>
        <v>0</v>
      </c>
      <c r="S55" s="55" t="str">
        <f t="shared" si="26"/>
        <v>SEPTIEMBRE</v>
      </c>
      <c r="T55" s="55" t="str">
        <f t="shared" si="27"/>
        <v>Sem38</v>
      </c>
      <c r="U55" s="56">
        <f t="shared" si="11"/>
        <v>7</v>
      </c>
      <c r="V55" s="59">
        <v>46284</v>
      </c>
      <c r="W55" s="56">
        <f t="shared" si="28"/>
        <v>38</v>
      </c>
      <c r="X55" s="56">
        <f t="shared" si="29"/>
        <v>19</v>
      </c>
      <c r="Y55" s="56" t="s">
        <v>33</v>
      </c>
      <c r="Z55" s="56">
        <v>6</v>
      </c>
      <c r="AA55" s="58">
        <f t="shared" si="30"/>
        <v>1</v>
      </c>
      <c r="AB55" s="58">
        <f t="shared" si="30"/>
        <v>0</v>
      </c>
      <c r="AC55" s="58">
        <f t="shared" si="30"/>
        <v>0</v>
      </c>
      <c r="AD55" s="58">
        <f t="shared" si="30"/>
        <v>0</v>
      </c>
      <c r="AE55" s="58">
        <f t="shared" si="30"/>
        <v>0</v>
      </c>
    </row>
    <row r="56" spans="2:34" s="60" customFormat="1">
      <c r="B56" s="60" t="str">
        <f t="shared" si="16"/>
        <v>Sem3838BAYRON AMILCAR JIMENEZ VEGA</v>
      </c>
      <c r="C56" s="60" t="str">
        <f t="shared" si="17"/>
        <v>SEPTIEMBRESem38</v>
      </c>
      <c r="D56" s="60" t="str">
        <f t="shared" si="18"/>
        <v>SEPTIEMBRESem38BAYRON AMILCAR JIMENEZ VEGA</v>
      </c>
      <c r="E56" s="60" t="str">
        <f t="shared" si="19"/>
        <v>SEPTIEMBRESem3838BAYRON AMILCAR JIMENEZ VEGA</v>
      </c>
      <c r="F56" s="60" t="str">
        <f t="shared" si="20"/>
        <v>BAYRON AMILCAR JIMENEZ VEGA46285</v>
      </c>
      <c r="H56" s="61" t="s">
        <v>22</v>
      </c>
      <c r="I56" s="62" t="str">
        <f>+_xlfn.XLOOKUP($H56&amp;$V56,BASEDATOS!$B:$B,BASEDATOS!F:F,0,0,1)</f>
        <v>DESCANSO</v>
      </c>
      <c r="J56" s="63">
        <f>+_xlfn.XLOOKUP($H56&amp;$V56,BASEDATOS!$B:$B,BASEDATOS!Q:Q,0,0,1)</f>
        <v>0</v>
      </c>
      <c r="K56" s="63">
        <f>+_xlfn.XLOOKUP($H56&amp;$V56,BASEDATOS!$B:$B,BASEDATOS!R:R,0,0,1)</f>
        <v>0</v>
      </c>
      <c r="L56" s="63">
        <f t="shared" si="21"/>
        <v>0</v>
      </c>
      <c r="M56" s="64">
        <f t="shared" si="22"/>
        <v>0</v>
      </c>
      <c r="N56" s="63">
        <f t="shared" si="23"/>
        <v>0</v>
      </c>
      <c r="O56" s="65" t="str">
        <f t="shared" ref="O56" si="57">+IF(Y56="Domingo",SUM(AA50:AA56)&amp;"-"&amp;SUM(AB50:AB56)&amp;"-"&amp;SUM(AC50:AE56),"")</f>
        <v>5-0-2</v>
      </c>
      <c r="P56" s="66">
        <f>+IF(AND(Y56="Domingo",U56=7),_xlfn.XLOOKUP(O56,'Horarios y Sistemas'!C:C,'Horarios y Sistemas'!H:H,0,0,1),0)</f>
        <v>44</v>
      </c>
      <c r="Q56" s="66">
        <f>IF(U56=U57,0,IF(AVERAGEIF(W:W,W56,U:U)=U56,0,_xlfn.XLOOKUP(O56,'Horarios y Sistemas'!C:C,'Horarios y Sistemas'!H:H,0,0,1)-P56))/7*U56</f>
        <v>0</v>
      </c>
      <c r="R56" s="66">
        <f t="shared" si="25"/>
        <v>44</v>
      </c>
      <c r="S56" s="67" t="str">
        <f t="shared" si="26"/>
        <v>SEPTIEMBRE</v>
      </c>
      <c r="T56" s="55" t="str">
        <f t="shared" si="27"/>
        <v>Sem38</v>
      </c>
      <c r="U56" s="68">
        <f t="shared" si="11"/>
        <v>7</v>
      </c>
      <c r="V56" s="69">
        <v>46285</v>
      </c>
      <c r="W56" s="68">
        <f t="shared" si="28"/>
        <v>38</v>
      </c>
      <c r="X56" s="68">
        <f t="shared" si="29"/>
        <v>20</v>
      </c>
      <c r="Y56" s="68" t="s">
        <v>34</v>
      </c>
      <c r="Z56" s="68">
        <v>7</v>
      </c>
      <c r="AA56" s="70">
        <f t="shared" si="30"/>
        <v>0</v>
      </c>
      <c r="AB56" s="70">
        <f t="shared" si="30"/>
        <v>0</v>
      </c>
      <c r="AC56" s="70">
        <f t="shared" si="30"/>
        <v>1</v>
      </c>
      <c r="AD56" s="70">
        <f t="shared" si="30"/>
        <v>0</v>
      </c>
      <c r="AE56" s="70">
        <f t="shared" si="30"/>
        <v>0</v>
      </c>
      <c r="AF56" s="71"/>
      <c r="AG56" s="71"/>
      <c r="AH56" s="71"/>
    </row>
    <row r="57" spans="2:34">
      <c r="B57" t="str">
        <f t="shared" si="16"/>
        <v>Sem3939BAYRON AMILCAR JIMENEZ VEGA</v>
      </c>
      <c r="C57" t="str">
        <f t="shared" si="17"/>
        <v>SEPTIEMBRESem39</v>
      </c>
      <c r="D57" t="str">
        <f t="shared" si="18"/>
        <v>SEPTIEMBRESem39BAYRON AMILCAR JIMENEZ VEGA</v>
      </c>
      <c r="E57" t="str">
        <f t="shared" si="19"/>
        <v>SEPTIEMBRESem3939BAYRON AMILCAR JIMENEZ VEGA</v>
      </c>
      <c r="F57" t="str">
        <f t="shared" si="20"/>
        <v>BAYRON AMILCAR JIMENEZ VEGA46286</v>
      </c>
      <c r="H57" s="49" t="s">
        <v>22</v>
      </c>
      <c r="I57" s="50" t="str">
        <f>+_xlfn.XLOOKUP($H57&amp;$V57,BASEDATOS!$B:$B,BASEDATOS!F:F,0,0,1)</f>
        <v>NOCHE</v>
      </c>
      <c r="J57" s="51">
        <f>+_xlfn.XLOOKUP($H57&amp;$V57,BASEDATOS!$B:$B,BASEDATOS!Q:Q,0,0,1)</f>
        <v>0.79166666666666696</v>
      </c>
      <c r="K57" s="51">
        <f>+_xlfn.XLOOKUP($H57&amp;$V57,BASEDATOS!$B:$B,BASEDATOS!R:R,0,0,1)</f>
        <v>0.20833333333333301</v>
      </c>
      <c r="L57" s="51">
        <f t="shared" si="21"/>
        <v>0.41666666666666607</v>
      </c>
      <c r="M57" s="52" t="str">
        <f t="shared" si="22"/>
        <v>1:00</v>
      </c>
      <c r="N57" s="51">
        <f t="shared" si="23"/>
        <v>0.37499999999999939</v>
      </c>
      <c r="O57" s="53" t="str">
        <f t="shared" ref="O57" si="58">+O63</f>
        <v>0-5-2</v>
      </c>
      <c r="P57" s="54">
        <f>+IF(AND(Y57="Domingo",U57=7),_xlfn.XLOOKUP(O57,'Horarios y Sistemas'!C:C,'Horarios y Sistemas'!H:H,0,0,1),0)</f>
        <v>0</v>
      </c>
      <c r="Q57" s="54">
        <f>IF(U57=U58,0,IF(AVERAGEIF(W:W,W57,U:U)=U57,0,_xlfn.XLOOKUP(O57,'Horarios y Sistemas'!C:C,'Horarios y Sistemas'!H:H,0,0,1)-P57))/7*U57</f>
        <v>0</v>
      </c>
      <c r="R57" s="54">
        <f t="shared" si="25"/>
        <v>0</v>
      </c>
      <c r="S57" s="55" t="str">
        <f t="shared" si="26"/>
        <v>SEPTIEMBRE</v>
      </c>
      <c r="T57" s="55" t="str">
        <f t="shared" si="27"/>
        <v>Sem39</v>
      </c>
      <c r="U57" s="56">
        <f t="shared" si="11"/>
        <v>7</v>
      </c>
      <c r="V57" s="59">
        <v>46286</v>
      </c>
      <c r="W57" s="56">
        <f t="shared" si="28"/>
        <v>39</v>
      </c>
      <c r="X57" s="56">
        <f t="shared" si="29"/>
        <v>21</v>
      </c>
      <c r="Y57" s="56" t="s">
        <v>28</v>
      </c>
      <c r="Z57" s="56">
        <v>1</v>
      </c>
      <c r="AA57" s="58">
        <f t="shared" si="30"/>
        <v>0</v>
      </c>
      <c r="AB57" s="58">
        <f t="shared" si="30"/>
        <v>1</v>
      </c>
      <c r="AC57" s="58">
        <f t="shared" si="30"/>
        <v>0</v>
      </c>
      <c r="AD57" s="58">
        <f t="shared" si="30"/>
        <v>0</v>
      </c>
      <c r="AE57" s="58">
        <f t="shared" si="30"/>
        <v>0</v>
      </c>
    </row>
    <row r="58" spans="2:34">
      <c r="B58" t="str">
        <f t="shared" si="16"/>
        <v>Sem3939BAYRON AMILCAR JIMENEZ VEGA</v>
      </c>
      <c r="C58" t="str">
        <f t="shared" si="17"/>
        <v>SEPTIEMBRESem39</v>
      </c>
      <c r="D58" t="str">
        <f t="shared" si="18"/>
        <v>SEPTIEMBRESem39BAYRON AMILCAR JIMENEZ VEGA</v>
      </c>
      <c r="E58" t="str">
        <f t="shared" si="19"/>
        <v>SEPTIEMBRESem3939BAYRON AMILCAR JIMENEZ VEGA</v>
      </c>
      <c r="F58" t="str">
        <f t="shared" si="20"/>
        <v>BAYRON AMILCAR JIMENEZ VEGA46287</v>
      </c>
      <c r="H58" s="49" t="s">
        <v>22</v>
      </c>
      <c r="I58" s="50" t="str">
        <f>+_xlfn.XLOOKUP($H58&amp;$V58,BASEDATOS!$B:$B,BASEDATOS!F:F,0,0,1)</f>
        <v>NOCHE</v>
      </c>
      <c r="J58" s="51">
        <f>+_xlfn.XLOOKUP($H58&amp;$V58,BASEDATOS!$B:$B,BASEDATOS!Q:Q,0,0,1)</f>
        <v>0.79166666666666696</v>
      </c>
      <c r="K58" s="51">
        <f>+_xlfn.XLOOKUP($H58&amp;$V58,BASEDATOS!$B:$B,BASEDATOS!R:R,0,0,1)</f>
        <v>0.20833333333333301</v>
      </c>
      <c r="L58" s="51">
        <f t="shared" si="21"/>
        <v>0.41666666666666607</v>
      </c>
      <c r="M58" s="52" t="str">
        <f t="shared" si="22"/>
        <v>1:00</v>
      </c>
      <c r="N58" s="51">
        <f t="shared" si="23"/>
        <v>0.37499999999999939</v>
      </c>
      <c r="O58" s="53" t="str">
        <f t="shared" ref="O58" si="59">+O63</f>
        <v>0-5-2</v>
      </c>
      <c r="P58" s="54">
        <f>+IF(AND(Y58="Domingo",U58=7),_xlfn.XLOOKUP(O58,'Horarios y Sistemas'!C:C,'Horarios y Sistemas'!H:H,0,0,1),0)</f>
        <v>0</v>
      </c>
      <c r="Q58" s="54">
        <f>IF(U58=U59,0,IF(AVERAGEIF(W:W,W58,U:U)=U58,0,_xlfn.XLOOKUP(O58,'Horarios y Sistemas'!C:C,'Horarios y Sistemas'!H:H,0,0,1)-P58))/7*U58</f>
        <v>0</v>
      </c>
      <c r="R58" s="54">
        <f t="shared" si="25"/>
        <v>0</v>
      </c>
      <c r="S58" s="55" t="str">
        <f t="shared" si="26"/>
        <v>SEPTIEMBRE</v>
      </c>
      <c r="T58" s="55" t="str">
        <f t="shared" si="27"/>
        <v>Sem39</v>
      </c>
      <c r="U58" s="56">
        <f t="shared" si="11"/>
        <v>7</v>
      </c>
      <c r="V58" s="59">
        <v>46287</v>
      </c>
      <c r="W58" s="56">
        <f t="shared" si="28"/>
        <v>39</v>
      </c>
      <c r="X58" s="56">
        <f t="shared" si="29"/>
        <v>22</v>
      </c>
      <c r="Y58" s="56" t="s">
        <v>29</v>
      </c>
      <c r="Z58" s="56">
        <v>2</v>
      </c>
      <c r="AA58" s="58">
        <f t="shared" si="30"/>
        <v>0</v>
      </c>
      <c r="AB58" s="58">
        <f t="shared" si="30"/>
        <v>1</v>
      </c>
      <c r="AC58" s="58">
        <f t="shared" si="30"/>
        <v>0</v>
      </c>
      <c r="AD58" s="58">
        <f t="shared" si="30"/>
        <v>0</v>
      </c>
      <c r="AE58" s="58">
        <f t="shared" si="30"/>
        <v>0</v>
      </c>
    </row>
    <row r="59" spans="2:34">
      <c r="B59" t="str">
        <f t="shared" si="16"/>
        <v>Sem3939BAYRON AMILCAR JIMENEZ VEGA</v>
      </c>
      <c r="C59" t="str">
        <f t="shared" si="17"/>
        <v>SEPTIEMBRESem39</v>
      </c>
      <c r="D59" t="str">
        <f t="shared" si="18"/>
        <v>SEPTIEMBRESem39BAYRON AMILCAR JIMENEZ VEGA</v>
      </c>
      <c r="E59" t="str">
        <f t="shared" si="19"/>
        <v>SEPTIEMBRESem3939BAYRON AMILCAR JIMENEZ VEGA</v>
      </c>
      <c r="F59" t="str">
        <f t="shared" si="20"/>
        <v>BAYRON AMILCAR JIMENEZ VEGA46288</v>
      </c>
      <c r="H59" s="49" t="s">
        <v>22</v>
      </c>
      <c r="I59" s="50" t="str">
        <f>+_xlfn.XLOOKUP($H59&amp;$V59,BASEDATOS!$B:$B,BASEDATOS!F:F,0,0,1)</f>
        <v>NOCHE</v>
      </c>
      <c r="J59" s="51">
        <f>+_xlfn.XLOOKUP($H59&amp;$V59,BASEDATOS!$B:$B,BASEDATOS!Q:Q,0,0,1)</f>
        <v>0.79166666666666696</v>
      </c>
      <c r="K59" s="51">
        <f>+_xlfn.XLOOKUP($H59&amp;$V59,BASEDATOS!$B:$B,BASEDATOS!R:R,0,0,1)</f>
        <v>0.20833333333333301</v>
      </c>
      <c r="L59" s="51">
        <f t="shared" si="21"/>
        <v>0.41666666666666607</v>
      </c>
      <c r="M59" s="52" t="str">
        <f t="shared" si="22"/>
        <v>1:00</v>
      </c>
      <c r="N59" s="51">
        <f t="shared" si="23"/>
        <v>0.37499999999999939</v>
      </c>
      <c r="O59" s="53" t="str">
        <f t="shared" ref="O59" si="60">+O63</f>
        <v>0-5-2</v>
      </c>
      <c r="P59" s="54">
        <f>+IF(AND(Y59="Domingo",U59=7),_xlfn.XLOOKUP(O59,'Horarios y Sistemas'!C:C,'Horarios y Sistemas'!H:H,0,0,1),0)</f>
        <v>0</v>
      </c>
      <c r="Q59" s="54">
        <f>IF(U59=U60,0,IF(AVERAGEIF(W:W,W59,U:U)=U59,0,_xlfn.XLOOKUP(O59,'Horarios y Sistemas'!C:C,'Horarios y Sistemas'!H:H,0,0,1)-P59))/7*U59</f>
        <v>0</v>
      </c>
      <c r="R59" s="54">
        <f t="shared" si="25"/>
        <v>0</v>
      </c>
      <c r="S59" s="55" t="str">
        <f t="shared" si="26"/>
        <v>SEPTIEMBRE</v>
      </c>
      <c r="T59" s="55" t="str">
        <f t="shared" si="27"/>
        <v>Sem39</v>
      </c>
      <c r="U59" s="56">
        <f t="shared" si="11"/>
        <v>7</v>
      </c>
      <c r="V59" s="59">
        <v>46288</v>
      </c>
      <c r="W59" s="56">
        <f t="shared" si="28"/>
        <v>39</v>
      </c>
      <c r="X59" s="56">
        <f t="shared" si="29"/>
        <v>23</v>
      </c>
      <c r="Y59" s="56" t="s">
        <v>30</v>
      </c>
      <c r="Z59" s="56">
        <v>3</v>
      </c>
      <c r="AA59" s="58">
        <f t="shared" si="30"/>
        <v>0</v>
      </c>
      <c r="AB59" s="58">
        <f t="shared" si="30"/>
        <v>1</v>
      </c>
      <c r="AC59" s="58">
        <f t="shared" si="30"/>
        <v>0</v>
      </c>
      <c r="AD59" s="58">
        <f t="shared" si="30"/>
        <v>0</v>
      </c>
      <c r="AE59" s="58">
        <f t="shared" si="30"/>
        <v>0</v>
      </c>
    </row>
    <row r="60" spans="2:34">
      <c r="B60" t="str">
        <f t="shared" si="16"/>
        <v>Sem3939BAYRON AMILCAR JIMENEZ VEGA</v>
      </c>
      <c r="C60" t="str">
        <f t="shared" si="17"/>
        <v>SEPTIEMBRESem39</v>
      </c>
      <c r="D60" t="str">
        <f t="shared" si="18"/>
        <v>SEPTIEMBRESem39BAYRON AMILCAR JIMENEZ VEGA</v>
      </c>
      <c r="E60" t="str">
        <f t="shared" si="19"/>
        <v>SEPTIEMBRESem3939BAYRON AMILCAR JIMENEZ VEGA</v>
      </c>
      <c r="F60" t="str">
        <f t="shared" si="20"/>
        <v>BAYRON AMILCAR JIMENEZ VEGA46289</v>
      </c>
      <c r="H60" s="49" t="s">
        <v>22</v>
      </c>
      <c r="I60" s="50" t="str">
        <f>+_xlfn.XLOOKUP($H60&amp;$V60,BASEDATOS!$B:$B,BASEDATOS!F:F,0,0,1)</f>
        <v>NOCHE</v>
      </c>
      <c r="J60" s="51">
        <f>+_xlfn.XLOOKUP($H60&amp;$V60,BASEDATOS!$B:$B,BASEDATOS!Q:Q,0,0,1)</f>
        <v>0.79166666666666696</v>
      </c>
      <c r="K60" s="51">
        <f>+_xlfn.XLOOKUP($H60&amp;$V60,BASEDATOS!$B:$B,BASEDATOS!R:R,0,0,1)</f>
        <v>0.20833333333333301</v>
      </c>
      <c r="L60" s="51">
        <f t="shared" si="21"/>
        <v>0.41666666666666607</v>
      </c>
      <c r="M60" s="52" t="str">
        <f t="shared" si="22"/>
        <v>1:00</v>
      </c>
      <c r="N60" s="51">
        <f t="shared" si="23"/>
        <v>0.37499999999999939</v>
      </c>
      <c r="O60" s="53" t="str">
        <f t="shared" ref="O60" si="61">+O63</f>
        <v>0-5-2</v>
      </c>
      <c r="P60" s="54">
        <f>+IF(AND(Y60="Domingo",U60=7),_xlfn.XLOOKUP(O60,'Horarios y Sistemas'!C:C,'Horarios y Sistemas'!H:H,0,0,1),0)</f>
        <v>0</v>
      </c>
      <c r="Q60" s="54">
        <f>IF(U60=U61,0,IF(AVERAGEIF(W:W,W60,U:U)=U60,0,_xlfn.XLOOKUP(O60,'Horarios y Sistemas'!C:C,'Horarios y Sistemas'!H:H,0,0,1)-P60))/7*U60</f>
        <v>0</v>
      </c>
      <c r="R60" s="54">
        <f t="shared" si="25"/>
        <v>0</v>
      </c>
      <c r="S60" s="55" t="str">
        <f t="shared" si="26"/>
        <v>SEPTIEMBRE</v>
      </c>
      <c r="T60" s="55" t="str">
        <f t="shared" si="27"/>
        <v>Sem39</v>
      </c>
      <c r="U60" s="56">
        <f t="shared" si="11"/>
        <v>7</v>
      </c>
      <c r="V60" s="59">
        <v>46289</v>
      </c>
      <c r="W60" s="56">
        <f t="shared" si="28"/>
        <v>39</v>
      </c>
      <c r="X60" s="56">
        <f t="shared" si="29"/>
        <v>24</v>
      </c>
      <c r="Y60" s="56" t="s">
        <v>31</v>
      </c>
      <c r="Z60" s="56">
        <v>4</v>
      </c>
      <c r="AA60" s="58">
        <f t="shared" si="30"/>
        <v>0</v>
      </c>
      <c r="AB60" s="58">
        <f t="shared" si="30"/>
        <v>1</v>
      </c>
      <c r="AC60" s="58">
        <f t="shared" si="30"/>
        <v>0</v>
      </c>
      <c r="AD60" s="58">
        <f t="shared" si="30"/>
        <v>0</v>
      </c>
      <c r="AE60" s="58">
        <f t="shared" si="30"/>
        <v>0</v>
      </c>
    </row>
    <row r="61" spans="2:34">
      <c r="B61" t="str">
        <f t="shared" si="16"/>
        <v>Sem3939BAYRON AMILCAR JIMENEZ VEGA</v>
      </c>
      <c r="C61" t="str">
        <f t="shared" si="17"/>
        <v>SEPTIEMBRESem39</v>
      </c>
      <c r="D61" t="str">
        <f t="shared" si="18"/>
        <v>SEPTIEMBRESem39BAYRON AMILCAR JIMENEZ VEGA</v>
      </c>
      <c r="E61" t="str">
        <f t="shared" si="19"/>
        <v>SEPTIEMBRESem3939BAYRON AMILCAR JIMENEZ VEGA</v>
      </c>
      <c r="F61" t="str">
        <f t="shared" si="20"/>
        <v>BAYRON AMILCAR JIMENEZ VEGA46290</v>
      </c>
      <c r="H61" s="49" t="s">
        <v>22</v>
      </c>
      <c r="I61" s="50" t="str">
        <f>+_xlfn.XLOOKUP($H61&amp;$V61,BASEDATOS!$B:$B,BASEDATOS!F:F,0,0,1)</f>
        <v>NOCHE</v>
      </c>
      <c r="J61" s="51">
        <f>+_xlfn.XLOOKUP($H61&amp;$V61,BASEDATOS!$B:$B,BASEDATOS!Q:Q,0,0,1)</f>
        <v>0.79166666666666696</v>
      </c>
      <c r="K61" s="51">
        <f>+_xlfn.XLOOKUP($H61&amp;$V61,BASEDATOS!$B:$B,BASEDATOS!R:R,0,0,1)</f>
        <v>0.20833333333333301</v>
      </c>
      <c r="L61" s="51">
        <f t="shared" si="21"/>
        <v>0.41666666666666607</v>
      </c>
      <c r="M61" s="52" t="str">
        <f t="shared" si="22"/>
        <v>1:00</v>
      </c>
      <c r="N61" s="51">
        <f t="shared" si="23"/>
        <v>0.37499999999999939</v>
      </c>
      <c r="O61" s="53" t="str">
        <f t="shared" ref="O61" si="62">+O63</f>
        <v>0-5-2</v>
      </c>
      <c r="P61" s="54">
        <f>+IF(AND(Y61="Domingo",U61=7),_xlfn.XLOOKUP(O61,'Horarios y Sistemas'!C:C,'Horarios y Sistemas'!H:H,0,0,1),0)</f>
        <v>0</v>
      </c>
      <c r="Q61" s="54">
        <f>IF(U61=U62,0,IF(AVERAGEIF(W:W,W61,U:U)=U61,0,_xlfn.XLOOKUP(O61,'Horarios y Sistemas'!C:C,'Horarios y Sistemas'!H:H,0,0,1)-P61))/7*U61</f>
        <v>0</v>
      </c>
      <c r="R61" s="54">
        <f t="shared" si="25"/>
        <v>0</v>
      </c>
      <c r="S61" s="55" t="str">
        <f t="shared" si="26"/>
        <v>SEPTIEMBRE</v>
      </c>
      <c r="T61" s="55" t="str">
        <f t="shared" si="27"/>
        <v>Sem39</v>
      </c>
      <c r="U61" s="56">
        <f t="shared" si="11"/>
        <v>7</v>
      </c>
      <c r="V61" s="59">
        <v>46290</v>
      </c>
      <c r="W61" s="56">
        <f t="shared" si="28"/>
        <v>39</v>
      </c>
      <c r="X61" s="56">
        <f t="shared" si="29"/>
        <v>25</v>
      </c>
      <c r="Y61" s="56" t="s">
        <v>32</v>
      </c>
      <c r="Z61" s="56">
        <v>5</v>
      </c>
      <c r="AA61" s="58">
        <f t="shared" si="30"/>
        <v>0</v>
      </c>
      <c r="AB61" s="58">
        <f t="shared" si="30"/>
        <v>1</v>
      </c>
      <c r="AC61" s="58">
        <f t="shared" si="30"/>
        <v>0</v>
      </c>
      <c r="AD61" s="58">
        <f t="shared" si="30"/>
        <v>0</v>
      </c>
      <c r="AE61" s="58">
        <f t="shared" si="30"/>
        <v>0</v>
      </c>
    </row>
    <row r="62" spans="2:34">
      <c r="B62" t="str">
        <f t="shared" si="16"/>
        <v>Sem3939BAYRON AMILCAR JIMENEZ VEGA</v>
      </c>
      <c r="C62" t="str">
        <f t="shared" si="17"/>
        <v>SEPTIEMBRESem39</v>
      </c>
      <c r="D62" t="str">
        <f t="shared" si="18"/>
        <v>SEPTIEMBRESem39BAYRON AMILCAR JIMENEZ VEGA</v>
      </c>
      <c r="E62" t="str">
        <f t="shared" si="19"/>
        <v>SEPTIEMBRESem3939BAYRON AMILCAR JIMENEZ VEGA</v>
      </c>
      <c r="F62" t="str">
        <f t="shared" si="20"/>
        <v>BAYRON AMILCAR JIMENEZ VEGA46291</v>
      </c>
      <c r="H62" s="49" t="s">
        <v>22</v>
      </c>
      <c r="I62" s="50" t="str">
        <f>+_xlfn.XLOOKUP($H62&amp;$V62,BASEDATOS!$B:$B,BASEDATOS!F:F,0,0,1)</f>
        <v>DESCANSO</v>
      </c>
      <c r="J62" s="51">
        <f>+_xlfn.XLOOKUP($H62&amp;$V62,BASEDATOS!$B:$B,BASEDATOS!Q:Q,0,0,1)</f>
        <v>0</v>
      </c>
      <c r="K62" s="51">
        <f>+_xlfn.XLOOKUP($H62&amp;$V62,BASEDATOS!$B:$B,BASEDATOS!R:R,0,0,1)</f>
        <v>0</v>
      </c>
      <c r="L62" s="51">
        <f t="shared" si="21"/>
        <v>0</v>
      </c>
      <c r="M62" s="52">
        <f t="shared" si="22"/>
        <v>0</v>
      </c>
      <c r="N62" s="51">
        <f t="shared" si="23"/>
        <v>0</v>
      </c>
      <c r="O62" s="53" t="str">
        <f t="shared" ref="O62" si="63">+O63</f>
        <v>0-5-2</v>
      </c>
      <c r="P62" s="54">
        <f>+IF(AND(Y62="Domingo",U62=7),_xlfn.XLOOKUP(O62,'Horarios y Sistemas'!C:C,'Horarios y Sistemas'!H:H,0,0,1),0)</f>
        <v>0</v>
      </c>
      <c r="Q62" s="54">
        <f>IF(U62=U63,0,IF(AVERAGEIF(W:W,W62,U:U)=U62,0,_xlfn.XLOOKUP(O62,'Horarios y Sistemas'!C:C,'Horarios y Sistemas'!H:H,0,0,1)-P62))/7*U62</f>
        <v>0</v>
      </c>
      <c r="R62" s="54">
        <f t="shared" si="25"/>
        <v>0</v>
      </c>
      <c r="S62" s="55" t="str">
        <f t="shared" si="26"/>
        <v>SEPTIEMBRE</v>
      </c>
      <c r="T62" s="55" t="str">
        <f t="shared" si="27"/>
        <v>Sem39</v>
      </c>
      <c r="U62" s="56">
        <f t="shared" si="11"/>
        <v>7</v>
      </c>
      <c r="V62" s="59">
        <v>46291</v>
      </c>
      <c r="W62" s="56">
        <f t="shared" si="28"/>
        <v>39</v>
      </c>
      <c r="X62" s="56">
        <f t="shared" si="29"/>
        <v>26</v>
      </c>
      <c r="Y62" s="56" t="s">
        <v>33</v>
      </c>
      <c r="Z62" s="56">
        <v>6</v>
      </c>
      <c r="AA62" s="58">
        <f t="shared" si="30"/>
        <v>0</v>
      </c>
      <c r="AB62" s="58">
        <f t="shared" si="30"/>
        <v>0</v>
      </c>
      <c r="AC62" s="58">
        <f t="shared" si="30"/>
        <v>1</v>
      </c>
      <c r="AD62" s="58">
        <f t="shared" si="30"/>
        <v>0</v>
      </c>
      <c r="AE62" s="58">
        <f t="shared" si="30"/>
        <v>0</v>
      </c>
    </row>
    <row r="63" spans="2:34" s="60" customFormat="1">
      <c r="B63" s="60" t="str">
        <f t="shared" si="16"/>
        <v>Sem3939BAYRON AMILCAR JIMENEZ VEGA</v>
      </c>
      <c r="C63" s="60" t="str">
        <f t="shared" si="17"/>
        <v>SEPTIEMBRESem39</v>
      </c>
      <c r="D63" s="60" t="str">
        <f t="shared" si="18"/>
        <v>SEPTIEMBRESem39BAYRON AMILCAR JIMENEZ VEGA</v>
      </c>
      <c r="E63" s="60" t="str">
        <f t="shared" si="19"/>
        <v>SEPTIEMBRESem3939BAYRON AMILCAR JIMENEZ VEGA</v>
      </c>
      <c r="F63" s="60" t="str">
        <f t="shared" si="20"/>
        <v>BAYRON AMILCAR JIMENEZ VEGA46292</v>
      </c>
      <c r="H63" s="61" t="s">
        <v>22</v>
      </c>
      <c r="I63" s="62" t="str">
        <f>+_xlfn.XLOOKUP($H63&amp;$V63,BASEDATOS!$B:$B,BASEDATOS!F:F,0,0,1)</f>
        <v>DESCANSO</v>
      </c>
      <c r="J63" s="63">
        <f>+_xlfn.XLOOKUP($H63&amp;$V63,BASEDATOS!$B:$B,BASEDATOS!Q:Q,0,0,1)</f>
        <v>0</v>
      </c>
      <c r="K63" s="63">
        <f>+_xlfn.XLOOKUP($H63&amp;$V63,BASEDATOS!$B:$B,BASEDATOS!R:R,0,0,1)</f>
        <v>0</v>
      </c>
      <c r="L63" s="63">
        <f t="shared" si="21"/>
        <v>0</v>
      </c>
      <c r="M63" s="64">
        <f t="shared" si="22"/>
        <v>0</v>
      </c>
      <c r="N63" s="63">
        <f t="shared" si="23"/>
        <v>0</v>
      </c>
      <c r="O63" s="65" t="str">
        <f t="shared" ref="O63" si="64">+IF(Y63="Domingo",SUM(AA57:AA63)&amp;"-"&amp;SUM(AB57:AB63)&amp;"-"&amp;SUM(AC57:AE63),"")</f>
        <v>0-5-2</v>
      </c>
      <c r="P63" s="66">
        <f>+IF(AND(Y63="Domingo",U63=7),_xlfn.XLOOKUP(O63,'Horarios y Sistemas'!C:C,'Horarios y Sistemas'!H:H,0,0,1),0)</f>
        <v>36</v>
      </c>
      <c r="Q63" s="66">
        <f>IF(U63=U64,0,IF(AVERAGEIF(W:W,W63,U:U)=U63,0,_xlfn.XLOOKUP(O63,'Horarios y Sistemas'!C:C,'Horarios y Sistemas'!H:H,0,0,1)-P63))/7*U63</f>
        <v>0</v>
      </c>
      <c r="R63" s="66">
        <f t="shared" si="25"/>
        <v>36</v>
      </c>
      <c r="S63" s="67" t="str">
        <f t="shared" si="26"/>
        <v>SEPTIEMBRE</v>
      </c>
      <c r="T63" s="55" t="str">
        <f t="shared" si="27"/>
        <v>Sem39</v>
      </c>
      <c r="U63" s="68">
        <f t="shared" si="11"/>
        <v>7</v>
      </c>
      <c r="V63" s="69">
        <v>46292</v>
      </c>
      <c r="W63" s="68">
        <f t="shared" si="28"/>
        <v>39</v>
      </c>
      <c r="X63" s="68">
        <f t="shared" si="29"/>
        <v>27</v>
      </c>
      <c r="Y63" s="68" t="s">
        <v>34</v>
      </c>
      <c r="Z63" s="68">
        <v>7</v>
      </c>
      <c r="AA63" s="70">
        <f t="shared" si="30"/>
        <v>0</v>
      </c>
      <c r="AB63" s="70">
        <f t="shared" si="30"/>
        <v>0</v>
      </c>
      <c r="AC63" s="70">
        <f t="shared" si="30"/>
        <v>1</v>
      </c>
      <c r="AD63" s="70">
        <f t="shared" si="30"/>
        <v>0</v>
      </c>
      <c r="AE63" s="70">
        <f t="shared" si="30"/>
        <v>0</v>
      </c>
      <c r="AF63" s="71"/>
      <c r="AG63" s="71"/>
      <c r="AH63" s="71"/>
    </row>
    <row r="64" spans="2:34">
      <c r="B64" t="str">
        <f t="shared" si="16"/>
        <v>Sem4040BAYRON AMILCAR JIMENEZ VEGA</v>
      </c>
      <c r="C64" t="str">
        <f t="shared" si="17"/>
        <v>SEPTIEMBRESem40</v>
      </c>
      <c r="D64" t="str">
        <f t="shared" si="18"/>
        <v>SEPTIEMBRESem40BAYRON AMILCAR JIMENEZ VEGA</v>
      </c>
      <c r="E64" t="str">
        <f t="shared" si="19"/>
        <v>SEPTIEMBRESem4040BAYRON AMILCAR JIMENEZ VEGA</v>
      </c>
      <c r="F64" t="str">
        <f t="shared" si="20"/>
        <v>BAYRON AMILCAR JIMENEZ VEGA46293</v>
      </c>
      <c r="H64" s="49" t="s">
        <v>22</v>
      </c>
      <c r="I64" s="50" t="str">
        <f>+_xlfn.XLOOKUP($H64&amp;$V64,BASEDATOS!$B:$B,BASEDATOS!F:F,0,0,1)</f>
        <v>DIA</v>
      </c>
      <c r="J64" s="51">
        <f>+_xlfn.XLOOKUP($H64&amp;$V64,BASEDATOS!$B:$B,BASEDATOS!Q:Q,0,0,1)</f>
        <v>0.29166666666666702</v>
      </c>
      <c r="K64" s="51">
        <f>+_xlfn.XLOOKUP($H64&amp;$V64,BASEDATOS!$B:$B,BASEDATOS!R:R,0,0,1)</f>
        <v>0.66666666666666696</v>
      </c>
      <c r="L64" s="51">
        <f t="shared" si="21"/>
        <v>0.37499999999999994</v>
      </c>
      <c r="M64" s="52" t="str">
        <f t="shared" si="22"/>
        <v>1:00</v>
      </c>
      <c r="N64" s="51">
        <f t="shared" si="23"/>
        <v>0.33333333333333326</v>
      </c>
      <c r="O64" s="53" t="str">
        <f t="shared" ref="O64" si="65">+O70</f>
        <v>6-0-1</v>
      </c>
      <c r="P64" s="54">
        <f>+IF(AND(Y64="Domingo",U64=7),_xlfn.XLOOKUP(O64,'Horarios y Sistemas'!C:C,'Horarios y Sistemas'!H:H,0,0,1),0)</f>
        <v>0</v>
      </c>
      <c r="Q64" s="54">
        <f>IF(U64=U65,0,IF(AVERAGEIF(W:W,W64,U:U)=U64,0,_xlfn.XLOOKUP(O64,'Horarios y Sistemas'!C:C,'Horarios y Sistemas'!H:H,0,0,1)-P64))/7*U64</f>
        <v>0</v>
      </c>
      <c r="R64" s="54">
        <f t="shared" si="25"/>
        <v>0</v>
      </c>
      <c r="S64" s="55" t="str">
        <f t="shared" si="26"/>
        <v>SEPTIEMBRE</v>
      </c>
      <c r="T64" s="55" t="str">
        <f t="shared" si="27"/>
        <v>Sem40</v>
      </c>
      <c r="U64" s="56">
        <f t="shared" si="11"/>
        <v>7</v>
      </c>
      <c r="V64" s="59">
        <v>46293</v>
      </c>
      <c r="W64" s="56">
        <f t="shared" si="28"/>
        <v>40</v>
      </c>
      <c r="X64" s="56">
        <f t="shared" si="29"/>
        <v>28</v>
      </c>
      <c r="Y64" s="56" t="s">
        <v>28</v>
      </c>
      <c r="Z64" s="56">
        <v>1</v>
      </c>
      <c r="AA64" s="58">
        <f t="shared" si="30"/>
        <v>1</v>
      </c>
      <c r="AB64" s="58">
        <f t="shared" si="30"/>
        <v>0</v>
      </c>
      <c r="AC64" s="58">
        <f t="shared" si="30"/>
        <v>0</v>
      </c>
      <c r="AD64" s="58">
        <f t="shared" si="30"/>
        <v>0</v>
      </c>
      <c r="AE64" s="58">
        <f t="shared" si="30"/>
        <v>0</v>
      </c>
    </row>
    <row r="65" spans="2:34">
      <c r="B65" t="str">
        <f t="shared" si="16"/>
        <v>Sem4040BAYRON AMILCAR JIMENEZ VEGA</v>
      </c>
      <c r="C65" t="str">
        <f t="shared" si="17"/>
        <v>SEPTIEMBRESem40</v>
      </c>
      <c r="D65" t="str">
        <f t="shared" si="18"/>
        <v>SEPTIEMBRESem40BAYRON AMILCAR JIMENEZ VEGA</v>
      </c>
      <c r="E65" t="str">
        <f t="shared" si="19"/>
        <v>SEPTIEMBRESem4040BAYRON AMILCAR JIMENEZ VEGA</v>
      </c>
      <c r="F65" t="str">
        <f t="shared" si="20"/>
        <v>BAYRON AMILCAR JIMENEZ VEGA46294</v>
      </c>
      <c r="H65" s="49" t="s">
        <v>22</v>
      </c>
      <c r="I65" s="50" t="str">
        <f>+_xlfn.XLOOKUP($H65&amp;$V65,BASEDATOS!$B:$B,BASEDATOS!F:F,0,0,1)</f>
        <v>DIA</v>
      </c>
      <c r="J65" s="51">
        <f>+_xlfn.XLOOKUP($H65&amp;$V65,BASEDATOS!$B:$B,BASEDATOS!Q:Q,0,0,1)</f>
        <v>0.29166666666666702</v>
      </c>
      <c r="K65" s="51">
        <f>+_xlfn.XLOOKUP($H65&amp;$V65,BASEDATOS!$B:$B,BASEDATOS!R:R,0,0,1)</f>
        <v>0.66666666666666696</v>
      </c>
      <c r="L65" s="51">
        <f t="shared" si="21"/>
        <v>0.37499999999999994</v>
      </c>
      <c r="M65" s="52" t="str">
        <f t="shared" si="22"/>
        <v>1:00</v>
      </c>
      <c r="N65" s="51">
        <f t="shared" si="23"/>
        <v>0.33333333333333326</v>
      </c>
      <c r="O65" s="53" t="str">
        <f t="shared" ref="O65" si="66">+O70</f>
        <v>6-0-1</v>
      </c>
      <c r="P65" s="54">
        <f>+IF(AND(Y65="Domingo",U65=7),_xlfn.XLOOKUP(O65,'Horarios y Sistemas'!C:C,'Horarios y Sistemas'!H:H,0,0,1),0)</f>
        <v>0</v>
      </c>
      <c r="Q65" s="54">
        <f>IF(U65=U66,0,IF(AVERAGEIF(W:W,W65,U:U)=U65,0,_xlfn.XLOOKUP(O65,'Horarios y Sistemas'!C:C,'Horarios y Sistemas'!H:H,0,0,1)-P65))/7*U65</f>
        <v>0</v>
      </c>
      <c r="R65" s="54">
        <f t="shared" si="25"/>
        <v>0</v>
      </c>
      <c r="S65" s="55" t="str">
        <f t="shared" si="26"/>
        <v>SEPTIEMBRE</v>
      </c>
      <c r="T65" s="55" t="str">
        <f t="shared" si="27"/>
        <v>Sem40</v>
      </c>
      <c r="U65" s="56">
        <f t="shared" si="11"/>
        <v>7</v>
      </c>
      <c r="V65" s="59">
        <v>46294</v>
      </c>
      <c r="W65" s="56">
        <f t="shared" si="28"/>
        <v>40</v>
      </c>
      <c r="X65" s="56">
        <f t="shared" si="29"/>
        <v>29</v>
      </c>
      <c r="Y65" s="56" t="s">
        <v>29</v>
      </c>
      <c r="Z65" s="56">
        <v>2</v>
      </c>
      <c r="AA65" s="58">
        <f t="shared" si="30"/>
        <v>1</v>
      </c>
      <c r="AB65" s="58">
        <f t="shared" si="30"/>
        <v>0</v>
      </c>
      <c r="AC65" s="58">
        <f t="shared" si="30"/>
        <v>0</v>
      </c>
      <c r="AD65" s="58">
        <f t="shared" si="30"/>
        <v>0</v>
      </c>
      <c r="AE65" s="58">
        <f t="shared" si="30"/>
        <v>0</v>
      </c>
    </row>
    <row r="66" spans="2:34">
      <c r="B66" t="str">
        <f t="shared" si="16"/>
        <v>Sem4040BAYRON AMILCAR JIMENEZ VEGA</v>
      </c>
      <c r="C66" t="str">
        <f t="shared" si="17"/>
        <v>SEPTIEMBRESem40</v>
      </c>
      <c r="D66" t="str">
        <f t="shared" si="18"/>
        <v>SEPTIEMBRESem40BAYRON AMILCAR JIMENEZ VEGA</v>
      </c>
      <c r="E66" t="str">
        <f t="shared" si="19"/>
        <v>SEPTIEMBRESem4040BAYRON AMILCAR JIMENEZ VEGA</v>
      </c>
      <c r="F66" t="str">
        <f t="shared" si="20"/>
        <v>BAYRON AMILCAR JIMENEZ VEGA46295</v>
      </c>
      <c r="H66" s="49" t="s">
        <v>22</v>
      </c>
      <c r="I66" s="50" t="str">
        <f>+_xlfn.XLOOKUP($H66&amp;$V66,BASEDATOS!$B:$B,BASEDATOS!F:F,0,0,1)</f>
        <v>DIA</v>
      </c>
      <c r="J66" s="51">
        <f>+_xlfn.XLOOKUP($H66&amp;$V66,BASEDATOS!$B:$B,BASEDATOS!Q:Q,0,0,1)</f>
        <v>0.29166666666666702</v>
      </c>
      <c r="K66" s="51">
        <f>+_xlfn.XLOOKUP($H66&amp;$V66,BASEDATOS!$B:$B,BASEDATOS!R:R,0,0,1)</f>
        <v>0.66666666666666696</v>
      </c>
      <c r="L66" s="51">
        <f t="shared" si="21"/>
        <v>0.37499999999999994</v>
      </c>
      <c r="M66" s="52" t="str">
        <f t="shared" si="22"/>
        <v>1:00</v>
      </c>
      <c r="N66" s="51">
        <f t="shared" si="23"/>
        <v>0.33333333333333326</v>
      </c>
      <c r="O66" s="53" t="str">
        <f t="shared" ref="O66" si="67">+O70</f>
        <v>6-0-1</v>
      </c>
      <c r="P66" s="54">
        <f>+IF(AND(Y66="Domingo",U66=7),_xlfn.XLOOKUP(O66,'Horarios y Sistemas'!C:C,'Horarios y Sistemas'!H:H,0,0,1),0)</f>
        <v>0</v>
      </c>
      <c r="Q66" s="54">
        <f>IF(U66=U67,0,IF(AVERAGEIF(W:W,W66,U:U)=U66,0,_xlfn.XLOOKUP(O66,'Horarios y Sistemas'!C:C,'Horarios y Sistemas'!H:H,0,0,1)-P66))/7*U66</f>
        <v>0</v>
      </c>
      <c r="R66" s="54">
        <f t="shared" si="25"/>
        <v>0</v>
      </c>
      <c r="S66" s="55" t="str">
        <f t="shared" si="26"/>
        <v>SEPTIEMBRE</v>
      </c>
      <c r="T66" s="55" t="str">
        <f t="shared" si="27"/>
        <v>Sem40</v>
      </c>
      <c r="U66" s="56">
        <f t="shared" si="11"/>
        <v>7</v>
      </c>
      <c r="V66" s="59">
        <v>46295</v>
      </c>
      <c r="W66" s="56">
        <f t="shared" si="28"/>
        <v>40</v>
      </c>
      <c r="X66" s="56">
        <f t="shared" si="29"/>
        <v>30</v>
      </c>
      <c r="Y66" s="56" t="s">
        <v>30</v>
      </c>
      <c r="Z66" s="56">
        <v>3</v>
      </c>
      <c r="AA66" s="58">
        <f t="shared" si="30"/>
        <v>1</v>
      </c>
      <c r="AB66" s="58">
        <f t="shared" si="30"/>
        <v>0</v>
      </c>
      <c r="AC66" s="58">
        <f t="shared" si="30"/>
        <v>0</v>
      </c>
      <c r="AD66" s="58">
        <f t="shared" si="30"/>
        <v>0</v>
      </c>
      <c r="AE66" s="58">
        <f t="shared" si="30"/>
        <v>0</v>
      </c>
    </row>
    <row r="67" spans="2:34">
      <c r="B67" t="str">
        <f t="shared" si="16"/>
        <v>Sem4040BAYRON AMILCAR JIMENEZ VEGA</v>
      </c>
      <c r="C67" t="str">
        <f t="shared" si="17"/>
        <v>OCTUBRESem40</v>
      </c>
      <c r="D67" t="str">
        <f t="shared" si="18"/>
        <v>OCTUBRESem40BAYRON AMILCAR JIMENEZ VEGA</v>
      </c>
      <c r="E67" t="str">
        <f t="shared" si="19"/>
        <v>OCTUBRESem4040BAYRON AMILCAR JIMENEZ VEGA</v>
      </c>
      <c r="F67" t="str">
        <f t="shared" si="20"/>
        <v>BAYRON AMILCAR JIMENEZ VEGA46296</v>
      </c>
      <c r="H67" s="49" t="s">
        <v>22</v>
      </c>
      <c r="I67" s="50" t="str">
        <f>+_xlfn.XLOOKUP($H67&amp;$V67,BASEDATOS!$B:$B,BASEDATOS!F:F,0,0,1)</f>
        <v>DIA</v>
      </c>
      <c r="J67" s="51">
        <f>+_xlfn.XLOOKUP($H67&amp;$V67,BASEDATOS!$B:$B,BASEDATOS!Q:Q,0,0,1)</f>
        <v>0.375</v>
      </c>
      <c r="K67" s="51">
        <f>+_xlfn.XLOOKUP($H67&amp;$V67,BASEDATOS!$B:$B,BASEDATOS!R:R,0,0,1)</f>
        <v>0.75</v>
      </c>
      <c r="L67" s="51">
        <f t="shared" si="21"/>
        <v>0.375</v>
      </c>
      <c r="M67" s="52" t="str">
        <f t="shared" si="22"/>
        <v>1:00</v>
      </c>
      <c r="N67" s="51">
        <f t="shared" si="23"/>
        <v>0.33333333333333331</v>
      </c>
      <c r="O67" s="53" t="str">
        <f t="shared" ref="O67" si="68">+O70</f>
        <v>6-0-1</v>
      </c>
      <c r="P67" s="54">
        <f>+IF(AND(Y67="Domingo",U67=7),_xlfn.XLOOKUP(O67,'Horarios y Sistemas'!C:C,'Horarios y Sistemas'!H:H,0,0,1),0)</f>
        <v>0</v>
      </c>
      <c r="Q67" s="54">
        <f>IF(U67=U68,0,IF(AVERAGEIF(W:W,W67,U:U)=U67,0,_xlfn.XLOOKUP(O67,'Horarios y Sistemas'!C:C,'Horarios y Sistemas'!H:H,0,0,1)-P67))/7*U67</f>
        <v>0</v>
      </c>
      <c r="R67" s="54">
        <f t="shared" si="25"/>
        <v>0</v>
      </c>
      <c r="S67" s="55" t="str">
        <f t="shared" si="26"/>
        <v>OCTUBRE</v>
      </c>
      <c r="T67" s="55" t="str">
        <f t="shared" si="27"/>
        <v>Sem40</v>
      </c>
      <c r="U67" s="56">
        <f t="shared" si="11"/>
        <v>7</v>
      </c>
      <c r="V67" s="59">
        <v>46296</v>
      </c>
      <c r="W67" s="56">
        <f t="shared" si="28"/>
        <v>40</v>
      </c>
      <c r="X67" s="56">
        <f t="shared" si="29"/>
        <v>1</v>
      </c>
      <c r="Y67" s="56" t="s">
        <v>31</v>
      </c>
      <c r="Z67" s="56">
        <v>4</v>
      </c>
      <c r="AA67" s="58">
        <f t="shared" si="30"/>
        <v>1</v>
      </c>
      <c r="AB67" s="58">
        <f t="shared" si="30"/>
        <v>0</v>
      </c>
      <c r="AC67" s="58">
        <f t="shared" si="30"/>
        <v>0</v>
      </c>
      <c r="AD67" s="58">
        <f t="shared" si="30"/>
        <v>0</v>
      </c>
      <c r="AE67" s="58">
        <f t="shared" si="30"/>
        <v>0</v>
      </c>
    </row>
    <row r="68" spans="2:34">
      <c r="B68" t="str">
        <f t="shared" si="16"/>
        <v>Sem4040BAYRON AMILCAR JIMENEZ VEGA</v>
      </c>
      <c r="C68" t="str">
        <f t="shared" si="17"/>
        <v>OCTUBRESem40</v>
      </c>
      <c r="D68" t="str">
        <f t="shared" si="18"/>
        <v>OCTUBRESem40BAYRON AMILCAR JIMENEZ VEGA</v>
      </c>
      <c r="E68" t="str">
        <f t="shared" si="19"/>
        <v>OCTUBRESem4040BAYRON AMILCAR JIMENEZ VEGA</v>
      </c>
      <c r="F68" t="str">
        <f t="shared" si="20"/>
        <v>BAYRON AMILCAR JIMENEZ VEGA46297</v>
      </c>
      <c r="H68" s="49" t="s">
        <v>22</v>
      </c>
      <c r="I68" s="50" t="str">
        <f>+_xlfn.XLOOKUP($H68&amp;$V68,BASEDATOS!$B:$B,BASEDATOS!F:F,0,0,1)</f>
        <v>DIA</v>
      </c>
      <c r="J68" s="51">
        <f>+_xlfn.XLOOKUP($H68&amp;$V68,BASEDATOS!$B:$B,BASEDATOS!Q:Q,0,0,1)</f>
        <v>0.29166666666666702</v>
      </c>
      <c r="K68" s="51">
        <f>+_xlfn.XLOOKUP($H68&amp;$V68,BASEDATOS!$B:$B,BASEDATOS!R:R,0,0,1)</f>
        <v>0.66666666666666696</v>
      </c>
      <c r="L68" s="51">
        <f t="shared" si="21"/>
        <v>0.37499999999999994</v>
      </c>
      <c r="M68" s="52" t="str">
        <f t="shared" si="22"/>
        <v>1:00</v>
      </c>
      <c r="N68" s="51">
        <f t="shared" si="23"/>
        <v>0.33333333333333326</v>
      </c>
      <c r="O68" s="53" t="str">
        <f t="shared" ref="O68" si="69">+O70</f>
        <v>6-0-1</v>
      </c>
      <c r="P68" s="54">
        <f>+IF(AND(Y68="Domingo",U68=7),_xlfn.XLOOKUP(O68,'Horarios y Sistemas'!C:C,'Horarios y Sistemas'!H:H,0,0,1),0)</f>
        <v>0</v>
      </c>
      <c r="Q68" s="54">
        <f>IF(U68=U69,0,IF(AVERAGEIF(W:W,W68,U:U)=U68,0,_xlfn.XLOOKUP(O68,'Horarios y Sistemas'!C:C,'Horarios y Sistemas'!H:H,0,0,1)-P68))/7*U68</f>
        <v>0</v>
      </c>
      <c r="R68" s="54">
        <f t="shared" si="25"/>
        <v>0</v>
      </c>
      <c r="S68" s="55" t="str">
        <f t="shared" si="26"/>
        <v>OCTUBRE</v>
      </c>
      <c r="T68" s="55" t="str">
        <f t="shared" si="27"/>
        <v>Sem40</v>
      </c>
      <c r="U68" s="56">
        <f t="shared" si="11"/>
        <v>7</v>
      </c>
      <c r="V68" s="59">
        <v>46297</v>
      </c>
      <c r="W68" s="56">
        <f t="shared" si="28"/>
        <v>40</v>
      </c>
      <c r="X68" s="56">
        <f t="shared" si="29"/>
        <v>2</v>
      </c>
      <c r="Y68" s="56" t="s">
        <v>32</v>
      </c>
      <c r="Z68" s="56">
        <v>5</v>
      </c>
      <c r="AA68" s="58">
        <f t="shared" si="30"/>
        <v>1</v>
      </c>
      <c r="AB68" s="58">
        <f t="shared" si="30"/>
        <v>0</v>
      </c>
      <c r="AC68" s="58">
        <f t="shared" si="30"/>
        <v>0</v>
      </c>
      <c r="AD68" s="58">
        <f t="shared" si="30"/>
        <v>0</v>
      </c>
      <c r="AE68" s="58">
        <f t="shared" si="30"/>
        <v>0</v>
      </c>
    </row>
    <row r="69" spans="2:34">
      <c r="B69" t="str">
        <f t="shared" si="16"/>
        <v>Sem4040BAYRON AMILCAR JIMENEZ VEGA</v>
      </c>
      <c r="C69" t="str">
        <f t="shared" si="17"/>
        <v>OCTUBRESem40</v>
      </c>
      <c r="D69" t="str">
        <f t="shared" si="18"/>
        <v>OCTUBRESem40BAYRON AMILCAR JIMENEZ VEGA</v>
      </c>
      <c r="E69" t="str">
        <f t="shared" si="19"/>
        <v>OCTUBRESem4040BAYRON AMILCAR JIMENEZ VEGA</v>
      </c>
      <c r="F69" t="str">
        <f t="shared" si="20"/>
        <v>BAYRON AMILCAR JIMENEZ VEGA46298</v>
      </c>
      <c r="H69" s="49" t="s">
        <v>22</v>
      </c>
      <c r="I69" s="50" t="str">
        <f>+_xlfn.XLOOKUP($H69&amp;$V69,BASEDATOS!$B:$B,BASEDATOS!F:F,0,0,1)</f>
        <v>DIA</v>
      </c>
      <c r="J69" s="51">
        <f>+_xlfn.XLOOKUP($H69&amp;$V69,BASEDATOS!$B:$B,BASEDATOS!Q:Q,0,0,1)</f>
        <v>0.29166666666666702</v>
      </c>
      <c r="K69" s="51">
        <f>+_xlfn.XLOOKUP($H69&amp;$V69,BASEDATOS!$B:$B,BASEDATOS!R:R,0,0,1)</f>
        <v>0.5</v>
      </c>
      <c r="L69" s="51">
        <f t="shared" si="21"/>
        <v>0.20833333333333298</v>
      </c>
      <c r="M69" s="52" t="str">
        <f t="shared" si="22"/>
        <v>1:00</v>
      </c>
      <c r="N69" s="51">
        <f t="shared" si="23"/>
        <v>0.16666666666666632</v>
      </c>
      <c r="O69" s="53" t="str">
        <f t="shared" ref="O69" si="70">+O70</f>
        <v>6-0-1</v>
      </c>
      <c r="P69" s="54">
        <f>+IF(AND(Y69="Domingo",U69=7),_xlfn.XLOOKUP(O69,'Horarios y Sistemas'!C:C,'Horarios y Sistemas'!H:H,0,0,1),0)</f>
        <v>0</v>
      </c>
      <c r="Q69" s="54">
        <f>IF(U69=U70,0,IF(AVERAGEIF(W:W,W69,U:U)=U69,0,_xlfn.XLOOKUP(O69,'Horarios y Sistemas'!C:C,'Horarios y Sistemas'!H:H,0,0,1)-P69))/7*U69</f>
        <v>0</v>
      </c>
      <c r="R69" s="54">
        <f t="shared" si="25"/>
        <v>0</v>
      </c>
      <c r="S69" s="55" t="str">
        <f t="shared" si="26"/>
        <v>OCTUBRE</v>
      </c>
      <c r="T69" s="55" t="str">
        <f t="shared" si="27"/>
        <v>Sem40</v>
      </c>
      <c r="U69" s="56">
        <f t="shared" si="11"/>
        <v>7</v>
      </c>
      <c r="V69" s="59">
        <v>46298</v>
      </c>
      <c r="W69" s="56">
        <f t="shared" si="28"/>
        <v>40</v>
      </c>
      <c r="X69" s="56">
        <f t="shared" si="29"/>
        <v>3</v>
      </c>
      <c r="Y69" s="56" t="s">
        <v>33</v>
      </c>
      <c r="Z69" s="56">
        <v>6</v>
      </c>
      <c r="AA69" s="58">
        <f t="shared" si="30"/>
        <v>1</v>
      </c>
      <c r="AB69" s="58">
        <f t="shared" si="30"/>
        <v>0</v>
      </c>
      <c r="AC69" s="58">
        <f t="shared" si="30"/>
        <v>0</v>
      </c>
      <c r="AD69" s="58">
        <f t="shared" si="30"/>
        <v>0</v>
      </c>
      <c r="AE69" s="58">
        <f t="shared" si="30"/>
        <v>0</v>
      </c>
    </row>
    <row r="70" spans="2:34" s="60" customFormat="1">
      <c r="B70" s="60" t="str">
        <f t="shared" si="16"/>
        <v>Sem4040BAYRON AMILCAR JIMENEZ VEGA</v>
      </c>
      <c r="C70" s="60" t="str">
        <f t="shared" si="17"/>
        <v>OCTUBRESem40</v>
      </c>
      <c r="D70" s="60" t="str">
        <f t="shared" si="18"/>
        <v>OCTUBRESem40BAYRON AMILCAR JIMENEZ VEGA</v>
      </c>
      <c r="E70" s="60" t="str">
        <f t="shared" si="19"/>
        <v>OCTUBRESem4040BAYRON AMILCAR JIMENEZ VEGA</v>
      </c>
      <c r="F70" s="60" t="str">
        <f t="shared" si="20"/>
        <v>BAYRON AMILCAR JIMENEZ VEGA46299</v>
      </c>
      <c r="H70" s="61" t="s">
        <v>22</v>
      </c>
      <c r="I70" s="62" t="str">
        <f>+_xlfn.XLOOKUP($H70&amp;$V70,BASEDATOS!$B:$B,BASEDATOS!F:F,0,0,1)</f>
        <v>DESCANSO</v>
      </c>
      <c r="J70" s="63">
        <f>+_xlfn.XLOOKUP($H70&amp;$V70,BASEDATOS!$B:$B,BASEDATOS!Q:Q,0,0,1)</f>
        <v>0</v>
      </c>
      <c r="K70" s="63">
        <f>+_xlfn.XLOOKUP($H70&amp;$V70,BASEDATOS!$B:$B,BASEDATOS!R:R,0,0,1)</f>
        <v>0</v>
      </c>
      <c r="L70" s="63">
        <f t="shared" si="21"/>
        <v>0</v>
      </c>
      <c r="M70" s="64">
        <f t="shared" si="22"/>
        <v>0</v>
      </c>
      <c r="N70" s="63">
        <f t="shared" si="23"/>
        <v>0</v>
      </c>
      <c r="O70" s="65" t="str">
        <f t="shared" ref="O70" si="71">+IF(Y70="Domingo",SUM(AA64:AA70)&amp;"-"&amp;SUM(AB64:AB70)&amp;"-"&amp;SUM(AC64:AE70),"")</f>
        <v>6-0-1</v>
      </c>
      <c r="P70" s="66">
        <f>+IF(AND(Y70="Domingo",U70=7),_xlfn.XLOOKUP(O70,'Horarios y Sistemas'!C:C,'Horarios y Sistemas'!H:H,0,0,1),0)</f>
        <v>44</v>
      </c>
      <c r="Q70" s="66">
        <f>IF(U70=U71,0,IF(AVERAGEIF(W:W,W70,U:U)=U70,0,_xlfn.XLOOKUP(O70,'Horarios y Sistemas'!C:C,'Horarios y Sistemas'!H:H,0,0,1)-P70))/7*U70</f>
        <v>0</v>
      </c>
      <c r="R70" s="66">
        <f t="shared" si="25"/>
        <v>44</v>
      </c>
      <c r="S70" s="67" t="str">
        <f t="shared" si="26"/>
        <v>OCTUBRE</v>
      </c>
      <c r="T70" s="55" t="str">
        <f t="shared" si="27"/>
        <v>Sem40</v>
      </c>
      <c r="U70" s="68">
        <f t="shared" si="11"/>
        <v>7</v>
      </c>
      <c r="V70" s="69">
        <v>46299</v>
      </c>
      <c r="W70" s="68">
        <f t="shared" si="28"/>
        <v>40</v>
      </c>
      <c r="X70" s="68">
        <f t="shared" si="29"/>
        <v>4</v>
      </c>
      <c r="Y70" s="68" t="s">
        <v>34</v>
      </c>
      <c r="Z70" s="68">
        <v>7</v>
      </c>
      <c r="AA70" s="70">
        <f t="shared" si="30"/>
        <v>0</v>
      </c>
      <c r="AB70" s="70">
        <f t="shared" si="30"/>
        <v>0</v>
      </c>
      <c r="AC70" s="70">
        <f t="shared" si="30"/>
        <v>1</v>
      </c>
      <c r="AD70" s="70">
        <f t="shared" si="30"/>
        <v>0</v>
      </c>
      <c r="AE70" s="70">
        <f t="shared" si="30"/>
        <v>0</v>
      </c>
      <c r="AF70" s="71"/>
      <c r="AG70" s="71"/>
      <c r="AH70" s="71"/>
    </row>
    <row r="71" spans="2:34">
      <c r="B71" t="str">
        <f t="shared" si="16"/>
        <v>Sem3838BRYAN GEOVANI PELEN MAYEN</v>
      </c>
      <c r="C71" t="str">
        <f t="shared" si="17"/>
        <v>SEPTIEMBRESem38</v>
      </c>
      <c r="D71" t="str">
        <f t="shared" si="18"/>
        <v>SEPTIEMBRESem38BRYAN GEOVANI PELEN MAYEN</v>
      </c>
      <c r="E71" t="str">
        <f t="shared" si="19"/>
        <v>SEPTIEMBRESem3838BRYAN GEOVANI PELEN MAYEN</v>
      </c>
      <c r="F71" t="str">
        <f t="shared" si="20"/>
        <v>BRYAN GEOVANI PELEN MAYEN46279</v>
      </c>
      <c r="H71" s="49" t="s">
        <v>212</v>
      </c>
      <c r="I71" s="50" t="str">
        <f>+_xlfn.XLOOKUP($H71&amp;$V71,BASEDATOS!$B:$B,BASEDATOS!F:F,0,0,1)</f>
        <v>DESCANSO</v>
      </c>
      <c r="J71" s="51">
        <f>+_xlfn.XLOOKUP($H71&amp;$V71,BASEDATOS!$B:$B,BASEDATOS!Q:Q,0,0,1)</f>
        <v>0</v>
      </c>
      <c r="K71" s="51">
        <f>+_xlfn.XLOOKUP($H71&amp;$V71,BASEDATOS!$B:$B,BASEDATOS!R:R,0,0,1)</f>
        <v>0</v>
      </c>
      <c r="L71" s="51">
        <f t="shared" si="21"/>
        <v>0</v>
      </c>
      <c r="M71" s="52">
        <f t="shared" si="22"/>
        <v>0</v>
      </c>
      <c r="N71" s="51">
        <f t="shared" si="23"/>
        <v>0</v>
      </c>
      <c r="O71" s="53" t="str">
        <f t="shared" ref="O71" si="72">+O77</f>
        <v>1-3-3</v>
      </c>
      <c r="P71" s="54">
        <f>+IF(AND(Y71="Domingo",U71=7),_xlfn.XLOOKUP(O71,'Horarios y Sistemas'!C:C,'Horarios y Sistemas'!H:H,0,0,1),0)</f>
        <v>0</v>
      </c>
      <c r="Q71" s="54">
        <f>IF(U71=U72,0,IF(AVERAGEIF(W:W,W71,U:U)=U71,0,_xlfn.XLOOKUP(O71,'Horarios y Sistemas'!C:C,'Horarios y Sistemas'!H:H,0,0,1)-P71))/7*U71</f>
        <v>0</v>
      </c>
      <c r="R71" s="54">
        <f t="shared" si="25"/>
        <v>0</v>
      </c>
      <c r="S71" s="55" t="str">
        <f t="shared" si="26"/>
        <v>SEPTIEMBRE</v>
      </c>
      <c r="T71" s="55" t="str">
        <f t="shared" si="27"/>
        <v>Sem38</v>
      </c>
      <c r="U71" s="56">
        <f t="shared" si="11"/>
        <v>7</v>
      </c>
      <c r="V71" s="57">
        <v>46279</v>
      </c>
      <c r="W71" s="56">
        <f t="shared" si="28"/>
        <v>38</v>
      </c>
      <c r="X71" s="56">
        <f t="shared" si="29"/>
        <v>14</v>
      </c>
      <c r="Y71" s="56" t="s">
        <v>28</v>
      </c>
      <c r="Z71" s="56">
        <v>1</v>
      </c>
      <c r="AA71" s="58">
        <f t="shared" si="30"/>
        <v>0</v>
      </c>
      <c r="AB71" s="58">
        <f t="shared" si="30"/>
        <v>0</v>
      </c>
      <c r="AC71" s="58">
        <f t="shared" si="30"/>
        <v>1</v>
      </c>
      <c r="AD71" s="58">
        <f t="shared" si="30"/>
        <v>0</v>
      </c>
      <c r="AE71" s="58">
        <f t="shared" si="30"/>
        <v>0</v>
      </c>
    </row>
    <row r="72" spans="2:34">
      <c r="B72" t="str">
        <f t="shared" si="16"/>
        <v>Sem3838BRYAN GEOVANI PELEN MAYEN</v>
      </c>
      <c r="C72" t="str">
        <f t="shared" si="17"/>
        <v>SEPTIEMBRESem38</v>
      </c>
      <c r="D72" t="str">
        <f t="shared" si="18"/>
        <v>SEPTIEMBRESem38BRYAN GEOVANI PELEN MAYEN</v>
      </c>
      <c r="E72" t="str">
        <f t="shared" si="19"/>
        <v>SEPTIEMBRESem3838BRYAN GEOVANI PELEN MAYEN</v>
      </c>
      <c r="F72" t="str">
        <f t="shared" si="20"/>
        <v>BRYAN GEOVANI PELEN MAYEN46280</v>
      </c>
      <c r="H72" s="49" t="s">
        <v>212</v>
      </c>
      <c r="I72" s="50" t="str">
        <f>+_xlfn.XLOOKUP($H72&amp;$V72,BASEDATOS!$B:$B,BASEDATOS!F:F,0,0,1)</f>
        <v>DIA</v>
      </c>
      <c r="J72" s="51">
        <f>+_xlfn.XLOOKUP($H72&amp;$V72,BASEDATOS!$B:$B,BASEDATOS!Q:Q,0,0,1)</f>
        <v>0.33333333333333298</v>
      </c>
      <c r="K72" s="51">
        <f>+_xlfn.XLOOKUP($H72&amp;$V72,BASEDATOS!$B:$B,BASEDATOS!R:R,0,0,1)</f>
        <v>0.70833333333333304</v>
      </c>
      <c r="L72" s="51">
        <f t="shared" si="21"/>
        <v>0.37500000000000006</v>
      </c>
      <c r="M72" s="52" t="str">
        <f t="shared" si="22"/>
        <v>1:00</v>
      </c>
      <c r="N72" s="51">
        <f t="shared" si="23"/>
        <v>0.33333333333333337</v>
      </c>
      <c r="O72" s="53" t="str">
        <f t="shared" ref="O72" si="73">+O77</f>
        <v>1-3-3</v>
      </c>
      <c r="P72" s="54">
        <f>+IF(AND(Y72="Domingo",U72=7),_xlfn.XLOOKUP(O72,'Horarios y Sistemas'!C:C,'Horarios y Sistemas'!H:H,0,0,1),0)</f>
        <v>0</v>
      </c>
      <c r="Q72" s="54">
        <f>IF(U72=U73,0,IF(AVERAGEIF(W:W,W72,U:U)=U72,0,_xlfn.XLOOKUP(O72,'Horarios y Sistemas'!C:C,'Horarios y Sistemas'!H:H,0,0,1)-P72))/7*U72</f>
        <v>0</v>
      </c>
      <c r="R72" s="54">
        <f t="shared" si="25"/>
        <v>0</v>
      </c>
      <c r="S72" s="55" t="str">
        <f t="shared" si="26"/>
        <v>SEPTIEMBRE</v>
      </c>
      <c r="T72" s="55" t="str">
        <f t="shared" si="27"/>
        <v>Sem38</v>
      </c>
      <c r="U72" s="56">
        <f t="shared" ref="U72:U135" si="74">+COUNTIF(B:B,B72)</f>
        <v>7</v>
      </c>
      <c r="V72" s="59">
        <v>46280</v>
      </c>
      <c r="W72" s="56">
        <f t="shared" si="28"/>
        <v>38</v>
      </c>
      <c r="X72" s="56">
        <f t="shared" si="29"/>
        <v>15</v>
      </c>
      <c r="Y72" s="56" t="s">
        <v>29</v>
      </c>
      <c r="Z72" s="56">
        <v>2</v>
      </c>
      <c r="AA72" s="58">
        <f t="shared" si="30"/>
        <v>1</v>
      </c>
      <c r="AB72" s="58">
        <f t="shared" si="30"/>
        <v>0</v>
      </c>
      <c r="AC72" s="58">
        <f t="shared" si="30"/>
        <v>0</v>
      </c>
      <c r="AD72" s="58">
        <f t="shared" si="30"/>
        <v>0</v>
      </c>
      <c r="AE72" s="58">
        <f t="shared" si="30"/>
        <v>0</v>
      </c>
    </row>
    <row r="73" spans="2:34">
      <c r="B73" t="str">
        <f t="shared" si="16"/>
        <v>Sem3838BRYAN GEOVANI PELEN MAYEN</v>
      </c>
      <c r="C73" t="str">
        <f t="shared" si="17"/>
        <v>SEPTIEMBRESem38</v>
      </c>
      <c r="D73" t="str">
        <f t="shared" si="18"/>
        <v>SEPTIEMBRESem38BRYAN GEOVANI PELEN MAYEN</v>
      </c>
      <c r="E73" t="str">
        <f t="shared" si="19"/>
        <v>SEPTIEMBRESem3838BRYAN GEOVANI PELEN MAYEN</v>
      </c>
      <c r="F73" t="str">
        <f t="shared" si="20"/>
        <v>BRYAN GEOVANI PELEN MAYEN46281</v>
      </c>
      <c r="H73" s="49" t="s">
        <v>212</v>
      </c>
      <c r="I73" s="50" t="str">
        <f>+_xlfn.XLOOKUP($H73&amp;$V73,BASEDATOS!$B:$B,BASEDATOS!F:F,0,0,1)</f>
        <v>NOCHE</v>
      </c>
      <c r="J73" s="51">
        <f>+_xlfn.XLOOKUP($H73&amp;$V73,BASEDATOS!$B:$B,BASEDATOS!Q:Q,0,0,1)</f>
        <v>0.75</v>
      </c>
      <c r="K73" s="51">
        <f>+_xlfn.XLOOKUP($H73&amp;$V73,BASEDATOS!$B:$B,BASEDATOS!R:R,0,0,1)</f>
        <v>0.25</v>
      </c>
      <c r="L73" s="51">
        <f t="shared" si="21"/>
        <v>0.5</v>
      </c>
      <c r="M73" s="52" t="str">
        <f t="shared" si="22"/>
        <v>1:00</v>
      </c>
      <c r="N73" s="51">
        <f t="shared" si="23"/>
        <v>0.45833333333333331</v>
      </c>
      <c r="O73" s="53" t="str">
        <f t="shared" ref="O73" si="75">+O77</f>
        <v>1-3-3</v>
      </c>
      <c r="P73" s="54">
        <f>+IF(AND(Y73="Domingo",U73=7),_xlfn.XLOOKUP(O73,'Horarios y Sistemas'!C:C,'Horarios y Sistemas'!H:H,0,0,1),0)</f>
        <v>0</v>
      </c>
      <c r="Q73" s="54">
        <f>IF(U73=U74,0,IF(AVERAGEIF(W:W,W73,U:U)=U73,0,_xlfn.XLOOKUP(O73,'Horarios y Sistemas'!C:C,'Horarios y Sistemas'!H:H,0,0,1)-P73))/7*U73</f>
        <v>0</v>
      </c>
      <c r="R73" s="54">
        <f t="shared" si="25"/>
        <v>0</v>
      </c>
      <c r="S73" s="55" t="str">
        <f t="shared" si="26"/>
        <v>SEPTIEMBRE</v>
      </c>
      <c r="T73" s="55" t="str">
        <f t="shared" si="27"/>
        <v>Sem38</v>
      </c>
      <c r="U73" s="56">
        <f t="shared" si="74"/>
        <v>7</v>
      </c>
      <c r="V73" s="59">
        <v>46281</v>
      </c>
      <c r="W73" s="56">
        <f t="shared" si="28"/>
        <v>38</v>
      </c>
      <c r="X73" s="56">
        <f t="shared" si="29"/>
        <v>16</v>
      </c>
      <c r="Y73" s="56" t="s">
        <v>30</v>
      </c>
      <c r="Z73" s="56">
        <v>3</v>
      </c>
      <c r="AA73" s="58">
        <f t="shared" si="30"/>
        <v>0</v>
      </c>
      <c r="AB73" s="58">
        <f t="shared" si="30"/>
        <v>1</v>
      </c>
      <c r="AC73" s="58">
        <f t="shared" si="30"/>
        <v>0</v>
      </c>
      <c r="AD73" s="58">
        <f t="shared" si="30"/>
        <v>0</v>
      </c>
      <c r="AE73" s="58">
        <f t="shared" si="30"/>
        <v>0</v>
      </c>
    </row>
    <row r="74" spans="2:34">
      <c r="B74" t="str">
        <f t="shared" si="16"/>
        <v>Sem3838BRYAN GEOVANI PELEN MAYEN</v>
      </c>
      <c r="C74" t="str">
        <f t="shared" si="17"/>
        <v>SEPTIEMBRESem38</v>
      </c>
      <c r="D74" t="str">
        <f t="shared" si="18"/>
        <v>SEPTIEMBRESem38BRYAN GEOVANI PELEN MAYEN</v>
      </c>
      <c r="E74" t="str">
        <f t="shared" si="19"/>
        <v>SEPTIEMBRESem3838BRYAN GEOVANI PELEN MAYEN</v>
      </c>
      <c r="F74" t="str">
        <f t="shared" si="20"/>
        <v>BRYAN GEOVANI PELEN MAYEN46282</v>
      </c>
      <c r="H74" s="49" t="s">
        <v>212</v>
      </c>
      <c r="I74" s="50" t="str">
        <f>+_xlfn.XLOOKUP($H74&amp;$V74,BASEDATOS!$B:$B,BASEDATOS!F:F,0,0,1)</f>
        <v>NOCHE</v>
      </c>
      <c r="J74" s="51">
        <f>+_xlfn.XLOOKUP($H74&amp;$V74,BASEDATOS!$B:$B,BASEDATOS!Q:Q,0,0,1)</f>
        <v>0.75</v>
      </c>
      <c r="K74" s="51">
        <f>+_xlfn.XLOOKUP($H74&amp;$V74,BASEDATOS!$B:$B,BASEDATOS!R:R,0,0,1)</f>
        <v>0.25</v>
      </c>
      <c r="L74" s="51">
        <f t="shared" si="21"/>
        <v>0.5</v>
      </c>
      <c r="M74" s="52" t="str">
        <f t="shared" si="22"/>
        <v>1:00</v>
      </c>
      <c r="N74" s="51">
        <f t="shared" si="23"/>
        <v>0.45833333333333331</v>
      </c>
      <c r="O74" s="53" t="str">
        <f t="shared" ref="O74" si="76">+O77</f>
        <v>1-3-3</v>
      </c>
      <c r="P74" s="54">
        <f>+IF(AND(Y74="Domingo",U74=7),_xlfn.XLOOKUP(O74,'Horarios y Sistemas'!C:C,'Horarios y Sistemas'!H:H,0,0,1),0)</f>
        <v>0</v>
      </c>
      <c r="Q74" s="54">
        <f>IF(U74=U75,0,IF(AVERAGEIF(W:W,W74,U:U)=U74,0,_xlfn.XLOOKUP(O74,'Horarios y Sistemas'!C:C,'Horarios y Sistemas'!H:H,0,0,1)-P74))/7*U74</f>
        <v>0</v>
      </c>
      <c r="R74" s="54">
        <f t="shared" si="25"/>
        <v>0</v>
      </c>
      <c r="S74" s="55" t="str">
        <f t="shared" si="26"/>
        <v>SEPTIEMBRE</v>
      </c>
      <c r="T74" s="55" t="str">
        <f t="shared" si="27"/>
        <v>Sem38</v>
      </c>
      <c r="U74" s="56">
        <f t="shared" si="74"/>
        <v>7</v>
      </c>
      <c r="V74" s="59">
        <v>46282</v>
      </c>
      <c r="W74" s="56">
        <f t="shared" si="28"/>
        <v>38</v>
      </c>
      <c r="X74" s="56">
        <f t="shared" si="29"/>
        <v>17</v>
      </c>
      <c r="Y74" s="56" t="s">
        <v>31</v>
      </c>
      <c r="Z74" s="56">
        <v>4</v>
      </c>
      <c r="AA74" s="58">
        <f t="shared" si="30"/>
        <v>0</v>
      </c>
      <c r="AB74" s="58">
        <f t="shared" si="30"/>
        <v>1</v>
      </c>
      <c r="AC74" s="58">
        <f t="shared" si="30"/>
        <v>0</v>
      </c>
      <c r="AD74" s="58">
        <f t="shared" si="30"/>
        <v>0</v>
      </c>
      <c r="AE74" s="58">
        <f t="shared" si="30"/>
        <v>0</v>
      </c>
    </row>
    <row r="75" spans="2:34">
      <c r="B75" t="str">
        <f t="shared" si="16"/>
        <v>Sem3838BRYAN GEOVANI PELEN MAYEN</v>
      </c>
      <c r="C75" t="str">
        <f t="shared" si="17"/>
        <v>SEPTIEMBRESem38</v>
      </c>
      <c r="D75" t="str">
        <f t="shared" si="18"/>
        <v>SEPTIEMBRESem38BRYAN GEOVANI PELEN MAYEN</v>
      </c>
      <c r="E75" t="str">
        <f t="shared" si="19"/>
        <v>SEPTIEMBRESem3838BRYAN GEOVANI PELEN MAYEN</v>
      </c>
      <c r="F75" t="str">
        <f t="shared" si="20"/>
        <v>BRYAN GEOVANI PELEN MAYEN46283</v>
      </c>
      <c r="H75" s="49" t="s">
        <v>212</v>
      </c>
      <c r="I75" s="50" t="str">
        <f>+_xlfn.XLOOKUP($H75&amp;$V75,BASEDATOS!$B:$B,BASEDATOS!F:F,0,0,1)</f>
        <v>NOCHE</v>
      </c>
      <c r="J75" s="51">
        <f>+_xlfn.XLOOKUP($H75&amp;$V75,BASEDATOS!$B:$B,BASEDATOS!Q:Q,0,0,1)</f>
        <v>0.75</v>
      </c>
      <c r="K75" s="51">
        <f>+_xlfn.XLOOKUP($H75&amp;$V75,BASEDATOS!$B:$B,BASEDATOS!R:R,0,0,1)</f>
        <v>0.25</v>
      </c>
      <c r="L75" s="51">
        <f t="shared" si="21"/>
        <v>0.5</v>
      </c>
      <c r="M75" s="52" t="str">
        <f t="shared" si="22"/>
        <v>1:00</v>
      </c>
      <c r="N75" s="51">
        <f t="shared" si="23"/>
        <v>0.45833333333333331</v>
      </c>
      <c r="O75" s="53" t="str">
        <f t="shared" ref="O75" si="77">+O77</f>
        <v>1-3-3</v>
      </c>
      <c r="P75" s="54">
        <f>+IF(AND(Y75="Domingo",U75=7),_xlfn.XLOOKUP(O75,'Horarios y Sistemas'!C:C,'Horarios y Sistemas'!H:H,0,0,1),0)</f>
        <v>0</v>
      </c>
      <c r="Q75" s="54">
        <f>IF(U75=U76,0,IF(AVERAGEIF(W:W,W75,U:U)=U75,0,_xlfn.XLOOKUP(O75,'Horarios y Sistemas'!C:C,'Horarios y Sistemas'!H:H,0,0,1)-P75))/7*U75</f>
        <v>0</v>
      </c>
      <c r="R75" s="54">
        <f t="shared" si="25"/>
        <v>0</v>
      </c>
      <c r="S75" s="55" t="str">
        <f t="shared" si="26"/>
        <v>SEPTIEMBRE</v>
      </c>
      <c r="T75" s="55" t="str">
        <f t="shared" si="27"/>
        <v>Sem38</v>
      </c>
      <c r="U75" s="56">
        <f t="shared" si="74"/>
        <v>7</v>
      </c>
      <c r="V75" s="59">
        <v>46283</v>
      </c>
      <c r="W75" s="56">
        <f t="shared" si="28"/>
        <v>38</v>
      </c>
      <c r="X75" s="56">
        <f t="shared" si="29"/>
        <v>18</v>
      </c>
      <c r="Y75" s="56" t="s">
        <v>32</v>
      </c>
      <c r="Z75" s="56">
        <v>5</v>
      </c>
      <c r="AA75" s="58">
        <f t="shared" si="30"/>
        <v>0</v>
      </c>
      <c r="AB75" s="58">
        <f t="shared" si="30"/>
        <v>1</v>
      </c>
      <c r="AC75" s="58">
        <f t="shared" si="30"/>
        <v>0</v>
      </c>
      <c r="AD75" s="58">
        <f t="shared" si="30"/>
        <v>0</v>
      </c>
      <c r="AE75" s="58">
        <f t="shared" si="30"/>
        <v>0</v>
      </c>
    </row>
    <row r="76" spans="2:34">
      <c r="B76" t="str">
        <f t="shared" si="16"/>
        <v>Sem3838BRYAN GEOVANI PELEN MAYEN</v>
      </c>
      <c r="C76" t="str">
        <f t="shared" si="17"/>
        <v>SEPTIEMBRESem38</v>
      </c>
      <c r="D76" t="str">
        <f t="shared" si="18"/>
        <v>SEPTIEMBRESem38BRYAN GEOVANI PELEN MAYEN</v>
      </c>
      <c r="E76" t="str">
        <f t="shared" si="19"/>
        <v>SEPTIEMBRESem3838BRYAN GEOVANI PELEN MAYEN</v>
      </c>
      <c r="F76" t="str">
        <f t="shared" si="20"/>
        <v>BRYAN GEOVANI PELEN MAYEN46284</v>
      </c>
      <c r="H76" s="49" t="s">
        <v>212</v>
      </c>
      <c r="I76" s="50" t="str">
        <f>+_xlfn.XLOOKUP($H76&amp;$V76,BASEDATOS!$B:$B,BASEDATOS!F:F,0,0,1)</f>
        <v>DESCANSO</v>
      </c>
      <c r="J76" s="51">
        <f>+_xlfn.XLOOKUP($H76&amp;$V76,BASEDATOS!$B:$B,BASEDATOS!Q:Q,0,0,1)</f>
        <v>0</v>
      </c>
      <c r="K76" s="51">
        <f>+_xlfn.XLOOKUP($H76&amp;$V76,BASEDATOS!$B:$B,BASEDATOS!R:R,0,0,1)</f>
        <v>0</v>
      </c>
      <c r="L76" s="51">
        <f t="shared" si="21"/>
        <v>0</v>
      </c>
      <c r="M76" s="52">
        <f t="shared" si="22"/>
        <v>0</v>
      </c>
      <c r="N76" s="51">
        <f t="shared" si="23"/>
        <v>0</v>
      </c>
      <c r="O76" s="53" t="str">
        <f t="shared" ref="O76" si="78">+O77</f>
        <v>1-3-3</v>
      </c>
      <c r="P76" s="54">
        <f>+IF(AND(Y76="Domingo",U76=7),_xlfn.XLOOKUP(O76,'Horarios y Sistemas'!C:C,'Horarios y Sistemas'!H:H,0,0,1),0)</f>
        <v>0</v>
      </c>
      <c r="Q76" s="54">
        <f>IF(U76=U77,0,IF(AVERAGEIF(W:W,W76,U:U)=U76,0,_xlfn.XLOOKUP(O76,'Horarios y Sistemas'!C:C,'Horarios y Sistemas'!H:H,0,0,1)-P76))/7*U76</f>
        <v>0</v>
      </c>
      <c r="R76" s="54">
        <f t="shared" si="25"/>
        <v>0</v>
      </c>
      <c r="S76" s="55" t="str">
        <f t="shared" si="26"/>
        <v>SEPTIEMBRE</v>
      </c>
      <c r="T76" s="55" t="str">
        <f t="shared" si="27"/>
        <v>Sem38</v>
      </c>
      <c r="U76" s="56">
        <f t="shared" si="74"/>
        <v>7</v>
      </c>
      <c r="V76" s="59">
        <v>46284</v>
      </c>
      <c r="W76" s="56">
        <f t="shared" si="28"/>
        <v>38</v>
      </c>
      <c r="X76" s="56">
        <f t="shared" si="29"/>
        <v>19</v>
      </c>
      <c r="Y76" s="56" t="s">
        <v>33</v>
      </c>
      <c r="Z76" s="56">
        <v>6</v>
      </c>
      <c r="AA76" s="58">
        <f t="shared" si="30"/>
        <v>0</v>
      </c>
      <c r="AB76" s="58">
        <f t="shared" si="30"/>
        <v>0</v>
      </c>
      <c r="AC76" s="58">
        <f t="shared" si="30"/>
        <v>1</v>
      </c>
      <c r="AD76" s="58">
        <f t="shared" si="30"/>
        <v>0</v>
      </c>
      <c r="AE76" s="58">
        <f t="shared" si="30"/>
        <v>0</v>
      </c>
    </row>
    <row r="77" spans="2:34" s="60" customFormat="1">
      <c r="B77" s="60" t="str">
        <f t="shared" si="16"/>
        <v>Sem3838BRYAN GEOVANI PELEN MAYEN</v>
      </c>
      <c r="C77" s="60" t="str">
        <f t="shared" si="17"/>
        <v>SEPTIEMBRESem38</v>
      </c>
      <c r="D77" s="60" t="str">
        <f t="shared" si="18"/>
        <v>SEPTIEMBRESem38BRYAN GEOVANI PELEN MAYEN</v>
      </c>
      <c r="E77" s="60" t="str">
        <f t="shared" si="19"/>
        <v>SEPTIEMBRESem3838BRYAN GEOVANI PELEN MAYEN</v>
      </c>
      <c r="F77" s="60" t="str">
        <f t="shared" si="20"/>
        <v>BRYAN GEOVANI PELEN MAYEN46285</v>
      </c>
      <c r="H77" s="61" t="s">
        <v>212</v>
      </c>
      <c r="I77" s="62" t="str">
        <f>+_xlfn.XLOOKUP($H77&amp;$V77,BASEDATOS!$B:$B,BASEDATOS!F:F,0,0,1)</f>
        <v>DESCANSO</v>
      </c>
      <c r="J77" s="63">
        <f>+_xlfn.XLOOKUP($H77&amp;$V77,BASEDATOS!$B:$B,BASEDATOS!Q:Q,0,0,1)</f>
        <v>0</v>
      </c>
      <c r="K77" s="63">
        <f>+_xlfn.XLOOKUP($H77&amp;$V77,BASEDATOS!$B:$B,BASEDATOS!R:R,0,0,1)</f>
        <v>0</v>
      </c>
      <c r="L77" s="63">
        <f t="shared" si="21"/>
        <v>0</v>
      </c>
      <c r="M77" s="64">
        <f t="shared" si="22"/>
        <v>0</v>
      </c>
      <c r="N77" s="63">
        <f t="shared" si="23"/>
        <v>0</v>
      </c>
      <c r="O77" s="65" t="str">
        <f t="shared" ref="O77" si="79">+IF(Y77="Domingo",SUM(AA71:AA77)&amp;"-"&amp;SUM(AB71:AB77)&amp;"-"&amp;SUM(AC71:AE77),"")</f>
        <v>1-3-3</v>
      </c>
      <c r="P77" s="66">
        <f>+IF(AND(Y77="Domingo",U77=7),_xlfn.XLOOKUP(O77,'Horarios y Sistemas'!C:C,'Horarios y Sistemas'!H:H,0,0,1),0)</f>
        <v>38</v>
      </c>
      <c r="Q77" s="66">
        <f>IF(U77=U78,0,IF(AVERAGEIF(W:W,W77,U:U)=U77,0,_xlfn.XLOOKUP(O77,'Horarios y Sistemas'!C:C,'Horarios y Sistemas'!H:H,0,0,1)-P77))/7*U77</f>
        <v>0</v>
      </c>
      <c r="R77" s="66">
        <f t="shared" si="25"/>
        <v>38</v>
      </c>
      <c r="S77" s="67" t="str">
        <f t="shared" si="26"/>
        <v>SEPTIEMBRE</v>
      </c>
      <c r="T77" s="55" t="str">
        <f t="shared" si="27"/>
        <v>Sem38</v>
      </c>
      <c r="U77" s="68">
        <f t="shared" si="74"/>
        <v>7</v>
      </c>
      <c r="V77" s="69">
        <v>46285</v>
      </c>
      <c r="W77" s="68">
        <f t="shared" si="28"/>
        <v>38</v>
      </c>
      <c r="X77" s="68">
        <f t="shared" si="29"/>
        <v>20</v>
      </c>
      <c r="Y77" s="68" t="s">
        <v>34</v>
      </c>
      <c r="Z77" s="68">
        <v>7</v>
      </c>
      <c r="AA77" s="70">
        <f t="shared" si="30"/>
        <v>0</v>
      </c>
      <c r="AB77" s="70">
        <f t="shared" si="30"/>
        <v>0</v>
      </c>
      <c r="AC77" s="70">
        <f t="shared" si="30"/>
        <v>1</v>
      </c>
      <c r="AD77" s="70">
        <f t="shared" si="30"/>
        <v>0</v>
      </c>
      <c r="AE77" s="70">
        <f t="shared" si="30"/>
        <v>0</v>
      </c>
      <c r="AF77" s="71"/>
      <c r="AG77" s="71"/>
      <c r="AH77" s="71"/>
    </row>
    <row r="78" spans="2:34">
      <c r="B78" t="str">
        <f t="shared" si="16"/>
        <v>Sem3939BRYAN GEOVANI PELEN MAYEN</v>
      </c>
      <c r="C78" t="str">
        <f t="shared" si="17"/>
        <v>SEPTIEMBRESem39</v>
      </c>
      <c r="D78" t="str">
        <f t="shared" si="18"/>
        <v>SEPTIEMBRESem39BRYAN GEOVANI PELEN MAYEN</v>
      </c>
      <c r="E78" t="str">
        <f t="shared" si="19"/>
        <v>SEPTIEMBRESem3939BRYAN GEOVANI PELEN MAYEN</v>
      </c>
      <c r="F78" t="str">
        <f t="shared" si="20"/>
        <v>BRYAN GEOVANI PELEN MAYEN46286</v>
      </c>
      <c r="H78" s="49" t="s">
        <v>212</v>
      </c>
      <c r="I78" s="50" t="str">
        <f>+_xlfn.XLOOKUP($H78&amp;$V78,BASEDATOS!$B:$B,BASEDATOS!F:F,0,0,1)</f>
        <v>DIA</v>
      </c>
      <c r="J78" s="51">
        <f>+_xlfn.XLOOKUP($H78&amp;$V78,BASEDATOS!$B:$B,BASEDATOS!Q:Q,0,0,1)</f>
        <v>0.25</v>
      </c>
      <c r="K78" s="51">
        <f>+_xlfn.XLOOKUP($H78&amp;$V78,BASEDATOS!$B:$B,BASEDATOS!R:R,0,0,1)</f>
        <v>0.75</v>
      </c>
      <c r="L78" s="51">
        <f t="shared" si="21"/>
        <v>0.5</v>
      </c>
      <c r="M78" s="52" t="str">
        <f t="shared" si="22"/>
        <v>1:00</v>
      </c>
      <c r="N78" s="51">
        <f t="shared" si="23"/>
        <v>0.45833333333333331</v>
      </c>
      <c r="O78" s="53" t="str">
        <f t="shared" ref="O78" si="80">+O84</f>
        <v>6-0-1</v>
      </c>
      <c r="P78" s="54">
        <f>+IF(AND(Y78="Domingo",U78=7),_xlfn.XLOOKUP(O78,'Horarios y Sistemas'!C:C,'Horarios y Sistemas'!H:H,0,0,1),0)</f>
        <v>0</v>
      </c>
      <c r="Q78" s="54">
        <f>IF(U78=U79,0,IF(AVERAGEIF(W:W,W78,U:U)=U78,0,_xlfn.XLOOKUP(O78,'Horarios y Sistemas'!C:C,'Horarios y Sistemas'!H:H,0,0,1)-P78))/7*U78</f>
        <v>0</v>
      </c>
      <c r="R78" s="54">
        <f t="shared" si="25"/>
        <v>0</v>
      </c>
      <c r="S78" s="55" t="str">
        <f t="shared" si="26"/>
        <v>SEPTIEMBRE</v>
      </c>
      <c r="T78" s="55" t="str">
        <f t="shared" si="27"/>
        <v>Sem39</v>
      </c>
      <c r="U78" s="56">
        <f t="shared" si="74"/>
        <v>7</v>
      </c>
      <c r="V78" s="59">
        <v>46286</v>
      </c>
      <c r="W78" s="56">
        <f t="shared" si="28"/>
        <v>39</v>
      </c>
      <c r="X78" s="56">
        <f t="shared" si="29"/>
        <v>21</v>
      </c>
      <c r="Y78" s="56" t="s">
        <v>28</v>
      </c>
      <c r="Z78" s="56">
        <v>1</v>
      </c>
      <c r="AA78" s="58">
        <f t="shared" si="30"/>
        <v>1</v>
      </c>
      <c r="AB78" s="58">
        <f t="shared" si="30"/>
        <v>0</v>
      </c>
      <c r="AC78" s="58">
        <f t="shared" si="30"/>
        <v>0</v>
      </c>
      <c r="AD78" s="58">
        <f t="shared" si="30"/>
        <v>0</v>
      </c>
      <c r="AE78" s="58">
        <f t="shared" si="30"/>
        <v>0</v>
      </c>
    </row>
    <row r="79" spans="2:34">
      <c r="B79" t="str">
        <f t="shared" si="16"/>
        <v>Sem3939BRYAN GEOVANI PELEN MAYEN</v>
      </c>
      <c r="C79" t="str">
        <f t="shared" si="17"/>
        <v>SEPTIEMBRESem39</v>
      </c>
      <c r="D79" t="str">
        <f t="shared" si="18"/>
        <v>SEPTIEMBRESem39BRYAN GEOVANI PELEN MAYEN</v>
      </c>
      <c r="E79" t="str">
        <f t="shared" si="19"/>
        <v>SEPTIEMBRESem3939BRYAN GEOVANI PELEN MAYEN</v>
      </c>
      <c r="F79" t="str">
        <f t="shared" si="20"/>
        <v>BRYAN GEOVANI PELEN MAYEN46287</v>
      </c>
      <c r="H79" s="49" t="s">
        <v>212</v>
      </c>
      <c r="I79" s="50" t="str">
        <f>+_xlfn.XLOOKUP($H79&amp;$V79,BASEDATOS!$B:$B,BASEDATOS!F:F,0,0,1)</f>
        <v>DIA</v>
      </c>
      <c r="J79" s="51">
        <f>+_xlfn.XLOOKUP($H79&amp;$V79,BASEDATOS!$B:$B,BASEDATOS!Q:Q,0,0,1)</f>
        <v>0.25</v>
      </c>
      <c r="K79" s="51">
        <f>+_xlfn.XLOOKUP($H79&amp;$V79,BASEDATOS!$B:$B,BASEDATOS!R:R,0,0,1)</f>
        <v>0.75</v>
      </c>
      <c r="L79" s="51">
        <f t="shared" si="21"/>
        <v>0.5</v>
      </c>
      <c r="M79" s="52" t="str">
        <f t="shared" si="22"/>
        <v>1:00</v>
      </c>
      <c r="N79" s="51">
        <f t="shared" si="23"/>
        <v>0.45833333333333331</v>
      </c>
      <c r="O79" s="53" t="str">
        <f t="shared" ref="O79" si="81">+O84</f>
        <v>6-0-1</v>
      </c>
      <c r="P79" s="54">
        <f>+IF(AND(Y79="Domingo",U79=7),_xlfn.XLOOKUP(O79,'Horarios y Sistemas'!C:C,'Horarios y Sistemas'!H:H,0,0,1),0)</f>
        <v>0</v>
      </c>
      <c r="Q79" s="54">
        <f>IF(U79=U80,0,IF(AVERAGEIF(W:W,W79,U:U)=U79,0,_xlfn.XLOOKUP(O79,'Horarios y Sistemas'!C:C,'Horarios y Sistemas'!H:H,0,0,1)-P79))/7*U79</f>
        <v>0</v>
      </c>
      <c r="R79" s="54">
        <f t="shared" si="25"/>
        <v>0</v>
      </c>
      <c r="S79" s="55" t="str">
        <f t="shared" si="26"/>
        <v>SEPTIEMBRE</v>
      </c>
      <c r="T79" s="55" t="str">
        <f t="shared" si="27"/>
        <v>Sem39</v>
      </c>
      <c r="U79" s="56">
        <f t="shared" si="74"/>
        <v>7</v>
      </c>
      <c r="V79" s="59">
        <v>46287</v>
      </c>
      <c r="W79" s="56">
        <f t="shared" si="28"/>
        <v>39</v>
      </c>
      <c r="X79" s="56">
        <f t="shared" si="29"/>
        <v>22</v>
      </c>
      <c r="Y79" s="56" t="s">
        <v>29</v>
      </c>
      <c r="Z79" s="56">
        <v>2</v>
      </c>
      <c r="AA79" s="58">
        <f t="shared" si="30"/>
        <v>1</v>
      </c>
      <c r="AB79" s="58">
        <f t="shared" si="30"/>
        <v>0</v>
      </c>
      <c r="AC79" s="58">
        <f t="shared" si="30"/>
        <v>0</v>
      </c>
      <c r="AD79" s="58">
        <f t="shared" si="30"/>
        <v>0</v>
      </c>
      <c r="AE79" s="58">
        <f t="shared" si="30"/>
        <v>0</v>
      </c>
    </row>
    <row r="80" spans="2:34">
      <c r="B80" t="str">
        <f t="shared" si="16"/>
        <v>Sem3939BRYAN GEOVANI PELEN MAYEN</v>
      </c>
      <c r="C80" t="str">
        <f t="shared" si="17"/>
        <v>SEPTIEMBRESem39</v>
      </c>
      <c r="D80" t="str">
        <f t="shared" si="18"/>
        <v>SEPTIEMBRESem39BRYAN GEOVANI PELEN MAYEN</v>
      </c>
      <c r="E80" t="str">
        <f t="shared" si="19"/>
        <v>SEPTIEMBRESem3939BRYAN GEOVANI PELEN MAYEN</v>
      </c>
      <c r="F80" t="str">
        <f t="shared" si="20"/>
        <v>BRYAN GEOVANI PELEN MAYEN46288</v>
      </c>
      <c r="H80" s="49" t="s">
        <v>212</v>
      </c>
      <c r="I80" s="50" t="str">
        <f>+_xlfn.XLOOKUP($H80&amp;$V80,BASEDATOS!$B:$B,BASEDATOS!F:F,0,0,1)</f>
        <v>DIA</v>
      </c>
      <c r="J80" s="51">
        <f>+_xlfn.XLOOKUP($H80&amp;$V80,BASEDATOS!$B:$B,BASEDATOS!Q:Q,0,0,1)</f>
        <v>0.25</v>
      </c>
      <c r="K80" s="51">
        <f>+_xlfn.XLOOKUP($H80&amp;$V80,BASEDATOS!$B:$B,BASEDATOS!R:R,0,0,1)</f>
        <v>0.75</v>
      </c>
      <c r="L80" s="51">
        <f t="shared" si="21"/>
        <v>0.5</v>
      </c>
      <c r="M80" s="52" t="str">
        <f t="shared" si="22"/>
        <v>1:00</v>
      </c>
      <c r="N80" s="51">
        <f t="shared" si="23"/>
        <v>0.45833333333333331</v>
      </c>
      <c r="O80" s="53" t="str">
        <f t="shared" ref="O80" si="82">+O84</f>
        <v>6-0-1</v>
      </c>
      <c r="P80" s="54">
        <f>+IF(AND(Y80="Domingo",U80=7),_xlfn.XLOOKUP(O80,'Horarios y Sistemas'!C:C,'Horarios y Sistemas'!H:H,0,0,1),0)</f>
        <v>0</v>
      </c>
      <c r="Q80" s="54">
        <f>IF(U80=U81,0,IF(AVERAGEIF(W:W,W80,U:U)=U80,0,_xlfn.XLOOKUP(O80,'Horarios y Sistemas'!C:C,'Horarios y Sistemas'!H:H,0,0,1)-P80))/7*U80</f>
        <v>0</v>
      </c>
      <c r="R80" s="54">
        <f t="shared" si="25"/>
        <v>0</v>
      </c>
      <c r="S80" s="55" t="str">
        <f t="shared" si="26"/>
        <v>SEPTIEMBRE</v>
      </c>
      <c r="T80" s="55" t="str">
        <f t="shared" si="27"/>
        <v>Sem39</v>
      </c>
      <c r="U80" s="56">
        <f t="shared" si="74"/>
        <v>7</v>
      </c>
      <c r="V80" s="59">
        <v>46288</v>
      </c>
      <c r="W80" s="56">
        <f t="shared" si="28"/>
        <v>39</v>
      </c>
      <c r="X80" s="56">
        <f t="shared" si="29"/>
        <v>23</v>
      </c>
      <c r="Y80" s="56" t="s">
        <v>30</v>
      </c>
      <c r="Z80" s="56">
        <v>3</v>
      </c>
      <c r="AA80" s="58">
        <f t="shared" ref="AA80:AE130" si="83">+IF($I80=AA$7,1,0)</f>
        <v>1</v>
      </c>
      <c r="AB80" s="58">
        <f t="shared" si="83"/>
        <v>0</v>
      </c>
      <c r="AC80" s="58">
        <f t="shared" si="83"/>
        <v>0</v>
      </c>
      <c r="AD80" s="58">
        <f t="shared" si="83"/>
        <v>0</v>
      </c>
      <c r="AE80" s="58">
        <f t="shared" si="83"/>
        <v>0</v>
      </c>
    </row>
    <row r="81" spans="2:34">
      <c r="B81" t="str">
        <f t="shared" si="16"/>
        <v>Sem3939BRYAN GEOVANI PELEN MAYEN</v>
      </c>
      <c r="C81" t="str">
        <f t="shared" si="17"/>
        <v>SEPTIEMBRESem39</v>
      </c>
      <c r="D81" t="str">
        <f t="shared" si="18"/>
        <v>SEPTIEMBRESem39BRYAN GEOVANI PELEN MAYEN</v>
      </c>
      <c r="E81" t="str">
        <f t="shared" si="19"/>
        <v>SEPTIEMBRESem3939BRYAN GEOVANI PELEN MAYEN</v>
      </c>
      <c r="F81" t="str">
        <f t="shared" si="20"/>
        <v>BRYAN GEOVANI PELEN MAYEN46289</v>
      </c>
      <c r="H81" s="49" t="s">
        <v>212</v>
      </c>
      <c r="I81" s="50" t="str">
        <f>+_xlfn.XLOOKUP($H81&amp;$V81,BASEDATOS!$B:$B,BASEDATOS!F:F,0,0,1)</f>
        <v>DIA</v>
      </c>
      <c r="J81" s="51">
        <f>+_xlfn.XLOOKUP($H81&amp;$V81,BASEDATOS!$B:$B,BASEDATOS!Q:Q,0,0,1)</f>
        <v>0.25</v>
      </c>
      <c r="K81" s="51">
        <f>+_xlfn.XLOOKUP($H81&amp;$V81,BASEDATOS!$B:$B,BASEDATOS!R:R,0,0,1)</f>
        <v>0.75</v>
      </c>
      <c r="L81" s="51">
        <f t="shared" si="21"/>
        <v>0.5</v>
      </c>
      <c r="M81" s="52" t="str">
        <f t="shared" si="22"/>
        <v>1:00</v>
      </c>
      <c r="N81" s="51">
        <f t="shared" si="23"/>
        <v>0.45833333333333331</v>
      </c>
      <c r="O81" s="53" t="str">
        <f t="shared" ref="O81" si="84">+O84</f>
        <v>6-0-1</v>
      </c>
      <c r="P81" s="54">
        <f>+IF(AND(Y81="Domingo",U81=7),_xlfn.XLOOKUP(O81,'Horarios y Sistemas'!C:C,'Horarios y Sistemas'!H:H,0,0,1),0)</f>
        <v>0</v>
      </c>
      <c r="Q81" s="54">
        <f>IF(U81=U82,0,IF(AVERAGEIF(W:W,W81,U:U)=U81,0,_xlfn.XLOOKUP(O81,'Horarios y Sistemas'!C:C,'Horarios y Sistemas'!H:H,0,0,1)-P81))/7*U81</f>
        <v>0</v>
      </c>
      <c r="R81" s="54">
        <f t="shared" si="25"/>
        <v>0</v>
      </c>
      <c r="S81" s="55" t="str">
        <f t="shared" si="26"/>
        <v>SEPTIEMBRE</v>
      </c>
      <c r="T81" s="55" t="str">
        <f t="shared" si="27"/>
        <v>Sem39</v>
      </c>
      <c r="U81" s="56">
        <f t="shared" si="74"/>
        <v>7</v>
      </c>
      <c r="V81" s="59">
        <v>46289</v>
      </c>
      <c r="W81" s="56">
        <f t="shared" si="28"/>
        <v>39</v>
      </c>
      <c r="X81" s="56">
        <f t="shared" si="29"/>
        <v>24</v>
      </c>
      <c r="Y81" s="56" t="s">
        <v>31</v>
      </c>
      <c r="Z81" s="56">
        <v>4</v>
      </c>
      <c r="AA81" s="58">
        <f t="shared" si="83"/>
        <v>1</v>
      </c>
      <c r="AB81" s="58">
        <f t="shared" si="83"/>
        <v>0</v>
      </c>
      <c r="AC81" s="58">
        <f t="shared" si="83"/>
        <v>0</v>
      </c>
      <c r="AD81" s="58">
        <f t="shared" si="83"/>
        <v>0</v>
      </c>
      <c r="AE81" s="58">
        <f t="shared" si="83"/>
        <v>0</v>
      </c>
    </row>
    <row r="82" spans="2:34">
      <c r="B82" t="str">
        <f t="shared" si="16"/>
        <v>Sem3939BRYAN GEOVANI PELEN MAYEN</v>
      </c>
      <c r="C82" t="str">
        <f t="shared" si="17"/>
        <v>SEPTIEMBRESem39</v>
      </c>
      <c r="D82" t="str">
        <f t="shared" si="18"/>
        <v>SEPTIEMBRESem39BRYAN GEOVANI PELEN MAYEN</v>
      </c>
      <c r="E82" t="str">
        <f t="shared" si="19"/>
        <v>SEPTIEMBRESem3939BRYAN GEOVANI PELEN MAYEN</v>
      </c>
      <c r="F82" t="str">
        <f t="shared" si="20"/>
        <v>BRYAN GEOVANI PELEN MAYEN46290</v>
      </c>
      <c r="H82" s="49" t="s">
        <v>212</v>
      </c>
      <c r="I82" s="50" t="str">
        <f>+_xlfn.XLOOKUP($H82&amp;$V82,BASEDATOS!$B:$B,BASEDATOS!F:F,0,0,1)</f>
        <v>DIA</v>
      </c>
      <c r="J82" s="51">
        <f>+_xlfn.XLOOKUP($H82&amp;$V82,BASEDATOS!$B:$B,BASEDATOS!Q:Q,0,0,1)</f>
        <v>0.25</v>
      </c>
      <c r="K82" s="51">
        <f>+_xlfn.XLOOKUP($H82&amp;$V82,BASEDATOS!$B:$B,BASEDATOS!R:R,0,0,1)</f>
        <v>0.75</v>
      </c>
      <c r="L82" s="51">
        <f t="shared" si="21"/>
        <v>0.5</v>
      </c>
      <c r="M82" s="52" t="str">
        <f t="shared" si="22"/>
        <v>1:00</v>
      </c>
      <c r="N82" s="51">
        <f t="shared" si="23"/>
        <v>0.45833333333333331</v>
      </c>
      <c r="O82" s="53" t="str">
        <f t="shared" ref="O82" si="85">+O84</f>
        <v>6-0-1</v>
      </c>
      <c r="P82" s="54">
        <f>+IF(AND(Y82="Domingo",U82=7),_xlfn.XLOOKUP(O82,'Horarios y Sistemas'!C:C,'Horarios y Sistemas'!H:H,0,0,1),0)</f>
        <v>0</v>
      </c>
      <c r="Q82" s="54">
        <f>IF(U82=U83,0,IF(AVERAGEIF(W:W,W82,U:U)=U82,0,_xlfn.XLOOKUP(O82,'Horarios y Sistemas'!C:C,'Horarios y Sistemas'!H:H,0,0,1)-P82))/7*U82</f>
        <v>0</v>
      </c>
      <c r="R82" s="54">
        <f t="shared" si="25"/>
        <v>0</v>
      </c>
      <c r="S82" s="55" t="str">
        <f t="shared" si="26"/>
        <v>SEPTIEMBRE</v>
      </c>
      <c r="T82" s="55" t="str">
        <f t="shared" si="27"/>
        <v>Sem39</v>
      </c>
      <c r="U82" s="56">
        <f t="shared" si="74"/>
        <v>7</v>
      </c>
      <c r="V82" s="59">
        <v>46290</v>
      </c>
      <c r="W82" s="56">
        <f t="shared" si="28"/>
        <v>39</v>
      </c>
      <c r="X82" s="56">
        <f t="shared" si="29"/>
        <v>25</v>
      </c>
      <c r="Y82" s="56" t="s">
        <v>32</v>
      </c>
      <c r="Z82" s="56">
        <v>5</v>
      </c>
      <c r="AA82" s="58">
        <f t="shared" si="83"/>
        <v>1</v>
      </c>
      <c r="AB82" s="58">
        <f t="shared" si="83"/>
        <v>0</v>
      </c>
      <c r="AC82" s="58">
        <f t="shared" si="83"/>
        <v>0</v>
      </c>
      <c r="AD82" s="58">
        <f t="shared" si="83"/>
        <v>0</v>
      </c>
      <c r="AE82" s="58">
        <f t="shared" si="83"/>
        <v>0</v>
      </c>
    </row>
    <row r="83" spans="2:34">
      <c r="B83" t="str">
        <f t="shared" si="16"/>
        <v>Sem3939BRYAN GEOVANI PELEN MAYEN</v>
      </c>
      <c r="C83" t="str">
        <f t="shared" si="17"/>
        <v>SEPTIEMBRESem39</v>
      </c>
      <c r="D83" t="str">
        <f t="shared" si="18"/>
        <v>SEPTIEMBRESem39BRYAN GEOVANI PELEN MAYEN</v>
      </c>
      <c r="E83" t="str">
        <f t="shared" si="19"/>
        <v>SEPTIEMBRESem3939BRYAN GEOVANI PELEN MAYEN</v>
      </c>
      <c r="F83" t="str">
        <f t="shared" si="20"/>
        <v>BRYAN GEOVANI PELEN MAYEN46291</v>
      </c>
      <c r="H83" s="49" t="s">
        <v>212</v>
      </c>
      <c r="I83" s="50" t="str">
        <f>+_xlfn.XLOOKUP($H83&amp;$V83,BASEDATOS!$B:$B,BASEDATOS!F:F,0,0,1)</f>
        <v>DIA</v>
      </c>
      <c r="J83" s="51">
        <f>+_xlfn.XLOOKUP($H83&amp;$V83,BASEDATOS!$B:$B,BASEDATOS!Q:Q,0,0,1)</f>
        <v>0.25</v>
      </c>
      <c r="K83" s="51">
        <f>+_xlfn.XLOOKUP($H83&amp;$V83,BASEDATOS!$B:$B,BASEDATOS!R:R,0,0,1)</f>
        <v>0.58333333333333304</v>
      </c>
      <c r="L83" s="51">
        <f t="shared" si="21"/>
        <v>0.33333333333333304</v>
      </c>
      <c r="M83" s="52" t="str">
        <f t="shared" si="22"/>
        <v>1:00</v>
      </c>
      <c r="N83" s="51">
        <f t="shared" si="23"/>
        <v>0.29166666666666635</v>
      </c>
      <c r="O83" s="53" t="str">
        <f t="shared" ref="O83" si="86">+O84</f>
        <v>6-0-1</v>
      </c>
      <c r="P83" s="54">
        <f>+IF(AND(Y83="Domingo",U83=7),_xlfn.XLOOKUP(O83,'Horarios y Sistemas'!C:C,'Horarios y Sistemas'!H:H,0,0,1),0)</f>
        <v>0</v>
      </c>
      <c r="Q83" s="54">
        <f>IF(U83=U84,0,IF(AVERAGEIF(W:W,W83,U:U)=U83,0,_xlfn.XLOOKUP(O83,'Horarios y Sistemas'!C:C,'Horarios y Sistemas'!H:H,0,0,1)-P83))/7*U83</f>
        <v>0</v>
      </c>
      <c r="R83" s="54">
        <f t="shared" si="25"/>
        <v>0</v>
      </c>
      <c r="S83" s="55" t="str">
        <f t="shared" si="26"/>
        <v>SEPTIEMBRE</v>
      </c>
      <c r="T83" s="55" t="str">
        <f t="shared" si="27"/>
        <v>Sem39</v>
      </c>
      <c r="U83" s="56">
        <f t="shared" si="74"/>
        <v>7</v>
      </c>
      <c r="V83" s="59">
        <v>46291</v>
      </c>
      <c r="W83" s="56">
        <f t="shared" si="28"/>
        <v>39</v>
      </c>
      <c r="X83" s="56">
        <f t="shared" si="29"/>
        <v>26</v>
      </c>
      <c r="Y83" s="56" t="s">
        <v>33</v>
      </c>
      <c r="Z83" s="56">
        <v>6</v>
      </c>
      <c r="AA83" s="58">
        <f t="shared" si="83"/>
        <v>1</v>
      </c>
      <c r="AB83" s="58">
        <f t="shared" si="83"/>
        <v>0</v>
      </c>
      <c r="AC83" s="58">
        <f t="shared" si="83"/>
        <v>0</v>
      </c>
      <c r="AD83" s="58">
        <f t="shared" si="83"/>
        <v>0</v>
      </c>
      <c r="AE83" s="58">
        <f t="shared" si="83"/>
        <v>0</v>
      </c>
    </row>
    <row r="84" spans="2:34" s="60" customFormat="1">
      <c r="B84" s="60" t="str">
        <f t="shared" si="16"/>
        <v>Sem3939BRYAN GEOVANI PELEN MAYEN</v>
      </c>
      <c r="C84" s="60" t="str">
        <f t="shared" si="17"/>
        <v>SEPTIEMBRESem39</v>
      </c>
      <c r="D84" s="60" t="str">
        <f t="shared" si="18"/>
        <v>SEPTIEMBRESem39BRYAN GEOVANI PELEN MAYEN</v>
      </c>
      <c r="E84" s="60" t="str">
        <f t="shared" si="19"/>
        <v>SEPTIEMBRESem3939BRYAN GEOVANI PELEN MAYEN</v>
      </c>
      <c r="F84" s="60" t="str">
        <f t="shared" si="20"/>
        <v>BRYAN GEOVANI PELEN MAYEN46292</v>
      </c>
      <c r="H84" s="61" t="s">
        <v>212</v>
      </c>
      <c r="I84" s="62" t="str">
        <f>+_xlfn.XLOOKUP($H84&amp;$V84,BASEDATOS!$B:$B,BASEDATOS!F:F,0,0,1)</f>
        <v>DESCANSO</v>
      </c>
      <c r="J84" s="63">
        <f>+_xlfn.XLOOKUP($H84&amp;$V84,BASEDATOS!$B:$B,BASEDATOS!Q:Q,0,0,1)</f>
        <v>0</v>
      </c>
      <c r="K84" s="63">
        <f>+_xlfn.XLOOKUP($H84&amp;$V84,BASEDATOS!$B:$B,BASEDATOS!R:R,0,0,1)</f>
        <v>0</v>
      </c>
      <c r="L84" s="63">
        <f t="shared" si="21"/>
        <v>0</v>
      </c>
      <c r="M84" s="64">
        <f t="shared" si="22"/>
        <v>0</v>
      </c>
      <c r="N84" s="63">
        <f t="shared" si="23"/>
        <v>0</v>
      </c>
      <c r="O84" s="65" t="str">
        <f t="shared" ref="O84" si="87">+IF(Y84="Domingo",SUM(AA78:AA84)&amp;"-"&amp;SUM(AB78:AB84)&amp;"-"&amp;SUM(AC78:AE84),"")</f>
        <v>6-0-1</v>
      </c>
      <c r="P84" s="66">
        <f>+IF(AND(Y84="Domingo",U84=7),_xlfn.XLOOKUP(O84,'Horarios y Sistemas'!C:C,'Horarios y Sistemas'!H:H,0,0,1),0)</f>
        <v>44</v>
      </c>
      <c r="Q84" s="66">
        <f>IF(U84=U85,0,IF(AVERAGEIF(W:W,W84,U:U)=U84,0,_xlfn.XLOOKUP(O84,'Horarios y Sistemas'!C:C,'Horarios y Sistemas'!H:H,0,0,1)-P84))/7*U84</f>
        <v>0</v>
      </c>
      <c r="R84" s="66">
        <f t="shared" si="25"/>
        <v>44</v>
      </c>
      <c r="S84" s="67" t="str">
        <f t="shared" si="26"/>
        <v>SEPTIEMBRE</v>
      </c>
      <c r="T84" s="55" t="str">
        <f t="shared" si="27"/>
        <v>Sem39</v>
      </c>
      <c r="U84" s="68">
        <f t="shared" si="74"/>
        <v>7</v>
      </c>
      <c r="V84" s="69">
        <v>46292</v>
      </c>
      <c r="W84" s="68">
        <f t="shared" si="28"/>
        <v>39</v>
      </c>
      <c r="X84" s="68">
        <f t="shared" si="29"/>
        <v>27</v>
      </c>
      <c r="Y84" s="68" t="s">
        <v>34</v>
      </c>
      <c r="Z84" s="68">
        <v>7</v>
      </c>
      <c r="AA84" s="70">
        <f t="shared" si="83"/>
        <v>0</v>
      </c>
      <c r="AB84" s="70">
        <f t="shared" si="83"/>
        <v>0</v>
      </c>
      <c r="AC84" s="70">
        <f t="shared" si="83"/>
        <v>1</v>
      </c>
      <c r="AD84" s="70">
        <f t="shared" si="83"/>
        <v>0</v>
      </c>
      <c r="AE84" s="70">
        <f t="shared" si="83"/>
        <v>0</v>
      </c>
      <c r="AF84" s="71"/>
      <c r="AG84" s="71"/>
      <c r="AH84" s="71"/>
    </row>
    <row r="85" spans="2:34">
      <c r="B85" t="str">
        <f t="shared" si="16"/>
        <v>Sem4040BRYAN GEOVANI PELEN MAYEN</v>
      </c>
      <c r="C85" t="str">
        <f t="shared" si="17"/>
        <v>SEPTIEMBRESem40</v>
      </c>
      <c r="D85" t="str">
        <f t="shared" si="18"/>
        <v>SEPTIEMBRESem40BRYAN GEOVANI PELEN MAYEN</v>
      </c>
      <c r="E85" t="str">
        <f t="shared" si="19"/>
        <v>SEPTIEMBRESem4040BRYAN GEOVANI PELEN MAYEN</v>
      </c>
      <c r="F85" t="str">
        <f t="shared" si="20"/>
        <v>BRYAN GEOVANI PELEN MAYEN46293</v>
      </c>
      <c r="H85" s="49" t="s">
        <v>212</v>
      </c>
      <c r="I85" s="50" t="str">
        <f>+_xlfn.XLOOKUP($H85&amp;$V85,BASEDATOS!$B:$B,BASEDATOS!F:F,0,0,1)</f>
        <v>NOCHE</v>
      </c>
      <c r="J85" s="51">
        <f>+_xlfn.XLOOKUP($H85&amp;$V85,BASEDATOS!$B:$B,BASEDATOS!Q:Q,0,0,1)</f>
        <v>0.75</v>
      </c>
      <c r="K85" s="51">
        <f>+_xlfn.XLOOKUP($H85&amp;$V85,BASEDATOS!$B:$B,BASEDATOS!R:R,0,0,1)</f>
        <v>0.25</v>
      </c>
      <c r="L85" s="51">
        <f t="shared" si="21"/>
        <v>0.5</v>
      </c>
      <c r="M85" s="52" t="str">
        <f t="shared" si="22"/>
        <v>1:00</v>
      </c>
      <c r="N85" s="51">
        <f t="shared" si="23"/>
        <v>0.45833333333333331</v>
      </c>
      <c r="O85" s="53" t="str">
        <f t="shared" ref="O85" si="88">+O91</f>
        <v>0-5-2</v>
      </c>
      <c r="P85" s="54">
        <f>+IF(AND(Y85="Domingo",U85=7),_xlfn.XLOOKUP(O85,'Horarios y Sistemas'!C:C,'Horarios y Sistemas'!H:H,0,0,1),0)</f>
        <v>0</v>
      </c>
      <c r="Q85" s="54">
        <f>IF(U85=U86,0,IF(AVERAGEIF(W:W,W85,U:U)=U85,0,_xlfn.XLOOKUP(O85,'Horarios y Sistemas'!C:C,'Horarios y Sistemas'!H:H,0,0,1)-P85))/7*U85</f>
        <v>0</v>
      </c>
      <c r="R85" s="54">
        <f t="shared" si="25"/>
        <v>0</v>
      </c>
      <c r="S85" s="55" t="str">
        <f t="shared" si="26"/>
        <v>SEPTIEMBRE</v>
      </c>
      <c r="T85" s="55" t="str">
        <f t="shared" si="27"/>
        <v>Sem40</v>
      </c>
      <c r="U85" s="56">
        <f t="shared" si="74"/>
        <v>7</v>
      </c>
      <c r="V85" s="59">
        <v>46293</v>
      </c>
      <c r="W85" s="56">
        <f t="shared" si="28"/>
        <v>40</v>
      </c>
      <c r="X85" s="56">
        <f t="shared" si="29"/>
        <v>28</v>
      </c>
      <c r="Y85" s="56" t="s">
        <v>28</v>
      </c>
      <c r="Z85" s="56">
        <v>1</v>
      </c>
      <c r="AA85" s="58">
        <f t="shared" si="83"/>
        <v>0</v>
      </c>
      <c r="AB85" s="58">
        <f t="shared" si="83"/>
        <v>1</v>
      </c>
      <c r="AC85" s="58">
        <f t="shared" si="83"/>
        <v>0</v>
      </c>
      <c r="AD85" s="58">
        <f t="shared" si="83"/>
        <v>0</v>
      </c>
      <c r="AE85" s="58">
        <f t="shared" si="83"/>
        <v>0</v>
      </c>
    </row>
    <row r="86" spans="2:34">
      <c r="B86" t="str">
        <f t="shared" si="16"/>
        <v>Sem4040BRYAN GEOVANI PELEN MAYEN</v>
      </c>
      <c r="C86" t="str">
        <f t="shared" si="17"/>
        <v>SEPTIEMBRESem40</v>
      </c>
      <c r="D86" t="str">
        <f t="shared" si="18"/>
        <v>SEPTIEMBRESem40BRYAN GEOVANI PELEN MAYEN</v>
      </c>
      <c r="E86" t="str">
        <f t="shared" si="19"/>
        <v>SEPTIEMBRESem4040BRYAN GEOVANI PELEN MAYEN</v>
      </c>
      <c r="F86" t="str">
        <f t="shared" si="20"/>
        <v>BRYAN GEOVANI PELEN MAYEN46294</v>
      </c>
      <c r="H86" s="49" t="s">
        <v>212</v>
      </c>
      <c r="I86" s="50" t="str">
        <f>+_xlfn.XLOOKUP($H86&amp;$V86,BASEDATOS!$B:$B,BASEDATOS!F:F,0,0,1)</f>
        <v>NOCHE</v>
      </c>
      <c r="J86" s="51">
        <f>+_xlfn.XLOOKUP($H86&amp;$V86,BASEDATOS!$B:$B,BASEDATOS!Q:Q,0,0,1)</f>
        <v>0.75</v>
      </c>
      <c r="K86" s="51">
        <f>+_xlfn.XLOOKUP($H86&amp;$V86,BASEDATOS!$B:$B,BASEDATOS!R:R,0,0,1)</f>
        <v>0.25</v>
      </c>
      <c r="L86" s="51">
        <f t="shared" si="21"/>
        <v>0.5</v>
      </c>
      <c r="M86" s="52" t="str">
        <f t="shared" si="22"/>
        <v>1:00</v>
      </c>
      <c r="N86" s="51">
        <f t="shared" si="23"/>
        <v>0.45833333333333331</v>
      </c>
      <c r="O86" s="53" t="str">
        <f t="shared" ref="O86" si="89">+O91</f>
        <v>0-5-2</v>
      </c>
      <c r="P86" s="54">
        <f>+IF(AND(Y86="Domingo",U86=7),_xlfn.XLOOKUP(O86,'Horarios y Sistemas'!C:C,'Horarios y Sistemas'!H:H,0,0,1),0)</f>
        <v>0</v>
      </c>
      <c r="Q86" s="54">
        <f>IF(U86=U87,0,IF(AVERAGEIF(W:W,W86,U:U)=U86,0,_xlfn.XLOOKUP(O86,'Horarios y Sistemas'!C:C,'Horarios y Sistemas'!H:H,0,0,1)-P86))/7*U86</f>
        <v>0</v>
      </c>
      <c r="R86" s="54">
        <f t="shared" si="25"/>
        <v>0</v>
      </c>
      <c r="S86" s="55" t="str">
        <f t="shared" si="26"/>
        <v>SEPTIEMBRE</v>
      </c>
      <c r="T86" s="55" t="str">
        <f t="shared" si="27"/>
        <v>Sem40</v>
      </c>
      <c r="U86" s="56">
        <f t="shared" si="74"/>
        <v>7</v>
      </c>
      <c r="V86" s="59">
        <v>46294</v>
      </c>
      <c r="W86" s="56">
        <f t="shared" si="28"/>
        <v>40</v>
      </c>
      <c r="X86" s="56">
        <f t="shared" si="29"/>
        <v>29</v>
      </c>
      <c r="Y86" s="56" t="s">
        <v>29</v>
      </c>
      <c r="Z86" s="56">
        <v>2</v>
      </c>
      <c r="AA86" s="58">
        <f t="shared" si="83"/>
        <v>0</v>
      </c>
      <c r="AB86" s="58">
        <f t="shared" si="83"/>
        <v>1</v>
      </c>
      <c r="AC86" s="58">
        <f t="shared" si="83"/>
        <v>0</v>
      </c>
      <c r="AD86" s="58">
        <f t="shared" si="83"/>
        <v>0</v>
      </c>
      <c r="AE86" s="58">
        <f t="shared" si="83"/>
        <v>0</v>
      </c>
    </row>
    <row r="87" spans="2:34">
      <c r="B87" t="str">
        <f t="shared" si="16"/>
        <v>Sem4040BRYAN GEOVANI PELEN MAYEN</v>
      </c>
      <c r="C87" t="str">
        <f t="shared" si="17"/>
        <v>SEPTIEMBRESem40</v>
      </c>
      <c r="D87" t="str">
        <f t="shared" si="18"/>
        <v>SEPTIEMBRESem40BRYAN GEOVANI PELEN MAYEN</v>
      </c>
      <c r="E87" t="str">
        <f t="shared" si="19"/>
        <v>SEPTIEMBRESem4040BRYAN GEOVANI PELEN MAYEN</v>
      </c>
      <c r="F87" t="str">
        <f t="shared" si="20"/>
        <v>BRYAN GEOVANI PELEN MAYEN46295</v>
      </c>
      <c r="H87" s="49" t="s">
        <v>212</v>
      </c>
      <c r="I87" s="50" t="str">
        <f>+_xlfn.XLOOKUP($H87&amp;$V87,BASEDATOS!$B:$B,BASEDATOS!F:F,0,0,1)</f>
        <v>NOCHE</v>
      </c>
      <c r="J87" s="51">
        <f>+_xlfn.XLOOKUP($H87&amp;$V87,BASEDATOS!$B:$B,BASEDATOS!Q:Q,0,0,1)</f>
        <v>0.75</v>
      </c>
      <c r="K87" s="51">
        <f>+_xlfn.XLOOKUP($H87&amp;$V87,BASEDATOS!$B:$B,BASEDATOS!R:R,0,0,1)</f>
        <v>0.25</v>
      </c>
      <c r="L87" s="51">
        <f t="shared" si="21"/>
        <v>0.5</v>
      </c>
      <c r="M87" s="52" t="str">
        <f t="shared" si="22"/>
        <v>1:00</v>
      </c>
      <c r="N87" s="51">
        <f t="shared" si="23"/>
        <v>0.45833333333333331</v>
      </c>
      <c r="O87" s="53" t="str">
        <f t="shared" ref="O87" si="90">+O91</f>
        <v>0-5-2</v>
      </c>
      <c r="P87" s="54">
        <f>+IF(AND(Y87="Domingo",U87=7),_xlfn.XLOOKUP(O87,'Horarios y Sistemas'!C:C,'Horarios y Sistemas'!H:H,0,0,1),0)</f>
        <v>0</v>
      </c>
      <c r="Q87" s="54">
        <f>IF(U87=U88,0,IF(AVERAGEIF(W:W,W87,U:U)=U87,0,_xlfn.XLOOKUP(O87,'Horarios y Sistemas'!C:C,'Horarios y Sistemas'!H:H,0,0,1)-P87))/7*U87</f>
        <v>0</v>
      </c>
      <c r="R87" s="54">
        <f t="shared" si="25"/>
        <v>0</v>
      </c>
      <c r="S87" s="55" t="str">
        <f t="shared" si="26"/>
        <v>SEPTIEMBRE</v>
      </c>
      <c r="T87" s="55" t="str">
        <f t="shared" si="27"/>
        <v>Sem40</v>
      </c>
      <c r="U87" s="56">
        <f t="shared" si="74"/>
        <v>7</v>
      </c>
      <c r="V87" s="59">
        <v>46295</v>
      </c>
      <c r="W87" s="56">
        <f t="shared" si="28"/>
        <v>40</v>
      </c>
      <c r="X87" s="56">
        <f t="shared" si="29"/>
        <v>30</v>
      </c>
      <c r="Y87" s="56" t="s">
        <v>30</v>
      </c>
      <c r="Z87" s="56">
        <v>3</v>
      </c>
      <c r="AA87" s="58">
        <f t="shared" si="83"/>
        <v>0</v>
      </c>
      <c r="AB87" s="58">
        <f t="shared" si="83"/>
        <v>1</v>
      </c>
      <c r="AC87" s="58">
        <f t="shared" si="83"/>
        <v>0</v>
      </c>
      <c r="AD87" s="58">
        <f t="shared" si="83"/>
        <v>0</v>
      </c>
      <c r="AE87" s="58">
        <f t="shared" si="83"/>
        <v>0</v>
      </c>
    </row>
    <row r="88" spans="2:34">
      <c r="B88" t="str">
        <f t="shared" si="16"/>
        <v>Sem4040BRYAN GEOVANI PELEN MAYEN</v>
      </c>
      <c r="C88" t="str">
        <f t="shared" si="17"/>
        <v>OCTUBRESem40</v>
      </c>
      <c r="D88" t="str">
        <f t="shared" si="18"/>
        <v>OCTUBRESem40BRYAN GEOVANI PELEN MAYEN</v>
      </c>
      <c r="E88" t="str">
        <f t="shared" si="19"/>
        <v>OCTUBRESem4040BRYAN GEOVANI PELEN MAYEN</v>
      </c>
      <c r="F88" t="str">
        <f t="shared" si="20"/>
        <v>BRYAN GEOVANI PELEN MAYEN46296</v>
      </c>
      <c r="H88" s="49" t="s">
        <v>212</v>
      </c>
      <c r="I88" s="50" t="str">
        <f>+_xlfn.XLOOKUP($H88&amp;$V88,BASEDATOS!$B:$B,BASEDATOS!F:F,0,0,1)</f>
        <v>NOCHE</v>
      </c>
      <c r="J88" s="51">
        <f>+_xlfn.XLOOKUP($H88&amp;$V88,BASEDATOS!$B:$B,BASEDATOS!Q:Q,0,0,1)</f>
        <v>0.75</v>
      </c>
      <c r="K88" s="51">
        <f>+_xlfn.XLOOKUP($H88&amp;$V88,BASEDATOS!$B:$B,BASEDATOS!R:R,0,0,1)</f>
        <v>0.25</v>
      </c>
      <c r="L88" s="51">
        <f t="shared" si="21"/>
        <v>0.5</v>
      </c>
      <c r="M88" s="52" t="str">
        <f t="shared" si="22"/>
        <v>1:00</v>
      </c>
      <c r="N88" s="51">
        <f t="shared" si="23"/>
        <v>0.45833333333333331</v>
      </c>
      <c r="O88" s="53" t="str">
        <f t="shared" ref="O88" si="91">+O91</f>
        <v>0-5-2</v>
      </c>
      <c r="P88" s="54">
        <f>+IF(AND(Y88="Domingo",U88=7),_xlfn.XLOOKUP(O88,'Horarios y Sistemas'!C:C,'Horarios y Sistemas'!H:H,0,0,1),0)</f>
        <v>0</v>
      </c>
      <c r="Q88" s="54">
        <f>IF(U88=U89,0,IF(AVERAGEIF(W:W,W88,U:U)=U88,0,_xlfn.XLOOKUP(O88,'Horarios y Sistemas'!C:C,'Horarios y Sistemas'!H:H,0,0,1)-P88))/7*U88</f>
        <v>0</v>
      </c>
      <c r="R88" s="54">
        <f t="shared" si="25"/>
        <v>0</v>
      </c>
      <c r="S88" s="55" t="str">
        <f t="shared" si="26"/>
        <v>OCTUBRE</v>
      </c>
      <c r="T88" s="55" t="str">
        <f t="shared" si="27"/>
        <v>Sem40</v>
      </c>
      <c r="U88" s="56">
        <f t="shared" si="74"/>
        <v>7</v>
      </c>
      <c r="V88" s="59">
        <v>46296</v>
      </c>
      <c r="W88" s="56">
        <f t="shared" si="28"/>
        <v>40</v>
      </c>
      <c r="X88" s="56">
        <f t="shared" si="29"/>
        <v>1</v>
      </c>
      <c r="Y88" s="56" t="s">
        <v>31</v>
      </c>
      <c r="Z88" s="56">
        <v>4</v>
      </c>
      <c r="AA88" s="58">
        <f t="shared" si="83"/>
        <v>0</v>
      </c>
      <c r="AB88" s="58">
        <f t="shared" si="83"/>
        <v>1</v>
      </c>
      <c r="AC88" s="58">
        <f t="shared" si="83"/>
        <v>0</v>
      </c>
      <c r="AD88" s="58">
        <f t="shared" si="83"/>
        <v>0</v>
      </c>
      <c r="AE88" s="58">
        <f t="shared" si="83"/>
        <v>0</v>
      </c>
    </row>
    <row r="89" spans="2:34">
      <c r="B89" t="str">
        <f t="shared" si="16"/>
        <v>Sem4040BRYAN GEOVANI PELEN MAYEN</v>
      </c>
      <c r="C89" t="str">
        <f t="shared" si="17"/>
        <v>OCTUBRESem40</v>
      </c>
      <c r="D89" t="str">
        <f t="shared" si="18"/>
        <v>OCTUBRESem40BRYAN GEOVANI PELEN MAYEN</v>
      </c>
      <c r="E89" t="str">
        <f t="shared" si="19"/>
        <v>OCTUBRESem4040BRYAN GEOVANI PELEN MAYEN</v>
      </c>
      <c r="F89" t="str">
        <f t="shared" si="20"/>
        <v>BRYAN GEOVANI PELEN MAYEN46297</v>
      </c>
      <c r="H89" s="49" t="s">
        <v>212</v>
      </c>
      <c r="I89" s="50" t="str">
        <f>+_xlfn.XLOOKUP($H89&amp;$V89,BASEDATOS!$B:$B,BASEDATOS!F:F,0,0,1)</f>
        <v>NOCHE</v>
      </c>
      <c r="J89" s="51">
        <f>+_xlfn.XLOOKUP($H89&amp;$V89,BASEDATOS!$B:$B,BASEDATOS!Q:Q,0,0,1)</f>
        <v>0.75</v>
      </c>
      <c r="K89" s="51">
        <f>+_xlfn.XLOOKUP($H89&amp;$V89,BASEDATOS!$B:$B,BASEDATOS!R:R,0,0,1)</f>
        <v>0.25</v>
      </c>
      <c r="L89" s="51">
        <f t="shared" si="21"/>
        <v>0.5</v>
      </c>
      <c r="M89" s="52" t="str">
        <f t="shared" si="22"/>
        <v>1:00</v>
      </c>
      <c r="N89" s="51">
        <f t="shared" si="23"/>
        <v>0.45833333333333331</v>
      </c>
      <c r="O89" s="53" t="str">
        <f t="shared" ref="O89" si="92">+O91</f>
        <v>0-5-2</v>
      </c>
      <c r="P89" s="54">
        <f>+IF(AND(Y89="Domingo",U89=7),_xlfn.XLOOKUP(O89,'Horarios y Sistemas'!C:C,'Horarios y Sistemas'!H:H,0,0,1),0)</f>
        <v>0</v>
      </c>
      <c r="Q89" s="54">
        <f>IF(U89=U90,0,IF(AVERAGEIF(W:W,W89,U:U)=U89,0,_xlfn.XLOOKUP(O89,'Horarios y Sistemas'!C:C,'Horarios y Sistemas'!H:H,0,0,1)-P89))/7*U89</f>
        <v>0</v>
      </c>
      <c r="R89" s="54">
        <f t="shared" si="25"/>
        <v>0</v>
      </c>
      <c r="S89" s="55" t="str">
        <f t="shared" si="26"/>
        <v>OCTUBRE</v>
      </c>
      <c r="T89" s="55" t="str">
        <f t="shared" si="27"/>
        <v>Sem40</v>
      </c>
      <c r="U89" s="56">
        <f t="shared" si="74"/>
        <v>7</v>
      </c>
      <c r="V89" s="59">
        <v>46297</v>
      </c>
      <c r="W89" s="56">
        <f t="shared" si="28"/>
        <v>40</v>
      </c>
      <c r="X89" s="56">
        <f t="shared" si="29"/>
        <v>2</v>
      </c>
      <c r="Y89" s="56" t="s">
        <v>32</v>
      </c>
      <c r="Z89" s="56">
        <v>5</v>
      </c>
      <c r="AA89" s="58">
        <f t="shared" si="83"/>
        <v>0</v>
      </c>
      <c r="AB89" s="58">
        <f t="shared" si="83"/>
        <v>1</v>
      </c>
      <c r="AC89" s="58">
        <f t="shared" si="83"/>
        <v>0</v>
      </c>
      <c r="AD89" s="58">
        <f t="shared" si="83"/>
        <v>0</v>
      </c>
      <c r="AE89" s="58">
        <f t="shared" si="83"/>
        <v>0</v>
      </c>
    </row>
    <row r="90" spans="2:34">
      <c r="B90" t="str">
        <f t="shared" si="16"/>
        <v>Sem4040BRYAN GEOVANI PELEN MAYEN</v>
      </c>
      <c r="C90" t="str">
        <f t="shared" si="17"/>
        <v>OCTUBRESem40</v>
      </c>
      <c r="D90" t="str">
        <f t="shared" si="18"/>
        <v>OCTUBRESem40BRYAN GEOVANI PELEN MAYEN</v>
      </c>
      <c r="E90" t="str">
        <f t="shared" si="19"/>
        <v>OCTUBRESem4040BRYAN GEOVANI PELEN MAYEN</v>
      </c>
      <c r="F90" t="str">
        <f t="shared" si="20"/>
        <v>BRYAN GEOVANI PELEN MAYEN46298</v>
      </c>
      <c r="H90" s="49" t="s">
        <v>212</v>
      </c>
      <c r="I90" s="50" t="str">
        <f>+_xlfn.XLOOKUP($H90&amp;$V90,BASEDATOS!$B:$B,BASEDATOS!F:F,0,0,1)</f>
        <v>DESCANSO</v>
      </c>
      <c r="J90" s="51">
        <f>+_xlfn.XLOOKUP($H90&amp;$V90,BASEDATOS!$B:$B,BASEDATOS!Q:Q,0,0,1)</f>
        <v>0</v>
      </c>
      <c r="K90" s="51">
        <f>+_xlfn.XLOOKUP($H90&amp;$V90,BASEDATOS!$B:$B,BASEDATOS!R:R,0,0,1)</f>
        <v>0</v>
      </c>
      <c r="L90" s="51">
        <f t="shared" si="21"/>
        <v>0</v>
      </c>
      <c r="M90" s="52">
        <f t="shared" si="22"/>
        <v>0</v>
      </c>
      <c r="N90" s="51">
        <f t="shared" si="23"/>
        <v>0</v>
      </c>
      <c r="O90" s="53" t="str">
        <f t="shared" ref="O90" si="93">+O91</f>
        <v>0-5-2</v>
      </c>
      <c r="P90" s="54">
        <f>+IF(AND(Y90="Domingo",U90=7),_xlfn.XLOOKUP(O90,'Horarios y Sistemas'!C:C,'Horarios y Sistemas'!H:H,0,0,1),0)</f>
        <v>0</v>
      </c>
      <c r="Q90" s="54">
        <f>IF(U90=U91,0,IF(AVERAGEIF(W:W,W90,U:U)=U90,0,_xlfn.XLOOKUP(O90,'Horarios y Sistemas'!C:C,'Horarios y Sistemas'!H:H,0,0,1)-P90))/7*U90</f>
        <v>0</v>
      </c>
      <c r="R90" s="54">
        <f t="shared" si="25"/>
        <v>0</v>
      </c>
      <c r="S90" s="55" t="str">
        <f t="shared" si="26"/>
        <v>OCTUBRE</v>
      </c>
      <c r="T90" s="55" t="str">
        <f t="shared" si="27"/>
        <v>Sem40</v>
      </c>
      <c r="U90" s="56">
        <f t="shared" si="74"/>
        <v>7</v>
      </c>
      <c r="V90" s="59">
        <v>46298</v>
      </c>
      <c r="W90" s="56">
        <f t="shared" si="28"/>
        <v>40</v>
      </c>
      <c r="X90" s="56">
        <f t="shared" si="29"/>
        <v>3</v>
      </c>
      <c r="Y90" s="56" t="s">
        <v>33</v>
      </c>
      <c r="Z90" s="56">
        <v>6</v>
      </c>
      <c r="AA90" s="58">
        <f t="shared" si="83"/>
        <v>0</v>
      </c>
      <c r="AB90" s="58">
        <f t="shared" si="83"/>
        <v>0</v>
      </c>
      <c r="AC90" s="58">
        <f t="shared" si="83"/>
        <v>1</v>
      </c>
      <c r="AD90" s="58">
        <f t="shared" si="83"/>
        <v>0</v>
      </c>
      <c r="AE90" s="58">
        <f t="shared" si="83"/>
        <v>0</v>
      </c>
    </row>
    <row r="91" spans="2:34" s="60" customFormat="1">
      <c r="B91" s="60" t="str">
        <f t="shared" si="16"/>
        <v>Sem4040BRYAN GEOVANI PELEN MAYEN</v>
      </c>
      <c r="C91" s="60" t="str">
        <f t="shared" si="17"/>
        <v>OCTUBRESem40</v>
      </c>
      <c r="D91" s="60" t="str">
        <f t="shared" si="18"/>
        <v>OCTUBRESem40BRYAN GEOVANI PELEN MAYEN</v>
      </c>
      <c r="E91" s="60" t="str">
        <f t="shared" si="19"/>
        <v>OCTUBRESem4040BRYAN GEOVANI PELEN MAYEN</v>
      </c>
      <c r="F91" s="60" t="str">
        <f t="shared" si="20"/>
        <v>BRYAN GEOVANI PELEN MAYEN46299</v>
      </c>
      <c r="H91" s="61" t="s">
        <v>212</v>
      </c>
      <c r="I91" s="62" t="str">
        <f>+_xlfn.XLOOKUP($H91&amp;$V91,BASEDATOS!$B:$B,BASEDATOS!F:F,0,0,1)</f>
        <v>DESCANSO</v>
      </c>
      <c r="J91" s="63">
        <f>+_xlfn.XLOOKUP($H91&amp;$V91,BASEDATOS!$B:$B,BASEDATOS!Q:Q,0,0,1)</f>
        <v>0</v>
      </c>
      <c r="K91" s="63">
        <f>+_xlfn.XLOOKUP($H91&amp;$V91,BASEDATOS!$B:$B,BASEDATOS!R:R,0,0,1)</f>
        <v>0</v>
      </c>
      <c r="L91" s="63">
        <f t="shared" si="21"/>
        <v>0</v>
      </c>
      <c r="M91" s="64">
        <f t="shared" si="22"/>
        <v>0</v>
      </c>
      <c r="N91" s="63">
        <f t="shared" si="23"/>
        <v>0</v>
      </c>
      <c r="O91" s="65" t="str">
        <f t="shared" ref="O91" si="94">+IF(Y91="Domingo",SUM(AA85:AA91)&amp;"-"&amp;SUM(AB85:AB91)&amp;"-"&amp;SUM(AC85:AE91),"")</f>
        <v>0-5-2</v>
      </c>
      <c r="P91" s="66">
        <f>+IF(AND(Y91="Domingo",U91=7),_xlfn.XLOOKUP(O91,'Horarios y Sistemas'!C:C,'Horarios y Sistemas'!H:H,0,0,1),0)</f>
        <v>36</v>
      </c>
      <c r="Q91" s="66">
        <f>IF(U91=U92,0,IF(AVERAGEIF(W:W,W91,U:U)=U91,0,_xlfn.XLOOKUP(O91,'Horarios y Sistemas'!C:C,'Horarios y Sistemas'!H:H,0,0,1)-P91))/7*U91</f>
        <v>0</v>
      </c>
      <c r="R91" s="66">
        <f t="shared" si="25"/>
        <v>36</v>
      </c>
      <c r="S91" s="67" t="str">
        <f t="shared" si="26"/>
        <v>OCTUBRE</v>
      </c>
      <c r="T91" s="55" t="str">
        <f t="shared" si="27"/>
        <v>Sem40</v>
      </c>
      <c r="U91" s="68">
        <f t="shared" si="74"/>
        <v>7</v>
      </c>
      <c r="V91" s="69">
        <v>46299</v>
      </c>
      <c r="W91" s="68">
        <f t="shared" si="28"/>
        <v>40</v>
      </c>
      <c r="X91" s="68">
        <f t="shared" si="29"/>
        <v>4</v>
      </c>
      <c r="Y91" s="68" t="s">
        <v>34</v>
      </c>
      <c r="Z91" s="68">
        <v>7</v>
      </c>
      <c r="AA91" s="70">
        <f t="shared" si="83"/>
        <v>0</v>
      </c>
      <c r="AB91" s="70">
        <f t="shared" si="83"/>
        <v>0</v>
      </c>
      <c r="AC91" s="70">
        <f t="shared" si="83"/>
        <v>1</v>
      </c>
      <c r="AD91" s="70">
        <f t="shared" si="83"/>
        <v>0</v>
      </c>
      <c r="AE91" s="70">
        <f t="shared" si="83"/>
        <v>0</v>
      </c>
      <c r="AF91" s="71"/>
      <c r="AG91" s="71"/>
      <c r="AH91" s="71"/>
    </row>
    <row r="92" spans="2:34">
      <c r="B92" t="str">
        <f t="shared" si="16"/>
        <v>Sem3838Braulio Vinicio López Rancho</v>
      </c>
      <c r="C92" t="str">
        <f t="shared" si="17"/>
        <v>SEPTIEMBRESem38</v>
      </c>
      <c r="D92" t="str">
        <f t="shared" si="18"/>
        <v>SEPTIEMBRESem38Braulio Vinicio López Rancho</v>
      </c>
      <c r="E92" t="str">
        <f t="shared" si="19"/>
        <v>SEPTIEMBRESem3838Braulio Vinicio López Rancho</v>
      </c>
      <c r="F92" t="str">
        <f t="shared" si="20"/>
        <v>Braulio Vinicio López Rancho46279</v>
      </c>
      <c r="H92" s="49" t="s">
        <v>213</v>
      </c>
      <c r="I92" s="50" t="str">
        <f>+_xlfn.XLOOKUP($H92&amp;$V92,BASEDATOS!$B:$B,BASEDATOS!F:F,0,0,1)</f>
        <v>DESCANSO</v>
      </c>
      <c r="J92" s="51">
        <f>+_xlfn.XLOOKUP($H92&amp;$V92,BASEDATOS!$B:$B,BASEDATOS!Q:Q,0,0,1)</f>
        <v>0</v>
      </c>
      <c r="K92" s="51">
        <f>+_xlfn.XLOOKUP($H92&amp;$V92,BASEDATOS!$B:$B,BASEDATOS!R:R,0,0,1)</f>
        <v>0</v>
      </c>
      <c r="L92" s="51">
        <f t="shared" si="21"/>
        <v>0</v>
      </c>
      <c r="M92" s="52">
        <f t="shared" si="22"/>
        <v>0</v>
      </c>
      <c r="N92" s="51">
        <f t="shared" si="23"/>
        <v>0</v>
      </c>
      <c r="O92" s="53" t="str">
        <f t="shared" ref="O92" si="95">+O98</f>
        <v>5-0-2</v>
      </c>
      <c r="P92" s="54">
        <f>+IF(AND(Y92="Domingo",U92=7),_xlfn.XLOOKUP(O92,'Horarios y Sistemas'!C:C,'Horarios y Sistemas'!H:H,0,0,1),0)</f>
        <v>0</v>
      </c>
      <c r="Q92" s="54">
        <f>IF(U92=U93,0,IF(AVERAGEIF(W:W,W92,U:U)=U92,0,_xlfn.XLOOKUP(O92,'Horarios y Sistemas'!C:C,'Horarios y Sistemas'!H:H,0,0,1)-P92))/7*U92</f>
        <v>0</v>
      </c>
      <c r="R92" s="54">
        <f t="shared" si="25"/>
        <v>0</v>
      </c>
      <c r="S92" s="55" t="str">
        <f t="shared" si="26"/>
        <v>SEPTIEMBRE</v>
      </c>
      <c r="T92" s="55" t="str">
        <f t="shared" si="27"/>
        <v>Sem38</v>
      </c>
      <c r="U92" s="56">
        <f t="shared" si="74"/>
        <v>7</v>
      </c>
      <c r="V92" s="57">
        <v>46279</v>
      </c>
      <c r="W92" s="56">
        <f t="shared" si="28"/>
        <v>38</v>
      </c>
      <c r="X92" s="56">
        <f t="shared" si="29"/>
        <v>14</v>
      </c>
      <c r="Y92" s="56" t="s">
        <v>28</v>
      </c>
      <c r="Z92" s="56">
        <v>1</v>
      </c>
      <c r="AA92" s="58">
        <f t="shared" si="83"/>
        <v>0</v>
      </c>
      <c r="AB92" s="58">
        <f t="shared" si="83"/>
        <v>0</v>
      </c>
      <c r="AC92" s="58">
        <f t="shared" si="83"/>
        <v>1</v>
      </c>
      <c r="AD92" s="58">
        <f t="shared" si="83"/>
        <v>0</v>
      </c>
      <c r="AE92" s="58">
        <f t="shared" si="83"/>
        <v>0</v>
      </c>
    </row>
    <row r="93" spans="2:34">
      <c r="B93" t="str">
        <f t="shared" ref="B93:B156" si="96">+T93&amp;W93&amp;H93</f>
        <v>Sem3838Braulio Vinicio López Rancho</v>
      </c>
      <c r="C93" t="str">
        <f t="shared" ref="C93:C156" si="97">+S93&amp;T93</f>
        <v>SEPTIEMBRESem38</v>
      </c>
      <c r="D93" t="str">
        <f t="shared" ref="D93:D156" si="98">+S93&amp;T93&amp;H93</f>
        <v>SEPTIEMBRESem38Braulio Vinicio López Rancho</v>
      </c>
      <c r="E93" t="str">
        <f t="shared" ref="E93:E156" si="99">+S93&amp;T93&amp;W93&amp;H93</f>
        <v>SEPTIEMBRESem3838Braulio Vinicio López Rancho</v>
      </c>
      <c r="F93" t="str">
        <f t="shared" ref="F93:F156" si="100">+H93&amp;V93</f>
        <v>Braulio Vinicio López Rancho46280</v>
      </c>
      <c r="H93" s="49" t="s">
        <v>213</v>
      </c>
      <c r="I93" s="50" t="str">
        <f>+_xlfn.XLOOKUP($H93&amp;$V93,BASEDATOS!$B:$B,BASEDATOS!F:F,0,0,1)</f>
        <v>DIA</v>
      </c>
      <c r="J93" s="51">
        <f>+_xlfn.XLOOKUP($H93&amp;$V93,BASEDATOS!$B:$B,BASEDATOS!Q:Q,0,0,1)</f>
        <v>0.33333333333333298</v>
      </c>
      <c r="K93" s="51">
        <f>+_xlfn.XLOOKUP($H93&amp;$V93,BASEDATOS!$B:$B,BASEDATOS!R:R,0,0,1)</f>
        <v>0.70833333333333304</v>
      </c>
      <c r="L93" s="51">
        <f t="shared" ref="L93:L156" si="101">+IF(OR(J93="Descanso",J93="AUSENTE",J93="ASUETO"),0,MOD(K93-J93,1))</f>
        <v>0.37500000000000006</v>
      </c>
      <c r="M93" s="52" t="str">
        <f t="shared" ref="M93:M156" si="102">+IF(OR(I93="DIA",I93="NOCHE",I93="MIXTO"),"1:00",0)</f>
        <v>1:00</v>
      </c>
      <c r="N93" s="51">
        <f t="shared" ref="N93:N156" si="103">+IF(I93="ASUETO-D",8/24,IF(I93="ASUETO-N",6/24,MOD(L93-M93,1)))</f>
        <v>0.33333333333333337</v>
      </c>
      <c r="O93" s="53" t="str">
        <f t="shared" ref="O93" si="104">+O98</f>
        <v>5-0-2</v>
      </c>
      <c r="P93" s="54">
        <f>+IF(AND(Y93="Domingo",U93=7),_xlfn.XLOOKUP(O93,'Horarios y Sistemas'!C:C,'Horarios y Sistemas'!H:H,0,0,1),0)</f>
        <v>0</v>
      </c>
      <c r="Q93" s="54">
        <f>IF(U93=U94,0,IF(AVERAGEIF(W:W,W93,U:U)=U93,0,_xlfn.XLOOKUP(O93,'Horarios y Sistemas'!C:C,'Horarios y Sistemas'!H:H,0,0,1)-P93))/7*U93</f>
        <v>0</v>
      </c>
      <c r="R93" s="54">
        <f t="shared" ref="R93:R156" si="105">+IF(Y93="Domingo",SUM(P87:Q93),0)</f>
        <v>0</v>
      </c>
      <c r="S93" s="55" t="str">
        <f t="shared" ref="S93:S156" si="106">+UPPER(TEXT(V93,"MMMMMMMM"))</f>
        <v>SEPTIEMBRE</v>
      </c>
      <c r="T93" s="55" t="str">
        <f t="shared" ref="T93:T156" si="107">+"Sem"&amp;W93</f>
        <v>Sem38</v>
      </c>
      <c r="U93" s="56">
        <f t="shared" si="74"/>
        <v>7</v>
      </c>
      <c r="V93" s="59">
        <v>46280</v>
      </c>
      <c r="W93" s="56">
        <f t="shared" ref="W93:W156" si="108">+_xlfn.ISOWEEKNUM(V93)</f>
        <v>38</v>
      </c>
      <c r="X93" s="56">
        <f t="shared" ref="X93:X156" si="109">+DAY(V93)</f>
        <v>15</v>
      </c>
      <c r="Y93" s="56" t="s">
        <v>29</v>
      </c>
      <c r="Z93" s="56">
        <v>2</v>
      </c>
      <c r="AA93" s="58">
        <f t="shared" si="83"/>
        <v>1</v>
      </c>
      <c r="AB93" s="58">
        <f t="shared" si="83"/>
        <v>0</v>
      </c>
      <c r="AC93" s="58">
        <f t="shared" si="83"/>
        <v>0</v>
      </c>
      <c r="AD93" s="58">
        <f t="shared" si="83"/>
        <v>0</v>
      </c>
      <c r="AE93" s="58">
        <f t="shared" si="83"/>
        <v>0</v>
      </c>
    </row>
    <row r="94" spans="2:34">
      <c r="B94" t="str">
        <f t="shared" si="96"/>
        <v>Sem3838Braulio Vinicio López Rancho</v>
      </c>
      <c r="C94" t="str">
        <f t="shared" si="97"/>
        <v>SEPTIEMBRESem38</v>
      </c>
      <c r="D94" t="str">
        <f t="shared" si="98"/>
        <v>SEPTIEMBRESem38Braulio Vinicio López Rancho</v>
      </c>
      <c r="E94" t="str">
        <f t="shared" si="99"/>
        <v>SEPTIEMBRESem3838Braulio Vinicio López Rancho</v>
      </c>
      <c r="F94" t="str">
        <f t="shared" si="100"/>
        <v>Braulio Vinicio López Rancho46281</v>
      </c>
      <c r="H94" s="49" t="s">
        <v>213</v>
      </c>
      <c r="I94" s="50" t="str">
        <f>+_xlfn.XLOOKUP($H94&amp;$V94,BASEDATOS!$B:$B,BASEDATOS!F:F,0,0,1)</f>
        <v>DIA</v>
      </c>
      <c r="J94" s="51">
        <f>+_xlfn.XLOOKUP($H94&amp;$V94,BASEDATOS!$B:$B,BASEDATOS!Q:Q,0,0,1)</f>
        <v>0.25</v>
      </c>
      <c r="K94" s="51">
        <f>+_xlfn.XLOOKUP($H94&amp;$V94,BASEDATOS!$B:$B,BASEDATOS!R:R,0,0,1)</f>
        <v>0.75</v>
      </c>
      <c r="L94" s="51">
        <f t="shared" si="101"/>
        <v>0.5</v>
      </c>
      <c r="M94" s="52" t="str">
        <f t="shared" si="102"/>
        <v>1:00</v>
      </c>
      <c r="N94" s="51">
        <f t="shared" si="103"/>
        <v>0.45833333333333331</v>
      </c>
      <c r="O94" s="53" t="str">
        <f t="shared" ref="O94" si="110">+O98</f>
        <v>5-0-2</v>
      </c>
      <c r="P94" s="54">
        <f>+IF(AND(Y94="Domingo",U94=7),_xlfn.XLOOKUP(O94,'Horarios y Sistemas'!C:C,'Horarios y Sistemas'!H:H,0,0,1),0)</f>
        <v>0</v>
      </c>
      <c r="Q94" s="54">
        <f>IF(U94=U95,0,IF(AVERAGEIF(W:W,W94,U:U)=U94,0,_xlfn.XLOOKUP(O94,'Horarios y Sistemas'!C:C,'Horarios y Sistemas'!H:H,0,0,1)-P94))/7*U94</f>
        <v>0</v>
      </c>
      <c r="R94" s="54">
        <f t="shared" si="105"/>
        <v>0</v>
      </c>
      <c r="S94" s="55" t="str">
        <f t="shared" si="106"/>
        <v>SEPTIEMBRE</v>
      </c>
      <c r="T94" s="55" t="str">
        <f t="shared" si="107"/>
        <v>Sem38</v>
      </c>
      <c r="U94" s="56">
        <f t="shared" si="74"/>
        <v>7</v>
      </c>
      <c r="V94" s="59">
        <v>46281</v>
      </c>
      <c r="W94" s="56">
        <f t="shared" si="108"/>
        <v>38</v>
      </c>
      <c r="X94" s="56">
        <f t="shared" si="109"/>
        <v>16</v>
      </c>
      <c r="Y94" s="56" t="s">
        <v>30</v>
      </c>
      <c r="Z94" s="56">
        <v>3</v>
      </c>
      <c r="AA94" s="58">
        <f t="shared" si="83"/>
        <v>1</v>
      </c>
      <c r="AB94" s="58">
        <f t="shared" si="83"/>
        <v>0</v>
      </c>
      <c r="AC94" s="58">
        <f t="shared" si="83"/>
        <v>0</v>
      </c>
      <c r="AD94" s="58">
        <f t="shared" si="83"/>
        <v>0</v>
      </c>
      <c r="AE94" s="58">
        <f t="shared" si="83"/>
        <v>0</v>
      </c>
    </row>
    <row r="95" spans="2:34">
      <c r="B95" t="str">
        <f t="shared" si="96"/>
        <v>Sem3838Braulio Vinicio López Rancho</v>
      </c>
      <c r="C95" t="str">
        <f t="shared" si="97"/>
        <v>SEPTIEMBRESem38</v>
      </c>
      <c r="D95" t="str">
        <f t="shared" si="98"/>
        <v>SEPTIEMBRESem38Braulio Vinicio López Rancho</v>
      </c>
      <c r="E95" t="str">
        <f t="shared" si="99"/>
        <v>SEPTIEMBRESem3838Braulio Vinicio López Rancho</v>
      </c>
      <c r="F95" t="str">
        <f t="shared" si="100"/>
        <v>Braulio Vinicio López Rancho46282</v>
      </c>
      <c r="H95" s="49" t="s">
        <v>213</v>
      </c>
      <c r="I95" s="50" t="str">
        <f>+_xlfn.XLOOKUP($H95&amp;$V95,BASEDATOS!$B:$B,BASEDATOS!F:F,0,0,1)</f>
        <v>DIA</v>
      </c>
      <c r="J95" s="51">
        <f>+_xlfn.XLOOKUP($H95&amp;$V95,BASEDATOS!$B:$B,BASEDATOS!Q:Q,0,0,1)</f>
        <v>0.25</v>
      </c>
      <c r="K95" s="51">
        <f>+_xlfn.XLOOKUP($H95&amp;$V95,BASEDATOS!$B:$B,BASEDATOS!R:R,0,0,1)</f>
        <v>0.75</v>
      </c>
      <c r="L95" s="51">
        <f t="shared" si="101"/>
        <v>0.5</v>
      </c>
      <c r="M95" s="52" t="str">
        <f t="shared" si="102"/>
        <v>1:00</v>
      </c>
      <c r="N95" s="51">
        <f t="shared" si="103"/>
        <v>0.45833333333333331</v>
      </c>
      <c r="O95" s="53" t="str">
        <f t="shared" ref="O95" si="111">+O98</f>
        <v>5-0-2</v>
      </c>
      <c r="P95" s="54">
        <f>+IF(AND(Y95="Domingo",U95=7),_xlfn.XLOOKUP(O95,'Horarios y Sistemas'!C:C,'Horarios y Sistemas'!H:H,0,0,1),0)</f>
        <v>0</v>
      </c>
      <c r="Q95" s="54">
        <f>IF(U95=U96,0,IF(AVERAGEIF(W:W,W95,U:U)=U95,0,_xlfn.XLOOKUP(O95,'Horarios y Sistemas'!C:C,'Horarios y Sistemas'!H:H,0,0,1)-P95))/7*U95</f>
        <v>0</v>
      </c>
      <c r="R95" s="54">
        <f t="shared" si="105"/>
        <v>0</v>
      </c>
      <c r="S95" s="55" t="str">
        <f t="shared" si="106"/>
        <v>SEPTIEMBRE</v>
      </c>
      <c r="T95" s="55" t="str">
        <f t="shared" si="107"/>
        <v>Sem38</v>
      </c>
      <c r="U95" s="56">
        <f t="shared" si="74"/>
        <v>7</v>
      </c>
      <c r="V95" s="59">
        <v>46282</v>
      </c>
      <c r="W95" s="56">
        <f t="shared" si="108"/>
        <v>38</v>
      </c>
      <c r="X95" s="56">
        <f t="shared" si="109"/>
        <v>17</v>
      </c>
      <c r="Y95" s="56" t="s">
        <v>31</v>
      </c>
      <c r="Z95" s="56">
        <v>4</v>
      </c>
      <c r="AA95" s="58">
        <f t="shared" si="83"/>
        <v>1</v>
      </c>
      <c r="AB95" s="58">
        <f t="shared" si="83"/>
        <v>0</v>
      </c>
      <c r="AC95" s="58">
        <f t="shared" si="83"/>
        <v>0</v>
      </c>
      <c r="AD95" s="58">
        <f t="shared" si="83"/>
        <v>0</v>
      </c>
      <c r="AE95" s="58">
        <f t="shared" si="83"/>
        <v>0</v>
      </c>
    </row>
    <row r="96" spans="2:34">
      <c r="B96" t="str">
        <f t="shared" si="96"/>
        <v>Sem3838Braulio Vinicio López Rancho</v>
      </c>
      <c r="C96" t="str">
        <f t="shared" si="97"/>
        <v>SEPTIEMBRESem38</v>
      </c>
      <c r="D96" t="str">
        <f t="shared" si="98"/>
        <v>SEPTIEMBRESem38Braulio Vinicio López Rancho</v>
      </c>
      <c r="E96" t="str">
        <f t="shared" si="99"/>
        <v>SEPTIEMBRESem3838Braulio Vinicio López Rancho</v>
      </c>
      <c r="F96" t="str">
        <f t="shared" si="100"/>
        <v>Braulio Vinicio López Rancho46283</v>
      </c>
      <c r="H96" s="49" t="s">
        <v>213</v>
      </c>
      <c r="I96" s="50" t="str">
        <f>+_xlfn.XLOOKUP($H96&amp;$V96,BASEDATOS!$B:$B,BASEDATOS!F:F,0,0,1)</f>
        <v>DIA</v>
      </c>
      <c r="J96" s="51">
        <f>+_xlfn.XLOOKUP($H96&amp;$V96,BASEDATOS!$B:$B,BASEDATOS!Q:Q,0,0,1)</f>
        <v>0.25</v>
      </c>
      <c r="K96" s="51">
        <f>+_xlfn.XLOOKUP($H96&amp;$V96,BASEDATOS!$B:$B,BASEDATOS!R:R,0,0,1)</f>
        <v>0.75</v>
      </c>
      <c r="L96" s="51">
        <f t="shared" si="101"/>
        <v>0.5</v>
      </c>
      <c r="M96" s="52" t="str">
        <f t="shared" si="102"/>
        <v>1:00</v>
      </c>
      <c r="N96" s="51">
        <f t="shared" si="103"/>
        <v>0.45833333333333331</v>
      </c>
      <c r="O96" s="53" t="str">
        <f t="shared" ref="O96" si="112">+O98</f>
        <v>5-0-2</v>
      </c>
      <c r="P96" s="54">
        <f>+IF(AND(Y96="Domingo",U96=7),_xlfn.XLOOKUP(O96,'Horarios y Sistemas'!C:C,'Horarios y Sistemas'!H:H,0,0,1),0)</f>
        <v>0</v>
      </c>
      <c r="Q96" s="54">
        <f>IF(U96=U97,0,IF(AVERAGEIF(W:W,W96,U:U)=U96,0,_xlfn.XLOOKUP(O96,'Horarios y Sistemas'!C:C,'Horarios y Sistemas'!H:H,0,0,1)-P96))/7*U96</f>
        <v>0</v>
      </c>
      <c r="R96" s="54">
        <f t="shared" si="105"/>
        <v>0</v>
      </c>
      <c r="S96" s="55" t="str">
        <f t="shared" si="106"/>
        <v>SEPTIEMBRE</v>
      </c>
      <c r="T96" s="55" t="str">
        <f t="shared" si="107"/>
        <v>Sem38</v>
      </c>
      <c r="U96" s="56">
        <f t="shared" si="74"/>
        <v>7</v>
      </c>
      <c r="V96" s="59">
        <v>46283</v>
      </c>
      <c r="W96" s="56">
        <f t="shared" si="108"/>
        <v>38</v>
      </c>
      <c r="X96" s="56">
        <f t="shared" si="109"/>
        <v>18</v>
      </c>
      <c r="Y96" s="56" t="s">
        <v>32</v>
      </c>
      <c r="Z96" s="56">
        <v>5</v>
      </c>
      <c r="AA96" s="58">
        <f t="shared" si="83"/>
        <v>1</v>
      </c>
      <c r="AB96" s="58">
        <f t="shared" si="83"/>
        <v>0</v>
      </c>
      <c r="AC96" s="58">
        <f t="shared" si="83"/>
        <v>0</v>
      </c>
      <c r="AD96" s="58">
        <f t="shared" si="83"/>
        <v>0</v>
      </c>
      <c r="AE96" s="58">
        <f t="shared" si="83"/>
        <v>0</v>
      </c>
    </row>
    <row r="97" spans="2:34">
      <c r="B97" t="str">
        <f t="shared" si="96"/>
        <v>Sem3838Braulio Vinicio López Rancho</v>
      </c>
      <c r="C97" t="str">
        <f t="shared" si="97"/>
        <v>SEPTIEMBRESem38</v>
      </c>
      <c r="D97" t="str">
        <f t="shared" si="98"/>
        <v>SEPTIEMBRESem38Braulio Vinicio López Rancho</v>
      </c>
      <c r="E97" t="str">
        <f t="shared" si="99"/>
        <v>SEPTIEMBRESem3838Braulio Vinicio López Rancho</v>
      </c>
      <c r="F97" t="str">
        <f t="shared" si="100"/>
        <v>Braulio Vinicio López Rancho46284</v>
      </c>
      <c r="H97" s="49" t="s">
        <v>213</v>
      </c>
      <c r="I97" s="50" t="str">
        <f>+_xlfn.XLOOKUP($H97&amp;$V97,BASEDATOS!$B:$B,BASEDATOS!F:F,0,0,1)</f>
        <v>DIA</v>
      </c>
      <c r="J97" s="51">
        <f>+_xlfn.XLOOKUP($H97&amp;$V97,BASEDATOS!$B:$B,BASEDATOS!Q:Q,0,0,1)</f>
        <v>0.25</v>
      </c>
      <c r="K97" s="51">
        <f>+_xlfn.XLOOKUP($H97&amp;$V97,BASEDATOS!$B:$B,BASEDATOS!R:R,0,0,1)</f>
        <v>0.75</v>
      </c>
      <c r="L97" s="51">
        <f t="shared" si="101"/>
        <v>0.5</v>
      </c>
      <c r="M97" s="52" t="str">
        <f t="shared" si="102"/>
        <v>1:00</v>
      </c>
      <c r="N97" s="51">
        <f t="shared" si="103"/>
        <v>0.45833333333333331</v>
      </c>
      <c r="O97" s="53" t="str">
        <f t="shared" ref="O97" si="113">+O98</f>
        <v>5-0-2</v>
      </c>
      <c r="P97" s="54">
        <f>+IF(AND(Y97="Domingo",U97=7),_xlfn.XLOOKUP(O97,'Horarios y Sistemas'!C:C,'Horarios y Sistemas'!H:H,0,0,1),0)</f>
        <v>0</v>
      </c>
      <c r="Q97" s="54">
        <f>IF(U97=U98,0,IF(AVERAGEIF(W:W,W97,U:U)=U97,0,_xlfn.XLOOKUP(O97,'Horarios y Sistemas'!C:C,'Horarios y Sistemas'!H:H,0,0,1)-P97))/7*U97</f>
        <v>0</v>
      </c>
      <c r="R97" s="54">
        <f t="shared" si="105"/>
        <v>0</v>
      </c>
      <c r="S97" s="55" t="str">
        <f t="shared" si="106"/>
        <v>SEPTIEMBRE</v>
      </c>
      <c r="T97" s="55" t="str">
        <f t="shared" si="107"/>
        <v>Sem38</v>
      </c>
      <c r="U97" s="56">
        <f t="shared" si="74"/>
        <v>7</v>
      </c>
      <c r="V97" s="59">
        <v>46284</v>
      </c>
      <c r="W97" s="56">
        <f t="shared" si="108"/>
        <v>38</v>
      </c>
      <c r="X97" s="56">
        <f t="shared" si="109"/>
        <v>19</v>
      </c>
      <c r="Y97" s="56" t="s">
        <v>33</v>
      </c>
      <c r="Z97" s="56">
        <v>6</v>
      </c>
      <c r="AA97" s="58">
        <f t="shared" si="83"/>
        <v>1</v>
      </c>
      <c r="AB97" s="58">
        <f t="shared" si="83"/>
        <v>0</v>
      </c>
      <c r="AC97" s="58">
        <f t="shared" si="83"/>
        <v>0</v>
      </c>
      <c r="AD97" s="58">
        <f t="shared" si="83"/>
        <v>0</v>
      </c>
      <c r="AE97" s="58">
        <f t="shared" si="83"/>
        <v>0</v>
      </c>
    </row>
    <row r="98" spans="2:34" s="60" customFormat="1">
      <c r="B98" s="60" t="str">
        <f t="shared" si="96"/>
        <v>Sem3838Braulio Vinicio López Rancho</v>
      </c>
      <c r="C98" s="60" t="str">
        <f t="shared" si="97"/>
        <v>SEPTIEMBRESem38</v>
      </c>
      <c r="D98" s="60" t="str">
        <f t="shared" si="98"/>
        <v>SEPTIEMBRESem38Braulio Vinicio López Rancho</v>
      </c>
      <c r="E98" s="60" t="str">
        <f t="shared" si="99"/>
        <v>SEPTIEMBRESem3838Braulio Vinicio López Rancho</v>
      </c>
      <c r="F98" s="60" t="str">
        <f t="shared" si="100"/>
        <v>Braulio Vinicio López Rancho46285</v>
      </c>
      <c r="H98" s="61" t="s">
        <v>213</v>
      </c>
      <c r="I98" s="62" t="str">
        <f>+_xlfn.XLOOKUP($H98&amp;$V98,BASEDATOS!$B:$B,BASEDATOS!F:F,0,0,1)</f>
        <v>DESCANSO</v>
      </c>
      <c r="J98" s="63">
        <f>+_xlfn.XLOOKUP($H98&amp;$V98,BASEDATOS!$B:$B,BASEDATOS!Q:Q,0,0,1)</f>
        <v>0</v>
      </c>
      <c r="K98" s="63">
        <f>+_xlfn.XLOOKUP($H98&amp;$V98,BASEDATOS!$B:$B,BASEDATOS!R:R,0,0,1)</f>
        <v>0</v>
      </c>
      <c r="L98" s="63">
        <f t="shared" si="101"/>
        <v>0</v>
      </c>
      <c r="M98" s="64">
        <f t="shared" si="102"/>
        <v>0</v>
      </c>
      <c r="N98" s="63">
        <f t="shared" si="103"/>
        <v>0</v>
      </c>
      <c r="O98" s="65" t="str">
        <f t="shared" ref="O98" si="114">+IF(Y98="Domingo",SUM(AA92:AA98)&amp;"-"&amp;SUM(AB92:AB98)&amp;"-"&amp;SUM(AC92:AE98),"")</f>
        <v>5-0-2</v>
      </c>
      <c r="P98" s="66">
        <f>+IF(AND(Y98="Domingo",U98=7),_xlfn.XLOOKUP(O98,'Horarios y Sistemas'!C:C,'Horarios y Sistemas'!H:H,0,0,1),0)</f>
        <v>44</v>
      </c>
      <c r="Q98" s="66">
        <f>IF(U98=U99,0,IF(AVERAGEIF(W:W,W98,U:U)=U98,0,_xlfn.XLOOKUP(O98,'Horarios y Sistemas'!C:C,'Horarios y Sistemas'!H:H,0,0,1)-P98))/7*U98</f>
        <v>0</v>
      </c>
      <c r="R98" s="66">
        <f t="shared" si="105"/>
        <v>44</v>
      </c>
      <c r="S98" s="67" t="str">
        <f t="shared" si="106"/>
        <v>SEPTIEMBRE</v>
      </c>
      <c r="T98" s="55" t="str">
        <f t="shared" si="107"/>
        <v>Sem38</v>
      </c>
      <c r="U98" s="68">
        <f t="shared" si="74"/>
        <v>7</v>
      </c>
      <c r="V98" s="69">
        <v>46285</v>
      </c>
      <c r="W98" s="68">
        <f t="shared" si="108"/>
        <v>38</v>
      </c>
      <c r="X98" s="68">
        <f t="shared" si="109"/>
        <v>20</v>
      </c>
      <c r="Y98" s="68" t="s">
        <v>34</v>
      </c>
      <c r="Z98" s="68">
        <v>7</v>
      </c>
      <c r="AA98" s="70">
        <f t="shared" si="83"/>
        <v>0</v>
      </c>
      <c r="AB98" s="70">
        <f t="shared" si="83"/>
        <v>0</v>
      </c>
      <c r="AC98" s="70">
        <f t="shared" si="83"/>
        <v>1</v>
      </c>
      <c r="AD98" s="70">
        <f t="shared" si="83"/>
        <v>0</v>
      </c>
      <c r="AE98" s="70">
        <f t="shared" si="83"/>
        <v>0</v>
      </c>
      <c r="AF98" s="71"/>
      <c r="AG98" s="71"/>
      <c r="AH98" s="71"/>
    </row>
    <row r="99" spans="2:34">
      <c r="B99" t="str">
        <f t="shared" si="96"/>
        <v>Sem3939Braulio Vinicio López Rancho</v>
      </c>
      <c r="C99" t="str">
        <f t="shared" si="97"/>
        <v>SEPTIEMBRESem39</v>
      </c>
      <c r="D99" t="str">
        <f t="shared" si="98"/>
        <v>SEPTIEMBRESem39Braulio Vinicio López Rancho</v>
      </c>
      <c r="E99" t="str">
        <f t="shared" si="99"/>
        <v>SEPTIEMBRESem3939Braulio Vinicio López Rancho</v>
      </c>
      <c r="F99" t="str">
        <f t="shared" si="100"/>
        <v>Braulio Vinicio López Rancho46286</v>
      </c>
      <c r="H99" s="49" t="s">
        <v>213</v>
      </c>
      <c r="I99" s="50" t="str">
        <f>+_xlfn.XLOOKUP($H99&amp;$V99,BASEDATOS!$B:$B,BASEDATOS!F:F,0,0,1)</f>
        <v>NOCHE</v>
      </c>
      <c r="J99" s="51">
        <f>+_xlfn.XLOOKUP($H99&amp;$V99,BASEDATOS!$B:$B,BASEDATOS!Q:Q,0,0,1)</f>
        <v>0.75</v>
      </c>
      <c r="K99" s="51">
        <f>+_xlfn.XLOOKUP($H99&amp;$V99,BASEDATOS!$B:$B,BASEDATOS!R:R,0,0,1)</f>
        <v>0.79166666666666696</v>
      </c>
      <c r="L99" s="51">
        <f t="shared" si="101"/>
        <v>4.1666666666666963E-2</v>
      </c>
      <c r="M99" s="52" t="str">
        <f t="shared" si="102"/>
        <v>1:00</v>
      </c>
      <c r="N99" s="51">
        <f t="shared" si="103"/>
        <v>2.9837243786801082E-16</v>
      </c>
      <c r="O99" s="53" t="str">
        <f t="shared" ref="O99" si="115">+O105</f>
        <v>0-4-3</v>
      </c>
      <c r="P99" s="54">
        <f>+IF(AND(Y99="Domingo",U99=7),_xlfn.XLOOKUP(O99,'Horarios y Sistemas'!C:C,'Horarios y Sistemas'!H:H,0,0,1),0)</f>
        <v>0</v>
      </c>
      <c r="Q99" s="54">
        <f>IF(U99=U100,0,IF(AVERAGEIF(W:W,W99,U:U)=U99,0,_xlfn.XLOOKUP(O99,'Horarios y Sistemas'!C:C,'Horarios y Sistemas'!H:H,0,0,1)-P99))/7*U99</f>
        <v>0</v>
      </c>
      <c r="R99" s="54">
        <f t="shared" si="105"/>
        <v>0</v>
      </c>
      <c r="S99" s="55" t="str">
        <f t="shared" si="106"/>
        <v>SEPTIEMBRE</v>
      </c>
      <c r="T99" s="55" t="str">
        <f t="shared" si="107"/>
        <v>Sem39</v>
      </c>
      <c r="U99" s="56">
        <f t="shared" si="74"/>
        <v>7</v>
      </c>
      <c r="V99" s="59">
        <v>46286</v>
      </c>
      <c r="W99" s="56">
        <f t="shared" si="108"/>
        <v>39</v>
      </c>
      <c r="X99" s="56">
        <f t="shared" si="109"/>
        <v>21</v>
      </c>
      <c r="Y99" s="56" t="s">
        <v>28</v>
      </c>
      <c r="Z99" s="56">
        <v>1</v>
      </c>
      <c r="AA99" s="58">
        <f t="shared" si="83"/>
        <v>0</v>
      </c>
      <c r="AB99" s="58">
        <f t="shared" si="83"/>
        <v>1</v>
      </c>
      <c r="AC99" s="58">
        <f t="shared" si="83"/>
        <v>0</v>
      </c>
      <c r="AD99" s="58">
        <f t="shared" si="83"/>
        <v>0</v>
      </c>
      <c r="AE99" s="58">
        <f t="shared" si="83"/>
        <v>0</v>
      </c>
    </row>
    <row r="100" spans="2:34">
      <c r="B100" t="str">
        <f t="shared" si="96"/>
        <v>Sem3939Braulio Vinicio López Rancho</v>
      </c>
      <c r="C100" t="str">
        <f t="shared" si="97"/>
        <v>SEPTIEMBRESem39</v>
      </c>
      <c r="D100" t="str">
        <f t="shared" si="98"/>
        <v>SEPTIEMBRESem39Braulio Vinicio López Rancho</v>
      </c>
      <c r="E100" t="str">
        <f t="shared" si="99"/>
        <v>SEPTIEMBRESem3939Braulio Vinicio López Rancho</v>
      </c>
      <c r="F100" t="str">
        <f t="shared" si="100"/>
        <v>Braulio Vinicio López Rancho46287</v>
      </c>
      <c r="H100" s="49" t="s">
        <v>213</v>
      </c>
      <c r="I100" s="50" t="str">
        <f>+_xlfn.XLOOKUP($H100&amp;$V100,BASEDATOS!$B:$B,BASEDATOS!F:F,0,0,1)</f>
        <v>DESCANSO</v>
      </c>
      <c r="J100" s="51">
        <f>+_xlfn.XLOOKUP($H100&amp;$V100,BASEDATOS!$B:$B,BASEDATOS!Q:Q,0,0,1)</f>
        <v>0</v>
      </c>
      <c r="K100" s="51">
        <f>+_xlfn.XLOOKUP($H100&amp;$V100,BASEDATOS!$B:$B,BASEDATOS!R:R,0,0,1)</f>
        <v>0</v>
      </c>
      <c r="L100" s="51">
        <f t="shared" si="101"/>
        <v>0</v>
      </c>
      <c r="M100" s="52">
        <f t="shared" si="102"/>
        <v>0</v>
      </c>
      <c r="N100" s="51">
        <f t="shared" si="103"/>
        <v>0</v>
      </c>
      <c r="O100" s="53" t="str">
        <f t="shared" ref="O100" si="116">+O105</f>
        <v>0-4-3</v>
      </c>
      <c r="P100" s="54">
        <f>+IF(AND(Y100="Domingo",U100=7),_xlfn.XLOOKUP(O100,'Horarios y Sistemas'!C:C,'Horarios y Sistemas'!H:H,0,0,1),0)</f>
        <v>0</v>
      </c>
      <c r="Q100" s="54">
        <f>IF(U100=U101,0,IF(AVERAGEIF(W:W,W100,U:U)=U100,0,_xlfn.XLOOKUP(O100,'Horarios y Sistemas'!C:C,'Horarios y Sistemas'!H:H,0,0,1)-P100))/7*U100</f>
        <v>0</v>
      </c>
      <c r="R100" s="54">
        <f t="shared" si="105"/>
        <v>0</v>
      </c>
      <c r="S100" s="55" t="str">
        <f t="shared" si="106"/>
        <v>SEPTIEMBRE</v>
      </c>
      <c r="T100" s="55" t="str">
        <f t="shared" si="107"/>
        <v>Sem39</v>
      </c>
      <c r="U100" s="56">
        <f t="shared" si="74"/>
        <v>7</v>
      </c>
      <c r="V100" s="59">
        <v>46287</v>
      </c>
      <c r="W100" s="56">
        <f t="shared" si="108"/>
        <v>39</v>
      </c>
      <c r="X100" s="56">
        <f t="shared" si="109"/>
        <v>22</v>
      </c>
      <c r="Y100" s="56" t="s">
        <v>29</v>
      </c>
      <c r="Z100" s="56">
        <v>2</v>
      </c>
      <c r="AA100" s="58">
        <f t="shared" si="83"/>
        <v>0</v>
      </c>
      <c r="AB100" s="58">
        <f t="shared" si="83"/>
        <v>0</v>
      </c>
      <c r="AC100" s="58">
        <f t="shared" si="83"/>
        <v>1</v>
      </c>
      <c r="AD100" s="58">
        <f t="shared" si="83"/>
        <v>0</v>
      </c>
      <c r="AE100" s="58">
        <f t="shared" si="83"/>
        <v>0</v>
      </c>
    </row>
    <row r="101" spans="2:34">
      <c r="B101" t="str">
        <f t="shared" si="96"/>
        <v>Sem3939Braulio Vinicio López Rancho</v>
      </c>
      <c r="C101" t="str">
        <f t="shared" si="97"/>
        <v>SEPTIEMBRESem39</v>
      </c>
      <c r="D101" t="str">
        <f t="shared" si="98"/>
        <v>SEPTIEMBRESem39Braulio Vinicio López Rancho</v>
      </c>
      <c r="E101" t="str">
        <f t="shared" si="99"/>
        <v>SEPTIEMBRESem3939Braulio Vinicio López Rancho</v>
      </c>
      <c r="F101" t="str">
        <f t="shared" si="100"/>
        <v>Braulio Vinicio López Rancho46288</v>
      </c>
      <c r="H101" s="49" t="s">
        <v>213</v>
      </c>
      <c r="I101" s="50" t="str">
        <f>+_xlfn.XLOOKUP($H101&amp;$V101,BASEDATOS!$B:$B,BASEDATOS!F:F,0,0,1)</f>
        <v>NOCHE</v>
      </c>
      <c r="J101" s="51">
        <f>+_xlfn.XLOOKUP($H101&amp;$V101,BASEDATOS!$B:$B,BASEDATOS!Q:Q,0,0,1)</f>
        <v>0.75</v>
      </c>
      <c r="K101" s="51">
        <f>+_xlfn.XLOOKUP($H101&amp;$V101,BASEDATOS!$B:$B,BASEDATOS!R:R,0,0,1)</f>
        <v>0.25</v>
      </c>
      <c r="L101" s="51">
        <f t="shared" si="101"/>
        <v>0.5</v>
      </c>
      <c r="M101" s="52" t="str">
        <f t="shared" si="102"/>
        <v>1:00</v>
      </c>
      <c r="N101" s="51">
        <f t="shared" si="103"/>
        <v>0.45833333333333331</v>
      </c>
      <c r="O101" s="53" t="str">
        <f t="shared" ref="O101" si="117">+O105</f>
        <v>0-4-3</v>
      </c>
      <c r="P101" s="54">
        <f>+IF(AND(Y101="Domingo",U101=7),_xlfn.XLOOKUP(O101,'Horarios y Sistemas'!C:C,'Horarios y Sistemas'!H:H,0,0,1),0)</f>
        <v>0</v>
      </c>
      <c r="Q101" s="54">
        <f>IF(U101=U102,0,IF(AVERAGEIF(W:W,W101,U:U)=U101,0,_xlfn.XLOOKUP(O101,'Horarios y Sistemas'!C:C,'Horarios y Sistemas'!H:H,0,0,1)-P101))/7*U101</f>
        <v>0</v>
      </c>
      <c r="R101" s="54">
        <f t="shared" si="105"/>
        <v>0</v>
      </c>
      <c r="S101" s="55" t="str">
        <f t="shared" si="106"/>
        <v>SEPTIEMBRE</v>
      </c>
      <c r="T101" s="55" t="str">
        <f t="shared" si="107"/>
        <v>Sem39</v>
      </c>
      <c r="U101" s="56">
        <f t="shared" si="74"/>
        <v>7</v>
      </c>
      <c r="V101" s="59">
        <v>46288</v>
      </c>
      <c r="W101" s="56">
        <f t="shared" si="108"/>
        <v>39</v>
      </c>
      <c r="X101" s="56">
        <f t="shared" si="109"/>
        <v>23</v>
      </c>
      <c r="Y101" s="56" t="s">
        <v>30</v>
      </c>
      <c r="Z101" s="56">
        <v>3</v>
      </c>
      <c r="AA101" s="58">
        <f t="shared" si="83"/>
        <v>0</v>
      </c>
      <c r="AB101" s="58">
        <f t="shared" si="83"/>
        <v>1</v>
      </c>
      <c r="AC101" s="58">
        <f t="shared" si="83"/>
        <v>0</v>
      </c>
      <c r="AD101" s="58">
        <f t="shared" si="83"/>
        <v>0</v>
      </c>
      <c r="AE101" s="58">
        <f t="shared" si="83"/>
        <v>0</v>
      </c>
    </row>
    <row r="102" spans="2:34">
      <c r="B102" t="str">
        <f t="shared" si="96"/>
        <v>Sem3939Braulio Vinicio López Rancho</v>
      </c>
      <c r="C102" t="str">
        <f t="shared" si="97"/>
        <v>SEPTIEMBRESem39</v>
      </c>
      <c r="D102" t="str">
        <f t="shared" si="98"/>
        <v>SEPTIEMBRESem39Braulio Vinicio López Rancho</v>
      </c>
      <c r="E102" t="str">
        <f t="shared" si="99"/>
        <v>SEPTIEMBRESem3939Braulio Vinicio López Rancho</v>
      </c>
      <c r="F102" t="str">
        <f t="shared" si="100"/>
        <v>Braulio Vinicio López Rancho46289</v>
      </c>
      <c r="H102" s="49" t="s">
        <v>213</v>
      </c>
      <c r="I102" s="50" t="str">
        <f>+_xlfn.XLOOKUP($H102&amp;$V102,BASEDATOS!$B:$B,BASEDATOS!F:F,0,0,1)</f>
        <v>NOCHE</v>
      </c>
      <c r="J102" s="51">
        <f>+_xlfn.XLOOKUP($H102&amp;$V102,BASEDATOS!$B:$B,BASEDATOS!Q:Q,0,0,1)</f>
        <v>0.75</v>
      </c>
      <c r="K102" s="51">
        <f>+_xlfn.XLOOKUP($H102&amp;$V102,BASEDATOS!$B:$B,BASEDATOS!R:R,0,0,1)</f>
        <v>0.25</v>
      </c>
      <c r="L102" s="51">
        <f t="shared" si="101"/>
        <v>0.5</v>
      </c>
      <c r="M102" s="52" t="str">
        <f t="shared" si="102"/>
        <v>1:00</v>
      </c>
      <c r="N102" s="51">
        <f t="shared" si="103"/>
        <v>0.45833333333333331</v>
      </c>
      <c r="O102" s="53" t="str">
        <f t="shared" ref="O102" si="118">+O105</f>
        <v>0-4-3</v>
      </c>
      <c r="P102" s="54">
        <f>+IF(AND(Y102="Domingo",U102=7),_xlfn.XLOOKUP(O102,'Horarios y Sistemas'!C:C,'Horarios y Sistemas'!H:H,0,0,1),0)</f>
        <v>0</v>
      </c>
      <c r="Q102" s="54">
        <f>IF(U102=U103,0,IF(AVERAGEIF(W:W,W102,U:U)=U102,0,_xlfn.XLOOKUP(O102,'Horarios y Sistemas'!C:C,'Horarios y Sistemas'!H:H,0,0,1)-P102))/7*U102</f>
        <v>0</v>
      </c>
      <c r="R102" s="54">
        <f t="shared" si="105"/>
        <v>0</v>
      </c>
      <c r="S102" s="55" t="str">
        <f t="shared" si="106"/>
        <v>SEPTIEMBRE</v>
      </c>
      <c r="T102" s="55" t="str">
        <f t="shared" si="107"/>
        <v>Sem39</v>
      </c>
      <c r="U102" s="56">
        <f t="shared" si="74"/>
        <v>7</v>
      </c>
      <c r="V102" s="59">
        <v>46289</v>
      </c>
      <c r="W102" s="56">
        <f t="shared" si="108"/>
        <v>39</v>
      </c>
      <c r="X102" s="56">
        <f t="shared" si="109"/>
        <v>24</v>
      </c>
      <c r="Y102" s="56" t="s">
        <v>31</v>
      </c>
      <c r="Z102" s="56">
        <v>4</v>
      </c>
      <c r="AA102" s="58">
        <f t="shared" si="83"/>
        <v>0</v>
      </c>
      <c r="AB102" s="58">
        <f t="shared" si="83"/>
        <v>1</v>
      </c>
      <c r="AC102" s="58">
        <f t="shared" si="83"/>
        <v>0</v>
      </c>
      <c r="AD102" s="58">
        <f t="shared" si="83"/>
        <v>0</v>
      </c>
      <c r="AE102" s="58">
        <f t="shared" si="83"/>
        <v>0</v>
      </c>
    </row>
    <row r="103" spans="2:34">
      <c r="B103" t="str">
        <f t="shared" si="96"/>
        <v>Sem3939Braulio Vinicio López Rancho</v>
      </c>
      <c r="C103" t="str">
        <f t="shared" si="97"/>
        <v>SEPTIEMBRESem39</v>
      </c>
      <c r="D103" t="str">
        <f t="shared" si="98"/>
        <v>SEPTIEMBRESem39Braulio Vinicio López Rancho</v>
      </c>
      <c r="E103" t="str">
        <f t="shared" si="99"/>
        <v>SEPTIEMBRESem3939Braulio Vinicio López Rancho</v>
      </c>
      <c r="F103" t="str">
        <f t="shared" si="100"/>
        <v>Braulio Vinicio López Rancho46290</v>
      </c>
      <c r="H103" s="49" t="s">
        <v>213</v>
      </c>
      <c r="I103" s="50" t="str">
        <f>+_xlfn.XLOOKUP($H103&amp;$V103,BASEDATOS!$B:$B,BASEDATOS!F:F,0,0,1)</f>
        <v>NOCHE</v>
      </c>
      <c r="J103" s="51">
        <f>+_xlfn.XLOOKUP($H103&amp;$V103,BASEDATOS!$B:$B,BASEDATOS!Q:Q,0,0,1)</f>
        <v>0.75</v>
      </c>
      <c r="K103" s="51">
        <f>+_xlfn.XLOOKUP($H103&amp;$V103,BASEDATOS!$B:$B,BASEDATOS!R:R,0,0,1)</f>
        <v>0.25</v>
      </c>
      <c r="L103" s="51">
        <f t="shared" si="101"/>
        <v>0.5</v>
      </c>
      <c r="M103" s="52" t="str">
        <f t="shared" si="102"/>
        <v>1:00</v>
      </c>
      <c r="N103" s="51">
        <f t="shared" si="103"/>
        <v>0.45833333333333331</v>
      </c>
      <c r="O103" s="53" t="str">
        <f t="shared" ref="O103" si="119">+O105</f>
        <v>0-4-3</v>
      </c>
      <c r="P103" s="54">
        <f>+IF(AND(Y103="Domingo",U103=7),_xlfn.XLOOKUP(O103,'Horarios y Sistemas'!C:C,'Horarios y Sistemas'!H:H,0,0,1),0)</f>
        <v>0</v>
      </c>
      <c r="Q103" s="54">
        <f>IF(U103=U104,0,IF(AVERAGEIF(W:W,W103,U:U)=U103,0,_xlfn.XLOOKUP(O103,'Horarios y Sistemas'!C:C,'Horarios y Sistemas'!H:H,0,0,1)-P103))/7*U103</f>
        <v>0</v>
      </c>
      <c r="R103" s="54">
        <f t="shared" si="105"/>
        <v>0</v>
      </c>
      <c r="S103" s="55" t="str">
        <f t="shared" si="106"/>
        <v>SEPTIEMBRE</v>
      </c>
      <c r="T103" s="55" t="str">
        <f t="shared" si="107"/>
        <v>Sem39</v>
      </c>
      <c r="U103" s="56">
        <f t="shared" si="74"/>
        <v>7</v>
      </c>
      <c r="V103" s="59">
        <v>46290</v>
      </c>
      <c r="W103" s="56">
        <f t="shared" si="108"/>
        <v>39</v>
      </c>
      <c r="X103" s="56">
        <f t="shared" si="109"/>
        <v>25</v>
      </c>
      <c r="Y103" s="56" t="s">
        <v>32</v>
      </c>
      <c r="Z103" s="56">
        <v>5</v>
      </c>
      <c r="AA103" s="58">
        <f t="shared" si="83"/>
        <v>0</v>
      </c>
      <c r="AB103" s="58">
        <f t="shared" si="83"/>
        <v>1</v>
      </c>
      <c r="AC103" s="58">
        <f t="shared" si="83"/>
        <v>0</v>
      </c>
      <c r="AD103" s="58">
        <f t="shared" si="83"/>
        <v>0</v>
      </c>
      <c r="AE103" s="58">
        <f t="shared" si="83"/>
        <v>0</v>
      </c>
    </row>
    <row r="104" spans="2:34">
      <c r="B104" t="str">
        <f t="shared" si="96"/>
        <v>Sem3939Braulio Vinicio López Rancho</v>
      </c>
      <c r="C104" t="str">
        <f t="shared" si="97"/>
        <v>SEPTIEMBRESem39</v>
      </c>
      <c r="D104" t="str">
        <f t="shared" si="98"/>
        <v>SEPTIEMBRESem39Braulio Vinicio López Rancho</v>
      </c>
      <c r="E104" t="str">
        <f t="shared" si="99"/>
        <v>SEPTIEMBRESem3939Braulio Vinicio López Rancho</v>
      </c>
      <c r="F104" t="str">
        <f t="shared" si="100"/>
        <v>Braulio Vinicio López Rancho46291</v>
      </c>
      <c r="H104" s="49" t="s">
        <v>213</v>
      </c>
      <c r="I104" s="50" t="str">
        <f>+_xlfn.XLOOKUP($H104&amp;$V104,BASEDATOS!$B:$B,BASEDATOS!F:F,0,0,1)</f>
        <v>DESCANSO</v>
      </c>
      <c r="J104" s="51">
        <f>+_xlfn.XLOOKUP($H104&amp;$V104,BASEDATOS!$B:$B,BASEDATOS!Q:Q,0,0,1)</f>
        <v>0</v>
      </c>
      <c r="K104" s="51">
        <f>+_xlfn.XLOOKUP($H104&amp;$V104,BASEDATOS!$B:$B,BASEDATOS!R:R,0,0,1)</f>
        <v>0</v>
      </c>
      <c r="L104" s="51">
        <f t="shared" si="101"/>
        <v>0</v>
      </c>
      <c r="M104" s="52">
        <f t="shared" si="102"/>
        <v>0</v>
      </c>
      <c r="N104" s="51">
        <f t="shared" si="103"/>
        <v>0</v>
      </c>
      <c r="O104" s="53" t="str">
        <f t="shared" ref="O104" si="120">+O105</f>
        <v>0-4-3</v>
      </c>
      <c r="P104" s="54">
        <f>+IF(AND(Y104="Domingo",U104=7),_xlfn.XLOOKUP(O104,'Horarios y Sistemas'!C:C,'Horarios y Sistemas'!H:H,0,0,1),0)</f>
        <v>0</v>
      </c>
      <c r="Q104" s="54">
        <f>IF(U104=U105,0,IF(AVERAGEIF(W:W,W104,U:U)=U104,0,_xlfn.XLOOKUP(O104,'Horarios y Sistemas'!C:C,'Horarios y Sistemas'!H:H,0,0,1)-P104))/7*U104</f>
        <v>0</v>
      </c>
      <c r="R104" s="54">
        <f t="shared" si="105"/>
        <v>0</v>
      </c>
      <c r="S104" s="55" t="str">
        <f t="shared" si="106"/>
        <v>SEPTIEMBRE</v>
      </c>
      <c r="T104" s="55" t="str">
        <f t="shared" si="107"/>
        <v>Sem39</v>
      </c>
      <c r="U104" s="56">
        <f t="shared" si="74"/>
        <v>7</v>
      </c>
      <c r="V104" s="59">
        <v>46291</v>
      </c>
      <c r="W104" s="56">
        <f t="shared" si="108"/>
        <v>39</v>
      </c>
      <c r="X104" s="56">
        <f t="shared" si="109"/>
        <v>26</v>
      </c>
      <c r="Y104" s="56" t="s">
        <v>33</v>
      </c>
      <c r="Z104" s="56">
        <v>6</v>
      </c>
      <c r="AA104" s="58">
        <f t="shared" si="83"/>
        <v>0</v>
      </c>
      <c r="AB104" s="58">
        <f t="shared" si="83"/>
        <v>0</v>
      </c>
      <c r="AC104" s="58">
        <f t="shared" si="83"/>
        <v>1</v>
      </c>
      <c r="AD104" s="58">
        <f t="shared" si="83"/>
        <v>0</v>
      </c>
      <c r="AE104" s="58">
        <f t="shared" si="83"/>
        <v>0</v>
      </c>
    </row>
    <row r="105" spans="2:34" s="60" customFormat="1">
      <c r="B105" s="60" t="str">
        <f t="shared" si="96"/>
        <v>Sem3939Braulio Vinicio López Rancho</v>
      </c>
      <c r="C105" s="60" t="str">
        <f t="shared" si="97"/>
        <v>SEPTIEMBRESem39</v>
      </c>
      <c r="D105" s="60" t="str">
        <f t="shared" si="98"/>
        <v>SEPTIEMBRESem39Braulio Vinicio López Rancho</v>
      </c>
      <c r="E105" s="60" t="str">
        <f t="shared" si="99"/>
        <v>SEPTIEMBRESem3939Braulio Vinicio López Rancho</v>
      </c>
      <c r="F105" s="60" t="str">
        <f t="shared" si="100"/>
        <v>Braulio Vinicio López Rancho46292</v>
      </c>
      <c r="H105" s="61" t="s">
        <v>213</v>
      </c>
      <c r="I105" s="62" t="str">
        <f>+_xlfn.XLOOKUP($H105&amp;$V105,BASEDATOS!$B:$B,BASEDATOS!F:F,0,0,1)</f>
        <v>DESCANSO</v>
      </c>
      <c r="J105" s="63">
        <f>+_xlfn.XLOOKUP($H105&amp;$V105,BASEDATOS!$B:$B,BASEDATOS!Q:Q,0,0,1)</f>
        <v>0</v>
      </c>
      <c r="K105" s="63">
        <f>+_xlfn.XLOOKUP($H105&amp;$V105,BASEDATOS!$B:$B,BASEDATOS!R:R,0,0,1)</f>
        <v>0</v>
      </c>
      <c r="L105" s="63">
        <f t="shared" si="101"/>
        <v>0</v>
      </c>
      <c r="M105" s="64">
        <f t="shared" si="102"/>
        <v>0</v>
      </c>
      <c r="N105" s="63">
        <f t="shared" si="103"/>
        <v>0</v>
      </c>
      <c r="O105" s="65" t="str">
        <f t="shared" ref="O105" si="121">+IF(Y105="Domingo",SUM(AA99:AA105)&amp;"-"&amp;SUM(AB99:AB105)&amp;"-"&amp;SUM(AC99:AE105),"")</f>
        <v>0-4-3</v>
      </c>
      <c r="P105" s="66">
        <f>+IF(AND(Y105="Domingo",U105=7),_xlfn.XLOOKUP(O105,'Horarios y Sistemas'!C:C,'Horarios y Sistemas'!H:H,0,0,1),0)</f>
        <v>36</v>
      </c>
      <c r="Q105" s="66">
        <f>IF(U105=U106,0,IF(AVERAGEIF(W:W,W105,U:U)=U105,0,_xlfn.XLOOKUP(O105,'Horarios y Sistemas'!C:C,'Horarios y Sistemas'!H:H,0,0,1)-P105))/7*U105</f>
        <v>0</v>
      </c>
      <c r="R105" s="66">
        <f t="shared" si="105"/>
        <v>36</v>
      </c>
      <c r="S105" s="67" t="str">
        <f t="shared" si="106"/>
        <v>SEPTIEMBRE</v>
      </c>
      <c r="T105" s="55" t="str">
        <f t="shared" si="107"/>
        <v>Sem39</v>
      </c>
      <c r="U105" s="68">
        <f t="shared" si="74"/>
        <v>7</v>
      </c>
      <c r="V105" s="69">
        <v>46292</v>
      </c>
      <c r="W105" s="68">
        <f t="shared" si="108"/>
        <v>39</v>
      </c>
      <c r="X105" s="68">
        <f t="shared" si="109"/>
        <v>27</v>
      </c>
      <c r="Y105" s="68" t="s">
        <v>34</v>
      </c>
      <c r="Z105" s="68">
        <v>7</v>
      </c>
      <c r="AA105" s="70">
        <f t="shared" si="83"/>
        <v>0</v>
      </c>
      <c r="AB105" s="70">
        <f t="shared" si="83"/>
        <v>0</v>
      </c>
      <c r="AC105" s="70">
        <f t="shared" si="83"/>
        <v>1</v>
      </c>
      <c r="AD105" s="70">
        <f t="shared" si="83"/>
        <v>0</v>
      </c>
      <c r="AE105" s="70">
        <f t="shared" si="83"/>
        <v>0</v>
      </c>
      <c r="AF105" s="71"/>
      <c r="AG105" s="71"/>
      <c r="AH105" s="71"/>
    </row>
    <row r="106" spans="2:34">
      <c r="B106" t="str">
        <f t="shared" si="96"/>
        <v>Sem4040Braulio Vinicio López Rancho</v>
      </c>
      <c r="C106" t="str">
        <f t="shared" si="97"/>
        <v>SEPTIEMBRESem40</v>
      </c>
      <c r="D106" t="str">
        <f t="shared" si="98"/>
        <v>SEPTIEMBRESem40Braulio Vinicio López Rancho</v>
      </c>
      <c r="E106" t="str">
        <f t="shared" si="99"/>
        <v>SEPTIEMBRESem4040Braulio Vinicio López Rancho</v>
      </c>
      <c r="F106" t="str">
        <f t="shared" si="100"/>
        <v>Braulio Vinicio López Rancho46293</v>
      </c>
      <c r="H106" s="49" t="s">
        <v>213</v>
      </c>
      <c r="I106" s="50" t="str">
        <f>+_xlfn.XLOOKUP($H106&amp;$V106,BASEDATOS!$B:$B,BASEDATOS!F:F,0,0,1)</f>
        <v>DIA</v>
      </c>
      <c r="J106" s="51">
        <f>+_xlfn.XLOOKUP($H106&amp;$V106,BASEDATOS!$B:$B,BASEDATOS!Q:Q,0,0,1)</f>
        <v>0.25</v>
      </c>
      <c r="K106" s="51">
        <f>+_xlfn.XLOOKUP($H106&amp;$V106,BASEDATOS!$B:$B,BASEDATOS!R:R,0,0,1)</f>
        <v>0.75</v>
      </c>
      <c r="L106" s="51">
        <f t="shared" si="101"/>
        <v>0.5</v>
      </c>
      <c r="M106" s="52" t="str">
        <f t="shared" si="102"/>
        <v>1:00</v>
      </c>
      <c r="N106" s="51">
        <f t="shared" si="103"/>
        <v>0.45833333333333331</v>
      </c>
      <c r="O106" s="53" t="str">
        <f t="shared" ref="O106" si="122">+O112</f>
        <v>6-0-1</v>
      </c>
      <c r="P106" s="54">
        <f>+IF(AND(Y106="Domingo",U106=7),_xlfn.XLOOKUP(O106,'Horarios y Sistemas'!C:C,'Horarios y Sistemas'!H:H,0,0,1),0)</f>
        <v>0</v>
      </c>
      <c r="Q106" s="54">
        <f>IF(U106=U107,0,IF(AVERAGEIF(W:W,W106,U:U)=U106,0,_xlfn.XLOOKUP(O106,'Horarios y Sistemas'!C:C,'Horarios y Sistemas'!H:H,0,0,1)-P106))/7*U106</f>
        <v>0</v>
      </c>
      <c r="R106" s="54">
        <f t="shared" si="105"/>
        <v>0</v>
      </c>
      <c r="S106" s="55" t="str">
        <f t="shared" si="106"/>
        <v>SEPTIEMBRE</v>
      </c>
      <c r="T106" s="55" t="str">
        <f t="shared" si="107"/>
        <v>Sem40</v>
      </c>
      <c r="U106" s="56">
        <f t="shared" si="74"/>
        <v>7</v>
      </c>
      <c r="V106" s="59">
        <v>46293</v>
      </c>
      <c r="W106" s="56">
        <f t="shared" si="108"/>
        <v>40</v>
      </c>
      <c r="X106" s="56">
        <f t="shared" si="109"/>
        <v>28</v>
      </c>
      <c r="Y106" s="56" t="s">
        <v>28</v>
      </c>
      <c r="Z106" s="56">
        <v>1</v>
      </c>
      <c r="AA106" s="58">
        <f t="shared" si="83"/>
        <v>1</v>
      </c>
      <c r="AB106" s="58">
        <f t="shared" si="83"/>
        <v>0</v>
      </c>
      <c r="AC106" s="58">
        <f t="shared" si="83"/>
        <v>0</v>
      </c>
      <c r="AD106" s="58">
        <f t="shared" si="83"/>
        <v>0</v>
      </c>
      <c r="AE106" s="58">
        <f t="shared" si="83"/>
        <v>0</v>
      </c>
    </row>
    <row r="107" spans="2:34">
      <c r="B107" t="str">
        <f t="shared" si="96"/>
        <v>Sem4040Braulio Vinicio López Rancho</v>
      </c>
      <c r="C107" t="str">
        <f t="shared" si="97"/>
        <v>SEPTIEMBRESem40</v>
      </c>
      <c r="D107" t="str">
        <f t="shared" si="98"/>
        <v>SEPTIEMBRESem40Braulio Vinicio López Rancho</v>
      </c>
      <c r="E107" t="str">
        <f t="shared" si="99"/>
        <v>SEPTIEMBRESem4040Braulio Vinicio López Rancho</v>
      </c>
      <c r="F107" t="str">
        <f t="shared" si="100"/>
        <v>Braulio Vinicio López Rancho46294</v>
      </c>
      <c r="H107" s="49" t="s">
        <v>213</v>
      </c>
      <c r="I107" s="50" t="str">
        <f>+_xlfn.XLOOKUP($H107&amp;$V107,BASEDATOS!$B:$B,BASEDATOS!F:F,0,0,1)</f>
        <v>DIA</v>
      </c>
      <c r="J107" s="51">
        <f>+_xlfn.XLOOKUP($H107&amp;$V107,BASEDATOS!$B:$B,BASEDATOS!Q:Q,0,0,1)</f>
        <v>0.25</v>
      </c>
      <c r="K107" s="51">
        <f>+_xlfn.XLOOKUP($H107&amp;$V107,BASEDATOS!$B:$B,BASEDATOS!R:R,0,0,1)</f>
        <v>0.75</v>
      </c>
      <c r="L107" s="51">
        <f t="shared" si="101"/>
        <v>0.5</v>
      </c>
      <c r="M107" s="52" t="str">
        <f t="shared" si="102"/>
        <v>1:00</v>
      </c>
      <c r="N107" s="51">
        <f t="shared" si="103"/>
        <v>0.45833333333333331</v>
      </c>
      <c r="O107" s="53" t="str">
        <f t="shared" ref="O107" si="123">+O112</f>
        <v>6-0-1</v>
      </c>
      <c r="P107" s="54">
        <f>+IF(AND(Y107="Domingo",U107=7),_xlfn.XLOOKUP(O107,'Horarios y Sistemas'!C:C,'Horarios y Sistemas'!H:H,0,0,1),0)</f>
        <v>0</v>
      </c>
      <c r="Q107" s="54">
        <f>IF(U107=U108,0,IF(AVERAGEIF(W:W,W107,U:U)=U107,0,_xlfn.XLOOKUP(O107,'Horarios y Sistemas'!C:C,'Horarios y Sistemas'!H:H,0,0,1)-P107))/7*U107</f>
        <v>0</v>
      </c>
      <c r="R107" s="54">
        <f t="shared" si="105"/>
        <v>0</v>
      </c>
      <c r="S107" s="55" t="str">
        <f t="shared" si="106"/>
        <v>SEPTIEMBRE</v>
      </c>
      <c r="T107" s="55" t="str">
        <f t="shared" si="107"/>
        <v>Sem40</v>
      </c>
      <c r="U107" s="56">
        <f t="shared" si="74"/>
        <v>7</v>
      </c>
      <c r="V107" s="59">
        <v>46294</v>
      </c>
      <c r="W107" s="56">
        <f t="shared" si="108"/>
        <v>40</v>
      </c>
      <c r="X107" s="56">
        <f t="shared" si="109"/>
        <v>29</v>
      </c>
      <c r="Y107" s="56" t="s">
        <v>29</v>
      </c>
      <c r="Z107" s="56">
        <v>2</v>
      </c>
      <c r="AA107" s="58">
        <f t="shared" si="83"/>
        <v>1</v>
      </c>
      <c r="AB107" s="58">
        <f t="shared" si="83"/>
        <v>0</v>
      </c>
      <c r="AC107" s="58">
        <f t="shared" si="83"/>
        <v>0</v>
      </c>
      <c r="AD107" s="58">
        <f t="shared" si="83"/>
        <v>0</v>
      </c>
      <c r="AE107" s="58">
        <f t="shared" si="83"/>
        <v>0</v>
      </c>
    </row>
    <row r="108" spans="2:34">
      <c r="B108" t="str">
        <f t="shared" si="96"/>
        <v>Sem4040Braulio Vinicio López Rancho</v>
      </c>
      <c r="C108" t="str">
        <f t="shared" si="97"/>
        <v>SEPTIEMBRESem40</v>
      </c>
      <c r="D108" t="str">
        <f t="shared" si="98"/>
        <v>SEPTIEMBRESem40Braulio Vinicio López Rancho</v>
      </c>
      <c r="E108" t="str">
        <f t="shared" si="99"/>
        <v>SEPTIEMBRESem4040Braulio Vinicio López Rancho</v>
      </c>
      <c r="F108" t="str">
        <f t="shared" si="100"/>
        <v>Braulio Vinicio López Rancho46295</v>
      </c>
      <c r="H108" s="49" t="s">
        <v>213</v>
      </c>
      <c r="I108" s="50" t="str">
        <f>+_xlfn.XLOOKUP($H108&amp;$V108,BASEDATOS!$B:$B,BASEDATOS!F:F,0,0,1)</f>
        <v>DIA</v>
      </c>
      <c r="J108" s="51">
        <f>+_xlfn.XLOOKUP($H108&amp;$V108,BASEDATOS!$B:$B,BASEDATOS!Q:Q,0,0,1)</f>
        <v>0.25</v>
      </c>
      <c r="K108" s="51">
        <f>+_xlfn.XLOOKUP($H108&amp;$V108,BASEDATOS!$B:$B,BASEDATOS!R:R,0,0,1)</f>
        <v>0.75</v>
      </c>
      <c r="L108" s="51">
        <f t="shared" si="101"/>
        <v>0.5</v>
      </c>
      <c r="M108" s="52" t="str">
        <f t="shared" si="102"/>
        <v>1:00</v>
      </c>
      <c r="N108" s="51">
        <f t="shared" si="103"/>
        <v>0.45833333333333331</v>
      </c>
      <c r="O108" s="53" t="str">
        <f t="shared" ref="O108" si="124">+O112</f>
        <v>6-0-1</v>
      </c>
      <c r="P108" s="54">
        <f>+IF(AND(Y108="Domingo",U108=7),_xlfn.XLOOKUP(O108,'Horarios y Sistemas'!C:C,'Horarios y Sistemas'!H:H,0,0,1),0)</f>
        <v>0</v>
      </c>
      <c r="Q108" s="54">
        <f>IF(U108=U109,0,IF(AVERAGEIF(W:W,W108,U:U)=U108,0,_xlfn.XLOOKUP(O108,'Horarios y Sistemas'!C:C,'Horarios y Sistemas'!H:H,0,0,1)-P108))/7*U108</f>
        <v>0</v>
      </c>
      <c r="R108" s="54">
        <f t="shared" si="105"/>
        <v>0</v>
      </c>
      <c r="S108" s="55" t="str">
        <f t="shared" si="106"/>
        <v>SEPTIEMBRE</v>
      </c>
      <c r="T108" s="55" t="str">
        <f t="shared" si="107"/>
        <v>Sem40</v>
      </c>
      <c r="U108" s="56">
        <f t="shared" si="74"/>
        <v>7</v>
      </c>
      <c r="V108" s="59">
        <v>46295</v>
      </c>
      <c r="W108" s="56">
        <f t="shared" si="108"/>
        <v>40</v>
      </c>
      <c r="X108" s="56">
        <f t="shared" si="109"/>
        <v>30</v>
      </c>
      <c r="Y108" s="56" t="s">
        <v>30</v>
      </c>
      <c r="Z108" s="56">
        <v>3</v>
      </c>
      <c r="AA108" s="58">
        <f t="shared" si="83"/>
        <v>1</v>
      </c>
      <c r="AB108" s="58">
        <f t="shared" si="83"/>
        <v>0</v>
      </c>
      <c r="AC108" s="58">
        <f t="shared" si="83"/>
        <v>0</v>
      </c>
      <c r="AD108" s="58">
        <f t="shared" si="83"/>
        <v>0</v>
      </c>
      <c r="AE108" s="58">
        <f t="shared" si="83"/>
        <v>0</v>
      </c>
    </row>
    <row r="109" spans="2:34">
      <c r="B109" t="str">
        <f t="shared" si="96"/>
        <v>Sem4040Braulio Vinicio López Rancho</v>
      </c>
      <c r="C109" t="str">
        <f t="shared" si="97"/>
        <v>OCTUBRESem40</v>
      </c>
      <c r="D109" t="str">
        <f t="shared" si="98"/>
        <v>OCTUBRESem40Braulio Vinicio López Rancho</v>
      </c>
      <c r="E109" t="str">
        <f t="shared" si="99"/>
        <v>OCTUBRESem4040Braulio Vinicio López Rancho</v>
      </c>
      <c r="F109" t="str">
        <f t="shared" si="100"/>
        <v>Braulio Vinicio López Rancho46296</v>
      </c>
      <c r="H109" s="49" t="s">
        <v>213</v>
      </c>
      <c r="I109" s="50" t="str">
        <f>+_xlfn.XLOOKUP($H109&amp;$V109,BASEDATOS!$B:$B,BASEDATOS!F:F,0,0,1)</f>
        <v>DIA</v>
      </c>
      <c r="J109" s="51">
        <f>+_xlfn.XLOOKUP($H109&amp;$V109,BASEDATOS!$B:$B,BASEDATOS!Q:Q,0,0,1)</f>
        <v>0.25</v>
      </c>
      <c r="K109" s="51">
        <f>+_xlfn.XLOOKUP($H109&amp;$V109,BASEDATOS!$B:$B,BASEDATOS!R:R,0,0,1)</f>
        <v>0.75</v>
      </c>
      <c r="L109" s="51">
        <f t="shared" si="101"/>
        <v>0.5</v>
      </c>
      <c r="M109" s="52" t="str">
        <f t="shared" si="102"/>
        <v>1:00</v>
      </c>
      <c r="N109" s="51">
        <f t="shared" si="103"/>
        <v>0.45833333333333331</v>
      </c>
      <c r="O109" s="53" t="str">
        <f t="shared" ref="O109" si="125">+O112</f>
        <v>6-0-1</v>
      </c>
      <c r="P109" s="54">
        <f>+IF(AND(Y109="Domingo",U109=7),_xlfn.XLOOKUP(O109,'Horarios y Sistemas'!C:C,'Horarios y Sistemas'!H:H,0,0,1),0)</f>
        <v>0</v>
      </c>
      <c r="Q109" s="54">
        <f>IF(U109=U110,0,IF(AVERAGEIF(W:W,W109,U:U)=U109,0,_xlfn.XLOOKUP(O109,'Horarios y Sistemas'!C:C,'Horarios y Sistemas'!H:H,0,0,1)-P109))/7*U109</f>
        <v>0</v>
      </c>
      <c r="R109" s="54">
        <f t="shared" si="105"/>
        <v>0</v>
      </c>
      <c r="S109" s="55" t="str">
        <f t="shared" si="106"/>
        <v>OCTUBRE</v>
      </c>
      <c r="T109" s="55" t="str">
        <f t="shared" si="107"/>
        <v>Sem40</v>
      </c>
      <c r="U109" s="56">
        <f t="shared" si="74"/>
        <v>7</v>
      </c>
      <c r="V109" s="59">
        <v>46296</v>
      </c>
      <c r="W109" s="56">
        <f t="shared" si="108"/>
        <v>40</v>
      </c>
      <c r="X109" s="56">
        <f t="shared" si="109"/>
        <v>1</v>
      </c>
      <c r="Y109" s="56" t="s">
        <v>31</v>
      </c>
      <c r="Z109" s="56">
        <v>4</v>
      </c>
      <c r="AA109" s="58">
        <f t="shared" si="83"/>
        <v>1</v>
      </c>
      <c r="AB109" s="58">
        <f t="shared" si="83"/>
        <v>0</v>
      </c>
      <c r="AC109" s="58">
        <f t="shared" si="83"/>
        <v>0</v>
      </c>
      <c r="AD109" s="58">
        <f t="shared" si="83"/>
        <v>0</v>
      </c>
      <c r="AE109" s="58">
        <f t="shared" si="83"/>
        <v>0</v>
      </c>
    </row>
    <row r="110" spans="2:34">
      <c r="B110" t="str">
        <f t="shared" si="96"/>
        <v>Sem4040Braulio Vinicio López Rancho</v>
      </c>
      <c r="C110" t="str">
        <f t="shared" si="97"/>
        <v>OCTUBRESem40</v>
      </c>
      <c r="D110" t="str">
        <f t="shared" si="98"/>
        <v>OCTUBRESem40Braulio Vinicio López Rancho</v>
      </c>
      <c r="E110" t="str">
        <f t="shared" si="99"/>
        <v>OCTUBRESem4040Braulio Vinicio López Rancho</v>
      </c>
      <c r="F110" t="str">
        <f t="shared" si="100"/>
        <v>Braulio Vinicio López Rancho46297</v>
      </c>
      <c r="H110" s="49" t="s">
        <v>213</v>
      </c>
      <c r="I110" s="50" t="str">
        <f>+_xlfn.XLOOKUP($H110&amp;$V110,BASEDATOS!$B:$B,BASEDATOS!F:F,0,0,1)</f>
        <v>DIA</v>
      </c>
      <c r="J110" s="51">
        <f>+_xlfn.XLOOKUP($H110&amp;$V110,BASEDATOS!$B:$B,BASEDATOS!Q:Q,0,0,1)</f>
        <v>0.25</v>
      </c>
      <c r="K110" s="51">
        <f>+_xlfn.XLOOKUP($H110&amp;$V110,BASEDATOS!$B:$B,BASEDATOS!R:R,0,0,1)</f>
        <v>0.75</v>
      </c>
      <c r="L110" s="51">
        <f t="shared" si="101"/>
        <v>0.5</v>
      </c>
      <c r="M110" s="52" t="str">
        <f t="shared" si="102"/>
        <v>1:00</v>
      </c>
      <c r="N110" s="51">
        <f t="shared" si="103"/>
        <v>0.45833333333333331</v>
      </c>
      <c r="O110" s="53" t="str">
        <f t="shared" ref="O110" si="126">+O112</f>
        <v>6-0-1</v>
      </c>
      <c r="P110" s="54">
        <f>+IF(AND(Y110="Domingo",U110=7),_xlfn.XLOOKUP(O110,'Horarios y Sistemas'!C:C,'Horarios y Sistemas'!H:H,0,0,1),0)</f>
        <v>0</v>
      </c>
      <c r="Q110" s="54">
        <f>IF(U110=U111,0,IF(AVERAGEIF(W:W,W110,U:U)=U110,0,_xlfn.XLOOKUP(O110,'Horarios y Sistemas'!C:C,'Horarios y Sistemas'!H:H,0,0,1)-P110))/7*U110</f>
        <v>0</v>
      </c>
      <c r="R110" s="54">
        <f t="shared" si="105"/>
        <v>0</v>
      </c>
      <c r="S110" s="55" t="str">
        <f t="shared" si="106"/>
        <v>OCTUBRE</v>
      </c>
      <c r="T110" s="55" t="str">
        <f t="shared" si="107"/>
        <v>Sem40</v>
      </c>
      <c r="U110" s="56">
        <f t="shared" si="74"/>
        <v>7</v>
      </c>
      <c r="V110" s="59">
        <v>46297</v>
      </c>
      <c r="W110" s="56">
        <f t="shared" si="108"/>
        <v>40</v>
      </c>
      <c r="X110" s="56">
        <f t="shared" si="109"/>
        <v>2</v>
      </c>
      <c r="Y110" s="56" t="s">
        <v>32</v>
      </c>
      <c r="Z110" s="56">
        <v>5</v>
      </c>
      <c r="AA110" s="58">
        <f t="shared" si="83"/>
        <v>1</v>
      </c>
      <c r="AB110" s="58">
        <f t="shared" si="83"/>
        <v>0</v>
      </c>
      <c r="AC110" s="58">
        <f t="shared" si="83"/>
        <v>0</v>
      </c>
      <c r="AD110" s="58">
        <f t="shared" si="83"/>
        <v>0</v>
      </c>
      <c r="AE110" s="58">
        <f t="shared" si="83"/>
        <v>0</v>
      </c>
    </row>
    <row r="111" spans="2:34">
      <c r="B111" t="str">
        <f t="shared" si="96"/>
        <v>Sem4040Braulio Vinicio López Rancho</v>
      </c>
      <c r="C111" t="str">
        <f t="shared" si="97"/>
        <v>OCTUBRESem40</v>
      </c>
      <c r="D111" t="str">
        <f t="shared" si="98"/>
        <v>OCTUBRESem40Braulio Vinicio López Rancho</v>
      </c>
      <c r="E111" t="str">
        <f t="shared" si="99"/>
        <v>OCTUBRESem4040Braulio Vinicio López Rancho</v>
      </c>
      <c r="F111" t="str">
        <f t="shared" si="100"/>
        <v>Braulio Vinicio López Rancho46298</v>
      </c>
      <c r="H111" s="49" t="s">
        <v>213</v>
      </c>
      <c r="I111" s="50" t="str">
        <f>+_xlfn.XLOOKUP($H111&amp;$V111,BASEDATOS!$B:$B,BASEDATOS!F:F,0,0,1)</f>
        <v>DIA</v>
      </c>
      <c r="J111" s="51">
        <f>+_xlfn.XLOOKUP($H111&amp;$V111,BASEDATOS!$B:$B,BASEDATOS!Q:Q,0,0,1)</f>
        <v>0.25</v>
      </c>
      <c r="K111" s="51">
        <f>+_xlfn.XLOOKUP($H111&amp;$V111,BASEDATOS!$B:$B,BASEDATOS!R:R,0,0,1)</f>
        <v>0.75</v>
      </c>
      <c r="L111" s="51">
        <f t="shared" si="101"/>
        <v>0.5</v>
      </c>
      <c r="M111" s="52" t="str">
        <f t="shared" si="102"/>
        <v>1:00</v>
      </c>
      <c r="N111" s="51">
        <f t="shared" si="103"/>
        <v>0.45833333333333331</v>
      </c>
      <c r="O111" s="53" t="str">
        <f t="shared" ref="O111" si="127">+O112</f>
        <v>6-0-1</v>
      </c>
      <c r="P111" s="54">
        <f>+IF(AND(Y111="Domingo",U111=7),_xlfn.XLOOKUP(O111,'Horarios y Sistemas'!C:C,'Horarios y Sistemas'!H:H,0,0,1),0)</f>
        <v>0</v>
      </c>
      <c r="Q111" s="54">
        <f>IF(U111=U112,0,IF(AVERAGEIF(W:W,W111,U:U)=U111,0,_xlfn.XLOOKUP(O111,'Horarios y Sistemas'!C:C,'Horarios y Sistemas'!H:H,0,0,1)-P111))/7*U111</f>
        <v>0</v>
      </c>
      <c r="R111" s="54">
        <f t="shared" si="105"/>
        <v>0</v>
      </c>
      <c r="S111" s="55" t="str">
        <f t="shared" si="106"/>
        <v>OCTUBRE</v>
      </c>
      <c r="T111" s="55" t="str">
        <f t="shared" si="107"/>
        <v>Sem40</v>
      </c>
      <c r="U111" s="56">
        <f t="shared" si="74"/>
        <v>7</v>
      </c>
      <c r="V111" s="59">
        <v>46298</v>
      </c>
      <c r="W111" s="56">
        <f t="shared" si="108"/>
        <v>40</v>
      </c>
      <c r="X111" s="56">
        <f t="shared" si="109"/>
        <v>3</v>
      </c>
      <c r="Y111" s="56" t="s">
        <v>33</v>
      </c>
      <c r="Z111" s="56">
        <v>6</v>
      </c>
      <c r="AA111" s="58">
        <f t="shared" si="83"/>
        <v>1</v>
      </c>
      <c r="AB111" s="58">
        <f t="shared" si="83"/>
        <v>0</v>
      </c>
      <c r="AC111" s="58">
        <f t="shared" si="83"/>
        <v>0</v>
      </c>
      <c r="AD111" s="58">
        <f t="shared" si="83"/>
        <v>0</v>
      </c>
      <c r="AE111" s="58">
        <f t="shared" si="83"/>
        <v>0</v>
      </c>
    </row>
    <row r="112" spans="2:34" s="60" customFormat="1">
      <c r="B112" s="60" t="str">
        <f t="shared" si="96"/>
        <v>Sem4040Braulio Vinicio López Rancho</v>
      </c>
      <c r="C112" s="60" t="str">
        <f t="shared" si="97"/>
        <v>OCTUBRESem40</v>
      </c>
      <c r="D112" s="60" t="str">
        <f t="shared" si="98"/>
        <v>OCTUBRESem40Braulio Vinicio López Rancho</v>
      </c>
      <c r="E112" s="60" t="str">
        <f t="shared" si="99"/>
        <v>OCTUBRESem4040Braulio Vinicio López Rancho</v>
      </c>
      <c r="F112" s="60" t="str">
        <f t="shared" si="100"/>
        <v>Braulio Vinicio López Rancho46299</v>
      </c>
      <c r="H112" s="61" t="s">
        <v>213</v>
      </c>
      <c r="I112" s="62" t="str">
        <f>+_xlfn.XLOOKUP($H112&amp;$V112,BASEDATOS!$B:$B,BASEDATOS!F:F,0,0,1)</f>
        <v>DESCANSO</v>
      </c>
      <c r="J112" s="63">
        <f>+_xlfn.XLOOKUP($H112&amp;$V112,BASEDATOS!$B:$B,BASEDATOS!Q:Q,0,0,1)</f>
        <v>0</v>
      </c>
      <c r="K112" s="63">
        <f>+_xlfn.XLOOKUP($H112&amp;$V112,BASEDATOS!$B:$B,BASEDATOS!R:R,0,0,1)</f>
        <v>0</v>
      </c>
      <c r="L112" s="63">
        <f t="shared" si="101"/>
        <v>0</v>
      </c>
      <c r="M112" s="64">
        <f t="shared" si="102"/>
        <v>0</v>
      </c>
      <c r="N112" s="63">
        <f t="shared" si="103"/>
        <v>0</v>
      </c>
      <c r="O112" s="65" t="str">
        <f t="shared" ref="O112" si="128">+IF(Y112="Domingo",SUM(AA106:AA112)&amp;"-"&amp;SUM(AB106:AB112)&amp;"-"&amp;SUM(AC106:AE112),"")</f>
        <v>6-0-1</v>
      </c>
      <c r="P112" s="66">
        <f>+IF(AND(Y112="Domingo",U112=7),_xlfn.XLOOKUP(O112,'Horarios y Sistemas'!C:C,'Horarios y Sistemas'!H:H,0,0,1),0)</f>
        <v>44</v>
      </c>
      <c r="Q112" s="66">
        <f>IF(U112=U113,0,IF(AVERAGEIF(W:W,W112,U:U)=U112,0,_xlfn.XLOOKUP(O112,'Horarios y Sistemas'!C:C,'Horarios y Sistemas'!H:H,0,0,1)-P112))/7*U112</f>
        <v>0</v>
      </c>
      <c r="R112" s="66">
        <f t="shared" si="105"/>
        <v>44</v>
      </c>
      <c r="S112" s="67" t="str">
        <f t="shared" si="106"/>
        <v>OCTUBRE</v>
      </c>
      <c r="T112" s="55" t="str">
        <f t="shared" si="107"/>
        <v>Sem40</v>
      </c>
      <c r="U112" s="68">
        <f t="shared" si="74"/>
        <v>7</v>
      </c>
      <c r="V112" s="69">
        <v>46299</v>
      </c>
      <c r="W112" s="68">
        <f t="shared" si="108"/>
        <v>40</v>
      </c>
      <c r="X112" s="68">
        <f t="shared" si="109"/>
        <v>4</v>
      </c>
      <c r="Y112" s="68" t="s">
        <v>34</v>
      </c>
      <c r="Z112" s="68">
        <v>7</v>
      </c>
      <c r="AA112" s="70">
        <f t="shared" si="83"/>
        <v>0</v>
      </c>
      <c r="AB112" s="70">
        <f t="shared" si="83"/>
        <v>0</v>
      </c>
      <c r="AC112" s="70">
        <f t="shared" si="83"/>
        <v>1</v>
      </c>
      <c r="AD112" s="70">
        <f t="shared" si="83"/>
        <v>0</v>
      </c>
      <c r="AE112" s="70">
        <f t="shared" si="83"/>
        <v>0</v>
      </c>
      <c r="AF112" s="71"/>
      <c r="AG112" s="71"/>
      <c r="AH112" s="71"/>
    </row>
    <row r="113" spans="2:34">
      <c r="B113" t="str">
        <f t="shared" si="96"/>
        <v>Sem3838Bryan Amilcar Yax Rivera</v>
      </c>
      <c r="C113" t="str">
        <f t="shared" si="97"/>
        <v>SEPTIEMBRESem38</v>
      </c>
      <c r="D113" t="str">
        <f t="shared" si="98"/>
        <v>SEPTIEMBRESem38Bryan Amilcar Yax Rivera</v>
      </c>
      <c r="E113" t="str">
        <f t="shared" si="99"/>
        <v>SEPTIEMBRESem3838Bryan Amilcar Yax Rivera</v>
      </c>
      <c r="F113" t="str">
        <f t="shared" si="100"/>
        <v>Bryan Amilcar Yax Rivera46279</v>
      </c>
      <c r="H113" s="49" t="s">
        <v>156</v>
      </c>
      <c r="I113" s="50" t="str">
        <f>+_xlfn.XLOOKUP($H113&amp;$V113,BASEDATOS!$B:$B,BASEDATOS!F:F,0,0,1)</f>
        <v>DESCANSO</v>
      </c>
      <c r="J113" s="51">
        <f>+_xlfn.XLOOKUP($H113&amp;$V113,BASEDATOS!$B:$B,BASEDATOS!Q:Q,0,0,1)</f>
        <v>0</v>
      </c>
      <c r="K113" s="51">
        <f>+_xlfn.XLOOKUP($H113&amp;$V113,BASEDATOS!$B:$B,BASEDATOS!R:R,0,0,1)</f>
        <v>0</v>
      </c>
      <c r="L113" s="51">
        <f t="shared" si="101"/>
        <v>0</v>
      </c>
      <c r="M113" s="52">
        <f t="shared" si="102"/>
        <v>0</v>
      </c>
      <c r="N113" s="51">
        <f t="shared" si="103"/>
        <v>0</v>
      </c>
      <c r="O113" s="53" t="str">
        <f t="shared" ref="O113" si="129">+O119</f>
        <v>1-4-2</v>
      </c>
      <c r="P113" s="54">
        <f>+IF(AND(Y113="Domingo",U113=7),_xlfn.XLOOKUP(O113,'Horarios y Sistemas'!C:C,'Horarios y Sistemas'!H:H,0,0,1),0)</f>
        <v>0</v>
      </c>
      <c r="Q113" s="54">
        <f>IF(U113=U114,0,IF(AVERAGEIF(W:W,W113,U:U)=U113,0,_xlfn.XLOOKUP(O113,'Horarios y Sistemas'!C:C,'Horarios y Sistemas'!H:H,0,0,1)-P113))/7*U113</f>
        <v>0</v>
      </c>
      <c r="R113" s="54">
        <f t="shared" si="105"/>
        <v>0</v>
      </c>
      <c r="S113" s="55" t="str">
        <f t="shared" si="106"/>
        <v>SEPTIEMBRE</v>
      </c>
      <c r="T113" s="55" t="str">
        <f t="shared" si="107"/>
        <v>Sem38</v>
      </c>
      <c r="U113" s="56">
        <f t="shared" si="74"/>
        <v>7</v>
      </c>
      <c r="V113" s="57">
        <v>46279</v>
      </c>
      <c r="W113" s="56">
        <f t="shared" si="108"/>
        <v>38</v>
      </c>
      <c r="X113" s="56">
        <f t="shared" si="109"/>
        <v>14</v>
      </c>
      <c r="Y113" s="56" t="s">
        <v>28</v>
      </c>
      <c r="Z113" s="56">
        <v>1</v>
      </c>
      <c r="AA113" s="58">
        <f t="shared" si="83"/>
        <v>0</v>
      </c>
      <c r="AB113" s="58">
        <f t="shared" si="83"/>
        <v>0</v>
      </c>
      <c r="AC113" s="58">
        <f t="shared" si="83"/>
        <v>1</v>
      </c>
      <c r="AD113" s="58">
        <f t="shared" si="83"/>
        <v>0</v>
      </c>
      <c r="AE113" s="58">
        <f t="shared" si="83"/>
        <v>0</v>
      </c>
    </row>
    <row r="114" spans="2:34">
      <c r="B114" t="str">
        <f t="shared" si="96"/>
        <v>Sem3838Bryan Amilcar Yax Rivera</v>
      </c>
      <c r="C114" t="str">
        <f t="shared" si="97"/>
        <v>SEPTIEMBRESem38</v>
      </c>
      <c r="D114" t="str">
        <f t="shared" si="98"/>
        <v>SEPTIEMBRESem38Bryan Amilcar Yax Rivera</v>
      </c>
      <c r="E114" t="str">
        <f t="shared" si="99"/>
        <v>SEPTIEMBRESem3838Bryan Amilcar Yax Rivera</v>
      </c>
      <c r="F114" t="str">
        <f t="shared" si="100"/>
        <v>Bryan Amilcar Yax Rivera46280</v>
      </c>
      <c r="H114" s="49" t="s">
        <v>156</v>
      </c>
      <c r="I114" s="50" t="str">
        <f>+_xlfn.XLOOKUP($H114&amp;$V114,BASEDATOS!$B:$B,BASEDATOS!F:F,0,0,1)</f>
        <v>DIA</v>
      </c>
      <c r="J114" s="51">
        <f>+_xlfn.XLOOKUP($H114&amp;$V114,BASEDATOS!$B:$B,BASEDATOS!Q:Q,0,0,1)</f>
        <v>0.33333333333333298</v>
      </c>
      <c r="K114" s="51">
        <f>+_xlfn.XLOOKUP($H114&amp;$V114,BASEDATOS!$B:$B,BASEDATOS!R:R,0,0,1)</f>
        <v>0.70833333333333304</v>
      </c>
      <c r="L114" s="51">
        <f t="shared" si="101"/>
        <v>0.37500000000000006</v>
      </c>
      <c r="M114" s="52" t="str">
        <f t="shared" si="102"/>
        <v>1:00</v>
      </c>
      <c r="N114" s="51">
        <f t="shared" si="103"/>
        <v>0.33333333333333337</v>
      </c>
      <c r="O114" s="53" t="str">
        <f t="shared" ref="O114" si="130">+O119</f>
        <v>1-4-2</v>
      </c>
      <c r="P114" s="54">
        <f>+IF(AND(Y114="Domingo",U114=7),_xlfn.XLOOKUP(O114,'Horarios y Sistemas'!C:C,'Horarios y Sistemas'!H:H,0,0,1),0)</f>
        <v>0</v>
      </c>
      <c r="Q114" s="54">
        <f>IF(U114=U115,0,IF(AVERAGEIF(W:W,W114,U:U)=U114,0,_xlfn.XLOOKUP(O114,'Horarios y Sistemas'!C:C,'Horarios y Sistemas'!H:H,0,0,1)-P114))/7*U114</f>
        <v>0</v>
      </c>
      <c r="R114" s="54">
        <f t="shared" si="105"/>
        <v>0</v>
      </c>
      <c r="S114" s="55" t="str">
        <f t="shared" si="106"/>
        <v>SEPTIEMBRE</v>
      </c>
      <c r="T114" s="55" t="str">
        <f t="shared" si="107"/>
        <v>Sem38</v>
      </c>
      <c r="U114" s="56">
        <f t="shared" si="74"/>
        <v>7</v>
      </c>
      <c r="V114" s="59">
        <v>46280</v>
      </c>
      <c r="W114" s="56">
        <f t="shared" si="108"/>
        <v>38</v>
      </c>
      <c r="X114" s="56">
        <f t="shared" si="109"/>
        <v>15</v>
      </c>
      <c r="Y114" s="56" t="s">
        <v>29</v>
      </c>
      <c r="Z114" s="56">
        <v>2</v>
      </c>
      <c r="AA114" s="58">
        <f t="shared" si="83"/>
        <v>1</v>
      </c>
      <c r="AB114" s="58">
        <f t="shared" si="83"/>
        <v>0</v>
      </c>
      <c r="AC114" s="58">
        <f t="shared" si="83"/>
        <v>0</v>
      </c>
      <c r="AD114" s="58">
        <f t="shared" si="83"/>
        <v>0</v>
      </c>
      <c r="AE114" s="58">
        <f t="shared" si="83"/>
        <v>0</v>
      </c>
    </row>
    <row r="115" spans="2:34">
      <c r="B115" t="str">
        <f t="shared" si="96"/>
        <v>Sem3838Bryan Amilcar Yax Rivera</v>
      </c>
      <c r="C115" t="str">
        <f t="shared" si="97"/>
        <v>SEPTIEMBRESem38</v>
      </c>
      <c r="D115" t="str">
        <f t="shared" si="98"/>
        <v>SEPTIEMBRESem38Bryan Amilcar Yax Rivera</v>
      </c>
      <c r="E115" t="str">
        <f t="shared" si="99"/>
        <v>SEPTIEMBRESem3838Bryan Amilcar Yax Rivera</v>
      </c>
      <c r="F115" t="str">
        <f t="shared" si="100"/>
        <v>Bryan Amilcar Yax Rivera46281</v>
      </c>
      <c r="H115" s="49" t="s">
        <v>156</v>
      </c>
      <c r="I115" s="50" t="str">
        <f>+_xlfn.XLOOKUP($H115&amp;$V115,BASEDATOS!$B:$B,BASEDATOS!F:F,0,0,1)</f>
        <v>NOCHE</v>
      </c>
      <c r="J115" s="51">
        <f>+_xlfn.XLOOKUP($H115&amp;$V115,BASEDATOS!$B:$B,BASEDATOS!Q:Q,0,0,1)</f>
        <v>0.75</v>
      </c>
      <c r="K115" s="51">
        <f>+_xlfn.XLOOKUP($H115&amp;$V115,BASEDATOS!$B:$B,BASEDATOS!R:R,0,0,1)</f>
        <v>0.25</v>
      </c>
      <c r="L115" s="51">
        <f t="shared" si="101"/>
        <v>0.5</v>
      </c>
      <c r="M115" s="52" t="str">
        <f t="shared" si="102"/>
        <v>1:00</v>
      </c>
      <c r="N115" s="51">
        <f t="shared" si="103"/>
        <v>0.45833333333333331</v>
      </c>
      <c r="O115" s="53" t="str">
        <f t="shared" ref="O115" si="131">+O119</f>
        <v>1-4-2</v>
      </c>
      <c r="P115" s="54">
        <f>+IF(AND(Y115="Domingo",U115=7),_xlfn.XLOOKUP(O115,'Horarios y Sistemas'!C:C,'Horarios y Sistemas'!H:H,0,0,1),0)</f>
        <v>0</v>
      </c>
      <c r="Q115" s="54">
        <f>IF(U115=U116,0,IF(AVERAGEIF(W:W,W115,U:U)=U115,0,_xlfn.XLOOKUP(O115,'Horarios y Sistemas'!C:C,'Horarios y Sistemas'!H:H,0,0,1)-P115))/7*U115</f>
        <v>0</v>
      </c>
      <c r="R115" s="54">
        <f t="shared" si="105"/>
        <v>0</v>
      </c>
      <c r="S115" s="55" t="str">
        <f t="shared" si="106"/>
        <v>SEPTIEMBRE</v>
      </c>
      <c r="T115" s="55" t="str">
        <f t="shared" si="107"/>
        <v>Sem38</v>
      </c>
      <c r="U115" s="56">
        <f t="shared" si="74"/>
        <v>7</v>
      </c>
      <c r="V115" s="59">
        <v>46281</v>
      </c>
      <c r="W115" s="56">
        <f t="shared" si="108"/>
        <v>38</v>
      </c>
      <c r="X115" s="56">
        <f t="shared" si="109"/>
        <v>16</v>
      </c>
      <c r="Y115" s="56" t="s">
        <v>30</v>
      </c>
      <c r="Z115" s="56">
        <v>3</v>
      </c>
      <c r="AA115" s="58">
        <f t="shared" si="83"/>
        <v>0</v>
      </c>
      <c r="AB115" s="58">
        <f t="shared" si="83"/>
        <v>1</v>
      </c>
      <c r="AC115" s="58">
        <f t="shared" si="83"/>
        <v>0</v>
      </c>
      <c r="AD115" s="58">
        <f t="shared" si="83"/>
        <v>0</v>
      </c>
      <c r="AE115" s="58">
        <f t="shared" si="83"/>
        <v>0</v>
      </c>
    </row>
    <row r="116" spans="2:34">
      <c r="B116" t="str">
        <f t="shared" si="96"/>
        <v>Sem3838Bryan Amilcar Yax Rivera</v>
      </c>
      <c r="C116" t="str">
        <f t="shared" si="97"/>
        <v>SEPTIEMBRESem38</v>
      </c>
      <c r="D116" t="str">
        <f t="shared" si="98"/>
        <v>SEPTIEMBRESem38Bryan Amilcar Yax Rivera</v>
      </c>
      <c r="E116" t="str">
        <f t="shared" si="99"/>
        <v>SEPTIEMBRESem3838Bryan Amilcar Yax Rivera</v>
      </c>
      <c r="F116" t="str">
        <f t="shared" si="100"/>
        <v>Bryan Amilcar Yax Rivera46282</v>
      </c>
      <c r="H116" s="49" t="s">
        <v>156</v>
      </c>
      <c r="I116" s="50" t="str">
        <f>+_xlfn.XLOOKUP($H116&amp;$V116,BASEDATOS!$B:$B,BASEDATOS!F:F,0,0,1)</f>
        <v>NOCHE</v>
      </c>
      <c r="J116" s="51">
        <f>+_xlfn.XLOOKUP($H116&amp;$V116,BASEDATOS!$B:$B,BASEDATOS!Q:Q,0,0,1)</f>
        <v>0.75</v>
      </c>
      <c r="K116" s="51">
        <f>+_xlfn.XLOOKUP($H116&amp;$V116,BASEDATOS!$B:$B,BASEDATOS!R:R,0,0,1)</f>
        <v>0.25</v>
      </c>
      <c r="L116" s="51">
        <f t="shared" si="101"/>
        <v>0.5</v>
      </c>
      <c r="M116" s="52" t="str">
        <f t="shared" si="102"/>
        <v>1:00</v>
      </c>
      <c r="N116" s="51">
        <f t="shared" si="103"/>
        <v>0.45833333333333331</v>
      </c>
      <c r="O116" s="53" t="str">
        <f t="shared" ref="O116" si="132">+O119</f>
        <v>1-4-2</v>
      </c>
      <c r="P116" s="54">
        <f>+IF(AND(Y116="Domingo",U116=7),_xlfn.XLOOKUP(O116,'Horarios y Sistemas'!C:C,'Horarios y Sistemas'!H:H,0,0,1),0)</f>
        <v>0</v>
      </c>
      <c r="Q116" s="54">
        <f>IF(U116=U117,0,IF(AVERAGEIF(W:W,W116,U:U)=U116,0,_xlfn.XLOOKUP(O116,'Horarios y Sistemas'!C:C,'Horarios y Sistemas'!H:H,0,0,1)-P116))/7*U116</f>
        <v>0</v>
      </c>
      <c r="R116" s="54">
        <f t="shared" si="105"/>
        <v>0</v>
      </c>
      <c r="S116" s="55" t="str">
        <f t="shared" si="106"/>
        <v>SEPTIEMBRE</v>
      </c>
      <c r="T116" s="55" t="str">
        <f t="shared" si="107"/>
        <v>Sem38</v>
      </c>
      <c r="U116" s="56">
        <f t="shared" si="74"/>
        <v>7</v>
      </c>
      <c r="V116" s="59">
        <v>46282</v>
      </c>
      <c r="W116" s="56">
        <f t="shared" si="108"/>
        <v>38</v>
      </c>
      <c r="X116" s="56">
        <f t="shared" si="109"/>
        <v>17</v>
      </c>
      <c r="Y116" s="56" t="s">
        <v>31</v>
      </c>
      <c r="Z116" s="56">
        <v>4</v>
      </c>
      <c r="AA116" s="58">
        <f t="shared" si="83"/>
        <v>0</v>
      </c>
      <c r="AB116" s="58">
        <f t="shared" si="83"/>
        <v>1</v>
      </c>
      <c r="AC116" s="58">
        <f t="shared" si="83"/>
        <v>0</v>
      </c>
      <c r="AD116" s="58">
        <f t="shared" si="83"/>
        <v>0</v>
      </c>
      <c r="AE116" s="58">
        <f t="shared" si="83"/>
        <v>0</v>
      </c>
    </row>
    <row r="117" spans="2:34">
      <c r="B117" t="str">
        <f t="shared" si="96"/>
        <v>Sem3838Bryan Amilcar Yax Rivera</v>
      </c>
      <c r="C117" t="str">
        <f t="shared" si="97"/>
        <v>SEPTIEMBRESem38</v>
      </c>
      <c r="D117" t="str">
        <f t="shared" si="98"/>
        <v>SEPTIEMBRESem38Bryan Amilcar Yax Rivera</v>
      </c>
      <c r="E117" t="str">
        <f t="shared" si="99"/>
        <v>SEPTIEMBRESem3838Bryan Amilcar Yax Rivera</v>
      </c>
      <c r="F117" t="str">
        <f t="shared" si="100"/>
        <v>Bryan Amilcar Yax Rivera46283</v>
      </c>
      <c r="H117" s="49" t="s">
        <v>156</v>
      </c>
      <c r="I117" s="50" t="str">
        <f>+_xlfn.XLOOKUP($H117&amp;$V117,BASEDATOS!$B:$B,BASEDATOS!F:F,0,0,1)</f>
        <v>NOCHE</v>
      </c>
      <c r="J117" s="51">
        <f>+_xlfn.XLOOKUP($H117&amp;$V117,BASEDATOS!$B:$B,BASEDATOS!Q:Q,0,0,1)</f>
        <v>0.75</v>
      </c>
      <c r="K117" s="51">
        <f>+_xlfn.XLOOKUP($H117&amp;$V117,BASEDATOS!$B:$B,BASEDATOS!R:R,0,0,1)</f>
        <v>0.25</v>
      </c>
      <c r="L117" s="51">
        <f t="shared" si="101"/>
        <v>0.5</v>
      </c>
      <c r="M117" s="52" t="str">
        <f t="shared" si="102"/>
        <v>1:00</v>
      </c>
      <c r="N117" s="51">
        <f t="shared" si="103"/>
        <v>0.45833333333333331</v>
      </c>
      <c r="O117" s="53" t="str">
        <f t="shared" ref="O117" si="133">+O119</f>
        <v>1-4-2</v>
      </c>
      <c r="P117" s="54">
        <f>+IF(AND(Y117="Domingo",U117=7),_xlfn.XLOOKUP(O117,'Horarios y Sistemas'!C:C,'Horarios y Sistemas'!H:H,0,0,1),0)</f>
        <v>0</v>
      </c>
      <c r="Q117" s="54">
        <f>IF(U117=U118,0,IF(AVERAGEIF(W:W,W117,U:U)=U117,0,_xlfn.XLOOKUP(O117,'Horarios y Sistemas'!C:C,'Horarios y Sistemas'!H:H,0,0,1)-P117))/7*U117</f>
        <v>0</v>
      </c>
      <c r="R117" s="54">
        <f t="shared" si="105"/>
        <v>0</v>
      </c>
      <c r="S117" s="55" t="str">
        <f t="shared" si="106"/>
        <v>SEPTIEMBRE</v>
      </c>
      <c r="T117" s="55" t="str">
        <f t="shared" si="107"/>
        <v>Sem38</v>
      </c>
      <c r="U117" s="56">
        <f t="shared" si="74"/>
        <v>7</v>
      </c>
      <c r="V117" s="59">
        <v>46283</v>
      </c>
      <c r="W117" s="56">
        <f t="shared" si="108"/>
        <v>38</v>
      </c>
      <c r="X117" s="56">
        <f t="shared" si="109"/>
        <v>18</v>
      </c>
      <c r="Y117" s="56" t="s">
        <v>32</v>
      </c>
      <c r="Z117" s="56">
        <v>5</v>
      </c>
      <c r="AA117" s="58">
        <f t="shared" si="83"/>
        <v>0</v>
      </c>
      <c r="AB117" s="58">
        <f t="shared" si="83"/>
        <v>1</v>
      </c>
      <c r="AC117" s="58">
        <f t="shared" si="83"/>
        <v>0</v>
      </c>
      <c r="AD117" s="58">
        <f t="shared" si="83"/>
        <v>0</v>
      </c>
      <c r="AE117" s="58">
        <f t="shared" si="83"/>
        <v>0</v>
      </c>
    </row>
    <row r="118" spans="2:34">
      <c r="B118" t="str">
        <f t="shared" si="96"/>
        <v>Sem3838Bryan Amilcar Yax Rivera</v>
      </c>
      <c r="C118" t="str">
        <f t="shared" si="97"/>
        <v>SEPTIEMBRESem38</v>
      </c>
      <c r="D118" t="str">
        <f t="shared" si="98"/>
        <v>SEPTIEMBRESem38Bryan Amilcar Yax Rivera</v>
      </c>
      <c r="E118" t="str">
        <f t="shared" si="99"/>
        <v>SEPTIEMBRESem3838Bryan Amilcar Yax Rivera</v>
      </c>
      <c r="F118" t="str">
        <f t="shared" si="100"/>
        <v>Bryan Amilcar Yax Rivera46284</v>
      </c>
      <c r="H118" s="49" t="s">
        <v>156</v>
      </c>
      <c r="I118" s="50" t="str">
        <f>+_xlfn.XLOOKUP($H118&amp;$V118,BASEDATOS!$B:$B,BASEDATOS!F:F,0,0,1)</f>
        <v>NOCHE</v>
      </c>
      <c r="J118" s="51">
        <f>+_xlfn.XLOOKUP($H118&amp;$V118,BASEDATOS!$B:$B,BASEDATOS!Q:Q,0,0,1)</f>
        <v>0.75</v>
      </c>
      <c r="K118" s="51">
        <f>+_xlfn.XLOOKUP($H118&amp;$V118,BASEDATOS!$B:$B,BASEDATOS!R:R,0,0,1)</f>
        <v>0.25</v>
      </c>
      <c r="L118" s="51">
        <f t="shared" si="101"/>
        <v>0.5</v>
      </c>
      <c r="M118" s="52" t="str">
        <f t="shared" si="102"/>
        <v>1:00</v>
      </c>
      <c r="N118" s="51">
        <f t="shared" si="103"/>
        <v>0.45833333333333331</v>
      </c>
      <c r="O118" s="53" t="str">
        <f t="shared" ref="O118" si="134">+O119</f>
        <v>1-4-2</v>
      </c>
      <c r="P118" s="54">
        <f>+IF(AND(Y118="Domingo",U118=7),_xlfn.XLOOKUP(O118,'Horarios y Sistemas'!C:C,'Horarios y Sistemas'!H:H,0,0,1),0)</f>
        <v>0</v>
      </c>
      <c r="Q118" s="54">
        <f>IF(U118=U119,0,IF(AVERAGEIF(W:W,W118,U:U)=U118,0,_xlfn.XLOOKUP(O118,'Horarios y Sistemas'!C:C,'Horarios y Sistemas'!H:H,0,0,1)-P118))/7*U118</f>
        <v>0</v>
      </c>
      <c r="R118" s="54">
        <f t="shared" si="105"/>
        <v>0</v>
      </c>
      <c r="S118" s="55" t="str">
        <f t="shared" si="106"/>
        <v>SEPTIEMBRE</v>
      </c>
      <c r="T118" s="55" t="str">
        <f t="shared" si="107"/>
        <v>Sem38</v>
      </c>
      <c r="U118" s="56">
        <f t="shared" si="74"/>
        <v>7</v>
      </c>
      <c r="V118" s="59">
        <v>46284</v>
      </c>
      <c r="W118" s="56">
        <f t="shared" si="108"/>
        <v>38</v>
      </c>
      <c r="X118" s="56">
        <f t="shared" si="109"/>
        <v>19</v>
      </c>
      <c r="Y118" s="56" t="s">
        <v>33</v>
      </c>
      <c r="Z118" s="56">
        <v>6</v>
      </c>
      <c r="AA118" s="58">
        <f t="shared" si="83"/>
        <v>0</v>
      </c>
      <c r="AB118" s="58">
        <f t="shared" si="83"/>
        <v>1</v>
      </c>
      <c r="AC118" s="58">
        <f t="shared" si="83"/>
        <v>0</v>
      </c>
      <c r="AD118" s="58">
        <f t="shared" si="83"/>
        <v>0</v>
      </c>
      <c r="AE118" s="58">
        <f t="shared" si="83"/>
        <v>0</v>
      </c>
    </row>
    <row r="119" spans="2:34" s="60" customFormat="1">
      <c r="B119" s="60" t="str">
        <f t="shared" si="96"/>
        <v>Sem3838Bryan Amilcar Yax Rivera</v>
      </c>
      <c r="C119" s="60" t="str">
        <f t="shared" si="97"/>
        <v>SEPTIEMBRESem38</v>
      </c>
      <c r="D119" s="60" t="str">
        <f t="shared" si="98"/>
        <v>SEPTIEMBRESem38Bryan Amilcar Yax Rivera</v>
      </c>
      <c r="E119" s="60" t="str">
        <f t="shared" si="99"/>
        <v>SEPTIEMBRESem3838Bryan Amilcar Yax Rivera</v>
      </c>
      <c r="F119" s="60" t="str">
        <f t="shared" si="100"/>
        <v>Bryan Amilcar Yax Rivera46285</v>
      </c>
      <c r="H119" s="61" t="s">
        <v>156</v>
      </c>
      <c r="I119" s="62" t="str">
        <f>+_xlfn.XLOOKUP($H119&amp;$V119,BASEDATOS!$B:$B,BASEDATOS!F:F,0,0,1)</f>
        <v>DESCANSO</v>
      </c>
      <c r="J119" s="63">
        <f>+_xlfn.XLOOKUP($H119&amp;$V119,BASEDATOS!$B:$B,BASEDATOS!Q:Q,0,0,1)</f>
        <v>0</v>
      </c>
      <c r="K119" s="63">
        <f>+_xlfn.XLOOKUP($H119&amp;$V119,BASEDATOS!$B:$B,BASEDATOS!R:R,0,0,1)</f>
        <v>0</v>
      </c>
      <c r="L119" s="63">
        <f t="shared" si="101"/>
        <v>0</v>
      </c>
      <c r="M119" s="64">
        <f t="shared" si="102"/>
        <v>0</v>
      </c>
      <c r="N119" s="63">
        <f t="shared" si="103"/>
        <v>0</v>
      </c>
      <c r="O119" s="65" t="str">
        <f t="shared" ref="O119" si="135">+IF(Y119="Domingo",SUM(AA113:AA119)&amp;"-"&amp;SUM(AB113:AB119)&amp;"-"&amp;SUM(AC113:AE119),"")</f>
        <v>1-4-2</v>
      </c>
      <c r="P119" s="66">
        <f>+IF(AND(Y119="Domingo",U119=7),_xlfn.XLOOKUP(O119,'Horarios y Sistemas'!C:C,'Horarios y Sistemas'!H:H,0,0,1),0)</f>
        <v>37.6</v>
      </c>
      <c r="Q119" s="66">
        <f>IF(U119=U120,0,IF(AVERAGEIF(W:W,W119,U:U)=U119,0,_xlfn.XLOOKUP(O119,'Horarios y Sistemas'!C:C,'Horarios y Sistemas'!H:H,0,0,1)-P119))/7*U119</f>
        <v>0</v>
      </c>
      <c r="R119" s="66">
        <f t="shared" si="105"/>
        <v>37.6</v>
      </c>
      <c r="S119" s="67" t="str">
        <f t="shared" si="106"/>
        <v>SEPTIEMBRE</v>
      </c>
      <c r="T119" s="55" t="str">
        <f t="shared" si="107"/>
        <v>Sem38</v>
      </c>
      <c r="U119" s="68">
        <f t="shared" si="74"/>
        <v>7</v>
      </c>
      <c r="V119" s="69">
        <v>46285</v>
      </c>
      <c r="W119" s="68">
        <f t="shared" si="108"/>
        <v>38</v>
      </c>
      <c r="X119" s="68">
        <f t="shared" si="109"/>
        <v>20</v>
      </c>
      <c r="Y119" s="68" t="s">
        <v>34</v>
      </c>
      <c r="Z119" s="68">
        <v>7</v>
      </c>
      <c r="AA119" s="70">
        <f t="shared" si="83"/>
        <v>0</v>
      </c>
      <c r="AB119" s="70">
        <f t="shared" si="83"/>
        <v>0</v>
      </c>
      <c r="AC119" s="70">
        <f t="shared" si="83"/>
        <v>1</v>
      </c>
      <c r="AD119" s="70">
        <f t="shared" si="83"/>
        <v>0</v>
      </c>
      <c r="AE119" s="70">
        <f t="shared" si="83"/>
        <v>0</v>
      </c>
      <c r="AF119" s="71"/>
      <c r="AG119" s="71"/>
      <c r="AH119" s="71"/>
    </row>
    <row r="120" spans="2:34">
      <c r="B120" t="str">
        <f t="shared" si="96"/>
        <v>Sem3939Bryan Amilcar Yax Rivera</v>
      </c>
      <c r="C120" t="str">
        <f t="shared" si="97"/>
        <v>SEPTIEMBRESem39</v>
      </c>
      <c r="D120" t="str">
        <f t="shared" si="98"/>
        <v>SEPTIEMBRESem39Bryan Amilcar Yax Rivera</v>
      </c>
      <c r="E120" t="str">
        <f t="shared" si="99"/>
        <v>SEPTIEMBRESem3939Bryan Amilcar Yax Rivera</v>
      </c>
      <c r="F120" t="str">
        <f t="shared" si="100"/>
        <v>Bryan Amilcar Yax Rivera46286</v>
      </c>
      <c r="H120" s="49" t="s">
        <v>156</v>
      </c>
      <c r="I120" s="50" t="str">
        <f>+_xlfn.XLOOKUP($H120&amp;$V120,BASEDATOS!$B:$B,BASEDATOS!F:F,0,0,1)</f>
        <v>DIA</v>
      </c>
      <c r="J120" s="51">
        <f>+_xlfn.XLOOKUP($H120&amp;$V120,BASEDATOS!$B:$B,BASEDATOS!Q:Q,0,0,1)</f>
        <v>0.25</v>
      </c>
      <c r="K120" s="51">
        <f>+_xlfn.XLOOKUP($H120&amp;$V120,BASEDATOS!$B:$B,BASEDATOS!R:R,0,0,1)</f>
        <v>0.75</v>
      </c>
      <c r="L120" s="51">
        <f t="shared" si="101"/>
        <v>0.5</v>
      </c>
      <c r="M120" s="52" t="str">
        <f t="shared" si="102"/>
        <v>1:00</v>
      </c>
      <c r="N120" s="51">
        <f t="shared" si="103"/>
        <v>0.45833333333333331</v>
      </c>
      <c r="O120" s="53" t="str">
        <f t="shared" ref="O120" si="136">+O126</f>
        <v>6-0-1</v>
      </c>
      <c r="P120" s="54">
        <f>+IF(AND(Y120="Domingo",U120=7),_xlfn.XLOOKUP(O120,'Horarios y Sistemas'!C:C,'Horarios y Sistemas'!H:H,0,0,1),0)</f>
        <v>0</v>
      </c>
      <c r="Q120" s="54">
        <f>IF(U120=U121,0,IF(AVERAGEIF(W:W,W120,U:U)=U120,0,_xlfn.XLOOKUP(O120,'Horarios y Sistemas'!C:C,'Horarios y Sistemas'!H:H,0,0,1)-P120))/7*U120</f>
        <v>0</v>
      </c>
      <c r="R120" s="54">
        <f t="shared" si="105"/>
        <v>0</v>
      </c>
      <c r="S120" s="55" t="str">
        <f t="shared" si="106"/>
        <v>SEPTIEMBRE</v>
      </c>
      <c r="T120" s="55" t="str">
        <f t="shared" si="107"/>
        <v>Sem39</v>
      </c>
      <c r="U120" s="56">
        <f t="shared" si="74"/>
        <v>7</v>
      </c>
      <c r="V120" s="59">
        <v>46286</v>
      </c>
      <c r="W120" s="56">
        <f t="shared" si="108"/>
        <v>39</v>
      </c>
      <c r="X120" s="56">
        <f t="shared" si="109"/>
        <v>21</v>
      </c>
      <c r="Y120" s="56" t="s">
        <v>28</v>
      </c>
      <c r="Z120" s="56">
        <v>1</v>
      </c>
      <c r="AA120" s="58">
        <f t="shared" si="83"/>
        <v>1</v>
      </c>
      <c r="AB120" s="58">
        <f t="shared" si="83"/>
        <v>0</v>
      </c>
      <c r="AC120" s="58">
        <f t="shared" si="83"/>
        <v>0</v>
      </c>
      <c r="AD120" s="58">
        <f t="shared" si="83"/>
        <v>0</v>
      </c>
      <c r="AE120" s="58">
        <f t="shared" si="83"/>
        <v>0</v>
      </c>
    </row>
    <row r="121" spans="2:34">
      <c r="B121" t="str">
        <f t="shared" si="96"/>
        <v>Sem3939Bryan Amilcar Yax Rivera</v>
      </c>
      <c r="C121" t="str">
        <f t="shared" si="97"/>
        <v>SEPTIEMBRESem39</v>
      </c>
      <c r="D121" t="str">
        <f t="shared" si="98"/>
        <v>SEPTIEMBRESem39Bryan Amilcar Yax Rivera</v>
      </c>
      <c r="E121" t="str">
        <f t="shared" si="99"/>
        <v>SEPTIEMBRESem3939Bryan Amilcar Yax Rivera</v>
      </c>
      <c r="F121" t="str">
        <f t="shared" si="100"/>
        <v>Bryan Amilcar Yax Rivera46287</v>
      </c>
      <c r="H121" s="49" t="s">
        <v>156</v>
      </c>
      <c r="I121" s="50" t="str">
        <f>+_xlfn.XLOOKUP($H121&amp;$V121,BASEDATOS!$B:$B,BASEDATOS!F:F,0,0,1)</f>
        <v>DIA</v>
      </c>
      <c r="J121" s="51">
        <f>+_xlfn.XLOOKUP($H121&amp;$V121,BASEDATOS!$B:$B,BASEDATOS!Q:Q,0,0,1)</f>
        <v>0.25</v>
      </c>
      <c r="K121" s="51">
        <f>+_xlfn.XLOOKUP($H121&amp;$V121,BASEDATOS!$B:$B,BASEDATOS!R:R,0,0,1)</f>
        <v>0.75</v>
      </c>
      <c r="L121" s="51">
        <f t="shared" si="101"/>
        <v>0.5</v>
      </c>
      <c r="M121" s="52" t="str">
        <f t="shared" si="102"/>
        <v>1:00</v>
      </c>
      <c r="N121" s="51">
        <f t="shared" si="103"/>
        <v>0.45833333333333331</v>
      </c>
      <c r="O121" s="53" t="str">
        <f t="shared" ref="O121" si="137">+O126</f>
        <v>6-0-1</v>
      </c>
      <c r="P121" s="54">
        <f>+IF(AND(Y121="Domingo",U121=7),_xlfn.XLOOKUP(O121,'Horarios y Sistemas'!C:C,'Horarios y Sistemas'!H:H,0,0,1),0)</f>
        <v>0</v>
      </c>
      <c r="Q121" s="54">
        <f>IF(U121=U122,0,IF(AVERAGEIF(W:W,W121,U:U)=U121,0,_xlfn.XLOOKUP(O121,'Horarios y Sistemas'!C:C,'Horarios y Sistemas'!H:H,0,0,1)-P121))/7*U121</f>
        <v>0</v>
      </c>
      <c r="R121" s="54">
        <f t="shared" si="105"/>
        <v>0</v>
      </c>
      <c r="S121" s="55" t="str">
        <f t="shared" si="106"/>
        <v>SEPTIEMBRE</v>
      </c>
      <c r="T121" s="55" t="str">
        <f t="shared" si="107"/>
        <v>Sem39</v>
      </c>
      <c r="U121" s="56">
        <f t="shared" si="74"/>
        <v>7</v>
      </c>
      <c r="V121" s="59">
        <v>46287</v>
      </c>
      <c r="W121" s="56">
        <f t="shared" si="108"/>
        <v>39</v>
      </c>
      <c r="X121" s="56">
        <f t="shared" si="109"/>
        <v>22</v>
      </c>
      <c r="Y121" s="56" t="s">
        <v>29</v>
      </c>
      <c r="Z121" s="56">
        <v>2</v>
      </c>
      <c r="AA121" s="58">
        <f t="shared" si="83"/>
        <v>1</v>
      </c>
      <c r="AB121" s="58">
        <f t="shared" si="83"/>
        <v>0</v>
      </c>
      <c r="AC121" s="58">
        <f t="shared" si="83"/>
        <v>0</v>
      </c>
      <c r="AD121" s="58">
        <f t="shared" si="83"/>
        <v>0</v>
      </c>
      <c r="AE121" s="58">
        <f t="shared" si="83"/>
        <v>0</v>
      </c>
    </row>
    <row r="122" spans="2:34">
      <c r="B122" t="str">
        <f t="shared" si="96"/>
        <v>Sem3939Bryan Amilcar Yax Rivera</v>
      </c>
      <c r="C122" t="str">
        <f t="shared" si="97"/>
        <v>SEPTIEMBRESem39</v>
      </c>
      <c r="D122" t="str">
        <f t="shared" si="98"/>
        <v>SEPTIEMBRESem39Bryan Amilcar Yax Rivera</v>
      </c>
      <c r="E122" t="str">
        <f t="shared" si="99"/>
        <v>SEPTIEMBRESem3939Bryan Amilcar Yax Rivera</v>
      </c>
      <c r="F122" t="str">
        <f t="shared" si="100"/>
        <v>Bryan Amilcar Yax Rivera46288</v>
      </c>
      <c r="H122" s="49" t="s">
        <v>156</v>
      </c>
      <c r="I122" s="50" t="str">
        <f>+_xlfn.XLOOKUP($H122&amp;$V122,BASEDATOS!$B:$B,BASEDATOS!F:F,0,0,1)</f>
        <v>DIA</v>
      </c>
      <c r="J122" s="51">
        <f>+_xlfn.XLOOKUP($H122&amp;$V122,BASEDATOS!$B:$B,BASEDATOS!Q:Q,0,0,1)</f>
        <v>0.25</v>
      </c>
      <c r="K122" s="51">
        <f>+_xlfn.XLOOKUP($H122&amp;$V122,BASEDATOS!$B:$B,BASEDATOS!R:R,0,0,1)</f>
        <v>0.75</v>
      </c>
      <c r="L122" s="51">
        <f t="shared" si="101"/>
        <v>0.5</v>
      </c>
      <c r="M122" s="52" t="str">
        <f t="shared" si="102"/>
        <v>1:00</v>
      </c>
      <c r="N122" s="51">
        <f t="shared" si="103"/>
        <v>0.45833333333333331</v>
      </c>
      <c r="O122" s="53" t="str">
        <f t="shared" ref="O122" si="138">+O126</f>
        <v>6-0-1</v>
      </c>
      <c r="P122" s="54">
        <f>+IF(AND(Y122="Domingo",U122=7),_xlfn.XLOOKUP(O122,'Horarios y Sistemas'!C:C,'Horarios y Sistemas'!H:H,0,0,1),0)</f>
        <v>0</v>
      </c>
      <c r="Q122" s="54">
        <f>IF(U122=U123,0,IF(AVERAGEIF(W:W,W122,U:U)=U122,0,_xlfn.XLOOKUP(O122,'Horarios y Sistemas'!C:C,'Horarios y Sistemas'!H:H,0,0,1)-P122))/7*U122</f>
        <v>0</v>
      </c>
      <c r="R122" s="54">
        <f t="shared" si="105"/>
        <v>0</v>
      </c>
      <c r="S122" s="55" t="str">
        <f t="shared" si="106"/>
        <v>SEPTIEMBRE</v>
      </c>
      <c r="T122" s="55" t="str">
        <f t="shared" si="107"/>
        <v>Sem39</v>
      </c>
      <c r="U122" s="56">
        <f t="shared" si="74"/>
        <v>7</v>
      </c>
      <c r="V122" s="59">
        <v>46288</v>
      </c>
      <c r="W122" s="56">
        <f t="shared" si="108"/>
        <v>39</v>
      </c>
      <c r="X122" s="56">
        <f t="shared" si="109"/>
        <v>23</v>
      </c>
      <c r="Y122" s="56" t="s">
        <v>30</v>
      </c>
      <c r="Z122" s="56">
        <v>3</v>
      </c>
      <c r="AA122" s="58">
        <f t="shared" si="83"/>
        <v>1</v>
      </c>
      <c r="AB122" s="58">
        <f t="shared" si="83"/>
        <v>0</v>
      </c>
      <c r="AC122" s="58">
        <f t="shared" si="83"/>
        <v>0</v>
      </c>
      <c r="AD122" s="58">
        <f t="shared" si="83"/>
        <v>0</v>
      </c>
      <c r="AE122" s="58">
        <f t="shared" si="83"/>
        <v>0</v>
      </c>
    </row>
    <row r="123" spans="2:34">
      <c r="B123" t="str">
        <f t="shared" si="96"/>
        <v>Sem3939Bryan Amilcar Yax Rivera</v>
      </c>
      <c r="C123" t="str">
        <f t="shared" si="97"/>
        <v>SEPTIEMBRESem39</v>
      </c>
      <c r="D123" t="str">
        <f t="shared" si="98"/>
        <v>SEPTIEMBRESem39Bryan Amilcar Yax Rivera</v>
      </c>
      <c r="E123" t="str">
        <f t="shared" si="99"/>
        <v>SEPTIEMBRESem3939Bryan Amilcar Yax Rivera</v>
      </c>
      <c r="F123" t="str">
        <f t="shared" si="100"/>
        <v>Bryan Amilcar Yax Rivera46289</v>
      </c>
      <c r="H123" s="49" t="s">
        <v>156</v>
      </c>
      <c r="I123" s="50" t="str">
        <f>+_xlfn.XLOOKUP($H123&amp;$V123,BASEDATOS!$B:$B,BASEDATOS!F:F,0,0,1)</f>
        <v>DIA</v>
      </c>
      <c r="J123" s="51">
        <f>+_xlfn.XLOOKUP($H123&amp;$V123,BASEDATOS!$B:$B,BASEDATOS!Q:Q,0,0,1)</f>
        <v>0.25</v>
      </c>
      <c r="K123" s="51">
        <f>+_xlfn.XLOOKUP($H123&amp;$V123,BASEDATOS!$B:$B,BASEDATOS!R:R,0,0,1)</f>
        <v>0.75</v>
      </c>
      <c r="L123" s="51">
        <f t="shared" si="101"/>
        <v>0.5</v>
      </c>
      <c r="M123" s="52" t="str">
        <f t="shared" si="102"/>
        <v>1:00</v>
      </c>
      <c r="N123" s="51">
        <f t="shared" si="103"/>
        <v>0.45833333333333331</v>
      </c>
      <c r="O123" s="53" t="str">
        <f t="shared" ref="O123" si="139">+O126</f>
        <v>6-0-1</v>
      </c>
      <c r="P123" s="54">
        <f>+IF(AND(Y123="Domingo",U123=7),_xlfn.XLOOKUP(O123,'Horarios y Sistemas'!C:C,'Horarios y Sistemas'!H:H,0,0,1),0)</f>
        <v>0</v>
      </c>
      <c r="Q123" s="54">
        <f>IF(U123=U124,0,IF(AVERAGEIF(W:W,W123,U:U)=U123,0,_xlfn.XLOOKUP(O123,'Horarios y Sistemas'!C:C,'Horarios y Sistemas'!H:H,0,0,1)-P123))/7*U123</f>
        <v>0</v>
      </c>
      <c r="R123" s="54">
        <f t="shared" si="105"/>
        <v>0</v>
      </c>
      <c r="S123" s="55" t="str">
        <f t="shared" si="106"/>
        <v>SEPTIEMBRE</v>
      </c>
      <c r="T123" s="55" t="str">
        <f t="shared" si="107"/>
        <v>Sem39</v>
      </c>
      <c r="U123" s="56">
        <f t="shared" si="74"/>
        <v>7</v>
      </c>
      <c r="V123" s="59">
        <v>46289</v>
      </c>
      <c r="W123" s="56">
        <f t="shared" si="108"/>
        <v>39</v>
      </c>
      <c r="X123" s="56">
        <f t="shared" si="109"/>
        <v>24</v>
      </c>
      <c r="Y123" s="56" t="s">
        <v>31</v>
      </c>
      <c r="Z123" s="56">
        <v>4</v>
      </c>
      <c r="AA123" s="58">
        <f t="shared" si="83"/>
        <v>1</v>
      </c>
      <c r="AB123" s="58">
        <f t="shared" si="83"/>
        <v>0</v>
      </c>
      <c r="AC123" s="58">
        <f t="shared" si="83"/>
        <v>0</v>
      </c>
      <c r="AD123" s="58">
        <f t="shared" si="83"/>
        <v>0</v>
      </c>
      <c r="AE123" s="58">
        <f t="shared" si="83"/>
        <v>0</v>
      </c>
    </row>
    <row r="124" spans="2:34">
      <c r="B124" t="str">
        <f t="shared" si="96"/>
        <v>Sem3939Bryan Amilcar Yax Rivera</v>
      </c>
      <c r="C124" t="str">
        <f t="shared" si="97"/>
        <v>SEPTIEMBRESem39</v>
      </c>
      <c r="D124" t="str">
        <f t="shared" si="98"/>
        <v>SEPTIEMBRESem39Bryan Amilcar Yax Rivera</v>
      </c>
      <c r="E124" t="str">
        <f t="shared" si="99"/>
        <v>SEPTIEMBRESem3939Bryan Amilcar Yax Rivera</v>
      </c>
      <c r="F124" t="str">
        <f t="shared" si="100"/>
        <v>Bryan Amilcar Yax Rivera46290</v>
      </c>
      <c r="H124" s="49" t="s">
        <v>156</v>
      </c>
      <c r="I124" s="50" t="str">
        <f>+_xlfn.XLOOKUP($H124&amp;$V124,BASEDATOS!$B:$B,BASEDATOS!F:F,0,0,1)</f>
        <v>DIA</v>
      </c>
      <c r="J124" s="51">
        <f>+_xlfn.XLOOKUP($H124&amp;$V124,BASEDATOS!$B:$B,BASEDATOS!Q:Q,0,0,1)</f>
        <v>0.25</v>
      </c>
      <c r="K124" s="51">
        <f>+_xlfn.XLOOKUP($H124&amp;$V124,BASEDATOS!$B:$B,BASEDATOS!R:R,0,0,1)</f>
        <v>0.75</v>
      </c>
      <c r="L124" s="51">
        <f t="shared" si="101"/>
        <v>0.5</v>
      </c>
      <c r="M124" s="52" t="str">
        <f t="shared" si="102"/>
        <v>1:00</v>
      </c>
      <c r="N124" s="51">
        <f t="shared" si="103"/>
        <v>0.45833333333333331</v>
      </c>
      <c r="O124" s="53" t="str">
        <f t="shared" ref="O124" si="140">+O126</f>
        <v>6-0-1</v>
      </c>
      <c r="P124" s="54">
        <f>+IF(AND(Y124="Domingo",U124=7),_xlfn.XLOOKUP(O124,'Horarios y Sistemas'!C:C,'Horarios y Sistemas'!H:H,0,0,1),0)</f>
        <v>0</v>
      </c>
      <c r="Q124" s="54">
        <f>IF(U124=U125,0,IF(AVERAGEIF(W:W,W124,U:U)=U124,0,_xlfn.XLOOKUP(O124,'Horarios y Sistemas'!C:C,'Horarios y Sistemas'!H:H,0,0,1)-P124))/7*U124</f>
        <v>0</v>
      </c>
      <c r="R124" s="54">
        <f t="shared" si="105"/>
        <v>0</v>
      </c>
      <c r="S124" s="55" t="str">
        <f t="shared" si="106"/>
        <v>SEPTIEMBRE</v>
      </c>
      <c r="T124" s="55" t="str">
        <f t="shared" si="107"/>
        <v>Sem39</v>
      </c>
      <c r="U124" s="56">
        <f t="shared" si="74"/>
        <v>7</v>
      </c>
      <c r="V124" s="59">
        <v>46290</v>
      </c>
      <c r="W124" s="56">
        <f t="shared" si="108"/>
        <v>39</v>
      </c>
      <c r="X124" s="56">
        <f t="shared" si="109"/>
        <v>25</v>
      </c>
      <c r="Y124" s="56" t="s">
        <v>32</v>
      </c>
      <c r="Z124" s="56">
        <v>5</v>
      </c>
      <c r="AA124" s="58">
        <f t="shared" si="83"/>
        <v>1</v>
      </c>
      <c r="AB124" s="58">
        <f t="shared" si="83"/>
        <v>0</v>
      </c>
      <c r="AC124" s="58">
        <f t="shared" si="83"/>
        <v>0</v>
      </c>
      <c r="AD124" s="58">
        <f t="shared" si="83"/>
        <v>0</v>
      </c>
      <c r="AE124" s="58">
        <f t="shared" si="83"/>
        <v>0</v>
      </c>
    </row>
    <row r="125" spans="2:34">
      <c r="B125" t="str">
        <f t="shared" si="96"/>
        <v>Sem3939Bryan Amilcar Yax Rivera</v>
      </c>
      <c r="C125" t="str">
        <f t="shared" si="97"/>
        <v>SEPTIEMBRESem39</v>
      </c>
      <c r="D125" t="str">
        <f t="shared" si="98"/>
        <v>SEPTIEMBRESem39Bryan Amilcar Yax Rivera</v>
      </c>
      <c r="E125" t="str">
        <f t="shared" si="99"/>
        <v>SEPTIEMBRESem3939Bryan Amilcar Yax Rivera</v>
      </c>
      <c r="F125" t="str">
        <f t="shared" si="100"/>
        <v>Bryan Amilcar Yax Rivera46291</v>
      </c>
      <c r="H125" s="49" t="s">
        <v>156</v>
      </c>
      <c r="I125" s="50" t="str">
        <f>+_xlfn.XLOOKUP($H125&amp;$V125,BASEDATOS!$B:$B,BASEDATOS!F:F,0,0,1)</f>
        <v>DIA</v>
      </c>
      <c r="J125" s="51">
        <f>+_xlfn.XLOOKUP($H125&amp;$V125,BASEDATOS!$B:$B,BASEDATOS!Q:Q,0,0,1)</f>
        <v>0.25</v>
      </c>
      <c r="K125" s="51">
        <f>+_xlfn.XLOOKUP($H125&amp;$V125,BASEDATOS!$B:$B,BASEDATOS!R:R,0,0,1)</f>
        <v>0.75</v>
      </c>
      <c r="L125" s="51">
        <f t="shared" si="101"/>
        <v>0.5</v>
      </c>
      <c r="M125" s="52" t="str">
        <f t="shared" si="102"/>
        <v>1:00</v>
      </c>
      <c r="N125" s="51">
        <f t="shared" si="103"/>
        <v>0.45833333333333331</v>
      </c>
      <c r="O125" s="53" t="str">
        <f t="shared" ref="O125" si="141">+O126</f>
        <v>6-0-1</v>
      </c>
      <c r="P125" s="54">
        <f>+IF(AND(Y125="Domingo",U125=7),_xlfn.XLOOKUP(O125,'Horarios y Sistemas'!C:C,'Horarios y Sistemas'!H:H,0,0,1),0)</f>
        <v>0</v>
      </c>
      <c r="Q125" s="54">
        <f>IF(U125=U126,0,IF(AVERAGEIF(W:W,W125,U:U)=U125,0,_xlfn.XLOOKUP(O125,'Horarios y Sistemas'!C:C,'Horarios y Sistemas'!H:H,0,0,1)-P125))/7*U125</f>
        <v>0</v>
      </c>
      <c r="R125" s="54">
        <f t="shared" si="105"/>
        <v>0</v>
      </c>
      <c r="S125" s="55" t="str">
        <f t="shared" si="106"/>
        <v>SEPTIEMBRE</v>
      </c>
      <c r="T125" s="55" t="str">
        <f t="shared" si="107"/>
        <v>Sem39</v>
      </c>
      <c r="U125" s="56">
        <f t="shared" si="74"/>
        <v>7</v>
      </c>
      <c r="V125" s="59">
        <v>46291</v>
      </c>
      <c r="W125" s="56">
        <f t="shared" si="108"/>
        <v>39</v>
      </c>
      <c r="X125" s="56">
        <f t="shared" si="109"/>
        <v>26</v>
      </c>
      <c r="Y125" s="56" t="s">
        <v>33</v>
      </c>
      <c r="Z125" s="56">
        <v>6</v>
      </c>
      <c r="AA125" s="58">
        <f t="shared" si="83"/>
        <v>1</v>
      </c>
      <c r="AB125" s="58">
        <f t="shared" si="83"/>
        <v>0</v>
      </c>
      <c r="AC125" s="58">
        <f t="shared" si="83"/>
        <v>0</v>
      </c>
      <c r="AD125" s="58">
        <f t="shared" si="83"/>
        <v>0</v>
      </c>
      <c r="AE125" s="58">
        <f t="shared" si="83"/>
        <v>0</v>
      </c>
    </row>
    <row r="126" spans="2:34" s="60" customFormat="1">
      <c r="B126" s="60" t="str">
        <f t="shared" si="96"/>
        <v>Sem3939Bryan Amilcar Yax Rivera</v>
      </c>
      <c r="C126" s="60" t="str">
        <f t="shared" si="97"/>
        <v>SEPTIEMBRESem39</v>
      </c>
      <c r="D126" s="60" t="str">
        <f t="shared" si="98"/>
        <v>SEPTIEMBRESem39Bryan Amilcar Yax Rivera</v>
      </c>
      <c r="E126" s="60" t="str">
        <f t="shared" si="99"/>
        <v>SEPTIEMBRESem3939Bryan Amilcar Yax Rivera</v>
      </c>
      <c r="F126" s="60" t="str">
        <f t="shared" si="100"/>
        <v>Bryan Amilcar Yax Rivera46292</v>
      </c>
      <c r="H126" s="61" t="s">
        <v>156</v>
      </c>
      <c r="I126" s="62" t="str">
        <f>+_xlfn.XLOOKUP($H126&amp;$V126,BASEDATOS!$B:$B,BASEDATOS!F:F,0,0,1)</f>
        <v>DESCANSO</v>
      </c>
      <c r="J126" s="63">
        <f>+_xlfn.XLOOKUP($H126&amp;$V126,BASEDATOS!$B:$B,BASEDATOS!Q:Q,0,0,1)</f>
        <v>0</v>
      </c>
      <c r="K126" s="63">
        <f>+_xlfn.XLOOKUP($H126&amp;$V126,BASEDATOS!$B:$B,BASEDATOS!R:R,0,0,1)</f>
        <v>0</v>
      </c>
      <c r="L126" s="63">
        <f t="shared" si="101"/>
        <v>0</v>
      </c>
      <c r="M126" s="64">
        <f t="shared" si="102"/>
        <v>0</v>
      </c>
      <c r="N126" s="63">
        <f t="shared" si="103"/>
        <v>0</v>
      </c>
      <c r="O126" s="65" t="str">
        <f t="shared" ref="O126" si="142">+IF(Y126="Domingo",SUM(AA120:AA126)&amp;"-"&amp;SUM(AB120:AB126)&amp;"-"&amp;SUM(AC120:AE126),"")</f>
        <v>6-0-1</v>
      </c>
      <c r="P126" s="66">
        <f>+IF(AND(Y126="Domingo",U126=7),_xlfn.XLOOKUP(O126,'Horarios y Sistemas'!C:C,'Horarios y Sistemas'!H:H,0,0,1),0)</f>
        <v>44</v>
      </c>
      <c r="Q126" s="66">
        <f>IF(U126=U127,0,IF(AVERAGEIF(W:W,W126,U:U)=U126,0,_xlfn.XLOOKUP(O126,'Horarios y Sistemas'!C:C,'Horarios y Sistemas'!H:H,0,0,1)-P126))/7*U126</f>
        <v>0</v>
      </c>
      <c r="R126" s="66">
        <f t="shared" si="105"/>
        <v>44</v>
      </c>
      <c r="S126" s="67" t="str">
        <f t="shared" si="106"/>
        <v>SEPTIEMBRE</v>
      </c>
      <c r="T126" s="55" t="str">
        <f t="shared" si="107"/>
        <v>Sem39</v>
      </c>
      <c r="U126" s="68">
        <f t="shared" si="74"/>
        <v>7</v>
      </c>
      <c r="V126" s="69">
        <v>46292</v>
      </c>
      <c r="W126" s="68">
        <f t="shared" si="108"/>
        <v>39</v>
      </c>
      <c r="X126" s="68">
        <f t="shared" si="109"/>
        <v>27</v>
      </c>
      <c r="Y126" s="68" t="s">
        <v>34</v>
      </c>
      <c r="Z126" s="68">
        <v>7</v>
      </c>
      <c r="AA126" s="70">
        <f t="shared" si="83"/>
        <v>0</v>
      </c>
      <c r="AB126" s="70">
        <f t="shared" si="83"/>
        <v>0</v>
      </c>
      <c r="AC126" s="70">
        <f t="shared" si="83"/>
        <v>1</v>
      </c>
      <c r="AD126" s="70">
        <f t="shared" si="83"/>
        <v>0</v>
      </c>
      <c r="AE126" s="70">
        <f t="shared" si="83"/>
        <v>0</v>
      </c>
      <c r="AF126" s="71"/>
      <c r="AG126" s="71"/>
      <c r="AH126" s="71"/>
    </row>
    <row r="127" spans="2:34">
      <c r="B127" t="str">
        <f t="shared" si="96"/>
        <v>Sem4040Bryan Amilcar Yax Rivera</v>
      </c>
      <c r="C127" t="str">
        <f t="shared" si="97"/>
        <v>SEPTIEMBRESem40</v>
      </c>
      <c r="D127" t="str">
        <f t="shared" si="98"/>
        <v>SEPTIEMBRESem40Bryan Amilcar Yax Rivera</v>
      </c>
      <c r="E127" t="str">
        <f t="shared" si="99"/>
        <v>SEPTIEMBRESem4040Bryan Amilcar Yax Rivera</v>
      </c>
      <c r="F127" t="str">
        <f t="shared" si="100"/>
        <v>Bryan Amilcar Yax Rivera46293</v>
      </c>
      <c r="H127" s="49" t="s">
        <v>156</v>
      </c>
      <c r="I127" s="50" t="str">
        <f>+_xlfn.XLOOKUP($H127&amp;$V127,BASEDATOS!$B:$B,BASEDATOS!F:F,0,0,1)</f>
        <v>NOCHE</v>
      </c>
      <c r="J127" s="51">
        <f>+_xlfn.XLOOKUP($H127&amp;$V127,BASEDATOS!$B:$B,BASEDATOS!Q:Q,0,0,1)</f>
        <v>0.75</v>
      </c>
      <c r="K127" s="51">
        <f>+_xlfn.XLOOKUP($H127&amp;$V127,BASEDATOS!$B:$B,BASEDATOS!R:R,0,0,1)</f>
        <v>0.25</v>
      </c>
      <c r="L127" s="51">
        <f t="shared" si="101"/>
        <v>0.5</v>
      </c>
      <c r="M127" s="52" t="str">
        <f t="shared" si="102"/>
        <v>1:00</v>
      </c>
      <c r="N127" s="51">
        <f t="shared" si="103"/>
        <v>0.45833333333333331</v>
      </c>
      <c r="O127" s="53" t="str">
        <f t="shared" ref="O127" si="143">+O133</f>
        <v>0-5-2</v>
      </c>
      <c r="P127" s="54">
        <f>+IF(AND(Y127="Domingo",U127=7),_xlfn.XLOOKUP(O127,'Horarios y Sistemas'!C:C,'Horarios y Sistemas'!H:H,0,0,1),0)</f>
        <v>0</v>
      </c>
      <c r="Q127" s="54">
        <f>IF(U127=U128,0,IF(AVERAGEIF(W:W,W127,U:U)=U127,0,_xlfn.XLOOKUP(O127,'Horarios y Sistemas'!C:C,'Horarios y Sistemas'!H:H,0,0,1)-P127))/7*U127</f>
        <v>0</v>
      </c>
      <c r="R127" s="54">
        <f t="shared" si="105"/>
        <v>0</v>
      </c>
      <c r="S127" s="55" t="str">
        <f t="shared" si="106"/>
        <v>SEPTIEMBRE</v>
      </c>
      <c r="T127" s="55" t="str">
        <f t="shared" si="107"/>
        <v>Sem40</v>
      </c>
      <c r="U127" s="56">
        <f t="shared" si="74"/>
        <v>7</v>
      </c>
      <c r="V127" s="59">
        <v>46293</v>
      </c>
      <c r="W127" s="56">
        <f t="shared" si="108"/>
        <v>40</v>
      </c>
      <c r="X127" s="56">
        <f t="shared" si="109"/>
        <v>28</v>
      </c>
      <c r="Y127" s="56" t="s">
        <v>28</v>
      </c>
      <c r="Z127" s="56">
        <v>1</v>
      </c>
      <c r="AA127" s="58">
        <f t="shared" si="83"/>
        <v>0</v>
      </c>
      <c r="AB127" s="58">
        <f t="shared" si="83"/>
        <v>1</v>
      </c>
      <c r="AC127" s="58">
        <f t="shared" si="83"/>
        <v>0</v>
      </c>
      <c r="AD127" s="58">
        <f t="shared" si="83"/>
        <v>0</v>
      </c>
      <c r="AE127" s="58">
        <f t="shared" si="83"/>
        <v>0</v>
      </c>
    </row>
    <row r="128" spans="2:34">
      <c r="B128" t="str">
        <f t="shared" si="96"/>
        <v>Sem4040Bryan Amilcar Yax Rivera</v>
      </c>
      <c r="C128" t="str">
        <f t="shared" si="97"/>
        <v>SEPTIEMBRESem40</v>
      </c>
      <c r="D128" t="str">
        <f t="shared" si="98"/>
        <v>SEPTIEMBRESem40Bryan Amilcar Yax Rivera</v>
      </c>
      <c r="E128" t="str">
        <f t="shared" si="99"/>
        <v>SEPTIEMBRESem4040Bryan Amilcar Yax Rivera</v>
      </c>
      <c r="F128" t="str">
        <f t="shared" si="100"/>
        <v>Bryan Amilcar Yax Rivera46294</v>
      </c>
      <c r="H128" s="49" t="s">
        <v>156</v>
      </c>
      <c r="I128" s="50" t="str">
        <f>+_xlfn.XLOOKUP($H128&amp;$V128,BASEDATOS!$B:$B,BASEDATOS!F:F,0,0,1)</f>
        <v>NOCHE</v>
      </c>
      <c r="J128" s="51">
        <f>+_xlfn.XLOOKUP($H128&amp;$V128,BASEDATOS!$B:$B,BASEDATOS!Q:Q,0,0,1)</f>
        <v>0.75</v>
      </c>
      <c r="K128" s="51">
        <f>+_xlfn.XLOOKUP($H128&amp;$V128,BASEDATOS!$B:$B,BASEDATOS!R:R,0,0,1)</f>
        <v>0.29166666666666702</v>
      </c>
      <c r="L128" s="51">
        <f t="shared" si="101"/>
        <v>0.54166666666666696</v>
      </c>
      <c r="M128" s="52" t="str">
        <f t="shared" si="102"/>
        <v>1:00</v>
      </c>
      <c r="N128" s="51">
        <f t="shared" si="103"/>
        <v>0.50000000000000033</v>
      </c>
      <c r="O128" s="53" t="str">
        <f t="shared" ref="O128" si="144">+O133</f>
        <v>0-5-2</v>
      </c>
      <c r="P128" s="54">
        <f>+IF(AND(Y128="Domingo",U128=7),_xlfn.XLOOKUP(O128,'Horarios y Sistemas'!C:C,'Horarios y Sistemas'!H:H,0,0,1),0)</f>
        <v>0</v>
      </c>
      <c r="Q128" s="54">
        <f>IF(U128=U129,0,IF(AVERAGEIF(W:W,W128,U:U)=U128,0,_xlfn.XLOOKUP(O128,'Horarios y Sistemas'!C:C,'Horarios y Sistemas'!H:H,0,0,1)-P128))/7*U128</f>
        <v>0</v>
      </c>
      <c r="R128" s="54">
        <f t="shared" si="105"/>
        <v>0</v>
      </c>
      <c r="S128" s="55" t="str">
        <f t="shared" si="106"/>
        <v>SEPTIEMBRE</v>
      </c>
      <c r="T128" s="55" t="str">
        <f t="shared" si="107"/>
        <v>Sem40</v>
      </c>
      <c r="U128" s="56">
        <f t="shared" si="74"/>
        <v>7</v>
      </c>
      <c r="V128" s="59">
        <v>46294</v>
      </c>
      <c r="W128" s="56">
        <f t="shared" si="108"/>
        <v>40</v>
      </c>
      <c r="X128" s="56">
        <f t="shared" si="109"/>
        <v>29</v>
      </c>
      <c r="Y128" s="56" t="s">
        <v>29</v>
      </c>
      <c r="Z128" s="56">
        <v>2</v>
      </c>
      <c r="AA128" s="58">
        <f t="shared" si="83"/>
        <v>0</v>
      </c>
      <c r="AB128" s="58">
        <f t="shared" si="83"/>
        <v>1</v>
      </c>
      <c r="AC128" s="58">
        <f t="shared" si="83"/>
        <v>0</v>
      </c>
      <c r="AD128" s="58">
        <f t="shared" si="83"/>
        <v>0</v>
      </c>
      <c r="AE128" s="58">
        <f t="shared" si="83"/>
        <v>0</v>
      </c>
    </row>
    <row r="129" spans="2:34">
      <c r="B129" t="str">
        <f t="shared" si="96"/>
        <v>Sem4040Bryan Amilcar Yax Rivera</v>
      </c>
      <c r="C129" t="str">
        <f t="shared" si="97"/>
        <v>SEPTIEMBRESem40</v>
      </c>
      <c r="D129" t="str">
        <f t="shared" si="98"/>
        <v>SEPTIEMBRESem40Bryan Amilcar Yax Rivera</v>
      </c>
      <c r="E129" t="str">
        <f t="shared" si="99"/>
        <v>SEPTIEMBRESem4040Bryan Amilcar Yax Rivera</v>
      </c>
      <c r="F129" t="str">
        <f t="shared" si="100"/>
        <v>Bryan Amilcar Yax Rivera46295</v>
      </c>
      <c r="H129" s="49" t="s">
        <v>156</v>
      </c>
      <c r="I129" s="50" t="str">
        <f>+_xlfn.XLOOKUP($H129&amp;$V129,BASEDATOS!$B:$B,BASEDATOS!F:F,0,0,1)</f>
        <v>NOCHE</v>
      </c>
      <c r="J129" s="51">
        <f>+_xlfn.XLOOKUP($H129&amp;$V129,BASEDATOS!$B:$B,BASEDATOS!Q:Q,0,0,1)</f>
        <v>0.75</v>
      </c>
      <c r="K129" s="51">
        <f>+_xlfn.XLOOKUP($H129&amp;$V129,BASEDATOS!$B:$B,BASEDATOS!R:R,0,0,1)</f>
        <v>0.25</v>
      </c>
      <c r="L129" s="51">
        <f t="shared" si="101"/>
        <v>0.5</v>
      </c>
      <c r="M129" s="52" t="str">
        <f t="shared" si="102"/>
        <v>1:00</v>
      </c>
      <c r="N129" s="51">
        <f t="shared" si="103"/>
        <v>0.45833333333333331</v>
      </c>
      <c r="O129" s="53" t="str">
        <f t="shared" ref="O129" si="145">+O133</f>
        <v>0-5-2</v>
      </c>
      <c r="P129" s="54">
        <f>+IF(AND(Y129="Domingo",U129=7),_xlfn.XLOOKUP(O129,'Horarios y Sistemas'!C:C,'Horarios y Sistemas'!H:H,0,0,1),0)</f>
        <v>0</v>
      </c>
      <c r="Q129" s="54">
        <f>IF(U129=U130,0,IF(AVERAGEIF(W:W,W129,U:U)=U129,0,_xlfn.XLOOKUP(O129,'Horarios y Sistemas'!C:C,'Horarios y Sistemas'!H:H,0,0,1)-P129))/7*U129</f>
        <v>0</v>
      </c>
      <c r="R129" s="54">
        <f t="shared" si="105"/>
        <v>0</v>
      </c>
      <c r="S129" s="55" t="str">
        <f t="shared" si="106"/>
        <v>SEPTIEMBRE</v>
      </c>
      <c r="T129" s="55" t="str">
        <f t="shared" si="107"/>
        <v>Sem40</v>
      </c>
      <c r="U129" s="56">
        <f t="shared" si="74"/>
        <v>7</v>
      </c>
      <c r="V129" s="59">
        <v>46295</v>
      </c>
      <c r="W129" s="56">
        <f t="shared" si="108"/>
        <v>40</v>
      </c>
      <c r="X129" s="56">
        <f t="shared" si="109"/>
        <v>30</v>
      </c>
      <c r="Y129" s="56" t="s">
        <v>30</v>
      </c>
      <c r="Z129" s="56">
        <v>3</v>
      </c>
      <c r="AA129" s="58">
        <f t="shared" si="83"/>
        <v>0</v>
      </c>
      <c r="AB129" s="58">
        <f t="shared" si="83"/>
        <v>1</v>
      </c>
      <c r="AC129" s="58">
        <f t="shared" si="83"/>
        <v>0</v>
      </c>
      <c r="AD129" s="58">
        <f t="shared" si="83"/>
        <v>0</v>
      </c>
      <c r="AE129" s="58">
        <f t="shared" si="83"/>
        <v>0</v>
      </c>
    </row>
    <row r="130" spans="2:34">
      <c r="B130" t="str">
        <f t="shared" si="96"/>
        <v>Sem4040Bryan Amilcar Yax Rivera</v>
      </c>
      <c r="C130" t="str">
        <f t="shared" si="97"/>
        <v>OCTUBRESem40</v>
      </c>
      <c r="D130" t="str">
        <f t="shared" si="98"/>
        <v>OCTUBRESem40Bryan Amilcar Yax Rivera</v>
      </c>
      <c r="E130" t="str">
        <f t="shared" si="99"/>
        <v>OCTUBRESem4040Bryan Amilcar Yax Rivera</v>
      </c>
      <c r="F130" t="str">
        <f t="shared" si="100"/>
        <v>Bryan Amilcar Yax Rivera46296</v>
      </c>
      <c r="H130" s="49" t="s">
        <v>156</v>
      </c>
      <c r="I130" s="50" t="str">
        <f>+_xlfn.XLOOKUP($H130&amp;$V130,BASEDATOS!$B:$B,BASEDATOS!F:F,0,0,1)</f>
        <v>NOCHE</v>
      </c>
      <c r="J130" s="51">
        <f>+_xlfn.XLOOKUP($H130&amp;$V130,BASEDATOS!$B:$B,BASEDATOS!Q:Q,0,0,1)</f>
        <v>0.75</v>
      </c>
      <c r="K130" s="51">
        <f>+_xlfn.XLOOKUP($H130&amp;$V130,BASEDATOS!$B:$B,BASEDATOS!R:R,0,0,1)</f>
        <v>0.25</v>
      </c>
      <c r="L130" s="51">
        <f t="shared" si="101"/>
        <v>0.5</v>
      </c>
      <c r="M130" s="52" t="str">
        <f t="shared" si="102"/>
        <v>1:00</v>
      </c>
      <c r="N130" s="51">
        <f t="shared" si="103"/>
        <v>0.45833333333333331</v>
      </c>
      <c r="O130" s="53" t="str">
        <f t="shared" ref="O130" si="146">+O133</f>
        <v>0-5-2</v>
      </c>
      <c r="P130" s="54">
        <f>+IF(AND(Y130="Domingo",U130=7),_xlfn.XLOOKUP(O130,'Horarios y Sistemas'!C:C,'Horarios y Sistemas'!H:H,0,0,1),0)</f>
        <v>0</v>
      </c>
      <c r="Q130" s="54">
        <f>IF(U130=U131,0,IF(AVERAGEIF(W:W,W130,U:U)=U130,0,_xlfn.XLOOKUP(O130,'Horarios y Sistemas'!C:C,'Horarios y Sistemas'!H:H,0,0,1)-P130))/7*U130</f>
        <v>0</v>
      </c>
      <c r="R130" s="54">
        <f t="shared" si="105"/>
        <v>0</v>
      </c>
      <c r="S130" s="55" t="str">
        <f t="shared" si="106"/>
        <v>OCTUBRE</v>
      </c>
      <c r="T130" s="55" t="str">
        <f t="shared" si="107"/>
        <v>Sem40</v>
      </c>
      <c r="U130" s="56">
        <f t="shared" si="74"/>
        <v>7</v>
      </c>
      <c r="V130" s="59">
        <v>46296</v>
      </c>
      <c r="W130" s="56">
        <f t="shared" si="108"/>
        <v>40</v>
      </c>
      <c r="X130" s="56">
        <f t="shared" si="109"/>
        <v>1</v>
      </c>
      <c r="Y130" s="56" t="s">
        <v>31</v>
      </c>
      <c r="Z130" s="56">
        <v>4</v>
      </c>
      <c r="AA130" s="58">
        <f t="shared" si="83"/>
        <v>0</v>
      </c>
      <c r="AB130" s="58">
        <f t="shared" si="83"/>
        <v>1</v>
      </c>
      <c r="AC130" s="58">
        <f t="shared" si="83"/>
        <v>0</v>
      </c>
      <c r="AD130" s="58">
        <f t="shared" si="83"/>
        <v>0</v>
      </c>
      <c r="AE130" s="58">
        <f t="shared" si="83"/>
        <v>0</v>
      </c>
    </row>
    <row r="131" spans="2:34">
      <c r="B131" t="str">
        <f t="shared" si="96"/>
        <v>Sem4040Bryan Amilcar Yax Rivera</v>
      </c>
      <c r="C131" t="str">
        <f t="shared" si="97"/>
        <v>OCTUBRESem40</v>
      </c>
      <c r="D131" t="str">
        <f t="shared" si="98"/>
        <v>OCTUBRESem40Bryan Amilcar Yax Rivera</v>
      </c>
      <c r="E131" t="str">
        <f t="shared" si="99"/>
        <v>OCTUBRESem4040Bryan Amilcar Yax Rivera</v>
      </c>
      <c r="F131" t="str">
        <f t="shared" si="100"/>
        <v>Bryan Amilcar Yax Rivera46297</v>
      </c>
      <c r="H131" s="49" t="s">
        <v>156</v>
      </c>
      <c r="I131" s="50" t="str">
        <f>+_xlfn.XLOOKUP($H131&amp;$V131,BASEDATOS!$B:$B,BASEDATOS!F:F,0,0,1)</f>
        <v>NOCHE</v>
      </c>
      <c r="J131" s="51">
        <f>+_xlfn.XLOOKUP($H131&amp;$V131,BASEDATOS!$B:$B,BASEDATOS!Q:Q,0,0,1)</f>
        <v>0.75</v>
      </c>
      <c r="K131" s="51">
        <f>+_xlfn.XLOOKUP($H131&amp;$V131,BASEDATOS!$B:$B,BASEDATOS!R:R,0,0,1)</f>
        <v>0.25</v>
      </c>
      <c r="L131" s="51">
        <f t="shared" si="101"/>
        <v>0.5</v>
      </c>
      <c r="M131" s="52" t="str">
        <f t="shared" si="102"/>
        <v>1:00</v>
      </c>
      <c r="N131" s="51">
        <f t="shared" si="103"/>
        <v>0.45833333333333331</v>
      </c>
      <c r="O131" s="53" t="str">
        <f t="shared" ref="O131" si="147">+O133</f>
        <v>0-5-2</v>
      </c>
      <c r="P131" s="54">
        <f>+IF(AND(Y131="Domingo",U131=7),_xlfn.XLOOKUP(O131,'Horarios y Sistemas'!C:C,'Horarios y Sistemas'!H:H,0,0,1),0)</f>
        <v>0</v>
      </c>
      <c r="Q131" s="54">
        <f>IF(U131=U132,0,IF(AVERAGEIF(W:W,W131,U:U)=U131,0,_xlfn.XLOOKUP(O131,'Horarios y Sistemas'!C:C,'Horarios y Sistemas'!H:H,0,0,1)-P131))/7*U131</f>
        <v>0</v>
      </c>
      <c r="R131" s="54">
        <f t="shared" si="105"/>
        <v>0</v>
      </c>
      <c r="S131" s="55" t="str">
        <f t="shared" si="106"/>
        <v>OCTUBRE</v>
      </c>
      <c r="T131" s="55" t="str">
        <f t="shared" si="107"/>
        <v>Sem40</v>
      </c>
      <c r="U131" s="56">
        <f t="shared" si="74"/>
        <v>7</v>
      </c>
      <c r="V131" s="59">
        <v>46297</v>
      </c>
      <c r="W131" s="56">
        <f t="shared" si="108"/>
        <v>40</v>
      </c>
      <c r="X131" s="56">
        <f t="shared" si="109"/>
        <v>2</v>
      </c>
      <c r="Y131" s="56" t="s">
        <v>32</v>
      </c>
      <c r="Z131" s="56">
        <v>5</v>
      </c>
      <c r="AA131" s="58">
        <f t="shared" ref="AA131:AE181" si="148">+IF($I131=AA$7,1,0)</f>
        <v>0</v>
      </c>
      <c r="AB131" s="58">
        <f t="shared" si="148"/>
        <v>1</v>
      </c>
      <c r="AC131" s="58">
        <f t="shared" si="148"/>
        <v>0</v>
      </c>
      <c r="AD131" s="58">
        <f t="shared" si="148"/>
        <v>0</v>
      </c>
      <c r="AE131" s="58">
        <f t="shared" si="148"/>
        <v>0</v>
      </c>
    </row>
    <row r="132" spans="2:34">
      <c r="B132" t="str">
        <f t="shared" si="96"/>
        <v>Sem4040Bryan Amilcar Yax Rivera</v>
      </c>
      <c r="C132" t="str">
        <f t="shared" si="97"/>
        <v>OCTUBRESem40</v>
      </c>
      <c r="D132" t="str">
        <f t="shared" si="98"/>
        <v>OCTUBRESem40Bryan Amilcar Yax Rivera</v>
      </c>
      <c r="E132" t="str">
        <f t="shared" si="99"/>
        <v>OCTUBRESem4040Bryan Amilcar Yax Rivera</v>
      </c>
      <c r="F132" t="str">
        <f t="shared" si="100"/>
        <v>Bryan Amilcar Yax Rivera46298</v>
      </c>
      <c r="H132" s="49" t="s">
        <v>156</v>
      </c>
      <c r="I132" s="50" t="str">
        <f>+_xlfn.XLOOKUP($H132&amp;$V132,BASEDATOS!$B:$B,BASEDATOS!F:F,0,0,1)</f>
        <v>DESCANSO</v>
      </c>
      <c r="J132" s="51">
        <f>+_xlfn.XLOOKUP($H132&amp;$V132,BASEDATOS!$B:$B,BASEDATOS!Q:Q,0,0,1)</f>
        <v>0</v>
      </c>
      <c r="K132" s="51">
        <f>+_xlfn.XLOOKUP($H132&amp;$V132,BASEDATOS!$B:$B,BASEDATOS!R:R,0,0,1)</f>
        <v>0</v>
      </c>
      <c r="L132" s="51">
        <f t="shared" si="101"/>
        <v>0</v>
      </c>
      <c r="M132" s="52">
        <f t="shared" si="102"/>
        <v>0</v>
      </c>
      <c r="N132" s="51">
        <f t="shared" si="103"/>
        <v>0</v>
      </c>
      <c r="O132" s="53" t="str">
        <f t="shared" ref="O132" si="149">+O133</f>
        <v>0-5-2</v>
      </c>
      <c r="P132" s="54">
        <f>+IF(AND(Y132="Domingo",U132=7),_xlfn.XLOOKUP(O132,'Horarios y Sistemas'!C:C,'Horarios y Sistemas'!H:H,0,0,1),0)</f>
        <v>0</v>
      </c>
      <c r="Q132" s="54">
        <f>IF(U132=U133,0,IF(AVERAGEIF(W:W,W132,U:U)=U132,0,_xlfn.XLOOKUP(O132,'Horarios y Sistemas'!C:C,'Horarios y Sistemas'!H:H,0,0,1)-P132))/7*U132</f>
        <v>0</v>
      </c>
      <c r="R132" s="54">
        <f t="shared" si="105"/>
        <v>0</v>
      </c>
      <c r="S132" s="55" t="str">
        <f t="shared" si="106"/>
        <v>OCTUBRE</v>
      </c>
      <c r="T132" s="55" t="str">
        <f t="shared" si="107"/>
        <v>Sem40</v>
      </c>
      <c r="U132" s="56">
        <f t="shared" si="74"/>
        <v>7</v>
      </c>
      <c r="V132" s="59">
        <v>46298</v>
      </c>
      <c r="W132" s="56">
        <f t="shared" si="108"/>
        <v>40</v>
      </c>
      <c r="X132" s="56">
        <f t="shared" si="109"/>
        <v>3</v>
      </c>
      <c r="Y132" s="56" t="s">
        <v>33</v>
      </c>
      <c r="Z132" s="56">
        <v>6</v>
      </c>
      <c r="AA132" s="58">
        <f t="shared" si="148"/>
        <v>0</v>
      </c>
      <c r="AB132" s="58">
        <f t="shared" si="148"/>
        <v>0</v>
      </c>
      <c r="AC132" s="58">
        <f t="shared" si="148"/>
        <v>1</v>
      </c>
      <c r="AD132" s="58">
        <f t="shared" si="148"/>
        <v>0</v>
      </c>
      <c r="AE132" s="58">
        <f t="shared" si="148"/>
        <v>0</v>
      </c>
    </row>
    <row r="133" spans="2:34" s="60" customFormat="1">
      <c r="B133" s="60" t="str">
        <f t="shared" si="96"/>
        <v>Sem4040Bryan Amilcar Yax Rivera</v>
      </c>
      <c r="C133" s="60" t="str">
        <f t="shared" si="97"/>
        <v>OCTUBRESem40</v>
      </c>
      <c r="D133" s="60" t="str">
        <f t="shared" si="98"/>
        <v>OCTUBRESem40Bryan Amilcar Yax Rivera</v>
      </c>
      <c r="E133" s="60" t="str">
        <f t="shared" si="99"/>
        <v>OCTUBRESem4040Bryan Amilcar Yax Rivera</v>
      </c>
      <c r="F133" s="60" t="str">
        <f t="shared" si="100"/>
        <v>Bryan Amilcar Yax Rivera46299</v>
      </c>
      <c r="H133" s="61" t="s">
        <v>156</v>
      </c>
      <c r="I133" s="62" t="str">
        <f>+_xlfn.XLOOKUP($H133&amp;$V133,BASEDATOS!$B:$B,BASEDATOS!F:F,0,0,1)</f>
        <v>DESCANSO</v>
      </c>
      <c r="J133" s="63">
        <f>+_xlfn.XLOOKUP($H133&amp;$V133,BASEDATOS!$B:$B,BASEDATOS!Q:Q,0,0,1)</f>
        <v>0</v>
      </c>
      <c r="K133" s="63">
        <f>+_xlfn.XLOOKUP($H133&amp;$V133,BASEDATOS!$B:$B,BASEDATOS!R:R,0,0,1)</f>
        <v>0</v>
      </c>
      <c r="L133" s="63">
        <f t="shared" si="101"/>
        <v>0</v>
      </c>
      <c r="M133" s="64">
        <f t="shared" si="102"/>
        <v>0</v>
      </c>
      <c r="N133" s="63">
        <f t="shared" si="103"/>
        <v>0</v>
      </c>
      <c r="O133" s="65" t="str">
        <f t="shared" ref="O133" si="150">+IF(Y133="Domingo",SUM(AA127:AA133)&amp;"-"&amp;SUM(AB127:AB133)&amp;"-"&amp;SUM(AC127:AE133),"")</f>
        <v>0-5-2</v>
      </c>
      <c r="P133" s="66">
        <f>+IF(AND(Y133="Domingo",U133=7),_xlfn.XLOOKUP(O133,'Horarios y Sistemas'!C:C,'Horarios y Sistemas'!H:H,0,0,1),0)</f>
        <v>36</v>
      </c>
      <c r="Q133" s="66">
        <f>IF(U133=U134,0,IF(AVERAGEIF(W:W,W133,U:U)=U133,0,_xlfn.XLOOKUP(O133,'Horarios y Sistemas'!C:C,'Horarios y Sistemas'!H:H,0,0,1)-P133))/7*U133</f>
        <v>0</v>
      </c>
      <c r="R133" s="66">
        <f t="shared" si="105"/>
        <v>36</v>
      </c>
      <c r="S133" s="67" t="str">
        <f t="shared" si="106"/>
        <v>OCTUBRE</v>
      </c>
      <c r="T133" s="55" t="str">
        <f t="shared" si="107"/>
        <v>Sem40</v>
      </c>
      <c r="U133" s="68">
        <f t="shared" si="74"/>
        <v>7</v>
      </c>
      <c r="V133" s="69">
        <v>46299</v>
      </c>
      <c r="W133" s="68">
        <f t="shared" si="108"/>
        <v>40</v>
      </c>
      <c r="X133" s="68">
        <f t="shared" si="109"/>
        <v>4</v>
      </c>
      <c r="Y133" s="68" t="s">
        <v>34</v>
      </c>
      <c r="Z133" s="68">
        <v>7</v>
      </c>
      <c r="AA133" s="70">
        <f t="shared" si="148"/>
        <v>0</v>
      </c>
      <c r="AB133" s="70">
        <f t="shared" si="148"/>
        <v>0</v>
      </c>
      <c r="AC133" s="70">
        <f t="shared" si="148"/>
        <v>1</v>
      </c>
      <c r="AD133" s="70">
        <f t="shared" si="148"/>
        <v>0</v>
      </c>
      <c r="AE133" s="70">
        <f t="shared" si="148"/>
        <v>0</v>
      </c>
      <c r="AF133" s="71"/>
      <c r="AG133" s="71"/>
      <c r="AH133" s="71"/>
    </row>
    <row r="134" spans="2:34">
      <c r="B134" t="str">
        <f t="shared" si="96"/>
        <v>Sem3838CARLOS DANIEL RUIZ SANTOS</v>
      </c>
      <c r="C134" t="str">
        <f t="shared" si="97"/>
        <v>SEPTIEMBRESem38</v>
      </c>
      <c r="D134" t="str">
        <f t="shared" si="98"/>
        <v>SEPTIEMBRESem38CARLOS DANIEL RUIZ SANTOS</v>
      </c>
      <c r="E134" t="str">
        <f t="shared" si="99"/>
        <v>SEPTIEMBRESem3838CARLOS DANIEL RUIZ SANTOS</v>
      </c>
      <c r="F134" t="str">
        <f t="shared" si="100"/>
        <v>CARLOS DANIEL RUIZ SANTOS46279</v>
      </c>
      <c r="H134" s="49" t="s">
        <v>235</v>
      </c>
      <c r="I134" s="50" t="str">
        <f>+_xlfn.XLOOKUP($H134&amp;$V134,BASEDATOS!$B:$B,BASEDATOS!F:F,0,0,1)</f>
        <v>DESCANSO</v>
      </c>
      <c r="J134" s="51">
        <f>+_xlfn.XLOOKUP($H134&amp;$V134,BASEDATOS!$B:$B,BASEDATOS!Q:Q,0,0,1)</f>
        <v>0</v>
      </c>
      <c r="K134" s="51">
        <f>+_xlfn.XLOOKUP($H134&amp;$V134,BASEDATOS!$B:$B,BASEDATOS!R:R,0,0,1)</f>
        <v>0</v>
      </c>
      <c r="L134" s="51">
        <f t="shared" si="101"/>
        <v>0</v>
      </c>
      <c r="M134" s="52">
        <f t="shared" si="102"/>
        <v>0</v>
      </c>
      <c r="N134" s="51">
        <f t="shared" si="103"/>
        <v>0</v>
      </c>
      <c r="O134" s="53" t="str">
        <f t="shared" ref="O134" si="151">+O140</f>
        <v>4-0-3</v>
      </c>
      <c r="P134" s="54">
        <f>+IF(AND(Y134="Domingo",U134=7),_xlfn.XLOOKUP(O134,'Horarios y Sistemas'!C:C,'Horarios y Sistemas'!H:H,0,0,1),0)</f>
        <v>0</v>
      </c>
      <c r="Q134" s="54">
        <f>IF(U134=U135,0,IF(AVERAGEIF(W:W,W134,U:U)=U134,0,_xlfn.XLOOKUP(O134,'Horarios y Sistemas'!C:C,'Horarios y Sistemas'!H:H,0,0,1)-P134))/7*U134</f>
        <v>0</v>
      </c>
      <c r="R134" s="54">
        <f t="shared" si="105"/>
        <v>0</v>
      </c>
      <c r="S134" s="55" t="str">
        <f t="shared" si="106"/>
        <v>SEPTIEMBRE</v>
      </c>
      <c r="T134" s="55" t="str">
        <f t="shared" si="107"/>
        <v>Sem38</v>
      </c>
      <c r="U134" s="56">
        <f t="shared" si="74"/>
        <v>7</v>
      </c>
      <c r="V134" s="57">
        <v>46279</v>
      </c>
      <c r="W134" s="56">
        <f t="shared" si="108"/>
        <v>38</v>
      </c>
      <c r="X134" s="56">
        <f t="shared" si="109"/>
        <v>14</v>
      </c>
      <c r="Y134" s="56" t="s">
        <v>28</v>
      </c>
      <c r="Z134" s="56">
        <v>1</v>
      </c>
      <c r="AA134" s="58">
        <f t="shared" si="148"/>
        <v>0</v>
      </c>
      <c r="AB134" s="58">
        <f t="shared" si="148"/>
        <v>0</v>
      </c>
      <c r="AC134" s="58">
        <f t="shared" si="148"/>
        <v>1</v>
      </c>
      <c r="AD134" s="58">
        <f t="shared" si="148"/>
        <v>0</v>
      </c>
      <c r="AE134" s="58">
        <f t="shared" si="148"/>
        <v>0</v>
      </c>
    </row>
    <row r="135" spans="2:34">
      <c r="B135" t="str">
        <f t="shared" si="96"/>
        <v>Sem3838CARLOS DANIEL RUIZ SANTOS</v>
      </c>
      <c r="C135" t="str">
        <f t="shared" si="97"/>
        <v>SEPTIEMBRESem38</v>
      </c>
      <c r="D135" t="str">
        <f t="shared" si="98"/>
        <v>SEPTIEMBRESem38CARLOS DANIEL RUIZ SANTOS</v>
      </c>
      <c r="E135" t="str">
        <f t="shared" si="99"/>
        <v>SEPTIEMBRESem3838CARLOS DANIEL RUIZ SANTOS</v>
      </c>
      <c r="F135" t="str">
        <f t="shared" si="100"/>
        <v>CARLOS DANIEL RUIZ SANTOS46280</v>
      </c>
      <c r="H135" s="49" t="s">
        <v>235</v>
      </c>
      <c r="I135" s="50" t="str">
        <f>+_xlfn.XLOOKUP($H135&amp;$V135,BASEDATOS!$B:$B,BASEDATOS!F:F,0,0,1)</f>
        <v>DIA</v>
      </c>
      <c r="J135" s="51">
        <f>+_xlfn.XLOOKUP($H135&amp;$V135,BASEDATOS!$B:$B,BASEDATOS!Q:Q,0,0,1)</f>
        <v>0.33333333333333298</v>
      </c>
      <c r="K135" s="51">
        <f>+_xlfn.XLOOKUP($H135&amp;$V135,BASEDATOS!$B:$B,BASEDATOS!R:R,0,0,1)</f>
        <v>0.70833333333333304</v>
      </c>
      <c r="L135" s="51">
        <f t="shared" si="101"/>
        <v>0.37500000000000006</v>
      </c>
      <c r="M135" s="52" t="str">
        <f t="shared" si="102"/>
        <v>1:00</v>
      </c>
      <c r="N135" s="51">
        <f t="shared" si="103"/>
        <v>0.33333333333333337</v>
      </c>
      <c r="O135" s="53" t="str">
        <f t="shared" ref="O135" si="152">+O140</f>
        <v>4-0-3</v>
      </c>
      <c r="P135" s="54">
        <f>+IF(AND(Y135="Domingo",U135=7),_xlfn.XLOOKUP(O135,'Horarios y Sistemas'!C:C,'Horarios y Sistemas'!H:H,0,0,1),0)</f>
        <v>0</v>
      </c>
      <c r="Q135" s="54">
        <f>IF(U135=U136,0,IF(AVERAGEIF(W:W,W135,U:U)=U135,0,_xlfn.XLOOKUP(O135,'Horarios y Sistemas'!C:C,'Horarios y Sistemas'!H:H,0,0,1)-P135))/7*U135</f>
        <v>0</v>
      </c>
      <c r="R135" s="54">
        <f t="shared" si="105"/>
        <v>0</v>
      </c>
      <c r="S135" s="55" t="str">
        <f t="shared" si="106"/>
        <v>SEPTIEMBRE</v>
      </c>
      <c r="T135" s="55" t="str">
        <f t="shared" si="107"/>
        <v>Sem38</v>
      </c>
      <c r="U135" s="56">
        <f t="shared" si="74"/>
        <v>7</v>
      </c>
      <c r="V135" s="59">
        <v>46280</v>
      </c>
      <c r="W135" s="56">
        <f t="shared" si="108"/>
        <v>38</v>
      </c>
      <c r="X135" s="56">
        <f t="shared" si="109"/>
        <v>15</v>
      </c>
      <c r="Y135" s="56" t="s">
        <v>29</v>
      </c>
      <c r="Z135" s="56">
        <v>2</v>
      </c>
      <c r="AA135" s="58">
        <f t="shared" si="148"/>
        <v>1</v>
      </c>
      <c r="AB135" s="58">
        <f t="shared" si="148"/>
        <v>0</v>
      </c>
      <c r="AC135" s="58">
        <f t="shared" si="148"/>
        <v>0</v>
      </c>
      <c r="AD135" s="58">
        <f t="shared" si="148"/>
        <v>0</v>
      </c>
      <c r="AE135" s="58">
        <f t="shared" si="148"/>
        <v>0</v>
      </c>
    </row>
    <row r="136" spans="2:34">
      <c r="B136" t="str">
        <f t="shared" si="96"/>
        <v>Sem3838CARLOS DANIEL RUIZ SANTOS</v>
      </c>
      <c r="C136" t="str">
        <f t="shared" si="97"/>
        <v>SEPTIEMBRESem38</v>
      </c>
      <c r="D136" t="str">
        <f t="shared" si="98"/>
        <v>SEPTIEMBRESem38CARLOS DANIEL RUIZ SANTOS</v>
      </c>
      <c r="E136" t="str">
        <f t="shared" si="99"/>
        <v>SEPTIEMBRESem3838CARLOS DANIEL RUIZ SANTOS</v>
      </c>
      <c r="F136" t="str">
        <f t="shared" si="100"/>
        <v>CARLOS DANIEL RUIZ SANTOS46281</v>
      </c>
      <c r="H136" s="49" t="s">
        <v>235</v>
      </c>
      <c r="I136" s="50" t="str">
        <f>+_xlfn.XLOOKUP($H136&amp;$V136,BASEDATOS!$B:$B,BASEDATOS!F:F,0,0,1)</f>
        <v>DIA</v>
      </c>
      <c r="J136" s="51">
        <f>+_xlfn.XLOOKUP($H136&amp;$V136,BASEDATOS!$B:$B,BASEDATOS!Q:Q,0,0,1)</f>
        <v>0.33333333333333298</v>
      </c>
      <c r="K136" s="51">
        <f>+_xlfn.XLOOKUP($H136&amp;$V136,BASEDATOS!$B:$B,BASEDATOS!R:R,0,0,1)</f>
        <v>0.70833333333333304</v>
      </c>
      <c r="L136" s="51">
        <f t="shared" si="101"/>
        <v>0.37500000000000006</v>
      </c>
      <c r="M136" s="52" t="str">
        <f t="shared" si="102"/>
        <v>1:00</v>
      </c>
      <c r="N136" s="51">
        <f t="shared" si="103"/>
        <v>0.33333333333333337</v>
      </c>
      <c r="O136" s="53" t="str">
        <f t="shared" ref="O136" si="153">+O140</f>
        <v>4-0-3</v>
      </c>
      <c r="P136" s="54">
        <f>+IF(AND(Y136="Domingo",U136=7),_xlfn.XLOOKUP(O136,'Horarios y Sistemas'!C:C,'Horarios y Sistemas'!H:H,0,0,1),0)</f>
        <v>0</v>
      </c>
      <c r="Q136" s="54">
        <f>IF(U136=U137,0,IF(AVERAGEIF(W:W,W136,U:U)=U136,0,_xlfn.XLOOKUP(O136,'Horarios y Sistemas'!C:C,'Horarios y Sistemas'!H:H,0,0,1)-P136))/7*U136</f>
        <v>0</v>
      </c>
      <c r="R136" s="54">
        <f t="shared" si="105"/>
        <v>0</v>
      </c>
      <c r="S136" s="55" t="str">
        <f t="shared" si="106"/>
        <v>SEPTIEMBRE</v>
      </c>
      <c r="T136" s="55" t="str">
        <f t="shared" si="107"/>
        <v>Sem38</v>
      </c>
      <c r="U136" s="56">
        <f t="shared" ref="U136:U199" si="154">+COUNTIF(B:B,B136)</f>
        <v>7</v>
      </c>
      <c r="V136" s="59">
        <v>46281</v>
      </c>
      <c r="W136" s="56">
        <f t="shared" si="108"/>
        <v>38</v>
      </c>
      <c r="X136" s="56">
        <f t="shared" si="109"/>
        <v>16</v>
      </c>
      <c r="Y136" s="56" t="s">
        <v>30</v>
      </c>
      <c r="Z136" s="56">
        <v>3</v>
      </c>
      <c r="AA136" s="58">
        <f t="shared" si="148"/>
        <v>1</v>
      </c>
      <c r="AB136" s="58">
        <f t="shared" si="148"/>
        <v>0</v>
      </c>
      <c r="AC136" s="58">
        <f t="shared" si="148"/>
        <v>0</v>
      </c>
      <c r="AD136" s="58">
        <f t="shared" si="148"/>
        <v>0</v>
      </c>
      <c r="AE136" s="58">
        <f t="shared" si="148"/>
        <v>0</v>
      </c>
    </row>
    <row r="137" spans="2:34">
      <c r="B137" t="str">
        <f t="shared" si="96"/>
        <v>Sem3838CARLOS DANIEL RUIZ SANTOS</v>
      </c>
      <c r="C137" t="str">
        <f t="shared" si="97"/>
        <v>SEPTIEMBRESem38</v>
      </c>
      <c r="D137" t="str">
        <f t="shared" si="98"/>
        <v>SEPTIEMBRESem38CARLOS DANIEL RUIZ SANTOS</v>
      </c>
      <c r="E137" t="str">
        <f t="shared" si="99"/>
        <v>SEPTIEMBRESem3838CARLOS DANIEL RUIZ SANTOS</v>
      </c>
      <c r="F137" t="str">
        <f t="shared" si="100"/>
        <v>CARLOS DANIEL RUIZ SANTOS46282</v>
      </c>
      <c r="H137" s="49" t="s">
        <v>235</v>
      </c>
      <c r="I137" s="50" t="str">
        <f>+_xlfn.XLOOKUP($H137&amp;$V137,BASEDATOS!$B:$B,BASEDATOS!F:F,0,0,1)</f>
        <v>DIA</v>
      </c>
      <c r="J137" s="51">
        <f>+_xlfn.XLOOKUP($H137&amp;$V137,BASEDATOS!$B:$B,BASEDATOS!Q:Q,0,0,1)</f>
        <v>0.25</v>
      </c>
      <c r="K137" s="51">
        <f>+_xlfn.XLOOKUP($H137&amp;$V137,BASEDATOS!$B:$B,BASEDATOS!R:R,0,0,1)</f>
        <v>0.75</v>
      </c>
      <c r="L137" s="51">
        <f t="shared" si="101"/>
        <v>0.5</v>
      </c>
      <c r="M137" s="52" t="str">
        <f t="shared" si="102"/>
        <v>1:00</v>
      </c>
      <c r="N137" s="51">
        <f t="shared" si="103"/>
        <v>0.45833333333333331</v>
      </c>
      <c r="O137" s="53" t="str">
        <f t="shared" ref="O137" si="155">+O140</f>
        <v>4-0-3</v>
      </c>
      <c r="P137" s="54">
        <f>+IF(AND(Y137="Domingo",U137=7),_xlfn.XLOOKUP(O137,'Horarios y Sistemas'!C:C,'Horarios y Sistemas'!H:H,0,0,1),0)</f>
        <v>0</v>
      </c>
      <c r="Q137" s="54">
        <f>IF(U137=U138,0,IF(AVERAGEIF(W:W,W137,U:U)=U137,0,_xlfn.XLOOKUP(O137,'Horarios y Sistemas'!C:C,'Horarios y Sistemas'!H:H,0,0,1)-P137))/7*U137</f>
        <v>0</v>
      </c>
      <c r="R137" s="54">
        <f t="shared" si="105"/>
        <v>0</v>
      </c>
      <c r="S137" s="55" t="str">
        <f t="shared" si="106"/>
        <v>SEPTIEMBRE</v>
      </c>
      <c r="T137" s="55" t="str">
        <f t="shared" si="107"/>
        <v>Sem38</v>
      </c>
      <c r="U137" s="56">
        <f t="shared" si="154"/>
        <v>7</v>
      </c>
      <c r="V137" s="59">
        <v>46282</v>
      </c>
      <c r="W137" s="56">
        <f t="shared" si="108"/>
        <v>38</v>
      </c>
      <c r="X137" s="56">
        <f t="shared" si="109"/>
        <v>17</v>
      </c>
      <c r="Y137" s="56" t="s">
        <v>31</v>
      </c>
      <c r="Z137" s="56">
        <v>4</v>
      </c>
      <c r="AA137" s="58">
        <f t="shared" si="148"/>
        <v>1</v>
      </c>
      <c r="AB137" s="58">
        <f t="shared" si="148"/>
        <v>0</v>
      </c>
      <c r="AC137" s="58">
        <f t="shared" si="148"/>
        <v>0</v>
      </c>
      <c r="AD137" s="58">
        <f t="shared" si="148"/>
        <v>0</v>
      </c>
      <c r="AE137" s="58">
        <f t="shared" si="148"/>
        <v>0</v>
      </c>
    </row>
    <row r="138" spans="2:34">
      <c r="B138" t="str">
        <f t="shared" si="96"/>
        <v>Sem3838CARLOS DANIEL RUIZ SANTOS</v>
      </c>
      <c r="C138" t="str">
        <f t="shared" si="97"/>
        <v>SEPTIEMBRESem38</v>
      </c>
      <c r="D138" t="str">
        <f t="shared" si="98"/>
        <v>SEPTIEMBRESem38CARLOS DANIEL RUIZ SANTOS</v>
      </c>
      <c r="E138" t="str">
        <f t="shared" si="99"/>
        <v>SEPTIEMBRESem3838CARLOS DANIEL RUIZ SANTOS</v>
      </c>
      <c r="F138" t="str">
        <f t="shared" si="100"/>
        <v>CARLOS DANIEL RUIZ SANTOS46283</v>
      </c>
      <c r="H138" s="49" t="s">
        <v>235</v>
      </c>
      <c r="I138" s="50" t="str">
        <f>+_xlfn.XLOOKUP($H138&amp;$V138,BASEDATOS!$B:$B,BASEDATOS!F:F,0,0,1)</f>
        <v>DIA</v>
      </c>
      <c r="J138" s="51">
        <f>+_xlfn.XLOOKUP($H138&amp;$V138,BASEDATOS!$B:$B,BASEDATOS!Q:Q,0,0,1)</f>
        <v>0.25</v>
      </c>
      <c r="K138" s="51">
        <f>+_xlfn.XLOOKUP($H138&amp;$V138,BASEDATOS!$B:$B,BASEDATOS!R:R,0,0,1)</f>
        <v>0.75</v>
      </c>
      <c r="L138" s="51">
        <f t="shared" si="101"/>
        <v>0.5</v>
      </c>
      <c r="M138" s="52" t="str">
        <f t="shared" si="102"/>
        <v>1:00</v>
      </c>
      <c r="N138" s="51">
        <f t="shared" si="103"/>
        <v>0.45833333333333331</v>
      </c>
      <c r="O138" s="53" t="str">
        <f t="shared" ref="O138" si="156">+O140</f>
        <v>4-0-3</v>
      </c>
      <c r="P138" s="54">
        <f>+IF(AND(Y138="Domingo",U138=7),_xlfn.XLOOKUP(O138,'Horarios y Sistemas'!C:C,'Horarios y Sistemas'!H:H,0,0,1),0)</f>
        <v>0</v>
      </c>
      <c r="Q138" s="54">
        <f>IF(U138=U139,0,IF(AVERAGEIF(W:W,W138,U:U)=U138,0,_xlfn.XLOOKUP(O138,'Horarios y Sistemas'!C:C,'Horarios y Sistemas'!H:H,0,0,1)-P138))/7*U138</f>
        <v>0</v>
      </c>
      <c r="R138" s="54">
        <f t="shared" si="105"/>
        <v>0</v>
      </c>
      <c r="S138" s="55" t="str">
        <f t="shared" si="106"/>
        <v>SEPTIEMBRE</v>
      </c>
      <c r="T138" s="55" t="str">
        <f t="shared" si="107"/>
        <v>Sem38</v>
      </c>
      <c r="U138" s="56">
        <f t="shared" si="154"/>
        <v>7</v>
      </c>
      <c r="V138" s="59">
        <v>46283</v>
      </c>
      <c r="W138" s="56">
        <f t="shared" si="108"/>
        <v>38</v>
      </c>
      <c r="X138" s="56">
        <f t="shared" si="109"/>
        <v>18</v>
      </c>
      <c r="Y138" s="56" t="s">
        <v>32</v>
      </c>
      <c r="Z138" s="56">
        <v>5</v>
      </c>
      <c r="AA138" s="58">
        <f t="shared" si="148"/>
        <v>1</v>
      </c>
      <c r="AB138" s="58">
        <f t="shared" si="148"/>
        <v>0</v>
      </c>
      <c r="AC138" s="58">
        <f t="shared" si="148"/>
        <v>0</v>
      </c>
      <c r="AD138" s="58">
        <f t="shared" si="148"/>
        <v>0</v>
      </c>
      <c r="AE138" s="58">
        <f t="shared" si="148"/>
        <v>0</v>
      </c>
    </row>
    <row r="139" spans="2:34">
      <c r="B139" t="str">
        <f t="shared" si="96"/>
        <v>Sem3838CARLOS DANIEL RUIZ SANTOS</v>
      </c>
      <c r="C139" t="str">
        <f t="shared" si="97"/>
        <v>SEPTIEMBRESem38</v>
      </c>
      <c r="D139" t="str">
        <f t="shared" si="98"/>
        <v>SEPTIEMBRESem38CARLOS DANIEL RUIZ SANTOS</v>
      </c>
      <c r="E139" t="str">
        <f t="shared" si="99"/>
        <v>SEPTIEMBRESem3838CARLOS DANIEL RUIZ SANTOS</v>
      </c>
      <c r="F139" t="str">
        <f t="shared" si="100"/>
        <v>CARLOS DANIEL RUIZ SANTOS46284</v>
      </c>
      <c r="H139" s="49" t="s">
        <v>235</v>
      </c>
      <c r="I139" s="50" t="str">
        <f>+_xlfn.XLOOKUP($H139&amp;$V139,BASEDATOS!$B:$B,BASEDATOS!F:F,0,0,1)</f>
        <v>DESCANSO</v>
      </c>
      <c r="J139" s="51">
        <f>+_xlfn.XLOOKUP($H139&amp;$V139,BASEDATOS!$B:$B,BASEDATOS!Q:Q,0,0,1)</f>
        <v>0</v>
      </c>
      <c r="K139" s="51">
        <f>+_xlfn.XLOOKUP($H139&amp;$V139,BASEDATOS!$B:$B,BASEDATOS!R:R,0,0,1)</f>
        <v>0</v>
      </c>
      <c r="L139" s="51">
        <f t="shared" si="101"/>
        <v>0</v>
      </c>
      <c r="M139" s="52">
        <f t="shared" si="102"/>
        <v>0</v>
      </c>
      <c r="N139" s="51">
        <f t="shared" si="103"/>
        <v>0</v>
      </c>
      <c r="O139" s="53" t="str">
        <f t="shared" ref="O139" si="157">+O140</f>
        <v>4-0-3</v>
      </c>
      <c r="P139" s="54">
        <f>+IF(AND(Y139="Domingo",U139=7),_xlfn.XLOOKUP(O139,'Horarios y Sistemas'!C:C,'Horarios y Sistemas'!H:H,0,0,1),0)</f>
        <v>0</v>
      </c>
      <c r="Q139" s="54">
        <f>IF(U139=U140,0,IF(AVERAGEIF(W:W,W139,U:U)=U139,0,_xlfn.XLOOKUP(O139,'Horarios y Sistemas'!C:C,'Horarios y Sistemas'!H:H,0,0,1)-P139))/7*U139</f>
        <v>0</v>
      </c>
      <c r="R139" s="54">
        <f t="shared" si="105"/>
        <v>0</v>
      </c>
      <c r="S139" s="55" t="str">
        <f t="shared" si="106"/>
        <v>SEPTIEMBRE</v>
      </c>
      <c r="T139" s="55" t="str">
        <f t="shared" si="107"/>
        <v>Sem38</v>
      </c>
      <c r="U139" s="56">
        <f t="shared" si="154"/>
        <v>7</v>
      </c>
      <c r="V139" s="59">
        <v>46284</v>
      </c>
      <c r="W139" s="56">
        <f t="shared" si="108"/>
        <v>38</v>
      </c>
      <c r="X139" s="56">
        <f t="shared" si="109"/>
        <v>19</v>
      </c>
      <c r="Y139" s="56" t="s">
        <v>33</v>
      </c>
      <c r="Z139" s="56">
        <v>6</v>
      </c>
      <c r="AA139" s="58">
        <f t="shared" si="148"/>
        <v>0</v>
      </c>
      <c r="AB139" s="58">
        <f t="shared" si="148"/>
        <v>0</v>
      </c>
      <c r="AC139" s="58">
        <f t="shared" si="148"/>
        <v>1</v>
      </c>
      <c r="AD139" s="58">
        <f t="shared" si="148"/>
        <v>0</v>
      </c>
      <c r="AE139" s="58">
        <f t="shared" si="148"/>
        <v>0</v>
      </c>
    </row>
    <row r="140" spans="2:34" s="60" customFormat="1">
      <c r="B140" s="60" t="str">
        <f t="shared" si="96"/>
        <v>Sem3838CARLOS DANIEL RUIZ SANTOS</v>
      </c>
      <c r="C140" s="60" t="str">
        <f t="shared" si="97"/>
        <v>SEPTIEMBRESem38</v>
      </c>
      <c r="D140" s="60" t="str">
        <f t="shared" si="98"/>
        <v>SEPTIEMBRESem38CARLOS DANIEL RUIZ SANTOS</v>
      </c>
      <c r="E140" s="60" t="str">
        <f t="shared" si="99"/>
        <v>SEPTIEMBRESem3838CARLOS DANIEL RUIZ SANTOS</v>
      </c>
      <c r="F140" s="60" t="str">
        <f t="shared" si="100"/>
        <v>CARLOS DANIEL RUIZ SANTOS46285</v>
      </c>
      <c r="H140" s="61" t="s">
        <v>235</v>
      </c>
      <c r="I140" s="62" t="str">
        <f>+_xlfn.XLOOKUP($H140&amp;$V140,BASEDATOS!$B:$B,BASEDATOS!F:F,0,0,1)</f>
        <v>DESCANSO</v>
      </c>
      <c r="J140" s="63">
        <f>+_xlfn.XLOOKUP($H140&amp;$V140,BASEDATOS!$B:$B,BASEDATOS!Q:Q,0,0,1)</f>
        <v>0</v>
      </c>
      <c r="K140" s="63">
        <f>+_xlfn.XLOOKUP($H140&amp;$V140,BASEDATOS!$B:$B,BASEDATOS!R:R,0,0,1)</f>
        <v>0</v>
      </c>
      <c r="L140" s="63">
        <f t="shared" si="101"/>
        <v>0</v>
      </c>
      <c r="M140" s="64">
        <f t="shared" si="102"/>
        <v>0</v>
      </c>
      <c r="N140" s="63">
        <f t="shared" si="103"/>
        <v>0</v>
      </c>
      <c r="O140" s="65" t="str">
        <f t="shared" ref="O140" si="158">+IF(Y140="Domingo",SUM(AA134:AA140)&amp;"-"&amp;SUM(AB134:AB140)&amp;"-"&amp;SUM(AC134:AE140),"")</f>
        <v>4-0-3</v>
      </c>
      <c r="P140" s="66">
        <f>+IF(AND(Y140="Domingo",U140=7),_xlfn.XLOOKUP(O140,'Horarios y Sistemas'!C:C,'Horarios y Sistemas'!H:H,0,0,1),0)</f>
        <v>44</v>
      </c>
      <c r="Q140" s="66">
        <f>IF(U140=U141,0,IF(AVERAGEIF(W:W,W140,U:U)=U140,0,_xlfn.XLOOKUP(O140,'Horarios y Sistemas'!C:C,'Horarios y Sistemas'!H:H,0,0,1)-P140))/7*U140</f>
        <v>0</v>
      </c>
      <c r="R140" s="66">
        <f t="shared" si="105"/>
        <v>44</v>
      </c>
      <c r="S140" s="67" t="str">
        <f t="shared" si="106"/>
        <v>SEPTIEMBRE</v>
      </c>
      <c r="T140" s="55" t="str">
        <f t="shared" si="107"/>
        <v>Sem38</v>
      </c>
      <c r="U140" s="68">
        <f t="shared" si="154"/>
        <v>7</v>
      </c>
      <c r="V140" s="69">
        <v>46285</v>
      </c>
      <c r="W140" s="68">
        <f t="shared" si="108"/>
        <v>38</v>
      </c>
      <c r="X140" s="68">
        <f t="shared" si="109"/>
        <v>20</v>
      </c>
      <c r="Y140" s="68" t="s">
        <v>34</v>
      </c>
      <c r="Z140" s="68">
        <v>7</v>
      </c>
      <c r="AA140" s="70">
        <f t="shared" si="148"/>
        <v>0</v>
      </c>
      <c r="AB140" s="70">
        <f t="shared" si="148"/>
        <v>0</v>
      </c>
      <c r="AC140" s="70">
        <f t="shared" si="148"/>
        <v>1</v>
      </c>
      <c r="AD140" s="70">
        <f t="shared" si="148"/>
        <v>0</v>
      </c>
      <c r="AE140" s="70">
        <f t="shared" si="148"/>
        <v>0</v>
      </c>
      <c r="AF140" s="71"/>
      <c r="AG140" s="71"/>
      <c r="AH140" s="71"/>
    </row>
    <row r="141" spans="2:34">
      <c r="B141" t="str">
        <f t="shared" si="96"/>
        <v>Sem3939CARLOS DANIEL RUIZ SANTOS</v>
      </c>
      <c r="C141" t="str">
        <f t="shared" si="97"/>
        <v>SEPTIEMBRESem39</v>
      </c>
      <c r="D141" t="str">
        <f t="shared" si="98"/>
        <v>SEPTIEMBRESem39CARLOS DANIEL RUIZ SANTOS</v>
      </c>
      <c r="E141" t="str">
        <f t="shared" si="99"/>
        <v>SEPTIEMBRESem3939CARLOS DANIEL RUIZ SANTOS</v>
      </c>
      <c r="F141" t="str">
        <f t="shared" si="100"/>
        <v>CARLOS DANIEL RUIZ SANTOS46286</v>
      </c>
      <c r="H141" s="49" t="s">
        <v>235</v>
      </c>
      <c r="I141" s="50" t="str">
        <f>+_xlfn.XLOOKUP($H141&amp;$V141,BASEDATOS!$B:$B,BASEDATOS!F:F,0,0,1)</f>
        <v>DIA</v>
      </c>
      <c r="J141" s="51">
        <f>+_xlfn.XLOOKUP($H141&amp;$V141,BASEDATOS!$B:$B,BASEDATOS!Q:Q,0,0,1)</f>
        <v>0.25</v>
      </c>
      <c r="K141" s="51">
        <f>+_xlfn.XLOOKUP($H141&amp;$V141,BASEDATOS!$B:$B,BASEDATOS!R:R,0,0,1)</f>
        <v>0.75</v>
      </c>
      <c r="L141" s="51">
        <f t="shared" si="101"/>
        <v>0.5</v>
      </c>
      <c r="M141" s="52" t="str">
        <f t="shared" si="102"/>
        <v>1:00</v>
      </c>
      <c r="N141" s="51">
        <f t="shared" si="103"/>
        <v>0.45833333333333331</v>
      </c>
      <c r="O141" s="53" t="str">
        <f t="shared" ref="O141" si="159">+O147</f>
        <v>6-0-1</v>
      </c>
      <c r="P141" s="54">
        <f>+IF(AND(Y141="Domingo",U141=7),_xlfn.XLOOKUP(O141,'Horarios y Sistemas'!C:C,'Horarios y Sistemas'!H:H,0,0,1),0)</f>
        <v>0</v>
      </c>
      <c r="Q141" s="54">
        <f>IF(U141=U142,0,IF(AVERAGEIF(W:W,W141,U:U)=U141,0,_xlfn.XLOOKUP(O141,'Horarios y Sistemas'!C:C,'Horarios y Sistemas'!H:H,0,0,1)-P141))/7*U141</f>
        <v>0</v>
      </c>
      <c r="R141" s="54">
        <f t="shared" si="105"/>
        <v>0</v>
      </c>
      <c r="S141" s="55" t="str">
        <f t="shared" si="106"/>
        <v>SEPTIEMBRE</v>
      </c>
      <c r="T141" s="55" t="str">
        <f t="shared" si="107"/>
        <v>Sem39</v>
      </c>
      <c r="U141" s="56">
        <f t="shared" si="154"/>
        <v>7</v>
      </c>
      <c r="V141" s="59">
        <v>46286</v>
      </c>
      <c r="W141" s="56">
        <f t="shared" si="108"/>
        <v>39</v>
      </c>
      <c r="X141" s="56">
        <f t="shared" si="109"/>
        <v>21</v>
      </c>
      <c r="Y141" s="56" t="s">
        <v>28</v>
      </c>
      <c r="Z141" s="56">
        <v>1</v>
      </c>
      <c r="AA141" s="58">
        <f t="shared" si="148"/>
        <v>1</v>
      </c>
      <c r="AB141" s="58">
        <f t="shared" si="148"/>
        <v>0</v>
      </c>
      <c r="AC141" s="58">
        <f t="shared" si="148"/>
        <v>0</v>
      </c>
      <c r="AD141" s="58">
        <f t="shared" si="148"/>
        <v>0</v>
      </c>
      <c r="AE141" s="58">
        <f t="shared" si="148"/>
        <v>0</v>
      </c>
    </row>
    <row r="142" spans="2:34">
      <c r="B142" t="str">
        <f t="shared" si="96"/>
        <v>Sem3939CARLOS DANIEL RUIZ SANTOS</v>
      </c>
      <c r="C142" t="str">
        <f t="shared" si="97"/>
        <v>SEPTIEMBRESem39</v>
      </c>
      <c r="D142" t="str">
        <f t="shared" si="98"/>
        <v>SEPTIEMBRESem39CARLOS DANIEL RUIZ SANTOS</v>
      </c>
      <c r="E142" t="str">
        <f t="shared" si="99"/>
        <v>SEPTIEMBRESem3939CARLOS DANIEL RUIZ SANTOS</v>
      </c>
      <c r="F142" t="str">
        <f t="shared" si="100"/>
        <v>CARLOS DANIEL RUIZ SANTOS46287</v>
      </c>
      <c r="H142" s="49" t="s">
        <v>235</v>
      </c>
      <c r="I142" s="50" t="str">
        <f>+_xlfn.XLOOKUP($H142&amp;$V142,BASEDATOS!$B:$B,BASEDATOS!F:F,0,0,1)</f>
        <v>DIA</v>
      </c>
      <c r="J142" s="51">
        <f>+_xlfn.XLOOKUP($H142&amp;$V142,BASEDATOS!$B:$B,BASEDATOS!Q:Q,0,0,1)</f>
        <v>0.25</v>
      </c>
      <c r="K142" s="51">
        <f>+_xlfn.XLOOKUP($H142&amp;$V142,BASEDATOS!$B:$B,BASEDATOS!R:R,0,0,1)</f>
        <v>0.75</v>
      </c>
      <c r="L142" s="51">
        <f t="shared" si="101"/>
        <v>0.5</v>
      </c>
      <c r="M142" s="52" t="str">
        <f t="shared" si="102"/>
        <v>1:00</v>
      </c>
      <c r="N142" s="51">
        <f t="shared" si="103"/>
        <v>0.45833333333333331</v>
      </c>
      <c r="O142" s="53" t="str">
        <f t="shared" ref="O142" si="160">+O147</f>
        <v>6-0-1</v>
      </c>
      <c r="P142" s="54">
        <f>+IF(AND(Y142="Domingo",U142=7),_xlfn.XLOOKUP(O142,'Horarios y Sistemas'!C:C,'Horarios y Sistemas'!H:H,0,0,1),0)</f>
        <v>0</v>
      </c>
      <c r="Q142" s="54">
        <f>IF(U142=U143,0,IF(AVERAGEIF(W:W,W142,U:U)=U142,0,_xlfn.XLOOKUP(O142,'Horarios y Sistemas'!C:C,'Horarios y Sistemas'!H:H,0,0,1)-P142))/7*U142</f>
        <v>0</v>
      </c>
      <c r="R142" s="54">
        <f t="shared" si="105"/>
        <v>0</v>
      </c>
      <c r="S142" s="55" t="str">
        <f t="shared" si="106"/>
        <v>SEPTIEMBRE</v>
      </c>
      <c r="T142" s="55" t="str">
        <f t="shared" si="107"/>
        <v>Sem39</v>
      </c>
      <c r="U142" s="56">
        <f t="shared" si="154"/>
        <v>7</v>
      </c>
      <c r="V142" s="59">
        <v>46287</v>
      </c>
      <c r="W142" s="56">
        <f t="shared" si="108"/>
        <v>39</v>
      </c>
      <c r="X142" s="56">
        <f t="shared" si="109"/>
        <v>22</v>
      </c>
      <c r="Y142" s="56" t="s">
        <v>29</v>
      </c>
      <c r="Z142" s="56">
        <v>2</v>
      </c>
      <c r="AA142" s="58">
        <f t="shared" si="148"/>
        <v>1</v>
      </c>
      <c r="AB142" s="58">
        <f t="shared" si="148"/>
        <v>0</v>
      </c>
      <c r="AC142" s="58">
        <f t="shared" si="148"/>
        <v>0</v>
      </c>
      <c r="AD142" s="58">
        <f t="shared" si="148"/>
        <v>0</v>
      </c>
      <c r="AE142" s="58">
        <f t="shared" si="148"/>
        <v>0</v>
      </c>
    </row>
    <row r="143" spans="2:34">
      <c r="B143" t="str">
        <f t="shared" si="96"/>
        <v>Sem3939CARLOS DANIEL RUIZ SANTOS</v>
      </c>
      <c r="C143" t="str">
        <f t="shared" si="97"/>
        <v>SEPTIEMBRESem39</v>
      </c>
      <c r="D143" t="str">
        <f t="shared" si="98"/>
        <v>SEPTIEMBRESem39CARLOS DANIEL RUIZ SANTOS</v>
      </c>
      <c r="E143" t="str">
        <f t="shared" si="99"/>
        <v>SEPTIEMBRESem3939CARLOS DANIEL RUIZ SANTOS</v>
      </c>
      <c r="F143" t="str">
        <f t="shared" si="100"/>
        <v>CARLOS DANIEL RUIZ SANTOS46288</v>
      </c>
      <c r="H143" s="49" t="s">
        <v>235</v>
      </c>
      <c r="I143" s="50" t="str">
        <f>+_xlfn.XLOOKUP($H143&amp;$V143,BASEDATOS!$B:$B,BASEDATOS!F:F,0,0,1)</f>
        <v>DIA</v>
      </c>
      <c r="J143" s="51">
        <f>+_xlfn.XLOOKUP($H143&amp;$V143,BASEDATOS!$B:$B,BASEDATOS!Q:Q,0,0,1)</f>
        <v>0.25</v>
      </c>
      <c r="K143" s="51">
        <f>+_xlfn.XLOOKUP($H143&amp;$V143,BASEDATOS!$B:$B,BASEDATOS!R:R,0,0,1)</f>
        <v>0.75</v>
      </c>
      <c r="L143" s="51">
        <f t="shared" si="101"/>
        <v>0.5</v>
      </c>
      <c r="M143" s="52" t="str">
        <f t="shared" si="102"/>
        <v>1:00</v>
      </c>
      <c r="N143" s="51">
        <f t="shared" si="103"/>
        <v>0.45833333333333331</v>
      </c>
      <c r="O143" s="53" t="str">
        <f t="shared" ref="O143" si="161">+O147</f>
        <v>6-0-1</v>
      </c>
      <c r="P143" s="54">
        <f>+IF(AND(Y143="Domingo",U143=7),_xlfn.XLOOKUP(O143,'Horarios y Sistemas'!C:C,'Horarios y Sistemas'!H:H,0,0,1),0)</f>
        <v>0</v>
      </c>
      <c r="Q143" s="54">
        <f>IF(U143=U144,0,IF(AVERAGEIF(W:W,W143,U:U)=U143,0,_xlfn.XLOOKUP(O143,'Horarios y Sistemas'!C:C,'Horarios y Sistemas'!H:H,0,0,1)-P143))/7*U143</f>
        <v>0</v>
      </c>
      <c r="R143" s="54">
        <f t="shared" si="105"/>
        <v>0</v>
      </c>
      <c r="S143" s="55" t="str">
        <f t="shared" si="106"/>
        <v>SEPTIEMBRE</v>
      </c>
      <c r="T143" s="55" t="str">
        <f t="shared" si="107"/>
        <v>Sem39</v>
      </c>
      <c r="U143" s="56">
        <f t="shared" si="154"/>
        <v>7</v>
      </c>
      <c r="V143" s="59">
        <v>46288</v>
      </c>
      <c r="W143" s="56">
        <f t="shared" si="108"/>
        <v>39</v>
      </c>
      <c r="X143" s="56">
        <f t="shared" si="109"/>
        <v>23</v>
      </c>
      <c r="Y143" s="56" t="s">
        <v>30</v>
      </c>
      <c r="Z143" s="56">
        <v>3</v>
      </c>
      <c r="AA143" s="58">
        <f t="shared" si="148"/>
        <v>1</v>
      </c>
      <c r="AB143" s="58">
        <f t="shared" si="148"/>
        <v>0</v>
      </c>
      <c r="AC143" s="58">
        <f t="shared" si="148"/>
        <v>0</v>
      </c>
      <c r="AD143" s="58">
        <f t="shared" si="148"/>
        <v>0</v>
      </c>
      <c r="AE143" s="58">
        <f t="shared" si="148"/>
        <v>0</v>
      </c>
    </row>
    <row r="144" spans="2:34">
      <c r="B144" t="str">
        <f t="shared" si="96"/>
        <v>Sem3939CARLOS DANIEL RUIZ SANTOS</v>
      </c>
      <c r="C144" t="str">
        <f t="shared" si="97"/>
        <v>SEPTIEMBRESem39</v>
      </c>
      <c r="D144" t="str">
        <f t="shared" si="98"/>
        <v>SEPTIEMBRESem39CARLOS DANIEL RUIZ SANTOS</v>
      </c>
      <c r="E144" t="str">
        <f t="shared" si="99"/>
        <v>SEPTIEMBRESem3939CARLOS DANIEL RUIZ SANTOS</v>
      </c>
      <c r="F144" t="str">
        <f t="shared" si="100"/>
        <v>CARLOS DANIEL RUIZ SANTOS46289</v>
      </c>
      <c r="H144" s="49" t="s">
        <v>235</v>
      </c>
      <c r="I144" s="50" t="str">
        <f>+_xlfn.XLOOKUP($H144&amp;$V144,BASEDATOS!$B:$B,BASEDATOS!F:F,0,0,1)</f>
        <v>DIA</v>
      </c>
      <c r="J144" s="51">
        <f>+_xlfn.XLOOKUP($H144&amp;$V144,BASEDATOS!$B:$B,BASEDATOS!Q:Q,0,0,1)</f>
        <v>0.25</v>
      </c>
      <c r="K144" s="51">
        <f>+_xlfn.XLOOKUP($H144&amp;$V144,BASEDATOS!$B:$B,BASEDATOS!R:R,0,0,1)</f>
        <v>0.75</v>
      </c>
      <c r="L144" s="51">
        <f t="shared" si="101"/>
        <v>0.5</v>
      </c>
      <c r="M144" s="52" t="str">
        <f t="shared" si="102"/>
        <v>1:00</v>
      </c>
      <c r="N144" s="51">
        <f t="shared" si="103"/>
        <v>0.45833333333333331</v>
      </c>
      <c r="O144" s="53" t="str">
        <f t="shared" ref="O144" si="162">+O147</f>
        <v>6-0-1</v>
      </c>
      <c r="P144" s="54">
        <f>+IF(AND(Y144="Domingo",U144=7),_xlfn.XLOOKUP(O144,'Horarios y Sistemas'!C:C,'Horarios y Sistemas'!H:H,0,0,1),0)</f>
        <v>0</v>
      </c>
      <c r="Q144" s="54">
        <f>IF(U144=U145,0,IF(AVERAGEIF(W:W,W144,U:U)=U144,0,_xlfn.XLOOKUP(O144,'Horarios y Sistemas'!C:C,'Horarios y Sistemas'!H:H,0,0,1)-P144))/7*U144</f>
        <v>0</v>
      </c>
      <c r="R144" s="54">
        <f t="shared" si="105"/>
        <v>0</v>
      </c>
      <c r="S144" s="55" t="str">
        <f t="shared" si="106"/>
        <v>SEPTIEMBRE</v>
      </c>
      <c r="T144" s="55" t="str">
        <f t="shared" si="107"/>
        <v>Sem39</v>
      </c>
      <c r="U144" s="56">
        <f t="shared" si="154"/>
        <v>7</v>
      </c>
      <c r="V144" s="59">
        <v>46289</v>
      </c>
      <c r="W144" s="56">
        <f t="shared" si="108"/>
        <v>39</v>
      </c>
      <c r="X144" s="56">
        <f t="shared" si="109"/>
        <v>24</v>
      </c>
      <c r="Y144" s="56" t="s">
        <v>31</v>
      </c>
      <c r="Z144" s="56">
        <v>4</v>
      </c>
      <c r="AA144" s="58">
        <f t="shared" si="148"/>
        <v>1</v>
      </c>
      <c r="AB144" s="58">
        <f t="shared" si="148"/>
        <v>0</v>
      </c>
      <c r="AC144" s="58">
        <f t="shared" si="148"/>
        <v>0</v>
      </c>
      <c r="AD144" s="58">
        <f t="shared" si="148"/>
        <v>0</v>
      </c>
      <c r="AE144" s="58">
        <f t="shared" si="148"/>
        <v>0</v>
      </c>
    </row>
    <row r="145" spans="2:34">
      <c r="B145" t="str">
        <f t="shared" si="96"/>
        <v>Sem3939CARLOS DANIEL RUIZ SANTOS</v>
      </c>
      <c r="C145" t="str">
        <f t="shared" si="97"/>
        <v>SEPTIEMBRESem39</v>
      </c>
      <c r="D145" t="str">
        <f t="shared" si="98"/>
        <v>SEPTIEMBRESem39CARLOS DANIEL RUIZ SANTOS</v>
      </c>
      <c r="E145" t="str">
        <f t="shared" si="99"/>
        <v>SEPTIEMBRESem3939CARLOS DANIEL RUIZ SANTOS</v>
      </c>
      <c r="F145" t="str">
        <f t="shared" si="100"/>
        <v>CARLOS DANIEL RUIZ SANTOS46290</v>
      </c>
      <c r="H145" s="49" t="s">
        <v>235</v>
      </c>
      <c r="I145" s="50" t="str">
        <f>+_xlfn.XLOOKUP($H145&amp;$V145,BASEDATOS!$B:$B,BASEDATOS!F:F,0,0,1)</f>
        <v>DIA</v>
      </c>
      <c r="J145" s="51">
        <f>+_xlfn.XLOOKUP($H145&amp;$V145,BASEDATOS!$B:$B,BASEDATOS!Q:Q,0,0,1)</f>
        <v>0.25</v>
      </c>
      <c r="K145" s="51">
        <f>+_xlfn.XLOOKUP($H145&amp;$V145,BASEDATOS!$B:$B,BASEDATOS!R:R,0,0,1)</f>
        <v>0.75</v>
      </c>
      <c r="L145" s="51">
        <f t="shared" si="101"/>
        <v>0.5</v>
      </c>
      <c r="M145" s="52" t="str">
        <f t="shared" si="102"/>
        <v>1:00</v>
      </c>
      <c r="N145" s="51">
        <f t="shared" si="103"/>
        <v>0.45833333333333331</v>
      </c>
      <c r="O145" s="53" t="str">
        <f t="shared" ref="O145" si="163">+O147</f>
        <v>6-0-1</v>
      </c>
      <c r="P145" s="54">
        <f>+IF(AND(Y145="Domingo",U145=7),_xlfn.XLOOKUP(O145,'Horarios y Sistemas'!C:C,'Horarios y Sistemas'!H:H,0,0,1),0)</f>
        <v>0</v>
      </c>
      <c r="Q145" s="54">
        <f>IF(U145=U146,0,IF(AVERAGEIF(W:W,W145,U:U)=U145,0,_xlfn.XLOOKUP(O145,'Horarios y Sistemas'!C:C,'Horarios y Sistemas'!H:H,0,0,1)-P145))/7*U145</f>
        <v>0</v>
      </c>
      <c r="R145" s="54">
        <f t="shared" si="105"/>
        <v>0</v>
      </c>
      <c r="S145" s="55" t="str">
        <f t="shared" si="106"/>
        <v>SEPTIEMBRE</v>
      </c>
      <c r="T145" s="55" t="str">
        <f t="shared" si="107"/>
        <v>Sem39</v>
      </c>
      <c r="U145" s="56">
        <f t="shared" si="154"/>
        <v>7</v>
      </c>
      <c r="V145" s="59">
        <v>46290</v>
      </c>
      <c r="W145" s="56">
        <f t="shared" si="108"/>
        <v>39</v>
      </c>
      <c r="X145" s="56">
        <f t="shared" si="109"/>
        <v>25</v>
      </c>
      <c r="Y145" s="56" t="s">
        <v>32</v>
      </c>
      <c r="Z145" s="56">
        <v>5</v>
      </c>
      <c r="AA145" s="58">
        <f t="shared" si="148"/>
        <v>1</v>
      </c>
      <c r="AB145" s="58">
        <f t="shared" si="148"/>
        <v>0</v>
      </c>
      <c r="AC145" s="58">
        <f t="shared" si="148"/>
        <v>0</v>
      </c>
      <c r="AD145" s="58">
        <f t="shared" si="148"/>
        <v>0</v>
      </c>
      <c r="AE145" s="58">
        <f t="shared" si="148"/>
        <v>0</v>
      </c>
    </row>
    <row r="146" spans="2:34">
      <c r="B146" t="str">
        <f t="shared" si="96"/>
        <v>Sem3939CARLOS DANIEL RUIZ SANTOS</v>
      </c>
      <c r="C146" t="str">
        <f t="shared" si="97"/>
        <v>SEPTIEMBRESem39</v>
      </c>
      <c r="D146" t="str">
        <f t="shared" si="98"/>
        <v>SEPTIEMBRESem39CARLOS DANIEL RUIZ SANTOS</v>
      </c>
      <c r="E146" t="str">
        <f t="shared" si="99"/>
        <v>SEPTIEMBRESem3939CARLOS DANIEL RUIZ SANTOS</v>
      </c>
      <c r="F146" t="str">
        <f t="shared" si="100"/>
        <v>CARLOS DANIEL RUIZ SANTOS46291</v>
      </c>
      <c r="H146" s="49" t="s">
        <v>235</v>
      </c>
      <c r="I146" s="50" t="str">
        <f>+_xlfn.XLOOKUP($H146&amp;$V146,BASEDATOS!$B:$B,BASEDATOS!F:F,0,0,1)</f>
        <v>DIA</v>
      </c>
      <c r="J146" s="51">
        <f>+_xlfn.XLOOKUP($H146&amp;$V146,BASEDATOS!$B:$B,BASEDATOS!Q:Q,0,0,1)</f>
        <v>0.25</v>
      </c>
      <c r="K146" s="51">
        <f>+_xlfn.XLOOKUP($H146&amp;$V146,BASEDATOS!$B:$B,BASEDATOS!R:R,0,0,1)</f>
        <v>0.58333333333333304</v>
      </c>
      <c r="L146" s="51">
        <f t="shared" si="101"/>
        <v>0.33333333333333304</v>
      </c>
      <c r="M146" s="52" t="str">
        <f t="shared" si="102"/>
        <v>1:00</v>
      </c>
      <c r="N146" s="51">
        <f t="shared" si="103"/>
        <v>0.29166666666666635</v>
      </c>
      <c r="O146" s="53" t="str">
        <f t="shared" ref="O146" si="164">+O147</f>
        <v>6-0-1</v>
      </c>
      <c r="P146" s="54">
        <f>+IF(AND(Y146="Domingo",U146=7),_xlfn.XLOOKUP(O146,'Horarios y Sistemas'!C:C,'Horarios y Sistemas'!H:H,0,0,1),0)</f>
        <v>0</v>
      </c>
      <c r="Q146" s="54">
        <f>IF(U146=U147,0,IF(AVERAGEIF(W:W,W146,U:U)=U146,0,_xlfn.XLOOKUP(O146,'Horarios y Sistemas'!C:C,'Horarios y Sistemas'!H:H,0,0,1)-P146))/7*U146</f>
        <v>0</v>
      </c>
      <c r="R146" s="54">
        <f t="shared" si="105"/>
        <v>0</v>
      </c>
      <c r="S146" s="55" t="str">
        <f t="shared" si="106"/>
        <v>SEPTIEMBRE</v>
      </c>
      <c r="T146" s="55" t="str">
        <f t="shared" si="107"/>
        <v>Sem39</v>
      </c>
      <c r="U146" s="56">
        <f t="shared" si="154"/>
        <v>7</v>
      </c>
      <c r="V146" s="59">
        <v>46291</v>
      </c>
      <c r="W146" s="56">
        <f t="shared" si="108"/>
        <v>39</v>
      </c>
      <c r="X146" s="56">
        <f t="shared" si="109"/>
        <v>26</v>
      </c>
      <c r="Y146" s="56" t="s">
        <v>33</v>
      </c>
      <c r="Z146" s="56">
        <v>6</v>
      </c>
      <c r="AA146" s="58">
        <f t="shared" si="148"/>
        <v>1</v>
      </c>
      <c r="AB146" s="58">
        <f t="shared" si="148"/>
        <v>0</v>
      </c>
      <c r="AC146" s="58">
        <f t="shared" si="148"/>
        <v>0</v>
      </c>
      <c r="AD146" s="58">
        <f t="shared" si="148"/>
        <v>0</v>
      </c>
      <c r="AE146" s="58">
        <f t="shared" si="148"/>
        <v>0</v>
      </c>
    </row>
    <row r="147" spans="2:34" s="60" customFormat="1">
      <c r="B147" s="60" t="str">
        <f t="shared" si="96"/>
        <v>Sem3939CARLOS DANIEL RUIZ SANTOS</v>
      </c>
      <c r="C147" s="60" t="str">
        <f t="shared" si="97"/>
        <v>SEPTIEMBRESem39</v>
      </c>
      <c r="D147" s="60" t="str">
        <f t="shared" si="98"/>
        <v>SEPTIEMBRESem39CARLOS DANIEL RUIZ SANTOS</v>
      </c>
      <c r="E147" s="60" t="str">
        <f t="shared" si="99"/>
        <v>SEPTIEMBRESem3939CARLOS DANIEL RUIZ SANTOS</v>
      </c>
      <c r="F147" s="60" t="str">
        <f t="shared" si="100"/>
        <v>CARLOS DANIEL RUIZ SANTOS46292</v>
      </c>
      <c r="H147" s="61" t="s">
        <v>235</v>
      </c>
      <c r="I147" s="62" t="str">
        <f>+_xlfn.XLOOKUP($H147&amp;$V147,BASEDATOS!$B:$B,BASEDATOS!F:F,0,0,1)</f>
        <v>DESCANSO</v>
      </c>
      <c r="J147" s="63">
        <f>+_xlfn.XLOOKUP($H147&amp;$V147,BASEDATOS!$B:$B,BASEDATOS!Q:Q,0,0,1)</f>
        <v>0</v>
      </c>
      <c r="K147" s="63">
        <f>+_xlfn.XLOOKUP($H147&amp;$V147,BASEDATOS!$B:$B,BASEDATOS!R:R,0,0,1)</f>
        <v>0</v>
      </c>
      <c r="L147" s="63">
        <f t="shared" si="101"/>
        <v>0</v>
      </c>
      <c r="M147" s="64">
        <f t="shared" si="102"/>
        <v>0</v>
      </c>
      <c r="N147" s="63">
        <f t="shared" si="103"/>
        <v>0</v>
      </c>
      <c r="O147" s="65" t="str">
        <f t="shared" ref="O147" si="165">+IF(Y147="Domingo",SUM(AA141:AA147)&amp;"-"&amp;SUM(AB141:AB147)&amp;"-"&amp;SUM(AC141:AE147),"")</f>
        <v>6-0-1</v>
      </c>
      <c r="P147" s="66">
        <f>+IF(AND(Y147="Domingo",U147=7),_xlfn.XLOOKUP(O147,'Horarios y Sistemas'!C:C,'Horarios y Sistemas'!H:H,0,0,1),0)</f>
        <v>44</v>
      </c>
      <c r="Q147" s="66">
        <f>IF(U147=U148,0,IF(AVERAGEIF(W:W,W147,U:U)=U147,0,_xlfn.XLOOKUP(O147,'Horarios y Sistemas'!C:C,'Horarios y Sistemas'!H:H,0,0,1)-P147))/7*U147</f>
        <v>0</v>
      </c>
      <c r="R147" s="66">
        <f t="shared" si="105"/>
        <v>44</v>
      </c>
      <c r="S147" s="67" t="str">
        <f t="shared" si="106"/>
        <v>SEPTIEMBRE</v>
      </c>
      <c r="T147" s="55" t="str">
        <f t="shared" si="107"/>
        <v>Sem39</v>
      </c>
      <c r="U147" s="68">
        <f t="shared" si="154"/>
        <v>7</v>
      </c>
      <c r="V147" s="69">
        <v>46292</v>
      </c>
      <c r="W147" s="68">
        <f t="shared" si="108"/>
        <v>39</v>
      </c>
      <c r="X147" s="68">
        <f t="shared" si="109"/>
        <v>27</v>
      </c>
      <c r="Y147" s="68" t="s">
        <v>34</v>
      </c>
      <c r="Z147" s="68">
        <v>7</v>
      </c>
      <c r="AA147" s="70">
        <f t="shared" si="148"/>
        <v>0</v>
      </c>
      <c r="AB147" s="70">
        <f t="shared" si="148"/>
        <v>0</v>
      </c>
      <c r="AC147" s="70">
        <f t="shared" si="148"/>
        <v>1</v>
      </c>
      <c r="AD147" s="70">
        <f t="shared" si="148"/>
        <v>0</v>
      </c>
      <c r="AE147" s="70">
        <f t="shared" si="148"/>
        <v>0</v>
      </c>
      <c r="AF147" s="71"/>
      <c r="AG147" s="71"/>
      <c r="AH147" s="71"/>
    </row>
    <row r="148" spans="2:34">
      <c r="B148" t="str">
        <f t="shared" si="96"/>
        <v>Sem4040CARLOS DANIEL RUIZ SANTOS</v>
      </c>
      <c r="C148" t="str">
        <f t="shared" si="97"/>
        <v>SEPTIEMBRESem40</v>
      </c>
      <c r="D148" t="str">
        <f t="shared" si="98"/>
        <v>SEPTIEMBRESem40CARLOS DANIEL RUIZ SANTOS</v>
      </c>
      <c r="E148" t="str">
        <f t="shared" si="99"/>
        <v>SEPTIEMBRESem4040CARLOS DANIEL RUIZ SANTOS</v>
      </c>
      <c r="F148" t="str">
        <f t="shared" si="100"/>
        <v>CARLOS DANIEL RUIZ SANTOS46293</v>
      </c>
      <c r="H148" s="49" t="s">
        <v>235</v>
      </c>
      <c r="I148" s="50" t="str">
        <f>+_xlfn.XLOOKUP($H148&amp;$V148,BASEDATOS!$B:$B,BASEDATOS!F:F,0,0,1)</f>
        <v>NOCHE</v>
      </c>
      <c r="J148" s="51">
        <f>+_xlfn.XLOOKUP($H148&amp;$V148,BASEDATOS!$B:$B,BASEDATOS!Q:Q,0,0,1)</f>
        <v>0.75</v>
      </c>
      <c r="K148" s="51">
        <f>+_xlfn.XLOOKUP($H148&amp;$V148,BASEDATOS!$B:$B,BASEDATOS!R:R,0,0,1)</f>
        <v>0.25</v>
      </c>
      <c r="L148" s="51">
        <f t="shared" si="101"/>
        <v>0.5</v>
      </c>
      <c r="M148" s="52" t="str">
        <f t="shared" si="102"/>
        <v>1:00</v>
      </c>
      <c r="N148" s="51">
        <f t="shared" si="103"/>
        <v>0.45833333333333331</v>
      </c>
      <c r="O148" s="53" t="str">
        <f t="shared" ref="O148" si="166">+O154</f>
        <v>0-5-2</v>
      </c>
      <c r="P148" s="54">
        <f>+IF(AND(Y148="Domingo",U148=7),_xlfn.XLOOKUP(O148,'Horarios y Sistemas'!C:C,'Horarios y Sistemas'!H:H,0,0,1),0)</f>
        <v>0</v>
      </c>
      <c r="Q148" s="54">
        <f>IF(U148=U149,0,IF(AVERAGEIF(W:W,W148,U:U)=U148,0,_xlfn.XLOOKUP(O148,'Horarios y Sistemas'!C:C,'Horarios y Sistemas'!H:H,0,0,1)-P148))/7*U148</f>
        <v>0</v>
      </c>
      <c r="R148" s="54">
        <f t="shared" si="105"/>
        <v>0</v>
      </c>
      <c r="S148" s="55" t="str">
        <f t="shared" si="106"/>
        <v>SEPTIEMBRE</v>
      </c>
      <c r="T148" s="55" t="str">
        <f t="shared" si="107"/>
        <v>Sem40</v>
      </c>
      <c r="U148" s="56">
        <f t="shared" si="154"/>
        <v>7</v>
      </c>
      <c r="V148" s="59">
        <v>46293</v>
      </c>
      <c r="W148" s="56">
        <f t="shared" si="108"/>
        <v>40</v>
      </c>
      <c r="X148" s="56">
        <f t="shared" si="109"/>
        <v>28</v>
      </c>
      <c r="Y148" s="56" t="s">
        <v>28</v>
      </c>
      <c r="Z148" s="56">
        <v>1</v>
      </c>
      <c r="AA148" s="58">
        <f t="shared" si="148"/>
        <v>0</v>
      </c>
      <c r="AB148" s="58">
        <f t="shared" si="148"/>
        <v>1</v>
      </c>
      <c r="AC148" s="58">
        <f t="shared" si="148"/>
        <v>0</v>
      </c>
      <c r="AD148" s="58">
        <f t="shared" si="148"/>
        <v>0</v>
      </c>
      <c r="AE148" s="58">
        <f t="shared" si="148"/>
        <v>0</v>
      </c>
    </row>
    <row r="149" spans="2:34">
      <c r="B149" t="str">
        <f t="shared" si="96"/>
        <v>Sem4040CARLOS DANIEL RUIZ SANTOS</v>
      </c>
      <c r="C149" t="str">
        <f t="shared" si="97"/>
        <v>SEPTIEMBRESem40</v>
      </c>
      <c r="D149" t="str">
        <f t="shared" si="98"/>
        <v>SEPTIEMBRESem40CARLOS DANIEL RUIZ SANTOS</v>
      </c>
      <c r="E149" t="str">
        <f t="shared" si="99"/>
        <v>SEPTIEMBRESem4040CARLOS DANIEL RUIZ SANTOS</v>
      </c>
      <c r="F149" t="str">
        <f t="shared" si="100"/>
        <v>CARLOS DANIEL RUIZ SANTOS46294</v>
      </c>
      <c r="H149" s="49" t="s">
        <v>235</v>
      </c>
      <c r="I149" s="50" t="str">
        <f>+_xlfn.XLOOKUP($H149&amp;$V149,BASEDATOS!$B:$B,BASEDATOS!F:F,0,0,1)</f>
        <v>NOCHE</v>
      </c>
      <c r="J149" s="51">
        <f>+_xlfn.XLOOKUP($H149&amp;$V149,BASEDATOS!$B:$B,BASEDATOS!Q:Q,0,0,1)</f>
        <v>0.75</v>
      </c>
      <c r="K149" s="51">
        <f>+_xlfn.XLOOKUP($H149&amp;$V149,BASEDATOS!$B:$B,BASEDATOS!R:R,0,0,1)</f>
        <v>0.25</v>
      </c>
      <c r="L149" s="51">
        <f t="shared" si="101"/>
        <v>0.5</v>
      </c>
      <c r="M149" s="52" t="str">
        <f t="shared" si="102"/>
        <v>1:00</v>
      </c>
      <c r="N149" s="51">
        <f t="shared" si="103"/>
        <v>0.45833333333333331</v>
      </c>
      <c r="O149" s="53" t="str">
        <f t="shared" ref="O149" si="167">+O154</f>
        <v>0-5-2</v>
      </c>
      <c r="P149" s="54">
        <f>+IF(AND(Y149="Domingo",U149=7),_xlfn.XLOOKUP(O149,'Horarios y Sistemas'!C:C,'Horarios y Sistemas'!H:H,0,0,1),0)</f>
        <v>0</v>
      </c>
      <c r="Q149" s="54">
        <f>IF(U149=U150,0,IF(AVERAGEIF(W:W,W149,U:U)=U149,0,_xlfn.XLOOKUP(O149,'Horarios y Sistemas'!C:C,'Horarios y Sistemas'!H:H,0,0,1)-P149))/7*U149</f>
        <v>0</v>
      </c>
      <c r="R149" s="54">
        <f t="shared" si="105"/>
        <v>0</v>
      </c>
      <c r="S149" s="55" t="str">
        <f t="shared" si="106"/>
        <v>SEPTIEMBRE</v>
      </c>
      <c r="T149" s="55" t="str">
        <f t="shared" si="107"/>
        <v>Sem40</v>
      </c>
      <c r="U149" s="56">
        <f t="shared" si="154"/>
        <v>7</v>
      </c>
      <c r="V149" s="59">
        <v>46294</v>
      </c>
      <c r="W149" s="56">
        <f t="shared" si="108"/>
        <v>40</v>
      </c>
      <c r="X149" s="56">
        <f t="shared" si="109"/>
        <v>29</v>
      </c>
      <c r="Y149" s="56" t="s">
        <v>29</v>
      </c>
      <c r="Z149" s="56">
        <v>2</v>
      </c>
      <c r="AA149" s="58">
        <f t="shared" si="148"/>
        <v>0</v>
      </c>
      <c r="AB149" s="58">
        <f t="shared" si="148"/>
        <v>1</v>
      </c>
      <c r="AC149" s="58">
        <f t="shared" si="148"/>
        <v>0</v>
      </c>
      <c r="AD149" s="58">
        <f t="shared" si="148"/>
        <v>0</v>
      </c>
      <c r="AE149" s="58">
        <f t="shared" si="148"/>
        <v>0</v>
      </c>
    </row>
    <row r="150" spans="2:34">
      <c r="B150" t="str">
        <f t="shared" si="96"/>
        <v>Sem4040CARLOS DANIEL RUIZ SANTOS</v>
      </c>
      <c r="C150" t="str">
        <f t="shared" si="97"/>
        <v>SEPTIEMBRESem40</v>
      </c>
      <c r="D150" t="str">
        <f t="shared" si="98"/>
        <v>SEPTIEMBRESem40CARLOS DANIEL RUIZ SANTOS</v>
      </c>
      <c r="E150" t="str">
        <f t="shared" si="99"/>
        <v>SEPTIEMBRESem4040CARLOS DANIEL RUIZ SANTOS</v>
      </c>
      <c r="F150" t="str">
        <f t="shared" si="100"/>
        <v>CARLOS DANIEL RUIZ SANTOS46295</v>
      </c>
      <c r="H150" s="49" t="s">
        <v>235</v>
      </c>
      <c r="I150" s="50" t="str">
        <f>+_xlfn.XLOOKUP($H150&amp;$V150,BASEDATOS!$B:$B,BASEDATOS!F:F,0,0,1)</f>
        <v>NOCHE</v>
      </c>
      <c r="J150" s="51">
        <f>+_xlfn.XLOOKUP($H150&amp;$V150,BASEDATOS!$B:$B,BASEDATOS!Q:Q,0,0,1)</f>
        <v>0.75</v>
      </c>
      <c r="K150" s="51">
        <f>+_xlfn.XLOOKUP($H150&amp;$V150,BASEDATOS!$B:$B,BASEDATOS!R:R,0,0,1)</f>
        <v>0.25</v>
      </c>
      <c r="L150" s="51">
        <f t="shared" si="101"/>
        <v>0.5</v>
      </c>
      <c r="M150" s="52" t="str">
        <f t="shared" si="102"/>
        <v>1:00</v>
      </c>
      <c r="N150" s="51">
        <f t="shared" si="103"/>
        <v>0.45833333333333331</v>
      </c>
      <c r="O150" s="53" t="str">
        <f t="shared" ref="O150" si="168">+O154</f>
        <v>0-5-2</v>
      </c>
      <c r="P150" s="54">
        <f>+IF(AND(Y150="Domingo",U150=7),_xlfn.XLOOKUP(O150,'Horarios y Sistemas'!C:C,'Horarios y Sistemas'!H:H,0,0,1),0)</f>
        <v>0</v>
      </c>
      <c r="Q150" s="54">
        <f>IF(U150=U151,0,IF(AVERAGEIF(W:W,W150,U:U)=U150,0,_xlfn.XLOOKUP(O150,'Horarios y Sistemas'!C:C,'Horarios y Sistemas'!H:H,0,0,1)-P150))/7*U150</f>
        <v>0</v>
      </c>
      <c r="R150" s="54">
        <f t="shared" si="105"/>
        <v>0</v>
      </c>
      <c r="S150" s="55" t="str">
        <f t="shared" si="106"/>
        <v>SEPTIEMBRE</v>
      </c>
      <c r="T150" s="55" t="str">
        <f t="shared" si="107"/>
        <v>Sem40</v>
      </c>
      <c r="U150" s="56">
        <f t="shared" si="154"/>
        <v>7</v>
      </c>
      <c r="V150" s="59">
        <v>46295</v>
      </c>
      <c r="W150" s="56">
        <f t="shared" si="108"/>
        <v>40</v>
      </c>
      <c r="X150" s="56">
        <f t="shared" si="109"/>
        <v>30</v>
      </c>
      <c r="Y150" s="56" t="s">
        <v>30</v>
      </c>
      <c r="Z150" s="56">
        <v>3</v>
      </c>
      <c r="AA150" s="58">
        <f t="shared" si="148"/>
        <v>0</v>
      </c>
      <c r="AB150" s="58">
        <f t="shared" si="148"/>
        <v>1</v>
      </c>
      <c r="AC150" s="58">
        <f t="shared" si="148"/>
        <v>0</v>
      </c>
      <c r="AD150" s="58">
        <f t="shared" si="148"/>
        <v>0</v>
      </c>
      <c r="AE150" s="58">
        <f t="shared" si="148"/>
        <v>0</v>
      </c>
    </row>
    <row r="151" spans="2:34">
      <c r="B151" t="str">
        <f t="shared" si="96"/>
        <v>Sem4040CARLOS DANIEL RUIZ SANTOS</v>
      </c>
      <c r="C151" t="str">
        <f t="shared" si="97"/>
        <v>OCTUBRESem40</v>
      </c>
      <c r="D151" t="str">
        <f t="shared" si="98"/>
        <v>OCTUBRESem40CARLOS DANIEL RUIZ SANTOS</v>
      </c>
      <c r="E151" t="str">
        <f t="shared" si="99"/>
        <v>OCTUBRESem4040CARLOS DANIEL RUIZ SANTOS</v>
      </c>
      <c r="F151" t="str">
        <f t="shared" si="100"/>
        <v>CARLOS DANIEL RUIZ SANTOS46296</v>
      </c>
      <c r="H151" s="49" t="s">
        <v>235</v>
      </c>
      <c r="I151" s="50" t="str">
        <f>+_xlfn.XLOOKUP($H151&amp;$V151,BASEDATOS!$B:$B,BASEDATOS!F:F,0,0,1)</f>
        <v>NOCHE</v>
      </c>
      <c r="J151" s="51">
        <f>+_xlfn.XLOOKUP($H151&amp;$V151,BASEDATOS!$B:$B,BASEDATOS!Q:Q,0,0,1)</f>
        <v>0.75</v>
      </c>
      <c r="K151" s="51">
        <f>+_xlfn.XLOOKUP($H151&amp;$V151,BASEDATOS!$B:$B,BASEDATOS!R:R,0,0,1)</f>
        <v>0.25</v>
      </c>
      <c r="L151" s="51">
        <f t="shared" si="101"/>
        <v>0.5</v>
      </c>
      <c r="M151" s="52" t="str">
        <f t="shared" si="102"/>
        <v>1:00</v>
      </c>
      <c r="N151" s="51">
        <f t="shared" si="103"/>
        <v>0.45833333333333331</v>
      </c>
      <c r="O151" s="53" t="str">
        <f t="shared" ref="O151" si="169">+O154</f>
        <v>0-5-2</v>
      </c>
      <c r="P151" s="54">
        <f>+IF(AND(Y151="Domingo",U151=7),_xlfn.XLOOKUP(O151,'Horarios y Sistemas'!C:C,'Horarios y Sistemas'!H:H,0,0,1),0)</f>
        <v>0</v>
      </c>
      <c r="Q151" s="54">
        <f>IF(U151=U152,0,IF(AVERAGEIF(W:W,W151,U:U)=U151,0,_xlfn.XLOOKUP(O151,'Horarios y Sistemas'!C:C,'Horarios y Sistemas'!H:H,0,0,1)-P151))/7*U151</f>
        <v>0</v>
      </c>
      <c r="R151" s="54">
        <f t="shared" si="105"/>
        <v>0</v>
      </c>
      <c r="S151" s="55" t="str">
        <f t="shared" si="106"/>
        <v>OCTUBRE</v>
      </c>
      <c r="T151" s="55" t="str">
        <f t="shared" si="107"/>
        <v>Sem40</v>
      </c>
      <c r="U151" s="56">
        <f t="shared" si="154"/>
        <v>7</v>
      </c>
      <c r="V151" s="59">
        <v>46296</v>
      </c>
      <c r="W151" s="56">
        <f t="shared" si="108"/>
        <v>40</v>
      </c>
      <c r="X151" s="56">
        <f t="shared" si="109"/>
        <v>1</v>
      </c>
      <c r="Y151" s="56" t="s">
        <v>31</v>
      </c>
      <c r="Z151" s="56">
        <v>4</v>
      </c>
      <c r="AA151" s="58">
        <f t="shared" si="148"/>
        <v>0</v>
      </c>
      <c r="AB151" s="58">
        <f t="shared" si="148"/>
        <v>1</v>
      </c>
      <c r="AC151" s="58">
        <f t="shared" si="148"/>
        <v>0</v>
      </c>
      <c r="AD151" s="58">
        <f t="shared" si="148"/>
        <v>0</v>
      </c>
      <c r="AE151" s="58">
        <f t="shared" si="148"/>
        <v>0</v>
      </c>
    </row>
    <row r="152" spans="2:34">
      <c r="B152" t="str">
        <f t="shared" si="96"/>
        <v>Sem4040CARLOS DANIEL RUIZ SANTOS</v>
      </c>
      <c r="C152" t="str">
        <f t="shared" si="97"/>
        <v>OCTUBRESem40</v>
      </c>
      <c r="D152" t="str">
        <f t="shared" si="98"/>
        <v>OCTUBRESem40CARLOS DANIEL RUIZ SANTOS</v>
      </c>
      <c r="E152" t="str">
        <f t="shared" si="99"/>
        <v>OCTUBRESem4040CARLOS DANIEL RUIZ SANTOS</v>
      </c>
      <c r="F152" t="str">
        <f t="shared" si="100"/>
        <v>CARLOS DANIEL RUIZ SANTOS46297</v>
      </c>
      <c r="H152" s="49" t="s">
        <v>235</v>
      </c>
      <c r="I152" s="50" t="str">
        <f>+_xlfn.XLOOKUP($H152&amp;$V152,BASEDATOS!$B:$B,BASEDATOS!F:F,0,0,1)</f>
        <v>NOCHE</v>
      </c>
      <c r="J152" s="51">
        <f>+_xlfn.XLOOKUP($H152&amp;$V152,BASEDATOS!$B:$B,BASEDATOS!Q:Q,0,0,1)</f>
        <v>0.75</v>
      </c>
      <c r="K152" s="51">
        <f>+_xlfn.XLOOKUP($H152&amp;$V152,BASEDATOS!$B:$B,BASEDATOS!R:R,0,0,1)</f>
        <v>0.25</v>
      </c>
      <c r="L152" s="51">
        <f t="shared" si="101"/>
        <v>0.5</v>
      </c>
      <c r="M152" s="52" t="str">
        <f t="shared" si="102"/>
        <v>1:00</v>
      </c>
      <c r="N152" s="51">
        <f t="shared" si="103"/>
        <v>0.45833333333333331</v>
      </c>
      <c r="O152" s="53" t="str">
        <f t="shared" ref="O152" si="170">+O154</f>
        <v>0-5-2</v>
      </c>
      <c r="P152" s="54">
        <f>+IF(AND(Y152="Domingo",U152=7),_xlfn.XLOOKUP(O152,'Horarios y Sistemas'!C:C,'Horarios y Sistemas'!H:H,0,0,1),0)</f>
        <v>0</v>
      </c>
      <c r="Q152" s="54">
        <f>IF(U152=U153,0,IF(AVERAGEIF(W:W,W152,U:U)=U152,0,_xlfn.XLOOKUP(O152,'Horarios y Sistemas'!C:C,'Horarios y Sistemas'!H:H,0,0,1)-P152))/7*U152</f>
        <v>0</v>
      </c>
      <c r="R152" s="54">
        <f t="shared" si="105"/>
        <v>0</v>
      </c>
      <c r="S152" s="55" t="str">
        <f t="shared" si="106"/>
        <v>OCTUBRE</v>
      </c>
      <c r="T152" s="55" t="str">
        <f t="shared" si="107"/>
        <v>Sem40</v>
      </c>
      <c r="U152" s="56">
        <f t="shared" si="154"/>
        <v>7</v>
      </c>
      <c r="V152" s="59">
        <v>46297</v>
      </c>
      <c r="W152" s="56">
        <f t="shared" si="108"/>
        <v>40</v>
      </c>
      <c r="X152" s="56">
        <f t="shared" si="109"/>
        <v>2</v>
      </c>
      <c r="Y152" s="56" t="s">
        <v>32</v>
      </c>
      <c r="Z152" s="56">
        <v>5</v>
      </c>
      <c r="AA152" s="58">
        <f t="shared" si="148"/>
        <v>0</v>
      </c>
      <c r="AB152" s="58">
        <f t="shared" si="148"/>
        <v>1</v>
      </c>
      <c r="AC152" s="58">
        <f t="shared" si="148"/>
        <v>0</v>
      </c>
      <c r="AD152" s="58">
        <f t="shared" si="148"/>
        <v>0</v>
      </c>
      <c r="AE152" s="58">
        <f t="shared" si="148"/>
        <v>0</v>
      </c>
    </row>
    <row r="153" spans="2:34">
      <c r="B153" t="str">
        <f t="shared" si="96"/>
        <v>Sem4040CARLOS DANIEL RUIZ SANTOS</v>
      </c>
      <c r="C153" t="str">
        <f t="shared" si="97"/>
        <v>OCTUBRESem40</v>
      </c>
      <c r="D153" t="str">
        <f t="shared" si="98"/>
        <v>OCTUBRESem40CARLOS DANIEL RUIZ SANTOS</v>
      </c>
      <c r="E153" t="str">
        <f t="shared" si="99"/>
        <v>OCTUBRESem4040CARLOS DANIEL RUIZ SANTOS</v>
      </c>
      <c r="F153" t="str">
        <f t="shared" si="100"/>
        <v>CARLOS DANIEL RUIZ SANTOS46298</v>
      </c>
      <c r="H153" s="49" t="s">
        <v>235</v>
      </c>
      <c r="I153" s="50" t="str">
        <f>+_xlfn.XLOOKUP($H153&amp;$V153,BASEDATOS!$B:$B,BASEDATOS!F:F,0,0,1)</f>
        <v>DESCANSO</v>
      </c>
      <c r="J153" s="51">
        <f>+_xlfn.XLOOKUP($H153&amp;$V153,BASEDATOS!$B:$B,BASEDATOS!Q:Q,0,0,1)</f>
        <v>0</v>
      </c>
      <c r="K153" s="51">
        <f>+_xlfn.XLOOKUP($H153&amp;$V153,BASEDATOS!$B:$B,BASEDATOS!R:R,0,0,1)</f>
        <v>0</v>
      </c>
      <c r="L153" s="51">
        <f t="shared" si="101"/>
        <v>0</v>
      </c>
      <c r="M153" s="52">
        <f t="shared" si="102"/>
        <v>0</v>
      </c>
      <c r="N153" s="51">
        <f t="shared" si="103"/>
        <v>0</v>
      </c>
      <c r="O153" s="53" t="str">
        <f t="shared" ref="O153" si="171">+O154</f>
        <v>0-5-2</v>
      </c>
      <c r="P153" s="54">
        <f>+IF(AND(Y153="Domingo",U153=7),_xlfn.XLOOKUP(O153,'Horarios y Sistemas'!C:C,'Horarios y Sistemas'!H:H,0,0,1),0)</f>
        <v>0</v>
      </c>
      <c r="Q153" s="54">
        <f>IF(U153=U154,0,IF(AVERAGEIF(W:W,W153,U:U)=U153,0,_xlfn.XLOOKUP(O153,'Horarios y Sistemas'!C:C,'Horarios y Sistemas'!H:H,0,0,1)-P153))/7*U153</f>
        <v>0</v>
      </c>
      <c r="R153" s="54">
        <f t="shared" si="105"/>
        <v>0</v>
      </c>
      <c r="S153" s="55" t="str">
        <f t="shared" si="106"/>
        <v>OCTUBRE</v>
      </c>
      <c r="T153" s="55" t="str">
        <f t="shared" si="107"/>
        <v>Sem40</v>
      </c>
      <c r="U153" s="56">
        <f t="shared" si="154"/>
        <v>7</v>
      </c>
      <c r="V153" s="59">
        <v>46298</v>
      </c>
      <c r="W153" s="56">
        <f t="shared" si="108"/>
        <v>40</v>
      </c>
      <c r="X153" s="56">
        <f t="shared" si="109"/>
        <v>3</v>
      </c>
      <c r="Y153" s="56" t="s">
        <v>33</v>
      </c>
      <c r="Z153" s="56">
        <v>6</v>
      </c>
      <c r="AA153" s="58">
        <f t="shared" si="148"/>
        <v>0</v>
      </c>
      <c r="AB153" s="58">
        <f t="shared" si="148"/>
        <v>0</v>
      </c>
      <c r="AC153" s="58">
        <f t="shared" si="148"/>
        <v>1</v>
      </c>
      <c r="AD153" s="58">
        <f t="shared" si="148"/>
        <v>0</v>
      </c>
      <c r="AE153" s="58">
        <f t="shared" si="148"/>
        <v>0</v>
      </c>
    </row>
    <row r="154" spans="2:34" s="60" customFormat="1">
      <c r="B154" s="60" t="str">
        <f t="shared" si="96"/>
        <v>Sem4040CARLOS DANIEL RUIZ SANTOS</v>
      </c>
      <c r="C154" s="60" t="str">
        <f t="shared" si="97"/>
        <v>OCTUBRESem40</v>
      </c>
      <c r="D154" s="60" t="str">
        <f t="shared" si="98"/>
        <v>OCTUBRESem40CARLOS DANIEL RUIZ SANTOS</v>
      </c>
      <c r="E154" s="60" t="str">
        <f t="shared" si="99"/>
        <v>OCTUBRESem4040CARLOS DANIEL RUIZ SANTOS</v>
      </c>
      <c r="F154" s="60" t="str">
        <f t="shared" si="100"/>
        <v>CARLOS DANIEL RUIZ SANTOS46299</v>
      </c>
      <c r="H154" s="61" t="s">
        <v>235</v>
      </c>
      <c r="I154" s="62" t="str">
        <f>+_xlfn.XLOOKUP($H154&amp;$V154,BASEDATOS!$B:$B,BASEDATOS!F:F,0,0,1)</f>
        <v>DESCANSO</v>
      </c>
      <c r="J154" s="63">
        <f>+_xlfn.XLOOKUP($H154&amp;$V154,BASEDATOS!$B:$B,BASEDATOS!Q:Q,0,0,1)</f>
        <v>0</v>
      </c>
      <c r="K154" s="63">
        <f>+_xlfn.XLOOKUP($H154&amp;$V154,BASEDATOS!$B:$B,BASEDATOS!R:R,0,0,1)</f>
        <v>0</v>
      </c>
      <c r="L154" s="63">
        <f t="shared" si="101"/>
        <v>0</v>
      </c>
      <c r="M154" s="64">
        <f t="shared" si="102"/>
        <v>0</v>
      </c>
      <c r="N154" s="63">
        <f t="shared" si="103"/>
        <v>0</v>
      </c>
      <c r="O154" s="65" t="str">
        <f t="shared" ref="O154" si="172">+IF(Y154="Domingo",SUM(AA148:AA154)&amp;"-"&amp;SUM(AB148:AB154)&amp;"-"&amp;SUM(AC148:AE154),"")</f>
        <v>0-5-2</v>
      </c>
      <c r="P154" s="66">
        <f>+IF(AND(Y154="Domingo",U154=7),_xlfn.XLOOKUP(O154,'Horarios y Sistemas'!C:C,'Horarios y Sistemas'!H:H,0,0,1),0)</f>
        <v>36</v>
      </c>
      <c r="Q154" s="66">
        <f>IF(U154=U155,0,IF(AVERAGEIF(W:W,W154,U:U)=U154,0,_xlfn.XLOOKUP(O154,'Horarios y Sistemas'!C:C,'Horarios y Sistemas'!H:H,0,0,1)-P154))/7*U154</f>
        <v>0</v>
      </c>
      <c r="R154" s="66">
        <f t="shared" si="105"/>
        <v>36</v>
      </c>
      <c r="S154" s="67" t="str">
        <f t="shared" si="106"/>
        <v>OCTUBRE</v>
      </c>
      <c r="T154" s="55" t="str">
        <f t="shared" si="107"/>
        <v>Sem40</v>
      </c>
      <c r="U154" s="68">
        <f t="shared" si="154"/>
        <v>7</v>
      </c>
      <c r="V154" s="69">
        <v>46299</v>
      </c>
      <c r="W154" s="68">
        <f t="shared" si="108"/>
        <v>40</v>
      </c>
      <c r="X154" s="68">
        <f t="shared" si="109"/>
        <v>4</v>
      </c>
      <c r="Y154" s="68" t="s">
        <v>34</v>
      </c>
      <c r="Z154" s="68">
        <v>7</v>
      </c>
      <c r="AA154" s="70">
        <f t="shared" si="148"/>
        <v>0</v>
      </c>
      <c r="AB154" s="70">
        <f t="shared" si="148"/>
        <v>0</v>
      </c>
      <c r="AC154" s="70">
        <f t="shared" si="148"/>
        <v>1</v>
      </c>
      <c r="AD154" s="70">
        <f t="shared" si="148"/>
        <v>0</v>
      </c>
      <c r="AE154" s="70">
        <f t="shared" si="148"/>
        <v>0</v>
      </c>
      <c r="AF154" s="71"/>
      <c r="AG154" s="71"/>
      <c r="AH154" s="71"/>
    </row>
    <row r="155" spans="2:34">
      <c r="B155" t="str">
        <f t="shared" si="96"/>
        <v>Sem3838CASTILLO SOLARES CARLOS ARTURO</v>
      </c>
      <c r="C155" t="str">
        <f t="shared" si="97"/>
        <v>SEPTIEMBRESem38</v>
      </c>
      <c r="D155" t="str">
        <f t="shared" si="98"/>
        <v>SEPTIEMBRESem38CASTILLO SOLARES CARLOS ARTURO</v>
      </c>
      <c r="E155" t="str">
        <f t="shared" si="99"/>
        <v>SEPTIEMBRESem3838CASTILLO SOLARES CARLOS ARTURO</v>
      </c>
      <c r="F155" t="str">
        <f t="shared" si="100"/>
        <v>CASTILLO SOLARES CARLOS ARTURO46279</v>
      </c>
      <c r="H155" s="49" t="s">
        <v>2</v>
      </c>
      <c r="I155" s="50" t="str">
        <f>+_xlfn.XLOOKUP($H155&amp;$V155,BASEDATOS!$B:$B,BASEDATOS!F:F,0,0,1)</f>
        <v>DESCANSO</v>
      </c>
      <c r="J155" s="51">
        <f>+_xlfn.XLOOKUP($H155&amp;$V155,BASEDATOS!$B:$B,BASEDATOS!Q:Q,0,0,1)</f>
        <v>0</v>
      </c>
      <c r="K155" s="51">
        <f>+_xlfn.XLOOKUP($H155&amp;$V155,BASEDATOS!$B:$B,BASEDATOS!R:R,0,0,1)</f>
        <v>0</v>
      </c>
      <c r="L155" s="51">
        <f t="shared" si="101"/>
        <v>0</v>
      </c>
      <c r="M155" s="52">
        <f t="shared" si="102"/>
        <v>0</v>
      </c>
      <c r="N155" s="51">
        <f t="shared" si="103"/>
        <v>0</v>
      </c>
      <c r="O155" s="53" t="str">
        <f t="shared" ref="O155" si="173">+O161</f>
        <v>5-0-2</v>
      </c>
      <c r="P155" s="54">
        <f>+IF(AND(Y155="Domingo",U155=7),_xlfn.XLOOKUP(O155,'Horarios y Sistemas'!C:C,'Horarios y Sistemas'!H:H,0,0,1),0)</f>
        <v>0</v>
      </c>
      <c r="Q155" s="54">
        <f>IF(U155=U156,0,IF(AVERAGEIF(W:W,W155,U:U)=U155,0,_xlfn.XLOOKUP(O155,'Horarios y Sistemas'!C:C,'Horarios y Sistemas'!H:H,0,0,1)-P155))/7*U155</f>
        <v>0</v>
      </c>
      <c r="R155" s="54">
        <f t="shared" si="105"/>
        <v>0</v>
      </c>
      <c r="S155" s="55" t="str">
        <f t="shared" si="106"/>
        <v>SEPTIEMBRE</v>
      </c>
      <c r="T155" s="55" t="str">
        <f t="shared" si="107"/>
        <v>Sem38</v>
      </c>
      <c r="U155" s="56">
        <f t="shared" si="154"/>
        <v>7</v>
      </c>
      <c r="V155" s="57">
        <v>46279</v>
      </c>
      <c r="W155" s="56">
        <f t="shared" si="108"/>
        <v>38</v>
      </c>
      <c r="X155" s="56">
        <f t="shared" si="109"/>
        <v>14</v>
      </c>
      <c r="Y155" s="56" t="s">
        <v>28</v>
      </c>
      <c r="Z155" s="56">
        <v>1</v>
      </c>
      <c r="AA155" s="58">
        <f t="shared" si="148"/>
        <v>0</v>
      </c>
      <c r="AB155" s="58">
        <f t="shared" si="148"/>
        <v>0</v>
      </c>
      <c r="AC155" s="58">
        <f t="shared" si="148"/>
        <v>1</v>
      </c>
      <c r="AD155" s="58">
        <f t="shared" si="148"/>
        <v>0</v>
      </c>
      <c r="AE155" s="58">
        <f t="shared" si="148"/>
        <v>0</v>
      </c>
    </row>
    <row r="156" spans="2:34">
      <c r="B156" t="str">
        <f t="shared" si="96"/>
        <v>Sem3838CASTILLO SOLARES CARLOS ARTURO</v>
      </c>
      <c r="C156" t="str">
        <f t="shared" si="97"/>
        <v>SEPTIEMBRESem38</v>
      </c>
      <c r="D156" t="str">
        <f t="shared" si="98"/>
        <v>SEPTIEMBRESem38CASTILLO SOLARES CARLOS ARTURO</v>
      </c>
      <c r="E156" t="str">
        <f t="shared" si="99"/>
        <v>SEPTIEMBRESem3838CASTILLO SOLARES CARLOS ARTURO</v>
      </c>
      <c r="F156" t="str">
        <f t="shared" si="100"/>
        <v>CASTILLO SOLARES CARLOS ARTURO46280</v>
      </c>
      <c r="H156" s="49" t="s">
        <v>2</v>
      </c>
      <c r="I156" s="50" t="str">
        <f>+_xlfn.XLOOKUP($H156&amp;$V156,BASEDATOS!$B:$B,BASEDATOS!F:F,0,0,1)</f>
        <v>DIA</v>
      </c>
      <c r="J156" s="51">
        <f>+_xlfn.XLOOKUP($H156&amp;$V156,BASEDATOS!$B:$B,BASEDATOS!Q:Q,0,0,1)</f>
        <v>0.33333333333333298</v>
      </c>
      <c r="K156" s="51">
        <f>+_xlfn.XLOOKUP($H156&amp;$V156,BASEDATOS!$B:$B,BASEDATOS!R:R,0,0,1)</f>
        <v>0.70833333333333304</v>
      </c>
      <c r="L156" s="51">
        <f t="shared" si="101"/>
        <v>0.37500000000000006</v>
      </c>
      <c r="M156" s="52" t="str">
        <f t="shared" si="102"/>
        <v>1:00</v>
      </c>
      <c r="N156" s="51">
        <f t="shared" si="103"/>
        <v>0.33333333333333337</v>
      </c>
      <c r="O156" s="53" t="str">
        <f t="shared" ref="O156" si="174">+O161</f>
        <v>5-0-2</v>
      </c>
      <c r="P156" s="54">
        <f>+IF(AND(Y156="Domingo",U156=7),_xlfn.XLOOKUP(O156,'Horarios y Sistemas'!C:C,'Horarios y Sistemas'!H:H,0,0,1),0)</f>
        <v>0</v>
      </c>
      <c r="Q156" s="54">
        <f>IF(U156=U157,0,IF(AVERAGEIF(W:W,W156,U:U)=U156,0,_xlfn.XLOOKUP(O156,'Horarios y Sistemas'!C:C,'Horarios y Sistemas'!H:H,0,0,1)-P156))/7*U156</f>
        <v>0</v>
      </c>
      <c r="R156" s="54">
        <f t="shared" si="105"/>
        <v>0</v>
      </c>
      <c r="S156" s="55" t="str">
        <f t="shared" si="106"/>
        <v>SEPTIEMBRE</v>
      </c>
      <c r="T156" s="55" t="str">
        <f t="shared" si="107"/>
        <v>Sem38</v>
      </c>
      <c r="U156" s="56">
        <f t="shared" si="154"/>
        <v>7</v>
      </c>
      <c r="V156" s="59">
        <v>46280</v>
      </c>
      <c r="W156" s="56">
        <f t="shared" si="108"/>
        <v>38</v>
      </c>
      <c r="X156" s="56">
        <f t="shared" si="109"/>
        <v>15</v>
      </c>
      <c r="Y156" s="56" t="s">
        <v>29</v>
      </c>
      <c r="Z156" s="56">
        <v>2</v>
      </c>
      <c r="AA156" s="58">
        <f t="shared" si="148"/>
        <v>1</v>
      </c>
      <c r="AB156" s="58">
        <f t="shared" si="148"/>
        <v>0</v>
      </c>
      <c r="AC156" s="58">
        <f t="shared" si="148"/>
        <v>0</v>
      </c>
      <c r="AD156" s="58">
        <f t="shared" si="148"/>
        <v>0</v>
      </c>
      <c r="AE156" s="58">
        <f t="shared" si="148"/>
        <v>0</v>
      </c>
    </row>
    <row r="157" spans="2:34">
      <c r="B157" t="str">
        <f t="shared" ref="B157:B220" si="175">+T157&amp;W157&amp;H157</f>
        <v>Sem3838CASTILLO SOLARES CARLOS ARTURO</v>
      </c>
      <c r="C157" t="str">
        <f t="shared" ref="C157:C220" si="176">+S157&amp;T157</f>
        <v>SEPTIEMBRESem38</v>
      </c>
      <c r="D157" t="str">
        <f t="shared" ref="D157:D220" si="177">+S157&amp;T157&amp;H157</f>
        <v>SEPTIEMBRESem38CASTILLO SOLARES CARLOS ARTURO</v>
      </c>
      <c r="E157" t="str">
        <f t="shared" ref="E157:E220" si="178">+S157&amp;T157&amp;W157&amp;H157</f>
        <v>SEPTIEMBRESem3838CASTILLO SOLARES CARLOS ARTURO</v>
      </c>
      <c r="F157" t="str">
        <f t="shared" ref="F157:F220" si="179">+H157&amp;V157</f>
        <v>CASTILLO SOLARES CARLOS ARTURO46281</v>
      </c>
      <c r="H157" s="49" t="s">
        <v>2</v>
      </c>
      <c r="I157" s="50" t="str">
        <f>+_xlfn.XLOOKUP($H157&amp;$V157,BASEDATOS!$B:$B,BASEDATOS!F:F,0,0,1)</f>
        <v>DIA</v>
      </c>
      <c r="J157" s="51">
        <f>+_xlfn.XLOOKUP($H157&amp;$V157,BASEDATOS!$B:$B,BASEDATOS!Q:Q,0,0,1)</f>
        <v>0.29166666666666702</v>
      </c>
      <c r="K157" s="51">
        <f>+_xlfn.XLOOKUP($H157&amp;$V157,BASEDATOS!$B:$B,BASEDATOS!R:R,0,0,1)</f>
        <v>0.66666666666666696</v>
      </c>
      <c r="L157" s="51">
        <f t="shared" ref="L157:L220" si="180">+IF(OR(J157="Descanso",J157="AUSENTE",J157="ASUETO"),0,MOD(K157-J157,1))</f>
        <v>0.37499999999999994</v>
      </c>
      <c r="M157" s="52" t="str">
        <f t="shared" ref="M157:M220" si="181">+IF(OR(I157="DIA",I157="NOCHE",I157="MIXTO"),"1:00",0)</f>
        <v>1:00</v>
      </c>
      <c r="N157" s="51">
        <f t="shared" ref="N157:N220" si="182">+IF(I157="ASUETO-D",8/24,IF(I157="ASUETO-N",6/24,MOD(L157-M157,1)))</f>
        <v>0.33333333333333326</v>
      </c>
      <c r="O157" s="53" t="str">
        <f t="shared" ref="O157" si="183">+O161</f>
        <v>5-0-2</v>
      </c>
      <c r="P157" s="54">
        <f>+IF(AND(Y157="Domingo",U157=7),_xlfn.XLOOKUP(O157,'Horarios y Sistemas'!C:C,'Horarios y Sistemas'!H:H,0,0,1),0)</f>
        <v>0</v>
      </c>
      <c r="Q157" s="54">
        <f>IF(U157=U158,0,IF(AVERAGEIF(W:W,W157,U:U)=U157,0,_xlfn.XLOOKUP(O157,'Horarios y Sistemas'!C:C,'Horarios y Sistemas'!H:H,0,0,1)-P157))/7*U157</f>
        <v>0</v>
      </c>
      <c r="R157" s="54">
        <f t="shared" ref="R157:R220" si="184">+IF(Y157="Domingo",SUM(P151:Q157),0)</f>
        <v>0</v>
      </c>
      <c r="S157" s="55" t="str">
        <f t="shared" ref="S157:S220" si="185">+UPPER(TEXT(V157,"MMMMMMMM"))</f>
        <v>SEPTIEMBRE</v>
      </c>
      <c r="T157" s="55" t="str">
        <f t="shared" ref="T157:T220" si="186">+"Sem"&amp;W157</f>
        <v>Sem38</v>
      </c>
      <c r="U157" s="56">
        <f t="shared" si="154"/>
        <v>7</v>
      </c>
      <c r="V157" s="59">
        <v>46281</v>
      </c>
      <c r="W157" s="56">
        <f t="shared" ref="W157:W220" si="187">+_xlfn.ISOWEEKNUM(V157)</f>
        <v>38</v>
      </c>
      <c r="X157" s="56">
        <f t="shared" ref="X157:X220" si="188">+DAY(V157)</f>
        <v>16</v>
      </c>
      <c r="Y157" s="56" t="s">
        <v>30</v>
      </c>
      <c r="Z157" s="56">
        <v>3</v>
      </c>
      <c r="AA157" s="58">
        <f t="shared" si="148"/>
        <v>1</v>
      </c>
      <c r="AB157" s="58">
        <f t="shared" si="148"/>
        <v>0</v>
      </c>
      <c r="AC157" s="58">
        <f t="shared" si="148"/>
        <v>0</v>
      </c>
      <c r="AD157" s="58">
        <f t="shared" si="148"/>
        <v>0</v>
      </c>
      <c r="AE157" s="58">
        <f t="shared" si="148"/>
        <v>0</v>
      </c>
    </row>
    <row r="158" spans="2:34">
      <c r="B158" t="str">
        <f t="shared" si="175"/>
        <v>Sem3838CASTILLO SOLARES CARLOS ARTURO</v>
      </c>
      <c r="C158" t="str">
        <f t="shared" si="176"/>
        <v>SEPTIEMBRESem38</v>
      </c>
      <c r="D158" t="str">
        <f t="shared" si="177"/>
        <v>SEPTIEMBRESem38CASTILLO SOLARES CARLOS ARTURO</v>
      </c>
      <c r="E158" t="str">
        <f t="shared" si="178"/>
        <v>SEPTIEMBRESem3838CASTILLO SOLARES CARLOS ARTURO</v>
      </c>
      <c r="F158" t="str">
        <f t="shared" si="179"/>
        <v>CASTILLO SOLARES CARLOS ARTURO46282</v>
      </c>
      <c r="H158" s="49" t="s">
        <v>2</v>
      </c>
      <c r="I158" s="50" t="str">
        <f>+_xlfn.XLOOKUP($H158&amp;$V158,BASEDATOS!$B:$B,BASEDATOS!F:F,0,0,1)</f>
        <v>DIA</v>
      </c>
      <c r="J158" s="51">
        <f>+_xlfn.XLOOKUP($H158&amp;$V158,BASEDATOS!$B:$B,BASEDATOS!Q:Q,0,0,1)</f>
        <v>0.375</v>
      </c>
      <c r="K158" s="51">
        <f>+_xlfn.XLOOKUP($H158&amp;$V158,BASEDATOS!$B:$B,BASEDATOS!R:R,0,0,1)</f>
        <v>0.75</v>
      </c>
      <c r="L158" s="51">
        <f t="shared" si="180"/>
        <v>0.375</v>
      </c>
      <c r="M158" s="52" t="str">
        <f t="shared" si="181"/>
        <v>1:00</v>
      </c>
      <c r="N158" s="51">
        <f t="shared" si="182"/>
        <v>0.33333333333333331</v>
      </c>
      <c r="O158" s="53" t="str">
        <f t="shared" ref="O158" si="189">+O161</f>
        <v>5-0-2</v>
      </c>
      <c r="P158" s="54">
        <f>+IF(AND(Y158="Domingo",U158=7),_xlfn.XLOOKUP(O158,'Horarios y Sistemas'!C:C,'Horarios y Sistemas'!H:H,0,0,1),0)</f>
        <v>0</v>
      </c>
      <c r="Q158" s="54">
        <f>IF(U158=U159,0,IF(AVERAGEIF(W:W,W158,U:U)=U158,0,_xlfn.XLOOKUP(O158,'Horarios y Sistemas'!C:C,'Horarios y Sistemas'!H:H,0,0,1)-P158))/7*U158</f>
        <v>0</v>
      </c>
      <c r="R158" s="54">
        <f t="shared" si="184"/>
        <v>0</v>
      </c>
      <c r="S158" s="55" t="str">
        <f t="shared" si="185"/>
        <v>SEPTIEMBRE</v>
      </c>
      <c r="T158" s="55" t="str">
        <f t="shared" si="186"/>
        <v>Sem38</v>
      </c>
      <c r="U158" s="56">
        <f t="shared" si="154"/>
        <v>7</v>
      </c>
      <c r="V158" s="59">
        <v>46282</v>
      </c>
      <c r="W158" s="56">
        <f t="shared" si="187"/>
        <v>38</v>
      </c>
      <c r="X158" s="56">
        <f t="shared" si="188"/>
        <v>17</v>
      </c>
      <c r="Y158" s="56" t="s">
        <v>31</v>
      </c>
      <c r="Z158" s="56">
        <v>4</v>
      </c>
      <c r="AA158" s="58">
        <f t="shared" si="148"/>
        <v>1</v>
      </c>
      <c r="AB158" s="58">
        <f t="shared" si="148"/>
        <v>0</v>
      </c>
      <c r="AC158" s="58">
        <f t="shared" si="148"/>
        <v>0</v>
      </c>
      <c r="AD158" s="58">
        <f t="shared" si="148"/>
        <v>0</v>
      </c>
      <c r="AE158" s="58">
        <f t="shared" si="148"/>
        <v>0</v>
      </c>
    </row>
    <row r="159" spans="2:34">
      <c r="B159" t="str">
        <f t="shared" si="175"/>
        <v>Sem3838CASTILLO SOLARES CARLOS ARTURO</v>
      </c>
      <c r="C159" t="str">
        <f t="shared" si="176"/>
        <v>SEPTIEMBRESem38</v>
      </c>
      <c r="D159" t="str">
        <f t="shared" si="177"/>
        <v>SEPTIEMBRESem38CASTILLO SOLARES CARLOS ARTURO</v>
      </c>
      <c r="E159" t="str">
        <f t="shared" si="178"/>
        <v>SEPTIEMBRESem3838CASTILLO SOLARES CARLOS ARTURO</v>
      </c>
      <c r="F159" t="str">
        <f t="shared" si="179"/>
        <v>CASTILLO SOLARES CARLOS ARTURO46283</v>
      </c>
      <c r="H159" s="49" t="s">
        <v>2</v>
      </c>
      <c r="I159" s="50" t="str">
        <f>+_xlfn.XLOOKUP($H159&amp;$V159,BASEDATOS!$B:$B,BASEDATOS!F:F,0,0,1)</f>
        <v>DIA</v>
      </c>
      <c r="J159" s="51">
        <f>+_xlfn.XLOOKUP($H159&amp;$V159,BASEDATOS!$B:$B,BASEDATOS!Q:Q,0,0,1)</f>
        <v>0.29166666666666702</v>
      </c>
      <c r="K159" s="51">
        <f>+_xlfn.XLOOKUP($H159&amp;$V159,BASEDATOS!$B:$B,BASEDATOS!R:R,0,0,1)</f>
        <v>0.66666666666666696</v>
      </c>
      <c r="L159" s="51">
        <f t="shared" si="180"/>
        <v>0.37499999999999994</v>
      </c>
      <c r="M159" s="52" t="str">
        <f t="shared" si="181"/>
        <v>1:00</v>
      </c>
      <c r="N159" s="51">
        <f t="shared" si="182"/>
        <v>0.33333333333333326</v>
      </c>
      <c r="O159" s="53" t="str">
        <f t="shared" ref="O159" si="190">+O161</f>
        <v>5-0-2</v>
      </c>
      <c r="P159" s="54">
        <f>+IF(AND(Y159="Domingo",U159=7),_xlfn.XLOOKUP(O159,'Horarios y Sistemas'!C:C,'Horarios y Sistemas'!H:H,0,0,1),0)</f>
        <v>0</v>
      </c>
      <c r="Q159" s="54">
        <f>IF(U159=U160,0,IF(AVERAGEIF(W:W,W159,U:U)=U159,0,_xlfn.XLOOKUP(O159,'Horarios y Sistemas'!C:C,'Horarios y Sistemas'!H:H,0,0,1)-P159))/7*U159</f>
        <v>0</v>
      </c>
      <c r="R159" s="54">
        <f t="shared" si="184"/>
        <v>0</v>
      </c>
      <c r="S159" s="55" t="str">
        <f t="shared" si="185"/>
        <v>SEPTIEMBRE</v>
      </c>
      <c r="T159" s="55" t="str">
        <f t="shared" si="186"/>
        <v>Sem38</v>
      </c>
      <c r="U159" s="56">
        <f t="shared" si="154"/>
        <v>7</v>
      </c>
      <c r="V159" s="59">
        <v>46283</v>
      </c>
      <c r="W159" s="56">
        <f t="shared" si="187"/>
        <v>38</v>
      </c>
      <c r="X159" s="56">
        <f t="shared" si="188"/>
        <v>18</v>
      </c>
      <c r="Y159" s="56" t="s">
        <v>32</v>
      </c>
      <c r="Z159" s="56">
        <v>5</v>
      </c>
      <c r="AA159" s="58">
        <f t="shared" si="148"/>
        <v>1</v>
      </c>
      <c r="AB159" s="58">
        <f t="shared" si="148"/>
        <v>0</v>
      </c>
      <c r="AC159" s="58">
        <f t="shared" si="148"/>
        <v>0</v>
      </c>
      <c r="AD159" s="58">
        <f t="shared" si="148"/>
        <v>0</v>
      </c>
      <c r="AE159" s="58">
        <f t="shared" si="148"/>
        <v>0</v>
      </c>
    </row>
    <row r="160" spans="2:34">
      <c r="B160" t="str">
        <f t="shared" si="175"/>
        <v>Sem3838CASTILLO SOLARES CARLOS ARTURO</v>
      </c>
      <c r="C160" t="str">
        <f t="shared" si="176"/>
        <v>SEPTIEMBRESem38</v>
      </c>
      <c r="D160" t="str">
        <f t="shared" si="177"/>
        <v>SEPTIEMBRESem38CASTILLO SOLARES CARLOS ARTURO</v>
      </c>
      <c r="E160" t="str">
        <f t="shared" si="178"/>
        <v>SEPTIEMBRESem3838CASTILLO SOLARES CARLOS ARTURO</v>
      </c>
      <c r="F160" t="str">
        <f t="shared" si="179"/>
        <v>CASTILLO SOLARES CARLOS ARTURO46284</v>
      </c>
      <c r="H160" s="49" t="s">
        <v>2</v>
      </c>
      <c r="I160" s="50" t="str">
        <f>+_xlfn.XLOOKUP($H160&amp;$V160,BASEDATOS!$B:$B,BASEDATOS!F:F,0,0,1)</f>
        <v>DIA</v>
      </c>
      <c r="J160" s="51">
        <f>+_xlfn.XLOOKUP($H160&amp;$V160,BASEDATOS!$B:$B,BASEDATOS!Q:Q,0,0,1)</f>
        <v>0.29166666666666702</v>
      </c>
      <c r="K160" s="51">
        <f>+_xlfn.XLOOKUP($H160&amp;$V160,BASEDATOS!$B:$B,BASEDATOS!R:R,0,0,1)</f>
        <v>0.5</v>
      </c>
      <c r="L160" s="51">
        <f t="shared" si="180"/>
        <v>0.20833333333333298</v>
      </c>
      <c r="M160" s="52" t="str">
        <f t="shared" si="181"/>
        <v>1:00</v>
      </c>
      <c r="N160" s="51">
        <f t="shared" si="182"/>
        <v>0.16666666666666632</v>
      </c>
      <c r="O160" s="53" t="str">
        <f t="shared" ref="O160" si="191">+O161</f>
        <v>5-0-2</v>
      </c>
      <c r="P160" s="54">
        <f>+IF(AND(Y160="Domingo",U160=7),_xlfn.XLOOKUP(O160,'Horarios y Sistemas'!C:C,'Horarios y Sistemas'!H:H,0,0,1),0)</f>
        <v>0</v>
      </c>
      <c r="Q160" s="54">
        <f>IF(U160=U161,0,IF(AVERAGEIF(W:W,W160,U:U)=U160,0,_xlfn.XLOOKUP(O160,'Horarios y Sistemas'!C:C,'Horarios y Sistemas'!H:H,0,0,1)-P160))/7*U160</f>
        <v>0</v>
      </c>
      <c r="R160" s="54">
        <f t="shared" si="184"/>
        <v>0</v>
      </c>
      <c r="S160" s="55" t="str">
        <f t="shared" si="185"/>
        <v>SEPTIEMBRE</v>
      </c>
      <c r="T160" s="55" t="str">
        <f t="shared" si="186"/>
        <v>Sem38</v>
      </c>
      <c r="U160" s="56">
        <f t="shared" si="154"/>
        <v>7</v>
      </c>
      <c r="V160" s="59">
        <v>46284</v>
      </c>
      <c r="W160" s="56">
        <f t="shared" si="187"/>
        <v>38</v>
      </c>
      <c r="X160" s="56">
        <f t="shared" si="188"/>
        <v>19</v>
      </c>
      <c r="Y160" s="56" t="s">
        <v>33</v>
      </c>
      <c r="Z160" s="56">
        <v>6</v>
      </c>
      <c r="AA160" s="58">
        <f t="shared" si="148"/>
        <v>1</v>
      </c>
      <c r="AB160" s="58">
        <f t="shared" si="148"/>
        <v>0</v>
      </c>
      <c r="AC160" s="58">
        <f t="shared" si="148"/>
        <v>0</v>
      </c>
      <c r="AD160" s="58">
        <f t="shared" si="148"/>
        <v>0</v>
      </c>
      <c r="AE160" s="58">
        <f t="shared" si="148"/>
        <v>0</v>
      </c>
    </row>
    <row r="161" spans="2:34" s="60" customFormat="1">
      <c r="B161" s="60" t="str">
        <f t="shared" si="175"/>
        <v>Sem3838CASTILLO SOLARES CARLOS ARTURO</v>
      </c>
      <c r="C161" s="60" t="str">
        <f t="shared" si="176"/>
        <v>SEPTIEMBRESem38</v>
      </c>
      <c r="D161" s="60" t="str">
        <f t="shared" si="177"/>
        <v>SEPTIEMBRESem38CASTILLO SOLARES CARLOS ARTURO</v>
      </c>
      <c r="E161" s="60" t="str">
        <f t="shared" si="178"/>
        <v>SEPTIEMBRESem3838CASTILLO SOLARES CARLOS ARTURO</v>
      </c>
      <c r="F161" s="60" t="str">
        <f t="shared" si="179"/>
        <v>CASTILLO SOLARES CARLOS ARTURO46285</v>
      </c>
      <c r="H161" s="61" t="s">
        <v>2</v>
      </c>
      <c r="I161" s="62" t="str">
        <f>+_xlfn.XLOOKUP($H161&amp;$V161,BASEDATOS!$B:$B,BASEDATOS!F:F,0,0,1)</f>
        <v>DESCANSO</v>
      </c>
      <c r="J161" s="63">
        <f>+_xlfn.XLOOKUP($H161&amp;$V161,BASEDATOS!$B:$B,BASEDATOS!Q:Q,0,0,1)</f>
        <v>0</v>
      </c>
      <c r="K161" s="63">
        <f>+_xlfn.XLOOKUP($H161&amp;$V161,BASEDATOS!$B:$B,BASEDATOS!R:R,0,0,1)</f>
        <v>0</v>
      </c>
      <c r="L161" s="63">
        <f t="shared" si="180"/>
        <v>0</v>
      </c>
      <c r="M161" s="64">
        <f t="shared" si="181"/>
        <v>0</v>
      </c>
      <c r="N161" s="63">
        <f t="shared" si="182"/>
        <v>0</v>
      </c>
      <c r="O161" s="65" t="str">
        <f t="shared" ref="O161" si="192">+IF(Y161="Domingo",SUM(AA155:AA161)&amp;"-"&amp;SUM(AB155:AB161)&amp;"-"&amp;SUM(AC155:AE161),"")</f>
        <v>5-0-2</v>
      </c>
      <c r="P161" s="66">
        <f>+IF(AND(Y161="Domingo",U161=7),_xlfn.XLOOKUP(O161,'Horarios y Sistemas'!C:C,'Horarios y Sistemas'!H:H,0,0,1),0)</f>
        <v>44</v>
      </c>
      <c r="Q161" s="66">
        <f>IF(U161=U162,0,IF(AVERAGEIF(W:W,W161,U:U)=U161,0,_xlfn.XLOOKUP(O161,'Horarios y Sistemas'!C:C,'Horarios y Sistemas'!H:H,0,0,1)-P161))/7*U161</f>
        <v>0</v>
      </c>
      <c r="R161" s="66">
        <f t="shared" si="184"/>
        <v>44</v>
      </c>
      <c r="S161" s="67" t="str">
        <f t="shared" si="185"/>
        <v>SEPTIEMBRE</v>
      </c>
      <c r="T161" s="55" t="str">
        <f t="shared" si="186"/>
        <v>Sem38</v>
      </c>
      <c r="U161" s="68">
        <f t="shared" si="154"/>
        <v>7</v>
      </c>
      <c r="V161" s="69">
        <v>46285</v>
      </c>
      <c r="W161" s="68">
        <f t="shared" si="187"/>
        <v>38</v>
      </c>
      <c r="X161" s="68">
        <f t="shared" si="188"/>
        <v>20</v>
      </c>
      <c r="Y161" s="68" t="s">
        <v>34</v>
      </c>
      <c r="Z161" s="68">
        <v>7</v>
      </c>
      <c r="AA161" s="70">
        <f t="shared" si="148"/>
        <v>0</v>
      </c>
      <c r="AB161" s="70">
        <f t="shared" si="148"/>
        <v>0</v>
      </c>
      <c r="AC161" s="70">
        <f t="shared" si="148"/>
        <v>1</v>
      </c>
      <c r="AD161" s="70">
        <f t="shared" si="148"/>
        <v>0</v>
      </c>
      <c r="AE161" s="70">
        <f t="shared" si="148"/>
        <v>0</v>
      </c>
      <c r="AF161" s="71"/>
      <c r="AG161" s="71"/>
      <c r="AH161" s="71"/>
    </row>
    <row r="162" spans="2:34">
      <c r="B162" t="str">
        <f t="shared" si="175"/>
        <v>Sem3939CASTILLO SOLARES CARLOS ARTURO</v>
      </c>
      <c r="C162" t="str">
        <f t="shared" si="176"/>
        <v>SEPTIEMBRESem39</v>
      </c>
      <c r="D162" t="str">
        <f t="shared" si="177"/>
        <v>SEPTIEMBRESem39CASTILLO SOLARES CARLOS ARTURO</v>
      </c>
      <c r="E162" t="str">
        <f t="shared" si="178"/>
        <v>SEPTIEMBRESem3939CASTILLO SOLARES CARLOS ARTURO</v>
      </c>
      <c r="F162" t="str">
        <f t="shared" si="179"/>
        <v>CASTILLO SOLARES CARLOS ARTURO46286</v>
      </c>
      <c r="H162" s="49" t="s">
        <v>2</v>
      </c>
      <c r="I162" s="50" t="str">
        <f>+_xlfn.XLOOKUP($H162&amp;$V162,BASEDATOS!$B:$B,BASEDATOS!F:F,0,0,1)</f>
        <v>NOCHE</v>
      </c>
      <c r="J162" s="51">
        <f>+_xlfn.XLOOKUP($H162&amp;$V162,BASEDATOS!$B:$B,BASEDATOS!Q:Q,0,0,1)</f>
        <v>0.79166666666666696</v>
      </c>
      <c r="K162" s="51">
        <f>+_xlfn.XLOOKUP($H162&amp;$V162,BASEDATOS!$B:$B,BASEDATOS!R:R,0,0,1)</f>
        <v>0.20833333333333301</v>
      </c>
      <c r="L162" s="51">
        <f t="shared" si="180"/>
        <v>0.41666666666666607</v>
      </c>
      <c r="M162" s="52" t="str">
        <f t="shared" si="181"/>
        <v>1:00</v>
      </c>
      <c r="N162" s="51">
        <f t="shared" si="182"/>
        <v>0.37499999999999939</v>
      </c>
      <c r="O162" s="53" t="str">
        <f t="shared" ref="O162" si="193">+O168</f>
        <v>0-5-2</v>
      </c>
      <c r="P162" s="54">
        <f>+IF(AND(Y162="Domingo",U162=7),_xlfn.XLOOKUP(O162,'Horarios y Sistemas'!C:C,'Horarios y Sistemas'!H:H,0,0,1),0)</f>
        <v>0</v>
      </c>
      <c r="Q162" s="54">
        <f>IF(U162=U163,0,IF(AVERAGEIF(W:W,W162,U:U)=U162,0,_xlfn.XLOOKUP(O162,'Horarios y Sistemas'!C:C,'Horarios y Sistemas'!H:H,0,0,1)-P162))/7*U162</f>
        <v>0</v>
      </c>
      <c r="R162" s="54">
        <f t="shared" si="184"/>
        <v>0</v>
      </c>
      <c r="S162" s="55" t="str">
        <f t="shared" si="185"/>
        <v>SEPTIEMBRE</v>
      </c>
      <c r="T162" s="55" t="str">
        <f t="shared" si="186"/>
        <v>Sem39</v>
      </c>
      <c r="U162" s="56">
        <f t="shared" si="154"/>
        <v>7</v>
      </c>
      <c r="V162" s="59">
        <v>46286</v>
      </c>
      <c r="W162" s="56">
        <f t="shared" si="187"/>
        <v>39</v>
      </c>
      <c r="X162" s="56">
        <f t="shared" si="188"/>
        <v>21</v>
      </c>
      <c r="Y162" s="56" t="s">
        <v>28</v>
      </c>
      <c r="Z162" s="56">
        <v>1</v>
      </c>
      <c r="AA162" s="58">
        <f t="shared" si="148"/>
        <v>0</v>
      </c>
      <c r="AB162" s="58">
        <f t="shared" si="148"/>
        <v>1</v>
      </c>
      <c r="AC162" s="58">
        <f t="shared" si="148"/>
        <v>0</v>
      </c>
      <c r="AD162" s="58">
        <f t="shared" si="148"/>
        <v>0</v>
      </c>
      <c r="AE162" s="58">
        <f t="shared" si="148"/>
        <v>0</v>
      </c>
    </row>
    <row r="163" spans="2:34">
      <c r="B163" t="str">
        <f t="shared" si="175"/>
        <v>Sem3939CASTILLO SOLARES CARLOS ARTURO</v>
      </c>
      <c r="C163" t="str">
        <f t="shared" si="176"/>
        <v>SEPTIEMBRESem39</v>
      </c>
      <c r="D163" t="str">
        <f t="shared" si="177"/>
        <v>SEPTIEMBRESem39CASTILLO SOLARES CARLOS ARTURO</v>
      </c>
      <c r="E163" t="str">
        <f t="shared" si="178"/>
        <v>SEPTIEMBRESem3939CASTILLO SOLARES CARLOS ARTURO</v>
      </c>
      <c r="F163" t="str">
        <f t="shared" si="179"/>
        <v>CASTILLO SOLARES CARLOS ARTURO46287</v>
      </c>
      <c r="H163" s="49" t="s">
        <v>2</v>
      </c>
      <c r="I163" s="50" t="str">
        <f>+_xlfn.XLOOKUP($H163&amp;$V163,BASEDATOS!$B:$B,BASEDATOS!F:F,0,0,1)</f>
        <v>NOCHE</v>
      </c>
      <c r="J163" s="51">
        <f>+_xlfn.XLOOKUP($H163&amp;$V163,BASEDATOS!$B:$B,BASEDATOS!Q:Q,0,0,1)</f>
        <v>0.79166666666666696</v>
      </c>
      <c r="K163" s="51">
        <f>+_xlfn.XLOOKUP($H163&amp;$V163,BASEDATOS!$B:$B,BASEDATOS!R:R,0,0,1)</f>
        <v>0.20833333333333301</v>
      </c>
      <c r="L163" s="51">
        <f t="shared" si="180"/>
        <v>0.41666666666666607</v>
      </c>
      <c r="M163" s="52" t="str">
        <f t="shared" si="181"/>
        <v>1:00</v>
      </c>
      <c r="N163" s="51">
        <f t="shared" si="182"/>
        <v>0.37499999999999939</v>
      </c>
      <c r="O163" s="53" t="str">
        <f t="shared" ref="O163" si="194">+O168</f>
        <v>0-5-2</v>
      </c>
      <c r="P163" s="54">
        <f>+IF(AND(Y163="Domingo",U163=7),_xlfn.XLOOKUP(O163,'Horarios y Sistemas'!C:C,'Horarios y Sistemas'!H:H,0,0,1),0)</f>
        <v>0</v>
      </c>
      <c r="Q163" s="54">
        <f>IF(U163=U164,0,IF(AVERAGEIF(W:W,W163,U:U)=U163,0,_xlfn.XLOOKUP(O163,'Horarios y Sistemas'!C:C,'Horarios y Sistemas'!H:H,0,0,1)-P163))/7*U163</f>
        <v>0</v>
      </c>
      <c r="R163" s="54">
        <f t="shared" si="184"/>
        <v>0</v>
      </c>
      <c r="S163" s="55" t="str">
        <f t="shared" si="185"/>
        <v>SEPTIEMBRE</v>
      </c>
      <c r="T163" s="55" t="str">
        <f t="shared" si="186"/>
        <v>Sem39</v>
      </c>
      <c r="U163" s="56">
        <f t="shared" si="154"/>
        <v>7</v>
      </c>
      <c r="V163" s="59">
        <v>46287</v>
      </c>
      <c r="W163" s="56">
        <f t="shared" si="187"/>
        <v>39</v>
      </c>
      <c r="X163" s="56">
        <f t="shared" si="188"/>
        <v>22</v>
      </c>
      <c r="Y163" s="56" t="s">
        <v>29</v>
      </c>
      <c r="Z163" s="56">
        <v>2</v>
      </c>
      <c r="AA163" s="58">
        <f t="shared" si="148"/>
        <v>0</v>
      </c>
      <c r="AB163" s="58">
        <f t="shared" si="148"/>
        <v>1</v>
      </c>
      <c r="AC163" s="58">
        <f t="shared" si="148"/>
        <v>0</v>
      </c>
      <c r="AD163" s="58">
        <f t="shared" si="148"/>
        <v>0</v>
      </c>
      <c r="AE163" s="58">
        <f t="shared" si="148"/>
        <v>0</v>
      </c>
    </row>
    <row r="164" spans="2:34">
      <c r="B164" t="str">
        <f t="shared" si="175"/>
        <v>Sem3939CASTILLO SOLARES CARLOS ARTURO</v>
      </c>
      <c r="C164" t="str">
        <f t="shared" si="176"/>
        <v>SEPTIEMBRESem39</v>
      </c>
      <c r="D164" t="str">
        <f t="shared" si="177"/>
        <v>SEPTIEMBRESem39CASTILLO SOLARES CARLOS ARTURO</v>
      </c>
      <c r="E164" t="str">
        <f t="shared" si="178"/>
        <v>SEPTIEMBRESem3939CASTILLO SOLARES CARLOS ARTURO</v>
      </c>
      <c r="F164" t="str">
        <f t="shared" si="179"/>
        <v>CASTILLO SOLARES CARLOS ARTURO46288</v>
      </c>
      <c r="H164" s="49" t="s">
        <v>2</v>
      </c>
      <c r="I164" s="50" t="str">
        <f>+_xlfn.XLOOKUP($H164&amp;$V164,BASEDATOS!$B:$B,BASEDATOS!F:F,0,0,1)</f>
        <v>NOCHE</v>
      </c>
      <c r="J164" s="51">
        <f>+_xlfn.XLOOKUP($H164&amp;$V164,BASEDATOS!$B:$B,BASEDATOS!Q:Q,0,0,1)</f>
        <v>0.79166666666666696</v>
      </c>
      <c r="K164" s="51">
        <f>+_xlfn.XLOOKUP($H164&amp;$V164,BASEDATOS!$B:$B,BASEDATOS!R:R,0,0,1)</f>
        <v>0.20833333333333301</v>
      </c>
      <c r="L164" s="51">
        <f t="shared" si="180"/>
        <v>0.41666666666666607</v>
      </c>
      <c r="M164" s="52" t="str">
        <f t="shared" si="181"/>
        <v>1:00</v>
      </c>
      <c r="N164" s="51">
        <f t="shared" si="182"/>
        <v>0.37499999999999939</v>
      </c>
      <c r="O164" s="53" t="str">
        <f t="shared" ref="O164" si="195">+O168</f>
        <v>0-5-2</v>
      </c>
      <c r="P164" s="54">
        <f>+IF(AND(Y164="Domingo",U164=7),_xlfn.XLOOKUP(O164,'Horarios y Sistemas'!C:C,'Horarios y Sistemas'!H:H,0,0,1),0)</f>
        <v>0</v>
      </c>
      <c r="Q164" s="54">
        <f>IF(U164=U165,0,IF(AVERAGEIF(W:W,W164,U:U)=U164,0,_xlfn.XLOOKUP(O164,'Horarios y Sistemas'!C:C,'Horarios y Sistemas'!H:H,0,0,1)-P164))/7*U164</f>
        <v>0</v>
      </c>
      <c r="R164" s="54">
        <f t="shared" si="184"/>
        <v>0</v>
      </c>
      <c r="S164" s="55" t="str">
        <f t="shared" si="185"/>
        <v>SEPTIEMBRE</v>
      </c>
      <c r="T164" s="55" t="str">
        <f t="shared" si="186"/>
        <v>Sem39</v>
      </c>
      <c r="U164" s="56">
        <f t="shared" si="154"/>
        <v>7</v>
      </c>
      <c r="V164" s="59">
        <v>46288</v>
      </c>
      <c r="W164" s="56">
        <f t="shared" si="187"/>
        <v>39</v>
      </c>
      <c r="X164" s="56">
        <f t="shared" si="188"/>
        <v>23</v>
      </c>
      <c r="Y164" s="56" t="s">
        <v>30</v>
      </c>
      <c r="Z164" s="56">
        <v>3</v>
      </c>
      <c r="AA164" s="58">
        <f t="shared" si="148"/>
        <v>0</v>
      </c>
      <c r="AB164" s="58">
        <f t="shared" si="148"/>
        <v>1</v>
      </c>
      <c r="AC164" s="58">
        <f t="shared" si="148"/>
        <v>0</v>
      </c>
      <c r="AD164" s="58">
        <f t="shared" si="148"/>
        <v>0</v>
      </c>
      <c r="AE164" s="58">
        <f t="shared" si="148"/>
        <v>0</v>
      </c>
    </row>
    <row r="165" spans="2:34">
      <c r="B165" t="str">
        <f t="shared" si="175"/>
        <v>Sem3939CASTILLO SOLARES CARLOS ARTURO</v>
      </c>
      <c r="C165" t="str">
        <f t="shared" si="176"/>
        <v>SEPTIEMBRESem39</v>
      </c>
      <c r="D165" t="str">
        <f t="shared" si="177"/>
        <v>SEPTIEMBRESem39CASTILLO SOLARES CARLOS ARTURO</v>
      </c>
      <c r="E165" t="str">
        <f t="shared" si="178"/>
        <v>SEPTIEMBRESem3939CASTILLO SOLARES CARLOS ARTURO</v>
      </c>
      <c r="F165" t="str">
        <f t="shared" si="179"/>
        <v>CASTILLO SOLARES CARLOS ARTURO46289</v>
      </c>
      <c r="H165" s="49" t="s">
        <v>2</v>
      </c>
      <c r="I165" s="50" t="str">
        <f>+_xlfn.XLOOKUP($H165&amp;$V165,BASEDATOS!$B:$B,BASEDATOS!F:F,0,0,1)</f>
        <v>NOCHE</v>
      </c>
      <c r="J165" s="51">
        <f>+_xlfn.XLOOKUP($H165&amp;$V165,BASEDATOS!$B:$B,BASEDATOS!Q:Q,0,0,1)</f>
        <v>0.79166666666666696</v>
      </c>
      <c r="K165" s="51">
        <f>+_xlfn.XLOOKUP($H165&amp;$V165,BASEDATOS!$B:$B,BASEDATOS!R:R,0,0,1)</f>
        <v>0.20833333333333301</v>
      </c>
      <c r="L165" s="51">
        <f t="shared" si="180"/>
        <v>0.41666666666666607</v>
      </c>
      <c r="M165" s="52" t="str">
        <f t="shared" si="181"/>
        <v>1:00</v>
      </c>
      <c r="N165" s="51">
        <f t="shared" si="182"/>
        <v>0.37499999999999939</v>
      </c>
      <c r="O165" s="53" t="str">
        <f t="shared" ref="O165" si="196">+O168</f>
        <v>0-5-2</v>
      </c>
      <c r="P165" s="54">
        <f>+IF(AND(Y165="Domingo",U165=7),_xlfn.XLOOKUP(O165,'Horarios y Sistemas'!C:C,'Horarios y Sistemas'!H:H,0,0,1),0)</f>
        <v>0</v>
      </c>
      <c r="Q165" s="54">
        <f>IF(U165=U166,0,IF(AVERAGEIF(W:W,W165,U:U)=U165,0,_xlfn.XLOOKUP(O165,'Horarios y Sistemas'!C:C,'Horarios y Sistemas'!H:H,0,0,1)-P165))/7*U165</f>
        <v>0</v>
      </c>
      <c r="R165" s="54">
        <f t="shared" si="184"/>
        <v>0</v>
      </c>
      <c r="S165" s="55" t="str">
        <f t="shared" si="185"/>
        <v>SEPTIEMBRE</v>
      </c>
      <c r="T165" s="55" t="str">
        <f t="shared" si="186"/>
        <v>Sem39</v>
      </c>
      <c r="U165" s="56">
        <f t="shared" si="154"/>
        <v>7</v>
      </c>
      <c r="V165" s="59">
        <v>46289</v>
      </c>
      <c r="W165" s="56">
        <f t="shared" si="187"/>
        <v>39</v>
      </c>
      <c r="X165" s="56">
        <f t="shared" si="188"/>
        <v>24</v>
      </c>
      <c r="Y165" s="56" t="s">
        <v>31</v>
      </c>
      <c r="Z165" s="56">
        <v>4</v>
      </c>
      <c r="AA165" s="58">
        <f t="shared" si="148"/>
        <v>0</v>
      </c>
      <c r="AB165" s="58">
        <f t="shared" si="148"/>
        <v>1</v>
      </c>
      <c r="AC165" s="58">
        <f t="shared" si="148"/>
        <v>0</v>
      </c>
      <c r="AD165" s="58">
        <f t="shared" si="148"/>
        <v>0</v>
      </c>
      <c r="AE165" s="58">
        <f t="shared" si="148"/>
        <v>0</v>
      </c>
    </row>
    <row r="166" spans="2:34">
      <c r="B166" t="str">
        <f t="shared" si="175"/>
        <v>Sem3939CASTILLO SOLARES CARLOS ARTURO</v>
      </c>
      <c r="C166" t="str">
        <f t="shared" si="176"/>
        <v>SEPTIEMBRESem39</v>
      </c>
      <c r="D166" t="str">
        <f t="shared" si="177"/>
        <v>SEPTIEMBRESem39CASTILLO SOLARES CARLOS ARTURO</v>
      </c>
      <c r="E166" t="str">
        <f t="shared" si="178"/>
        <v>SEPTIEMBRESem3939CASTILLO SOLARES CARLOS ARTURO</v>
      </c>
      <c r="F166" t="str">
        <f t="shared" si="179"/>
        <v>CASTILLO SOLARES CARLOS ARTURO46290</v>
      </c>
      <c r="H166" s="49" t="s">
        <v>2</v>
      </c>
      <c r="I166" s="50" t="str">
        <f>+_xlfn.XLOOKUP($H166&amp;$V166,BASEDATOS!$B:$B,BASEDATOS!F:F,0,0,1)</f>
        <v>NOCHE</v>
      </c>
      <c r="J166" s="51">
        <f>+_xlfn.XLOOKUP($H166&amp;$V166,BASEDATOS!$B:$B,BASEDATOS!Q:Q,0,0,1)</f>
        <v>0.79166666666666696</v>
      </c>
      <c r="K166" s="51">
        <f>+_xlfn.XLOOKUP($H166&amp;$V166,BASEDATOS!$B:$B,BASEDATOS!R:R,0,0,1)</f>
        <v>0.20833333333333301</v>
      </c>
      <c r="L166" s="51">
        <f t="shared" si="180"/>
        <v>0.41666666666666607</v>
      </c>
      <c r="M166" s="52" t="str">
        <f t="shared" si="181"/>
        <v>1:00</v>
      </c>
      <c r="N166" s="51">
        <f t="shared" si="182"/>
        <v>0.37499999999999939</v>
      </c>
      <c r="O166" s="53" t="str">
        <f t="shared" ref="O166" si="197">+O168</f>
        <v>0-5-2</v>
      </c>
      <c r="P166" s="54">
        <f>+IF(AND(Y166="Domingo",U166=7),_xlfn.XLOOKUP(O166,'Horarios y Sistemas'!C:C,'Horarios y Sistemas'!H:H,0,0,1),0)</f>
        <v>0</v>
      </c>
      <c r="Q166" s="54">
        <f>IF(U166=U167,0,IF(AVERAGEIF(W:W,W166,U:U)=U166,0,_xlfn.XLOOKUP(O166,'Horarios y Sistemas'!C:C,'Horarios y Sistemas'!H:H,0,0,1)-P166))/7*U166</f>
        <v>0</v>
      </c>
      <c r="R166" s="54">
        <f t="shared" si="184"/>
        <v>0</v>
      </c>
      <c r="S166" s="55" t="str">
        <f t="shared" si="185"/>
        <v>SEPTIEMBRE</v>
      </c>
      <c r="T166" s="55" t="str">
        <f t="shared" si="186"/>
        <v>Sem39</v>
      </c>
      <c r="U166" s="56">
        <f t="shared" si="154"/>
        <v>7</v>
      </c>
      <c r="V166" s="59">
        <v>46290</v>
      </c>
      <c r="W166" s="56">
        <f t="shared" si="187"/>
        <v>39</v>
      </c>
      <c r="X166" s="56">
        <f t="shared" si="188"/>
        <v>25</v>
      </c>
      <c r="Y166" s="56" t="s">
        <v>32</v>
      </c>
      <c r="Z166" s="56">
        <v>5</v>
      </c>
      <c r="AA166" s="58">
        <f t="shared" si="148"/>
        <v>0</v>
      </c>
      <c r="AB166" s="58">
        <f t="shared" si="148"/>
        <v>1</v>
      </c>
      <c r="AC166" s="58">
        <f t="shared" si="148"/>
        <v>0</v>
      </c>
      <c r="AD166" s="58">
        <f t="shared" si="148"/>
        <v>0</v>
      </c>
      <c r="AE166" s="58">
        <f t="shared" si="148"/>
        <v>0</v>
      </c>
    </row>
    <row r="167" spans="2:34">
      <c r="B167" t="str">
        <f t="shared" si="175"/>
        <v>Sem3939CASTILLO SOLARES CARLOS ARTURO</v>
      </c>
      <c r="C167" t="str">
        <f t="shared" si="176"/>
        <v>SEPTIEMBRESem39</v>
      </c>
      <c r="D167" t="str">
        <f t="shared" si="177"/>
        <v>SEPTIEMBRESem39CASTILLO SOLARES CARLOS ARTURO</v>
      </c>
      <c r="E167" t="str">
        <f t="shared" si="178"/>
        <v>SEPTIEMBRESem3939CASTILLO SOLARES CARLOS ARTURO</v>
      </c>
      <c r="F167" t="str">
        <f t="shared" si="179"/>
        <v>CASTILLO SOLARES CARLOS ARTURO46291</v>
      </c>
      <c r="H167" s="49" t="s">
        <v>2</v>
      </c>
      <c r="I167" s="50" t="str">
        <f>+_xlfn.XLOOKUP($H167&amp;$V167,BASEDATOS!$B:$B,BASEDATOS!F:F,0,0,1)</f>
        <v>DESCANSO</v>
      </c>
      <c r="J167" s="51">
        <f>+_xlfn.XLOOKUP($H167&amp;$V167,BASEDATOS!$B:$B,BASEDATOS!Q:Q,0,0,1)</f>
        <v>0</v>
      </c>
      <c r="K167" s="51">
        <f>+_xlfn.XLOOKUP($H167&amp;$V167,BASEDATOS!$B:$B,BASEDATOS!R:R,0,0,1)</f>
        <v>0</v>
      </c>
      <c r="L167" s="51">
        <f t="shared" si="180"/>
        <v>0</v>
      </c>
      <c r="M167" s="52">
        <f t="shared" si="181"/>
        <v>0</v>
      </c>
      <c r="N167" s="51">
        <f t="shared" si="182"/>
        <v>0</v>
      </c>
      <c r="O167" s="53" t="str">
        <f t="shared" ref="O167" si="198">+O168</f>
        <v>0-5-2</v>
      </c>
      <c r="P167" s="54">
        <f>+IF(AND(Y167="Domingo",U167=7),_xlfn.XLOOKUP(O167,'Horarios y Sistemas'!C:C,'Horarios y Sistemas'!H:H,0,0,1),0)</f>
        <v>0</v>
      </c>
      <c r="Q167" s="54">
        <f>IF(U167=U168,0,IF(AVERAGEIF(W:W,W167,U:U)=U167,0,_xlfn.XLOOKUP(O167,'Horarios y Sistemas'!C:C,'Horarios y Sistemas'!H:H,0,0,1)-P167))/7*U167</f>
        <v>0</v>
      </c>
      <c r="R167" s="54">
        <f t="shared" si="184"/>
        <v>0</v>
      </c>
      <c r="S167" s="55" t="str">
        <f t="shared" si="185"/>
        <v>SEPTIEMBRE</v>
      </c>
      <c r="T167" s="55" t="str">
        <f t="shared" si="186"/>
        <v>Sem39</v>
      </c>
      <c r="U167" s="56">
        <f t="shared" si="154"/>
        <v>7</v>
      </c>
      <c r="V167" s="59">
        <v>46291</v>
      </c>
      <c r="W167" s="56">
        <f t="shared" si="187"/>
        <v>39</v>
      </c>
      <c r="X167" s="56">
        <f t="shared" si="188"/>
        <v>26</v>
      </c>
      <c r="Y167" s="56" t="s">
        <v>33</v>
      </c>
      <c r="Z167" s="56">
        <v>6</v>
      </c>
      <c r="AA167" s="58">
        <f t="shared" si="148"/>
        <v>0</v>
      </c>
      <c r="AB167" s="58">
        <f t="shared" si="148"/>
        <v>0</v>
      </c>
      <c r="AC167" s="58">
        <f t="shared" si="148"/>
        <v>1</v>
      </c>
      <c r="AD167" s="58">
        <f t="shared" si="148"/>
        <v>0</v>
      </c>
      <c r="AE167" s="58">
        <f t="shared" si="148"/>
        <v>0</v>
      </c>
    </row>
    <row r="168" spans="2:34" s="60" customFormat="1">
      <c r="B168" s="60" t="str">
        <f t="shared" si="175"/>
        <v>Sem3939CASTILLO SOLARES CARLOS ARTURO</v>
      </c>
      <c r="C168" s="60" t="str">
        <f t="shared" si="176"/>
        <v>SEPTIEMBRESem39</v>
      </c>
      <c r="D168" s="60" t="str">
        <f t="shared" si="177"/>
        <v>SEPTIEMBRESem39CASTILLO SOLARES CARLOS ARTURO</v>
      </c>
      <c r="E168" s="60" t="str">
        <f t="shared" si="178"/>
        <v>SEPTIEMBRESem3939CASTILLO SOLARES CARLOS ARTURO</v>
      </c>
      <c r="F168" s="60" t="str">
        <f t="shared" si="179"/>
        <v>CASTILLO SOLARES CARLOS ARTURO46292</v>
      </c>
      <c r="H168" s="61" t="s">
        <v>2</v>
      </c>
      <c r="I168" s="62" t="str">
        <f>+_xlfn.XLOOKUP($H168&amp;$V168,BASEDATOS!$B:$B,BASEDATOS!F:F,0,0,1)</f>
        <v>DESCANSO</v>
      </c>
      <c r="J168" s="63">
        <f>+_xlfn.XLOOKUP($H168&amp;$V168,BASEDATOS!$B:$B,BASEDATOS!Q:Q,0,0,1)</f>
        <v>0</v>
      </c>
      <c r="K168" s="63">
        <f>+_xlfn.XLOOKUP($H168&amp;$V168,BASEDATOS!$B:$B,BASEDATOS!R:R,0,0,1)</f>
        <v>0</v>
      </c>
      <c r="L168" s="63">
        <f t="shared" si="180"/>
        <v>0</v>
      </c>
      <c r="M168" s="64">
        <f t="shared" si="181"/>
        <v>0</v>
      </c>
      <c r="N168" s="63">
        <f t="shared" si="182"/>
        <v>0</v>
      </c>
      <c r="O168" s="65" t="str">
        <f t="shared" ref="O168" si="199">+IF(Y168="Domingo",SUM(AA162:AA168)&amp;"-"&amp;SUM(AB162:AB168)&amp;"-"&amp;SUM(AC162:AE168),"")</f>
        <v>0-5-2</v>
      </c>
      <c r="P168" s="66">
        <f>+IF(AND(Y168="Domingo",U168=7),_xlfn.XLOOKUP(O168,'Horarios y Sistemas'!C:C,'Horarios y Sistemas'!H:H,0,0,1),0)</f>
        <v>36</v>
      </c>
      <c r="Q168" s="66">
        <f>IF(U168=U169,0,IF(AVERAGEIF(W:W,W168,U:U)=U168,0,_xlfn.XLOOKUP(O168,'Horarios y Sistemas'!C:C,'Horarios y Sistemas'!H:H,0,0,1)-P168))/7*U168</f>
        <v>0</v>
      </c>
      <c r="R168" s="66">
        <f t="shared" si="184"/>
        <v>36</v>
      </c>
      <c r="S168" s="67" t="str">
        <f t="shared" si="185"/>
        <v>SEPTIEMBRE</v>
      </c>
      <c r="T168" s="55" t="str">
        <f t="shared" si="186"/>
        <v>Sem39</v>
      </c>
      <c r="U168" s="68">
        <f t="shared" si="154"/>
        <v>7</v>
      </c>
      <c r="V168" s="69">
        <v>46292</v>
      </c>
      <c r="W168" s="68">
        <f t="shared" si="187"/>
        <v>39</v>
      </c>
      <c r="X168" s="68">
        <f t="shared" si="188"/>
        <v>27</v>
      </c>
      <c r="Y168" s="68" t="s">
        <v>34</v>
      </c>
      <c r="Z168" s="68">
        <v>7</v>
      </c>
      <c r="AA168" s="70">
        <f t="shared" si="148"/>
        <v>0</v>
      </c>
      <c r="AB168" s="70">
        <f t="shared" si="148"/>
        <v>0</v>
      </c>
      <c r="AC168" s="70">
        <f t="shared" si="148"/>
        <v>1</v>
      </c>
      <c r="AD168" s="70">
        <f t="shared" si="148"/>
        <v>0</v>
      </c>
      <c r="AE168" s="70">
        <f t="shared" si="148"/>
        <v>0</v>
      </c>
      <c r="AF168" s="71"/>
      <c r="AG168" s="71"/>
      <c r="AH168" s="71"/>
    </row>
    <row r="169" spans="2:34">
      <c r="B169" t="str">
        <f t="shared" si="175"/>
        <v>Sem4040CASTILLO SOLARES CARLOS ARTURO</v>
      </c>
      <c r="C169" t="str">
        <f t="shared" si="176"/>
        <v>SEPTIEMBRESem40</v>
      </c>
      <c r="D169" t="str">
        <f t="shared" si="177"/>
        <v>SEPTIEMBRESem40CASTILLO SOLARES CARLOS ARTURO</v>
      </c>
      <c r="E169" t="str">
        <f t="shared" si="178"/>
        <v>SEPTIEMBRESem4040CASTILLO SOLARES CARLOS ARTURO</v>
      </c>
      <c r="F169" t="str">
        <f t="shared" si="179"/>
        <v>CASTILLO SOLARES CARLOS ARTURO46293</v>
      </c>
      <c r="H169" s="49" t="s">
        <v>2</v>
      </c>
      <c r="I169" s="50" t="str">
        <f>+_xlfn.XLOOKUP($H169&amp;$V169,BASEDATOS!$B:$B,BASEDATOS!F:F,0,0,1)</f>
        <v>DIA</v>
      </c>
      <c r="J169" s="51">
        <f>+_xlfn.XLOOKUP($H169&amp;$V169,BASEDATOS!$B:$B,BASEDATOS!Q:Q,0,0,1)</f>
        <v>0.29166666666666702</v>
      </c>
      <c r="K169" s="51">
        <f>+_xlfn.XLOOKUP($H169&amp;$V169,BASEDATOS!$B:$B,BASEDATOS!R:R,0,0,1)</f>
        <v>0.66666666666666696</v>
      </c>
      <c r="L169" s="51">
        <f t="shared" si="180"/>
        <v>0.37499999999999994</v>
      </c>
      <c r="M169" s="52" t="str">
        <f t="shared" si="181"/>
        <v>1:00</v>
      </c>
      <c r="N169" s="51">
        <f t="shared" si="182"/>
        <v>0.33333333333333326</v>
      </c>
      <c r="O169" s="53" t="str">
        <f t="shared" ref="O169" si="200">+O175</f>
        <v>6-0-1</v>
      </c>
      <c r="P169" s="54">
        <f>+IF(AND(Y169="Domingo",U169=7),_xlfn.XLOOKUP(O169,'Horarios y Sistemas'!C:C,'Horarios y Sistemas'!H:H,0,0,1),0)</f>
        <v>0</v>
      </c>
      <c r="Q169" s="54">
        <f>IF(U169=U170,0,IF(AVERAGEIF(W:W,W169,U:U)=U169,0,_xlfn.XLOOKUP(O169,'Horarios y Sistemas'!C:C,'Horarios y Sistemas'!H:H,0,0,1)-P169))/7*U169</f>
        <v>0</v>
      </c>
      <c r="R169" s="54">
        <f t="shared" si="184"/>
        <v>0</v>
      </c>
      <c r="S169" s="55" t="str">
        <f t="shared" si="185"/>
        <v>SEPTIEMBRE</v>
      </c>
      <c r="T169" s="55" t="str">
        <f t="shared" si="186"/>
        <v>Sem40</v>
      </c>
      <c r="U169" s="56">
        <f t="shared" si="154"/>
        <v>7</v>
      </c>
      <c r="V169" s="59">
        <v>46293</v>
      </c>
      <c r="W169" s="56">
        <f t="shared" si="187"/>
        <v>40</v>
      </c>
      <c r="X169" s="56">
        <f t="shared" si="188"/>
        <v>28</v>
      </c>
      <c r="Y169" s="56" t="s">
        <v>28</v>
      </c>
      <c r="Z169" s="56">
        <v>1</v>
      </c>
      <c r="AA169" s="58">
        <f t="shared" si="148"/>
        <v>1</v>
      </c>
      <c r="AB169" s="58">
        <f t="shared" si="148"/>
        <v>0</v>
      </c>
      <c r="AC169" s="58">
        <f t="shared" si="148"/>
        <v>0</v>
      </c>
      <c r="AD169" s="58">
        <f t="shared" si="148"/>
        <v>0</v>
      </c>
      <c r="AE169" s="58">
        <f t="shared" si="148"/>
        <v>0</v>
      </c>
    </row>
    <row r="170" spans="2:34">
      <c r="B170" t="str">
        <f t="shared" si="175"/>
        <v>Sem4040CASTILLO SOLARES CARLOS ARTURO</v>
      </c>
      <c r="C170" t="str">
        <f t="shared" si="176"/>
        <v>SEPTIEMBRESem40</v>
      </c>
      <c r="D170" t="str">
        <f t="shared" si="177"/>
        <v>SEPTIEMBRESem40CASTILLO SOLARES CARLOS ARTURO</v>
      </c>
      <c r="E170" t="str">
        <f t="shared" si="178"/>
        <v>SEPTIEMBRESem4040CASTILLO SOLARES CARLOS ARTURO</v>
      </c>
      <c r="F170" t="str">
        <f t="shared" si="179"/>
        <v>CASTILLO SOLARES CARLOS ARTURO46294</v>
      </c>
      <c r="H170" s="49" t="s">
        <v>2</v>
      </c>
      <c r="I170" s="50" t="str">
        <f>+_xlfn.XLOOKUP($H170&amp;$V170,BASEDATOS!$B:$B,BASEDATOS!F:F,0,0,1)</f>
        <v>DIA</v>
      </c>
      <c r="J170" s="51">
        <f>+_xlfn.XLOOKUP($H170&amp;$V170,BASEDATOS!$B:$B,BASEDATOS!Q:Q,0,0,1)</f>
        <v>0.29166666666666702</v>
      </c>
      <c r="K170" s="51">
        <f>+_xlfn.XLOOKUP($H170&amp;$V170,BASEDATOS!$B:$B,BASEDATOS!R:R,0,0,1)</f>
        <v>0.66666666666666696</v>
      </c>
      <c r="L170" s="51">
        <f t="shared" si="180"/>
        <v>0.37499999999999994</v>
      </c>
      <c r="M170" s="52" t="str">
        <f t="shared" si="181"/>
        <v>1:00</v>
      </c>
      <c r="N170" s="51">
        <f t="shared" si="182"/>
        <v>0.33333333333333326</v>
      </c>
      <c r="O170" s="53" t="str">
        <f t="shared" ref="O170" si="201">+O175</f>
        <v>6-0-1</v>
      </c>
      <c r="P170" s="54">
        <f>+IF(AND(Y170="Domingo",U170=7),_xlfn.XLOOKUP(O170,'Horarios y Sistemas'!C:C,'Horarios y Sistemas'!H:H,0,0,1),0)</f>
        <v>0</v>
      </c>
      <c r="Q170" s="54">
        <f>IF(U170=U171,0,IF(AVERAGEIF(W:W,W170,U:U)=U170,0,_xlfn.XLOOKUP(O170,'Horarios y Sistemas'!C:C,'Horarios y Sistemas'!H:H,0,0,1)-P170))/7*U170</f>
        <v>0</v>
      </c>
      <c r="R170" s="54">
        <f t="shared" si="184"/>
        <v>0</v>
      </c>
      <c r="S170" s="55" t="str">
        <f t="shared" si="185"/>
        <v>SEPTIEMBRE</v>
      </c>
      <c r="T170" s="55" t="str">
        <f t="shared" si="186"/>
        <v>Sem40</v>
      </c>
      <c r="U170" s="56">
        <f t="shared" si="154"/>
        <v>7</v>
      </c>
      <c r="V170" s="59">
        <v>46294</v>
      </c>
      <c r="W170" s="56">
        <f t="shared" si="187"/>
        <v>40</v>
      </c>
      <c r="X170" s="56">
        <f t="shared" si="188"/>
        <v>29</v>
      </c>
      <c r="Y170" s="56" t="s">
        <v>29</v>
      </c>
      <c r="Z170" s="56">
        <v>2</v>
      </c>
      <c r="AA170" s="58">
        <f t="shared" si="148"/>
        <v>1</v>
      </c>
      <c r="AB170" s="58">
        <f t="shared" si="148"/>
        <v>0</v>
      </c>
      <c r="AC170" s="58">
        <f t="shared" si="148"/>
        <v>0</v>
      </c>
      <c r="AD170" s="58">
        <f t="shared" si="148"/>
        <v>0</v>
      </c>
      <c r="AE170" s="58">
        <f t="shared" si="148"/>
        <v>0</v>
      </c>
    </row>
    <row r="171" spans="2:34">
      <c r="B171" t="str">
        <f t="shared" si="175"/>
        <v>Sem4040CASTILLO SOLARES CARLOS ARTURO</v>
      </c>
      <c r="C171" t="str">
        <f t="shared" si="176"/>
        <v>SEPTIEMBRESem40</v>
      </c>
      <c r="D171" t="str">
        <f t="shared" si="177"/>
        <v>SEPTIEMBRESem40CASTILLO SOLARES CARLOS ARTURO</v>
      </c>
      <c r="E171" t="str">
        <f t="shared" si="178"/>
        <v>SEPTIEMBRESem4040CASTILLO SOLARES CARLOS ARTURO</v>
      </c>
      <c r="F171" t="str">
        <f t="shared" si="179"/>
        <v>CASTILLO SOLARES CARLOS ARTURO46295</v>
      </c>
      <c r="H171" s="49" t="s">
        <v>2</v>
      </c>
      <c r="I171" s="50" t="str">
        <f>+_xlfn.XLOOKUP($H171&amp;$V171,BASEDATOS!$B:$B,BASEDATOS!F:F,0,0,1)</f>
        <v>DIA</v>
      </c>
      <c r="J171" s="51">
        <f>+_xlfn.XLOOKUP($H171&amp;$V171,BASEDATOS!$B:$B,BASEDATOS!Q:Q,0,0,1)</f>
        <v>0.29166666666666702</v>
      </c>
      <c r="K171" s="51">
        <f>+_xlfn.XLOOKUP($H171&amp;$V171,BASEDATOS!$B:$B,BASEDATOS!R:R,0,0,1)</f>
        <v>0.66666666666666696</v>
      </c>
      <c r="L171" s="51">
        <f t="shared" si="180"/>
        <v>0.37499999999999994</v>
      </c>
      <c r="M171" s="52" t="str">
        <f t="shared" si="181"/>
        <v>1:00</v>
      </c>
      <c r="N171" s="51">
        <f t="shared" si="182"/>
        <v>0.33333333333333326</v>
      </c>
      <c r="O171" s="53" t="str">
        <f t="shared" ref="O171" si="202">+O175</f>
        <v>6-0-1</v>
      </c>
      <c r="P171" s="54">
        <f>+IF(AND(Y171="Domingo",U171=7),_xlfn.XLOOKUP(O171,'Horarios y Sistemas'!C:C,'Horarios y Sistemas'!H:H,0,0,1),0)</f>
        <v>0</v>
      </c>
      <c r="Q171" s="54">
        <f>IF(U171=U172,0,IF(AVERAGEIF(W:W,W171,U:U)=U171,0,_xlfn.XLOOKUP(O171,'Horarios y Sistemas'!C:C,'Horarios y Sistemas'!H:H,0,0,1)-P171))/7*U171</f>
        <v>0</v>
      </c>
      <c r="R171" s="54">
        <f t="shared" si="184"/>
        <v>0</v>
      </c>
      <c r="S171" s="55" t="str">
        <f t="shared" si="185"/>
        <v>SEPTIEMBRE</v>
      </c>
      <c r="T171" s="55" t="str">
        <f t="shared" si="186"/>
        <v>Sem40</v>
      </c>
      <c r="U171" s="56">
        <f t="shared" si="154"/>
        <v>7</v>
      </c>
      <c r="V171" s="59">
        <v>46295</v>
      </c>
      <c r="W171" s="56">
        <f t="shared" si="187"/>
        <v>40</v>
      </c>
      <c r="X171" s="56">
        <f t="shared" si="188"/>
        <v>30</v>
      </c>
      <c r="Y171" s="56" t="s">
        <v>30</v>
      </c>
      <c r="Z171" s="56">
        <v>3</v>
      </c>
      <c r="AA171" s="58">
        <f t="shared" si="148"/>
        <v>1</v>
      </c>
      <c r="AB171" s="58">
        <f t="shared" si="148"/>
        <v>0</v>
      </c>
      <c r="AC171" s="58">
        <f t="shared" si="148"/>
        <v>0</v>
      </c>
      <c r="AD171" s="58">
        <f t="shared" si="148"/>
        <v>0</v>
      </c>
      <c r="AE171" s="58">
        <f t="shared" si="148"/>
        <v>0</v>
      </c>
    </row>
    <row r="172" spans="2:34">
      <c r="B172" t="str">
        <f t="shared" si="175"/>
        <v>Sem4040CASTILLO SOLARES CARLOS ARTURO</v>
      </c>
      <c r="C172" t="str">
        <f t="shared" si="176"/>
        <v>OCTUBRESem40</v>
      </c>
      <c r="D172" t="str">
        <f t="shared" si="177"/>
        <v>OCTUBRESem40CASTILLO SOLARES CARLOS ARTURO</v>
      </c>
      <c r="E172" t="str">
        <f t="shared" si="178"/>
        <v>OCTUBRESem4040CASTILLO SOLARES CARLOS ARTURO</v>
      </c>
      <c r="F172" t="str">
        <f t="shared" si="179"/>
        <v>CASTILLO SOLARES CARLOS ARTURO46296</v>
      </c>
      <c r="H172" s="49" t="s">
        <v>2</v>
      </c>
      <c r="I172" s="50" t="str">
        <f>+_xlfn.XLOOKUP($H172&amp;$V172,BASEDATOS!$B:$B,BASEDATOS!F:F,0,0,1)</f>
        <v>DIA</v>
      </c>
      <c r="J172" s="51">
        <f>+_xlfn.XLOOKUP($H172&amp;$V172,BASEDATOS!$B:$B,BASEDATOS!Q:Q,0,0,1)</f>
        <v>0.375</v>
      </c>
      <c r="K172" s="51">
        <f>+_xlfn.XLOOKUP($H172&amp;$V172,BASEDATOS!$B:$B,BASEDATOS!R:R,0,0,1)</f>
        <v>0.75</v>
      </c>
      <c r="L172" s="51">
        <f t="shared" si="180"/>
        <v>0.375</v>
      </c>
      <c r="M172" s="52" t="str">
        <f t="shared" si="181"/>
        <v>1:00</v>
      </c>
      <c r="N172" s="51">
        <f t="shared" si="182"/>
        <v>0.33333333333333331</v>
      </c>
      <c r="O172" s="53" t="str">
        <f t="shared" ref="O172" si="203">+O175</f>
        <v>6-0-1</v>
      </c>
      <c r="P172" s="54">
        <f>+IF(AND(Y172="Domingo",U172=7),_xlfn.XLOOKUP(O172,'Horarios y Sistemas'!C:C,'Horarios y Sistemas'!H:H,0,0,1),0)</f>
        <v>0</v>
      </c>
      <c r="Q172" s="54">
        <f>IF(U172=U173,0,IF(AVERAGEIF(W:W,W172,U:U)=U172,0,_xlfn.XLOOKUP(O172,'Horarios y Sistemas'!C:C,'Horarios y Sistemas'!H:H,0,0,1)-P172))/7*U172</f>
        <v>0</v>
      </c>
      <c r="R172" s="54">
        <f t="shared" si="184"/>
        <v>0</v>
      </c>
      <c r="S172" s="55" t="str">
        <f t="shared" si="185"/>
        <v>OCTUBRE</v>
      </c>
      <c r="T172" s="55" t="str">
        <f t="shared" si="186"/>
        <v>Sem40</v>
      </c>
      <c r="U172" s="56">
        <f t="shared" si="154"/>
        <v>7</v>
      </c>
      <c r="V172" s="59">
        <v>46296</v>
      </c>
      <c r="W172" s="56">
        <f t="shared" si="187"/>
        <v>40</v>
      </c>
      <c r="X172" s="56">
        <f t="shared" si="188"/>
        <v>1</v>
      </c>
      <c r="Y172" s="56" t="s">
        <v>31</v>
      </c>
      <c r="Z172" s="56">
        <v>4</v>
      </c>
      <c r="AA172" s="58">
        <f t="shared" si="148"/>
        <v>1</v>
      </c>
      <c r="AB172" s="58">
        <f t="shared" si="148"/>
        <v>0</v>
      </c>
      <c r="AC172" s="58">
        <f t="shared" si="148"/>
        <v>0</v>
      </c>
      <c r="AD172" s="58">
        <f t="shared" si="148"/>
        <v>0</v>
      </c>
      <c r="AE172" s="58">
        <f t="shared" si="148"/>
        <v>0</v>
      </c>
    </row>
    <row r="173" spans="2:34">
      <c r="B173" t="str">
        <f t="shared" si="175"/>
        <v>Sem4040CASTILLO SOLARES CARLOS ARTURO</v>
      </c>
      <c r="C173" t="str">
        <f t="shared" si="176"/>
        <v>OCTUBRESem40</v>
      </c>
      <c r="D173" t="str">
        <f t="shared" si="177"/>
        <v>OCTUBRESem40CASTILLO SOLARES CARLOS ARTURO</v>
      </c>
      <c r="E173" t="str">
        <f t="shared" si="178"/>
        <v>OCTUBRESem4040CASTILLO SOLARES CARLOS ARTURO</v>
      </c>
      <c r="F173" t="str">
        <f t="shared" si="179"/>
        <v>CASTILLO SOLARES CARLOS ARTURO46297</v>
      </c>
      <c r="H173" s="49" t="s">
        <v>2</v>
      </c>
      <c r="I173" s="50" t="str">
        <f>+_xlfn.XLOOKUP($H173&amp;$V173,BASEDATOS!$B:$B,BASEDATOS!F:F,0,0,1)</f>
        <v>DIA</v>
      </c>
      <c r="J173" s="51">
        <f>+_xlfn.XLOOKUP($H173&amp;$V173,BASEDATOS!$B:$B,BASEDATOS!Q:Q,0,0,1)</f>
        <v>0.29166666666666702</v>
      </c>
      <c r="K173" s="51">
        <f>+_xlfn.XLOOKUP($H173&amp;$V173,BASEDATOS!$B:$B,BASEDATOS!R:R,0,0,1)</f>
        <v>0.66666666666666696</v>
      </c>
      <c r="L173" s="51">
        <f t="shared" si="180"/>
        <v>0.37499999999999994</v>
      </c>
      <c r="M173" s="52" t="str">
        <f t="shared" si="181"/>
        <v>1:00</v>
      </c>
      <c r="N173" s="51">
        <f t="shared" si="182"/>
        <v>0.33333333333333326</v>
      </c>
      <c r="O173" s="53" t="str">
        <f t="shared" ref="O173" si="204">+O175</f>
        <v>6-0-1</v>
      </c>
      <c r="P173" s="54">
        <f>+IF(AND(Y173="Domingo",U173=7),_xlfn.XLOOKUP(O173,'Horarios y Sistemas'!C:C,'Horarios y Sistemas'!H:H,0,0,1),0)</f>
        <v>0</v>
      </c>
      <c r="Q173" s="54">
        <f>IF(U173=U174,0,IF(AVERAGEIF(W:W,W173,U:U)=U173,0,_xlfn.XLOOKUP(O173,'Horarios y Sistemas'!C:C,'Horarios y Sistemas'!H:H,0,0,1)-P173))/7*U173</f>
        <v>0</v>
      </c>
      <c r="R173" s="54">
        <f t="shared" si="184"/>
        <v>0</v>
      </c>
      <c r="S173" s="55" t="str">
        <f t="shared" si="185"/>
        <v>OCTUBRE</v>
      </c>
      <c r="T173" s="55" t="str">
        <f t="shared" si="186"/>
        <v>Sem40</v>
      </c>
      <c r="U173" s="56">
        <f t="shared" si="154"/>
        <v>7</v>
      </c>
      <c r="V173" s="59">
        <v>46297</v>
      </c>
      <c r="W173" s="56">
        <f t="shared" si="187"/>
        <v>40</v>
      </c>
      <c r="X173" s="56">
        <f t="shared" si="188"/>
        <v>2</v>
      </c>
      <c r="Y173" s="56" t="s">
        <v>32</v>
      </c>
      <c r="Z173" s="56">
        <v>5</v>
      </c>
      <c r="AA173" s="58">
        <f t="shared" si="148"/>
        <v>1</v>
      </c>
      <c r="AB173" s="58">
        <f t="shared" si="148"/>
        <v>0</v>
      </c>
      <c r="AC173" s="58">
        <f t="shared" si="148"/>
        <v>0</v>
      </c>
      <c r="AD173" s="58">
        <f t="shared" si="148"/>
        <v>0</v>
      </c>
      <c r="AE173" s="58">
        <f t="shared" si="148"/>
        <v>0</v>
      </c>
    </row>
    <row r="174" spans="2:34">
      <c r="B174" t="str">
        <f t="shared" si="175"/>
        <v>Sem4040CASTILLO SOLARES CARLOS ARTURO</v>
      </c>
      <c r="C174" t="str">
        <f t="shared" si="176"/>
        <v>OCTUBRESem40</v>
      </c>
      <c r="D174" t="str">
        <f t="shared" si="177"/>
        <v>OCTUBRESem40CASTILLO SOLARES CARLOS ARTURO</v>
      </c>
      <c r="E174" t="str">
        <f t="shared" si="178"/>
        <v>OCTUBRESem4040CASTILLO SOLARES CARLOS ARTURO</v>
      </c>
      <c r="F174" t="str">
        <f t="shared" si="179"/>
        <v>CASTILLO SOLARES CARLOS ARTURO46298</v>
      </c>
      <c r="H174" s="49" t="s">
        <v>2</v>
      </c>
      <c r="I174" s="50" t="str">
        <f>+_xlfn.XLOOKUP($H174&amp;$V174,BASEDATOS!$B:$B,BASEDATOS!F:F,0,0,1)</f>
        <v>DIA</v>
      </c>
      <c r="J174" s="51">
        <f>+_xlfn.XLOOKUP($H174&amp;$V174,BASEDATOS!$B:$B,BASEDATOS!Q:Q,0,0,1)</f>
        <v>0.29166666666666702</v>
      </c>
      <c r="K174" s="51">
        <f>+_xlfn.XLOOKUP($H174&amp;$V174,BASEDATOS!$B:$B,BASEDATOS!R:R,0,0,1)</f>
        <v>0.5</v>
      </c>
      <c r="L174" s="51">
        <f t="shared" si="180"/>
        <v>0.20833333333333298</v>
      </c>
      <c r="M174" s="52" t="str">
        <f t="shared" si="181"/>
        <v>1:00</v>
      </c>
      <c r="N174" s="51">
        <f t="shared" si="182"/>
        <v>0.16666666666666632</v>
      </c>
      <c r="O174" s="53" t="str">
        <f t="shared" ref="O174" si="205">+O175</f>
        <v>6-0-1</v>
      </c>
      <c r="P174" s="54">
        <f>+IF(AND(Y174="Domingo",U174=7),_xlfn.XLOOKUP(O174,'Horarios y Sistemas'!C:C,'Horarios y Sistemas'!H:H,0,0,1),0)</f>
        <v>0</v>
      </c>
      <c r="Q174" s="54">
        <f>IF(U174=U175,0,IF(AVERAGEIF(W:W,W174,U:U)=U174,0,_xlfn.XLOOKUP(O174,'Horarios y Sistemas'!C:C,'Horarios y Sistemas'!H:H,0,0,1)-P174))/7*U174</f>
        <v>0</v>
      </c>
      <c r="R174" s="54">
        <f t="shared" si="184"/>
        <v>0</v>
      </c>
      <c r="S174" s="55" t="str">
        <f t="shared" si="185"/>
        <v>OCTUBRE</v>
      </c>
      <c r="T174" s="55" t="str">
        <f t="shared" si="186"/>
        <v>Sem40</v>
      </c>
      <c r="U174" s="56">
        <f t="shared" si="154"/>
        <v>7</v>
      </c>
      <c r="V174" s="59">
        <v>46298</v>
      </c>
      <c r="W174" s="56">
        <f t="shared" si="187"/>
        <v>40</v>
      </c>
      <c r="X174" s="56">
        <f t="shared" si="188"/>
        <v>3</v>
      </c>
      <c r="Y174" s="56" t="s">
        <v>33</v>
      </c>
      <c r="Z174" s="56">
        <v>6</v>
      </c>
      <c r="AA174" s="58">
        <f t="shared" si="148"/>
        <v>1</v>
      </c>
      <c r="AB174" s="58">
        <f t="shared" si="148"/>
        <v>0</v>
      </c>
      <c r="AC174" s="58">
        <f t="shared" si="148"/>
        <v>0</v>
      </c>
      <c r="AD174" s="58">
        <f t="shared" si="148"/>
        <v>0</v>
      </c>
      <c r="AE174" s="58">
        <f t="shared" si="148"/>
        <v>0</v>
      </c>
    </row>
    <row r="175" spans="2:34" s="60" customFormat="1">
      <c r="B175" s="60" t="str">
        <f t="shared" si="175"/>
        <v>Sem4040CASTILLO SOLARES CARLOS ARTURO</v>
      </c>
      <c r="C175" s="60" t="str">
        <f t="shared" si="176"/>
        <v>OCTUBRESem40</v>
      </c>
      <c r="D175" s="60" t="str">
        <f t="shared" si="177"/>
        <v>OCTUBRESem40CASTILLO SOLARES CARLOS ARTURO</v>
      </c>
      <c r="E175" s="60" t="str">
        <f t="shared" si="178"/>
        <v>OCTUBRESem4040CASTILLO SOLARES CARLOS ARTURO</v>
      </c>
      <c r="F175" s="60" t="str">
        <f t="shared" si="179"/>
        <v>CASTILLO SOLARES CARLOS ARTURO46299</v>
      </c>
      <c r="H175" s="61" t="s">
        <v>2</v>
      </c>
      <c r="I175" s="62" t="str">
        <f>+_xlfn.XLOOKUP($H175&amp;$V175,BASEDATOS!$B:$B,BASEDATOS!F:F,0,0,1)</f>
        <v>DESCANSO</v>
      </c>
      <c r="J175" s="63">
        <f>+_xlfn.XLOOKUP($H175&amp;$V175,BASEDATOS!$B:$B,BASEDATOS!Q:Q,0,0,1)</f>
        <v>0</v>
      </c>
      <c r="K175" s="63">
        <f>+_xlfn.XLOOKUP($H175&amp;$V175,BASEDATOS!$B:$B,BASEDATOS!R:R,0,0,1)</f>
        <v>0</v>
      </c>
      <c r="L175" s="63">
        <f t="shared" si="180"/>
        <v>0</v>
      </c>
      <c r="M175" s="64">
        <f t="shared" si="181"/>
        <v>0</v>
      </c>
      <c r="N175" s="63">
        <f t="shared" si="182"/>
        <v>0</v>
      </c>
      <c r="O175" s="65" t="str">
        <f t="shared" ref="O175" si="206">+IF(Y175="Domingo",SUM(AA169:AA175)&amp;"-"&amp;SUM(AB169:AB175)&amp;"-"&amp;SUM(AC169:AE175),"")</f>
        <v>6-0-1</v>
      </c>
      <c r="P175" s="66">
        <f>+IF(AND(Y175="Domingo",U175=7),_xlfn.XLOOKUP(O175,'Horarios y Sistemas'!C:C,'Horarios y Sistemas'!H:H,0,0,1),0)</f>
        <v>44</v>
      </c>
      <c r="Q175" s="66">
        <f>IF(U175=U176,0,IF(AVERAGEIF(W:W,W175,U:U)=U175,0,_xlfn.XLOOKUP(O175,'Horarios y Sistemas'!C:C,'Horarios y Sistemas'!H:H,0,0,1)-P175))/7*U175</f>
        <v>0</v>
      </c>
      <c r="R175" s="66">
        <f t="shared" si="184"/>
        <v>44</v>
      </c>
      <c r="S175" s="67" t="str">
        <f t="shared" si="185"/>
        <v>OCTUBRE</v>
      </c>
      <c r="T175" s="55" t="str">
        <f t="shared" si="186"/>
        <v>Sem40</v>
      </c>
      <c r="U175" s="68">
        <f t="shared" si="154"/>
        <v>7</v>
      </c>
      <c r="V175" s="69">
        <v>46299</v>
      </c>
      <c r="W175" s="68">
        <f t="shared" si="187"/>
        <v>40</v>
      </c>
      <c r="X175" s="68">
        <f t="shared" si="188"/>
        <v>4</v>
      </c>
      <c r="Y175" s="68" t="s">
        <v>34</v>
      </c>
      <c r="Z175" s="68">
        <v>7</v>
      </c>
      <c r="AA175" s="70">
        <f t="shared" si="148"/>
        <v>0</v>
      </c>
      <c r="AB175" s="70">
        <f t="shared" si="148"/>
        <v>0</v>
      </c>
      <c r="AC175" s="70">
        <f t="shared" si="148"/>
        <v>1</v>
      </c>
      <c r="AD175" s="70">
        <f t="shared" si="148"/>
        <v>0</v>
      </c>
      <c r="AE175" s="70">
        <f t="shared" si="148"/>
        <v>0</v>
      </c>
      <c r="AF175" s="71"/>
      <c r="AG175" s="71"/>
      <c r="AH175" s="71"/>
    </row>
    <row r="176" spans="2:34">
      <c r="B176" t="str">
        <f t="shared" si="175"/>
        <v>Sem3838Carlos Humberto Alvarado</v>
      </c>
      <c r="C176" t="str">
        <f t="shared" si="176"/>
        <v>SEPTIEMBRESem38</v>
      </c>
      <c r="D176" t="str">
        <f t="shared" si="177"/>
        <v>SEPTIEMBRESem38Carlos Humberto Alvarado</v>
      </c>
      <c r="E176" t="str">
        <f t="shared" si="178"/>
        <v>SEPTIEMBRESem3838Carlos Humberto Alvarado</v>
      </c>
      <c r="F176" t="str">
        <f t="shared" si="179"/>
        <v>Carlos Humberto Alvarado46279</v>
      </c>
      <c r="H176" s="49" t="s">
        <v>215</v>
      </c>
      <c r="I176" s="50" t="str">
        <f>+_xlfn.XLOOKUP($H176&amp;$V176,BASEDATOS!$B:$B,BASEDATOS!F:F,0,0,1)</f>
        <v>DESCANSO</v>
      </c>
      <c r="J176" s="51">
        <f>+_xlfn.XLOOKUP($H176&amp;$V176,BASEDATOS!$B:$B,BASEDATOS!Q:Q,0,0,1)</f>
        <v>0</v>
      </c>
      <c r="K176" s="51">
        <f>+_xlfn.XLOOKUP($H176&amp;$V176,BASEDATOS!$B:$B,BASEDATOS!R:R,0,0,1)</f>
        <v>0</v>
      </c>
      <c r="L176" s="51">
        <f t="shared" si="180"/>
        <v>0</v>
      </c>
      <c r="M176" s="52">
        <f t="shared" si="181"/>
        <v>0</v>
      </c>
      <c r="N176" s="51">
        <f t="shared" si="182"/>
        <v>0</v>
      </c>
      <c r="O176" s="53" t="str">
        <f t="shared" ref="O176" si="207">+O182</f>
        <v>5-0-2</v>
      </c>
      <c r="P176" s="54">
        <f>+IF(AND(Y176="Domingo",U176=7),_xlfn.XLOOKUP(O176,'Horarios y Sistemas'!C:C,'Horarios y Sistemas'!H:H,0,0,1),0)</f>
        <v>0</v>
      </c>
      <c r="Q176" s="54">
        <f>IF(U176=U177,0,IF(AVERAGEIF(W:W,W176,U:U)=U176,0,_xlfn.XLOOKUP(O176,'Horarios y Sistemas'!C:C,'Horarios y Sistemas'!H:H,0,0,1)-P176))/7*U176</f>
        <v>0</v>
      </c>
      <c r="R176" s="54">
        <f t="shared" si="184"/>
        <v>0</v>
      </c>
      <c r="S176" s="55" t="str">
        <f t="shared" si="185"/>
        <v>SEPTIEMBRE</v>
      </c>
      <c r="T176" s="55" t="str">
        <f t="shared" si="186"/>
        <v>Sem38</v>
      </c>
      <c r="U176" s="56">
        <f t="shared" si="154"/>
        <v>7</v>
      </c>
      <c r="V176" s="57">
        <v>46279</v>
      </c>
      <c r="W176" s="56">
        <f t="shared" si="187"/>
        <v>38</v>
      </c>
      <c r="X176" s="56">
        <f t="shared" si="188"/>
        <v>14</v>
      </c>
      <c r="Y176" s="56" t="s">
        <v>28</v>
      </c>
      <c r="Z176" s="56">
        <v>1</v>
      </c>
      <c r="AA176" s="58">
        <f t="shared" si="148"/>
        <v>0</v>
      </c>
      <c r="AB176" s="58">
        <f t="shared" si="148"/>
        <v>0</v>
      </c>
      <c r="AC176" s="58">
        <f t="shared" si="148"/>
        <v>1</v>
      </c>
      <c r="AD176" s="58">
        <f t="shared" si="148"/>
        <v>0</v>
      </c>
      <c r="AE176" s="58">
        <f t="shared" si="148"/>
        <v>0</v>
      </c>
    </row>
    <row r="177" spans="2:34">
      <c r="B177" t="str">
        <f t="shared" si="175"/>
        <v>Sem3838Carlos Humberto Alvarado</v>
      </c>
      <c r="C177" t="str">
        <f t="shared" si="176"/>
        <v>SEPTIEMBRESem38</v>
      </c>
      <c r="D177" t="str">
        <f t="shared" si="177"/>
        <v>SEPTIEMBRESem38Carlos Humberto Alvarado</v>
      </c>
      <c r="E177" t="str">
        <f t="shared" si="178"/>
        <v>SEPTIEMBRESem3838Carlos Humberto Alvarado</v>
      </c>
      <c r="F177" t="str">
        <f t="shared" si="179"/>
        <v>Carlos Humberto Alvarado46280</v>
      </c>
      <c r="H177" s="49" t="s">
        <v>215</v>
      </c>
      <c r="I177" s="50" t="str">
        <f>+_xlfn.XLOOKUP($H177&amp;$V177,BASEDATOS!$B:$B,BASEDATOS!F:F,0,0,1)</f>
        <v>DIA</v>
      </c>
      <c r="J177" s="51">
        <f>+_xlfn.XLOOKUP($H177&amp;$V177,BASEDATOS!$B:$B,BASEDATOS!Q:Q,0,0,1)</f>
        <v>0.33333333333333298</v>
      </c>
      <c r="K177" s="51">
        <f>+_xlfn.XLOOKUP($H177&amp;$V177,BASEDATOS!$B:$B,BASEDATOS!R:R,0,0,1)</f>
        <v>0.70833333333333304</v>
      </c>
      <c r="L177" s="51">
        <f t="shared" si="180"/>
        <v>0.37500000000000006</v>
      </c>
      <c r="M177" s="52" t="str">
        <f t="shared" si="181"/>
        <v>1:00</v>
      </c>
      <c r="N177" s="51">
        <f t="shared" si="182"/>
        <v>0.33333333333333337</v>
      </c>
      <c r="O177" s="53" t="str">
        <f t="shared" ref="O177" si="208">+O182</f>
        <v>5-0-2</v>
      </c>
      <c r="P177" s="54">
        <f>+IF(AND(Y177="Domingo",U177=7),_xlfn.XLOOKUP(O177,'Horarios y Sistemas'!C:C,'Horarios y Sistemas'!H:H,0,0,1),0)</f>
        <v>0</v>
      </c>
      <c r="Q177" s="54">
        <f>IF(U177=U178,0,IF(AVERAGEIF(W:W,W177,U:U)=U177,0,_xlfn.XLOOKUP(O177,'Horarios y Sistemas'!C:C,'Horarios y Sistemas'!H:H,0,0,1)-P177))/7*U177</f>
        <v>0</v>
      </c>
      <c r="R177" s="54">
        <f t="shared" si="184"/>
        <v>0</v>
      </c>
      <c r="S177" s="55" t="str">
        <f t="shared" si="185"/>
        <v>SEPTIEMBRE</v>
      </c>
      <c r="T177" s="55" t="str">
        <f t="shared" si="186"/>
        <v>Sem38</v>
      </c>
      <c r="U177" s="56">
        <f t="shared" si="154"/>
        <v>7</v>
      </c>
      <c r="V177" s="59">
        <v>46280</v>
      </c>
      <c r="W177" s="56">
        <f t="shared" si="187"/>
        <v>38</v>
      </c>
      <c r="X177" s="56">
        <f t="shared" si="188"/>
        <v>15</v>
      </c>
      <c r="Y177" s="56" t="s">
        <v>29</v>
      </c>
      <c r="Z177" s="56">
        <v>2</v>
      </c>
      <c r="AA177" s="58">
        <f t="shared" si="148"/>
        <v>1</v>
      </c>
      <c r="AB177" s="58">
        <f t="shared" si="148"/>
        <v>0</v>
      </c>
      <c r="AC177" s="58">
        <f t="shared" si="148"/>
        <v>0</v>
      </c>
      <c r="AD177" s="58">
        <f t="shared" si="148"/>
        <v>0</v>
      </c>
      <c r="AE177" s="58">
        <f t="shared" si="148"/>
        <v>0</v>
      </c>
    </row>
    <row r="178" spans="2:34">
      <c r="B178" t="str">
        <f t="shared" si="175"/>
        <v>Sem3838Carlos Humberto Alvarado</v>
      </c>
      <c r="C178" t="str">
        <f t="shared" si="176"/>
        <v>SEPTIEMBRESem38</v>
      </c>
      <c r="D178" t="str">
        <f t="shared" si="177"/>
        <v>SEPTIEMBRESem38Carlos Humberto Alvarado</v>
      </c>
      <c r="E178" t="str">
        <f t="shared" si="178"/>
        <v>SEPTIEMBRESem3838Carlos Humberto Alvarado</v>
      </c>
      <c r="F178" t="str">
        <f t="shared" si="179"/>
        <v>Carlos Humberto Alvarado46281</v>
      </c>
      <c r="H178" s="49" t="s">
        <v>215</v>
      </c>
      <c r="I178" s="50" t="str">
        <f>+_xlfn.XLOOKUP($H178&amp;$V178,BASEDATOS!$B:$B,BASEDATOS!F:F,0,0,1)</f>
        <v>DIA</v>
      </c>
      <c r="J178" s="51">
        <f>+_xlfn.XLOOKUP($H178&amp;$V178,BASEDATOS!$B:$B,BASEDATOS!Q:Q,0,0,1)</f>
        <v>0.25</v>
      </c>
      <c r="K178" s="51">
        <f>+_xlfn.XLOOKUP($H178&amp;$V178,BASEDATOS!$B:$B,BASEDATOS!R:R,0,0,1)</f>
        <v>0.75</v>
      </c>
      <c r="L178" s="51">
        <f t="shared" si="180"/>
        <v>0.5</v>
      </c>
      <c r="M178" s="52" t="str">
        <f t="shared" si="181"/>
        <v>1:00</v>
      </c>
      <c r="N178" s="51">
        <f t="shared" si="182"/>
        <v>0.45833333333333331</v>
      </c>
      <c r="O178" s="53" t="str">
        <f t="shared" ref="O178" si="209">+O182</f>
        <v>5-0-2</v>
      </c>
      <c r="P178" s="54">
        <f>+IF(AND(Y178="Domingo",U178=7),_xlfn.XLOOKUP(O178,'Horarios y Sistemas'!C:C,'Horarios y Sistemas'!H:H,0,0,1),0)</f>
        <v>0</v>
      </c>
      <c r="Q178" s="54">
        <f>IF(U178=U179,0,IF(AVERAGEIF(W:W,W178,U:U)=U178,0,_xlfn.XLOOKUP(O178,'Horarios y Sistemas'!C:C,'Horarios y Sistemas'!H:H,0,0,1)-P178))/7*U178</f>
        <v>0</v>
      </c>
      <c r="R178" s="54">
        <f t="shared" si="184"/>
        <v>0</v>
      </c>
      <c r="S178" s="55" t="str">
        <f t="shared" si="185"/>
        <v>SEPTIEMBRE</v>
      </c>
      <c r="T178" s="55" t="str">
        <f t="shared" si="186"/>
        <v>Sem38</v>
      </c>
      <c r="U178" s="56">
        <f t="shared" si="154"/>
        <v>7</v>
      </c>
      <c r="V178" s="59">
        <v>46281</v>
      </c>
      <c r="W178" s="56">
        <f t="shared" si="187"/>
        <v>38</v>
      </c>
      <c r="X178" s="56">
        <f t="shared" si="188"/>
        <v>16</v>
      </c>
      <c r="Y178" s="56" t="s">
        <v>30</v>
      </c>
      <c r="Z178" s="56">
        <v>3</v>
      </c>
      <c r="AA178" s="58">
        <f t="shared" si="148"/>
        <v>1</v>
      </c>
      <c r="AB178" s="58">
        <f t="shared" si="148"/>
        <v>0</v>
      </c>
      <c r="AC178" s="58">
        <f t="shared" si="148"/>
        <v>0</v>
      </c>
      <c r="AD178" s="58">
        <f t="shared" si="148"/>
        <v>0</v>
      </c>
      <c r="AE178" s="58">
        <f t="shared" si="148"/>
        <v>0</v>
      </c>
    </row>
    <row r="179" spans="2:34">
      <c r="B179" t="str">
        <f t="shared" si="175"/>
        <v>Sem3838Carlos Humberto Alvarado</v>
      </c>
      <c r="C179" t="str">
        <f t="shared" si="176"/>
        <v>SEPTIEMBRESem38</v>
      </c>
      <c r="D179" t="str">
        <f t="shared" si="177"/>
        <v>SEPTIEMBRESem38Carlos Humberto Alvarado</v>
      </c>
      <c r="E179" t="str">
        <f t="shared" si="178"/>
        <v>SEPTIEMBRESem3838Carlos Humberto Alvarado</v>
      </c>
      <c r="F179" t="str">
        <f t="shared" si="179"/>
        <v>Carlos Humberto Alvarado46282</v>
      </c>
      <c r="H179" s="49" t="s">
        <v>215</v>
      </c>
      <c r="I179" s="50" t="str">
        <f>+_xlfn.XLOOKUP($H179&amp;$V179,BASEDATOS!$B:$B,BASEDATOS!F:F,0,0,1)</f>
        <v>DIA</v>
      </c>
      <c r="J179" s="51">
        <f>+_xlfn.XLOOKUP($H179&amp;$V179,BASEDATOS!$B:$B,BASEDATOS!Q:Q,0,0,1)</f>
        <v>0.25</v>
      </c>
      <c r="K179" s="51">
        <f>+_xlfn.XLOOKUP($H179&amp;$V179,BASEDATOS!$B:$B,BASEDATOS!R:R,0,0,1)</f>
        <v>0.75</v>
      </c>
      <c r="L179" s="51">
        <f t="shared" si="180"/>
        <v>0.5</v>
      </c>
      <c r="M179" s="52" t="str">
        <f t="shared" si="181"/>
        <v>1:00</v>
      </c>
      <c r="N179" s="51">
        <f t="shared" si="182"/>
        <v>0.45833333333333331</v>
      </c>
      <c r="O179" s="53" t="str">
        <f t="shared" ref="O179" si="210">+O182</f>
        <v>5-0-2</v>
      </c>
      <c r="P179" s="54">
        <f>+IF(AND(Y179="Domingo",U179=7),_xlfn.XLOOKUP(O179,'Horarios y Sistemas'!C:C,'Horarios y Sistemas'!H:H,0,0,1),0)</f>
        <v>0</v>
      </c>
      <c r="Q179" s="54">
        <f>IF(U179=U180,0,IF(AVERAGEIF(W:W,W179,U:U)=U179,0,_xlfn.XLOOKUP(O179,'Horarios y Sistemas'!C:C,'Horarios y Sistemas'!H:H,0,0,1)-P179))/7*U179</f>
        <v>0</v>
      </c>
      <c r="R179" s="54">
        <f t="shared" si="184"/>
        <v>0</v>
      </c>
      <c r="S179" s="55" t="str">
        <f t="shared" si="185"/>
        <v>SEPTIEMBRE</v>
      </c>
      <c r="T179" s="55" t="str">
        <f t="shared" si="186"/>
        <v>Sem38</v>
      </c>
      <c r="U179" s="56">
        <f t="shared" si="154"/>
        <v>7</v>
      </c>
      <c r="V179" s="59">
        <v>46282</v>
      </c>
      <c r="W179" s="56">
        <f t="shared" si="187"/>
        <v>38</v>
      </c>
      <c r="X179" s="56">
        <f t="shared" si="188"/>
        <v>17</v>
      </c>
      <c r="Y179" s="56" t="s">
        <v>31</v>
      </c>
      <c r="Z179" s="56">
        <v>4</v>
      </c>
      <c r="AA179" s="58">
        <f t="shared" si="148"/>
        <v>1</v>
      </c>
      <c r="AB179" s="58">
        <f t="shared" si="148"/>
        <v>0</v>
      </c>
      <c r="AC179" s="58">
        <f t="shared" si="148"/>
        <v>0</v>
      </c>
      <c r="AD179" s="58">
        <f t="shared" si="148"/>
        <v>0</v>
      </c>
      <c r="AE179" s="58">
        <f t="shared" si="148"/>
        <v>0</v>
      </c>
    </row>
    <row r="180" spans="2:34">
      <c r="B180" t="str">
        <f t="shared" si="175"/>
        <v>Sem3838Carlos Humberto Alvarado</v>
      </c>
      <c r="C180" t="str">
        <f t="shared" si="176"/>
        <v>SEPTIEMBRESem38</v>
      </c>
      <c r="D180" t="str">
        <f t="shared" si="177"/>
        <v>SEPTIEMBRESem38Carlos Humberto Alvarado</v>
      </c>
      <c r="E180" t="str">
        <f t="shared" si="178"/>
        <v>SEPTIEMBRESem3838Carlos Humberto Alvarado</v>
      </c>
      <c r="F180" t="str">
        <f t="shared" si="179"/>
        <v>Carlos Humberto Alvarado46283</v>
      </c>
      <c r="H180" s="49" t="s">
        <v>215</v>
      </c>
      <c r="I180" s="50" t="str">
        <f>+_xlfn.XLOOKUP($H180&amp;$V180,BASEDATOS!$B:$B,BASEDATOS!F:F,0,0,1)</f>
        <v>DIA</v>
      </c>
      <c r="J180" s="51">
        <f>+_xlfn.XLOOKUP($H180&amp;$V180,BASEDATOS!$B:$B,BASEDATOS!Q:Q,0,0,1)</f>
        <v>0.25</v>
      </c>
      <c r="K180" s="51">
        <f>+_xlfn.XLOOKUP($H180&amp;$V180,BASEDATOS!$B:$B,BASEDATOS!R:R,0,0,1)</f>
        <v>0.75</v>
      </c>
      <c r="L180" s="51">
        <f t="shared" si="180"/>
        <v>0.5</v>
      </c>
      <c r="M180" s="52" t="str">
        <f t="shared" si="181"/>
        <v>1:00</v>
      </c>
      <c r="N180" s="51">
        <f t="shared" si="182"/>
        <v>0.45833333333333331</v>
      </c>
      <c r="O180" s="53" t="str">
        <f t="shared" ref="O180" si="211">+O182</f>
        <v>5-0-2</v>
      </c>
      <c r="P180" s="54">
        <f>+IF(AND(Y180="Domingo",U180=7),_xlfn.XLOOKUP(O180,'Horarios y Sistemas'!C:C,'Horarios y Sistemas'!H:H,0,0,1),0)</f>
        <v>0</v>
      </c>
      <c r="Q180" s="54">
        <f>IF(U180=U181,0,IF(AVERAGEIF(W:W,W180,U:U)=U180,0,_xlfn.XLOOKUP(O180,'Horarios y Sistemas'!C:C,'Horarios y Sistemas'!H:H,0,0,1)-P180))/7*U180</f>
        <v>0</v>
      </c>
      <c r="R180" s="54">
        <f t="shared" si="184"/>
        <v>0</v>
      </c>
      <c r="S180" s="55" t="str">
        <f t="shared" si="185"/>
        <v>SEPTIEMBRE</v>
      </c>
      <c r="T180" s="55" t="str">
        <f t="shared" si="186"/>
        <v>Sem38</v>
      </c>
      <c r="U180" s="56">
        <f t="shared" si="154"/>
        <v>7</v>
      </c>
      <c r="V180" s="59">
        <v>46283</v>
      </c>
      <c r="W180" s="56">
        <f t="shared" si="187"/>
        <v>38</v>
      </c>
      <c r="X180" s="56">
        <f t="shared" si="188"/>
        <v>18</v>
      </c>
      <c r="Y180" s="56" t="s">
        <v>32</v>
      </c>
      <c r="Z180" s="56">
        <v>5</v>
      </c>
      <c r="AA180" s="58">
        <f t="shared" si="148"/>
        <v>1</v>
      </c>
      <c r="AB180" s="58">
        <f t="shared" si="148"/>
        <v>0</v>
      </c>
      <c r="AC180" s="58">
        <f t="shared" si="148"/>
        <v>0</v>
      </c>
      <c r="AD180" s="58">
        <f t="shared" si="148"/>
        <v>0</v>
      </c>
      <c r="AE180" s="58">
        <f t="shared" si="148"/>
        <v>0</v>
      </c>
    </row>
    <row r="181" spans="2:34">
      <c r="B181" t="str">
        <f t="shared" si="175"/>
        <v>Sem3838Carlos Humberto Alvarado</v>
      </c>
      <c r="C181" t="str">
        <f t="shared" si="176"/>
        <v>SEPTIEMBRESem38</v>
      </c>
      <c r="D181" t="str">
        <f t="shared" si="177"/>
        <v>SEPTIEMBRESem38Carlos Humberto Alvarado</v>
      </c>
      <c r="E181" t="str">
        <f t="shared" si="178"/>
        <v>SEPTIEMBRESem3838Carlos Humberto Alvarado</v>
      </c>
      <c r="F181" t="str">
        <f t="shared" si="179"/>
        <v>Carlos Humberto Alvarado46284</v>
      </c>
      <c r="H181" s="49" t="s">
        <v>215</v>
      </c>
      <c r="I181" s="50" t="str">
        <f>+_xlfn.XLOOKUP($H181&amp;$V181,BASEDATOS!$B:$B,BASEDATOS!F:F,0,0,1)</f>
        <v>DIA</v>
      </c>
      <c r="J181" s="51">
        <f>+_xlfn.XLOOKUP($H181&amp;$V181,BASEDATOS!$B:$B,BASEDATOS!Q:Q,0,0,1)</f>
        <v>0.25</v>
      </c>
      <c r="K181" s="51">
        <f>+_xlfn.XLOOKUP($H181&amp;$V181,BASEDATOS!$B:$B,BASEDATOS!R:R,0,0,1)</f>
        <v>0.75</v>
      </c>
      <c r="L181" s="51">
        <f t="shared" si="180"/>
        <v>0.5</v>
      </c>
      <c r="M181" s="52" t="str">
        <f t="shared" si="181"/>
        <v>1:00</v>
      </c>
      <c r="N181" s="51">
        <f t="shared" si="182"/>
        <v>0.45833333333333331</v>
      </c>
      <c r="O181" s="53" t="str">
        <f t="shared" ref="O181" si="212">+O182</f>
        <v>5-0-2</v>
      </c>
      <c r="P181" s="54">
        <f>+IF(AND(Y181="Domingo",U181=7),_xlfn.XLOOKUP(O181,'Horarios y Sistemas'!C:C,'Horarios y Sistemas'!H:H,0,0,1),0)</f>
        <v>0</v>
      </c>
      <c r="Q181" s="54">
        <f>IF(U181=U182,0,IF(AVERAGEIF(W:W,W181,U:U)=U181,0,_xlfn.XLOOKUP(O181,'Horarios y Sistemas'!C:C,'Horarios y Sistemas'!H:H,0,0,1)-P181))/7*U181</f>
        <v>0</v>
      </c>
      <c r="R181" s="54">
        <f t="shared" si="184"/>
        <v>0</v>
      </c>
      <c r="S181" s="55" t="str">
        <f t="shared" si="185"/>
        <v>SEPTIEMBRE</v>
      </c>
      <c r="T181" s="55" t="str">
        <f t="shared" si="186"/>
        <v>Sem38</v>
      </c>
      <c r="U181" s="56">
        <f t="shared" si="154"/>
        <v>7</v>
      </c>
      <c r="V181" s="59">
        <v>46284</v>
      </c>
      <c r="W181" s="56">
        <f t="shared" si="187"/>
        <v>38</v>
      </c>
      <c r="X181" s="56">
        <f t="shared" si="188"/>
        <v>19</v>
      </c>
      <c r="Y181" s="56" t="s">
        <v>33</v>
      </c>
      <c r="Z181" s="56">
        <v>6</v>
      </c>
      <c r="AA181" s="58">
        <f t="shared" si="148"/>
        <v>1</v>
      </c>
      <c r="AB181" s="58">
        <f t="shared" si="148"/>
        <v>0</v>
      </c>
      <c r="AC181" s="58">
        <f t="shared" si="148"/>
        <v>0</v>
      </c>
      <c r="AD181" s="58">
        <f t="shared" si="148"/>
        <v>0</v>
      </c>
      <c r="AE181" s="58">
        <f t="shared" si="148"/>
        <v>0</v>
      </c>
    </row>
    <row r="182" spans="2:34" s="60" customFormat="1">
      <c r="B182" s="60" t="str">
        <f t="shared" si="175"/>
        <v>Sem3838Carlos Humberto Alvarado</v>
      </c>
      <c r="C182" s="60" t="str">
        <f t="shared" si="176"/>
        <v>SEPTIEMBRESem38</v>
      </c>
      <c r="D182" s="60" t="str">
        <f t="shared" si="177"/>
        <v>SEPTIEMBRESem38Carlos Humberto Alvarado</v>
      </c>
      <c r="E182" s="60" t="str">
        <f t="shared" si="178"/>
        <v>SEPTIEMBRESem3838Carlos Humberto Alvarado</v>
      </c>
      <c r="F182" s="60" t="str">
        <f t="shared" si="179"/>
        <v>Carlos Humberto Alvarado46285</v>
      </c>
      <c r="H182" s="61" t="s">
        <v>215</v>
      </c>
      <c r="I182" s="62" t="str">
        <f>+_xlfn.XLOOKUP($H182&amp;$V182,BASEDATOS!$B:$B,BASEDATOS!F:F,0,0,1)</f>
        <v>DESCANSO</v>
      </c>
      <c r="J182" s="63">
        <f>+_xlfn.XLOOKUP($H182&amp;$V182,BASEDATOS!$B:$B,BASEDATOS!Q:Q,0,0,1)</f>
        <v>0</v>
      </c>
      <c r="K182" s="63">
        <f>+_xlfn.XLOOKUP($H182&amp;$V182,BASEDATOS!$B:$B,BASEDATOS!R:R,0,0,1)</f>
        <v>0</v>
      </c>
      <c r="L182" s="63">
        <f t="shared" si="180"/>
        <v>0</v>
      </c>
      <c r="M182" s="64">
        <f t="shared" si="181"/>
        <v>0</v>
      </c>
      <c r="N182" s="63">
        <f t="shared" si="182"/>
        <v>0</v>
      </c>
      <c r="O182" s="65" t="str">
        <f t="shared" ref="O182" si="213">+IF(Y182="Domingo",SUM(AA176:AA182)&amp;"-"&amp;SUM(AB176:AB182)&amp;"-"&amp;SUM(AC176:AE182),"")</f>
        <v>5-0-2</v>
      </c>
      <c r="P182" s="66">
        <f>+IF(AND(Y182="Domingo",U182=7),_xlfn.XLOOKUP(O182,'Horarios y Sistemas'!C:C,'Horarios y Sistemas'!H:H,0,0,1),0)</f>
        <v>44</v>
      </c>
      <c r="Q182" s="66">
        <f>IF(U182=U183,0,IF(AVERAGEIF(W:W,W182,U:U)=U182,0,_xlfn.XLOOKUP(O182,'Horarios y Sistemas'!C:C,'Horarios y Sistemas'!H:H,0,0,1)-P182))/7*U182</f>
        <v>0</v>
      </c>
      <c r="R182" s="66">
        <f t="shared" si="184"/>
        <v>44</v>
      </c>
      <c r="S182" s="67" t="str">
        <f t="shared" si="185"/>
        <v>SEPTIEMBRE</v>
      </c>
      <c r="T182" s="55" t="str">
        <f t="shared" si="186"/>
        <v>Sem38</v>
      </c>
      <c r="U182" s="68">
        <f t="shared" si="154"/>
        <v>7</v>
      </c>
      <c r="V182" s="69">
        <v>46285</v>
      </c>
      <c r="W182" s="68">
        <f t="shared" si="187"/>
        <v>38</v>
      </c>
      <c r="X182" s="68">
        <f t="shared" si="188"/>
        <v>20</v>
      </c>
      <c r="Y182" s="68" t="s">
        <v>34</v>
      </c>
      <c r="Z182" s="68">
        <v>7</v>
      </c>
      <c r="AA182" s="70">
        <f t="shared" ref="AA182:AE232" si="214">+IF($I182=AA$7,1,0)</f>
        <v>0</v>
      </c>
      <c r="AB182" s="70">
        <f t="shared" si="214"/>
        <v>0</v>
      </c>
      <c r="AC182" s="70">
        <f t="shared" si="214"/>
        <v>1</v>
      </c>
      <c r="AD182" s="70">
        <f t="shared" si="214"/>
        <v>0</v>
      </c>
      <c r="AE182" s="70">
        <f t="shared" si="214"/>
        <v>0</v>
      </c>
      <c r="AF182" s="71"/>
      <c r="AG182" s="71"/>
      <c r="AH182" s="71"/>
    </row>
    <row r="183" spans="2:34">
      <c r="B183" t="str">
        <f t="shared" si="175"/>
        <v>Sem3939Carlos Humberto Alvarado</v>
      </c>
      <c r="C183" t="str">
        <f t="shared" si="176"/>
        <v>SEPTIEMBRESem39</v>
      </c>
      <c r="D183" t="str">
        <f t="shared" si="177"/>
        <v>SEPTIEMBRESem39Carlos Humberto Alvarado</v>
      </c>
      <c r="E183" t="str">
        <f t="shared" si="178"/>
        <v>SEPTIEMBRESem3939Carlos Humberto Alvarado</v>
      </c>
      <c r="F183" t="str">
        <f t="shared" si="179"/>
        <v>Carlos Humberto Alvarado46286</v>
      </c>
      <c r="H183" s="49" t="s">
        <v>215</v>
      </c>
      <c r="I183" s="50" t="str">
        <f>+_xlfn.XLOOKUP($H183&amp;$V183,BASEDATOS!$B:$B,BASEDATOS!F:F,0,0,1)</f>
        <v>NOCHE</v>
      </c>
      <c r="J183" s="51">
        <f>+_xlfn.XLOOKUP($H183&amp;$V183,BASEDATOS!$B:$B,BASEDATOS!Q:Q,0,0,1)</f>
        <v>0.75</v>
      </c>
      <c r="K183" s="51">
        <f>+_xlfn.XLOOKUP($H183&amp;$V183,BASEDATOS!$B:$B,BASEDATOS!R:R,0,0,1)</f>
        <v>0.25</v>
      </c>
      <c r="L183" s="51">
        <f t="shared" si="180"/>
        <v>0.5</v>
      </c>
      <c r="M183" s="52" t="str">
        <f t="shared" si="181"/>
        <v>1:00</v>
      </c>
      <c r="N183" s="51">
        <f t="shared" si="182"/>
        <v>0.45833333333333331</v>
      </c>
      <c r="O183" s="53" t="str">
        <f t="shared" ref="O183" si="215">+O189</f>
        <v>0-3-4</v>
      </c>
      <c r="P183" s="54">
        <f>+IF(AND(Y183="Domingo",U183=7),_xlfn.XLOOKUP(O183,'Horarios y Sistemas'!C:C,'Horarios y Sistemas'!H:H,0,0,1),0)</f>
        <v>0</v>
      </c>
      <c r="Q183" s="54">
        <f>IF(U183=U184,0,IF(AVERAGEIF(W:W,W183,U:U)=U183,0,_xlfn.XLOOKUP(O183,'Horarios y Sistemas'!C:C,'Horarios y Sistemas'!H:H,0,0,1)-P183))/7*U183</f>
        <v>0</v>
      </c>
      <c r="R183" s="54">
        <f t="shared" si="184"/>
        <v>0</v>
      </c>
      <c r="S183" s="55" t="str">
        <f t="shared" si="185"/>
        <v>SEPTIEMBRE</v>
      </c>
      <c r="T183" s="55" t="str">
        <f t="shared" si="186"/>
        <v>Sem39</v>
      </c>
      <c r="U183" s="56">
        <f t="shared" si="154"/>
        <v>7</v>
      </c>
      <c r="V183" s="59">
        <v>46286</v>
      </c>
      <c r="W183" s="56">
        <f t="shared" si="187"/>
        <v>39</v>
      </c>
      <c r="X183" s="56">
        <f t="shared" si="188"/>
        <v>21</v>
      </c>
      <c r="Y183" s="56" t="s">
        <v>28</v>
      </c>
      <c r="Z183" s="56">
        <v>1</v>
      </c>
      <c r="AA183" s="58">
        <f t="shared" si="214"/>
        <v>0</v>
      </c>
      <c r="AB183" s="58">
        <f t="shared" si="214"/>
        <v>1</v>
      </c>
      <c r="AC183" s="58">
        <f t="shared" si="214"/>
        <v>0</v>
      </c>
      <c r="AD183" s="58">
        <f t="shared" si="214"/>
        <v>0</v>
      </c>
      <c r="AE183" s="58">
        <f t="shared" si="214"/>
        <v>0</v>
      </c>
    </row>
    <row r="184" spans="2:34">
      <c r="B184" t="str">
        <f t="shared" si="175"/>
        <v>Sem3939Carlos Humberto Alvarado</v>
      </c>
      <c r="C184" t="str">
        <f t="shared" si="176"/>
        <v>SEPTIEMBRESem39</v>
      </c>
      <c r="D184" t="str">
        <f t="shared" si="177"/>
        <v>SEPTIEMBRESem39Carlos Humberto Alvarado</v>
      </c>
      <c r="E184" t="str">
        <f t="shared" si="178"/>
        <v>SEPTIEMBRESem3939Carlos Humberto Alvarado</v>
      </c>
      <c r="F184" t="str">
        <f t="shared" si="179"/>
        <v>Carlos Humberto Alvarado46287</v>
      </c>
      <c r="H184" s="49" t="s">
        <v>215</v>
      </c>
      <c r="I184" s="50" t="str">
        <f>+_xlfn.XLOOKUP($H184&amp;$V184,BASEDATOS!$B:$B,BASEDATOS!F:F,0,0,1)</f>
        <v>NOCHE</v>
      </c>
      <c r="J184" s="51">
        <f>+_xlfn.XLOOKUP($H184&amp;$V184,BASEDATOS!$B:$B,BASEDATOS!Q:Q,0,0,1)</f>
        <v>0.75</v>
      </c>
      <c r="K184" s="51">
        <f>+_xlfn.XLOOKUP($H184&amp;$V184,BASEDATOS!$B:$B,BASEDATOS!R:R,0,0,1)</f>
        <v>0.25</v>
      </c>
      <c r="L184" s="51">
        <f t="shared" si="180"/>
        <v>0.5</v>
      </c>
      <c r="M184" s="52" t="str">
        <f t="shared" si="181"/>
        <v>1:00</v>
      </c>
      <c r="N184" s="51">
        <f t="shared" si="182"/>
        <v>0.45833333333333331</v>
      </c>
      <c r="O184" s="53" t="str">
        <f t="shared" ref="O184" si="216">+O189</f>
        <v>0-3-4</v>
      </c>
      <c r="P184" s="54">
        <f>+IF(AND(Y184="Domingo",U184=7),_xlfn.XLOOKUP(O184,'Horarios y Sistemas'!C:C,'Horarios y Sistemas'!H:H,0,0,1),0)</f>
        <v>0</v>
      </c>
      <c r="Q184" s="54">
        <f>IF(U184=U185,0,IF(AVERAGEIF(W:W,W184,U:U)=U184,0,_xlfn.XLOOKUP(O184,'Horarios y Sistemas'!C:C,'Horarios y Sistemas'!H:H,0,0,1)-P184))/7*U184</f>
        <v>0</v>
      </c>
      <c r="R184" s="54">
        <f t="shared" si="184"/>
        <v>0</v>
      </c>
      <c r="S184" s="55" t="str">
        <f t="shared" si="185"/>
        <v>SEPTIEMBRE</v>
      </c>
      <c r="T184" s="55" t="str">
        <f t="shared" si="186"/>
        <v>Sem39</v>
      </c>
      <c r="U184" s="56">
        <f t="shared" si="154"/>
        <v>7</v>
      </c>
      <c r="V184" s="59">
        <v>46287</v>
      </c>
      <c r="W184" s="56">
        <f t="shared" si="187"/>
        <v>39</v>
      </c>
      <c r="X184" s="56">
        <f t="shared" si="188"/>
        <v>22</v>
      </c>
      <c r="Y184" s="56" t="s">
        <v>29</v>
      </c>
      <c r="Z184" s="56">
        <v>2</v>
      </c>
      <c r="AA184" s="58">
        <f t="shared" si="214"/>
        <v>0</v>
      </c>
      <c r="AB184" s="58">
        <f t="shared" si="214"/>
        <v>1</v>
      </c>
      <c r="AC184" s="58">
        <f t="shared" si="214"/>
        <v>0</v>
      </c>
      <c r="AD184" s="58">
        <f t="shared" si="214"/>
        <v>0</v>
      </c>
      <c r="AE184" s="58">
        <f t="shared" si="214"/>
        <v>0</v>
      </c>
    </row>
    <row r="185" spans="2:34">
      <c r="B185" t="str">
        <f t="shared" si="175"/>
        <v>Sem3939Carlos Humberto Alvarado</v>
      </c>
      <c r="C185" t="str">
        <f t="shared" si="176"/>
        <v>SEPTIEMBRESem39</v>
      </c>
      <c r="D185" t="str">
        <f t="shared" si="177"/>
        <v>SEPTIEMBRESem39Carlos Humberto Alvarado</v>
      </c>
      <c r="E185" t="str">
        <f t="shared" si="178"/>
        <v>SEPTIEMBRESem3939Carlos Humberto Alvarado</v>
      </c>
      <c r="F185" t="str">
        <f t="shared" si="179"/>
        <v>Carlos Humberto Alvarado46288</v>
      </c>
      <c r="H185" s="49" t="s">
        <v>215</v>
      </c>
      <c r="I185" s="50" t="str">
        <f>+_xlfn.XLOOKUP($H185&amp;$V185,BASEDATOS!$B:$B,BASEDATOS!F:F,0,0,1)</f>
        <v>NOCHE</v>
      </c>
      <c r="J185" s="51">
        <f>+_xlfn.XLOOKUP($H185&amp;$V185,BASEDATOS!$B:$B,BASEDATOS!Q:Q,0,0,1)</f>
        <v>0.75</v>
      </c>
      <c r="K185" s="51">
        <f>+_xlfn.XLOOKUP($H185&amp;$V185,BASEDATOS!$B:$B,BASEDATOS!R:R,0,0,1)</f>
        <v>0.25</v>
      </c>
      <c r="L185" s="51">
        <f t="shared" si="180"/>
        <v>0.5</v>
      </c>
      <c r="M185" s="52" t="str">
        <f t="shared" si="181"/>
        <v>1:00</v>
      </c>
      <c r="N185" s="51">
        <f t="shared" si="182"/>
        <v>0.45833333333333331</v>
      </c>
      <c r="O185" s="53" t="str">
        <f t="shared" ref="O185" si="217">+O189</f>
        <v>0-3-4</v>
      </c>
      <c r="P185" s="54">
        <f>+IF(AND(Y185="Domingo",U185=7),_xlfn.XLOOKUP(O185,'Horarios y Sistemas'!C:C,'Horarios y Sistemas'!H:H,0,0,1),0)</f>
        <v>0</v>
      </c>
      <c r="Q185" s="54">
        <f>IF(U185=U186,0,IF(AVERAGEIF(W:W,W185,U:U)=U185,0,_xlfn.XLOOKUP(O185,'Horarios y Sistemas'!C:C,'Horarios y Sistemas'!H:H,0,0,1)-P185))/7*U185</f>
        <v>0</v>
      </c>
      <c r="R185" s="54">
        <f t="shared" si="184"/>
        <v>0</v>
      </c>
      <c r="S185" s="55" t="str">
        <f t="shared" si="185"/>
        <v>SEPTIEMBRE</v>
      </c>
      <c r="T185" s="55" t="str">
        <f t="shared" si="186"/>
        <v>Sem39</v>
      </c>
      <c r="U185" s="56">
        <f t="shared" si="154"/>
        <v>7</v>
      </c>
      <c r="V185" s="59">
        <v>46288</v>
      </c>
      <c r="W185" s="56">
        <f t="shared" si="187"/>
        <v>39</v>
      </c>
      <c r="X185" s="56">
        <f t="shared" si="188"/>
        <v>23</v>
      </c>
      <c r="Y185" s="56" t="s">
        <v>30</v>
      </c>
      <c r="Z185" s="56">
        <v>3</v>
      </c>
      <c r="AA185" s="58">
        <f t="shared" si="214"/>
        <v>0</v>
      </c>
      <c r="AB185" s="58">
        <f t="shared" si="214"/>
        <v>1</v>
      </c>
      <c r="AC185" s="58">
        <f t="shared" si="214"/>
        <v>0</v>
      </c>
      <c r="AD185" s="58">
        <f t="shared" si="214"/>
        <v>0</v>
      </c>
      <c r="AE185" s="58">
        <f t="shared" si="214"/>
        <v>0</v>
      </c>
    </row>
    <row r="186" spans="2:34">
      <c r="B186" t="str">
        <f t="shared" si="175"/>
        <v>Sem3939Carlos Humberto Alvarado</v>
      </c>
      <c r="C186" t="str">
        <f t="shared" si="176"/>
        <v>SEPTIEMBRESem39</v>
      </c>
      <c r="D186" t="str">
        <f t="shared" si="177"/>
        <v>SEPTIEMBRESem39Carlos Humberto Alvarado</v>
      </c>
      <c r="E186" t="str">
        <f t="shared" si="178"/>
        <v>SEPTIEMBRESem3939Carlos Humberto Alvarado</v>
      </c>
      <c r="F186" t="str">
        <f t="shared" si="179"/>
        <v>Carlos Humberto Alvarado46289</v>
      </c>
      <c r="H186" s="49" t="s">
        <v>215</v>
      </c>
      <c r="I186" s="50" t="str">
        <f>+_xlfn.XLOOKUP($H186&amp;$V186,BASEDATOS!$B:$B,BASEDATOS!F:F,0,0,1)</f>
        <v>DESCANSO</v>
      </c>
      <c r="J186" s="51">
        <f>+_xlfn.XLOOKUP($H186&amp;$V186,BASEDATOS!$B:$B,BASEDATOS!Q:Q,0,0,1)</f>
        <v>0</v>
      </c>
      <c r="K186" s="51">
        <f>+_xlfn.XLOOKUP($H186&amp;$V186,BASEDATOS!$B:$B,BASEDATOS!R:R,0,0,1)</f>
        <v>0</v>
      </c>
      <c r="L186" s="51">
        <f t="shared" si="180"/>
        <v>0</v>
      </c>
      <c r="M186" s="52">
        <f t="shared" si="181"/>
        <v>0</v>
      </c>
      <c r="N186" s="51">
        <f t="shared" si="182"/>
        <v>0</v>
      </c>
      <c r="O186" s="53" t="str">
        <f t="shared" ref="O186" si="218">+O189</f>
        <v>0-3-4</v>
      </c>
      <c r="P186" s="54">
        <f>+IF(AND(Y186="Domingo",U186=7),_xlfn.XLOOKUP(O186,'Horarios y Sistemas'!C:C,'Horarios y Sistemas'!H:H,0,0,1),0)</f>
        <v>0</v>
      </c>
      <c r="Q186" s="54">
        <f>IF(U186=U187,0,IF(AVERAGEIF(W:W,W186,U:U)=U186,0,_xlfn.XLOOKUP(O186,'Horarios y Sistemas'!C:C,'Horarios y Sistemas'!H:H,0,0,1)-P186))/7*U186</f>
        <v>0</v>
      </c>
      <c r="R186" s="54">
        <f t="shared" si="184"/>
        <v>0</v>
      </c>
      <c r="S186" s="55" t="str">
        <f t="shared" si="185"/>
        <v>SEPTIEMBRE</v>
      </c>
      <c r="T186" s="55" t="str">
        <f t="shared" si="186"/>
        <v>Sem39</v>
      </c>
      <c r="U186" s="56">
        <f t="shared" si="154"/>
        <v>7</v>
      </c>
      <c r="V186" s="59">
        <v>46289</v>
      </c>
      <c r="W186" s="56">
        <f t="shared" si="187"/>
        <v>39</v>
      </c>
      <c r="X186" s="56">
        <f t="shared" si="188"/>
        <v>24</v>
      </c>
      <c r="Y186" s="56" t="s">
        <v>31</v>
      </c>
      <c r="Z186" s="56">
        <v>4</v>
      </c>
      <c r="AA186" s="58">
        <f t="shared" si="214"/>
        <v>0</v>
      </c>
      <c r="AB186" s="58">
        <f t="shared" si="214"/>
        <v>0</v>
      </c>
      <c r="AC186" s="58">
        <f t="shared" si="214"/>
        <v>1</v>
      </c>
      <c r="AD186" s="58">
        <f t="shared" si="214"/>
        <v>0</v>
      </c>
      <c r="AE186" s="58">
        <f t="shared" si="214"/>
        <v>0</v>
      </c>
    </row>
    <row r="187" spans="2:34">
      <c r="B187" t="str">
        <f t="shared" si="175"/>
        <v>Sem3939Carlos Humberto Alvarado</v>
      </c>
      <c r="C187" t="str">
        <f t="shared" si="176"/>
        <v>SEPTIEMBRESem39</v>
      </c>
      <c r="D187" t="str">
        <f t="shared" si="177"/>
        <v>SEPTIEMBRESem39Carlos Humberto Alvarado</v>
      </c>
      <c r="E187" t="str">
        <f t="shared" si="178"/>
        <v>SEPTIEMBRESem3939Carlos Humberto Alvarado</v>
      </c>
      <c r="F187" t="str">
        <f t="shared" si="179"/>
        <v>Carlos Humberto Alvarado46290</v>
      </c>
      <c r="H187" s="49" t="s">
        <v>215</v>
      </c>
      <c r="I187" s="50" t="str">
        <f>+_xlfn.XLOOKUP($H187&amp;$V187,BASEDATOS!$B:$B,BASEDATOS!F:F,0,0,1)</f>
        <v>DESCANSO</v>
      </c>
      <c r="J187" s="51">
        <f>+_xlfn.XLOOKUP($H187&amp;$V187,BASEDATOS!$B:$B,BASEDATOS!Q:Q,0,0,1)</f>
        <v>0</v>
      </c>
      <c r="K187" s="51">
        <f>+_xlfn.XLOOKUP($H187&amp;$V187,BASEDATOS!$B:$B,BASEDATOS!R:R,0,0,1)</f>
        <v>0</v>
      </c>
      <c r="L187" s="51">
        <f t="shared" si="180"/>
        <v>0</v>
      </c>
      <c r="M187" s="52">
        <f t="shared" si="181"/>
        <v>0</v>
      </c>
      <c r="N187" s="51">
        <f t="shared" si="182"/>
        <v>0</v>
      </c>
      <c r="O187" s="53" t="str">
        <f t="shared" ref="O187" si="219">+O189</f>
        <v>0-3-4</v>
      </c>
      <c r="P187" s="54">
        <f>+IF(AND(Y187="Domingo",U187=7),_xlfn.XLOOKUP(O187,'Horarios y Sistemas'!C:C,'Horarios y Sistemas'!H:H,0,0,1),0)</f>
        <v>0</v>
      </c>
      <c r="Q187" s="54">
        <f>IF(U187=U188,0,IF(AVERAGEIF(W:W,W187,U:U)=U187,0,_xlfn.XLOOKUP(O187,'Horarios y Sistemas'!C:C,'Horarios y Sistemas'!H:H,0,0,1)-P187))/7*U187</f>
        <v>0</v>
      </c>
      <c r="R187" s="54">
        <f t="shared" si="184"/>
        <v>0</v>
      </c>
      <c r="S187" s="55" t="str">
        <f t="shared" si="185"/>
        <v>SEPTIEMBRE</v>
      </c>
      <c r="T187" s="55" t="str">
        <f t="shared" si="186"/>
        <v>Sem39</v>
      </c>
      <c r="U187" s="56">
        <f t="shared" si="154"/>
        <v>7</v>
      </c>
      <c r="V187" s="59">
        <v>46290</v>
      </c>
      <c r="W187" s="56">
        <f t="shared" si="187"/>
        <v>39</v>
      </c>
      <c r="X187" s="56">
        <f t="shared" si="188"/>
        <v>25</v>
      </c>
      <c r="Y187" s="56" t="s">
        <v>32</v>
      </c>
      <c r="Z187" s="56">
        <v>5</v>
      </c>
      <c r="AA187" s="58">
        <f t="shared" si="214"/>
        <v>0</v>
      </c>
      <c r="AB187" s="58">
        <f t="shared" si="214"/>
        <v>0</v>
      </c>
      <c r="AC187" s="58">
        <f t="shared" si="214"/>
        <v>1</v>
      </c>
      <c r="AD187" s="58">
        <f t="shared" si="214"/>
        <v>0</v>
      </c>
      <c r="AE187" s="58">
        <f t="shared" si="214"/>
        <v>0</v>
      </c>
    </row>
    <row r="188" spans="2:34">
      <c r="B188" t="str">
        <f t="shared" si="175"/>
        <v>Sem3939Carlos Humberto Alvarado</v>
      </c>
      <c r="C188" t="str">
        <f t="shared" si="176"/>
        <v>SEPTIEMBRESem39</v>
      </c>
      <c r="D188" t="str">
        <f t="shared" si="177"/>
        <v>SEPTIEMBRESem39Carlos Humberto Alvarado</v>
      </c>
      <c r="E188" t="str">
        <f t="shared" si="178"/>
        <v>SEPTIEMBRESem3939Carlos Humberto Alvarado</v>
      </c>
      <c r="F188" t="str">
        <f t="shared" si="179"/>
        <v>Carlos Humberto Alvarado46291</v>
      </c>
      <c r="H188" s="49" t="s">
        <v>215</v>
      </c>
      <c r="I188" s="50" t="str">
        <f>+_xlfn.XLOOKUP($H188&amp;$V188,BASEDATOS!$B:$B,BASEDATOS!F:F,0,0,1)</f>
        <v>DESCANSO</v>
      </c>
      <c r="J188" s="51">
        <f>+_xlfn.XLOOKUP($H188&amp;$V188,BASEDATOS!$B:$B,BASEDATOS!Q:Q,0,0,1)</f>
        <v>0</v>
      </c>
      <c r="K188" s="51">
        <f>+_xlfn.XLOOKUP($H188&amp;$V188,BASEDATOS!$B:$B,BASEDATOS!R:R,0,0,1)</f>
        <v>0</v>
      </c>
      <c r="L188" s="51">
        <f t="shared" si="180"/>
        <v>0</v>
      </c>
      <c r="M188" s="52">
        <f t="shared" si="181"/>
        <v>0</v>
      </c>
      <c r="N188" s="51">
        <f t="shared" si="182"/>
        <v>0</v>
      </c>
      <c r="O188" s="53" t="str">
        <f t="shared" ref="O188" si="220">+O189</f>
        <v>0-3-4</v>
      </c>
      <c r="P188" s="54">
        <f>+IF(AND(Y188="Domingo",U188=7),_xlfn.XLOOKUP(O188,'Horarios y Sistemas'!C:C,'Horarios y Sistemas'!H:H,0,0,1),0)</f>
        <v>0</v>
      </c>
      <c r="Q188" s="54">
        <f>IF(U188=U189,0,IF(AVERAGEIF(W:W,W188,U:U)=U188,0,_xlfn.XLOOKUP(O188,'Horarios y Sistemas'!C:C,'Horarios y Sistemas'!H:H,0,0,1)-P188))/7*U188</f>
        <v>0</v>
      </c>
      <c r="R188" s="54">
        <f t="shared" si="184"/>
        <v>0</v>
      </c>
      <c r="S188" s="55" t="str">
        <f t="shared" si="185"/>
        <v>SEPTIEMBRE</v>
      </c>
      <c r="T188" s="55" t="str">
        <f t="shared" si="186"/>
        <v>Sem39</v>
      </c>
      <c r="U188" s="56">
        <f t="shared" si="154"/>
        <v>7</v>
      </c>
      <c r="V188" s="59">
        <v>46291</v>
      </c>
      <c r="W188" s="56">
        <f t="shared" si="187"/>
        <v>39</v>
      </c>
      <c r="X188" s="56">
        <f t="shared" si="188"/>
        <v>26</v>
      </c>
      <c r="Y188" s="56" t="s">
        <v>33</v>
      </c>
      <c r="Z188" s="56">
        <v>6</v>
      </c>
      <c r="AA188" s="58">
        <f t="shared" si="214"/>
        <v>0</v>
      </c>
      <c r="AB188" s="58">
        <f t="shared" si="214"/>
        <v>0</v>
      </c>
      <c r="AC188" s="58">
        <f t="shared" si="214"/>
        <v>1</v>
      </c>
      <c r="AD188" s="58">
        <f t="shared" si="214"/>
        <v>0</v>
      </c>
      <c r="AE188" s="58">
        <f t="shared" si="214"/>
        <v>0</v>
      </c>
    </row>
    <row r="189" spans="2:34" s="60" customFormat="1">
      <c r="B189" s="60" t="str">
        <f t="shared" si="175"/>
        <v>Sem3939Carlos Humberto Alvarado</v>
      </c>
      <c r="C189" s="60" t="str">
        <f t="shared" si="176"/>
        <v>SEPTIEMBRESem39</v>
      </c>
      <c r="D189" s="60" t="str">
        <f t="shared" si="177"/>
        <v>SEPTIEMBRESem39Carlos Humberto Alvarado</v>
      </c>
      <c r="E189" s="60" t="str">
        <f t="shared" si="178"/>
        <v>SEPTIEMBRESem3939Carlos Humberto Alvarado</v>
      </c>
      <c r="F189" s="60" t="str">
        <f t="shared" si="179"/>
        <v>Carlos Humberto Alvarado46292</v>
      </c>
      <c r="H189" s="61" t="s">
        <v>215</v>
      </c>
      <c r="I189" s="62" t="str">
        <f>+_xlfn.XLOOKUP($H189&amp;$V189,BASEDATOS!$B:$B,BASEDATOS!F:F,0,0,1)</f>
        <v>DESCANSO</v>
      </c>
      <c r="J189" s="63">
        <f>+_xlfn.XLOOKUP($H189&amp;$V189,BASEDATOS!$B:$B,BASEDATOS!Q:Q,0,0,1)</f>
        <v>0</v>
      </c>
      <c r="K189" s="63">
        <f>+_xlfn.XLOOKUP($H189&amp;$V189,BASEDATOS!$B:$B,BASEDATOS!R:R,0,0,1)</f>
        <v>0</v>
      </c>
      <c r="L189" s="63">
        <f t="shared" si="180"/>
        <v>0</v>
      </c>
      <c r="M189" s="64">
        <f t="shared" si="181"/>
        <v>0</v>
      </c>
      <c r="N189" s="63">
        <f t="shared" si="182"/>
        <v>0</v>
      </c>
      <c r="O189" s="65" t="str">
        <f t="shared" ref="O189" si="221">+IF(Y189="Domingo",SUM(AA183:AA189)&amp;"-"&amp;SUM(AB183:AB189)&amp;"-"&amp;SUM(AC183:AE189),"")</f>
        <v>0-3-4</v>
      </c>
      <c r="P189" s="66">
        <f>+IF(AND(Y189="Domingo",U189=7),_xlfn.XLOOKUP(O189,'Horarios y Sistemas'!C:C,'Horarios y Sistemas'!H:H,0,0,1),0)</f>
        <v>36</v>
      </c>
      <c r="Q189" s="66">
        <f>IF(U189=U190,0,IF(AVERAGEIF(W:W,W189,U:U)=U189,0,_xlfn.XLOOKUP(O189,'Horarios y Sistemas'!C:C,'Horarios y Sistemas'!H:H,0,0,1)-P189))/7*U189</f>
        <v>0</v>
      </c>
      <c r="R189" s="66">
        <f t="shared" si="184"/>
        <v>36</v>
      </c>
      <c r="S189" s="67" t="str">
        <f t="shared" si="185"/>
        <v>SEPTIEMBRE</v>
      </c>
      <c r="T189" s="55" t="str">
        <f t="shared" si="186"/>
        <v>Sem39</v>
      </c>
      <c r="U189" s="68">
        <f t="shared" si="154"/>
        <v>7</v>
      </c>
      <c r="V189" s="69">
        <v>46292</v>
      </c>
      <c r="W189" s="68">
        <f t="shared" si="187"/>
        <v>39</v>
      </c>
      <c r="X189" s="68">
        <f t="shared" si="188"/>
        <v>27</v>
      </c>
      <c r="Y189" s="68" t="s">
        <v>34</v>
      </c>
      <c r="Z189" s="68">
        <v>7</v>
      </c>
      <c r="AA189" s="70">
        <f t="shared" si="214"/>
        <v>0</v>
      </c>
      <c r="AB189" s="70">
        <f t="shared" si="214"/>
        <v>0</v>
      </c>
      <c r="AC189" s="70">
        <f t="shared" si="214"/>
        <v>1</v>
      </c>
      <c r="AD189" s="70">
        <f t="shared" si="214"/>
        <v>0</v>
      </c>
      <c r="AE189" s="70">
        <f t="shared" si="214"/>
        <v>0</v>
      </c>
      <c r="AF189" s="71"/>
      <c r="AG189" s="71"/>
      <c r="AH189" s="71"/>
    </row>
    <row r="190" spans="2:34">
      <c r="B190" t="str">
        <f t="shared" si="175"/>
        <v>Sem4040Carlos Humberto Alvarado</v>
      </c>
      <c r="C190" t="str">
        <f t="shared" si="176"/>
        <v>SEPTIEMBRESem40</v>
      </c>
      <c r="D190" t="str">
        <f t="shared" si="177"/>
        <v>SEPTIEMBRESem40Carlos Humberto Alvarado</v>
      </c>
      <c r="E190" t="str">
        <f t="shared" si="178"/>
        <v>SEPTIEMBRESem4040Carlos Humberto Alvarado</v>
      </c>
      <c r="F190" t="str">
        <f t="shared" si="179"/>
        <v>Carlos Humberto Alvarado46293</v>
      </c>
      <c r="H190" s="49" t="s">
        <v>215</v>
      </c>
      <c r="I190" s="50" t="str">
        <f>+_xlfn.XLOOKUP($H190&amp;$V190,BASEDATOS!$B:$B,BASEDATOS!F:F,0,0,1)</f>
        <v>DIA</v>
      </c>
      <c r="J190" s="51">
        <f>+_xlfn.XLOOKUP($H190&amp;$V190,BASEDATOS!$B:$B,BASEDATOS!Q:Q,0,0,1)</f>
        <v>0.25</v>
      </c>
      <c r="K190" s="51">
        <f>+_xlfn.XLOOKUP($H190&amp;$V190,BASEDATOS!$B:$B,BASEDATOS!R:R,0,0,1)</f>
        <v>0.75</v>
      </c>
      <c r="L190" s="51">
        <f t="shared" si="180"/>
        <v>0.5</v>
      </c>
      <c r="M190" s="52" t="str">
        <f t="shared" si="181"/>
        <v>1:00</v>
      </c>
      <c r="N190" s="51">
        <f t="shared" si="182"/>
        <v>0.45833333333333331</v>
      </c>
      <c r="O190" s="53" t="str">
        <f t="shared" ref="O190" si="222">+O196</f>
        <v>6-0-1</v>
      </c>
      <c r="P190" s="54">
        <f>+IF(AND(Y190="Domingo",U190=7),_xlfn.XLOOKUP(O190,'Horarios y Sistemas'!C:C,'Horarios y Sistemas'!H:H,0,0,1),0)</f>
        <v>0</v>
      </c>
      <c r="Q190" s="54">
        <f>IF(U190=U191,0,IF(AVERAGEIF(W:W,W190,U:U)=U190,0,_xlfn.XLOOKUP(O190,'Horarios y Sistemas'!C:C,'Horarios y Sistemas'!H:H,0,0,1)-P190))/7*U190</f>
        <v>0</v>
      </c>
      <c r="R190" s="54">
        <f t="shared" si="184"/>
        <v>0</v>
      </c>
      <c r="S190" s="55" t="str">
        <f t="shared" si="185"/>
        <v>SEPTIEMBRE</v>
      </c>
      <c r="T190" s="55" t="str">
        <f t="shared" si="186"/>
        <v>Sem40</v>
      </c>
      <c r="U190" s="56">
        <f t="shared" si="154"/>
        <v>7</v>
      </c>
      <c r="V190" s="59">
        <v>46293</v>
      </c>
      <c r="W190" s="56">
        <f t="shared" si="187"/>
        <v>40</v>
      </c>
      <c r="X190" s="56">
        <f t="shared" si="188"/>
        <v>28</v>
      </c>
      <c r="Y190" s="56" t="s">
        <v>28</v>
      </c>
      <c r="Z190" s="56">
        <v>1</v>
      </c>
      <c r="AA190" s="58">
        <f t="shared" si="214"/>
        <v>1</v>
      </c>
      <c r="AB190" s="58">
        <f t="shared" si="214"/>
        <v>0</v>
      </c>
      <c r="AC190" s="58">
        <f t="shared" si="214"/>
        <v>0</v>
      </c>
      <c r="AD190" s="58">
        <f t="shared" si="214"/>
        <v>0</v>
      </c>
      <c r="AE190" s="58">
        <f t="shared" si="214"/>
        <v>0</v>
      </c>
    </row>
    <row r="191" spans="2:34">
      <c r="B191" t="str">
        <f t="shared" si="175"/>
        <v>Sem4040Carlos Humberto Alvarado</v>
      </c>
      <c r="C191" t="str">
        <f t="shared" si="176"/>
        <v>SEPTIEMBRESem40</v>
      </c>
      <c r="D191" t="str">
        <f t="shared" si="177"/>
        <v>SEPTIEMBRESem40Carlos Humberto Alvarado</v>
      </c>
      <c r="E191" t="str">
        <f t="shared" si="178"/>
        <v>SEPTIEMBRESem4040Carlos Humberto Alvarado</v>
      </c>
      <c r="F191" t="str">
        <f t="shared" si="179"/>
        <v>Carlos Humberto Alvarado46294</v>
      </c>
      <c r="H191" s="49" t="s">
        <v>215</v>
      </c>
      <c r="I191" s="50" t="str">
        <f>+_xlfn.XLOOKUP($H191&amp;$V191,BASEDATOS!$B:$B,BASEDATOS!F:F,0,0,1)</f>
        <v>DIA</v>
      </c>
      <c r="J191" s="51">
        <f>+_xlfn.XLOOKUP($H191&amp;$V191,BASEDATOS!$B:$B,BASEDATOS!Q:Q,0,0,1)</f>
        <v>0.25</v>
      </c>
      <c r="K191" s="51">
        <f>+_xlfn.XLOOKUP($H191&amp;$V191,BASEDATOS!$B:$B,BASEDATOS!R:R,0,0,1)</f>
        <v>0.75</v>
      </c>
      <c r="L191" s="51">
        <f t="shared" si="180"/>
        <v>0.5</v>
      </c>
      <c r="M191" s="52" t="str">
        <f t="shared" si="181"/>
        <v>1:00</v>
      </c>
      <c r="N191" s="51">
        <f t="shared" si="182"/>
        <v>0.45833333333333331</v>
      </c>
      <c r="O191" s="53" t="str">
        <f t="shared" ref="O191" si="223">+O196</f>
        <v>6-0-1</v>
      </c>
      <c r="P191" s="54">
        <f>+IF(AND(Y191="Domingo",U191=7),_xlfn.XLOOKUP(O191,'Horarios y Sistemas'!C:C,'Horarios y Sistemas'!H:H,0,0,1),0)</f>
        <v>0</v>
      </c>
      <c r="Q191" s="54">
        <f>IF(U191=U192,0,IF(AVERAGEIF(W:W,W191,U:U)=U191,0,_xlfn.XLOOKUP(O191,'Horarios y Sistemas'!C:C,'Horarios y Sistemas'!H:H,0,0,1)-P191))/7*U191</f>
        <v>0</v>
      </c>
      <c r="R191" s="54">
        <f t="shared" si="184"/>
        <v>0</v>
      </c>
      <c r="S191" s="55" t="str">
        <f t="shared" si="185"/>
        <v>SEPTIEMBRE</v>
      </c>
      <c r="T191" s="55" t="str">
        <f t="shared" si="186"/>
        <v>Sem40</v>
      </c>
      <c r="U191" s="56">
        <f t="shared" si="154"/>
        <v>7</v>
      </c>
      <c r="V191" s="59">
        <v>46294</v>
      </c>
      <c r="W191" s="56">
        <f t="shared" si="187"/>
        <v>40</v>
      </c>
      <c r="X191" s="56">
        <f t="shared" si="188"/>
        <v>29</v>
      </c>
      <c r="Y191" s="56" t="s">
        <v>29</v>
      </c>
      <c r="Z191" s="56">
        <v>2</v>
      </c>
      <c r="AA191" s="58">
        <f t="shared" si="214"/>
        <v>1</v>
      </c>
      <c r="AB191" s="58">
        <f t="shared" si="214"/>
        <v>0</v>
      </c>
      <c r="AC191" s="58">
        <f t="shared" si="214"/>
        <v>0</v>
      </c>
      <c r="AD191" s="58">
        <f t="shared" si="214"/>
        <v>0</v>
      </c>
      <c r="AE191" s="58">
        <f t="shared" si="214"/>
        <v>0</v>
      </c>
    </row>
    <row r="192" spans="2:34">
      <c r="B192" t="str">
        <f t="shared" si="175"/>
        <v>Sem4040Carlos Humberto Alvarado</v>
      </c>
      <c r="C192" t="str">
        <f t="shared" si="176"/>
        <v>SEPTIEMBRESem40</v>
      </c>
      <c r="D192" t="str">
        <f t="shared" si="177"/>
        <v>SEPTIEMBRESem40Carlos Humberto Alvarado</v>
      </c>
      <c r="E192" t="str">
        <f t="shared" si="178"/>
        <v>SEPTIEMBRESem4040Carlos Humberto Alvarado</v>
      </c>
      <c r="F192" t="str">
        <f t="shared" si="179"/>
        <v>Carlos Humberto Alvarado46295</v>
      </c>
      <c r="H192" s="49" t="s">
        <v>215</v>
      </c>
      <c r="I192" s="50" t="str">
        <f>+_xlfn.XLOOKUP($H192&amp;$V192,BASEDATOS!$B:$B,BASEDATOS!F:F,0,0,1)</f>
        <v>DIA</v>
      </c>
      <c r="J192" s="51">
        <f>+_xlfn.XLOOKUP($H192&amp;$V192,BASEDATOS!$B:$B,BASEDATOS!Q:Q,0,0,1)</f>
        <v>0.25</v>
      </c>
      <c r="K192" s="51">
        <f>+_xlfn.XLOOKUP($H192&amp;$V192,BASEDATOS!$B:$B,BASEDATOS!R:R,0,0,1)</f>
        <v>0.75</v>
      </c>
      <c r="L192" s="51">
        <f t="shared" si="180"/>
        <v>0.5</v>
      </c>
      <c r="M192" s="52" t="str">
        <f t="shared" si="181"/>
        <v>1:00</v>
      </c>
      <c r="N192" s="51">
        <f t="shared" si="182"/>
        <v>0.45833333333333331</v>
      </c>
      <c r="O192" s="53" t="str">
        <f t="shared" ref="O192" si="224">+O196</f>
        <v>6-0-1</v>
      </c>
      <c r="P192" s="54">
        <f>+IF(AND(Y192="Domingo",U192=7),_xlfn.XLOOKUP(O192,'Horarios y Sistemas'!C:C,'Horarios y Sistemas'!H:H,0,0,1),0)</f>
        <v>0</v>
      </c>
      <c r="Q192" s="54">
        <f>IF(U192=U193,0,IF(AVERAGEIF(W:W,W192,U:U)=U192,0,_xlfn.XLOOKUP(O192,'Horarios y Sistemas'!C:C,'Horarios y Sistemas'!H:H,0,0,1)-P192))/7*U192</f>
        <v>0</v>
      </c>
      <c r="R192" s="54">
        <f t="shared" si="184"/>
        <v>0</v>
      </c>
      <c r="S192" s="55" t="str">
        <f t="shared" si="185"/>
        <v>SEPTIEMBRE</v>
      </c>
      <c r="T192" s="55" t="str">
        <f t="shared" si="186"/>
        <v>Sem40</v>
      </c>
      <c r="U192" s="56">
        <f t="shared" si="154"/>
        <v>7</v>
      </c>
      <c r="V192" s="59">
        <v>46295</v>
      </c>
      <c r="W192" s="56">
        <f t="shared" si="187"/>
        <v>40</v>
      </c>
      <c r="X192" s="56">
        <f t="shared" si="188"/>
        <v>30</v>
      </c>
      <c r="Y192" s="56" t="s">
        <v>30</v>
      </c>
      <c r="Z192" s="56">
        <v>3</v>
      </c>
      <c r="AA192" s="58">
        <f t="shared" si="214"/>
        <v>1</v>
      </c>
      <c r="AB192" s="58">
        <f t="shared" si="214"/>
        <v>0</v>
      </c>
      <c r="AC192" s="58">
        <f t="shared" si="214"/>
        <v>0</v>
      </c>
      <c r="AD192" s="58">
        <f t="shared" si="214"/>
        <v>0</v>
      </c>
      <c r="AE192" s="58">
        <f t="shared" si="214"/>
        <v>0</v>
      </c>
    </row>
    <row r="193" spans="2:34">
      <c r="B193" t="str">
        <f t="shared" si="175"/>
        <v>Sem4040Carlos Humberto Alvarado</v>
      </c>
      <c r="C193" t="str">
        <f t="shared" si="176"/>
        <v>OCTUBRESem40</v>
      </c>
      <c r="D193" t="str">
        <f t="shared" si="177"/>
        <v>OCTUBRESem40Carlos Humberto Alvarado</v>
      </c>
      <c r="E193" t="str">
        <f t="shared" si="178"/>
        <v>OCTUBRESem4040Carlos Humberto Alvarado</v>
      </c>
      <c r="F193" t="str">
        <f t="shared" si="179"/>
        <v>Carlos Humberto Alvarado46296</v>
      </c>
      <c r="H193" s="49" t="s">
        <v>215</v>
      </c>
      <c r="I193" s="50" t="str">
        <f>+_xlfn.XLOOKUP($H193&amp;$V193,BASEDATOS!$B:$B,BASEDATOS!F:F,0,0,1)</f>
        <v>DIA</v>
      </c>
      <c r="J193" s="51">
        <f>+_xlfn.XLOOKUP($H193&amp;$V193,BASEDATOS!$B:$B,BASEDATOS!Q:Q,0,0,1)</f>
        <v>0.25</v>
      </c>
      <c r="K193" s="51">
        <f>+_xlfn.XLOOKUP($H193&amp;$V193,BASEDATOS!$B:$B,BASEDATOS!R:R,0,0,1)</f>
        <v>0.75</v>
      </c>
      <c r="L193" s="51">
        <f t="shared" si="180"/>
        <v>0.5</v>
      </c>
      <c r="M193" s="52" t="str">
        <f t="shared" si="181"/>
        <v>1:00</v>
      </c>
      <c r="N193" s="51">
        <f t="shared" si="182"/>
        <v>0.45833333333333331</v>
      </c>
      <c r="O193" s="53" t="str">
        <f t="shared" ref="O193" si="225">+O196</f>
        <v>6-0-1</v>
      </c>
      <c r="P193" s="54">
        <f>+IF(AND(Y193="Domingo",U193=7),_xlfn.XLOOKUP(O193,'Horarios y Sistemas'!C:C,'Horarios y Sistemas'!H:H,0,0,1),0)</f>
        <v>0</v>
      </c>
      <c r="Q193" s="54">
        <f>IF(U193=U194,0,IF(AVERAGEIF(W:W,W193,U:U)=U193,0,_xlfn.XLOOKUP(O193,'Horarios y Sistemas'!C:C,'Horarios y Sistemas'!H:H,0,0,1)-P193))/7*U193</f>
        <v>0</v>
      </c>
      <c r="R193" s="54">
        <f t="shared" si="184"/>
        <v>0</v>
      </c>
      <c r="S193" s="55" t="str">
        <f t="shared" si="185"/>
        <v>OCTUBRE</v>
      </c>
      <c r="T193" s="55" t="str">
        <f t="shared" si="186"/>
        <v>Sem40</v>
      </c>
      <c r="U193" s="56">
        <f t="shared" si="154"/>
        <v>7</v>
      </c>
      <c r="V193" s="59">
        <v>46296</v>
      </c>
      <c r="W193" s="56">
        <f t="shared" si="187"/>
        <v>40</v>
      </c>
      <c r="X193" s="56">
        <f t="shared" si="188"/>
        <v>1</v>
      </c>
      <c r="Y193" s="56" t="s">
        <v>31</v>
      </c>
      <c r="Z193" s="56">
        <v>4</v>
      </c>
      <c r="AA193" s="58">
        <f t="shared" si="214"/>
        <v>1</v>
      </c>
      <c r="AB193" s="58">
        <f t="shared" si="214"/>
        <v>0</v>
      </c>
      <c r="AC193" s="58">
        <f t="shared" si="214"/>
        <v>0</v>
      </c>
      <c r="AD193" s="58">
        <f t="shared" si="214"/>
        <v>0</v>
      </c>
      <c r="AE193" s="58">
        <f t="shared" si="214"/>
        <v>0</v>
      </c>
    </row>
    <row r="194" spans="2:34">
      <c r="B194" t="str">
        <f t="shared" si="175"/>
        <v>Sem4040Carlos Humberto Alvarado</v>
      </c>
      <c r="C194" t="str">
        <f t="shared" si="176"/>
        <v>OCTUBRESem40</v>
      </c>
      <c r="D194" t="str">
        <f t="shared" si="177"/>
        <v>OCTUBRESem40Carlos Humberto Alvarado</v>
      </c>
      <c r="E194" t="str">
        <f t="shared" si="178"/>
        <v>OCTUBRESem4040Carlos Humberto Alvarado</v>
      </c>
      <c r="F194" t="str">
        <f t="shared" si="179"/>
        <v>Carlos Humberto Alvarado46297</v>
      </c>
      <c r="H194" s="49" t="s">
        <v>215</v>
      </c>
      <c r="I194" s="50" t="str">
        <f>+_xlfn.XLOOKUP($H194&amp;$V194,BASEDATOS!$B:$B,BASEDATOS!F:F,0,0,1)</f>
        <v>DIA</v>
      </c>
      <c r="J194" s="51">
        <f>+_xlfn.XLOOKUP($H194&amp;$V194,BASEDATOS!$B:$B,BASEDATOS!Q:Q,0,0,1)</f>
        <v>0.25</v>
      </c>
      <c r="K194" s="51">
        <f>+_xlfn.XLOOKUP($H194&amp;$V194,BASEDATOS!$B:$B,BASEDATOS!R:R,0,0,1)</f>
        <v>0.75</v>
      </c>
      <c r="L194" s="51">
        <f t="shared" si="180"/>
        <v>0.5</v>
      </c>
      <c r="M194" s="52" t="str">
        <f t="shared" si="181"/>
        <v>1:00</v>
      </c>
      <c r="N194" s="51">
        <f t="shared" si="182"/>
        <v>0.45833333333333331</v>
      </c>
      <c r="O194" s="53" t="str">
        <f t="shared" ref="O194" si="226">+O196</f>
        <v>6-0-1</v>
      </c>
      <c r="P194" s="54">
        <f>+IF(AND(Y194="Domingo",U194=7),_xlfn.XLOOKUP(O194,'Horarios y Sistemas'!C:C,'Horarios y Sistemas'!H:H,0,0,1),0)</f>
        <v>0</v>
      </c>
      <c r="Q194" s="54">
        <f>IF(U194=U195,0,IF(AVERAGEIF(W:W,W194,U:U)=U194,0,_xlfn.XLOOKUP(O194,'Horarios y Sistemas'!C:C,'Horarios y Sistemas'!H:H,0,0,1)-P194))/7*U194</f>
        <v>0</v>
      </c>
      <c r="R194" s="54">
        <f t="shared" si="184"/>
        <v>0</v>
      </c>
      <c r="S194" s="55" t="str">
        <f t="shared" si="185"/>
        <v>OCTUBRE</v>
      </c>
      <c r="T194" s="55" t="str">
        <f t="shared" si="186"/>
        <v>Sem40</v>
      </c>
      <c r="U194" s="56">
        <f t="shared" si="154"/>
        <v>7</v>
      </c>
      <c r="V194" s="59">
        <v>46297</v>
      </c>
      <c r="W194" s="56">
        <f t="shared" si="187"/>
        <v>40</v>
      </c>
      <c r="X194" s="56">
        <f t="shared" si="188"/>
        <v>2</v>
      </c>
      <c r="Y194" s="56" t="s">
        <v>32</v>
      </c>
      <c r="Z194" s="56">
        <v>5</v>
      </c>
      <c r="AA194" s="58">
        <f t="shared" si="214"/>
        <v>1</v>
      </c>
      <c r="AB194" s="58">
        <f t="shared" si="214"/>
        <v>0</v>
      </c>
      <c r="AC194" s="58">
        <f t="shared" si="214"/>
        <v>0</v>
      </c>
      <c r="AD194" s="58">
        <f t="shared" si="214"/>
        <v>0</v>
      </c>
      <c r="AE194" s="58">
        <f t="shared" si="214"/>
        <v>0</v>
      </c>
    </row>
    <row r="195" spans="2:34">
      <c r="B195" t="str">
        <f t="shared" si="175"/>
        <v>Sem4040Carlos Humberto Alvarado</v>
      </c>
      <c r="C195" t="str">
        <f t="shared" si="176"/>
        <v>OCTUBRESem40</v>
      </c>
      <c r="D195" t="str">
        <f t="shared" si="177"/>
        <v>OCTUBRESem40Carlos Humberto Alvarado</v>
      </c>
      <c r="E195" t="str">
        <f t="shared" si="178"/>
        <v>OCTUBRESem4040Carlos Humberto Alvarado</v>
      </c>
      <c r="F195" t="str">
        <f t="shared" si="179"/>
        <v>Carlos Humberto Alvarado46298</v>
      </c>
      <c r="H195" s="49" t="s">
        <v>215</v>
      </c>
      <c r="I195" s="50" t="str">
        <f>+_xlfn.XLOOKUP($H195&amp;$V195,BASEDATOS!$B:$B,BASEDATOS!F:F,0,0,1)</f>
        <v>DIA</v>
      </c>
      <c r="J195" s="51">
        <f>+_xlfn.XLOOKUP($H195&amp;$V195,BASEDATOS!$B:$B,BASEDATOS!Q:Q,0,0,1)</f>
        <v>0.25</v>
      </c>
      <c r="K195" s="51">
        <f>+_xlfn.XLOOKUP($H195&amp;$V195,BASEDATOS!$B:$B,BASEDATOS!R:R,0,0,1)</f>
        <v>0.58333333333333304</v>
      </c>
      <c r="L195" s="51">
        <f t="shared" si="180"/>
        <v>0.33333333333333304</v>
      </c>
      <c r="M195" s="52" t="str">
        <f t="shared" si="181"/>
        <v>1:00</v>
      </c>
      <c r="N195" s="51">
        <f t="shared" si="182"/>
        <v>0.29166666666666635</v>
      </c>
      <c r="O195" s="53" t="str">
        <f t="shared" ref="O195" si="227">+O196</f>
        <v>6-0-1</v>
      </c>
      <c r="P195" s="54">
        <f>+IF(AND(Y195="Domingo",U195=7),_xlfn.XLOOKUP(O195,'Horarios y Sistemas'!C:C,'Horarios y Sistemas'!H:H,0,0,1),0)</f>
        <v>0</v>
      </c>
      <c r="Q195" s="54">
        <f>IF(U195=U196,0,IF(AVERAGEIF(W:W,W195,U:U)=U195,0,_xlfn.XLOOKUP(O195,'Horarios y Sistemas'!C:C,'Horarios y Sistemas'!H:H,0,0,1)-P195))/7*U195</f>
        <v>0</v>
      </c>
      <c r="R195" s="54">
        <f t="shared" si="184"/>
        <v>0</v>
      </c>
      <c r="S195" s="55" t="str">
        <f t="shared" si="185"/>
        <v>OCTUBRE</v>
      </c>
      <c r="T195" s="55" t="str">
        <f t="shared" si="186"/>
        <v>Sem40</v>
      </c>
      <c r="U195" s="56">
        <f t="shared" si="154"/>
        <v>7</v>
      </c>
      <c r="V195" s="59">
        <v>46298</v>
      </c>
      <c r="W195" s="56">
        <f t="shared" si="187"/>
        <v>40</v>
      </c>
      <c r="X195" s="56">
        <f t="shared" si="188"/>
        <v>3</v>
      </c>
      <c r="Y195" s="56" t="s">
        <v>33</v>
      </c>
      <c r="Z195" s="56">
        <v>6</v>
      </c>
      <c r="AA195" s="58">
        <f t="shared" si="214"/>
        <v>1</v>
      </c>
      <c r="AB195" s="58">
        <f t="shared" si="214"/>
        <v>0</v>
      </c>
      <c r="AC195" s="58">
        <f t="shared" si="214"/>
        <v>0</v>
      </c>
      <c r="AD195" s="58">
        <f t="shared" si="214"/>
        <v>0</v>
      </c>
      <c r="AE195" s="58">
        <f t="shared" si="214"/>
        <v>0</v>
      </c>
    </row>
    <row r="196" spans="2:34" s="60" customFormat="1">
      <c r="B196" s="60" t="str">
        <f t="shared" si="175"/>
        <v>Sem4040Carlos Humberto Alvarado</v>
      </c>
      <c r="C196" s="60" t="str">
        <f t="shared" si="176"/>
        <v>OCTUBRESem40</v>
      </c>
      <c r="D196" s="60" t="str">
        <f t="shared" si="177"/>
        <v>OCTUBRESem40Carlos Humberto Alvarado</v>
      </c>
      <c r="E196" s="60" t="str">
        <f t="shared" si="178"/>
        <v>OCTUBRESem4040Carlos Humberto Alvarado</v>
      </c>
      <c r="F196" s="60" t="str">
        <f t="shared" si="179"/>
        <v>Carlos Humberto Alvarado46299</v>
      </c>
      <c r="H196" s="61" t="s">
        <v>215</v>
      </c>
      <c r="I196" s="62" t="str">
        <f>+_xlfn.XLOOKUP($H196&amp;$V196,BASEDATOS!$B:$B,BASEDATOS!F:F,0,0,1)</f>
        <v>DESCANSO</v>
      </c>
      <c r="J196" s="63">
        <f>+_xlfn.XLOOKUP($H196&amp;$V196,BASEDATOS!$B:$B,BASEDATOS!Q:Q,0,0,1)</f>
        <v>0</v>
      </c>
      <c r="K196" s="63">
        <f>+_xlfn.XLOOKUP($H196&amp;$V196,BASEDATOS!$B:$B,BASEDATOS!R:R,0,0,1)</f>
        <v>0</v>
      </c>
      <c r="L196" s="63">
        <f t="shared" si="180"/>
        <v>0</v>
      </c>
      <c r="M196" s="64">
        <f t="shared" si="181"/>
        <v>0</v>
      </c>
      <c r="N196" s="63">
        <f t="shared" si="182"/>
        <v>0</v>
      </c>
      <c r="O196" s="65" t="str">
        <f t="shared" ref="O196" si="228">+IF(Y196="Domingo",SUM(AA190:AA196)&amp;"-"&amp;SUM(AB190:AB196)&amp;"-"&amp;SUM(AC190:AE196),"")</f>
        <v>6-0-1</v>
      </c>
      <c r="P196" s="66">
        <f>+IF(AND(Y196="Domingo",U196=7),_xlfn.XLOOKUP(O196,'Horarios y Sistemas'!C:C,'Horarios y Sistemas'!H:H,0,0,1),0)</f>
        <v>44</v>
      </c>
      <c r="Q196" s="66">
        <f>IF(U196=U197,0,IF(AVERAGEIF(W:W,W196,U:U)=U196,0,_xlfn.XLOOKUP(O196,'Horarios y Sistemas'!C:C,'Horarios y Sistemas'!H:H,0,0,1)-P196))/7*U196</f>
        <v>0</v>
      </c>
      <c r="R196" s="66">
        <f t="shared" si="184"/>
        <v>44</v>
      </c>
      <c r="S196" s="67" t="str">
        <f t="shared" si="185"/>
        <v>OCTUBRE</v>
      </c>
      <c r="T196" s="55" t="str">
        <f t="shared" si="186"/>
        <v>Sem40</v>
      </c>
      <c r="U196" s="68">
        <f t="shared" si="154"/>
        <v>7</v>
      </c>
      <c r="V196" s="69">
        <v>46299</v>
      </c>
      <c r="W196" s="68">
        <f t="shared" si="187"/>
        <v>40</v>
      </c>
      <c r="X196" s="68">
        <f t="shared" si="188"/>
        <v>4</v>
      </c>
      <c r="Y196" s="68" t="s">
        <v>34</v>
      </c>
      <c r="Z196" s="68">
        <v>7</v>
      </c>
      <c r="AA196" s="70">
        <f t="shared" si="214"/>
        <v>0</v>
      </c>
      <c r="AB196" s="70">
        <f t="shared" si="214"/>
        <v>0</v>
      </c>
      <c r="AC196" s="70">
        <f t="shared" si="214"/>
        <v>1</v>
      </c>
      <c r="AD196" s="70">
        <f t="shared" si="214"/>
        <v>0</v>
      </c>
      <c r="AE196" s="70">
        <f t="shared" si="214"/>
        <v>0</v>
      </c>
      <c r="AF196" s="71"/>
      <c r="AG196" s="71"/>
      <c r="AH196" s="71"/>
    </row>
    <row r="197" spans="2:34">
      <c r="B197" t="str">
        <f t="shared" si="175"/>
        <v>Sem3838Christian Omar Tiney Davila</v>
      </c>
      <c r="C197" t="str">
        <f t="shared" si="176"/>
        <v>SEPTIEMBRESem38</v>
      </c>
      <c r="D197" t="str">
        <f t="shared" si="177"/>
        <v>SEPTIEMBRESem38Christian Omar Tiney Davila</v>
      </c>
      <c r="E197" t="str">
        <f t="shared" si="178"/>
        <v>SEPTIEMBRESem3838Christian Omar Tiney Davila</v>
      </c>
      <c r="F197" t="str">
        <f t="shared" si="179"/>
        <v>Christian Omar Tiney Davila46279</v>
      </c>
      <c r="H197" s="49" t="s">
        <v>216</v>
      </c>
      <c r="I197" s="50" t="str">
        <f>+_xlfn.XLOOKUP($H197&amp;$V197,BASEDATOS!$B:$B,BASEDATOS!F:F,0,0,1)</f>
        <v>DESCANSO</v>
      </c>
      <c r="J197" s="51">
        <f>+_xlfn.XLOOKUP($H197&amp;$V197,BASEDATOS!$B:$B,BASEDATOS!Q:Q,0,0,1)</f>
        <v>0</v>
      </c>
      <c r="K197" s="51">
        <f>+_xlfn.XLOOKUP($H197&amp;$V197,BASEDATOS!$B:$B,BASEDATOS!R:R,0,0,1)</f>
        <v>0</v>
      </c>
      <c r="L197" s="51">
        <f t="shared" si="180"/>
        <v>0</v>
      </c>
      <c r="M197" s="52">
        <f t="shared" si="181"/>
        <v>0</v>
      </c>
      <c r="N197" s="51">
        <f t="shared" si="182"/>
        <v>0</v>
      </c>
      <c r="O197" s="53" t="str">
        <f t="shared" ref="O197" si="229">+O203</f>
        <v>5-0-2</v>
      </c>
      <c r="P197" s="54">
        <f>+IF(AND(Y197="Domingo",U197=7),_xlfn.XLOOKUP(O197,'Horarios y Sistemas'!C:C,'Horarios y Sistemas'!H:H,0,0,1),0)</f>
        <v>0</v>
      </c>
      <c r="Q197" s="54">
        <f>IF(U197=U198,0,IF(AVERAGEIF(W:W,W197,U:U)=U197,0,_xlfn.XLOOKUP(O197,'Horarios y Sistemas'!C:C,'Horarios y Sistemas'!H:H,0,0,1)-P197))/7*U197</f>
        <v>0</v>
      </c>
      <c r="R197" s="54">
        <f t="shared" si="184"/>
        <v>0</v>
      </c>
      <c r="S197" s="55" t="str">
        <f t="shared" si="185"/>
        <v>SEPTIEMBRE</v>
      </c>
      <c r="T197" s="55" t="str">
        <f t="shared" si="186"/>
        <v>Sem38</v>
      </c>
      <c r="U197" s="56">
        <f t="shared" si="154"/>
        <v>7</v>
      </c>
      <c r="V197" s="57">
        <v>46279</v>
      </c>
      <c r="W197" s="56">
        <f t="shared" si="187"/>
        <v>38</v>
      </c>
      <c r="X197" s="56">
        <f t="shared" si="188"/>
        <v>14</v>
      </c>
      <c r="Y197" s="56" t="s">
        <v>28</v>
      </c>
      <c r="Z197" s="56">
        <v>1</v>
      </c>
      <c r="AA197" s="58">
        <f t="shared" si="214"/>
        <v>0</v>
      </c>
      <c r="AB197" s="58">
        <f t="shared" si="214"/>
        <v>0</v>
      </c>
      <c r="AC197" s="58">
        <f t="shared" si="214"/>
        <v>1</v>
      </c>
      <c r="AD197" s="58">
        <f t="shared" si="214"/>
        <v>0</v>
      </c>
      <c r="AE197" s="58">
        <f t="shared" si="214"/>
        <v>0</v>
      </c>
    </row>
    <row r="198" spans="2:34">
      <c r="B198" t="str">
        <f t="shared" si="175"/>
        <v>Sem3838Christian Omar Tiney Davila</v>
      </c>
      <c r="C198" t="str">
        <f t="shared" si="176"/>
        <v>SEPTIEMBRESem38</v>
      </c>
      <c r="D198" t="str">
        <f t="shared" si="177"/>
        <v>SEPTIEMBRESem38Christian Omar Tiney Davila</v>
      </c>
      <c r="E198" t="str">
        <f t="shared" si="178"/>
        <v>SEPTIEMBRESem3838Christian Omar Tiney Davila</v>
      </c>
      <c r="F198" t="str">
        <f t="shared" si="179"/>
        <v>Christian Omar Tiney Davila46280</v>
      </c>
      <c r="H198" s="49" t="s">
        <v>216</v>
      </c>
      <c r="I198" s="50" t="str">
        <f>+_xlfn.XLOOKUP($H198&amp;$V198,BASEDATOS!$B:$B,BASEDATOS!F:F,0,0,1)</f>
        <v>DIA</v>
      </c>
      <c r="J198" s="51">
        <f>+_xlfn.XLOOKUP($H198&amp;$V198,BASEDATOS!$B:$B,BASEDATOS!Q:Q,0,0,1)</f>
        <v>0.33333333333333298</v>
      </c>
      <c r="K198" s="51">
        <f>+_xlfn.XLOOKUP($H198&amp;$V198,BASEDATOS!$B:$B,BASEDATOS!R:R,0,0,1)</f>
        <v>0.70833333333333304</v>
      </c>
      <c r="L198" s="51">
        <f t="shared" si="180"/>
        <v>0.37500000000000006</v>
      </c>
      <c r="M198" s="52" t="str">
        <f t="shared" si="181"/>
        <v>1:00</v>
      </c>
      <c r="N198" s="51">
        <f t="shared" si="182"/>
        <v>0.33333333333333337</v>
      </c>
      <c r="O198" s="53" t="str">
        <f t="shared" ref="O198" si="230">+O203</f>
        <v>5-0-2</v>
      </c>
      <c r="P198" s="54">
        <f>+IF(AND(Y198="Domingo",U198=7),_xlfn.XLOOKUP(O198,'Horarios y Sistemas'!C:C,'Horarios y Sistemas'!H:H,0,0,1),0)</f>
        <v>0</v>
      </c>
      <c r="Q198" s="54">
        <f>IF(U198=U199,0,IF(AVERAGEIF(W:W,W198,U:U)=U198,0,_xlfn.XLOOKUP(O198,'Horarios y Sistemas'!C:C,'Horarios y Sistemas'!H:H,0,0,1)-P198))/7*U198</f>
        <v>0</v>
      </c>
      <c r="R198" s="54">
        <f t="shared" si="184"/>
        <v>0</v>
      </c>
      <c r="S198" s="55" t="str">
        <f t="shared" si="185"/>
        <v>SEPTIEMBRE</v>
      </c>
      <c r="T198" s="55" t="str">
        <f t="shared" si="186"/>
        <v>Sem38</v>
      </c>
      <c r="U198" s="56">
        <f t="shared" si="154"/>
        <v>7</v>
      </c>
      <c r="V198" s="59">
        <v>46280</v>
      </c>
      <c r="W198" s="56">
        <f t="shared" si="187"/>
        <v>38</v>
      </c>
      <c r="X198" s="56">
        <f t="shared" si="188"/>
        <v>15</v>
      </c>
      <c r="Y198" s="56" t="s">
        <v>29</v>
      </c>
      <c r="Z198" s="56">
        <v>2</v>
      </c>
      <c r="AA198" s="58">
        <f t="shared" si="214"/>
        <v>1</v>
      </c>
      <c r="AB198" s="58">
        <f t="shared" si="214"/>
        <v>0</v>
      </c>
      <c r="AC198" s="58">
        <f t="shared" si="214"/>
        <v>0</v>
      </c>
      <c r="AD198" s="58">
        <f t="shared" si="214"/>
        <v>0</v>
      </c>
      <c r="AE198" s="58">
        <f t="shared" si="214"/>
        <v>0</v>
      </c>
    </row>
    <row r="199" spans="2:34">
      <c r="B199" t="str">
        <f t="shared" si="175"/>
        <v>Sem3838Christian Omar Tiney Davila</v>
      </c>
      <c r="C199" t="str">
        <f t="shared" si="176"/>
        <v>SEPTIEMBRESem38</v>
      </c>
      <c r="D199" t="str">
        <f t="shared" si="177"/>
        <v>SEPTIEMBRESem38Christian Omar Tiney Davila</v>
      </c>
      <c r="E199" t="str">
        <f t="shared" si="178"/>
        <v>SEPTIEMBRESem3838Christian Omar Tiney Davila</v>
      </c>
      <c r="F199" t="str">
        <f t="shared" si="179"/>
        <v>Christian Omar Tiney Davila46281</v>
      </c>
      <c r="H199" s="49" t="s">
        <v>216</v>
      </c>
      <c r="I199" s="50" t="str">
        <f>+_xlfn.XLOOKUP($H199&amp;$V199,BASEDATOS!$B:$B,BASEDATOS!F:F,0,0,1)</f>
        <v>DIA</v>
      </c>
      <c r="J199" s="51">
        <f>+_xlfn.XLOOKUP($H199&amp;$V199,BASEDATOS!$B:$B,BASEDATOS!Q:Q,0,0,1)</f>
        <v>0.25</v>
      </c>
      <c r="K199" s="51">
        <f>+_xlfn.XLOOKUP($H199&amp;$V199,BASEDATOS!$B:$B,BASEDATOS!R:R,0,0,1)</f>
        <v>0.75</v>
      </c>
      <c r="L199" s="51">
        <f t="shared" si="180"/>
        <v>0.5</v>
      </c>
      <c r="M199" s="52" t="str">
        <f t="shared" si="181"/>
        <v>1:00</v>
      </c>
      <c r="N199" s="51">
        <f t="shared" si="182"/>
        <v>0.45833333333333331</v>
      </c>
      <c r="O199" s="53" t="str">
        <f t="shared" ref="O199" si="231">+O203</f>
        <v>5-0-2</v>
      </c>
      <c r="P199" s="54">
        <f>+IF(AND(Y199="Domingo",U199=7),_xlfn.XLOOKUP(O199,'Horarios y Sistemas'!C:C,'Horarios y Sistemas'!H:H,0,0,1),0)</f>
        <v>0</v>
      </c>
      <c r="Q199" s="54">
        <f>IF(U199=U200,0,IF(AVERAGEIF(W:W,W199,U:U)=U199,0,_xlfn.XLOOKUP(O199,'Horarios y Sistemas'!C:C,'Horarios y Sistemas'!H:H,0,0,1)-P199))/7*U199</f>
        <v>0</v>
      </c>
      <c r="R199" s="54">
        <f t="shared" si="184"/>
        <v>0</v>
      </c>
      <c r="S199" s="55" t="str">
        <f t="shared" si="185"/>
        <v>SEPTIEMBRE</v>
      </c>
      <c r="T199" s="55" t="str">
        <f t="shared" si="186"/>
        <v>Sem38</v>
      </c>
      <c r="U199" s="56">
        <f t="shared" si="154"/>
        <v>7</v>
      </c>
      <c r="V199" s="59">
        <v>46281</v>
      </c>
      <c r="W199" s="56">
        <f t="shared" si="187"/>
        <v>38</v>
      </c>
      <c r="X199" s="56">
        <f t="shared" si="188"/>
        <v>16</v>
      </c>
      <c r="Y199" s="56" t="s">
        <v>30</v>
      </c>
      <c r="Z199" s="56">
        <v>3</v>
      </c>
      <c r="AA199" s="58">
        <f t="shared" si="214"/>
        <v>1</v>
      </c>
      <c r="AB199" s="58">
        <f t="shared" si="214"/>
        <v>0</v>
      </c>
      <c r="AC199" s="58">
        <f t="shared" si="214"/>
        <v>0</v>
      </c>
      <c r="AD199" s="58">
        <f t="shared" si="214"/>
        <v>0</v>
      </c>
      <c r="AE199" s="58">
        <f t="shared" si="214"/>
        <v>0</v>
      </c>
    </row>
    <row r="200" spans="2:34">
      <c r="B200" t="str">
        <f t="shared" si="175"/>
        <v>Sem3838Christian Omar Tiney Davila</v>
      </c>
      <c r="C200" t="str">
        <f t="shared" si="176"/>
        <v>SEPTIEMBRESem38</v>
      </c>
      <c r="D200" t="str">
        <f t="shared" si="177"/>
        <v>SEPTIEMBRESem38Christian Omar Tiney Davila</v>
      </c>
      <c r="E200" t="str">
        <f t="shared" si="178"/>
        <v>SEPTIEMBRESem3838Christian Omar Tiney Davila</v>
      </c>
      <c r="F200" t="str">
        <f t="shared" si="179"/>
        <v>Christian Omar Tiney Davila46282</v>
      </c>
      <c r="H200" s="49" t="s">
        <v>216</v>
      </c>
      <c r="I200" s="50" t="str">
        <f>+_xlfn.XLOOKUP($H200&amp;$V200,BASEDATOS!$B:$B,BASEDATOS!F:F,0,0,1)</f>
        <v>DIA</v>
      </c>
      <c r="J200" s="51">
        <f>+_xlfn.XLOOKUP($H200&amp;$V200,BASEDATOS!$B:$B,BASEDATOS!Q:Q,0,0,1)</f>
        <v>0.25</v>
      </c>
      <c r="K200" s="51">
        <f>+_xlfn.XLOOKUP($H200&amp;$V200,BASEDATOS!$B:$B,BASEDATOS!R:R,0,0,1)</f>
        <v>0.75</v>
      </c>
      <c r="L200" s="51">
        <f t="shared" si="180"/>
        <v>0.5</v>
      </c>
      <c r="M200" s="52" t="str">
        <f t="shared" si="181"/>
        <v>1:00</v>
      </c>
      <c r="N200" s="51">
        <f t="shared" si="182"/>
        <v>0.45833333333333331</v>
      </c>
      <c r="O200" s="53" t="str">
        <f t="shared" ref="O200" si="232">+O203</f>
        <v>5-0-2</v>
      </c>
      <c r="P200" s="54">
        <f>+IF(AND(Y200="Domingo",U200=7),_xlfn.XLOOKUP(O200,'Horarios y Sistemas'!C:C,'Horarios y Sistemas'!H:H,0,0,1),0)</f>
        <v>0</v>
      </c>
      <c r="Q200" s="54">
        <f>IF(U200=U201,0,IF(AVERAGEIF(W:W,W200,U:U)=U200,0,_xlfn.XLOOKUP(O200,'Horarios y Sistemas'!C:C,'Horarios y Sistemas'!H:H,0,0,1)-P200))/7*U200</f>
        <v>0</v>
      </c>
      <c r="R200" s="54">
        <f t="shared" si="184"/>
        <v>0</v>
      </c>
      <c r="S200" s="55" t="str">
        <f t="shared" si="185"/>
        <v>SEPTIEMBRE</v>
      </c>
      <c r="T200" s="55" t="str">
        <f t="shared" si="186"/>
        <v>Sem38</v>
      </c>
      <c r="U200" s="56">
        <f t="shared" ref="U200:U263" si="233">+COUNTIF(B:B,B200)</f>
        <v>7</v>
      </c>
      <c r="V200" s="59">
        <v>46282</v>
      </c>
      <c r="W200" s="56">
        <f t="shared" si="187"/>
        <v>38</v>
      </c>
      <c r="X200" s="56">
        <f t="shared" si="188"/>
        <v>17</v>
      </c>
      <c r="Y200" s="56" t="s">
        <v>31</v>
      </c>
      <c r="Z200" s="56">
        <v>4</v>
      </c>
      <c r="AA200" s="58">
        <f t="shared" si="214"/>
        <v>1</v>
      </c>
      <c r="AB200" s="58">
        <f t="shared" si="214"/>
        <v>0</v>
      </c>
      <c r="AC200" s="58">
        <f t="shared" si="214"/>
        <v>0</v>
      </c>
      <c r="AD200" s="58">
        <f t="shared" si="214"/>
        <v>0</v>
      </c>
      <c r="AE200" s="58">
        <f t="shared" si="214"/>
        <v>0</v>
      </c>
    </row>
    <row r="201" spans="2:34">
      <c r="B201" t="str">
        <f t="shared" si="175"/>
        <v>Sem3838Christian Omar Tiney Davila</v>
      </c>
      <c r="C201" t="str">
        <f t="shared" si="176"/>
        <v>SEPTIEMBRESem38</v>
      </c>
      <c r="D201" t="str">
        <f t="shared" si="177"/>
        <v>SEPTIEMBRESem38Christian Omar Tiney Davila</v>
      </c>
      <c r="E201" t="str">
        <f t="shared" si="178"/>
        <v>SEPTIEMBRESem3838Christian Omar Tiney Davila</v>
      </c>
      <c r="F201" t="str">
        <f t="shared" si="179"/>
        <v>Christian Omar Tiney Davila46283</v>
      </c>
      <c r="H201" s="49" t="s">
        <v>216</v>
      </c>
      <c r="I201" s="50" t="str">
        <f>+_xlfn.XLOOKUP($H201&amp;$V201,BASEDATOS!$B:$B,BASEDATOS!F:F,0,0,1)</f>
        <v>DIA</v>
      </c>
      <c r="J201" s="51">
        <f>+_xlfn.XLOOKUP($H201&amp;$V201,BASEDATOS!$B:$B,BASEDATOS!Q:Q,0,0,1)</f>
        <v>0.25</v>
      </c>
      <c r="K201" s="51">
        <f>+_xlfn.XLOOKUP($H201&amp;$V201,BASEDATOS!$B:$B,BASEDATOS!R:R,0,0,1)</f>
        <v>0.75</v>
      </c>
      <c r="L201" s="51">
        <f t="shared" si="180"/>
        <v>0.5</v>
      </c>
      <c r="M201" s="52" t="str">
        <f t="shared" si="181"/>
        <v>1:00</v>
      </c>
      <c r="N201" s="51">
        <f t="shared" si="182"/>
        <v>0.45833333333333331</v>
      </c>
      <c r="O201" s="53" t="str">
        <f t="shared" ref="O201" si="234">+O203</f>
        <v>5-0-2</v>
      </c>
      <c r="P201" s="54">
        <f>+IF(AND(Y201="Domingo",U201=7),_xlfn.XLOOKUP(O201,'Horarios y Sistemas'!C:C,'Horarios y Sistemas'!H:H,0,0,1),0)</f>
        <v>0</v>
      </c>
      <c r="Q201" s="54">
        <f>IF(U201=U202,0,IF(AVERAGEIF(W:W,W201,U:U)=U201,0,_xlfn.XLOOKUP(O201,'Horarios y Sistemas'!C:C,'Horarios y Sistemas'!H:H,0,0,1)-P201))/7*U201</f>
        <v>0</v>
      </c>
      <c r="R201" s="54">
        <f t="shared" si="184"/>
        <v>0</v>
      </c>
      <c r="S201" s="55" t="str">
        <f t="shared" si="185"/>
        <v>SEPTIEMBRE</v>
      </c>
      <c r="T201" s="55" t="str">
        <f t="shared" si="186"/>
        <v>Sem38</v>
      </c>
      <c r="U201" s="56">
        <f t="shared" si="233"/>
        <v>7</v>
      </c>
      <c r="V201" s="59">
        <v>46283</v>
      </c>
      <c r="W201" s="56">
        <f t="shared" si="187"/>
        <v>38</v>
      </c>
      <c r="X201" s="56">
        <f t="shared" si="188"/>
        <v>18</v>
      </c>
      <c r="Y201" s="56" t="s">
        <v>32</v>
      </c>
      <c r="Z201" s="56">
        <v>5</v>
      </c>
      <c r="AA201" s="58">
        <f t="shared" si="214"/>
        <v>1</v>
      </c>
      <c r="AB201" s="58">
        <f t="shared" si="214"/>
        <v>0</v>
      </c>
      <c r="AC201" s="58">
        <f t="shared" si="214"/>
        <v>0</v>
      </c>
      <c r="AD201" s="58">
        <f t="shared" si="214"/>
        <v>0</v>
      </c>
      <c r="AE201" s="58">
        <f t="shared" si="214"/>
        <v>0</v>
      </c>
    </row>
    <row r="202" spans="2:34">
      <c r="B202" t="str">
        <f t="shared" si="175"/>
        <v>Sem3838Christian Omar Tiney Davila</v>
      </c>
      <c r="C202" t="str">
        <f t="shared" si="176"/>
        <v>SEPTIEMBRESem38</v>
      </c>
      <c r="D202" t="str">
        <f t="shared" si="177"/>
        <v>SEPTIEMBRESem38Christian Omar Tiney Davila</v>
      </c>
      <c r="E202" t="str">
        <f t="shared" si="178"/>
        <v>SEPTIEMBRESem3838Christian Omar Tiney Davila</v>
      </c>
      <c r="F202" t="str">
        <f t="shared" si="179"/>
        <v>Christian Omar Tiney Davila46284</v>
      </c>
      <c r="H202" s="49" t="s">
        <v>216</v>
      </c>
      <c r="I202" s="50" t="str">
        <f>+_xlfn.XLOOKUP($H202&amp;$V202,BASEDATOS!$B:$B,BASEDATOS!F:F,0,0,1)</f>
        <v>DIA</v>
      </c>
      <c r="J202" s="51">
        <f>+_xlfn.XLOOKUP($H202&amp;$V202,BASEDATOS!$B:$B,BASEDATOS!Q:Q,0,0,1)</f>
        <v>0.25</v>
      </c>
      <c r="K202" s="51">
        <f>+_xlfn.XLOOKUP($H202&amp;$V202,BASEDATOS!$B:$B,BASEDATOS!R:R,0,0,1)</f>
        <v>0.70833333333333304</v>
      </c>
      <c r="L202" s="51">
        <f t="shared" si="180"/>
        <v>0.45833333333333304</v>
      </c>
      <c r="M202" s="52" t="str">
        <f t="shared" si="181"/>
        <v>1:00</v>
      </c>
      <c r="N202" s="51">
        <f t="shared" si="182"/>
        <v>0.41666666666666635</v>
      </c>
      <c r="O202" s="53" t="str">
        <f t="shared" ref="O202" si="235">+O203</f>
        <v>5-0-2</v>
      </c>
      <c r="P202" s="54">
        <f>+IF(AND(Y202="Domingo",U202=7),_xlfn.XLOOKUP(O202,'Horarios y Sistemas'!C:C,'Horarios y Sistemas'!H:H,0,0,1),0)</f>
        <v>0</v>
      </c>
      <c r="Q202" s="54">
        <f>IF(U202=U203,0,IF(AVERAGEIF(W:W,W202,U:U)=U202,0,_xlfn.XLOOKUP(O202,'Horarios y Sistemas'!C:C,'Horarios y Sistemas'!H:H,0,0,1)-P202))/7*U202</f>
        <v>0</v>
      </c>
      <c r="R202" s="54">
        <f t="shared" si="184"/>
        <v>0</v>
      </c>
      <c r="S202" s="55" t="str">
        <f t="shared" si="185"/>
        <v>SEPTIEMBRE</v>
      </c>
      <c r="T202" s="55" t="str">
        <f t="shared" si="186"/>
        <v>Sem38</v>
      </c>
      <c r="U202" s="56">
        <f t="shared" si="233"/>
        <v>7</v>
      </c>
      <c r="V202" s="59">
        <v>46284</v>
      </c>
      <c r="W202" s="56">
        <f t="shared" si="187"/>
        <v>38</v>
      </c>
      <c r="X202" s="56">
        <f t="shared" si="188"/>
        <v>19</v>
      </c>
      <c r="Y202" s="56" t="s">
        <v>33</v>
      </c>
      <c r="Z202" s="56">
        <v>6</v>
      </c>
      <c r="AA202" s="58">
        <f t="shared" si="214"/>
        <v>1</v>
      </c>
      <c r="AB202" s="58">
        <f t="shared" si="214"/>
        <v>0</v>
      </c>
      <c r="AC202" s="58">
        <f t="shared" si="214"/>
        <v>0</v>
      </c>
      <c r="AD202" s="58">
        <f t="shared" si="214"/>
        <v>0</v>
      </c>
      <c r="AE202" s="58">
        <f t="shared" si="214"/>
        <v>0</v>
      </c>
    </row>
    <row r="203" spans="2:34" s="60" customFormat="1">
      <c r="B203" s="60" t="str">
        <f t="shared" si="175"/>
        <v>Sem3838Christian Omar Tiney Davila</v>
      </c>
      <c r="C203" s="60" t="str">
        <f t="shared" si="176"/>
        <v>SEPTIEMBRESem38</v>
      </c>
      <c r="D203" s="60" t="str">
        <f t="shared" si="177"/>
        <v>SEPTIEMBRESem38Christian Omar Tiney Davila</v>
      </c>
      <c r="E203" s="60" t="str">
        <f t="shared" si="178"/>
        <v>SEPTIEMBRESem3838Christian Omar Tiney Davila</v>
      </c>
      <c r="F203" s="60" t="str">
        <f t="shared" si="179"/>
        <v>Christian Omar Tiney Davila46285</v>
      </c>
      <c r="H203" s="61" t="s">
        <v>216</v>
      </c>
      <c r="I203" s="62" t="str">
        <f>+_xlfn.XLOOKUP($H203&amp;$V203,BASEDATOS!$B:$B,BASEDATOS!F:F,0,0,1)</f>
        <v>DESCANSO</v>
      </c>
      <c r="J203" s="63">
        <f>+_xlfn.XLOOKUP($H203&amp;$V203,BASEDATOS!$B:$B,BASEDATOS!Q:Q,0,0,1)</f>
        <v>0</v>
      </c>
      <c r="K203" s="63">
        <f>+_xlfn.XLOOKUP($H203&amp;$V203,BASEDATOS!$B:$B,BASEDATOS!R:R,0,0,1)</f>
        <v>0</v>
      </c>
      <c r="L203" s="63">
        <f t="shared" si="180"/>
        <v>0</v>
      </c>
      <c r="M203" s="64">
        <f t="shared" si="181"/>
        <v>0</v>
      </c>
      <c r="N203" s="63">
        <f t="shared" si="182"/>
        <v>0</v>
      </c>
      <c r="O203" s="65" t="str">
        <f t="shared" ref="O203" si="236">+IF(Y203="Domingo",SUM(AA197:AA203)&amp;"-"&amp;SUM(AB197:AB203)&amp;"-"&amp;SUM(AC197:AE203),"")</f>
        <v>5-0-2</v>
      </c>
      <c r="P203" s="66">
        <f>+IF(AND(Y203="Domingo",U203=7),_xlfn.XLOOKUP(O203,'Horarios y Sistemas'!C:C,'Horarios y Sistemas'!H:H,0,0,1),0)</f>
        <v>44</v>
      </c>
      <c r="Q203" s="66">
        <f>IF(U203=U204,0,IF(AVERAGEIF(W:W,W203,U:U)=U203,0,_xlfn.XLOOKUP(O203,'Horarios y Sistemas'!C:C,'Horarios y Sistemas'!H:H,0,0,1)-P203))/7*U203</f>
        <v>0</v>
      </c>
      <c r="R203" s="66">
        <f t="shared" si="184"/>
        <v>44</v>
      </c>
      <c r="S203" s="67" t="str">
        <f t="shared" si="185"/>
        <v>SEPTIEMBRE</v>
      </c>
      <c r="T203" s="55" t="str">
        <f t="shared" si="186"/>
        <v>Sem38</v>
      </c>
      <c r="U203" s="68">
        <f t="shared" si="233"/>
        <v>7</v>
      </c>
      <c r="V203" s="69">
        <v>46285</v>
      </c>
      <c r="W203" s="68">
        <f t="shared" si="187"/>
        <v>38</v>
      </c>
      <c r="X203" s="68">
        <f t="shared" si="188"/>
        <v>20</v>
      </c>
      <c r="Y203" s="68" t="s">
        <v>34</v>
      </c>
      <c r="Z203" s="68">
        <v>7</v>
      </c>
      <c r="AA203" s="70">
        <f t="shared" si="214"/>
        <v>0</v>
      </c>
      <c r="AB203" s="70">
        <f t="shared" si="214"/>
        <v>0</v>
      </c>
      <c r="AC203" s="70">
        <f t="shared" si="214"/>
        <v>1</v>
      </c>
      <c r="AD203" s="70">
        <f t="shared" si="214"/>
        <v>0</v>
      </c>
      <c r="AE203" s="70">
        <f t="shared" si="214"/>
        <v>0</v>
      </c>
      <c r="AF203" s="71"/>
      <c r="AG203" s="71"/>
      <c r="AH203" s="71"/>
    </row>
    <row r="204" spans="2:34">
      <c r="B204" t="str">
        <f t="shared" si="175"/>
        <v>Sem3939Christian Omar Tiney Davila</v>
      </c>
      <c r="C204" t="str">
        <f t="shared" si="176"/>
        <v>SEPTIEMBRESem39</v>
      </c>
      <c r="D204" t="str">
        <f t="shared" si="177"/>
        <v>SEPTIEMBRESem39Christian Omar Tiney Davila</v>
      </c>
      <c r="E204" t="str">
        <f t="shared" si="178"/>
        <v>SEPTIEMBRESem3939Christian Omar Tiney Davila</v>
      </c>
      <c r="F204" t="str">
        <f t="shared" si="179"/>
        <v>Christian Omar Tiney Davila46286</v>
      </c>
      <c r="H204" s="49" t="s">
        <v>216</v>
      </c>
      <c r="I204" s="50" t="str">
        <f>+_xlfn.XLOOKUP($H204&amp;$V204,BASEDATOS!$B:$B,BASEDATOS!F:F,0,0,1)</f>
        <v>DIA</v>
      </c>
      <c r="J204" s="51">
        <f>+_xlfn.XLOOKUP($H204&amp;$V204,BASEDATOS!$B:$B,BASEDATOS!Q:Q,0,0,1)</f>
        <v>0.29166666666666702</v>
      </c>
      <c r="K204" s="51">
        <f>+_xlfn.XLOOKUP($H204&amp;$V204,BASEDATOS!$B:$B,BASEDATOS!R:R,0,0,1)</f>
        <v>0.66666666666666696</v>
      </c>
      <c r="L204" s="51">
        <f t="shared" si="180"/>
        <v>0.37499999999999994</v>
      </c>
      <c r="M204" s="52" t="str">
        <f t="shared" si="181"/>
        <v>1:00</v>
      </c>
      <c r="N204" s="51">
        <f t="shared" si="182"/>
        <v>0.33333333333333326</v>
      </c>
      <c r="O204" s="53" t="str">
        <f t="shared" ref="O204" si="237">+O210</f>
        <v>6-0-1</v>
      </c>
      <c r="P204" s="54">
        <f>+IF(AND(Y204="Domingo",U204=7),_xlfn.XLOOKUP(O204,'Horarios y Sistemas'!C:C,'Horarios y Sistemas'!H:H,0,0,1),0)</f>
        <v>0</v>
      </c>
      <c r="Q204" s="54">
        <f>IF(U204=U205,0,IF(AVERAGEIF(W:W,W204,U:U)=U204,0,_xlfn.XLOOKUP(O204,'Horarios y Sistemas'!C:C,'Horarios y Sistemas'!H:H,0,0,1)-P204))/7*U204</f>
        <v>0</v>
      </c>
      <c r="R204" s="54">
        <f t="shared" si="184"/>
        <v>0</v>
      </c>
      <c r="S204" s="55" t="str">
        <f t="shared" si="185"/>
        <v>SEPTIEMBRE</v>
      </c>
      <c r="T204" s="55" t="str">
        <f t="shared" si="186"/>
        <v>Sem39</v>
      </c>
      <c r="U204" s="56">
        <f t="shared" si="233"/>
        <v>7</v>
      </c>
      <c r="V204" s="59">
        <v>46286</v>
      </c>
      <c r="W204" s="56">
        <f t="shared" si="187"/>
        <v>39</v>
      </c>
      <c r="X204" s="56">
        <f t="shared" si="188"/>
        <v>21</v>
      </c>
      <c r="Y204" s="56" t="s">
        <v>28</v>
      </c>
      <c r="Z204" s="56">
        <v>1</v>
      </c>
      <c r="AA204" s="58">
        <f t="shared" si="214"/>
        <v>1</v>
      </c>
      <c r="AB204" s="58">
        <f t="shared" si="214"/>
        <v>0</v>
      </c>
      <c r="AC204" s="58">
        <f t="shared" si="214"/>
        <v>0</v>
      </c>
      <c r="AD204" s="58">
        <f t="shared" si="214"/>
        <v>0</v>
      </c>
      <c r="AE204" s="58">
        <f t="shared" si="214"/>
        <v>0</v>
      </c>
    </row>
    <row r="205" spans="2:34">
      <c r="B205" t="str">
        <f t="shared" si="175"/>
        <v>Sem3939Christian Omar Tiney Davila</v>
      </c>
      <c r="C205" t="str">
        <f t="shared" si="176"/>
        <v>SEPTIEMBRESem39</v>
      </c>
      <c r="D205" t="str">
        <f t="shared" si="177"/>
        <v>SEPTIEMBRESem39Christian Omar Tiney Davila</v>
      </c>
      <c r="E205" t="str">
        <f t="shared" si="178"/>
        <v>SEPTIEMBRESem3939Christian Omar Tiney Davila</v>
      </c>
      <c r="F205" t="str">
        <f t="shared" si="179"/>
        <v>Christian Omar Tiney Davila46287</v>
      </c>
      <c r="H205" s="49" t="s">
        <v>216</v>
      </c>
      <c r="I205" s="50" t="str">
        <f>+_xlfn.XLOOKUP($H205&amp;$V205,BASEDATOS!$B:$B,BASEDATOS!F:F,0,0,1)</f>
        <v>DIA</v>
      </c>
      <c r="J205" s="51">
        <f>+_xlfn.XLOOKUP($H205&amp;$V205,BASEDATOS!$B:$B,BASEDATOS!Q:Q,0,0,1)</f>
        <v>0.29166666666666702</v>
      </c>
      <c r="K205" s="51">
        <f>+_xlfn.XLOOKUP($H205&amp;$V205,BASEDATOS!$B:$B,BASEDATOS!R:R,0,0,1)</f>
        <v>0.66666666666666696</v>
      </c>
      <c r="L205" s="51">
        <f t="shared" si="180"/>
        <v>0.37499999999999994</v>
      </c>
      <c r="M205" s="52" t="str">
        <f t="shared" si="181"/>
        <v>1:00</v>
      </c>
      <c r="N205" s="51">
        <f t="shared" si="182"/>
        <v>0.33333333333333326</v>
      </c>
      <c r="O205" s="53" t="str">
        <f t="shared" ref="O205" si="238">+O210</f>
        <v>6-0-1</v>
      </c>
      <c r="P205" s="54">
        <f>+IF(AND(Y205="Domingo",U205=7),_xlfn.XLOOKUP(O205,'Horarios y Sistemas'!C:C,'Horarios y Sistemas'!H:H,0,0,1),0)</f>
        <v>0</v>
      </c>
      <c r="Q205" s="54">
        <f>IF(U205=U206,0,IF(AVERAGEIF(W:W,W205,U:U)=U205,0,_xlfn.XLOOKUP(O205,'Horarios y Sistemas'!C:C,'Horarios y Sistemas'!H:H,0,0,1)-P205))/7*U205</f>
        <v>0</v>
      </c>
      <c r="R205" s="54">
        <f t="shared" si="184"/>
        <v>0</v>
      </c>
      <c r="S205" s="55" t="str">
        <f t="shared" si="185"/>
        <v>SEPTIEMBRE</v>
      </c>
      <c r="T205" s="55" t="str">
        <f t="shared" si="186"/>
        <v>Sem39</v>
      </c>
      <c r="U205" s="56">
        <f t="shared" si="233"/>
        <v>7</v>
      </c>
      <c r="V205" s="59">
        <v>46287</v>
      </c>
      <c r="W205" s="56">
        <f t="shared" si="187"/>
        <v>39</v>
      </c>
      <c r="X205" s="56">
        <f t="shared" si="188"/>
        <v>22</v>
      </c>
      <c r="Y205" s="56" t="s">
        <v>29</v>
      </c>
      <c r="Z205" s="56">
        <v>2</v>
      </c>
      <c r="AA205" s="58">
        <f t="shared" si="214"/>
        <v>1</v>
      </c>
      <c r="AB205" s="58">
        <f t="shared" si="214"/>
        <v>0</v>
      </c>
      <c r="AC205" s="58">
        <f t="shared" si="214"/>
        <v>0</v>
      </c>
      <c r="AD205" s="58">
        <f t="shared" si="214"/>
        <v>0</v>
      </c>
      <c r="AE205" s="58">
        <f t="shared" si="214"/>
        <v>0</v>
      </c>
    </row>
    <row r="206" spans="2:34">
      <c r="B206" t="str">
        <f t="shared" si="175"/>
        <v>Sem3939Christian Omar Tiney Davila</v>
      </c>
      <c r="C206" t="str">
        <f t="shared" si="176"/>
        <v>SEPTIEMBRESem39</v>
      </c>
      <c r="D206" t="str">
        <f t="shared" si="177"/>
        <v>SEPTIEMBRESem39Christian Omar Tiney Davila</v>
      </c>
      <c r="E206" t="str">
        <f t="shared" si="178"/>
        <v>SEPTIEMBRESem3939Christian Omar Tiney Davila</v>
      </c>
      <c r="F206" t="str">
        <f t="shared" si="179"/>
        <v>Christian Omar Tiney Davila46288</v>
      </c>
      <c r="H206" s="49" t="s">
        <v>216</v>
      </c>
      <c r="I206" s="50" t="str">
        <f>+_xlfn.XLOOKUP($H206&amp;$V206,BASEDATOS!$B:$B,BASEDATOS!F:F,0,0,1)</f>
        <v>DIA</v>
      </c>
      <c r="J206" s="51">
        <f>+_xlfn.XLOOKUP($H206&amp;$V206,BASEDATOS!$B:$B,BASEDATOS!Q:Q,0,0,1)</f>
        <v>0.29166666666666702</v>
      </c>
      <c r="K206" s="51">
        <f>+_xlfn.XLOOKUP($H206&amp;$V206,BASEDATOS!$B:$B,BASEDATOS!R:R,0,0,1)</f>
        <v>0.66666666666666696</v>
      </c>
      <c r="L206" s="51">
        <f t="shared" si="180"/>
        <v>0.37499999999999994</v>
      </c>
      <c r="M206" s="52" t="str">
        <f t="shared" si="181"/>
        <v>1:00</v>
      </c>
      <c r="N206" s="51">
        <f t="shared" si="182"/>
        <v>0.33333333333333326</v>
      </c>
      <c r="O206" s="53" t="str">
        <f t="shared" ref="O206" si="239">+O210</f>
        <v>6-0-1</v>
      </c>
      <c r="P206" s="54">
        <f>+IF(AND(Y206="Domingo",U206=7),_xlfn.XLOOKUP(O206,'Horarios y Sistemas'!C:C,'Horarios y Sistemas'!H:H,0,0,1),0)</f>
        <v>0</v>
      </c>
      <c r="Q206" s="54">
        <f>IF(U206=U207,0,IF(AVERAGEIF(W:W,W206,U:U)=U206,0,_xlfn.XLOOKUP(O206,'Horarios y Sistemas'!C:C,'Horarios y Sistemas'!H:H,0,0,1)-P206))/7*U206</f>
        <v>0</v>
      </c>
      <c r="R206" s="54">
        <f t="shared" si="184"/>
        <v>0</v>
      </c>
      <c r="S206" s="55" t="str">
        <f t="shared" si="185"/>
        <v>SEPTIEMBRE</v>
      </c>
      <c r="T206" s="55" t="str">
        <f t="shared" si="186"/>
        <v>Sem39</v>
      </c>
      <c r="U206" s="56">
        <f t="shared" si="233"/>
        <v>7</v>
      </c>
      <c r="V206" s="59">
        <v>46288</v>
      </c>
      <c r="W206" s="56">
        <f t="shared" si="187"/>
        <v>39</v>
      </c>
      <c r="X206" s="56">
        <f t="shared" si="188"/>
        <v>23</v>
      </c>
      <c r="Y206" s="56" t="s">
        <v>30</v>
      </c>
      <c r="Z206" s="56">
        <v>3</v>
      </c>
      <c r="AA206" s="58">
        <f t="shared" si="214"/>
        <v>1</v>
      </c>
      <c r="AB206" s="58">
        <f t="shared" si="214"/>
        <v>0</v>
      </c>
      <c r="AC206" s="58">
        <f t="shared" si="214"/>
        <v>0</v>
      </c>
      <c r="AD206" s="58">
        <f t="shared" si="214"/>
        <v>0</v>
      </c>
      <c r="AE206" s="58">
        <f t="shared" si="214"/>
        <v>0</v>
      </c>
    </row>
    <row r="207" spans="2:34">
      <c r="B207" t="str">
        <f t="shared" si="175"/>
        <v>Sem3939Christian Omar Tiney Davila</v>
      </c>
      <c r="C207" t="str">
        <f t="shared" si="176"/>
        <v>SEPTIEMBRESem39</v>
      </c>
      <c r="D207" t="str">
        <f t="shared" si="177"/>
        <v>SEPTIEMBRESem39Christian Omar Tiney Davila</v>
      </c>
      <c r="E207" t="str">
        <f t="shared" si="178"/>
        <v>SEPTIEMBRESem3939Christian Omar Tiney Davila</v>
      </c>
      <c r="F207" t="str">
        <f t="shared" si="179"/>
        <v>Christian Omar Tiney Davila46289</v>
      </c>
      <c r="H207" s="49" t="s">
        <v>216</v>
      </c>
      <c r="I207" s="50" t="str">
        <f>+_xlfn.XLOOKUP($H207&amp;$V207,BASEDATOS!$B:$B,BASEDATOS!F:F,0,0,1)</f>
        <v>DIA</v>
      </c>
      <c r="J207" s="51">
        <f>+_xlfn.XLOOKUP($H207&amp;$V207,BASEDATOS!$B:$B,BASEDATOS!Q:Q,0,0,1)</f>
        <v>0.29166666666666702</v>
      </c>
      <c r="K207" s="51">
        <f>+_xlfn.XLOOKUP($H207&amp;$V207,BASEDATOS!$B:$B,BASEDATOS!R:R,0,0,1)</f>
        <v>0.66666666666666696</v>
      </c>
      <c r="L207" s="51">
        <f t="shared" si="180"/>
        <v>0.37499999999999994</v>
      </c>
      <c r="M207" s="52" t="str">
        <f t="shared" si="181"/>
        <v>1:00</v>
      </c>
      <c r="N207" s="51">
        <f t="shared" si="182"/>
        <v>0.33333333333333326</v>
      </c>
      <c r="O207" s="53" t="str">
        <f t="shared" ref="O207" si="240">+O210</f>
        <v>6-0-1</v>
      </c>
      <c r="P207" s="54">
        <f>+IF(AND(Y207="Domingo",U207=7),_xlfn.XLOOKUP(O207,'Horarios y Sistemas'!C:C,'Horarios y Sistemas'!H:H,0,0,1),0)</f>
        <v>0</v>
      </c>
      <c r="Q207" s="54">
        <f>IF(U207=U208,0,IF(AVERAGEIF(W:W,W207,U:U)=U207,0,_xlfn.XLOOKUP(O207,'Horarios y Sistemas'!C:C,'Horarios y Sistemas'!H:H,0,0,1)-P207))/7*U207</f>
        <v>0</v>
      </c>
      <c r="R207" s="54">
        <f t="shared" si="184"/>
        <v>0</v>
      </c>
      <c r="S207" s="55" t="str">
        <f t="shared" si="185"/>
        <v>SEPTIEMBRE</v>
      </c>
      <c r="T207" s="55" t="str">
        <f t="shared" si="186"/>
        <v>Sem39</v>
      </c>
      <c r="U207" s="56">
        <f t="shared" si="233"/>
        <v>7</v>
      </c>
      <c r="V207" s="59">
        <v>46289</v>
      </c>
      <c r="W207" s="56">
        <f t="shared" si="187"/>
        <v>39</v>
      </c>
      <c r="X207" s="56">
        <f t="shared" si="188"/>
        <v>24</v>
      </c>
      <c r="Y207" s="56" t="s">
        <v>31</v>
      </c>
      <c r="Z207" s="56">
        <v>4</v>
      </c>
      <c r="AA207" s="58">
        <f t="shared" si="214"/>
        <v>1</v>
      </c>
      <c r="AB207" s="58">
        <f t="shared" si="214"/>
        <v>0</v>
      </c>
      <c r="AC207" s="58">
        <f t="shared" si="214"/>
        <v>0</v>
      </c>
      <c r="AD207" s="58">
        <f t="shared" si="214"/>
        <v>0</v>
      </c>
      <c r="AE207" s="58">
        <f t="shared" si="214"/>
        <v>0</v>
      </c>
    </row>
    <row r="208" spans="2:34">
      <c r="B208" t="str">
        <f t="shared" si="175"/>
        <v>Sem3939Christian Omar Tiney Davila</v>
      </c>
      <c r="C208" t="str">
        <f t="shared" si="176"/>
        <v>SEPTIEMBRESem39</v>
      </c>
      <c r="D208" t="str">
        <f t="shared" si="177"/>
        <v>SEPTIEMBRESem39Christian Omar Tiney Davila</v>
      </c>
      <c r="E208" t="str">
        <f t="shared" si="178"/>
        <v>SEPTIEMBRESem3939Christian Omar Tiney Davila</v>
      </c>
      <c r="F208" t="str">
        <f t="shared" si="179"/>
        <v>Christian Omar Tiney Davila46290</v>
      </c>
      <c r="H208" s="49" t="s">
        <v>216</v>
      </c>
      <c r="I208" s="50" t="str">
        <f>+_xlfn.XLOOKUP($H208&amp;$V208,BASEDATOS!$B:$B,BASEDATOS!F:F,0,0,1)</f>
        <v>DIA</v>
      </c>
      <c r="J208" s="51">
        <f>+_xlfn.XLOOKUP($H208&amp;$V208,BASEDATOS!$B:$B,BASEDATOS!Q:Q,0,0,1)</f>
        <v>0.29166666666666702</v>
      </c>
      <c r="K208" s="51">
        <f>+_xlfn.XLOOKUP($H208&amp;$V208,BASEDATOS!$B:$B,BASEDATOS!R:R,0,0,1)</f>
        <v>0.66666666666666696</v>
      </c>
      <c r="L208" s="51">
        <f t="shared" si="180"/>
        <v>0.37499999999999994</v>
      </c>
      <c r="M208" s="52" t="str">
        <f t="shared" si="181"/>
        <v>1:00</v>
      </c>
      <c r="N208" s="51">
        <f t="shared" si="182"/>
        <v>0.33333333333333326</v>
      </c>
      <c r="O208" s="53" t="str">
        <f t="shared" ref="O208" si="241">+O210</f>
        <v>6-0-1</v>
      </c>
      <c r="P208" s="54">
        <f>+IF(AND(Y208="Domingo",U208=7),_xlfn.XLOOKUP(O208,'Horarios y Sistemas'!C:C,'Horarios y Sistemas'!H:H,0,0,1),0)</f>
        <v>0</v>
      </c>
      <c r="Q208" s="54">
        <f>IF(U208=U209,0,IF(AVERAGEIF(W:W,W208,U:U)=U208,0,_xlfn.XLOOKUP(O208,'Horarios y Sistemas'!C:C,'Horarios y Sistemas'!H:H,0,0,1)-P208))/7*U208</f>
        <v>0</v>
      </c>
      <c r="R208" s="54">
        <f t="shared" si="184"/>
        <v>0</v>
      </c>
      <c r="S208" s="55" t="str">
        <f t="shared" si="185"/>
        <v>SEPTIEMBRE</v>
      </c>
      <c r="T208" s="55" t="str">
        <f t="shared" si="186"/>
        <v>Sem39</v>
      </c>
      <c r="U208" s="56">
        <f t="shared" si="233"/>
        <v>7</v>
      </c>
      <c r="V208" s="59">
        <v>46290</v>
      </c>
      <c r="W208" s="56">
        <f t="shared" si="187"/>
        <v>39</v>
      </c>
      <c r="X208" s="56">
        <f t="shared" si="188"/>
        <v>25</v>
      </c>
      <c r="Y208" s="56" t="s">
        <v>32</v>
      </c>
      <c r="Z208" s="56">
        <v>5</v>
      </c>
      <c r="AA208" s="58">
        <f t="shared" si="214"/>
        <v>1</v>
      </c>
      <c r="AB208" s="58">
        <f t="shared" si="214"/>
        <v>0</v>
      </c>
      <c r="AC208" s="58">
        <f t="shared" si="214"/>
        <v>0</v>
      </c>
      <c r="AD208" s="58">
        <f t="shared" si="214"/>
        <v>0</v>
      </c>
      <c r="AE208" s="58">
        <f t="shared" si="214"/>
        <v>0</v>
      </c>
    </row>
    <row r="209" spans="2:34">
      <c r="B209" t="str">
        <f t="shared" si="175"/>
        <v>Sem3939Christian Omar Tiney Davila</v>
      </c>
      <c r="C209" t="str">
        <f t="shared" si="176"/>
        <v>SEPTIEMBRESem39</v>
      </c>
      <c r="D209" t="str">
        <f t="shared" si="177"/>
        <v>SEPTIEMBRESem39Christian Omar Tiney Davila</v>
      </c>
      <c r="E209" t="str">
        <f t="shared" si="178"/>
        <v>SEPTIEMBRESem3939Christian Omar Tiney Davila</v>
      </c>
      <c r="F209" t="str">
        <f t="shared" si="179"/>
        <v>Christian Omar Tiney Davila46291</v>
      </c>
      <c r="H209" s="49" t="s">
        <v>216</v>
      </c>
      <c r="I209" s="50" t="str">
        <f>+_xlfn.XLOOKUP($H209&amp;$V209,BASEDATOS!$B:$B,BASEDATOS!F:F,0,0,1)</f>
        <v>DIA</v>
      </c>
      <c r="J209" s="51">
        <f>+_xlfn.XLOOKUP($H209&amp;$V209,BASEDATOS!$B:$B,BASEDATOS!Q:Q,0,0,1)</f>
        <v>0.29166666666666702</v>
      </c>
      <c r="K209" s="51">
        <f>+_xlfn.XLOOKUP($H209&amp;$V209,BASEDATOS!$B:$B,BASEDATOS!R:R,0,0,1)</f>
        <v>0.45833333333333298</v>
      </c>
      <c r="L209" s="51">
        <f t="shared" si="180"/>
        <v>0.16666666666666596</v>
      </c>
      <c r="M209" s="52" t="str">
        <f t="shared" si="181"/>
        <v>1:00</v>
      </c>
      <c r="N209" s="51">
        <f t="shared" si="182"/>
        <v>0.12499999999999931</v>
      </c>
      <c r="O209" s="53" t="str">
        <f t="shared" ref="O209" si="242">+O210</f>
        <v>6-0-1</v>
      </c>
      <c r="P209" s="54">
        <f>+IF(AND(Y209="Domingo",U209=7),_xlfn.XLOOKUP(O209,'Horarios y Sistemas'!C:C,'Horarios y Sistemas'!H:H,0,0,1),0)</f>
        <v>0</v>
      </c>
      <c r="Q209" s="54">
        <f>IF(U209=U210,0,IF(AVERAGEIF(W:W,W209,U:U)=U209,0,_xlfn.XLOOKUP(O209,'Horarios y Sistemas'!C:C,'Horarios y Sistemas'!H:H,0,0,1)-P209))/7*U209</f>
        <v>0</v>
      </c>
      <c r="R209" s="54">
        <f t="shared" si="184"/>
        <v>0</v>
      </c>
      <c r="S209" s="55" t="str">
        <f t="shared" si="185"/>
        <v>SEPTIEMBRE</v>
      </c>
      <c r="T209" s="55" t="str">
        <f t="shared" si="186"/>
        <v>Sem39</v>
      </c>
      <c r="U209" s="56">
        <f t="shared" si="233"/>
        <v>7</v>
      </c>
      <c r="V209" s="59">
        <v>46291</v>
      </c>
      <c r="W209" s="56">
        <f t="shared" si="187"/>
        <v>39</v>
      </c>
      <c r="X209" s="56">
        <f t="shared" si="188"/>
        <v>26</v>
      </c>
      <c r="Y209" s="56" t="s">
        <v>33</v>
      </c>
      <c r="Z209" s="56">
        <v>6</v>
      </c>
      <c r="AA209" s="58">
        <f t="shared" si="214"/>
        <v>1</v>
      </c>
      <c r="AB209" s="58">
        <f t="shared" si="214"/>
        <v>0</v>
      </c>
      <c r="AC209" s="58">
        <f t="shared" si="214"/>
        <v>0</v>
      </c>
      <c r="AD209" s="58">
        <f t="shared" si="214"/>
        <v>0</v>
      </c>
      <c r="AE209" s="58">
        <f t="shared" si="214"/>
        <v>0</v>
      </c>
    </row>
    <row r="210" spans="2:34" s="60" customFormat="1">
      <c r="B210" s="60" t="str">
        <f t="shared" si="175"/>
        <v>Sem3939Christian Omar Tiney Davila</v>
      </c>
      <c r="C210" s="60" t="str">
        <f t="shared" si="176"/>
        <v>SEPTIEMBRESem39</v>
      </c>
      <c r="D210" s="60" t="str">
        <f t="shared" si="177"/>
        <v>SEPTIEMBRESem39Christian Omar Tiney Davila</v>
      </c>
      <c r="E210" s="60" t="str">
        <f t="shared" si="178"/>
        <v>SEPTIEMBRESem3939Christian Omar Tiney Davila</v>
      </c>
      <c r="F210" s="60" t="str">
        <f t="shared" si="179"/>
        <v>Christian Omar Tiney Davila46292</v>
      </c>
      <c r="H210" s="61" t="s">
        <v>216</v>
      </c>
      <c r="I210" s="62" t="str">
        <f>+_xlfn.XLOOKUP($H210&amp;$V210,BASEDATOS!$B:$B,BASEDATOS!F:F,0,0,1)</f>
        <v>DESCANSO</v>
      </c>
      <c r="J210" s="63">
        <f>+_xlfn.XLOOKUP($H210&amp;$V210,BASEDATOS!$B:$B,BASEDATOS!Q:Q,0,0,1)</f>
        <v>0</v>
      </c>
      <c r="K210" s="63">
        <f>+_xlfn.XLOOKUP($H210&amp;$V210,BASEDATOS!$B:$B,BASEDATOS!R:R,0,0,1)</f>
        <v>0</v>
      </c>
      <c r="L210" s="63">
        <f t="shared" si="180"/>
        <v>0</v>
      </c>
      <c r="M210" s="64">
        <f t="shared" si="181"/>
        <v>0</v>
      </c>
      <c r="N210" s="63">
        <f t="shared" si="182"/>
        <v>0</v>
      </c>
      <c r="O210" s="65" t="str">
        <f t="shared" ref="O210" si="243">+IF(Y210="Domingo",SUM(AA204:AA210)&amp;"-"&amp;SUM(AB204:AB210)&amp;"-"&amp;SUM(AC204:AE210),"")</f>
        <v>6-0-1</v>
      </c>
      <c r="P210" s="66">
        <f>+IF(AND(Y210="Domingo",U210=7),_xlfn.XLOOKUP(O210,'Horarios y Sistemas'!C:C,'Horarios y Sistemas'!H:H,0,0,1),0)</f>
        <v>44</v>
      </c>
      <c r="Q210" s="66">
        <f>IF(U210=U211,0,IF(AVERAGEIF(W:W,W210,U:U)=U210,0,_xlfn.XLOOKUP(O210,'Horarios y Sistemas'!C:C,'Horarios y Sistemas'!H:H,0,0,1)-P210))/7*U210</f>
        <v>0</v>
      </c>
      <c r="R210" s="66">
        <f t="shared" si="184"/>
        <v>44</v>
      </c>
      <c r="S210" s="67" t="str">
        <f t="shared" si="185"/>
        <v>SEPTIEMBRE</v>
      </c>
      <c r="T210" s="55" t="str">
        <f t="shared" si="186"/>
        <v>Sem39</v>
      </c>
      <c r="U210" s="68">
        <f t="shared" si="233"/>
        <v>7</v>
      </c>
      <c r="V210" s="69">
        <v>46292</v>
      </c>
      <c r="W210" s="68">
        <f t="shared" si="187"/>
        <v>39</v>
      </c>
      <c r="X210" s="68">
        <f t="shared" si="188"/>
        <v>27</v>
      </c>
      <c r="Y210" s="68" t="s">
        <v>34</v>
      </c>
      <c r="Z210" s="68">
        <v>7</v>
      </c>
      <c r="AA210" s="70">
        <f t="shared" si="214"/>
        <v>0</v>
      </c>
      <c r="AB210" s="70">
        <f t="shared" si="214"/>
        <v>0</v>
      </c>
      <c r="AC210" s="70">
        <f t="shared" si="214"/>
        <v>1</v>
      </c>
      <c r="AD210" s="70">
        <f t="shared" si="214"/>
        <v>0</v>
      </c>
      <c r="AE210" s="70">
        <f t="shared" si="214"/>
        <v>0</v>
      </c>
      <c r="AF210" s="71"/>
      <c r="AG210" s="71"/>
      <c r="AH210" s="71"/>
    </row>
    <row r="211" spans="2:34">
      <c r="B211" t="str">
        <f t="shared" si="175"/>
        <v>Sem4040Christian Omar Tiney Davila</v>
      </c>
      <c r="C211" t="str">
        <f t="shared" si="176"/>
        <v>SEPTIEMBRESem40</v>
      </c>
      <c r="D211" t="str">
        <f t="shared" si="177"/>
        <v>SEPTIEMBRESem40Christian Omar Tiney Davila</v>
      </c>
      <c r="E211" t="str">
        <f t="shared" si="178"/>
        <v>SEPTIEMBRESem4040Christian Omar Tiney Davila</v>
      </c>
      <c r="F211" t="str">
        <f t="shared" si="179"/>
        <v>Christian Omar Tiney Davila46293</v>
      </c>
      <c r="H211" s="49" t="s">
        <v>216</v>
      </c>
      <c r="I211" s="50" t="str">
        <f>+_xlfn.XLOOKUP($H211&amp;$V211,BASEDATOS!$B:$B,BASEDATOS!F:F,0,0,1)</f>
        <v>DIA</v>
      </c>
      <c r="J211" s="51">
        <f>+_xlfn.XLOOKUP($H211&amp;$V211,BASEDATOS!$B:$B,BASEDATOS!Q:Q,0,0,1)</f>
        <v>0.25</v>
      </c>
      <c r="K211" s="51">
        <f>+_xlfn.XLOOKUP($H211&amp;$V211,BASEDATOS!$B:$B,BASEDATOS!R:R,0,0,1)</f>
        <v>0.75</v>
      </c>
      <c r="L211" s="51">
        <f t="shared" si="180"/>
        <v>0.5</v>
      </c>
      <c r="M211" s="52" t="str">
        <f t="shared" si="181"/>
        <v>1:00</v>
      </c>
      <c r="N211" s="51">
        <f t="shared" si="182"/>
        <v>0.45833333333333331</v>
      </c>
      <c r="O211" s="53" t="str">
        <f t="shared" ref="O211" si="244">+O217</f>
        <v>6-0-1</v>
      </c>
      <c r="P211" s="54">
        <f>+IF(AND(Y211="Domingo",U211=7),_xlfn.XLOOKUP(O211,'Horarios y Sistemas'!C:C,'Horarios y Sistemas'!H:H,0,0,1),0)</f>
        <v>0</v>
      </c>
      <c r="Q211" s="54">
        <f>IF(U211=U212,0,IF(AVERAGEIF(W:W,W211,U:U)=U211,0,_xlfn.XLOOKUP(O211,'Horarios y Sistemas'!C:C,'Horarios y Sistemas'!H:H,0,0,1)-P211))/7*U211</f>
        <v>0</v>
      </c>
      <c r="R211" s="54">
        <f t="shared" si="184"/>
        <v>0</v>
      </c>
      <c r="S211" s="55" t="str">
        <f t="shared" si="185"/>
        <v>SEPTIEMBRE</v>
      </c>
      <c r="T211" s="55" t="str">
        <f t="shared" si="186"/>
        <v>Sem40</v>
      </c>
      <c r="U211" s="56">
        <f t="shared" si="233"/>
        <v>7</v>
      </c>
      <c r="V211" s="59">
        <v>46293</v>
      </c>
      <c r="W211" s="56">
        <f t="shared" si="187"/>
        <v>40</v>
      </c>
      <c r="X211" s="56">
        <f t="shared" si="188"/>
        <v>28</v>
      </c>
      <c r="Y211" s="56" t="s">
        <v>28</v>
      </c>
      <c r="Z211" s="56">
        <v>1</v>
      </c>
      <c r="AA211" s="58">
        <f t="shared" si="214"/>
        <v>1</v>
      </c>
      <c r="AB211" s="58">
        <f t="shared" si="214"/>
        <v>0</v>
      </c>
      <c r="AC211" s="58">
        <f t="shared" si="214"/>
        <v>0</v>
      </c>
      <c r="AD211" s="58">
        <f t="shared" si="214"/>
        <v>0</v>
      </c>
      <c r="AE211" s="58">
        <f t="shared" si="214"/>
        <v>0</v>
      </c>
    </row>
    <row r="212" spans="2:34">
      <c r="B212" t="str">
        <f t="shared" si="175"/>
        <v>Sem4040Christian Omar Tiney Davila</v>
      </c>
      <c r="C212" t="str">
        <f t="shared" si="176"/>
        <v>SEPTIEMBRESem40</v>
      </c>
      <c r="D212" t="str">
        <f t="shared" si="177"/>
        <v>SEPTIEMBRESem40Christian Omar Tiney Davila</v>
      </c>
      <c r="E212" t="str">
        <f t="shared" si="178"/>
        <v>SEPTIEMBRESem4040Christian Omar Tiney Davila</v>
      </c>
      <c r="F212" t="str">
        <f t="shared" si="179"/>
        <v>Christian Omar Tiney Davila46294</v>
      </c>
      <c r="H212" s="49" t="s">
        <v>216</v>
      </c>
      <c r="I212" s="50" t="str">
        <f>+_xlfn.XLOOKUP($H212&amp;$V212,BASEDATOS!$B:$B,BASEDATOS!F:F,0,0,1)</f>
        <v>DIA</v>
      </c>
      <c r="J212" s="51">
        <f>+_xlfn.XLOOKUP($H212&amp;$V212,BASEDATOS!$B:$B,BASEDATOS!Q:Q,0,0,1)</f>
        <v>0.25</v>
      </c>
      <c r="K212" s="51">
        <f>+_xlfn.XLOOKUP($H212&amp;$V212,BASEDATOS!$B:$B,BASEDATOS!R:R,0,0,1)</f>
        <v>0.75</v>
      </c>
      <c r="L212" s="51">
        <f t="shared" si="180"/>
        <v>0.5</v>
      </c>
      <c r="M212" s="52" t="str">
        <f t="shared" si="181"/>
        <v>1:00</v>
      </c>
      <c r="N212" s="51">
        <f t="shared" si="182"/>
        <v>0.45833333333333331</v>
      </c>
      <c r="O212" s="53" t="str">
        <f t="shared" ref="O212" si="245">+O217</f>
        <v>6-0-1</v>
      </c>
      <c r="P212" s="54">
        <f>+IF(AND(Y212="Domingo",U212=7),_xlfn.XLOOKUP(O212,'Horarios y Sistemas'!C:C,'Horarios y Sistemas'!H:H,0,0,1),0)</f>
        <v>0</v>
      </c>
      <c r="Q212" s="54">
        <f>IF(U212=U213,0,IF(AVERAGEIF(W:W,W212,U:U)=U212,0,_xlfn.XLOOKUP(O212,'Horarios y Sistemas'!C:C,'Horarios y Sistemas'!H:H,0,0,1)-P212))/7*U212</f>
        <v>0</v>
      </c>
      <c r="R212" s="54">
        <f t="shared" si="184"/>
        <v>0</v>
      </c>
      <c r="S212" s="55" t="str">
        <f t="shared" si="185"/>
        <v>SEPTIEMBRE</v>
      </c>
      <c r="T212" s="55" t="str">
        <f t="shared" si="186"/>
        <v>Sem40</v>
      </c>
      <c r="U212" s="56">
        <f t="shared" si="233"/>
        <v>7</v>
      </c>
      <c r="V212" s="59">
        <v>46294</v>
      </c>
      <c r="W212" s="56">
        <f t="shared" si="187"/>
        <v>40</v>
      </c>
      <c r="X212" s="56">
        <f t="shared" si="188"/>
        <v>29</v>
      </c>
      <c r="Y212" s="56" t="s">
        <v>29</v>
      </c>
      <c r="Z212" s="56">
        <v>2</v>
      </c>
      <c r="AA212" s="58">
        <f t="shared" si="214"/>
        <v>1</v>
      </c>
      <c r="AB212" s="58">
        <f t="shared" si="214"/>
        <v>0</v>
      </c>
      <c r="AC212" s="58">
        <f t="shared" si="214"/>
        <v>0</v>
      </c>
      <c r="AD212" s="58">
        <f t="shared" si="214"/>
        <v>0</v>
      </c>
      <c r="AE212" s="58">
        <f t="shared" si="214"/>
        <v>0</v>
      </c>
    </row>
    <row r="213" spans="2:34">
      <c r="B213" t="str">
        <f t="shared" si="175"/>
        <v>Sem4040Christian Omar Tiney Davila</v>
      </c>
      <c r="C213" t="str">
        <f t="shared" si="176"/>
        <v>SEPTIEMBRESem40</v>
      </c>
      <c r="D213" t="str">
        <f t="shared" si="177"/>
        <v>SEPTIEMBRESem40Christian Omar Tiney Davila</v>
      </c>
      <c r="E213" t="str">
        <f t="shared" si="178"/>
        <v>SEPTIEMBRESem4040Christian Omar Tiney Davila</v>
      </c>
      <c r="F213" t="str">
        <f t="shared" si="179"/>
        <v>Christian Omar Tiney Davila46295</v>
      </c>
      <c r="H213" s="49" t="s">
        <v>216</v>
      </c>
      <c r="I213" s="50" t="str">
        <f>+_xlfn.XLOOKUP($H213&amp;$V213,BASEDATOS!$B:$B,BASEDATOS!F:F,0,0,1)</f>
        <v>DIA</v>
      </c>
      <c r="J213" s="51">
        <f>+_xlfn.XLOOKUP($H213&amp;$V213,BASEDATOS!$B:$B,BASEDATOS!Q:Q,0,0,1)</f>
        <v>0.25</v>
      </c>
      <c r="K213" s="51">
        <f>+_xlfn.XLOOKUP($H213&amp;$V213,BASEDATOS!$B:$B,BASEDATOS!R:R,0,0,1)</f>
        <v>0.75</v>
      </c>
      <c r="L213" s="51">
        <f t="shared" si="180"/>
        <v>0.5</v>
      </c>
      <c r="M213" s="52" t="str">
        <f t="shared" si="181"/>
        <v>1:00</v>
      </c>
      <c r="N213" s="51">
        <f t="shared" si="182"/>
        <v>0.45833333333333331</v>
      </c>
      <c r="O213" s="53" t="str">
        <f t="shared" ref="O213" si="246">+O217</f>
        <v>6-0-1</v>
      </c>
      <c r="P213" s="54">
        <f>+IF(AND(Y213="Domingo",U213=7),_xlfn.XLOOKUP(O213,'Horarios y Sistemas'!C:C,'Horarios y Sistemas'!H:H,0,0,1),0)</f>
        <v>0</v>
      </c>
      <c r="Q213" s="54">
        <f>IF(U213=U214,0,IF(AVERAGEIF(W:W,W213,U:U)=U213,0,_xlfn.XLOOKUP(O213,'Horarios y Sistemas'!C:C,'Horarios y Sistemas'!H:H,0,0,1)-P213))/7*U213</f>
        <v>0</v>
      </c>
      <c r="R213" s="54">
        <f t="shared" si="184"/>
        <v>0</v>
      </c>
      <c r="S213" s="55" t="str">
        <f t="shared" si="185"/>
        <v>SEPTIEMBRE</v>
      </c>
      <c r="T213" s="55" t="str">
        <f t="shared" si="186"/>
        <v>Sem40</v>
      </c>
      <c r="U213" s="56">
        <f t="shared" si="233"/>
        <v>7</v>
      </c>
      <c r="V213" s="59">
        <v>46295</v>
      </c>
      <c r="W213" s="56">
        <f t="shared" si="187"/>
        <v>40</v>
      </c>
      <c r="X213" s="56">
        <f t="shared" si="188"/>
        <v>30</v>
      </c>
      <c r="Y213" s="56" t="s">
        <v>30</v>
      </c>
      <c r="Z213" s="56">
        <v>3</v>
      </c>
      <c r="AA213" s="58">
        <f t="shared" si="214"/>
        <v>1</v>
      </c>
      <c r="AB213" s="58">
        <f t="shared" si="214"/>
        <v>0</v>
      </c>
      <c r="AC213" s="58">
        <f t="shared" si="214"/>
        <v>0</v>
      </c>
      <c r="AD213" s="58">
        <f t="shared" si="214"/>
        <v>0</v>
      </c>
      <c r="AE213" s="58">
        <f t="shared" si="214"/>
        <v>0</v>
      </c>
    </row>
    <row r="214" spans="2:34">
      <c r="B214" t="str">
        <f t="shared" si="175"/>
        <v>Sem4040Christian Omar Tiney Davila</v>
      </c>
      <c r="C214" t="str">
        <f t="shared" si="176"/>
        <v>OCTUBRESem40</v>
      </c>
      <c r="D214" t="str">
        <f t="shared" si="177"/>
        <v>OCTUBRESem40Christian Omar Tiney Davila</v>
      </c>
      <c r="E214" t="str">
        <f t="shared" si="178"/>
        <v>OCTUBRESem4040Christian Omar Tiney Davila</v>
      </c>
      <c r="F214" t="str">
        <f t="shared" si="179"/>
        <v>Christian Omar Tiney Davila46296</v>
      </c>
      <c r="H214" s="49" t="s">
        <v>216</v>
      </c>
      <c r="I214" s="50" t="str">
        <f>+_xlfn.XLOOKUP($H214&amp;$V214,BASEDATOS!$B:$B,BASEDATOS!F:F,0,0,1)</f>
        <v>DIA</v>
      </c>
      <c r="J214" s="51">
        <f>+_xlfn.XLOOKUP($H214&amp;$V214,BASEDATOS!$B:$B,BASEDATOS!Q:Q,0,0,1)</f>
        <v>0.25</v>
      </c>
      <c r="K214" s="51">
        <f>+_xlfn.XLOOKUP($H214&amp;$V214,BASEDATOS!$B:$B,BASEDATOS!R:R,0,0,1)</f>
        <v>0.75</v>
      </c>
      <c r="L214" s="51">
        <f t="shared" si="180"/>
        <v>0.5</v>
      </c>
      <c r="M214" s="52" t="str">
        <f t="shared" si="181"/>
        <v>1:00</v>
      </c>
      <c r="N214" s="51">
        <f t="shared" si="182"/>
        <v>0.45833333333333331</v>
      </c>
      <c r="O214" s="53" t="str">
        <f t="shared" ref="O214" si="247">+O217</f>
        <v>6-0-1</v>
      </c>
      <c r="P214" s="54">
        <f>+IF(AND(Y214="Domingo",U214=7),_xlfn.XLOOKUP(O214,'Horarios y Sistemas'!C:C,'Horarios y Sistemas'!H:H,0,0,1),0)</f>
        <v>0</v>
      </c>
      <c r="Q214" s="54">
        <f>IF(U214=U215,0,IF(AVERAGEIF(W:W,W214,U:U)=U214,0,_xlfn.XLOOKUP(O214,'Horarios y Sistemas'!C:C,'Horarios y Sistemas'!H:H,0,0,1)-P214))/7*U214</f>
        <v>0</v>
      </c>
      <c r="R214" s="54">
        <f t="shared" si="184"/>
        <v>0</v>
      </c>
      <c r="S214" s="55" t="str">
        <f t="shared" si="185"/>
        <v>OCTUBRE</v>
      </c>
      <c r="T214" s="55" t="str">
        <f t="shared" si="186"/>
        <v>Sem40</v>
      </c>
      <c r="U214" s="56">
        <f t="shared" si="233"/>
        <v>7</v>
      </c>
      <c r="V214" s="59">
        <v>46296</v>
      </c>
      <c r="W214" s="56">
        <f t="shared" si="187"/>
        <v>40</v>
      </c>
      <c r="X214" s="56">
        <f t="shared" si="188"/>
        <v>1</v>
      </c>
      <c r="Y214" s="56" t="s">
        <v>31</v>
      </c>
      <c r="Z214" s="56">
        <v>4</v>
      </c>
      <c r="AA214" s="58">
        <f t="shared" si="214"/>
        <v>1</v>
      </c>
      <c r="AB214" s="58">
        <f t="shared" si="214"/>
        <v>0</v>
      </c>
      <c r="AC214" s="58">
        <f t="shared" si="214"/>
        <v>0</v>
      </c>
      <c r="AD214" s="58">
        <f t="shared" si="214"/>
        <v>0</v>
      </c>
      <c r="AE214" s="58">
        <f t="shared" si="214"/>
        <v>0</v>
      </c>
    </row>
    <row r="215" spans="2:34">
      <c r="B215" t="str">
        <f t="shared" si="175"/>
        <v>Sem4040Christian Omar Tiney Davila</v>
      </c>
      <c r="C215" t="str">
        <f t="shared" si="176"/>
        <v>OCTUBRESem40</v>
      </c>
      <c r="D215" t="str">
        <f t="shared" si="177"/>
        <v>OCTUBRESem40Christian Omar Tiney Davila</v>
      </c>
      <c r="E215" t="str">
        <f t="shared" si="178"/>
        <v>OCTUBRESem4040Christian Omar Tiney Davila</v>
      </c>
      <c r="F215" t="str">
        <f t="shared" si="179"/>
        <v>Christian Omar Tiney Davila46297</v>
      </c>
      <c r="H215" s="49" t="s">
        <v>216</v>
      </c>
      <c r="I215" s="50" t="str">
        <f>+_xlfn.XLOOKUP($H215&amp;$V215,BASEDATOS!$B:$B,BASEDATOS!F:F,0,0,1)</f>
        <v>DIA</v>
      </c>
      <c r="J215" s="51">
        <f>+_xlfn.XLOOKUP($H215&amp;$V215,BASEDATOS!$B:$B,BASEDATOS!Q:Q,0,0,1)</f>
        <v>0.25</v>
      </c>
      <c r="K215" s="51">
        <f>+_xlfn.XLOOKUP($H215&amp;$V215,BASEDATOS!$B:$B,BASEDATOS!R:R,0,0,1)</f>
        <v>0.75</v>
      </c>
      <c r="L215" s="51">
        <f t="shared" si="180"/>
        <v>0.5</v>
      </c>
      <c r="M215" s="52" t="str">
        <f t="shared" si="181"/>
        <v>1:00</v>
      </c>
      <c r="N215" s="51">
        <f t="shared" si="182"/>
        <v>0.45833333333333331</v>
      </c>
      <c r="O215" s="53" t="str">
        <f t="shared" ref="O215" si="248">+O217</f>
        <v>6-0-1</v>
      </c>
      <c r="P215" s="54">
        <f>+IF(AND(Y215="Domingo",U215=7),_xlfn.XLOOKUP(O215,'Horarios y Sistemas'!C:C,'Horarios y Sistemas'!H:H,0,0,1),0)</f>
        <v>0</v>
      </c>
      <c r="Q215" s="54">
        <f>IF(U215=U216,0,IF(AVERAGEIF(W:W,W215,U:U)=U215,0,_xlfn.XLOOKUP(O215,'Horarios y Sistemas'!C:C,'Horarios y Sistemas'!H:H,0,0,1)-P215))/7*U215</f>
        <v>0</v>
      </c>
      <c r="R215" s="54">
        <f t="shared" si="184"/>
        <v>0</v>
      </c>
      <c r="S215" s="55" t="str">
        <f t="shared" si="185"/>
        <v>OCTUBRE</v>
      </c>
      <c r="T215" s="55" t="str">
        <f t="shared" si="186"/>
        <v>Sem40</v>
      </c>
      <c r="U215" s="56">
        <f t="shared" si="233"/>
        <v>7</v>
      </c>
      <c r="V215" s="59">
        <v>46297</v>
      </c>
      <c r="W215" s="56">
        <f t="shared" si="187"/>
        <v>40</v>
      </c>
      <c r="X215" s="56">
        <f t="shared" si="188"/>
        <v>2</v>
      </c>
      <c r="Y215" s="56" t="s">
        <v>32</v>
      </c>
      <c r="Z215" s="56">
        <v>5</v>
      </c>
      <c r="AA215" s="58">
        <f t="shared" si="214"/>
        <v>1</v>
      </c>
      <c r="AB215" s="58">
        <f t="shared" si="214"/>
        <v>0</v>
      </c>
      <c r="AC215" s="58">
        <f t="shared" si="214"/>
        <v>0</v>
      </c>
      <c r="AD215" s="58">
        <f t="shared" si="214"/>
        <v>0</v>
      </c>
      <c r="AE215" s="58">
        <f t="shared" si="214"/>
        <v>0</v>
      </c>
    </row>
    <row r="216" spans="2:34">
      <c r="B216" t="str">
        <f t="shared" si="175"/>
        <v>Sem4040Christian Omar Tiney Davila</v>
      </c>
      <c r="C216" t="str">
        <f t="shared" si="176"/>
        <v>OCTUBRESem40</v>
      </c>
      <c r="D216" t="str">
        <f t="shared" si="177"/>
        <v>OCTUBRESem40Christian Omar Tiney Davila</v>
      </c>
      <c r="E216" t="str">
        <f t="shared" si="178"/>
        <v>OCTUBRESem4040Christian Omar Tiney Davila</v>
      </c>
      <c r="F216" t="str">
        <f t="shared" si="179"/>
        <v>Christian Omar Tiney Davila46298</v>
      </c>
      <c r="H216" s="49" t="s">
        <v>216</v>
      </c>
      <c r="I216" s="50" t="str">
        <f>+_xlfn.XLOOKUP($H216&amp;$V216,BASEDATOS!$B:$B,BASEDATOS!F:F,0,0,1)</f>
        <v>DIA</v>
      </c>
      <c r="J216" s="51">
        <f>+_xlfn.XLOOKUP($H216&amp;$V216,BASEDATOS!$B:$B,BASEDATOS!Q:Q,0,0,1)</f>
        <v>0.33333333333333298</v>
      </c>
      <c r="K216" s="51">
        <f>+_xlfn.XLOOKUP($H216&amp;$V216,BASEDATOS!$B:$B,BASEDATOS!R:R,0,0,1)</f>
        <v>0.70833333333333304</v>
      </c>
      <c r="L216" s="51">
        <f t="shared" si="180"/>
        <v>0.37500000000000006</v>
      </c>
      <c r="M216" s="52" t="str">
        <f t="shared" si="181"/>
        <v>1:00</v>
      </c>
      <c r="N216" s="51">
        <f t="shared" si="182"/>
        <v>0.33333333333333337</v>
      </c>
      <c r="O216" s="53" t="str">
        <f t="shared" ref="O216" si="249">+O217</f>
        <v>6-0-1</v>
      </c>
      <c r="P216" s="54">
        <f>+IF(AND(Y216="Domingo",U216=7),_xlfn.XLOOKUP(O216,'Horarios y Sistemas'!C:C,'Horarios y Sistemas'!H:H,0,0,1),0)</f>
        <v>0</v>
      </c>
      <c r="Q216" s="54">
        <f>IF(U216=U217,0,IF(AVERAGEIF(W:W,W216,U:U)=U216,0,_xlfn.XLOOKUP(O216,'Horarios y Sistemas'!C:C,'Horarios y Sistemas'!H:H,0,0,1)-P216))/7*U216</f>
        <v>0</v>
      </c>
      <c r="R216" s="54">
        <f t="shared" si="184"/>
        <v>0</v>
      </c>
      <c r="S216" s="55" t="str">
        <f t="shared" si="185"/>
        <v>OCTUBRE</v>
      </c>
      <c r="T216" s="55" t="str">
        <f t="shared" si="186"/>
        <v>Sem40</v>
      </c>
      <c r="U216" s="56">
        <f t="shared" si="233"/>
        <v>7</v>
      </c>
      <c r="V216" s="59">
        <v>46298</v>
      </c>
      <c r="W216" s="56">
        <f t="shared" si="187"/>
        <v>40</v>
      </c>
      <c r="X216" s="56">
        <f t="shared" si="188"/>
        <v>3</v>
      </c>
      <c r="Y216" s="56" t="s">
        <v>33</v>
      </c>
      <c r="Z216" s="56">
        <v>6</v>
      </c>
      <c r="AA216" s="58">
        <f t="shared" si="214"/>
        <v>1</v>
      </c>
      <c r="AB216" s="58">
        <f t="shared" si="214"/>
        <v>0</v>
      </c>
      <c r="AC216" s="58">
        <f t="shared" si="214"/>
        <v>0</v>
      </c>
      <c r="AD216" s="58">
        <f t="shared" si="214"/>
        <v>0</v>
      </c>
      <c r="AE216" s="58">
        <f t="shared" si="214"/>
        <v>0</v>
      </c>
    </row>
    <row r="217" spans="2:34" s="60" customFormat="1">
      <c r="B217" s="60" t="str">
        <f t="shared" si="175"/>
        <v>Sem4040Christian Omar Tiney Davila</v>
      </c>
      <c r="C217" s="60" t="str">
        <f t="shared" si="176"/>
        <v>OCTUBRESem40</v>
      </c>
      <c r="D217" s="60" t="str">
        <f t="shared" si="177"/>
        <v>OCTUBRESem40Christian Omar Tiney Davila</v>
      </c>
      <c r="E217" s="60" t="str">
        <f t="shared" si="178"/>
        <v>OCTUBRESem4040Christian Omar Tiney Davila</v>
      </c>
      <c r="F217" s="60" t="str">
        <f t="shared" si="179"/>
        <v>Christian Omar Tiney Davila46299</v>
      </c>
      <c r="H217" s="61" t="s">
        <v>216</v>
      </c>
      <c r="I217" s="62" t="str">
        <f>+_xlfn.XLOOKUP($H217&amp;$V217,BASEDATOS!$B:$B,BASEDATOS!F:F,0,0,1)</f>
        <v>DESCANSO</v>
      </c>
      <c r="J217" s="63">
        <f>+_xlfn.XLOOKUP($H217&amp;$V217,BASEDATOS!$B:$B,BASEDATOS!Q:Q,0,0,1)</f>
        <v>0</v>
      </c>
      <c r="K217" s="63">
        <f>+_xlfn.XLOOKUP($H217&amp;$V217,BASEDATOS!$B:$B,BASEDATOS!R:R,0,0,1)</f>
        <v>0</v>
      </c>
      <c r="L217" s="63">
        <f t="shared" si="180"/>
        <v>0</v>
      </c>
      <c r="M217" s="64">
        <f t="shared" si="181"/>
        <v>0</v>
      </c>
      <c r="N217" s="63">
        <f t="shared" si="182"/>
        <v>0</v>
      </c>
      <c r="O217" s="65" t="str">
        <f t="shared" ref="O217" si="250">+IF(Y217="Domingo",SUM(AA211:AA217)&amp;"-"&amp;SUM(AB211:AB217)&amp;"-"&amp;SUM(AC211:AE217),"")</f>
        <v>6-0-1</v>
      </c>
      <c r="P217" s="66">
        <f>+IF(AND(Y217="Domingo",U217=7),_xlfn.XLOOKUP(O217,'Horarios y Sistemas'!C:C,'Horarios y Sistemas'!H:H,0,0,1),0)</f>
        <v>44</v>
      </c>
      <c r="Q217" s="66">
        <f>IF(U217=U218,0,IF(AVERAGEIF(W:W,W217,U:U)=U217,0,_xlfn.XLOOKUP(O217,'Horarios y Sistemas'!C:C,'Horarios y Sistemas'!H:H,0,0,1)-P217))/7*U217</f>
        <v>0</v>
      </c>
      <c r="R217" s="66">
        <f t="shared" si="184"/>
        <v>44</v>
      </c>
      <c r="S217" s="67" t="str">
        <f t="shared" si="185"/>
        <v>OCTUBRE</v>
      </c>
      <c r="T217" s="55" t="str">
        <f t="shared" si="186"/>
        <v>Sem40</v>
      </c>
      <c r="U217" s="68">
        <f t="shared" si="233"/>
        <v>7</v>
      </c>
      <c r="V217" s="69">
        <v>46299</v>
      </c>
      <c r="W217" s="68">
        <f t="shared" si="187"/>
        <v>40</v>
      </c>
      <c r="X217" s="68">
        <f t="shared" si="188"/>
        <v>4</v>
      </c>
      <c r="Y217" s="68" t="s">
        <v>34</v>
      </c>
      <c r="Z217" s="68">
        <v>7</v>
      </c>
      <c r="AA217" s="70">
        <f t="shared" si="214"/>
        <v>0</v>
      </c>
      <c r="AB217" s="70">
        <f t="shared" si="214"/>
        <v>0</v>
      </c>
      <c r="AC217" s="70">
        <f t="shared" si="214"/>
        <v>1</v>
      </c>
      <c r="AD217" s="70">
        <f t="shared" si="214"/>
        <v>0</v>
      </c>
      <c r="AE217" s="70">
        <f t="shared" si="214"/>
        <v>0</v>
      </c>
      <c r="AF217" s="71"/>
      <c r="AG217" s="71"/>
      <c r="AH217" s="71"/>
    </row>
    <row r="218" spans="2:34">
      <c r="B218" t="str">
        <f t="shared" si="175"/>
        <v>Sem3838Cristian Arody Ordoñez Reyes</v>
      </c>
      <c r="C218" t="str">
        <f t="shared" si="176"/>
        <v>SEPTIEMBRESem38</v>
      </c>
      <c r="D218" t="str">
        <f t="shared" si="177"/>
        <v>SEPTIEMBRESem38Cristian Arody Ordoñez Reyes</v>
      </c>
      <c r="E218" t="str">
        <f t="shared" si="178"/>
        <v>SEPTIEMBRESem3838Cristian Arody Ordoñez Reyes</v>
      </c>
      <c r="F218" t="str">
        <f t="shared" si="179"/>
        <v>Cristian Arody Ordoñez Reyes46279</v>
      </c>
      <c r="H218" s="49" t="s">
        <v>253</v>
      </c>
      <c r="I218" s="50" t="str">
        <f>+_xlfn.XLOOKUP($H218&amp;$V218,BASEDATOS!$B:$B,BASEDATOS!F:F,0,0,1)</f>
        <v>DESCANSO</v>
      </c>
      <c r="J218" s="51">
        <f>+_xlfn.XLOOKUP($H218&amp;$V218,BASEDATOS!$B:$B,BASEDATOS!Q:Q,0,0,1)</f>
        <v>0</v>
      </c>
      <c r="K218" s="51">
        <f>+_xlfn.XLOOKUP($H218&amp;$V218,BASEDATOS!$B:$B,BASEDATOS!R:R,0,0,1)</f>
        <v>0</v>
      </c>
      <c r="L218" s="51">
        <f t="shared" si="180"/>
        <v>0</v>
      </c>
      <c r="M218" s="52">
        <f t="shared" si="181"/>
        <v>0</v>
      </c>
      <c r="N218" s="51">
        <f t="shared" si="182"/>
        <v>0</v>
      </c>
      <c r="O218" s="53" t="str">
        <f t="shared" ref="O218" si="251">+O224</f>
        <v>5-0-2</v>
      </c>
      <c r="P218" s="54">
        <f>+IF(AND(Y218="Domingo",U218=7),_xlfn.XLOOKUP(O218,'Horarios y Sistemas'!C:C,'Horarios y Sistemas'!H:H,0,0,1),0)</f>
        <v>0</v>
      </c>
      <c r="Q218" s="54">
        <f>IF(U218=U219,0,IF(AVERAGEIF(W:W,W218,U:U)=U218,0,_xlfn.XLOOKUP(O218,'Horarios y Sistemas'!C:C,'Horarios y Sistemas'!H:H,0,0,1)-P218))/7*U218</f>
        <v>0</v>
      </c>
      <c r="R218" s="54">
        <f t="shared" si="184"/>
        <v>0</v>
      </c>
      <c r="S218" s="55" t="str">
        <f t="shared" si="185"/>
        <v>SEPTIEMBRE</v>
      </c>
      <c r="T218" s="55" t="str">
        <f t="shared" si="186"/>
        <v>Sem38</v>
      </c>
      <c r="U218" s="56">
        <f t="shared" si="233"/>
        <v>7</v>
      </c>
      <c r="V218" s="57">
        <v>46279</v>
      </c>
      <c r="W218" s="56">
        <f t="shared" si="187"/>
        <v>38</v>
      </c>
      <c r="X218" s="56">
        <f t="shared" si="188"/>
        <v>14</v>
      </c>
      <c r="Y218" s="56" t="s">
        <v>28</v>
      </c>
      <c r="Z218" s="56">
        <v>1</v>
      </c>
      <c r="AA218" s="58">
        <f t="shared" si="214"/>
        <v>0</v>
      </c>
      <c r="AB218" s="58">
        <f t="shared" si="214"/>
        <v>0</v>
      </c>
      <c r="AC218" s="58">
        <f t="shared" si="214"/>
        <v>1</v>
      </c>
      <c r="AD218" s="58">
        <f t="shared" si="214"/>
        <v>0</v>
      </c>
      <c r="AE218" s="58">
        <f t="shared" si="214"/>
        <v>0</v>
      </c>
    </row>
    <row r="219" spans="2:34">
      <c r="B219" t="str">
        <f t="shared" si="175"/>
        <v>Sem3838Cristian Arody Ordoñez Reyes</v>
      </c>
      <c r="C219" t="str">
        <f t="shared" si="176"/>
        <v>SEPTIEMBRESem38</v>
      </c>
      <c r="D219" t="str">
        <f t="shared" si="177"/>
        <v>SEPTIEMBRESem38Cristian Arody Ordoñez Reyes</v>
      </c>
      <c r="E219" t="str">
        <f t="shared" si="178"/>
        <v>SEPTIEMBRESem3838Cristian Arody Ordoñez Reyes</v>
      </c>
      <c r="F219" t="str">
        <f t="shared" si="179"/>
        <v>Cristian Arody Ordoñez Reyes46280</v>
      </c>
      <c r="H219" s="49" t="s">
        <v>253</v>
      </c>
      <c r="I219" s="50" t="str">
        <f>+_xlfn.XLOOKUP($H219&amp;$V219,BASEDATOS!$B:$B,BASEDATOS!F:F,0,0,1)</f>
        <v>DIA</v>
      </c>
      <c r="J219" s="51">
        <f>+_xlfn.XLOOKUP($H219&amp;$V219,BASEDATOS!$B:$B,BASEDATOS!Q:Q,0,0,1)</f>
        <v>0.33333333333333298</v>
      </c>
      <c r="K219" s="51">
        <f>+_xlfn.XLOOKUP($H219&amp;$V219,BASEDATOS!$B:$B,BASEDATOS!R:R,0,0,1)</f>
        <v>0.70833333333333304</v>
      </c>
      <c r="L219" s="51">
        <f t="shared" si="180"/>
        <v>0.37500000000000006</v>
      </c>
      <c r="M219" s="52" t="str">
        <f t="shared" si="181"/>
        <v>1:00</v>
      </c>
      <c r="N219" s="51">
        <f t="shared" si="182"/>
        <v>0.33333333333333337</v>
      </c>
      <c r="O219" s="53" t="str">
        <f t="shared" ref="O219" si="252">+O224</f>
        <v>5-0-2</v>
      </c>
      <c r="P219" s="54">
        <f>+IF(AND(Y219="Domingo",U219=7),_xlfn.XLOOKUP(O219,'Horarios y Sistemas'!C:C,'Horarios y Sistemas'!H:H,0,0,1),0)</f>
        <v>0</v>
      </c>
      <c r="Q219" s="54">
        <f>IF(U219=U220,0,IF(AVERAGEIF(W:W,W219,U:U)=U219,0,_xlfn.XLOOKUP(O219,'Horarios y Sistemas'!C:C,'Horarios y Sistemas'!H:H,0,0,1)-P219))/7*U219</f>
        <v>0</v>
      </c>
      <c r="R219" s="54">
        <f t="shared" si="184"/>
        <v>0</v>
      </c>
      <c r="S219" s="55" t="str">
        <f t="shared" si="185"/>
        <v>SEPTIEMBRE</v>
      </c>
      <c r="T219" s="55" t="str">
        <f t="shared" si="186"/>
        <v>Sem38</v>
      </c>
      <c r="U219" s="56">
        <f t="shared" si="233"/>
        <v>7</v>
      </c>
      <c r="V219" s="59">
        <v>46280</v>
      </c>
      <c r="W219" s="56">
        <f t="shared" si="187"/>
        <v>38</v>
      </c>
      <c r="X219" s="56">
        <f t="shared" si="188"/>
        <v>15</v>
      </c>
      <c r="Y219" s="56" t="s">
        <v>29</v>
      </c>
      <c r="Z219" s="56">
        <v>2</v>
      </c>
      <c r="AA219" s="58">
        <f t="shared" si="214"/>
        <v>1</v>
      </c>
      <c r="AB219" s="58">
        <f t="shared" si="214"/>
        <v>0</v>
      </c>
      <c r="AC219" s="58">
        <f t="shared" si="214"/>
        <v>0</v>
      </c>
      <c r="AD219" s="58">
        <f t="shared" si="214"/>
        <v>0</v>
      </c>
      <c r="AE219" s="58">
        <f t="shared" si="214"/>
        <v>0</v>
      </c>
    </row>
    <row r="220" spans="2:34">
      <c r="B220" t="str">
        <f t="shared" si="175"/>
        <v>Sem3838Cristian Arody Ordoñez Reyes</v>
      </c>
      <c r="C220" t="str">
        <f t="shared" si="176"/>
        <v>SEPTIEMBRESem38</v>
      </c>
      <c r="D220" t="str">
        <f t="shared" si="177"/>
        <v>SEPTIEMBRESem38Cristian Arody Ordoñez Reyes</v>
      </c>
      <c r="E220" t="str">
        <f t="shared" si="178"/>
        <v>SEPTIEMBRESem3838Cristian Arody Ordoñez Reyes</v>
      </c>
      <c r="F220" t="str">
        <f t="shared" si="179"/>
        <v>Cristian Arody Ordoñez Reyes46281</v>
      </c>
      <c r="H220" s="49" t="s">
        <v>253</v>
      </c>
      <c r="I220" s="50" t="str">
        <f>+_xlfn.XLOOKUP($H220&amp;$V220,BASEDATOS!$B:$B,BASEDATOS!F:F,0,0,1)</f>
        <v>DIA</v>
      </c>
      <c r="J220" s="51">
        <f>+_xlfn.XLOOKUP($H220&amp;$V220,BASEDATOS!$B:$B,BASEDATOS!Q:Q,0,0,1)</f>
        <v>0.25</v>
      </c>
      <c r="K220" s="51">
        <f>+_xlfn.XLOOKUP($H220&amp;$V220,BASEDATOS!$B:$B,BASEDATOS!R:R,0,0,1)</f>
        <v>0.75</v>
      </c>
      <c r="L220" s="51">
        <f t="shared" si="180"/>
        <v>0.5</v>
      </c>
      <c r="M220" s="52" t="str">
        <f t="shared" si="181"/>
        <v>1:00</v>
      </c>
      <c r="N220" s="51">
        <f t="shared" si="182"/>
        <v>0.45833333333333331</v>
      </c>
      <c r="O220" s="53" t="str">
        <f t="shared" ref="O220" si="253">+O224</f>
        <v>5-0-2</v>
      </c>
      <c r="P220" s="54">
        <f>+IF(AND(Y220="Domingo",U220=7),_xlfn.XLOOKUP(O220,'Horarios y Sistemas'!C:C,'Horarios y Sistemas'!H:H,0,0,1),0)</f>
        <v>0</v>
      </c>
      <c r="Q220" s="54">
        <f>IF(U220=U221,0,IF(AVERAGEIF(W:W,W220,U:U)=U220,0,_xlfn.XLOOKUP(O220,'Horarios y Sistemas'!C:C,'Horarios y Sistemas'!H:H,0,0,1)-P220))/7*U220</f>
        <v>0</v>
      </c>
      <c r="R220" s="54">
        <f t="shared" si="184"/>
        <v>0</v>
      </c>
      <c r="S220" s="55" t="str">
        <f t="shared" si="185"/>
        <v>SEPTIEMBRE</v>
      </c>
      <c r="T220" s="55" t="str">
        <f t="shared" si="186"/>
        <v>Sem38</v>
      </c>
      <c r="U220" s="56">
        <f t="shared" si="233"/>
        <v>7</v>
      </c>
      <c r="V220" s="59">
        <v>46281</v>
      </c>
      <c r="W220" s="56">
        <f t="shared" si="187"/>
        <v>38</v>
      </c>
      <c r="X220" s="56">
        <f t="shared" si="188"/>
        <v>16</v>
      </c>
      <c r="Y220" s="56" t="s">
        <v>30</v>
      </c>
      <c r="Z220" s="56">
        <v>3</v>
      </c>
      <c r="AA220" s="58">
        <f t="shared" si="214"/>
        <v>1</v>
      </c>
      <c r="AB220" s="58">
        <f t="shared" si="214"/>
        <v>0</v>
      </c>
      <c r="AC220" s="58">
        <f t="shared" si="214"/>
        <v>0</v>
      </c>
      <c r="AD220" s="58">
        <f t="shared" si="214"/>
        <v>0</v>
      </c>
      <c r="AE220" s="58">
        <f t="shared" si="214"/>
        <v>0</v>
      </c>
    </row>
    <row r="221" spans="2:34">
      <c r="B221" t="str">
        <f t="shared" ref="B221:B284" si="254">+T221&amp;W221&amp;H221</f>
        <v>Sem3838Cristian Arody Ordoñez Reyes</v>
      </c>
      <c r="C221" t="str">
        <f t="shared" ref="C221:C284" si="255">+S221&amp;T221</f>
        <v>SEPTIEMBRESem38</v>
      </c>
      <c r="D221" t="str">
        <f t="shared" ref="D221:D284" si="256">+S221&amp;T221&amp;H221</f>
        <v>SEPTIEMBRESem38Cristian Arody Ordoñez Reyes</v>
      </c>
      <c r="E221" t="str">
        <f t="shared" ref="E221:E284" si="257">+S221&amp;T221&amp;W221&amp;H221</f>
        <v>SEPTIEMBRESem3838Cristian Arody Ordoñez Reyes</v>
      </c>
      <c r="F221" t="str">
        <f t="shared" ref="F221:F284" si="258">+H221&amp;V221</f>
        <v>Cristian Arody Ordoñez Reyes46282</v>
      </c>
      <c r="H221" s="49" t="s">
        <v>253</v>
      </c>
      <c r="I221" s="50" t="str">
        <f>+_xlfn.XLOOKUP($H221&amp;$V221,BASEDATOS!$B:$B,BASEDATOS!F:F,0,0,1)</f>
        <v>DIA</v>
      </c>
      <c r="J221" s="51">
        <f>+_xlfn.XLOOKUP($H221&amp;$V221,BASEDATOS!$B:$B,BASEDATOS!Q:Q,0,0,1)</f>
        <v>0.25</v>
      </c>
      <c r="K221" s="51">
        <f>+_xlfn.XLOOKUP($H221&amp;$V221,BASEDATOS!$B:$B,BASEDATOS!R:R,0,0,1)</f>
        <v>0.75</v>
      </c>
      <c r="L221" s="51">
        <f t="shared" ref="L221:L284" si="259">+IF(OR(J221="Descanso",J221="AUSENTE",J221="ASUETO"),0,MOD(K221-J221,1))</f>
        <v>0.5</v>
      </c>
      <c r="M221" s="52" t="str">
        <f t="shared" ref="M221:M284" si="260">+IF(OR(I221="DIA",I221="NOCHE",I221="MIXTO"),"1:00",0)</f>
        <v>1:00</v>
      </c>
      <c r="N221" s="51">
        <f t="shared" ref="N221:N284" si="261">+IF(I221="ASUETO-D",8/24,IF(I221="ASUETO-N",6/24,MOD(L221-M221,1)))</f>
        <v>0.45833333333333331</v>
      </c>
      <c r="O221" s="53" t="str">
        <f t="shared" ref="O221" si="262">+O224</f>
        <v>5-0-2</v>
      </c>
      <c r="P221" s="54">
        <f>+IF(AND(Y221="Domingo",U221=7),_xlfn.XLOOKUP(O221,'Horarios y Sistemas'!C:C,'Horarios y Sistemas'!H:H,0,0,1),0)</f>
        <v>0</v>
      </c>
      <c r="Q221" s="54">
        <f>IF(U221=U222,0,IF(AVERAGEIF(W:W,W221,U:U)=U221,0,_xlfn.XLOOKUP(O221,'Horarios y Sistemas'!C:C,'Horarios y Sistemas'!H:H,0,0,1)-P221))/7*U221</f>
        <v>0</v>
      </c>
      <c r="R221" s="54">
        <f t="shared" ref="R221:R284" si="263">+IF(Y221="Domingo",SUM(P215:Q221),0)</f>
        <v>0</v>
      </c>
      <c r="S221" s="55" t="str">
        <f t="shared" ref="S221:S284" si="264">+UPPER(TEXT(V221,"MMMMMMMM"))</f>
        <v>SEPTIEMBRE</v>
      </c>
      <c r="T221" s="55" t="str">
        <f t="shared" ref="T221:T284" si="265">+"Sem"&amp;W221</f>
        <v>Sem38</v>
      </c>
      <c r="U221" s="56">
        <f t="shared" si="233"/>
        <v>7</v>
      </c>
      <c r="V221" s="59">
        <v>46282</v>
      </c>
      <c r="W221" s="56">
        <f t="shared" ref="W221:W284" si="266">+_xlfn.ISOWEEKNUM(V221)</f>
        <v>38</v>
      </c>
      <c r="X221" s="56">
        <f t="shared" ref="X221:X284" si="267">+DAY(V221)</f>
        <v>17</v>
      </c>
      <c r="Y221" s="56" t="s">
        <v>31</v>
      </c>
      <c r="Z221" s="56">
        <v>4</v>
      </c>
      <c r="AA221" s="58">
        <f t="shared" si="214"/>
        <v>1</v>
      </c>
      <c r="AB221" s="58">
        <f t="shared" si="214"/>
        <v>0</v>
      </c>
      <c r="AC221" s="58">
        <f t="shared" si="214"/>
        <v>0</v>
      </c>
      <c r="AD221" s="58">
        <f t="shared" si="214"/>
        <v>0</v>
      </c>
      <c r="AE221" s="58">
        <f t="shared" si="214"/>
        <v>0</v>
      </c>
    </row>
    <row r="222" spans="2:34">
      <c r="B222" t="str">
        <f t="shared" si="254"/>
        <v>Sem3838Cristian Arody Ordoñez Reyes</v>
      </c>
      <c r="C222" t="str">
        <f t="shared" si="255"/>
        <v>SEPTIEMBRESem38</v>
      </c>
      <c r="D222" t="str">
        <f t="shared" si="256"/>
        <v>SEPTIEMBRESem38Cristian Arody Ordoñez Reyes</v>
      </c>
      <c r="E222" t="str">
        <f t="shared" si="257"/>
        <v>SEPTIEMBRESem3838Cristian Arody Ordoñez Reyes</v>
      </c>
      <c r="F222" t="str">
        <f t="shared" si="258"/>
        <v>Cristian Arody Ordoñez Reyes46283</v>
      </c>
      <c r="H222" s="49" t="s">
        <v>253</v>
      </c>
      <c r="I222" s="50" t="str">
        <f>+_xlfn.XLOOKUP($H222&amp;$V222,BASEDATOS!$B:$B,BASEDATOS!F:F,0,0,1)</f>
        <v>DIA</v>
      </c>
      <c r="J222" s="51">
        <f>+_xlfn.XLOOKUP($H222&amp;$V222,BASEDATOS!$B:$B,BASEDATOS!Q:Q,0,0,1)</f>
        <v>0.25</v>
      </c>
      <c r="K222" s="51">
        <f>+_xlfn.XLOOKUP($H222&amp;$V222,BASEDATOS!$B:$B,BASEDATOS!R:R,0,0,1)</f>
        <v>0.75</v>
      </c>
      <c r="L222" s="51">
        <f t="shared" si="259"/>
        <v>0.5</v>
      </c>
      <c r="M222" s="52" t="str">
        <f t="shared" si="260"/>
        <v>1:00</v>
      </c>
      <c r="N222" s="51">
        <f t="shared" si="261"/>
        <v>0.45833333333333331</v>
      </c>
      <c r="O222" s="53" t="str">
        <f t="shared" ref="O222" si="268">+O224</f>
        <v>5-0-2</v>
      </c>
      <c r="P222" s="54">
        <f>+IF(AND(Y222="Domingo",U222=7),_xlfn.XLOOKUP(O222,'Horarios y Sistemas'!C:C,'Horarios y Sistemas'!H:H,0,0,1),0)</f>
        <v>0</v>
      </c>
      <c r="Q222" s="54">
        <f>IF(U222=U223,0,IF(AVERAGEIF(W:W,W222,U:U)=U222,0,_xlfn.XLOOKUP(O222,'Horarios y Sistemas'!C:C,'Horarios y Sistemas'!H:H,0,0,1)-P222))/7*U222</f>
        <v>0</v>
      </c>
      <c r="R222" s="54">
        <f t="shared" si="263"/>
        <v>0</v>
      </c>
      <c r="S222" s="55" t="str">
        <f t="shared" si="264"/>
        <v>SEPTIEMBRE</v>
      </c>
      <c r="T222" s="55" t="str">
        <f t="shared" si="265"/>
        <v>Sem38</v>
      </c>
      <c r="U222" s="56">
        <f t="shared" si="233"/>
        <v>7</v>
      </c>
      <c r="V222" s="59">
        <v>46283</v>
      </c>
      <c r="W222" s="56">
        <f t="shared" si="266"/>
        <v>38</v>
      </c>
      <c r="X222" s="56">
        <f t="shared" si="267"/>
        <v>18</v>
      </c>
      <c r="Y222" s="56" t="s">
        <v>32</v>
      </c>
      <c r="Z222" s="56">
        <v>5</v>
      </c>
      <c r="AA222" s="58">
        <f t="shared" si="214"/>
        <v>1</v>
      </c>
      <c r="AB222" s="58">
        <f t="shared" si="214"/>
        <v>0</v>
      </c>
      <c r="AC222" s="58">
        <f t="shared" si="214"/>
        <v>0</v>
      </c>
      <c r="AD222" s="58">
        <f t="shared" si="214"/>
        <v>0</v>
      </c>
      <c r="AE222" s="58">
        <f t="shared" si="214"/>
        <v>0</v>
      </c>
    </row>
    <row r="223" spans="2:34">
      <c r="B223" t="str">
        <f t="shared" si="254"/>
        <v>Sem3838Cristian Arody Ordoñez Reyes</v>
      </c>
      <c r="C223" t="str">
        <f t="shared" si="255"/>
        <v>SEPTIEMBRESem38</v>
      </c>
      <c r="D223" t="str">
        <f t="shared" si="256"/>
        <v>SEPTIEMBRESem38Cristian Arody Ordoñez Reyes</v>
      </c>
      <c r="E223" t="str">
        <f t="shared" si="257"/>
        <v>SEPTIEMBRESem3838Cristian Arody Ordoñez Reyes</v>
      </c>
      <c r="F223" t="str">
        <f t="shared" si="258"/>
        <v>Cristian Arody Ordoñez Reyes46284</v>
      </c>
      <c r="H223" s="49" t="s">
        <v>253</v>
      </c>
      <c r="I223" s="50" t="str">
        <f>+_xlfn.XLOOKUP($H223&amp;$V223,BASEDATOS!$B:$B,BASEDATOS!F:F,0,0,1)</f>
        <v>DIA</v>
      </c>
      <c r="J223" s="51">
        <f>+_xlfn.XLOOKUP($H223&amp;$V223,BASEDATOS!$B:$B,BASEDATOS!Q:Q,0,0,1)</f>
        <v>0.25</v>
      </c>
      <c r="K223" s="51">
        <f>+_xlfn.XLOOKUP($H223&amp;$V223,BASEDATOS!$B:$B,BASEDATOS!R:R,0,0,1)</f>
        <v>0.58333333333333304</v>
      </c>
      <c r="L223" s="51">
        <f t="shared" si="259"/>
        <v>0.33333333333333304</v>
      </c>
      <c r="M223" s="52" t="str">
        <f t="shared" si="260"/>
        <v>1:00</v>
      </c>
      <c r="N223" s="51">
        <f t="shared" si="261"/>
        <v>0.29166666666666635</v>
      </c>
      <c r="O223" s="53" t="str">
        <f t="shared" ref="O223" si="269">+O224</f>
        <v>5-0-2</v>
      </c>
      <c r="P223" s="54">
        <f>+IF(AND(Y223="Domingo",U223=7),_xlfn.XLOOKUP(O223,'Horarios y Sistemas'!C:C,'Horarios y Sistemas'!H:H,0,0,1),0)</f>
        <v>0</v>
      </c>
      <c r="Q223" s="54">
        <f>IF(U223=U224,0,IF(AVERAGEIF(W:W,W223,U:U)=U223,0,_xlfn.XLOOKUP(O223,'Horarios y Sistemas'!C:C,'Horarios y Sistemas'!H:H,0,0,1)-P223))/7*U223</f>
        <v>0</v>
      </c>
      <c r="R223" s="54">
        <f t="shared" si="263"/>
        <v>0</v>
      </c>
      <c r="S223" s="55" t="str">
        <f t="shared" si="264"/>
        <v>SEPTIEMBRE</v>
      </c>
      <c r="T223" s="55" t="str">
        <f t="shared" si="265"/>
        <v>Sem38</v>
      </c>
      <c r="U223" s="56">
        <f t="shared" si="233"/>
        <v>7</v>
      </c>
      <c r="V223" s="59">
        <v>46284</v>
      </c>
      <c r="W223" s="56">
        <f t="shared" si="266"/>
        <v>38</v>
      </c>
      <c r="X223" s="56">
        <f t="shared" si="267"/>
        <v>19</v>
      </c>
      <c r="Y223" s="56" t="s">
        <v>33</v>
      </c>
      <c r="Z223" s="56">
        <v>6</v>
      </c>
      <c r="AA223" s="58">
        <f t="shared" si="214"/>
        <v>1</v>
      </c>
      <c r="AB223" s="58">
        <f t="shared" si="214"/>
        <v>0</v>
      </c>
      <c r="AC223" s="58">
        <f t="shared" si="214"/>
        <v>0</v>
      </c>
      <c r="AD223" s="58">
        <f t="shared" si="214"/>
        <v>0</v>
      </c>
      <c r="AE223" s="58">
        <f t="shared" si="214"/>
        <v>0</v>
      </c>
    </row>
    <row r="224" spans="2:34" s="60" customFormat="1">
      <c r="B224" s="60" t="str">
        <f t="shared" si="254"/>
        <v>Sem3838Cristian Arody Ordoñez Reyes</v>
      </c>
      <c r="C224" s="60" t="str">
        <f t="shared" si="255"/>
        <v>SEPTIEMBRESem38</v>
      </c>
      <c r="D224" s="60" t="str">
        <f t="shared" si="256"/>
        <v>SEPTIEMBRESem38Cristian Arody Ordoñez Reyes</v>
      </c>
      <c r="E224" s="60" t="str">
        <f t="shared" si="257"/>
        <v>SEPTIEMBRESem3838Cristian Arody Ordoñez Reyes</v>
      </c>
      <c r="F224" s="60" t="str">
        <f t="shared" si="258"/>
        <v>Cristian Arody Ordoñez Reyes46285</v>
      </c>
      <c r="H224" s="61" t="s">
        <v>253</v>
      </c>
      <c r="I224" s="62" t="str">
        <f>+_xlfn.XLOOKUP($H224&amp;$V224,BASEDATOS!$B:$B,BASEDATOS!F:F,0,0,1)</f>
        <v>DESCANSO</v>
      </c>
      <c r="J224" s="63">
        <f>+_xlfn.XLOOKUP($H224&amp;$V224,BASEDATOS!$B:$B,BASEDATOS!Q:Q,0,0,1)</f>
        <v>0</v>
      </c>
      <c r="K224" s="63">
        <f>+_xlfn.XLOOKUP($H224&amp;$V224,BASEDATOS!$B:$B,BASEDATOS!R:R,0,0,1)</f>
        <v>0</v>
      </c>
      <c r="L224" s="63">
        <f t="shared" si="259"/>
        <v>0</v>
      </c>
      <c r="M224" s="64">
        <f t="shared" si="260"/>
        <v>0</v>
      </c>
      <c r="N224" s="63">
        <f t="shared" si="261"/>
        <v>0</v>
      </c>
      <c r="O224" s="65" t="str">
        <f t="shared" ref="O224" si="270">+IF(Y224="Domingo",SUM(AA218:AA224)&amp;"-"&amp;SUM(AB218:AB224)&amp;"-"&amp;SUM(AC218:AE224),"")</f>
        <v>5-0-2</v>
      </c>
      <c r="P224" s="66">
        <f>+IF(AND(Y224="Domingo",U224=7),_xlfn.XLOOKUP(O224,'Horarios y Sistemas'!C:C,'Horarios y Sistemas'!H:H,0,0,1),0)</f>
        <v>44</v>
      </c>
      <c r="Q224" s="66">
        <f>IF(U224=U225,0,IF(AVERAGEIF(W:W,W224,U:U)=U224,0,_xlfn.XLOOKUP(O224,'Horarios y Sistemas'!C:C,'Horarios y Sistemas'!H:H,0,0,1)-P224))/7*U224</f>
        <v>0</v>
      </c>
      <c r="R224" s="66">
        <f t="shared" si="263"/>
        <v>44</v>
      </c>
      <c r="S224" s="67" t="str">
        <f t="shared" si="264"/>
        <v>SEPTIEMBRE</v>
      </c>
      <c r="T224" s="55" t="str">
        <f t="shared" si="265"/>
        <v>Sem38</v>
      </c>
      <c r="U224" s="68">
        <f t="shared" si="233"/>
        <v>7</v>
      </c>
      <c r="V224" s="69">
        <v>46285</v>
      </c>
      <c r="W224" s="68">
        <f t="shared" si="266"/>
        <v>38</v>
      </c>
      <c r="X224" s="68">
        <f t="shared" si="267"/>
        <v>20</v>
      </c>
      <c r="Y224" s="68" t="s">
        <v>34</v>
      </c>
      <c r="Z224" s="68">
        <v>7</v>
      </c>
      <c r="AA224" s="70">
        <f t="shared" si="214"/>
        <v>0</v>
      </c>
      <c r="AB224" s="70">
        <f t="shared" si="214"/>
        <v>0</v>
      </c>
      <c r="AC224" s="70">
        <f t="shared" si="214"/>
        <v>1</v>
      </c>
      <c r="AD224" s="70">
        <f t="shared" si="214"/>
        <v>0</v>
      </c>
      <c r="AE224" s="70">
        <f t="shared" si="214"/>
        <v>0</v>
      </c>
      <c r="AF224" s="71"/>
      <c r="AG224" s="71"/>
      <c r="AH224" s="71"/>
    </row>
    <row r="225" spans="2:34">
      <c r="B225" t="str">
        <f t="shared" si="254"/>
        <v>Sem3939Cristian Arody Ordoñez Reyes</v>
      </c>
      <c r="C225" t="str">
        <f t="shared" si="255"/>
        <v>SEPTIEMBRESem39</v>
      </c>
      <c r="D225" t="str">
        <f t="shared" si="256"/>
        <v>SEPTIEMBRESem39Cristian Arody Ordoñez Reyes</v>
      </c>
      <c r="E225" t="str">
        <f t="shared" si="257"/>
        <v>SEPTIEMBRESem3939Cristian Arody Ordoñez Reyes</v>
      </c>
      <c r="F225" t="str">
        <f t="shared" si="258"/>
        <v>Cristian Arody Ordoñez Reyes46286</v>
      </c>
      <c r="H225" s="49" t="s">
        <v>253</v>
      </c>
      <c r="I225" s="50" t="str">
        <f>+_xlfn.XLOOKUP($H225&amp;$V225,BASEDATOS!$B:$B,BASEDATOS!F:F,0,0,1)</f>
        <v>NOCHE</v>
      </c>
      <c r="J225" s="51">
        <f>+_xlfn.XLOOKUP($H225&amp;$V225,BASEDATOS!$B:$B,BASEDATOS!Q:Q,0,0,1)</f>
        <v>0.75</v>
      </c>
      <c r="K225" s="51">
        <f>+_xlfn.XLOOKUP($H225&amp;$V225,BASEDATOS!$B:$B,BASEDATOS!R:R,0,0,1)</f>
        <v>0.25</v>
      </c>
      <c r="L225" s="51">
        <f t="shared" si="259"/>
        <v>0.5</v>
      </c>
      <c r="M225" s="52" t="str">
        <f t="shared" si="260"/>
        <v>1:00</v>
      </c>
      <c r="N225" s="51">
        <f t="shared" si="261"/>
        <v>0.45833333333333331</v>
      </c>
      <c r="O225" s="53" t="str">
        <f t="shared" ref="O225" si="271">+O231</f>
        <v>0-5-2</v>
      </c>
      <c r="P225" s="54">
        <f>+IF(AND(Y225="Domingo",U225=7),_xlfn.XLOOKUP(O225,'Horarios y Sistemas'!C:C,'Horarios y Sistemas'!H:H,0,0,1),0)</f>
        <v>0</v>
      </c>
      <c r="Q225" s="54">
        <f>IF(U225=U226,0,IF(AVERAGEIF(W:W,W225,U:U)=U225,0,_xlfn.XLOOKUP(O225,'Horarios y Sistemas'!C:C,'Horarios y Sistemas'!H:H,0,0,1)-P225))/7*U225</f>
        <v>0</v>
      </c>
      <c r="R225" s="54">
        <f t="shared" si="263"/>
        <v>0</v>
      </c>
      <c r="S225" s="55" t="str">
        <f t="shared" si="264"/>
        <v>SEPTIEMBRE</v>
      </c>
      <c r="T225" s="55" t="str">
        <f t="shared" si="265"/>
        <v>Sem39</v>
      </c>
      <c r="U225" s="56">
        <f t="shared" si="233"/>
        <v>7</v>
      </c>
      <c r="V225" s="59">
        <v>46286</v>
      </c>
      <c r="W225" s="56">
        <f t="shared" si="266"/>
        <v>39</v>
      </c>
      <c r="X225" s="56">
        <f t="shared" si="267"/>
        <v>21</v>
      </c>
      <c r="Y225" s="56" t="s">
        <v>28</v>
      </c>
      <c r="Z225" s="56">
        <v>1</v>
      </c>
      <c r="AA225" s="58">
        <f t="shared" si="214"/>
        <v>0</v>
      </c>
      <c r="AB225" s="58">
        <f t="shared" si="214"/>
        <v>1</v>
      </c>
      <c r="AC225" s="58">
        <f t="shared" si="214"/>
        <v>0</v>
      </c>
      <c r="AD225" s="58">
        <f t="shared" si="214"/>
        <v>0</v>
      </c>
      <c r="AE225" s="58">
        <f t="shared" si="214"/>
        <v>0</v>
      </c>
    </row>
    <row r="226" spans="2:34">
      <c r="B226" t="str">
        <f t="shared" si="254"/>
        <v>Sem3939Cristian Arody Ordoñez Reyes</v>
      </c>
      <c r="C226" t="str">
        <f t="shared" si="255"/>
        <v>SEPTIEMBRESem39</v>
      </c>
      <c r="D226" t="str">
        <f t="shared" si="256"/>
        <v>SEPTIEMBRESem39Cristian Arody Ordoñez Reyes</v>
      </c>
      <c r="E226" t="str">
        <f t="shared" si="257"/>
        <v>SEPTIEMBRESem3939Cristian Arody Ordoñez Reyes</v>
      </c>
      <c r="F226" t="str">
        <f t="shared" si="258"/>
        <v>Cristian Arody Ordoñez Reyes46287</v>
      </c>
      <c r="H226" s="49" t="s">
        <v>253</v>
      </c>
      <c r="I226" s="50" t="str">
        <f>+_xlfn.XLOOKUP($H226&amp;$V226,BASEDATOS!$B:$B,BASEDATOS!F:F,0,0,1)</f>
        <v>NOCHE</v>
      </c>
      <c r="J226" s="51">
        <f>+_xlfn.XLOOKUP($H226&amp;$V226,BASEDATOS!$B:$B,BASEDATOS!Q:Q,0,0,1)</f>
        <v>0.75</v>
      </c>
      <c r="K226" s="51">
        <f>+_xlfn.XLOOKUP($H226&amp;$V226,BASEDATOS!$B:$B,BASEDATOS!R:R,0,0,1)</f>
        <v>0.25</v>
      </c>
      <c r="L226" s="51">
        <f t="shared" si="259"/>
        <v>0.5</v>
      </c>
      <c r="M226" s="52" t="str">
        <f t="shared" si="260"/>
        <v>1:00</v>
      </c>
      <c r="N226" s="51">
        <f t="shared" si="261"/>
        <v>0.45833333333333331</v>
      </c>
      <c r="O226" s="53" t="str">
        <f t="shared" ref="O226" si="272">+O231</f>
        <v>0-5-2</v>
      </c>
      <c r="P226" s="54">
        <f>+IF(AND(Y226="Domingo",U226=7),_xlfn.XLOOKUP(O226,'Horarios y Sistemas'!C:C,'Horarios y Sistemas'!H:H,0,0,1),0)</f>
        <v>0</v>
      </c>
      <c r="Q226" s="54">
        <f>IF(U226=U227,0,IF(AVERAGEIF(W:W,W226,U:U)=U226,0,_xlfn.XLOOKUP(O226,'Horarios y Sistemas'!C:C,'Horarios y Sistemas'!H:H,0,0,1)-P226))/7*U226</f>
        <v>0</v>
      </c>
      <c r="R226" s="54">
        <f t="shared" si="263"/>
        <v>0</v>
      </c>
      <c r="S226" s="55" t="str">
        <f t="shared" si="264"/>
        <v>SEPTIEMBRE</v>
      </c>
      <c r="T226" s="55" t="str">
        <f t="shared" si="265"/>
        <v>Sem39</v>
      </c>
      <c r="U226" s="56">
        <f t="shared" si="233"/>
        <v>7</v>
      </c>
      <c r="V226" s="59">
        <v>46287</v>
      </c>
      <c r="W226" s="56">
        <f t="shared" si="266"/>
        <v>39</v>
      </c>
      <c r="X226" s="56">
        <f t="shared" si="267"/>
        <v>22</v>
      </c>
      <c r="Y226" s="56" t="s">
        <v>29</v>
      </c>
      <c r="Z226" s="56">
        <v>2</v>
      </c>
      <c r="AA226" s="58">
        <f t="shared" si="214"/>
        <v>0</v>
      </c>
      <c r="AB226" s="58">
        <f t="shared" si="214"/>
        <v>1</v>
      </c>
      <c r="AC226" s="58">
        <f t="shared" si="214"/>
        <v>0</v>
      </c>
      <c r="AD226" s="58">
        <f t="shared" si="214"/>
        <v>0</v>
      </c>
      <c r="AE226" s="58">
        <f t="shared" si="214"/>
        <v>0</v>
      </c>
    </row>
    <row r="227" spans="2:34">
      <c r="B227" t="str">
        <f t="shared" si="254"/>
        <v>Sem3939Cristian Arody Ordoñez Reyes</v>
      </c>
      <c r="C227" t="str">
        <f t="shared" si="255"/>
        <v>SEPTIEMBRESem39</v>
      </c>
      <c r="D227" t="str">
        <f t="shared" si="256"/>
        <v>SEPTIEMBRESem39Cristian Arody Ordoñez Reyes</v>
      </c>
      <c r="E227" t="str">
        <f t="shared" si="257"/>
        <v>SEPTIEMBRESem3939Cristian Arody Ordoñez Reyes</v>
      </c>
      <c r="F227" t="str">
        <f t="shared" si="258"/>
        <v>Cristian Arody Ordoñez Reyes46288</v>
      </c>
      <c r="H227" s="49" t="s">
        <v>253</v>
      </c>
      <c r="I227" s="50" t="str">
        <f>+_xlfn.XLOOKUP($H227&amp;$V227,BASEDATOS!$B:$B,BASEDATOS!F:F,0,0,1)</f>
        <v>NOCHE</v>
      </c>
      <c r="J227" s="51">
        <f>+_xlfn.XLOOKUP($H227&amp;$V227,BASEDATOS!$B:$B,BASEDATOS!Q:Q,0,0,1)</f>
        <v>0.75</v>
      </c>
      <c r="K227" s="51">
        <f>+_xlfn.XLOOKUP($H227&amp;$V227,BASEDATOS!$B:$B,BASEDATOS!R:R,0,0,1)</f>
        <v>0.25</v>
      </c>
      <c r="L227" s="51">
        <f t="shared" si="259"/>
        <v>0.5</v>
      </c>
      <c r="M227" s="52" t="str">
        <f t="shared" si="260"/>
        <v>1:00</v>
      </c>
      <c r="N227" s="51">
        <f t="shared" si="261"/>
        <v>0.45833333333333331</v>
      </c>
      <c r="O227" s="53" t="str">
        <f t="shared" ref="O227" si="273">+O231</f>
        <v>0-5-2</v>
      </c>
      <c r="P227" s="54">
        <f>+IF(AND(Y227="Domingo",U227=7),_xlfn.XLOOKUP(O227,'Horarios y Sistemas'!C:C,'Horarios y Sistemas'!H:H,0,0,1),0)</f>
        <v>0</v>
      </c>
      <c r="Q227" s="54">
        <f>IF(U227=U228,0,IF(AVERAGEIF(W:W,W227,U:U)=U227,0,_xlfn.XLOOKUP(O227,'Horarios y Sistemas'!C:C,'Horarios y Sistemas'!H:H,0,0,1)-P227))/7*U227</f>
        <v>0</v>
      </c>
      <c r="R227" s="54">
        <f t="shared" si="263"/>
        <v>0</v>
      </c>
      <c r="S227" s="55" t="str">
        <f t="shared" si="264"/>
        <v>SEPTIEMBRE</v>
      </c>
      <c r="T227" s="55" t="str">
        <f t="shared" si="265"/>
        <v>Sem39</v>
      </c>
      <c r="U227" s="56">
        <f t="shared" si="233"/>
        <v>7</v>
      </c>
      <c r="V227" s="59">
        <v>46288</v>
      </c>
      <c r="W227" s="56">
        <f t="shared" si="266"/>
        <v>39</v>
      </c>
      <c r="X227" s="56">
        <f t="shared" si="267"/>
        <v>23</v>
      </c>
      <c r="Y227" s="56" t="s">
        <v>30</v>
      </c>
      <c r="Z227" s="56">
        <v>3</v>
      </c>
      <c r="AA227" s="58">
        <f t="shared" si="214"/>
        <v>0</v>
      </c>
      <c r="AB227" s="58">
        <f t="shared" si="214"/>
        <v>1</v>
      </c>
      <c r="AC227" s="58">
        <f t="shared" si="214"/>
        <v>0</v>
      </c>
      <c r="AD227" s="58">
        <f t="shared" si="214"/>
        <v>0</v>
      </c>
      <c r="AE227" s="58">
        <f t="shared" si="214"/>
        <v>0</v>
      </c>
    </row>
    <row r="228" spans="2:34">
      <c r="B228" t="str">
        <f t="shared" si="254"/>
        <v>Sem3939Cristian Arody Ordoñez Reyes</v>
      </c>
      <c r="C228" t="str">
        <f t="shared" si="255"/>
        <v>SEPTIEMBRESem39</v>
      </c>
      <c r="D228" t="str">
        <f t="shared" si="256"/>
        <v>SEPTIEMBRESem39Cristian Arody Ordoñez Reyes</v>
      </c>
      <c r="E228" t="str">
        <f t="shared" si="257"/>
        <v>SEPTIEMBRESem3939Cristian Arody Ordoñez Reyes</v>
      </c>
      <c r="F228" t="str">
        <f t="shared" si="258"/>
        <v>Cristian Arody Ordoñez Reyes46289</v>
      </c>
      <c r="H228" s="49" t="s">
        <v>253</v>
      </c>
      <c r="I228" s="50" t="str">
        <f>+_xlfn.XLOOKUP($H228&amp;$V228,BASEDATOS!$B:$B,BASEDATOS!F:F,0,0,1)</f>
        <v>NOCHE</v>
      </c>
      <c r="J228" s="51">
        <f>+_xlfn.XLOOKUP($H228&amp;$V228,BASEDATOS!$B:$B,BASEDATOS!Q:Q,0,0,1)</f>
        <v>0.75</v>
      </c>
      <c r="K228" s="51">
        <f>+_xlfn.XLOOKUP($H228&amp;$V228,BASEDATOS!$B:$B,BASEDATOS!R:R,0,0,1)</f>
        <v>0.25</v>
      </c>
      <c r="L228" s="51">
        <f t="shared" si="259"/>
        <v>0.5</v>
      </c>
      <c r="M228" s="52" t="str">
        <f t="shared" si="260"/>
        <v>1:00</v>
      </c>
      <c r="N228" s="51">
        <f t="shared" si="261"/>
        <v>0.45833333333333331</v>
      </c>
      <c r="O228" s="53" t="str">
        <f t="shared" ref="O228" si="274">+O231</f>
        <v>0-5-2</v>
      </c>
      <c r="P228" s="54">
        <f>+IF(AND(Y228="Domingo",U228=7),_xlfn.XLOOKUP(O228,'Horarios y Sistemas'!C:C,'Horarios y Sistemas'!H:H,0,0,1),0)</f>
        <v>0</v>
      </c>
      <c r="Q228" s="54">
        <f>IF(U228=U229,0,IF(AVERAGEIF(W:W,W228,U:U)=U228,0,_xlfn.XLOOKUP(O228,'Horarios y Sistemas'!C:C,'Horarios y Sistemas'!H:H,0,0,1)-P228))/7*U228</f>
        <v>0</v>
      </c>
      <c r="R228" s="54">
        <f t="shared" si="263"/>
        <v>0</v>
      </c>
      <c r="S228" s="55" t="str">
        <f t="shared" si="264"/>
        <v>SEPTIEMBRE</v>
      </c>
      <c r="T228" s="55" t="str">
        <f t="shared" si="265"/>
        <v>Sem39</v>
      </c>
      <c r="U228" s="56">
        <f t="shared" si="233"/>
        <v>7</v>
      </c>
      <c r="V228" s="59">
        <v>46289</v>
      </c>
      <c r="W228" s="56">
        <f t="shared" si="266"/>
        <v>39</v>
      </c>
      <c r="X228" s="56">
        <f t="shared" si="267"/>
        <v>24</v>
      </c>
      <c r="Y228" s="56" t="s">
        <v>31</v>
      </c>
      <c r="Z228" s="56">
        <v>4</v>
      </c>
      <c r="AA228" s="58">
        <f t="shared" si="214"/>
        <v>0</v>
      </c>
      <c r="AB228" s="58">
        <f t="shared" si="214"/>
        <v>1</v>
      </c>
      <c r="AC228" s="58">
        <f t="shared" si="214"/>
        <v>0</v>
      </c>
      <c r="AD228" s="58">
        <f t="shared" si="214"/>
        <v>0</v>
      </c>
      <c r="AE228" s="58">
        <f t="shared" si="214"/>
        <v>0</v>
      </c>
    </row>
    <row r="229" spans="2:34">
      <c r="B229" t="str">
        <f t="shared" si="254"/>
        <v>Sem3939Cristian Arody Ordoñez Reyes</v>
      </c>
      <c r="C229" t="str">
        <f t="shared" si="255"/>
        <v>SEPTIEMBRESem39</v>
      </c>
      <c r="D229" t="str">
        <f t="shared" si="256"/>
        <v>SEPTIEMBRESem39Cristian Arody Ordoñez Reyes</v>
      </c>
      <c r="E229" t="str">
        <f t="shared" si="257"/>
        <v>SEPTIEMBRESem3939Cristian Arody Ordoñez Reyes</v>
      </c>
      <c r="F229" t="str">
        <f t="shared" si="258"/>
        <v>Cristian Arody Ordoñez Reyes46290</v>
      </c>
      <c r="H229" s="49" t="s">
        <v>253</v>
      </c>
      <c r="I229" s="50" t="str">
        <f>+_xlfn.XLOOKUP($H229&amp;$V229,BASEDATOS!$B:$B,BASEDATOS!F:F,0,0,1)</f>
        <v>NOCHE</v>
      </c>
      <c r="J229" s="51">
        <f>+_xlfn.XLOOKUP($H229&amp;$V229,BASEDATOS!$B:$B,BASEDATOS!Q:Q,0,0,1)</f>
        <v>0.75</v>
      </c>
      <c r="K229" s="51">
        <f>+_xlfn.XLOOKUP($H229&amp;$V229,BASEDATOS!$B:$B,BASEDATOS!R:R,0,0,1)</f>
        <v>0.25</v>
      </c>
      <c r="L229" s="51">
        <f t="shared" si="259"/>
        <v>0.5</v>
      </c>
      <c r="M229" s="52" t="str">
        <f t="shared" si="260"/>
        <v>1:00</v>
      </c>
      <c r="N229" s="51">
        <f t="shared" si="261"/>
        <v>0.45833333333333331</v>
      </c>
      <c r="O229" s="53" t="str">
        <f t="shared" ref="O229" si="275">+O231</f>
        <v>0-5-2</v>
      </c>
      <c r="P229" s="54">
        <f>+IF(AND(Y229="Domingo",U229=7),_xlfn.XLOOKUP(O229,'Horarios y Sistemas'!C:C,'Horarios y Sistemas'!H:H,0,0,1),0)</f>
        <v>0</v>
      </c>
      <c r="Q229" s="54">
        <f>IF(U229=U230,0,IF(AVERAGEIF(W:W,W229,U:U)=U229,0,_xlfn.XLOOKUP(O229,'Horarios y Sistemas'!C:C,'Horarios y Sistemas'!H:H,0,0,1)-P229))/7*U229</f>
        <v>0</v>
      </c>
      <c r="R229" s="54">
        <f t="shared" si="263"/>
        <v>0</v>
      </c>
      <c r="S229" s="55" t="str">
        <f t="shared" si="264"/>
        <v>SEPTIEMBRE</v>
      </c>
      <c r="T229" s="55" t="str">
        <f t="shared" si="265"/>
        <v>Sem39</v>
      </c>
      <c r="U229" s="56">
        <f t="shared" si="233"/>
        <v>7</v>
      </c>
      <c r="V229" s="59">
        <v>46290</v>
      </c>
      <c r="W229" s="56">
        <f t="shared" si="266"/>
        <v>39</v>
      </c>
      <c r="X229" s="56">
        <f t="shared" si="267"/>
        <v>25</v>
      </c>
      <c r="Y229" s="56" t="s">
        <v>32</v>
      </c>
      <c r="Z229" s="56">
        <v>5</v>
      </c>
      <c r="AA229" s="58">
        <f t="shared" si="214"/>
        <v>0</v>
      </c>
      <c r="AB229" s="58">
        <f t="shared" si="214"/>
        <v>1</v>
      </c>
      <c r="AC229" s="58">
        <f t="shared" si="214"/>
        <v>0</v>
      </c>
      <c r="AD229" s="58">
        <f t="shared" si="214"/>
        <v>0</v>
      </c>
      <c r="AE229" s="58">
        <f t="shared" si="214"/>
        <v>0</v>
      </c>
    </row>
    <row r="230" spans="2:34">
      <c r="B230" t="str">
        <f t="shared" si="254"/>
        <v>Sem3939Cristian Arody Ordoñez Reyes</v>
      </c>
      <c r="C230" t="str">
        <f t="shared" si="255"/>
        <v>SEPTIEMBRESem39</v>
      </c>
      <c r="D230" t="str">
        <f t="shared" si="256"/>
        <v>SEPTIEMBRESem39Cristian Arody Ordoñez Reyes</v>
      </c>
      <c r="E230" t="str">
        <f t="shared" si="257"/>
        <v>SEPTIEMBRESem3939Cristian Arody Ordoñez Reyes</v>
      </c>
      <c r="F230" t="str">
        <f t="shared" si="258"/>
        <v>Cristian Arody Ordoñez Reyes46291</v>
      </c>
      <c r="H230" s="49" t="s">
        <v>253</v>
      </c>
      <c r="I230" s="50" t="str">
        <f>+_xlfn.XLOOKUP($H230&amp;$V230,BASEDATOS!$B:$B,BASEDATOS!F:F,0,0,1)</f>
        <v>DESCANSO</v>
      </c>
      <c r="J230" s="51">
        <f>+_xlfn.XLOOKUP($H230&amp;$V230,BASEDATOS!$B:$B,BASEDATOS!Q:Q,0,0,1)</f>
        <v>0</v>
      </c>
      <c r="K230" s="51">
        <f>+_xlfn.XLOOKUP($H230&amp;$V230,BASEDATOS!$B:$B,BASEDATOS!R:R,0,0,1)</f>
        <v>0</v>
      </c>
      <c r="L230" s="51">
        <f t="shared" si="259"/>
        <v>0</v>
      </c>
      <c r="M230" s="52">
        <f t="shared" si="260"/>
        <v>0</v>
      </c>
      <c r="N230" s="51">
        <f t="shared" si="261"/>
        <v>0</v>
      </c>
      <c r="O230" s="53" t="str">
        <f t="shared" ref="O230" si="276">+O231</f>
        <v>0-5-2</v>
      </c>
      <c r="P230" s="54">
        <f>+IF(AND(Y230="Domingo",U230=7),_xlfn.XLOOKUP(O230,'Horarios y Sistemas'!C:C,'Horarios y Sistemas'!H:H,0,0,1),0)</f>
        <v>0</v>
      </c>
      <c r="Q230" s="54">
        <f>IF(U230=U231,0,IF(AVERAGEIF(W:W,W230,U:U)=U230,0,_xlfn.XLOOKUP(O230,'Horarios y Sistemas'!C:C,'Horarios y Sistemas'!H:H,0,0,1)-P230))/7*U230</f>
        <v>0</v>
      </c>
      <c r="R230" s="54">
        <f t="shared" si="263"/>
        <v>0</v>
      </c>
      <c r="S230" s="55" t="str">
        <f t="shared" si="264"/>
        <v>SEPTIEMBRE</v>
      </c>
      <c r="T230" s="55" t="str">
        <f t="shared" si="265"/>
        <v>Sem39</v>
      </c>
      <c r="U230" s="56">
        <f t="shared" si="233"/>
        <v>7</v>
      </c>
      <c r="V230" s="59">
        <v>46291</v>
      </c>
      <c r="W230" s="56">
        <f t="shared" si="266"/>
        <v>39</v>
      </c>
      <c r="X230" s="56">
        <f t="shared" si="267"/>
        <v>26</v>
      </c>
      <c r="Y230" s="56" t="s">
        <v>33</v>
      </c>
      <c r="Z230" s="56">
        <v>6</v>
      </c>
      <c r="AA230" s="58">
        <f t="shared" si="214"/>
        <v>0</v>
      </c>
      <c r="AB230" s="58">
        <f t="shared" si="214"/>
        <v>0</v>
      </c>
      <c r="AC230" s="58">
        <f t="shared" si="214"/>
        <v>1</v>
      </c>
      <c r="AD230" s="58">
        <f t="shared" si="214"/>
        <v>0</v>
      </c>
      <c r="AE230" s="58">
        <f t="shared" si="214"/>
        <v>0</v>
      </c>
    </row>
    <row r="231" spans="2:34" s="60" customFormat="1">
      <c r="B231" s="60" t="str">
        <f t="shared" si="254"/>
        <v>Sem3939Cristian Arody Ordoñez Reyes</v>
      </c>
      <c r="C231" s="60" t="str">
        <f t="shared" si="255"/>
        <v>SEPTIEMBRESem39</v>
      </c>
      <c r="D231" s="60" t="str">
        <f t="shared" si="256"/>
        <v>SEPTIEMBRESem39Cristian Arody Ordoñez Reyes</v>
      </c>
      <c r="E231" s="60" t="str">
        <f t="shared" si="257"/>
        <v>SEPTIEMBRESem3939Cristian Arody Ordoñez Reyes</v>
      </c>
      <c r="F231" s="60" t="str">
        <f t="shared" si="258"/>
        <v>Cristian Arody Ordoñez Reyes46292</v>
      </c>
      <c r="H231" s="61" t="s">
        <v>253</v>
      </c>
      <c r="I231" s="62" t="str">
        <f>+_xlfn.XLOOKUP($H231&amp;$V231,BASEDATOS!$B:$B,BASEDATOS!F:F,0,0,1)</f>
        <v>DESCANSO</v>
      </c>
      <c r="J231" s="63">
        <f>+_xlfn.XLOOKUP($H231&amp;$V231,BASEDATOS!$B:$B,BASEDATOS!Q:Q,0,0,1)</f>
        <v>0</v>
      </c>
      <c r="K231" s="63">
        <f>+_xlfn.XLOOKUP($H231&amp;$V231,BASEDATOS!$B:$B,BASEDATOS!R:R,0,0,1)</f>
        <v>0</v>
      </c>
      <c r="L231" s="63">
        <f t="shared" si="259"/>
        <v>0</v>
      </c>
      <c r="M231" s="64">
        <f t="shared" si="260"/>
        <v>0</v>
      </c>
      <c r="N231" s="63">
        <f t="shared" si="261"/>
        <v>0</v>
      </c>
      <c r="O231" s="65" t="str">
        <f t="shared" ref="O231" si="277">+IF(Y231="Domingo",SUM(AA225:AA231)&amp;"-"&amp;SUM(AB225:AB231)&amp;"-"&amp;SUM(AC225:AE231),"")</f>
        <v>0-5-2</v>
      </c>
      <c r="P231" s="66">
        <f>+IF(AND(Y231="Domingo",U231=7),_xlfn.XLOOKUP(O231,'Horarios y Sistemas'!C:C,'Horarios y Sistemas'!H:H,0,0,1),0)</f>
        <v>36</v>
      </c>
      <c r="Q231" s="66">
        <f>IF(U231=U232,0,IF(AVERAGEIF(W:W,W231,U:U)=U231,0,_xlfn.XLOOKUP(O231,'Horarios y Sistemas'!C:C,'Horarios y Sistemas'!H:H,0,0,1)-P231))/7*U231</f>
        <v>0</v>
      </c>
      <c r="R231" s="66">
        <f t="shared" si="263"/>
        <v>36</v>
      </c>
      <c r="S231" s="67" t="str">
        <f t="shared" si="264"/>
        <v>SEPTIEMBRE</v>
      </c>
      <c r="T231" s="55" t="str">
        <f t="shared" si="265"/>
        <v>Sem39</v>
      </c>
      <c r="U231" s="68">
        <f t="shared" si="233"/>
        <v>7</v>
      </c>
      <c r="V231" s="69">
        <v>46292</v>
      </c>
      <c r="W231" s="68">
        <f t="shared" si="266"/>
        <v>39</v>
      </c>
      <c r="X231" s="68">
        <f t="shared" si="267"/>
        <v>27</v>
      </c>
      <c r="Y231" s="68" t="s">
        <v>34</v>
      </c>
      <c r="Z231" s="68">
        <v>7</v>
      </c>
      <c r="AA231" s="70">
        <f t="shared" si="214"/>
        <v>0</v>
      </c>
      <c r="AB231" s="70">
        <f t="shared" si="214"/>
        <v>0</v>
      </c>
      <c r="AC231" s="70">
        <f t="shared" si="214"/>
        <v>1</v>
      </c>
      <c r="AD231" s="70">
        <f t="shared" si="214"/>
        <v>0</v>
      </c>
      <c r="AE231" s="70">
        <f t="shared" si="214"/>
        <v>0</v>
      </c>
      <c r="AF231" s="71"/>
      <c r="AG231" s="71"/>
      <c r="AH231" s="71"/>
    </row>
    <row r="232" spans="2:34">
      <c r="B232" t="str">
        <f t="shared" si="254"/>
        <v>Sem4040Cristian Arody Ordoñez Reyes</v>
      </c>
      <c r="C232" t="str">
        <f t="shared" si="255"/>
        <v>SEPTIEMBRESem40</v>
      </c>
      <c r="D232" t="str">
        <f t="shared" si="256"/>
        <v>SEPTIEMBRESem40Cristian Arody Ordoñez Reyes</v>
      </c>
      <c r="E232" t="str">
        <f t="shared" si="257"/>
        <v>SEPTIEMBRESem4040Cristian Arody Ordoñez Reyes</v>
      </c>
      <c r="F232" t="str">
        <f t="shared" si="258"/>
        <v>Cristian Arody Ordoñez Reyes46293</v>
      </c>
      <c r="H232" s="49" t="s">
        <v>253</v>
      </c>
      <c r="I232" s="50" t="str">
        <f>+_xlfn.XLOOKUP($H232&amp;$V232,BASEDATOS!$B:$B,BASEDATOS!F:F,0,0,1)</f>
        <v>DIA</v>
      </c>
      <c r="J232" s="51">
        <f>+_xlfn.XLOOKUP($H232&amp;$V232,BASEDATOS!$B:$B,BASEDATOS!Q:Q,0,0,1)</f>
        <v>0.25</v>
      </c>
      <c r="K232" s="51">
        <f>+_xlfn.XLOOKUP($H232&amp;$V232,BASEDATOS!$B:$B,BASEDATOS!R:R,0,0,1)</f>
        <v>0.75</v>
      </c>
      <c r="L232" s="51">
        <f t="shared" si="259"/>
        <v>0.5</v>
      </c>
      <c r="M232" s="52" t="str">
        <f t="shared" si="260"/>
        <v>1:00</v>
      </c>
      <c r="N232" s="51">
        <f t="shared" si="261"/>
        <v>0.45833333333333331</v>
      </c>
      <c r="O232" s="53" t="str">
        <f t="shared" ref="O232" si="278">+O238</f>
        <v>6-0-1</v>
      </c>
      <c r="P232" s="54">
        <f>+IF(AND(Y232="Domingo",U232=7),_xlfn.XLOOKUP(O232,'Horarios y Sistemas'!C:C,'Horarios y Sistemas'!H:H,0,0,1),0)</f>
        <v>0</v>
      </c>
      <c r="Q232" s="54">
        <f>IF(U232=U233,0,IF(AVERAGEIF(W:W,W232,U:U)=U232,0,_xlfn.XLOOKUP(O232,'Horarios y Sistemas'!C:C,'Horarios y Sistemas'!H:H,0,0,1)-P232))/7*U232</f>
        <v>0</v>
      </c>
      <c r="R232" s="54">
        <f t="shared" si="263"/>
        <v>0</v>
      </c>
      <c r="S232" s="55" t="str">
        <f t="shared" si="264"/>
        <v>SEPTIEMBRE</v>
      </c>
      <c r="T232" s="55" t="str">
        <f t="shared" si="265"/>
        <v>Sem40</v>
      </c>
      <c r="U232" s="56">
        <f t="shared" si="233"/>
        <v>7</v>
      </c>
      <c r="V232" s="59">
        <v>46293</v>
      </c>
      <c r="W232" s="56">
        <f t="shared" si="266"/>
        <v>40</v>
      </c>
      <c r="X232" s="56">
        <f t="shared" si="267"/>
        <v>28</v>
      </c>
      <c r="Y232" s="56" t="s">
        <v>28</v>
      </c>
      <c r="Z232" s="56">
        <v>1</v>
      </c>
      <c r="AA232" s="58">
        <f t="shared" si="214"/>
        <v>1</v>
      </c>
      <c r="AB232" s="58">
        <f t="shared" si="214"/>
        <v>0</v>
      </c>
      <c r="AC232" s="58">
        <f t="shared" si="214"/>
        <v>0</v>
      </c>
      <c r="AD232" s="58">
        <f t="shared" si="214"/>
        <v>0</v>
      </c>
      <c r="AE232" s="58">
        <f t="shared" si="214"/>
        <v>0</v>
      </c>
    </row>
    <row r="233" spans="2:34">
      <c r="B233" t="str">
        <f t="shared" si="254"/>
        <v>Sem4040Cristian Arody Ordoñez Reyes</v>
      </c>
      <c r="C233" t="str">
        <f t="shared" si="255"/>
        <v>SEPTIEMBRESem40</v>
      </c>
      <c r="D233" t="str">
        <f t="shared" si="256"/>
        <v>SEPTIEMBRESem40Cristian Arody Ordoñez Reyes</v>
      </c>
      <c r="E233" t="str">
        <f t="shared" si="257"/>
        <v>SEPTIEMBRESem4040Cristian Arody Ordoñez Reyes</v>
      </c>
      <c r="F233" t="str">
        <f t="shared" si="258"/>
        <v>Cristian Arody Ordoñez Reyes46294</v>
      </c>
      <c r="H233" s="49" t="s">
        <v>253</v>
      </c>
      <c r="I233" s="50" t="str">
        <f>+_xlfn.XLOOKUP($H233&amp;$V233,BASEDATOS!$B:$B,BASEDATOS!F:F,0,0,1)</f>
        <v>DIA</v>
      </c>
      <c r="J233" s="51">
        <f>+_xlfn.XLOOKUP($H233&amp;$V233,BASEDATOS!$B:$B,BASEDATOS!Q:Q,0,0,1)</f>
        <v>0.25</v>
      </c>
      <c r="K233" s="51">
        <f>+_xlfn.XLOOKUP($H233&amp;$V233,BASEDATOS!$B:$B,BASEDATOS!R:R,0,0,1)</f>
        <v>0.75</v>
      </c>
      <c r="L233" s="51">
        <f t="shared" si="259"/>
        <v>0.5</v>
      </c>
      <c r="M233" s="52" t="str">
        <f t="shared" si="260"/>
        <v>1:00</v>
      </c>
      <c r="N233" s="51">
        <f t="shared" si="261"/>
        <v>0.45833333333333331</v>
      </c>
      <c r="O233" s="53" t="str">
        <f t="shared" ref="O233" si="279">+O238</f>
        <v>6-0-1</v>
      </c>
      <c r="P233" s="54">
        <f>+IF(AND(Y233="Domingo",U233=7),_xlfn.XLOOKUP(O233,'Horarios y Sistemas'!C:C,'Horarios y Sistemas'!H:H,0,0,1),0)</f>
        <v>0</v>
      </c>
      <c r="Q233" s="54">
        <f>IF(U233=U234,0,IF(AVERAGEIF(W:W,W233,U:U)=U233,0,_xlfn.XLOOKUP(O233,'Horarios y Sistemas'!C:C,'Horarios y Sistemas'!H:H,0,0,1)-P233))/7*U233</f>
        <v>0</v>
      </c>
      <c r="R233" s="54">
        <f t="shared" si="263"/>
        <v>0</v>
      </c>
      <c r="S233" s="55" t="str">
        <f t="shared" si="264"/>
        <v>SEPTIEMBRE</v>
      </c>
      <c r="T233" s="55" t="str">
        <f t="shared" si="265"/>
        <v>Sem40</v>
      </c>
      <c r="U233" s="56">
        <f t="shared" si="233"/>
        <v>7</v>
      </c>
      <c r="V233" s="59">
        <v>46294</v>
      </c>
      <c r="W233" s="56">
        <f t="shared" si="266"/>
        <v>40</v>
      </c>
      <c r="X233" s="56">
        <f t="shared" si="267"/>
        <v>29</v>
      </c>
      <c r="Y233" s="56" t="s">
        <v>29</v>
      </c>
      <c r="Z233" s="56">
        <v>2</v>
      </c>
      <c r="AA233" s="58">
        <f t="shared" ref="AA233:AE283" si="280">+IF($I233=AA$7,1,0)</f>
        <v>1</v>
      </c>
      <c r="AB233" s="58">
        <f t="shared" si="280"/>
        <v>0</v>
      </c>
      <c r="AC233" s="58">
        <f t="shared" si="280"/>
        <v>0</v>
      </c>
      <c r="AD233" s="58">
        <f t="shared" si="280"/>
        <v>0</v>
      </c>
      <c r="AE233" s="58">
        <f t="shared" si="280"/>
        <v>0</v>
      </c>
    </row>
    <row r="234" spans="2:34">
      <c r="B234" t="str">
        <f t="shared" si="254"/>
        <v>Sem4040Cristian Arody Ordoñez Reyes</v>
      </c>
      <c r="C234" t="str">
        <f t="shared" si="255"/>
        <v>SEPTIEMBRESem40</v>
      </c>
      <c r="D234" t="str">
        <f t="shared" si="256"/>
        <v>SEPTIEMBRESem40Cristian Arody Ordoñez Reyes</v>
      </c>
      <c r="E234" t="str">
        <f t="shared" si="257"/>
        <v>SEPTIEMBRESem4040Cristian Arody Ordoñez Reyes</v>
      </c>
      <c r="F234" t="str">
        <f t="shared" si="258"/>
        <v>Cristian Arody Ordoñez Reyes46295</v>
      </c>
      <c r="H234" s="49" t="s">
        <v>253</v>
      </c>
      <c r="I234" s="50" t="str">
        <f>+_xlfn.XLOOKUP($H234&amp;$V234,BASEDATOS!$B:$B,BASEDATOS!F:F,0,0,1)</f>
        <v>DIA</v>
      </c>
      <c r="J234" s="51">
        <f>+_xlfn.XLOOKUP($H234&amp;$V234,BASEDATOS!$B:$B,BASEDATOS!Q:Q,0,0,1)</f>
        <v>0.25</v>
      </c>
      <c r="K234" s="51">
        <f>+_xlfn.XLOOKUP($H234&amp;$V234,BASEDATOS!$B:$B,BASEDATOS!R:R,0,0,1)</f>
        <v>0.75</v>
      </c>
      <c r="L234" s="51">
        <f t="shared" si="259"/>
        <v>0.5</v>
      </c>
      <c r="M234" s="52" t="str">
        <f t="shared" si="260"/>
        <v>1:00</v>
      </c>
      <c r="N234" s="51">
        <f t="shared" si="261"/>
        <v>0.45833333333333331</v>
      </c>
      <c r="O234" s="53" t="str">
        <f t="shared" ref="O234" si="281">+O238</f>
        <v>6-0-1</v>
      </c>
      <c r="P234" s="54">
        <f>+IF(AND(Y234="Domingo",U234=7),_xlfn.XLOOKUP(O234,'Horarios y Sistemas'!C:C,'Horarios y Sistemas'!H:H,0,0,1),0)</f>
        <v>0</v>
      </c>
      <c r="Q234" s="54">
        <f>IF(U234=U235,0,IF(AVERAGEIF(W:W,W234,U:U)=U234,0,_xlfn.XLOOKUP(O234,'Horarios y Sistemas'!C:C,'Horarios y Sistemas'!H:H,0,0,1)-P234))/7*U234</f>
        <v>0</v>
      </c>
      <c r="R234" s="54">
        <f t="shared" si="263"/>
        <v>0</v>
      </c>
      <c r="S234" s="55" t="str">
        <f t="shared" si="264"/>
        <v>SEPTIEMBRE</v>
      </c>
      <c r="T234" s="55" t="str">
        <f t="shared" si="265"/>
        <v>Sem40</v>
      </c>
      <c r="U234" s="56">
        <f t="shared" si="233"/>
        <v>7</v>
      </c>
      <c r="V234" s="59">
        <v>46295</v>
      </c>
      <c r="W234" s="56">
        <f t="shared" si="266"/>
        <v>40</v>
      </c>
      <c r="X234" s="56">
        <f t="shared" si="267"/>
        <v>30</v>
      </c>
      <c r="Y234" s="56" t="s">
        <v>30</v>
      </c>
      <c r="Z234" s="56">
        <v>3</v>
      </c>
      <c r="AA234" s="58">
        <f t="shared" si="280"/>
        <v>1</v>
      </c>
      <c r="AB234" s="58">
        <f t="shared" si="280"/>
        <v>0</v>
      </c>
      <c r="AC234" s="58">
        <f t="shared" si="280"/>
        <v>0</v>
      </c>
      <c r="AD234" s="58">
        <f t="shared" si="280"/>
        <v>0</v>
      </c>
      <c r="AE234" s="58">
        <f t="shared" si="280"/>
        <v>0</v>
      </c>
    </row>
    <row r="235" spans="2:34">
      <c r="B235" t="str">
        <f t="shared" si="254"/>
        <v>Sem4040Cristian Arody Ordoñez Reyes</v>
      </c>
      <c r="C235" t="str">
        <f t="shared" si="255"/>
        <v>OCTUBRESem40</v>
      </c>
      <c r="D235" t="str">
        <f t="shared" si="256"/>
        <v>OCTUBRESem40Cristian Arody Ordoñez Reyes</v>
      </c>
      <c r="E235" t="str">
        <f t="shared" si="257"/>
        <v>OCTUBRESem4040Cristian Arody Ordoñez Reyes</v>
      </c>
      <c r="F235" t="str">
        <f t="shared" si="258"/>
        <v>Cristian Arody Ordoñez Reyes46296</v>
      </c>
      <c r="H235" s="49" t="s">
        <v>253</v>
      </c>
      <c r="I235" s="50" t="str">
        <f>+_xlfn.XLOOKUP($H235&amp;$V235,BASEDATOS!$B:$B,BASEDATOS!F:F,0,0,1)</f>
        <v>DIA</v>
      </c>
      <c r="J235" s="51">
        <f>+_xlfn.XLOOKUP($H235&amp;$V235,BASEDATOS!$B:$B,BASEDATOS!Q:Q,0,0,1)</f>
        <v>0.25</v>
      </c>
      <c r="K235" s="51">
        <f>+_xlfn.XLOOKUP($H235&amp;$V235,BASEDATOS!$B:$B,BASEDATOS!R:R,0,0,1)</f>
        <v>0.75</v>
      </c>
      <c r="L235" s="51">
        <f t="shared" si="259"/>
        <v>0.5</v>
      </c>
      <c r="M235" s="52" t="str">
        <f t="shared" si="260"/>
        <v>1:00</v>
      </c>
      <c r="N235" s="51">
        <f t="shared" si="261"/>
        <v>0.45833333333333331</v>
      </c>
      <c r="O235" s="53" t="str">
        <f t="shared" ref="O235" si="282">+O238</f>
        <v>6-0-1</v>
      </c>
      <c r="P235" s="54">
        <f>+IF(AND(Y235="Domingo",U235=7),_xlfn.XLOOKUP(O235,'Horarios y Sistemas'!C:C,'Horarios y Sistemas'!H:H,0,0,1),0)</f>
        <v>0</v>
      </c>
      <c r="Q235" s="54">
        <f>IF(U235=U236,0,IF(AVERAGEIF(W:W,W235,U:U)=U235,0,_xlfn.XLOOKUP(O235,'Horarios y Sistemas'!C:C,'Horarios y Sistemas'!H:H,0,0,1)-P235))/7*U235</f>
        <v>0</v>
      </c>
      <c r="R235" s="54">
        <f t="shared" si="263"/>
        <v>0</v>
      </c>
      <c r="S235" s="55" t="str">
        <f t="shared" si="264"/>
        <v>OCTUBRE</v>
      </c>
      <c r="T235" s="55" t="str">
        <f t="shared" si="265"/>
        <v>Sem40</v>
      </c>
      <c r="U235" s="56">
        <f t="shared" si="233"/>
        <v>7</v>
      </c>
      <c r="V235" s="59">
        <v>46296</v>
      </c>
      <c r="W235" s="56">
        <f t="shared" si="266"/>
        <v>40</v>
      </c>
      <c r="X235" s="56">
        <f t="shared" si="267"/>
        <v>1</v>
      </c>
      <c r="Y235" s="56" t="s">
        <v>31</v>
      </c>
      <c r="Z235" s="56">
        <v>4</v>
      </c>
      <c r="AA235" s="58">
        <f t="shared" si="280"/>
        <v>1</v>
      </c>
      <c r="AB235" s="58">
        <f t="shared" si="280"/>
        <v>0</v>
      </c>
      <c r="AC235" s="58">
        <f t="shared" si="280"/>
        <v>0</v>
      </c>
      <c r="AD235" s="58">
        <f t="shared" si="280"/>
        <v>0</v>
      </c>
      <c r="AE235" s="58">
        <f t="shared" si="280"/>
        <v>0</v>
      </c>
    </row>
    <row r="236" spans="2:34">
      <c r="B236" t="str">
        <f t="shared" si="254"/>
        <v>Sem4040Cristian Arody Ordoñez Reyes</v>
      </c>
      <c r="C236" t="str">
        <f t="shared" si="255"/>
        <v>OCTUBRESem40</v>
      </c>
      <c r="D236" t="str">
        <f t="shared" si="256"/>
        <v>OCTUBRESem40Cristian Arody Ordoñez Reyes</v>
      </c>
      <c r="E236" t="str">
        <f t="shared" si="257"/>
        <v>OCTUBRESem4040Cristian Arody Ordoñez Reyes</v>
      </c>
      <c r="F236" t="str">
        <f t="shared" si="258"/>
        <v>Cristian Arody Ordoñez Reyes46297</v>
      </c>
      <c r="H236" s="49" t="s">
        <v>253</v>
      </c>
      <c r="I236" s="50" t="str">
        <f>+_xlfn.XLOOKUP($H236&amp;$V236,BASEDATOS!$B:$B,BASEDATOS!F:F,0,0,1)</f>
        <v>DIA</v>
      </c>
      <c r="J236" s="51">
        <f>+_xlfn.XLOOKUP($H236&amp;$V236,BASEDATOS!$B:$B,BASEDATOS!Q:Q,0,0,1)</f>
        <v>0.25</v>
      </c>
      <c r="K236" s="51">
        <f>+_xlfn.XLOOKUP($H236&amp;$V236,BASEDATOS!$B:$B,BASEDATOS!R:R,0,0,1)</f>
        <v>0.75</v>
      </c>
      <c r="L236" s="51">
        <f t="shared" si="259"/>
        <v>0.5</v>
      </c>
      <c r="M236" s="52" t="str">
        <f t="shared" si="260"/>
        <v>1:00</v>
      </c>
      <c r="N236" s="51">
        <f t="shared" si="261"/>
        <v>0.45833333333333331</v>
      </c>
      <c r="O236" s="53" t="str">
        <f t="shared" ref="O236" si="283">+O238</f>
        <v>6-0-1</v>
      </c>
      <c r="P236" s="54">
        <f>+IF(AND(Y236="Domingo",U236=7),_xlfn.XLOOKUP(O236,'Horarios y Sistemas'!C:C,'Horarios y Sistemas'!H:H,0,0,1),0)</f>
        <v>0</v>
      </c>
      <c r="Q236" s="54">
        <f>IF(U236=U237,0,IF(AVERAGEIF(W:W,W236,U:U)=U236,0,_xlfn.XLOOKUP(O236,'Horarios y Sistemas'!C:C,'Horarios y Sistemas'!H:H,0,0,1)-P236))/7*U236</f>
        <v>0</v>
      </c>
      <c r="R236" s="54">
        <f t="shared" si="263"/>
        <v>0</v>
      </c>
      <c r="S236" s="55" t="str">
        <f t="shared" si="264"/>
        <v>OCTUBRE</v>
      </c>
      <c r="T236" s="55" t="str">
        <f t="shared" si="265"/>
        <v>Sem40</v>
      </c>
      <c r="U236" s="56">
        <f t="shared" si="233"/>
        <v>7</v>
      </c>
      <c r="V236" s="59">
        <v>46297</v>
      </c>
      <c r="W236" s="56">
        <f t="shared" si="266"/>
        <v>40</v>
      </c>
      <c r="X236" s="56">
        <f t="shared" si="267"/>
        <v>2</v>
      </c>
      <c r="Y236" s="56" t="s">
        <v>32</v>
      </c>
      <c r="Z236" s="56">
        <v>5</v>
      </c>
      <c r="AA236" s="58">
        <f t="shared" si="280"/>
        <v>1</v>
      </c>
      <c r="AB236" s="58">
        <f t="shared" si="280"/>
        <v>0</v>
      </c>
      <c r="AC236" s="58">
        <f t="shared" si="280"/>
        <v>0</v>
      </c>
      <c r="AD236" s="58">
        <f t="shared" si="280"/>
        <v>0</v>
      </c>
      <c r="AE236" s="58">
        <f t="shared" si="280"/>
        <v>0</v>
      </c>
    </row>
    <row r="237" spans="2:34">
      <c r="B237" t="str">
        <f t="shared" si="254"/>
        <v>Sem4040Cristian Arody Ordoñez Reyes</v>
      </c>
      <c r="C237" t="str">
        <f t="shared" si="255"/>
        <v>OCTUBRESem40</v>
      </c>
      <c r="D237" t="str">
        <f t="shared" si="256"/>
        <v>OCTUBRESem40Cristian Arody Ordoñez Reyes</v>
      </c>
      <c r="E237" t="str">
        <f t="shared" si="257"/>
        <v>OCTUBRESem4040Cristian Arody Ordoñez Reyes</v>
      </c>
      <c r="F237" t="str">
        <f t="shared" si="258"/>
        <v>Cristian Arody Ordoñez Reyes46298</v>
      </c>
      <c r="H237" s="49" t="s">
        <v>253</v>
      </c>
      <c r="I237" s="50" t="str">
        <f>+_xlfn.XLOOKUP($H237&amp;$V237,BASEDATOS!$B:$B,BASEDATOS!F:F,0,0,1)</f>
        <v>DIA</v>
      </c>
      <c r="J237" s="51">
        <f>+_xlfn.XLOOKUP($H237&amp;$V237,BASEDATOS!$B:$B,BASEDATOS!Q:Q,0,0,1)</f>
        <v>0.25</v>
      </c>
      <c r="K237" s="51">
        <f>+_xlfn.XLOOKUP($H237&amp;$V237,BASEDATOS!$B:$B,BASEDATOS!R:R,0,0,1)</f>
        <v>0.58333333333333304</v>
      </c>
      <c r="L237" s="51">
        <f t="shared" si="259"/>
        <v>0.33333333333333304</v>
      </c>
      <c r="M237" s="52" t="str">
        <f t="shared" si="260"/>
        <v>1:00</v>
      </c>
      <c r="N237" s="51">
        <f t="shared" si="261"/>
        <v>0.29166666666666635</v>
      </c>
      <c r="O237" s="53" t="str">
        <f t="shared" ref="O237" si="284">+O238</f>
        <v>6-0-1</v>
      </c>
      <c r="P237" s="54">
        <f>+IF(AND(Y237="Domingo",U237=7),_xlfn.XLOOKUP(O237,'Horarios y Sistemas'!C:C,'Horarios y Sistemas'!H:H,0,0,1),0)</f>
        <v>0</v>
      </c>
      <c r="Q237" s="54">
        <f>IF(U237=U238,0,IF(AVERAGEIF(W:W,W237,U:U)=U237,0,_xlfn.XLOOKUP(O237,'Horarios y Sistemas'!C:C,'Horarios y Sistemas'!H:H,0,0,1)-P237))/7*U237</f>
        <v>0</v>
      </c>
      <c r="R237" s="54">
        <f t="shared" si="263"/>
        <v>0</v>
      </c>
      <c r="S237" s="55" t="str">
        <f t="shared" si="264"/>
        <v>OCTUBRE</v>
      </c>
      <c r="T237" s="55" t="str">
        <f t="shared" si="265"/>
        <v>Sem40</v>
      </c>
      <c r="U237" s="56">
        <f t="shared" si="233"/>
        <v>7</v>
      </c>
      <c r="V237" s="59">
        <v>46298</v>
      </c>
      <c r="W237" s="56">
        <f t="shared" si="266"/>
        <v>40</v>
      </c>
      <c r="X237" s="56">
        <f t="shared" si="267"/>
        <v>3</v>
      </c>
      <c r="Y237" s="56" t="s">
        <v>33</v>
      </c>
      <c r="Z237" s="56">
        <v>6</v>
      </c>
      <c r="AA237" s="58">
        <f t="shared" si="280"/>
        <v>1</v>
      </c>
      <c r="AB237" s="58">
        <f t="shared" si="280"/>
        <v>0</v>
      </c>
      <c r="AC237" s="58">
        <f t="shared" si="280"/>
        <v>0</v>
      </c>
      <c r="AD237" s="58">
        <f t="shared" si="280"/>
        <v>0</v>
      </c>
      <c r="AE237" s="58">
        <f t="shared" si="280"/>
        <v>0</v>
      </c>
    </row>
    <row r="238" spans="2:34" s="60" customFormat="1">
      <c r="B238" s="60" t="str">
        <f t="shared" si="254"/>
        <v>Sem4040Cristian Arody Ordoñez Reyes</v>
      </c>
      <c r="C238" s="60" t="str">
        <f t="shared" si="255"/>
        <v>OCTUBRESem40</v>
      </c>
      <c r="D238" s="60" t="str">
        <f t="shared" si="256"/>
        <v>OCTUBRESem40Cristian Arody Ordoñez Reyes</v>
      </c>
      <c r="E238" s="60" t="str">
        <f t="shared" si="257"/>
        <v>OCTUBRESem4040Cristian Arody Ordoñez Reyes</v>
      </c>
      <c r="F238" s="60" t="str">
        <f t="shared" si="258"/>
        <v>Cristian Arody Ordoñez Reyes46299</v>
      </c>
      <c r="H238" s="61" t="s">
        <v>253</v>
      </c>
      <c r="I238" s="62" t="str">
        <f>+_xlfn.XLOOKUP($H238&amp;$V238,BASEDATOS!$B:$B,BASEDATOS!F:F,0,0,1)</f>
        <v>DESCANSO</v>
      </c>
      <c r="J238" s="63">
        <f>+_xlfn.XLOOKUP($H238&amp;$V238,BASEDATOS!$B:$B,BASEDATOS!Q:Q,0,0,1)</f>
        <v>0</v>
      </c>
      <c r="K238" s="63">
        <f>+_xlfn.XLOOKUP($H238&amp;$V238,BASEDATOS!$B:$B,BASEDATOS!R:R,0,0,1)</f>
        <v>0</v>
      </c>
      <c r="L238" s="63">
        <f t="shared" si="259"/>
        <v>0</v>
      </c>
      <c r="M238" s="64">
        <f t="shared" si="260"/>
        <v>0</v>
      </c>
      <c r="N238" s="63">
        <f t="shared" si="261"/>
        <v>0</v>
      </c>
      <c r="O238" s="65" t="str">
        <f t="shared" ref="O238" si="285">+IF(Y238="Domingo",SUM(AA232:AA238)&amp;"-"&amp;SUM(AB232:AB238)&amp;"-"&amp;SUM(AC232:AE238),"")</f>
        <v>6-0-1</v>
      </c>
      <c r="P238" s="66">
        <f>+IF(AND(Y238="Domingo",U238=7),_xlfn.XLOOKUP(O238,'Horarios y Sistemas'!C:C,'Horarios y Sistemas'!H:H,0,0,1),0)</f>
        <v>44</v>
      </c>
      <c r="Q238" s="66">
        <f>IF(U238=U239,0,IF(AVERAGEIF(W:W,W238,U:U)=U238,0,_xlfn.XLOOKUP(O238,'Horarios y Sistemas'!C:C,'Horarios y Sistemas'!H:H,0,0,1)-P238))/7*U238</f>
        <v>0</v>
      </c>
      <c r="R238" s="66">
        <f t="shared" si="263"/>
        <v>44</v>
      </c>
      <c r="S238" s="67" t="str">
        <f t="shared" si="264"/>
        <v>OCTUBRE</v>
      </c>
      <c r="T238" s="55" t="str">
        <f t="shared" si="265"/>
        <v>Sem40</v>
      </c>
      <c r="U238" s="68">
        <f t="shared" si="233"/>
        <v>7</v>
      </c>
      <c r="V238" s="69">
        <v>46299</v>
      </c>
      <c r="W238" s="68">
        <f t="shared" si="266"/>
        <v>40</v>
      </c>
      <c r="X238" s="68">
        <f t="shared" si="267"/>
        <v>4</v>
      </c>
      <c r="Y238" s="68" t="s">
        <v>34</v>
      </c>
      <c r="Z238" s="68">
        <v>7</v>
      </c>
      <c r="AA238" s="70">
        <f t="shared" si="280"/>
        <v>0</v>
      </c>
      <c r="AB238" s="70">
        <f t="shared" si="280"/>
        <v>0</v>
      </c>
      <c r="AC238" s="70">
        <f t="shared" si="280"/>
        <v>1</v>
      </c>
      <c r="AD238" s="70">
        <f t="shared" si="280"/>
        <v>0</v>
      </c>
      <c r="AE238" s="70">
        <f t="shared" si="280"/>
        <v>0</v>
      </c>
      <c r="AF238" s="71"/>
      <c r="AG238" s="71"/>
      <c r="AH238" s="71"/>
    </row>
    <row r="239" spans="2:34">
      <c r="B239" t="str">
        <f t="shared" si="254"/>
        <v>Sem3838DE PAZ REYES VICTOR ALFONSO</v>
      </c>
      <c r="C239" t="str">
        <f t="shared" si="255"/>
        <v>SEPTIEMBRESem38</v>
      </c>
      <c r="D239" t="str">
        <f t="shared" si="256"/>
        <v>SEPTIEMBRESem38DE PAZ REYES VICTOR ALFONSO</v>
      </c>
      <c r="E239" t="str">
        <f t="shared" si="257"/>
        <v>SEPTIEMBRESem3838DE PAZ REYES VICTOR ALFONSO</v>
      </c>
      <c r="F239" t="str">
        <f t="shared" si="258"/>
        <v>DE PAZ REYES VICTOR ALFONSO46279</v>
      </c>
      <c r="H239" s="49" t="s">
        <v>3</v>
      </c>
      <c r="I239" s="50" t="str">
        <f>+_xlfn.XLOOKUP($H239&amp;$V239,BASEDATOS!$B:$B,BASEDATOS!F:F,0,0,1)</f>
        <v>DESCANSO</v>
      </c>
      <c r="J239" s="51">
        <f>+_xlfn.XLOOKUP($H239&amp;$V239,BASEDATOS!$B:$B,BASEDATOS!Q:Q,0,0,1)</f>
        <v>0</v>
      </c>
      <c r="K239" s="51">
        <f>+_xlfn.XLOOKUP($H239&amp;$V239,BASEDATOS!$B:$B,BASEDATOS!R:R,0,0,1)</f>
        <v>0</v>
      </c>
      <c r="L239" s="51">
        <f t="shared" si="259"/>
        <v>0</v>
      </c>
      <c r="M239" s="52">
        <f t="shared" si="260"/>
        <v>0</v>
      </c>
      <c r="N239" s="51">
        <f t="shared" si="261"/>
        <v>0</v>
      </c>
      <c r="O239" s="53" t="str">
        <f t="shared" ref="O239" si="286">+O245</f>
        <v>1-3-3</v>
      </c>
      <c r="P239" s="54">
        <f>+IF(AND(Y239="Domingo",U239=7),_xlfn.XLOOKUP(O239,'Horarios y Sistemas'!C:C,'Horarios y Sistemas'!H:H,0,0,1),0)</f>
        <v>0</v>
      </c>
      <c r="Q239" s="54">
        <f>IF(U239=U240,0,IF(AVERAGEIF(W:W,W239,U:U)=U239,0,_xlfn.XLOOKUP(O239,'Horarios y Sistemas'!C:C,'Horarios y Sistemas'!H:H,0,0,1)-P239))/7*U239</f>
        <v>0</v>
      </c>
      <c r="R239" s="54">
        <f t="shared" si="263"/>
        <v>0</v>
      </c>
      <c r="S239" s="55" t="str">
        <f t="shared" si="264"/>
        <v>SEPTIEMBRE</v>
      </c>
      <c r="T239" s="55" t="str">
        <f t="shared" si="265"/>
        <v>Sem38</v>
      </c>
      <c r="U239" s="56">
        <f t="shared" si="233"/>
        <v>7</v>
      </c>
      <c r="V239" s="57">
        <v>46279</v>
      </c>
      <c r="W239" s="56">
        <f t="shared" si="266"/>
        <v>38</v>
      </c>
      <c r="X239" s="56">
        <f t="shared" si="267"/>
        <v>14</v>
      </c>
      <c r="Y239" s="56" t="s">
        <v>28</v>
      </c>
      <c r="Z239" s="56">
        <v>1</v>
      </c>
      <c r="AA239" s="58">
        <f t="shared" si="280"/>
        <v>0</v>
      </c>
      <c r="AB239" s="58">
        <f t="shared" si="280"/>
        <v>0</v>
      </c>
      <c r="AC239" s="58">
        <f t="shared" si="280"/>
        <v>1</v>
      </c>
      <c r="AD239" s="58">
        <f t="shared" si="280"/>
        <v>0</v>
      </c>
      <c r="AE239" s="58">
        <f t="shared" si="280"/>
        <v>0</v>
      </c>
    </row>
    <row r="240" spans="2:34">
      <c r="B240" t="str">
        <f t="shared" si="254"/>
        <v>Sem3838DE PAZ REYES VICTOR ALFONSO</v>
      </c>
      <c r="C240" t="str">
        <f t="shared" si="255"/>
        <v>SEPTIEMBRESem38</v>
      </c>
      <c r="D240" t="str">
        <f t="shared" si="256"/>
        <v>SEPTIEMBRESem38DE PAZ REYES VICTOR ALFONSO</v>
      </c>
      <c r="E240" t="str">
        <f t="shared" si="257"/>
        <v>SEPTIEMBRESem3838DE PAZ REYES VICTOR ALFONSO</v>
      </c>
      <c r="F240" t="str">
        <f t="shared" si="258"/>
        <v>DE PAZ REYES VICTOR ALFONSO46280</v>
      </c>
      <c r="H240" s="49" t="s">
        <v>3</v>
      </c>
      <c r="I240" s="50" t="str">
        <f>+_xlfn.XLOOKUP($H240&amp;$V240,BASEDATOS!$B:$B,BASEDATOS!F:F,0,0,1)</f>
        <v>DIA</v>
      </c>
      <c r="J240" s="51">
        <f>+_xlfn.XLOOKUP($H240&amp;$V240,BASEDATOS!$B:$B,BASEDATOS!Q:Q,0,0,1)</f>
        <v>0.33333333333333298</v>
      </c>
      <c r="K240" s="51">
        <f>+_xlfn.XLOOKUP($H240&amp;$V240,BASEDATOS!$B:$B,BASEDATOS!R:R,0,0,1)</f>
        <v>0.70833333333333304</v>
      </c>
      <c r="L240" s="51">
        <f t="shared" si="259"/>
        <v>0.37500000000000006</v>
      </c>
      <c r="M240" s="52" t="str">
        <f t="shared" si="260"/>
        <v>1:00</v>
      </c>
      <c r="N240" s="51">
        <f t="shared" si="261"/>
        <v>0.33333333333333337</v>
      </c>
      <c r="O240" s="53" t="str">
        <f t="shared" ref="O240" si="287">+O245</f>
        <v>1-3-3</v>
      </c>
      <c r="P240" s="54">
        <f>+IF(AND(Y240="Domingo",U240=7),_xlfn.XLOOKUP(O240,'Horarios y Sistemas'!C:C,'Horarios y Sistemas'!H:H,0,0,1),0)</f>
        <v>0</v>
      </c>
      <c r="Q240" s="54">
        <f>IF(U240=U241,0,IF(AVERAGEIF(W:W,W240,U:U)=U240,0,_xlfn.XLOOKUP(O240,'Horarios y Sistemas'!C:C,'Horarios y Sistemas'!H:H,0,0,1)-P240))/7*U240</f>
        <v>0</v>
      </c>
      <c r="R240" s="54">
        <f t="shared" si="263"/>
        <v>0</v>
      </c>
      <c r="S240" s="55" t="str">
        <f t="shared" si="264"/>
        <v>SEPTIEMBRE</v>
      </c>
      <c r="T240" s="55" t="str">
        <f t="shared" si="265"/>
        <v>Sem38</v>
      </c>
      <c r="U240" s="56">
        <f t="shared" si="233"/>
        <v>7</v>
      </c>
      <c r="V240" s="59">
        <v>46280</v>
      </c>
      <c r="W240" s="56">
        <f t="shared" si="266"/>
        <v>38</v>
      </c>
      <c r="X240" s="56">
        <f t="shared" si="267"/>
        <v>15</v>
      </c>
      <c r="Y240" s="56" t="s">
        <v>29</v>
      </c>
      <c r="Z240" s="56">
        <v>2</v>
      </c>
      <c r="AA240" s="58">
        <f t="shared" si="280"/>
        <v>1</v>
      </c>
      <c r="AB240" s="58">
        <f t="shared" si="280"/>
        <v>0</v>
      </c>
      <c r="AC240" s="58">
        <f t="shared" si="280"/>
        <v>0</v>
      </c>
      <c r="AD240" s="58">
        <f t="shared" si="280"/>
        <v>0</v>
      </c>
      <c r="AE240" s="58">
        <f t="shared" si="280"/>
        <v>0</v>
      </c>
    </row>
    <row r="241" spans="2:34">
      <c r="B241" t="str">
        <f t="shared" si="254"/>
        <v>Sem3838DE PAZ REYES VICTOR ALFONSO</v>
      </c>
      <c r="C241" t="str">
        <f t="shared" si="255"/>
        <v>SEPTIEMBRESem38</v>
      </c>
      <c r="D241" t="str">
        <f t="shared" si="256"/>
        <v>SEPTIEMBRESem38DE PAZ REYES VICTOR ALFONSO</v>
      </c>
      <c r="E241" t="str">
        <f t="shared" si="257"/>
        <v>SEPTIEMBRESem3838DE PAZ REYES VICTOR ALFONSO</v>
      </c>
      <c r="F241" t="str">
        <f t="shared" si="258"/>
        <v>DE PAZ REYES VICTOR ALFONSO46281</v>
      </c>
      <c r="H241" s="49" t="s">
        <v>3</v>
      </c>
      <c r="I241" s="50" t="str">
        <f>+_xlfn.XLOOKUP($H241&amp;$V241,BASEDATOS!$B:$B,BASEDATOS!F:F,0,0,1)</f>
        <v>NOCHE</v>
      </c>
      <c r="J241" s="51">
        <f>+_xlfn.XLOOKUP($H241&amp;$V241,BASEDATOS!$B:$B,BASEDATOS!Q:Q,0,0,1)</f>
        <v>0.73958333333333304</v>
      </c>
      <c r="K241" s="51">
        <f>+_xlfn.XLOOKUP($H241&amp;$V241,BASEDATOS!$B:$B,BASEDATOS!R:R,0,0,1)</f>
        <v>0.25</v>
      </c>
      <c r="L241" s="51">
        <f t="shared" si="259"/>
        <v>0.51041666666666696</v>
      </c>
      <c r="M241" s="52" t="str">
        <f t="shared" si="260"/>
        <v>1:00</v>
      </c>
      <c r="N241" s="51">
        <f t="shared" si="261"/>
        <v>0.46875000000000028</v>
      </c>
      <c r="O241" s="53" t="str">
        <f t="shared" ref="O241" si="288">+O245</f>
        <v>1-3-3</v>
      </c>
      <c r="P241" s="54">
        <f>+IF(AND(Y241="Domingo",U241=7),_xlfn.XLOOKUP(O241,'Horarios y Sistemas'!C:C,'Horarios y Sistemas'!H:H,0,0,1),0)</f>
        <v>0</v>
      </c>
      <c r="Q241" s="54">
        <f>IF(U241=U242,0,IF(AVERAGEIF(W:W,W241,U:U)=U241,0,_xlfn.XLOOKUP(O241,'Horarios y Sistemas'!C:C,'Horarios y Sistemas'!H:H,0,0,1)-P241))/7*U241</f>
        <v>0</v>
      </c>
      <c r="R241" s="54">
        <f t="shared" si="263"/>
        <v>0</v>
      </c>
      <c r="S241" s="55" t="str">
        <f t="shared" si="264"/>
        <v>SEPTIEMBRE</v>
      </c>
      <c r="T241" s="55" t="str">
        <f t="shared" si="265"/>
        <v>Sem38</v>
      </c>
      <c r="U241" s="56">
        <f t="shared" si="233"/>
        <v>7</v>
      </c>
      <c r="V241" s="59">
        <v>46281</v>
      </c>
      <c r="W241" s="56">
        <f t="shared" si="266"/>
        <v>38</v>
      </c>
      <c r="X241" s="56">
        <f t="shared" si="267"/>
        <v>16</v>
      </c>
      <c r="Y241" s="56" t="s">
        <v>30</v>
      </c>
      <c r="Z241" s="56">
        <v>3</v>
      </c>
      <c r="AA241" s="58">
        <f t="shared" si="280"/>
        <v>0</v>
      </c>
      <c r="AB241" s="58">
        <f t="shared" si="280"/>
        <v>1</v>
      </c>
      <c r="AC241" s="58">
        <f t="shared" si="280"/>
        <v>0</v>
      </c>
      <c r="AD241" s="58">
        <f t="shared" si="280"/>
        <v>0</v>
      </c>
      <c r="AE241" s="58">
        <f t="shared" si="280"/>
        <v>0</v>
      </c>
    </row>
    <row r="242" spans="2:34">
      <c r="B242" t="str">
        <f t="shared" si="254"/>
        <v>Sem3838DE PAZ REYES VICTOR ALFONSO</v>
      </c>
      <c r="C242" t="str">
        <f t="shared" si="255"/>
        <v>SEPTIEMBRESem38</v>
      </c>
      <c r="D242" t="str">
        <f t="shared" si="256"/>
        <v>SEPTIEMBRESem38DE PAZ REYES VICTOR ALFONSO</v>
      </c>
      <c r="E242" t="str">
        <f t="shared" si="257"/>
        <v>SEPTIEMBRESem3838DE PAZ REYES VICTOR ALFONSO</v>
      </c>
      <c r="F242" t="str">
        <f t="shared" si="258"/>
        <v>DE PAZ REYES VICTOR ALFONSO46282</v>
      </c>
      <c r="H242" s="49" t="s">
        <v>3</v>
      </c>
      <c r="I242" s="50" t="str">
        <f>+_xlfn.XLOOKUP($H242&amp;$V242,BASEDATOS!$B:$B,BASEDATOS!F:F,0,0,1)</f>
        <v>NOCHE</v>
      </c>
      <c r="J242" s="51">
        <f>+_xlfn.XLOOKUP($H242&amp;$V242,BASEDATOS!$B:$B,BASEDATOS!Q:Q,0,0,1)</f>
        <v>0.73958333333333304</v>
      </c>
      <c r="K242" s="51">
        <f>+_xlfn.XLOOKUP($H242&amp;$V242,BASEDATOS!$B:$B,BASEDATOS!R:R,0,0,1)</f>
        <v>0.25</v>
      </c>
      <c r="L242" s="51">
        <f t="shared" si="259"/>
        <v>0.51041666666666696</v>
      </c>
      <c r="M242" s="52" t="str">
        <f t="shared" si="260"/>
        <v>1:00</v>
      </c>
      <c r="N242" s="51">
        <f t="shared" si="261"/>
        <v>0.46875000000000028</v>
      </c>
      <c r="O242" s="53" t="str">
        <f t="shared" ref="O242" si="289">+O245</f>
        <v>1-3-3</v>
      </c>
      <c r="P242" s="54">
        <f>+IF(AND(Y242="Domingo",U242=7),_xlfn.XLOOKUP(O242,'Horarios y Sistemas'!C:C,'Horarios y Sistemas'!H:H,0,0,1),0)</f>
        <v>0</v>
      </c>
      <c r="Q242" s="54">
        <f>IF(U242=U243,0,IF(AVERAGEIF(W:W,W242,U:U)=U242,0,_xlfn.XLOOKUP(O242,'Horarios y Sistemas'!C:C,'Horarios y Sistemas'!H:H,0,0,1)-P242))/7*U242</f>
        <v>0</v>
      </c>
      <c r="R242" s="54">
        <f t="shared" si="263"/>
        <v>0</v>
      </c>
      <c r="S242" s="55" t="str">
        <f t="shared" si="264"/>
        <v>SEPTIEMBRE</v>
      </c>
      <c r="T242" s="55" t="str">
        <f t="shared" si="265"/>
        <v>Sem38</v>
      </c>
      <c r="U242" s="56">
        <f t="shared" si="233"/>
        <v>7</v>
      </c>
      <c r="V242" s="59">
        <v>46282</v>
      </c>
      <c r="W242" s="56">
        <f t="shared" si="266"/>
        <v>38</v>
      </c>
      <c r="X242" s="56">
        <f t="shared" si="267"/>
        <v>17</v>
      </c>
      <c r="Y242" s="56" t="s">
        <v>31</v>
      </c>
      <c r="Z242" s="56">
        <v>4</v>
      </c>
      <c r="AA242" s="58">
        <f t="shared" si="280"/>
        <v>0</v>
      </c>
      <c r="AB242" s="58">
        <f t="shared" si="280"/>
        <v>1</v>
      </c>
      <c r="AC242" s="58">
        <f t="shared" si="280"/>
        <v>0</v>
      </c>
      <c r="AD242" s="58">
        <f t="shared" si="280"/>
        <v>0</v>
      </c>
      <c r="AE242" s="58">
        <f t="shared" si="280"/>
        <v>0</v>
      </c>
    </row>
    <row r="243" spans="2:34">
      <c r="B243" t="str">
        <f t="shared" si="254"/>
        <v>Sem3838DE PAZ REYES VICTOR ALFONSO</v>
      </c>
      <c r="C243" t="str">
        <f t="shared" si="255"/>
        <v>SEPTIEMBRESem38</v>
      </c>
      <c r="D243" t="str">
        <f t="shared" si="256"/>
        <v>SEPTIEMBRESem38DE PAZ REYES VICTOR ALFONSO</v>
      </c>
      <c r="E243" t="str">
        <f t="shared" si="257"/>
        <v>SEPTIEMBRESem3838DE PAZ REYES VICTOR ALFONSO</v>
      </c>
      <c r="F243" t="str">
        <f t="shared" si="258"/>
        <v>DE PAZ REYES VICTOR ALFONSO46283</v>
      </c>
      <c r="H243" s="49" t="s">
        <v>3</v>
      </c>
      <c r="I243" s="50" t="str">
        <f>+_xlfn.XLOOKUP($H243&amp;$V243,BASEDATOS!$B:$B,BASEDATOS!F:F,0,0,1)</f>
        <v>NOCHE</v>
      </c>
      <c r="J243" s="51">
        <f>+_xlfn.XLOOKUP($H243&amp;$V243,BASEDATOS!$B:$B,BASEDATOS!Q:Q,0,0,1)</f>
        <v>0.73958333333333304</v>
      </c>
      <c r="K243" s="51">
        <f>+_xlfn.XLOOKUP($H243&amp;$V243,BASEDATOS!$B:$B,BASEDATOS!R:R,0,0,1)</f>
        <v>0.25</v>
      </c>
      <c r="L243" s="51">
        <f t="shared" si="259"/>
        <v>0.51041666666666696</v>
      </c>
      <c r="M243" s="52" t="str">
        <f t="shared" si="260"/>
        <v>1:00</v>
      </c>
      <c r="N243" s="51">
        <f t="shared" si="261"/>
        <v>0.46875000000000028</v>
      </c>
      <c r="O243" s="53" t="str">
        <f t="shared" ref="O243" si="290">+O245</f>
        <v>1-3-3</v>
      </c>
      <c r="P243" s="54">
        <f>+IF(AND(Y243="Domingo",U243=7),_xlfn.XLOOKUP(O243,'Horarios y Sistemas'!C:C,'Horarios y Sistemas'!H:H,0,0,1),0)</f>
        <v>0</v>
      </c>
      <c r="Q243" s="54">
        <f>IF(U243=U244,0,IF(AVERAGEIF(W:W,W243,U:U)=U243,0,_xlfn.XLOOKUP(O243,'Horarios y Sistemas'!C:C,'Horarios y Sistemas'!H:H,0,0,1)-P243))/7*U243</f>
        <v>0</v>
      </c>
      <c r="R243" s="54">
        <f t="shared" si="263"/>
        <v>0</v>
      </c>
      <c r="S243" s="55" t="str">
        <f t="shared" si="264"/>
        <v>SEPTIEMBRE</v>
      </c>
      <c r="T243" s="55" t="str">
        <f t="shared" si="265"/>
        <v>Sem38</v>
      </c>
      <c r="U243" s="56">
        <f t="shared" si="233"/>
        <v>7</v>
      </c>
      <c r="V243" s="59">
        <v>46283</v>
      </c>
      <c r="W243" s="56">
        <f t="shared" si="266"/>
        <v>38</v>
      </c>
      <c r="X243" s="56">
        <f t="shared" si="267"/>
        <v>18</v>
      </c>
      <c r="Y243" s="56" t="s">
        <v>32</v>
      </c>
      <c r="Z243" s="56">
        <v>5</v>
      </c>
      <c r="AA243" s="58">
        <f t="shared" si="280"/>
        <v>0</v>
      </c>
      <c r="AB243" s="58">
        <f t="shared" si="280"/>
        <v>1</v>
      </c>
      <c r="AC243" s="58">
        <f t="shared" si="280"/>
        <v>0</v>
      </c>
      <c r="AD243" s="58">
        <f t="shared" si="280"/>
        <v>0</v>
      </c>
      <c r="AE243" s="58">
        <f t="shared" si="280"/>
        <v>0</v>
      </c>
    </row>
    <row r="244" spans="2:34">
      <c r="B244" t="str">
        <f t="shared" si="254"/>
        <v>Sem3838DE PAZ REYES VICTOR ALFONSO</v>
      </c>
      <c r="C244" t="str">
        <f t="shared" si="255"/>
        <v>SEPTIEMBRESem38</v>
      </c>
      <c r="D244" t="str">
        <f t="shared" si="256"/>
        <v>SEPTIEMBRESem38DE PAZ REYES VICTOR ALFONSO</v>
      </c>
      <c r="E244" t="str">
        <f t="shared" si="257"/>
        <v>SEPTIEMBRESem3838DE PAZ REYES VICTOR ALFONSO</v>
      </c>
      <c r="F244" t="str">
        <f t="shared" si="258"/>
        <v>DE PAZ REYES VICTOR ALFONSO46284</v>
      </c>
      <c r="H244" s="49" t="s">
        <v>3</v>
      </c>
      <c r="I244" s="50" t="str">
        <f>+_xlfn.XLOOKUP($H244&amp;$V244,BASEDATOS!$B:$B,BASEDATOS!F:F,0,0,1)</f>
        <v>DESCANSO</v>
      </c>
      <c r="J244" s="51">
        <f>+_xlfn.XLOOKUP($H244&amp;$V244,BASEDATOS!$B:$B,BASEDATOS!Q:Q,0,0,1)</f>
        <v>0</v>
      </c>
      <c r="K244" s="51">
        <f>+_xlfn.XLOOKUP($H244&amp;$V244,BASEDATOS!$B:$B,BASEDATOS!R:R,0,0,1)</f>
        <v>0</v>
      </c>
      <c r="L244" s="51">
        <f t="shared" si="259"/>
        <v>0</v>
      </c>
      <c r="M244" s="52">
        <f t="shared" si="260"/>
        <v>0</v>
      </c>
      <c r="N244" s="51">
        <f t="shared" si="261"/>
        <v>0</v>
      </c>
      <c r="O244" s="53" t="str">
        <f t="shared" ref="O244" si="291">+O245</f>
        <v>1-3-3</v>
      </c>
      <c r="P244" s="54">
        <f>+IF(AND(Y244="Domingo",U244=7),_xlfn.XLOOKUP(O244,'Horarios y Sistemas'!C:C,'Horarios y Sistemas'!H:H,0,0,1),0)</f>
        <v>0</v>
      </c>
      <c r="Q244" s="54">
        <f>IF(U244=U245,0,IF(AVERAGEIF(W:W,W244,U:U)=U244,0,_xlfn.XLOOKUP(O244,'Horarios y Sistemas'!C:C,'Horarios y Sistemas'!H:H,0,0,1)-P244))/7*U244</f>
        <v>0</v>
      </c>
      <c r="R244" s="54">
        <f t="shared" si="263"/>
        <v>0</v>
      </c>
      <c r="S244" s="55" t="str">
        <f t="shared" si="264"/>
        <v>SEPTIEMBRE</v>
      </c>
      <c r="T244" s="55" t="str">
        <f t="shared" si="265"/>
        <v>Sem38</v>
      </c>
      <c r="U244" s="56">
        <f t="shared" si="233"/>
        <v>7</v>
      </c>
      <c r="V244" s="59">
        <v>46284</v>
      </c>
      <c r="W244" s="56">
        <f t="shared" si="266"/>
        <v>38</v>
      </c>
      <c r="X244" s="56">
        <f t="shared" si="267"/>
        <v>19</v>
      </c>
      <c r="Y244" s="56" t="s">
        <v>33</v>
      </c>
      <c r="Z244" s="56">
        <v>6</v>
      </c>
      <c r="AA244" s="58">
        <f t="shared" si="280"/>
        <v>0</v>
      </c>
      <c r="AB244" s="58">
        <f t="shared" si="280"/>
        <v>0</v>
      </c>
      <c r="AC244" s="58">
        <f t="shared" si="280"/>
        <v>1</v>
      </c>
      <c r="AD244" s="58">
        <f t="shared" si="280"/>
        <v>0</v>
      </c>
      <c r="AE244" s="58">
        <f t="shared" si="280"/>
        <v>0</v>
      </c>
    </row>
    <row r="245" spans="2:34" s="60" customFormat="1">
      <c r="B245" s="60" t="str">
        <f t="shared" si="254"/>
        <v>Sem3838DE PAZ REYES VICTOR ALFONSO</v>
      </c>
      <c r="C245" s="60" t="str">
        <f t="shared" si="255"/>
        <v>SEPTIEMBRESem38</v>
      </c>
      <c r="D245" s="60" t="str">
        <f t="shared" si="256"/>
        <v>SEPTIEMBRESem38DE PAZ REYES VICTOR ALFONSO</v>
      </c>
      <c r="E245" s="60" t="str">
        <f t="shared" si="257"/>
        <v>SEPTIEMBRESem3838DE PAZ REYES VICTOR ALFONSO</v>
      </c>
      <c r="F245" s="60" t="str">
        <f t="shared" si="258"/>
        <v>DE PAZ REYES VICTOR ALFONSO46285</v>
      </c>
      <c r="H245" s="61" t="s">
        <v>3</v>
      </c>
      <c r="I245" s="62" t="str">
        <f>+_xlfn.XLOOKUP($H245&amp;$V245,BASEDATOS!$B:$B,BASEDATOS!F:F,0,0,1)</f>
        <v>DESCANSO</v>
      </c>
      <c r="J245" s="63">
        <f>+_xlfn.XLOOKUP($H245&amp;$V245,BASEDATOS!$B:$B,BASEDATOS!Q:Q,0,0,1)</f>
        <v>0</v>
      </c>
      <c r="K245" s="63">
        <f>+_xlfn.XLOOKUP($H245&amp;$V245,BASEDATOS!$B:$B,BASEDATOS!R:R,0,0,1)</f>
        <v>0</v>
      </c>
      <c r="L245" s="63">
        <f t="shared" si="259"/>
        <v>0</v>
      </c>
      <c r="M245" s="64">
        <f t="shared" si="260"/>
        <v>0</v>
      </c>
      <c r="N245" s="63">
        <f t="shared" si="261"/>
        <v>0</v>
      </c>
      <c r="O245" s="65" t="str">
        <f t="shared" ref="O245" si="292">+IF(Y245="Domingo",SUM(AA239:AA245)&amp;"-"&amp;SUM(AB239:AB245)&amp;"-"&amp;SUM(AC239:AE245),"")</f>
        <v>1-3-3</v>
      </c>
      <c r="P245" s="66">
        <f>+IF(AND(Y245="Domingo",U245=7),_xlfn.XLOOKUP(O245,'Horarios y Sistemas'!C:C,'Horarios y Sistemas'!H:H,0,0,1),0)</f>
        <v>38</v>
      </c>
      <c r="Q245" s="66">
        <f>IF(U245=U246,0,IF(AVERAGEIF(W:W,W245,U:U)=U245,0,_xlfn.XLOOKUP(O245,'Horarios y Sistemas'!C:C,'Horarios y Sistemas'!H:H,0,0,1)-P245))/7*U245</f>
        <v>0</v>
      </c>
      <c r="R245" s="66">
        <f t="shared" si="263"/>
        <v>38</v>
      </c>
      <c r="S245" s="67" t="str">
        <f t="shared" si="264"/>
        <v>SEPTIEMBRE</v>
      </c>
      <c r="T245" s="55" t="str">
        <f t="shared" si="265"/>
        <v>Sem38</v>
      </c>
      <c r="U245" s="68">
        <f t="shared" si="233"/>
        <v>7</v>
      </c>
      <c r="V245" s="69">
        <v>46285</v>
      </c>
      <c r="W245" s="68">
        <f t="shared" si="266"/>
        <v>38</v>
      </c>
      <c r="X245" s="68">
        <f t="shared" si="267"/>
        <v>20</v>
      </c>
      <c r="Y245" s="68" t="s">
        <v>34</v>
      </c>
      <c r="Z245" s="68">
        <v>7</v>
      </c>
      <c r="AA245" s="70">
        <f t="shared" si="280"/>
        <v>0</v>
      </c>
      <c r="AB245" s="70">
        <f t="shared" si="280"/>
        <v>0</v>
      </c>
      <c r="AC245" s="70">
        <f t="shared" si="280"/>
        <v>1</v>
      </c>
      <c r="AD245" s="70">
        <f t="shared" si="280"/>
        <v>0</v>
      </c>
      <c r="AE245" s="70">
        <f t="shared" si="280"/>
        <v>0</v>
      </c>
      <c r="AF245" s="71"/>
      <c r="AG245" s="71"/>
      <c r="AH245" s="71"/>
    </row>
    <row r="246" spans="2:34">
      <c r="B246" t="str">
        <f t="shared" si="254"/>
        <v>Sem3939DE PAZ REYES VICTOR ALFONSO</v>
      </c>
      <c r="C246" t="str">
        <f t="shared" si="255"/>
        <v>SEPTIEMBRESem39</v>
      </c>
      <c r="D246" t="str">
        <f t="shared" si="256"/>
        <v>SEPTIEMBRESem39DE PAZ REYES VICTOR ALFONSO</v>
      </c>
      <c r="E246" t="str">
        <f t="shared" si="257"/>
        <v>SEPTIEMBRESem3939DE PAZ REYES VICTOR ALFONSO</v>
      </c>
      <c r="F246" t="str">
        <f t="shared" si="258"/>
        <v>DE PAZ REYES VICTOR ALFONSO46286</v>
      </c>
      <c r="H246" s="49" t="s">
        <v>3</v>
      </c>
      <c r="I246" s="50" t="str">
        <f>+_xlfn.XLOOKUP($H246&amp;$V246,BASEDATOS!$B:$B,BASEDATOS!F:F,0,0,1)</f>
        <v>DIA</v>
      </c>
      <c r="J246" s="51">
        <f>+_xlfn.XLOOKUP($H246&amp;$V246,BASEDATOS!$B:$B,BASEDATOS!Q:Q,0,0,1)</f>
        <v>0.23958333333333301</v>
      </c>
      <c r="K246" s="51">
        <f>+_xlfn.XLOOKUP($H246&amp;$V246,BASEDATOS!$B:$B,BASEDATOS!R:R,0,0,1)</f>
        <v>0.75</v>
      </c>
      <c r="L246" s="51">
        <f t="shared" si="259"/>
        <v>0.51041666666666696</v>
      </c>
      <c r="M246" s="52" t="str">
        <f t="shared" si="260"/>
        <v>1:00</v>
      </c>
      <c r="N246" s="51">
        <f t="shared" si="261"/>
        <v>0.46875000000000028</v>
      </c>
      <c r="O246" s="53" t="str">
        <f t="shared" ref="O246" si="293">+O252</f>
        <v>6-0-1</v>
      </c>
      <c r="P246" s="54">
        <f>+IF(AND(Y246="Domingo",U246=7),_xlfn.XLOOKUP(O246,'Horarios y Sistemas'!C:C,'Horarios y Sistemas'!H:H,0,0,1),0)</f>
        <v>0</v>
      </c>
      <c r="Q246" s="54">
        <f>IF(U246=U247,0,IF(AVERAGEIF(W:W,W246,U:U)=U246,0,_xlfn.XLOOKUP(O246,'Horarios y Sistemas'!C:C,'Horarios y Sistemas'!H:H,0,0,1)-P246))/7*U246</f>
        <v>0</v>
      </c>
      <c r="R246" s="54">
        <f t="shared" si="263"/>
        <v>0</v>
      </c>
      <c r="S246" s="55" t="str">
        <f t="shared" si="264"/>
        <v>SEPTIEMBRE</v>
      </c>
      <c r="T246" s="55" t="str">
        <f t="shared" si="265"/>
        <v>Sem39</v>
      </c>
      <c r="U246" s="56">
        <f t="shared" si="233"/>
        <v>7</v>
      </c>
      <c r="V246" s="59">
        <v>46286</v>
      </c>
      <c r="W246" s="56">
        <f t="shared" si="266"/>
        <v>39</v>
      </c>
      <c r="X246" s="56">
        <f t="shared" si="267"/>
        <v>21</v>
      </c>
      <c r="Y246" s="56" t="s">
        <v>28</v>
      </c>
      <c r="Z246" s="56">
        <v>1</v>
      </c>
      <c r="AA246" s="58">
        <f t="shared" si="280"/>
        <v>1</v>
      </c>
      <c r="AB246" s="58">
        <f t="shared" si="280"/>
        <v>0</v>
      </c>
      <c r="AC246" s="58">
        <f t="shared" si="280"/>
        <v>0</v>
      </c>
      <c r="AD246" s="58">
        <f t="shared" si="280"/>
        <v>0</v>
      </c>
      <c r="AE246" s="58">
        <f t="shared" si="280"/>
        <v>0</v>
      </c>
    </row>
    <row r="247" spans="2:34">
      <c r="B247" t="str">
        <f t="shared" si="254"/>
        <v>Sem3939DE PAZ REYES VICTOR ALFONSO</v>
      </c>
      <c r="C247" t="str">
        <f t="shared" si="255"/>
        <v>SEPTIEMBRESem39</v>
      </c>
      <c r="D247" t="str">
        <f t="shared" si="256"/>
        <v>SEPTIEMBRESem39DE PAZ REYES VICTOR ALFONSO</v>
      </c>
      <c r="E247" t="str">
        <f t="shared" si="257"/>
        <v>SEPTIEMBRESem3939DE PAZ REYES VICTOR ALFONSO</v>
      </c>
      <c r="F247" t="str">
        <f t="shared" si="258"/>
        <v>DE PAZ REYES VICTOR ALFONSO46287</v>
      </c>
      <c r="H247" s="49" t="s">
        <v>3</v>
      </c>
      <c r="I247" s="50" t="str">
        <f>+_xlfn.XLOOKUP($H247&amp;$V247,BASEDATOS!$B:$B,BASEDATOS!F:F,0,0,1)</f>
        <v>DIA</v>
      </c>
      <c r="J247" s="51">
        <f>+_xlfn.XLOOKUP($H247&amp;$V247,BASEDATOS!$B:$B,BASEDATOS!Q:Q,0,0,1)</f>
        <v>0.23958333333333301</v>
      </c>
      <c r="K247" s="51">
        <f>+_xlfn.XLOOKUP($H247&amp;$V247,BASEDATOS!$B:$B,BASEDATOS!R:R,0,0,1)</f>
        <v>0.75</v>
      </c>
      <c r="L247" s="51">
        <f t="shared" si="259"/>
        <v>0.51041666666666696</v>
      </c>
      <c r="M247" s="52" t="str">
        <f t="shared" si="260"/>
        <v>1:00</v>
      </c>
      <c r="N247" s="51">
        <f t="shared" si="261"/>
        <v>0.46875000000000028</v>
      </c>
      <c r="O247" s="53" t="str">
        <f t="shared" ref="O247" si="294">+O252</f>
        <v>6-0-1</v>
      </c>
      <c r="P247" s="54">
        <f>+IF(AND(Y247="Domingo",U247=7),_xlfn.XLOOKUP(O247,'Horarios y Sistemas'!C:C,'Horarios y Sistemas'!H:H,0,0,1),0)</f>
        <v>0</v>
      </c>
      <c r="Q247" s="54">
        <f>IF(U247=U248,0,IF(AVERAGEIF(W:W,W247,U:U)=U247,0,_xlfn.XLOOKUP(O247,'Horarios y Sistemas'!C:C,'Horarios y Sistemas'!H:H,0,0,1)-P247))/7*U247</f>
        <v>0</v>
      </c>
      <c r="R247" s="54">
        <f t="shared" si="263"/>
        <v>0</v>
      </c>
      <c r="S247" s="55" t="str">
        <f t="shared" si="264"/>
        <v>SEPTIEMBRE</v>
      </c>
      <c r="T247" s="55" t="str">
        <f t="shared" si="265"/>
        <v>Sem39</v>
      </c>
      <c r="U247" s="56">
        <f t="shared" si="233"/>
        <v>7</v>
      </c>
      <c r="V247" s="59">
        <v>46287</v>
      </c>
      <c r="W247" s="56">
        <f t="shared" si="266"/>
        <v>39</v>
      </c>
      <c r="X247" s="56">
        <f t="shared" si="267"/>
        <v>22</v>
      </c>
      <c r="Y247" s="56" t="s">
        <v>29</v>
      </c>
      <c r="Z247" s="56">
        <v>2</v>
      </c>
      <c r="AA247" s="58">
        <f t="shared" si="280"/>
        <v>1</v>
      </c>
      <c r="AB247" s="58">
        <f t="shared" si="280"/>
        <v>0</v>
      </c>
      <c r="AC247" s="58">
        <f t="shared" si="280"/>
        <v>0</v>
      </c>
      <c r="AD247" s="58">
        <f t="shared" si="280"/>
        <v>0</v>
      </c>
      <c r="AE247" s="58">
        <f t="shared" si="280"/>
        <v>0</v>
      </c>
    </row>
    <row r="248" spans="2:34">
      <c r="B248" t="str">
        <f t="shared" si="254"/>
        <v>Sem3939DE PAZ REYES VICTOR ALFONSO</v>
      </c>
      <c r="C248" t="str">
        <f t="shared" si="255"/>
        <v>SEPTIEMBRESem39</v>
      </c>
      <c r="D248" t="str">
        <f t="shared" si="256"/>
        <v>SEPTIEMBRESem39DE PAZ REYES VICTOR ALFONSO</v>
      </c>
      <c r="E248" t="str">
        <f t="shared" si="257"/>
        <v>SEPTIEMBRESem3939DE PAZ REYES VICTOR ALFONSO</v>
      </c>
      <c r="F248" t="str">
        <f t="shared" si="258"/>
        <v>DE PAZ REYES VICTOR ALFONSO46288</v>
      </c>
      <c r="H248" s="49" t="s">
        <v>3</v>
      </c>
      <c r="I248" s="50" t="str">
        <f>+_xlfn.XLOOKUP($H248&amp;$V248,BASEDATOS!$B:$B,BASEDATOS!F:F,0,0,1)</f>
        <v>DIA</v>
      </c>
      <c r="J248" s="51">
        <f>+_xlfn.XLOOKUP($H248&amp;$V248,BASEDATOS!$B:$B,BASEDATOS!Q:Q,0,0,1)</f>
        <v>0.23958333333333301</v>
      </c>
      <c r="K248" s="51">
        <f>+_xlfn.XLOOKUP($H248&amp;$V248,BASEDATOS!$B:$B,BASEDATOS!R:R,0,0,1)</f>
        <v>0.75</v>
      </c>
      <c r="L248" s="51">
        <f t="shared" si="259"/>
        <v>0.51041666666666696</v>
      </c>
      <c r="M248" s="52" t="str">
        <f t="shared" si="260"/>
        <v>1:00</v>
      </c>
      <c r="N248" s="51">
        <f t="shared" si="261"/>
        <v>0.46875000000000028</v>
      </c>
      <c r="O248" s="53" t="str">
        <f t="shared" ref="O248" si="295">+O252</f>
        <v>6-0-1</v>
      </c>
      <c r="P248" s="54">
        <f>+IF(AND(Y248="Domingo",U248=7),_xlfn.XLOOKUP(O248,'Horarios y Sistemas'!C:C,'Horarios y Sistemas'!H:H,0,0,1),0)</f>
        <v>0</v>
      </c>
      <c r="Q248" s="54">
        <f>IF(U248=U249,0,IF(AVERAGEIF(W:W,W248,U:U)=U248,0,_xlfn.XLOOKUP(O248,'Horarios y Sistemas'!C:C,'Horarios y Sistemas'!H:H,0,0,1)-P248))/7*U248</f>
        <v>0</v>
      </c>
      <c r="R248" s="54">
        <f t="shared" si="263"/>
        <v>0</v>
      </c>
      <c r="S248" s="55" t="str">
        <f t="shared" si="264"/>
        <v>SEPTIEMBRE</v>
      </c>
      <c r="T248" s="55" t="str">
        <f t="shared" si="265"/>
        <v>Sem39</v>
      </c>
      <c r="U248" s="56">
        <f t="shared" si="233"/>
        <v>7</v>
      </c>
      <c r="V248" s="59">
        <v>46288</v>
      </c>
      <c r="W248" s="56">
        <f t="shared" si="266"/>
        <v>39</v>
      </c>
      <c r="X248" s="56">
        <f t="shared" si="267"/>
        <v>23</v>
      </c>
      <c r="Y248" s="56" t="s">
        <v>30</v>
      </c>
      <c r="Z248" s="56">
        <v>3</v>
      </c>
      <c r="AA248" s="58">
        <f t="shared" si="280"/>
        <v>1</v>
      </c>
      <c r="AB248" s="58">
        <f t="shared" si="280"/>
        <v>0</v>
      </c>
      <c r="AC248" s="58">
        <f t="shared" si="280"/>
        <v>0</v>
      </c>
      <c r="AD248" s="58">
        <f t="shared" si="280"/>
        <v>0</v>
      </c>
      <c r="AE248" s="58">
        <f t="shared" si="280"/>
        <v>0</v>
      </c>
    </row>
    <row r="249" spans="2:34">
      <c r="B249" t="str">
        <f t="shared" si="254"/>
        <v>Sem3939DE PAZ REYES VICTOR ALFONSO</v>
      </c>
      <c r="C249" t="str">
        <f t="shared" si="255"/>
        <v>SEPTIEMBRESem39</v>
      </c>
      <c r="D249" t="str">
        <f t="shared" si="256"/>
        <v>SEPTIEMBRESem39DE PAZ REYES VICTOR ALFONSO</v>
      </c>
      <c r="E249" t="str">
        <f t="shared" si="257"/>
        <v>SEPTIEMBRESem3939DE PAZ REYES VICTOR ALFONSO</v>
      </c>
      <c r="F249" t="str">
        <f t="shared" si="258"/>
        <v>DE PAZ REYES VICTOR ALFONSO46289</v>
      </c>
      <c r="H249" s="49" t="s">
        <v>3</v>
      </c>
      <c r="I249" s="50" t="str">
        <f>+_xlfn.XLOOKUP($H249&amp;$V249,BASEDATOS!$B:$B,BASEDATOS!F:F,0,0,1)</f>
        <v>DIA</v>
      </c>
      <c r="J249" s="51">
        <f>+_xlfn.XLOOKUP($H249&amp;$V249,BASEDATOS!$B:$B,BASEDATOS!Q:Q,0,0,1)</f>
        <v>0.23958333333333301</v>
      </c>
      <c r="K249" s="51">
        <f>+_xlfn.XLOOKUP($H249&amp;$V249,BASEDATOS!$B:$B,BASEDATOS!R:R,0,0,1)</f>
        <v>0.75</v>
      </c>
      <c r="L249" s="51">
        <f t="shared" si="259"/>
        <v>0.51041666666666696</v>
      </c>
      <c r="M249" s="52" t="str">
        <f t="shared" si="260"/>
        <v>1:00</v>
      </c>
      <c r="N249" s="51">
        <f t="shared" si="261"/>
        <v>0.46875000000000028</v>
      </c>
      <c r="O249" s="53" t="str">
        <f t="shared" ref="O249" si="296">+O252</f>
        <v>6-0-1</v>
      </c>
      <c r="P249" s="54">
        <f>+IF(AND(Y249="Domingo",U249=7),_xlfn.XLOOKUP(O249,'Horarios y Sistemas'!C:C,'Horarios y Sistemas'!H:H,0,0,1),0)</f>
        <v>0</v>
      </c>
      <c r="Q249" s="54">
        <f>IF(U249=U250,0,IF(AVERAGEIF(W:W,W249,U:U)=U249,0,_xlfn.XLOOKUP(O249,'Horarios y Sistemas'!C:C,'Horarios y Sistemas'!H:H,0,0,1)-P249))/7*U249</f>
        <v>0</v>
      </c>
      <c r="R249" s="54">
        <f t="shared" si="263"/>
        <v>0</v>
      </c>
      <c r="S249" s="55" t="str">
        <f t="shared" si="264"/>
        <v>SEPTIEMBRE</v>
      </c>
      <c r="T249" s="55" t="str">
        <f t="shared" si="265"/>
        <v>Sem39</v>
      </c>
      <c r="U249" s="56">
        <f t="shared" si="233"/>
        <v>7</v>
      </c>
      <c r="V249" s="59">
        <v>46289</v>
      </c>
      <c r="W249" s="56">
        <f t="shared" si="266"/>
        <v>39</v>
      </c>
      <c r="X249" s="56">
        <f t="shared" si="267"/>
        <v>24</v>
      </c>
      <c r="Y249" s="56" t="s">
        <v>31</v>
      </c>
      <c r="Z249" s="56">
        <v>4</v>
      </c>
      <c r="AA249" s="58">
        <f t="shared" si="280"/>
        <v>1</v>
      </c>
      <c r="AB249" s="58">
        <f t="shared" si="280"/>
        <v>0</v>
      </c>
      <c r="AC249" s="58">
        <f t="shared" si="280"/>
        <v>0</v>
      </c>
      <c r="AD249" s="58">
        <f t="shared" si="280"/>
        <v>0</v>
      </c>
      <c r="AE249" s="58">
        <f t="shared" si="280"/>
        <v>0</v>
      </c>
    </row>
    <row r="250" spans="2:34">
      <c r="B250" t="str">
        <f t="shared" si="254"/>
        <v>Sem3939DE PAZ REYES VICTOR ALFONSO</v>
      </c>
      <c r="C250" t="str">
        <f t="shared" si="255"/>
        <v>SEPTIEMBRESem39</v>
      </c>
      <c r="D250" t="str">
        <f t="shared" si="256"/>
        <v>SEPTIEMBRESem39DE PAZ REYES VICTOR ALFONSO</v>
      </c>
      <c r="E250" t="str">
        <f t="shared" si="257"/>
        <v>SEPTIEMBRESem3939DE PAZ REYES VICTOR ALFONSO</v>
      </c>
      <c r="F250" t="str">
        <f t="shared" si="258"/>
        <v>DE PAZ REYES VICTOR ALFONSO46290</v>
      </c>
      <c r="H250" s="49" t="s">
        <v>3</v>
      </c>
      <c r="I250" s="50" t="str">
        <f>+_xlfn.XLOOKUP($H250&amp;$V250,BASEDATOS!$B:$B,BASEDATOS!F:F,0,0,1)</f>
        <v>DIA</v>
      </c>
      <c r="J250" s="51">
        <f>+_xlfn.XLOOKUP($H250&amp;$V250,BASEDATOS!$B:$B,BASEDATOS!Q:Q,0,0,1)</f>
        <v>0.23958333333333301</v>
      </c>
      <c r="K250" s="51">
        <f>+_xlfn.XLOOKUP($H250&amp;$V250,BASEDATOS!$B:$B,BASEDATOS!R:R,0,0,1)</f>
        <v>0.75</v>
      </c>
      <c r="L250" s="51">
        <f t="shared" si="259"/>
        <v>0.51041666666666696</v>
      </c>
      <c r="M250" s="52" t="str">
        <f t="shared" si="260"/>
        <v>1:00</v>
      </c>
      <c r="N250" s="51">
        <f t="shared" si="261"/>
        <v>0.46875000000000028</v>
      </c>
      <c r="O250" s="53" t="str">
        <f t="shared" ref="O250" si="297">+O252</f>
        <v>6-0-1</v>
      </c>
      <c r="P250" s="54">
        <f>+IF(AND(Y250="Domingo",U250=7),_xlfn.XLOOKUP(O250,'Horarios y Sistemas'!C:C,'Horarios y Sistemas'!H:H,0,0,1),0)</f>
        <v>0</v>
      </c>
      <c r="Q250" s="54">
        <f>IF(U250=U251,0,IF(AVERAGEIF(W:W,W250,U:U)=U250,0,_xlfn.XLOOKUP(O250,'Horarios y Sistemas'!C:C,'Horarios y Sistemas'!H:H,0,0,1)-P250))/7*U250</f>
        <v>0</v>
      </c>
      <c r="R250" s="54">
        <f t="shared" si="263"/>
        <v>0</v>
      </c>
      <c r="S250" s="55" t="str">
        <f t="shared" si="264"/>
        <v>SEPTIEMBRE</v>
      </c>
      <c r="T250" s="55" t="str">
        <f t="shared" si="265"/>
        <v>Sem39</v>
      </c>
      <c r="U250" s="56">
        <f t="shared" si="233"/>
        <v>7</v>
      </c>
      <c r="V250" s="59">
        <v>46290</v>
      </c>
      <c r="W250" s="56">
        <f t="shared" si="266"/>
        <v>39</v>
      </c>
      <c r="X250" s="56">
        <f t="shared" si="267"/>
        <v>25</v>
      </c>
      <c r="Y250" s="56" t="s">
        <v>32</v>
      </c>
      <c r="Z250" s="56">
        <v>5</v>
      </c>
      <c r="AA250" s="58">
        <f t="shared" si="280"/>
        <v>1</v>
      </c>
      <c r="AB250" s="58">
        <f t="shared" si="280"/>
        <v>0</v>
      </c>
      <c r="AC250" s="58">
        <f t="shared" si="280"/>
        <v>0</v>
      </c>
      <c r="AD250" s="58">
        <f t="shared" si="280"/>
        <v>0</v>
      </c>
      <c r="AE250" s="58">
        <f t="shared" si="280"/>
        <v>0</v>
      </c>
    </row>
    <row r="251" spans="2:34">
      <c r="B251" t="str">
        <f t="shared" si="254"/>
        <v>Sem3939DE PAZ REYES VICTOR ALFONSO</v>
      </c>
      <c r="C251" t="str">
        <f t="shared" si="255"/>
        <v>SEPTIEMBRESem39</v>
      </c>
      <c r="D251" t="str">
        <f t="shared" si="256"/>
        <v>SEPTIEMBRESem39DE PAZ REYES VICTOR ALFONSO</v>
      </c>
      <c r="E251" t="str">
        <f t="shared" si="257"/>
        <v>SEPTIEMBRESem3939DE PAZ REYES VICTOR ALFONSO</v>
      </c>
      <c r="F251" t="str">
        <f t="shared" si="258"/>
        <v>DE PAZ REYES VICTOR ALFONSO46291</v>
      </c>
      <c r="H251" s="49" t="s">
        <v>3</v>
      </c>
      <c r="I251" s="50" t="str">
        <f>+_xlfn.XLOOKUP($H251&amp;$V251,BASEDATOS!$B:$B,BASEDATOS!F:F,0,0,1)</f>
        <v>DIA</v>
      </c>
      <c r="J251" s="51">
        <f>+_xlfn.XLOOKUP($H251&amp;$V251,BASEDATOS!$B:$B,BASEDATOS!Q:Q,0,0,1)</f>
        <v>0.23958333333333301</v>
      </c>
      <c r="K251" s="51">
        <f>+_xlfn.XLOOKUP($H251&amp;$V251,BASEDATOS!$B:$B,BASEDATOS!R:R,0,0,1)</f>
        <v>0.58333333333333304</v>
      </c>
      <c r="L251" s="51">
        <f t="shared" si="259"/>
        <v>0.34375</v>
      </c>
      <c r="M251" s="52" t="str">
        <f t="shared" si="260"/>
        <v>1:00</v>
      </c>
      <c r="N251" s="51">
        <f t="shared" si="261"/>
        <v>0.30208333333333331</v>
      </c>
      <c r="O251" s="53" t="str">
        <f t="shared" ref="O251" si="298">+O252</f>
        <v>6-0-1</v>
      </c>
      <c r="P251" s="54">
        <f>+IF(AND(Y251="Domingo",U251=7),_xlfn.XLOOKUP(O251,'Horarios y Sistemas'!C:C,'Horarios y Sistemas'!H:H,0,0,1),0)</f>
        <v>0</v>
      </c>
      <c r="Q251" s="54">
        <f>IF(U251=U252,0,IF(AVERAGEIF(W:W,W251,U:U)=U251,0,_xlfn.XLOOKUP(O251,'Horarios y Sistemas'!C:C,'Horarios y Sistemas'!H:H,0,0,1)-P251))/7*U251</f>
        <v>0</v>
      </c>
      <c r="R251" s="54">
        <f t="shared" si="263"/>
        <v>0</v>
      </c>
      <c r="S251" s="55" t="str">
        <f t="shared" si="264"/>
        <v>SEPTIEMBRE</v>
      </c>
      <c r="T251" s="55" t="str">
        <f t="shared" si="265"/>
        <v>Sem39</v>
      </c>
      <c r="U251" s="56">
        <f t="shared" si="233"/>
        <v>7</v>
      </c>
      <c r="V251" s="59">
        <v>46291</v>
      </c>
      <c r="W251" s="56">
        <f t="shared" si="266"/>
        <v>39</v>
      </c>
      <c r="X251" s="56">
        <f t="shared" si="267"/>
        <v>26</v>
      </c>
      <c r="Y251" s="56" t="s">
        <v>33</v>
      </c>
      <c r="Z251" s="56">
        <v>6</v>
      </c>
      <c r="AA251" s="58">
        <f t="shared" si="280"/>
        <v>1</v>
      </c>
      <c r="AB251" s="58">
        <f t="shared" si="280"/>
        <v>0</v>
      </c>
      <c r="AC251" s="58">
        <f t="shared" si="280"/>
        <v>0</v>
      </c>
      <c r="AD251" s="58">
        <f t="shared" si="280"/>
        <v>0</v>
      </c>
      <c r="AE251" s="58">
        <f t="shared" si="280"/>
        <v>0</v>
      </c>
    </row>
    <row r="252" spans="2:34" s="60" customFormat="1">
      <c r="B252" s="60" t="str">
        <f t="shared" si="254"/>
        <v>Sem3939DE PAZ REYES VICTOR ALFONSO</v>
      </c>
      <c r="C252" s="60" t="str">
        <f t="shared" si="255"/>
        <v>SEPTIEMBRESem39</v>
      </c>
      <c r="D252" s="60" t="str">
        <f t="shared" si="256"/>
        <v>SEPTIEMBRESem39DE PAZ REYES VICTOR ALFONSO</v>
      </c>
      <c r="E252" s="60" t="str">
        <f t="shared" si="257"/>
        <v>SEPTIEMBRESem3939DE PAZ REYES VICTOR ALFONSO</v>
      </c>
      <c r="F252" s="60" t="str">
        <f t="shared" si="258"/>
        <v>DE PAZ REYES VICTOR ALFONSO46292</v>
      </c>
      <c r="H252" s="61" t="s">
        <v>3</v>
      </c>
      <c r="I252" s="62" t="str">
        <f>+_xlfn.XLOOKUP($H252&amp;$V252,BASEDATOS!$B:$B,BASEDATOS!F:F,0,0,1)</f>
        <v>DESCANSO</v>
      </c>
      <c r="J252" s="63">
        <f>+_xlfn.XLOOKUP($H252&amp;$V252,BASEDATOS!$B:$B,BASEDATOS!Q:Q,0,0,1)</f>
        <v>0</v>
      </c>
      <c r="K252" s="63">
        <f>+_xlfn.XLOOKUP($H252&amp;$V252,BASEDATOS!$B:$B,BASEDATOS!R:R,0,0,1)</f>
        <v>0</v>
      </c>
      <c r="L252" s="63">
        <f t="shared" si="259"/>
        <v>0</v>
      </c>
      <c r="M252" s="64">
        <f t="shared" si="260"/>
        <v>0</v>
      </c>
      <c r="N252" s="63">
        <f t="shared" si="261"/>
        <v>0</v>
      </c>
      <c r="O252" s="65" t="str">
        <f t="shared" ref="O252" si="299">+IF(Y252="Domingo",SUM(AA246:AA252)&amp;"-"&amp;SUM(AB246:AB252)&amp;"-"&amp;SUM(AC246:AE252),"")</f>
        <v>6-0-1</v>
      </c>
      <c r="P252" s="66">
        <f>+IF(AND(Y252="Domingo",U252=7),_xlfn.XLOOKUP(O252,'Horarios y Sistemas'!C:C,'Horarios y Sistemas'!H:H,0,0,1),0)</f>
        <v>44</v>
      </c>
      <c r="Q252" s="66">
        <f>IF(U252=U253,0,IF(AVERAGEIF(W:W,W252,U:U)=U252,0,_xlfn.XLOOKUP(O252,'Horarios y Sistemas'!C:C,'Horarios y Sistemas'!H:H,0,0,1)-P252))/7*U252</f>
        <v>0</v>
      </c>
      <c r="R252" s="66">
        <f t="shared" si="263"/>
        <v>44</v>
      </c>
      <c r="S252" s="67" t="str">
        <f t="shared" si="264"/>
        <v>SEPTIEMBRE</v>
      </c>
      <c r="T252" s="55" t="str">
        <f t="shared" si="265"/>
        <v>Sem39</v>
      </c>
      <c r="U252" s="68">
        <f t="shared" si="233"/>
        <v>7</v>
      </c>
      <c r="V252" s="69">
        <v>46292</v>
      </c>
      <c r="W252" s="68">
        <f t="shared" si="266"/>
        <v>39</v>
      </c>
      <c r="X252" s="68">
        <f t="shared" si="267"/>
        <v>27</v>
      </c>
      <c r="Y252" s="68" t="s">
        <v>34</v>
      </c>
      <c r="Z252" s="68">
        <v>7</v>
      </c>
      <c r="AA252" s="70">
        <f t="shared" si="280"/>
        <v>0</v>
      </c>
      <c r="AB252" s="70">
        <f t="shared" si="280"/>
        <v>0</v>
      </c>
      <c r="AC252" s="70">
        <f t="shared" si="280"/>
        <v>1</v>
      </c>
      <c r="AD252" s="70">
        <f t="shared" si="280"/>
        <v>0</v>
      </c>
      <c r="AE252" s="70">
        <f t="shared" si="280"/>
        <v>0</v>
      </c>
      <c r="AF252" s="71"/>
      <c r="AG252" s="71"/>
      <c r="AH252" s="71"/>
    </row>
    <row r="253" spans="2:34">
      <c r="B253" t="str">
        <f t="shared" si="254"/>
        <v>Sem4040DE PAZ REYES VICTOR ALFONSO</v>
      </c>
      <c r="C253" t="str">
        <f t="shared" si="255"/>
        <v>SEPTIEMBRESem40</v>
      </c>
      <c r="D253" t="str">
        <f t="shared" si="256"/>
        <v>SEPTIEMBRESem40DE PAZ REYES VICTOR ALFONSO</v>
      </c>
      <c r="E253" t="str">
        <f t="shared" si="257"/>
        <v>SEPTIEMBRESem4040DE PAZ REYES VICTOR ALFONSO</v>
      </c>
      <c r="F253" t="str">
        <f t="shared" si="258"/>
        <v>DE PAZ REYES VICTOR ALFONSO46293</v>
      </c>
      <c r="H253" s="49" t="s">
        <v>3</v>
      </c>
      <c r="I253" s="50" t="str">
        <f>+_xlfn.XLOOKUP($H253&amp;$V253,BASEDATOS!$B:$B,BASEDATOS!F:F,0,0,1)</f>
        <v>NOCHE</v>
      </c>
      <c r="J253" s="51">
        <f>+_xlfn.XLOOKUP($H253&amp;$V253,BASEDATOS!$B:$B,BASEDATOS!Q:Q,0,0,1)</f>
        <v>0.73958333333333304</v>
      </c>
      <c r="K253" s="51">
        <f>+_xlfn.XLOOKUP($H253&amp;$V253,BASEDATOS!$B:$B,BASEDATOS!R:R,0,0,1)</f>
        <v>0.25</v>
      </c>
      <c r="L253" s="51">
        <f t="shared" si="259"/>
        <v>0.51041666666666696</v>
      </c>
      <c r="M253" s="52" t="str">
        <f t="shared" si="260"/>
        <v>1:00</v>
      </c>
      <c r="N253" s="51">
        <f t="shared" si="261"/>
        <v>0.46875000000000028</v>
      </c>
      <c r="O253" s="53" t="str">
        <f t="shared" ref="O253" si="300">+O259</f>
        <v>1-4-2</v>
      </c>
      <c r="P253" s="54">
        <f>+IF(AND(Y253="Domingo",U253=7),_xlfn.XLOOKUP(O253,'Horarios y Sistemas'!C:C,'Horarios y Sistemas'!H:H,0,0,1),0)</f>
        <v>0</v>
      </c>
      <c r="Q253" s="54">
        <f>IF(U253=U254,0,IF(AVERAGEIF(W:W,W253,U:U)=U253,0,_xlfn.XLOOKUP(O253,'Horarios y Sistemas'!C:C,'Horarios y Sistemas'!H:H,0,0,1)-P253))/7*U253</f>
        <v>0</v>
      </c>
      <c r="R253" s="54">
        <f t="shared" si="263"/>
        <v>0</v>
      </c>
      <c r="S253" s="55" t="str">
        <f t="shared" si="264"/>
        <v>SEPTIEMBRE</v>
      </c>
      <c r="T253" s="55" t="str">
        <f t="shared" si="265"/>
        <v>Sem40</v>
      </c>
      <c r="U253" s="56">
        <f t="shared" si="233"/>
        <v>7</v>
      </c>
      <c r="V253" s="59">
        <v>46293</v>
      </c>
      <c r="W253" s="56">
        <f t="shared" si="266"/>
        <v>40</v>
      </c>
      <c r="X253" s="56">
        <f t="shared" si="267"/>
        <v>28</v>
      </c>
      <c r="Y253" s="56" t="s">
        <v>28</v>
      </c>
      <c r="Z253" s="56">
        <v>1</v>
      </c>
      <c r="AA253" s="58">
        <f t="shared" si="280"/>
        <v>0</v>
      </c>
      <c r="AB253" s="58">
        <f t="shared" si="280"/>
        <v>1</v>
      </c>
      <c r="AC253" s="58">
        <f t="shared" si="280"/>
        <v>0</v>
      </c>
      <c r="AD253" s="58">
        <f t="shared" si="280"/>
        <v>0</v>
      </c>
      <c r="AE253" s="58">
        <f t="shared" si="280"/>
        <v>0</v>
      </c>
    </row>
    <row r="254" spans="2:34">
      <c r="B254" t="str">
        <f t="shared" si="254"/>
        <v>Sem4040DE PAZ REYES VICTOR ALFONSO</v>
      </c>
      <c r="C254" t="str">
        <f t="shared" si="255"/>
        <v>SEPTIEMBRESem40</v>
      </c>
      <c r="D254" t="str">
        <f t="shared" si="256"/>
        <v>SEPTIEMBRESem40DE PAZ REYES VICTOR ALFONSO</v>
      </c>
      <c r="E254" t="str">
        <f t="shared" si="257"/>
        <v>SEPTIEMBRESem4040DE PAZ REYES VICTOR ALFONSO</v>
      </c>
      <c r="F254" t="str">
        <f t="shared" si="258"/>
        <v>DE PAZ REYES VICTOR ALFONSO46294</v>
      </c>
      <c r="H254" s="49" t="s">
        <v>3</v>
      </c>
      <c r="I254" s="50" t="str">
        <f>+_xlfn.XLOOKUP($H254&amp;$V254,BASEDATOS!$B:$B,BASEDATOS!F:F,0,0,1)</f>
        <v>DIA</v>
      </c>
      <c r="J254" s="51">
        <f>+_xlfn.XLOOKUP($H254&amp;$V254,BASEDATOS!$B:$B,BASEDATOS!Q:Q,0,0,1)</f>
        <v>0.33333333333333298</v>
      </c>
      <c r="K254" s="51">
        <f>+_xlfn.XLOOKUP($H254&amp;$V254,BASEDATOS!$B:$B,BASEDATOS!R:R,0,0,1)</f>
        <v>0.70833333333333304</v>
      </c>
      <c r="L254" s="51">
        <f t="shared" si="259"/>
        <v>0.37500000000000006</v>
      </c>
      <c r="M254" s="52" t="str">
        <f t="shared" si="260"/>
        <v>1:00</v>
      </c>
      <c r="N254" s="51">
        <f t="shared" si="261"/>
        <v>0.33333333333333337</v>
      </c>
      <c r="O254" s="53" t="str">
        <f t="shared" ref="O254" si="301">+O259</f>
        <v>1-4-2</v>
      </c>
      <c r="P254" s="54">
        <f>+IF(AND(Y254="Domingo",U254=7),_xlfn.XLOOKUP(O254,'Horarios y Sistemas'!C:C,'Horarios y Sistemas'!H:H,0,0,1),0)</f>
        <v>0</v>
      </c>
      <c r="Q254" s="54">
        <f>IF(U254=U255,0,IF(AVERAGEIF(W:W,W254,U:U)=U254,0,_xlfn.XLOOKUP(O254,'Horarios y Sistemas'!C:C,'Horarios y Sistemas'!H:H,0,0,1)-P254))/7*U254</f>
        <v>0</v>
      </c>
      <c r="R254" s="54">
        <f t="shared" si="263"/>
        <v>0</v>
      </c>
      <c r="S254" s="55" t="str">
        <f t="shared" si="264"/>
        <v>SEPTIEMBRE</v>
      </c>
      <c r="T254" s="55" t="str">
        <f t="shared" si="265"/>
        <v>Sem40</v>
      </c>
      <c r="U254" s="56">
        <f t="shared" si="233"/>
        <v>7</v>
      </c>
      <c r="V254" s="59">
        <v>46294</v>
      </c>
      <c r="W254" s="56">
        <f t="shared" si="266"/>
        <v>40</v>
      </c>
      <c r="X254" s="56">
        <f t="shared" si="267"/>
        <v>29</v>
      </c>
      <c r="Y254" s="56" t="s">
        <v>29</v>
      </c>
      <c r="Z254" s="56">
        <v>2</v>
      </c>
      <c r="AA254" s="58">
        <f t="shared" si="280"/>
        <v>1</v>
      </c>
      <c r="AB254" s="58">
        <f t="shared" si="280"/>
        <v>0</v>
      </c>
      <c r="AC254" s="58">
        <f t="shared" si="280"/>
        <v>0</v>
      </c>
      <c r="AD254" s="58">
        <f t="shared" si="280"/>
        <v>0</v>
      </c>
      <c r="AE254" s="58">
        <f t="shared" si="280"/>
        <v>0</v>
      </c>
    </row>
    <row r="255" spans="2:34">
      <c r="B255" t="str">
        <f t="shared" si="254"/>
        <v>Sem4040DE PAZ REYES VICTOR ALFONSO</v>
      </c>
      <c r="C255" t="str">
        <f t="shared" si="255"/>
        <v>SEPTIEMBRESem40</v>
      </c>
      <c r="D255" t="str">
        <f t="shared" si="256"/>
        <v>SEPTIEMBRESem40DE PAZ REYES VICTOR ALFONSO</v>
      </c>
      <c r="E255" t="str">
        <f t="shared" si="257"/>
        <v>SEPTIEMBRESem4040DE PAZ REYES VICTOR ALFONSO</v>
      </c>
      <c r="F255" t="str">
        <f t="shared" si="258"/>
        <v>DE PAZ REYES VICTOR ALFONSO46295</v>
      </c>
      <c r="H255" s="49" t="s">
        <v>3</v>
      </c>
      <c r="I255" s="50" t="str">
        <f>+_xlfn.XLOOKUP($H255&amp;$V255,BASEDATOS!$B:$B,BASEDATOS!F:F,0,0,1)</f>
        <v>NOCHE</v>
      </c>
      <c r="J255" s="51">
        <f>+_xlfn.XLOOKUP($H255&amp;$V255,BASEDATOS!$B:$B,BASEDATOS!Q:Q,0,0,1)</f>
        <v>0.73958333333333304</v>
      </c>
      <c r="K255" s="51">
        <f>+_xlfn.XLOOKUP($H255&amp;$V255,BASEDATOS!$B:$B,BASEDATOS!R:R,0,0,1)</f>
        <v>0.25</v>
      </c>
      <c r="L255" s="51">
        <f t="shared" si="259"/>
        <v>0.51041666666666696</v>
      </c>
      <c r="M255" s="52" t="str">
        <f t="shared" si="260"/>
        <v>1:00</v>
      </c>
      <c r="N255" s="51">
        <f t="shared" si="261"/>
        <v>0.46875000000000028</v>
      </c>
      <c r="O255" s="53" t="str">
        <f t="shared" ref="O255" si="302">+O259</f>
        <v>1-4-2</v>
      </c>
      <c r="P255" s="54">
        <f>+IF(AND(Y255="Domingo",U255=7),_xlfn.XLOOKUP(O255,'Horarios y Sistemas'!C:C,'Horarios y Sistemas'!H:H,0,0,1),0)</f>
        <v>0</v>
      </c>
      <c r="Q255" s="54">
        <f>IF(U255=U256,0,IF(AVERAGEIF(W:W,W255,U:U)=U255,0,_xlfn.XLOOKUP(O255,'Horarios y Sistemas'!C:C,'Horarios y Sistemas'!H:H,0,0,1)-P255))/7*U255</f>
        <v>0</v>
      </c>
      <c r="R255" s="54">
        <f t="shared" si="263"/>
        <v>0</v>
      </c>
      <c r="S255" s="55" t="str">
        <f t="shared" si="264"/>
        <v>SEPTIEMBRE</v>
      </c>
      <c r="T255" s="55" t="str">
        <f t="shared" si="265"/>
        <v>Sem40</v>
      </c>
      <c r="U255" s="56">
        <f t="shared" si="233"/>
        <v>7</v>
      </c>
      <c r="V255" s="59">
        <v>46295</v>
      </c>
      <c r="W255" s="56">
        <f t="shared" si="266"/>
        <v>40</v>
      </c>
      <c r="X255" s="56">
        <f t="shared" si="267"/>
        <v>30</v>
      </c>
      <c r="Y255" s="56" t="s">
        <v>30</v>
      </c>
      <c r="Z255" s="56">
        <v>3</v>
      </c>
      <c r="AA255" s="58">
        <f t="shared" si="280"/>
        <v>0</v>
      </c>
      <c r="AB255" s="58">
        <f t="shared" si="280"/>
        <v>1</v>
      </c>
      <c r="AC255" s="58">
        <f t="shared" si="280"/>
        <v>0</v>
      </c>
      <c r="AD255" s="58">
        <f t="shared" si="280"/>
        <v>0</v>
      </c>
      <c r="AE255" s="58">
        <f t="shared" si="280"/>
        <v>0</v>
      </c>
    </row>
    <row r="256" spans="2:34">
      <c r="B256" t="str">
        <f t="shared" si="254"/>
        <v>Sem4040DE PAZ REYES VICTOR ALFONSO</v>
      </c>
      <c r="C256" t="str">
        <f t="shared" si="255"/>
        <v>OCTUBRESem40</v>
      </c>
      <c r="D256" t="str">
        <f t="shared" si="256"/>
        <v>OCTUBRESem40DE PAZ REYES VICTOR ALFONSO</v>
      </c>
      <c r="E256" t="str">
        <f t="shared" si="257"/>
        <v>OCTUBRESem4040DE PAZ REYES VICTOR ALFONSO</v>
      </c>
      <c r="F256" t="str">
        <f t="shared" si="258"/>
        <v>DE PAZ REYES VICTOR ALFONSO46296</v>
      </c>
      <c r="H256" s="49" t="s">
        <v>3</v>
      </c>
      <c r="I256" s="50" t="str">
        <f>+_xlfn.XLOOKUP($H256&amp;$V256,BASEDATOS!$B:$B,BASEDATOS!F:F,0,0,1)</f>
        <v>NOCHE</v>
      </c>
      <c r="J256" s="51">
        <f>+_xlfn.XLOOKUP($H256&amp;$V256,BASEDATOS!$B:$B,BASEDATOS!Q:Q,0,0,1)</f>
        <v>0.73958333333333304</v>
      </c>
      <c r="K256" s="51">
        <f>+_xlfn.XLOOKUP($H256&amp;$V256,BASEDATOS!$B:$B,BASEDATOS!R:R,0,0,1)</f>
        <v>0.25</v>
      </c>
      <c r="L256" s="51">
        <f t="shared" si="259"/>
        <v>0.51041666666666696</v>
      </c>
      <c r="M256" s="52" t="str">
        <f t="shared" si="260"/>
        <v>1:00</v>
      </c>
      <c r="N256" s="51">
        <f t="shared" si="261"/>
        <v>0.46875000000000028</v>
      </c>
      <c r="O256" s="53" t="str">
        <f t="shared" ref="O256" si="303">+O259</f>
        <v>1-4-2</v>
      </c>
      <c r="P256" s="54">
        <f>+IF(AND(Y256="Domingo",U256=7),_xlfn.XLOOKUP(O256,'Horarios y Sistemas'!C:C,'Horarios y Sistemas'!H:H,0,0,1),0)</f>
        <v>0</v>
      </c>
      <c r="Q256" s="54">
        <f>IF(U256=U257,0,IF(AVERAGEIF(W:W,W256,U:U)=U256,0,_xlfn.XLOOKUP(O256,'Horarios y Sistemas'!C:C,'Horarios y Sistemas'!H:H,0,0,1)-P256))/7*U256</f>
        <v>0</v>
      </c>
      <c r="R256" s="54">
        <f t="shared" si="263"/>
        <v>0</v>
      </c>
      <c r="S256" s="55" t="str">
        <f t="shared" si="264"/>
        <v>OCTUBRE</v>
      </c>
      <c r="T256" s="55" t="str">
        <f t="shared" si="265"/>
        <v>Sem40</v>
      </c>
      <c r="U256" s="56">
        <f t="shared" si="233"/>
        <v>7</v>
      </c>
      <c r="V256" s="59">
        <v>46296</v>
      </c>
      <c r="W256" s="56">
        <f t="shared" si="266"/>
        <v>40</v>
      </c>
      <c r="X256" s="56">
        <f t="shared" si="267"/>
        <v>1</v>
      </c>
      <c r="Y256" s="56" t="s">
        <v>31</v>
      </c>
      <c r="Z256" s="56">
        <v>4</v>
      </c>
      <c r="AA256" s="58">
        <f t="shared" si="280"/>
        <v>0</v>
      </c>
      <c r="AB256" s="58">
        <f t="shared" si="280"/>
        <v>1</v>
      </c>
      <c r="AC256" s="58">
        <f t="shared" si="280"/>
        <v>0</v>
      </c>
      <c r="AD256" s="58">
        <f t="shared" si="280"/>
        <v>0</v>
      </c>
      <c r="AE256" s="58">
        <f t="shared" si="280"/>
        <v>0</v>
      </c>
    </row>
    <row r="257" spans="2:34">
      <c r="B257" t="str">
        <f t="shared" si="254"/>
        <v>Sem4040DE PAZ REYES VICTOR ALFONSO</v>
      </c>
      <c r="C257" t="str">
        <f t="shared" si="255"/>
        <v>OCTUBRESem40</v>
      </c>
      <c r="D257" t="str">
        <f t="shared" si="256"/>
        <v>OCTUBRESem40DE PAZ REYES VICTOR ALFONSO</v>
      </c>
      <c r="E257" t="str">
        <f t="shared" si="257"/>
        <v>OCTUBRESem4040DE PAZ REYES VICTOR ALFONSO</v>
      </c>
      <c r="F257" t="str">
        <f t="shared" si="258"/>
        <v>DE PAZ REYES VICTOR ALFONSO46297</v>
      </c>
      <c r="H257" s="49" t="s">
        <v>3</v>
      </c>
      <c r="I257" s="50" t="str">
        <f>+_xlfn.XLOOKUP($H257&amp;$V257,BASEDATOS!$B:$B,BASEDATOS!F:F,0,0,1)</f>
        <v>NOCHE</v>
      </c>
      <c r="J257" s="51">
        <f>+_xlfn.XLOOKUP($H257&amp;$V257,BASEDATOS!$B:$B,BASEDATOS!Q:Q,0,0,1)</f>
        <v>0.73958333333333304</v>
      </c>
      <c r="K257" s="51">
        <f>+_xlfn.XLOOKUP($H257&amp;$V257,BASEDATOS!$B:$B,BASEDATOS!R:R,0,0,1)</f>
        <v>0.25</v>
      </c>
      <c r="L257" s="51">
        <f t="shared" si="259"/>
        <v>0.51041666666666696</v>
      </c>
      <c r="M257" s="52" t="str">
        <f t="shared" si="260"/>
        <v>1:00</v>
      </c>
      <c r="N257" s="51">
        <f t="shared" si="261"/>
        <v>0.46875000000000028</v>
      </c>
      <c r="O257" s="53" t="str">
        <f t="shared" ref="O257" si="304">+O259</f>
        <v>1-4-2</v>
      </c>
      <c r="P257" s="54">
        <f>+IF(AND(Y257="Domingo",U257=7),_xlfn.XLOOKUP(O257,'Horarios y Sistemas'!C:C,'Horarios y Sistemas'!H:H,0,0,1),0)</f>
        <v>0</v>
      </c>
      <c r="Q257" s="54">
        <f>IF(U257=U258,0,IF(AVERAGEIF(W:W,W257,U:U)=U257,0,_xlfn.XLOOKUP(O257,'Horarios y Sistemas'!C:C,'Horarios y Sistemas'!H:H,0,0,1)-P257))/7*U257</f>
        <v>0</v>
      </c>
      <c r="R257" s="54">
        <f t="shared" si="263"/>
        <v>0</v>
      </c>
      <c r="S257" s="55" t="str">
        <f t="shared" si="264"/>
        <v>OCTUBRE</v>
      </c>
      <c r="T257" s="55" t="str">
        <f t="shared" si="265"/>
        <v>Sem40</v>
      </c>
      <c r="U257" s="56">
        <f t="shared" si="233"/>
        <v>7</v>
      </c>
      <c r="V257" s="59">
        <v>46297</v>
      </c>
      <c r="W257" s="56">
        <f t="shared" si="266"/>
        <v>40</v>
      </c>
      <c r="X257" s="56">
        <f t="shared" si="267"/>
        <v>2</v>
      </c>
      <c r="Y257" s="56" t="s">
        <v>32</v>
      </c>
      <c r="Z257" s="56">
        <v>5</v>
      </c>
      <c r="AA257" s="58">
        <f t="shared" si="280"/>
        <v>0</v>
      </c>
      <c r="AB257" s="58">
        <f t="shared" si="280"/>
        <v>1</v>
      </c>
      <c r="AC257" s="58">
        <f t="shared" si="280"/>
        <v>0</v>
      </c>
      <c r="AD257" s="58">
        <f t="shared" si="280"/>
        <v>0</v>
      </c>
      <c r="AE257" s="58">
        <f t="shared" si="280"/>
        <v>0</v>
      </c>
    </row>
    <row r="258" spans="2:34">
      <c r="B258" t="str">
        <f t="shared" si="254"/>
        <v>Sem4040DE PAZ REYES VICTOR ALFONSO</v>
      </c>
      <c r="C258" t="str">
        <f t="shared" si="255"/>
        <v>OCTUBRESem40</v>
      </c>
      <c r="D258" t="str">
        <f t="shared" si="256"/>
        <v>OCTUBRESem40DE PAZ REYES VICTOR ALFONSO</v>
      </c>
      <c r="E258" t="str">
        <f t="shared" si="257"/>
        <v>OCTUBRESem4040DE PAZ REYES VICTOR ALFONSO</v>
      </c>
      <c r="F258" t="str">
        <f t="shared" si="258"/>
        <v>DE PAZ REYES VICTOR ALFONSO46298</v>
      </c>
      <c r="H258" s="49" t="s">
        <v>3</v>
      </c>
      <c r="I258" s="50" t="str">
        <f>+_xlfn.XLOOKUP($H258&amp;$V258,BASEDATOS!$B:$B,BASEDATOS!F:F,0,0,1)</f>
        <v>DESCANSO</v>
      </c>
      <c r="J258" s="51">
        <f>+_xlfn.XLOOKUP($H258&amp;$V258,BASEDATOS!$B:$B,BASEDATOS!Q:Q,0,0,1)</f>
        <v>0</v>
      </c>
      <c r="K258" s="51">
        <f>+_xlfn.XLOOKUP($H258&amp;$V258,BASEDATOS!$B:$B,BASEDATOS!R:R,0,0,1)</f>
        <v>0</v>
      </c>
      <c r="L258" s="51">
        <f t="shared" si="259"/>
        <v>0</v>
      </c>
      <c r="M258" s="52">
        <f t="shared" si="260"/>
        <v>0</v>
      </c>
      <c r="N258" s="51">
        <f t="shared" si="261"/>
        <v>0</v>
      </c>
      <c r="O258" s="53" t="str">
        <f t="shared" ref="O258" si="305">+O259</f>
        <v>1-4-2</v>
      </c>
      <c r="P258" s="54">
        <f>+IF(AND(Y258="Domingo",U258=7),_xlfn.XLOOKUP(O258,'Horarios y Sistemas'!C:C,'Horarios y Sistemas'!H:H,0,0,1),0)</f>
        <v>0</v>
      </c>
      <c r="Q258" s="54">
        <f>IF(U258=U259,0,IF(AVERAGEIF(W:W,W258,U:U)=U258,0,_xlfn.XLOOKUP(O258,'Horarios y Sistemas'!C:C,'Horarios y Sistemas'!H:H,0,0,1)-P258))/7*U258</f>
        <v>0</v>
      </c>
      <c r="R258" s="54">
        <f t="shared" si="263"/>
        <v>0</v>
      </c>
      <c r="S258" s="55" t="str">
        <f t="shared" si="264"/>
        <v>OCTUBRE</v>
      </c>
      <c r="T258" s="55" t="str">
        <f t="shared" si="265"/>
        <v>Sem40</v>
      </c>
      <c r="U258" s="56">
        <f t="shared" si="233"/>
        <v>7</v>
      </c>
      <c r="V258" s="59">
        <v>46298</v>
      </c>
      <c r="W258" s="56">
        <f t="shared" si="266"/>
        <v>40</v>
      </c>
      <c r="X258" s="56">
        <f t="shared" si="267"/>
        <v>3</v>
      </c>
      <c r="Y258" s="56" t="s">
        <v>33</v>
      </c>
      <c r="Z258" s="56">
        <v>6</v>
      </c>
      <c r="AA258" s="58">
        <f t="shared" si="280"/>
        <v>0</v>
      </c>
      <c r="AB258" s="58">
        <f t="shared" si="280"/>
        <v>0</v>
      </c>
      <c r="AC258" s="58">
        <f t="shared" si="280"/>
        <v>1</v>
      </c>
      <c r="AD258" s="58">
        <f t="shared" si="280"/>
        <v>0</v>
      </c>
      <c r="AE258" s="58">
        <f t="shared" si="280"/>
        <v>0</v>
      </c>
    </row>
    <row r="259" spans="2:34" s="60" customFormat="1">
      <c r="B259" s="60" t="str">
        <f t="shared" si="254"/>
        <v>Sem4040DE PAZ REYES VICTOR ALFONSO</v>
      </c>
      <c r="C259" s="60" t="str">
        <f t="shared" si="255"/>
        <v>OCTUBRESem40</v>
      </c>
      <c r="D259" s="60" t="str">
        <f t="shared" si="256"/>
        <v>OCTUBRESem40DE PAZ REYES VICTOR ALFONSO</v>
      </c>
      <c r="E259" s="60" t="str">
        <f t="shared" si="257"/>
        <v>OCTUBRESem4040DE PAZ REYES VICTOR ALFONSO</v>
      </c>
      <c r="F259" s="60" t="str">
        <f t="shared" si="258"/>
        <v>DE PAZ REYES VICTOR ALFONSO46299</v>
      </c>
      <c r="H259" s="61" t="s">
        <v>3</v>
      </c>
      <c r="I259" s="62" t="str">
        <f>+_xlfn.XLOOKUP($H259&amp;$V259,BASEDATOS!$B:$B,BASEDATOS!F:F,0,0,1)</f>
        <v>DESCANSO</v>
      </c>
      <c r="J259" s="63">
        <f>+_xlfn.XLOOKUP($H259&amp;$V259,BASEDATOS!$B:$B,BASEDATOS!Q:Q,0,0,1)</f>
        <v>0</v>
      </c>
      <c r="K259" s="63">
        <f>+_xlfn.XLOOKUP($H259&amp;$V259,BASEDATOS!$B:$B,BASEDATOS!R:R,0,0,1)</f>
        <v>0</v>
      </c>
      <c r="L259" s="63">
        <f t="shared" si="259"/>
        <v>0</v>
      </c>
      <c r="M259" s="64">
        <f t="shared" si="260"/>
        <v>0</v>
      </c>
      <c r="N259" s="63">
        <f t="shared" si="261"/>
        <v>0</v>
      </c>
      <c r="O259" s="65" t="str">
        <f t="shared" ref="O259" si="306">+IF(Y259="Domingo",SUM(AA253:AA259)&amp;"-"&amp;SUM(AB253:AB259)&amp;"-"&amp;SUM(AC253:AE259),"")</f>
        <v>1-4-2</v>
      </c>
      <c r="P259" s="66">
        <f>+IF(AND(Y259="Domingo",U259=7),_xlfn.XLOOKUP(O259,'Horarios y Sistemas'!C:C,'Horarios y Sistemas'!H:H,0,0,1),0)</f>
        <v>37.6</v>
      </c>
      <c r="Q259" s="66">
        <f>IF(U259=U260,0,IF(AVERAGEIF(W:W,W259,U:U)=U259,0,_xlfn.XLOOKUP(O259,'Horarios y Sistemas'!C:C,'Horarios y Sistemas'!H:H,0,0,1)-P259))/7*U259</f>
        <v>0</v>
      </c>
      <c r="R259" s="66">
        <f t="shared" si="263"/>
        <v>37.6</v>
      </c>
      <c r="S259" s="67" t="str">
        <f t="shared" si="264"/>
        <v>OCTUBRE</v>
      </c>
      <c r="T259" s="55" t="str">
        <f t="shared" si="265"/>
        <v>Sem40</v>
      </c>
      <c r="U259" s="68">
        <f t="shared" si="233"/>
        <v>7</v>
      </c>
      <c r="V259" s="69">
        <v>46299</v>
      </c>
      <c r="W259" s="68">
        <f t="shared" si="266"/>
        <v>40</v>
      </c>
      <c r="X259" s="68">
        <f t="shared" si="267"/>
        <v>4</v>
      </c>
      <c r="Y259" s="68" t="s">
        <v>34</v>
      </c>
      <c r="Z259" s="68">
        <v>7</v>
      </c>
      <c r="AA259" s="70">
        <f t="shared" si="280"/>
        <v>0</v>
      </c>
      <c r="AB259" s="70">
        <f t="shared" si="280"/>
        <v>0</v>
      </c>
      <c r="AC259" s="70">
        <f t="shared" si="280"/>
        <v>1</v>
      </c>
      <c r="AD259" s="70">
        <f t="shared" si="280"/>
        <v>0</v>
      </c>
      <c r="AE259" s="70">
        <f t="shared" si="280"/>
        <v>0</v>
      </c>
      <c r="AF259" s="71"/>
      <c r="AG259" s="71"/>
      <c r="AH259" s="71"/>
    </row>
    <row r="260" spans="2:34">
      <c r="B260" t="str">
        <f t="shared" si="254"/>
        <v>Sem3838DUVITSA ASUCELI ALBIZURES VALENZUELA</v>
      </c>
      <c r="C260" t="str">
        <f t="shared" si="255"/>
        <v>SEPTIEMBRESem38</v>
      </c>
      <c r="D260" t="str">
        <f t="shared" si="256"/>
        <v>SEPTIEMBRESem38DUVITSA ASUCELI ALBIZURES VALENZUELA</v>
      </c>
      <c r="E260" t="str">
        <f t="shared" si="257"/>
        <v>SEPTIEMBRESem3838DUVITSA ASUCELI ALBIZURES VALENZUELA</v>
      </c>
      <c r="F260" t="str">
        <f t="shared" si="258"/>
        <v>DUVITSA ASUCELI ALBIZURES VALENZUELA46279</v>
      </c>
      <c r="H260" s="49" t="s">
        <v>251</v>
      </c>
      <c r="I260" s="50" t="str">
        <f>+_xlfn.XLOOKUP($H260&amp;$V260,BASEDATOS!$B:$B,BASEDATOS!F:F,0,0,1)</f>
        <v>DIA</v>
      </c>
      <c r="J260" s="51">
        <f>+_xlfn.XLOOKUP($H260&amp;$V260,BASEDATOS!$B:$B,BASEDATOS!Q:Q,0,0,1)</f>
        <v>0.29166666666666702</v>
      </c>
      <c r="K260" s="51">
        <f>+_xlfn.XLOOKUP($H260&amp;$V260,BASEDATOS!$B:$B,BASEDATOS!R:R,0,0,1)</f>
        <v>0.70833333333333304</v>
      </c>
      <c r="L260" s="51">
        <f t="shared" si="259"/>
        <v>0.41666666666666602</v>
      </c>
      <c r="M260" s="52" t="str">
        <f t="shared" si="260"/>
        <v>1:00</v>
      </c>
      <c r="N260" s="51">
        <f t="shared" si="261"/>
        <v>0.37499999999999933</v>
      </c>
      <c r="O260" s="53" t="str">
        <f t="shared" ref="O260" si="307">+O266</f>
        <v>6-0-1</v>
      </c>
      <c r="P260" s="54">
        <f>+IF(AND(Y260="Domingo",U260=7),_xlfn.XLOOKUP(O260,'Horarios y Sistemas'!C:C,'Horarios y Sistemas'!H:H,0,0,1),0)</f>
        <v>0</v>
      </c>
      <c r="Q260" s="54">
        <f>IF(U260=U261,0,IF(AVERAGEIF(W:W,W260,U:U)=U260,0,_xlfn.XLOOKUP(O260,'Horarios y Sistemas'!C:C,'Horarios y Sistemas'!H:H,0,0,1)-P260))/7*U260</f>
        <v>0</v>
      </c>
      <c r="R260" s="54">
        <f t="shared" si="263"/>
        <v>0</v>
      </c>
      <c r="S260" s="55" t="str">
        <f t="shared" si="264"/>
        <v>SEPTIEMBRE</v>
      </c>
      <c r="T260" s="55" t="str">
        <f t="shared" si="265"/>
        <v>Sem38</v>
      </c>
      <c r="U260" s="56">
        <f t="shared" si="233"/>
        <v>7</v>
      </c>
      <c r="V260" s="57">
        <v>46279</v>
      </c>
      <c r="W260" s="56">
        <f t="shared" si="266"/>
        <v>38</v>
      </c>
      <c r="X260" s="56">
        <f t="shared" si="267"/>
        <v>14</v>
      </c>
      <c r="Y260" s="56" t="s">
        <v>28</v>
      </c>
      <c r="Z260" s="56">
        <v>1</v>
      </c>
      <c r="AA260" s="58">
        <f t="shared" si="280"/>
        <v>1</v>
      </c>
      <c r="AB260" s="58">
        <f t="shared" si="280"/>
        <v>0</v>
      </c>
      <c r="AC260" s="58">
        <f t="shared" si="280"/>
        <v>0</v>
      </c>
      <c r="AD260" s="58">
        <f t="shared" si="280"/>
        <v>0</v>
      </c>
      <c r="AE260" s="58">
        <f t="shared" si="280"/>
        <v>0</v>
      </c>
    </row>
    <row r="261" spans="2:34">
      <c r="B261" t="str">
        <f t="shared" si="254"/>
        <v>Sem3838DUVITSA ASUCELI ALBIZURES VALENZUELA</v>
      </c>
      <c r="C261" t="str">
        <f t="shared" si="255"/>
        <v>SEPTIEMBRESem38</v>
      </c>
      <c r="D261" t="str">
        <f t="shared" si="256"/>
        <v>SEPTIEMBRESem38DUVITSA ASUCELI ALBIZURES VALENZUELA</v>
      </c>
      <c r="E261" t="str">
        <f t="shared" si="257"/>
        <v>SEPTIEMBRESem3838DUVITSA ASUCELI ALBIZURES VALENZUELA</v>
      </c>
      <c r="F261" t="str">
        <f t="shared" si="258"/>
        <v>DUVITSA ASUCELI ALBIZURES VALENZUELA46280</v>
      </c>
      <c r="H261" s="49" t="s">
        <v>251</v>
      </c>
      <c r="I261" s="50" t="str">
        <f>+_xlfn.XLOOKUP($H261&amp;$V261,BASEDATOS!$B:$B,BASEDATOS!F:F,0,0,1)</f>
        <v>DIA</v>
      </c>
      <c r="J261" s="51">
        <f>+_xlfn.XLOOKUP($H261&amp;$V261,BASEDATOS!$B:$B,BASEDATOS!Q:Q,0,0,1)</f>
        <v>0.29166666666666702</v>
      </c>
      <c r="K261" s="51">
        <f>+_xlfn.XLOOKUP($H261&amp;$V261,BASEDATOS!$B:$B,BASEDATOS!R:R,0,0,1)</f>
        <v>0.70833333333333304</v>
      </c>
      <c r="L261" s="51">
        <f t="shared" si="259"/>
        <v>0.41666666666666602</v>
      </c>
      <c r="M261" s="52" t="str">
        <f t="shared" si="260"/>
        <v>1:00</v>
      </c>
      <c r="N261" s="51">
        <f t="shared" si="261"/>
        <v>0.37499999999999933</v>
      </c>
      <c r="O261" s="53" t="str">
        <f t="shared" ref="O261" si="308">+O266</f>
        <v>6-0-1</v>
      </c>
      <c r="P261" s="54">
        <f>+IF(AND(Y261="Domingo",U261=7),_xlfn.XLOOKUP(O261,'Horarios y Sistemas'!C:C,'Horarios y Sistemas'!H:H,0,0,1),0)</f>
        <v>0</v>
      </c>
      <c r="Q261" s="54">
        <f>IF(U261=U262,0,IF(AVERAGEIF(W:W,W261,U:U)=U261,0,_xlfn.XLOOKUP(O261,'Horarios y Sistemas'!C:C,'Horarios y Sistemas'!H:H,0,0,1)-P261))/7*U261</f>
        <v>0</v>
      </c>
      <c r="R261" s="54">
        <f t="shared" si="263"/>
        <v>0</v>
      </c>
      <c r="S261" s="55" t="str">
        <f t="shared" si="264"/>
        <v>SEPTIEMBRE</v>
      </c>
      <c r="T261" s="55" t="str">
        <f t="shared" si="265"/>
        <v>Sem38</v>
      </c>
      <c r="U261" s="56">
        <f t="shared" si="233"/>
        <v>7</v>
      </c>
      <c r="V261" s="59">
        <v>46280</v>
      </c>
      <c r="W261" s="56">
        <f t="shared" si="266"/>
        <v>38</v>
      </c>
      <c r="X261" s="56">
        <f t="shared" si="267"/>
        <v>15</v>
      </c>
      <c r="Y261" s="56" t="s">
        <v>29</v>
      </c>
      <c r="Z261" s="56">
        <v>2</v>
      </c>
      <c r="AA261" s="58">
        <f t="shared" si="280"/>
        <v>1</v>
      </c>
      <c r="AB261" s="58">
        <f t="shared" si="280"/>
        <v>0</v>
      </c>
      <c r="AC261" s="58">
        <f t="shared" si="280"/>
        <v>0</v>
      </c>
      <c r="AD261" s="58">
        <f t="shared" si="280"/>
        <v>0</v>
      </c>
      <c r="AE261" s="58">
        <f t="shared" si="280"/>
        <v>0</v>
      </c>
    </row>
    <row r="262" spans="2:34">
      <c r="B262" t="str">
        <f t="shared" si="254"/>
        <v>Sem3838DUVITSA ASUCELI ALBIZURES VALENZUELA</v>
      </c>
      <c r="C262" t="str">
        <f t="shared" si="255"/>
        <v>SEPTIEMBRESem38</v>
      </c>
      <c r="D262" t="str">
        <f t="shared" si="256"/>
        <v>SEPTIEMBRESem38DUVITSA ASUCELI ALBIZURES VALENZUELA</v>
      </c>
      <c r="E262" t="str">
        <f t="shared" si="257"/>
        <v>SEPTIEMBRESem3838DUVITSA ASUCELI ALBIZURES VALENZUELA</v>
      </c>
      <c r="F262" t="str">
        <f t="shared" si="258"/>
        <v>DUVITSA ASUCELI ALBIZURES VALENZUELA46281</v>
      </c>
      <c r="H262" s="49" t="s">
        <v>251</v>
      </c>
      <c r="I262" s="50" t="str">
        <f>+_xlfn.XLOOKUP($H262&amp;$V262,BASEDATOS!$B:$B,BASEDATOS!F:F,0,0,1)</f>
        <v>DIA</v>
      </c>
      <c r="J262" s="51">
        <f>+_xlfn.XLOOKUP($H262&amp;$V262,BASEDATOS!$B:$B,BASEDATOS!Q:Q,0,0,1)</f>
        <v>0.29166666666666702</v>
      </c>
      <c r="K262" s="51">
        <f>+_xlfn.XLOOKUP($H262&amp;$V262,BASEDATOS!$B:$B,BASEDATOS!R:R,0,0,1)</f>
        <v>0.70833333333333304</v>
      </c>
      <c r="L262" s="51">
        <f t="shared" si="259"/>
        <v>0.41666666666666602</v>
      </c>
      <c r="M262" s="52" t="str">
        <f t="shared" si="260"/>
        <v>1:00</v>
      </c>
      <c r="N262" s="51">
        <f t="shared" si="261"/>
        <v>0.37499999999999933</v>
      </c>
      <c r="O262" s="53" t="str">
        <f t="shared" ref="O262" si="309">+O266</f>
        <v>6-0-1</v>
      </c>
      <c r="P262" s="54">
        <f>+IF(AND(Y262="Domingo",U262=7),_xlfn.XLOOKUP(O262,'Horarios y Sistemas'!C:C,'Horarios y Sistemas'!H:H,0,0,1),0)</f>
        <v>0</v>
      </c>
      <c r="Q262" s="54">
        <f>IF(U262=U263,0,IF(AVERAGEIF(W:W,W262,U:U)=U262,0,_xlfn.XLOOKUP(O262,'Horarios y Sistemas'!C:C,'Horarios y Sistemas'!H:H,0,0,1)-P262))/7*U262</f>
        <v>0</v>
      </c>
      <c r="R262" s="54">
        <f t="shared" si="263"/>
        <v>0</v>
      </c>
      <c r="S262" s="55" t="str">
        <f t="shared" si="264"/>
        <v>SEPTIEMBRE</v>
      </c>
      <c r="T262" s="55" t="str">
        <f t="shared" si="265"/>
        <v>Sem38</v>
      </c>
      <c r="U262" s="56">
        <f t="shared" si="233"/>
        <v>7</v>
      </c>
      <c r="V262" s="59">
        <v>46281</v>
      </c>
      <c r="W262" s="56">
        <f t="shared" si="266"/>
        <v>38</v>
      </c>
      <c r="X262" s="56">
        <f t="shared" si="267"/>
        <v>16</v>
      </c>
      <c r="Y262" s="56" t="s">
        <v>30</v>
      </c>
      <c r="Z262" s="56">
        <v>3</v>
      </c>
      <c r="AA262" s="58">
        <f t="shared" si="280"/>
        <v>1</v>
      </c>
      <c r="AB262" s="58">
        <f t="shared" si="280"/>
        <v>0</v>
      </c>
      <c r="AC262" s="58">
        <f t="shared" si="280"/>
        <v>0</v>
      </c>
      <c r="AD262" s="58">
        <f t="shared" si="280"/>
        <v>0</v>
      </c>
      <c r="AE262" s="58">
        <f t="shared" si="280"/>
        <v>0</v>
      </c>
    </row>
    <row r="263" spans="2:34">
      <c r="B263" t="str">
        <f t="shared" si="254"/>
        <v>Sem3838DUVITSA ASUCELI ALBIZURES VALENZUELA</v>
      </c>
      <c r="C263" t="str">
        <f t="shared" si="255"/>
        <v>SEPTIEMBRESem38</v>
      </c>
      <c r="D263" t="str">
        <f t="shared" si="256"/>
        <v>SEPTIEMBRESem38DUVITSA ASUCELI ALBIZURES VALENZUELA</v>
      </c>
      <c r="E263" t="str">
        <f t="shared" si="257"/>
        <v>SEPTIEMBRESem3838DUVITSA ASUCELI ALBIZURES VALENZUELA</v>
      </c>
      <c r="F263" t="str">
        <f t="shared" si="258"/>
        <v>DUVITSA ASUCELI ALBIZURES VALENZUELA46282</v>
      </c>
      <c r="H263" s="49" t="s">
        <v>251</v>
      </c>
      <c r="I263" s="50" t="str">
        <f>+_xlfn.XLOOKUP($H263&amp;$V263,BASEDATOS!$B:$B,BASEDATOS!F:F,0,0,1)</f>
        <v>DIA</v>
      </c>
      <c r="J263" s="51">
        <f>+_xlfn.XLOOKUP($H263&amp;$V263,BASEDATOS!$B:$B,BASEDATOS!Q:Q,0,0,1)</f>
        <v>0.29166666666666702</v>
      </c>
      <c r="K263" s="51">
        <f>+_xlfn.XLOOKUP($H263&amp;$V263,BASEDATOS!$B:$B,BASEDATOS!R:R,0,0,1)</f>
        <v>0.70833333333333304</v>
      </c>
      <c r="L263" s="51">
        <f t="shared" si="259"/>
        <v>0.41666666666666602</v>
      </c>
      <c r="M263" s="52" t="str">
        <f t="shared" si="260"/>
        <v>1:00</v>
      </c>
      <c r="N263" s="51">
        <f t="shared" si="261"/>
        <v>0.37499999999999933</v>
      </c>
      <c r="O263" s="53" t="str">
        <f t="shared" ref="O263" si="310">+O266</f>
        <v>6-0-1</v>
      </c>
      <c r="P263" s="54">
        <f>+IF(AND(Y263="Domingo",U263=7),_xlfn.XLOOKUP(O263,'Horarios y Sistemas'!C:C,'Horarios y Sistemas'!H:H,0,0,1),0)</f>
        <v>0</v>
      </c>
      <c r="Q263" s="54">
        <f>IF(U263=U264,0,IF(AVERAGEIF(W:W,W263,U:U)=U263,0,_xlfn.XLOOKUP(O263,'Horarios y Sistemas'!C:C,'Horarios y Sistemas'!H:H,0,0,1)-P263))/7*U263</f>
        <v>0</v>
      </c>
      <c r="R263" s="54">
        <f t="shared" si="263"/>
        <v>0</v>
      </c>
      <c r="S263" s="55" t="str">
        <f t="shared" si="264"/>
        <v>SEPTIEMBRE</v>
      </c>
      <c r="T263" s="55" t="str">
        <f t="shared" si="265"/>
        <v>Sem38</v>
      </c>
      <c r="U263" s="56">
        <f t="shared" si="233"/>
        <v>7</v>
      </c>
      <c r="V263" s="59">
        <v>46282</v>
      </c>
      <c r="W263" s="56">
        <f t="shared" si="266"/>
        <v>38</v>
      </c>
      <c r="X263" s="56">
        <f t="shared" si="267"/>
        <v>17</v>
      </c>
      <c r="Y263" s="56" t="s">
        <v>31</v>
      </c>
      <c r="Z263" s="56">
        <v>4</v>
      </c>
      <c r="AA263" s="58">
        <f t="shared" si="280"/>
        <v>1</v>
      </c>
      <c r="AB263" s="58">
        <f t="shared" si="280"/>
        <v>0</v>
      </c>
      <c r="AC263" s="58">
        <f t="shared" si="280"/>
        <v>0</v>
      </c>
      <c r="AD263" s="58">
        <f t="shared" si="280"/>
        <v>0</v>
      </c>
      <c r="AE263" s="58">
        <f t="shared" si="280"/>
        <v>0</v>
      </c>
    </row>
    <row r="264" spans="2:34">
      <c r="B264" t="str">
        <f t="shared" si="254"/>
        <v>Sem3838DUVITSA ASUCELI ALBIZURES VALENZUELA</v>
      </c>
      <c r="C264" t="str">
        <f t="shared" si="255"/>
        <v>SEPTIEMBRESem38</v>
      </c>
      <c r="D264" t="str">
        <f t="shared" si="256"/>
        <v>SEPTIEMBRESem38DUVITSA ASUCELI ALBIZURES VALENZUELA</v>
      </c>
      <c r="E264" t="str">
        <f t="shared" si="257"/>
        <v>SEPTIEMBRESem3838DUVITSA ASUCELI ALBIZURES VALENZUELA</v>
      </c>
      <c r="F264" t="str">
        <f t="shared" si="258"/>
        <v>DUVITSA ASUCELI ALBIZURES VALENZUELA46283</v>
      </c>
      <c r="H264" s="49" t="s">
        <v>251</v>
      </c>
      <c r="I264" s="50" t="str">
        <f>+_xlfn.XLOOKUP($H264&amp;$V264,BASEDATOS!$B:$B,BASEDATOS!F:F,0,0,1)</f>
        <v>DIA</v>
      </c>
      <c r="J264" s="51">
        <f>+_xlfn.XLOOKUP($H264&amp;$V264,BASEDATOS!$B:$B,BASEDATOS!Q:Q,0,0,1)</f>
        <v>0.29166666666666702</v>
      </c>
      <c r="K264" s="51">
        <f>+_xlfn.XLOOKUP($H264&amp;$V264,BASEDATOS!$B:$B,BASEDATOS!R:R,0,0,1)</f>
        <v>0.70833333333333304</v>
      </c>
      <c r="L264" s="51">
        <f t="shared" si="259"/>
        <v>0.41666666666666602</v>
      </c>
      <c r="M264" s="52" t="str">
        <f t="shared" si="260"/>
        <v>1:00</v>
      </c>
      <c r="N264" s="51">
        <f t="shared" si="261"/>
        <v>0.37499999999999933</v>
      </c>
      <c r="O264" s="53" t="str">
        <f t="shared" ref="O264" si="311">+O266</f>
        <v>6-0-1</v>
      </c>
      <c r="P264" s="54">
        <f>+IF(AND(Y264="Domingo",U264=7),_xlfn.XLOOKUP(O264,'Horarios y Sistemas'!C:C,'Horarios y Sistemas'!H:H,0,0,1),0)</f>
        <v>0</v>
      </c>
      <c r="Q264" s="54">
        <f>IF(U264=U265,0,IF(AVERAGEIF(W:W,W264,U:U)=U264,0,_xlfn.XLOOKUP(O264,'Horarios y Sistemas'!C:C,'Horarios y Sistemas'!H:H,0,0,1)-P264))/7*U264</f>
        <v>0</v>
      </c>
      <c r="R264" s="54">
        <f t="shared" si="263"/>
        <v>0</v>
      </c>
      <c r="S264" s="55" t="str">
        <f t="shared" si="264"/>
        <v>SEPTIEMBRE</v>
      </c>
      <c r="T264" s="55" t="str">
        <f t="shared" si="265"/>
        <v>Sem38</v>
      </c>
      <c r="U264" s="56">
        <f t="shared" ref="U264:U327" si="312">+COUNTIF(B:B,B264)</f>
        <v>7</v>
      </c>
      <c r="V264" s="59">
        <v>46283</v>
      </c>
      <c r="W264" s="56">
        <f t="shared" si="266"/>
        <v>38</v>
      </c>
      <c r="X264" s="56">
        <f t="shared" si="267"/>
        <v>18</v>
      </c>
      <c r="Y264" s="56" t="s">
        <v>32</v>
      </c>
      <c r="Z264" s="56">
        <v>5</v>
      </c>
      <c r="AA264" s="58">
        <f t="shared" si="280"/>
        <v>1</v>
      </c>
      <c r="AB264" s="58">
        <f t="shared" si="280"/>
        <v>0</v>
      </c>
      <c r="AC264" s="58">
        <f t="shared" si="280"/>
        <v>0</v>
      </c>
      <c r="AD264" s="58">
        <f t="shared" si="280"/>
        <v>0</v>
      </c>
      <c r="AE264" s="58">
        <f t="shared" si="280"/>
        <v>0</v>
      </c>
    </row>
    <row r="265" spans="2:34">
      <c r="B265" t="str">
        <f t="shared" si="254"/>
        <v>Sem3838DUVITSA ASUCELI ALBIZURES VALENZUELA</v>
      </c>
      <c r="C265" t="str">
        <f t="shared" si="255"/>
        <v>SEPTIEMBRESem38</v>
      </c>
      <c r="D265" t="str">
        <f t="shared" si="256"/>
        <v>SEPTIEMBRESem38DUVITSA ASUCELI ALBIZURES VALENZUELA</v>
      </c>
      <c r="E265" t="str">
        <f t="shared" si="257"/>
        <v>SEPTIEMBRESem3838DUVITSA ASUCELI ALBIZURES VALENZUELA</v>
      </c>
      <c r="F265" t="str">
        <f t="shared" si="258"/>
        <v>DUVITSA ASUCELI ALBIZURES VALENZUELA46284</v>
      </c>
      <c r="H265" s="49" t="s">
        <v>251</v>
      </c>
      <c r="I265" s="50" t="str">
        <f>+_xlfn.XLOOKUP($H265&amp;$V265,BASEDATOS!$B:$B,BASEDATOS!F:F,0,0,1)</f>
        <v>DIA</v>
      </c>
      <c r="J265" s="51">
        <f>+_xlfn.XLOOKUP($H265&amp;$V265,BASEDATOS!$B:$B,BASEDATOS!Q:Q,0,0,1)</f>
        <v>0.29166666666666702</v>
      </c>
      <c r="K265" s="51">
        <f>+_xlfn.XLOOKUP($H265&amp;$V265,BASEDATOS!$B:$B,BASEDATOS!R:R,0,0,1)</f>
        <v>0.58333333333333304</v>
      </c>
      <c r="L265" s="51">
        <f t="shared" si="259"/>
        <v>0.29166666666666602</v>
      </c>
      <c r="M265" s="52" t="str">
        <f t="shared" si="260"/>
        <v>1:00</v>
      </c>
      <c r="N265" s="51">
        <f t="shared" si="261"/>
        <v>0.24999999999999936</v>
      </c>
      <c r="O265" s="53" t="str">
        <f t="shared" ref="O265" si="313">+O266</f>
        <v>6-0-1</v>
      </c>
      <c r="P265" s="54">
        <f>+IF(AND(Y265="Domingo",U265=7),_xlfn.XLOOKUP(O265,'Horarios y Sistemas'!C:C,'Horarios y Sistemas'!H:H,0,0,1),0)</f>
        <v>0</v>
      </c>
      <c r="Q265" s="54">
        <f>IF(U265=U266,0,IF(AVERAGEIF(W:W,W265,U:U)=U265,0,_xlfn.XLOOKUP(O265,'Horarios y Sistemas'!C:C,'Horarios y Sistemas'!H:H,0,0,1)-P265))/7*U265</f>
        <v>0</v>
      </c>
      <c r="R265" s="54">
        <f t="shared" si="263"/>
        <v>0</v>
      </c>
      <c r="S265" s="55" t="str">
        <f t="shared" si="264"/>
        <v>SEPTIEMBRE</v>
      </c>
      <c r="T265" s="55" t="str">
        <f t="shared" si="265"/>
        <v>Sem38</v>
      </c>
      <c r="U265" s="56">
        <f t="shared" si="312"/>
        <v>7</v>
      </c>
      <c r="V265" s="59">
        <v>46284</v>
      </c>
      <c r="W265" s="56">
        <f t="shared" si="266"/>
        <v>38</v>
      </c>
      <c r="X265" s="56">
        <f t="shared" si="267"/>
        <v>19</v>
      </c>
      <c r="Y265" s="56" t="s">
        <v>33</v>
      </c>
      <c r="Z265" s="56">
        <v>6</v>
      </c>
      <c r="AA265" s="58">
        <f t="shared" si="280"/>
        <v>1</v>
      </c>
      <c r="AB265" s="58">
        <f t="shared" si="280"/>
        <v>0</v>
      </c>
      <c r="AC265" s="58">
        <f t="shared" si="280"/>
        <v>0</v>
      </c>
      <c r="AD265" s="58">
        <f t="shared" si="280"/>
        <v>0</v>
      </c>
      <c r="AE265" s="58">
        <f t="shared" si="280"/>
        <v>0</v>
      </c>
    </row>
    <row r="266" spans="2:34" s="60" customFormat="1">
      <c r="B266" s="60" t="str">
        <f t="shared" si="254"/>
        <v>Sem3838DUVITSA ASUCELI ALBIZURES VALENZUELA</v>
      </c>
      <c r="C266" s="60" t="str">
        <f t="shared" si="255"/>
        <v>SEPTIEMBRESem38</v>
      </c>
      <c r="D266" s="60" t="str">
        <f t="shared" si="256"/>
        <v>SEPTIEMBRESem38DUVITSA ASUCELI ALBIZURES VALENZUELA</v>
      </c>
      <c r="E266" s="60" t="str">
        <f t="shared" si="257"/>
        <v>SEPTIEMBRESem3838DUVITSA ASUCELI ALBIZURES VALENZUELA</v>
      </c>
      <c r="F266" s="60" t="str">
        <f t="shared" si="258"/>
        <v>DUVITSA ASUCELI ALBIZURES VALENZUELA46285</v>
      </c>
      <c r="H266" s="61" t="s">
        <v>251</v>
      </c>
      <c r="I266" s="62" t="str">
        <f>+_xlfn.XLOOKUP($H266&amp;$V266,BASEDATOS!$B:$B,BASEDATOS!F:F,0,0,1)</f>
        <v>DESCANSO</v>
      </c>
      <c r="J266" s="63">
        <f>+_xlfn.XLOOKUP($H266&amp;$V266,BASEDATOS!$B:$B,BASEDATOS!Q:Q,0,0,1)</f>
        <v>0</v>
      </c>
      <c r="K266" s="63">
        <f>+_xlfn.XLOOKUP($H266&amp;$V266,BASEDATOS!$B:$B,BASEDATOS!R:R,0,0,1)</f>
        <v>0</v>
      </c>
      <c r="L266" s="63">
        <f t="shared" si="259"/>
        <v>0</v>
      </c>
      <c r="M266" s="64">
        <f t="shared" si="260"/>
        <v>0</v>
      </c>
      <c r="N266" s="63">
        <f t="shared" si="261"/>
        <v>0</v>
      </c>
      <c r="O266" s="65" t="str">
        <f t="shared" ref="O266" si="314">+IF(Y266="Domingo",SUM(AA260:AA266)&amp;"-"&amp;SUM(AB260:AB266)&amp;"-"&amp;SUM(AC260:AE266),"")</f>
        <v>6-0-1</v>
      </c>
      <c r="P266" s="66">
        <f>+IF(AND(Y266="Domingo",U266=7),_xlfn.XLOOKUP(O266,'Horarios y Sistemas'!C:C,'Horarios y Sistemas'!H:H,0,0,1),0)</f>
        <v>44</v>
      </c>
      <c r="Q266" s="66">
        <f>IF(U266=U267,0,IF(AVERAGEIF(W:W,W266,U:U)=U266,0,_xlfn.XLOOKUP(O266,'Horarios y Sistemas'!C:C,'Horarios y Sistemas'!H:H,0,0,1)-P266))/7*U266</f>
        <v>0</v>
      </c>
      <c r="R266" s="66">
        <f t="shared" si="263"/>
        <v>44</v>
      </c>
      <c r="S266" s="67" t="str">
        <f t="shared" si="264"/>
        <v>SEPTIEMBRE</v>
      </c>
      <c r="T266" s="55" t="str">
        <f t="shared" si="265"/>
        <v>Sem38</v>
      </c>
      <c r="U266" s="68">
        <f t="shared" si="312"/>
        <v>7</v>
      </c>
      <c r="V266" s="69">
        <v>46285</v>
      </c>
      <c r="W266" s="68">
        <f t="shared" si="266"/>
        <v>38</v>
      </c>
      <c r="X266" s="68">
        <f t="shared" si="267"/>
        <v>20</v>
      </c>
      <c r="Y266" s="68" t="s">
        <v>34</v>
      </c>
      <c r="Z266" s="68">
        <v>7</v>
      </c>
      <c r="AA266" s="70">
        <f t="shared" si="280"/>
        <v>0</v>
      </c>
      <c r="AB266" s="70">
        <f t="shared" si="280"/>
        <v>0</v>
      </c>
      <c r="AC266" s="70">
        <f t="shared" si="280"/>
        <v>1</v>
      </c>
      <c r="AD266" s="70">
        <f t="shared" si="280"/>
        <v>0</v>
      </c>
      <c r="AE266" s="70">
        <f t="shared" si="280"/>
        <v>0</v>
      </c>
      <c r="AF266" s="71"/>
      <c r="AG266" s="71"/>
      <c r="AH266" s="71"/>
    </row>
    <row r="267" spans="2:34">
      <c r="B267" t="str">
        <f t="shared" si="254"/>
        <v>Sem3939DUVITSA ASUCELI ALBIZURES VALENZUELA</v>
      </c>
      <c r="C267" t="str">
        <f t="shared" si="255"/>
        <v>SEPTIEMBRESem39</v>
      </c>
      <c r="D267" t="str">
        <f t="shared" si="256"/>
        <v>SEPTIEMBRESem39DUVITSA ASUCELI ALBIZURES VALENZUELA</v>
      </c>
      <c r="E267" t="str">
        <f t="shared" si="257"/>
        <v>SEPTIEMBRESem3939DUVITSA ASUCELI ALBIZURES VALENZUELA</v>
      </c>
      <c r="F267" t="str">
        <f t="shared" si="258"/>
        <v>DUVITSA ASUCELI ALBIZURES VALENZUELA46286</v>
      </c>
      <c r="H267" s="49" t="s">
        <v>251</v>
      </c>
      <c r="I267" s="50" t="str">
        <f>+_xlfn.XLOOKUP($H267&amp;$V267,BASEDATOS!$B:$B,BASEDATOS!F:F,0,0,1)</f>
        <v>DIA</v>
      </c>
      <c r="J267" s="51">
        <f>+_xlfn.XLOOKUP($H267&amp;$V267,BASEDATOS!$B:$B,BASEDATOS!Q:Q,0,0,1)</f>
        <v>0.29166666666666702</v>
      </c>
      <c r="K267" s="51">
        <f>+_xlfn.XLOOKUP($H267&amp;$V267,BASEDATOS!$B:$B,BASEDATOS!R:R,0,0,1)</f>
        <v>0.70833333333333304</v>
      </c>
      <c r="L267" s="51">
        <f t="shared" si="259"/>
        <v>0.41666666666666602</v>
      </c>
      <c r="M267" s="52" t="str">
        <f t="shared" si="260"/>
        <v>1:00</v>
      </c>
      <c r="N267" s="51">
        <f t="shared" si="261"/>
        <v>0.37499999999999933</v>
      </c>
      <c r="O267" s="53" t="str">
        <f t="shared" ref="O267" si="315">+O273</f>
        <v>6-0-1</v>
      </c>
      <c r="P267" s="54">
        <f>+IF(AND(Y267="Domingo",U267=7),_xlfn.XLOOKUP(O267,'Horarios y Sistemas'!C:C,'Horarios y Sistemas'!H:H,0,0,1),0)</f>
        <v>0</v>
      </c>
      <c r="Q267" s="54">
        <f>IF(U267=U268,0,IF(AVERAGEIF(W:W,W267,U:U)=U267,0,_xlfn.XLOOKUP(O267,'Horarios y Sistemas'!C:C,'Horarios y Sistemas'!H:H,0,0,1)-P267))/7*U267</f>
        <v>0</v>
      </c>
      <c r="R267" s="54">
        <f t="shared" si="263"/>
        <v>0</v>
      </c>
      <c r="S267" s="55" t="str">
        <f t="shared" si="264"/>
        <v>SEPTIEMBRE</v>
      </c>
      <c r="T267" s="55" t="str">
        <f t="shared" si="265"/>
        <v>Sem39</v>
      </c>
      <c r="U267" s="56">
        <f t="shared" si="312"/>
        <v>7</v>
      </c>
      <c r="V267" s="59">
        <v>46286</v>
      </c>
      <c r="W267" s="56">
        <f t="shared" si="266"/>
        <v>39</v>
      </c>
      <c r="X267" s="56">
        <f t="shared" si="267"/>
        <v>21</v>
      </c>
      <c r="Y267" s="56" t="s">
        <v>28</v>
      </c>
      <c r="Z267" s="56">
        <v>1</v>
      </c>
      <c r="AA267" s="58">
        <f t="shared" si="280"/>
        <v>1</v>
      </c>
      <c r="AB267" s="58">
        <f t="shared" si="280"/>
        <v>0</v>
      </c>
      <c r="AC267" s="58">
        <f t="shared" si="280"/>
        <v>0</v>
      </c>
      <c r="AD267" s="58">
        <f t="shared" si="280"/>
        <v>0</v>
      </c>
      <c r="AE267" s="58">
        <f t="shared" si="280"/>
        <v>0</v>
      </c>
    </row>
    <row r="268" spans="2:34">
      <c r="B268" t="str">
        <f t="shared" si="254"/>
        <v>Sem3939DUVITSA ASUCELI ALBIZURES VALENZUELA</v>
      </c>
      <c r="C268" t="str">
        <f t="shared" si="255"/>
        <v>SEPTIEMBRESem39</v>
      </c>
      <c r="D268" t="str">
        <f t="shared" si="256"/>
        <v>SEPTIEMBRESem39DUVITSA ASUCELI ALBIZURES VALENZUELA</v>
      </c>
      <c r="E268" t="str">
        <f t="shared" si="257"/>
        <v>SEPTIEMBRESem3939DUVITSA ASUCELI ALBIZURES VALENZUELA</v>
      </c>
      <c r="F268" t="str">
        <f t="shared" si="258"/>
        <v>DUVITSA ASUCELI ALBIZURES VALENZUELA46287</v>
      </c>
      <c r="H268" s="49" t="s">
        <v>251</v>
      </c>
      <c r="I268" s="50" t="str">
        <f>+_xlfn.XLOOKUP($H268&amp;$V268,BASEDATOS!$B:$B,BASEDATOS!F:F,0,0,1)</f>
        <v>DIA</v>
      </c>
      <c r="J268" s="51">
        <f>+_xlfn.XLOOKUP($H268&amp;$V268,BASEDATOS!$B:$B,BASEDATOS!Q:Q,0,0,1)</f>
        <v>0.29166666666666702</v>
      </c>
      <c r="K268" s="51">
        <f>+_xlfn.XLOOKUP($H268&amp;$V268,BASEDATOS!$B:$B,BASEDATOS!R:R,0,0,1)</f>
        <v>0.70833333333333304</v>
      </c>
      <c r="L268" s="51">
        <f t="shared" si="259"/>
        <v>0.41666666666666602</v>
      </c>
      <c r="M268" s="52" t="str">
        <f t="shared" si="260"/>
        <v>1:00</v>
      </c>
      <c r="N268" s="51">
        <f t="shared" si="261"/>
        <v>0.37499999999999933</v>
      </c>
      <c r="O268" s="53" t="str">
        <f t="shared" ref="O268" si="316">+O273</f>
        <v>6-0-1</v>
      </c>
      <c r="P268" s="54">
        <f>+IF(AND(Y268="Domingo",U268=7),_xlfn.XLOOKUP(O268,'Horarios y Sistemas'!C:C,'Horarios y Sistemas'!H:H,0,0,1),0)</f>
        <v>0</v>
      </c>
      <c r="Q268" s="54">
        <f>IF(U268=U269,0,IF(AVERAGEIF(W:W,W268,U:U)=U268,0,_xlfn.XLOOKUP(O268,'Horarios y Sistemas'!C:C,'Horarios y Sistemas'!H:H,0,0,1)-P268))/7*U268</f>
        <v>0</v>
      </c>
      <c r="R268" s="54">
        <f t="shared" si="263"/>
        <v>0</v>
      </c>
      <c r="S268" s="55" t="str">
        <f t="shared" si="264"/>
        <v>SEPTIEMBRE</v>
      </c>
      <c r="T268" s="55" t="str">
        <f t="shared" si="265"/>
        <v>Sem39</v>
      </c>
      <c r="U268" s="56">
        <f t="shared" si="312"/>
        <v>7</v>
      </c>
      <c r="V268" s="59">
        <v>46287</v>
      </c>
      <c r="W268" s="56">
        <f t="shared" si="266"/>
        <v>39</v>
      </c>
      <c r="X268" s="56">
        <f t="shared" si="267"/>
        <v>22</v>
      </c>
      <c r="Y268" s="56" t="s">
        <v>29</v>
      </c>
      <c r="Z268" s="56">
        <v>2</v>
      </c>
      <c r="AA268" s="58">
        <f t="shared" si="280"/>
        <v>1</v>
      </c>
      <c r="AB268" s="58">
        <f t="shared" si="280"/>
        <v>0</v>
      </c>
      <c r="AC268" s="58">
        <f t="shared" si="280"/>
        <v>0</v>
      </c>
      <c r="AD268" s="58">
        <f t="shared" si="280"/>
        <v>0</v>
      </c>
      <c r="AE268" s="58">
        <f t="shared" si="280"/>
        <v>0</v>
      </c>
    </row>
    <row r="269" spans="2:34">
      <c r="B269" t="str">
        <f t="shared" si="254"/>
        <v>Sem3939DUVITSA ASUCELI ALBIZURES VALENZUELA</v>
      </c>
      <c r="C269" t="str">
        <f t="shared" si="255"/>
        <v>SEPTIEMBRESem39</v>
      </c>
      <c r="D269" t="str">
        <f t="shared" si="256"/>
        <v>SEPTIEMBRESem39DUVITSA ASUCELI ALBIZURES VALENZUELA</v>
      </c>
      <c r="E269" t="str">
        <f t="shared" si="257"/>
        <v>SEPTIEMBRESem3939DUVITSA ASUCELI ALBIZURES VALENZUELA</v>
      </c>
      <c r="F269" t="str">
        <f t="shared" si="258"/>
        <v>DUVITSA ASUCELI ALBIZURES VALENZUELA46288</v>
      </c>
      <c r="H269" s="49" t="s">
        <v>251</v>
      </c>
      <c r="I269" s="50" t="str">
        <f>+_xlfn.XLOOKUP($H269&amp;$V269,BASEDATOS!$B:$B,BASEDATOS!F:F,0,0,1)</f>
        <v>DIA</v>
      </c>
      <c r="J269" s="51">
        <f>+_xlfn.XLOOKUP($H269&amp;$V269,BASEDATOS!$B:$B,BASEDATOS!Q:Q,0,0,1)</f>
        <v>0.29166666666666702</v>
      </c>
      <c r="K269" s="51">
        <f>+_xlfn.XLOOKUP($H269&amp;$V269,BASEDATOS!$B:$B,BASEDATOS!R:R,0,0,1)</f>
        <v>0.70833333333333304</v>
      </c>
      <c r="L269" s="51">
        <f t="shared" si="259"/>
        <v>0.41666666666666602</v>
      </c>
      <c r="M269" s="52" t="str">
        <f t="shared" si="260"/>
        <v>1:00</v>
      </c>
      <c r="N269" s="51">
        <f t="shared" si="261"/>
        <v>0.37499999999999933</v>
      </c>
      <c r="O269" s="53" t="str">
        <f t="shared" ref="O269" si="317">+O273</f>
        <v>6-0-1</v>
      </c>
      <c r="P269" s="54">
        <f>+IF(AND(Y269="Domingo",U269=7),_xlfn.XLOOKUP(O269,'Horarios y Sistemas'!C:C,'Horarios y Sistemas'!H:H,0,0,1),0)</f>
        <v>0</v>
      </c>
      <c r="Q269" s="54">
        <f>IF(U269=U270,0,IF(AVERAGEIF(W:W,W269,U:U)=U269,0,_xlfn.XLOOKUP(O269,'Horarios y Sistemas'!C:C,'Horarios y Sistemas'!H:H,0,0,1)-P269))/7*U269</f>
        <v>0</v>
      </c>
      <c r="R269" s="54">
        <f t="shared" si="263"/>
        <v>0</v>
      </c>
      <c r="S269" s="55" t="str">
        <f t="shared" si="264"/>
        <v>SEPTIEMBRE</v>
      </c>
      <c r="T269" s="55" t="str">
        <f t="shared" si="265"/>
        <v>Sem39</v>
      </c>
      <c r="U269" s="56">
        <f t="shared" si="312"/>
        <v>7</v>
      </c>
      <c r="V269" s="59">
        <v>46288</v>
      </c>
      <c r="W269" s="56">
        <f t="shared" si="266"/>
        <v>39</v>
      </c>
      <c r="X269" s="56">
        <f t="shared" si="267"/>
        <v>23</v>
      </c>
      <c r="Y269" s="56" t="s">
        <v>30</v>
      </c>
      <c r="Z269" s="56">
        <v>3</v>
      </c>
      <c r="AA269" s="58">
        <f t="shared" si="280"/>
        <v>1</v>
      </c>
      <c r="AB269" s="58">
        <f t="shared" si="280"/>
        <v>0</v>
      </c>
      <c r="AC269" s="58">
        <f t="shared" si="280"/>
        <v>0</v>
      </c>
      <c r="AD269" s="58">
        <f t="shared" si="280"/>
        <v>0</v>
      </c>
      <c r="AE269" s="58">
        <f t="shared" si="280"/>
        <v>0</v>
      </c>
    </row>
    <row r="270" spans="2:34">
      <c r="B270" t="str">
        <f t="shared" si="254"/>
        <v>Sem3939DUVITSA ASUCELI ALBIZURES VALENZUELA</v>
      </c>
      <c r="C270" t="str">
        <f t="shared" si="255"/>
        <v>SEPTIEMBRESem39</v>
      </c>
      <c r="D270" t="str">
        <f t="shared" si="256"/>
        <v>SEPTIEMBRESem39DUVITSA ASUCELI ALBIZURES VALENZUELA</v>
      </c>
      <c r="E270" t="str">
        <f t="shared" si="257"/>
        <v>SEPTIEMBRESem3939DUVITSA ASUCELI ALBIZURES VALENZUELA</v>
      </c>
      <c r="F270" t="str">
        <f t="shared" si="258"/>
        <v>DUVITSA ASUCELI ALBIZURES VALENZUELA46289</v>
      </c>
      <c r="H270" s="49" t="s">
        <v>251</v>
      </c>
      <c r="I270" s="50" t="str">
        <f>+_xlfn.XLOOKUP($H270&amp;$V270,BASEDATOS!$B:$B,BASEDATOS!F:F,0,0,1)</f>
        <v>DIA</v>
      </c>
      <c r="J270" s="51">
        <f>+_xlfn.XLOOKUP($H270&amp;$V270,BASEDATOS!$B:$B,BASEDATOS!Q:Q,0,0,1)</f>
        <v>0.29166666666666702</v>
      </c>
      <c r="K270" s="51">
        <f>+_xlfn.XLOOKUP($H270&amp;$V270,BASEDATOS!$B:$B,BASEDATOS!R:R,0,0,1)</f>
        <v>0.70833333333333304</v>
      </c>
      <c r="L270" s="51">
        <f t="shared" si="259"/>
        <v>0.41666666666666602</v>
      </c>
      <c r="M270" s="52" t="str">
        <f t="shared" si="260"/>
        <v>1:00</v>
      </c>
      <c r="N270" s="51">
        <f t="shared" si="261"/>
        <v>0.37499999999999933</v>
      </c>
      <c r="O270" s="53" t="str">
        <f t="shared" ref="O270" si="318">+O273</f>
        <v>6-0-1</v>
      </c>
      <c r="P270" s="54">
        <f>+IF(AND(Y270="Domingo",U270=7),_xlfn.XLOOKUP(O270,'Horarios y Sistemas'!C:C,'Horarios y Sistemas'!H:H,0,0,1),0)</f>
        <v>0</v>
      </c>
      <c r="Q270" s="54">
        <f>IF(U270=U271,0,IF(AVERAGEIF(W:W,W270,U:U)=U270,0,_xlfn.XLOOKUP(O270,'Horarios y Sistemas'!C:C,'Horarios y Sistemas'!H:H,0,0,1)-P270))/7*U270</f>
        <v>0</v>
      </c>
      <c r="R270" s="54">
        <f t="shared" si="263"/>
        <v>0</v>
      </c>
      <c r="S270" s="55" t="str">
        <f t="shared" si="264"/>
        <v>SEPTIEMBRE</v>
      </c>
      <c r="T270" s="55" t="str">
        <f t="shared" si="265"/>
        <v>Sem39</v>
      </c>
      <c r="U270" s="56">
        <f t="shared" si="312"/>
        <v>7</v>
      </c>
      <c r="V270" s="59">
        <v>46289</v>
      </c>
      <c r="W270" s="56">
        <f t="shared" si="266"/>
        <v>39</v>
      </c>
      <c r="X270" s="56">
        <f t="shared" si="267"/>
        <v>24</v>
      </c>
      <c r="Y270" s="56" t="s">
        <v>31</v>
      </c>
      <c r="Z270" s="56">
        <v>4</v>
      </c>
      <c r="AA270" s="58">
        <f t="shared" si="280"/>
        <v>1</v>
      </c>
      <c r="AB270" s="58">
        <f t="shared" si="280"/>
        <v>0</v>
      </c>
      <c r="AC270" s="58">
        <f t="shared" si="280"/>
        <v>0</v>
      </c>
      <c r="AD270" s="58">
        <f t="shared" si="280"/>
        <v>0</v>
      </c>
      <c r="AE270" s="58">
        <f t="shared" si="280"/>
        <v>0</v>
      </c>
    </row>
    <row r="271" spans="2:34">
      <c r="B271" t="str">
        <f t="shared" si="254"/>
        <v>Sem3939DUVITSA ASUCELI ALBIZURES VALENZUELA</v>
      </c>
      <c r="C271" t="str">
        <f t="shared" si="255"/>
        <v>SEPTIEMBRESem39</v>
      </c>
      <c r="D271" t="str">
        <f t="shared" si="256"/>
        <v>SEPTIEMBRESem39DUVITSA ASUCELI ALBIZURES VALENZUELA</v>
      </c>
      <c r="E271" t="str">
        <f t="shared" si="257"/>
        <v>SEPTIEMBRESem3939DUVITSA ASUCELI ALBIZURES VALENZUELA</v>
      </c>
      <c r="F271" t="str">
        <f t="shared" si="258"/>
        <v>DUVITSA ASUCELI ALBIZURES VALENZUELA46290</v>
      </c>
      <c r="H271" s="49" t="s">
        <v>251</v>
      </c>
      <c r="I271" s="50" t="str">
        <f>+_xlfn.XLOOKUP($H271&amp;$V271,BASEDATOS!$B:$B,BASEDATOS!F:F,0,0,1)</f>
        <v>DIA</v>
      </c>
      <c r="J271" s="51">
        <f>+_xlfn.XLOOKUP($H271&amp;$V271,BASEDATOS!$B:$B,BASEDATOS!Q:Q,0,0,1)</f>
        <v>0.29166666666666702</v>
      </c>
      <c r="K271" s="51">
        <f>+_xlfn.XLOOKUP($H271&amp;$V271,BASEDATOS!$B:$B,BASEDATOS!R:R,0,0,1)</f>
        <v>0.70833333333333304</v>
      </c>
      <c r="L271" s="51">
        <f t="shared" si="259"/>
        <v>0.41666666666666602</v>
      </c>
      <c r="M271" s="52" t="str">
        <f t="shared" si="260"/>
        <v>1:00</v>
      </c>
      <c r="N271" s="51">
        <f t="shared" si="261"/>
        <v>0.37499999999999933</v>
      </c>
      <c r="O271" s="53" t="str">
        <f t="shared" ref="O271" si="319">+O273</f>
        <v>6-0-1</v>
      </c>
      <c r="P271" s="54">
        <f>+IF(AND(Y271="Domingo",U271=7),_xlfn.XLOOKUP(O271,'Horarios y Sistemas'!C:C,'Horarios y Sistemas'!H:H,0,0,1),0)</f>
        <v>0</v>
      </c>
      <c r="Q271" s="54">
        <f>IF(U271=U272,0,IF(AVERAGEIF(W:W,W271,U:U)=U271,0,_xlfn.XLOOKUP(O271,'Horarios y Sistemas'!C:C,'Horarios y Sistemas'!H:H,0,0,1)-P271))/7*U271</f>
        <v>0</v>
      </c>
      <c r="R271" s="54">
        <f t="shared" si="263"/>
        <v>0</v>
      </c>
      <c r="S271" s="55" t="str">
        <f t="shared" si="264"/>
        <v>SEPTIEMBRE</v>
      </c>
      <c r="T271" s="55" t="str">
        <f t="shared" si="265"/>
        <v>Sem39</v>
      </c>
      <c r="U271" s="56">
        <f t="shared" si="312"/>
        <v>7</v>
      </c>
      <c r="V271" s="59">
        <v>46290</v>
      </c>
      <c r="W271" s="56">
        <f t="shared" si="266"/>
        <v>39</v>
      </c>
      <c r="X271" s="56">
        <f t="shared" si="267"/>
        <v>25</v>
      </c>
      <c r="Y271" s="56" t="s">
        <v>32</v>
      </c>
      <c r="Z271" s="56">
        <v>5</v>
      </c>
      <c r="AA271" s="58">
        <f t="shared" si="280"/>
        <v>1</v>
      </c>
      <c r="AB271" s="58">
        <f t="shared" si="280"/>
        <v>0</v>
      </c>
      <c r="AC271" s="58">
        <f t="shared" si="280"/>
        <v>0</v>
      </c>
      <c r="AD271" s="58">
        <f t="shared" si="280"/>
        <v>0</v>
      </c>
      <c r="AE271" s="58">
        <f t="shared" si="280"/>
        <v>0</v>
      </c>
    </row>
    <row r="272" spans="2:34">
      <c r="B272" t="str">
        <f t="shared" si="254"/>
        <v>Sem3939DUVITSA ASUCELI ALBIZURES VALENZUELA</v>
      </c>
      <c r="C272" t="str">
        <f t="shared" si="255"/>
        <v>SEPTIEMBRESem39</v>
      </c>
      <c r="D272" t="str">
        <f t="shared" si="256"/>
        <v>SEPTIEMBRESem39DUVITSA ASUCELI ALBIZURES VALENZUELA</v>
      </c>
      <c r="E272" t="str">
        <f t="shared" si="257"/>
        <v>SEPTIEMBRESem3939DUVITSA ASUCELI ALBIZURES VALENZUELA</v>
      </c>
      <c r="F272" t="str">
        <f t="shared" si="258"/>
        <v>DUVITSA ASUCELI ALBIZURES VALENZUELA46291</v>
      </c>
      <c r="H272" s="49" t="s">
        <v>251</v>
      </c>
      <c r="I272" s="50" t="str">
        <f>+_xlfn.XLOOKUP($H272&amp;$V272,BASEDATOS!$B:$B,BASEDATOS!F:F,0,0,1)</f>
        <v>DIA</v>
      </c>
      <c r="J272" s="51">
        <f>+_xlfn.XLOOKUP($H272&amp;$V272,BASEDATOS!$B:$B,BASEDATOS!Q:Q,0,0,1)</f>
        <v>0.29166666666666702</v>
      </c>
      <c r="K272" s="51">
        <f>+_xlfn.XLOOKUP($H272&amp;$V272,BASEDATOS!$B:$B,BASEDATOS!R:R,0,0,1)</f>
        <v>0.58333333333333304</v>
      </c>
      <c r="L272" s="51">
        <f t="shared" si="259"/>
        <v>0.29166666666666602</v>
      </c>
      <c r="M272" s="52" t="str">
        <f t="shared" si="260"/>
        <v>1:00</v>
      </c>
      <c r="N272" s="51">
        <f t="shared" si="261"/>
        <v>0.24999999999999936</v>
      </c>
      <c r="O272" s="53" t="str">
        <f t="shared" ref="O272" si="320">+O273</f>
        <v>6-0-1</v>
      </c>
      <c r="P272" s="54">
        <f>+IF(AND(Y272="Domingo",U272=7),_xlfn.XLOOKUP(O272,'Horarios y Sistemas'!C:C,'Horarios y Sistemas'!H:H,0,0,1),0)</f>
        <v>0</v>
      </c>
      <c r="Q272" s="54">
        <f>IF(U272=U273,0,IF(AVERAGEIF(W:W,W272,U:U)=U272,0,_xlfn.XLOOKUP(O272,'Horarios y Sistemas'!C:C,'Horarios y Sistemas'!H:H,0,0,1)-P272))/7*U272</f>
        <v>0</v>
      </c>
      <c r="R272" s="54">
        <f t="shared" si="263"/>
        <v>0</v>
      </c>
      <c r="S272" s="55" t="str">
        <f t="shared" si="264"/>
        <v>SEPTIEMBRE</v>
      </c>
      <c r="T272" s="55" t="str">
        <f t="shared" si="265"/>
        <v>Sem39</v>
      </c>
      <c r="U272" s="56">
        <f t="shared" si="312"/>
        <v>7</v>
      </c>
      <c r="V272" s="59">
        <v>46291</v>
      </c>
      <c r="W272" s="56">
        <f t="shared" si="266"/>
        <v>39</v>
      </c>
      <c r="X272" s="56">
        <f t="shared" si="267"/>
        <v>26</v>
      </c>
      <c r="Y272" s="56" t="s">
        <v>33</v>
      </c>
      <c r="Z272" s="56">
        <v>6</v>
      </c>
      <c r="AA272" s="58">
        <f t="shared" si="280"/>
        <v>1</v>
      </c>
      <c r="AB272" s="58">
        <f t="shared" si="280"/>
        <v>0</v>
      </c>
      <c r="AC272" s="58">
        <f t="shared" si="280"/>
        <v>0</v>
      </c>
      <c r="AD272" s="58">
        <f t="shared" si="280"/>
        <v>0</v>
      </c>
      <c r="AE272" s="58">
        <f t="shared" si="280"/>
        <v>0</v>
      </c>
    </row>
    <row r="273" spans="2:34" s="60" customFormat="1">
      <c r="B273" s="60" t="str">
        <f t="shared" si="254"/>
        <v>Sem3939DUVITSA ASUCELI ALBIZURES VALENZUELA</v>
      </c>
      <c r="C273" s="60" t="str">
        <f t="shared" si="255"/>
        <v>SEPTIEMBRESem39</v>
      </c>
      <c r="D273" s="60" t="str">
        <f t="shared" si="256"/>
        <v>SEPTIEMBRESem39DUVITSA ASUCELI ALBIZURES VALENZUELA</v>
      </c>
      <c r="E273" s="60" t="str">
        <f t="shared" si="257"/>
        <v>SEPTIEMBRESem3939DUVITSA ASUCELI ALBIZURES VALENZUELA</v>
      </c>
      <c r="F273" s="60" t="str">
        <f t="shared" si="258"/>
        <v>DUVITSA ASUCELI ALBIZURES VALENZUELA46292</v>
      </c>
      <c r="H273" s="61" t="s">
        <v>251</v>
      </c>
      <c r="I273" s="62" t="str">
        <f>+_xlfn.XLOOKUP($H273&amp;$V273,BASEDATOS!$B:$B,BASEDATOS!F:F,0,0,1)</f>
        <v>DESCANSO</v>
      </c>
      <c r="J273" s="63">
        <f>+_xlfn.XLOOKUP($H273&amp;$V273,BASEDATOS!$B:$B,BASEDATOS!Q:Q,0,0,1)</f>
        <v>0</v>
      </c>
      <c r="K273" s="63">
        <f>+_xlfn.XLOOKUP($H273&amp;$V273,BASEDATOS!$B:$B,BASEDATOS!R:R,0,0,1)</f>
        <v>0</v>
      </c>
      <c r="L273" s="63">
        <f t="shared" si="259"/>
        <v>0</v>
      </c>
      <c r="M273" s="64">
        <f t="shared" si="260"/>
        <v>0</v>
      </c>
      <c r="N273" s="63">
        <f t="shared" si="261"/>
        <v>0</v>
      </c>
      <c r="O273" s="65" t="str">
        <f t="shared" ref="O273" si="321">+IF(Y273="Domingo",SUM(AA267:AA273)&amp;"-"&amp;SUM(AB267:AB273)&amp;"-"&amp;SUM(AC267:AE273),"")</f>
        <v>6-0-1</v>
      </c>
      <c r="P273" s="66">
        <f>+IF(AND(Y273="Domingo",U273=7),_xlfn.XLOOKUP(O273,'Horarios y Sistemas'!C:C,'Horarios y Sistemas'!H:H,0,0,1),0)</f>
        <v>44</v>
      </c>
      <c r="Q273" s="66">
        <f>IF(U273=U274,0,IF(AVERAGEIF(W:W,W273,U:U)=U273,0,_xlfn.XLOOKUP(O273,'Horarios y Sistemas'!C:C,'Horarios y Sistemas'!H:H,0,0,1)-P273))/7*U273</f>
        <v>0</v>
      </c>
      <c r="R273" s="66">
        <f t="shared" si="263"/>
        <v>44</v>
      </c>
      <c r="S273" s="67" t="str">
        <f t="shared" si="264"/>
        <v>SEPTIEMBRE</v>
      </c>
      <c r="T273" s="55" t="str">
        <f t="shared" si="265"/>
        <v>Sem39</v>
      </c>
      <c r="U273" s="68">
        <f t="shared" si="312"/>
        <v>7</v>
      </c>
      <c r="V273" s="69">
        <v>46292</v>
      </c>
      <c r="W273" s="68">
        <f t="shared" si="266"/>
        <v>39</v>
      </c>
      <c r="X273" s="68">
        <f t="shared" si="267"/>
        <v>27</v>
      </c>
      <c r="Y273" s="68" t="s">
        <v>34</v>
      </c>
      <c r="Z273" s="68">
        <v>7</v>
      </c>
      <c r="AA273" s="70">
        <f t="shared" si="280"/>
        <v>0</v>
      </c>
      <c r="AB273" s="70">
        <f t="shared" si="280"/>
        <v>0</v>
      </c>
      <c r="AC273" s="70">
        <f t="shared" si="280"/>
        <v>1</v>
      </c>
      <c r="AD273" s="70">
        <f t="shared" si="280"/>
        <v>0</v>
      </c>
      <c r="AE273" s="70">
        <f t="shared" si="280"/>
        <v>0</v>
      </c>
      <c r="AF273" s="71"/>
      <c r="AG273" s="71"/>
      <c r="AH273" s="71"/>
    </row>
    <row r="274" spans="2:34">
      <c r="B274" t="str">
        <f t="shared" si="254"/>
        <v>Sem4040DUVITSA ASUCELI ALBIZURES VALENZUELA</v>
      </c>
      <c r="C274" t="str">
        <f t="shared" si="255"/>
        <v>SEPTIEMBRESem40</v>
      </c>
      <c r="D274" t="str">
        <f t="shared" si="256"/>
        <v>SEPTIEMBRESem40DUVITSA ASUCELI ALBIZURES VALENZUELA</v>
      </c>
      <c r="E274" t="str">
        <f t="shared" si="257"/>
        <v>SEPTIEMBRESem4040DUVITSA ASUCELI ALBIZURES VALENZUELA</v>
      </c>
      <c r="F274" t="str">
        <f t="shared" si="258"/>
        <v>DUVITSA ASUCELI ALBIZURES VALENZUELA46293</v>
      </c>
      <c r="H274" s="49" t="s">
        <v>251</v>
      </c>
      <c r="I274" s="50" t="str">
        <f>+_xlfn.XLOOKUP($H274&amp;$V274,BASEDATOS!$B:$B,BASEDATOS!F:F,0,0,1)</f>
        <v>DIA</v>
      </c>
      <c r="J274" s="51">
        <f>+_xlfn.XLOOKUP($H274&amp;$V274,BASEDATOS!$B:$B,BASEDATOS!Q:Q,0,0,1)</f>
        <v>0.29166666666666702</v>
      </c>
      <c r="K274" s="51">
        <f>+_xlfn.XLOOKUP($H274&amp;$V274,BASEDATOS!$B:$B,BASEDATOS!R:R,0,0,1)</f>
        <v>0.70833333333333304</v>
      </c>
      <c r="L274" s="51">
        <f t="shared" si="259"/>
        <v>0.41666666666666602</v>
      </c>
      <c r="M274" s="52" t="str">
        <f t="shared" si="260"/>
        <v>1:00</v>
      </c>
      <c r="N274" s="51">
        <f t="shared" si="261"/>
        <v>0.37499999999999933</v>
      </c>
      <c r="O274" s="53" t="str">
        <f t="shared" ref="O274" si="322">+O280</f>
        <v>6-0-1</v>
      </c>
      <c r="P274" s="54">
        <f>+IF(AND(Y274="Domingo",U274=7),_xlfn.XLOOKUP(O274,'Horarios y Sistemas'!C:C,'Horarios y Sistemas'!H:H,0,0,1),0)</f>
        <v>0</v>
      </c>
      <c r="Q274" s="54">
        <f>IF(U274=U275,0,IF(AVERAGEIF(W:W,W274,U:U)=U274,0,_xlfn.XLOOKUP(O274,'Horarios y Sistemas'!C:C,'Horarios y Sistemas'!H:H,0,0,1)-P274))/7*U274</f>
        <v>0</v>
      </c>
      <c r="R274" s="54">
        <f t="shared" si="263"/>
        <v>0</v>
      </c>
      <c r="S274" s="55" t="str">
        <f t="shared" si="264"/>
        <v>SEPTIEMBRE</v>
      </c>
      <c r="T274" s="55" t="str">
        <f t="shared" si="265"/>
        <v>Sem40</v>
      </c>
      <c r="U274" s="56">
        <f t="shared" si="312"/>
        <v>7</v>
      </c>
      <c r="V274" s="59">
        <v>46293</v>
      </c>
      <c r="W274" s="56">
        <f t="shared" si="266"/>
        <v>40</v>
      </c>
      <c r="X274" s="56">
        <f t="shared" si="267"/>
        <v>28</v>
      </c>
      <c r="Y274" s="56" t="s">
        <v>28</v>
      </c>
      <c r="Z274" s="56">
        <v>1</v>
      </c>
      <c r="AA274" s="58">
        <f t="shared" si="280"/>
        <v>1</v>
      </c>
      <c r="AB274" s="58">
        <f t="shared" si="280"/>
        <v>0</v>
      </c>
      <c r="AC274" s="58">
        <f t="shared" si="280"/>
        <v>0</v>
      </c>
      <c r="AD274" s="58">
        <f t="shared" si="280"/>
        <v>0</v>
      </c>
      <c r="AE274" s="58">
        <f t="shared" si="280"/>
        <v>0</v>
      </c>
    </row>
    <row r="275" spans="2:34">
      <c r="B275" t="str">
        <f t="shared" si="254"/>
        <v>Sem4040DUVITSA ASUCELI ALBIZURES VALENZUELA</v>
      </c>
      <c r="C275" t="str">
        <f t="shared" si="255"/>
        <v>SEPTIEMBRESem40</v>
      </c>
      <c r="D275" t="str">
        <f t="shared" si="256"/>
        <v>SEPTIEMBRESem40DUVITSA ASUCELI ALBIZURES VALENZUELA</v>
      </c>
      <c r="E275" t="str">
        <f t="shared" si="257"/>
        <v>SEPTIEMBRESem4040DUVITSA ASUCELI ALBIZURES VALENZUELA</v>
      </c>
      <c r="F275" t="str">
        <f t="shared" si="258"/>
        <v>DUVITSA ASUCELI ALBIZURES VALENZUELA46294</v>
      </c>
      <c r="H275" s="49" t="s">
        <v>251</v>
      </c>
      <c r="I275" s="50" t="str">
        <f>+_xlfn.XLOOKUP($H275&amp;$V275,BASEDATOS!$B:$B,BASEDATOS!F:F,0,0,1)</f>
        <v>DIA</v>
      </c>
      <c r="J275" s="51">
        <f>+_xlfn.XLOOKUP($H275&amp;$V275,BASEDATOS!$B:$B,BASEDATOS!Q:Q,0,0,1)</f>
        <v>0.29166666666666702</v>
      </c>
      <c r="K275" s="51">
        <f>+_xlfn.XLOOKUP($H275&amp;$V275,BASEDATOS!$B:$B,BASEDATOS!R:R,0,0,1)</f>
        <v>0.70833333333333304</v>
      </c>
      <c r="L275" s="51">
        <f t="shared" si="259"/>
        <v>0.41666666666666602</v>
      </c>
      <c r="M275" s="52" t="str">
        <f t="shared" si="260"/>
        <v>1:00</v>
      </c>
      <c r="N275" s="51">
        <f t="shared" si="261"/>
        <v>0.37499999999999933</v>
      </c>
      <c r="O275" s="53" t="str">
        <f t="shared" ref="O275" si="323">+O280</f>
        <v>6-0-1</v>
      </c>
      <c r="P275" s="54">
        <f>+IF(AND(Y275="Domingo",U275=7),_xlfn.XLOOKUP(O275,'Horarios y Sistemas'!C:C,'Horarios y Sistemas'!H:H,0,0,1),0)</f>
        <v>0</v>
      </c>
      <c r="Q275" s="54">
        <f>IF(U275=U276,0,IF(AVERAGEIF(W:W,W275,U:U)=U275,0,_xlfn.XLOOKUP(O275,'Horarios y Sistemas'!C:C,'Horarios y Sistemas'!H:H,0,0,1)-P275))/7*U275</f>
        <v>0</v>
      </c>
      <c r="R275" s="54">
        <f t="shared" si="263"/>
        <v>0</v>
      </c>
      <c r="S275" s="55" t="str">
        <f t="shared" si="264"/>
        <v>SEPTIEMBRE</v>
      </c>
      <c r="T275" s="55" t="str">
        <f t="shared" si="265"/>
        <v>Sem40</v>
      </c>
      <c r="U275" s="56">
        <f t="shared" si="312"/>
        <v>7</v>
      </c>
      <c r="V275" s="59">
        <v>46294</v>
      </c>
      <c r="W275" s="56">
        <f t="shared" si="266"/>
        <v>40</v>
      </c>
      <c r="X275" s="56">
        <f t="shared" si="267"/>
        <v>29</v>
      </c>
      <c r="Y275" s="56" t="s">
        <v>29</v>
      </c>
      <c r="Z275" s="56">
        <v>2</v>
      </c>
      <c r="AA275" s="58">
        <f t="shared" si="280"/>
        <v>1</v>
      </c>
      <c r="AB275" s="58">
        <f t="shared" si="280"/>
        <v>0</v>
      </c>
      <c r="AC275" s="58">
        <f t="shared" si="280"/>
        <v>0</v>
      </c>
      <c r="AD275" s="58">
        <f t="shared" si="280"/>
        <v>0</v>
      </c>
      <c r="AE275" s="58">
        <f t="shared" si="280"/>
        <v>0</v>
      </c>
    </row>
    <row r="276" spans="2:34">
      <c r="B276" t="str">
        <f t="shared" si="254"/>
        <v>Sem4040DUVITSA ASUCELI ALBIZURES VALENZUELA</v>
      </c>
      <c r="C276" t="str">
        <f t="shared" si="255"/>
        <v>SEPTIEMBRESem40</v>
      </c>
      <c r="D276" t="str">
        <f t="shared" si="256"/>
        <v>SEPTIEMBRESem40DUVITSA ASUCELI ALBIZURES VALENZUELA</v>
      </c>
      <c r="E276" t="str">
        <f t="shared" si="257"/>
        <v>SEPTIEMBRESem4040DUVITSA ASUCELI ALBIZURES VALENZUELA</v>
      </c>
      <c r="F276" t="str">
        <f t="shared" si="258"/>
        <v>DUVITSA ASUCELI ALBIZURES VALENZUELA46295</v>
      </c>
      <c r="H276" s="49" t="s">
        <v>251</v>
      </c>
      <c r="I276" s="50" t="str">
        <f>+_xlfn.XLOOKUP($H276&amp;$V276,BASEDATOS!$B:$B,BASEDATOS!F:F,0,0,1)</f>
        <v>DIA</v>
      </c>
      <c r="J276" s="51">
        <f>+_xlfn.XLOOKUP($H276&amp;$V276,BASEDATOS!$B:$B,BASEDATOS!Q:Q,0,0,1)</f>
        <v>0.29166666666666702</v>
      </c>
      <c r="K276" s="51">
        <f>+_xlfn.XLOOKUP($H276&amp;$V276,BASEDATOS!$B:$B,BASEDATOS!R:R,0,0,1)</f>
        <v>0.70833333333333304</v>
      </c>
      <c r="L276" s="51">
        <f t="shared" si="259"/>
        <v>0.41666666666666602</v>
      </c>
      <c r="M276" s="52" t="str">
        <f t="shared" si="260"/>
        <v>1:00</v>
      </c>
      <c r="N276" s="51">
        <f t="shared" si="261"/>
        <v>0.37499999999999933</v>
      </c>
      <c r="O276" s="53" t="str">
        <f t="shared" ref="O276" si="324">+O280</f>
        <v>6-0-1</v>
      </c>
      <c r="P276" s="54">
        <f>+IF(AND(Y276="Domingo",U276=7),_xlfn.XLOOKUP(O276,'Horarios y Sistemas'!C:C,'Horarios y Sistemas'!H:H,0,0,1),0)</f>
        <v>0</v>
      </c>
      <c r="Q276" s="54">
        <f>IF(U276=U277,0,IF(AVERAGEIF(W:W,W276,U:U)=U276,0,_xlfn.XLOOKUP(O276,'Horarios y Sistemas'!C:C,'Horarios y Sistemas'!H:H,0,0,1)-P276))/7*U276</f>
        <v>0</v>
      </c>
      <c r="R276" s="54">
        <f t="shared" si="263"/>
        <v>0</v>
      </c>
      <c r="S276" s="55" t="str">
        <f t="shared" si="264"/>
        <v>SEPTIEMBRE</v>
      </c>
      <c r="T276" s="55" t="str">
        <f t="shared" si="265"/>
        <v>Sem40</v>
      </c>
      <c r="U276" s="56">
        <f t="shared" si="312"/>
        <v>7</v>
      </c>
      <c r="V276" s="59">
        <v>46295</v>
      </c>
      <c r="W276" s="56">
        <f t="shared" si="266"/>
        <v>40</v>
      </c>
      <c r="X276" s="56">
        <f t="shared" si="267"/>
        <v>30</v>
      </c>
      <c r="Y276" s="56" t="s">
        <v>30</v>
      </c>
      <c r="Z276" s="56">
        <v>3</v>
      </c>
      <c r="AA276" s="58">
        <f t="shared" si="280"/>
        <v>1</v>
      </c>
      <c r="AB276" s="58">
        <f t="shared" si="280"/>
        <v>0</v>
      </c>
      <c r="AC276" s="58">
        <f t="shared" si="280"/>
        <v>0</v>
      </c>
      <c r="AD276" s="58">
        <f t="shared" si="280"/>
        <v>0</v>
      </c>
      <c r="AE276" s="58">
        <f t="shared" si="280"/>
        <v>0</v>
      </c>
    </row>
    <row r="277" spans="2:34">
      <c r="B277" t="str">
        <f t="shared" si="254"/>
        <v>Sem4040DUVITSA ASUCELI ALBIZURES VALENZUELA</v>
      </c>
      <c r="C277" t="str">
        <f t="shared" si="255"/>
        <v>OCTUBRESem40</v>
      </c>
      <c r="D277" t="str">
        <f t="shared" si="256"/>
        <v>OCTUBRESem40DUVITSA ASUCELI ALBIZURES VALENZUELA</v>
      </c>
      <c r="E277" t="str">
        <f t="shared" si="257"/>
        <v>OCTUBRESem4040DUVITSA ASUCELI ALBIZURES VALENZUELA</v>
      </c>
      <c r="F277" t="str">
        <f t="shared" si="258"/>
        <v>DUVITSA ASUCELI ALBIZURES VALENZUELA46296</v>
      </c>
      <c r="H277" s="49" t="s">
        <v>251</v>
      </c>
      <c r="I277" s="50" t="str">
        <f>+_xlfn.XLOOKUP($H277&amp;$V277,BASEDATOS!$B:$B,BASEDATOS!F:F,0,0,1)</f>
        <v>DIA</v>
      </c>
      <c r="J277" s="51">
        <f>+_xlfn.XLOOKUP($H277&amp;$V277,BASEDATOS!$B:$B,BASEDATOS!Q:Q,0,0,1)</f>
        <v>0.29166666666666702</v>
      </c>
      <c r="K277" s="51">
        <f>+_xlfn.XLOOKUP($H277&amp;$V277,BASEDATOS!$B:$B,BASEDATOS!R:R,0,0,1)</f>
        <v>0.70833333333333304</v>
      </c>
      <c r="L277" s="51">
        <f t="shared" si="259"/>
        <v>0.41666666666666602</v>
      </c>
      <c r="M277" s="52" t="str">
        <f t="shared" si="260"/>
        <v>1:00</v>
      </c>
      <c r="N277" s="51">
        <f t="shared" si="261"/>
        <v>0.37499999999999933</v>
      </c>
      <c r="O277" s="53" t="str">
        <f t="shared" ref="O277" si="325">+O280</f>
        <v>6-0-1</v>
      </c>
      <c r="P277" s="54">
        <f>+IF(AND(Y277="Domingo",U277=7),_xlfn.XLOOKUP(O277,'Horarios y Sistemas'!C:C,'Horarios y Sistemas'!H:H,0,0,1),0)</f>
        <v>0</v>
      </c>
      <c r="Q277" s="54">
        <f>IF(U277=U278,0,IF(AVERAGEIF(W:W,W277,U:U)=U277,0,_xlfn.XLOOKUP(O277,'Horarios y Sistemas'!C:C,'Horarios y Sistemas'!H:H,0,0,1)-P277))/7*U277</f>
        <v>0</v>
      </c>
      <c r="R277" s="54">
        <f t="shared" si="263"/>
        <v>0</v>
      </c>
      <c r="S277" s="55" t="str">
        <f t="shared" si="264"/>
        <v>OCTUBRE</v>
      </c>
      <c r="T277" s="55" t="str">
        <f t="shared" si="265"/>
        <v>Sem40</v>
      </c>
      <c r="U277" s="56">
        <f t="shared" si="312"/>
        <v>7</v>
      </c>
      <c r="V277" s="59">
        <v>46296</v>
      </c>
      <c r="W277" s="56">
        <f t="shared" si="266"/>
        <v>40</v>
      </c>
      <c r="X277" s="56">
        <f t="shared" si="267"/>
        <v>1</v>
      </c>
      <c r="Y277" s="56" t="s">
        <v>31</v>
      </c>
      <c r="Z277" s="56">
        <v>4</v>
      </c>
      <c r="AA277" s="58">
        <f t="shared" si="280"/>
        <v>1</v>
      </c>
      <c r="AB277" s="58">
        <f t="shared" si="280"/>
        <v>0</v>
      </c>
      <c r="AC277" s="58">
        <f t="shared" si="280"/>
        <v>0</v>
      </c>
      <c r="AD277" s="58">
        <f t="shared" si="280"/>
        <v>0</v>
      </c>
      <c r="AE277" s="58">
        <f t="shared" si="280"/>
        <v>0</v>
      </c>
    </row>
    <row r="278" spans="2:34">
      <c r="B278" t="str">
        <f t="shared" si="254"/>
        <v>Sem4040DUVITSA ASUCELI ALBIZURES VALENZUELA</v>
      </c>
      <c r="C278" t="str">
        <f t="shared" si="255"/>
        <v>OCTUBRESem40</v>
      </c>
      <c r="D278" t="str">
        <f t="shared" si="256"/>
        <v>OCTUBRESem40DUVITSA ASUCELI ALBIZURES VALENZUELA</v>
      </c>
      <c r="E278" t="str">
        <f t="shared" si="257"/>
        <v>OCTUBRESem4040DUVITSA ASUCELI ALBIZURES VALENZUELA</v>
      </c>
      <c r="F278" t="str">
        <f t="shared" si="258"/>
        <v>DUVITSA ASUCELI ALBIZURES VALENZUELA46297</v>
      </c>
      <c r="H278" s="49" t="s">
        <v>251</v>
      </c>
      <c r="I278" s="50" t="str">
        <f>+_xlfn.XLOOKUP($H278&amp;$V278,BASEDATOS!$B:$B,BASEDATOS!F:F,0,0,1)</f>
        <v>DIA</v>
      </c>
      <c r="J278" s="51">
        <f>+_xlfn.XLOOKUP($H278&amp;$V278,BASEDATOS!$B:$B,BASEDATOS!Q:Q,0,0,1)</f>
        <v>0.29166666666666702</v>
      </c>
      <c r="K278" s="51">
        <f>+_xlfn.XLOOKUP($H278&amp;$V278,BASEDATOS!$B:$B,BASEDATOS!R:R,0,0,1)</f>
        <v>0.70833333333333304</v>
      </c>
      <c r="L278" s="51">
        <f t="shared" si="259"/>
        <v>0.41666666666666602</v>
      </c>
      <c r="M278" s="52" t="str">
        <f t="shared" si="260"/>
        <v>1:00</v>
      </c>
      <c r="N278" s="51">
        <f t="shared" si="261"/>
        <v>0.37499999999999933</v>
      </c>
      <c r="O278" s="53" t="str">
        <f t="shared" ref="O278" si="326">+O280</f>
        <v>6-0-1</v>
      </c>
      <c r="P278" s="54">
        <f>+IF(AND(Y278="Domingo",U278=7),_xlfn.XLOOKUP(O278,'Horarios y Sistemas'!C:C,'Horarios y Sistemas'!H:H,0,0,1),0)</f>
        <v>0</v>
      </c>
      <c r="Q278" s="54">
        <f>IF(U278=U279,0,IF(AVERAGEIF(W:W,W278,U:U)=U278,0,_xlfn.XLOOKUP(O278,'Horarios y Sistemas'!C:C,'Horarios y Sistemas'!H:H,0,0,1)-P278))/7*U278</f>
        <v>0</v>
      </c>
      <c r="R278" s="54">
        <f t="shared" si="263"/>
        <v>0</v>
      </c>
      <c r="S278" s="55" t="str">
        <f t="shared" si="264"/>
        <v>OCTUBRE</v>
      </c>
      <c r="T278" s="55" t="str">
        <f t="shared" si="265"/>
        <v>Sem40</v>
      </c>
      <c r="U278" s="56">
        <f t="shared" si="312"/>
        <v>7</v>
      </c>
      <c r="V278" s="59">
        <v>46297</v>
      </c>
      <c r="W278" s="56">
        <f t="shared" si="266"/>
        <v>40</v>
      </c>
      <c r="X278" s="56">
        <f t="shared" si="267"/>
        <v>2</v>
      </c>
      <c r="Y278" s="56" t="s">
        <v>32</v>
      </c>
      <c r="Z278" s="56">
        <v>5</v>
      </c>
      <c r="AA278" s="58">
        <f t="shared" si="280"/>
        <v>1</v>
      </c>
      <c r="AB278" s="58">
        <f t="shared" si="280"/>
        <v>0</v>
      </c>
      <c r="AC278" s="58">
        <f t="shared" si="280"/>
        <v>0</v>
      </c>
      <c r="AD278" s="58">
        <f t="shared" si="280"/>
        <v>0</v>
      </c>
      <c r="AE278" s="58">
        <f t="shared" si="280"/>
        <v>0</v>
      </c>
    </row>
    <row r="279" spans="2:34">
      <c r="B279" t="str">
        <f t="shared" si="254"/>
        <v>Sem4040DUVITSA ASUCELI ALBIZURES VALENZUELA</v>
      </c>
      <c r="C279" t="str">
        <f t="shared" si="255"/>
        <v>OCTUBRESem40</v>
      </c>
      <c r="D279" t="str">
        <f t="shared" si="256"/>
        <v>OCTUBRESem40DUVITSA ASUCELI ALBIZURES VALENZUELA</v>
      </c>
      <c r="E279" t="str">
        <f t="shared" si="257"/>
        <v>OCTUBRESem4040DUVITSA ASUCELI ALBIZURES VALENZUELA</v>
      </c>
      <c r="F279" t="str">
        <f t="shared" si="258"/>
        <v>DUVITSA ASUCELI ALBIZURES VALENZUELA46298</v>
      </c>
      <c r="H279" s="49" t="s">
        <v>251</v>
      </c>
      <c r="I279" s="50" t="str">
        <f>+_xlfn.XLOOKUP($H279&amp;$V279,BASEDATOS!$B:$B,BASEDATOS!F:F,0,0,1)</f>
        <v>DIA</v>
      </c>
      <c r="J279" s="51">
        <f>+_xlfn.XLOOKUP($H279&amp;$V279,BASEDATOS!$B:$B,BASEDATOS!Q:Q,0,0,1)</f>
        <v>0.29166666666666702</v>
      </c>
      <c r="K279" s="51">
        <f>+_xlfn.XLOOKUP($H279&amp;$V279,BASEDATOS!$B:$B,BASEDATOS!R:R,0,0,1)</f>
        <v>0.58333333333333304</v>
      </c>
      <c r="L279" s="51">
        <f t="shared" si="259"/>
        <v>0.29166666666666602</v>
      </c>
      <c r="M279" s="52" t="str">
        <f t="shared" si="260"/>
        <v>1:00</v>
      </c>
      <c r="N279" s="51">
        <f t="shared" si="261"/>
        <v>0.24999999999999936</v>
      </c>
      <c r="O279" s="53" t="str">
        <f t="shared" ref="O279" si="327">+O280</f>
        <v>6-0-1</v>
      </c>
      <c r="P279" s="54">
        <f>+IF(AND(Y279="Domingo",U279=7),_xlfn.XLOOKUP(O279,'Horarios y Sistemas'!C:C,'Horarios y Sistemas'!H:H,0,0,1),0)</f>
        <v>0</v>
      </c>
      <c r="Q279" s="54">
        <f>IF(U279=U280,0,IF(AVERAGEIF(W:W,W279,U:U)=U279,0,_xlfn.XLOOKUP(O279,'Horarios y Sistemas'!C:C,'Horarios y Sistemas'!H:H,0,0,1)-P279))/7*U279</f>
        <v>0</v>
      </c>
      <c r="R279" s="54">
        <f t="shared" si="263"/>
        <v>0</v>
      </c>
      <c r="S279" s="55" t="str">
        <f t="shared" si="264"/>
        <v>OCTUBRE</v>
      </c>
      <c r="T279" s="55" t="str">
        <f t="shared" si="265"/>
        <v>Sem40</v>
      </c>
      <c r="U279" s="56">
        <f t="shared" si="312"/>
        <v>7</v>
      </c>
      <c r="V279" s="59">
        <v>46298</v>
      </c>
      <c r="W279" s="56">
        <f t="shared" si="266"/>
        <v>40</v>
      </c>
      <c r="X279" s="56">
        <f t="shared" si="267"/>
        <v>3</v>
      </c>
      <c r="Y279" s="56" t="s">
        <v>33</v>
      </c>
      <c r="Z279" s="56">
        <v>6</v>
      </c>
      <c r="AA279" s="58">
        <f t="shared" si="280"/>
        <v>1</v>
      </c>
      <c r="AB279" s="58">
        <f t="shared" si="280"/>
        <v>0</v>
      </c>
      <c r="AC279" s="58">
        <f t="shared" si="280"/>
        <v>0</v>
      </c>
      <c r="AD279" s="58">
        <f t="shared" si="280"/>
        <v>0</v>
      </c>
      <c r="AE279" s="58">
        <f t="shared" si="280"/>
        <v>0</v>
      </c>
    </row>
    <row r="280" spans="2:34" s="60" customFormat="1">
      <c r="B280" s="60" t="str">
        <f t="shared" si="254"/>
        <v>Sem4040DUVITSA ASUCELI ALBIZURES VALENZUELA</v>
      </c>
      <c r="C280" s="60" t="str">
        <f t="shared" si="255"/>
        <v>OCTUBRESem40</v>
      </c>
      <c r="D280" s="60" t="str">
        <f t="shared" si="256"/>
        <v>OCTUBRESem40DUVITSA ASUCELI ALBIZURES VALENZUELA</v>
      </c>
      <c r="E280" s="60" t="str">
        <f t="shared" si="257"/>
        <v>OCTUBRESem4040DUVITSA ASUCELI ALBIZURES VALENZUELA</v>
      </c>
      <c r="F280" s="60" t="str">
        <f t="shared" si="258"/>
        <v>DUVITSA ASUCELI ALBIZURES VALENZUELA46299</v>
      </c>
      <c r="H280" s="61" t="s">
        <v>251</v>
      </c>
      <c r="I280" s="62" t="str">
        <f>+_xlfn.XLOOKUP($H280&amp;$V280,BASEDATOS!$B:$B,BASEDATOS!F:F,0,0,1)</f>
        <v>DESCANSO</v>
      </c>
      <c r="J280" s="63">
        <f>+_xlfn.XLOOKUP($H280&amp;$V280,BASEDATOS!$B:$B,BASEDATOS!Q:Q,0,0,1)</f>
        <v>0</v>
      </c>
      <c r="K280" s="63">
        <f>+_xlfn.XLOOKUP($H280&amp;$V280,BASEDATOS!$B:$B,BASEDATOS!R:R,0,0,1)</f>
        <v>0</v>
      </c>
      <c r="L280" s="63">
        <f t="shared" si="259"/>
        <v>0</v>
      </c>
      <c r="M280" s="64">
        <f t="shared" si="260"/>
        <v>0</v>
      </c>
      <c r="N280" s="63">
        <f t="shared" si="261"/>
        <v>0</v>
      </c>
      <c r="O280" s="65" t="str">
        <f t="shared" ref="O280" si="328">+IF(Y280="Domingo",SUM(AA274:AA280)&amp;"-"&amp;SUM(AB274:AB280)&amp;"-"&amp;SUM(AC274:AE280),"")</f>
        <v>6-0-1</v>
      </c>
      <c r="P280" s="66">
        <f>+IF(AND(Y280="Domingo",U280=7),_xlfn.XLOOKUP(O280,'Horarios y Sistemas'!C:C,'Horarios y Sistemas'!H:H,0,0,1),0)</f>
        <v>44</v>
      </c>
      <c r="Q280" s="66">
        <f>IF(U280=U281,0,IF(AVERAGEIF(W:W,W280,U:U)=U280,0,_xlfn.XLOOKUP(O280,'Horarios y Sistemas'!C:C,'Horarios y Sistemas'!H:H,0,0,1)-P280))/7*U280</f>
        <v>0</v>
      </c>
      <c r="R280" s="66">
        <f t="shared" si="263"/>
        <v>44</v>
      </c>
      <c r="S280" s="67" t="str">
        <f t="shared" si="264"/>
        <v>OCTUBRE</v>
      </c>
      <c r="T280" s="55" t="str">
        <f t="shared" si="265"/>
        <v>Sem40</v>
      </c>
      <c r="U280" s="68">
        <f t="shared" si="312"/>
        <v>7</v>
      </c>
      <c r="V280" s="69">
        <v>46299</v>
      </c>
      <c r="W280" s="68">
        <f t="shared" si="266"/>
        <v>40</v>
      </c>
      <c r="X280" s="68">
        <f t="shared" si="267"/>
        <v>4</v>
      </c>
      <c r="Y280" s="68" t="s">
        <v>34</v>
      </c>
      <c r="Z280" s="68">
        <v>7</v>
      </c>
      <c r="AA280" s="70">
        <f t="shared" si="280"/>
        <v>0</v>
      </c>
      <c r="AB280" s="70">
        <f t="shared" si="280"/>
        <v>0</v>
      </c>
      <c r="AC280" s="70">
        <f t="shared" si="280"/>
        <v>1</v>
      </c>
      <c r="AD280" s="70">
        <f t="shared" si="280"/>
        <v>0</v>
      </c>
      <c r="AE280" s="70">
        <f t="shared" si="280"/>
        <v>0</v>
      </c>
      <c r="AF280" s="71"/>
      <c r="AG280" s="71"/>
      <c r="AH280" s="71"/>
    </row>
    <row r="281" spans="2:34">
      <c r="B281" t="str">
        <f t="shared" si="254"/>
        <v>Sem3838David Alexander Ordoñez Sales</v>
      </c>
      <c r="C281" t="str">
        <f t="shared" si="255"/>
        <v>SEPTIEMBRESem38</v>
      </c>
      <c r="D281" t="str">
        <f t="shared" si="256"/>
        <v>SEPTIEMBRESem38David Alexander Ordoñez Sales</v>
      </c>
      <c r="E281" t="str">
        <f t="shared" si="257"/>
        <v>SEPTIEMBRESem3838David Alexander Ordoñez Sales</v>
      </c>
      <c r="F281" t="str">
        <f t="shared" si="258"/>
        <v>David Alexander Ordoñez Sales46279</v>
      </c>
      <c r="H281" s="49" t="s">
        <v>217</v>
      </c>
      <c r="I281" s="50" t="str">
        <f>+_xlfn.XLOOKUP($H281&amp;$V281,BASEDATOS!$B:$B,BASEDATOS!F:F,0,0,1)</f>
        <v>DESCANSO</v>
      </c>
      <c r="J281" s="51">
        <f>+_xlfn.XLOOKUP($H281&amp;$V281,BASEDATOS!$B:$B,BASEDATOS!Q:Q,0,0,1)</f>
        <v>0</v>
      </c>
      <c r="K281" s="51">
        <f>+_xlfn.XLOOKUP($H281&amp;$V281,BASEDATOS!$B:$B,BASEDATOS!R:R,0,0,1)</f>
        <v>0</v>
      </c>
      <c r="L281" s="51">
        <f t="shared" si="259"/>
        <v>0</v>
      </c>
      <c r="M281" s="52">
        <f t="shared" si="260"/>
        <v>0</v>
      </c>
      <c r="N281" s="51">
        <f t="shared" si="261"/>
        <v>0</v>
      </c>
      <c r="O281" s="53" t="str">
        <f t="shared" ref="O281" si="329">+O287</f>
        <v>1-4-2</v>
      </c>
      <c r="P281" s="54">
        <f>+IF(AND(Y281="Domingo",U281=7),_xlfn.XLOOKUP(O281,'Horarios y Sistemas'!C:C,'Horarios y Sistemas'!H:H,0,0,1),0)</f>
        <v>0</v>
      </c>
      <c r="Q281" s="54">
        <f>IF(U281=U282,0,IF(AVERAGEIF(W:W,W281,U:U)=U281,0,_xlfn.XLOOKUP(O281,'Horarios y Sistemas'!C:C,'Horarios y Sistemas'!H:H,0,0,1)-P281))/7*U281</f>
        <v>0</v>
      </c>
      <c r="R281" s="54">
        <f t="shared" si="263"/>
        <v>0</v>
      </c>
      <c r="S281" s="55" t="str">
        <f t="shared" si="264"/>
        <v>SEPTIEMBRE</v>
      </c>
      <c r="T281" s="55" t="str">
        <f t="shared" si="265"/>
        <v>Sem38</v>
      </c>
      <c r="U281" s="56">
        <f t="shared" si="312"/>
        <v>7</v>
      </c>
      <c r="V281" s="57">
        <v>46279</v>
      </c>
      <c r="W281" s="56">
        <f t="shared" si="266"/>
        <v>38</v>
      </c>
      <c r="X281" s="56">
        <f t="shared" si="267"/>
        <v>14</v>
      </c>
      <c r="Y281" s="56" t="s">
        <v>28</v>
      </c>
      <c r="Z281" s="56">
        <v>1</v>
      </c>
      <c r="AA281" s="58">
        <f t="shared" si="280"/>
        <v>0</v>
      </c>
      <c r="AB281" s="58">
        <f t="shared" si="280"/>
        <v>0</v>
      </c>
      <c r="AC281" s="58">
        <f t="shared" si="280"/>
        <v>1</v>
      </c>
      <c r="AD281" s="58">
        <f t="shared" si="280"/>
        <v>0</v>
      </c>
      <c r="AE281" s="58">
        <f t="shared" si="280"/>
        <v>0</v>
      </c>
    </row>
    <row r="282" spans="2:34">
      <c r="B282" t="str">
        <f t="shared" si="254"/>
        <v>Sem3838David Alexander Ordoñez Sales</v>
      </c>
      <c r="C282" t="str">
        <f t="shared" si="255"/>
        <v>SEPTIEMBRESem38</v>
      </c>
      <c r="D282" t="str">
        <f t="shared" si="256"/>
        <v>SEPTIEMBRESem38David Alexander Ordoñez Sales</v>
      </c>
      <c r="E282" t="str">
        <f t="shared" si="257"/>
        <v>SEPTIEMBRESem3838David Alexander Ordoñez Sales</v>
      </c>
      <c r="F282" t="str">
        <f t="shared" si="258"/>
        <v>David Alexander Ordoñez Sales46280</v>
      </c>
      <c r="H282" s="49" t="s">
        <v>217</v>
      </c>
      <c r="I282" s="50" t="str">
        <f>+_xlfn.XLOOKUP($H282&amp;$V282,BASEDATOS!$B:$B,BASEDATOS!F:F,0,0,1)</f>
        <v>DIA</v>
      </c>
      <c r="J282" s="51">
        <f>+_xlfn.XLOOKUP($H282&amp;$V282,BASEDATOS!$B:$B,BASEDATOS!Q:Q,0,0,1)</f>
        <v>0.33333333333333298</v>
      </c>
      <c r="K282" s="51">
        <f>+_xlfn.XLOOKUP($H282&amp;$V282,BASEDATOS!$B:$B,BASEDATOS!R:R,0,0,1)</f>
        <v>0.70833333333333304</v>
      </c>
      <c r="L282" s="51">
        <f t="shared" si="259"/>
        <v>0.37500000000000006</v>
      </c>
      <c r="M282" s="52" t="str">
        <f t="shared" si="260"/>
        <v>1:00</v>
      </c>
      <c r="N282" s="51">
        <f t="shared" si="261"/>
        <v>0.33333333333333337</v>
      </c>
      <c r="O282" s="53" t="str">
        <f t="shared" ref="O282" si="330">+O287</f>
        <v>1-4-2</v>
      </c>
      <c r="P282" s="54">
        <f>+IF(AND(Y282="Domingo",U282=7),_xlfn.XLOOKUP(O282,'Horarios y Sistemas'!C:C,'Horarios y Sistemas'!H:H,0,0,1),0)</f>
        <v>0</v>
      </c>
      <c r="Q282" s="54">
        <f>IF(U282=U283,0,IF(AVERAGEIF(W:W,W282,U:U)=U282,0,_xlfn.XLOOKUP(O282,'Horarios y Sistemas'!C:C,'Horarios y Sistemas'!H:H,0,0,1)-P282))/7*U282</f>
        <v>0</v>
      </c>
      <c r="R282" s="54">
        <f t="shared" si="263"/>
        <v>0</v>
      </c>
      <c r="S282" s="55" t="str">
        <f t="shared" si="264"/>
        <v>SEPTIEMBRE</v>
      </c>
      <c r="T282" s="55" t="str">
        <f t="shared" si="265"/>
        <v>Sem38</v>
      </c>
      <c r="U282" s="56">
        <f t="shared" si="312"/>
        <v>7</v>
      </c>
      <c r="V282" s="59">
        <v>46280</v>
      </c>
      <c r="W282" s="56">
        <f t="shared" si="266"/>
        <v>38</v>
      </c>
      <c r="X282" s="56">
        <f t="shared" si="267"/>
        <v>15</v>
      </c>
      <c r="Y282" s="56" t="s">
        <v>29</v>
      </c>
      <c r="Z282" s="56">
        <v>2</v>
      </c>
      <c r="AA282" s="58">
        <f t="shared" si="280"/>
        <v>1</v>
      </c>
      <c r="AB282" s="58">
        <f t="shared" si="280"/>
        <v>0</v>
      </c>
      <c r="AC282" s="58">
        <f t="shared" si="280"/>
        <v>0</v>
      </c>
      <c r="AD282" s="58">
        <f t="shared" si="280"/>
        <v>0</v>
      </c>
      <c r="AE282" s="58">
        <f t="shared" si="280"/>
        <v>0</v>
      </c>
    </row>
    <row r="283" spans="2:34">
      <c r="B283" t="str">
        <f t="shared" si="254"/>
        <v>Sem3838David Alexander Ordoñez Sales</v>
      </c>
      <c r="C283" t="str">
        <f t="shared" si="255"/>
        <v>SEPTIEMBRESem38</v>
      </c>
      <c r="D283" t="str">
        <f t="shared" si="256"/>
        <v>SEPTIEMBRESem38David Alexander Ordoñez Sales</v>
      </c>
      <c r="E283" t="str">
        <f t="shared" si="257"/>
        <v>SEPTIEMBRESem3838David Alexander Ordoñez Sales</v>
      </c>
      <c r="F283" t="str">
        <f t="shared" si="258"/>
        <v>David Alexander Ordoñez Sales46281</v>
      </c>
      <c r="H283" s="49" t="s">
        <v>217</v>
      </c>
      <c r="I283" s="50" t="str">
        <f>+_xlfn.XLOOKUP($H283&amp;$V283,BASEDATOS!$B:$B,BASEDATOS!F:F,0,0,1)</f>
        <v>NOCHE</v>
      </c>
      <c r="J283" s="51">
        <f>+_xlfn.XLOOKUP($H283&amp;$V283,BASEDATOS!$B:$B,BASEDATOS!Q:Q,0,0,1)</f>
        <v>0.75</v>
      </c>
      <c r="K283" s="51">
        <f>+_xlfn.XLOOKUP($H283&amp;$V283,BASEDATOS!$B:$B,BASEDATOS!R:R,0,0,1)</f>
        <v>0.25</v>
      </c>
      <c r="L283" s="51">
        <f t="shared" si="259"/>
        <v>0.5</v>
      </c>
      <c r="M283" s="52" t="str">
        <f t="shared" si="260"/>
        <v>1:00</v>
      </c>
      <c r="N283" s="51">
        <f t="shared" si="261"/>
        <v>0.45833333333333331</v>
      </c>
      <c r="O283" s="53" t="str">
        <f t="shared" ref="O283" si="331">+O287</f>
        <v>1-4-2</v>
      </c>
      <c r="P283" s="54">
        <f>+IF(AND(Y283="Domingo",U283=7),_xlfn.XLOOKUP(O283,'Horarios y Sistemas'!C:C,'Horarios y Sistemas'!H:H,0,0,1),0)</f>
        <v>0</v>
      </c>
      <c r="Q283" s="54">
        <f>IF(U283=U284,0,IF(AVERAGEIF(W:W,W283,U:U)=U283,0,_xlfn.XLOOKUP(O283,'Horarios y Sistemas'!C:C,'Horarios y Sistemas'!H:H,0,0,1)-P283))/7*U283</f>
        <v>0</v>
      </c>
      <c r="R283" s="54">
        <f t="shared" si="263"/>
        <v>0</v>
      </c>
      <c r="S283" s="55" t="str">
        <f t="shared" si="264"/>
        <v>SEPTIEMBRE</v>
      </c>
      <c r="T283" s="55" t="str">
        <f t="shared" si="265"/>
        <v>Sem38</v>
      </c>
      <c r="U283" s="56">
        <f t="shared" si="312"/>
        <v>7</v>
      </c>
      <c r="V283" s="59">
        <v>46281</v>
      </c>
      <c r="W283" s="56">
        <f t="shared" si="266"/>
        <v>38</v>
      </c>
      <c r="X283" s="56">
        <f t="shared" si="267"/>
        <v>16</v>
      </c>
      <c r="Y283" s="56" t="s">
        <v>30</v>
      </c>
      <c r="Z283" s="56">
        <v>3</v>
      </c>
      <c r="AA283" s="58">
        <f t="shared" si="280"/>
        <v>0</v>
      </c>
      <c r="AB283" s="58">
        <f t="shared" si="280"/>
        <v>1</v>
      </c>
      <c r="AC283" s="58">
        <f t="shared" si="280"/>
        <v>0</v>
      </c>
      <c r="AD283" s="58">
        <f t="shared" si="280"/>
        <v>0</v>
      </c>
      <c r="AE283" s="58">
        <f t="shared" si="280"/>
        <v>0</v>
      </c>
    </row>
    <row r="284" spans="2:34">
      <c r="B284" t="str">
        <f t="shared" si="254"/>
        <v>Sem3838David Alexander Ordoñez Sales</v>
      </c>
      <c r="C284" t="str">
        <f t="shared" si="255"/>
        <v>SEPTIEMBRESem38</v>
      </c>
      <c r="D284" t="str">
        <f t="shared" si="256"/>
        <v>SEPTIEMBRESem38David Alexander Ordoñez Sales</v>
      </c>
      <c r="E284" t="str">
        <f t="shared" si="257"/>
        <v>SEPTIEMBRESem3838David Alexander Ordoñez Sales</v>
      </c>
      <c r="F284" t="str">
        <f t="shared" si="258"/>
        <v>David Alexander Ordoñez Sales46282</v>
      </c>
      <c r="H284" s="49" t="s">
        <v>217</v>
      </c>
      <c r="I284" s="50" t="str">
        <f>+_xlfn.XLOOKUP($H284&amp;$V284,BASEDATOS!$B:$B,BASEDATOS!F:F,0,0,1)</f>
        <v>NOCHE</v>
      </c>
      <c r="J284" s="51">
        <f>+_xlfn.XLOOKUP($H284&amp;$V284,BASEDATOS!$B:$B,BASEDATOS!Q:Q,0,0,1)</f>
        <v>0.75</v>
      </c>
      <c r="K284" s="51">
        <f>+_xlfn.XLOOKUP($H284&amp;$V284,BASEDATOS!$B:$B,BASEDATOS!R:R,0,0,1)</f>
        <v>0.25</v>
      </c>
      <c r="L284" s="51">
        <f t="shared" si="259"/>
        <v>0.5</v>
      </c>
      <c r="M284" s="52" t="str">
        <f t="shared" si="260"/>
        <v>1:00</v>
      </c>
      <c r="N284" s="51">
        <f t="shared" si="261"/>
        <v>0.45833333333333331</v>
      </c>
      <c r="O284" s="53" t="str">
        <f t="shared" ref="O284" si="332">+O287</f>
        <v>1-4-2</v>
      </c>
      <c r="P284" s="54">
        <f>+IF(AND(Y284="Domingo",U284=7),_xlfn.XLOOKUP(O284,'Horarios y Sistemas'!C:C,'Horarios y Sistemas'!H:H,0,0,1),0)</f>
        <v>0</v>
      </c>
      <c r="Q284" s="54">
        <f>IF(U284=U285,0,IF(AVERAGEIF(W:W,W284,U:U)=U284,0,_xlfn.XLOOKUP(O284,'Horarios y Sistemas'!C:C,'Horarios y Sistemas'!H:H,0,0,1)-P284))/7*U284</f>
        <v>0</v>
      </c>
      <c r="R284" s="54">
        <f t="shared" si="263"/>
        <v>0</v>
      </c>
      <c r="S284" s="55" t="str">
        <f t="shared" si="264"/>
        <v>SEPTIEMBRE</v>
      </c>
      <c r="T284" s="55" t="str">
        <f t="shared" si="265"/>
        <v>Sem38</v>
      </c>
      <c r="U284" s="56">
        <f t="shared" si="312"/>
        <v>7</v>
      </c>
      <c r="V284" s="59">
        <v>46282</v>
      </c>
      <c r="W284" s="56">
        <f t="shared" si="266"/>
        <v>38</v>
      </c>
      <c r="X284" s="56">
        <f t="shared" si="267"/>
        <v>17</v>
      </c>
      <c r="Y284" s="56" t="s">
        <v>31</v>
      </c>
      <c r="Z284" s="56">
        <v>4</v>
      </c>
      <c r="AA284" s="58">
        <f t="shared" ref="AA284:AE334" si="333">+IF($I284=AA$7,1,0)</f>
        <v>0</v>
      </c>
      <c r="AB284" s="58">
        <f t="shared" si="333"/>
        <v>1</v>
      </c>
      <c r="AC284" s="58">
        <f t="shared" si="333"/>
        <v>0</v>
      </c>
      <c r="AD284" s="58">
        <f t="shared" si="333"/>
        <v>0</v>
      </c>
      <c r="AE284" s="58">
        <f t="shared" si="333"/>
        <v>0</v>
      </c>
    </row>
    <row r="285" spans="2:34">
      <c r="B285" t="str">
        <f t="shared" ref="B285:B348" si="334">+T285&amp;W285&amp;H285</f>
        <v>Sem3838David Alexander Ordoñez Sales</v>
      </c>
      <c r="C285" t="str">
        <f t="shared" ref="C285:C348" si="335">+S285&amp;T285</f>
        <v>SEPTIEMBRESem38</v>
      </c>
      <c r="D285" t="str">
        <f t="shared" ref="D285:D348" si="336">+S285&amp;T285&amp;H285</f>
        <v>SEPTIEMBRESem38David Alexander Ordoñez Sales</v>
      </c>
      <c r="E285" t="str">
        <f t="shared" ref="E285:E348" si="337">+S285&amp;T285&amp;W285&amp;H285</f>
        <v>SEPTIEMBRESem3838David Alexander Ordoñez Sales</v>
      </c>
      <c r="F285" t="str">
        <f t="shared" ref="F285:F348" si="338">+H285&amp;V285</f>
        <v>David Alexander Ordoñez Sales46283</v>
      </c>
      <c r="H285" s="49" t="s">
        <v>217</v>
      </c>
      <c r="I285" s="50" t="str">
        <f>+_xlfn.XLOOKUP($H285&amp;$V285,BASEDATOS!$B:$B,BASEDATOS!F:F,0,0,1)</f>
        <v>NOCHE</v>
      </c>
      <c r="J285" s="51">
        <f>+_xlfn.XLOOKUP($H285&amp;$V285,BASEDATOS!$B:$B,BASEDATOS!Q:Q,0,0,1)</f>
        <v>0.75</v>
      </c>
      <c r="K285" s="51">
        <f>+_xlfn.XLOOKUP($H285&amp;$V285,BASEDATOS!$B:$B,BASEDATOS!R:R,0,0,1)</f>
        <v>0.25</v>
      </c>
      <c r="L285" s="51">
        <f t="shared" ref="L285:L348" si="339">+IF(OR(J285="Descanso",J285="AUSENTE",J285="ASUETO"),0,MOD(K285-J285,1))</f>
        <v>0.5</v>
      </c>
      <c r="M285" s="52" t="str">
        <f t="shared" ref="M285:M348" si="340">+IF(OR(I285="DIA",I285="NOCHE",I285="MIXTO"),"1:00",0)</f>
        <v>1:00</v>
      </c>
      <c r="N285" s="51">
        <f t="shared" ref="N285:N348" si="341">+IF(I285="ASUETO-D",8/24,IF(I285="ASUETO-N",6/24,MOD(L285-M285,1)))</f>
        <v>0.45833333333333331</v>
      </c>
      <c r="O285" s="53" t="str">
        <f t="shared" ref="O285" si="342">+O287</f>
        <v>1-4-2</v>
      </c>
      <c r="P285" s="54">
        <f>+IF(AND(Y285="Domingo",U285=7),_xlfn.XLOOKUP(O285,'Horarios y Sistemas'!C:C,'Horarios y Sistemas'!H:H,0,0,1),0)</f>
        <v>0</v>
      </c>
      <c r="Q285" s="54">
        <f>IF(U285=U286,0,IF(AVERAGEIF(W:W,W285,U:U)=U285,0,_xlfn.XLOOKUP(O285,'Horarios y Sistemas'!C:C,'Horarios y Sistemas'!H:H,0,0,1)-P285))/7*U285</f>
        <v>0</v>
      </c>
      <c r="R285" s="54">
        <f t="shared" ref="R285:R348" si="343">+IF(Y285="Domingo",SUM(P279:Q285),0)</f>
        <v>0</v>
      </c>
      <c r="S285" s="55" t="str">
        <f t="shared" ref="S285:S348" si="344">+UPPER(TEXT(V285,"MMMMMMMM"))</f>
        <v>SEPTIEMBRE</v>
      </c>
      <c r="T285" s="55" t="str">
        <f t="shared" ref="T285:T348" si="345">+"Sem"&amp;W285</f>
        <v>Sem38</v>
      </c>
      <c r="U285" s="56">
        <f t="shared" si="312"/>
        <v>7</v>
      </c>
      <c r="V285" s="59">
        <v>46283</v>
      </c>
      <c r="W285" s="56">
        <f t="shared" ref="W285:W348" si="346">+_xlfn.ISOWEEKNUM(V285)</f>
        <v>38</v>
      </c>
      <c r="X285" s="56">
        <f t="shared" ref="X285:X348" si="347">+DAY(V285)</f>
        <v>18</v>
      </c>
      <c r="Y285" s="56" t="s">
        <v>32</v>
      </c>
      <c r="Z285" s="56">
        <v>5</v>
      </c>
      <c r="AA285" s="58">
        <f t="shared" si="333"/>
        <v>0</v>
      </c>
      <c r="AB285" s="58">
        <f t="shared" si="333"/>
        <v>1</v>
      </c>
      <c r="AC285" s="58">
        <f t="shared" si="333"/>
        <v>0</v>
      </c>
      <c r="AD285" s="58">
        <f t="shared" si="333"/>
        <v>0</v>
      </c>
      <c r="AE285" s="58">
        <f t="shared" si="333"/>
        <v>0</v>
      </c>
    </row>
    <row r="286" spans="2:34">
      <c r="B286" t="str">
        <f t="shared" si="334"/>
        <v>Sem3838David Alexander Ordoñez Sales</v>
      </c>
      <c r="C286" t="str">
        <f t="shared" si="335"/>
        <v>SEPTIEMBRESem38</v>
      </c>
      <c r="D286" t="str">
        <f t="shared" si="336"/>
        <v>SEPTIEMBRESem38David Alexander Ordoñez Sales</v>
      </c>
      <c r="E286" t="str">
        <f t="shared" si="337"/>
        <v>SEPTIEMBRESem3838David Alexander Ordoñez Sales</v>
      </c>
      <c r="F286" t="str">
        <f t="shared" si="338"/>
        <v>David Alexander Ordoñez Sales46284</v>
      </c>
      <c r="H286" s="49" t="s">
        <v>217</v>
      </c>
      <c r="I286" s="50" t="str">
        <f>+_xlfn.XLOOKUP($H286&amp;$V286,BASEDATOS!$B:$B,BASEDATOS!F:F,0,0,1)</f>
        <v>NOCHE</v>
      </c>
      <c r="J286" s="51">
        <f>+_xlfn.XLOOKUP($H286&amp;$V286,BASEDATOS!$B:$B,BASEDATOS!Q:Q,0,0,1)</f>
        <v>0.75</v>
      </c>
      <c r="K286" s="51">
        <f>+_xlfn.XLOOKUP($H286&amp;$V286,BASEDATOS!$B:$B,BASEDATOS!R:R,0,0,1)</f>
        <v>0.25</v>
      </c>
      <c r="L286" s="51">
        <f t="shared" si="339"/>
        <v>0.5</v>
      </c>
      <c r="M286" s="52" t="str">
        <f t="shared" si="340"/>
        <v>1:00</v>
      </c>
      <c r="N286" s="51">
        <f t="shared" si="341"/>
        <v>0.45833333333333331</v>
      </c>
      <c r="O286" s="53" t="str">
        <f t="shared" ref="O286" si="348">+O287</f>
        <v>1-4-2</v>
      </c>
      <c r="P286" s="54">
        <f>+IF(AND(Y286="Domingo",U286=7),_xlfn.XLOOKUP(O286,'Horarios y Sistemas'!C:C,'Horarios y Sistemas'!H:H,0,0,1),0)</f>
        <v>0</v>
      </c>
      <c r="Q286" s="54">
        <f>IF(U286=U287,0,IF(AVERAGEIF(W:W,W286,U:U)=U286,0,_xlfn.XLOOKUP(O286,'Horarios y Sistemas'!C:C,'Horarios y Sistemas'!H:H,0,0,1)-P286))/7*U286</f>
        <v>0</v>
      </c>
      <c r="R286" s="54">
        <f t="shared" si="343"/>
        <v>0</v>
      </c>
      <c r="S286" s="55" t="str">
        <f t="shared" si="344"/>
        <v>SEPTIEMBRE</v>
      </c>
      <c r="T286" s="55" t="str">
        <f t="shared" si="345"/>
        <v>Sem38</v>
      </c>
      <c r="U286" s="56">
        <f t="shared" si="312"/>
        <v>7</v>
      </c>
      <c r="V286" s="59">
        <v>46284</v>
      </c>
      <c r="W286" s="56">
        <f t="shared" si="346"/>
        <v>38</v>
      </c>
      <c r="X286" s="56">
        <f t="shared" si="347"/>
        <v>19</v>
      </c>
      <c r="Y286" s="56" t="s">
        <v>33</v>
      </c>
      <c r="Z286" s="56">
        <v>6</v>
      </c>
      <c r="AA286" s="58">
        <f t="shared" si="333"/>
        <v>0</v>
      </c>
      <c r="AB286" s="58">
        <f t="shared" si="333"/>
        <v>1</v>
      </c>
      <c r="AC286" s="58">
        <f t="shared" si="333"/>
        <v>0</v>
      </c>
      <c r="AD286" s="58">
        <f t="shared" si="333"/>
        <v>0</v>
      </c>
      <c r="AE286" s="58">
        <f t="shared" si="333"/>
        <v>0</v>
      </c>
    </row>
    <row r="287" spans="2:34" s="60" customFormat="1">
      <c r="B287" s="60" t="str">
        <f t="shared" si="334"/>
        <v>Sem3838David Alexander Ordoñez Sales</v>
      </c>
      <c r="C287" s="60" t="str">
        <f t="shared" si="335"/>
        <v>SEPTIEMBRESem38</v>
      </c>
      <c r="D287" s="60" t="str">
        <f t="shared" si="336"/>
        <v>SEPTIEMBRESem38David Alexander Ordoñez Sales</v>
      </c>
      <c r="E287" s="60" t="str">
        <f t="shared" si="337"/>
        <v>SEPTIEMBRESem3838David Alexander Ordoñez Sales</v>
      </c>
      <c r="F287" s="60" t="str">
        <f t="shared" si="338"/>
        <v>David Alexander Ordoñez Sales46285</v>
      </c>
      <c r="H287" s="61" t="s">
        <v>217</v>
      </c>
      <c r="I287" s="62" t="str">
        <f>+_xlfn.XLOOKUP($H287&amp;$V287,BASEDATOS!$B:$B,BASEDATOS!F:F,0,0,1)</f>
        <v>DESCANSO</v>
      </c>
      <c r="J287" s="63">
        <f>+_xlfn.XLOOKUP($H287&amp;$V287,BASEDATOS!$B:$B,BASEDATOS!Q:Q,0,0,1)</f>
        <v>0</v>
      </c>
      <c r="K287" s="63">
        <f>+_xlfn.XLOOKUP($H287&amp;$V287,BASEDATOS!$B:$B,BASEDATOS!R:R,0,0,1)</f>
        <v>0</v>
      </c>
      <c r="L287" s="63">
        <f t="shared" si="339"/>
        <v>0</v>
      </c>
      <c r="M287" s="64">
        <f t="shared" si="340"/>
        <v>0</v>
      </c>
      <c r="N287" s="63">
        <f t="shared" si="341"/>
        <v>0</v>
      </c>
      <c r="O287" s="65" t="str">
        <f t="shared" ref="O287" si="349">+IF(Y287="Domingo",SUM(AA281:AA287)&amp;"-"&amp;SUM(AB281:AB287)&amp;"-"&amp;SUM(AC281:AE287),"")</f>
        <v>1-4-2</v>
      </c>
      <c r="P287" s="66">
        <f>+IF(AND(Y287="Domingo",U287=7),_xlfn.XLOOKUP(O287,'Horarios y Sistemas'!C:C,'Horarios y Sistemas'!H:H,0,0,1),0)</f>
        <v>37.6</v>
      </c>
      <c r="Q287" s="66">
        <f>IF(U287=U288,0,IF(AVERAGEIF(W:W,W287,U:U)=U287,0,_xlfn.XLOOKUP(O287,'Horarios y Sistemas'!C:C,'Horarios y Sistemas'!H:H,0,0,1)-P287))/7*U287</f>
        <v>0</v>
      </c>
      <c r="R287" s="66">
        <f t="shared" si="343"/>
        <v>37.6</v>
      </c>
      <c r="S287" s="67" t="str">
        <f t="shared" si="344"/>
        <v>SEPTIEMBRE</v>
      </c>
      <c r="T287" s="55" t="str">
        <f t="shared" si="345"/>
        <v>Sem38</v>
      </c>
      <c r="U287" s="68">
        <f t="shared" si="312"/>
        <v>7</v>
      </c>
      <c r="V287" s="69">
        <v>46285</v>
      </c>
      <c r="W287" s="68">
        <f t="shared" si="346"/>
        <v>38</v>
      </c>
      <c r="X287" s="68">
        <f t="shared" si="347"/>
        <v>20</v>
      </c>
      <c r="Y287" s="68" t="s">
        <v>34</v>
      </c>
      <c r="Z287" s="68">
        <v>7</v>
      </c>
      <c r="AA287" s="70">
        <f t="shared" si="333"/>
        <v>0</v>
      </c>
      <c r="AB287" s="70">
        <f t="shared" si="333"/>
        <v>0</v>
      </c>
      <c r="AC287" s="70">
        <f t="shared" si="333"/>
        <v>1</v>
      </c>
      <c r="AD287" s="70">
        <f t="shared" si="333"/>
        <v>0</v>
      </c>
      <c r="AE287" s="70">
        <f t="shared" si="333"/>
        <v>0</v>
      </c>
      <c r="AF287" s="71"/>
      <c r="AG287" s="71"/>
      <c r="AH287" s="71"/>
    </row>
    <row r="288" spans="2:34">
      <c r="B288" t="str">
        <f t="shared" si="334"/>
        <v>Sem3939David Alexander Ordoñez Sales</v>
      </c>
      <c r="C288" t="str">
        <f t="shared" si="335"/>
        <v>SEPTIEMBRESem39</v>
      </c>
      <c r="D288" t="str">
        <f t="shared" si="336"/>
        <v>SEPTIEMBRESem39David Alexander Ordoñez Sales</v>
      </c>
      <c r="E288" t="str">
        <f t="shared" si="337"/>
        <v>SEPTIEMBRESem3939David Alexander Ordoñez Sales</v>
      </c>
      <c r="F288" t="str">
        <f t="shared" si="338"/>
        <v>David Alexander Ordoñez Sales46286</v>
      </c>
      <c r="H288" s="49" t="s">
        <v>217</v>
      </c>
      <c r="I288" s="50" t="str">
        <f>+_xlfn.XLOOKUP($H288&amp;$V288,BASEDATOS!$B:$B,BASEDATOS!F:F,0,0,1)</f>
        <v>DIA</v>
      </c>
      <c r="J288" s="51">
        <f>+_xlfn.XLOOKUP($H288&amp;$V288,BASEDATOS!$B:$B,BASEDATOS!Q:Q,0,0,1)</f>
        <v>0.25</v>
      </c>
      <c r="K288" s="51">
        <f>+_xlfn.XLOOKUP($H288&amp;$V288,BASEDATOS!$B:$B,BASEDATOS!R:R,0,0,1)</f>
        <v>0.75</v>
      </c>
      <c r="L288" s="51">
        <f t="shared" si="339"/>
        <v>0.5</v>
      </c>
      <c r="M288" s="52" t="str">
        <f t="shared" si="340"/>
        <v>1:00</v>
      </c>
      <c r="N288" s="51">
        <f t="shared" si="341"/>
        <v>0.45833333333333331</v>
      </c>
      <c r="O288" s="53" t="str">
        <f t="shared" ref="O288" si="350">+O294</f>
        <v>4-0-3</v>
      </c>
      <c r="P288" s="54">
        <f>+IF(AND(Y288="Domingo",U288=7),_xlfn.XLOOKUP(O288,'Horarios y Sistemas'!C:C,'Horarios y Sistemas'!H:H,0,0,1),0)</f>
        <v>0</v>
      </c>
      <c r="Q288" s="54">
        <f>IF(U288=U289,0,IF(AVERAGEIF(W:W,W288,U:U)=U288,0,_xlfn.XLOOKUP(O288,'Horarios y Sistemas'!C:C,'Horarios y Sistemas'!H:H,0,0,1)-P288))/7*U288</f>
        <v>0</v>
      </c>
      <c r="R288" s="54">
        <f t="shared" si="343"/>
        <v>0</v>
      </c>
      <c r="S288" s="55" t="str">
        <f t="shared" si="344"/>
        <v>SEPTIEMBRE</v>
      </c>
      <c r="T288" s="55" t="str">
        <f t="shared" si="345"/>
        <v>Sem39</v>
      </c>
      <c r="U288" s="56">
        <f t="shared" si="312"/>
        <v>7</v>
      </c>
      <c r="V288" s="59">
        <v>46286</v>
      </c>
      <c r="W288" s="56">
        <f t="shared" si="346"/>
        <v>39</v>
      </c>
      <c r="X288" s="56">
        <f t="shared" si="347"/>
        <v>21</v>
      </c>
      <c r="Y288" s="56" t="s">
        <v>28</v>
      </c>
      <c r="Z288" s="56">
        <v>1</v>
      </c>
      <c r="AA288" s="58">
        <f t="shared" si="333"/>
        <v>1</v>
      </c>
      <c r="AB288" s="58">
        <f t="shared" si="333"/>
        <v>0</v>
      </c>
      <c r="AC288" s="58">
        <f t="shared" si="333"/>
        <v>0</v>
      </c>
      <c r="AD288" s="58">
        <f t="shared" si="333"/>
        <v>0</v>
      </c>
      <c r="AE288" s="58">
        <f t="shared" si="333"/>
        <v>0</v>
      </c>
    </row>
    <row r="289" spans="2:34">
      <c r="B289" t="str">
        <f t="shared" si="334"/>
        <v>Sem3939David Alexander Ordoñez Sales</v>
      </c>
      <c r="C289" t="str">
        <f t="shared" si="335"/>
        <v>SEPTIEMBRESem39</v>
      </c>
      <c r="D289" t="str">
        <f t="shared" si="336"/>
        <v>SEPTIEMBRESem39David Alexander Ordoñez Sales</v>
      </c>
      <c r="E289" t="str">
        <f t="shared" si="337"/>
        <v>SEPTIEMBRESem3939David Alexander Ordoñez Sales</v>
      </c>
      <c r="F289" t="str">
        <f t="shared" si="338"/>
        <v>David Alexander Ordoñez Sales46287</v>
      </c>
      <c r="H289" s="49" t="s">
        <v>217</v>
      </c>
      <c r="I289" s="50" t="str">
        <f>+_xlfn.XLOOKUP($H289&amp;$V289,BASEDATOS!$B:$B,BASEDATOS!F:F,0,0,1)</f>
        <v>DIA</v>
      </c>
      <c r="J289" s="51">
        <f>+_xlfn.XLOOKUP($H289&amp;$V289,BASEDATOS!$B:$B,BASEDATOS!Q:Q,0,0,1)</f>
        <v>0.25</v>
      </c>
      <c r="K289" s="51">
        <f>+_xlfn.XLOOKUP($H289&amp;$V289,BASEDATOS!$B:$B,BASEDATOS!R:R,0,0,1)</f>
        <v>0.75</v>
      </c>
      <c r="L289" s="51">
        <f t="shared" si="339"/>
        <v>0.5</v>
      </c>
      <c r="M289" s="52" t="str">
        <f t="shared" si="340"/>
        <v>1:00</v>
      </c>
      <c r="N289" s="51">
        <f t="shared" si="341"/>
        <v>0.45833333333333331</v>
      </c>
      <c r="O289" s="53" t="str">
        <f t="shared" ref="O289" si="351">+O294</f>
        <v>4-0-3</v>
      </c>
      <c r="P289" s="54">
        <f>+IF(AND(Y289="Domingo",U289=7),_xlfn.XLOOKUP(O289,'Horarios y Sistemas'!C:C,'Horarios y Sistemas'!H:H,0,0,1),0)</f>
        <v>0</v>
      </c>
      <c r="Q289" s="54">
        <f>IF(U289=U290,0,IF(AVERAGEIF(W:W,W289,U:U)=U289,0,_xlfn.XLOOKUP(O289,'Horarios y Sistemas'!C:C,'Horarios y Sistemas'!H:H,0,0,1)-P289))/7*U289</f>
        <v>0</v>
      </c>
      <c r="R289" s="54">
        <f t="shared" si="343"/>
        <v>0</v>
      </c>
      <c r="S289" s="55" t="str">
        <f t="shared" si="344"/>
        <v>SEPTIEMBRE</v>
      </c>
      <c r="T289" s="55" t="str">
        <f t="shared" si="345"/>
        <v>Sem39</v>
      </c>
      <c r="U289" s="56">
        <f t="shared" si="312"/>
        <v>7</v>
      </c>
      <c r="V289" s="59">
        <v>46287</v>
      </c>
      <c r="W289" s="56">
        <f t="shared" si="346"/>
        <v>39</v>
      </c>
      <c r="X289" s="56">
        <f t="shared" si="347"/>
        <v>22</v>
      </c>
      <c r="Y289" s="56" t="s">
        <v>29</v>
      </c>
      <c r="Z289" s="56">
        <v>2</v>
      </c>
      <c r="AA289" s="58">
        <f t="shared" si="333"/>
        <v>1</v>
      </c>
      <c r="AB289" s="58">
        <f t="shared" si="333"/>
        <v>0</v>
      </c>
      <c r="AC289" s="58">
        <f t="shared" si="333"/>
        <v>0</v>
      </c>
      <c r="AD289" s="58">
        <f t="shared" si="333"/>
        <v>0</v>
      </c>
      <c r="AE289" s="58">
        <f t="shared" si="333"/>
        <v>0</v>
      </c>
    </row>
    <row r="290" spans="2:34">
      <c r="B290" t="str">
        <f t="shared" si="334"/>
        <v>Sem3939David Alexander Ordoñez Sales</v>
      </c>
      <c r="C290" t="str">
        <f t="shared" si="335"/>
        <v>SEPTIEMBRESem39</v>
      </c>
      <c r="D290" t="str">
        <f t="shared" si="336"/>
        <v>SEPTIEMBRESem39David Alexander Ordoñez Sales</v>
      </c>
      <c r="E290" t="str">
        <f t="shared" si="337"/>
        <v>SEPTIEMBRESem3939David Alexander Ordoñez Sales</v>
      </c>
      <c r="F290" t="str">
        <f t="shared" si="338"/>
        <v>David Alexander Ordoñez Sales46288</v>
      </c>
      <c r="H290" s="49" t="s">
        <v>217</v>
      </c>
      <c r="I290" s="50" t="str">
        <f>+_xlfn.XLOOKUP($H290&amp;$V290,BASEDATOS!$B:$B,BASEDATOS!F:F,0,0,1)</f>
        <v>DIA</v>
      </c>
      <c r="J290" s="51">
        <f>+_xlfn.XLOOKUP($H290&amp;$V290,BASEDATOS!$B:$B,BASEDATOS!Q:Q,0,0,1)</f>
        <v>0.25</v>
      </c>
      <c r="K290" s="51">
        <f>+_xlfn.XLOOKUP($H290&amp;$V290,BASEDATOS!$B:$B,BASEDATOS!R:R,0,0,1)</f>
        <v>0.75</v>
      </c>
      <c r="L290" s="51">
        <f t="shared" si="339"/>
        <v>0.5</v>
      </c>
      <c r="M290" s="52" t="str">
        <f t="shared" si="340"/>
        <v>1:00</v>
      </c>
      <c r="N290" s="51">
        <f t="shared" si="341"/>
        <v>0.45833333333333331</v>
      </c>
      <c r="O290" s="53" t="str">
        <f t="shared" ref="O290" si="352">+O294</f>
        <v>4-0-3</v>
      </c>
      <c r="P290" s="54">
        <f>+IF(AND(Y290="Domingo",U290=7),_xlfn.XLOOKUP(O290,'Horarios y Sistemas'!C:C,'Horarios y Sistemas'!H:H,0,0,1),0)</f>
        <v>0</v>
      </c>
      <c r="Q290" s="54">
        <f>IF(U290=U291,0,IF(AVERAGEIF(W:W,W290,U:U)=U290,0,_xlfn.XLOOKUP(O290,'Horarios y Sistemas'!C:C,'Horarios y Sistemas'!H:H,0,0,1)-P290))/7*U290</f>
        <v>0</v>
      </c>
      <c r="R290" s="54">
        <f t="shared" si="343"/>
        <v>0</v>
      </c>
      <c r="S290" s="55" t="str">
        <f t="shared" si="344"/>
        <v>SEPTIEMBRE</v>
      </c>
      <c r="T290" s="55" t="str">
        <f t="shared" si="345"/>
        <v>Sem39</v>
      </c>
      <c r="U290" s="56">
        <f t="shared" si="312"/>
        <v>7</v>
      </c>
      <c r="V290" s="59">
        <v>46288</v>
      </c>
      <c r="W290" s="56">
        <f t="shared" si="346"/>
        <v>39</v>
      </c>
      <c r="X290" s="56">
        <f t="shared" si="347"/>
        <v>23</v>
      </c>
      <c r="Y290" s="56" t="s">
        <v>30</v>
      </c>
      <c r="Z290" s="56">
        <v>3</v>
      </c>
      <c r="AA290" s="58">
        <f t="shared" si="333"/>
        <v>1</v>
      </c>
      <c r="AB290" s="58">
        <f t="shared" si="333"/>
        <v>0</v>
      </c>
      <c r="AC290" s="58">
        <f t="shared" si="333"/>
        <v>0</v>
      </c>
      <c r="AD290" s="58">
        <f t="shared" si="333"/>
        <v>0</v>
      </c>
      <c r="AE290" s="58">
        <f t="shared" si="333"/>
        <v>0</v>
      </c>
    </row>
    <row r="291" spans="2:34">
      <c r="B291" t="str">
        <f t="shared" si="334"/>
        <v>Sem3939David Alexander Ordoñez Sales</v>
      </c>
      <c r="C291" t="str">
        <f t="shared" si="335"/>
        <v>SEPTIEMBRESem39</v>
      </c>
      <c r="D291" t="str">
        <f t="shared" si="336"/>
        <v>SEPTIEMBRESem39David Alexander Ordoñez Sales</v>
      </c>
      <c r="E291" t="str">
        <f t="shared" si="337"/>
        <v>SEPTIEMBRESem3939David Alexander Ordoñez Sales</v>
      </c>
      <c r="F291" t="str">
        <f t="shared" si="338"/>
        <v>David Alexander Ordoñez Sales46289</v>
      </c>
      <c r="H291" s="49" t="s">
        <v>217</v>
      </c>
      <c r="I291" s="50" t="str">
        <f>+_xlfn.XLOOKUP($H291&amp;$V291,BASEDATOS!$B:$B,BASEDATOS!F:F,0,0,1)</f>
        <v>DIA</v>
      </c>
      <c r="J291" s="51">
        <f>+_xlfn.XLOOKUP($H291&amp;$V291,BASEDATOS!$B:$B,BASEDATOS!Q:Q,0,0,1)</f>
        <v>0.25</v>
      </c>
      <c r="K291" s="51">
        <f>+_xlfn.XLOOKUP($H291&amp;$V291,BASEDATOS!$B:$B,BASEDATOS!R:R,0,0,1)</f>
        <v>0.75</v>
      </c>
      <c r="L291" s="51">
        <f t="shared" si="339"/>
        <v>0.5</v>
      </c>
      <c r="M291" s="52" t="str">
        <f t="shared" si="340"/>
        <v>1:00</v>
      </c>
      <c r="N291" s="51">
        <f t="shared" si="341"/>
        <v>0.45833333333333331</v>
      </c>
      <c r="O291" s="53" t="str">
        <f t="shared" ref="O291" si="353">+O294</f>
        <v>4-0-3</v>
      </c>
      <c r="P291" s="54">
        <f>+IF(AND(Y291="Domingo",U291=7),_xlfn.XLOOKUP(O291,'Horarios y Sistemas'!C:C,'Horarios y Sistemas'!H:H,0,0,1),0)</f>
        <v>0</v>
      </c>
      <c r="Q291" s="54">
        <f>IF(U291=U292,0,IF(AVERAGEIF(W:W,W291,U:U)=U291,0,_xlfn.XLOOKUP(O291,'Horarios y Sistemas'!C:C,'Horarios y Sistemas'!H:H,0,0,1)-P291))/7*U291</f>
        <v>0</v>
      </c>
      <c r="R291" s="54">
        <f t="shared" si="343"/>
        <v>0</v>
      </c>
      <c r="S291" s="55" t="str">
        <f t="shared" si="344"/>
        <v>SEPTIEMBRE</v>
      </c>
      <c r="T291" s="55" t="str">
        <f t="shared" si="345"/>
        <v>Sem39</v>
      </c>
      <c r="U291" s="56">
        <f t="shared" si="312"/>
        <v>7</v>
      </c>
      <c r="V291" s="59">
        <v>46289</v>
      </c>
      <c r="W291" s="56">
        <f t="shared" si="346"/>
        <v>39</v>
      </c>
      <c r="X291" s="56">
        <f t="shared" si="347"/>
        <v>24</v>
      </c>
      <c r="Y291" s="56" t="s">
        <v>31</v>
      </c>
      <c r="Z291" s="56">
        <v>4</v>
      </c>
      <c r="AA291" s="58">
        <f t="shared" si="333"/>
        <v>1</v>
      </c>
      <c r="AB291" s="58">
        <f t="shared" si="333"/>
        <v>0</v>
      </c>
      <c r="AC291" s="58">
        <f t="shared" si="333"/>
        <v>0</v>
      </c>
      <c r="AD291" s="58">
        <f t="shared" si="333"/>
        <v>0</v>
      </c>
      <c r="AE291" s="58">
        <f t="shared" si="333"/>
        <v>0</v>
      </c>
    </row>
    <row r="292" spans="2:34">
      <c r="B292" t="str">
        <f t="shared" si="334"/>
        <v>Sem3939David Alexander Ordoñez Sales</v>
      </c>
      <c r="C292" t="str">
        <f t="shared" si="335"/>
        <v>SEPTIEMBRESem39</v>
      </c>
      <c r="D292" t="str">
        <f t="shared" si="336"/>
        <v>SEPTIEMBRESem39David Alexander Ordoñez Sales</v>
      </c>
      <c r="E292" t="str">
        <f t="shared" si="337"/>
        <v>SEPTIEMBRESem3939David Alexander Ordoñez Sales</v>
      </c>
      <c r="F292" t="str">
        <f t="shared" si="338"/>
        <v>David Alexander Ordoñez Sales46290</v>
      </c>
      <c r="H292" s="49" t="s">
        <v>217</v>
      </c>
      <c r="I292" s="50" t="str">
        <f>+_xlfn.XLOOKUP($H292&amp;$V292,BASEDATOS!$B:$B,BASEDATOS!F:F,0,0,1)</f>
        <v>DESCANSO</v>
      </c>
      <c r="J292" s="51">
        <f>+_xlfn.XLOOKUP($H292&amp;$V292,BASEDATOS!$B:$B,BASEDATOS!Q:Q,0,0,1)</f>
        <v>0</v>
      </c>
      <c r="K292" s="51">
        <f>+_xlfn.XLOOKUP($H292&amp;$V292,BASEDATOS!$B:$B,BASEDATOS!R:R,0,0,1)</f>
        <v>0</v>
      </c>
      <c r="L292" s="51">
        <f t="shared" si="339"/>
        <v>0</v>
      </c>
      <c r="M292" s="52">
        <f t="shared" si="340"/>
        <v>0</v>
      </c>
      <c r="N292" s="51">
        <f t="shared" si="341"/>
        <v>0</v>
      </c>
      <c r="O292" s="53" t="str">
        <f t="shared" ref="O292" si="354">+O294</f>
        <v>4-0-3</v>
      </c>
      <c r="P292" s="54">
        <f>+IF(AND(Y292="Domingo",U292=7),_xlfn.XLOOKUP(O292,'Horarios y Sistemas'!C:C,'Horarios y Sistemas'!H:H,0,0,1),0)</f>
        <v>0</v>
      </c>
      <c r="Q292" s="54">
        <f>IF(U292=U293,0,IF(AVERAGEIF(W:W,W292,U:U)=U292,0,_xlfn.XLOOKUP(O292,'Horarios y Sistemas'!C:C,'Horarios y Sistemas'!H:H,0,0,1)-P292))/7*U292</f>
        <v>0</v>
      </c>
      <c r="R292" s="54">
        <f t="shared" si="343"/>
        <v>0</v>
      </c>
      <c r="S292" s="55" t="str">
        <f t="shared" si="344"/>
        <v>SEPTIEMBRE</v>
      </c>
      <c r="T292" s="55" t="str">
        <f t="shared" si="345"/>
        <v>Sem39</v>
      </c>
      <c r="U292" s="56">
        <f t="shared" si="312"/>
        <v>7</v>
      </c>
      <c r="V292" s="59">
        <v>46290</v>
      </c>
      <c r="W292" s="56">
        <f t="shared" si="346"/>
        <v>39</v>
      </c>
      <c r="X292" s="56">
        <f t="shared" si="347"/>
        <v>25</v>
      </c>
      <c r="Y292" s="56" t="s">
        <v>32</v>
      </c>
      <c r="Z292" s="56">
        <v>5</v>
      </c>
      <c r="AA292" s="58">
        <f t="shared" si="333"/>
        <v>0</v>
      </c>
      <c r="AB292" s="58">
        <f t="shared" si="333"/>
        <v>0</v>
      </c>
      <c r="AC292" s="58">
        <f t="shared" si="333"/>
        <v>1</v>
      </c>
      <c r="AD292" s="58">
        <f t="shared" si="333"/>
        <v>0</v>
      </c>
      <c r="AE292" s="58">
        <f t="shared" si="333"/>
        <v>0</v>
      </c>
    </row>
    <row r="293" spans="2:34">
      <c r="B293" t="str">
        <f t="shared" si="334"/>
        <v>Sem3939David Alexander Ordoñez Sales</v>
      </c>
      <c r="C293" t="str">
        <f t="shared" si="335"/>
        <v>SEPTIEMBRESem39</v>
      </c>
      <c r="D293" t="str">
        <f t="shared" si="336"/>
        <v>SEPTIEMBRESem39David Alexander Ordoñez Sales</v>
      </c>
      <c r="E293" t="str">
        <f t="shared" si="337"/>
        <v>SEPTIEMBRESem3939David Alexander Ordoñez Sales</v>
      </c>
      <c r="F293" t="str">
        <f t="shared" si="338"/>
        <v>David Alexander Ordoñez Sales46291</v>
      </c>
      <c r="H293" s="49" t="s">
        <v>217</v>
      </c>
      <c r="I293" s="50" t="str">
        <f>+_xlfn.XLOOKUP($H293&amp;$V293,BASEDATOS!$B:$B,BASEDATOS!F:F,0,0,1)</f>
        <v>DESCANSO</v>
      </c>
      <c r="J293" s="51">
        <f>+_xlfn.XLOOKUP($H293&amp;$V293,BASEDATOS!$B:$B,BASEDATOS!Q:Q,0,0,1)</f>
        <v>0</v>
      </c>
      <c r="K293" s="51">
        <f>+_xlfn.XLOOKUP($H293&amp;$V293,BASEDATOS!$B:$B,BASEDATOS!R:R,0,0,1)</f>
        <v>0</v>
      </c>
      <c r="L293" s="51">
        <f t="shared" si="339"/>
        <v>0</v>
      </c>
      <c r="M293" s="52">
        <f t="shared" si="340"/>
        <v>0</v>
      </c>
      <c r="N293" s="51">
        <f t="shared" si="341"/>
        <v>0</v>
      </c>
      <c r="O293" s="53" t="str">
        <f t="shared" ref="O293" si="355">+O294</f>
        <v>4-0-3</v>
      </c>
      <c r="P293" s="54">
        <f>+IF(AND(Y293="Domingo",U293=7),_xlfn.XLOOKUP(O293,'Horarios y Sistemas'!C:C,'Horarios y Sistemas'!H:H,0,0,1),0)</f>
        <v>0</v>
      </c>
      <c r="Q293" s="54">
        <f>IF(U293=U294,0,IF(AVERAGEIF(W:W,W293,U:U)=U293,0,_xlfn.XLOOKUP(O293,'Horarios y Sistemas'!C:C,'Horarios y Sistemas'!H:H,0,0,1)-P293))/7*U293</f>
        <v>0</v>
      </c>
      <c r="R293" s="54">
        <f t="shared" si="343"/>
        <v>0</v>
      </c>
      <c r="S293" s="55" t="str">
        <f t="shared" si="344"/>
        <v>SEPTIEMBRE</v>
      </c>
      <c r="T293" s="55" t="str">
        <f t="shared" si="345"/>
        <v>Sem39</v>
      </c>
      <c r="U293" s="56">
        <f t="shared" si="312"/>
        <v>7</v>
      </c>
      <c r="V293" s="59">
        <v>46291</v>
      </c>
      <c r="W293" s="56">
        <f t="shared" si="346"/>
        <v>39</v>
      </c>
      <c r="X293" s="56">
        <f t="shared" si="347"/>
        <v>26</v>
      </c>
      <c r="Y293" s="56" t="s">
        <v>33</v>
      </c>
      <c r="Z293" s="56">
        <v>6</v>
      </c>
      <c r="AA293" s="58">
        <f t="shared" si="333"/>
        <v>0</v>
      </c>
      <c r="AB293" s="58">
        <f t="shared" si="333"/>
        <v>0</v>
      </c>
      <c r="AC293" s="58">
        <f t="shared" si="333"/>
        <v>1</v>
      </c>
      <c r="AD293" s="58">
        <f t="shared" si="333"/>
        <v>0</v>
      </c>
      <c r="AE293" s="58">
        <f t="shared" si="333"/>
        <v>0</v>
      </c>
    </row>
    <row r="294" spans="2:34" s="60" customFormat="1">
      <c r="B294" s="60" t="str">
        <f t="shared" si="334"/>
        <v>Sem3939David Alexander Ordoñez Sales</v>
      </c>
      <c r="C294" s="60" t="str">
        <f t="shared" si="335"/>
        <v>SEPTIEMBRESem39</v>
      </c>
      <c r="D294" s="60" t="str">
        <f t="shared" si="336"/>
        <v>SEPTIEMBRESem39David Alexander Ordoñez Sales</v>
      </c>
      <c r="E294" s="60" t="str">
        <f t="shared" si="337"/>
        <v>SEPTIEMBRESem3939David Alexander Ordoñez Sales</v>
      </c>
      <c r="F294" s="60" t="str">
        <f t="shared" si="338"/>
        <v>David Alexander Ordoñez Sales46292</v>
      </c>
      <c r="H294" s="61" t="s">
        <v>217</v>
      </c>
      <c r="I294" s="62" t="str">
        <f>+_xlfn.XLOOKUP($H294&amp;$V294,BASEDATOS!$B:$B,BASEDATOS!F:F,0,0,1)</f>
        <v>DESCANSO</v>
      </c>
      <c r="J294" s="63">
        <f>+_xlfn.XLOOKUP($H294&amp;$V294,BASEDATOS!$B:$B,BASEDATOS!Q:Q,0,0,1)</f>
        <v>0</v>
      </c>
      <c r="K294" s="63">
        <f>+_xlfn.XLOOKUP($H294&amp;$V294,BASEDATOS!$B:$B,BASEDATOS!R:R,0,0,1)</f>
        <v>0</v>
      </c>
      <c r="L294" s="63">
        <f t="shared" si="339"/>
        <v>0</v>
      </c>
      <c r="M294" s="64">
        <f t="shared" si="340"/>
        <v>0</v>
      </c>
      <c r="N294" s="63">
        <f t="shared" si="341"/>
        <v>0</v>
      </c>
      <c r="O294" s="65" t="str">
        <f t="shared" ref="O294" si="356">+IF(Y294="Domingo",SUM(AA288:AA294)&amp;"-"&amp;SUM(AB288:AB294)&amp;"-"&amp;SUM(AC288:AE294),"")</f>
        <v>4-0-3</v>
      </c>
      <c r="P294" s="66">
        <f>+IF(AND(Y294="Domingo",U294=7),_xlfn.XLOOKUP(O294,'Horarios y Sistemas'!C:C,'Horarios y Sistemas'!H:H,0,0,1),0)</f>
        <v>44</v>
      </c>
      <c r="Q294" s="66">
        <f>IF(U294=U295,0,IF(AVERAGEIF(W:W,W294,U:U)=U294,0,_xlfn.XLOOKUP(O294,'Horarios y Sistemas'!C:C,'Horarios y Sistemas'!H:H,0,0,1)-P294))/7*U294</f>
        <v>0</v>
      </c>
      <c r="R294" s="66">
        <f t="shared" si="343"/>
        <v>44</v>
      </c>
      <c r="S294" s="67" t="str">
        <f t="shared" si="344"/>
        <v>SEPTIEMBRE</v>
      </c>
      <c r="T294" s="55" t="str">
        <f t="shared" si="345"/>
        <v>Sem39</v>
      </c>
      <c r="U294" s="68">
        <f t="shared" si="312"/>
        <v>7</v>
      </c>
      <c r="V294" s="69">
        <v>46292</v>
      </c>
      <c r="W294" s="68">
        <f t="shared" si="346"/>
        <v>39</v>
      </c>
      <c r="X294" s="68">
        <f t="shared" si="347"/>
        <v>27</v>
      </c>
      <c r="Y294" s="68" t="s">
        <v>34</v>
      </c>
      <c r="Z294" s="68">
        <v>7</v>
      </c>
      <c r="AA294" s="70">
        <f t="shared" si="333"/>
        <v>0</v>
      </c>
      <c r="AB294" s="70">
        <f t="shared" si="333"/>
        <v>0</v>
      </c>
      <c r="AC294" s="70">
        <f t="shared" si="333"/>
        <v>1</v>
      </c>
      <c r="AD294" s="70">
        <f t="shared" si="333"/>
        <v>0</v>
      </c>
      <c r="AE294" s="70">
        <f t="shared" si="333"/>
        <v>0</v>
      </c>
      <c r="AF294" s="71"/>
      <c r="AG294" s="71"/>
      <c r="AH294" s="71"/>
    </row>
    <row r="295" spans="2:34">
      <c r="B295" t="str">
        <f t="shared" si="334"/>
        <v>Sem4040David Alexander Ordoñez Sales</v>
      </c>
      <c r="C295" t="str">
        <f t="shared" si="335"/>
        <v>SEPTIEMBRESem40</v>
      </c>
      <c r="D295" t="str">
        <f t="shared" si="336"/>
        <v>SEPTIEMBRESem40David Alexander Ordoñez Sales</v>
      </c>
      <c r="E295" t="str">
        <f t="shared" si="337"/>
        <v>SEPTIEMBRESem4040David Alexander Ordoñez Sales</v>
      </c>
      <c r="F295" t="str">
        <f t="shared" si="338"/>
        <v>David Alexander Ordoñez Sales46293</v>
      </c>
      <c r="H295" s="49" t="s">
        <v>217</v>
      </c>
      <c r="I295" s="50" t="str">
        <f>+_xlfn.XLOOKUP($H295&amp;$V295,BASEDATOS!$B:$B,BASEDATOS!F:F,0,0,1)</f>
        <v>NOCHE</v>
      </c>
      <c r="J295" s="51">
        <f>+_xlfn.XLOOKUP($H295&amp;$V295,BASEDATOS!$B:$B,BASEDATOS!Q:Q,0,0,1)</f>
        <v>0.75</v>
      </c>
      <c r="K295" s="51">
        <f>+_xlfn.XLOOKUP($H295&amp;$V295,BASEDATOS!$B:$B,BASEDATOS!R:R,0,0,1)</f>
        <v>0.25</v>
      </c>
      <c r="L295" s="51">
        <f t="shared" si="339"/>
        <v>0.5</v>
      </c>
      <c r="M295" s="52" t="str">
        <f t="shared" si="340"/>
        <v>1:00</v>
      </c>
      <c r="N295" s="51">
        <f t="shared" si="341"/>
        <v>0.45833333333333331</v>
      </c>
      <c r="O295" s="53" t="str">
        <f t="shared" ref="O295" si="357">+O301</f>
        <v>0-5-2</v>
      </c>
      <c r="P295" s="54">
        <f>+IF(AND(Y295="Domingo",U295=7),_xlfn.XLOOKUP(O295,'Horarios y Sistemas'!C:C,'Horarios y Sistemas'!H:H,0,0,1),0)</f>
        <v>0</v>
      </c>
      <c r="Q295" s="54">
        <f>IF(U295=U296,0,IF(AVERAGEIF(W:W,W295,U:U)=U295,0,_xlfn.XLOOKUP(O295,'Horarios y Sistemas'!C:C,'Horarios y Sistemas'!H:H,0,0,1)-P295))/7*U295</f>
        <v>0</v>
      </c>
      <c r="R295" s="54">
        <f t="shared" si="343"/>
        <v>0</v>
      </c>
      <c r="S295" s="55" t="str">
        <f t="shared" si="344"/>
        <v>SEPTIEMBRE</v>
      </c>
      <c r="T295" s="55" t="str">
        <f t="shared" si="345"/>
        <v>Sem40</v>
      </c>
      <c r="U295" s="56">
        <f t="shared" si="312"/>
        <v>7</v>
      </c>
      <c r="V295" s="59">
        <v>46293</v>
      </c>
      <c r="W295" s="56">
        <f t="shared" si="346"/>
        <v>40</v>
      </c>
      <c r="X295" s="56">
        <f t="shared" si="347"/>
        <v>28</v>
      </c>
      <c r="Y295" s="56" t="s">
        <v>28</v>
      </c>
      <c r="Z295" s="56">
        <v>1</v>
      </c>
      <c r="AA295" s="58">
        <f t="shared" si="333"/>
        <v>0</v>
      </c>
      <c r="AB295" s="58">
        <f t="shared" si="333"/>
        <v>1</v>
      </c>
      <c r="AC295" s="58">
        <f t="shared" si="333"/>
        <v>0</v>
      </c>
      <c r="AD295" s="58">
        <f t="shared" si="333"/>
        <v>0</v>
      </c>
      <c r="AE295" s="58">
        <f t="shared" si="333"/>
        <v>0</v>
      </c>
    </row>
    <row r="296" spans="2:34">
      <c r="B296" t="str">
        <f t="shared" si="334"/>
        <v>Sem4040David Alexander Ordoñez Sales</v>
      </c>
      <c r="C296" t="str">
        <f t="shared" si="335"/>
        <v>SEPTIEMBRESem40</v>
      </c>
      <c r="D296" t="str">
        <f t="shared" si="336"/>
        <v>SEPTIEMBRESem40David Alexander Ordoñez Sales</v>
      </c>
      <c r="E296" t="str">
        <f t="shared" si="337"/>
        <v>SEPTIEMBRESem4040David Alexander Ordoñez Sales</v>
      </c>
      <c r="F296" t="str">
        <f t="shared" si="338"/>
        <v>David Alexander Ordoñez Sales46294</v>
      </c>
      <c r="H296" s="49" t="s">
        <v>217</v>
      </c>
      <c r="I296" s="50" t="str">
        <f>+_xlfn.XLOOKUP($H296&amp;$V296,BASEDATOS!$B:$B,BASEDATOS!F:F,0,0,1)</f>
        <v>NOCHE</v>
      </c>
      <c r="J296" s="51">
        <f>+_xlfn.XLOOKUP($H296&amp;$V296,BASEDATOS!$B:$B,BASEDATOS!Q:Q,0,0,1)</f>
        <v>0.75</v>
      </c>
      <c r="K296" s="51">
        <f>+_xlfn.XLOOKUP($H296&amp;$V296,BASEDATOS!$B:$B,BASEDATOS!R:R,0,0,1)</f>
        <v>0.25</v>
      </c>
      <c r="L296" s="51">
        <f t="shared" si="339"/>
        <v>0.5</v>
      </c>
      <c r="M296" s="52" t="str">
        <f t="shared" si="340"/>
        <v>1:00</v>
      </c>
      <c r="N296" s="51">
        <f t="shared" si="341"/>
        <v>0.45833333333333331</v>
      </c>
      <c r="O296" s="53" t="str">
        <f t="shared" ref="O296" si="358">+O301</f>
        <v>0-5-2</v>
      </c>
      <c r="P296" s="54">
        <f>+IF(AND(Y296="Domingo",U296=7),_xlfn.XLOOKUP(O296,'Horarios y Sistemas'!C:C,'Horarios y Sistemas'!H:H,0,0,1),0)</f>
        <v>0</v>
      </c>
      <c r="Q296" s="54">
        <f>IF(U296=U297,0,IF(AVERAGEIF(W:W,W296,U:U)=U296,0,_xlfn.XLOOKUP(O296,'Horarios y Sistemas'!C:C,'Horarios y Sistemas'!H:H,0,0,1)-P296))/7*U296</f>
        <v>0</v>
      </c>
      <c r="R296" s="54">
        <f t="shared" si="343"/>
        <v>0</v>
      </c>
      <c r="S296" s="55" t="str">
        <f t="shared" si="344"/>
        <v>SEPTIEMBRE</v>
      </c>
      <c r="T296" s="55" t="str">
        <f t="shared" si="345"/>
        <v>Sem40</v>
      </c>
      <c r="U296" s="56">
        <f t="shared" si="312"/>
        <v>7</v>
      </c>
      <c r="V296" s="59">
        <v>46294</v>
      </c>
      <c r="W296" s="56">
        <f t="shared" si="346"/>
        <v>40</v>
      </c>
      <c r="X296" s="56">
        <f t="shared" si="347"/>
        <v>29</v>
      </c>
      <c r="Y296" s="56" t="s">
        <v>29</v>
      </c>
      <c r="Z296" s="56">
        <v>2</v>
      </c>
      <c r="AA296" s="58">
        <f t="shared" si="333"/>
        <v>0</v>
      </c>
      <c r="AB296" s="58">
        <f t="shared" si="333"/>
        <v>1</v>
      </c>
      <c r="AC296" s="58">
        <f t="shared" si="333"/>
        <v>0</v>
      </c>
      <c r="AD296" s="58">
        <f t="shared" si="333"/>
        <v>0</v>
      </c>
      <c r="AE296" s="58">
        <f t="shared" si="333"/>
        <v>0</v>
      </c>
    </row>
    <row r="297" spans="2:34">
      <c r="B297" t="str">
        <f t="shared" si="334"/>
        <v>Sem4040David Alexander Ordoñez Sales</v>
      </c>
      <c r="C297" t="str">
        <f t="shared" si="335"/>
        <v>SEPTIEMBRESem40</v>
      </c>
      <c r="D297" t="str">
        <f t="shared" si="336"/>
        <v>SEPTIEMBRESem40David Alexander Ordoñez Sales</v>
      </c>
      <c r="E297" t="str">
        <f t="shared" si="337"/>
        <v>SEPTIEMBRESem4040David Alexander Ordoñez Sales</v>
      </c>
      <c r="F297" t="str">
        <f t="shared" si="338"/>
        <v>David Alexander Ordoñez Sales46295</v>
      </c>
      <c r="H297" s="49" t="s">
        <v>217</v>
      </c>
      <c r="I297" s="50" t="str">
        <f>+_xlfn.XLOOKUP($H297&amp;$V297,BASEDATOS!$B:$B,BASEDATOS!F:F,0,0,1)</f>
        <v>NOCHE</v>
      </c>
      <c r="J297" s="51">
        <f>+_xlfn.XLOOKUP($H297&amp;$V297,BASEDATOS!$B:$B,BASEDATOS!Q:Q,0,0,1)</f>
        <v>0.75</v>
      </c>
      <c r="K297" s="51">
        <f>+_xlfn.XLOOKUP($H297&amp;$V297,BASEDATOS!$B:$B,BASEDATOS!R:R,0,0,1)</f>
        <v>0.25</v>
      </c>
      <c r="L297" s="51">
        <f t="shared" si="339"/>
        <v>0.5</v>
      </c>
      <c r="M297" s="52" t="str">
        <f t="shared" si="340"/>
        <v>1:00</v>
      </c>
      <c r="N297" s="51">
        <f t="shared" si="341"/>
        <v>0.45833333333333331</v>
      </c>
      <c r="O297" s="53" t="str">
        <f t="shared" ref="O297" si="359">+O301</f>
        <v>0-5-2</v>
      </c>
      <c r="P297" s="54">
        <f>+IF(AND(Y297="Domingo",U297=7),_xlfn.XLOOKUP(O297,'Horarios y Sistemas'!C:C,'Horarios y Sistemas'!H:H,0,0,1),0)</f>
        <v>0</v>
      </c>
      <c r="Q297" s="54">
        <f>IF(U297=U298,0,IF(AVERAGEIF(W:W,W297,U:U)=U297,0,_xlfn.XLOOKUP(O297,'Horarios y Sistemas'!C:C,'Horarios y Sistemas'!H:H,0,0,1)-P297))/7*U297</f>
        <v>0</v>
      </c>
      <c r="R297" s="54">
        <f t="shared" si="343"/>
        <v>0</v>
      </c>
      <c r="S297" s="55" t="str">
        <f t="shared" si="344"/>
        <v>SEPTIEMBRE</v>
      </c>
      <c r="T297" s="55" t="str">
        <f t="shared" si="345"/>
        <v>Sem40</v>
      </c>
      <c r="U297" s="56">
        <f t="shared" si="312"/>
        <v>7</v>
      </c>
      <c r="V297" s="59">
        <v>46295</v>
      </c>
      <c r="W297" s="56">
        <f t="shared" si="346"/>
        <v>40</v>
      </c>
      <c r="X297" s="56">
        <f t="shared" si="347"/>
        <v>30</v>
      </c>
      <c r="Y297" s="56" t="s">
        <v>30</v>
      </c>
      <c r="Z297" s="56">
        <v>3</v>
      </c>
      <c r="AA297" s="58">
        <f t="shared" si="333"/>
        <v>0</v>
      </c>
      <c r="AB297" s="58">
        <f t="shared" si="333"/>
        <v>1</v>
      </c>
      <c r="AC297" s="58">
        <f t="shared" si="333"/>
        <v>0</v>
      </c>
      <c r="AD297" s="58">
        <f t="shared" si="333"/>
        <v>0</v>
      </c>
      <c r="AE297" s="58">
        <f t="shared" si="333"/>
        <v>0</v>
      </c>
    </row>
    <row r="298" spans="2:34">
      <c r="B298" t="str">
        <f t="shared" si="334"/>
        <v>Sem4040David Alexander Ordoñez Sales</v>
      </c>
      <c r="C298" t="str">
        <f t="shared" si="335"/>
        <v>OCTUBRESem40</v>
      </c>
      <c r="D298" t="str">
        <f t="shared" si="336"/>
        <v>OCTUBRESem40David Alexander Ordoñez Sales</v>
      </c>
      <c r="E298" t="str">
        <f t="shared" si="337"/>
        <v>OCTUBRESem4040David Alexander Ordoñez Sales</v>
      </c>
      <c r="F298" t="str">
        <f t="shared" si="338"/>
        <v>David Alexander Ordoñez Sales46296</v>
      </c>
      <c r="H298" s="49" t="s">
        <v>217</v>
      </c>
      <c r="I298" s="50" t="str">
        <f>+_xlfn.XLOOKUP($H298&amp;$V298,BASEDATOS!$B:$B,BASEDATOS!F:F,0,0,1)</f>
        <v>NOCHE</v>
      </c>
      <c r="J298" s="51">
        <f>+_xlfn.XLOOKUP($H298&amp;$V298,BASEDATOS!$B:$B,BASEDATOS!Q:Q,0,0,1)</f>
        <v>0.75</v>
      </c>
      <c r="K298" s="51">
        <f>+_xlfn.XLOOKUP($H298&amp;$V298,BASEDATOS!$B:$B,BASEDATOS!R:R,0,0,1)</f>
        <v>0.25</v>
      </c>
      <c r="L298" s="51">
        <f t="shared" si="339"/>
        <v>0.5</v>
      </c>
      <c r="M298" s="52" t="str">
        <f t="shared" si="340"/>
        <v>1:00</v>
      </c>
      <c r="N298" s="51">
        <f t="shared" si="341"/>
        <v>0.45833333333333331</v>
      </c>
      <c r="O298" s="53" t="str">
        <f t="shared" ref="O298" si="360">+O301</f>
        <v>0-5-2</v>
      </c>
      <c r="P298" s="54">
        <f>+IF(AND(Y298="Domingo",U298=7),_xlfn.XLOOKUP(O298,'Horarios y Sistemas'!C:C,'Horarios y Sistemas'!H:H,0,0,1),0)</f>
        <v>0</v>
      </c>
      <c r="Q298" s="54">
        <f>IF(U298=U299,0,IF(AVERAGEIF(W:W,W298,U:U)=U298,0,_xlfn.XLOOKUP(O298,'Horarios y Sistemas'!C:C,'Horarios y Sistemas'!H:H,0,0,1)-P298))/7*U298</f>
        <v>0</v>
      </c>
      <c r="R298" s="54">
        <f t="shared" si="343"/>
        <v>0</v>
      </c>
      <c r="S298" s="55" t="str">
        <f t="shared" si="344"/>
        <v>OCTUBRE</v>
      </c>
      <c r="T298" s="55" t="str">
        <f t="shared" si="345"/>
        <v>Sem40</v>
      </c>
      <c r="U298" s="56">
        <f t="shared" si="312"/>
        <v>7</v>
      </c>
      <c r="V298" s="59">
        <v>46296</v>
      </c>
      <c r="W298" s="56">
        <f t="shared" si="346"/>
        <v>40</v>
      </c>
      <c r="X298" s="56">
        <f t="shared" si="347"/>
        <v>1</v>
      </c>
      <c r="Y298" s="56" t="s">
        <v>31</v>
      </c>
      <c r="Z298" s="56">
        <v>4</v>
      </c>
      <c r="AA298" s="58">
        <f t="shared" si="333"/>
        <v>0</v>
      </c>
      <c r="AB298" s="58">
        <f t="shared" si="333"/>
        <v>1</v>
      </c>
      <c r="AC298" s="58">
        <f t="shared" si="333"/>
        <v>0</v>
      </c>
      <c r="AD298" s="58">
        <f t="shared" si="333"/>
        <v>0</v>
      </c>
      <c r="AE298" s="58">
        <f t="shared" si="333"/>
        <v>0</v>
      </c>
    </row>
    <row r="299" spans="2:34">
      <c r="B299" t="str">
        <f t="shared" si="334"/>
        <v>Sem4040David Alexander Ordoñez Sales</v>
      </c>
      <c r="C299" t="str">
        <f t="shared" si="335"/>
        <v>OCTUBRESem40</v>
      </c>
      <c r="D299" t="str">
        <f t="shared" si="336"/>
        <v>OCTUBRESem40David Alexander Ordoñez Sales</v>
      </c>
      <c r="E299" t="str">
        <f t="shared" si="337"/>
        <v>OCTUBRESem4040David Alexander Ordoñez Sales</v>
      </c>
      <c r="F299" t="str">
        <f t="shared" si="338"/>
        <v>David Alexander Ordoñez Sales46297</v>
      </c>
      <c r="H299" s="49" t="s">
        <v>217</v>
      </c>
      <c r="I299" s="50" t="str">
        <f>+_xlfn.XLOOKUP($H299&amp;$V299,BASEDATOS!$B:$B,BASEDATOS!F:F,0,0,1)</f>
        <v>NOCHE</v>
      </c>
      <c r="J299" s="51">
        <f>+_xlfn.XLOOKUP($H299&amp;$V299,BASEDATOS!$B:$B,BASEDATOS!Q:Q,0,0,1)</f>
        <v>0.75</v>
      </c>
      <c r="K299" s="51">
        <f>+_xlfn.XLOOKUP($H299&amp;$V299,BASEDATOS!$B:$B,BASEDATOS!R:R,0,0,1)</f>
        <v>0.25</v>
      </c>
      <c r="L299" s="51">
        <f t="shared" si="339"/>
        <v>0.5</v>
      </c>
      <c r="M299" s="52" t="str">
        <f t="shared" si="340"/>
        <v>1:00</v>
      </c>
      <c r="N299" s="51">
        <f t="shared" si="341"/>
        <v>0.45833333333333331</v>
      </c>
      <c r="O299" s="53" t="str">
        <f t="shared" ref="O299" si="361">+O301</f>
        <v>0-5-2</v>
      </c>
      <c r="P299" s="54">
        <f>+IF(AND(Y299="Domingo",U299=7),_xlfn.XLOOKUP(O299,'Horarios y Sistemas'!C:C,'Horarios y Sistemas'!H:H,0,0,1),0)</f>
        <v>0</v>
      </c>
      <c r="Q299" s="54">
        <f>IF(U299=U300,0,IF(AVERAGEIF(W:W,W299,U:U)=U299,0,_xlfn.XLOOKUP(O299,'Horarios y Sistemas'!C:C,'Horarios y Sistemas'!H:H,0,0,1)-P299))/7*U299</f>
        <v>0</v>
      </c>
      <c r="R299" s="54">
        <f t="shared" si="343"/>
        <v>0</v>
      </c>
      <c r="S299" s="55" t="str">
        <f t="shared" si="344"/>
        <v>OCTUBRE</v>
      </c>
      <c r="T299" s="55" t="str">
        <f t="shared" si="345"/>
        <v>Sem40</v>
      </c>
      <c r="U299" s="56">
        <f t="shared" si="312"/>
        <v>7</v>
      </c>
      <c r="V299" s="59">
        <v>46297</v>
      </c>
      <c r="W299" s="56">
        <f t="shared" si="346"/>
        <v>40</v>
      </c>
      <c r="X299" s="56">
        <f t="shared" si="347"/>
        <v>2</v>
      </c>
      <c r="Y299" s="56" t="s">
        <v>32</v>
      </c>
      <c r="Z299" s="56">
        <v>5</v>
      </c>
      <c r="AA299" s="58">
        <f t="shared" si="333"/>
        <v>0</v>
      </c>
      <c r="AB299" s="58">
        <f t="shared" si="333"/>
        <v>1</v>
      </c>
      <c r="AC299" s="58">
        <f t="shared" si="333"/>
        <v>0</v>
      </c>
      <c r="AD299" s="58">
        <f t="shared" si="333"/>
        <v>0</v>
      </c>
      <c r="AE299" s="58">
        <f t="shared" si="333"/>
        <v>0</v>
      </c>
    </row>
    <row r="300" spans="2:34">
      <c r="B300" t="str">
        <f t="shared" si="334"/>
        <v>Sem4040David Alexander Ordoñez Sales</v>
      </c>
      <c r="C300" t="str">
        <f t="shared" si="335"/>
        <v>OCTUBRESem40</v>
      </c>
      <c r="D300" t="str">
        <f t="shared" si="336"/>
        <v>OCTUBRESem40David Alexander Ordoñez Sales</v>
      </c>
      <c r="E300" t="str">
        <f t="shared" si="337"/>
        <v>OCTUBRESem4040David Alexander Ordoñez Sales</v>
      </c>
      <c r="F300" t="str">
        <f t="shared" si="338"/>
        <v>David Alexander Ordoñez Sales46298</v>
      </c>
      <c r="H300" s="49" t="s">
        <v>217</v>
      </c>
      <c r="I300" s="50" t="str">
        <f>+_xlfn.XLOOKUP($H300&amp;$V300,BASEDATOS!$B:$B,BASEDATOS!F:F,0,0,1)</f>
        <v>DESCANSO</v>
      </c>
      <c r="J300" s="51">
        <f>+_xlfn.XLOOKUP($H300&amp;$V300,BASEDATOS!$B:$B,BASEDATOS!Q:Q,0,0,1)</f>
        <v>0</v>
      </c>
      <c r="K300" s="51">
        <f>+_xlfn.XLOOKUP($H300&amp;$V300,BASEDATOS!$B:$B,BASEDATOS!R:R,0,0,1)</f>
        <v>0</v>
      </c>
      <c r="L300" s="51">
        <f t="shared" si="339"/>
        <v>0</v>
      </c>
      <c r="M300" s="52">
        <f t="shared" si="340"/>
        <v>0</v>
      </c>
      <c r="N300" s="51">
        <f t="shared" si="341"/>
        <v>0</v>
      </c>
      <c r="O300" s="53" t="str">
        <f t="shared" ref="O300" si="362">+O301</f>
        <v>0-5-2</v>
      </c>
      <c r="P300" s="54">
        <f>+IF(AND(Y300="Domingo",U300=7),_xlfn.XLOOKUP(O300,'Horarios y Sistemas'!C:C,'Horarios y Sistemas'!H:H,0,0,1),0)</f>
        <v>0</v>
      </c>
      <c r="Q300" s="54">
        <f>IF(U300=U301,0,IF(AVERAGEIF(W:W,W300,U:U)=U300,0,_xlfn.XLOOKUP(O300,'Horarios y Sistemas'!C:C,'Horarios y Sistemas'!H:H,0,0,1)-P300))/7*U300</f>
        <v>0</v>
      </c>
      <c r="R300" s="54">
        <f t="shared" si="343"/>
        <v>0</v>
      </c>
      <c r="S300" s="55" t="str">
        <f t="shared" si="344"/>
        <v>OCTUBRE</v>
      </c>
      <c r="T300" s="55" t="str">
        <f t="shared" si="345"/>
        <v>Sem40</v>
      </c>
      <c r="U300" s="56">
        <f t="shared" si="312"/>
        <v>7</v>
      </c>
      <c r="V300" s="59">
        <v>46298</v>
      </c>
      <c r="W300" s="56">
        <f t="shared" si="346"/>
        <v>40</v>
      </c>
      <c r="X300" s="56">
        <f t="shared" si="347"/>
        <v>3</v>
      </c>
      <c r="Y300" s="56" t="s">
        <v>33</v>
      </c>
      <c r="Z300" s="56">
        <v>6</v>
      </c>
      <c r="AA300" s="58">
        <f t="shared" si="333"/>
        <v>0</v>
      </c>
      <c r="AB300" s="58">
        <f t="shared" si="333"/>
        <v>0</v>
      </c>
      <c r="AC300" s="58">
        <f t="shared" si="333"/>
        <v>1</v>
      </c>
      <c r="AD300" s="58">
        <f t="shared" si="333"/>
        <v>0</v>
      </c>
      <c r="AE300" s="58">
        <f t="shared" si="333"/>
        <v>0</v>
      </c>
    </row>
    <row r="301" spans="2:34" s="60" customFormat="1">
      <c r="B301" s="60" t="str">
        <f t="shared" si="334"/>
        <v>Sem4040David Alexander Ordoñez Sales</v>
      </c>
      <c r="C301" s="60" t="str">
        <f t="shared" si="335"/>
        <v>OCTUBRESem40</v>
      </c>
      <c r="D301" s="60" t="str">
        <f t="shared" si="336"/>
        <v>OCTUBRESem40David Alexander Ordoñez Sales</v>
      </c>
      <c r="E301" s="60" t="str">
        <f t="shared" si="337"/>
        <v>OCTUBRESem4040David Alexander Ordoñez Sales</v>
      </c>
      <c r="F301" s="60" t="str">
        <f t="shared" si="338"/>
        <v>David Alexander Ordoñez Sales46299</v>
      </c>
      <c r="H301" s="61" t="s">
        <v>217</v>
      </c>
      <c r="I301" s="62" t="str">
        <f>+_xlfn.XLOOKUP($H301&amp;$V301,BASEDATOS!$B:$B,BASEDATOS!F:F,0,0,1)</f>
        <v>DESCANSO</v>
      </c>
      <c r="J301" s="63">
        <f>+_xlfn.XLOOKUP($H301&amp;$V301,BASEDATOS!$B:$B,BASEDATOS!Q:Q,0,0,1)</f>
        <v>0</v>
      </c>
      <c r="K301" s="63">
        <f>+_xlfn.XLOOKUP($H301&amp;$V301,BASEDATOS!$B:$B,BASEDATOS!R:R,0,0,1)</f>
        <v>0</v>
      </c>
      <c r="L301" s="63">
        <f t="shared" si="339"/>
        <v>0</v>
      </c>
      <c r="M301" s="64">
        <f t="shared" si="340"/>
        <v>0</v>
      </c>
      <c r="N301" s="63">
        <f t="shared" si="341"/>
        <v>0</v>
      </c>
      <c r="O301" s="65" t="str">
        <f t="shared" ref="O301" si="363">+IF(Y301="Domingo",SUM(AA295:AA301)&amp;"-"&amp;SUM(AB295:AB301)&amp;"-"&amp;SUM(AC295:AE301),"")</f>
        <v>0-5-2</v>
      </c>
      <c r="P301" s="66">
        <f>+IF(AND(Y301="Domingo",U301=7),_xlfn.XLOOKUP(O301,'Horarios y Sistemas'!C:C,'Horarios y Sistemas'!H:H,0,0,1),0)</f>
        <v>36</v>
      </c>
      <c r="Q301" s="66">
        <f>IF(U301=U302,0,IF(AVERAGEIF(W:W,W301,U:U)=U301,0,_xlfn.XLOOKUP(O301,'Horarios y Sistemas'!C:C,'Horarios y Sistemas'!H:H,0,0,1)-P301))/7*U301</f>
        <v>0</v>
      </c>
      <c r="R301" s="66">
        <f t="shared" si="343"/>
        <v>36</v>
      </c>
      <c r="S301" s="67" t="str">
        <f t="shared" si="344"/>
        <v>OCTUBRE</v>
      </c>
      <c r="T301" s="55" t="str">
        <f t="shared" si="345"/>
        <v>Sem40</v>
      </c>
      <c r="U301" s="68">
        <f t="shared" si="312"/>
        <v>7</v>
      </c>
      <c r="V301" s="69">
        <v>46299</v>
      </c>
      <c r="W301" s="68">
        <f t="shared" si="346"/>
        <v>40</v>
      </c>
      <c r="X301" s="68">
        <f t="shared" si="347"/>
        <v>4</v>
      </c>
      <c r="Y301" s="68" t="s">
        <v>34</v>
      </c>
      <c r="Z301" s="68">
        <v>7</v>
      </c>
      <c r="AA301" s="70">
        <f t="shared" si="333"/>
        <v>0</v>
      </c>
      <c r="AB301" s="70">
        <f t="shared" si="333"/>
        <v>0</v>
      </c>
      <c r="AC301" s="70">
        <f t="shared" si="333"/>
        <v>1</v>
      </c>
      <c r="AD301" s="70">
        <f t="shared" si="333"/>
        <v>0</v>
      </c>
      <c r="AE301" s="70">
        <f t="shared" si="333"/>
        <v>0</v>
      </c>
      <c r="AF301" s="71"/>
      <c r="AG301" s="71"/>
      <c r="AH301" s="71"/>
    </row>
    <row r="302" spans="2:34">
      <c r="B302" t="str">
        <f t="shared" si="334"/>
        <v>Sem3838Diego Flavio Rivas</v>
      </c>
      <c r="C302" t="str">
        <f t="shared" si="335"/>
        <v>SEPTIEMBRESem38</v>
      </c>
      <c r="D302" t="str">
        <f t="shared" si="336"/>
        <v>SEPTIEMBRESem38Diego Flavio Rivas</v>
      </c>
      <c r="E302" t="str">
        <f t="shared" si="337"/>
        <v>SEPTIEMBRESem3838Diego Flavio Rivas</v>
      </c>
      <c r="F302" t="str">
        <f t="shared" si="338"/>
        <v>Diego Flavio Rivas46279</v>
      </c>
      <c r="H302" s="49" t="s">
        <v>218</v>
      </c>
      <c r="I302" s="50" t="str">
        <f>+_xlfn.XLOOKUP($H302&amp;$V302,BASEDATOS!$B:$B,BASEDATOS!F:F,0,0,1)</f>
        <v>DESCANSO</v>
      </c>
      <c r="J302" s="51">
        <f>+_xlfn.XLOOKUP($H302&amp;$V302,BASEDATOS!$B:$B,BASEDATOS!Q:Q,0,0,1)</f>
        <v>0</v>
      </c>
      <c r="K302" s="51">
        <f>+_xlfn.XLOOKUP($H302&amp;$V302,BASEDATOS!$B:$B,BASEDATOS!R:R,0,0,1)</f>
        <v>0</v>
      </c>
      <c r="L302" s="51">
        <f t="shared" si="339"/>
        <v>0</v>
      </c>
      <c r="M302" s="52">
        <f t="shared" si="340"/>
        <v>0</v>
      </c>
      <c r="N302" s="51">
        <f t="shared" si="341"/>
        <v>0</v>
      </c>
      <c r="O302" s="53" t="str">
        <f t="shared" ref="O302" si="364">+O308</f>
        <v>1-4-2</v>
      </c>
      <c r="P302" s="54">
        <f>+IF(AND(Y302="Domingo",U302=7),_xlfn.XLOOKUP(O302,'Horarios y Sistemas'!C:C,'Horarios y Sistemas'!H:H,0,0,1),0)</f>
        <v>0</v>
      </c>
      <c r="Q302" s="54">
        <f>IF(U302=U303,0,IF(AVERAGEIF(W:W,W302,U:U)=U302,0,_xlfn.XLOOKUP(O302,'Horarios y Sistemas'!C:C,'Horarios y Sistemas'!H:H,0,0,1)-P302))/7*U302</f>
        <v>0</v>
      </c>
      <c r="R302" s="54">
        <f t="shared" si="343"/>
        <v>0</v>
      </c>
      <c r="S302" s="55" t="str">
        <f t="shared" si="344"/>
        <v>SEPTIEMBRE</v>
      </c>
      <c r="T302" s="55" t="str">
        <f t="shared" si="345"/>
        <v>Sem38</v>
      </c>
      <c r="U302" s="56">
        <f t="shared" si="312"/>
        <v>7</v>
      </c>
      <c r="V302" s="57">
        <v>46279</v>
      </c>
      <c r="W302" s="56">
        <f t="shared" si="346"/>
        <v>38</v>
      </c>
      <c r="X302" s="56">
        <f t="shared" si="347"/>
        <v>14</v>
      </c>
      <c r="Y302" s="56" t="s">
        <v>28</v>
      </c>
      <c r="Z302" s="56">
        <v>1</v>
      </c>
      <c r="AA302" s="58">
        <f t="shared" si="333"/>
        <v>0</v>
      </c>
      <c r="AB302" s="58">
        <f t="shared" si="333"/>
        <v>0</v>
      </c>
      <c r="AC302" s="58">
        <f t="shared" si="333"/>
        <v>1</v>
      </c>
      <c r="AD302" s="58">
        <f t="shared" si="333"/>
        <v>0</v>
      </c>
      <c r="AE302" s="58">
        <f t="shared" si="333"/>
        <v>0</v>
      </c>
    </row>
    <row r="303" spans="2:34">
      <c r="B303" t="str">
        <f t="shared" si="334"/>
        <v>Sem3838Diego Flavio Rivas</v>
      </c>
      <c r="C303" t="str">
        <f t="shared" si="335"/>
        <v>SEPTIEMBRESem38</v>
      </c>
      <c r="D303" t="str">
        <f t="shared" si="336"/>
        <v>SEPTIEMBRESem38Diego Flavio Rivas</v>
      </c>
      <c r="E303" t="str">
        <f t="shared" si="337"/>
        <v>SEPTIEMBRESem3838Diego Flavio Rivas</v>
      </c>
      <c r="F303" t="str">
        <f t="shared" si="338"/>
        <v>Diego Flavio Rivas46280</v>
      </c>
      <c r="H303" s="49" t="s">
        <v>218</v>
      </c>
      <c r="I303" s="50" t="str">
        <f>+_xlfn.XLOOKUP($H303&amp;$V303,BASEDATOS!$B:$B,BASEDATOS!F:F,0,0,1)</f>
        <v>DIA</v>
      </c>
      <c r="J303" s="51">
        <f>+_xlfn.XLOOKUP($H303&amp;$V303,BASEDATOS!$B:$B,BASEDATOS!Q:Q,0,0,1)</f>
        <v>0.33333333333333298</v>
      </c>
      <c r="K303" s="51">
        <f>+_xlfn.XLOOKUP($H303&amp;$V303,BASEDATOS!$B:$B,BASEDATOS!R:R,0,0,1)</f>
        <v>0.70833333333333304</v>
      </c>
      <c r="L303" s="51">
        <f t="shared" si="339"/>
        <v>0.37500000000000006</v>
      </c>
      <c r="M303" s="52" t="str">
        <f t="shared" si="340"/>
        <v>1:00</v>
      </c>
      <c r="N303" s="51">
        <f t="shared" si="341"/>
        <v>0.33333333333333337</v>
      </c>
      <c r="O303" s="53" t="str">
        <f t="shared" ref="O303" si="365">+O308</f>
        <v>1-4-2</v>
      </c>
      <c r="P303" s="54">
        <f>+IF(AND(Y303="Domingo",U303=7),_xlfn.XLOOKUP(O303,'Horarios y Sistemas'!C:C,'Horarios y Sistemas'!H:H,0,0,1),0)</f>
        <v>0</v>
      </c>
      <c r="Q303" s="54">
        <f>IF(U303=U304,0,IF(AVERAGEIF(W:W,W303,U:U)=U303,0,_xlfn.XLOOKUP(O303,'Horarios y Sistemas'!C:C,'Horarios y Sistemas'!H:H,0,0,1)-P303))/7*U303</f>
        <v>0</v>
      </c>
      <c r="R303" s="54">
        <f t="shared" si="343"/>
        <v>0</v>
      </c>
      <c r="S303" s="55" t="str">
        <f t="shared" si="344"/>
        <v>SEPTIEMBRE</v>
      </c>
      <c r="T303" s="55" t="str">
        <f t="shared" si="345"/>
        <v>Sem38</v>
      </c>
      <c r="U303" s="56">
        <f t="shared" si="312"/>
        <v>7</v>
      </c>
      <c r="V303" s="59">
        <v>46280</v>
      </c>
      <c r="W303" s="56">
        <f t="shared" si="346"/>
        <v>38</v>
      </c>
      <c r="X303" s="56">
        <f t="shared" si="347"/>
        <v>15</v>
      </c>
      <c r="Y303" s="56" t="s">
        <v>29</v>
      </c>
      <c r="Z303" s="56">
        <v>2</v>
      </c>
      <c r="AA303" s="58">
        <f t="shared" si="333"/>
        <v>1</v>
      </c>
      <c r="AB303" s="58">
        <f t="shared" si="333"/>
        <v>0</v>
      </c>
      <c r="AC303" s="58">
        <f t="shared" si="333"/>
        <v>0</v>
      </c>
      <c r="AD303" s="58">
        <f t="shared" si="333"/>
        <v>0</v>
      </c>
      <c r="AE303" s="58">
        <f t="shared" si="333"/>
        <v>0</v>
      </c>
    </row>
    <row r="304" spans="2:34">
      <c r="B304" t="str">
        <f t="shared" si="334"/>
        <v>Sem3838Diego Flavio Rivas</v>
      </c>
      <c r="C304" t="str">
        <f t="shared" si="335"/>
        <v>SEPTIEMBRESem38</v>
      </c>
      <c r="D304" t="str">
        <f t="shared" si="336"/>
        <v>SEPTIEMBRESem38Diego Flavio Rivas</v>
      </c>
      <c r="E304" t="str">
        <f t="shared" si="337"/>
        <v>SEPTIEMBRESem3838Diego Flavio Rivas</v>
      </c>
      <c r="F304" t="str">
        <f t="shared" si="338"/>
        <v>Diego Flavio Rivas46281</v>
      </c>
      <c r="H304" s="49" t="s">
        <v>218</v>
      </c>
      <c r="I304" s="50" t="str">
        <f>+_xlfn.XLOOKUP($H304&amp;$V304,BASEDATOS!$B:$B,BASEDATOS!F:F,0,0,1)</f>
        <v>NOCHE</v>
      </c>
      <c r="J304" s="51">
        <f>+_xlfn.XLOOKUP($H304&amp;$V304,BASEDATOS!$B:$B,BASEDATOS!Q:Q,0,0,1)</f>
        <v>0.75</v>
      </c>
      <c r="K304" s="51">
        <f>+_xlfn.XLOOKUP($H304&amp;$V304,BASEDATOS!$B:$B,BASEDATOS!R:R,0,0,1)</f>
        <v>0.25</v>
      </c>
      <c r="L304" s="51">
        <f t="shared" si="339"/>
        <v>0.5</v>
      </c>
      <c r="M304" s="52" t="str">
        <f t="shared" si="340"/>
        <v>1:00</v>
      </c>
      <c r="N304" s="51">
        <f t="shared" si="341"/>
        <v>0.45833333333333331</v>
      </c>
      <c r="O304" s="53" t="str">
        <f t="shared" ref="O304" si="366">+O308</f>
        <v>1-4-2</v>
      </c>
      <c r="P304" s="54">
        <f>+IF(AND(Y304="Domingo",U304=7),_xlfn.XLOOKUP(O304,'Horarios y Sistemas'!C:C,'Horarios y Sistemas'!H:H,0,0,1),0)</f>
        <v>0</v>
      </c>
      <c r="Q304" s="54">
        <f>IF(U304=U305,0,IF(AVERAGEIF(W:W,W304,U:U)=U304,0,_xlfn.XLOOKUP(O304,'Horarios y Sistemas'!C:C,'Horarios y Sistemas'!H:H,0,0,1)-P304))/7*U304</f>
        <v>0</v>
      </c>
      <c r="R304" s="54">
        <f t="shared" si="343"/>
        <v>0</v>
      </c>
      <c r="S304" s="55" t="str">
        <f t="shared" si="344"/>
        <v>SEPTIEMBRE</v>
      </c>
      <c r="T304" s="55" t="str">
        <f t="shared" si="345"/>
        <v>Sem38</v>
      </c>
      <c r="U304" s="56">
        <f t="shared" si="312"/>
        <v>7</v>
      </c>
      <c r="V304" s="59">
        <v>46281</v>
      </c>
      <c r="W304" s="56">
        <f t="shared" si="346"/>
        <v>38</v>
      </c>
      <c r="X304" s="56">
        <f t="shared" si="347"/>
        <v>16</v>
      </c>
      <c r="Y304" s="56" t="s">
        <v>30</v>
      </c>
      <c r="Z304" s="56">
        <v>3</v>
      </c>
      <c r="AA304" s="58">
        <f t="shared" si="333"/>
        <v>0</v>
      </c>
      <c r="AB304" s="58">
        <f t="shared" si="333"/>
        <v>1</v>
      </c>
      <c r="AC304" s="58">
        <f t="shared" si="333"/>
        <v>0</v>
      </c>
      <c r="AD304" s="58">
        <f t="shared" si="333"/>
        <v>0</v>
      </c>
      <c r="AE304" s="58">
        <f t="shared" si="333"/>
        <v>0</v>
      </c>
    </row>
    <row r="305" spans="2:34">
      <c r="B305" t="str">
        <f t="shared" si="334"/>
        <v>Sem3838Diego Flavio Rivas</v>
      </c>
      <c r="C305" t="str">
        <f t="shared" si="335"/>
        <v>SEPTIEMBRESem38</v>
      </c>
      <c r="D305" t="str">
        <f t="shared" si="336"/>
        <v>SEPTIEMBRESem38Diego Flavio Rivas</v>
      </c>
      <c r="E305" t="str">
        <f t="shared" si="337"/>
        <v>SEPTIEMBRESem3838Diego Flavio Rivas</v>
      </c>
      <c r="F305" t="str">
        <f t="shared" si="338"/>
        <v>Diego Flavio Rivas46282</v>
      </c>
      <c r="H305" s="49" t="s">
        <v>218</v>
      </c>
      <c r="I305" s="50" t="str">
        <f>+_xlfn.XLOOKUP($H305&amp;$V305,BASEDATOS!$B:$B,BASEDATOS!F:F,0,0,1)</f>
        <v>NOCHE</v>
      </c>
      <c r="J305" s="51">
        <f>+_xlfn.XLOOKUP($H305&amp;$V305,BASEDATOS!$B:$B,BASEDATOS!Q:Q,0,0,1)</f>
        <v>0.75</v>
      </c>
      <c r="K305" s="51">
        <f>+_xlfn.XLOOKUP($H305&amp;$V305,BASEDATOS!$B:$B,BASEDATOS!R:R,0,0,1)</f>
        <v>0.25</v>
      </c>
      <c r="L305" s="51">
        <f t="shared" si="339"/>
        <v>0.5</v>
      </c>
      <c r="M305" s="52" t="str">
        <f t="shared" si="340"/>
        <v>1:00</v>
      </c>
      <c r="N305" s="51">
        <f t="shared" si="341"/>
        <v>0.45833333333333331</v>
      </c>
      <c r="O305" s="53" t="str">
        <f t="shared" ref="O305" si="367">+O308</f>
        <v>1-4-2</v>
      </c>
      <c r="P305" s="54">
        <f>+IF(AND(Y305="Domingo",U305=7),_xlfn.XLOOKUP(O305,'Horarios y Sistemas'!C:C,'Horarios y Sistemas'!H:H,0,0,1),0)</f>
        <v>0</v>
      </c>
      <c r="Q305" s="54">
        <f>IF(U305=U306,0,IF(AVERAGEIF(W:W,W305,U:U)=U305,0,_xlfn.XLOOKUP(O305,'Horarios y Sistemas'!C:C,'Horarios y Sistemas'!H:H,0,0,1)-P305))/7*U305</f>
        <v>0</v>
      </c>
      <c r="R305" s="54">
        <f t="shared" si="343"/>
        <v>0</v>
      </c>
      <c r="S305" s="55" t="str">
        <f t="shared" si="344"/>
        <v>SEPTIEMBRE</v>
      </c>
      <c r="T305" s="55" t="str">
        <f t="shared" si="345"/>
        <v>Sem38</v>
      </c>
      <c r="U305" s="56">
        <f t="shared" si="312"/>
        <v>7</v>
      </c>
      <c r="V305" s="59">
        <v>46282</v>
      </c>
      <c r="W305" s="56">
        <f t="shared" si="346"/>
        <v>38</v>
      </c>
      <c r="X305" s="56">
        <f t="shared" si="347"/>
        <v>17</v>
      </c>
      <c r="Y305" s="56" t="s">
        <v>31</v>
      </c>
      <c r="Z305" s="56">
        <v>4</v>
      </c>
      <c r="AA305" s="58">
        <f t="shared" si="333"/>
        <v>0</v>
      </c>
      <c r="AB305" s="58">
        <f t="shared" si="333"/>
        <v>1</v>
      </c>
      <c r="AC305" s="58">
        <f t="shared" si="333"/>
        <v>0</v>
      </c>
      <c r="AD305" s="58">
        <f t="shared" si="333"/>
        <v>0</v>
      </c>
      <c r="AE305" s="58">
        <f t="shared" si="333"/>
        <v>0</v>
      </c>
    </row>
    <row r="306" spans="2:34">
      <c r="B306" t="str">
        <f t="shared" si="334"/>
        <v>Sem3838Diego Flavio Rivas</v>
      </c>
      <c r="C306" t="str">
        <f t="shared" si="335"/>
        <v>SEPTIEMBRESem38</v>
      </c>
      <c r="D306" t="str">
        <f t="shared" si="336"/>
        <v>SEPTIEMBRESem38Diego Flavio Rivas</v>
      </c>
      <c r="E306" t="str">
        <f t="shared" si="337"/>
        <v>SEPTIEMBRESem3838Diego Flavio Rivas</v>
      </c>
      <c r="F306" t="str">
        <f t="shared" si="338"/>
        <v>Diego Flavio Rivas46283</v>
      </c>
      <c r="H306" s="49" t="s">
        <v>218</v>
      </c>
      <c r="I306" s="50" t="str">
        <f>+_xlfn.XLOOKUP($H306&amp;$V306,BASEDATOS!$B:$B,BASEDATOS!F:F,0,0,1)</f>
        <v>NOCHE</v>
      </c>
      <c r="J306" s="51">
        <f>+_xlfn.XLOOKUP($H306&amp;$V306,BASEDATOS!$B:$B,BASEDATOS!Q:Q,0,0,1)</f>
        <v>0.75</v>
      </c>
      <c r="K306" s="51">
        <f>+_xlfn.XLOOKUP($H306&amp;$V306,BASEDATOS!$B:$B,BASEDATOS!R:R,0,0,1)</f>
        <v>0.25</v>
      </c>
      <c r="L306" s="51">
        <f t="shared" si="339"/>
        <v>0.5</v>
      </c>
      <c r="M306" s="52" t="str">
        <f t="shared" si="340"/>
        <v>1:00</v>
      </c>
      <c r="N306" s="51">
        <f t="shared" si="341"/>
        <v>0.45833333333333331</v>
      </c>
      <c r="O306" s="53" t="str">
        <f t="shared" ref="O306" si="368">+O308</f>
        <v>1-4-2</v>
      </c>
      <c r="P306" s="54">
        <f>+IF(AND(Y306="Domingo",U306=7),_xlfn.XLOOKUP(O306,'Horarios y Sistemas'!C:C,'Horarios y Sistemas'!H:H,0,0,1),0)</f>
        <v>0</v>
      </c>
      <c r="Q306" s="54">
        <f>IF(U306=U307,0,IF(AVERAGEIF(W:W,W306,U:U)=U306,0,_xlfn.XLOOKUP(O306,'Horarios y Sistemas'!C:C,'Horarios y Sistemas'!H:H,0,0,1)-P306))/7*U306</f>
        <v>0</v>
      </c>
      <c r="R306" s="54">
        <f t="shared" si="343"/>
        <v>0</v>
      </c>
      <c r="S306" s="55" t="str">
        <f t="shared" si="344"/>
        <v>SEPTIEMBRE</v>
      </c>
      <c r="T306" s="55" t="str">
        <f t="shared" si="345"/>
        <v>Sem38</v>
      </c>
      <c r="U306" s="56">
        <f t="shared" si="312"/>
        <v>7</v>
      </c>
      <c r="V306" s="59">
        <v>46283</v>
      </c>
      <c r="W306" s="56">
        <f t="shared" si="346"/>
        <v>38</v>
      </c>
      <c r="X306" s="56">
        <f t="shared" si="347"/>
        <v>18</v>
      </c>
      <c r="Y306" s="56" t="s">
        <v>32</v>
      </c>
      <c r="Z306" s="56">
        <v>5</v>
      </c>
      <c r="AA306" s="58">
        <f t="shared" si="333"/>
        <v>0</v>
      </c>
      <c r="AB306" s="58">
        <f t="shared" si="333"/>
        <v>1</v>
      </c>
      <c r="AC306" s="58">
        <f t="shared" si="333"/>
        <v>0</v>
      </c>
      <c r="AD306" s="58">
        <f t="shared" si="333"/>
        <v>0</v>
      </c>
      <c r="AE306" s="58">
        <f t="shared" si="333"/>
        <v>0</v>
      </c>
    </row>
    <row r="307" spans="2:34">
      <c r="B307" t="str">
        <f t="shared" si="334"/>
        <v>Sem3838Diego Flavio Rivas</v>
      </c>
      <c r="C307" t="str">
        <f t="shared" si="335"/>
        <v>SEPTIEMBRESem38</v>
      </c>
      <c r="D307" t="str">
        <f t="shared" si="336"/>
        <v>SEPTIEMBRESem38Diego Flavio Rivas</v>
      </c>
      <c r="E307" t="str">
        <f t="shared" si="337"/>
        <v>SEPTIEMBRESem3838Diego Flavio Rivas</v>
      </c>
      <c r="F307" t="str">
        <f t="shared" si="338"/>
        <v>Diego Flavio Rivas46284</v>
      </c>
      <c r="H307" s="49" t="s">
        <v>218</v>
      </c>
      <c r="I307" s="50" t="str">
        <f>+_xlfn.XLOOKUP($H307&amp;$V307,BASEDATOS!$B:$B,BASEDATOS!F:F,0,0,1)</f>
        <v>NOCHE</v>
      </c>
      <c r="J307" s="51">
        <f>+_xlfn.XLOOKUP($H307&amp;$V307,BASEDATOS!$B:$B,BASEDATOS!Q:Q,0,0,1)</f>
        <v>0.75</v>
      </c>
      <c r="K307" s="51">
        <f>+_xlfn.XLOOKUP($H307&amp;$V307,BASEDATOS!$B:$B,BASEDATOS!R:R,0,0,1)</f>
        <v>0.25</v>
      </c>
      <c r="L307" s="51">
        <f t="shared" si="339"/>
        <v>0.5</v>
      </c>
      <c r="M307" s="52" t="str">
        <f t="shared" si="340"/>
        <v>1:00</v>
      </c>
      <c r="N307" s="51">
        <f t="shared" si="341"/>
        <v>0.45833333333333331</v>
      </c>
      <c r="O307" s="53" t="str">
        <f t="shared" ref="O307" si="369">+O308</f>
        <v>1-4-2</v>
      </c>
      <c r="P307" s="54">
        <f>+IF(AND(Y307="Domingo",U307=7),_xlfn.XLOOKUP(O307,'Horarios y Sistemas'!C:C,'Horarios y Sistemas'!H:H,0,0,1),0)</f>
        <v>0</v>
      </c>
      <c r="Q307" s="54">
        <f>IF(U307=U308,0,IF(AVERAGEIF(W:W,W307,U:U)=U307,0,_xlfn.XLOOKUP(O307,'Horarios y Sistemas'!C:C,'Horarios y Sistemas'!H:H,0,0,1)-P307))/7*U307</f>
        <v>0</v>
      </c>
      <c r="R307" s="54">
        <f t="shared" si="343"/>
        <v>0</v>
      </c>
      <c r="S307" s="55" t="str">
        <f t="shared" si="344"/>
        <v>SEPTIEMBRE</v>
      </c>
      <c r="T307" s="55" t="str">
        <f t="shared" si="345"/>
        <v>Sem38</v>
      </c>
      <c r="U307" s="56">
        <f t="shared" si="312"/>
        <v>7</v>
      </c>
      <c r="V307" s="59">
        <v>46284</v>
      </c>
      <c r="W307" s="56">
        <f t="shared" si="346"/>
        <v>38</v>
      </c>
      <c r="X307" s="56">
        <f t="shared" si="347"/>
        <v>19</v>
      </c>
      <c r="Y307" s="56" t="s">
        <v>33</v>
      </c>
      <c r="Z307" s="56">
        <v>6</v>
      </c>
      <c r="AA307" s="58">
        <f t="shared" si="333"/>
        <v>0</v>
      </c>
      <c r="AB307" s="58">
        <f t="shared" si="333"/>
        <v>1</v>
      </c>
      <c r="AC307" s="58">
        <f t="shared" si="333"/>
        <v>0</v>
      </c>
      <c r="AD307" s="58">
        <f t="shared" si="333"/>
        <v>0</v>
      </c>
      <c r="AE307" s="58">
        <f t="shared" si="333"/>
        <v>0</v>
      </c>
    </row>
    <row r="308" spans="2:34" s="60" customFormat="1">
      <c r="B308" s="60" t="str">
        <f t="shared" si="334"/>
        <v>Sem3838Diego Flavio Rivas</v>
      </c>
      <c r="C308" s="60" t="str">
        <f t="shared" si="335"/>
        <v>SEPTIEMBRESem38</v>
      </c>
      <c r="D308" s="60" t="str">
        <f t="shared" si="336"/>
        <v>SEPTIEMBRESem38Diego Flavio Rivas</v>
      </c>
      <c r="E308" s="60" t="str">
        <f t="shared" si="337"/>
        <v>SEPTIEMBRESem3838Diego Flavio Rivas</v>
      </c>
      <c r="F308" s="60" t="str">
        <f t="shared" si="338"/>
        <v>Diego Flavio Rivas46285</v>
      </c>
      <c r="H308" s="61" t="s">
        <v>218</v>
      </c>
      <c r="I308" s="62" t="str">
        <f>+_xlfn.XLOOKUP($H308&amp;$V308,BASEDATOS!$B:$B,BASEDATOS!F:F,0,0,1)</f>
        <v>DESCANSO</v>
      </c>
      <c r="J308" s="63">
        <f>+_xlfn.XLOOKUP($H308&amp;$V308,BASEDATOS!$B:$B,BASEDATOS!Q:Q,0,0,1)</f>
        <v>0</v>
      </c>
      <c r="K308" s="63">
        <f>+_xlfn.XLOOKUP($H308&amp;$V308,BASEDATOS!$B:$B,BASEDATOS!R:R,0,0,1)</f>
        <v>0</v>
      </c>
      <c r="L308" s="63">
        <f t="shared" si="339"/>
        <v>0</v>
      </c>
      <c r="M308" s="64">
        <f t="shared" si="340"/>
        <v>0</v>
      </c>
      <c r="N308" s="63">
        <f t="shared" si="341"/>
        <v>0</v>
      </c>
      <c r="O308" s="65" t="str">
        <f t="shared" ref="O308" si="370">+IF(Y308="Domingo",SUM(AA302:AA308)&amp;"-"&amp;SUM(AB302:AB308)&amp;"-"&amp;SUM(AC302:AE308),"")</f>
        <v>1-4-2</v>
      </c>
      <c r="P308" s="66">
        <f>+IF(AND(Y308="Domingo",U308=7),_xlfn.XLOOKUP(O308,'Horarios y Sistemas'!C:C,'Horarios y Sistemas'!H:H,0,0,1),0)</f>
        <v>37.6</v>
      </c>
      <c r="Q308" s="66">
        <f>IF(U308=U309,0,IF(AVERAGEIF(W:W,W308,U:U)=U308,0,_xlfn.XLOOKUP(O308,'Horarios y Sistemas'!C:C,'Horarios y Sistemas'!H:H,0,0,1)-P308))/7*U308</f>
        <v>0</v>
      </c>
      <c r="R308" s="66">
        <f t="shared" si="343"/>
        <v>37.6</v>
      </c>
      <c r="S308" s="67" t="str">
        <f t="shared" si="344"/>
        <v>SEPTIEMBRE</v>
      </c>
      <c r="T308" s="55" t="str">
        <f t="shared" si="345"/>
        <v>Sem38</v>
      </c>
      <c r="U308" s="68">
        <f t="shared" si="312"/>
        <v>7</v>
      </c>
      <c r="V308" s="69">
        <v>46285</v>
      </c>
      <c r="W308" s="68">
        <f t="shared" si="346"/>
        <v>38</v>
      </c>
      <c r="X308" s="68">
        <f t="shared" si="347"/>
        <v>20</v>
      </c>
      <c r="Y308" s="68" t="s">
        <v>34</v>
      </c>
      <c r="Z308" s="68">
        <v>7</v>
      </c>
      <c r="AA308" s="70">
        <f t="shared" si="333"/>
        <v>0</v>
      </c>
      <c r="AB308" s="70">
        <f t="shared" si="333"/>
        <v>0</v>
      </c>
      <c r="AC308" s="70">
        <f t="shared" si="333"/>
        <v>1</v>
      </c>
      <c r="AD308" s="70">
        <f t="shared" si="333"/>
        <v>0</v>
      </c>
      <c r="AE308" s="70">
        <f t="shared" si="333"/>
        <v>0</v>
      </c>
      <c r="AF308" s="71"/>
      <c r="AG308" s="71"/>
      <c r="AH308" s="71"/>
    </row>
    <row r="309" spans="2:34">
      <c r="B309" t="str">
        <f t="shared" si="334"/>
        <v>Sem3939Diego Flavio Rivas</v>
      </c>
      <c r="C309" t="str">
        <f t="shared" si="335"/>
        <v>SEPTIEMBRESem39</v>
      </c>
      <c r="D309" t="str">
        <f t="shared" si="336"/>
        <v>SEPTIEMBRESem39Diego Flavio Rivas</v>
      </c>
      <c r="E309" t="str">
        <f t="shared" si="337"/>
        <v>SEPTIEMBRESem3939Diego Flavio Rivas</v>
      </c>
      <c r="F309" t="str">
        <f t="shared" si="338"/>
        <v>Diego Flavio Rivas46286</v>
      </c>
      <c r="H309" s="49" t="s">
        <v>218</v>
      </c>
      <c r="I309" s="50" t="str">
        <f>+_xlfn.XLOOKUP($H309&amp;$V309,BASEDATOS!$B:$B,BASEDATOS!F:F,0,0,1)</f>
        <v>DIA</v>
      </c>
      <c r="J309" s="51">
        <f>+_xlfn.XLOOKUP($H309&amp;$V309,BASEDATOS!$B:$B,BASEDATOS!Q:Q,0,0,1)</f>
        <v>0.25</v>
      </c>
      <c r="K309" s="51">
        <f>+_xlfn.XLOOKUP($H309&amp;$V309,BASEDATOS!$B:$B,BASEDATOS!R:R,0,0,1)</f>
        <v>0.75</v>
      </c>
      <c r="L309" s="51">
        <f t="shared" si="339"/>
        <v>0.5</v>
      </c>
      <c r="M309" s="52" t="str">
        <f t="shared" si="340"/>
        <v>1:00</v>
      </c>
      <c r="N309" s="51">
        <f t="shared" si="341"/>
        <v>0.45833333333333331</v>
      </c>
      <c r="O309" s="53" t="str">
        <f t="shared" ref="O309" si="371">+O315</f>
        <v>4-0-3</v>
      </c>
      <c r="P309" s="54">
        <f>+IF(AND(Y309="Domingo",U309=7),_xlfn.XLOOKUP(O309,'Horarios y Sistemas'!C:C,'Horarios y Sistemas'!H:H,0,0,1),0)</f>
        <v>0</v>
      </c>
      <c r="Q309" s="54">
        <f>IF(U309=U310,0,IF(AVERAGEIF(W:W,W309,U:U)=U309,0,_xlfn.XLOOKUP(O309,'Horarios y Sistemas'!C:C,'Horarios y Sistemas'!H:H,0,0,1)-P309))/7*U309</f>
        <v>0</v>
      </c>
      <c r="R309" s="54">
        <f t="shared" si="343"/>
        <v>0</v>
      </c>
      <c r="S309" s="55" t="str">
        <f t="shared" si="344"/>
        <v>SEPTIEMBRE</v>
      </c>
      <c r="T309" s="55" t="str">
        <f t="shared" si="345"/>
        <v>Sem39</v>
      </c>
      <c r="U309" s="56">
        <f t="shared" si="312"/>
        <v>7</v>
      </c>
      <c r="V309" s="59">
        <v>46286</v>
      </c>
      <c r="W309" s="56">
        <f t="shared" si="346"/>
        <v>39</v>
      </c>
      <c r="X309" s="56">
        <f t="shared" si="347"/>
        <v>21</v>
      </c>
      <c r="Y309" s="56" t="s">
        <v>28</v>
      </c>
      <c r="Z309" s="56">
        <v>1</v>
      </c>
      <c r="AA309" s="58">
        <f t="shared" si="333"/>
        <v>1</v>
      </c>
      <c r="AB309" s="58">
        <f t="shared" si="333"/>
        <v>0</v>
      </c>
      <c r="AC309" s="58">
        <f t="shared" si="333"/>
        <v>0</v>
      </c>
      <c r="AD309" s="58">
        <f t="shared" si="333"/>
        <v>0</v>
      </c>
      <c r="AE309" s="58">
        <f t="shared" si="333"/>
        <v>0</v>
      </c>
    </row>
    <row r="310" spans="2:34">
      <c r="B310" t="str">
        <f t="shared" si="334"/>
        <v>Sem3939Diego Flavio Rivas</v>
      </c>
      <c r="C310" t="str">
        <f t="shared" si="335"/>
        <v>SEPTIEMBRESem39</v>
      </c>
      <c r="D310" t="str">
        <f t="shared" si="336"/>
        <v>SEPTIEMBRESem39Diego Flavio Rivas</v>
      </c>
      <c r="E310" t="str">
        <f t="shared" si="337"/>
        <v>SEPTIEMBRESem3939Diego Flavio Rivas</v>
      </c>
      <c r="F310" t="str">
        <f t="shared" si="338"/>
        <v>Diego Flavio Rivas46287</v>
      </c>
      <c r="H310" s="49" t="s">
        <v>218</v>
      </c>
      <c r="I310" s="50" t="str">
        <f>+_xlfn.XLOOKUP($H310&amp;$V310,BASEDATOS!$B:$B,BASEDATOS!F:F,0,0,1)</f>
        <v>DIA</v>
      </c>
      <c r="J310" s="51">
        <f>+_xlfn.XLOOKUP($H310&amp;$V310,BASEDATOS!$B:$B,BASEDATOS!Q:Q,0,0,1)</f>
        <v>0.25</v>
      </c>
      <c r="K310" s="51">
        <f>+_xlfn.XLOOKUP($H310&amp;$V310,BASEDATOS!$B:$B,BASEDATOS!R:R,0,0,1)</f>
        <v>0.75</v>
      </c>
      <c r="L310" s="51">
        <f t="shared" si="339"/>
        <v>0.5</v>
      </c>
      <c r="M310" s="52" t="str">
        <f t="shared" si="340"/>
        <v>1:00</v>
      </c>
      <c r="N310" s="51">
        <f t="shared" si="341"/>
        <v>0.45833333333333331</v>
      </c>
      <c r="O310" s="53" t="str">
        <f t="shared" ref="O310" si="372">+O315</f>
        <v>4-0-3</v>
      </c>
      <c r="P310" s="54">
        <f>+IF(AND(Y310="Domingo",U310=7),_xlfn.XLOOKUP(O310,'Horarios y Sistemas'!C:C,'Horarios y Sistemas'!H:H,0,0,1),0)</f>
        <v>0</v>
      </c>
      <c r="Q310" s="54">
        <f>IF(U310=U311,0,IF(AVERAGEIF(W:W,W310,U:U)=U310,0,_xlfn.XLOOKUP(O310,'Horarios y Sistemas'!C:C,'Horarios y Sistemas'!H:H,0,0,1)-P310))/7*U310</f>
        <v>0</v>
      </c>
      <c r="R310" s="54">
        <f t="shared" si="343"/>
        <v>0</v>
      </c>
      <c r="S310" s="55" t="str">
        <f t="shared" si="344"/>
        <v>SEPTIEMBRE</v>
      </c>
      <c r="T310" s="55" t="str">
        <f t="shared" si="345"/>
        <v>Sem39</v>
      </c>
      <c r="U310" s="56">
        <f t="shared" si="312"/>
        <v>7</v>
      </c>
      <c r="V310" s="59">
        <v>46287</v>
      </c>
      <c r="W310" s="56">
        <f t="shared" si="346"/>
        <v>39</v>
      </c>
      <c r="X310" s="56">
        <f t="shared" si="347"/>
        <v>22</v>
      </c>
      <c r="Y310" s="56" t="s">
        <v>29</v>
      </c>
      <c r="Z310" s="56">
        <v>2</v>
      </c>
      <c r="AA310" s="58">
        <f t="shared" si="333"/>
        <v>1</v>
      </c>
      <c r="AB310" s="58">
        <f t="shared" si="333"/>
        <v>0</v>
      </c>
      <c r="AC310" s="58">
        <f t="shared" si="333"/>
        <v>0</v>
      </c>
      <c r="AD310" s="58">
        <f t="shared" si="333"/>
        <v>0</v>
      </c>
      <c r="AE310" s="58">
        <f t="shared" si="333"/>
        <v>0</v>
      </c>
    </row>
    <row r="311" spans="2:34">
      <c r="B311" t="str">
        <f t="shared" si="334"/>
        <v>Sem3939Diego Flavio Rivas</v>
      </c>
      <c r="C311" t="str">
        <f t="shared" si="335"/>
        <v>SEPTIEMBRESem39</v>
      </c>
      <c r="D311" t="str">
        <f t="shared" si="336"/>
        <v>SEPTIEMBRESem39Diego Flavio Rivas</v>
      </c>
      <c r="E311" t="str">
        <f t="shared" si="337"/>
        <v>SEPTIEMBRESem3939Diego Flavio Rivas</v>
      </c>
      <c r="F311" t="str">
        <f t="shared" si="338"/>
        <v>Diego Flavio Rivas46288</v>
      </c>
      <c r="H311" s="49" t="s">
        <v>218</v>
      </c>
      <c r="I311" s="50" t="str">
        <f>+_xlfn.XLOOKUP($H311&amp;$V311,BASEDATOS!$B:$B,BASEDATOS!F:F,0,0,1)</f>
        <v>DIA</v>
      </c>
      <c r="J311" s="51">
        <f>+_xlfn.XLOOKUP($H311&amp;$V311,BASEDATOS!$B:$B,BASEDATOS!Q:Q,0,0,1)</f>
        <v>0.25</v>
      </c>
      <c r="K311" s="51">
        <f>+_xlfn.XLOOKUP($H311&amp;$V311,BASEDATOS!$B:$B,BASEDATOS!R:R,0,0,1)</f>
        <v>0.75</v>
      </c>
      <c r="L311" s="51">
        <f t="shared" si="339"/>
        <v>0.5</v>
      </c>
      <c r="M311" s="52" t="str">
        <f t="shared" si="340"/>
        <v>1:00</v>
      </c>
      <c r="N311" s="51">
        <f t="shared" si="341"/>
        <v>0.45833333333333331</v>
      </c>
      <c r="O311" s="53" t="str">
        <f t="shared" ref="O311" si="373">+O315</f>
        <v>4-0-3</v>
      </c>
      <c r="P311" s="54">
        <f>+IF(AND(Y311="Domingo",U311=7),_xlfn.XLOOKUP(O311,'Horarios y Sistemas'!C:C,'Horarios y Sistemas'!H:H,0,0,1),0)</f>
        <v>0</v>
      </c>
      <c r="Q311" s="54">
        <f>IF(U311=U312,0,IF(AVERAGEIF(W:W,W311,U:U)=U311,0,_xlfn.XLOOKUP(O311,'Horarios y Sistemas'!C:C,'Horarios y Sistemas'!H:H,0,0,1)-P311))/7*U311</f>
        <v>0</v>
      </c>
      <c r="R311" s="54">
        <f t="shared" si="343"/>
        <v>0</v>
      </c>
      <c r="S311" s="55" t="str">
        <f t="shared" si="344"/>
        <v>SEPTIEMBRE</v>
      </c>
      <c r="T311" s="55" t="str">
        <f t="shared" si="345"/>
        <v>Sem39</v>
      </c>
      <c r="U311" s="56">
        <f t="shared" si="312"/>
        <v>7</v>
      </c>
      <c r="V311" s="59">
        <v>46288</v>
      </c>
      <c r="W311" s="56">
        <f t="shared" si="346"/>
        <v>39</v>
      </c>
      <c r="X311" s="56">
        <f t="shared" si="347"/>
        <v>23</v>
      </c>
      <c r="Y311" s="56" t="s">
        <v>30</v>
      </c>
      <c r="Z311" s="56">
        <v>3</v>
      </c>
      <c r="AA311" s="58">
        <f t="shared" si="333"/>
        <v>1</v>
      </c>
      <c r="AB311" s="58">
        <f t="shared" si="333"/>
        <v>0</v>
      </c>
      <c r="AC311" s="58">
        <f t="shared" si="333"/>
        <v>0</v>
      </c>
      <c r="AD311" s="58">
        <f t="shared" si="333"/>
        <v>0</v>
      </c>
      <c r="AE311" s="58">
        <f t="shared" si="333"/>
        <v>0</v>
      </c>
    </row>
    <row r="312" spans="2:34">
      <c r="B312" t="str">
        <f t="shared" si="334"/>
        <v>Sem3939Diego Flavio Rivas</v>
      </c>
      <c r="C312" t="str">
        <f t="shared" si="335"/>
        <v>SEPTIEMBRESem39</v>
      </c>
      <c r="D312" t="str">
        <f t="shared" si="336"/>
        <v>SEPTIEMBRESem39Diego Flavio Rivas</v>
      </c>
      <c r="E312" t="str">
        <f t="shared" si="337"/>
        <v>SEPTIEMBRESem3939Diego Flavio Rivas</v>
      </c>
      <c r="F312" t="str">
        <f t="shared" si="338"/>
        <v>Diego Flavio Rivas46289</v>
      </c>
      <c r="H312" s="49" t="s">
        <v>218</v>
      </c>
      <c r="I312" s="50" t="str">
        <f>+_xlfn.XLOOKUP($H312&amp;$V312,BASEDATOS!$B:$B,BASEDATOS!F:F,0,0,1)</f>
        <v>DIA</v>
      </c>
      <c r="J312" s="51">
        <f>+_xlfn.XLOOKUP($H312&amp;$V312,BASEDATOS!$B:$B,BASEDATOS!Q:Q,0,0,1)</f>
        <v>0.25</v>
      </c>
      <c r="K312" s="51">
        <f>+_xlfn.XLOOKUP($H312&amp;$V312,BASEDATOS!$B:$B,BASEDATOS!R:R,0,0,1)</f>
        <v>0.75</v>
      </c>
      <c r="L312" s="51">
        <f t="shared" si="339"/>
        <v>0.5</v>
      </c>
      <c r="M312" s="52" t="str">
        <f t="shared" si="340"/>
        <v>1:00</v>
      </c>
      <c r="N312" s="51">
        <f t="shared" si="341"/>
        <v>0.45833333333333331</v>
      </c>
      <c r="O312" s="53" t="str">
        <f t="shared" ref="O312" si="374">+O315</f>
        <v>4-0-3</v>
      </c>
      <c r="P312" s="54">
        <f>+IF(AND(Y312="Domingo",U312=7),_xlfn.XLOOKUP(O312,'Horarios y Sistemas'!C:C,'Horarios y Sistemas'!H:H,0,0,1),0)</f>
        <v>0</v>
      </c>
      <c r="Q312" s="54">
        <f>IF(U312=U313,0,IF(AVERAGEIF(W:W,W312,U:U)=U312,0,_xlfn.XLOOKUP(O312,'Horarios y Sistemas'!C:C,'Horarios y Sistemas'!H:H,0,0,1)-P312))/7*U312</f>
        <v>0</v>
      </c>
      <c r="R312" s="54">
        <f t="shared" si="343"/>
        <v>0</v>
      </c>
      <c r="S312" s="55" t="str">
        <f t="shared" si="344"/>
        <v>SEPTIEMBRE</v>
      </c>
      <c r="T312" s="55" t="str">
        <f t="shared" si="345"/>
        <v>Sem39</v>
      </c>
      <c r="U312" s="56">
        <f t="shared" si="312"/>
        <v>7</v>
      </c>
      <c r="V312" s="59">
        <v>46289</v>
      </c>
      <c r="W312" s="56">
        <f t="shared" si="346"/>
        <v>39</v>
      </c>
      <c r="X312" s="56">
        <f t="shared" si="347"/>
        <v>24</v>
      </c>
      <c r="Y312" s="56" t="s">
        <v>31</v>
      </c>
      <c r="Z312" s="56">
        <v>4</v>
      </c>
      <c r="AA312" s="58">
        <f t="shared" si="333"/>
        <v>1</v>
      </c>
      <c r="AB312" s="58">
        <f t="shared" si="333"/>
        <v>0</v>
      </c>
      <c r="AC312" s="58">
        <f t="shared" si="333"/>
        <v>0</v>
      </c>
      <c r="AD312" s="58">
        <f t="shared" si="333"/>
        <v>0</v>
      </c>
      <c r="AE312" s="58">
        <f t="shared" si="333"/>
        <v>0</v>
      </c>
    </row>
    <row r="313" spans="2:34">
      <c r="B313" t="str">
        <f t="shared" si="334"/>
        <v>Sem3939Diego Flavio Rivas</v>
      </c>
      <c r="C313" t="str">
        <f t="shared" si="335"/>
        <v>SEPTIEMBRESem39</v>
      </c>
      <c r="D313" t="str">
        <f t="shared" si="336"/>
        <v>SEPTIEMBRESem39Diego Flavio Rivas</v>
      </c>
      <c r="E313" t="str">
        <f t="shared" si="337"/>
        <v>SEPTIEMBRESem3939Diego Flavio Rivas</v>
      </c>
      <c r="F313" t="str">
        <f t="shared" si="338"/>
        <v>Diego Flavio Rivas46290</v>
      </c>
      <c r="H313" s="49" t="s">
        <v>218</v>
      </c>
      <c r="I313" s="50" t="str">
        <f>+_xlfn.XLOOKUP($H313&amp;$V313,BASEDATOS!$B:$B,BASEDATOS!F:F,0,0,1)</f>
        <v>DESCANSO</v>
      </c>
      <c r="J313" s="51">
        <f>+_xlfn.XLOOKUP($H313&amp;$V313,BASEDATOS!$B:$B,BASEDATOS!Q:Q,0,0,1)</f>
        <v>0</v>
      </c>
      <c r="K313" s="51">
        <f>+_xlfn.XLOOKUP($H313&amp;$V313,BASEDATOS!$B:$B,BASEDATOS!R:R,0,0,1)</f>
        <v>0</v>
      </c>
      <c r="L313" s="51">
        <f t="shared" si="339"/>
        <v>0</v>
      </c>
      <c r="M313" s="52">
        <f t="shared" si="340"/>
        <v>0</v>
      </c>
      <c r="N313" s="51">
        <f t="shared" si="341"/>
        <v>0</v>
      </c>
      <c r="O313" s="53" t="str">
        <f t="shared" ref="O313" si="375">+O315</f>
        <v>4-0-3</v>
      </c>
      <c r="P313" s="54">
        <f>+IF(AND(Y313="Domingo",U313=7),_xlfn.XLOOKUP(O313,'Horarios y Sistemas'!C:C,'Horarios y Sistemas'!H:H,0,0,1),0)</f>
        <v>0</v>
      </c>
      <c r="Q313" s="54">
        <f>IF(U313=U314,0,IF(AVERAGEIF(W:W,W313,U:U)=U313,0,_xlfn.XLOOKUP(O313,'Horarios y Sistemas'!C:C,'Horarios y Sistemas'!H:H,0,0,1)-P313))/7*U313</f>
        <v>0</v>
      </c>
      <c r="R313" s="54">
        <f t="shared" si="343"/>
        <v>0</v>
      </c>
      <c r="S313" s="55" t="str">
        <f t="shared" si="344"/>
        <v>SEPTIEMBRE</v>
      </c>
      <c r="T313" s="55" t="str">
        <f t="shared" si="345"/>
        <v>Sem39</v>
      </c>
      <c r="U313" s="56">
        <f t="shared" si="312"/>
        <v>7</v>
      </c>
      <c r="V313" s="59">
        <v>46290</v>
      </c>
      <c r="W313" s="56">
        <f t="shared" si="346"/>
        <v>39</v>
      </c>
      <c r="X313" s="56">
        <f t="shared" si="347"/>
        <v>25</v>
      </c>
      <c r="Y313" s="56" t="s">
        <v>32</v>
      </c>
      <c r="Z313" s="56">
        <v>5</v>
      </c>
      <c r="AA313" s="58">
        <f t="shared" si="333"/>
        <v>0</v>
      </c>
      <c r="AB313" s="58">
        <f t="shared" si="333"/>
        <v>0</v>
      </c>
      <c r="AC313" s="58">
        <f t="shared" si="333"/>
        <v>1</v>
      </c>
      <c r="AD313" s="58">
        <f t="shared" si="333"/>
        <v>0</v>
      </c>
      <c r="AE313" s="58">
        <f t="shared" si="333"/>
        <v>0</v>
      </c>
    </row>
    <row r="314" spans="2:34">
      <c r="B314" t="str">
        <f t="shared" si="334"/>
        <v>Sem3939Diego Flavio Rivas</v>
      </c>
      <c r="C314" t="str">
        <f t="shared" si="335"/>
        <v>SEPTIEMBRESem39</v>
      </c>
      <c r="D314" t="str">
        <f t="shared" si="336"/>
        <v>SEPTIEMBRESem39Diego Flavio Rivas</v>
      </c>
      <c r="E314" t="str">
        <f t="shared" si="337"/>
        <v>SEPTIEMBRESem3939Diego Flavio Rivas</v>
      </c>
      <c r="F314" t="str">
        <f t="shared" si="338"/>
        <v>Diego Flavio Rivas46291</v>
      </c>
      <c r="H314" s="49" t="s">
        <v>218</v>
      </c>
      <c r="I314" s="50" t="str">
        <f>+_xlfn.XLOOKUP($H314&amp;$V314,BASEDATOS!$B:$B,BASEDATOS!F:F,0,0,1)</f>
        <v>DESCANSO</v>
      </c>
      <c r="J314" s="51">
        <f>+_xlfn.XLOOKUP($H314&amp;$V314,BASEDATOS!$B:$B,BASEDATOS!Q:Q,0,0,1)</f>
        <v>0</v>
      </c>
      <c r="K314" s="51">
        <f>+_xlfn.XLOOKUP($H314&amp;$V314,BASEDATOS!$B:$B,BASEDATOS!R:R,0,0,1)</f>
        <v>0</v>
      </c>
      <c r="L314" s="51">
        <f t="shared" si="339"/>
        <v>0</v>
      </c>
      <c r="M314" s="52">
        <f t="shared" si="340"/>
        <v>0</v>
      </c>
      <c r="N314" s="51">
        <f t="shared" si="341"/>
        <v>0</v>
      </c>
      <c r="O314" s="53" t="str">
        <f t="shared" ref="O314" si="376">+O315</f>
        <v>4-0-3</v>
      </c>
      <c r="P314" s="54">
        <f>+IF(AND(Y314="Domingo",U314=7),_xlfn.XLOOKUP(O314,'Horarios y Sistemas'!C:C,'Horarios y Sistemas'!H:H,0,0,1),0)</f>
        <v>0</v>
      </c>
      <c r="Q314" s="54">
        <f>IF(U314=U315,0,IF(AVERAGEIF(W:W,W314,U:U)=U314,0,_xlfn.XLOOKUP(O314,'Horarios y Sistemas'!C:C,'Horarios y Sistemas'!H:H,0,0,1)-P314))/7*U314</f>
        <v>0</v>
      </c>
      <c r="R314" s="54">
        <f t="shared" si="343"/>
        <v>0</v>
      </c>
      <c r="S314" s="55" t="str">
        <f t="shared" si="344"/>
        <v>SEPTIEMBRE</v>
      </c>
      <c r="T314" s="55" t="str">
        <f t="shared" si="345"/>
        <v>Sem39</v>
      </c>
      <c r="U314" s="56">
        <f t="shared" si="312"/>
        <v>7</v>
      </c>
      <c r="V314" s="59">
        <v>46291</v>
      </c>
      <c r="W314" s="56">
        <f t="shared" si="346"/>
        <v>39</v>
      </c>
      <c r="X314" s="56">
        <f t="shared" si="347"/>
        <v>26</v>
      </c>
      <c r="Y314" s="56" t="s">
        <v>33</v>
      </c>
      <c r="Z314" s="56">
        <v>6</v>
      </c>
      <c r="AA314" s="58">
        <f t="shared" si="333"/>
        <v>0</v>
      </c>
      <c r="AB314" s="58">
        <f t="shared" si="333"/>
        <v>0</v>
      </c>
      <c r="AC314" s="58">
        <f t="shared" si="333"/>
        <v>1</v>
      </c>
      <c r="AD314" s="58">
        <f t="shared" si="333"/>
        <v>0</v>
      </c>
      <c r="AE314" s="58">
        <f t="shared" si="333"/>
        <v>0</v>
      </c>
    </row>
    <row r="315" spans="2:34" s="60" customFormat="1">
      <c r="B315" s="60" t="str">
        <f t="shared" si="334"/>
        <v>Sem3939Diego Flavio Rivas</v>
      </c>
      <c r="C315" s="60" t="str">
        <f t="shared" si="335"/>
        <v>SEPTIEMBRESem39</v>
      </c>
      <c r="D315" s="60" t="str">
        <f t="shared" si="336"/>
        <v>SEPTIEMBRESem39Diego Flavio Rivas</v>
      </c>
      <c r="E315" s="60" t="str">
        <f t="shared" si="337"/>
        <v>SEPTIEMBRESem3939Diego Flavio Rivas</v>
      </c>
      <c r="F315" s="60" t="str">
        <f t="shared" si="338"/>
        <v>Diego Flavio Rivas46292</v>
      </c>
      <c r="H315" s="61" t="s">
        <v>218</v>
      </c>
      <c r="I315" s="62" t="str">
        <f>+_xlfn.XLOOKUP($H315&amp;$V315,BASEDATOS!$B:$B,BASEDATOS!F:F,0,0,1)</f>
        <v>DESCANSO</v>
      </c>
      <c r="J315" s="63">
        <f>+_xlfn.XLOOKUP($H315&amp;$V315,BASEDATOS!$B:$B,BASEDATOS!Q:Q,0,0,1)</f>
        <v>0</v>
      </c>
      <c r="K315" s="63">
        <f>+_xlfn.XLOOKUP($H315&amp;$V315,BASEDATOS!$B:$B,BASEDATOS!R:R,0,0,1)</f>
        <v>0</v>
      </c>
      <c r="L315" s="63">
        <f t="shared" si="339"/>
        <v>0</v>
      </c>
      <c r="M315" s="64">
        <f t="shared" si="340"/>
        <v>0</v>
      </c>
      <c r="N315" s="63">
        <f t="shared" si="341"/>
        <v>0</v>
      </c>
      <c r="O315" s="65" t="str">
        <f t="shared" ref="O315" si="377">+IF(Y315="Domingo",SUM(AA309:AA315)&amp;"-"&amp;SUM(AB309:AB315)&amp;"-"&amp;SUM(AC309:AE315),"")</f>
        <v>4-0-3</v>
      </c>
      <c r="P315" s="66">
        <f>+IF(AND(Y315="Domingo",U315=7),_xlfn.XLOOKUP(O315,'Horarios y Sistemas'!C:C,'Horarios y Sistemas'!H:H,0,0,1),0)</f>
        <v>44</v>
      </c>
      <c r="Q315" s="66">
        <f>IF(U315=U316,0,IF(AVERAGEIF(W:W,W315,U:U)=U315,0,_xlfn.XLOOKUP(O315,'Horarios y Sistemas'!C:C,'Horarios y Sistemas'!H:H,0,0,1)-P315))/7*U315</f>
        <v>0</v>
      </c>
      <c r="R315" s="66">
        <f t="shared" si="343"/>
        <v>44</v>
      </c>
      <c r="S315" s="67" t="str">
        <f t="shared" si="344"/>
        <v>SEPTIEMBRE</v>
      </c>
      <c r="T315" s="55" t="str">
        <f t="shared" si="345"/>
        <v>Sem39</v>
      </c>
      <c r="U315" s="68">
        <f t="shared" si="312"/>
        <v>7</v>
      </c>
      <c r="V315" s="69">
        <v>46292</v>
      </c>
      <c r="W315" s="68">
        <f t="shared" si="346"/>
        <v>39</v>
      </c>
      <c r="X315" s="68">
        <f t="shared" si="347"/>
        <v>27</v>
      </c>
      <c r="Y315" s="68" t="s">
        <v>34</v>
      </c>
      <c r="Z315" s="68">
        <v>7</v>
      </c>
      <c r="AA315" s="70">
        <f t="shared" si="333"/>
        <v>0</v>
      </c>
      <c r="AB315" s="70">
        <f t="shared" si="333"/>
        <v>0</v>
      </c>
      <c r="AC315" s="70">
        <f t="shared" si="333"/>
        <v>1</v>
      </c>
      <c r="AD315" s="70">
        <f t="shared" si="333"/>
        <v>0</v>
      </c>
      <c r="AE315" s="70">
        <f t="shared" si="333"/>
        <v>0</v>
      </c>
      <c r="AF315" s="71"/>
      <c r="AG315" s="71"/>
      <c r="AH315" s="71"/>
    </row>
    <row r="316" spans="2:34">
      <c r="B316" t="str">
        <f t="shared" si="334"/>
        <v>Sem4040Diego Flavio Rivas</v>
      </c>
      <c r="C316" t="str">
        <f t="shared" si="335"/>
        <v>SEPTIEMBRESem40</v>
      </c>
      <c r="D316" t="str">
        <f t="shared" si="336"/>
        <v>SEPTIEMBRESem40Diego Flavio Rivas</v>
      </c>
      <c r="E316" t="str">
        <f t="shared" si="337"/>
        <v>SEPTIEMBRESem4040Diego Flavio Rivas</v>
      </c>
      <c r="F316" t="str">
        <f t="shared" si="338"/>
        <v>Diego Flavio Rivas46293</v>
      </c>
      <c r="H316" s="49" t="s">
        <v>218</v>
      </c>
      <c r="I316" s="50" t="str">
        <f>+_xlfn.XLOOKUP($H316&amp;$V316,BASEDATOS!$B:$B,BASEDATOS!F:F,0,0,1)</f>
        <v>NOCHE</v>
      </c>
      <c r="J316" s="51">
        <f>+_xlfn.XLOOKUP($H316&amp;$V316,BASEDATOS!$B:$B,BASEDATOS!Q:Q,0,0,1)</f>
        <v>0.75</v>
      </c>
      <c r="K316" s="51">
        <f>+_xlfn.XLOOKUP($H316&amp;$V316,BASEDATOS!$B:$B,BASEDATOS!R:R,0,0,1)</f>
        <v>0.25</v>
      </c>
      <c r="L316" s="51">
        <f t="shared" si="339"/>
        <v>0.5</v>
      </c>
      <c r="M316" s="52" t="str">
        <f t="shared" si="340"/>
        <v>1:00</v>
      </c>
      <c r="N316" s="51">
        <f t="shared" si="341"/>
        <v>0.45833333333333331</v>
      </c>
      <c r="O316" s="53" t="str">
        <f t="shared" ref="O316" si="378">+O322</f>
        <v>0-5-2</v>
      </c>
      <c r="P316" s="54">
        <f>+IF(AND(Y316="Domingo",U316=7),_xlfn.XLOOKUP(O316,'Horarios y Sistemas'!C:C,'Horarios y Sistemas'!H:H,0,0,1),0)</f>
        <v>0</v>
      </c>
      <c r="Q316" s="54">
        <f>IF(U316=U317,0,IF(AVERAGEIF(W:W,W316,U:U)=U316,0,_xlfn.XLOOKUP(O316,'Horarios y Sistemas'!C:C,'Horarios y Sistemas'!H:H,0,0,1)-P316))/7*U316</f>
        <v>0</v>
      </c>
      <c r="R316" s="54">
        <f t="shared" si="343"/>
        <v>0</v>
      </c>
      <c r="S316" s="55" t="str">
        <f t="shared" si="344"/>
        <v>SEPTIEMBRE</v>
      </c>
      <c r="T316" s="55" t="str">
        <f t="shared" si="345"/>
        <v>Sem40</v>
      </c>
      <c r="U316" s="56">
        <f t="shared" si="312"/>
        <v>7</v>
      </c>
      <c r="V316" s="59">
        <v>46293</v>
      </c>
      <c r="W316" s="56">
        <f t="shared" si="346"/>
        <v>40</v>
      </c>
      <c r="X316" s="56">
        <f t="shared" si="347"/>
        <v>28</v>
      </c>
      <c r="Y316" s="56" t="s">
        <v>28</v>
      </c>
      <c r="Z316" s="56">
        <v>1</v>
      </c>
      <c r="AA316" s="58">
        <f t="shared" si="333"/>
        <v>0</v>
      </c>
      <c r="AB316" s="58">
        <f t="shared" si="333"/>
        <v>1</v>
      </c>
      <c r="AC316" s="58">
        <f t="shared" si="333"/>
        <v>0</v>
      </c>
      <c r="AD316" s="58">
        <f t="shared" si="333"/>
        <v>0</v>
      </c>
      <c r="AE316" s="58">
        <f t="shared" si="333"/>
        <v>0</v>
      </c>
    </row>
    <row r="317" spans="2:34">
      <c r="B317" t="str">
        <f t="shared" si="334"/>
        <v>Sem4040Diego Flavio Rivas</v>
      </c>
      <c r="C317" t="str">
        <f t="shared" si="335"/>
        <v>SEPTIEMBRESem40</v>
      </c>
      <c r="D317" t="str">
        <f t="shared" si="336"/>
        <v>SEPTIEMBRESem40Diego Flavio Rivas</v>
      </c>
      <c r="E317" t="str">
        <f t="shared" si="337"/>
        <v>SEPTIEMBRESem4040Diego Flavio Rivas</v>
      </c>
      <c r="F317" t="str">
        <f t="shared" si="338"/>
        <v>Diego Flavio Rivas46294</v>
      </c>
      <c r="H317" s="49" t="s">
        <v>218</v>
      </c>
      <c r="I317" s="50" t="str">
        <f>+_xlfn.XLOOKUP($H317&amp;$V317,BASEDATOS!$B:$B,BASEDATOS!F:F,0,0,1)</f>
        <v>NOCHE</v>
      </c>
      <c r="J317" s="51">
        <f>+_xlfn.XLOOKUP($H317&amp;$V317,BASEDATOS!$B:$B,BASEDATOS!Q:Q,0,0,1)</f>
        <v>0.75</v>
      </c>
      <c r="K317" s="51">
        <f>+_xlfn.XLOOKUP($H317&amp;$V317,BASEDATOS!$B:$B,BASEDATOS!R:R,0,0,1)</f>
        <v>0.25</v>
      </c>
      <c r="L317" s="51">
        <f t="shared" si="339"/>
        <v>0.5</v>
      </c>
      <c r="M317" s="52" t="str">
        <f t="shared" si="340"/>
        <v>1:00</v>
      </c>
      <c r="N317" s="51">
        <f t="shared" si="341"/>
        <v>0.45833333333333331</v>
      </c>
      <c r="O317" s="53" t="str">
        <f t="shared" ref="O317" si="379">+O322</f>
        <v>0-5-2</v>
      </c>
      <c r="P317" s="54">
        <f>+IF(AND(Y317="Domingo",U317=7),_xlfn.XLOOKUP(O317,'Horarios y Sistemas'!C:C,'Horarios y Sistemas'!H:H,0,0,1),0)</f>
        <v>0</v>
      </c>
      <c r="Q317" s="54">
        <f>IF(U317=U318,0,IF(AVERAGEIF(W:W,W317,U:U)=U317,0,_xlfn.XLOOKUP(O317,'Horarios y Sistemas'!C:C,'Horarios y Sistemas'!H:H,0,0,1)-P317))/7*U317</f>
        <v>0</v>
      </c>
      <c r="R317" s="54">
        <f t="shared" si="343"/>
        <v>0</v>
      </c>
      <c r="S317" s="55" t="str">
        <f t="shared" si="344"/>
        <v>SEPTIEMBRE</v>
      </c>
      <c r="T317" s="55" t="str">
        <f t="shared" si="345"/>
        <v>Sem40</v>
      </c>
      <c r="U317" s="56">
        <f t="shared" si="312"/>
        <v>7</v>
      </c>
      <c r="V317" s="59">
        <v>46294</v>
      </c>
      <c r="W317" s="56">
        <f t="shared" si="346"/>
        <v>40</v>
      </c>
      <c r="X317" s="56">
        <f t="shared" si="347"/>
        <v>29</v>
      </c>
      <c r="Y317" s="56" t="s">
        <v>29</v>
      </c>
      <c r="Z317" s="56">
        <v>2</v>
      </c>
      <c r="AA317" s="58">
        <f t="shared" si="333"/>
        <v>0</v>
      </c>
      <c r="AB317" s="58">
        <f t="shared" si="333"/>
        <v>1</v>
      </c>
      <c r="AC317" s="58">
        <f t="shared" si="333"/>
        <v>0</v>
      </c>
      <c r="AD317" s="58">
        <f t="shared" si="333"/>
        <v>0</v>
      </c>
      <c r="AE317" s="58">
        <f t="shared" si="333"/>
        <v>0</v>
      </c>
    </row>
    <row r="318" spans="2:34">
      <c r="B318" t="str">
        <f t="shared" si="334"/>
        <v>Sem4040Diego Flavio Rivas</v>
      </c>
      <c r="C318" t="str">
        <f t="shared" si="335"/>
        <v>SEPTIEMBRESem40</v>
      </c>
      <c r="D318" t="str">
        <f t="shared" si="336"/>
        <v>SEPTIEMBRESem40Diego Flavio Rivas</v>
      </c>
      <c r="E318" t="str">
        <f t="shared" si="337"/>
        <v>SEPTIEMBRESem4040Diego Flavio Rivas</v>
      </c>
      <c r="F318" t="str">
        <f t="shared" si="338"/>
        <v>Diego Flavio Rivas46295</v>
      </c>
      <c r="H318" s="49" t="s">
        <v>218</v>
      </c>
      <c r="I318" s="50" t="str">
        <f>+_xlfn.XLOOKUP($H318&amp;$V318,BASEDATOS!$B:$B,BASEDATOS!F:F,0,0,1)</f>
        <v>NOCHE</v>
      </c>
      <c r="J318" s="51">
        <f>+_xlfn.XLOOKUP($H318&amp;$V318,BASEDATOS!$B:$B,BASEDATOS!Q:Q,0,0,1)</f>
        <v>0.75</v>
      </c>
      <c r="K318" s="51">
        <f>+_xlfn.XLOOKUP($H318&amp;$V318,BASEDATOS!$B:$B,BASEDATOS!R:R,0,0,1)</f>
        <v>0.25</v>
      </c>
      <c r="L318" s="51">
        <f t="shared" si="339"/>
        <v>0.5</v>
      </c>
      <c r="M318" s="52" t="str">
        <f t="shared" si="340"/>
        <v>1:00</v>
      </c>
      <c r="N318" s="51">
        <f t="shared" si="341"/>
        <v>0.45833333333333331</v>
      </c>
      <c r="O318" s="53" t="str">
        <f t="shared" ref="O318" si="380">+O322</f>
        <v>0-5-2</v>
      </c>
      <c r="P318" s="54">
        <f>+IF(AND(Y318="Domingo",U318=7),_xlfn.XLOOKUP(O318,'Horarios y Sistemas'!C:C,'Horarios y Sistemas'!H:H,0,0,1),0)</f>
        <v>0</v>
      </c>
      <c r="Q318" s="54">
        <f>IF(U318=U319,0,IF(AVERAGEIF(W:W,W318,U:U)=U318,0,_xlfn.XLOOKUP(O318,'Horarios y Sistemas'!C:C,'Horarios y Sistemas'!H:H,0,0,1)-P318))/7*U318</f>
        <v>0</v>
      </c>
      <c r="R318" s="54">
        <f t="shared" si="343"/>
        <v>0</v>
      </c>
      <c r="S318" s="55" t="str">
        <f t="shared" si="344"/>
        <v>SEPTIEMBRE</v>
      </c>
      <c r="T318" s="55" t="str">
        <f t="shared" si="345"/>
        <v>Sem40</v>
      </c>
      <c r="U318" s="56">
        <f t="shared" si="312"/>
        <v>7</v>
      </c>
      <c r="V318" s="59">
        <v>46295</v>
      </c>
      <c r="W318" s="56">
        <f t="shared" si="346"/>
        <v>40</v>
      </c>
      <c r="X318" s="56">
        <f t="shared" si="347"/>
        <v>30</v>
      </c>
      <c r="Y318" s="56" t="s">
        <v>30</v>
      </c>
      <c r="Z318" s="56">
        <v>3</v>
      </c>
      <c r="AA318" s="58">
        <f t="shared" si="333"/>
        <v>0</v>
      </c>
      <c r="AB318" s="58">
        <f t="shared" si="333"/>
        <v>1</v>
      </c>
      <c r="AC318" s="58">
        <f t="shared" si="333"/>
        <v>0</v>
      </c>
      <c r="AD318" s="58">
        <f t="shared" si="333"/>
        <v>0</v>
      </c>
      <c r="AE318" s="58">
        <f t="shared" si="333"/>
        <v>0</v>
      </c>
    </row>
    <row r="319" spans="2:34">
      <c r="B319" t="str">
        <f t="shared" si="334"/>
        <v>Sem4040Diego Flavio Rivas</v>
      </c>
      <c r="C319" t="str">
        <f t="shared" si="335"/>
        <v>OCTUBRESem40</v>
      </c>
      <c r="D319" t="str">
        <f t="shared" si="336"/>
        <v>OCTUBRESem40Diego Flavio Rivas</v>
      </c>
      <c r="E319" t="str">
        <f t="shared" si="337"/>
        <v>OCTUBRESem4040Diego Flavio Rivas</v>
      </c>
      <c r="F319" t="str">
        <f t="shared" si="338"/>
        <v>Diego Flavio Rivas46296</v>
      </c>
      <c r="H319" s="49" t="s">
        <v>218</v>
      </c>
      <c r="I319" s="50" t="str">
        <f>+_xlfn.XLOOKUP($H319&amp;$V319,BASEDATOS!$B:$B,BASEDATOS!F:F,0,0,1)</f>
        <v>NOCHE</v>
      </c>
      <c r="J319" s="51">
        <f>+_xlfn.XLOOKUP($H319&amp;$V319,BASEDATOS!$B:$B,BASEDATOS!Q:Q,0,0,1)</f>
        <v>0.75</v>
      </c>
      <c r="K319" s="51">
        <f>+_xlfn.XLOOKUP($H319&amp;$V319,BASEDATOS!$B:$B,BASEDATOS!R:R,0,0,1)</f>
        <v>0.25</v>
      </c>
      <c r="L319" s="51">
        <f t="shared" si="339"/>
        <v>0.5</v>
      </c>
      <c r="M319" s="52" t="str">
        <f t="shared" si="340"/>
        <v>1:00</v>
      </c>
      <c r="N319" s="51">
        <f t="shared" si="341"/>
        <v>0.45833333333333331</v>
      </c>
      <c r="O319" s="53" t="str">
        <f t="shared" ref="O319" si="381">+O322</f>
        <v>0-5-2</v>
      </c>
      <c r="P319" s="54">
        <f>+IF(AND(Y319="Domingo",U319=7),_xlfn.XLOOKUP(O319,'Horarios y Sistemas'!C:C,'Horarios y Sistemas'!H:H,0,0,1),0)</f>
        <v>0</v>
      </c>
      <c r="Q319" s="54">
        <f>IF(U319=U320,0,IF(AVERAGEIF(W:W,W319,U:U)=U319,0,_xlfn.XLOOKUP(O319,'Horarios y Sistemas'!C:C,'Horarios y Sistemas'!H:H,0,0,1)-P319))/7*U319</f>
        <v>0</v>
      </c>
      <c r="R319" s="54">
        <f t="shared" si="343"/>
        <v>0</v>
      </c>
      <c r="S319" s="55" t="str">
        <f t="shared" si="344"/>
        <v>OCTUBRE</v>
      </c>
      <c r="T319" s="55" t="str">
        <f t="shared" si="345"/>
        <v>Sem40</v>
      </c>
      <c r="U319" s="56">
        <f t="shared" si="312"/>
        <v>7</v>
      </c>
      <c r="V319" s="59">
        <v>46296</v>
      </c>
      <c r="W319" s="56">
        <f t="shared" si="346"/>
        <v>40</v>
      </c>
      <c r="X319" s="56">
        <f t="shared" si="347"/>
        <v>1</v>
      </c>
      <c r="Y319" s="56" t="s">
        <v>31</v>
      </c>
      <c r="Z319" s="56">
        <v>4</v>
      </c>
      <c r="AA319" s="58">
        <f t="shared" si="333"/>
        <v>0</v>
      </c>
      <c r="AB319" s="58">
        <f t="shared" si="333"/>
        <v>1</v>
      </c>
      <c r="AC319" s="58">
        <f t="shared" si="333"/>
        <v>0</v>
      </c>
      <c r="AD319" s="58">
        <f t="shared" si="333"/>
        <v>0</v>
      </c>
      <c r="AE319" s="58">
        <f t="shared" si="333"/>
        <v>0</v>
      </c>
    </row>
    <row r="320" spans="2:34">
      <c r="B320" t="str">
        <f t="shared" si="334"/>
        <v>Sem4040Diego Flavio Rivas</v>
      </c>
      <c r="C320" t="str">
        <f t="shared" si="335"/>
        <v>OCTUBRESem40</v>
      </c>
      <c r="D320" t="str">
        <f t="shared" si="336"/>
        <v>OCTUBRESem40Diego Flavio Rivas</v>
      </c>
      <c r="E320" t="str">
        <f t="shared" si="337"/>
        <v>OCTUBRESem4040Diego Flavio Rivas</v>
      </c>
      <c r="F320" t="str">
        <f t="shared" si="338"/>
        <v>Diego Flavio Rivas46297</v>
      </c>
      <c r="H320" s="49" t="s">
        <v>218</v>
      </c>
      <c r="I320" s="50" t="str">
        <f>+_xlfn.XLOOKUP($H320&amp;$V320,BASEDATOS!$B:$B,BASEDATOS!F:F,0,0,1)</f>
        <v>NOCHE</v>
      </c>
      <c r="J320" s="51">
        <f>+_xlfn.XLOOKUP($H320&amp;$V320,BASEDATOS!$B:$B,BASEDATOS!Q:Q,0,0,1)</f>
        <v>0.75</v>
      </c>
      <c r="K320" s="51">
        <f>+_xlfn.XLOOKUP($H320&amp;$V320,BASEDATOS!$B:$B,BASEDATOS!R:R,0,0,1)</f>
        <v>0.25</v>
      </c>
      <c r="L320" s="51">
        <f t="shared" si="339"/>
        <v>0.5</v>
      </c>
      <c r="M320" s="52" t="str">
        <f t="shared" si="340"/>
        <v>1:00</v>
      </c>
      <c r="N320" s="51">
        <f t="shared" si="341"/>
        <v>0.45833333333333331</v>
      </c>
      <c r="O320" s="53" t="str">
        <f t="shared" ref="O320" si="382">+O322</f>
        <v>0-5-2</v>
      </c>
      <c r="P320" s="54">
        <f>+IF(AND(Y320="Domingo",U320=7),_xlfn.XLOOKUP(O320,'Horarios y Sistemas'!C:C,'Horarios y Sistemas'!H:H,0,0,1),0)</f>
        <v>0</v>
      </c>
      <c r="Q320" s="54">
        <f>IF(U320=U321,0,IF(AVERAGEIF(W:W,W320,U:U)=U320,0,_xlfn.XLOOKUP(O320,'Horarios y Sistemas'!C:C,'Horarios y Sistemas'!H:H,0,0,1)-P320))/7*U320</f>
        <v>0</v>
      </c>
      <c r="R320" s="54">
        <f t="shared" si="343"/>
        <v>0</v>
      </c>
      <c r="S320" s="55" t="str">
        <f t="shared" si="344"/>
        <v>OCTUBRE</v>
      </c>
      <c r="T320" s="55" t="str">
        <f t="shared" si="345"/>
        <v>Sem40</v>
      </c>
      <c r="U320" s="56">
        <f t="shared" si="312"/>
        <v>7</v>
      </c>
      <c r="V320" s="59">
        <v>46297</v>
      </c>
      <c r="W320" s="56">
        <f t="shared" si="346"/>
        <v>40</v>
      </c>
      <c r="X320" s="56">
        <f t="shared" si="347"/>
        <v>2</v>
      </c>
      <c r="Y320" s="56" t="s">
        <v>32</v>
      </c>
      <c r="Z320" s="56">
        <v>5</v>
      </c>
      <c r="AA320" s="58">
        <f t="shared" si="333"/>
        <v>0</v>
      </c>
      <c r="AB320" s="58">
        <f t="shared" si="333"/>
        <v>1</v>
      </c>
      <c r="AC320" s="58">
        <f t="shared" si="333"/>
        <v>0</v>
      </c>
      <c r="AD320" s="58">
        <f t="shared" si="333"/>
        <v>0</v>
      </c>
      <c r="AE320" s="58">
        <f t="shared" si="333"/>
        <v>0</v>
      </c>
    </row>
    <row r="321" spans="2:34">
      <c r="B321" t="str">
        <f t="shared" si="334"/>
        <v>Sem4040Diego Flavio Rivas</v>
      </c>
      <c r="C321" t="str">
        <f t="shared" si="335"/>
        <v>OCTUBRESem40</v>
      </c>
      <c r="D321" t="str">
        <f t="shared" si="336"/>
        <v>OCTUBRESem40Diego Flavio Rivas</v>
      </c>
      <c r="E321" t="str">
        <f t="shared" si="337"/>
        <v>OCTUBRESem4040Diego Flavio Rivas</v>
      </c>
      <c r="F321" t="str">
        <f t="shared" si="338"/>
        <v>Diego Flavio Rivas46298</v>
      </c>
      <c r="H321" s="49" t="s">
        <v>218</v>
      </c>
      <c r="I321" s="50" t="str">
        <f>+_xlfn.XLOOKUP($H321&amp;$V321,BASEDATOS!$B:$B,BASEDATOS!F:F,0,0,1)</f>
        <v>DESCANSO</v>
      </c>
      <c r="J321" s="51">
        <f>+_xlfn.XLOOKUP($H321&amp;$V321,BASEDATOS!$B:$B,BASEDATOS!Q:Q,0,0,1)</f>
        <v>0</v>
      </c>
      <c r="K321" s="51">
        <f>+_xlfn.XLOOKUP($H321&amp;$V321,BASEDATOS!$B:$B,BASEDATOS!R:R,0,0,1)</f>
        <v>0</v>
      </c>
      <c r="L321" s="51">
        <f t="shared" si="339"/>
        <v>0</v>
      </c>
      <c r="M321" s="52">
        <f t="shared" si="340"/>
        <v>0</v>
      </c>
      <c r="N321" s="51">
        <f t="shared" si="341"/>
        <v>0</v>
      </c>
      <c r="O321" s="53" t="str">
        <f t="shared" ref="O321" si="383">+O322</f>
        <v>0-5-2</v>
      </c>
      <c r="P321" s="54">
        <f>+IF(AND(Y321="Domingo",U321=7),_xlfn.XLOOKUP(O321,'Horarios y Sistemas'!C:C,'Horarios y Sistemas'!H:H,0,0,1),0)</f>
        <v>0</v>
      </c>
      <c r="Q321" s="54">
        <f>IF(U321=U322,0,IF(AVERAGEIF(W:W,W321,U:U)=U321,0,_xlfn.XLOOKUP(O321,'Horarios y Sistemas'!C:C,'Horarios y Sistemas'!H:H,0,0,1)-P321))/7*U321</f>
        <v>0</v>
      </c>
      <c r="R321" s="54">
        <f t="shared" si="343"/>
        <v>0</v>
      </c>
      <c r="S321" s="55" t="str">
        <f t="shared" si="344"/>
        <v>OCTUBRE</v>
      </c>
      <c r="T321" s="55" t="str">
        <f t="shared" si="345"/>
        <v>Sem40</v>
      </c>
      <c r="U321" s="56">
        <f t="shared" si="312"/>
        <v>7</v>
      </c>
      <c r="V321" s="59">
        <v>46298</v>
      </c>
      <c r="W321" s="56">
        <f t="shared" si="346"/>
        <v>40</v>
      </c>
      <c r="X321" s="56">
        <f t="shared" si="347"/>
        <v>3</v>
      </c>
      <c r="Y321" s="56" t="s">
        <v>33</v>
      </c>
      <c r="Z321" s="56">
        <v>6</v>
      </c>
      <c r="AA321" s="58">
        <f t="shared" si="333"/>
        <v>0</v>
      </c>
      <c r="AB321" s="58">
        <f t="shared" si="333"/>
        <v>0</v>
      </c>
      <c r="AC321" s="58">
        <f t="shared" si="333"/>
        <v>1</v>
      </c>
      <c r="AD321" s="58">
        <f t="shared" si="333"/>
        <v>0</v>
      </c>
      <c r="AE321" s="58">
        <f t="shared" si="333"/>
        <v>0</v>
      </c>
    </row>
    <row r="322" spans="2:34" s="60" customFormat="1">
      <c r="B322" s="60" t="str">
        <f t="shared" si="334"/>
        <v>Sem4040Diego Flavio Rivas</v>
      </c>
      <c r="C322" s="60" t="str">
        <f t="shared" si="335"/>
        <v>OCTUBRESem40</v>
      </c>
      <c r="D322" s="60" t="str">
        <f t="shared" si="336"/>
        <v>OCTUBRESem40Diego Flavio Rivas</v>
      </c>
      <c r="E322" s="60" t="str">
        <f t="shared" si="337"/>
        <v>OCTUBRESem4040Diego Flavio Rivas</v>
      </c>
      <c r="F322" s="60" t="str">
        <f t="shared" si="338"/>
        <v>Diego Flavio Rivas46299</v>
      </c>
      <c r="H322" s="61" t="s">
        <v>218</v>
      </c>
      <c r="I322" s="62" t="str">
        <f>+_xlfn.XLOOKUP($H322&amp;$V322,BASEDATOS!$B:$B,BASEDATOS!F:F,0,0,1)</f>
        <v>DESCANSO</v>
      </c>
      <c r="J322" s="63">
        <f>+_xlfn.XLOOKUP($H322&amp;$V322,BASEDATOS!$B:$B,BASEDATOS!Q:Q,0,0,1)</f>
        <v>0</v>
      </c>
      <c r="K322" s="63">
        <f>+_xlfn.XLOOKUP($H322&amp;$V322,BASEDATOS!$B:$B,BASEDATOS!R:R,0,0,1)</f>
        <v>0</v>
      </c>
      <c r="L322" s="63">
        <f t="shared" si="339"/>
        <v>0</v>
      </c>
      <c r="M322" s="64">
        <f t="shared" si="340"/>
        <v>0</v>
      </c>
      <c r="N322" s="63">
        <f t="shared" si="341"/>
        <v>0</v>
      </c>
      <c r="O322" s="65" t="str">
        <f t="shared" ref="O322" si="384">+IF(Y322="Domingo",SUM(AA316:AA322)&amp;"-"&amp;SUM(AB316:AB322)&amp;"-"&amp;SUM(AC316:AE322),"")</f>
        <v>0-5-2</v>
      </c>
      <c r="P322" s="66">
        <f>+IF(AND(Y322="Domingo",U322=7),_xlfn.XLOOKUP(O322,'Horarios y Sistemas'!C:C,'Horarios y Sistemas'!H:H,0,0,1),0)</f>
        <v>36</v>
      </c>
      <c r="Q322" s="66">
        <f>IF(U322=U323,0,IF(AVERAGEIF(W:W,W322,U:U)=U322,0,_xlfn.XLOOKUP(O322,'Horarios y Sistemas'!C:C,'Horarios y Sistemas'!H:H,0,0,1)-P322))/7*U322</f>
        <v>0</v>
      </c>
      <c r="R322" s="66">
        <f t="shared" si="343"/>
        <v>36</v>
      </c>
      <c r="S322" s="67" t="str">
        <f t="shared" si="344"/>
        <v>OCTUBRE</v>
      </c>
      <c r="T322" s="55" t="str">
        <f t="shared" si="345"/>
        <v>Sem40</v>
      </c>
      <c r="U322" s="68">
        <f t="shared" si="312"/>
        <v>7</v>
      </c>
      <c r="V322" s="69">
        <v>46299</v>
      </c>
      <c r="W322" s="68">
        <f t="shared" si="346"/>
        <v>40</v>
      </c>
      <c r="X322" s="68">
        <f t="shared" si="347"/>
        <v>4</v>
      </c>
      <c r="Y322" s="68" t="s">
        <v>34</v>
      </c>
      <c r="Z322" s="68">
        <v>7</v>
      </c>
      <c r="AA322" s="70">
        <f t="shared" si="333"/>
        <v>0</v>
      </c>
      <c r="AB322" s="70">
        <f t="shared" si="333"/>
        <v>0</v>
      </c>
      <c r="AC322" s="70">
        <f t="shared" si="333"/>
        <v>1</v>
      </c>
      <c r="AD322" s="70">
        <f t="shared" si="333"/>
        <v>0</v>
      </c>
      <c r="AE322" s="70">
        <f t="shared" si="333"/>
        <v>0</v>
      </c>
      <c r="AF322" s="71"/>
      <c r="AG322" s="71"/>
      <c r="AH322" s="71"/>
    </row>
    <row r="323" spans="2:34">
      <c r="B323" t="str">
        <f t="shared" si="334"/>
        <v>Sem3838EFREN ESTUARDO LOPEZ GARCIA</v>
      </c>
      <c r="C323" t="str">
        <f t="shared" si="335"/>
        <v>SEPTIEMBRESem38</v>
      </c>
      <c r="D323" t="str">
        <f t="shared" si="336"/>
        <v>SEPTIEMBRESem38EFREN ESTUARDO LOPEZ GARCIA</v>
      </c>
      <c r="E323" t="str">
        <f t="shared" si="337"/>
        <v>SEPTIEMBRESem3838EFREN ESTUARDO LOPEZ GARCIA</v>
      </c>
      <c r="F323" t="str">
        <f t="shared" si="338"/>
        <v>EFREN ESTUARDO LOPEZ GARCIA46279</v>
      </c>
      <c r="H323" s="49" t="s">
        <v>102</v>
      </c>
      <c r="I323" s="50" t="str">
        <f>+_xlfn.XLOOKUP($H323&amp;$V323,BASEDATOS!$B:$B,BASEDATOS!F:F,0,0,1)</f>
        <v>DESCANSO</v>
      </c>
      <c r="J323" s="51">
        <f>+_xlfn.XLOOKUP($H323&amp;$V323,BASEDATOS!$B:$B,BASEDATOS!Q:Q,0,0,1)</f>
        <v>0</v>
      </c>
      <c r="K323" s="51">
        <f>+_xlfn.XLOOKUP($H323&amp;$V323,BASEDATOS!$B:$B,BASEDATOS!R:R,0,0,1)</f>
        <v>0</v>
      </c>
      <c r="L323" s="51">
        <f t="shared" si="339"/>
        <v>0</v>
      </c>
      <c r="M323" s="52">
        <f t="shared" si="340"/>
        <v>0</v>
      </c>
      <c r="N323" s="51">
        <f t="shared" si="341"/>
        <v>0</v>
      </c>
      <c r="O323" s="53" t="str">
        <f t="shared" ref="O323" si="385">+O329</f>
        <v>5-0-2</v>
      </c>
      <c r="P323" s="54">
        <f>+IF(AND(Y323="Domingo",U323=7),_xlfn.XLOOKUP(O323,'Horarios y Sistemas'!C:C,'Horarios y Sistemas'!H:H,0,0,1),0)</f>
        <v>0</v>
      </c>
      <c r="Q323" s="54">
        <f>IF(U323=U324,0,IF(AVERAGEIF(W:W,W323,U:U)=U323,0,_xlfn.XLOOKUP(O323,'Horarios y Sistemas'!C:C,'Horarios y Sistemas'!H:H,0,0,1)-P323))/7*U323</f>
        <v>0</v>
      </c>
      <c r="R323" s="54">
        <f t="shared" si="343"/>
        <v>0</v>
      </c>
      <c r="S323" s="55" t="str">
        <f t="shared" si="344"/>
        <v>SEPTIEMBRE</v>
      </c>
      <c r="T323" s="55" t="str">
        <f t="shared" si="345"/>
        <v>Sem38</v>
      </c>
      <c r="U323" s="56">
        <f t="shared" si="312"/>
        <v>7</v>
      </c>
      <c r="V323" s="57">
        <v>46279</v>
      </c>
      <c r="W323" s="56">
        <f t="shared" si="346"/>
        <v>38</v>
      </c>
      <c r="X323" s="56">
        <f t="shared" si="347"/>
        <v>14</v>
      </c>
      <c r="Y323" s="56" t="s">
        <v>28</v>
      </c>
      <c r="Z323" s="56">
        <v>1</v>
      </c>
      <c r="AA323" s="58">
        <f t="shared" si="333"/>
        <v>0</v>
      </c>
      <c r="AB323" s="58">
        <f t="shared" si="333"/>
        <v>0</v>
      </c>
      <c r="AC323" s="58">
        <f t="shared" si="333"/>
        <v>1</v>
      </c>
      <c r="AD323" s="58">
        <f t="shared" si="333"/>
        <v>0</v>
      </c>
      <c r="AE323" s="58">
        <f t="shared" si="333"/>
        <v>0</v>
      </c>
    </row>
    <row r="324" spans="2:34">
      <c r="B324" t="str">
        <f t="shared" si="334"/>
        <v>Sem3838EFREN ESTUARDO LOPEZ GARCIA</v>
      </c>
      <c r="C324" t="str">
        <f t="shared" si="335"/>
        <v>SEPTIEMBRESem38</v>
      </c>
      <c r="D324" t="str">
        <f t="shared" si="336"/>
        <v>SEPTIEMBRESem38EFREN ESTUARDO LOPEZ GARCIA</v>
      </c>
      <c r="E324" t="str">
        <f t="shared" si="337"/>
        <v>SEPTIEMBRESem3838EFREN ESTUARDO LOPEZ GARCIA</v>
      </c>
      <c r="F324" t="str">
        <f t="shared" si="338"/>
        <v>EFREN ESTUARDO LOPEZ GARCIA46280</v>
      </c>
      <c r="H324" s="49" t="s">
        <v>102</v>
      </c>
      <c r="I324" s="50" t="str">
        <f>+_xlfn.XLOOKUP($H324&amp;$V324,BASEDATOS!$B:$B,BASEDATOS!F:F,0,0,1)</f>
        <v>DIA</v>
      </c>
      <c r="J324" s="51">
        <f>+_xlfn.XLOOKUP($H324&amp;$V324,BASEDATOS!$B:$B,BASEDATOS!Q:Q,0,0,1)</f>
        <v>0.33333333333333298</v>
      </c>
      <c r="K324" s="51">
        <f>+_xlfn.XLOOKUP($H324&amp;$V324,BASEDATOS!$B:$B,BASEDATOS!R:R,0,0,1)</f>
        <v>0.70833333333333304</v>
      </c>
      <c r="L324" s="51">
        <f t="shared" si="339"/>
        <v>0.37500000000000006</v>
      </c>
      <c r="M324" s="52" t="str">
        <f t="shared" si="340"/>
        <v>1:00</v>
      </c>
      <c r="N324" s="51">
        <f t="shared" si="341"/>
        <v>0.33333333333333337</v>
      </c>
      <c r="O324" s="53" t="str">
        <f t="shared" ref="O324" si="386">+O329</f>
        <v>5-0-2</v>
      </c>
      <c r="P324" s="54">
        <f>+IF(AND(Y324="Domingo",U324=7),_xlfn.XLOOKUP(O324,'Horarios y Sistemas'!C:C,'Horarios y Sistemas'!H:H,0,0,1),0)</f>
        <v>0</v>
      </c>
      <c r="Q324" s="54">
        <f>IF(U324=U325,0,IF(AVERAGEIF(W:W,W324,U:U)=U324,0,_xlfn.XLOOKUP(O324,'Horarios y Sistemas'!C:C,'Horarios y Sistemas'!H:H,0,0,1)-P324))/7*U324</f>
        <v>0</v>
      </c>
      <c r="R324" s="54">
        <f t="shared" si="343"/>
        <v>0</v>
      </c>
      <c r="S324" s="55" t="str">
        <f t="shared" si="344"/>
        <v>SEPTIEMBRE</v>
      </c>
      <c r="T324" s="55" t="str">
        <f t="shared" si="345"/>
        <v>Sem38</v>
      </c>
      <c r="U324" s="56">
        <f t="shared" si="312"/>
        <v>7</v>
      </c>
      <c r="V324" s="59">
        <v>46280</v>
      </c>
      <c r="W324" s="56">
        <f t="shared" si="346"/>
        <v>38</v>
      </c>
      <c r="X324" s="56">
        <f t="shared" si="347"/>
        <v>15</v>
      </c>
      <c r="Y324" s="56" t="s">
        <v>29</v>
      </c>
      <c r="Z324" s="56">
        <v>2</v>
      </c>
      <c r="AA324" s="58">
        <f t="shared" si="333"/>
        <v>1</v>
      </c>
      <c r="AB324" s="58">
        <f t="shared" si="333"/>
        <v>0</v>
      </c>
      <c r="AC324" s="58">
        <f t="shared" si="333"/>
        <v>0</v>
      </c>
      <c r="AD324" s="58">
        <f t="shared" si="333"/>
        <v>0</v>
      </c>
      <c r="AE324" s="58">
        <f t="shared" si="333"/>
        <v>0</v>
      </c>
    </row>
    <row r="325" spans="2:34">
      <c r="B325" t="str">
        <f t="shared" si="334"/>
        <v>Sem3838EFREN ESTUARDO LOPEZ GARCIA</v>
      </c>
      <c r="C325" t="str">
        <f t="shared" si="335"/>
        <v>SEPTIEMBRESem38</v>
      </c>
      <c r="D325" t="str">
        <f t="shared" si="336"/>
        <v>SEPTIEMBRESem38EFREN ESTUARDO LOPEZ GARCIA</v>
      </c>
      <c r="E325" t="str">
        <f t="shared" si="337"/>
        <v>SEPTIEMBRESem3838EFREN ESTUARDO LOPEZ GARCIA</v>
      </c>
      <c r="F325" t="str">
        <f t="shared" si="338"/>
        <v>EFREN ESTUARDO LOPEZ GARCIA46281</v>
      </c>
      <c r="H325" s="49" t="s">
        <v>102</v>
      </c>
      <c r="I325" s="50" t="str">
        <f>+_xlfn.XLOOKUP($H325&amp;$V325,BASEDATOS!$B:$B,BASEDATOS!F:F,0,0,1)</f>
        <v>DIA</v>
      </c>
      <c r="J325" s="51">
        <f>+_xlfn.XLOOKUP($H325&amp;$V325,BASEDATOS!$B:$B,BASEDATOS!Q:Q,0,0,1)</f>
        <v>0.33333333333333298</v>
      </c>
      <c r="K325" s="51">
        <f>+_xlfn.XLOOKUP($H325&amp;$V325,BASEDATOS!$B:$B,BASEDATOS!R:R,0,0,1)</f>
        <v>0.70833333333333304</v>
      </c>
      <c r="L325" s="51">
        <f t="shared" si="339"/>
        <v>0.37500000000000006</v>
      </c>
      <c r="M325" s="52" t="str">
        <f t="shared" si="340"/>
        <v>1:00</v>
      </c>
      <c r="N325" s="51">
        <f t="shared" si="341"/>
        <v>0.33333333333333337</v>
      </c>
      <c r="O325" s="53" t="str">
        <f t="shared" ref="O325" si="387">+O329</f>
        <v>5-0-2</v>
      </c>
      <c r="P325" s="54">
        <f>+IF(AND(Y325="Domingo",U325=7),_xlfn.XLOOKUP(O325,'Horarios y Sistemas'!C:C,'Horarios y Sistemas'!H:H,0,0,1),0)</f>
        <v>0</v>
      </c>
      <c r="Q325" s="54">
        <f>IF(U325=U326,0,IF(AVERAGEIF(W:W,W325,U:U)=U325,0,_xlfn.XLOOKUP(O325,'Horarios y Sistemas'!C:C,'Horarios y Sistemas'!H:H,0,0,1)-P325))/7*U325</f>
        <v>0</v>
      </c>
      <c r="R325" s="54">
        <f t="shared" si="343"/>
        <v>0</v>
      </c>
      <c r="S325" s="55" t="str">
        <f t="shared" si="344"/>
        <v>SEPTIEMBRE</v>
      </c>
      <c r="T325" s="55" t="str">
        <f t="shared" si="345"/>
        <v>Sem38</v>
      </c>
      <c r="U325" s="56">
        <f t="shared" si="312"/>
        <v>7</v>
      </c>
      <c r="V325" s="59">
        <v>46281</v>
      </c>
      <c r="W325" s="56">
        <f t="shared" si="346"/>
        <v>38</v>
      </c>
      <c r="X325" s="56">
        <f t="shared" si="347"/>
        <v>16</v>
      </c>
      <c r="Y325" s="56" t="s">
        <v>30</v>
      </c>
      <c r="Z325" s="56">
        <v>3</v>
      </c>
      <c r="AA325" s="58">
        <f t="shared" si="333"/>
        <v>1</v>
      </c>
      <c r="AB325" s="58">
        <f t="shared" si="333"/>
        <v>0</v>
      </c>
      <c r="AC325" s="58">
        <f t="shared" si="333"/>
        <v>0</v>
      </c>
      <c r="AD325" s="58">
        <f t="shared" si="333"/>
        <v>0</v>
      </c>
      <c r="AE325" s="58">
        <f t="shared" si="333"/>
        <v>0</v>
      </c>
    </row>
    <row r="326" spans="2:34">
      <c r="B326" t="str">
        <f t="shared" si="334"/>
        <v>Sem3838EFREN ESTUARDO LOPEZ GARCIA</v>
      </c>
      <c r="C326" t="str">
        <f t="shared" si="335"/>
        <v>SEPTIEMBRESem38</v>
      </c>
      <c r="D326" t="str">
        <f t="shared" si="336"/>
        <v>SEPTIEMBRESem38EFREN ESTUARDO LOPEZ GARCIA</v>
      </c>
      <c r="E326" t="str">
        <f t="shared" si="337"/>
        <v>SEPTIEMBRESem3838EFREN ESTUARDO LOPEZ GARCIA</v>
      </c>
      <c r="F326" t="str">
        <f t="shared" si="338"/>
        <v>EFREN ESTUARDO LOPEZ GARCIA46282</v>
      </c>
      <c r="H326" s="49" t="s">
        <v>102</v>
      </c>
      <c r="I326" s="50" t="str">
        <f>+_xlfn.XLOOKUP($H326&amp;$V326,BASEDATOS!$B:$B,BASEDATOS!F:F,0,0,1)</f>
        <v>DIA</v>
      </c>
      <c r="J326" s="51">
        <f>+_xlfn.XLOOKUP($H326&amp;$V326,BASEDATOS!$B:$B,BASEDATOS!Q:Q,0,0,1)</f>
        <v>0.25</v>
      </c>
      <c r="K326" s="51">
        <f>+_xlfn.XLOOKUP($H326&amp;$V326,BASEDATOS!$B:$B,BASEDATOS!R:R,0,0,1)</f>
        <v>0.75</v>
      </c>
      <c r="L326" s="51">
        <f t="shared" si="339"/>
        <v>0.5</v>
      </c>
      <c r="M326" s="52" t="str">
        <f t="shared" si="340"/>
        <v>1:00</v>
      </c>
      <c r="N326" s="51">
        <f t="shared" si="341"/>
        <v>0.45833333333333331</v>
      </c>
      <c r="O326" s="53" t="str">
        <f t="shared" ref="O326" si="388">+O329</f>
        <v>5-0-2</v>
      </c>
      <c r="P326" s="54">
        <f>+IF(AND(Y326="Domingo",U326=7),_xlfn.XLOOKUP(O326,'Horarios y Sistemas'!C:C,'Horarios y Sistemas'!H:H,0,0,1),0)</f>
        <v>0</v>
      </c>
      <c r="Q326" s="54">
        <f>IF(U326=U327,0,IF(AVERAGEIF(W:W,W326,U:U)=U326,0,_xlfn.XLOOKUP(O326,'Horarios y Sistemas'!C:C,'Horarios y Sistemas'!H:H,0,0,1)-P326))/7*U326</f>
        <v>0</v>
      </c>
      <c r="R326" s="54">
        <f t="shared" si="343"/>
        <v>0</v>
      </c>
      <c r="S326" s="55" t="str">
        <f t="shared" si="344"/>
        <v>SEPTIEMBRE</v>
      </c>
      <c r="T326" s="55" t="str">
        <f t="shared" si="345"/>
        <v>Sem38</v>
      </c>
      <c r="U326" s="56">
        <f t="shared" si="312"/>
        <v>7</v>
      </c>
      <c r="V326" s="59">
        <v>46282</v>
      </c>
      <c r="W326" s="56">
        <f t="shared" si="346"/>
        <v>38</v>
      </c>
      <c r="X326" s="56">
        <f t="shared" si="347"/>
        <v>17</v>
      </c>
      <c r="Y326" s="56" t="s">
        <v>31</v>
      </c>
      <c r="Z326" s="56">
        <v>4</v>
      </c>
      <c r="AA326" s="58">
        <f t="shared" si="333"/>
        <v>1</v>
      </c>
      <c r="AB326" s="58">
        <f t="shared" si="333"/>
        <v>0</v>
      </c>
      <c r="AC326" s="58">
        <f t="shared" si="333"/>
        <v>0</v>
      </c>
      <c r="AD326" s="58">
        <f t="shared" si="333"/>
        <v>0</v>
      </c>
      <c r="AE326" s="58">
        <f t="shared" si="333"/>
        <v>0</v>
      </c>
    </row>
    <row r="327" spans="2:34">
      <c r="B327" t="str">
        <f t="shared" si="334"/>
        <v>Sem3838EFREN ESTUARDO LOPEZ GARCIA</v>
      </c>
      <c r="C327" t="str">
        <f t="shared" si="335"/>
        <v>SEPTIEMBRESem38</v>
      </c>
      <c r="D327" t="str">
        <f t="shared" si="336"/>
        <v>SEPTIEMBRESem38EFREN ESTUARDO LOPEZ GARCIA</v>
      </c>
      <c r="E327" t="str">
        <f t="shared" si="337"/>
        <v>SEPTIEMBRESem3838EFREN ESTUARDO LOPEZ GARCIA</v>
      </c>
      <c r="F327" t="str">
        <f t="shared" si="338"/>
        <v>EFREN ESTUARDO LOPEZ GARCIA46283</v>
      </c>
      <c r="H327" s="49" t="s">
        <v>102</v>
      </c>
      <c r="I327" s="50" t="str">
        <f>+_xlfn.XLOOKUP($H327&amp;$V327,BASEDATOS!$B:$B,BASEDATOS!F:F,0,0,1)</f>
        <v>DIA</v>
      </c>
      <c r="J327" s="51">
        <f>+_xlfn.XLOOKUP($H327&amp;$V327,BASEDATOS!$B:$B,BASEDATOS!Q:Q,0,0,1)</f>
        <v>0.25</v>
      </c>
      <c r="K327" s="51">
        <f>+_xlfn.XLOOKUP($H327&amp;$V327,BASEDATOS!$B:$B,BASEDATOS!R:R,0,0,1)</f>
        <v>0.75</v>
      </c>
      <c r="L327" s="51">
        <f t="shared" si="339"/>
        <v>0.5</v>
      </c>
      <c r="M327" s="52" t="str">
        <f t="shared" si="340"/>
        <v>1:00</v>
      </c>
      <c r="N327" s="51">
        <f t="shared" si="341"/>
        <v>0.45833333333333331</v>
      </c>
      <c r="O327" s="53" t="str">
        <f t="shared" ref="O327" si="389">+O329</f>
        <v>5-0-2</v>
      </c>
      <c r="P327" s="54">
        <f>+IF(AND(Y327="Domingo",U327=7),_xlfn.XLOOKUP(O327,'Horarios y Sistemas'!C:C,'Horarios y Sistemas'!H:H,0,0,1),0)</f>
        <v>0</v>
      </c>
      <c r="Q327" s="54">
        <f>IF(U327=U328,0,IF(AVERAGEIF(W:W,W327,U:U)=U327,0,_xlfn.XLOOKUP(O327,'Horarios y Sistemas'!C:C,'Horarios y Sistemas'!H:H,0,0,1)-P327))/7*U327</f>
        <v>0</v>
      </c>
      <c r="R327" s="54">
        <f t="shared" si="343"/>
        <v>0</v>
      </c>
      <c r="S327" s="55" t="str">
        <f t="shared" si="344"/>
        <v>SEPTIEMBRE</v>
      </c>
      <c r="T327" s="55" t="str">
        <f t="shared" si="345"/>
        <v>Sem38</v>
      </c>
      <c r="U327" s="56">
        <f t="shared" si="312"/>
        <v>7</v>
      </c>
      <c r="V327" s="59">
        <v>46283</v>
      </c>
      <c r="W327" s="56">
        <f t="shared" si="346"/>
        <v>38</v>
      </c>
      <c r="X327" s="56">
        <f t="shared" si="347"/>
        <v>18</v>
      </c>
      <c r="Y327" s="56" t="s">
        <v>32</v>
      </c>
      <c r="Z327" s="56">
        <v>5</v>
      </c>
      <c r="AA327" s="58">
        <f t="shared" si="333"/>
        <v>1</v>
      </c>
      <c r="AB327" s="58">
        <f t="shared" si="333"/>
        <v>0</v>
      </c>
      <c r="AC327" s="58">
        <f t="shared" si="333"/>
        <v>0</v>
      </c>
      <c r="AD327" s="58">
        <f t="shared" si="333"/>
        <v>0</v>
      </c>
      <c r="AE327" s="58">
        <f t="shared" si="333"/>
        <v>0</v>
      </c>
    </row>
    <row r="328" spans="2:34">
      <c r="B328" t="str">
        <f t="shared" si="334"/>
        <v>Sem3838EFREN ESTUARDO LOPEZ GARCIA</v>
      </c>
      <c r="C328" t="str">
        <f t="shared" si="335"/>
        <v>SEPTIEMBRESem38</v>
      </c>
      <c r="D328" t="str">
        <f t="shared" si="336"/>
        <v>SEPTIEMBRESem38EFREN ESTUARDO LOPEZ GARCIA</v>
      </c>
      <c r="E328" t="str">
        <f t="shared" si="337"/>
        <v>SEPTIEMBRESem3838EFREN ESTUARDO LOPEZ GARCIA</v>
      </c>
      <c r="F328" t="str">
        <f t="shared" si="338"/>
        <v>EFREN ESTUARDO LOPEZ GARCIA46284</v>
      </c>
      <c r="H328" s="49" t="s">
        <v>102</v>
      </c>
      <c r="I328" s="50" t="str">
        <f>+_xlfn.XLOOKUP($H328&amp;$V328,BASEDATOS!$B:$B,BASEDATOS!F:F,0,0,1)</f>
        <v>DIA</v>
      </c>
      <c r="J328" s="51">
        <f>+_xlfn.XLOOKUP($H328&amp;$V328,BASEDATOS!$B:$B,BASEDATOS!Q:Q,0,0,1)</f>
        <v>0.25</v>
      </c>
      <c r="K328" s="51">
        <f>+_xlfn.XLOOKUP($H328&amp;$V328,BASEDATOS!$B:$B,BASEDATOS!R:R,0,0,1)</f>
        <v>0.58333333333333304</v>
      </c>
      <c r="L328" s="51">
        <f t="shared" si="339"/>
        <v>0.33333333333333304</v>
      </c>
      <c r="M328" s="52" t="str">
        <f t="shared" si="340"/>
        <v>1:00</v>
      </c>
      <c r="N328" s="51">
        <f t="shared" si="341"/>
        <v>0.29166666666666635</v>
      </c>
      <c r="O328" s="53" t="str">
        <f t="shared" ref="O328" si="390">+O329</f>
        <v>5-0-2</v>
      </c>
      <c r="P328" s="54">
        <f>+IF(AND(Y328="Domingo",U328=7),_xlfn.XLOOKUP(O328,'Horarios y Sistemas'!C:C,'Horarios y Sistemas'!H:H,0,0,1),0)</f>
        <v>0</v>
      </c>
      <c r="Q328" s="54">
        <f>IF(U328=U329,0,IF(AVERAGEIF(W:W,W328,U:U)=U328,0,_xlfn.XLOOKUP(O328,'Horarios y Sistemas'!C:C,'Horarios y Sistemas'!H:H,0,0,1)-P328))/7*U328</f>
        <v>0</v>
      </c>
      <c r="R328" s="54">
        <f t="shared" si="343"/>
        <v>0</v>
      </c>
      <c r="S328" s="55" t="str">
        <f t="shared" si="344"/>
        <v>SEPTIEMBRE</v>
      </c>
      <c r="T328" s="55" t="str">
        <f t="shared" si="345"/>
        <v>Sem38</v>
      </c>
      <c r="U328" s="56">
        <f t="shared" ref="U328:U391" si="391">+COUNTIF(B:B,B328)</f>
        <v>7</v>
      </c>
      <c r="V328" s="59">
        <v>46284</v>
      </c>
      <c r="W328" s="56">
        <f t="shared" si="346"/>
        <v>38</v>
      </c>
      <c r="X328" s="56">
        <f t="shared" si="347"/>
        <v>19</v>
      </c>
      <c r="Y328" s="56" t="s">
        <v>33</v>
      </c>
      <c r="Z328" s="56">
        <v>6</v>
      </c>
      <c r="AA328" s="58">
        <f t="shared" si="333"/>
        <v>1</v>
      </c>
      <c r="AB328" s="58">
        <f t="shared" si="333"/>
        <v>0</v>
      </c>
      <c r="AC328" s="58">
        <f t="shared" si="333"/>
        <v>0</v>
      </c>
      <c r="AD328" s="58">
        <f t="shared" si="333"/>
        <v>0</v>
      </c>
      <c r="AE328" s="58">
        <f t="shared" si="333"/>
        <v>0</v>
      </c>
    </row>
    <row r="329" spans="2:34" s="60" customFormat="1">
      <c r="B329" s="60" t="str">
        <f t="shared" si="334"/>
        <v>Sem3838EFREN ESTUARDO LOPEZ GARCIA</v>
      </c>
      <c r="C329" s="60" t="str">
        <f t="shared" si="335"/>
        <v>SEPTIEMBRESem38</v>
      </c>
      <c r="D329" s="60" t="str">
        <f t="shared" si="336"/>
        <v>SEPTIEMBRESem38EFREN ESTUARDO LOPEZ GARCIA</v>
      </c>
      <c r="E329" s="60" t="str">
        <f t="shared" si="337"/>
        <v>SEPTIEMBRESem3838EFREN ESTUARDO LOPEZ GARCIA</v>
      </c>
      <c r="F329" s="60" t="str">
        <f t="shared" si="338"/>
        <v>EFREN ESTUARDO LOPEZ GARCIA46285</v>
      </c>
      <c r="H329" s="61" t="s">
        <v>102</v>
      </c>
      <c r="I329" s="62" t="str">
        <f>+_xlfn.XLOOKUP($H329&amp;$V329,BASEDATOS!$B:$B,BASEDATOS!F:F,0,0,1)</f>
        <v>DESCANSO</v>
      </c>
      <c r="J329" s="63">
        <f>+_xlfn.XLOOKUP($H329&amp;$V329,BASEDATOS!$B:$B,BASEDATOS!Q:Q,0,0,1)</f>
        <v>0</v>
      </c>
      <c r="K329" s="63">
        <f>+_xlfn.XLOOKUP($H329&amp;$V329,BASEDATOS!$B:$B,BASEDATOS!R:R,0,0,1)</f>
        <v>0</v>
      </c>
      <c r="L329" s="63">
        <f t="shared" si="339"/>
        <v>0</v>
      </c>
      <c r="M329" s="64">
        <f t="shared" si="340"/>
        <v>0</v>
      </c>
      <c r="N329" s="63">
        <f t="shared" si="341"/>
        <v>0</v>
      </c>
      <c r="O329" s="65" t="str">
        <f t="shared" ref="O329" si="392">+IF(Y329="Domingo",SUM(AA323:AA329)&amp;"-"&amp;SUM(AB323:AB329)&amp;"-"&amp;SUM(AC323:AE329),"")</f>
        <v>5-0-2</v>
      </c>
      <c r="P329" s="66">
        <f>+IF(AND(Y329="Domingo",U329=7),_xlfn.XLOOKUP(O329,'Horarios y Sistemas'!C:C,'Horarios y Sistemas'!H:H,0,0,1),0)</f>
        <v>44</v>
      </c>
      <c r="Q329" s="66">
        <f>IF(U329=U330,0,IF(AVERAGEIF(W:W,W329,U:U)=U329,0,_xlfn.XLOOKUP(O329,'Horarios y Sistemas'!C:C,'Horarios y Sistemas'!H:H,0,0,1)-P329))/7*U329</f>
        <v>0</v>
      </c>
      <c r="R329" s="66">
        <f t="shared" si="343"/>
        <v>44</v>
      </c>
      <c r="S329" s="67" t="str">
        <f t="shared" si="344"/>
        <v>SEPTIEMBRE</v>
      </c>
      <c r="T329" s="55" t="str">
        <f t="shared" si="345"/>
        <v>Sem38</v>
      </c>
      <c r="U329" s="68">
        <f t="shared" si="391"/>
        <v>7</v>
      </c>
      <c r="V329" s="69">
        <v>46285</v>
      </c>
      <c r="W329" s="68">
        <f t="shared" si="346"/>
        <v>38</v>
      </c>
      <c r="X329" s="68">
        <f t="shared" si="347"/>
        <v>20</v>
      </c>
      <c r="Y329" s="68" t="s">
        <v>34</v>
      </c>
      <c r="Z329" s="68">
        <v>7</v>
      </c>
      <c r="AA329" s="70">
        <f t="shared" si="333"/>
        <v>0</v>
      </c>
      <c r="AB329" s="70">
        <f t="shared" si="333"/>
        <v>0</v>
      </c>
      <c r="AC329" s="70">
        <f t="shared" si="333"/>
        <v>1</v>
      </c>
      <c r="AD329" s="70">
        <f t="shared" si="333"/>
        <v>0</v>
      </c>
      <c r="AE329" s="70">
        <f t="shared" si="333"/>
        <v>0</v>
      </c>
      <c r="AF329" s="71"/>
      <c r="AG329" s="71"/>
      <c r="AH329" s="71"/>
    </row>
    <row r="330" spans="2:34">
      <c r="B330" t="str">
        <f t="shared" si="334"/>
        <v>Sem3939EFREN ESTUARDO LOPEZ GARCIA</v>
      </c>
      <c r="C330" t="str">
        <f t="shared" si="335"/>
        <v>SEPTIEMBRESem39</v>
      </c>
      <c r="D330" t="str">
        <f t="shared" si="336"/>
        <v>SEPTIEMBRESem39EFREN ESTUARDO LOPEZ GARCIA</v>
      </c>
      <c r="E330" t="str">
        <f t="shared" si="337"/>
        <v>SEPTIEMBRESem3939EFREN ESTUARDO LOPEZ GARCIA</v>
      </c>
      <c r="F330" t="str">
        <f t="shared" si="338"/>
        <v>EFREN ESTUARDO LOPEZ GARCIA46286</v>
      </c>
      <c r="H330" s="49" t="s">
        <v>102</v>
      </c>
      <c r="I330" s="50" t="str">
        <f>+_xlfn.XLOOKUP($H330&amp;$V330,BASEDATOS!$B:$B,BASEDATOS!F:F,0,0,1)</f>
        <v>DIA</v>
      </c>
      <c r="J330" s="51">
        <f>+_xlfn.XLOOKUP($H330&amp;$V330,BASEDATOS!$B:$B,BASEDATOS!Q:Q,0,0,1)</f>
        <v>0.25</v>
      </c>
      <c r="K330" s="51">
        <f>+_xlfn.XLOOKUP($H330&amp;$V330,BASEDATOS!$B:$B,BASEDATOS!R:R,0,0,1)</f>
        <v>0.75</v>
      </c>
      <c r="L330" s="51">
        <f t="shared" si="339"/>
        <v>0.5</v>
      </c>
      <c r="M330" s="52" t="str">
        <f t="shared" si="340"/>
        <v>1:00</v>
      </c>
      <c r="N330" s="51">
        <f t="shared" si="341"/>
        <v>0.45833333333333331</v>
      </c>
      <c r="O330" s="53" t="str">
        <f t="shared" ref="O330" si="393">+O336</f>
        <v>1-0-6</v>
      </c>
      <c r="P330" s="54">
        <f>+IF(AND(Y330="Domingo",U330=7),_xlfn.XLOOKUP(O330,'Horarios y Sistemas'!C:C,'Horarios y Sistemas'!H:H,0,0,1),0)</f>
        <v>0</v>
      </c>
      <c r="Q330" s="54">
        <f>IF(U330=U331,0,IF(AVERAGEIF(W:W,W330,U:U)=U330,0,_xlfn.XLOOKUP(O330,'Horarios y Sistemas'!C:C,'Horarios y Sistemas'!H:H,0,0,1)-P330))/7*U330</f>
        <v>0</v>
      </c>
      <c r="R330" s="54">
        <f t="shared" si="343"/>
        <v>0</v>
      </c>
      <c r="S330" s="55" t="str">
        <f t="shared" si="344"/>
        <v>SEPTIEMBRE</v>
      </c>
      <c r="T330" s="55" t="str">
        <f t="shared" si="345"/>
        <v>Sem39</v>
      </c>
      <c r="U330" s="56">
        <f t="shared" si="391"/>
        <v>7</v>
      </c>
      <c r="V330" s="59">
        <v>46286</v>
      </c>
      <c r="W330" s="56">
        <f t="shared" si="346"/>
        <v>39</v>
      </c>
      <c r="X330" s="56">
        <f t="shared" si="347"/>
        <v>21</v>
      </c>
      <c r="Y330" s="56" t="s">
        <v>28</v>
      </c>
      <c r="Z330" s="56">
        <v>1</v>
      </c>
      <c r="AA330" s="58">
        <f t="shared" si="333"/>
        <v>1</v>
      </c>
      <c r="AB330" s="58">
        <f t="shared" si="333"/>
        <v>0</v>
      </c>
      <c r="AC330" s="58">
        <f t="shared" si="333"/>
        <v>0</v>
      </c>
      <c r="AD330" s="58">
        <f t="shared" si="333"/>
        <v>0</v>
      </c>
      <c r="AE330" s="58">
        <f t="shared" si="333"/>
        <v>0</v>
      </c>
    </row>
    <row r="331" spans="2:34">
      <c r="B331" t="str">
        <f t="shared" si="334"/>
        <v>Sem3939EFREN ESTUARDO LOPEZ GARCIA</v>
      </c>
      <c r="C331" t="str">
        <f t="shared" si="335"/>
        <v>SEPTIEMBRESem39</v>
      </c>
      <c r="D331" t="str">
        <f t="shared" si="336"/>
        <v>SEPTIEMBRESem39EFREN ESTUARDO LOPEZ GARCIA</v>
      </c>
      <c r="E331" t="str">
        <f t="shared" si="337"/>
        <v>SEPTIEMBRESem3939EFREN ESTUARDO LOPEZ GARCIA</v>
      </c>
      <c r="F331" t="str">
        <f t="shared" si="338"/>
        <v>EFREN ESTUARDO LOPEZ GARCIA46287</v>
      </c>
      <c r="H331" s="49" t="s">
        <v>102</v>
      </c>
      <c r="I331" s="50" t="str">
        <f>+_xlfn.XLOOKUP($H331&amp;$V331,BASEDATOS!$B:$B,BASEDATOS!F:F,0,0,1)</f>
        <v>DESCANSO</v>
      </c>
      <c r="J331" s="51">
        <f>+_xlfn.XLOOKUP($H331&amp;$V331,BASEDATOS!$B:$B,BASEDATOS!Q:Q,0,0,1)</f>
        <v>0</v>
      </c>
      <c r="K331" s="51">
        <f>+_xlfn.XLOOKUP($H331&amp;$V331,BASEDATOS!$B:$B,BASEDATOS!R:R,0,0,1)</f>
        <v>0</v>
      </c>
      <c r="L331" s="51">
        <f t="shared" si="339"/>
        <v>0</v>
      </c>
      <c r="M331" s="52">
        <f t="shared" si="340"/>
        <v>0</v>
      </c>
      <c r="N331" s="51">
        <f t="shared" si="341"/>
        <v>0</v>
      </c>
      <c r="O331" s="53" t="str">
        <f t="shared" ref="O331" si="394">+O336</f>
        <v>1-0-6</v>
      </c>
      <c r="P331" s="54">
        <f>+IF(AND(Y331="Domingo",U331=7),_xlfn.XLOOKUP(O331,'Horarios y Sistemas'!C:C,'Horarios y Sistemas'!H:H,0,0,1),0)</f>
        <v>0</v>
      </c>
      <c r="Q331" s="54">
        <f>IF(U331=U332,0,IF(AVERAGEIF(W:W,W331,U:U)=U331,0,_xlfn.XLOOKUP(O331,'Horarios y Sistemas'!C:C,'Horarios y Sistemas'!H:H,0,0,1)-P331))/7*U331</f>
        <v>0</v>
      </c>
      <c r="R331" s="54">
        <f t="shared" si="343"/>
        <v>0</v>
      </c>
      <c r="S331" s="55" t="str">
        <f t="shared" si="344"/>
        <v>SEPTIEMBRE</v>
      </c>
      <c r="T331" s="55" t="str">
        <f t="shared" si="345"/>
        <v>Sem39</v>
      </c>
      <c r="U331" s="56">
        <f t="shared" si="391"/>
        <v>7</v>
      </c>
      <c r="V331" s="59">
        <v>46287</v>
      </c>
      <c r="W331" s="56">
        <f t="shared" si="346"/>
        <v>39</v>
      </c>
      <c r="X331" s="56">
        <f t="shared" si="347"/>
        <v>22</v>
      </c>
      <c r="Y331" s="56" t="s">
        <v>29</v>
      </c>
      <c r="Z331" s="56">
        <v>2</v>
      </c>
      <c r="AA331" s="58">
        <f t="shared" si="333"/>
        <v>0</v>
      </c>
      <c r="AB331" s="58">
        <f t="shared" si="333"/>
        <v>0</v>
      </c>
      <c r="AC331" s="58">
        <f t="shared" si="333"/>
        <v>1</v>
      </c>
      <c r="AD331" s="58">
        <f t="shared" si="333"/>
        <v>0</v>
      </c>
      <c r="AE331" s="58">
        <f t="shared" si="333"/>
        <v>0</v>
      </c>
    </row>
    <row r="332" spans="2:34">
      <c r="B332" t="str">
        <f t="shared" si="334"/>
        <v>Sem3939EFREN ESTUARDO LOPEZ GARCIA</v>
      </c>
      <c r="C332" t="str">
        <f t="shared" si="335"/>
        <v>SEPTIEMBRESem39</v>
      </c>
      <c r="D332" t="str">
        <f t="shared" si="336"/>
        <v>SEPTIEMBRESem39EFREN ESTUARDO LOPEZ GARCIA</v>
      </c>
      <c r="E332" t="str">
        <f t="shared" si="337"/>
        <v>SEPTIEMBRESem3939EFREN ESTUARDO LOPEZ GARCIA</v>
      </c>
      <c r="F332" t="str">
        <f t="shared" si="338"/>
        <v>EFREN ESTUARDO LOPEZ GARCIA46288</v>
      </c>
      <c r="H332" s="49" t="s">
        <v>102</v>
      </c>
      <c r="I332" s="50" t="str">
        <f>+_xlfn.XLOOKUP($H332&amp;$V332,BASEDATOS!$B:$B,BASEDATOS!F:F,0,0,1)</f>
        <v>DESCANSO</v>
      </c>
      <c r="J332" s="51">
        <f>+_xlfn.XLOOKUP($H332&amp;$V332,BASEDATOS!$B:$B,BASEDATOS!Q:Q,0,0,1)</f>
        <v>0</v>
      </c>
      <c r="K332" s="51">
        <f>+_xlfn.XLOOKUP($H332&amp;$V332,BASEDATOS!$B:$B,BASEDATOS!R:R,0,0,1)</f>
        <v>0</v>
      </c>
      <c r="L332" s="51">
        <f t="shared" si="339"/>
        <v>0</v>
      </c>
      <c r="M332" s="52">
        <f t="shared" si="340"/>
        <v>0</v>
      </c>
      <c r="N332" s="51">
        <f t="shared" si="341"/>
        <v>0</v>
      </c>
      <c r="O332" s="53" t="str">
        <f t="shared" ref="O332" si="395">+O336</f>
        <v>1-0-6</v>
      </c>
      <c r="P332" s="54">
        <f>+IF(AND(Y332="Domingo",U332=7),_xlfn.XLOOKUP(O332,'Horarios y Sistemas'!C:C,'Horarios y Sistemas'!H:H,0,0,1),0)</f>
        <v>0</v>
      </c>
      <c r="Q332" s="54">
        <f>IF(U332=U333,0,IF(AVERAGEIF(W:W,W332,U:U)=U332,0,_xlfn.XLOOKUP(O332,'Horarios y Sistemas'!C:C,'Horarios y Sistemas'!H:H,0,0,1)-P332))/7*U332</f>
        <v>0</v>
      </c>
      <c r="R332" s="54">
        <f t="shared" si="343"/>
        <v>0</v>
      </c>
      <c r="S332" s="55" t="str">
        <f t="shared" si="344"/>
        <v>SEPTIEMBRE</v>
      </c>
      <c r="T332" s="55" t="str">
        <f t="shared" si="345"/>
        <v>Sem39</v>
      </c>
      <c r="U332" s="56">
        <f t="shared" si="391"/>
        <v>7</v>
      </c>
      <c r="V332" s="59">
        <v>46288</v>
      </c>
      <c r="W332" s="56">
        <f t="shared" si="346"/>
        <v>39</v>
      </c>
      <c r="X332" s="56">
        <f t="shared" si="347"/>
        <v>23</v>
      </c>
      <c r="Y332" s="56" t="s">
        <v>30</v>
      </c>
      <c r="Z332" s="56">
        <v>3</v>
      </c>
      <c r="AA332" s="58">
        <f t="shared" si="333"/>
        <v>0</v>
      </c>
      <c r="AB332" s="58">
        <f t="shared" si="333"/>
        <v>0</v>
      </c>
      <c r="AC332" s="58">
        <f t="shared" si="333"/>
        <v>1</v>
      </c>
      <c r="AD332" s="58">
        <f t="shared" si="333"/>
        <v>0</v>
      </c>
      <c r="AE332" s="58">
        <f t="shared" si="333"/>
        <v>0</v>
      </c>
    </row>
    <row r="333" spans="2:34">
      <c r="B333" t="str">
        <f t="shared" si="334"/>
        <v>Sem3939EFREN ESTUARDO LOPEZ GARCIA</v>
      </c>
      <c r="C333" t="str">
        <f t="shared" si="335"/>
        <v>SEPTIEMBRESem39</v>
      </c>
      <c r="D333" t="str">
        <f t="shared" si="336"/>
        <v>SEPTIEMBRESem39EFREN ESTUARDO LOPEZ GARCIA</v>
      </c>
      <c r="E333" t="str">
        <f t="shared" si="337"/>
        <v>SEPTIEMBRESem3939EFREN ESTUARDO LOPEZ GARCIA</v>
      </c>
      <c r="F333" t="str">
        <f t="shared" si="338"/>
        <v>EFREN ESTUARDO LOPEZ GARCIA46289</v>
      </c>
      <c r="H333" s="49" t="s">
        <v>102</v>
      </c>
      <c r="I333" s="50" t="str">
        <f>+_xlfn.XLOOKUP($H333&amp;$V333,BASEDATOS!$B:$B,BASEDATOS!F:F,0,0,1)</f>
        <v>DESCANSO</v>
      </c>
      <c r="J333" s="51">
        <f>+_xlfn.XLOOKUP($H333&amp;$V333,BASEDATOS!$B:$B,BASEDATOS!Q:Q,0,0,1)</f>
        <v>0</v>
      </c>
      <c r="K333" s="51">
        <f>+_xlfn.XLOOKUP($H333&amp;$V333,BASEDATOS!$B:$B,BASEDATOS!R:R,0,0,1)</f>
        <v>0</v>
      </c>
      <c r="L333" s="51">
        <f t="shared" si="339"/>
        <v>0</v>
      </c>
      <c r="M333" s="52">
        <f t="shared" si="340"/>
        <v>0</v>
      </c>
      <c r="N333" s="51">
        <f t="shared" si="341"/>
        <v>0</v>
      </c>
      <c r="O333" s="53" t="str">
        <f t="shared" ref="O333" si="396">+O336</f>
        <v>1-0-6</v>
      </c>
      <c r="P333" s="54">
        <f>+IF(AND(Y333="Domingo",U333=7),_xlfn.XLOOKUP(O333,'Horarios y Sistemas'!C:C,'Horarios y Sistemas'!H:H,0,0,1),0)</f>
        <v>0</v>
      </c>
      <c r="Q333" s="54">
        <f>IF(U333=U334,0,IF(AVERAGEIF(W:W,W333,U:U)=U333,0,_xlfn.XLOOKUP(O333,'Horarios y Sistemas'!C:C,'Horarios y Sistemas'!H:H,0,0,1)-P333))/7*U333</f>
        <v>0</v>
      </c>
      <c r="R333" s="54">
        <f t="shared" si="343"/>
        <v>0</v>
      </c>
      <c r="S333" s="55" t="str">
        <f t="shared" si="344"/>
        <v>SEPTIEMBRE</v>
      </c>
      <c r="T333" s="55" t="str">
        <f t="shared" si="345"/>
        <v>Sem39</v>
      </c>
      <c r="U333" s="56">
        <f t="shared" si="391"/>
        <v>7</v>
      </c>
      <c r="V333" s="59">
        <v>46289</v>
      </c>
      <c r="W333" s="56">
        <f t="shared" si="346"/>
        <v>39</v>
      </c>
      <c r="X333" s="56">
        <f t="shared" si="347"/>
        <v>24</v>
      </c>
      <c r="Y333" s="56" t="s">
        <v>31</v>
      </c>
      <c r="Z333" s="56">
        <v>4</v>
      </c>
      <c r="AA333" s="58">
        <f t="shared" si="333"/>
        <v>0</v>
      </c>
      <c r="AB333" s="58">
        <f t="shared" si="333"/>
        <v>0</v>
      </c>
      <c r="AC333" s="58">
        <f t="shared" si="333"/>
        <v>1</v>
      </c>
      <c r="AD333" s="58">
        <f t="shared" si="333"/>
        <v>0</v>
      </c>
      <c r="AE333" s="58">
        <f t="shared" si="333"/>
        <v>0</v>
      </c>
    </row>
    <row r="334" spans="2:34">
      <c r="B334" t="str">
        <f t="shared" si="334"/>
        <v>Sem3939EFREN ESTUARDO LOPEZ GARCIA</v>
      </c>
      <c r="C334" t="str">
        <f t="shared" si="335"/>
        <v>SEPTIEMBRESem39</v>
      </c>
      <c r="D334" t="str">
        <f t="shared" si="336"/>
        <v>SEPTIEMBRESem39EFREN ESTUARDO LOPEZ GARCIA</v>
      </c>
      <c r="E334" t="str">
        <f t="shared" si="337"/>
        <v>SEPTIEMBRESem3939EFREN ESTUARDO LOPEZ GARCIA</v>
      </c>
      <c r="F334" t="str">
        <f t="shared" si="338"/>
        <v>EFREN ESTUARDO LOPEZ GARCIA46290</v>
      </c>
      <c r="H334" s="49" t="s">
        <v>102</v>
      </c>
      <c r="I334" s="50" t="str">
        <f>+_xlfn.XLOOKUP($H334&amp;$V334,BASEDATOS!$B:$B,BASEDATOS!F:F,0,0,1)</f>
        <v>DESCANSO</v>
      </c>
      <c r="J334" s="51">
        <f>+_xlfn.XLOOKUP($H334&amp;$V334,BASEDATOS!$B:$B,BASEDATOS!Q:Q,0,0,1)</f>
        <v>0</v>
      </c>
      <c r="K334" s="51">
        <f>+_xlfn.XLOOKUP($H334&amp;$V334,BASEDATOS!$B:$B,BASEDATOS!R:R,0,0,1)</f>
        <v>0</v>
      </c>
      <c r="L334" s="51">
        <f t="shared" si="339"/>
        <v>0</v>
      </c>
      <c r="M334" s="52">
        <f t="shared" si="340"/>
        <v>0</v>
      </c>
      <c r="N334" s="51">
        <f t="shared" si="341"/>
        <v>0</v>
      </c>
      <c r="O334" s="53" t="str">
        <f t="shared" ref="O334" si="397">+O336</f>
        <v>1-0-6</v>
      </c>
      <c r="P334" s="54">
        <f>+IF(AND(Y334="Domingo",U334=7),_xlfn.XLOOKUP(O334,'Horarios y Sistemas'!C:C,'Horarios y Sistemas'!H:H,0,0,1),0)</f>
        <v>0</v>
      </c>
      <c r="Q334" s="54">
        <f>IF(U334=U335,0,IF(AVERAGEIF(W:W,W334,U:U)=U334,0,_xlfn.XLOOKUP(O334,'Horarios y Sistemas'!C:C,'Horarios y Sistemas'!H:H,0,0,1)-P334))/7*U334</f>
        <v>0</v>
      </c>
      <c r="R334" s="54">
        <f t="shared" si="343"/>
        <v>0</v>
      </c>
      <c r="S334" s="55" t="str">
        <f t="shared" si="344"/>
        <v>SEPTIEMBRE</v>
      </c>
      <c r="T334" s="55" t="str">
        <f t="shared" si="345"/>
        <v>Sem39</v>
      </c>
      <c r="U334" s="56">
        <f t="shared" si="391"/>
        <v>7</v>
      </c>
      <c r="V334" s="59">
        <v>46290</v>
      </c>
      <c r="W334" s="56">
        <f t="shared" si="346"/>
        <v>39</v>
      </c>
      <c r="X334" s="56">
        <f t="shared" si="347"/>
        <v>25</v>
      </c>
      <c r="Y334" s="56" t="s">
        <v>32</v>
      </c>
      <c r="Z334" s="56">
        <v>5</v>
      </c>
      <c r="AA334" s="58">
        <f t="shared" si="333"/>
        <v>0</v>
      </c>
      <c r="AB334" s="58">
        <f t="shared" si="333"/>
        <v>0</v>
      </c>
      <c r="AC334" s="58">
        <f t="shared" si="333"/>
        <v>1</v>
      </c>
      <c r="AD334" s="58">
        <f t="shared" si="333"/>
        <v>0</v>
      </c>
      <c r="AE334" s="58">
        <f t="shared" si="333"/>
        <v>0</v>
      </c>
    </row>
    <row r="335" spans="2:34">
      <c r="B335" t="str">
        <f t="shared" si="334"/>
        <v>Sem3939EFREN ESTUARDO LOPEZ GARCIA</v>
      </c>
      <c r="C335" t="str">
        <f t="shared" si="335"/>
        <v>SEPTIEMBRESem39</v>
      </c>
      <c r="D335" t="str">
        <f t="shared" si="336"/>
        <v>SEPTIEMBRESem39EFREN ESTUARDO LOPEZ GARCIA</v>
      </c>
      <c r="E335" t="str">
        <f t="shared" si="337"/>
        <v>SEPTIEMBRESem3939EFREN ESTUARDO LOPEZ GARCIA</v>
      </c>
      <c r="F335" t="str">
        <f t="shared" si="338"/>
        <v>EFREN ESTUARDO LOPEZ GARCIA46291</v>
      </c>
      <c r="H335" s="49" t="s">
        <v>102</v>
      </c>
      <c r="I335" s="50" t="str">
        <f>+_xlfn.XLOOKUP($H335&amp;$V335,BASEDATOS!$B:$B,BASEDATOS!F:F,0,0,1)</f>
        <v>DESCANSO</v>
      </c>
      <c r="J335" s="51">
        <f>+_xlfn.XLOOKUP($H335&amp;$V335,BASEDATOS!$B:$B,BASEDATOS!Q:Q,0,0,1)</f>
        <v>0</v>
      </c>
      <c r="K335" s="51">
        <f>+_xlfn.XLOOKUP($H335&amp;$V335,BASEDATOS!$B:$B,BASEDATOS!R:R,0,0,1)</f>
        <v>0</v>
      </c>
      <c r="L335" s="51">
        <f t="shared" si="339"/>
        <v>0</v>
      </c>
      <c r="M335" s="52">
        <f t="shared" si="340"/>
        <v>0</v>
      </c>
      <c r="N335" s="51">
        <f t="shared" si="341"/>
        <v>0</v>
      </c>
      <c r="O335" s="53" t="str">
        <f t="shared" ref="O335" si="398">+O336</f>
        <v>1-0-6</v>
      </c>
      <c r="P335" s="54">
        <f>+IF(AND(Y335="Domingo",U335=7),_xlfn.XLOOKUP(O335,'Horarios y Sistemas'!C:C,'Horarios y Sistemas'!H:H,0,0,1),0)</f>
        <v>0</v>
      </c>
      <c r="Q335" s="54">
        <f>IF(U335=U336,0,IF(AVERAGEIF(W:W,W335,U:U)=U335,0,_xlfn.XLOOKUP(O335,'Horarios y Sistemas'!C:C,'Horarios y Sistemas'!H:H,0,0,1)-P335))/7*U335</f>
        <v>0</v>
      </c>
      <c r="R335" s="54">
        <f t="shared" si="343"/>
        <v>0</v>
      </c>
      <c r="S335" s="55" t="str">
        <f t="shared" si="344"/>
        <v>SEPTIEMBRE</v>
      </c>
      <c r="T335" s="55" t="str">
        <f t="shared" si="345"/>
        <v>Sem39</v>
      </c>
      <c r="U335" s="56">
        <f t="shared" si="391"/>
        <v>7</v>
      </c>
      <c r="V335" s="59">
        <v>46291</v>
      </c>
      <c r="W335" s="56">
        <f t="shared" si="346"/>
        <v>39</v>
      </c>
      <c r="X335" s="56">
        <f t="shared" si="347"/>
        <v>26</v>
      </c>
      <c r="Y335" s="56" t="s">
        <v>33</v>
      </c>
      <c r="Z335" s="56">
        <v>6</v>
      </c>
      <c r="AA335" s="58">
        <f t="shared" ref="AA335:AE385" si="399">+IF($I335=AA$7,1,0)</f>
        <v>0</v>
      </c>
      <c r="AB335" s="58">
        <f t="shared" si="399"/>
        <v>0</v>
      </c>
      <c r="AC335" s="58">
        <f t="shared" si="399"/>
        <v>1</v>
      </c>
      <c r="AD335" s="58">
        <f t="shared" si="399"/>
        <v>0</v>
      </c>
      <c r="AE335" s="58">
        <f t="shared" si="399"/>
        <v>0</v>
      </c>
    </row>
    <row r="336" spans="2:34" s="60" customFormat="1">
      <c r="B336" s="60" t="str">
        <f t="shared" si="334"/>
        <v>Sem3939EFREN ESTUARDO LOPEZ GARCIA</v>
      </c>
      <c r="C336" s="60" t="str">
        <f t="shared" si="335"/>
        <v>SEPTIEMBRESem39</v>
      </c>
      <c r="D336" s="60" t="str">
        <f t="shared" si="336"/>
        <v>SEPTIEMBRESem39EFREN ESTUARDO LOPEZ GARCIA</v>
      </c>
      <c r="E336" s="60" t="str">
        <f t="shared" si="337"/>
        <v>SEPTIEMBRESem3939EFREN ESTUARDO LOPEZ GARCIA</v>
      </c>
      <c r="F336" s="60" t="str">
        <f t="shared" si="338"/>
        <v>EFREN ESTUARDO LOPEZ GARCIA46292</v>
      </c>
      <c r="H336" s="61" t="s">
        <v>102</v>
      </c>
      <c r="I336" s="62" t="str">
        <f>+_xlfn.XLOOKUP($H336&amp;$V336,BASEDATOS!$B:$B,BASEDATOS!F:F,0,0,1)</f>
        <v>DESCANSO</v>
      </c>
      <c r="J336" s="63">
        <f>+_xlfn.XLOOKUP($H336&amp;$V336,BASEDATOS!$B:$B,BASEDATOS!Q:Q,0,0,1)</f>
        <v>0</v>
      </c>
      <c r="K336" s="63">
        <f>+_xlfn.XLOOKUP($H336&amp;$V336,BASEDATOS!$B:$B,BASEDATOS!R:R,0,0,1)</f>
        <v>0</v>
      </c>
      <c r="L336" s="63">
        <f t="shared" si="339"/>
        <v>0</v>
      </c>
      <c r="M336" s="64">
        <f t="shared" si="340"/>
        <v>0</v>
      </c>
      <c r="N336" s="63">
        <f t="shared" si="341"/>
        <v>0</v>
      </c>
      <c r="O336" s="65" t="str">
        <f t="shared" ref="O336" si="400">+IF(Y336="Domingo",SUM(AA330:AA336)&amp;"-"&amp;SUM(AB330:AB336)&amp;"-"&amp;SUM(AC330:AE336),"")</f>
        <v>1-0-6</v>
      </c>
      <c r="P336" s="66">
        <f>+IF(AND(Y336="Domingo",U336=7),_xlfn.XLOOKUP(O336,'Horarios y Sistemas'!C:C,'Horarios y Sistemas'!H:H,0,0,1),0)</f>
        <v>44</v>
      </c>
      <c r="Q336" s="66">
        <f>IF(U336=U337,0,IF(AVERAGEIF(W:W,W336,U:U)=U336,0,_xlfn.XLOOKUP(O336,'Horarios y Sistemas'!C:C,'Horarios y Sistemas'!H:H,0,0,1)-P336))/7*U336</f>
        <v>0</v>
      </c>
      <c r="R336" s="66">
        <f t="shared" si="343"/>
        <v>44</v>
      </c>
      <c r="S336" s="67" t="str">
        <f t="shared" si="344"/>
        <v>SEPTIEMBRE</v>
      </c>
      <c r="T336" s="55" t="str">
        <f t="shared" si="345"/>
        <v>Sem39</v>
      </c>
      <c r="U336" s="68">
        <f t="shared" si="391"/>
        <v>7</v>
      </c>
      <c r="V336" s="69">
        <v>46292</v>
      </c>
      <c r="W336" s="68">
        <f t="shared" si="346"/>
        <v>39</v>
      </c>
      <c r="X336" s="68">
        <f t="shared" si="347"/>
        <v>27</v>
      </c>
      <c r="Y336" s="68" t="s">
        <v>34</v>
      </c>
      <c r="Z336" s="68">
        <v>7</v>
      </c>
      <c r="AA336" s="70">
        <f t="shared" si="399"/>
        <v>0</v>
      </c>
      <c r="AB336" s="70">
        <f t="shared" si="399"/>
        <v>0</v>
      </c>
      <c r="AC336" s="70">
        <f t="shared" si="399"/>
        <v>1</v>
      </c>
      <c r="AD336" s="70">
        <f t="shared" si="399"/>
        <v>0</v>
      </c>
      <c r="AE336" s="70">
        <f t="shared" si="399"/>
        <v>0</v>
      </c>
      <c r="AF336" s="71"/>
      <c r="AG336" s="71"/>
      <c r="AH336" s="71"/>
    </row>
    <row r="337" spans="2:34">
      <c r="B337" t="str">
        <f t="shared" si="334"/>
        <v>Sem4040EFREN ESTUARDO LOPEZ GARCIA</v>
      </c>
      <c r="C337" t="str">
        <f t="shared" si="335"/>
        <v>SEPTIEMBRESem40</v>
      </c>
      <c r="D337" t="str">
        <f t="shared" si="336"/>
        <v>SEPTIEMBRESem40EFREN ESTUARDO LOPEZ GARCIA</v>
      </c>
      <c r="E337" t="str">
        <f t="shared" si="337"/>
        <v>SEPTIEMBRESem4040EFREN ESTUARDO LOPEZ GARCIA</v>
      </c>
      <c r="F337" t="str">
        <f t="shared" si="338"/>
        <v>EFREN ESTUARDO LOPEZ GARCIA46293</v>
      </c>
      <c r="H337" s="49" t="s">
        <v>102</v>
      </c>
      <c r="I337" s="50" t="str">
        <f>+_xlfn.XLOOKUP($H337&amp;$V337,BASEDATOS!$B:$B,BASEDATOS!F:F,0,0,1)</f>
        <v>DIA</v>
      </c>
      <c r="J337" s="51">
        <f>+_xlfn.XLOOKUP($H337&amp;$V337,BASEDATOS!$B:$B,BASEDATOS!Q:Q,0,0,1)</f>
        <v>0.25</v>
      </c>
      <c r="K337" s="51">
        <f>+_xlfn.XLOOKUP($H337&amp;$V337,BASEDATOS!$B:$B,BASEDATOS!R:R,0,0,1)</f>
        <v>0.75</v>
      </c>
      <c r="L337" s="51">
        <f t="shared" si="339"/>
        <v>0.5</v>
      </c>
      <c r="M337" s="52" t="str">
        <f t="shared" si="340"/>
        <v>1:00</v>
      </c>
      <c r="N337" s="51">
        <f t="shared" si="341"/>
        <v>0.45833333333333331</v>
      </c>
      <c r="O337" s="53" t="str">
        <f t="shared" ref="O337" si="401">+O343</f>
        <v>5-1-1</v>
      </c>
      <c r="P337" s="54">
        <f>+IF(AND(Y337="Domingo",U337=7),_xlfn.XLOOKUP(O337,'Horarios y Sistemas'!C:C,'Horarios y Sistemas'!H:H,0,0,1),0)</f>
        <v>0</v>
      </c>
      <c r="Q337" s="54">
        <f>IF(U337=U338,0,IF(AVERAGEIF(W:W,W337,U:U)=U337,0,_xlfn.XLOOKUP(O337,'Horarios y Sistemas'!C:C,'Horarios y Sistemas'!H:H,0,0,1)-P337))/7*U337</f>
        <v>0</v>
      </c>
      <c r="R337" s="54">
        <f t="shared" si="343"/>
        <v>0</v>
      </c>
      <c r="S337" s="55" t="str">
        <f t="shared" si="344"/>
        <v>SEPTIEMBRE</v>
      </c>
      <c r="T337" s="55" t="str">
        <f t="shared" si="345"/>
        <v>Sem40</v>
      </c>
      <c r="U337" s="56">
        <f t="shared" si="391"/>
        <v>7</v>
      </c>
      <c r="V337" s="59">
        <v>46293</v>
      </c>
      <c r="W337" s="56">
        <f t="shared" si="346"/>
        <v>40</v>
      </c>
      <c r="X337" s="56">
        <f t="shared" si="347"/>
        <v>28</v>
      </c>
      <c r="Y337" s="56" t="s">
        <v>28</v>
      </c>
      <c r="Z337" s="56">
        <v>1</v>
      </c>
      <c r="AA337" s="58">
        <f t="shared" si="399"/>
        <v>1</v>
      </c>
      <c r="AB337" s="58">
        <f t="shared" si="399"/>
        <v>0</v>
      </c>
      <c r="AC337" s="58">
        <f t="shared" si="399"/>
        <v>0</v>
      </c>
      <c r="AD337" s="58">
        <f t="shared" si="399"/>
        <v>0</v>
      </c>
      <c r="AE337" s="58">
        <f t="shared" si="399"/>
        <v>0</v>
      </c>
    </row>
    <row r="338" spans="2:34">
      <c r="B338" t="str">
        <f t="shared" si="334"/>
        <v>Sem4040EFREN ESTUARDO LOPEZ GARCIA</v>
      </c>
      <c r="C338" t="str">
        <f t="shared" si="335"/>
        <v>SEPTIEMBRESem40</v>
      </c>
      <c r="D338" t="str">
        <f t="shared" si="336"/>
        <v>SEPTIEMBRESem40EFREN ESTUARDO LOPEZ GARCIA</v>
      </c>
      <c r="E338" t="str">
        <f t="shared" si="337"/>
        <v>SEPTIEMBRESem4040EFREN ESTUARDO LOPEZ GARCIA</v>
      </c>
      <c r="F338" t="str">
        <f t="shared" si="338"/>
        <v>EFREN ESTUARDO LOPEZ GARCIA46294</v>
      </c>
      <c r="H338" s="49" t="s">
        <v>102</v>
      </c>
      <c r="I338" s="50" t="str">
        <f>+_xlfn.XLOOKUP($H338&amp;$V338,BASEDATOS!$B:$B,BASEDATOS!F:F,0,0,1)</f>
        <v>DIA</v>
      </c>
      <c r="J338" s="51">
        <f>+_xlfn.XLOOKUP($H338&amp;$V338,BASEDATOS!$B:$B,BASEDATOS!Q:Q,0,0,1)</f>
        <v>0.25</v>
      </c>
      <c r="K338" s="51">
        <f>+_xlfn.XLOOKUP($H338&amp;$V338,BASEDATOS!$B:$B,BASEDATOS!R:R,0,0,1)</f>
        <v>0.75</v>
      </c>
      <c r="L338" s="51">
        <f t="shared" si="339"/>
        <v>0.5</v>
      </c>
      <c r="M338" s="52" t="str">
        <f t="shared" si="340"/>
        <v>1:00</v>
      </c>
      <c r="N338" s="51">
        <f t="shared" si="341"/>
        <v>0.45833333333333331</v>
      </c>
      <c r="O338" s="53" t="str">
        <f t="shared" ref="O338" si="402">+O343</f>
        <v>5-1-1</v>
      </c>
      <c r="P338" s="54">
        <f>+IF(AND(Y338="Domingo",U338=7),_xlfn.XLOOKUP(O338,'Horarios y Sistemas'!C:C,'Horarios y Sistemas'!H:H,0,0,1),0)</f>
        <v>0</v>
      </c>
      <c r="Q338" s="54">
        <f>IF(U338=U339,0,IF(AVERAGEIF(W:W,W338,U:U)=U338,0,_xlfn.XLOOKUP(O338,'Horarios y Sistemas'!C:C,'Horarios y Sistemas'!H:H,0,0,1)-P338))/7*U338</f>
        <v>0</v>
      </c>
      <c r="R338" s="54">
        <f t="shared" si="343"/>
        <v>0</v>
      </c>
      <c r="S338" s="55" t="str">
        <f t="shared" si="344"/>
        <v>SEPTIEMBRE</v>
      </c>
      <c r="T338" s="55" t="str">
        <f t="shared" si="345"/>
        <v>Sem40</v>
      </c>
      <c r="U338" s="56">
        <f t="shared" si="391"/>
        <v>7</v>
      </c>
      <c r="V338" s="59">
        <v>46294</v>
      </c>
      <c r="W338" s="56">
        <f t="shared" si="346"/>
        <v>40</v>
      </c>
      <c r="X338" s="56">
        <f t="shared" si="347"/>
        <v>29</v>
      </c>
      <c r="Y338" s="56" t="s">
        <v>29</v>
      </c>
      <c r="Z338" s="56">
        <v>2</v>
      </c>
      <c r="AA338" s="58">
        <f t="shared" si="399"/>
        <v>1</v>
      </c>
      <c r="AB338" s="58">
        <f t="shared" si="399"/>
        <v>0</v>
      </c>
      <c r="AC338" s="58">
        <f t="shared" si="399"/>
        <v>0</v>
      </c>
      <c r="AD338" s="58">
        <f t="shared" si="399"/>
        <v>0</v>
      </c>
      <c r="AE338" s="58">
        <f t="shared" si="399"/>
        <v>0</v>
      </c>
    </row>
    <row r="339" spans="2:34">
      <c r="B339" t="str">
        <f t="shared" si="334"/>
        <v>Sem4040EFREN ESTUARDO LOPEZ GARCIA</v>
      </c>
      <c r="C339" t="str">
        <f t="shared" si="335"/>
        <v>SEPTIEMBRESem40</v>
      </c>
      <c r="D339" t="str">
        <f t="shared" si="336"/>
        <v>SEPTIEMBRESem40EFREN ESTUARDO LOPEZ GARCIA</v>
      </c>
      <c r="E339" t="str">
        <f t="shared" si="337"/>
        <v>SEPTIEMBRESem4040EFREN ESTUARDO LOPEZ GARCIA</v>
      </c>
      <c r="F339" t="str">
        <f t="shared" si="338"/>
        <v>EFREN ESTUARDO LOPEZ GARCIA46295</v>
      </c>
      <c r="H339" s="49" t="s">
        <v>102</v>
      </c>
      <c r="I339" s="50" t="str">
        <f>+_xlfn.XLOOKUP($H339&amp;$V339,BASEDATOS!$B:$B,BASEDATOS!F:F,0,0,1)</f>
        <v>DIA</v>
      </c>
      <c r="J339" s="51">
        <f>+_xlfn.XLOOKUP($H339&amp;$V339,BASEDATOS!$B:$B,BASEDATOS!Q:Q,0,0,1)</f>
        <v>0.25</v>
      </c>
      <c r="K339" s="51">
        <f>+_xlfn.XLOOKUP($H339&amp;$V339,BASEDATOS!$B:$B,BASEDATOS!R:R,0,0,1)</f>
        <v>0.75</v>
      </c>
      <c r="L339" s="51">
        <f t="shared" si="339"/>
        <v>0.5</v>
      </c>
      <c r="M339" s="52" t="str">
        <f t="shared" si="340"/>
        <v>1:00</v>
      </c>
      <c r="N339" s="51">
        <f t="shared" si="341"/>
        <v>0.45833333333333331</v>
      </c>
      <c r="O339" s="53" t="str">
        <f t="shared" ref="O339" si="403">+O343</f>
        <v>5-1-1</v>
      </c>
      <c r="P339" s="54">
        <f>+IF(AND(Y339="Domingo",U339=7),_xlfn.XLOOKUP(O339,'Horarios y Sistemas'!C:C,'Horarios y Sistemas'!H:H,0,0,1),0)</f>
        <v>0</v>
      </c>
      <c r="Q339" s="54">
        <f>IF(U339=U340,0,IF(AVERAGEIF(W:W,W339,U:U)=U339,0,_xlfn.XLOOKUP(O339,'Horarios y Sistemas'!C:C,'Horarios y Sistemas'!H:H,0,0,1)-P339))/7*U339</f>
        <v>0</v>
      </c>
      <c r="R339" s="54">
        <f t="shared" si="343"/>
        <v>0</v>
      </c>
      <c r="S339" s="55" t="str">
        <f t="shared" si="344"/>
        <v>SEPTIEMBRE</v>
      </c>
      <c r="T339" s="55" t="str">
        <f t="shared" si="345"/>
        <v>Sem40</v>
      </c>
      <c r="U339" s="56">
        <f t="shared" si="391"/>
        <v>7</v>
      </c>
      <c r="V339" s="59">
        <v>46295</v>
      </c>
      <c r="W339" s="56">
        <f t="shared" si="346"/>
        <v>40</v>
      </c>
      <c r="X339" s="56">
        <f t="shared" si="347"/>
        <v>30</v>
      </c>
      <c r="Y339" s="56" t="s">
        <v>30</v>
      </c>
      <c r="Z339" s="56">
        <v>3</v>
      </c>
      <c r="AA339" s="58">
        <f t="shared" si="399"/>
        <v>1</v>
      </c>
      <c r="AB339" s="58">
        <f t="shared" si="399"/>
        <v>0</v>
      </c>
      <c r="AC339" s="58">
        <f t="shared" si="399"/>
        <v>0</v>
      </c>
      <c r="AD339" s="58">
        <f t="shared" si="399"/>
        <v>0</v>
      </c>
      <c r="AE339" s="58">
        <f t="shared" si="399"/>
        <v>0</v>
      </c>
    </row>
    <row r="340" spans="2:34">
      <c r="B340" t="str">
        <f t="shared" si="334"/>
        <v>Sem4040EFREN ESTUARDO LOPEZ GARCIA</v>
      </c>
      <c r="C340" t="str">
        <f t="shared" si="335"/>
        <v>OCTUBRESem40</v>
      </c>
      <c r="D340" t="str">
        <f t="shared" si="336"/>
        <v>OCTUBRESem40EFREN ESTUARDO LOPEZ GARCIA</v>
      </c>
      <c r="E340" t="str">
        <f t="shared" si="337"/>
        <v>OCTUBRESem4040EFREN ESTUARDO LOPEZ GARCIA</v>
      </c>
      <c r="F340" t="str">
        <f t="shared" si="338"/>
        <v>EFREN ESTUARDO LOPEZ GARCIA46296</v>
      </c>
      <c r="H340" s="49" t="s">
        <v>102</v>
      </c>
      <c r="I340" s="50" t="str">
        <f>+_xlfn.XLOOKUP($H340&amp;$V340,BASEDATOS!$B:$B,BASEDATOS!F:F,0,0,1)</f>
        <v>DIA</v>
      </c>
      <c r="J340" s="51">
        <f>+_xlfn.XLOOKUP($H340&amp;$V340,BASEDATOS!$B:$B,BASEDATOS!Q:Q,0,0,1)</f>
        <v>0.25</v>
      </c>
      <c r="K340" s="51">
        <f>+_xlfn.XLOOKUP($H340&amp;$V340,BASEDATOS!$B:$B,BASEDATOS!R:R,0,0,1)</f>
        <v>0.75</v>
      </c>
      <c r="L340" s="51">
        <f t="shared" si="339"/>
        <v>0.5</v>
      </c>
      <c r="M340" s="52" t="str">
        <f t="shared" si="340"/>
        <v>1:00</v>
      </c>
      <c r="N340" s="51">
        <f t="shared" si="341"/>
        <v>0.45833333333333331</v>
      </c>
      <c r="O340" s="53" t="str">
        <f t="shared" ref="O340" si="404">+O343</f>
        <v>5-1-1</v>
      </c>
      <c r="P340" s="54">
        <f>+IF(AND(Y340="Domingo",U340=7),_xlfn.XLOOKUP(O340,'Horarios y Sistemas'!C:C,'Horarios y Sistemas'!H:H,0,0,1),0)</f>
        <v>0</v>
      </c>
      <c r="Q340" s="54">
        <f>IF(U340=U341,0,IF(AVERAGEIF(W:W,W340,U:U)=U340,0,_xlfn.XLOOKUP(O340,'Horarios y Sistemas'!C:C,'Horarios y Sistemas'!H:H,0,0,1)-P340))/7*U340</f>
        <v>0</v>
      </c>
      <c r="R340" s="54">
        <f t="shared" si="343"/>
        <v>0</v>
      </c>
      <c r="S340" s="55" t="str">
        <f t="shared" si="344"/>
        <v>OCTUBRE</v>
      </c>
      <c r="T340" s="55" t="str">
        <f t="shared" si="345"/>
        <v>Sem40</v>
      </c>
      <c r="U340" s="56">
        <f t="shared" si="391"/>
        <v>7</v>
      </c>
      <c r="V340" s="59">
        <v>46296</v>
      </c>
      <c r="W340" s="56">
        <f t="shared" si="346"/>
        <v>40</v>
      </c>
      <c r="X340" s="56">
        <f t="shared" si="347"/>
        <v>1</v>
      </c>
      <c r="Y340" s="56" t="s">
        <v>31</v>
      </c>
      <c r="Z340" s="56">
        <v>4</v>
      </c>
      <c r="AA340" s="58">
        <f t="shared" si="399"/>
        <v>1</v>
      </c>
      <c r="AB340" s="58">
        <f t="shared" si="399"/>
        <v>0</v>
      </c>
      <c r="AC340" s="58">
        <f t="shared" si="399"/>
        <v>0</v>
      </c>
      <c r="AD340" s="58">
        <f t="shared" si="399"/>
        <v>0</v>
      </c>
      <c r="AE340" s="58">
        <f t="shared" si="399"/>
        <v>0</v>
      </c>
    </row>
    <row r="341" spans="2:34">
      <c r="B341" t="str">
        <f t="shared" si="334"/>
        <v>Sem4040EFREN ESTUARDO LOPEZ GARCIA</v>
      </c>
      <c r="C341" t="str">
        <f t="shared" si="335"/>
        <v>OCTUBRESem40</v>
      </c>
      <c r="D341" t="str">
        <f t="shared" si="336"/>
        <v>OCTUBRESem40EFREN ESTUARDO LOPEZ GARCIA</v>
      </c>
      <c r="E341" t="str">
        <f t="shared" si="337"/>
        <v>OCTUBRESem4040EFREN ESTUARDO LOPEZ GARCIA</v>
      </c>
      <c r="F341" t="str">
        <f t="shared" si="338"/>
        <v>EFREN ESTUARDO LOPEZ GARCIA46297</v>
      </c>
      <c r="H341" s="49" t="s">
        <v>102</v>
      </c>
      <c r="I341" s="50" t="str">
        <f>+_xlfn.XLOOKUP($H341&amp;$V341,BASEDATOS!$B:$B,BASEDATOS!F:F,0,0,1)</f>
        <v>DIA</v>
      </c>
      <c r="J341" s="51">
        <f>+_xlfn.XLOOKUP($H341&amp;$V341,BASEDATOS!$B:$B,BASEDATOS!Q:Q,0,0,1)</f>
        <v>0.25</v>
      </c>
      <c r="K341" s="51">
        <f>+_xlfn.XLOOKUP($H341&amp;$V341,BASEDATOS!$B:$B,BASEDATOS!R:R,0,0,1)</f>
        <v>0.75</v>
      </c>
      <c r="L341" s="51">
        <f t="shared" si="339"/>
        <v>0.5</v>
      </c>
      <c r="M341" s="52" t="str">
        <f t="shared" si="340"/>
        <v>1:00</v>
      </c>
      <c r="N341" s="51">
        <f t="shared" si="341"/>
        <v>0.45833333333333331</v>
      </c>
      <c r="O341" s="53" t="str">
        <f t="shared" ref="O341" si="405">+O343</f>
        <v>5-1-1</v>
      </c>
      <c r="P341" s="54">
        <f>+IF(AND(Y341="Domingo",U341=7),_xlfn.XLOOKUP(O341,'Horarios y Sistemas'!C:C,'Horarios y Sistemas'!H:H,0,0,1),0)</f>
        <v>0</v>
      </c>
      <c r="Q341" s="54">
        <f>IF(U341=U342,0,IF(AVERAGEIF(W:W,W341,U:U)=U341,0,_xlfn.XLOOKUP(O341,'Horarios y Sistemas'!C:C,'Horarios y Sistemas'!H:H,0,0,1)-P341))/7*U341</f>
        <v>0</v>
      </c>
      <c r="R341" s="54">
        <f t="shared" si="343"/>
        <v>0</v>
      </c>
      <c r="S341" s="55" t="str">
        <f t="shared" si="344"/>
        <v>OCTUBRE</v>
      </c>
      <c r="T341" s="55" t="str">
        <f t="shared" si="345"/>
        <v>Sem40</v>
      </c>
      <c r="U341" s="56">
        <f t="shared" si="391"/>
        <v>7</v>
      </c>
      <c r="V341" s="59">
        <v>46297</v>
      </c>
      <c r="W341" s="56">
        <f t="shared" si="346"/>
        <v>40</v>
      </c>
      <c r="X341" s="56">
        <f t="shared" si="347"/>
        <v>2</v>
      </c>
      <c r="Y341" s="56" t="s">
        <v>32</v>
      </c>
      <c r="Z341" s="56">
        <v>5</v>
      </c>
      <c r="AA341" s="58">
        <f t="shared" si="399"/>
        <v>1</v>
      </c>
      <c r="AB341" s="58">
        <f t="shared" si="399"/>
        <v>0</v>
      </c>
      <c r="AC341" s="58">
        <f t="shared" si="399"/>
        <v>0</v>
      </c>
      <c r="AD341" s="58">
        <f t="shared" si="399"/>
        <v>0</v>
      </c>
      <c r="AE341" s="58">
        <f t="shared" si="399"/>
        <v>0</v>
      </c>
    </row>
    <row r="342" spans="2:34">
      <c r="B342" t="str">
        <f t="shared" si="334"/>
        <v>Sem4040EFREN ESTUARDO LOPEZ GARCIA</v>
      </c>
      <c r="C342" t="str">
        <f t="shared" si="335"/>
        <v>OCTUBRESem40</v>
      </c>
      <c r="D342" t="str">
        <f t="shared" si="336"/>
        <v>OCTUBRESem40EFREN ESTUARDO LOPEZ GARCIA</v>
      </c>
      <c r="E342" t="str">
        <f t="shared" si="337"/>
        <v>OCTUBRESem4040EFREN ESTUARDO LOPEZ GARCIA</v>
      </c>
      <c r="F342" t="str">
        <f t="shared" si="338"/>
        <v>EFREN ESTUARDO LOPEZ GARCIA46298</v>
      </c>
      <c r="H342" s="49" t="s">
        <v>102</v>
      </c>
      <c r="I342" s="50" t="str">
        <f>+_xlfn.XLOOKUP($H342&amp;$V342,BASEDATOS!$B:$B,BASEDATOS!F:F,0,0,1)</f>
        <v>NOCHE</v>
      </c>
      <c r="J342" s="51">
        <f>+_xlfn.XLOOKUP($H342&amp;$V342,BASEDATOS!$B:$B,BASEDATOS!Q:Q,0,0,1)</f>
        <v>0.25</v>
      </c>
      <c r="K342" s="51">
        <f>+_xlfn.XLOOKUP($H342&amp;$V342,BASEDATOS!$B:$B,BASEDATOS!R:R,0,0,1)</f>
        <v>0.41666666666666702</v>
      </c>
      <c r="L342" s="51">
        <f t="shared" si="339"/>
        <v>0.16666666666666702</v>
      </c>
      <c r="M342" s="52" t="str">
        <f t="shared" si="340"/>
        <v>1:00</v>
      </c>
      <c r="N342" s="51">
        <f t="shared" si="341"/>
        <v>0.12500000000000036</v>
      </c>
      <c r="O342" s="53" t="str">
        <f t="shared" ref="O342" si="406">+O343</f>
        <v>5-1-1</v>
      </c>
      <c r="P342" s="54">
        <f>+IF(AND(Y342="Domingo",U342=7),_xlfn.XLOOKUP(O342,'Horarios y Sistemas'!C:C,'Horarios y Sistemas'!H:H,0,0,1),0)</f>
        <v>0</v>
      </c>
      <c r="Q342" s="54">
        <f>IF(U342=U343,0,IF(AVERAGEIF(W:W,W342,U:U)=U342,0,_xlfn.XLOOKUP(O342,'Horarios y Sistemas'!C:C,'Horarios y Sistemas'!H:H,0,0,1)-P342))/7*U342</f>
        <v>0</v>
      </c>
      <c r="R342" s="54">
        <f t="shared" si="343"/>
        <v>0</v>
      </c>
      <c r="S342" s="55" t="str">
        <f t="shared" si="344"/>
        <v>OCTUBRE</v>
      </c>
      <c r="T342" s="55" t="str">
        <f t="shared" si="345"/>
        <v>Sem40</v>
      </c>
      <c r="U342" s="56">
        <f t="shared" si="391"/>
        <v>7</v>
      </c>
      <c r="V342" s="59">
        <v>46298</v>
      </c>
      <c r="W342" s="56">
        <f t="shared" si="346"/>
        <v>40</v>
      </c>
      <c r="X342" s="56">
        <f t="shared" si="347"/>
        <v>3</v>
      </c>
      <c r="Y342" s="56" t="s">
        <v>33</v>
      </c>
      <c r="Z342" s="56">
        <v>6</v>
      </c>
      <c r="AA342" s="58">
        <f t="shared" si="399"/>
        <v>0</v>
      </c>
      <c r="AB342" s="58">
        <f t="shared" si="399"/>
        <v>1</v>
      </c>
      <c r="AC342" s="58">
        <f t="shared" si="399"/>
        <v>0</v>
      </c>
      <c r="AD342" s="58">
        <f t="shared" si="399"/>
        <v>0</v>
      </c>
      <c r="AE342" s="58">
        <f t="shared" si="399"/>
        <v>0</v>
      </c>
    </row>
    <row r="343" spans="2:34" s="60" customFormat="1">
      <c r="B343" s="60" t="str">
        <f t="shared" si="334"/>
        <v>Sem4040EFREN ESTUARDO LOPEZ GARCIA</v>
      </c>
      <c r="C343" s="60" t="str">
        <f t="shared" si="335"/>
        <v>OCTUBRESem40</v>
      </c>
      <c r="D343" s="60" t="str">
        <f t="shared" si="336"/>
        <v>OCTUBRESem40EFREN ESTUARDO LOPEZ GARCIA</v>
      </c>
      <c r="E343" s="60" t="str">
        <f t="shared" si="337"/>
        <v>OCTUBRESem4040EFREN ESTUARDO LOPEZ GARCIA</v>
      </c>
      <c r="F343" s="60" t="str">
        <f t="shared" si="338"/>
        <v>EFREN ESTUARDO LOPEZ GARCIA46299</v>
      </c>
      <c r="H343" s="61" t="s">
        <v>102</v>
      </c>
      <c r="I343" s="62" t="str">
        <f>+_xlfn.XLOOKUP($H343&amp;$V343,BASEDATOS!$B:$B,BASEDATOS!F:F,0,0,1)</f>
        <v>DESCANSO</v>
      </c>
      <c r="J343" s="63">
        <f>+_xlfn.XLOOKUP($H343&amp;$V343,BASEDATOS!$B:$B,BASEDATOS!Q:Q,0,0,1)</f>
        <v>0</v>
      </c>
      <c r="K343" s="63">
        <f>+_xlfn.XLOOKUP($H343&amp;$V343,BASEDATOS!$B:$B,BASEDATOS!R:R,0,0,1)</f>
        <v>0</v>
      </c>
      <c r="L343" s="63">
        <f t="shared" si="339"/>
        <v>0</v>
      </c>
      <c r="M343" s="64">
        <f t="shared" si="340"/>
        <v>0</v>
      </c>
      <c r="N343" s="63">
        <f t="shared" si="341"/>
        <v>0</v>
      </c>
      <c r="O343" s="65" t="str">
        <f t="shared" ref="O343" si="407">+IF(Y343="Domingo",SUM(AA337:AA343)&amp;"-"&amp;SUM(AB337:AB343)&amp;"-"&amp;SUM(AC337:AE343),"")</f>
        <v>5-1-1</v>
      </c>
      <c r="P343" s="66">
        <f>+IF(AND(Y343="Domingo",U343=7),_xlfn.XLOOKUP(O343,'Horarios y Sistemas'!C:C,'Horarios y Sistemas'!H:H,0,0,1),0)</f>
        <v>42.666666666666671</v>
      </c>
      <c r="Q343" s="66">
        <f>IF(U343=U344,0,IF(AVERAGEIF(W:W,W343,U:U)=U343,0,_xlfn.XLOOKUP(O343,'Horarios y Sistemas'!C:C,'Horarios y Sistemas'!H:H,0,0,1)-P343))/7*U343</f>
        <v>0</v>
      </c>
      <c r="R343" s="66">
        <f t="shared" si="343"/>
        <v>42.666666666666671</v>
      </c>
      <c r="S343" s="67" t="str">
        <f t="shared" si="344"/>
        <v>OCTUBRE</v>
      </c>
      <c r="T343" s="55" t="str">
        <f t="shared" si="345"/>
        <v>Sem40</v>
      </c>
      <c r="U343" s="68">
        <f t="shared" si="391"/>
        <v>7</v>
      </c>
      <c r="V343" s="69">
        <v>46299</v>
      </c>
      <c r="W343" s="68">
        <f t="shared" si="346"/>
        <v>40</v>
      </c>
      <c r="X343" s="68">
        <f t="shared" si="347"/>
        <v>4</v>
      </c>
      <c r="Y343" s="68" t="s">
        <v>34</v>
      </c>
      <c r="Z343" s="68">
        <v>7</v>
      </c>
      <c r="AA343" s="70">
        <f t="shared" si="399"/>
        <v>0</v>
      </c>
      <c r="AB343" s="70">
        <f t="shared" si="399"/>
        <v>0</v>
      </c>
      <c r="AC343" s="70">
        <f t="shared" si="399"/>
        <v>1</v>
      </c>
      <c r="AD343" s="70">
        <f t="shared" si="399"/>
        <v>0</v>
      </c>
      <c r="AE343" s="70">
        <f t="shared" si="399"/>
        <v>0</v>
      </c>
      <c r="AF343" s="71"/>
      <c r="AG343" s="71"/>
      <c r="AH343" s="71"/>
    </row>
    <row r="344" spans="2:34" s="60" customFormat="1">
      <c r="B344" t="str">
        <f t="shared" si="334"/>
        <v>Sem3838ELMER CRISTOBAL LOPEZ HERNANDEZ</v>
      </c>
      <c r="C344" t="str">
        <f t="shared" si="335"/>
        <v>SEPTIEMBRESem38</v>
      </c>
      <c r="D344" t="str">
        <f t="shared" si="336"/>
        <v>SEPTIEMBRESem38ELMER CRISTOBAL LOPEZ HERNANDEZ</v>
      </c>
      <c r="E344" t="str">
        <f t="shared" si="337"/>
        <v>SEPTIEMBRESem3838ELMER CRISTOBAL LOPEZ HERNANDEZ</v>
      </c>
      <c r="F344" t="str">
        <f t="shared" si="338"/>
        <v>ELMER CRISTOBAL LOPEZ HERNANDEZ46279</v>
      </c>
      <c r="G344"/>
      <c r="H344" s="49" t="s">
        <v>21</v>
      </c>
      <c r="I344" s="50" t="str">
        <f>+_xlfn.XLOOKUP($H344&amp;$V344,BASEDATOS!$B:$B,BASEDATOS!F:F,0,0,1)</f>
        <v>DESCANSO</v>
      </c>
      <c r="J344" s="51">
        <f>+_xlfn.XLOOKUP($H344&amp;$V344,BASEDATOS!$B:$B,BASEDATOS!Q:Q,0,0,1)</f>
        <v>0</v>
      </c>
      <c r="K344" s="51">
        <f>+_xlfn.XLOOKUP($H344&amp;$V344,BASEDATOS!$B:$B,BASEDATOS!R:R,0,0,1)</f>
        <v>0</v>
      </c>
      <c r="L344" s="51">
        <f t="shared" si="339"/>
        <v>0</v>
      </c>
      <c r="M344" s="52">
        <f t="shared" si="340"/>
        <v>0</v>
      </c>
      <c r="N344" s="51">
        <f t="shared" si="341"/>
        <v>0</v>
      </c>
      <c r="O344" s="53" t="str">
        <f t="shared" ref="O344" si="408">+O350</f>
        <v>5-0-2</v>
      </c>
      <c r="P344" s="54">
        <f>+IF(AND(Y344="Domingo",U344=7),_xlfn.XLOOKUP(O344,'Horarios y Sistemas'!C:C,'Horarios y Sistemas'!H:H,0,0,1),0)</f>
        <v>0</v>
      </c>
      <c r="Q344" s="54">
        <f>IF(U344=U345,0,IF(AVERAGEIF(W:W,W344,U:U)=U344,0,_xlfn.XLOOKUP(O344,'Horarios y Sistemas'!C:C,'Horarios y Sistemas'!H:H,0,0,1)-P344))/7*U344</f>
        <v>0</v>
      </c>
      <c r="R344" s="54">
        <f t="shared" si="343"/>
        <v>0</v>
      </c>
      <c r="S344" s="55" t="str">
        <f t="shared" si="344"/>
        <v>SEPTIEMBRE</v>
      </c>
      <c r="T344" s="55" t="str">
        <f t="shared" si="345"/>
        <v>Sem38</v>
      </c>
      <c r="U344" s="56">
        <f t="shared" si="391"/>
        <v>7</v>
      </c>
      <c r="V344" s="57">
        <v>46279</v>
      </c>
      <c r="W344" s="56">
        <f t="shared" si="346"/>
        <v>38</v>
      </c>
      <c r="X344" s="56">
        <f t="shared" si="347"/>
        <v>14</v>
      </c>
      <c r="Y344" s="56" t="s">
        <v>28</v>
      </c>
      <c r="Z344" s="56">
        <v>1</v>
      </c>
      <c r="AA344" s="58">
        <f t="shared" si="399"/>
        <v>0</v>
      </c>
      <c r="AB344" s="58">
        <f t="shared" si="399"/>
        <v>0</v>
      </c>
      <c r="AC344" s="58">
        <f t="shared" si="399"/>
        <v>1</v>
      </c>
      <c r="AD344" s="58">
        <f t="shared" si="399"/>
        <v>0</v>
      </c>
      <c r="AE344" s="58">
        <f t="shared" si="399"/>
        <v>0</v>
      </c>
      <c r="AF344" s="71"/>
      <c r="AG344" s="71"/>
      <c r="AH344" s="71"/>
    </row>
    <row r="345" spans="2:34" s="60" customFormat="1">
      <c r="B345" t="str">
        <f t="shared" si="334"/>
        <v>Sem3838ELMER CRISTOBAL LOPEZ HERNANDEZ</v>
      </c>
      <c r="C345" t="str">
        <f t="shared" si="335"/>
        <v>SEPTIEMBRESem38</v>
      </c>
      <c r="D345" t="str">
        <f t="shared" si="336"/>
        <v>SEPTIEMBRESem38ELMER CRISTOBAL LOPEZ HERNANDEZ</v>
      </c>
      <c r="E345" t="str">
        <f t="shared" si="337"/>
        <v>SEPTIEMBRESem3838ELMER CRISTOBAL LOPEZ HERNANDEZ</v>
      </c>
      <c r="F345" t="str">
        <f t="shared" si="338"/>
        <v>ELMER CRISTOBAL LOPEZ HERNANDEZ46280</v>
      </c>
      <c r="G345"/>
      <c r="H345" s="49" t="s">
        <v>21</v>
      </c>
      <c r="I345" s="50" t="str">
        <f>+_xlfn.XLOOKUP($H345&amp;$V345,BASEDATOS!$B:$B,BASEDATOS!F:F,0,0,1)</f>
        <v>DIA</v>
      </c>
      <c r="J345" s="51">
        <f>+_xlfn.XLOOKUP($H345&amp;$V345,BASEDATOS!$B:$B,BASEDATOS!Q:Q,0,0,1)</f>
        <v>0.33333333333333298</v>
      </c>
      <c r="K345" s="51">
        <f>+_xlfn.XLOOKUP($H345&amp;$V345,BASEDATOS!$B:$B,BASEDATOS!R:R,0,0,1)</f>
        <v>0.70833333333333304</v>
      </c>
      <c r="L345" s="51">
        <f t="shared" si="339"/>
        <v>0.37500000000000006</v>
      </c>
      <c r="M345" s="52" t="str">
        <f t="shared" si="340"/>
        <v>1:00</v>
      </c>
      <c r="N345" s="51">
        <f t="shared" si="341"/>
        <v>0.33333333333333337</v>
      </c>
      <c r="O345" s="53" t="str">
        <f t="shared" ref="O345" si="409">+O350</f>
        <v>5-0-2</v>
      </c>
      <c r="P345" s="54">
        <f>+IF(AND(Y345="Domingo",U345=7),_xlfn.XLOOKUP(O345,'Horarios y Sistemas'!C:C,'Horarios y Sistemas'!H:H,0,0,1),0)</f>
        <v>0</v>
      </c>
      <c r="Q345" s="54">
        <f>IF(U345=U346,0,IF(AVERAGEIF(W:W,W345,U:U)=U345,0,_xlfn.XLOOKUP(O345,'Horarios y Sistemas'!C:C,'Horarios y Sistemas'!H:H,0,0,1)-P345))/7*U345</f>
        <v>0</v>
      </c>
      <c r="R345" s="54">
        <f t="shared" si="343"/>
        <v>0</v>
      </c>
      <c r="S345" s="55" t="str">
        <f t="shared" si="344"/>
        <v>SEPTIEMBRE</v>
      </c>
      <c r="T345" s="55" t="str">
        <f t="shared" si="345"/>
        <v>Sem38</v>
      </c>
      <c r="U345" s="56">
        <f t="shared" si="391"/>
        <v>7</v>
      </c>
      <c r="V345" s="59">
        <v>46280</v>
      </c>
      <c r="W345" s="56">
        <f t="shared" si="346"/>
        <v>38</v>
      </c>
      <c r="X345" s="56">
        <f t="shared" si="347"/>
        <v>15</v>
      </c>
      <c r="Y345" s="56" t="s">
        <v>29</v>
      </c>
      <c r="Z345" s="56">
        <v>2</v>
      </c>
      <c r="AA345" s="58">
        <f t="shared" si="399"/>
        <v>1</v>
      </c>
      <c r="AB345" s="58">
        <f t="shared" si="399"/>
        <v>0</v>
      </c>
      <c r="AC345" s="58">
        <f t="shared" si="399"/>
        <v>0</v>
      </c>
      <c r="AD345" s="58">
        <f t="shared" si="399"/>
        <v>0</v>
      </c>
      <c r="AE345" s="58">
        <f t="shared" si="399"/>
        <v>0</v>
      </c>
      <c r="AF345" s="71"/>
      <c r="AG345" s="71"/>
      <c r="AH345" s="71"/>
    </row>
    <row r="346" spans="2:34" s="60" customFormat="1">
      <c r="B346" t="str">
        <f t="shared" si="334"/>
        <v>Sem3838ELMER CRISTOBAL LOPEZ HERNANDEZ</v>
      </c>
      <c r="C346" t="str">
        <f t="shared" si="335"/>
        <v>SEPTIEMBRESem38</v>
      </c>
      <c r="D346" t="str">
        <f t="shared" si="336"/>
        <v>SEPTIEMBRESem38ELMER CRISTOBAL LOPEZ HERNANDEZ</v>
      </c>
      <c r="E346" t="str">
        <f t="shared" si="337"/>
        <v>SEPTIEMBRESem3838ELMER CRISTOBAL LOPEZ HERNANDEZ</v>
      </c>
      <c r="F346" t="str">
        <f t="shared" si="338"/>
        <v>ELMER CRISTOBAL LOPEZ HERNANDEZ46281</v>
      </c>
      <c r="G346"/>
      <c r="H346" s="49" t="s">
        <v>21</v>
      </c>
      <c r="I346" s="50" t="str">
        <f>+_xlfn.XLOOKUP($H346&amp;$V346,BASEDATOS!$B:$B,BASEDATOS!F:F,0,0,1)</f>
        <v>DIA</v>
      </c>
      <c r="J346" s="51">
        <f>+_xlfn.XLOOKUP($H346&amp;$V346,BASEDATOS!$B:$B,BASEDATOS!Q:Q,0,0,1)</f>
        <v>0.29166666666666702</v>
      </c>
      <c r="K346" s="51">
        <f>+_xlfn.XLOOKUP($H346&amp;$V346,BASEDATOS!$B:$B,BASEDATOS!R:R,0,0,1)</f>
        <v>0.66666666666666696</v>
      </c>
      <c r="L346" s="51">
        <f t="shared" si="339"/>
        <v>0.37499999999999994</v>
      </c>
      <c r="M346" s="52" t="str">
        <f t="shared" si="340"/>
        <v>1:00</v>
      </c>
      <c r="N346" s="51">
        <f t="shared" si="341"/>
        <v>0.33333333333333326</v>
      </c>
      <c r="O346" s="53" t="str">
        <f t="shared" ref="O346" si="410">+O350</f>
        <v>5-0-2</v>
      </c>
      <c r="P346" s="54">
        <f>+IF(AND(Y346="Domingo",U346=7),_xlfn.XLOOKUP(O346,'Horarios y Sistemas'!C:C,'Horarios y Sistemas'!H:H,0,0,1),0)</f>
        <v>0</v>
      </c>
      <c r="Q346" s="54">
        <f>IF(U346=U347,0,IF(AVERAGEIF(W:W,W346,U:U)=U346,0,_xlfn.XLOOKUP(O346,'Horarios y Sistemas'!C:C,'Horarios y Sistemas'!H:H,0,0,1)-P346))/7*U346</f>
        <v>0</v>
      </c>
      <c r="R346" s="54">
        <f t="shared" si="343"/>
        <v>0</v>
      </c>
      <c r="S346" s="55" t="str">
        <f t="shared" si="344"/>
        <v>SEPTIEMBRE</v>
      </c>
      <c r="T346" s="55" t="str">
        <f t="shared" si="345"/>
        <v>Sem38</v>
      </c>
      <c r="U346" s="56">
        <f t="shared" si="391"/>
        <v>7</v>
      </c>
      <c r="V346" s="59">
        <v>46281</v>
      </c>
      <c r="W346" s="56">
        <f t="shared" si="346"/>
        <v>38</v>
      </c>
      <c r="X346" s="56">
        <f t="shared" si="347"/>
        <v>16</v>
      </c>
      <c r="Y346" s="56" t="s">
        <v>30</v>
      </c>
      <c r="Z346" s="56">
        <v>3</v>
      </c>
      <c r="AA346" s="58">
        <f t="shared" si="399"/>
        <v>1</v>
      </c>
      <c r="AB346" s="58">
        <f t="shared" si="399"/>
        <v>0</v>
      </c>
      <c r="AC346" s="58">
        <f t="shared" si="399"/>
        <v>0</v>
      </c>
      <c r="AD346" s="58">
        <f t="shared" si="399"/>
        <v>0</v>
      </c>
      <c r="AE346" s="58">
        <f t="shared" si="399"/>
        <v>0</v>
      </c>
      <c r="AF346" s="71"/>
      <c r="AG346" s="71"/>
      <c r="AH346" s="71"/>
    </row>
    <row r="347" spans="2:34" s="60" customFormat="1">
      <c r="B347" t="str">
        <f t="shared" si="334"/>
        <v>Sem3838ELMER CRISTOBAL LOPEZ HERNANDEZ</v>
      </c>
      <c r="C347" t="str">
        <f t="shared" si="335"/>
        <v>SEPTIEMBRESem38</v>
      </c>
      <c r="D347" t="str">
        <f t="shared" si="336"/>
        <v>SEPTIEMBRESem38ELMER CRISTOBAL LOPEZ HERNANDEZ</v>
      </c>
      <c r="E347" t="str">
        <f t="shared" si="337"/>
        <v>SEPTIEMBRESem3838ELMER CRISTOBAL LOPEZ HERNANDEZ</v>
      </c>
      <c r="F347" t="str">
        <f t="shared" si="338"/>
        <v>ELMER CRISTOBAL LOPEZ HERNANDEZ46282</v>
      </c>
      <c r="G347"/>
      <c r="H347" s="49" t="s">
        <v>21</v>
      </c>
      <c r="I347" s="50" t="str">
        <f>+_xlfn.XLOOKUP($H347&amp;$V347,BASEDATOS!$B:$B,BASEDATOS!F:F,0,0,1)</f>
        <v>DIA</v>
      </c>
      <c r="J347" s="51">
        <f>+_xlfn.XLOOKUP($H347&amp;$V347,BASEDATOS!$B:$B,BASEDATOS!Q:Q,0,0,1)</f>
        <v>0.375</v>
      </c>
      <c r="K347" s="51">
        <f>+_xlfn.XLOOKUP($H347&amp;$V347,BASEDATOS!$B:$B,BASEDATOS!R:R,0,0,1)</f>
        <v>0.75</v>
      </c>
      <c r="L347" s="51">
        <f t="shared" si="339"/>
        <v>0.375</v>
      </c>
      <c r="M347" s="52" t="str">
        <f t="shared" si="340"/>
        <v>1:00</v>
      </c>
      <c r="N347" s="51">
        <f t="shared" si="341"/>
        <v>0.33333333333333331</v>
      </c>
      <c r="O347" s="53" t="str">
        <f t="shared" ref="O347" si="411">+O350</f>
        <v>5-0-2</v>
      </c>
      <c r="P347" s="54">
        <f>+IF(AND(Y347="Domingo",U347=7),_xlfn.XLOOKUP(O347,'Horarios y Sistemas'!C:C,'Horarios y Sistemas'!H:H,0,0,1),0)</f>
        <v>0</v>
      </c>
      <c r="Q347" s="54">
        <f>IF(U347=U348,0,IF(AVERAGEIF(W:W,W347,U:U)=U347,0,_xlfn.XLOOKUP(O347,'Horarios y Sistemas'!C:C,'Horarios y Sistemas'!H:H,0,0,1)-P347))/7*U347</f>
        <v>0</v>
      </c>
      <c r="R347" s="54">
        <f t="shared" si="343"/>
        <v>0</v>
      </c>
      <c r="S347" s="55" t="str">
        <f t="shared" si="344"/>
        <v>SEPTIEMBRE</v>
      </c>
      <c r="T347" s="55" t="str">
        <f t="shared" si="345"/>
        <v>Sem38</v>
      </c>
      <c r="U347" s="56">
        <f t="shared" si="391"/>
        <v>7</v>
      </c>
      <c r="V347" s="59">
        <v>46282</v>
      </c>
      <c r="W347" s="56">
        <f t="shared" si="346"/>
        <v>38</v>
      </c>
      <c r="X347" s="56">
        <f t="shared" si="347"/>
        <v>17</v>
      </c>
      <c r="Y347" s="56" t="s">
        <v>31</v>
      </c>
      <c r="Z347" s="56">
        <v>4</v>
      </c>
      <c r="AA347" s="58">
        <f t="shared" si="399"/>
        <v>1</v>
      </c>
      <c r="AB347" s="58">
        <f t="shared" si="399"/>
        <v>0</v>
      </c>
      <c r="AC347" s="58">
        <f t="shared" si="399"/>
        <v>0</v>
      </c>
      <c r="AD347" s="58">
        <f t="shared" si="399"/>
        <v>0</v>
      </c>
      <c r="AE347" s="58">
        <f t="shared" si="399"/>
        <v>0</v>
      </c>
      <c r="AF347" s="71"/>
      <c r="AG347" s="71"/>
      <c r="AH347" s="71"/>
    </row>
    <row r="348" spans="2:34" s="60" customFormat="1">
      <c r="B348" t="str">
        <f t="shared" si="334"/>
        <v>Sem3838ELMER CRISTOBAL LOPEZ HERNANDEZ</v>
      </c>
      <c r="C348" t="str">
        <f t="shared" si="335"/>
        <v>SEPTIEMBRESem38</v>
      </c>
      <c r="D348" t="str">
        <f t="shared" si="336"/>
        <v>SEPTIEMBRESem38ELMER CRISTOBAL LOPEZ HERNANDEZ</v>
      </c>
      <c r="E348" t="str">
        <f t="shared" si="337"/>
        <v>SEPTIEMBRESem3838ELMER CRISTOBAL LOPEZ HERNANDEZ</v>
      </c>
      <c r="F348" t="str">
        <f t="shared" si="338"/>
        <v>ELMER CRISTOBAL LOPEZ HERNANDEZ46283</v>
      </c>
      <c r="G348"/>
      <c r="H348" s="49" t="s">
        <v>21</v>
      </c>
      <c r="I348" s="50" t="str">
        <f>+_xlfn.XLOOKUP($H348&amp;$V348,BASEDATOS!$B:$B,BASEDATOS!F:F,0,0,1)</f>
        <v>DIA</v>
      </c>
      <c r="J348" s="51">
        <f>+_xlfn.XLOOKUP($H348&amp;$V348,BASEDATOS!$B:$B,BASEDATOS!Q:Q,0,0,1)</f>
        <v>0.29166666666666702</v>
      </c>
      <c r="K348" s="51">
        <f>+_xlfn.XLOOKUP($H348&amp;$V348,BASEDATOS!$B:$B,BASEDATOS!R:R,0,0,1)</f>
        <v>0.66666666666666696</v>
      </c>
      <c r="L348" s="51">
        <f t="shared" si="339"/>
        <v>0.37499999999999994</v>
      </c>
      <c r="M348" s="52" t="str">
        <f t="shared" si="340"/>
        <v>1:00</v>
      </c>
      <c r="N348" s="51">
        <f t="shared" si="341"/>
        <v>0.33333333333333326</v>
      </c>
      <c r="O348" s="53" t="str">
        <f t="shared" ref="O348" si="412">+O350</f>
        <v>5-0-2</v>
      </c>
      <c r="P348" s="54">
        <f>+IF(AND(Y348="Domingo",U348=7),_xlfn.XLOOKUP(O348,'Horarios y Sistemas'!C:C,'Horarios y Sistemas'!H:H,0,0,1),0)</f>
        <v>0</v>
      </c>
      <c r="Q348" s="54">
        <f>IF(U348=U349,0,IF(AVERAGEIF(W:W,W348,U:U)=U348,0,_xlfn.XLOOKUP(O348,'Horarios y Sistemas'!C:C,'Horarios y Sistemas'!H:H,0,0,1)-P348))/7*U348</f>
        <v>0</v>
      </c>
      <c r="R348" s="54">
        <f t="shared" si="343"/>
        <v>0</v>
      </c>
      <c r="S348" s="55" t="str">
        <f t="shared" si="344"/>
        <v>SEPTIEMBRE</v>
      </c>
      <c r="T348" s="55" t="str">
        <f t="shared" si="345"/>
        <v>Sem38</v>
      </c>
      <c r="U348" s="56">
        <f t="shared" si="391"/>
        <v>7</v>
      </c>
      <c r="V348" s="59">
        <v>46283</v>
      </c>
      <c r="W348" s="56">
        <f t="shared" si="346"/>
        <v>38</v>
      </c>
      <c r="X348" s="56">
        <f t="shared" si="347"/>
        <v>18</v>
      </c>
      <c r="Y348" s="56" t="s">
        <v>32</v>
      </c>
      <c r="Z348" s="56">
        <v>5</v>
      </c>
      <c r="AA348" s="58">
        <f t="shared" si="399"/>
        <v>1</v>
      </c>
      <c r="AB348" s="58">
        <f t="shared" si="399"/>
        <v>0</v>
      </c>
      <c r="AC348" s="58">
        <f t="shared" si="399"/>
        <v>0</v>
      </c>
      <c r="AD348" s="58">
        <f t="shared" si="399"/>
        <v>0</v>
      </c>
      <c r="AE348" s="58">
        <f t="shared" si="399"/>
        <v>0</v>
      </c>
      <c r="AF348" s="71"/>
      <c r="AG348" s="71"/>
      <c r="AH348" s="71"/>
    </row>
    <row r="349" spans="2:34" s="60" customFormat="1">
      <c r="B349" t="str">
        <f t="shared" ref="B349:B412" si="413">+T349&amp;W349&amp;H349</f>
        <v>Sem3838ELMER CRISTOBAL LOPEZ HERNANDEZ</v>
      </c>
      <c r="C349" t="str">
        <f t="shared" ref="C349:C412" si="414">+S349&amp;T349</f>
        <v>SEPTIEMBRESem38</v>
      </c>
      <c r="D349" t="str">
        <f t="shared" ref="D349:D412" si="415">+S349&amp;T349&amp;H349</f>
        <v>SEPTIEMBRESem38ELMER CRISTOBAL LOPEZ HERNANDEZ</v>
      </c>
      <c r="E349" t="str">
        <f t="shared" ref="E349:E412" si="416">+S349&amp;T349&amp;W349&amp;H349</f>
        <v>SEPTIEMBRESem3838ELMER CRISTOBAL LOPEZ HERNANDEZ</v>
      </c>
      <c r="F349" t="str">
        <f t="shared" ref="F349:F412" si="417">+H349&amp;V349</f>
        <v>ELMER CRISTOBAL LOPEZ HERNANDEZ46284</v>
      </c>
      <c r="G349"/>
      <c r="H349" s="49" t="s">
        <v>21</v>
      </c>
      <c r="I349" s="50" t="str">
        <f>+_xlfn.XLOOKUP($H349&amp;$V349,BASEDATOS!$B:$B,BASEDATOS!F:F,0,0,1)</f>
        <v>DIA</v>
      </c>
      <c r="J349" s="51">
        <f>+_xlfn.XLOOKUP($H349&amp;$V349,BASEDATOS!$B:$B,BASEDATOS!Q:Q,0,0,1)</f>
        <v>0.29166666666666702</v>
      </c>
      <c r="K349" s="51">
        <f>+_xlfn.XLOOKUP($H349&amp;$V349,BASEDATOS!$B:$B,BASEDATOS!R:R,0,0,1)</f>
        <v>0.5</v>
      </c>
      <c r="L349" s="51">
        <f t="shared" ref="L349:L412" si="418">+IF(OR(J349="Descanso",J349="AUSENTE",J349="ASUETO"),0,MOD(K349-J349,1))</f>
        <v>0.20833333333333298</v>
      </c>
      <c r="M349" s="52" t="str">
        <f t="shared" ref="M349:M412" si="419">+IF(OR(I349="DIA",I349="NOCHE",I349="MIXTO"),"1:00",0)</f>
        <v>1:00</v>
      </c>
      <c r="N349" s="51">
        <f t="shared" ref="N349:N412" si="420">+IF(I349="ASUETO-D",8/24,IF(I349="ASUETO-N",6/24,MOD(L349-M349,1)))</f>
        <v>0.16666666666666632</v>
      </c>
      <c r="O349" s="53" t="str">
        <f t="shared" ref="O349" si="421">+O350</f>
        <v>5-0-2</v>
      </c>
      <c r="P349" s="54">
        <f>+IF(AND(Y349="Domingo",U349=7),_xlfn.XLOOKUP(O349,'Horarios y Sistemas'!C:C,'Horarios y Sistemas'!H:H,0,0,1),0)</f>
        <v>0</v>
      </c>
      <c r="Q349" s="54">
        <f>IF(U349=U350,0,IF(AVERAGEIF(W:W,W349,U:U)=U349,0,_xlfn.XLOOKUP(O349,'Horarios y Sistemas'!C:C,'Horarios y Sistemas'!H:H,0,0,1)-P349))/7*U349</f>
        <v>0</v>
      </c>
      <c r="R349" s="54">
        <f t="shared" ref="R349:R412" si="422">+IF(Y349="Domingo",SUM(P343:Q349),0)</f>
        <v>0</v>
      </c>
      <c r="S349" s="55" t="str">
        <f t="shared" ref="S349:S412" si="423">+UPPER(TEXT(V349,"MMMMMMMM"))</f>
        <v>SEPTIEMBRE</v>
      </c>
      <c r="T349" s="55" t="str">
        <f t="shared" ref="T349:T412" si="424">+"Sem"&amp;W349</f>
        <v>Sem38</v>
      </c>
      <c r="U349" s="56">
        <f t="shared" si="391"/>
        <v>7</v>
      </c>
      <c r="V349" s="59">
        <v>46284</v>
      </c>
      <c r="W349" s="56">
        <f t="shared" ref="W349:W412" si="425">+_xlfn.ISOWEEKNUM(V349)</f>
        <v>38</v>
      </c>
      <c r="X349" s="56">
        <f t="shared" ref="X349:X412" si="426">+DAY(V349)</f>
        <v>19</v>
      </c>
      <c r="Y349" s="56" t="s">
        <v>33</v>
      </c>
      <c r="Z349" s="56">
        <v>6</v>
      </c>
      <c r="AA349" s="58">
        <f t="shared" si="399"/>
        <v>1</v>
      </c>
      <c r="AB349" s="58">
        <f t="shared" si="399"/>
        <v>0</v>
      </c>
      <c r="AC349" s="58">
        <f t="shared" si="399"/>
        <v>0</v>
      </c>
      <c r="AD349" s="58">
        <f t="shared" si="399"/>
        <v>0</v>
      </c>
      <c r="AE349" s="58">
        <f t="shared" si="399"/>
        <v>0</v>
      </c>
      <c r="AF349" s="71"/>
      <c r="AG349" s="71"/>
      <c r="AH349" s="71"/>
    </row>
    <row r="350" spans="2:34" s="60" customFormat="1">
      <c r="B350" s="60" t="str">
        <f t="shared" si="413"/>
        <v>Sem3838ELMER CRISTOBAL LOPEZ HERNANDEZ</v>
      </c>
      <c r="C350" s="60" t="str">
        <f t="shared" si="414"/>
        <v>SEPTIEMBRESem38</v>
      </c>
      <c r="D350" s="60" t="str">
        <f t="shared" si="415"/>
        <v>SEPTIEMBRESem38ELMER CRISTOBAL LOPEZ HERNANDEZ</v>
      </c>
      <c r="E350" s="60" t="str">
        <f t="shared" si="416"/>
        <v>SEPTIEMBRESem3838ELMER CRISTOBAL LOPEZ HERNANDEZ</v>
      </c>
      <c r="F350" s="60" t="str">
        <f t="shared" si="417"/>
        <v>ELMER CRISTOBAL LOPEZ HERNANDEZ46285</v>
      </c>
      <c r="H350" s="61" t="s">
        <v>21</v>
      </c>
      <c r="I350" s="62" t="str">
        <f>+_xlfn.XLOOKUP($H350&amp;$V350,BASEDATOS!$B:$B,BASEDATOS!F:F,0,0,1)</f>
        <v>DESCANSO</v>
      </c>
      <c r="J350" s="63">
        <f>+_xlfn.XLOOKUP($H350&amp;$V350,BASEDATOS!$B:$B,BASEDATOS!Q:Q,0,0,1)</f>
        <v>0</v>
      </c>
      <c r="K350" s="63">
        <f>+_xlfn.XLOOKUP($H350&amp;$V350,BASEDATOS!$B:$B,BASEDATOS!R:R,0,0,1)</f>
        <v>0</v>
      </c>
      <c r="L350" s="63">
        <f t="shared" si="418"/>
        <v>0</v>
      </c>
      <c r="M350" s="64">
        <f t="shared" si="419"/>
        <v>0</v>
      </c>
      <c r="N350" s="63">
        <f t="shared" si="420"/>
        <v>0</v>
      </c>
      <c r="O350" s="65" t="str">
        <f t="shared" ref="O350" si="427">+IF(Y350="Domingo",SUM(AA344:AA350)&amp;"-"&amp;SUM(AB344:AB350)&amp;"-"&amp;SUM(AC344:AE350),"")</f>
        <v>5-0-2</v>
      </c>
      <c r="P350" s="66">
        <f>+IF(AND(Y350="Domingo",U350=7),_xlfn.XLOOKUP(O350,'Horarios y Sistemas'!C:C,'Horarios y Sistemas'!H:H,0,0,1),0)</f>
        <v>44</v>
      </c>
      <c r="Q350" s="66">
        <f>IF(U350=U351,0,IF(AVERAGEIF(W:W,W350,U:U)=U350,0,_xlfn.XLOOKUP(O350,'Horarios y Sistemas'!C:C,'Horarios y Sistemas'!H:H,0,0,1)-P350))/7*U350</f>
        <v>0</v>
      </c>
      <c r="R350" s="66">
        <f t="shared" si="422"/>
        <v>44</v>
      </c>
      <c r="S350" s="67" t="str">
        <f t="shared" si="423"/>
        <v>SEPTIEMBRE</v>
      </c>
      <c r="T350" s="55" t="str">
        <f t="shared" si="424"/>
        <v>Sem38</v>
      </c>
      <c r="U350" s="68">
        <f t="shared" si="391"/>
        <v>7</v>
      </c>
      <c r="V350" s="69">
        <v>46285</v>
      </c>
      <c r="W350" s="68">
        <f t="shared" si="425"/>
        <v>38</v>
      </c>
      <c r="X350" s="68">
        <f t="shared" si="426"/>
        <v>20</v>
      </c>
      <c r="Y350" s="68" t="s">
        <v>34</v>
      </c>
      <c r="Z350" s="68">
        <v>7</v>
      </c>
      <c r="AA350" s="70">
        <f t="shared" si="399"/>
        <v>0</v>
      </c>
      <c r="AB350" s="70">
        <f t="shared" si="399"/>
        <v>0</v>
      </c>
      <c r="AC350" s="70">
        <f t="shared" si="399"/>
        <v>1</v>
      </c>
      <c r="AD350" s="70">
        <f t="shared" si="399"/>
        <v>0</v>
      </c>
      <c r="AE350" s="70">
        <f t="shared" si="399"/>
        <v>0</v>
      </c>
      <c r="AF350" s="71"/>
      <c r="AG350" s="71"/>
      <c r="AH350" s="71"/>
    </row>
    <row r="351" spans="2:34" s="60" customFormat="1">
      <c r="B351" t="str">
        <f t="shared" si="413"/>
        <v>Sem3939ELMER CRISTOBAL LOPEZ HERNANDEZ</v>
      </c>
      <c r="C351" t="str">
        <f t="shared" si="414"/>
        <v>SEPTIEMBRESem39</v>
      </c>
      <c r="D351" t="str">
        <f t="shared" si="415"/>
        <v>SEPTIEMBRESem39ELMER CRISTOBAL LOPEZ HERNANDEZ</v>
      </c>
      <c r="E351" t="str">
        <f t="shared" si="416"/>
        <v>SEPTIEMBRESem3939ELMER CRISTOBAL LOPEZ HERNANDEZ</v>
      </c>
      <c r="F351" t="str">
        <f t="shared" si="417"/>
        <v>ELMER CRISTOBAL LOPEZ HERNANDEZ46286</v>
      </c>
      <c r="G351"/>
      <c r="H351" s="49" t="s">
        <v>21</v>
      </c>
      <c r="I351" s="50" t="str">
        <f>+_xlfn.XLOOKUP($H351&amp;$V351,BASEDATOS!$B:$B,BASEDATOS!F:F,0,0,1)</f>
        <v>DIA</v>
      </c>
      <c r="J351" s="51">
        <f>+_xlfn.XLOOKUP($H351&amp;$V351,BASEDATOS!$B:$B,BASEDATOS!Q:Q,0,0,1)</f>
        <v>0.29166666666666702</v>
      </c>
      <c r="K351" s="51">
        <f>+_xlfn.XLOOKUP($H351&amp;$V351,BASEDATOS!$B:$B,BASEDATOS!R:R,0,0,1)</f>
        <v>0.66666666666666696</v>
      </c>
      <c r="L351" s="51">
        <f t="shared" si="418"/>
        <v>0.37499999999999994</v>
      </c>
      <c r="M351" s="52" t="str">
        <f t="shared" si="419"/>
        <v>1:00</v>
      </c>
      <c r="N351" s="51">
        <f t="shared" si="420"/>
        <v>0.33333333333333326</v>
      </c>
      <c r="O351" s="53" t="str">
        <f t="shared" ref="O351" si="428">+O357</f>
        <v>6-0-1</v>
      </c>
      <c r="P351" s="54">
        <f>+IF(AND(Y351="Domingo",U351=7),_xlfn.XLOOKUP(O351,'Horarios y Sistemas'!C:C,'Horarios y Sistemas'!H:H,0,0,1),0)</f>
        <v>0</v>
      </c>
      <c r="Q351" s="54">
        <f>IF(U351=U352,0,IF(AVERAGEIF(W:W,W351,U:U)=U351,0,_xlfn.XLOOKUP(O351,'Horarios y Sistemas'!C:C,'Horarios y Sistemas'!H:H,0,0,1)-P351))/7*U351</f>
        <v>0</v>
      </c>
      <c r="R351" s="54">
        <f t="shared" si="422"/>
        <v>0</v>
      </c>
      <c r="S351" s="55" t="str">
        <f t="shared" si="423"/>
        <v>SEPTIEMBRE</v>
      </c>
      <c r="T351" s="55" t="str">
        <f t="shared" si="424"/>
        <v>Sem39</v>
      </c>
      <c r="U351" s="56">
        <f t="shared" si="391"/>
        <v>7</v>
      </c>
      <c r="V351" s="59">
        <v>46286</v>
      </c>
      <c r="W351" s="56">
        <f t="shared" si="425"/>
        <v>39</v>
      </c>
      <c r="X351" s="56">
        <f t="shared" si="426"/>
        <v>21</v>
      </c>
      <c r="Y351" s="56" t="s">
        <v>28</v>
      </c>
      <c r="Z351" s="56">
        <v>1</v>
      </c>
      <c r="AA351" s="58">
        <f t="shared" si="399"/>
        <v>1</v>
      </c>
      <c r="AB351" s="58">
        <f t="shared" si="399"/>
        <v>0</v>
      </c>
      <c r="AC351" s="58">
        <f t="shared" si="399"/>
        <v>0</v>
      </c>
      <c r="AD351" s="58">
        <f t="shared" si="399"/>
        <v>0</v>
      </c>
      <c r="AE351" s="58">
        <f t="shared" si="399"/>
        <v>0</v>
      </c>
      <c r="AF351" s="71"/>
      <c r="AG351" s="71"/>
      <c r="AH351" s="71"/>
    </row>
    <row r="352" spans="2:34" s="60" customFormat="1">
      <c r="B352" t="str">
        <f t="shared" si="413"/>
        <v>Sem3939ELMER CRISTOBAL LOPEZ HERNANDEZ</v>
      </c>
      <c r="C352" t="str">
        <f t="shared" si="414"/>
        <v>SEPTIEMBRESem39</v>
      </c>
      <c r="D352" t="str">
        <f t="shared" si="415"/>
        <v>SEPTIEMBRESem39ELMER CRISTOBAL LOPEZ HERNANDEZ</v>
      </c>
      <c r="E352" t="str">
        <f t="shared" si="416"/>
        <v>SEPTIEMBRESem3939ELMER CRISTOBAL LOPEZ HERNANDEZ</v>
      </c>
      <c r="F352" t="str">
        <f t="shared" si="417"/>
        <v>ELMER CRISTOBAL LOPEZ HERNANDEZ46287</v>
      </c>
      <c r="G352"/>
      <c r="H352" s="49" t="s">
        <v>21</v>
      </c>
      <c r="I352" s="50" t="str">
        <f>+_xlfn.XLOOKUP($H352&amp;$V352,BASEDATOS!$B:$B,BASEDATOS!F:F,0,0,1)</f>
        <v>DIA</v>
      </c>
      <c r="J352" s="51">
        <f>+_xlfn.XLOOKUP($H352&amp;$V352,BASEDATOS!$B:$B,BASEDATOS!Q:Q,0,0,1)</f>
        <v>0.29166666666666702</v>
      </c>
      <c r="K352" s="51">
        <f>+_xlfn.XLOOKUP($H352&amp;$V352,BASEDATOS!$B:$B,BASEDATOS!R:R,0,0,1)</f>
        <v>0.66666666666666696</v>
      </c>
      <c r="L352" s="51">
        <f t="shared" si="418"/>
        <v>0.37499999999999994</v>
      </c>
      <c r="M352" s="52" t="str">
        <f t="shared" si="419"/>
        <v>1:00</v>
      </c>
      <c r="N352" s="51">
        <f t="shared" si="420"/>
        <v>0.33333333333333326</v>
      </c>
      <c r="O352" s="53" t="str">
        <f t="shared" ref="O352" si="429">+O357</f>
        <v>6-0-1</v>
      </c>
      <c r="P352" s="54">
        <f>+IF(AND(Y352="Domingo",U352=7),_xlfn.XLOOKUP(O352,'Horarios y Sistemas'!C:C,'Horarios y Sistemas'!H:H,0,0,1),0)</f>
        <v>0</v>
      </c>
      <c r="Q352" s="54">
        <f>IF(U352=U353,0,IF(AVERAGEIF(W:W,W352,U:U)=U352,0,_xlfn.XLOOKUP(O352,'Horarios y Sistemas'!C:C,'Horarios y Sistemas'!H:H,0,0,1)-P352))/7*U352</f>
        <v>0</v>
      </c>
      <c r="R352" s="54">
        <f t="shared" si="422"/>
        <v>0</v>
      </c>
      <c r="S352" s="55" t="str">
        <f t="shared" si="423"/>
        <v>SEPTIEMBRE</v>
      </c>
      <c r="T352" s="55" t="str">
        <f t="shared" si="424"/>
        <v>Sem39</v>
      </c>
      <c r="U352" s="56">
        <f t="shared" si="391"/>
        <v>7</v>
      </c>
      <c r="V352" s="59">
        <v>46287</v>
      </c>
      <c r="W352" s="56">
        <f t="shared" si="425"/>
        <v>39</v>
      </c>
      <c r="X352" s="56">
        <f t="shared" si="426"/>
        <v>22</v>
      </c>
      <c r="Y352" s="56" t="s">
        <v>29</v>
      </c>
      <c r="Z352" s="56">
        <v>2</v>
      </c>
      <c r="AA352" s="58">
        <f t="shared" si="399"/>
        <v>1</v>
      </c>
      <c r="AB352" s="58">
        <f t="shared" si="399"/>
        <v>0</v>
      </c>
      <c r="AC352" s="58">
        <f t="shared" si="399"/>
        <v>0</v>
      </c>
      <c r="AD352" s="58">
        <f t="shared" si="399"/>
        <v>0</v>
      </c>
      <c r="AE352" s="58">
        <f t="shared" si="399"/>
        <v>0</v>
      </c>
      <c r="AF352" s="71"/>
      <c r="AG352" s="71"/>
      <c r="AH352" s="71"/>
    </row>
    <row r="353" spans="2:34" s="60" customFormat="1">
      <c r="B353" t="str">
        <f t="shared" si="413"/>
        <v>Sem3939ELMER CRISTOBAL LOPEZ HERNANDEZ</v>
      </c>
      <c r="C353" t="str">
        <f t="shared" si="414"/>
        <v>SEPTIEMBRESem39</v>
      </c>
      <c r="D353" t="str">
        <f t="shared" si="415"/>
        <v>SEPTIEMBRESem39ELMER CRISTOBAL LOPEZ HERNANDEZ</v>
      </c>
      <c r="E353" t="str">
        <f t="shared" si="416"/>
        <v>SEPTIEMBRESem3939ELMER CRISTOBAL LOPEZ HERNANDEZ</v>
      </c>
      <c r="F353" t="str">
        <f t="shared" si="417"/>
        <v>ELMER CRISTOBAL LOPEZ HERNANDEZ46288</v>
      </c>
      <c r="G353"/>
      <c r="H353" s="49" t="s">
        <v>21</v>
      </c>
      <c r="I353" s="50" t="str">
        <f>+_xlfn.XLOOKUP($H353&amp;$V353,BASEDATOS!$B:$B,BASEDATOS!F:F,0,0,1)</f>
        <v>DIA</v>
      </c>
      <c r="J353" s="51">
        <f>+_xlfn.XLOOKUP($H353&amp;$V353,BASEDATOS!$B:$B,BASEDATOS!Q:Q,0,0,1)</f>
        <v>0.29166666666666702</v>
      </c>
      <c r="K353" s="51">
        <f>+_xlfn.XLOOKUP($H353&amp;$V353,BASEDATOS!$B:$B,BASEDATOS!R:R,0,0,1)</f>
        <v>0.66666666666666696</v>
      </c>
      <c r="L353" s="51">
        <f t="shared" si="418"/>
        <v>0.37499999999999994</v>
      </c>
      <c r="M353" s="52" t="str">
        <f t="shared" si="419"/>
        <v>1:00</v>
      </c>
      <c r="N353" s="51">
        <f t="shared" si="420"/>
        <v>0.33333333333333326</v>
      </c>
      <c r="O353" s="53" t="str">
        <f t="shared" ref="O353" si="430">+O357</f>
        <v>6-0-1</v>
      </c>
      <c r="P353" s="54">
        <f>+IF(AND(Y353="Domingo",U353=7),_xlfn.XLOOKUP(O353,'Horarios y Sistemas'!C:C,'Horarios y Sistemas'!H:H,0,0,1),0)</f>
        <v>0</v>
      </c>
      <c r="Q353" s="54">
        <f>IF(U353=U354,0,IF(AVERAGEIF(W:W,W353,U:U)=U353,0,_xlfn.XLOOKUP(O353,'Horarios y Sistemas'!C:C,'Horarios y Sistemas'!H:H,0,0,1)-P353))/7*U353</f>
        <v>0</v>
      </c>
      <c r="R353" s="54">
        <f t="shared" si="422"/>
        <v>0</v>
      </c>
      <c r="S353" s="55" t="str">
        <f t="shared" si="423"/>
        <v>SEPTIEMBRE</v>
      </c>
      <c r="T353" s="55" t="str">
        <f t="shared" si="424"/>
        <v>Sem39</v>
      </c>
      <c r="U353" s="56">
        <f t="shared" si="391"/>
        <v>7</v>
      </c>
      <c r="V353" s="59">
        <v>46288</v>
      </c>
      <c r="W353" s="56">
        <f t="shared" si="425"/>
        <v>39</v>
      </c>
      <c r="X353" s="56">
        <f t="shared" si="426"/>
        <v>23</v>
      </c>
      <c r="Y353" s="56" t="s">
        <v>30</v>
      </c>
      <c r="Z353" s="56">
        <v>3</v>
      </c>
      <c r="AA353" s="58">
        <f t="shared" si="399"/>
        <v>1</v>
      </c>
      <c r="AB353" s="58">
        <f t="shared" si="399"/>
        <v>0</v>
      </c>
      <c r="AC353" s="58">
        <f t="shared" si="399"/>
        <v>0</v>
      </c>
      <c r="AD353" s="58">
        <f t="shared" si="399"/>
        <v>0</v>
      </c>
      <c r="AE353" s="58">
        <f t="shared" si="399"/>
        <v>0</v>
      </c>
      <c r="AF353" s="71"/>
      <c r="AG353" s="71"/>
      <c r="AH353" s="71"/>
    </row>
    <row r="354" spans="2:34" s="60" customFormat="1">
      <c r="B354" t="str">
        <f t="shared" si="413"/>
        <v>Sem3939ELMER CRISTOBAL LOPEZ HERNANDEZ</v>
      </c>
      <c r="C354" t="str">
        <f t="shared" si="414"/>
        <v>SEPTIEMBRESem39</v>
      </c>
      <c r="D354" t="str">
        <f t="shared" si="415"/>
        <v>SEPTIEMBRESem39ELMER CRISTOBAL LOPEZ HERNANDEZ</v>
      </c>
      <c r="E354" t="str">
        <f t="shared" si="416"/>
        <v>SEPTIEMBRESem3939ELMER CRISTOBAL LOPEZ HERNANDEZ</v>
      </c>
      <c r="F354" t="str">
        <f t="shared" si="417"/>
        <v>ELMER CRISTOBAL LOPEZ HERNANDEZ46289</v>
      </c>
      <c r="G354"/>
      <c r="H354" s="49" t="s">
        <v>21</v>
      </c>
      <c r="I354" s="50" t="str">
        <f>+_xlfn.XLOOKUP($H354&amp;$V354,BASEDATOS!$B:$B,BASEDATOS!F:F,0,0,1)</f>
        <v>DIA</v>
      </c>
      <c r="J354" s="51">
        <f>+_xlfn.XLOOKUP($H354&amp;$V354,BASEDATOS!$B:$B,BASEDATOS!Q:Q,0,0,1)</f>
        <v>0.375</v>
      </c>
      <c r="K354" s="51">
        <f>+_xlfn.XLOOKUP($H354&amp;$V354,BASEDATOS!$B:$B,BASEDATOS!R:R,0,0,1)</f>
        <v>0.75</v>
      </c>
      <c r="L354" s="51">
        <f t="shared" si="418"/>
        <v>0.375</v>
      </c>
      <c r="M354" s="52" t="str">
        <f t="shared" si="419"/>
        <v>1:00</v>
      </c>
      <c r="N354" s="51">
        <f t="shared" si="420"/>
        <v>0.33333333333333331</v>
      </c>
      <c r="O354" s="53" t="str">
        <f t="shared" ref="O354" si="431">+O357</f>
        <v>6-0-1</v>
      </c>
      <c r="P354" s="54">
        <f>+IF(AND(Y354="Domingo",U354=7),_xlfn.XLOOKUP(O354,'Horarios y Sistemas'!C:C,'Horarios y Sistemas'!H:H,0,0,1),0)</f>
        <v>0</v>
      </c>
      <c r="Q354" s="54">
        <f>IF(U354=U355,0,IF(AVERAGEIF(W:W,W354,U:U)=U354,0,_xlfn.XLOOKUP(O354,'Horarios y Sistemas'!C:C,'Horarios y Sistemas'!H:H,0,0,1)-P354))/7*U354</f>
        <v>0</v>
      </c>
      <c r="R354" s="54">
        <f t="shared" si="422"/>
        <v>0</v>
      </c>
      <c r="S354" s="55" t="str">
        <f t="shared" si="423"/>
        <v>SEPTIEMBRE</v>
      </c>
      <c r="T354" s="55" t="str">
        <f t="shared" si="424"/>
        <v>Sem39</v>
      </c>
      <c r="U354" s="56">
        <f t="shared" si="391"/>
        <v>7</v>
      </c>
      <c r="V354" s="59">
        <v>46289</v>
      </c>
      <c r="W354" s="56">
        <f t="shared" si="425"/>
        <v>39</v>
      </c>
      <c r="X354" s="56">
        <f t="shared" si="426"/>
        <v>24</v>
      </c>
      <c r="Y354" s="56" t="s">
        <v>31</v>
      </c>
      <c r="Z354" s="56">
        <v>4</v>
      </c>
      <c r="AA354" s="58">
        <f t="shared" si="399"/>
        <v>1</v>
      </c>
      <c r="AB354" s="58">
        <f t="shared" si="399"/>
        <v>0</v>
      </c>
      <c r="AC354" s="58">
        <f t="shared" si="399"/>
        <v>0</v>
      </c>
      <c r="AD354" s="58">
        <f t="shared" si="399"/>
        <v>0</v>
      </c>
      <c r="AE354" s="58">
        <f t="shared" si="399"/>
        <v>0</v>
      </c>
      <c r="AF354" s="71"/>
      <c r="AG354" s="71"/>
      <c r="AH354" s="71"/>
    </row>
    <row r="355" spans="2:34" s="60" customFormat="1">
      <c r="B355" t="str">
        <f t="shared" si="413"/>
        <v>Sem3939ELMER CRISTOBAL LOPEZ HERNANDEZ</v>
      </c>
      <c r="C355" t="str">
        <f t="shared" si="414"/>
        <v>SEPTIEMBRESem39</v>
      </c>
      <c r="D355" t="str">
        <f t="shared" si="415"/>
        <v>SEPTIEMBRESem39ELMER CRISTOBAL LOPEZ HERNANDEZ</v>
      </c>
      <c r="E355" t="str">
        <f t="shared" si="416"/>
        <v>SEPTIEMBRESem3939ELMER CRISTOBAL LOPEZ HERNANDEZ</v>
      </c>
      <c r="F355" t="str">
        <f t="shared" si="417"/>
        <v>ELMER CRISTOBAL LOPEZ HERNANDEZ46290</v>
      </c>
      <c r="G355"/>
      <c r="H355" s="49" t="s">
        <v>21</v>
      </c>
      <c r="I355" s="50" t="str">
        <f>+_xlfn.XLOOKUP($H355&amp;$V355,BASEDATOS!$B:$B,BASEDATOS!F:F,0,0,1)</f>
        <v>DIA</v>
      </c>
      <c r="J355" s="51">
        <f>+_xlfn.XLOOKUP($H355&amp;$V355,BASEDATOS!$B:$B,BASEDATOS!Q:Q,0,0,1)</f>
        <v>0.29166666666666702</v>
      </c>
      <c r="K355" s="51">
        <f>+_xlfn.XLOOKUP($H355&amp;$V355,BASEDATOS!$B:$B,BASEDATOS!R:R,0,0,1)</f>
        <v>0.66666666666666696</v>
      </c>
      <c r="L355" s="51">
        <f t="shared" si="418"/>
        <v>0.37499999999999994</v>
      </c>
      <c r="M355" s="52" t="str">
        <f t="shared" si="419"/>
        <v>1:00</v>
      </c>
      <c r="N355" s="51">
        <f t="shared" si="420"/>
        <v>0.33333333333333326</v>
      </c>
      <c r="O355" s="53" t="str">
        <f t="shared" ref="O355" si="432">+O357</f>
        <v>6-0-1</v>
      </c>
      <c r="P355" s="54">
        <f>+IF(AND(Y355="Domingo",U355=7),_xlfn.XLOOKUP(O355,'Horarios y Sistemas'!C:C,'Horarios y Sistemas'!H:H,0,0,1),0)</f>
        <v>0</v>
      </c>
      <c r="Q355" s="54">
        <f>IF(U355=U356,0,IF(AVERAGEIF(W:W,W355,U:U)=U355,0,_xlfn.XLOOKUP(O355,'Horarios y Sistemas'!C:C,'Horarios y Sistemas'!H:H,0,0,1)-P355))/7*U355</f>
        <v>0</v>
      </c>
      <c r="R355" s="54">
        <f t="shared" si="422"/>
        <v>0</v>
      </c>
      <c r="S355" s="55" t="str">
        <f t="shared" si="423"/>
        <v>SEPTIEMBRE</v>
      </c>
      <c r="T355" s="55" t="str">
        <f t="shared" si="424"/>
        <v>Sem39</v>
      </c>
      <c r="U355" s="56">
        <f t="shared" si="391"/>
        <v>7</v>
      </c>
      <c r="V355" s="59">
        <v>46290</v>
      </c>
      <c r="W355" s="56">
        <f t="shared" si="425"/>
        <v>39</v>
      </c>
      <c r="X355" s="56">
        <f t="shared" si="426"/>
        <v>25</v>
      </c>
      <c r="Y355" s="56" t="s">
        <v>32</v>
      </c>
      <c r="Z355" s="56">
        <v>5</v>
      </c>
      <c r="AA355" s="58">
        <f t="shared" si="399"/>
        <v>1</v>
      </c>
      <c r="AB355" s="58">
        <f t="shared" si="399"/>
        <v>0</v>
      </c>
      <c r="AC355" s="58">
        <f t="shared" si="399"/>
        <v>0</v>
      </c>
      <c r="AD355" s="58">
        <f t="shared" si="399"/>
        <v>0</v>
      </c>
      <c r="AE355" s="58">
        <f t="shared" si="399"/>
        <v>0</v>
      </c>
      <c r="AF355" s="71"/>
      <c r="AG355" s="71"/>
      <c r="AH355" s="71"/>
    </row>
    <row r="356" spans="2:34" s="60" customFormat="1">
      <c r="B356" t="str">
        <f t="shared" si="413"/>
        <v>Sem3939ELMER CRISTOBAL LOPEZ HERNANDEZ</v>
      </c>
      <c r="C356" t="str">
        <f t="shared" si="414"/>
        <v>SEPTIEMBRESem39</v>
      </c>
      <c r="D356" t="str">
        <f t="shared" si="415"/>
        <v>SEPTIEMBRESem39ELMER CRISTOBAL LOPEZ HERNANDEZ</v>
      </c>
      <c r="E356" t="str">
        <f t="shared" si="416"/>
        <v>SEPTIEMBRESem3939ELMER CRISTOBAL LOPEZ HERNANDEZ</v>
      </c>
      <c r="F356" t="str">
        <f t="shared" si="417"/>
        <v>ELMER CRISTOBAL LOPEZ HERNANDEZ46291</v>
      </c>
      <c r="G356"/>
      <c r="H356" s="49" t="s">
        <v>21</v>
      </c>
      <c r="I356" s="50" t="str">
        <f>+_xlfn.XLOOKUP($H356&amp;$V356,BASEDATOS!$B:$B,BASEDATOS!F:F,0,0,1)</f>
        <v>DIA</v>
      </c>
      <c r="J356" s="51">
        <f>+_xlfn.XLOOKUP($H356&amp;$V356,BASEDATOS!$B:$B,BASEDATOS!Q:Q,0,0,1)</f>
        <v>0.29166666666666702</v>
      </c>
      <c r="K356" s="51">
        <f>+_xlfn.XLOOKUP($H356&amp;$V356,BASEDATOS!$B:$B,BASEDATOS!R:R,0,0,1)</f>
        <v>0.5</v>
      </c>
      <c r="L356" s="51">
        <f t="shared" si="418"/>
        <v>0.20833333333333298</v>
      </c>
      <c r="M356" s="52" t="str">
        <f t="shared" si="419"/>
        <v>1:00</v>
      </c>
      <c r="N356" s="51">
        <f t="shared" si="420"/>
        <v>0.16666666666666632</v>
      </c>
      <c r="O356" s="53" t="str">
        <f t="shared" ref="O356" si="433">+O357</f>
        <v>6-0-1</v>
      </c>
      <c r="P356" s="54">
        <f>+IF(AND(Y356="Domingo",U356=7),_xlfn.XLOOKUP(O356,'Horarios y Sistemas'!C:C,'Horarios y Sistemas'!H:H,0,0,1),0)</f>
        <v>0</v>
      </c>
      <c r="Q356" s="54">
        <f>IF(U356=U357,0,IF(AVERAGEIF(W:W,W356,U:U)=U356,0,_xlfn.XLOOKUP(O356,'Horarios y Sistemas'!C:C,'Horarios y Sistemas'!H:H,0,0,1)-P356))/7*U356</f>
        <v>0</v>
      </c>
      <c r="R356" s="54">
        <f t="shared" si="422"/>
        <v>0</v>
      </c>
      <c r="S356" s="55" t="str">
        <f t="shared" si="423"/>
        <v>SEPTIEMBRE</v>
      </c>
      <c r="T356" s="55" t="str">
        <f t="shared" si="424"/>
        <v>Sem39</v>
      </c>
      <c r="U356" s="56">
        <f t="shared" si="391"/>
        <v>7</v>
      </c>
      <c r="V356" s="59">
        <v>46291</v>
      </c>
      <c r="W356" s="56">
        <f t="shared" si="425"/>
        <v>39</v>
      </c>
      <c r="X356" s="56">
        <f t="shared" si="426"/>
        <v>26</v>
      </c>
      <c r="Y356" s="56" t="s">
        <v>33</v>
      </c>
      <c r="Z356" s="56">
        <v>6</v>
      </c>
      <c r="AA356" s="58">
        <f t="shared" si="399"/>
        <v>1</v>
      </c>
      <c r="AB356" s="58">
        <f t="shared" si="399"/>
        <v>0</v>
      </c>
      <c r="AC356" s="58">
        <f t="shared" si="399"/>
        <v>0</v>
      </c>
      <c r="AD356" s="58">
        <f t="shared" si="399"/>
        <v>0</v>
      </c>
      <c r="AE356" s="58">
        <f t="shared" si="399"/>
        <v>0</v>
      </c>
      <c r="AF356" s="71"/>
      <c r="AG356" s="71"/>
      <c r="AH356" s="71"/>
    </row>
    <row r="357" spans="2:34" s="60" customFormat="1">
      <c r="B357" s="60" t="str">
        <f t="shared" si="413"/>
        <v>Sem3939ELMER CRISTOBAL LOPEZ HERNANDEZ</v>
      </c>
      <c r="C357" s="60" t="str">
        <f t="shared" si="414"/>
        <v>SEPTIEMBRESem39</v>
      </c>
      <c r="D357" s="60" t="str">
        <f t="shared" si="415"/>
        <v>SEPTIEMBRESem39ELMER CRISTOBAL LOPEZ HERNANDEZ</v>
      </c>
      <c r="E357" s="60" t="str">
        <f t="shared" si="416"/>
        <v>SEPTIEMBRESem3939ELMER CRISTOBAL LOPEZ HERNANDEZ</v>
      </c>
      <c r="F357" s="60" t="str">
        <f t="shared" si="417"/>
        <v>ELMER CRISTOBAL LOPEZ HERNANDEZ46292</v>
      </c>
      <c r="H357" s="61" t="s">
        <v>21</v>
      </c>
      <c r="I357" s="62" t="str">
        <f>+_xlfn.XLOOKUP($H357&amp;$V357,BASEDATOS!$B:$B,BASEDATOS!F:F,0,0,1)</f>
        <v>DESCANSO</v>
      </c>
      <c r="J357" s="63">
        <f>+_xlfn.XLOOKUP($H357&amp;$V357,BASEDATOS!$B:$B,BASEDATOS!Q:Q,0,0,1)</f>
        <v>0</v>
      </c>
      <c r="K357" s="63">
        <f>+_xlfn.XLOOKUP($H357&amp;$V357,BASEDATOS!$B:$B,BASEDATOS!R:R,0,0,1)</f>
        <v>0</v>
      </c>
      <c r="L357" s="63">
        <f t="shared" si="418"/>
        <v>0</v>
      </c>
      <c r="M357" s="64">
        <f t="shared" si="419"/>
        <v>0</v>
      </c>
      <c r="N357" s="63">
        <f t="shared" si="420"/>
        <v>0</v>
      </c>
      <c r="O357" s="65" t="str">
        <f t="shared" ref="O357" si="434">+IF(Y357="Domingo",SUM(AA351:AA357)&amp;"-"&amp;SUM(AB351:AB357)&amp;"-"&amp;SUM(AC351:AE357),"")</f>
        <v>6-0-1</v>
      </c>
      <c r="P357" s="66">
        <f>+IF(AND(Y357="Domingo",U357=7),_xlfn.XLOOKUP(O357,'Horarios y Sistemas'!C:C,'Horarios y Sistemas'!H:H,0,0,1),0)</f>
        <v>44</v>
      </c>
      <c r="Q357" s="66">
        <f>IF(U357=U358,0,IF(AVERAGEIF(W:W,W357,U:U)=U357,0,_xlfn.XLOOKUP(O357,'Horarios y Sistemas'!C:C,'Horarios y Sistemas'!H:H,0,0,1)-P357))/7*U357</f>
        <v>0</v>
      </c>
      <c r="R357" s="66">
        <f t="shared" si="422"/>
        <v>44</v>
      </c>
      <c r="S357" s="67" t="str">
        <f t="shared" si="423"/>
        <v>SEPTIEMBRE</v>
      </c>
      <c r="T357" s="55" t="str">
        <f t="shared" si="424"/>
        <v>Sem39</v>
      </c>
      <c r="U357" s="68">
        <f t="shared" si="391"/>
        <v>7</v>
      </c>
      <c r="V357" s="69">
        <v>46292</v>
      </c>
      <c r="W357" s="68">
        <f t="shared" si="425"/>
        <v>39</v>
      </c>
      <c r="X357" s="68">
        <f t="shared" si="426"/>
        <v>27</v>
      </c>
      <c r="Y357" s="68" t="s">
        <v>34</v>
      </c>
      <c r="Z357" s="68">
        <v>7</v>
      </c>
      <c r="AA357" s="70">
        <f t="shared" si="399"/>
        <v>0</v>
      </c>
      <c r="AB357" s="70">
        <f t="shared" si="399"/>
        <v>0</v>
      </c>
      <c r="AC357" s="70">
        <f t="shared" si="399"/>
        <v>1</v>
      </c>
      <c r="AD357" s="70">
        <f t="shared" si="399"/>
        <v>0</v>
      </c>
      <c r="AE357" s="70">
        <f t="shared" si="399"/>
        <v>0</v>
      </c>
      <c r="AF357" s="71"/>
      <c r="AG357" s="71"/>
      <c r="AH357" s="71"/>
    </row>
    <row r="358" spans="2:34" s="60" customFormat="1">
      <c r="B358" t="str">
        <f t="shared" si="413"/>
        <v>Sem4040ELMER CRISTOBAL LOPEZ HERNANDEZ</v>
      </c>
      <c r="C358" t="str">
        <f t="shared" si="414"/>
        <v>SEPTIEMBRESem40</v>
      </c>
      <c r="D358" t="str">
        <f t="shared" si="415"/>
        <v>SEPTIEMBRESem40ELMER CRISTOBAL LOPEZ HERNANDEZ</v>
      </c>
      <c r="E358" t="str">
        <f t="shared" si="416"/>
        <v>SEPTIEMBRESem4040ELMER CRISTOBAL LOPEZ HERNANDEZ</v>
      </c>
      <c r="F358" t="str">
        <f t="shared" si="417"/>
        <v>ELMER CRISTOBAL LOPEZ HERNANDEZ46293</v>
      </c>
      <c r="G358"/>
      <c r="H358" s="49" t="s">
        <v>21</v>
      </c>
      <c r="I358" s="50" t="str">
        <f>+_xlfn.XLOOKUP($H358&amp;$V358,BASEDATOS!$B:$B,BASEDATOS!F:F,0,0,1)</f>
        <v>DIA</v>
      </c>
      <c r="J358" s="51">
        <f>+_xlfn.XLOOKUP($H358&amp;$V358,BASEDATOS!$B:$B,BASEDATOS!Q:Q,0,0,1)</f>
        <v>0.29166666666666702</v>
      </c>
      <c r="K358" s="51">
        <f>+_xlfn.XLOOKUP($H358&amp;$V358,BASEDATOS!$B:$B,BASEDATOS!R:R,0,0,1)</f>
        <v>0.66666666666666696</v>
      </c>
      <c r="L358" s="51">
        <f t="shared" si="418"/>
        <v>0.37499999999999994</v>
      </c>
      <c r="M358" s="52" t="str">
        <f t="shared" si="419"/>
        <v>1:00</v>
      </c>
      <c r="N358" s="51">
        <f t="shared" si="420"/>
        <v>0.33333333333333326</v>
      </c>
      <c r="O358" s="53" t="str">
        <f t="shared" ref="O358" si="435">+O364</f>
        <v>6-0-1</v>
      </c>
      <c r="P358" s="54">
        <f>+IF(AND(Y358="Domingo",U358=7),_xlfn.XLOOKUP(O358,'Horarios y Sistemas'!C:C,'Horarios y Sistemas'!H:H,0,0,1),0)</f>
        <v>0</v>
      </c>
      <c r="Q358" s="54">
        <f>IF(U358=U359,0,IF(AVERAGEIF(W:W,W358,U:U)=U358,0,_xlfn.XLOOKUP(O358,'Horarios y Sistemas'!C:C,'Horarios y Sistemas'!H:H,0,0,1)-P358))/7*U358</f>
        <v>0</v>
      </c>
      <c r="R358" s="54">
        <f t="shared" si="422"/>
        <v>0</v>
      </c>
      <c r="S358" s="55" t="str">
        <f t="shared" si="423"/>
        <v>SEPTIEMBRE</v>
      </c>
      <c r="T358" s="55" t="str">
        <f t="shared" si="424"/>
        <v>Sem40</v>
      </c>
      <c r="U358" s="56">
        <f t="shared" si="391"/>
        <v>7</v>
      </c>
      <c r="V358" s="59">
        <v>46293</v>
      </c>
      <c r="W358" s="56">
        <f t="shared" si="425"/>
        <v>40</v>
      </c>
      <c r="X358" s="56">
        <f t="shared" si="426"/>
        <v>28</v>
      </c>
      <c r="Y358" s="56" t="s">
        <v>28</v>
      </c>
      <c r="Z358" s="56">
        <v>1</v>
      </c>
      <c r="AA358" s="58">
        <f t="shared" si="399"/>
        <v>1</v>
      </c>
      <c r="AB358" s="58">
        <f t="shared" si="399"/>
        <v>0</v>
      </c>
      <c r="AC358" s="58">
        <f t="shared" si="399"/>
        <v>0</v>
      </c>
      <c r="AD358" s="58">
        <f t="shared" si="399"/>
        <v>0</v>
      </c>
      <c r="AE358" s="58">
        <f t="shared" si="399"/>
        <v>0</v>
      </c>
      <c r="AF358" s="71"/>
      <c r="AG358" s="71"/>
      <c r="AH358" s="71"/>
    </row>
    <row r="359" spans="2:34" s="60" customFormat="1">
      <c r="B359" t="str">
        <f t="shared" si="413"/>
        <v>Sem4040ELMER CRISTOBAL LOPEZ HERNANDEZ</v>
      </c>
      <c r="C359" t="str">
        <f t="shared" si="414"/>
        <v>SEPTIEMBRESem40</v>
      </c>
      <c r="D359" t="str">
        <f t="shared" si="415"/>
        <v>SEPTIEMBRESem40ELMER CRISTOBAL LOPEZ HERNANDEZ</v>
      </c>
      <c r="E359" t="str">
        <f t="shared" si="416"/>
        <v>SEPTIEMBRESem4040ELMER CRISTOBAL LOPEZ HERNANDEZ</v>
      </c>
      <c r="F359" t="str">
        <f t="shared" si="417"/>
        <v>ELMER CRISTOBAL LOPEZ HERNANDEZ46294</v>
      </c>
      <c r="G359"/>
      <c r="H359" s="49" t="s">
        <v>21</v>
      </c>
      <c r="I359" s="50" t="str">
        <f>+_xlfn.XLOOKUP($H359&amp;$V359,BASEDATOS!$B:$B,BASEDATOS!F:F,0,0,1)</f>
        <v>DIA</v>
      </c>
      <c r="J359" s="51">
        <f>+_xlfn.XLOOKUP($H359&amp;$V359,BASEDATOS!$B:$B,BASEDATOS!Q:Q,0,0,1)</f>
        <v>0.29166666666666702</v>
      </c>
      <c r="K359" s="51">
        <f>+_xlfn.XLOOKUP($H359&amp;$V359,BASEDATOS!$B:$B,BASEDATOS!R:R,0,0,1)</f>
        <v>0.66666666666666696</v>
      </c>
      <c r="L359" s="51">
        <f t="shared" si="418"/>
        <v>0.37499999999999994</v>
      </c>
      <c r="M359" s="52" t="str">
        <f t="shared" si="419"/>
        <v>1:00</v>
      </c>
      <c r="N359" s="51">
        <f t="shared" si="420"/>
        <v>0.33333333333333326</v>
      </c>
      <c r="O359" s="53" t="str">
        <f t="shared" ref="O359" si="436">+O364</f>
        <v>6-0-1</v>
      </c>
      <c r="P359" s="54">
        <f>+IF(AND(Y359="Domingo",U359=7),_xlfn.XLOOKUP(O359,'Horarios y Sistemas'!C:C,'Horarios y Sistemas'!H:H,0,0,1),0)</f>
        <v>0</v>
      </c>
      <c r="Q359" s="54">
        <f>IF(U359=U360,0,IF(AVERAGEIF(W:W,W359,U:U)=U359,0,_xlfn.XLOOKUP(O359,'Horarios y Sistemas'!C:C,'Horarios y Sistemas'!H:H,0,0,1)-P359))/7*U359</f>
        <v>0</v>
      </c>
      <c r="R359" s="54">
        <f t="shared" si="422"/>
        <v>0</v>
      </c>
      <c r="S359" s="55" t="str">
        <f t="shared" si="423"/>
        <v>SEPTIEMBRE</v>
      </c>
      <c r="T359" s="55" t="str">
        <f t="shared" si="424"/>
        <v>Sem40</v>
      </c>
      <c r="U359" s="56">
        <f t="shared" si="391"/>
        <v>7</v>
      </c>
      <c r="V359" s="59">
        <v>46294</v>
      </c>
      <c r="W359" s="56">
        <f t="shared" si="425"/>
        <v>40</v>
      </c>
      <c r="X359" s="56">
        <f t="shared" si="426"/>
        <v>29</v>
      </c>
      <c r="Y359" s="56" t="s">
        <v>29</v>
      </c>
      <c r="Z359" s="56">
        <v>2</v>
      </c>
      <c r="AA359" s="58">
        <f t="shared" si="399"/>
        <v>1</v>
      </c>
      <c r="AB359" s="58">
        <f t="shared" si="399"/>
        <v>0</v>
      </c>
      <c r="AC359" s="58">
        <f t="shared" si="399"/>
        <v>0</v>
      </c>
      <c r="AD359" s="58">
        <f t="shared" si="399"/>
        <v>0</v>
      </c>
      <c r="AE359" s="58">
        <f t="shared" si="399"/>
        <v>0</v>
      </c>
      <c r="AF359" s="71"/>
      <c r="AG359" s="71"/>
      <c r="AH359" s="71"/>
    </row>
    <row r="360" spans="2:34" s="60" customFormat="1">
      <c r="B360" t="str">
        <f t="shared" si="413"/>
        <v>Sem4040ELMER CRISTOBAL LOPEZ HERNANDEZ</v>
      </c>
      <c r="C360" t="str">
        <f t="shared" si="414"/>
        <v>SEPTIEMBRESem40</v>
      </c>
      <c r="D360" t="str">
        <f t="shared" si="415"/>
        <v>SEPTIEMBRESem40ELMER CRISTOBAL LOPEZ HERNANDEZ</v>
      </c>
      <c r="E360" t="str">
        <f t="shared" si="416"/>
        <v>SEPTIEMBRESem4040ELMER CRISTOBAL LOPEZ HERNANDEZ</v>
      </c>
      <c r="F360" t="str">
        <f t="shared" si="417"/>
        <v>ELMER CRISTOBAL LOPEZ HERNANDEZ46295</v>
      </c>
      <c r="G360"/>
      <c r="H360" s="49" t="s">
        <v>21</v>
      </c>
      <c r="I360" s="50" t="str">
        <f>+_xlfn.XLOOKUP($H360&amp;$V360,BASEDATOS!$B:$B,BASEDATOS!F:F,0,0,1)</f>
        <v>DIA</v>
      </c>
      <c r="J360" s="51">
        <f>+_xlfn.XLOOKUP($H360&amp;$V360,BASEDATOS!$B:$B,BASEDATOS!Q:Q,0,0,1)</f>
        <v>0.29166666666666702</v>
      </c>
      <c r="K360" s="51">
        <f>+_xlfn.XLOOKUP($H360&amp;$V360,BASEDATOS!$B:$B,BASEDATOS!R:R,0,0,1)</f>
        <v>0.66666666666666696</v>
      </c>
      <c r="L360" s="51">
        <f t="shared" si="418"/>
        <v>0.37499999999999994</v>
      </c>
      <c r="M360" s="52" t="str">
        <f t="shared" si="419"/>
        <v>1:00</v>
      </c>
      <c r="N360" s="51">
        <f t="shared" si="420"/>
        <v>0.33333333333333326</v>
      </c>
      <c r="O360" s="53" t="str">
        <f t="shared" ref="O360" si="437">+O364</f>
        <v>6-0-1</v>
      </c>
      <c r="P360" s="54">
        <f>+IF(AND(Y360="Domingo",U360=7),_xlfn.XLOOKUP(O360,'Horarios y Sistemas'!C:C,'Horarios y Sistemas'!H:H,0,0,1),0)</f>
        <v>0</v>
      </c>
      <c r="Q360" s="54">
        <f>IF(U360=U361,0,IF(AVERAGEIF(W:W,W360,U:U)=U360,0,_xlfn.XLOOKUP(O360,'Horarios y Sistemas'!C:C,'Horarios y Sistemas'!H:H,0,0,1)-P360))/7*U360</f>
        <v>0</v>
      </c>
      <c r="R360" s="54">
        <f t="shared" si="422"/>
        <v>0</v>
      </c>
      <c r="S360" s="55" t="str">
        <f t="shared" si="423"/>
        <v>SEPTIEMBRE</v>
      </c>
      <c r="T360" s="55" t="str">
        <f t="shared" si="424"/>
        <v>Sem40</v>
      </c>
      <c r="U360" s="56">
        <f t="shared" si="391"/>
        <v>7</v>
      </c>
      <c r="V360" s="59">
        <v>46295</v>
      </c>
      <c r="W360" s="56">
        <f t="shared" si="425"/>
        <v>40</v>
      </c>
      <c r="X360" s="56">
        <f t="shared" si="426"/>
        <v>30</v>
      </c>
      <c r="Y360" s="56" t="s">
        <v>30</v>
      </c>
      <c r="Z360" s="56">
        <v>3</v>
      </c>
      <c r="AA360" s="58">
        <f t="shared" si="399"/>
        <v>1</v>
      </c>
      <c r="AB360" s="58">
        <f t="shared" si="399"/>
        <v>0</v>
      </c>
      <c r="AC360" s="58">
        <f t="shared" si="399"/>
        <v>0</v>
      </c>
      <c r="AD360" s="58">
        <f t="shared" si="399"/>
        <v>0</v>
      </c>
      <c r="AE360" s="58">
        <f t="shared" si="399"/>
        <v>0</v>
      </c>
      <c r="AF360" s="71"/>
      <c r="AG360" s="71"/>
      <c r="AH360" s="71"/>
    </row>
    <row r="361" spans="2:34" s="60" customFormat="1">
      <c r="B361" t="str">
        <f t="shared" si="413"/>
        <v>Sem4040ELMER CRISTOBAL LOPEZ HERNANDEZ</v>
      </c>
      <c r="C361" t="str">
        <f t="shared" si="414"/>
        <v>OCTUBRESem40</v>
      </c>
      <c r="D361" t="str">
        <f t="shared" si="415"/>
        <v>OCTUBRESem40ELMER CRISTOBAL LOPEZ HERNANDEZ</v>
      </c>
      <c r="E361" t="str">
        <f t="shared" si="416"/>
        <v>OCTUBRESem4040ELMER CRISTOBAL LOPEZ HERNANDEZ</v>
      </c>
      <c r="F361" t="str">
        <f t="shared" si="417"/>
        <v>ELMER CRISTOBAL LOPEZ HERNANDEZ46296</v>
      </c>
      <c r="G361"/>
      <c r="H361" s="49" t="s">
        <v>21</v>
      </c>
      <c r="I361" s="50" t="str">
        <f>+_xlfn.XLOOKUP($H361&amp;$V361,BASEDATOS!$B:$B,BASEDATOS!F:F,0,0,1)</f>
        <v>DIA</v>
      </c>
      <c r="J361" s="51">
        <f>+_xlfn.XLOOKUP($H361&amp;$V361,BASEDATOS!$B:$B,BASEDATOS!Q:Q,0,0,1)</f>
        <v>0.375</v>
      </c>
      <c r="K361" s="51">
        <f>+_xlfn.XLOOKUP($H361&amp;$V361,BASEDATOS!$B:$B,BASEDATOS!R:R,0,0,1)</f>
        <v>0.75</v>
      </c>
      <c r="L361" s="51">
        <f t="shared" si="418"/>
        <v>0.375</v>
      </c>
      <c r="M361" s="52" t="str">
        <f t="shared" si="419"/>
        <v>1:00</v>
      </c>
      <c r="N361" s="51">
        <f t="shared" si="420"/>
        <v>0.33333333333333331</v>
      </c>
      <c r="O361" s="53" t="str">
        <f t="shared" ref="O361" si="438">+O364</f>
        <v>6-0-1</v>
      </c>
      <c r="P361" s="54">
        <f>+IF(AND(Y361="Domingo",U361=7),_xlfn.XLOOKUP(O361,'Horarios y Sistemas'!C:C,'Horarios y Sistemas'!H:H,0,0,1),0)</f>
        <v>0</v>
      </c>
      <c r="Q361" s="54">
        <f>IF(U361=U362,0,IF(AVERAGEIF(W:W,W361,U:U)=U361,0,_xlfn.XLOOKUP(O361,'Horarios y Sistemas'!C:C,'Horarios y Sistemas'!H:H,0,0,1)-P361))/7*U361</f>
        <v>0</v>
      </c>
      <c r="R361" s="54">
        <f t="shared" si="422"/>
        <v>0</v>
      </c>
      <c r="S361" s="55" t="str">
        <f t="shared" si="423"/>
        <v>OCTUBRE</v>
      </c>
      <c r="T361" s="55" t="str">
        <f t="shared" si="424"/>
        <v>Sem40</v>
      </c>
      <c r="U361" s="56">
        <f t="shared" si="391"/>
        <v>7</v>
      </c>
      <c r="V361" s="59">
        <v>46296</v>
      </c>
      <c r="W361" s="56">
        <f t="shared" si="425"/>
        <v>40</v>
      </c>
      <c r="X361" s="56">
        <f t="shared" si="426"/>
        <v>1</v>
      </c>
      <c r="Y361" s="56" t="s">
        <v>31</v>
      </c>
      <c r="Z361" s="56">
        <v>4</v>
      </c>
      <c r="AA361" s="58">
        <f t="shared" si="399"/>
        <v>1</v>
      </c>
      <c r="AB361" s="58">
        <f t="shared" si="399"/>
        <v>0</v>
      </c>
      <c r="AC361" s="58">
        <f t="shared" si="399"/>
        <v>0</v>
      </c>
      <c r="AD361" s="58">
        <f t="shared" si="399"/>
        <v>0</v>
      </c>
      <c r="AE361" s="58">
        <f t="shared" si="399"/>
        <v>0</v>
      </c>
      <c r="AF361" s="71"/>
      <c r="AG361" s="71"/>
      <c r="AH361" s="71"/>
    </row>
    <row r="362" spans="2:34" s="60" customFormat="1">
      <c r="B362" t="str">
        <f t="shared" si="413"/>
        <v>Sem4040ELMER CRISTOBAL LOPEZ HERNANDEZ</v>
      </c>
      <c r="C362" t="str">
        <f t="shared" si="414"/>
        <v>OCTUBRESem40</v>
      </c>
      <c r="D362" t="str">
        <f t="shared" si="415"/>
        <v>OCTUBRESem40ELMER CRISTOBAL LOPEZ HERNANDEZ</v>
      </c>
      <c r="E362" t="str">
        <f t="shared" si="416"/>
        <v>OCTUBRESem4040ELMER CRISTOBAL LOPEZ HERNANDEZ</v>
      </c>
      <c r="F362" t="str">
        <f t="shared" si="417"/>
        <v>ELMER CRISTOBAL LOPEZ HERNANDEZ46297</v>
      </c>
      <c r="G362"/>
      <c r="H362" s="49" t="s">
        <v>21</v>
      </c>
      <c r="I362" s="50" t="str">
        <f>+_xlfn.XLOOKUP($H362&amp;$V362,BASEDATOS!$B:$B,BASEDATOS!F:F,0,0,1)</f>
        <v>DIA</v>
      </c>
      <c r="J362" s="51">
        <f>+_xlfn.XLOOKUP($H362&amp;$V362,BASEDATOS!$B:$B,BASEDATOS!Q:Q,0,0,1)</f>
        <v>0.29166666666666702</v>
      </c>
      <c r="K362" s="51">
        <f>+_xlfn.XLOOKUP($H362&amp;$V362,BASEDATOS!$B:$B,BASEDATOS!R:R,0,0,1)</f>
        <v>0.66666666666666696</v>
      </c>
      <c r="L362" s="51">
        <f t="shared" si="418"/>
        <v>0.37499999999999994</v>
      </c>
      <c r="M362" s="52" t="str">
        <f t="shared" si="419"/>
        <v>1:00</v>
      </c>
      <c r="N362" s="51">
        <f t="shared" si="420"/>
        <v>0.33333333333333326</v>
      </c>
      <c r="O362" s="53" t="str">
        <f t="shared" ref="O362" si="439">+O364</f>
        <v>6-0-1</v>
      </c>
      <c r="P362" s="54">
        <f>+IF(AND(Y362="Domingo",U362=7),_xlfn.XLOOKUP(O362,'Horarios y Sistemas'!C:C,'Horarios y Sistemas'!H:H,0,0,1),0)</f>
        <v>0</v>
      </c>
      <c r="Q362" s="54">
        <f>IF(U362=U363,0,IF(AVERAGEIF(W:W,W362,U:U)=U362,0,_xlfn.XLOOKUP(O362,'Horarios y Sistemas'!C:C,'Horarios y Sistemas'!H:H,0,0,1)-P362))/7*U362</f>
        <v>0</v>
      </c>
      <c r="R362" s="54">
        <f t="shared" si="422"/>
        <v>0</v>
      </c>
      <c r="S362" s="55" t="str">
        <f t="shared" si="423"/>
        <v>OCTUBRE</v>
      </c>
      <c r="T362" s="55" t="str">
        <f t="shared" si="424"/>
        <v>Sem40</v>
      </c>
      <c r="U362" s="56">
        <f t="shared" si="391"/>
        <v>7</v>
      </c>
      <c r="V362" s="59">
        <v>46297</v>
      </c>
      <c r="W362" s="56">
        <f t="shared" si="425"/>
        <v>40</v>
      </c>
      <c r="X362" s="56">
        <f t="shared" si="426"/>
        <v>2</v>
      </c>
      <c r="Y362" s="56" t="s">
        <v>32</v>
      </c>
      <c r="Z362" s="56">
        <v>5</v>
      </c>
      <c r="AA362" s="58">
        <f t="shared" si="399"/>
        <v>1</v>
      </c>
      <c r="AB362" s="58">
        <f t="shared" si="399"/>
        <v>0</v>
      </c>
      <c r="AC362" s="58">
        <f t="shared" si="399"/>
        <v>0</v>
      </c>
      <c r="AD362" s="58">
        <f t="shared" si="399"/>
        <v>0</v>
      </c>
      <c r="AE362" s="58">
        <f t="shared" si="399"/>
        <v>0</v>
      </c>
      <c r="AF362" s="71"/>
      <c r="AG362" s="71"/>
      <c r="AH362" s="71"/>
    </row>
    <row r="363" spans="2:34" s="60" customFormat="1">
      <c r="B363" t="str">
        <f t="shared" si="413"/>
        <v>Sem4040ELMER CRISTOBAL LOPEZ HERNANDEZ</v>
      </c>
      <c r="C363" t="str">
        <f t="shared" si="414"/>
        <v>OCTUBRESem40</v>
      </c>
      <c r="D363" t="str">
        <f t="shared" si="415"/>
        <v>OCTUBRESem40ELMER CRISTOBAL LOPEZ HERNANDEZ</v>
      </c>
      <c r="E363" t="str">
        <f t="shared" si="416"/>
        <v>OCTUBRESem4040ELMER CRISTOBAL LOPEZ HERNANDEZ</v>
      </c>
      <c r="F363" t="str">
        <f t="shared" si="417"/>
        <v>ELMER CRISTOBAL LOPEZ HERNANDEZ46298</v>
      </c>
      <c r="G363"/>
      <c r="H363" s="49" t="s">
        <v>21</v>
      </c>
      <c r="I363" s="50" t="str">
        <f>+_xlfn.XLOOKUP($H363&amp;$V363,BASEDATOS!$B:$B,BASEDATOS!F:F,0,0,1)</f>
        <v>DIA</v>
      </c>
      <c r="J363" s="51">
        <f>+_xlfn.XLOOKUP($H363&amp;$V363,BASEDATOS!$B:$B,BASEDATOS!Q:Q,0,0,1)</f>
        <v>0.29166666666666702</v>
      </c>
      <c r="K363" s="51">
        <f>+_xlfn.XLOOKUP($H363&amp;$V363,BASEDATOS!$B:$B,BASEDATOS!R:R,0,0,1)</f>
        <v>0.5</v>
      </c>
      <c r="L363" s="51">
        <f t="shared" si="418"/>
        <v>0.20833333333333298</v>
      </c>
      <c r="M363" s="52" t="str">
        <f t="shared" si="419"/>
        <v>1:00</v>
      </c>
      <c r="N363" s="51">
        <f t="shared" si="420"/>
        <v>0.16666666666666632</v>
      </c>
      <c r="O363" s="53" t="str">
        <f t="shared" ref="O363" si="440">+O364</f>
        <v>6-0-1</v>
      </c>
      <c r="P363" s="54">
        <f>+IF(AND(Y363="Domingo",U363=7),_xlfn.XLOOKUP(O363,'Horarios y Sistemas'!C:C,'Horarios y Sistemas'!H:H,0,0,1),0)</f>
        <v>0</v>
      </c>
      <c r="Q363" s="54">
        <f>IF(U363=U364,0,IF(AVERAGEIF(W:W,W363,U:U)=U363,0,_xlfn.XLOOKUP(O363,'Horarios y Sistemas'!C:C,'Horarios y Sistemas'!H:H,0,0,1)-P363))/7*U363</f>
        <v>0</v>
      </c>
      <c r="R363" s="54">
        <f t="shared" si="422"/>
        <v>0</v>
      </c>
      <c r="S363" s="55" t="str">
        <f t="shared" si="423"/>
        <v>OCTUBRE</v>
      </c>
      <c r="T363" s="55" t="str">
        <f t="shared" si="424"/>
        <v>Sem40</v>
      </c>
      <c r="U363" s="56">
        <f t="shared" si="391"/>
        <v>7</v>
      </c>
      <c r="V363" s="59">
        <v>46298</v>
      </c>
      <c r="W363" s="56">
        <f t="shared" si="425"/>
        <v>40</v>
      </c>
      <c r="X363" s="56">
        <f t="shared" si="426"/>
        <v>3</v>
      </c>
      <c r="Y363" s="56" t="s">
        <v>33</v>
      </c>
      <c r="Z363" s="56">
        <v>6</v>
      </c>
      <c r="AA363" s="58">
        <f t="shared" si="399"/>
        <v>1</v>
      </c>
      <c r="AB363" s="58">
        <f t="shared" si="399"/>
        <v>0</v>
      </c>
      <c r="AC363" s="58">
        <f t="shared" si="399"/>
        <v>0</v>
      </c>
      <c r="AD363" s="58">
        <f t="shared" si="399"/>
        <v>0</v>
      </c>
      <c r="AE363" s="58">
        <f t="shared" si="399"/>
        <v>0</v>
      </c>
      <c r="AF363" s="71"/>
      <c r="AG363" s="71"/>
      <c r="AH363" s="71"/>
    </row>
    <row r="364" spans="2:34" s="60" customFormat="1">
      <c r="B364" s="60" t="str">
        <f t="shared" si="413"/>
        <v>Sem4040ELMER CRISTOBAL LOPEZ HERNANDEZ</v>
      </c>
      <c r="C364" s="60" t="str">
        <f t="shared" si="414"/>
        <v>OCTUBRESem40</v>
      </c>
      <c r="D364" s="60" t="str">
        <f t="shared" si="415"/>
        <v>OCTUBRESem40ELMER CRISTOBAL LOPEZ HERNANDEZ</v>
      </c>
      <c r="E364" s="60" t="str">
        <f t="shared" si="416"/>
        <v>OCTUBRESem4040ELMER CRISTOBAL LOPEZ HERNANDEZ</v>
      </c>
      <c r="F364" s="60" t="str">
        <f t="shared" si="417"/>
        <v>ELMER CRISTOBAL LOPEZ HERNANDEZ46299</v>
      </c>
      <c r="H364" s="61" t="s">
        <v>21</v>
      </c>
      <c r="I364" s="62" t="str">
        <f>+_xlfn.XLOOKUP($H364&amp;$V364,BASEDATOS!$B:$B,BASEDATOS!F:F,0,0,1)</f>
        <v>DESCANSO</v>
      </c>
      <c r="J364" s="63">
        <f>+_xlfn.XLOOKUP($H364&amp;$V364,BASEDATOS!$B:$B,BASEDATOS!Q:Q,0,0,1)</f>
        <v>0</v>
      </c>
      <c r="K364" s="63">
        <f>+_xlfn.XLOOKUP($H364&amp;$V364,BASEDATOS!$B:$B,BASEDATOS!R:R,0,0,1)</f>
        <v>0</v>
      </c>
      <c r="L364" s="63">
        <f t="shared" si="418"/>
        <v>0</v>
      </c>
      <c r="M364" s="64">
        <f t="shared" si="419"/>
        <v>0</v>
      </c>
      <c r="N364" s="63">
        <f t="shared" si="420"/>
        <v>0</v>
      </c>
      <c r="O364" s="65" t="str">
        <f t="shared" ref="O364" si="441">+IF(Y364="Domingo",SUM(AA358:AA364)&amp;"-"&amp;SUM(AB358:AB364)&amp;"-"&amp;SUM(AC358:AE364),"")</f>
        <v>6-0-1</v>
      </c>
      <c r="P364" s="66">
        <f>+IF(AND(Y364="Domingo",U364=7),_xlfn.XLOOKUP(O364,'Horarios y Sistemas'!C:C,'Horarios y Sistemas'!H:H,0,0,1),0)</f>
        <v>44</v>
      </c>
      <c r="Q364" s="66">
        <f>IF(U364=U365,0,IF(AVERAGEIF(W:W,W364,U:U)=U364,0,_xlfn.XLOOKUP(O364,'Horarios y Sistemas'!C:C,'Horarios y Sistemas'!H:H,0,0,1)-P364))/7*U364</f>
        <v>0</v>
      </c>
      <c r="R364" s="66">
        <f t="shared" si="422"/>
        <v>44</v>
      </c>
      <c r="S364" s="67" t="str">
        <f t="shared" si="423"/>
        <v>OCTUBRE</v>
      </c>
      <c r="T364" s="55" t="str">
        <f t="shared" si="424"/>
        <v>Sem40</v>
      </c>
      <c r="U364" s="68">
        <f t="shared" si="391"/>
        <v>7</v>
      </c>
      <c r="V364" s="69">
        <v>46299</v>
      </c>
      <c r="W364" s="68">
        <f t="shared" si="425"/>
        <v>40</v>
      </c>
      <c r="X364" s="68">
        <f t="shared" si="426"/>
        <v>4</v>
      </c>
      <c r="Y364" s="68" t="s">
        <v>34</v>
      </c>
      <c r="Z364" s="68">
        <v>7</v>
      </c>
      <c r="AA364" s="70">
        <f t="shared" si="399"/>
        <v>0</v>
      </c>
      <c r="AB364" s="70">
        <f t="shared" si="399"/>
        <v>0</v>
      </c>
      <c r="AC364" s="70">
        <f t="shared" si="399"/>
        <v>1</v>
      </c>
      <c r="AD364" s="70">
        <f t="shared" si="399"/>
        <v>0</v>
      </c>
      <c r="AE364" s="70">
        <f t="shared" si="399"/>
        <v>0</v>
      </c>
      <c r="AF364" s="71"/>
      <c r="AG364" s="71"/>
      <c r="AH364" s="71"/>
    </row>
    <row r="365" spans="2:34">
      <c r="B365" t="str">
        <f t="shared" si="413"/>
        <v>Sem3838EMERSON ALDAIR BIAN CONTRERAS</v>
      </c>
      <c r="C365" t="str">
        <f t="shared" si="414"/>
        <v>SEPTIEMBRESem38</v>
      </c>
      <c r="D365" t="str">
        <f t="shared" si="415"/>
        <v>SEPTIEMBRESem38EMERSON ALDAIR BIAN CONTRERAS</v>
      </c>
      <c r="E365" t="str">
        <f t="shared" si="416"/>
        <v>SEPTIEMBRESem3838EMERSON ALDAIR BIAN CONTRERAS</v>
      </c>
      <c r="F365" t="str">
        <f t="shared" si="417"/>
        <v>EMERSON ALDAIR BIAN CONTRERAS46279</v>
      </c>
      <c r="H365" s="49" t="s">
        <v>220</v>
      </c>
      <c r="I365" s="50" t="str">
        <f>+_xlfn.XLOOKUP($H365&amp;$V365,BASEDATOS!$B:$B,BASEDATOS!F:F,0,0,1)</f>
        <v>DESCANSO</v>
      </c>
      <c r="J365" s="51">
        <f>+_xlfn.XLOOKUP($H365&amp;$V365,BASEDATOS!$B:$B,BASEDATOS!Q:Q,0,0,1)</f>
        <v>0</v>
      </c>
      <c r="K365" s="51">
        <f>+_xlfn.XLOOKUP($H365&amp;$V365,BASEDATOS!$B:$B,BASEDATOS!R:R,0,0,1)</f>
        <v>0</v>
      </c>
      <c r="L365" s="51">
        <f t="shared" si="418"/>
        <v>0</v>
      </c>
      <c r="M365" s="52">
        <f t="shared" si="419"/>
        <v>0</v>
      </c>
      <c r="N365" s="51">
        <f t="shared" si="420"/>
        <v>0</v>
      </c>
      <c r="O365" s="53" t="str">
        <f t="shared" ref="O365" si="442">+O371</f>
        <v>1-3-3</v>
      </c>
      <c r="P365" s="54">
        <f>+IF(AND(Y365="Domingo",U365=7),_xlfn.XLOOKUP(O365,'Horarios y Sistemas'!C:C,'Horarios y Sistemas'!H:H,0,0,1),0)</f>
        <v>0</v>
      </c>
      <c r="Q365" s="54">
        <f>IF(U365=U366,0,IF(AVERAGEIF(W:W,W365,U:U)=U365,0,_xlfn.XLOOKUP(O365,'Horarios y Sistemas'!C:C,'Horarios y Sistemas'!H:H,0,0,1)-P365))/7*U365</f>
        <v>0</v>
      </c>
      <c r="R365" s="54">
        <f t="shared" si="422"/>
        <v>0</v>
      </c>
      <c r="S365" s="55" t="str">
        <f t="shared" si="423"/>
        <v>SEPTIEMBRE</v>
      </c>
      <c r="T365" s="55" t="str">
        <f t="shared" si="424"/>
        <v>Sem38</v>
      </c>
      <c r="U365" s="56">
        <f t="shared" si="391"/>
        <v>7</v>
      </c>
      <c r="V365" s="57">
        <v>46279</v>
      </c>
      <c r="W365" s="56">
        <f t="shared" si="425"/>
        <v>38</v>
      </c>
      <c r="X365" s="56">
        <f t="shared" si="426"/>
        <v>14</v>
      </c>
      <c r="Y365" s="56" t="s">
        <v>28</v>
      </c>
      <c r="Z365" s="56">
        <v>1</v>
      </c>
      <c r="AA365" s="58">
        <f t="shared" si="399"/>
        <v>0</v>
      </c>
      <c r="AB365" s="58">
        <f t="shared" si="399"/>
        <v>0</v>
      </c>
      <c r="AC365" s="58">
        <f t="shared" si="399"/>
        <v>1</v>
      </c>
      <c r="AD365" s="58">
        <f t="shared" si="399"/>
        <v>0</v>
      </c>
      <c r="AE365" s="58">
        <f t="shared" si="399"/>
        <v>0</v>
      </c>
    </row>
    <row r="366" spans="2:34">
      <c r="B366" t="str">
        <f t="shared" si="413"/>
        <v>Sem3838EMERSON ALDAIR BIAN CONTRERAS</v>
      </c>
      <c r="C366" t="str">
        <f t="shared" si="414"/>
        <v>SEPTIEMBRESem38</v>
      </c>
      <c r="D366" t="str">
        <f t="shared" si="415"/>
        <v>SEPTIEMBRESem38EMERSON ALDAIR BIAN CONTRERAS</v>
      </c>
      <c r="E366" t="str">
        <f t="shared" si="416"/>
        <v>SEPTIEMBRESem3838EMERSON ALDAIR BIAN CONTRERAS</v>
      </c>
      <c r="F366" t="str">
        <f t="shared" si="417"/>
        <v>EMERSON ALDAIR BIAN CONTRERAS46280</v>
      </c>
      <c r="H366" s="49" t="s">
        <v>220</v>
      </c>
      <c r="I366" s="50" t="str">
        <f>+_xlfn.XLOOKUP($H366&amp;$V366,BASEDATOS!$B:$B,BASEDATOS!F:F,0,0,1)</f>
        <v>DIA</v>
      </c>
      <c r="J366" s="51">
        <f>+_xlfn.XLOOKUP($H366&amp;$V366,BASEDATOS!$B:$B,BASEDATOS!Q:Q,0,0,1)</f>
        <v>0.33333333333333298</v>
      </c>
      <c r="K366" s="51">
        <f>+_xlfn.XLOOKUP($H366&amp;$V366,BASEDATOS!$B:$B,BASEDATOS!R:R,0,0,1)</f>
        <v>0.70833333333333304</v>
      </c>
      <c r="L366" s="51">
        <f t="shared" si="418"/>
        <v>0.37500000000000006</v>
      </c>
      <c r="M366" s="52" t="str">
        <f t="shared" si="419"/>
        <v>1:00</v>
      </c>
      <c r="N366" s="51">
        <f t="shared" si="420"/>
        <v>0.33333333333333337</v>
      </c>
      <c r="O366" s="53" t="str">
        <f t="shared" ref="O366" si="443">+O371</f>
        <v>1-3-3</v>
      </c>
      <c r="P366" s="54">
        <f>+IF(AND(Y366="Domingo",U366=7),_xlfn.XLOOKUP(O366,'Horarios y Sistemas'!C:C,'Horarios y Sistemas'!H:H,0,0,1),0)</f>
        <v>0</v>
      </c>
      <c r="Q366" s="54">
        <f>IF(U366=U367,0,IF(AVERAGEIF(W:W,W366,U:U)=U366,0,_xlfn.XLOOKUP(O366,'Horarios y Sistemas'!C:C,'Horarios y Sistemas'!H:H,0,0,1)-P366))/7*U366</f>
        <v>0</v>
      </c>
      <c r="R366" s="54">
        <f t="shared" si="422"/>
        <v>0</v>
      </c>
      <c r="S366" s="55" t="str">
        <f t="shared" si="423"/>
        <v>SEPTIEMBRE</v>
      </c>
      <c r="T366" s="55" t="str">
        <f t="shared" si="424"/>
        <v>Sem38</v>
      </c>
      <c r="U366" s="56">
        <f t="shared" si="391"/>
        <v>7</v>
      </c>
      <c r="V366" s="59">
        <v>46280</v>
      </c>
      <c r="W366" s="56">
        <f t="shared" si="425"/>
        <v>38</v>
      </c>
      <c r="X366" s="56">
        <f t="shared" si="426"/>
        <v>15</v>
      </c>
      <c r="Y366" s="56" t="s">
        <v>29</v>
      </c>
      <c r="Z366" s="56">
        <v>2</v>
      </c>
      <c r="AA366" s="58">
        <f t="shared" si="399"/>
        <v>1</v>
      </c>
      <c r="AB366" s="58">
        <f t="shared" si="399"/>
        <v>0</v>
      </c>
      <c r="AC366" s="58">
        <f t="shared" si="399"/>
        <v>0</v>
      </c>
      <c r="AD366" s="58">
        <f t="shared" si="399"/>
        <v>0</v>
      </c>
      <c r="AE366" s="58">
        <f t="shared" si="399"/>
        <v>0</v>
      </c>
    </row>
    <row r="367" spans="2:34">
      <c r="B367" t="str">
        <f t="shared" si="413"/>
        <v>Sem3838EMERSON ALDAIR BIAN CONTRERAS</v>
      </c>
      <c r="C367" t="str">
        <f t="shared" si="414"/>
        <v>SEPTIEMBRESem38</v>
      </c>
      <c r="D367" t="str">
        <f t="shared" si="415"/>
        <v>SEPTIEMBRESem38EMERSON ALDAIR BIAN CONTRERAS</v>
      </c>
      <c r="E367" t="str">
        <f t="shared" si="416"/>
        <v>SEPTIEMBRESem3838EMERSON ALDAIR BIAN CONTRERAS</v>
      </c>
      <c r="F367" t="str">
        <f t="shared" si="417"/>
        <v>EMERSON ALDAIR BIAN CONTRERAS46281</v>
      </c>
      <c r="H367" s="49" t="s">
        <v>220</v>
      </c>
      <c r="I367" s="50" t="str">
        <f>+_xlfn.XLOOKUP($H367&amp;$V367,BASEDATOS!$B:$B,BASEDATOS!F:F,0,0,1)</f>
        <v>NOCHE</v>
      </c>
      <c r="J367" s="51">
        <f>+_xlfn.XLOOKUP($H367&amp;$V367,BASEDATOS!$B:$B,BASEDATOS!Q:Q,0,0,1)</f>
        <v>0.75</v>
      </c>
      <c r="K367" s="51">
        <f>+_xlfn.XLOOKUP($H367&amp;$V367,BASEDATOS!$B:$B,BASEDATOS!R:R,0,0,1)</f>
        <v>0.25</v>
      </c>
      <c r="L367" s="51">
        <f t="shared" si="418"/>
        <v>0.5</v>
      </c>
      <c r="M367" s="52" t="str">
        <f t="shared" si="419"/>
        <v>1:00</v>
      </c>
      <c r="N367" s="51">
        <f t="shared" si="420"/>
        <v>0.45833333333333331</v>
      </c>
      <c r="O367" s="53" t="str">
        <f t="shared" ref="O367" si="444">+O371</f>
        <v>1-3-3</v>
      </c>
      <c r="P367" s="54">
        <f>+IF(AND(Y367="Domingo",U367=7),_xlfn.XLOOKUP(O367,'Horarios y Sistemas'!C:C,'Horarios y Sistemas'!H:H,0,0,1),0)</f>
        <v>0</v>
      </c>
      <c r="Q367" s="54">
        <f>IF(U367=U368,0,IF(AVERAGEIF(W:W,W367,U:U)=U367,0,_xlfn.XLOOKUP(O367,'Horarios y Sistemas'!C:C,'Horarios y Sistemas'!H:H,0,0,1)-P367))/7*U367</f>
        <v>0</v>
      </c>
      <c r="R367" s="54">
        <f t="shared" si="422"/>
        <v>0</v>
      </c>
      <c r="S367" s="55" t="str">
        <f t="shared" si="423"/>
        <v>SEPTIEMBRE</v>
      </c>
      <c r="T367" s="55" t="str">
        <f t="shared" si="424"/>
        <v>Sem38</v>
      </c>
      <c r="U367" s="56">
        <f t="shared" si="391"/>
        <v>7</v>
      </c>
      <c r="V367" s="59">
        <v>46281</v>
      </c>
      <c r="W367" s="56">
        <f t="shared" si="425"/>
        <v>38</v>
      </c>
      <c r="X367" s="56">
        <f t="shared" si="426"/>
        <v>16</v>
      </c>
      <c r="Y367" s="56" t="s">
        <v>30</v>
      </c>
      <c r="Z367" s="56">
        <v>3</v>
      </c>
      <c r="AA367" s="58">
        <f t="shared" si="399"/>
        <v>0</v>
      </c>
      <c r="AB367" s="58">
        <f t="shared" si="399"/>
        <v>1</v>
      </c>
      <c r="AC367" s="58">
        <f t="shared" si="399"/>
        <v>0</v>
      </c>
      <c r="AD367" s="58">
        <f t="shared" si="399"/>
        <v>0</v>
      </c>
      <c r="AE367" s="58">
        <f t="shared" si="399"/>
        <v>0</v>
      </c>
    </row>
    <row r="368" spans="2:34">
      <c r="B368" t="str">
        <f t="shared" si="413"/>
        <v>Sem3838EMERSON ALDAIR BIAN CONTRERAS</v>
      </c>
      <c r="C368" t="str">
        <f t="shared" si="414"/>
        <v>SEPTIEMBRESem38</v>
      </c>
      <c r="D368" t="str">
        <f t="shared" si="415"/>
        <v>SEPTIEMBRESem38EMERSON ALDAIR BIAN CONTRERAS</v>
      </c>
      <c r="E368" t="str">
        <f t="shared" si="416"/>
        <v>SEPTIEMBRESem3838EMERSON ALDAIR BIAN CONTRERAS</v>
      </c>
      <c r="F368" t="str">
        <f t="shared" si="417"/>
        <v>EMERSON ALDAIR BIAN CONTRERAS46282</v>
      </c>
      <c r="H368" s="49" t="s">
        <v>220</v>
      </c>
      <c r="I368" s="50" t="str">
        <f>+_xlfn.XLOOKUP($H368&amp;$V368,BASEDATOS!$B:$B,BASEDATOS!F:F,0,0,1)</f>
        <v>NOCHE</v>
      </c>
      <c r="J368" s="51">
        <f>+_xlfn.XLOOKUP($H368&amp;$V368,BASEDATOS!$B:$B,BASEDATOS!Q:Q,0,0,1)</f>
        <v>0.75</v>
      </c>
      <c r="K368" s="51">
        <f>+_xlfn.XLOOKUP($H368&amp;$V368,BASEDATOS!$B:$B,BASEDATOS!R:R,0,0,1)</f>
        <v>0.25</v>
      </c>
      <c r="L368" s="51">
        <f t="shared" si="418"/>
        <v>0.5</v>
      </c>
      <c r="M368" s="52" t="str">
        <f t="shared" si="419"/>
        <v>1:00</v>
      </c>
      <c r="N368" s="51">
        <f t="shared" si="420"/>
        <v>0.45833333333333331</v>
      </c>
      <c r="O368" s="53" t="str">
        <f t="shared" ref="O368" si="445">+O371</f>
        <v>1-3-3</v>
      </c>
      <c r="P368" s="54">
        <f>+IF(AND(Y368="Domingo",U368=7),_xlfn.XLOOKUP(O368,'Horarios y Sistemas'!C:C,'Horarios y Sistemas'!H:H,0,0,1),0)</f>
        <v>0</v>
      </c>
      <c r="Q368" s="54">
        <f>IF(U368=U369,0,IF(AVERAGEIF(W:W,W368,U:U)=U368,0,_xlfn.XLOOKUP(O368,'Horarios y Sistemas'!C:C,'Horarios y Sistemas'!H:H,0,0,1)-P368))/7*U368</f>
        <v>0</v>
      </c>
      <c r="R368" s="54">
        <f t="shared" si="422"/>
        <v>0</v>
      </c>
      <c r="S368" s="55" t="str">
        <f t="shared" si="423"/>
        <v>SEPTIEMBRE</v>
      </c>
      <c r="T368" s="55" t="str">
        <f t="shared" si="424"/>
        <v>Sem38</v>
      </c>
      <c r="U368" s="56">
        <f t="shared" si="391"/>
        <v>7</v>
      </c>
      <c r="V368" s="59">
        <v>46282</v>
      </c>
      <c r="W368" s="56">
        <f t="shared" si="425"/>
        <v>38</v>
      </c>
      <c r="X368" s="56">
        <f t="shared" si="426"/>
        <v>17</v>
      </c>
      <c r="Y368" s="56" t="s">
        <v>31</v>
      </c>
      <c r="Z368" s="56">
        <v>4</v>
      </c>
      <c r="AA368" s="58">
        <f t="shared" si="399"/>
        <v>0</v>
      </c>
      <c r="AB368" s="58">
        <f t="shared" si="399"/>
        <v>1</v>
      </c>
      <c r="AC368" s="58">
        <f t="shared" si="399"/>
        <v>0</v>
      </c>
      <c r="AD368" s="58">
        <f t="shared" si="399"/>
        <v>0</v>
      </c>
      <c r="AE368" s="58">
        <f t="shared" si="399"/>
        <v>0</v>
      </c>
    </row>
    <row r="369" spans="2:34">
      <c r="B369" t="str">
        <f t="shared" si="413"/>
        <v>Sem3838EMERSON ALDAIR BIAN CONTRERAS</v>
      </c>
      <c r="C369" t="str">
        <f t="shared" si="414"/>
        <v>SEPTIEMBRESem38</v>
      </c>
      <c r="D369" t="str">
        <f t="shared" si="415"/>
        <v>SEPTIEMBRESem38EMERSON ALDAIR BIAN CONTRERAS</v>
      </c>
      <c r="E369" t="str">
        <f t="shared" si="416"/>
        <v>SEPTIEMBRESem3838EMERSON ALDAIR BIAN CONTRERAS</v>
      </c>
      <c r="F369" t="str">
        <f t="shared" si="417"/>
        <v>EMERSON ALDAIR BIAN CONTRERAS46283</v>
      </c>
      <c r="H369" s="49" t="s">
        <v>220</v>
      </c>
      <c r="I369" s="50" t="str">
        <f>+_xlfn.XLOOKUP($H369&amp;$V369,BASEDATOS!$B:$B,BASEDATOS!F:F,0,0,1)</f>
        <v>NOCHE</v>
      </c>
      <c r="J369" s="51">
        <f>+_xlfn.XLOOKUP($H369&amp;$V369,BASEDATOS!$B:$B,BASEDATOS!Q:Q,0,0,1)</f>
        <v>0.75</v>
      </c>
      <c r="K369" s="51">
        <f>+_xlfn.XLOOKUP($H369&amp;$V369,BASEDATOS!$B:$B,BASEDATOS!R:R,0,0,1)</f>
        <v>0.25</v>
      </c>
      <c r="L369" s="51">
        <f t="shared" si="418"/>
        <v>0.5</v>
      </c>
      <c r="M369" s="52" t="str">
        <f t="shared" si="419"/>
        <v>1:00</v>
      </c>
      <c r="N369" s="51">
        <f t="shared" si="420"/>
        <v>0.45833333333333331</v>
      </c>
      <c r="O369" s="53" t="str">
        <f t="shared" ref="O369" si="446">+O371</f>
        <v>1-3-3</v>
      </c>
      <c r="P369" s="54">
        <f>+IF(AND(Y369="Domingo",U369=7),_xlfn.XLOOKUP(O369,'Horarios y Sistemas'!C:C,'Horarios y Sistemas'!H:H,0,0,1),0)</f>
        <v>0</v>
      </c>
      <c r="Q369" s="54">
        <f>IF(U369=U370,0,IF(AVERAGEIF(W:W,W369,U:U)=U369,0,_xlfn.XLOOKUP(O369,'Horarios y Sistemas'!C:C,'Horarios y Sistemas'!H:H,0,0,1)-P369))/7*U369</f>
        <v>0</v>
      </c>
      <c r="R369" s="54">
        <f t="shared" si="422"/>
        <v>0</v>
      </c>
      <c r="S369" s="55" t="str">
        <f t="shared" si="423"/>
        <v>SEPTIEMBRE</v>
      </c>
      <c r="T369" s="55" t="str">
        <f t="shared" si="424"/>
        <v>Sem38</v>
      </c>
      <c r="U369" s="56">
        <f t="shared" si="391"/>
        <v>7</v>
      </c>
      <c r="V369" s="59">
        <v>46283</v>
      </c>
      <c r="W369" s="56">
        <f t="shared" si="425"/>
        <v>38</v>
      </c>
      <c r="X369" s="56">
        <f t="shared" si="426"/>
        <v>18</v>
      </c>
      <c r="Y369" s="56" t="s">
        <v>32</v>
      </c>
      <c r="Z369" s="56">
        <v>5</v>
      </c>
      <c r="AA369" s="58">
        <f t="shared" si="399"/>
        <v>0</v>
      </c>
      <c r="AB369" s="58">
        <f t="shared" si="399"/>
        <v>1</v>
      </c>
      <c r="AC369" s="58">
        <f t="shared" si="399"/>
        <v>0</v>
      </c>
      <c r="AD369" s="58">
        <f t="shared" si="399"/>
        <v>0</v>
      </c>
      <c r="AE369" s="58">
        <f t="shared" si="399"/>
        <v>0</v>
      </c>
    </row>
    <row r="370" spans="2:34">
      <c r="B370" t="str">
        <f t="shared" si="413"/>
        <v>Sem3838EMERSON ALDAIR BIAN CONTRERAS</v>
      </c>
      <c r="C370" t="str">
        <f t="shared" si="414"/>
        <v>SEPTIEMBRESem38</v>
      </c>
      <c r="D370" t="str">
        <f t="shared" si="415"/>
        <v>SEPTIEMBRESem38EMERSON ALDAIR BIAN CONTRERAS</v>
      </c>
      <c r="E370" t="str">
        <f t="shared" si="416"/>
        <v>SEPTIEMBRESem3838EMERSON ALDAIR BIAN CONTRERAS</v>
      </c>
      <c r="F370" t="str">
        <f t="shared" si="417"/>
        <v>EMERSON ALDAIR BIAN CONTRERAS46284</v>
      </c>
      <c r="H370" s="49" t="s">
        <v>220</v>
      </c>
      <c r="I370" s="50" t="str">
        <f>+_xlfn.XLOOKUP($H370&amp;$V370,BASEDATOS!$B:$B,BASEDATOS!F:F,0,0,1)</f>
        <v>DESCANSO</v>
      </c>
      <c r="J370" s="51">
        <f>+_xlfn.XLOOKUP($H370&amp;$V370,BASEDATOS!$B:$B,BASEDATOS!Q:Q,0,0,1)</f>
        <v>0</v>
      </c>
      <c r="K370" s="51">
        <f>+_xlfn.XLOOKUP($H370&amp;$V370,BASEDATOS!$B:$B,BASEDATOS!R:R,0,0,1)</f>
        <v>0</v>
      </c>
      <c r="L370" s="51">
        <f t="shared" si="418"/>
        <v>0</v>
      </c>
      <c r="M370" s="52">
        <f t="shared" si="419"/>
        <v>0</v>
      </c>
      <c r="N370" s="51">
        <f t="shared" si="420"/>
        <v>0</v>
      </c>
      <c r="O370" s="53" t="str">
        <f t="shared" ref="O370" si="447">+O371</f>
        <v>1-3-3</v>
      </c>
      <c r="P370" s="54">
        <f>+IF(AND(Y370="Domingo",U370=7),_xlfn.XLOOKUP(O370,'Horarios y Sistemas'!C:C,'Horarios y Sistemas'!H:H,0,0,1),0)</f>
        <v>0</v>
      </c>
      <c r="Q370" s="54">
        <f>IF(U370=U371,0,IF(AVERAGEIF(W:W,W370,U:U)=U370,0,_xlfn.XLOOKUP(O370,'Horarios y Sistemas'!C:C,'Horarios y Sistemas'!H:H,0,0,1)-P370))/7*U370</f>
        <v>0</v>
      </c>
      <c r="R370" s="54">
        <f t="shared" si="422"/>
        <v>0</v>
      </c>
      <c r="S370" s="55" t="str">
        <f t="shared" si="423"/>
        <v>SEPTIEMBRE</v>
      </c>
      <c r="T370" s="55" t="str">
        <f t="shared" si="424"/>
        <v>Sem38</v>
      </c>
      <c r="U370" s="56">
        <f t="shared" si="391"/>
        <v>7</v>
      </c>
      <c r="V370" s="59">
        <v>46284</v>
      </c>
      <c r="W370" s="56">
        <f t="shared" si="425"/>
        <v>38</v>
      </c>
      <c r="X370" s="56">
        <f t="shared" si="426"/>
        <v>19</v>
      </c>
      <c r="Y370" s="56" t="s">
        <v>33</v>
      </c>
      <c r="Z370" s="56">
        <v>6</v>
      </c>
      <c r="AA370" s="58">
        <f t="shared" si="399"/>
        <v>0</v>
      </c>
      <c r="AB370" s="58">
        <f t="shared" si="399"/>
        <v>0</v>
      </c>
      <c r="AC370" s="58">
        <f t="shared" si="399"/>
        <v>1</v>
      </c>
      <c r="AD370" s="58">
        <f t="shared" si="399"/>
        <v>0</v>
      </c>
      <c r="AE370" s="58">
        <f t="shared" si="399"/>
        <v>0</v>
      </c>
    </row>
    <row r="371" spans="2:34" s="60" customFormat="1">
      <c r="B371" s="60" t="str">
        <f t="shared" si="413"/>
        <v>Sem3838EMERSON ALDAIR BIAN CONTRERAS</v>
      </c>
      <c r="C371" s="60" t="str">
        <f t="shared" si="414"/>
        <v>SEPTIEMBRESem38</v>
      </c>
      <c r="D371" s="60" t="str">
        <f t="shared" si="415"/>
        <v>SEPTIEMBRESem38EMERSON ALDAIR BIAN CONTRERAS</v>
      </c>
      <c r="E371" s="60" t="str">
        <f t="shared" si="416"/>
        <v>SEPTIEMBRESem3838EMERSON ALDAIR BIAN CONTRERAS</v>
      </c>
      <c r="F371" s="60" t="str">
        <f t="shared" si="417"/>
        <v>EMERSON ALDAIR BIAN CONTRERAS46285</v>
      </c>
      <c r="H371" s="61" t="s">
        <v>220</v>
      </c>
      <c r="I371" s="62" t="str">
        <f>+_xlfn.XLOOKUP($H371&amp;$V371,BASEDATOS!$B:$B,BASEDATOS!F:F,0,0,1)</f>
        <v>DESCANSO</v>
      </c>
      <c r="J371" s="63">
        <f>+_xlfn.XLOOKUP($H371&amp;$V371,BASEDATOS!$B:$B,BASEDATOS!Q:Q,0,0,1)</f>
        <v>0</v>
      </c>
      <c r="K371" s="63">
        <f>+_xlfn.XLOOKUP($H371&amp;$V371,BASEDATOS!$B:$B,BASEDATOS!R:R,0,0,1)</f>
        <v>0</v>
      </c>
      <c r="L371" s="63">
        <f t="shared" si="418"/>
        <v>0</v>
      </c>
      <c r="M371" s="64">
        <f t="shared" si="419"/>
        <v>0</v>
      </c>
      <c r="N371" s="63">
        <f t="shared" si="420"/>
        <v>0</v>
      </c>
      <c r="O371" s="65" t="str">
        <f t="shared" ref="O371" si="448">+IF(Y371="Domingo",SUM(AA365:AA371)&amp;"-"&amp;SUM(AB365:AB371)&amp;"-"&amp;SUM(AC365:AE371),"")</f>
        <v>1-3-3</v>
      </c>
      <c r="P371" s="66">
        <f>+IF(AND(Y371="Domingo",U371=7),_xlfn.XLOOKUP(O371,'Horarios y Sistemas'!C:C,'Horarios y Sistemas'!H:H,0,0,1),0)</f>
        <v>38</v>
      </c>
      <c r="Q371" s="66">
        <f>IF(U371=U372,0,IF(AVERAGEIF(W:W,W371,U:U)=U371,0,_xlfn.XLOOKUP(O371,'Horarios y Sistemas'!C:C,'Horarios y Sistemas'!H:H,0,0,1)-P371))/7*U371</f>
        <v>0</v>
      </c>
      <c r="R371" s="66">
        <f t="shared" si="422"/>
        <v>38</v>
      </c>
      <c r="S371" s="67" t="str">
        <f t="shared" si="423"/>
        <v>SEPTIEMBRE</v>
      </c>
      <c r="T371" s="55" t="str">
        <f t="shared" si="424"/>
        <v>Sem38</v>
      </c>
      <c r="U371" s="68">
        <f t="shared" si="391"/>
        <v>7</v>
      </c>
      <c r="V371" s="69">
        <v>46285</v>
      </c>
      <c r="W371" s="68">
        <f t="shared" si="425"/>
        <v>38</v>
      </c>
      <c r="X371" s="68">
        <f t="shared" si="426"/>
        <v>20</v>
      </c>
      <c r="Y371" s="68" t="s">
        <v>34</v>
      </c>
      <c r="Z371" s="68">
        <v>7</v>
      </c>
      <c r="AA371" s="70">
        <f t="shared" si="399"/>
        <v>0</v>
      </c>
      <c r="AB371" s="70">
        <f t="shared" si="399"/>
        <v>0</v>
      </c>
      <c r="AC371" s="70">
        <f t="shared" si="399"/>
        <v>1</v>
      </c>
      <c r="AD371" s="70">
        <f t="shared" si="399"/>
        <v>0</v>
      </c>
      <c r="AE371" s="70">
        <f t="shared" si="399"/>
        <v>0</v>
      </c>
      <c r="AF371" s="71"/>
      <c r="AG371" s="71"/>
      <c r="AH371" s="71"/>
    </row>
    <row r="372" spans="2:34">
      <c r="B372" t="str">
        <f t="shared" si="413"/>
        <v>Sem3939EMERSON ALDAIR BIAN CONTRERAS</v>
      </c>
      <c r="C372" t="str">
        <f t="shared" si="414"/>
        <v>SEPTIEMBRESem39</v>
      </c>
      <c r="D372" t="str">
        <f t="shared" si="415"/>
        <v>SEPTIEMBRESem39EMERSON ALDAIR BIAN CONTRERAS</v>
      </c>
      <c r="E372" t="str">
        <f t="shared" si="416"/>
        <v>SEPTIEMBRESem3939EMERSON ALDAIR BIAN CONTRERAS</v>
      </c>
      <c r="F372" t="str">
        <f t="shared" si="417"/>
        <v>EMERSON ALDAIR BIAN CONTRERAS46286</v>
      </c>
      <c r="H372" s="49" t="s">
        <v>220</v>
      </c>
      <c r="I372" s="50" t="str">
        <f>+_xlfn.XLOOKUP($H372&amp;$V372,BASEDATOS!$B:$B,BASEDATOS!F:F,0,0,1)</f>
        <v>DIA</v>
      </c>
      <c r="J372" s="51">
        <f>+_xlfn.XLOOKUP($H372&amp;$V372,BASEDATOS!$B:$B,BASEDATOS!Q:Q,0,0,1)</f>
        <v>0.25</v>
      </c>
      <c r="K372" s="51">
        <f>+_xlfn.XLOOKUP($H372&amp;$V372,BASEDATOS!$B:$B,BASEDATOS!R:R,0,0,1)</f>
        <v>0.75</v>
      </c>
      <c r="L372" s="51">
        <f t="shared" si="418"/>
        <v>0.5</v>
      </c>
      <c r="M372" s="52" t="str">
        <f t="shared" si="419"/>
        <v>1:00</v>
      </c>
      <c r="N372" s="51">
        <f t="shared" si="420"/>
        <v>0.45833333333333331</v>
      </c>
      <c r="O372" s="53" t="str">
        <f t="shared" ref="O372" si="449">+O378</f>
        <v>6-0-1</v>
      </c>
      <c r="P372" s="54">
        <f>+IF(AND(Y372="Domingo",U372=7),_xlfn.XLOOKUP(O372,'Horarios y Sistemas'!C:C,'Horarios y Sistemas'!H:H,0,0,1),0)</f>
        <v>0</v>
      </c>
      <c r="Q372" s="54">
        <f>IF(U372=U373,0,IF(AVERAGEIF(W:W,W372,U:U)=U372,0,_xlfn.XLOOKUP(O372,'Horarios y Sistemas'!C:C,'Horarios y Sistemas'!H:H,0,0,1)-P372))/7*U372</f>
        <v>0</v>
      </c>
      <c r="R372" s="54">
        <f t="shared" si="422"/>
        <v>0</v>
      </c>
      <c r="S372" s="55" t="str">
        <f t="shared" si="423"/>
        <v>SEPTIEMBRE</v>
      </c>
      <c r="T372" s="55" t="str">
        <f t="shared" si="424"/>
        <v>Sem39</v>
      </c>
      <c r="U372" s="56">
        <f t="shared" si="391"/>
        <v>7</v>
      </c>
      <c r="V372" s="59">
        <v>46286</v>
      </c>
      <c r="W372" s="56">
        <f t="shared" si="425"/>
        <v>39</v>
      </c>
      <c r="X372" s="56">
        <f t="shared" si="426"/>
        <v>21</v>
      </c>
      <c r="Y372" s="56" t="s">
        <v>28</v>
      </c>
      <c r="Z372" s="56">
        <v>1</v>
      </c>
      <c r="AA372" s="58">
        <f t="shared" si="399"/>
        <v>1</v>
      </c>
      <c r="AB372" s="58">
        <f t="shared" si="399"/>
        <v>0</v>
      </c>
      <c r="AC372" s="58">
        <f t="shared" si="399"/>
        <v>0</v>
      </c>
      <c r="AD372" s="58">
        <f t="shared" si="399"/>
        <v>0</v>
      </c>
      <c r="AE372" s="58">
        <f t="shared" si="399"/>
        <v>0</v>
      </c>
    </row>
    <row r="373" spans="2:34">
      <c r="B373" t="str">
        <f t="shared" si="413"/>
        <v>Sem3939EMERSON ALDAIR BIAN CONTRERAS</v>
      </c>
      <c r="C373" t="str">
        <f t="shared" si="414"/>
        <v>SEPTIEMBRESem39</v>
      </c>
      <c r="D373" t="str">
        <f t="shared" si="415"/>
        <v>SEPTIEMBRESem39EMERSON ALDAIR BIAN CONTRERAS</v>
      </c>
      <c r="E373" t="str">
        <f t="shared" si="416"/>
        <v>SEPTIEMBRESem3939EMERSON ALDAIR BIAN CONTRERAS</v>
      </c>
      <c r="F373" t="str">
        <f t="shared" si="417"/>
        <v>EMERSON ALDAIR BIAN CONTRERAS46287</v>
      </c>
      <c r="H373" s="49" t="s">
        <v>220</v>
      </c>
      <c r="I373" s="50" t="str">
        <f>+_xlfn.XLOOKUP($H373&amp;$V373,BASEDATOS!$B:$B,BASEDATOS!F:F,0,0,1)</f>
        <v>DIA</v>
      </c>
      <c r="J373" s="51">
        <f>+_xlfn.XLOOKUP($H373&amp;$V373,BASEDATOS!$B:$B,BASEDATOS!Q:Q,0,0,1)</f>
        <v>0.25</v>
      </c>
      <c r="K373" s="51">
        <f>+_xlfn.XLOOKUP($H373&amp;$V373,BASEDATOS!$B:$B,BASEDATOS!R:R,0,0,1)</f>
        <v>0.75</v>
      </c>
      <c r="L373" s="51">
        <f t="shared" si="418"/>
        <v>0.5</v>
      </c>
      <c r="M373" s="52" t="str">
        <f t="shared" si="419"/>
        <v>1:00</v>
      </c>
      <c r="N373" s="51">
        <f t="shared" si="420"/>
        <v>0.45833333333333331</v>
      </c>
      <c r="O373" s="53" t="str">
        <f t="shared" ref="O373" si="450">+O378</f>
        <v>6-0-1</v>
      </c>
      <c r="P373" s="54">
        <f>+IF(AND(Y373="Domingo",U373=7),_xlfn.XLOOKUP(O373,'Horarios y Sistemas'!C:C,'Horarios y Sistemas'!H:H,0,0,1),0)</f>
        <v>0</v>
      </c>
      <c r="Q373" s="54">
        <f>IF(U373=U374,0,IF(AVERAGEIF(W:W,W373,U:U)=U373,0,_xlfn.XLOOKUP(O373,'Horarios y Sistemas'!C:C,'Horarios y Sistemas'!H:H,0,0,1)-P373))/7*U373</f>
        <v>0</v>
      </c>
      <c r="R373" s="54">
        <f t="shared" si="422"/>
        <v>0</v>
      </c>
      <c r="S373" s="55" t="str">
        <f t="shared" si="423"/>
        <v>SEPTIEMBRE</v>
      </c>
      <c r="T373" s="55" t="str">
        <f t="shared" si="424"/>
        <v>Sem39</v>
      </c>
      <c r="U373" s="56">
        <f t="shared" si="391"/>
        <v>7</v>
      </c>
      <c r="V373" s="59">
        <v>46287</v>
      </c>
      <c r="W373" s="56">
        <f t="shared" si="425"/>
        <v>39</v>
      </c>
      <c r="X373" s="56">
        <f t="shared" si="426"/>
        <v>22</v>
      </c>
      <c r="Y373" s="56" t="s">
        <v>29</v>
      </c>
      <c r="Z373" s="56">
        <v>2</v>
      </c>
      <c r="AA373" s="58">
        <f t="shared" si="399"/>
        <v>1</v>
      </c>
      <c r="AB373" s="58">
        <f t="shared" si="399"/>
        <v>0</v>
      </c>
      <c r="AC373" s="58">
        <f t="shared" si="399"/>
        <v>0</v>
      </c>
      <c r="AD373" s="58">
        <f t="shared" si="399"/>
        <v>0</v>
      </c>
      <c r="AE373" s="58">
        <f t="shared" si="399"/>
        <v>0</v>
      </c>
    </row>
    <row r="374" spans="2:34">
      <c r="B374" t="str">
        <f t="shared" si="413"/>
        <v>Sem3939EMERSON ALDAIR BIAN CONTRERAS</v>
      </c>
      <c r="C374" t="str">
        <f t="shared" si="414"/>
        <v>SEPTIEMBRESem39</v>
      </c>
      <c r="D374" t="str">
        <f t="shared" si="415"/>
        <v>SEPTIEMBRESem39EMERSON ALDAIR BIAN CONTRERAS</v>
      </c>
      <c r="E374" t="str">
        <f t="shared" si="416"/>
        <v>SEPTIEMBRESem3939EMERSON ALDAIR BIAN CONTRERAS</v>
      </c>
      <c r="F374" t="str">
        <f t="shared" si="417"/>
        <v>EMERSON ALDAIR BIAN CONTRERAS46288</v>
      </c>
      <c r="H374" s="49" t="s">
        <v>220</v>
      </c>
      <c r="I374" s="50" t="str">
        <f>+_xlfn.XLOOKUP($H374&amp;$V374,BASEDATOS!$B:$B,BASEDATOS!F:F,0,0,1)</f>
        <v>DIA</v>
      </c>
      <c r="J374" s="51">
        <f>+_xlfn.XLOOKUP($H374&amp;$V374,BASEDATOS!$B:$B,BASEDATOS!Q:Q,0,0,1)</f>
        <v>0.25</v>
      </c>
      <c r="K374" s="51">
        <f>+_xlfn.XLOOKUP($H374&amp;$V374,BASEDATOS!$B:$B,BASEDATOS!R:R,0,0,1)</f>
        <v>0.75</v>
      </c>
      <c r="L374" s="51">
        <f t="shared" si="418"/>
        <v>0.5</v>
      </c>
      <c r="M374" s="52" t="str">
        <f t="shared" si="419"/>
        <v>1:00</v>
      </c>
      <c r="N374" s="51">
        <f t="shared" si="420"/>
        <v>0.45833333333333331</v>
      </c>
      <c r="O374" s="53" t="str">
        <f t="shared" ref="O374" si="451">+O378</f>
        <v>6-0-1</v>
      </c>
      <c r="P374" s="54">
        <f>+IF(AND(Y374="Domingo",U374=7),_xlfn.XLOOKUP(O374,'Horarios y Sistemas'!C:C,'Horarios y Sistemas'!H:H,0,0,1),0)</f>
        <v>0</v>
      </c>
      <c r="Q374" s="54">
        <f>IF(U374=U375,0,IF(AVERAGEIF(W:W,W374,U:U)=U374,0,_xlfn.XLOOKUP(O374,'Horarios y Sistemas'!C:C,'Horarios y Sistemas'!H:H,0,0,1)-P374))/7*U374</f>
        <v>0</v>
      </c>
      <c r="R374" s="54">
        <f t="shared" si="422"/>
        <v>0</v>
      </c>
      <c r="S374" s="55" t="str">
        <f t="shared" si="423"/>
        <v>SEPTIEMBRE</v>
      </c>
      <c r="T374" s="55" t="str">
        <f t="shared" si="424"/>
        <v>Sem39</v>
      </c>
      <c r="U374" s="56">
        <f t="shared" si="391"/>
        <v>7</v>
      </c>
      <c r="V374" s="59">
        <v>46288</v>
      </c>
      <c r="W374" s="56">
        <f t="shared" si="425"/>
        <v>39</v>
      </c>
      <c r="X374" s="56">
        <f t="shared" si="426"/>
        <v>23</v>
      </c>
      <c r="Y374" s="56" t="s">
        <v>30</v>
      </c>
      <c r="Z374" s="56">
        <v>3</v>
      </c>
      <c r="AA374" s="58">
        <f t="shared" si="399"/>
        <v>1</v>
      </c>
      <c r="AB374" s="58">
        <f t="shared" si="399"/>
        <v>0</v>
      </c>
      <c r="AC374" s="58">
        <f t="shared" si="399"/>
        <v>0</v>
      </c>
      <c r="AD374" s="58">
        <f t="shared" si="399"/>
        <v>0</v>
      </c>
      <c r="AE374" s="58">
        <f t="shared" si="399"/>
        <v>0</v>
      </c>
    </row>
    <row r="375" spans="2:34">
      <c r="B375" t="str">
        <f t="shared" si="413"/>
        <v>Sem3939EMERSON ALDAIR BIAN CONTRERAS</v>
      </c>
      <c r="C375" t="str">
        <f t="shared" si="414"/>
        <v>SEPTIEMBRESem39</v>
      </c>
      <c r="D375" t="str">
        <f t="shared" si="415"/>
        <v>SEPTIEMBRESem39EMERSON ALDAIR BIAN CONTRERAS</v>
      </c>
      <c r="E375" t="str">
        <f t="shared" si="416"/>
        <v>SEPTIEMBRESem3939EMERSON ALDAIR BIAN CONTRERAS</v>
      </c>
      <c r="F375" t="str">
        <f t="shared" si="417"/>
        <v>EMERSON ALDAIR BIAN CONTRERAS46289</v>
      </c>
      <c r="H375" s="49" t="s">
        <v>220</v>
      </c>
      <c r="I375" s="50" t="str">
        <f>+_xlfn.XLOOKUP($H375&amp;$V375,BASEDATOS!$B:$B,BASEDATOS!F:F,0,0,1)</f>
        <v>DIA</v>
      </c>
      <c r="J375" s="51">
        <f>+_xlfn.XLOOKUP($H375&amp;$V375,BASEDATOS!$B:$B,BASEDATOS!Q:Q,0,0,1)</f>
        <v>0.25</v>
      </c>
      <c r="K375" s="51">
        <f>+_xlfn.XLOOKUP($H375&amp;$V375,BASEDATOS!$B:$B,BASEDATOS!R:R,0,0,1)</f>
        <v>0.75</v>
      </c>
      <c r="L375" s="51">
        <f t="shared" si="418"/>
        <v>0.5</v>
      </c>
      <c r="M375" s="52" t="str">
        <f t="shared" si="419"/>
        <v>1:00</v>
      </c>
      <c r="N375" s="51">
        <f t="shared" si="420"/>
        <v>0.45833333333333331</v>
      </c>
      <c r="O375" s="53" t="str">
        <f t="shared" ref="O375" si="452">+O378</f>
        <v>6-0-1</v>
      </c>
      <c r="P375" s="54">
        <f>+IF(AND(Y375="Domingo",U375=7),_xlfn.XLOOKUP(O375,'Horarios y Sistemas'!C:C,'Horarios y Sistemas'!H:H,0,0,1),0)</f>
        <v>0</v>
      </c>
      <c r="Q375" s="54">
        <f>IF(U375=U376,0,IF(AVERAGEIF(W:W,W375,U:U)=U375,0,_xlfn.XLOOKUP(O375,'Horarios y Sistemas'!C:C,'Horarios y Sistemas'!H:H,0,0,1)-P375))/7*U375</f>
        <v>0</v>
      </c>
      <c r="R375" s="54">
        <f t="shared" si="422"/>
        <v>0</v>
      </c>
      <c r="S375" s="55" t="str">
        <f t="shared" si="423"/>
        <v>SEPTIEMBRE</v>
      </c>
      <c r="T375" s="55" t="str">
        <f t="shared" si="424"/>
        <v>Sem39</v>
      </c>
      <c r="U375" s="56">
        <f t="shared" si="391"/>
        <v>7</v>
      </c>
      <c r="V375" s="59">
        <v>46289</v>
      </c>
      <c r="W375" s="56">
        <f t="shared" si="425"/>
        <v>39</v>
      </c>
      <c r="X375" s="56">
        <f t="shared" si="426"/>
        <v>24</v>
      </c>
      <c r="Y375" s="56" t="s">
        <v>31</v>
      </c>
      <c r="Z375" s="56">
        <v>4</v>
      </c>
      <c r="AA375" s="58">
        <f t="shared" si="399"/>
        <v>1</v>
      </c>
      <c r="AB375" s="58">
        <f t="shared" si="399"/>
        <v>0</v>
      </c>
      <c r="AC375" s="58">
        <f t="shared" si="399"/>
        <v>0</v>
      </c>
      <c r="AD375" s="58">
        <f t="shared" si="399"/>
        <v>0</v>
      </c>
      <c r="AE375" s="58">
        <f t="shared" si="399"/>
        <v>0</v>
      </c>
    </row>
    <row r="376" spans="2:34">
      <c r="B376" t="str">
        <f t="shared" si="413"/>
        <v>Sem3939EMERSON ALDAIR BIAN CONTRERAS</v>
      </c>
      <c r="C376" t="str">
        <f t="shared" si="414"/>
        <v>SEPTIEMBRESem39</v>
      </c>
      <c r="D376" t="str">
        <f t="shared" si="415"/>
        <v>SEPTIEMBRESem39EMERSON ALDAIR BIAN CONTRERAS</v>
      </c>
      <c r="E376" t="str">
        <f t="shared" si="416"/>
        <v>SEPTIEMBRESem3939EMERSON ALDAIR BIAN CONTRERAS</v>
      </c>
      <c r="F376" t="str">
        <f t="shared" si="417"/>
        <v>EMERSON ALDAIR BIAN CONTRERAS46290</v>
      </c>
      <c r="H376" s="49" t="s">
        <v>220</v>
      </c>
      <c r="I376" s="50" t="str">
        <f>+_xlfn.XLOOKUP($H376&amp;$V376,BASEDATOS!$B:$B,BASEDATOS!F:F,0,0,1)</f>
        <v>DIA</v>
      </c>
      <c r="J376" s="51">
        <f>+_xlfn.XLOOKUP($H376&amp;$V376,BASEDATOS!$B:$B,BASEDATOS!Q:Q,0,0,1)</f>
        <v>0.25</v>
      </c>
      <c r="K376" s="51">
        <f>+_xlfn.XLOOKUP($H376&amp;$V376,BASEDATOS!$B:$B,BASEDATOS!R:R,0,0,1)</f>
        <v>0.75</v>
      </c>
      <c r="L376" s="51">
        <f t="shared" si="418"/>
        <v>0.5</v>
      </c>
      <c r="M376" s="52" t="str">
        <f t="shared" si="419"/>
        <v>1:00</v>
      </c>
      <c r="N376" s="51">
        <f t="shared" si="420"/>
        <v>0.45833333333333331</v>
      </c>
      <c r="O376" s="53" t="str">
        <f t="shared" ref="O376" si="453">+O378</f>
        <v>6-0-1</v>
      </c>
      <c r="P376" s="54">
        <f>+IF(AND(Y376="Domingo",U376=7),_xlfn.XLOOKUP(O376,'Horarios y Sistemas'!C:C,'Horarios y Sistemas'!H:H,0,0,1),0)</f>
        <v>0</v>
      </c>
      <c r="Q376" s="54">
        <f>IF(U376=U377,0,IF(AVERAGEIF(W:W,W376,U:U)=U376,0,_xlfn.XLOOKUP(O376,'Horarios y Sistemas'!C:C,'Horarios y Sistemas'!H:H,0,0,1)-P376))/7*U376</f>
        <v>0</v>
      </c>
      <c r="R376" s="54">
        <f t="shared" si="422"/>
        <v>0</v>
      </c>
      <c r="S376" s="55" t="str">
        <f t="shared" si="423"/>
        <v>SEPTIEMBRE</v>
      </c>
      <c r="T376" s="55" t="str">
        <f t="shared" si="424"/>
        <v>Sem39</v>
      </c>
      <c r="U376" s="56">
        <f t="shared" si="391"/>
        <v>7</v>
      </c>
      <c r="V376" s="59">
        <v>46290</v>
      </c>
      <c r="W376" s="56">
        <f t="shared" si="425"/>
        <v>39</v>
      </c>
      <c r="X376" s="56">
        <f t="shared" si="426"/>
        <v>25</v>
      </c>
      <c r="Y376" s="56" t="s">
        <v>32</v>
      </c>
      <c r="Z376" s="56">
        <v>5</v>
      </c>
      <c r="AA376" s="58">
        <f t="shared" si="399"/>
        <v>1</v>
      </c>
      <c r="AB376" s="58">
        <f t="shared" si="399"/>
        <v>0</v>
      </c>
      <c r="AC376" s="58">
        <f t="shared" si="399"/>
        <v>0</v>
      </c>
      <c r="AD376" s="58">
        <f t="shared" si="399"/>
        <v>0</v>
      </c>
      <c r="AE376" s="58">
        <f t="shared" si="399"/>
        <v>0</v>
      </c>
    </row>
    <row r="377" spans="2:34">
      <c r="B377" t="str">
        <f t="shared" si="413"/>
        <v>Sem3939EMERSON ALDAIR BIAN CONTRERAS</v>
      </c>
      <c r="C377" t="str">
        <f t="shared" si="414"/>
        <v>SEPTIEMBRESem39</v>
      </c>
      <c r="D377" t="str">
        <f t="shared" si="415"/>
        <v>SEPTIEMBRESem39EMERSON ALDAIR BIAN CONTRERAS</v>
      </c>
      <c r="E377" t="str">
        <f t="shared" si="416"/>
        <v>SEPTIEMBRESem3939EMERSON ALDAIR BIAN CONTRERAS</v>
      </c>
      <c r="F377" t="str">
        <f t="shared" si="417"/>
        <v>EMERSON ALDAIR BIAN CONTRERAS46291</v>
      </c>
      <c r="H377" s="49" t="s">
        <v>220</v>
      </c>
      <c r="I377" s="50" t="str">
        <f>+_xlfn.XLOOKUP($H377&amp;$V377,BASEDATOS!$B:$B,BASEDATOS!F:F,0,0,1)</f>
        <v>DIA</v>
      </c>
      <c r="J377" s="51">
        <f>+_xlfn.XLOOKUP($H377&amp;$V377,BASEDATOS!$B:$B,BASEDATOS!Q:Q,0,0,1)</f>
        <v>0.25</v>
      </c>
      <c r="K377" s="51">
        <f>+_xlfn.XLOOKUP($H377&amp;$V377,BASEDATOS!$B:$B,BASEDATOS!R:R,0,0,1)</f>
        <v>0.58333333333333304</v>
      </c>
      <c r="L377" s="51">
        <f t="shared" si="418"/>
        <v>0.33333333333333304</v>
      </c>
      <c r="M377" s="52" t="str">
        <f t="shared" si="419"/>
        <v>1:00</v>
      </c>
      <c r="N377" s="51">
        <f t="shared" si="420"/>
        <v>0.29166666666666635</v>
      </c>
      <c r="O377" s="53" t="str">
        <f t="shared" ref="O377" si="454">+O378</f>
        <v>6-0-1</v>
      </c>
      <c r="P377" s="54">
        <f>+IF(AND(Y377="Domingo",U377=7),_xlfn.XLOOKUP(O377,'Horarios y Sistemas'!C:C,'Horarios y Sistemas'!H:H,0,0,1),0)</f>
        <v>0</v>
      </c>
      <c r="Q377" s="54">
        <f>IF(U377=U378,0,IF(AVERAGEIF(W:W,W377,U:U)=U377,0,_xlfn.XLOOKUP(O377,'Horarios y Sistemas'!C:C,'Horarios y Sistemas'!H:H,0,0,1)-P377))/7*U377</f>
        <v>0</v>
      </c>
      <c r="R377" s="54">
        <f t="shared" si="422"/>
        <v>0</v>
      </c>
      <c r="S377" s="55" t="str">
        <f t="shared" si="423"/>
        <v>SEPTIEMBRE</v>
      </c>
      <c r="T377" s="55" t="str">
        <f t="shared" si="424"/>
        <v>Sem39</v>
      </c>
      <c r="U377" s="56">
        <f t="shared" si="391"/>
        <v>7</v>
      </c>
      <c r="V377" s="59">
        <v>46291</v>
      </c>
      <c r="W377" s="56">
        <f t="shared" si="425"/>
        <v>39</v>
      </c>
      <c r="X377" s="56">
        <f t="shared" si="426"/>
        <v>26</v>
      </c>
      <c r="Y377" s="56" t="s">
        <v>33</v>
      </c>
      <c r="Z377" s="56">
        <v>6</v>
      </c>
      <c r="AA377" s="58">
        <f t="shared" si="399"/>
        <v>1</v>
      </c>
      <c r="AB377" s="58">
        <f t="shared" si="399"/>
        <v>0</v>
      </c>
      <c r="AC377" s="58">
        <f t="shared" si="399"/>
        <v>0</v>
      </c>
      <c r="AD377" s="58">
        <f t="shared" si="399"/>
        <v>0</v>
      </c>
      <c r="AE377" s="58">
        <f t="shared" si="399"/>
        <v>0</v>
      </c>
    </row>
    <row r="378" spans="2:34" s="60" customFormat="1">
      <c r="B378" s="60" t="str">
        <f t="shared" si="413"/>
        <v>Sem3939EMERSON ALDAIR BIAN CONTRERAS</v>
      </c>
      <c r="C378" s="60" t="str">
        <f t="shared" si="414"/>
        <v>SEPTIEMBRESem39</v>
      </c>
      <c r="D378" s="60" t="str">
        <f t="shared" si="415"/>
        <v>SEPTIEMBRESem39EMERSON ALDAIR BIAN CONTRERAS</v>
      </c>
      <c r="E378" s="60" t="str">
        <f t="shared" si="416"/>
        <v>SEPTIEMBRESem3939EMERSON ALDAIR BIAN CONTRERAS</v>
      </c>
      <c r="F378" s="60" t="str">
        <f t="shared" si="417"/>
        <v>EMERSON ALDAIR BIAN CONTRERAS46292</v>
      </c>
      <c r="H378" s="61" t="s">
        <v>220</v>
      </c>
      <c r="I378" s="62" t="str">
        <f>+_xlfn.XLOOKUP($H378&amp;$V378,BASEDATOS!$B:$B,BASEDATOS!F:F,0,0,1)</f>
        <v>DESCANSO</v>
      </c>
      <c r="J378" s="63">
        <f>+_xlfn.XLOOKUP($H378&amp;$V378,BASEDATOS!$B:$B,BASEDATOS!Q:Q,0,0,1)</f>
        <v>0</v>
      </c>
      <c r="K378" s="63">
        <f>+_xlfn.XLOOKUP($H378&amp;$V378,BASEDATOS!$B:$B,BASEDATOS!R:R,0,0,1)</f>
        <v>0</v>
      </c>
      <c r="L378" s="63">
        <f t="shared" si="418"/>
        <v>0</v>
      </c>
      <c r="M378" s="64">
        <f t="shared" si="419"/>
        <v>0</v>
      </c>
      <c r="N378" s="63">
        <f t="shared" si="420"/>
        <v>0</v>
      </c>
      <c r="O378" s="65" t="str">
        <f t="shared" ref="O378" si="455">+IF(Y378="Domingo",SUM(AA372:AA378)&amp;"-"&amp;SUM(AB372:AB378)&amp;"-"&amp;SUM(AC372:AE378),"")</f>
        <v>6-0-1</v>
      </c>
      <c r="P378" s="66">
        <f>+IF(AND(Y378="Domingo",U378=7),_xlfn.XLOOKUP(O378,'Horarios y Sistemas'!C:C,'Horarios y Sistemas'!H:H,0,0,1),0)</f>
        <v>44</v>
      </c>
      <c r="Q378" s="66">
        <f>IF(U378=U379,0,IF(AVERAGEIF(W:W,W378,U:U)=U378,0,_xlfn.XLOOKUP(O378,'Horarios y Sistemas'!C:C,'Horarios y Sistemas'!H:H,0,0,1)-P378))/7*U378</f>
        <v>0</v>
      </c>
      <c r="R378" s="66">
        <f t="shared" si="422"/>
        <v>44</v>
      </c>
      <c r="S378" s="67" t="str">
        <f t="shared" si="423"/>
        <v>SEPTIEMBRE</v>
      </c>
      <c r="T378" s="55" t="str">
        <f t="shared" si="424"/>
        <v>Sem39</v>
      </c>
      <c r="U378" s="68">
        <f t="shared" si="391"/>
        <v>7</v>
      </c>
      <c r="V378" s="69">
        <v>46292</v>
      </c>
      <c r="W378" s="68">
        <f t="shared" si="425"/>
        <v>39</v>
      </c>
      <c r="X378" s="68">
        <f t="shared" si="426"/>
        <v>27</v>
      </c>
      <c r="Y378" s="68" t="s">
        <v>34</v>
      </c>
      <c r="Z378" s="68">
        <v>7</v>
      </c>
      <c r="AA378" s="70">
        <f t="shared" si="399"/>
        <v>0</v>
      </c>
      <c r="AB378" s="70">
        <f t="shared" si="399"/>
        <v>0</v>
      </c>
      <c r="AC378" s="70">
        <f t="shared" si="399"/>
        <v>1</v>
      </c>
      <c r="AD378" s="70">
        <f t="shared" si="399"/>
        <v>0</v>
      </c>
      <c r="AE378" s="70">
        <f t="shared" si="399"/>
        <v>0</v>
      </c>
      <c r="AF378" s="71"/>
      <c r="AG378" s="71"/>
      <c r="AH378" s="71"/>
    </row>
    <row r="379" spans="2:34">
      <c r="B379" t="str">
        <f t="shared" si="413"/>
        <v>Sem4040EMERSON ALDAIR BIAN CONTRERAS</v>
      </c>
      <c r="C379" t="str">
        <f t="shared" si="414"/>
        <v>SEPTIEMBRESem40</v>
      </c>
      <c r="D379" t="str">
        <f t="shared" si="415"/>
        <v>SEPTIEMBRESem40EMERSON ALDAIR BIAN CONTRERAS</v>
      </c>
      <c r="E379" t="str">
        <f t="shared" si="416"/>
        <v>SEPTIEMBRESem4040EMERSON ALDAIR BIAN CONTRERAS</v>
      </c>
      <c r="F379" t="str">
        <f t="shared" si="417"/>
        <v>EMERSON ALDAIR BIAN CONTRERAS46293</v>
      </c>
      <c r="H379" s="49" t="s">
        <v>220</v>
      </c>
      <c r="I379" s="50" t="str">
        <f>+_xlfn.XLOOKUP($H379&amp;$V379,BASEDATOS!$B:$B,BASEDATOS!F:F,0,0,1)</f>
        <v>NOCHE</v>
      </c>
      <c r="J379" s="51">
        <f>+_xlfn.XLOOKUP($H379&amp;$V379,BASEDATOS!$B:$B,BASEDATOS!Q:Q,0,0,1)</f>
        <v>0.75</v>
      </c>
      <c r="K379" s="51">
        <f>+_xlfn.XLOOKUP($H379&amp;$V379,BASEDATOS!$B:$B,BASEDATOS!R:R,0,0,1)</f>
        <v>0.25</v>
      </c>
      <c r="L379" s="51">
        <f t="shared" si="418"/>
        <v>0.5</v>
      </c>
      <c r="M379" s="52" t="str">
        <f t="shared" si="419"/>
        <v>1:00</v>
      </c>
      <c r="N379" s="51">
        <f t="shared" si="420"/>
        <v>0.45833333333333331</v>
      </c>
      <c r="O379" s="53" t="str">
        <f t="shared" ref="O379" si="456">+O385</f>
        <v>0-5-2</v>
      </c>
      <c r="P379" s="54">
        <f>+IF(AND(Y379="Domingo",U379=7),_xlfn.XLOOKUP(O379,'Horarios y Sistemas'!C:C,'Horarios y Sistemas'!H:H,0,0,1),0)</f>
        <v>0</v>
      </c>
      <c r="Q379" s="54">
        <f>IF(U379=U380,0,IF(AVERAGEIF(W:W,W379,U:U)=U379,0,_xlfn.XLOOKUP(O379,'Horarios y Sistemas'!C:C,'Horarios y Sistemas'!H:H,0,0,1)-P379))/7*U379</f>
        <v>0</v>
      </c>
      <c r="R379" s="54">
        <f t="shared" si="422"/>
        <v>0</v>
      </c>
      <c r="S379" s="55" t="str">
        <f t="shared" si="423"/>
        <v>SEPTIEMBRE</v>
      </c>
      <c r="T379" s="55" t="str">
        <f t="shared" si="424"/>
        <v>Sem40</v>
      </c>
      <c r="U379" s="56">
        <f t="shared" si="391"/>
        <v>7</v>
      </c>
      <c r="V379" s="59">
        <v>46293</v>
      </c>
      <c r="W379" s="56">
        <f t="shared" si="425"/>
        <v>40</v>
      </c>
      <c r="X379" s="56">
        <f t="shared" si="426"/>
        <v>28</v>
      </c>
      <c r="Y379" s="56" t="s">
        <v>28</v>
      </c>
      <c r="Z379" s="56">
        <v>1</v>
      </c>
      <c r="AA379" s="58">
        <f t="shared" si="399"/>
        <v>0</v>
      </c>
      <c r="AB379" s="58">
        <f t="shared" si="399"/>
        <v>1</v>
      </c>
      <c r="AC379" s="58">
        <f t="shared" si="399"/>
        <v>0</v>
      </c>
      <c r="AD379" s="58">
        <f t="shared" si="399"/>
        <v>0</v>
      </c>
      <c r="AE379" s="58">
        <f t="shared" si="399"/>
        <v>0</v>
      </c>
    </row>
    <row r="380" spans="2:34">
      <c r="B380" t="str">
        <f t="shared" si="413"/>
        <v>Sem4040EMERSON ALDAIR BIAN CONTRERAS</v>
      </c>
      <c r="C380" t="str">
        <f t="shared" si="414"/>
        <v>SEPTIEMBRESem40</v>
      </c>
      <c r="D380" t="str">
        <f t="shared" si="415"/>
        <v>SEPTIEMBRESem40EMERSON ALDAIR BIAN CONTRERAS</v>
      </c>
      <c r="E380" t="str">
        <f t="shared" si="416"/>
        <v>SEPTIEMBRESem4040EMERSON ALDAIR BIAN CONTRERAS</v>
      </c>
      <c r="F380" t="str">
        <f t="shared" si="417"/>
        <v>EMERSON ALDAIR BIAN CONTRERAS46294</v>
      </c>
      <c r="H380" s="49" t="s">
        <v>220</v>
      </c>
      <c r="I380" s="50" t="str">
        <f>+_xlfn.XLOOKUP($H380&amp;$V380,BASEDATOS!$B:$B,BASEDATOS!F:F,0,0,1)</f>
        <v>NOCHE</v>
      </c>
      <c r="J380" s="51">
        <f>+_xlfn.XLOOKUP($H380&amp;$V380,BASEDATOS!$B:$B,BASEDATOS!Q:Q,0,0,1)</f>
        <v>0.75</v>
      </c>
      <c r="K380" s="51">
        <f>+_xlfn.XLOOKUP($H380&amp;$V380,BASEDATOS!$B:$B,BASEDATOS!R:R,0,0,1)</f>
        <v>0.25</v>
      </c>
      <c r="L380" s="51">
        <f t="shared" si="418"/>
        <v>0.5</v>
      </c>
      <c r="M380" s="52" t="str">
        <f t="shared" si="419"/>
        <v>1:00</v>
      </c>
      <c r="N380" s="51">
        <f t="shared" si="420"/>
        <v>0.45833333333333331</v>
      </c>
      <c r="O380" s="53" t="str">
        <f t="shared" ref="O380" si="457">+O385</f>
        <v>0-5-2</v>
      </c>
      <c r="P380" s="54">
        <f>+IF(AND(Y380="Domingo",U380=7),_xlfn.XLOOKUP(O380,'Horarios y Sistemas'!C:C,'Horarios y Sistemas'!H:H,0,0,1),0)</f>
        <v>0</v>
      </c>
      <c r="Q380" s="54">
        <f>IF(U380=U381,0,IF(AVERAGEIF(W:W,W380,U:U)=U380,0,_xlfn.XLOOKUP(O380,'Horarios y Sistemas'!C:C,'Horarios y Sistemas'!H:H,0,0,1)-P380))/7*U380</f>
        <v>0</v>
      </c>
      <c r="R380" s="54">
        <f t="shared" si="422"/>
        <v>0</v>
      </c>
      <c r="S380" s="55" t="str">
        <f t="shared" si="423"/>
        <v>SEPTIEMBRE</v>
      </c>
      <c r="T380" s="55" t="str">
        <f t="shared" si="424"/>
        <v>Sem40</v>
      </c>
      <c r="U380" s="56">
        <f t="shared" si="391"/>
        <v>7</v>
      </c>
      <c r="V380" s="59">
        <v>46294</v>
      </c>
      <c r="W380" s="56">
        <f t="shared" si="425"/>
        <v>40</v>
      </c>
      <c r="X380" s="56">
        <f t="shared" si="426"/>
        <v>29</v>
      </c>
      <c r="Y380" s="56" t="s">
        <v>29</v>
      </c>
      <c r="Z380" s="56">
        <v>2</v>
      </c>
      <c r="AA380" s="58">
        <f t="shared" si="399"/>
        <v>0</v>
      </c>
      <c r="AB380" s="58">
        <f t="shared" si="399"/>
        <v>1</v>
      </c>
      <c r="AC380" s="58">
        <f t="shared" si="399"/>
        <v>0</v>
      </c>
      <c r="AD380" s="58">
        <f t="shared" si="399"/>
        <v>0</v>
      </c>
      <c r="AE380" s="58">
        <f t="shared" si="399"/>
        <v>0</v>
      </c>
    </row>
    <row r="381" spans="2:34">
      <c r="B381" t="str">
        <f t="shared" si="413"/>
        <v>Sem4040EMERSON ALDAIR BIAN CONTRERAS</v>
      </c>
      <c r="C381" t="str">
        <f t="shared" si="414"/>
        <v>SEPTIEMBRESem40</v>
      </c>
      <c r="D381" t="str">
        <f t="shared" si="415"/>
        <v>SEPTIEMBRESem40EMERSON ALDAIR BIAN CONTRERAS</v>
      </c>
      <c r="E381" t="str">
        <f t="shared" si="416"/>
        <v>SEPTIEMBRESem4040EMERSON ALDAIR BIAN CONTRERAS</v>
      </c>
      <c r="F381" t="str">
        <f t="shared" si="417"/>
        <v>EMERSON ALDAIR BIAN CONTRERAS46295</v>
      </c>
      <c r="H381" s="49" t="s">
        <v>220</v>
      </c>
      <c r="I381" s="50" t="str">
        <f>+_xlfn.XLOOKUP($H381&amp;$V381,BASEDATOS!$B:$B,BASEDATOS!F:F,0,0,1)</f>
        <v>NOCHE</v>
      </c>
      <c r="J381" s="51">
        <f>+_xlfn.XLOOKUP($H381&amp;$V381,BASEDATOS!$B:$B,BASEDATOS!Q:Q,0,0,1)</f>
        <v>0.75</v>
      </c>
      <c r="K381" s="51">
        <f>+_xlfn.XLOOKUP($H381&amp;$V381,BASEDATOS!$B:$B,BASEDATOS!R:R,0,0,1)</f>
        <v>0.25</v>
      </c>
      <c r="L381" s="51">
        <f t="shared" si="418"/>
        <v>0.5</v>
      </c>
      <c r="M381" s="52" t="str">
        <f t="shared" si="419"/>
        <v>1:00</v>
      </c>
      <c r="N381" s="51">
        <f t="shared" si="420"/>
        <v>0.45833333333333331</v>
      </c>
      <c r="O381" s="53" t="str">
        <f t="shared" ref="O381" si="458">+O385</f>
        <v>0-5-2</v>
      </c>
      <c r="P381" s="54">
        <f>+IF(AND(Y381="Domingo",U381=7),_xlfn.XLOOKUP(O381,'Horarios y Sistemas'!C:C,'Horarios y Sistemas'!H:H,0,0,1),0)</f>
        <v>0</v>
      </c>
      <c r="Q381" s="54">
        <f>IF(U381=U382,0,IF(AVERAGEIF(W:W,W381,U:U)=U381,0,_xlfn.XLOOKUP(O381,'Horarios y Sistemas'!C:C,'Horarios y Sistemas'!H:H,0,0,1)-P381))/7*U381</f>
        <v>0</v>
      </c>
      <c r="R381" s="54">
        <f t="shared" si="422"/>
        <v>0</v>
      </c>
      <c r="S381" s="55" t="str">
        <f t="shared" si="423"/>
        <v>SEPTIEMBRE</v>
      </c>
      <c r="T381" s="55" t="str">
        <f t="shared" si="424"/>
        <v>Sem40</v>
      </c>
      <c r="U381" s="56">
        <f t="shared" si="391"/>
        <v>7</v>
      </c>
      <c r="V381" s="59">
        <v>46295</v>
      </c>
      <c r="W381" s="56">
        <f t="shared" si="425"/>
        <v>40</v>
      </c>
      <c r="X381" s="56">
        <f t="shared" si="426"/>
        <v>30</v>
      </c>
      <c r="Y381" s="56" t="s">
        <v>30</v>
      </c>
      <c r="Z381" s="56">
        <v>3</v>
      </c>
      <c r="AA381" s="58">
        <f t="shared" si="399"/>
        <v>0</v>
      </c>
      <c r="AB381" s="58">
        <f t="shared" si="399"/>
        <v>1</v>
      </c>
      <c r="AC381" s="58">
        <f t="shared" si="399"/>
        <v>0</v>
      </c>
      <c r="AD381" s="58">
        <f t="shared" si="399"/>
        <v>0</v>
      </c>
      <c r="AE381" s="58">
        <f t="shared" si="399"/>
        <v>0</v>
      </c>
    </row>
    <row r="382" spans="2:34">
      <c r="B382" t="str">
        <f t="shared" si="413"/>
        <v>Sem4040EMERSON ALDAIR BIAN CONTRERAS</v>
      </c>
      <c r="C382" t="str">
        <f t="shared" si="414"/>
        <v>OCTUBRESem40</v>
      </c>
      <c r="D382" t="str">
        <f t="shared" si="415"/>
        <v>OCTUBRESem40EMERSON ALDAIR BIAN CONTRERAS</v>
      </c>
      <c r="E382" t="str">
        <f t="shared" si="416"/>
        <v>OCTUBRESem4040EMERSON ALDAIR BIAN CONTRERAS</v>
      </c>
      <c r="F382" t="str">
        <f t="shared" si="417"/>
        <v>EMERSON ALDAIR BIAN CONTRERAS46296</v>
      </c>
      <c r="H382" s="49" t="s">
        <v>220</v>
      </c>
      <c r="I382" s="50" t="str">
        <f>+_xlfn.XLOOKUP($H382&amp;$V382,BASEDATOS!$B:$B,BASEDATOS!F:F,0,0,1)</f>
        <v>NOCHE</v>
      </c>
      <c r="J382" s="51">
        <f>+_xlfn.XLOOKUP($H382&amp;$V382,BASEDATOS!$B:$B,BASEDATOS!Q:Q,0,0,1)</f>
        <v>0.75</v>
      </c>
      <c r="K382" s="51">
        <f>+_xlfn.XLOOKUP($H382&amp;$V382,BASEDATOS!$B:$B,BASEDATOS!R:R,0,0,1)</f>
        <v>0.25</v>
      </c>
      <c r="L382" s="51">
        <f t="shared" si="418"/>
        <v>0.5</v>
      </c>
      <c r="M382" s="52" t="str">
        <f t="shared" si="419"/>
        <v>1:00</v>
      </c>
      <c r="N382" s="51">
        <f t="shared" si="420"/>
        <v>0.45833333333333331</v>
      </c>
      <c r="O382" s="53" t="str">
        <f t="shared" ref="O382" si="459">+O385</f>
        <v>0-5-2</v>
      </c>
      <c r="P382" s="54">
        <f>+IF(AND(Y382="Domingo",U382=7),_xlfn.XLOOKUP(O382,'Horarios y Sistemas'!C:C,'Horarios y Sistemas'!H:H,0,0,1),0)</f>
        <v>0</v>
      </c>
      <c r="Q382" s="54">
        <f>IF(U382=U383,0,IF(AVERAGEIF(W:W,W382,U:U)=U382,0,_xlfn.XLOOKUP(O382,'Horarios y Sistemas'!C:C,'Horarios y Sistemas'!H:H,0,0,1)-P382))/7*U382</f>
        <v>0</v>
      </c>
      <c r="R382" s="54">
        <f t="shared" si="422"/>
        <v>0</v>
      </c>
      <c r="S382" s="55" t="str">
        <f t="shared" si="423"/>
        <v>OCTUBRE</v>
      </c>
      <c r="T382" s="55" t="str">
        <f t="shared" si="424"/>
        <v>Sem40</v>
      </c>
      <c r="U382" s="56">
        <f t="shared" si="391"/>
        <v>7</v>
      </c>
      <c r="V382" s="59">
        <v>46296</v>
      </c>
      <c r="W382" s="56">
        <f t="shared" si="425"/>
        <v>40</v>
      </c>
      <c r="X382" s="56">
        <f t="shared" si="426"/>
        <v>1</v>
      </c>
      <c r="Y382" s="56" t="s">
        <v>31</v>
      </c>
      <c r="Z382" s="56">
        <v>4</v>
      </c>
      <c r="AA382" s="58">
        <f t="shared" si="399"/>
        <v>0</v>
      </c>
      <c r="AB382" s="58">
        <f t="shared" si="399"/>
        <v>1</v>
      </c>
      <c r="AC382" s="58">
        <f t="shared" si="399"/>
        <v>0</v>
      </c>
      <c r="AD382" s="58">
        <f t="shared" si="399"/>
        <v>0</v>
      </c>
      <c r="AE382" s="58">
        <f t="shared" si="399"/>
        <v>0</v>
      </c>
    </row>
    <row r="383" spans="2:34">
      <c r="B383" t="str">
        <f t="shared" si="413"/>
        <v>Sem4040EMERSON ALDAIR BIAN CONTRERAS</v>
      </c>
      <c r="C383" t="str">
        <f t="shared" si="414"/>
        <v>OCTUBRESem40</v>
      </c>
      <c r="D383" t="str">
        <f t="shared" si="415"/>
        <v>OCTUBRESem40EMERSON ALDAIR BIAN CONTRERAS</v>
      </c>
      <c r="E383" t="str">
        <f t="shared" si="416"/>
        <v>OCTUBRESem4040EMERSON ALDAIR BIAN CONTRERAS</v>
      </c>
      <c r="F383" t="str">
        <f t="shared" si="417"/>
        <v>EMERSON ALDAIR BIAN CONTRERAS46297</v>
      </c>
      <c r="H383" s="49" t="s">
        <v>220</v>
      </c>
      <c r="I383" s="50" t="str">
        <f>+_xlfn.XLOOKUP($H383&amp;$V383,BASEDATOS!$B:$B,BASEDATOS!F:F,0,0,1)</f>
        <v>NOCHE</v>
      </c>
      <c r="J383" s="51">
        <f>+_xlfn.XLOOKUP($H383&amp;$V383,BASEDATOS!$B:$B,BASEDATOS!Q:Q,0,0,1)</f>
        <v>0.75</v>
      </c>
      <c r="K383" s="51">
        <f>+_xlfn.XLOOKUP($H383&amp;$V383,BASEDATOS!$B:$B,BASEDATOS!R:R,0,0,1)</f>
        <v>0.25</v>
      </c>
      <c r="L383" s="51">
        <f t="shared" si="418"/>
        <v>0.5</v>
      </c>
      <c r="M383" s="52" t="str">
        <f t="shared" si="419"/>
        <v>1:00</v>
      </c>
      <c r="N383" s="51">
        <f t="shared" si="420"/>
        <v>0.45833333333333331</v>
      </c>
      <c r="O383" s="53" t="str">
        <f t="shared" ref="O383" si="460">+O385</f>
        <v>0-5-2</v>
      </c>
      <c r="P383" s="54">
        <f>+IF(AND(Y383="Domingo",U383=7),_xlfn.XLOOKUP(O383,'Horarios y Sistemas'!C:C,'Horarios y Sistemas'!H:H,0,0,1),0)</f>
        <v>0</v>
      </c>
      <c r="Q383" s="54">
        <f>IF(U383=U384,0,IF(AVERAGEIF(W:W,W383,U:U)=U383,0,_xlfn.XLOOKUP(O383,'Horarios y Sistemas'!C:C,'Horarios y Sistemas'!H:H,0,0,1)-P383))/7*U383</f>
        <v>0</v>
      </c>
      <c r="R383" s="54">
        <f t="shared" si="422"/>
        <v>0</v>
      </c>
      <c r="S383" s="55" t="str">
        <f t="shared" si="423"/>
        <v>OCTUBRE</v>
      </c>
      <c r="T383" s="55" t="str">
        <f t="shared" si="424"/>
        <v>Sem40</v>
      </c>
      <c r="U383" s="56">
        <f t="shared" si="391"/>
        <v>7</v>
      </c>
      <c r="V383" s="59">
        <v>46297</v>
      </c>
      <c r="W383" s="56">
        <f t="shared" si="425"/>
        <v>40</v>
      </c>
      <c r="X383" s="56">
        <f t="shared" si="426"/>
        <v>2</v>
      </c>
      <c r="Y383" s="56" t="s">
        <v>32</v>
      </c>
      <c r="Z383" s="56">
        <v>5</v>
      </c>
      <c r="AA383" s="58">
        <f t="shared" si="399"/>
        <v>0</v>
      </c>
      <c r="AB383" s="58">
        <f t="shared" si="399"/>
        <v>1</v>
      </c>
      <c r="AC383" s="58">
        <f t="shared" si="399"/>
        <v>0</v>
      </c>
      <c r="AD383" s="58">
        <f t="shared" si="399"/>
        <v>0</v>
      </c>
      <c r="AE383" s="58">
        <f t="shared" si="399"/>
        <v>0</v>
      </c>
    </row>
    <row r="384" spans="2:34">
      <c r="B384" t="str">
        <f t="shared" si="413"/>
        <v>Sem4040EMERSON ALDAIR BIAN CONTRERAS</v>
      </c>
      <c r="C384" t="str">
        <f t="shared" si="414"/>
        <v>OCTUBRESem40</v>
      </c>
      <c r="D384" t="str">
        <f t="shared" si="415"/>
        <v>OCTUBRESem40EMERSON ALDAIR BIAN CONTRERAS</v>
      </c>
      <c r="E384" t="str">
        <f t="shared" si="416"/>
        <v>OCTUBRESem4040EMERSON ALDAIR BIAN CONTRERAS</v>
      </c>
      <c r="F384" t="str">
        <f t="shared" si="417"/>
        <v>EMERSON ALDAIR BIAN CONTRERAS46298</v>
      </c>
      <c r="H384" s="49" t="s">
        <v>220</v>
      </c>
      <c r="I384" s="50" t="str">
        <f>+_xlfn.XLOOKUP($H384&amp;$V384,BASEDATOS!$B:$B,BASEDATOS!F:F,0,0,1)</f>
        <v>DESCANSO</v>
      </c>
      <c r="J384" s="51">
        <f>+_xlfn.XLOOKUP($H384&amp;$V384,BASEDATOS!$B:$B,BASEDATOS!Q:Q,0,0,1)</f>
        <v>0</v>
      </c>
      <c r="K384" s="51">
        <f>+_xlfn.XLOOKUP($H384&amp;$V384,BASEDATOS!$B:$B,BASEDATOS!R:R,0,0,1)</f>
        <v>0</v>
      </c>
      <c r="L384" s="51">
        <f t="shared" si="418"/>
        <v>0</v>
      </c>
      <c r="M384" s="52">
        <f t="shared" si="419"/>
        <v>0</v>
      </c>
      <c r="N384" s="51">
        <f t="shared" si="420"/>
        <v>0</v>
      </c>
      <c r="O384" s="53" t="str">
        <f t="shared" ref="O384" si="461">+O385</f>
        <v>0-5-2</v>
      </c>
      <c r="P384" s="54">
        <f>+IF(AND(Y384="Domingo",U384=7),_xlfn.XLOOKUP(O384,'Horarios y Sistemas'!C:C,'Horarios y Sistemas'!H:H,0,0,1),0)</f>
        <v>0</v>
      </c>
      <c r="Q384" s="54">
        <f>IF(U384=U385,0,IF(AVERAGEIF(W:W,W384,U:U)=U384,0,_xlfn.XLOOKUP(O384,'Horarios y Sistemas'!C:C,'Horarios y Sistemas'!H:H,0,0,1)-P384))/7*U384</f>
        <v>0</v>
      </c>
      <c r="R384" s="54">
        <f t="shared" si="422"/>
        <v>0</v>
      </c>
      <c r="S384" s="55" t="str">
        <f t="shared" si="423"/>
        <v>OCTUBRE</v>
      </c>
      <c r="T384" s="55" t="str">
        <f t="shared" si="424"/>
        <v>Sem40</v>
      </c>
      <c r="U384" s="56">
        <f t="shared" si="391"/>
        <v>7</v>
      </c>
      <c r="V384" s="59">
        <v>46298</v>
      </c>
      <c r="W384" s="56">
        <f t="shared" si="425"/>
        <v>40</v>
      </c>
      <c r="X384" s="56">
        <f t="shared" si="426"/>
        <v>3</v>
      </c>
      <c r="Y384" s="56" t="s">
        <v>33</v>
      </c>
      <c r="Z384" s="56">
        <v>6</v>
      </c>
      <c r="AA384" s="58">
        <f t="shared" si="399"/>
        <v>0</v>
      </c>
      <c r="AB384" s="58">
        <f t="shared" si="399"/>
        <v>0</v>
      </c>
      <c r="AC384" s="58">
        <f t="shared" si="399"/>
        <v>1</v>
      </c>
      <c r="AD384" s="58">
        <f t="shared" si="399"/>
        <v>0</v>
      </c>
      <c r="AE384" s="58">
        <f t="shared" si="399"/>
        <v>0</v>
      </c>
    </row>
    <row r="385" spans="2:34" s="60" customFormat="1">
      <c r="B385" s="60" t="str">
        <f t="shared" si="413"/>
        <v>Sem4040EMERSON ALDAIR BIAN CONTRERAS</v>
      </c>
      <c r="C385" s="60" t="str">
        <f t="shared" si="414"/>
        <v>OCTUBRESem40</v>
      </c>
      <c r="D385" s="60" t="str">
        <f t="shared" si="415"/>
        <v>OCTUBRESem40EMERSON ALDAIR BIAN CONTRERAS</v>
      </c>
      <c r="E385" s="60" t="str">
        <f t="shared" si="416"/>
        <v>OCTUBRESem4040EMERSON ALDAIR BIAN CONTRERAS</v>
      </c>
      <c r="F385" s="60" t="str">
        <f t="shared" si="417"/>
        <v>EMERSON ALDAIR BIAN CONTRERAS46299</v>
      </c>
      <c r="H385" s="61" t="s">
        <v>220</v>
      </c>
      <c r="I385" s="62" t="str">
        <f>+_xlfn.XLOOKUP($H385&amp;$V385,BASEDATOS!$B:$B,BASEDATOS!F:F,0,0,1)</f>
        <v>DESCANSO</v>
      </c>
      <c r="J385" s="63">
        <f>+_xlfn.XLOOKUP($H385&amp;$V385,BASEDATOS!$B:$B,BASEDATOS!Q:Q,0,0,1)</f>
        <v>0</v>
      </c>
      <c r="K385" s="63">
        <f>+_xlfn.XLOOKUP($H385&amp;$V385,BASEDATOS!$B:$B,BASEDATOS!R:R,0,0,1)</f>
        <v>0</v>
      </c>
      <c r="L385" s="63">
        <f t="shared" si="418"/>
        <v>0</v>
      </c>
      <c r="M385" s="64">
        <f t="shared" si="419"/>
        <v>0</v>
      </c>
      <c r="N385" s="63">
        <f t="shared" si="420"/>
        <v>0</v>
      </c>
      <c r="O385" s="65" t="str">
        <f t="shared" ref="O385" si="462">+IF(Y385="Domingo",SUM(AA379:AA385)&amp;"-"&amp;SUM(AB379:AB385)&amp;"-"&amp;SUM(AC379:AE385),"")</f>
        <v>0-5-2</v>
      </c>
      <c r="P385" s="66">
        <f>+IF(AND(Y385="Domingo",U385=7),_xlfn.XLOOKUP(O385,'Horarios y Sistemas'!C:C,'Horarios y Sistemas'!H:H,0,0,1),0)</f>
        <v>36</v>
      </c>
      <c r="Q385" s="66">
        <f>IF(U385=U386,0,IF(AVERAGEIF(W:W,W385,U:U)=U385,0,_xlfn.XLOOKUP(O385,'Horarios y Sistemas'!C:C,'Horarios y Sistemas'!H:H,0,0,1)-P385))/7*U385</f>
        <v>0</v>
      </c>
      <c r="R385" s="66">
        <f t="shared" si="422"/>
        <v>36</v>
      </c>
      <c r="S385" s="67" t="str">
        <f t="shared" si="423"/>
        <v>OCTUBRE</v>
      </c>
      <c r="T385" s="55" t="str">
        <f t="shared" si="424"/>
        <v>Sem40</v>
      </c>
      <c r="U385" s="68">
        <f t="shared" si="391"/>
        <v>7</v>
      </c>
      <c r="V385" s="69">
        <v>46299</v>
      </c>
      <c r="W385" s="68">
        <f t="shared" si="425"/>
        <v>40</v>
      </c>
      <c r="X385" s="68">
        <f t="shared" si="426"/>
        <v>4</v>
      </c>
      <c r="Y385" s="68" t="s">
        <v>34</v>
      </c>
      <c r="Z385" s="68">
        <v>7</v>
      </c>
      <c r="AA385" s="70">
        <f t="shared" si="399"/>
        <v>0</v>
      </c>
      <c r="AB385" s="70">
        <f t="shared" si="399"/>
        <v>0</v>
      </c>
      <c r="AC385" s="70">
        <f t="shared" si="399"/>
        <v>1</v>
      </c>
      <c r="AD385" s="70">
        <f t="shared" si="399"/>
        <v>0</v>
      </c>
      <c r="AE385" s="70">
        <f t="shared" si="399"/>
        <v>0</v>
      </c>
      <c r="AF385" s="71"/>
      <c r="AG385" s="71"/>
      <c r="AH385" s="71"/>
    </row>
    <row r="386" spans="2:34">
      <c r="B386" t="str">
        <f t="shared" si="413"/>
        <v>Sem3838ERVIN ROLANDO CHINCHILLA ZAMORA</v>
      </c>
      <c r="C386" t="str">
        <f t="shared" si="414"/>
        <v>SEPTIEMBRESem38</v>
      </c>
      <c r="D386" t="str">
        <f t="shared" si="415"/>
        <v>SEPTIEMBRESem38ERVIN ROLANDO CHINCHILLA ZAMORA</v>
      </c>
      <c r="E386" t="str">
        <f t="shared" si="416"/>
        <v>SEPTIEMBRESem3838ERVIN ROLANDO CHINCHILLA ZAMORA</v>
      </c>
      <c r="F386" t="str">
        <f t="shared" si="417"/>
        <v>ERVIN ROLANDO CHINCHILLA ZAMORA46279</v>
      </c>
      <c r="H386" s="49" t="s">
        <v>221</v>
      </c>
      <c r="I386" s="50" t="str">
        <f>+_xlfn.XLOOKUP($H386&amp;$V386,BASEDATOS!$B:$B,BASEDATOS!F:F,0,0,1)</f>
        <v>DESCANSO</v>
      </c>
      <c r="J386" s="51">
        <f>+_xlfn.XLOOKUP($H386&amp;$V386,BASEDATOS!$B:$B,BASEDATOS!Q:Q,0,0,1)</f>
        <v>0</v>
      </c>
      <c r="K386" s="51">
        <f>+_xlfn.XLOOKUP($H386&amp;$V386,BASEDATOS!$B:$B,BASEDATOS!R:R,0,0,1)</f>
        <v>0</v>
      </c>
      <c r="L386" s="51">
        <f t="shared" si="418"/>
        <v>0</v>
      </c>
      <c r="M386" s="52">
        <f t="shared" si="419"/>
        <v>0</v>
      </c>
      <c r="N386" s="51">
        <f t="shared" si="420"/>
        <v>0</v>
      </c>
      <c r="O386" s="53" t="str">
        <f t="shared" ref="O386" si="463">+O392</f>
        <v>5-0-2</v>
      </c>
      <c r="P386" s="54">
        <f>+IF(AND(Y386="Domingo",U386=7),_xlfn.XLOOKUP(O386,'Horarios y Sistemas'!C:C,'Horarios y Sistemas'!H:H,0,0,1),0)</f>
        <v>0</v>
      </c>
      <c r="Q386" s="54">
        <f>IF(U386=U387,0,IF(AVERAGEIF(W:W,W386,U:U)=U386,0,_xlfn.XLOOKUP(O386,'Horarios y Sistemas'!C:C,'Horarios y Sistemas'!H:H,0,0,1)-P386))/7*U386</f>
        <v>0</v>
      </c>
      <c r="R386" s="54">
        <f t="shared" si="422"/>
        <v>0</v>
      </c>
      <c r="S386" s="55" t="str">
        <f t="shared" si="423"/>
        <v>SEPTIEMBRE</v>
      </c>
      <c r="T386" s="55" t="str">
        <f t="shared" si="424"/>
        <v>Sem38</v>
      </c>
      <c r="U386" s="56">
        <f t="shared" si="391"/>
        <v>7</v>
      </c>
      <c r="V386" s="57">
        <v>46279</v>
      </c>
      <c r="W386" s="56">
        <f t="shared" si="425"/>
        <v>38</v>
      </c>
      <c r="X386" s="56">
        <f t="shared" si="426"/>
        <v>14</v>
      </c>
      <c r="Y386" s="56" t="s">
        <v>28</v>
      </c>
      <c r="Z386" s="56">
        <v>1</v>
      </c>
      <c r="AA386" s="58">
        <f t="shared" ref="AA386:AE436" si="464">+IF($I386=AA$7,1,0)</f>
        <v>0</v>
      </c>
      <c r="AB386" s="58">
        <f t="shared" si="464"/>
        <v>0</v>
      </c>
      <c r="AC386" s="58">
        <f t="shared" si="464"/>
        <v>1</v>
      </c>
      <c r="AD386" s="58">
        <f t="shared" si="464"/>
        <v>0</v>
      </c>
      <c r="AE386" s="58">
        <f t="shared" si="464"/>
        <v>0</v>
      </c>
    </row>
    <row r="387" spans="2:34">
      <c r="B387" t="str">
        <f t="shared" si="413"/>
        <v>Sem3838ERVIN ROLANDO CHINCHILLA ZAMORA</v>
      </c>
      <c r="C387" t="str">
        <f t="shared" si="414"/>
        <v>SEPTIEMBRESem38</v>
      </c>
      <c r="D387" t="str">
        <f t="shared" si="415"/>
        <v>SEPTIEMBRESem38ERVIN ROLANDO CHINCHILLA ZAMORA</v>
      </c>
      <c r="E387" t="str">
        <f t="shared" si="416"/>
        <v>SEPTIEMBRESem3838ERVIN ROLANDO CHINCHILLA ZAMORA</v>
      </c>
      <c r="F387" t="str">
        <f t="shared" si="417"/>
        <v>ERVIN ROLANDO CHINCHILLA ZAMORA46280</v>
      </c>
      <c r="H387" s="49" t="s">
        <v>221</v>
      </c>
      <c r="I387" s="50" t="str">
        <f>+_xlfn.XLOOKUP($H387&amp;$V387,BASEDATOS!$B:$B,BASEDATOS!F:F,0,0,1)</f>
        <v>DIA</v>
      </c>
      <c r="J387" s="51">
        <f>+_xlfn.XLOOKUP($H387&amp;$V387,BASEDATOS!$B:$B,BASEDATOS!Q:Q,0,0,1)</f>
        <v>0.33333333333333298</v>
      </c>
      <c r="K387" s="51">
        <f>+_xlfn.XLOOKUP($H387&amp;$V387,BASEDATOS!$B:$B,BASEDATOS!R:R,0,0,1)</f>
        <v>0.70833333333333304</v>
      </c>
      <c r="L387" s="51">
        <f t="shared" si="418"/>
        <v>0.37500000000000006</v>
      </c>
      <c r="M387" s="52" t="str">
        <f t="shared" si="419"/>
        <v>1:00</v>
      </c>
      <c r="N387" s="51">
        <f t="shared" si="420"/>
        <v>0.33333333333333337</v>
      </c>
      <c r="O387" s="53" t="str">
        <f t="shared" ref="O387" si="465">+O392</f>
        <v>5-0-2</v>
      </c>
      <c r="P387" s="54">
        <f>+IF(AND(Y387="Domingo",U387=7),_xlfn.XLOOKUP(O387,'Horarios y Sistemas'!C:C,'Horarios y Sistemas'!H:H,0,0,1),0)</f>
        <v>0</v>
      </c>
      <c r="Q387" s="54">
        <f>IF(U387=U388,0,IF(AVERAGEIF(W:W,W387,U:U)=U387,0,_xlfn.XLOOKUP(O387,'Horarios y Sistemas'!C:C,'Horarios y Sistemas'!H:H,0,0,1)-P387))/7*U387</f>
        <v>0</v>
      </c>
      <c r="R387" s="54">
        <f t="shared" si="422"/>
        <v>0</v>
      </c>
      <c r="S387" s="55" t="str">
        <f t="shared" si="423"/>
        <v>SEPTIEMBRE</v>
      </c>
      <c r="T387" s="55" t="str">
        <f t="shared" si="424"/>
        <v>Sem38</v>
      </c>
      <c r="U387" s="56">
        <f t="shared" si="391"/>
        <v>7</v>
      </c>
      <c r="V387" s="59">
        <v>46280</v>
      </c>
      <c r="W387" s="56">
        <f t="shared" si="425"/>
        <v>38</v>
      </c>
      <c r="X387" s="56">
        <f t="shared" si="426"/>
        <v>15</v>
      </c>
      <c r="Y387" s="56" t="s">
        <v>29</v>
      </c>
      <c r="Z387" s="56">
        <v>2</v>
      </c>
      <c r="AA387" s="58">
        <f t="shared" si="464"/>
        <v>1</v>
      </c>
      <c r="AB387" s="58">
        <f t="shared" si="464"/>
        <v>0</v>
      </c>
      <c r="AC387" s="58">
        <f t="shared" si="464"/>
        <v>0</v>
      </c>
      <c r="AD387" s="58">
        <f t="shared" si="464"/>
        <v>0</v>
      </c>
      <c r="AE387" s="58">
        <f t="shared" si="464"/>
        <v>0</v>
      </c>
    </row>
    <row r="388" spans="2:34">
      <c r="B388" t="str">
        <f t="shared" si="413"/>
        <v>Sem3838ERVIN ROLANDO CHINCHILLA ZAMORA</v>
      </c>
      <c r="C388" t="str">
        <f t="shared" si="414"/>
        <v>SEPTIEMBRESem38</v>
      </c>
      <c r="D388" t="str">
        <f t="shared" si="415"/>
        <v>SEPTIEMBRESem38ERVIN ROLANDO CHINCHILLA ZAMORA</v>
      </c>
      <c r="E388" t="str">
        <f t="shared" si="416"/>
        <v>SEPTIEMBRESem3838ERVIN ROLANDO CHINCHILLA ZAMORA</v>
      </c>
      <c r="F388" t="str">
        <f t="shared" si="417"/>
        <v>ERVIN ROLANDO CHINCHILLA ZAMORA46281</v>
      </c>
      <c r="H388" s="49" t="s">
        <v>221</v>
      </c>
      <c r="I388" s="50" t="str">
        <f>+_xlfn.XLOOKUP($H388&amp;$V388,BASEDATOS!$B:$B,BASEDATOS!F:F,0,0,1)</f>
        <v>DIA</v>
      </c>
      <c r="J388" s="51">
        <f>+_xlfn.XLOOKUP($H388&amp;$V388,BASEDATOS!$B:$B,BASEDATOS!Q:Q,0,0,1)</f>
        <v>0.25</v>
      </c>
      <c r="K388" s="51">
        <f>+_xlfn.XLOOKUP($H388&amp;$V388,BASEDATOS!$B:$B,BASEDATOS!R:R,0,0,1)</f>
        <v>0.75</v>
      </c>
      <c r="L388" s="51">
        <f t="shared" si="418"/>
        <v>0.5</v>
      </c>
      <c r="M388" s="52" t="str">
        <f t="shared" si="419"/>
        <v>1:00</v>
      </c>
      <c r="N388" s="51">
        <f t="shared" si="420"/>
        <v>0.45833333333333331</v>
      </c>
      <c r="O388" s="53" t="str">
        <f t="shared" ref="O388" si="466">+O392</f>
        <v>5-0-2</v>
      </c>
      <c r="P388" s="54">
        <f>+IF(AND(Y388="Domingo",U388=7),_xlfn.XLOOKUP(O388,'Horarios y Sistemas'!C:C,'Horarios y Sistemas'!H:H,0,0,1),0)</f>
        <v>0</v>
      </c>
      <c r="Q388" s="54">
        <f>IF(U388=U389,0,IF(AVERAGEIF(W:W,W388,U:U)=U388,0,_xlfn.XLOOKUP(O388,'Horarios y Sistemas'!C:C,'Horarios y Sistemas'!H:H,0,0,1)-P388))/7*U388</f>
        <v>0</v>
      </c>
      <c r="R388" s="54">
        <f t="shared" si="422"/>
        <v>0</v>
      </c>
      <c r="S388" s="55" t="str">
        <f t="shared" si="423"/>
        <v>SEPTIEMBRE</v>
      </c>
      <c r="T388" s="55" t="str">
        <f t="shared" si="424"/>
        <v>Sem38</v>
      </c>
      <c r="U388" s="56">
        <f t="shared" si="391"/>
        <v>7</v>
      </c>
      <c r="V388" s="59">
        <v>46281</v>
      </c>
      <c r="W388" s="56">
        <f t="shared" si="425"/>
        <v>38</v>
      </c>
      <c r="X388" s="56">
        <f t="shared" si="426"/>
        <v>16</v>
      </c>
      <c r="Y388" s="56" t="s">
        <v>30</v>
      </c>
      <c r="Z388" s="56">
        <v>3</v>
      </c>
      <c r="AA388" s="58">
        <f t="shared" si="464"/>
        <v>1</v>
      </c>
      <c r="AB388" s="58">
        <f t="shared" si="464"/>
        <v>0</v>
      </c>
      <c r="AC388" s="58">
        <f t="shared" si="464"/>
        <v>0</v>
      </c>
      <c r="AD388" s="58">
        <f t="shared" si="464"/>
        <v>0</v>
      </c>
      <c r="AE388" s="58">
        <f t="shared" si="464"/>
        <v>0</v>
      </c>
    </row>
    <row r="389" spans="2:34">
      <c r="B389" t="str">
        <f t="shared" si="413"/>
        <v>Sem3838ERVIN ROLANDO CHINCHILLA ZAMORA</v>
      </c>
      <c r="C389" t="str">
        <f t="shared" si="414"/>
        <v>SEPTIEMBRESem38</v>
      </c>
      <c r="D389" t="str">
        <f t="shared" si="415"/>
        <v>SEPTIEMBRESem38ERVIN ROLANDO CHINCHILLA ZAMORA</v>
      </c>
      <c r="E389" t="str">
        <f t="shared" si="416"/>
        <v>SEPTIEMBRESem3838ERVIN ROLANDO CHINCHILLA ZAMORA</v>
      </c>
      <c r="F389" t="str">
        <f t="shared" si="417"/>
        <v>ERVIN ROLANDO CHINCHILLA ZAMORA46282</v>
      </c>
      <c r="H389" s="49" t="s">
        <v>221</v>
      </c>
      <c r="I389" s="50" t="str">
        <f>+_xlfn.XLOOKUP($H389&amp;$V389,BASEDATOS!$B:$B,BASEDATOS!F:F,0,0,1)</f>
        <v>DIA</v>
      </c>
      <c r="J389" s="51">
        <f>+_xlfn.XLOOKUP($H389&amp;$V389,BASEDATOS!$B:$B,BASEDATOS!Q:Q,0,0,1)</f>
        <v>0.25</v>
      </c>
      <c r="K389" s="51">
        <f>+_xlfn.XLOOKUP($H389&amp;$V389,BASEDATOS!$B:$B,BASEDATOS!R:R,0,0,1)</f>
        <v>0.75</v>
      </c>
      <c r="L389" s="51">
        <f t="shared" si="418"/>
        <v>0.5</v>
      </c>
      <c r="M389" s="52" t="str">
        <f t="shared" si="419"/>
        <v>1:00</v>
      </c>
      <c r="N389" s="51">
        <f t="shared" si="420"/>
        <v>0.45833333333333331</v>
      </c>
      <c r="O389" s="53" t="str">
        <f t="shared" ref="O389" si="467">+O392</f>
        <v>5-0-2</v>
      </c>
      <c r="P389" s="54">
        <f>+IF(AND(Y389="Domingo",U389=7),_xlfn.XLOOKUP(O389,'Horarios y Sistemas'!C:C,'Horarios y Sistemas'!H:H,0,0,1),0)</f>
        <v>0</v>
      </c>
      <c r="Q389" s="54">
        <f>IF(U389=U390,0,IF(AVERAGEIF(W:W,W389,U:U)=U389,0,_xlfn.XLOOKUP(O389,'Horarios y Sistemas'!C:C,'Horarios y Sistemas'!H:H,0,0,1)-P389))/7*U389</f>
        <v>0</v>
      </c>
      <c r="R389" s="54">
        <f t="shared" si="422"/>
        <v>0</v>
      </c>
      <c r="S389" s="55" t="str">
        <f t="shared" si="423"/>
        <v>SEPTIEMBRE</v>
      </c>
      <c r="T389" s="55" t="str">
        <f t="shared" si="424"/>
        <v>Sem38</v>
      </c>
      <c r="U389" s="56">
        <f t="shared" si="391"/>
        <v>7</v>
      </c>
      <c r="V389" s="59">
        <v>46282</v>
      </c>
      <c r="W389" s="56">
        <f t="shared" si="425"/>
        <v>38</v>
      </c>
      <c r="X389" s="56">
        <f t="shared" si="426"/>
        <v>17</v>
      </c>
      <c r="Y389" s="56" t="s">
        <v>31</v>
      </c>
      <c r="Z389" s="56">
        <v>4</v>
      </c>
      <c r="AA389" s="58">
        <f t="shared" si="464"/>
        <v>1</v>
      </c>
      <c r="AB389" s="58">
        <f t="shared" si="464"/>
        <v>0</v>
      </c>
      <c r="AC389" s="58">
        <f t="shared" si="464"/>
        <v>0</v>
      </c>
      <c r="AD389" s="58">
        <f t="shared" si="464"/>
        <v>0</v>
      </c>
      <c r="AE389" s="58">
        <f t="shared" si="464"/>
        <v>0</v>
      </c>
    </row>
    <row r="390" spans="2:34">
      <c r="B390" t="str">
        <f t="shared" si="413"/>
        <v>Sem3838ERVIN ROLANDO CHINCHILLA ZAMORA</v>
      </c>
      <c r="C390" t="str">
        <f t="shared" si="414"/>
        <v>SEPTIEMBRESem38</v>
      </c>
      <c r="D390" t="str">
        <f t="shared" si="415"/>
        <v>SEPTIEMBRESem38ERVIN ROLANDO CHINCHILLA ZAMORA</v>
      </c>
      <c r="E390" t="str">
        <f t="shared" si="416"/>
        <v>SEPTIEMBRESem3838ERVIN ROLANDO CHINCHILLA ZAMORA</v>
      </c>
      <c r="F390" t="str">
        <f t="shared" si="417"/>
        <v>ERVIN ROLANDO CHINCHILLA ZAMORA46283</v>
      </c>
      <c r="H390" s="49" t="s">
        <v>221</v>
      </c>
      <c r="I390" s="50" t="str">
        <f>+_xlfn.XLOOKUP($H390&amp;$V390,BASEDATOS!$B:$B,BASEDATOS!F:F,0,0,1)</f>
        <v>DIA</v>
      </c>
      <c r="J390" s="51">
        <f>+_xlfn.XLOOKUP($H390&amp;$V390,BASEDATOS!$B:$B,BASEDATOS!Q:Q,0,0,1)</f>
        <v>0.25</v>
      </c>
      <c r="K390" s="51">
        <f>+_xlfn.XLOOKUP($H390&amp;$V390,BASEDATOS!$B:$B,BASEDATOS!R:R,0,0,1)</f>
        <v>0.75</v>
      </c>
      <c r="L390" s="51">
        <f t="shared" si="418"/>
        <v>0.5</v>
      </c>
      <c r="M390" s="52" t="str">
        <f t="shared" si="419"/>
        <v>1:00</v>
      </c>
      <c r="N390" s="51">
        <f t="shared" si="420"/>
        <v>0.45833333333333331</v>
      </c>
      <c r="O390" s="53" t="str">
        <f t="shared" ref="O390" si="468">+O392</f>
        <v>5-0-2</v>
      </c>
      <c r="P390" s="54">
        <f>+IF(AND(Y390="Domingo",U390=7),_xlfn.XLOOKUP(O390,'Horarios y Sistemas'!C:C,'Horarios y Sistemas'!H:H,0,0,1),0)</f>
        <v>0</v>
      </c>
      <c r="Q390" s="54">
        <f>IF(U390=U391,0,IF(AVERAGEIF(W:W,W390,U:U)=U390,0,_xlfn.XLOOKUP(O390,'Horarios y Sistemas'!C:C,'Horarios y Sistemas'!H:H,0,0,1)-P390))/7*U390</f>
        <v>0</v>
      </c>
      <c r="R390" s="54">
        <f t="shared" si="422"/>
        <v>0</v>
      </c>
      <c r="S390" s="55" t="str">
        <f t="shared" si="423"/>
        <v>SEPTIEMBRE</v>
      </c>
      <c r="T390" s="55" t="str">
        <f t="shared" si="424"/>
        <v>Sem38</v>
      </c>
      <c r="U390" s="56">
        <f t="shared" si="391"/>
        <v>7</v>
      </c>
      <c r="V390" s="59">
        <v>46283</v>
      </c>
      <c r="W390" s="56">
        <f t="shared" si="425"/>
        <v>38</v>
      </c>
      <c r="X390" s="56">
        <f t="shared" si="426"/>
        <v>18</v>
      </c>
      <c r="Y390" s="56" t="s">
        <v>32</v>
      </c>
      <c r="Z390" s="56">
        <v>5</v>
      </c>
      <c r="AA390" s="58">
        <f t="shared" si="464"/>
        <v>1</v>
      </c>
      <c r="AB390" s="58">
        <f t="shared" si="464"/>
        <v>0</v>
      </c>
      <c r="AC390" s="58">
        <f t="shared" si="464"/>
        <v>0</v>
      </c>
      <c r="AD390" s="58">
        <f t="shared" si="464"/>
        <v>0</v>
      </c>
      <c r="AE390" s="58">
        <f t="shared" si="464"/>
        <v>0</v>
      </c>
    </row>
    <row r="391" spans="2:34">
      <c r="B391" t="str">
        <f t="shared" si="413"/>
        <v>Sem3838ERVIN ROLANDO CHINCHILLA ZAMORA</v>
      </c>
      <c r="C391" t="str">
        <f t="shared" si="414"/>
        <v>SEPTIEMBRESem38</v>
      </c>
      <c r="D391" t="str">
        <f t="shared" si="415"/>
        <v>SEPTIEMBRESem38ERVIN ROLANDO CHINCHILLA ZAMORA</v>
      </c>
      <c r="E391" t="str">
        <f t="shared" si="416"/>
        <v>SEPTIEMBRESem3838ERVIN ROLANDO CHINCHILLA ZAMORA</v>
      </c>
      <c r="F391" t="str">
        <f t="shared" si="417"/>
        <v>ERVIN ROLANDO CHINCHILLA ZAMORA46284</v>
      </c>
      <c r="H391" s="49" t="s">
        <v>221</v>
      </c>
      <c r="I391" s="50" t="str">
        <f>+_xlfn.XLOOKUP($H391&amp;$V391,BASEDATOS!$B:$B,BASEDATOS!F:F,0,0,1)</f>
        <v>DIA</v>
      </c>
      <c r="J391" s="51">
        <f>+_xlfn.XLOOKUP($H391&amp;$V391,BASEDATOS!$B:$B,BASEDATOS!Q:Q,0,0,1)</f>
        <v>0.25</v>
      </c>
      <c r="K391" s="51">
        <f>+_xlfn.XLOOKUP($H391&amp;$V391,BASEDATOS!$B:$B,BASEDATOS!R:R,0,0,1)</f>
        <v>0.58333333333333304</v>
      </c>
      <c r="L391" s="51">
        <f t="shared" si="418"/>
        <v>0.33333333333333304</v>
      </c>
      <c r="M391" s="52" t="str">
        <f t="shared" si="419"/>
        <v>1:00</v>
      </c>
      <c r="N391" s="51">
        <f t="shared" si="420"/>
        <v>0.29166666666666635</v>
      </c>
      <c r="O391" s="53" t="str">
        <f t="shared" ref="O391" si="469">+O392</f>
        <v>5-0-2</v>
      </c>
      <c r="P391" s="54">
        <f>+IF(AND(Y391="Domingo",U391=7),_xlfn.XLOOKUP(O391,'Horarios y Sistemas'!C:C,'Horarios y Sistemas'!H:H,0,0,1),0)</f>
        <v>0</v>
      </c>
      <c r="Q391" s="54">
        <f>IF(U391=U392,0,IF(AVERAGEIF(W:W,W391,U:U)=U391,0,_xlfn.XLOOKUP(O391,'Horarios y Sistemas'!C:C,'Horarios y Sistemas'!H:H,0,0,1)-P391))/7*U391</f>
        <v>0</v>
      </c>
      <c r="R391" s="54">
        <f t="shared" si="422"/>
        <v>0</v>
      </c>
      <c r="S391" s="55" t="str">
        <f t="shared" si="423"/>
        <v>SEPTIEMBRE</v>
      </c>
      <c r="T391" s="55" t="str">
        <f t="shared" si="424"/>
        <v>Sem38</v>
      </c>
      <c r="U391" s="56">
        <f t="shared" si="391"/>
        <v>7</v>
      </c>
      <c r="V391" s="59">
        <v>46284</v>
      </c>
      <c r="W391" s="56">
        <f t="shared" si="425"/>
        <v>38</v>
      </c>
      <c r="X391" s="56">
        <f t="shared" si="426"/>
        <v>19</v>
      </c>
      <c r="Y391" s="56" t="s">
        <v>33</v>
      </c>
      <c r="Z391" s="56">
        <v>6</v>
      </c>
      <c r="AA391" s="58">
        <f t="shared" si="464"/>
        <v>1</v>
      </c>
      <c r="AB391" s="58">
        <f t="shared" si="464"/>
        <v>0</v>
      </c>
      <c r="AC391" s="58">
        <f t="shared" si="464"/>
        <v>0</v>
      </c>
      <c r="AD391" s="58">
        <f t="shared" si="464"/>
        <v>0</v>
      </c>
      <c r="AE391" s="58">
        <f t="shared" si="464"/>
        <v>0</v>
      </c>
    </row>
    <row r="392" spans="2:34" s="60" customFormat="1">
      <c r="B392" s="60" t="str">
        <f t="shared" si="413"/>
        <v>Sem3838ERVIN ROLANDO CHINCHILLA ZAMORA</v>
      </c>
      <c r="C392" s="60" t="str">
        <f t="shared" si="414"/>
        <v>SEPTIEMBRESem38</v>
      </c>
      <c r="D392" s="60" t="str">
        <f t="shared" si="415"/>
        <v>SEPTIEMBRESem38ERVIN ROLANDO CHINCHILLA ZAMORA</v>
      </c>
      <c r="E392" s="60" t="str">
        <f t="shared" si="416"/>
        <v>SEPTIEMBRESem3838ERVIN ROLANDO CHINCHILLA ZAMORA</v>
      </c>
      <c r="F392" s="60" t="str">
        <f t="shared" si="417"/>
        <v>ERVIN ROLANDO CHINCHILLA ZAMORA46285</v>
      </c>
      <c r="H392" s="61" t="s">
        <v>221</v>
      </c>
      <c r="I392" s="62" t="str">
        <f>+_xlfn.XLOOKUP($H392&amp;$V392,BASEDATOS!$B:$B,BASEDATOS!F:F,0,0,1)</f>
        <v>DESCANSO</v>
      </c>
      <c r="J392" s="63">
        <f>+_xlfn.XLOOKUP($H392&amp;$V392,BASEDATOS!$B:$B,BASEDATOS!Q:Q,0,0,1)</f>
        <v>0</v>
      </c>
      <c r="K392" s="63">
        <f>+_xlfn.XLOOKUP($H392&amp;$V392,BASEDATOS!$B:$B,BASEDATOS!R:R,0,0,1)</f>
        <v>0</v>
      </c>
      <c r="L392" s="63">
        <f t="shared" si="418"/>
        <v>0</v>
      </c>
      <c r="M392" s="64">
        <f t="shared" si="419"/>
        <v>0</v>
      </c>
      <c r="N392" s="63">
        <f t="shared" si="420"/>
        <v>0</v>
      </c>
      <c r="O392" s="65" t="str">
        <f t="shared" ref="O392" si="470">+IF(Y392="Domingo",SUM(AA386:AA392)&amp;"-"&amp;SUM(AB386:AB392)&amp;"-"&amp;SUM(AC386:AE392),"")</f>
        <v>5-0-2</v>
      </c>
      <c r="P392" s="66">
        <f>+IF(AND(Y392="Domingo",U392=7),_xlfn.XLOOKUP(O392,'Horarios y Sistemas'!C:C,'Horarios y Sistemas'!H:H,0,0,1),0)</f>
        <v>44</v>
      </c>
      <c r="Q392" s="66">
        <f>IF(U392=U393,0,IF(AVERAGEIF(W:W,W392,U:U)=U392,0,_xlfn.XLOOKUP(O392,'Horarios y Sistemas'!C:C,'Horarios y Sistemas'!H:H,0,0,1)-P392))/7*U392</f>
        <v>0</v>
      </c>
      <c r="R392" s="66">
        <f t="shared" si="422"/>
        <v>44</v>
      </c>
      <c r="S392" s="67" t="str">
        <f t="shared" si="423"/>
        <v>SEPTIEMBRE</v>
      </c>
      <c r="T392" s="55" t="str">
        <f t="shared" si="424"/>
        <v>Sem38</v>
      </c>
      <c r="U392" s="68">
        <f t="shared" ref="U392:U455" si="471">+COUNTIF(B:B,B392)</f>
        <v>7</v>
      </c>
      <c r="V392" s="69">
        <v>46285</v>
      </c>
      <c r="W392" s="68">
        <f t="shared" si="425"/>
        <v>38</v>
      </c>
      <c r="X392" s="68">
        <f t="shared" si="426"/>
        <v>20</v>
      </c>
      <c r="Y392" s="68" t="s">
        <v>34</v>
      </c>
      <c r="Z392" s="68">
        <v>7</v>
      </c>
      <c r="AA392" s="70">
        <f t="shared" si="464"/>
        <v>0</v>
      </c>
      <c r="AB392" s="70">
        <f t="shared" si="464"/>
        <v>0</v>
      </c>
      <c r="AC392" s="70">
        <f t="shared" si="464"/>
        <v>1</v>
      </c>
      <c r="AD392" s="70">
        <f t="shared" si="464"/>
        <v>0</v>
      </c>
      <c r="AE392" s="70">
        <f t="shared" si="464"/>
        <v>0</v>
      </c>
      <c r="AF392" s="71"/>
      <c r="AG392" s="71"/>
      <c r="AH392" s="71"/>
    </row>
    <row r="393" spans="2:34">
      <c r="B393" t="str">
        <f t="shared" si="413"/>
        <v>Sem3939ERVIN ROLANDO CHINCHILLA ZAMORA</v>
      </c>
      <c r="C393" t="str">
        <f t="shared" si="414"/>
        <v>SEPTIEMBRESem39</v>
      </c>
      <c r="D393" t="str">
        <f t="shared" si="415"/>
        <v>SEPTIEMBRESem39ERVIN ROLANDO CHINCHILLA ZAMORA</v>
      </c>
      <c r="E393" t="str">
        <f t="shared" si="416"/>
        <v>SEPTIEMBRESem3939ERVIN ROLANDO CHINCHILLA ZAMORA</v>
      </c>
      <c r="F393" t="str">
        <f t="shared" si="417"/>
        <v>ERVIN ROLANDO CHINCHILLA ZAMORA46286</v>
      </c>
      <c r="H393" s="49" t="s">
        <v>221</v>
      </c>
      <c r="I393" s="50" t="str">
        <f>+_xlfn.XLOOKUP($H393&amp;$V393,BASEDATOS!$B:$B,BASEDATOS!F:F,0,0,1)</f>
        <v>NOCHE</v>
      </c>
      <c r="J393" s="51">
        <f>+_xlfn.XLOOKUP($H393&amp;$V393,BASEDATOS!$B:$B,BASEDATOS!Q:Q,0,0,1)</f>
        <v>0.75</v>
      </c>
      <c r="K393" s="51">
        <f>+_xlfn.XLOOKUP($H393&amp;$V393,BASEDATOS!$B:$B,BASEDATOS!R:R,0,0,1)</f>
        <v>0.25</v>
      </c>
      <c r="L393" s="51">
        <f t="shared" si="418"/>
        <v>0.5</v>
      </c>
      <c r="M393" s="52" t="str">
        <f t="shared" si="419"/>
        <v>1:00</v>
      </c>
      <c r="N393" s="51">
        <f t="shared" si="420"/>
        <v>0.45833333333333331</v>
      </c>
      <c r="O393" s="53" t="str">
        <f t="shared" ref="O393" si="472">+O399</f>
        <v>0-5-2</v>
      </c>
      <c r="P393" s="54">
        <f>+IF(AND(Y393="Domingo",U393=7),_xlfn.XLOOKUP(O393,'Horarios y Sistemas'!C:C,'Horarios y Sistemas'!H:H,0,0,1),0)</f>
        <v>0</v>
      </c>
      <c r="Q393" s="54">
        <f>IF(U393=U394,0,IF(AVERAGEIF(W:W,W393,U:U)=U393,0,_xlfn.XLOOKUP(O393,'Horarios y Sistemas'!C:C,'Horarios y Sistemas'!H:H,0,0,1)-P393))/7*U393</f>
        <v>0</v>
      </c>
      <c r="R393" s="54">
        <f t="shared" si="422"/>
        <v>0</v>
      </c>
      <c r="S393" s="55" t="str">
        <f t="shared" si="423"/>
        <v>SEPTIEMBRE</v>
      </c>
      <c r="T393" s="55" t="str">
        <f t="shared" si="424"/>
        <v>Sem39</v>
      </c>
      <c r="U393" s="56">
        <f t="shared" si="471"/>
        <v>7</v>
      </c>
      <c r="V393" s="59">
        <v>46286</v>
      </c>
      <c r="W393" s="56">
        <f t="shared" si="425"/>
        <v>39</v>
      </c>
      <c r="X393" s="56">
        <f t="shared" si="426"/>
        <v>21</v>
      </c>
      <c r="Y393" s="56" t="s">
        <v>28</v>
      </c>
      <c r="Z393" s="56">
        <v>1</v>
      </c>
      <c r="AA393" s="58">
        <f t="shared" si="464"/>
        <v>0</v>
      </c>
      <c r="AB393" s="58">
        <f t="shared" si="464"/>
        <v>1</v>
      </c>
      <c r="AC393" s="58">
        <f t="shared" si="464"/>
        <v>0</v>
      </c>
      <c r="AD393" s="58">
        <f t="shared" si="464"/>
        <v>0</v>
      </c>
      <c r="AE393" s="58">
        <f t="shared" si="464"/>
        <v>0</v>
      </c>
    </row>
    <row r="394" spans="2:34">
      <c r="B394" t="str">
        <f t="shared" si="413"/>
        <v>Sem3939ERVIN ROLANDO CHINCHILLA ZAMORA</v>
      </c>
      <c r="C394" t="str">
        <f t="shared" si="414"/>
        <v>SEPTIEMBRESem39</v>
      </c>
      <c r="D394" t="str">
        <f t="shared" si="415"/>
        <v>SEPTIEMBRESem39ERVIN ROLANDO CHINCHILLA ZAMORA</v>
      </c>
      <c r="E394" t="str">
        <f t="shared" si="416"/>
        <v>SEPTIEMBRESem3939ERVIN ROLANDO CHINCHILLA ZAMORA</v>
      </c>
      <c r="F394" t="str">
        <f t="shared" si="417"/>
        <v>ERVIN ROLANDO CHINCHILLA ZAMORA46287</v>
      </c>
      <c r="H394" s="49" t="s">
        <v>221</v>
      </c>
      <c r="I394" s="50" t="str">
        <f>+_xlfn.XLOOKUP($H394&amp;$V394,BASEDATOS!$B:$B,BASEDATOS!F:F,0,0,1)</f>
        <v>NOCHE</v>
      </c>
      <c r="J394" s="51">
        <f>+_xlfn.XLOOKUP($H394&amp;$V394,BASEDATOS!$B:$B,BASEDATOS!Q:Q,0,0,1)</f>
        <v>0.75</v>
      </c>
      <c r="K394" s="51">
        <f>+_xlfn.XLOOKUP($H394&amp;$V394,BASEDATOS!$B:$B,BASEDATOS!R:R,0,0,1)</f>
        <v>0.25</v>
      </c>
      <c r="L394" s="51">
        <f t="shared" si="418"/>
        <v>0.5</v>
      </c>
      <c r="M394" s="52" t="str">
        <f t="shared" si="419"/>
        <v>1:00</v>
      </c>
      <c r="N394" s="51">
        <f t="shared" si="420"/>
        <v>0.45833333333333331</v>
      </c>
      <c r="O394" s="53" t="str">
        <f t="shared" ref="O394" si="473">+O399</f>
        <v>0-5-2</v>
      </c>
      <c r="P394" s="54">
        <f>+IF(AND(Y394="Domingo",U394=7),_xlfn.XLOOKUP(O394,'Horarios y Sistemas'!C:C,'Horarios y Sistemas'!H:H,0,0,1),0)</f>
        <v>0</v>
      </c>
      <c r="Q394" s="54">
        <f>IF(U394=U395,0,IF(AVERAGEIF(W:W,W394,U:U)=U394,0,_xlfn.XLOOKUP(O394,'Horarios y Sistemas'!C:C,'Horarios y Sistemas'!H:H,0,0,1)-P394))/7*U394</f>
        <v>0</v>
      </c>
      <c r="R394" s="54">
        <f t="shared" si="422"/>
        <v>0</v>
      </c>
      <c r="S394" s="55" t="str">
        <f t="shared" si="423"/>
        <v>SEPTIEMBRE</v>
      </c>
      <c r="T394" s="55" t="str">
        <f t="shared" si="424"/>
        <v>Sem39</v>
      </c>
      <c r="U394" s="56">
        <f t="shared" si="471"/>
        <v>7</v>
      </c>
      <c r="V394" s="59">
        <v>46287</v>
      </c>
      <c r="W394" s="56">
        <f t="shared" si="425"/>
        <v>39</v>
      </c>
      <c r="X394" s="56">
        <f t="shared" si="426"/>
        <v>22</v>
      </c>
      <c r="Y394" s="56" t="s">
        <v>29</v>
      </c>
      <c r="Z394" s="56">
        <v>2</v>
      </c>
      <c r="AA394" s="58">
        <f t="shared" si="464"/>
        <v>0</v>
      </c>
      <c r="AB394" s="58">
        <f t="shared" si="464"/>
        <v>1</v>
      </c>
      <c r="AC394" s="58">
        <f t="shared" si="464"/>
        <v>0</v>
      </c>
      <c r="AD394" s="58">
        <f t="shared" si="464"/>
        <v>0</v>
      </c>
      <c r="AE394" s="58">
        <f t="shared" si="464"/>
        <v>0</v>
      </c>
    </row>
    <row r="395" spans="2:34">
      <c r="B395" t="str">
        <f t="shared" si="413"/>
        <v>Sem3939ERVIN ROLANDO CHINCHILLA ZAMORA</v>
      </c>
      <c r="C395" t="str">
        <f t="shared" si="414"/>
        <v>SEPTIEMBRESem39</v>
      </c>
      <c r="D395" t="str">
        <f t="shared" si="415"/>
        <v>SEPTIEMBRESem39ERVIN ROLANDO CHINCHILLA ZAMORA</v>
      </c>
      <c r="E395" t="str">
        <f t="shared" si="416"/>
        <v>SEPTIEMBRESem3939ERVIN ROLANDO CHINCHILLA ZAMORA</v>
      </c>
      <c r="F395" t="str">
        <f t="shared" si="417"/>
        <v>ERVIN ROLANDO CHINCHILLA ZAMORA46288</v>
      </c>
      <c r="H395" s="49" t="s">
        <v>221</v>
      </c>
      <c r="I395" s="50" t="str">
        <f>+_xlfn.XLOOKUP($H395&amp;$V395,BASEDATOS!$B:$B,BASEDATOS!F:F,0,0,1)</f>
        <v>NOCHE</v>
      </c>
      <c r="J395" s="51">
        <f>+_xlfn.XLOOKUP($H395&amp;$V395,BASEDATOS!$B:$B,BASEDATOS!Q:Q,0,0,1)</f>
        <v>0.75</v>
      </c>
      <c r="K395" s="51">
        <f>+_xlfn.XLOOKUP($H395&amp;$V395,BASEDATOS!$B:$B,BASEDATOS!R:R,0,0,1)</f>
        <v>0.25</v>
      </c>
      <c r="L395" s="51">
        <f t="shared" si="418"/>
        <v>0.5</v>
      </c>
      <c r="M395" s="52" t="str">
        <f t="shared" si="419"/>
        <v>1:00</v>
      </c>
      <c r="N395" s="51">
        <f t="shared" si="420"/>
        <v>0.45833333333333331</v>
      </c>
      <c r="O395" s="53" t="str">
        <f t="shared" ref="O395" si="474">+O399</f>
        <v>0-5-2</v>
      </c>
      <c r="P395" s="54">
        <f>+IF(AND(Y395="Domingo",U395=7),_xlfn.XLOOKUP(O395,'Horarios y Sistemas'!C:C,'Horarios y Sistemas'!H:H,0,0,1),0)</f>
        <v>0</v>
      </c>
      <c r="Q395" s="54">
        <f>IF(U395=U396,0,IF(AVERAGEIF(W:W,W395,U:U)=U395,0,_xlfn.XLOOKUP(O395,'Horarios y Sistemas'!C:C,'Horarios y Sistemas'!H:H,0,0,1)-P395))/7*U395</f>
        <v>0</v>
      </c>
      <c r="R395" s="54">
        <f t="shared" si="422"/>
        <v>0</v>
      </c>
      <c r="S395" s="55" t="str">
        <f t="shared" si="423"/>
        <v>SEPTIEMBRE</v>
      </c>
      <c r="T395" s="55" t="str">
        <f t="shared" si="424"/>
        <v>Sem39</v>
      </c>
      <c r="U395" s="56">
        <f t="shared" si="471"/>
        <v>7</v>
      </c>
      <c r="V395" s="59">
        <v>46288</v>
      </c>
      <c r="W395" s="56">
        <f t="shared" si="425"/>
        <v>39</v>
      </c>
      <c r="X395" s="56">
        <f t="shared" si="426"/>
        <v>23</v>
      </c>
      <c r="Y395" s="56" t="s">
        <v>30</v>
      </c>
      <c r="Z395" s="56">
        <v>3</v>
      </c>
      <c r="AA395" s="58">
        <f t="shared" si="464"/>
        <v>0</v>
      </c>
      <c r="AB395" s="58">
        <f t="shared" si="464"/>
        <v>1</v>
      </c>
      <c r="AC395" s="58">
        <f t="shared" si="464"/>
        <v>0</v>
      </c>
      <c r="AD395" s="58">
        <f t="shared" si="464"/>
        <v>0</v>
      </c>
      <c r="AE395" s="58">
        <f t="shared" si="464"/>
        <v>0</v>
      </c>
    </row>
    <row r="396" spans="2:34">
      <c r="B396" t="str">
        <f t="shared" si="413"/>
        <v>Sem3939ERVIN ROLANDO CHINCHILLA ZAMORA</v>
      </c>
      <c r="C396" t="str">
        <f t="shared" si="414"/>
        <v>SEPTIEMBRESem39</v>
      </c>
      <c r="D396" t="str">
        <f t="shared" si="415"/>
        <v>SEPTIEMBRESem39ERVIN ROLANDO CHINCHILLA ZAMORA</v>
      </c>
      <c r="E396" t="str">
        <f t="shared" si="416"/>
        <v>SEPTIEMBRESem3939ERVIN ROLANDO CHINCHILLA ZAMORA</v>
      </c>
      <c r="F396" t="str">
        <f t="shared" si="417"/>
        <v>ERVIN ROLANDO CHINCHILLA ZAMORA46289</v>
      </c>
      <c r="H396" s="49" t="s">
        <v>221</v>
      </c>
      <c r="I396" s="50" t="str">
        <f>+_xlfn.XLOOKUP($H396&amp;$V396,BASEDATOS!$B:$B,BASEDATOS!F:F,0,0,1)</f>
        <v>NOCHE</v>
      </c>
      <c r="J396" s="51">
        <f>+_xlfn.XLOOKUP($H396&amp;$V396,BASEDATOS!$B:$B,BASEDATOS!Q:Q,0,0,1)</f>
        <v>0.75</v>
      </c>
      <c r="K396" s="51">
        <f>+_xlfn.XLOOKUP($H396&amp;$V396,BASEDATOS!$B:$B,BASEDATOS!R:R,0,0,1)</f>
        <v>0.25</v>
      </c>
      <c r="L396" s="51">
        <f t="shared" si="418"/>
        <v>0.5</v>
      </c>
      <c r="M396" s="52" t="str">
        <f t="shared" si="419"/>
        <v>1:00</v>
      </c>
      <c r="N396" s="51">
        <f t="shared" si="420"/>
        <v>0.45833333333333331</v>
      </c>
      <c r="O396" s="53" t="str">
        <f t="shared" ref="O396" si="475">+O399</f>
        <v>0-5-2</v>
      </c>
      <c r="P396" s="54">
        <f>+IF(AND(Y396="Domingo",U396=7),_xlfn.XLOOKUP(O396,'Horarios y Sistemas'!C:C,'Horarios y Sistemas'!H:H,0,0,1),0)</f>
        <v>0</v>
      </c>
      <c r="Q396" s="54">
        <f>IF(U396=U397,0,IF(AVERAGEIF(W:W,W396,U:U)=U396,0,_xlfn.XLOOKUP(O396,'Horarios y Sistemas'!C:C,'Horarios y Sistemas'!H:H,0,0,1)-P396))/7*U396</f>
        <v>0</v>
      </c>
      <c r="R396" s="54">
        <f t="shared" si="422"/>
        <v>0</v>
      </c>
      <c r="S396" s="55" t="str">
        <f t="shared" si="423"/>
        <v>SEPTIEMBRE</v>
      </c>
      <c r="T396" s="55" t="str">
        <f t="shared" si="424"/>
        <v>Sem39</v>
      </c>
      <c r="U396" s="56">
        <f t="shared" si="471"/>
        <v>7</v>
      </c>
      <c r="V396" s="59">
        <v>46289</v>
      </c>
      <c r="W396" s="56">
        <f t="shared" si="425"/>
        <v>39</v>
      </c>
      <c r="X396" s="56">
        <f t="shared" si="426"/>
        <v>24</v>
      </c>
      <c r="Y396" s="56" t="s">
        <v>31</v>
      </c>
      <c r="Z396" s="56">
        <v>4</v>
      </c>
      <c r="AA396" s="58">
        <f t="shared" si="464"/>
        <v>0</v>
      </c>
      <c r="AB396" s="58">
        <f t="shared" si="464"/>
        <v>1</v>
      </c>
      <c r="AC396" s="58">
        <f t="shared" si="464"/>
        <v>0</v>
      </c>
      <c r="AD396" s="58">
        <f t="shared" si="464"/>
        <v>0</v>
      </c>
      <c r="AE396" s="58">
        <f t="shared" si="464"/>
        <v>0</v>
      </c>
    </row>
    <row r="397" spans="2:34">
      <c r="B397" t="str">
        <f t="shared" si="413"/>
        <v>Sem3939ERVIN ROLANDO CHINCHILLA ZAMORA</v>
      </c>
      <c r="C397" t="str">
        <f t="shared" si="414"/>
        <v>SEPTIEMBRESem39</v>
      </c>
      <c r="D397" t="str">
        <f t="shared" si="415"/>
        <v>SEPTIEMBRESem39ERVIN ROLANDO CHINCHILLA ZAMORA</v>
      </c>
      <c r="E397" t="str">
        <f t="shared" si="416"/>
        <v>SEPTIEMBRESem3939ERVIN ROLANDO CHINCHILLA ZAMORA</v>
      </c>
      <c r="F397" t="str">
        <f t="shared" si="417"/>
        <v>ERVIN ROLANDO CHINCHILLA ZAMORA46290</v>
      </c>
      <c r="H397" s="49" t="s">
        <v>221</v>
      </c>
      <c r="I397" s="50" t="str">
        <f>+_xlfn.XLOOKUP($H397&amp;$V397,BASEDATOS!$B:$B,BASEDATOS!F:F,0,0,1)</f>
        <v>NOCHE</v>
      </c>
      <c r="J397" s="51">
        <f>+_xlfn.XLOOKUP($H397&amp;$V397,BASEDATOS!$B:$B,BASEDATOS!Q:Q,0,0,1)</f>
        <v>0.75</v>
      </c>
      <c r="K397" s="51">
        <f>+_xlfn.XLOOKUP($H397&amp;$V397,BASEDATOS!$B:$B,BASEDATOS!R:R,0,0,1)</f>
        <v>0.25</v>
      </c>
      <c r="L397" s="51">
        <f t="shared" si="418"/>
        <v>0.5</v>
      </c>
      <c r="M397" s="52" t="str">
        <f t="shared" si="419"/>
        <v>1:00</v>
      </c>
      <c r="N397" s="51">
        <f t="shared" si="420"/>
        <v>0.45833333333333331</v>
      </c>
      <c r="O397" s="53" t="str">
        <f t="shared" ref="O397" si="476">+O399</f>
        <v>0-5-2</v>
      </c>
      <c r="P397" s="54">
        <f>+IF(AND(Y397="Domingo",U397=7),_xlfn.XLOOKUP(O397,'Horarios y Sistemas'!C:C,'Horarios y Sistemas'!H:H,0,0,1),0)</f>
        <v>0</v>
      </c>
      <c r="Q397" s="54">
        <f>IF(U397=U398,0,IF(AVERAGEIF(W:W,W397,U:U)=U397,0,_xlfn.XLOOKUP(O397,'Horarios y Sistemas'!C:C,'Horarios y Sistemas'!H:H,0,0,1)-P397))/7*U397</f>
        <v>0</v>
      </c>
      <c r="R397" s="54">
        <f t="shared" si="422"/>
        <v>0</v>
      </c>
      <c r="S397" s="55" t="str">
        <f t="shared" si="423"/>
        <v>SEPTIEMBRE</v>
      </c>
      <c r="T397" s="55" t="str">
        <f t="shared" si="424"/>
        <v>Sem39</v>
      </c>
      <c r="U397" s="56">
        <f t="shared" si="471"/>
        <v>7</v>
      </c>
      <c r="V397" s="59">
        <v>46290</v>
      </c>
      <c r="W397" s="56">
        <f t="shared" si="425"/>
        <v>39</v>
      </c>
      <c r="X397" s="56">
        <f t="shared" si="426"/>
        <v>25</v>
      </c>
      <c r="Y397" s="56" t="s">
        <v>32</v>
      </c>
      <c r="Z397" s="56">
        <v>5</v>
      </c>
      <c r="AA397" s="58">
        <f t="shared" si="464"/>
        <v>0</v>
      </c>
      <c r="AB397" s="58">
        <f t="shared" si="464"/>
        <v>1</v>
      </c>
      <c r="AC397" s="58">
        <f t="shared" si="464"/>
        <v>0</v>
      </c>
      <c r="AD397" s="58">
        <f t="shared" si="464"/>
        <v>0</v>
      </c>
      <c r="AE397" s="58">
        <f t="shared" si="464"/>
        <v>0</v>
      </c>
    </row>
    <row r="398" spans="2:34">
      <c r="B398" t="str">
        <f t="shared" si="413"/>
        <v>Sem3939ERVIN ROLANDO CHINCHILLA ZAMORA</v>
      </c>
      <c r="C398" t="str">
        <f t="shared" si="414"/>
        <v>SEPTIEMBRESem39</v>
      </c>
      <c r="D398" t="str">
        <f t="shared" si="415"/>
        <v>SEPTIEMBRESem39ERVIN ROLANDO CHINCHILLA ZAMORA</v>
      </c>
      <c r="E398" t="str">
        <f t="shared" si="416"/>
        <v>SEPTIEMBRESem3939ERVIN ROLANDO CHINCHILLA ZAMORA</v>
      </c>
      <c r="F398" t="str">
        <f t="shared" si="417"/>
        <v>ERVIN ROLANDO CHINCHILLA ZAMORA46291</v>
      </c>
      <c r="H398" s="49" t="s">
        <v>221</v>
      </c>
      <c r="I398" s="50" t="str">
        <f>+_xlfn.XLOOKUP($H398&amp;$V398,BASEDATOS!$B:$B,BASEDATOS!F:F,0,0,1)</f>
        <v>DESCANSO</v>
      </c>
      <c r="J398" s="51">
        <f>+_xlfn.XLOOKUP($H398&amp;$V398,BASEDATOS!$B:$B,BASEDATOS!Q:Q,0,0,1)</f>
        <v>0</v>
      </c>
      <c r="K398" s="51">
        <f>+_xlfn.XLOOKUP($H398&amp;$V398,BASEDATOS!$B:$B,BASEDATOS!R:R,0,0,1)</f>
        <v>0</v>
      </c>
      <c r="L398" s="51">
        <f t="shared" si="418"/>
        <v>0</v>
      </c>
      <c r="M398" s="52">
        <f t="shared" si="419"/>
        <v>0</v>
      </c>
      <c r="N398" s="51">
        <f t="shared" si="420"/>
        <v>0</v>
      </c>
      <c r="O398" s="53" t="str">
        <f t="shared" ref="O398" si="477">+O399</f>
        <v>0-5-2</v>
      </c>
      <c r="P398" s="54">
        <f>+IF(AND(Y398="Domingo",U398=7),_xlfn.XLOOKUP(O398,'Horarios y Sistemas'!C:C,'Horarios y Sistemas'!H:H,0,0,1),0)</f>
        <v>0</v>
      </c>
      <c r="Q398" s="54">
        <f>IF(U398=U399,0,IF(AVERAGEIF(W:W,W398,U:U)=U398,0,_xlfn.XLOOKUP(O398,'Horarios y Sistemas'!C:C,'Horarios y Sistemas'!H:H,0,0,1)-P398))/7*U398</f>
        <v>0</v>
      </c>
      <c r="R398" s="54">
        <f t="shared" si="422"/>
        <v>0</v>
      </c>
      <c r="S398" s="55" t="str">
        <f t="shared" si="423"/>
        <v>SEPTIEMBRE</v>
      </c>
      <c r="T398" s="55" t="str">
        <f t="shared" si="424"/>
        <v>Sem39</v>
      </c>
      <c r="U398" s="56">
        <f t="shared" si="471"/>
        <v>7</v>
      </c>
      <c r="V398" s="59">
        <v>46291</v>
      </c>
      <c r="W398" s="56">
        <f t="shared" si="425"/>
        <v>39</v>
      </c>
      <c r="X398" s="56">
        <f t="shared" si="426"/>
        <v>26</v>
      </c>
      <c r="Y398" s="56" t="s">
        <v>33</v>
      </c>
      <c r="Z398" s="56">
        <v>6</v>
      </c>
      <c r="AA398" s="58">
        <f t="shared" si="464"/>
        <v>0</v>
      </c>
      <c r="AB398" s="58">
        <f t="shared" si="464"/>
        <v>0</v>
      </c>
      <c r="AC398" s="58">
        <f t="shared" si="464"/>
        <v>1</v>
      </c>
      <c r="AD398" s="58">
        <f t="shared" si="464"/>
        <v>0</v>
      </c>
      <c r="AE398" s="58">
        <f t="shared" si="464"/>
        <v>0</v>
      </c>
    </row>
    <row r="399" spans="2:34" s="60" customFormat="1">
      <c r="B399" s="60" t="str">
        <f t="shared" si="413"/>
        <v>Sem3939ERVIN ROLANDO CHINCHILLA ZAMORA</v>
      </c>
      <c r="C399" s="60" t="str">
        <f t="shared" si="414"/>
        <v>SEPTIEMBRESem39</v>
      </c>
      <c r="D399" s="60" t="str">
        <f t="shared" si="415"/>
        <v>SEPTIEMBRESem39ERVIN ROLANDO CHINCHILLA ZAMORA</v>
      </c>
      <c r="E399" s="60" t="str">
        <f t="shared" si="416"/>
        <v>SEPTIEMBRESem3939ERVIN ROLANDO CHINCHILLA ZAMORA</v>
      </c>
      <c r="F399" s="60" t="str">
        <f t="shared" si="417"/>
        <v>ERVIN ROLANDO CHINCHILLA ZAMORA46292</v>
      </c>
      <c r="H399" s="61" t="s">
        <v>221</v>
      </c>
      <c r="I399" s="62" t="str">
        <f>+_xlfn.XLOOKUP($H399&amp;$V399,BASEDATOS!$B:$B,BASEDATOS!F:F,0,0,1)</f>
        <v>DESCANSO</v>
      </c>
      <c r="J399" s="63">
        <f>+_xlfn.XLOOKUP($H399&amp;$V399,BASEDATOS!$B:$B,BASEDATOS!Q:Q,0,0,1)</f>
        <v>0</v>
      </c>
      <c r="K399" s="63">
        <f>+_xlfn.XLOOKUP($H399&amp;$V399,BASEDATOS!$B:$B,BASEDATOS!R:R,0,0,1)</f>
        <v>0</v>
      </c>
      <c r="L399" s="63">
        <f t="shared" si="418"/>
        <v>0</v>
      </c>
      <c r="M399" s="64">
        <f t="shared" si="419"/>
        <v>0</v>
      </c>
      <c r="N399" s="63">
        <f t="shared" si="420"/>
        <v>0</v>
      </c>
      <c r="O399" s="65" t="str">
        <f t="shared" ref="O399" si="478">+IF(Y399="Domingo",SUM(AA393:AA399)&amp;"-"&amp;SUM(AB393:AB399)&amp;"-"&amp;SUM(AC393:AE399),"")</f>
        <v>0-5-2</v>
      </c>
      <c r="P399" s="66">
        <f>+IF(AND(Y399="Domingo",U399=7),_xlfn.XLOOKUP(O399,'Horarios y Sistemas'!C:C,'Horarios y Sistemas'!H:H,0,0,1),0)</f>
        <v>36</v>
      </c>
      <c r="Q399" s="66">
        <f>IF(U399=U400,0,IF(AVERAGEIF(W:W,W399,U:U)=U399,0,_xlfn.XLOOKUP(O399,'Horarios y Sistemas'!C:C,'Horarios y Sistemas'!H:H,0,0,1)-P399))/7*U399</f>
        <v>0</v>
      </c>
      <c r="R399" s="66">
        <f t="shared" si="422"/>
        <v>36</v>
      </c>
      <c r="S399" s="67" t="str">
        <f t="shared" si="423"/>
        <v>SEPTIEMBRE</v>
      </c>
      <c r="T399" s="55" t="str">
        <f t="shared" si="424"/>
        <v>Sem39</v>
      </c>
      <c r="U399" s="68">
        <f t="shared" si="471"/>
        <v>7</v>
      </c>
      <c r="V399" s="69">
        <v>46292</v>
      </c>
      <c r="W399" s="68">
        <f t="shared" si="425"/>
        <v>39</v>
      </c>
      <c r="X399" s="68">
        <f t="shared" si="426"/>
        <v>27</v>
      </c>
      <c r="Y399" s="68" t="s">
        <v>34</v>
      </c>
      <c r="Z399" s="68">
        <v>7</v>
      </c>
      <c r="AA399" s="70">
        <f t="shared" si="464"/>
        <v>0</v>
      </c>
      <c r="AB399" s="70">
        <f t="shared" si="464"/>
        <v>0</v>
      </c>
      <c r="AC399" s="70">
        <f t="shared" si="464"/>
        <v>1</v>
      </c>
      <c r="AD399" s="70">
        <f t="shared" si="464"/>
        <v>0</v>
      </c>
      <c r="AE399" s="70">
        <f t="shared" si="464"/>
        <v>0</v>
      </c>
      <c r="AF399" s="71"/>
      <c r="AG399" s="71"/>
      <c r="AH399" s="71"/>
    </row>
    <row r="400" spans="2:34">
      <c r="B400" t="str">
        <f t="shared" si="413"/>
        <v>Sem4040ERVIN ROLANDO CHINCHILLA ZAMORA</v>
      </c>
      <c r="C400" t="str">
        <f t="shared" si="414"/>
        <v>SEPTIEMBRESem40</v>
      </c>
      <c r="D400" t="str">
        <f t="shared" si="415"/>
        <v>SEPTIEMBRESem40ERVIN ROLANDO CHINCHILLA ZAMORA</v>
      </c>
      <c r="E400" t="str">
        <f t="shared" si="416"/>
        <v>SEPTIEMBRESem4040ERVIN ROLANDO CHINCHILLA ZAMORA</v>
      </c>
      <c r="F400" t="str">
        <f t="shared" si="417"/>
        <v>ERVIN ROLANDO CHINCHILLA ZAMORA46293</v>
      </c>
      <c r="H400" s="49" t="s">
        <v>221</v>
      </c>
      <c r="I400" s="50" t="str">
        <f>+_xlfn.XLOOKUP($H400&amp;$V400,BASEDATOS!$B:$B,BASEDATOS!F:F,0,0,1)</f>
        <v>DIA</v>
      </c>
      <c r="J400" s="51">
        <f>+_xlfn.XLOOKUP($H400&amp;$V400,BASEDATOS!$B:$B,BASEDATOS!Q:Q,0,0,1)</f>
        <v>0.25</v>
      </c>
      <c r="K400" s="51">
        <f>+_xlfn.XLOOKUP($H400&amp;$V400,BASEDATOS!$B:$B,BASEDATOS!R:R,0,0,1)</f>
        <v>0.75</v>
      </c>
      <c r="L400" s="51">
        <f t="shared" si="418"/>
        <v>0.5</v>
      </c>
      <c r="M400" s="52" t="str">
        <f t="shared" si="419"/>
        <v>1:00</v>
      </c>
      <c r="N400" s="51">
        <f t="shared" si="420"/>
        <v>0.45833333333333331</v>
      </c>
      <c r="O400" s="53" t="str">
        <f t="shared" ref="O400" si="479">+O406</f>
        <v>6-0-1</v>
      </c>
      <c r="P400" s="54">
        <f>+IF(AND(Y400="Domingo",U400=7),_xlfn.XLOOKUP(O400,'Horarios y Sistemas'!C:C,'Horarios y Sistemas'!H:H,0,0,1),0)</f>
        <v>0</v>
      </c>
      <c r="Q400" s="54">
        <f>IF(U400=U401,0,IF(AVERAGEIF(W:W,W400,U:U)=U400,0,_xlfn.XLOOKUP(O400,'Horarios y Sistemas'!C:C,'Horarios y Sistemas'!H:H,0,0,1)-P400))/7*U400</f>
        <v>0</v>
      </c>
      <c r="R400" s="54">
        <f t="shared" si="422"/>
        <v>0</v>
      </c>
      <c r="S400" s="55" t="str">
        <f t="shared" si="423"/>
        <v>SEPTIEMBRE</v>
      </c>
      <c r="T400" s="55" t="str">
        <f t="shared" si="424"/>
        <v>Sem40</v>
      </c>
      <c r="U400" s="56">
        <f t="shared" si="471"/>
        <v>7</v>
      </c>
      <c r="V400" s="59">
        <v>46293</v>
      </c>
      <c r="W400" s="56">
        <f t="shared" si="425"/>
        <v>40</v>
      </c>
      <c r="X400" s="56">
        <f t="shared" si="426"/>
        <v>28</v>
      </c>
      <c r="Y400" s="56" t="s">
        <v>28</v>
      </c>
      <c r="Z400" s="56">
        <v>1</v>
      </c>
      <c r="AA400" s="58">
        <f t="shared" si="464"/>
        <v>1</v>
      </c>
      <c r="AB400" s="58">
        <f t="shared" si="464"/>
        <v>0</v>
      </c>
      <c r="AC400" s="58">
        <f t="shared" si="464"/>
        <v>0</v>
      </c>
      <c r="AD400" s="58">
        <f t="shared" si="464"/>
        <v>0</v>
      </c>
      <c r="AE400" s="58">
        <f t="shared" si="464"/>
        <v>0</v>
      </c>
    </row>
    <row r="401" spans="2:34">
      <c r="B401" t="str">
        <f t="shared" si="413"/>
        <v>Sem4040ERVIN ROLANDO CHINCHILLA ZAMORA</v>
      </c>
      <c r="C401" t="str">
        <f t="shared" si="414"/>
        <v>SEPTIEMBRESem40</v>
      </c>
      <c r="D401" t="str">
        <f t="shared" si="415"/>
        <v>SEPTIEMBRESem40ERVIN ROLANDO CHINCHILLA ZAMORA</v>
      </c>
      <c r="E401" t="str">
        <f t="shared" si="416"/>
        <v>SEPTIEMBRESem4040ERVIN ROLANDO CHINCHILLA ZAMORA</v>
      </c>
      <c r="F401" t="str">
        <f t="shared" si="417"/>
        <v>ERVIN ROLANDO CHINCHILLA ZAMORA46294</v>
      </c>
      <c r="H401" s="49" t="s">
        <v>221</v>
      </c>
      <c r="I401" s="50" t="str">
        <f>+_xlfn.XLOOKUP($H401&amp;$V401,BASEDATOS!$B:$B,BASEDATOS!F:F,0,0,1)</f>
        <v>DIA</v>
      </c>
      <c r="J401" s="51">
        <f>+_xlfn.XLOOKUP($H401&amp;$V401,BASEDATOS!$B:$B,BASEDATOS!Q:Q,0,0,1)</f>
        <v>0.25</v>
      </c>
      <c r="K401" s="51">
        <f>+_xlfn.XLOOKUP($H401&amp;$V401,BASEDATOS!$B:$B,BASEDATOS!R:R,0,0,1)</f>
        <v>0.75</v>
      </c>
      <c r="L401" s="51">
        <f t="shared" si="418"/>
        <v>0.5</v>
      </c>
      <c r="M401" s="52" t="str">
        <f t="shared" si="419"/>
        <v>1:00</v>
      </c>
      <c r="N401" s="51">
        <f t="shared" si="420"/>
        <v>0.45833333333333331</v>
      </c>
      <c r="O401" s="53" t="str">
        <f t="shared" ref="O401" si="480">+O406</f>
        <v>6-0-1</v>
      </c>
      <c r="P401" s="54">
        <f>+IF(AND(Y401="Domingo",U401=7),_xlfn.XLOOKUP(O401,'Horarios y Sistemas'!C:C,'Horarios y Sistemas'!H:H,0,0,1),0)</f>
        <v>0</v>
      </c>
      <c r="Q401" s="54">
        <f>IF(U401=U402,0,IF(AVERAGEIF(W:W,W401,U:U)=U401,0,_xlfn.XLOOKUP(O401,'Horarios y Sistemas'!C:C,'Horarios y Sistemas'!H:H,0,0,1)-P401))/7*U401</f>
        <v>0</v>
      </c>
      <c r="R401" s="54">
        <f t="shared" si="422"/>
        <v>0</v>
      </c>
      <c r="S401" s="55" t="str">
        <f t="shared" si="423"/>
        <v>SEPTIEMBRE</v>
      </c>
      <c r="T401" s="55" t="str">
        <f t="shared" si="424"/>
        <v>Sem40</v>
      </c>
      <c r="U401" s="56">
        <f t="shared" si="471"/>
        <v>7</v>
      </c>
      <c r="V401" s="59">
        <v>46294</v>
      </c>
      <c r="W401" s="56">
        <f t="shared" si="425"/>
        <v>40</v>
      </c>
      <c r="X401" s="56">
        <f t="shared" si="426"/>
        <v>29</v>
      </c>
      <c r="Y401" s="56" t="s">
        <v>29</v>
      </c>
      <c r="Z401" s="56">
        <v>2</v>
      </c>
      <c r="AA401" s="58">
        <f t="shared" si="464"/>
        <v>1</v>
      </c>
      <c r="AB401" s="58">
        <f t="shared" si="464"/>
        <v>0</v>
      </c>
      <c r="AC401" s="58">
        <f t="shared" si="464"/>
        <v>0</v>
      </c>
      <c r="AD401" s="58">
        <f t="shared" si="464"/>
        <v>0</v>
      </c>
      <c r="AE401" s="58">
        <f t="shared" si="464"/>
        <v>0</v>
      </c>
    </row>
    <row r="402" spans="2:34">
      <c r="B402" t="str">
        <f t="shared" si="413"/>
        <v>Sem4040ERVIN ROLANDO CHINCHILLA ZAMORA</v>
      </c>
      <c r="C402" t="str">
        <f t="shared" si="414"/>
        <v>SEPTIEMBRESem40</v>
      </c>
      <c r="D402" t="str">
        <f t="shared" si="415"/>
        <v>SEPTIEMBRESem40ERVIN ROLANDO CHINCHILLA ZAMORA</v>
      </c>
      <c r="E402" t="str">
        <f t="shared" si="416"/>
        <v>SEPTIEMBRESem4040ERVIN ROLANDO CHINCHILLA ZAMORA</v>
      </c>
      <c r="F402" t="str">
        <f t="shared" si="417"/>
        <v>ERVIN ROLANDO CHINCHILLA ZAMORA46295</v>
      </c>
      <c r="H402" s="49" t="s">
        <v>221</v>
      </c>
      <c r="I402" s="50" t="str">
        <f>+_xlfn.XLOOKUP($H402&amp;$V402,BASEDATOS!$B:$B,BASEDATOS!F:F,0,0,1)</f>
        <v>DIA</v>
      </c>
      <c r="J402" s="51">
        <f>+_xlfn.XLOOKUP($H402&amp;$V402,BASEDATOS!$B:$B,BASEDATOS!Q:Q,0,0,1)</f>
        <v>0.25</v>
      </c>
      <c r="K402" s="51">
        <f>+_xlfn.XLOOKUP($H402&amp;$V402,BASEDATOS!$B:$B,BASEDATOS!R:R,0,0,1)</f>
        <v>0.75</v>
      </c>
      <c r="L402" s="51">
        <f t="shared" si="418"/>
        <v>0.5</v>
      </c>
      <c r="M402" s="52" t="str">
        <f t="shared" si="419"/>
        <v>1:00</v>
      </c>
      <c r="N402" s="51">
        <f t="shared" si="420"/>
        <v>0.45833333333333331</v>
      </c>
      <c r="O402" s="53" t="str">
        <f t="shared" ref="O402" si="481">+O406</f>
        <v>6-0-1</v>
      </c>
      <c r="P402" s="54">
        <f>+IF(AND(Y402="Domingo",U402=7),_xlfn.XLOOKUP(O402,'Horarios y Sistemas'!C:C,'Horarios y Sistemas'!H:H,0,0,1),0)</f>
        <v>0</v>
      </c>
      <c r="Q402" s="54">
        <f>IF(U402=U403,0,IF(AVERAGEIF(W:W,W402,U:U)=U402,0,_xlfn.XLOOKUP(O402,'Horarios y Sistemas'!C:C,'Horarios y Sistemas'!H:H,0,0,1)-P402))/7*U402</f>
        <v>0</v>
      </c>
      <c r="R402" s="54">
        <f t="shared" si="422"/>
        <v>0</v>
      </c>
      <c r="S402" s="55" t="str">
        <f t="shared" si="423"/>
        <v>SEPTIEMBRE</v>
      </c>
      <c r="T402" s="55" t="str">
        <f t="shared" si="424"/>
        <v>Sem40</v>
      </c>
      <c r="U402" s="56">
        <f t="shared" si="471"/>
        <v>7</v>
      </c>
      <c r="V402" s="59">
        <v>46295</v>
      </c>
      <c r="W402" s="56">
        <f t="shared" si="425"/>
        <v>40</v>
      </c>
      <c r="X402" s="56">
        <f t="shared" si="426"/>
        <v>30</v>
      </c>
      <c r="Y402" s="56" t="s">
        <v>30</v>
      </c>
      <c r="Z402" s="56">
        <v>3</v>
      </c>
      <c r="AA402" s="58">
        <f t="shared" si="464"/>
        <v>1</v>
      </c>
      <c r="AB402" s="58">
        <f t="shared" si="464"/>
        <v>0</v>
      </c>
      <c r="AC402" s="58">
        <f t="shared" si="464"/>
        <v>0</v>
      </c>
      <c r="AD402" s="58">
        <f t="shared" si="464"/>
        <v>0</v>
      </c>
      <c r="AE402" s="58">
        <f t="shared" si="464"/>
        <v>0</v>
      </c>
    </row>
    <row r="403" spans="2:34">
      <c r="B403" t="str">
        <f t="shared" si="413"/>
        <v>Sem4040ERVIN ROLANDO CHINCHILLA ZAMORA</v>
      </c>
      <c r="C403" t="str">
        <f t="shared" si="414"/>
        <v>OCTUBRESem40</v>
      </c>
      <c r="D403" t="str">
        <f t="shared" si="415"/>
        <v>OCTUBRESem40ERVIN ROLANDO CHINCHILLA ZAMORA</v>
      </c>
      <c r="E403" t="str">
        <f t="shared" si="416"/>
        <v>OCTUBRESem4040ERVIN ROLANDO CHINCHILLA ZAMORA</v>
      </c>
      <c r="F403" t="str">
        <f t="shared" si="417"/>
        <v>ERVIN ROLANDO CHINCHILLA ZAMORA46296</v>
      </c>
      <c r="H403" s="49" t="s">
        <v>221</v>
      </c>
      <c r="I403" s="50" t="str">
        <f>+_xlfn.XLOOKUP($H403&amp;$V403,BASEDATOS!$B:$B,BASEDATOS!F:F,0,0,1)</f>
        <v>DIA</v>
      </c>
      <c r="J403" s="51">
        <f>+_xlfn.XLOOKUP($H403&amp;$V403,BASEDATOS!$B:$B,BASEDATOS!Q:Q,0,0,1)</f>
        <v>0.25</v>
      </c>
      <c r="K403" s="51">
        <f>+_xlfn.XLOOKUP($H403&amp;$V403,BASEDATOS!$B:$B,BASEDATOS!R:R,0,0,1)</f>
        <v>0.75</v>
      </c>
      <c r="L403" s="51">
        <f t="shared" si="418"/>
        <v>0.5</v>
      </c>
      <c r="M403" s="52" t="str">
        <f t="shared" si="419"/>
        <v>1:00</v>
      </c>
      <c r="N403" s="51">
        <f t="shared" si="420"/>
        <v>0.45833333333333331</v>
      </c>
      <c r="O403" s="53" t="str">
        <f t="shared" ref="O403" si="482">+O406</f>
        <v>6-0-1</v>
      </c>
      <c r="P403" s="54">
        <f>+IF(AND(Y403="Domingo",U403=7),_xlfn.XLOOKUP(O403,'Horarios y Sistemas'!C:C,'Horarios y Sistemas'!H:H,0,0,1),0)</f>
        <v>0</v>
      </c>
      <c r="Q403" s="54">
        <f>IF(U403=U404,0,IF(AVERAGEIF(W:W,W403,U:U)=U403,0,_xlfn.XLOOKUP(O403,'Horarios y Sistemas'!C:C,'Horarios y Sistemas'!H:H,0,0,1)-P403))/7*U403</f>
        <v>0</v>
      </c>
      <c r="R403" s="54">
        <f t="shared" si="422"/>
        <v>0</v>
      </c>
      <c r="S403" s="55" t="str">
        <f t="shared" si="423"/>
        <v>OCTUBRE</v>
      </c>
      <c r="T403" s="55" t="str">
        <f t="shared" si="424"/>
        <v>Sem40</v>
      </c>
      <c r="U403" s="56">
        <f t="shared" si="471"/>
        <v>7</v>
      </c>
      <c r="V403" s="59">
        <v>46296</v>
      </c>
      <c r="W403" s="56">
        <f t="shared" si="425"/>
        <v>40</v>
      </c>
      <c r="X403" s="56">
        <f t="shared" si="426"/>
        <v>1</v>
      </c>
      <c r="Y403" s="56" t="s">
        <v>31</v>
      </c>
      <c r="Z403" s="56">
        <v>4</v>
      </c>
      <c r="AA403" s="58">
        <f t="shared" si="464"/>
        <v>1</v>
      </c>
      <c r="AB403" s="58">
        <f t="shared" si="464"/>
        <v>0</v>
      </c>
      <c r="AC403" s="58">
        <f t="shared" si="464"/>
        <v>0</v>
      </c>
      <c r="AD403" s="58">
        <f t="shared" si="464"/>
        <v>0</v>
      </c>
      <c r="AE403" s="58">
        <f t="shared" si="464"/>
        <v>0</v>
      </c>
    </row>
    <row r="404" spans="2:34">
      <c r="B404" t="str">
        <f t="shared" si="413"/>
        <v>Sem4040ERVIN ROLANDO CHINCHILLA ZAMORA</v>
      </c>
      <c r="C404" t="str">
        <f t="shared" si="414"/>
        <v>OCTUBRESem40</v>
      </c>
      <c r="D404" t="str">
        <f t="shared" si="415"/>
        <v>OCTUBRESem40ERVIN ROLANDO CHINCHILLA ZAMORA</v>
      </c>
      <c r="E404" t="str">
        <f t="shared" si="416"/>
        <v>OCTUBRESem4040ERVIN ROLANDO CHINCHILLA ZAMORA</v>
      </c>
      <c r="F404" t="str">
        <f t="shared" si="417"/>
        <v>ERVIN ROLANDO CHINCHILLA ZAMORA46297</v>
      </c>
      <c r="H404" s="49" t="s">
        <v>221</v>
      </c>
      <c r="I404" s="50" t="str">
        <f>+_xlfn.XLOOKUP($H404&amp;$V404,BASEDATOS!$B:$B,BASEDATOS!F:F,0,0,1)</f>
        <v>DIA</v>
      </c>
      <c r="J404" s="51">
        <f>+_xlfn.XLOOKUP($H404&amp;$V404,BASEDATOS!$B:$B,BASEDATOS!Q:Q,0,0,1)</f>
        <v>0.25</v>
      </c>
      <c r="K404" s="51">
        <f>+_xlfn.XLOOKUP($H404&amp;$V404,BASEDATOS!$B:$B,BASEDATOS!R:R,0,0,1)</f>
        <v>0.75</v>
      </c>
      <c r="L404" s="51">
        <f t="shared" si="418"/>
        <v>0.5</v>
      </c>
      <c r="M404" s="52" t="str">
        <f t="shared" si="419"/>
        <v>1:00</v>
      </c>
      <c r="N404" s="51">
        <f t="shared" si="420"/>
        <v>0.45833333333333331</v>
      </c>
      <c r="O404" s="53" t="str">
        <f t="shared" ref="O404" si="483">+O406</f>
        <v>6-0-1</v>
      </c>
      <c r="P404" s="54">
        <f>+IF(AND(Y404="Domingo",U404=7),_xlfn.XLOOKUP(O404,'Horarios y Sistemas'!C:C,'Horarios y Sistemas'!H:H,0,0,1),0)</f>
        <v>0</v>
      </c>
      <c r="Q404" s="54">
        <f>IF(U404=U405,0,IF(AVERAGEIF(W:W,W404,U:U)=U404,0,_xlfn.XLOOKUP(O404,'Horarios y Sistemas'!C:C,'Horarios y Sistemas'!H:H,0,0,1)-P404))/7*U404</f>
        <v>0</v>
      </c>
      <c r="R404" s="54">
        <f t="shared" si="422"/>
        <v>0</v>
      </c>
      <c r="S404" s="55" t="str">
        <f t="shared" si="423"/>
        <v>OCTUBRE</v>
      </c>
      <c r="T404" s="55" t="str">
        <f t="shared" si="424"/>
        <v>Sem40</v>
      </c>
      <c r="U404" s="56">
        <f t="shared" si="471"/>
        <v>7</v>
      </c>
      <c r="V404" s="59">
        <v>46297</v>
      </c>
      <c r="W404" s="56">
        <f t="shared" si="425"/>
        <v>40</v>
      </c>
      <c r="X404" s="56">
        <f t="shared" si="426"/>
        <v>2</v>
      </c>
      <c r="Y404" s="56" t="s">
        <v>32</v>
      </c>
      <c r="Z404" s="56">
        <v>5</v>
      </c>
      <c r="AA404" s="58">
        <f t="shared" si="464"/>
        <v>1</v>
      </c>
      <c r="AB404" s="58">
        <f t="shared" si="464"/>
        <v>0</v>
      </c>
      <c r="AC404" s="58">
        <f t="shared" si="464"/>
        <v>0</v>
      </c>
      <c r="AD404" s="58">
        <f t="shared" si="464"/>
        <v>0</v>
      </c>
      <c r="AE404" s="58">
        <f t="shared" si="464"/>
        <v>0</v>
      </c>
    </row>
    <row r="405" spans="2:34">
      <c r="B405" t="str">
        <f t="shared" si="413"/>
        <v>Sem4040ERVIN ROLANDO CHINCHILLA ZAMORA</v>
      </c>
      <c r="C405" t="str">
        <f t="shared" si="414"/>
        <v>OCTUBRESem40</v>
      </c>
      <c r="D405" t="str">
        <f t="shared" si="415"/>
        <v>OCTUBRESem40ERVIN ROLANDO CHINCHILLA ZAMORA</v>
      </c>
      <c r="E405" t="str">
        <f t="shared" si="416"/>
        <v>OCTUBRESem4040ERVIN ROLANDO CHINCHILLA ZAMORA</v>
      </c>
      <c r="F405" t="str">
        <f t="shared" si="417"/>
        <v>ERVIN ROLANDO CHINCHILLA ZAMORA46298</v>
      </c>
      <c r="H405" s="49" t="s">
        <v>221</v>
      </c>
      <c r="I405" s="50" t="str">
        <f>+_xlfn.XLOOKUP($H405&amp;$V405,BASEDATOS!$B:$B,BASEDATOS!F:F,0,0,1)</f>
        <v>DIA</v>
      </c>
      <c r="J405" s="51">
        <f>+_xlfn.XLOOKUP($H405&amp;$V405,BASEDATOS!$B:$B,BASEDATOS!Q:Q,0,0,1)</f>
        <v>0.25</v>
      </c>
      <c r="K405" s="51">
        <f>+_xlfn.XLOOKUP($H405&amp;$V405,BASEDATOS!$B:$B,BASEDATOS!R:R,0,0,1)</f>
        <v>0.58333333333333304</v>
      </c>
      <c r="L405" s="51">
        <f t="shared" si="418"/>
        <v>0.33333333333333304</v>
      </c>
      <c r="M405" s="52" t="str">
        <f t="shared" si="419"/>
        <v>1:00</v>
      </c>
      <c r="N405" s="51">
        <f t="shared" si="420"/>
        <v>0.29166666666666635</v>
      </c>
      <c r="O405" s="53" t="str">
        <f t="shared" ref="O405" si="484">+O406</f>
        <v>6-0-1</v>
      </c>
      <c r="P405" s="54">
        <f>+IF(AND(Y405="Domingo",U405=7),_xlfn.XLOOKUP(O405,'Horarios y Sistemas'!C:C,'Horarios y Sistemas'!H:H,0,0,1),0)</f>
        <v>0</v>
      </c>
      <c r="Q405" s="54">
        <f>IF(U405=U406,0,IF(AVERAGEIF(W:W,W405,U:U)=U405,0,_xlfn.XLOOKUP(O405,'Horarios y Sistemas'!C:C,'Horarios y Sistemas'!H:H,0,0,1)-P405))/7*U405</f>
        <v>0</v>
      </c>
      <c r="R405" s="54">
        <f t="shared" si="422"/>
        <v>0</v>
      </c>
      <c r="S405" s="55" t="str">
        <f t="shared" si="423"/>
        <v>OCTUBRE</v>
      </c>
      <c r="T405" s="55" t="str">
        <f t="shared" si="424"/>
        <v>Sem40</v>
      </c>
      <c r="U405" s="56">
        <f t="shared" si="471"/>
        <v>7</v>
      </c>
      <c r="V405" s="59">
        <v>46298</v>
      </c>
      <c r="W405" s="56">
        <f t="shared" si="425"/>
        <v>40</v>
      </c>
      <c r="X405" s="56">
        <f t="shared" si="426"/>
        <v>3</v>
      </c>
      <c r="Y405" s="56" t="s">
        <v>33</v>
      </c>
      <c r="Z405" s="56">
        <v>6</v>
      </c>
      <c r="AA405" s="58">
        <f t="shared" si="464"/>
        <v>1</v>
      </c>
      <c r="AB405" s="58">
        <f t="shared" si="464"/>
        <v>0</v>
      </c>
      <c r="AC405" s="58">
        <f t="shared" si="464"/>
        <v>0</v>
      </c>
      <c r="AD405" s="58">
        <f t="shared" si="464"/>
        <v>0</v>
      </c>
      <c r="AE405" s="58">
        <f t="shared" si="464"/>
        <v>0</v>
      </c>
    </row>
    <row r="406" spans="2:34" s="60" customFormat="1">
      <c r="B406" s="60" t="str">
        <f t="shared" si="413"/>
        <v>Sem4040ERVIN ROLANDO CHINCHILLA ZAMORA</v>
      </c>
      <c r="C406" s="60" t="str">
        <f t="shared" si="414"/>
        <v>OCTUBRESem40</v>
      </c>
      <c r="D406" s="60" t="str">
        <f t="shared" si="415"/>
        <v>OCTUBRESem40ERVIN ROLANDO CHINCHILLA ZAMORA</v>
      </c>
      <c r="E406" s="60" t="str">
        <f t="shared" si="416"/>
        <v>OCTUBRESem4040ERVIN ROLANDO CHINCHILLA ZAMORA</v>
      </c>
      <c r="F406" s="60" t="str">
        <f t="shared" si="417"/>
        <v>ERVIN ROLANDO CHINCHILLA ZAMORA46299</v>
      </c>
      <c r="H406" s="61" t="s">
        <v>221</v>
      </c>
      <c r="I406" s="62" t="str">
        <f>+_xlfn.XLOOKUP($H406&amp;$V406,BASEDATOS!$B:$B,BASEDATOS!F:F,0,0,1)</f>
        <v>DESCANSO</v>
      </c>
      <c r="J406" s="63">
        <f>+_xlfn.XLOOKUP($H406&amp;$V406,BASEDATOS!$B:$B,BASEDATOS!Q:Q,0,0,1)</f>
        <v>0</v>
      </c>
      <c r="K406" s="63">
        <f>+_xlfn.XLOOKUP($H406&amp;$V406,BASEDATOS!$B:$B,BASEDATOS!R:R,0,0,1)</f>
        <v>0</v>
      </c>
      <c r="L406" s="63">
        <f t="shared" si="418"/>
        <v>0</v>
      </c>
      <c r="M406" s="64">
        <f t="shared" si="419"/>
        <v>0</v>
      </c>
      <c r="N406" s="63">
        <f t="shared" si="420"/>
        <v>0</v>
      </c>
      <c r="O406" s="65" t="str">
        <f t="shared" ref="O406" si="485">+IF(Y406="Domingo",SUM(AA400:AA406)&amp;"-"&amp;SUM(AB400:AB406)&amp;"-"&amp;SUM(AC400:AE406),"")</f>
        <v>6-0-1</v>
      </c>
      <c r="P406" s="66">
        <f>+IF(AND(Y406="Domingo",U406=7),_xlfn.XLOOKUP(O406,'Horarios y Sistemas'!C:C,'Horarios y Sistemas'!H:H,0,0,1),0)</f>
        <v>44</v>
      </c>
      <c r="Q406" s="66">
        <f>IF(U406=U407,0,IF(AVERAGEIF(W:W,W406,U:U)=U406,0,_xlfn.XLOOKUP(O406,'Horarios y Sistemas'!C:C,'Horarios y Sistemas'!H:H,0,0,1)-P406))/7*U406</f>
        <v>0</v>
      </c>
      <c r="R406" s="66">
        <f t="shared" si="422"/>
        <v>44</v>
      </c>
      <c r="S406" s="67" t="str">
        <f t="shared" si="423"/>
        <v>OCTUBRE</v>
      </c>
      <c r="T406" s="55" t="str">
        <f t="shared" si="424"/>
        <v>Sem40</v>
      </c>
      <c r="U406" s="68">
        <f t="shared" si="471"/>
        <v>7</v>
      </c>
      <c r="V406" s="69">
        <v>46299</v>
      </c>
      <c r="W406" s="68">
        <f t="shared" si="425"/>
        <v>40</v>
      </c>
      <c r="X406" s="68">
        <f t="shared" si="426"/>
        <v>4</v>
      </c>
      <c r="Y406" s="68" t="s">
        <v>34</v>
      </c>
      <c r="Z406" s="68">
        <v>7</v>
      </c>
      <c r="AA406" s="70">
        <f t="shared" si="464"/>
        <v>0</v>
      </c>
      <c r="AB406" s="70">
        <f t="shared" si="464"/>
        <v>0</v>
      </c>
      <c r="AC406" s="70">
        <f t="shared" si="464"/>
        <v>1</v>
      </c>
      <c r="AD406" s="70">
        <f t="shared" si="464"/>
        <v>0</v>
      </c>
      <c r="AE406" s="70">
        <f t="shared" si="464"/>
        <v>0</v>
      </c>
      <c r="AF406" s="71"/>
      <c r="AG406" s="71"/>
      <c r="AH406" s="71"/>
    </row>
    <row r="407" spans="2:34">
      <c r="B407" t="str">
        <f t="shared" si="413"/>
        <v>Sem3838ESWIN ESTUARDO ORTEGA LIMA</v>
      </c>
      <c r="C407" t="str">
        <f t="shared" si="414"/>
        <v>SEPTIEMBRESem38</v>
      </c>
      <c r="D407" t="str">
        <f t="shared" si="415"/>
        <v>SEPTIEMBRESem38ESWIN ESTUARDO ORTEGA LIMA</v>
      </c>
      <c r="E407" t="str">
        <f t="shared" si="416"/>
        <v>SEPTIEMBRESem3838ESWIN ESTUARDO ORTEGA LIMA</v>
      </c>
      <c r="F407" t="str">
        <f t="shared" si="417"/>
        <v>ESWIN ESTUARDO ORTEGA LIMA46279</v>
      </c>
      <c r="H407" s="49" t="s">
        <v>12</v>
      </c>
      <c r="I407" s="50" t="str">
        <f>+_xlfn.XLOOKUP($H407&amp;$V407,BASEDATOS!$B:$B,BASEDATOS!F:F,0,0,1)</f>
        <v>DESCANSO</v>
      </c>
      <c r="J407" s="51">
        <f>+_xlfn.XLOOKUP($H407&amp;$V407,BASEDATOS!$B:$B,BASEDATOS!Q:Q,0,0,1)</f>
        <v>0</v>
      </c>
      <c r="K407" s="51">
        <f>+_xlfn.XLOOKUP($H407&amp;$V407,BASEDATOS!$B:$B,BASEDATOS!R:R,0,0,1)</f>
        <v>0</v>
      </c>
      <c r="L407" s="51">
        <f t="shared" si="418"/>
        <v>0</v>
      </c>
      <c r="M407" s="52">
        <f t="shared" si="419"/>
        <v>0</v>
      </c>
      <c r="N407" s="51">
        <f t="shared" si="420"/>
        <v>0</v>
      </c>
      <c r="O407" s="53" t="str">
        <f t="shared" ref="O407" si="486">+O413</f>
        <v>1-3-3</v>
      </c>
      <c r="P407" s="54">
        <f>+IF(AND(Y407="Domingo",U407=7),_xlfn.XLOOKUP(O407,'Horarios y Sistemas'!C:C,'Horarios y Sistemas'!H:H,0,0,1),0)</f>
        <v>0</v>
      </c>
      <c r="Q407" s="54">
        <f>IF(U407=U408,0,IF(AVERAGEIF(W:W,W407,U:U)=U407,0,_xlfn.XLOOKUP(O407,'Horarios y Sistemas'!C:C,'Horarios y Sistemas'!H:H,0,0,1)-P407))/7*U407</f>
        <v>0</v>
      </c>
      <c r="R407" s="54">
        <f t="shared" si="422"/>
        <v>0</v>
      </c>
      <c r="S407" s="55" t="str">
        <f t="shared" si="423"/>
        <v>SEPTIEMBRE</v>
      </c>
      <c r="T407" s="55" t="str">
        <f t="shared" si="424"/>
        <v>Sem38</v>
      </c>
      <c r="U407" s="56">
        <f t="shared" si="471"/>
        <v>7</v>
      </c>
      <c r="V407" s="57">
        <v>46279</v>
      </c>
      <c r="W407" s="56">
        <f t="shared" si="425"/>
        <v>38</v>
      </c>
      <c r="X407" s="56">
        <f t="shared" si="426"/>
        <v>14</v>
      </c>
      <c r="Y407" s="56" t="s">
        <v>28</v>
      </c>
      <c r="Z407" s="56">
        <v>1</v>
      </c>
      <c r="AA407" s="58">
        <f t="shared" si="464"/>
        <v>0</v>
      </c>
      <c r="AB407" s="58">
        <f t="shared" si="464"/>
        <v>0</v>
      </c>
      <c r="AC407" s="58">
        <f t="shared" si="464"/>
        <v>1</v>
      </c>
      <c r="AD407" s="58">
        <f t="shared" si="464"/>
        <v>0</v>
      </c>
      <c r="AE407" s="58">
        <f t="shared" si="464"/>
        <v>0</v>
      </c>
    </row>
    <row r="408" spans="2:34">
      <c r="B408" t="str">
        <f t="shared" si="413"/>
        <v>Sem3838ESWIN ESTUARDO ORTEGA LIMA</v>
      </c>
      <c r="C408" t="str">
        <f t="shared" si="414"/>
        <v>SEPTIEMBRESem38</v>
      </c>
      <c r="D408" t="str">
        <f t="shared" si="415"/>
        <v>SEPTIEMBRESem38ESWIN ESTUARDO ORTEGA LIMA</v>
      </c>
      <c r="E408" t="str">
        <f t="shared" si="416"/>
        <v>SEPTIEMBRESem3838ESWIN ESTUARDO ORTEGA LIMA</v>
      </c>
      <c r="F408" t="str">
        <f t="shared" si="417"/>
        <v>ESWIN ESTUARDO ORTEGA LIMA46280</v>
      </c>
      <c r="H408" s="49" t="s">
        <v>12</v>
      </c>
      <c r="I408" s="50" t="str">
        <f>+_xlfn.XLOOKUP($H408&amp;$V408,BASEDATOS!$B:$B,BASEDATOS!F:F,0,0,1)</f>
        <v>DIA</v>
      </c>
      <c r="J408" s="51">
        <f>+_xlfn.XLOOKUP($H408&amp;$V408,BASEDATOS!$B:$B,BASEDATOS!Q:Q,0,0,1)</f>
        <v>0.33333333333333298</v>
      </c>
      <c r="K408" s="51">
        <f>+_xlfn.XLOOKUP($H408&amp;$V408,BASEDATOS!$B:$B,BASEDATOS!R:R,0,0,1)</f>
        <v>0.70833333333333304</v>
      </c>
      <c r="L408" s="51">
        <f t="shared" si="418"/>
        <v>0.37500000000000006</v>
      </c>
      <c r="M408" s="52" t="str">
        <f t="shared" si="419"/>
        <v>1:00</v>
      </c>
      <c r="N408" s="51">
        <f t="shared" si="420"/>
        <v>0.33333333333333337</v>
      </c>
      <c r="O408" s="53" t="str">
        <f t="shared" ref="O408" si="487">+O413</f>
        <v>1-3-3</v>
      </c>
      <c r="P408" s="54">
        <f>+IF(AND(Y408="Domingo",U408=7),_xlfn.XLOOKUP(O408,'Horarios y Sistemas'!C:C,'Horarios y Sistemas'!H:H,0,0,1),0)</f>
        <v>0</v>
      </c>
      <c r="Q408" s="54">
        <f>IF(U408=U409,0,IF(AVERAGEIF(W:W,W408,U:U)=U408,0,_xlfn.XLOOKUP(O408,'Horarios y Sistemas'!C:C,'Horarios y Sistemas'!H:H,0,0,1)-P408))/7*U408</f>
        <v>0</v>
      </c>
      <c r="R408" s="54">
        <f t="shared" si="422"/>
        <v>0</v>
      </c>
      <c r="S408" s="55" t="str">
        <f t="shared" si="423"/>
        <v>SEPTIEMBRE</v>
      </c>
      <c r="T408" s="55" t="str">
        <f t="shared" si="424"/>
        <v>Sem38</v>
      </c>
      <c r="U408" s="56">
        <f t="shared" si="471"/>
        <v>7</v>
      </c>
      <c r="V408" s="59">
        <v>46280</v>
      </c>
      <c r="W408" s="56">
        <f t="shared" si="425"/>
        <v>38</v>
      </c>
      <c r="X408" s="56">
        <f t="shared" si="426"/>
        <v>15</v>
      </c>
      <c r="Y408" s="56" t="s">
        <v>29</v>
      </c>
      <c r="Z408" s="56">
        <v>2</v>
      </c>
      <c r="AA408" s="58">
        <f t="shared" si="464"/>
        <v>1</v>
      </c>
      <c r="AB408" s="58">
        <f t="shared" si="464"/>
        <v>0</v>
      </c>
      <c r="AC408" s="58">
        <f t="shared" si="464"/>
        <v>0</v>
      </c>
      <c r="AD408" s="58">
        <f t="shared" si="464"/>
        <v>0</v>
      </c>
      <c r="AE408" s="58">
        <f t="shared" si="464"/>
        <v>0</v>
      </c>
    </row>
    <row r="409" spans="2:34">
      <c r="B409" t="str">
        <f t="shared" si="413"/>
        <v>Sem3838ESWIN ESTUARDO ORTEGA LIMA</v>
      </c>
      <c r="C409" t="str">
        <f t="shared" si="414"/>
        <v>SEPTIEMBRESem38</v>
      </c>
      <c r="D409" t="str">
        <f t="shared" si="415"/>
        <v>SEPTIEMBRESem38ESWIN ESTUARDO ORTEGA LIMA</v>
      </c>
      <c r="E409" t="str">
        <f t="shared" si="416"/>
        <v>SEPTIEMBRESem3838ESWIN ESTUARDO ORTEGA LIMA</v>
      </c>
      <c r="F409" t="str">
        <f t="shared" si="417"/>
        <v>ESWIN ESTUARDO ORTEGA LIMA46281</v>
      </c>
      <c r="H409" s="49" t="s">
        <v>12</v>
      </c>
      <c r="I409" s="50" t="str">
        <f>+_xlfn.XLOOKUP($H409&amp;$V409,BASEDATOS!$B:$B,BASEDATOS!F:F,0,0,1)</f>
        <v>NOCHE</v>
      </c>
      <c r="J409" s="51">
        <f>+_xlfn.XLOOKUP($H409&amp;$V409,BASEDATOS!$B:$B,BASEDATOS!Q:Q,0,0,1)</f>
        <v>0.75</v>
      </c>
      <c r="K409" s="51">
        <f>+_xlfn.XLOOKUP($H409&amp;$V409,BASEDATOS!$B:$B,BASEDATOS!R:R,0,0,1)</f>
        <v>0.25</v>
      </c>
      <c r="L409" s="51">
        <f t="shared" si="418"/>
        <v>0.5</v>
      </c>
      <c r="M409" s="52" t="str">
        <f t="shared" si="419"/>
        <v>1:00</v>
      </c>
      <c r="N409" s="51">
        <f t="shared" si="420"/>
        <v>0.45833333333333331</v>
      </c>
      <c r="O409" s="53" t="str">
        <f t="shared" ref="O409" si="488">+O413</f>
        <v>1-3-3</v>
      </c>
      <c r="P409" s="54">
        <f>+IF(AND(Y409="Domingo",U409=7),_xlfn.XLOOKUP(O409,'Horarios y Sistemas'!C:C,'Horarios y Sistemas'!H:H,0,0,1),0)</f>
        <v>0</v>
      </c>
      <c r="Q409" s="54">
        <f>IF(U409=U410,0,IF(AVERAGEIF(W:W,W409,U:U)=U409,0,_xlfn.XLOOKUP(O409,'Horarios y Sistemas'!C:C,'Horarios y Sistemas'!H:H,0,0,1)-P409))/7*U409</f>
        <v>0</v>
      </c>
      <c r="R409" s="54">
        <f t="shared" si="422"/>
        <v>0</v>
      </c>
      <c r="S409" s="55" t="str">
        <f t="shared" si="423"/>
        <v>SEPTIEMBRE</v>
      </c>
      <c r="T409" s="55" t="str">
        <f t="shared" si="424"/>
        <v>Sem38</v>
      </c>
      <c r="U409" s="56">
        <f t="shared" si="471"/>
        <v>7</v>
      </c>
      <c r="V409" s="59">
        <v>46281</v>
      </c>
      <c r="W409" s="56">
        <f t="shared" si="425"/>
        <v>38</v>
      </c>
      <c r="X409" s="56">
        <f t="shared" si="426"/>
        <v>16</v>
      </c>
      <c r="Y409" s="56" t="s">
        <v>30</v>
      </c>
      <c r="Z409" s="56">
        <v>3</v>
      </c>
      <c r="AA409" s="58">
        <f t="shared" si="464"/>
        <v>0</v>
      </c>
      <c r="AB409" s="58">
        <f t="shared" si="464"/>
        <v>1</v>
      </c>
      <c r="AC409" s="58">
        <f t="shared" si="464"/>
        <v>0</v>
      </c>
      <c r="AD409" s="58">
        <f t="shared" si="464"/>
        <v>0</v>
      </c>
      <c r="AE409" s="58">
        <f t="shared" si="464"/>
        <v>0</v>
      </c>
    </row>
    <row r="410" spans="2:34">
      <c r="B410" t="str">
        <f t="shared" si="413"/>
        <v>Sem3838ESWIN ESTUARDO ORTEGA LIMA</v>
      </c>
      <c r="C410" t="str">
        <f t="shared" si="414"/>
        <v>SEPTIEMBRESem38</v>
      </c>
      <c r="D410" t="str">
        <f t="shared" si="415"/>
        <v>SEPTIEMBRESem38ESWIN ESTUARDO ORTEGA LIMA</v>
      </c>
      <c r="E410" t="str">
        <f t="shared" si="416"/>
        <v>SEPTIEMBRESem3838ESWIN ESTUARDO ORTEGA LIMA</v>
      </c>
      <c r="F410" t="str">
        <f t="shared" si="417"/>
        <v>ESWIN ESTUARDO ORTEGA LIMA46282</v>
      </c>
      <c r="H410" s="49" t="s">
        <v>12</v>
      </c>
      <c r="I410" s="50" t="str">
        <f>+_xlfn.XLOOKUP($H410&amp;$V410,BASEDATOS!$B:$B,BASEDATOS!F:F,0,0,1)</f>
        <v>NOCHE</v>
      </c>
      <c r="J410" s="51">
        <f>+_xlfn.XLOOKUP($H410&amp;$V410,BASEDATOS!$B:$B,BASEDATOS!Q:Q,0,0,1)</f>
        <v>0.75</v>
      </c>
      <c r="K410" s="51">
        <f>+_xlfn.XLOOKUP($H410&amp;$V410,BASEDATOS!$B:$B,BASEDATOS!R:R,0,0,1)</f>
        <v>0.25</v>
      </c>
      <c r="L410" s="51">
        <f t="shared" si="418"/>
        <v>0.5</v>
      </c>
      <c r="M410" s="52" t="str">
        <f t="shared" si="419"/>
        <v>1:00</v>
      </c>
      <c r="N410" s="51">
        <f t="shared" si="420"/>
        <v>0.45833333333333331</v>
      </c>
      <c r="O410" s="53" t="str">
        <f t="shared" ref="O410" si="489">+O413</f>
        <v>1-3-3</v>
      </c>
      <c r="P410" s="54">
        <f>+IF(AND(Y410="Domingo",U410=7),_xlfn.XLOOKUP(O410,'Horarios y Sistemas'!C:C,'Horarios y Sistemas'!H:H,0,0,1),0)</f>
        <v>0</v>
      </c>
      <c r="Q410" s="54">
        <f>IF(U410=U411,0,IF(AVERAGEIF(W:W,W410,U:U)=U410,0,_xlfn.XLOOKUP(O410,'Horarios y Sistemas'!C:C,'Horarios y Sistemas'!H:H,0,0,1)-P410))/7*U410</f>
        <v>0</v>
      </c>
      <c r="R410" s="54">
        <f t="shared" si="422"/>
        <v>0</v>
      </c>
      <c r="S410" s="55" t="str">
        <f t="shared" si="423"/>
        <v>SEPTIEMBRE</v>
      </c>
      <c r="T410" s="55" t="str">
        <f t="shared" si="424"/>
        <v>Sem38</v>
      </c>
      <c r="U410" s="56">
        <f t="shared" si="471"/>
        <v>7</v>
      </c>
      <c r="V410" s="59">
        <v>46282</v>
      </c>
      <c r="W410" s="56">
        <f t="shared" si="425"/>
        <v>38</v>
      </c>
      <c r="X410" s="56">
        <f t="shared" si="426"/>
        <v>17</v>
      </c>
      <c r="Y410" s="56" t="s">
        <v>31</v>
      </c>
      <c r="Z410" s="56">
        <v>4</v>
      </c>
      <c r="AA410" s="58">
        <f t="shared" si="464"/>
        <v>0</v>
      </c>
      <c r="AB410" s="58">
        <f t="shared" si="464"/>
        <v>1</v>
      </c>
      <c r="AC410" s="58">
        <f t="shared" si="464"/>
        <v>0</v>
      </c>
      <c r="AD410" s="58">
        <f t="shared" si="464"/>
        <v>0</v>
      </c>
      <c r="AE410" s="58">
        <f t="shared" si="464"/>
        <v>0</v>
      </c>
    </row>
    <row r="411" spans="2:34">
      <c r="B411" t="str">
        <f t="shared" si="413"/>
        <v>Sem3838ESWIN ESTUARDO ORTEGA LIMA</v>
      </c>
      <c r="C411" t="str">
        <f t="shared" si="414"/>
        <v>SEPTIEMBRESem38</v>
      </c>
      <c r="D411" t="str">
        <f t="shared" si="415"/>
        <v>SEPTIEMBRESem38ESWIN ESTUARDO ORTEGA LIMA</v>
      </c>
      <c r="E411" t="str">
        <f t="shared" si="416"/>
        <v>SEPTIEMBRESem3838ESWIN ESTUARDO ORTEGA LIMA</v>
      </c>
      <c r="F411" t="str">
        <f t="shared" si="417"/>
        <v>ESWIN ESTUARDO ORTEGA LIMA46283</v>
      </c>
      <c r="H411" s="49" t="s">
        <v>12</v>
      </c>
      <c r="I411" s="50" t="str">
        <f>+_xlfn.XLOOKUP($H411&amp;$V411,BASEDATOS!$B:$B,BASEDATOS!F:F,0,0,1)</f>
        <v>NOCHE</v>
      </c>
      <c r="J411" s="51">
        <f>+_xlfn.XLOOKUP($H411&amp;$V411,BASEDATOS!$B:$B,BASEDATOS!Q:Q,0,0,1)</f>
        <v>0.75</v>
      </c>
      <c r="K411" s="51">
        <f>+_xlfn.XLOOKUP($H411&amp;$V411,BASEDATOS!$B:$B,BASEDATOS!R:R,0,0,1)</f>
        <v>0.25</v>
      </c>
      <c r="L411" s="51">
        <f t="shared" si="418"/>
        <v>0.5</v>
      </c>
      <c r="M411" s="52" t="str">
        <f t="shared" si="419"/>
        <v>1:00</v>
      </c>
      <c r="N411" s="51">
        <f t="shared" si="420"/>
        <v>0.45833333333333331</v>
      </c>
      <c r="O411" s="53" t="str">
        <f t="shared" ref="O411" si="490">+O413</f>
        <v>1-3-3</v>
      </c>
      <c r="P411" s="54">
        <f>+IF(AND(Y411="Domingo",U411=7),_xlfn.XLOOKUP(O411,'Horarios y Sistemas'!C:C,'Horarios y Sistemas'!H:H,0,0,1),0)</f>
        <v>0</v>
      </c>
      <c r="Q411" s="54">
        <f>IF(U411=U412,0,IF(AVERAGEIF(W:W,W411,U:U)=U411,0,_xlfn.XLOOKUP(O411,'Horarios y Sistemas'!C:C,'Horarios y Sistemas'!H:H,0,0,1)-P411))/7*U411</f>
        <v>0</v>
      </c>
      <c r="R411" s="54">
        <f t="shared" si="422"/>
        <v>0</v>
      </c>
      <c r="S411" s="55" t="str">
        <f t="shared" si="423"/>
        <v>SEPTIEMBRE</v>
      </c>
      <c r="T411" s="55" t="str">
        <f t="shared" si="424"/>
        <v>Sem38</v>
      </c>
      <c r="U411" s="56">
        <f t="shared" si="471"/>
        <v>7</v>
      </c>
      <c r="V411" s="59">
        <v>46283</v>
      </c>
      <c r="W411" s="56">
        <f t="shared" si="425"/>
        <v>38</v>
      </c>
      <c r="X411" s="56">
        <f t="shared" si="426"/>
        <v>18</v>
      </c>
      <c r="Y411" s="56" t="s">
        <v>32</v>
      </c>
      <c r="Z411" s="56">
        <v>5</v>
      </c>
      <c r="AA411" s="58">
        <f t="shared" si="464"/>
        <v>0</v>
      </c>
      <c r="AB411" s="58">
        <f t="shared" si="464"/>
        <v>1</v>
      </c>
      <c r="AC411" s="58">
        <f t="shared" si="464"/>
        <v>0</v>
      </c>
      <c r="AD411" s="58">
        <f t="shared" si="464"/>
        <v>0</v>
      </c>
      <c r="AE411" s="58">
        <f t="shared" si="464"/>
        <v>0</v>
      </c>
    </row>
    <row r="412" spans="2:34">
      <c r="B412" t="str">
        <f t="shared" si="413"/>
        <v>Sem3838ESWIN ESTUARDO ORTEGA LIMA</v>
      </c>
      <c r="C412" t="str">
        <f t="shared" si="414"/>
        <v>SEPTIEMBRESem38</v>
      </c>
      <c r="D412" t="str">
        <f t="shared" si="415"/>
        <v>SEPTIEMBRESem38ESWIN ESTUARDO ORTEGA LIMA</v>
      </c>
      <c r="E412" t="str">
        <f t="shared" si="416"/>
        <v>SEPTIEMBRESem3838ESWIN ESTUARDO ORTEGA LIMA</v>
      </c>
      <c r="F412" t="str">
        <f t="shared" si="417"/>
        <v>ESWIN ESTUARDO ORTEGA LIMA46284</v>
      </c>
      <c r="H412" s="49" t="s">
        <v>12</v>
      </c>
      <c r="I412" s="50" t="str">
        <f>+_xlfn.XLOOKUP($H412&amp;$V412,BASEDATOS!$B:$B,BASEDATOS!F:F,0,0,1)</f>
        <v>DESCANSO</v>
      </c>
      <c r="J412" s="51">
        <f>+_xlfn.XLOOKUP($H412&amp;$V412,BASEDATOS!$B:$B,BASEDATOS!Q:Q,0,0,1)</f>
        <v>0</v>
      </c>
      <c r="K412" s="51">
        <f>+_xlfn.XLOOKUP($H412&amp;$V412,BASEDATOS!$B:$B,BASEDATOS!R:R,0,0,1)</f>
        <v>0</v>
      </c>
      <c r="L412" s="51">
        <f t="shared" si="418"/>
        <v>0</v>
      </c>
      <c r="M412" s="52">
        <f t="shared" si="419"/>
        <v>0</v>
      </c>
      <c r="N412" s="51">
        <f t="shared" si="420"/>
        <v>0</v>
      </c>
      <c r="O412" s="53" t="str">
        <f t="shared" ref="O412" si="491">+O413</f>
        <v>1-3-3</v>
      </c>
      <c r="P412" s="54">
        <f>+IF(AND(Y412="Domingo",U412=7),_xlfn.XLOOKUP(O412,'Horarios y Sistemas'!C:C,'Horarios y Sistemas'!H:H,0,0,1),0)</f>
        <v>0</v>
      </c>
      <c r="Q412" s="54">
        <f>IF(U412=U413,0,IF(AVERAGEIF(W:W,W412,U:U)=U412,0,_xlfn.XLOOKUP(O412,'Horarios y Sistemas'!C:C,'Horarios y Sistemas'!H:H,0,0,1)-P412))/7*U412</f>
        <v>0</v>
      </c>
      <c r="R412" s="54">
        <f t="shared" si="422"/>
        <v>0</v>
      </c>
      <c r="S412" s="55" t="str">
        <f t="shared" si="423"/>
        <v>SEPTIEMBRE</v>
      </c>
      <c r="T412" s="55" t="str">
        <f t="shared" si="424"/>
        <v>Sem38</v>
      </c>
      <c r="U412" s="56">
        <f t="shared" si="471"/>
        <v>7</v>
      </c>
      <c r="V412" s="59">
        <v>46284</v>
      </c>
      <c r="W412" s="56">
        <f t="shared" si="425"/>
        <v>38</v>
      </c>
      <c r="X412" s="56">
        <f t="shared" si="426"/>
        <v>19</v>
      </c>
      <c r="Y412" s="56" t="s">
        <v>33</v>
      </c>
      <c r="Z412" s="56">
        <v>6</v>
      </c>
      <c r="AA412" s="58">
        <f t="shared" si="464"/>
        <v>0</v>
      </c>
      <c r="AB412" s="58">
        <f t="shared" si="464"/>
        <v>0</v>
      </c>
      <c r="AC412" s="58">
        <f t="shared" si="464"/>
        <v>1</v>
      </c>
      <c r="AD412" s="58">
        <f t="shared" si="464"/>
        <v>0</v>
      </c>
      <c r="AE412" s="58">
        <f t="shared" si="464"/>
        <v>0</v>
      </c>
    </row>
    <row r="413" spans="2:34" s="60" customFormat="1">
      <c r="B413" s="60" t="str">
        <f t="shared" ref="B413:B476" si="492">+T413&amp;W413&amp;H413</f>
        <v>Sem3838ESWIN ESTUARDO ORTEGA LIMA</v>
      </c>
      <c r="C413" s="60" t="str">
        <f t="shared" ref="C413:C476" si="493">+S413&amp;T413</f>
        <v>SEPTIEMBRESem38</v>
      </c>
      <c r="D413" s="60" t="str">
        <f t="shared" ref="D413:D476" si="494">+S413&amp;T413&amp;H413</f>
        <v>SEPTIEMBRESem38ESWIN ESTUARDO ORTEGA LIMA</v>
      </c>
      <c r="E413" s="60" t="str">
        <f t="shared" ref="E413:E476" si="495">+S413&amp;T413&amp;W413&amp;H413</f>
        <v>SEPTIEMBRESem3838ESWIN ESTUARDO ORTEGA LIMA</v>
      </c>
      <c r="F413" s="60" t="str">
        <f t="shared" ref="F413:F476" si="496">+H413&amp;V413</f>
        <v>ESWIN ESTUARDO ORTEGA LIMA46285</v>
      </c>
      <c r="H413" s="61" t="s">
        <v>12</v>
      </c>
      <c r="I413" s="62" t="str">
        <f>+_xlfn.XLOOKUP($H413&amp;$V413,BASEDATOS!$B:$B,BASEDATOS!F:F,0,0,1)</f>
        <v>DESCANSO</v>
      </c>
      <c r="J413" s="63">
        <f>+_xlfn.XLOOKUP($H413&amp;$V413,BASEDATOS!$B:$B,BASEDATOS!Q:Q,0,0,1)</f>
        <v>0</v>
      </c>
      <c r="K413" s="63">
        <f>+_xlfn.XLOOKUP($H413&amp;$V413,BASEDATOS!$B:$B,BASEDATOS!R:R,0,0,1)</f>
        <v>0</v>
      </c>
      <c r="L413" s="63">
        <f t="shared" ref="L413:L476" si="497">+IF(OR(J413="Descanso",J413="AUSENTE",J413="ASUETO"),0,MOD(K413-J413,1))</f>
        <v>0</v>
      </c>
      <c r="M413" s="64">
        <f t="shared" ref="M413:M476" si="498">+IF(OR(I413="DIA",I413="NOCHE",I413="MIXTO"),"1:00",0)</f>
        <v>0</v>
      </c>
      <c r="N413" s="63">
        <f t="shared" ref="N413:N476" si="499">+IF(I413="ASUETO-D",8/24,IF(I413="ASUETO-N",6/24,MOD(L413-M413,1)))</f>
        <v>0</v>
      </c>
      <c r="O413" s="65" t="str">
        <f t="shared" ref="O413" si="500">+IF(Y413="Domingo",SUM(AA407:AA413)&amp;"-"&amp;SUM(AB407:AB413)&amp;"-"&amp;SUM(AC407:AE413),"")</f>
        <v>1-3-3</v>
      </c>
      <c r="P413" s="66">
        <f>+IF(AND(Y413="Domingo",U413=7),_xlfn.XLOOKUP(O413,'Horarios y Sistemas'!C:C,'Horarios y Sistemas'!H:H,0,0,1),0)</f>
        <v>38</v>
      </c>
      <c r="Q413" s="66">
        <f>IF(U413=U414,0,IF(AVERAGEIF(W:W,W413,U:U)=U413,0,_xlfn.XLOOKUP(O413,'Horarios y Sistemas'!C:C,'Horarios y Sistemas'!H:H,0,0,1)-P413))/7*U413</f>
        <v>0</v>
      </c>
      <c r="R413" s="66">
        <f t="shared" ref="R413:R476" si="501">+IF(Y413="Domingo",SUM(P407:Q413),0)</f>
        <v>38</v>
      </c>
      <c r="S413" s="67" t="str">
        <f t="shared" ref="S413:S476" si="502">+UPPER(TEXT(V413,"MMMMMMMM"))</f>
        <v>SEPTIEMBRE</v>
      </c>
      <c r="T413" s="55" t="str">
        <f t="shared" ref="T413:T476" si="503">+"Sem"&amp;W413</f>
        <v>Sem38</v>
      </c>
      <c r="U413" s="68">
        <f t="shared" si="471"/>
        <v>7</v>
      </c>
      <c r="V413" s="69">
        <v>46285</v>
      </c>
      <c r="W413" s="68">
        <f t="shared" ref="W413:W476" si="504">+_xlfn.ISOWEEKNUM(V413)</f>
        <v>38</v>
      </c>
      <c r="X413" s="68">
        <f t="shared" ref="X413:X476" si="505">+DAY(V413)</f>
        <v>20</v>
      </c>
      <c r="Y413" s="68" t="s">
        <v>34</v>
      </c>
      <c r="Z413" s="68">
        <v>7</v>
      </c>
      <c r="AA413" s="70">
        <f t="shared" si="464"/>
        <v>0</v>
      </c>
      <c r="AB413" s="70">
        <f t="shared" si="464"/>
        <v>0</v>
      </c>
      <c r="AC413" s="70">
        <f t="shared" si="464"/>
        <v>1</v>
      </c>
      <c r="AD413" s="70">
        <f t="shared" si="464"/>
        <v>0</v>
      </c>
      <c r="AE413" s="70">
        <f t="shared" si="464"/>
        <v>0</v>
      </c>
      <c r="AF413" s="71"/>
      <c r="AG413" s="71"/>
      <c r="AH413" s="71"/>
    </row>
    <row r="414" spans="2:34">
      <c r="B414" t="str">
        <f t="shared" si="492"/>
        <v>Sem3939ESWIN ESTUARDO ORTEGA LIMA</v>
      </c>
      <c r="C414" t="str">
        <f t="shared" si="493"/>
        <v>SEPTIEMBRESem39</v>
      </c>
      <c r="D414" t="str">
        <f t="shared" si="494"/>
        <v>SEPTIEMBRESem39ESWIN ESTUARDO ORTEGA LIMA</v>
      </c>
      <c r="E414" t="str">
        <f t="shared" si="495"/>
        <v>SEPTIEMBRESem3939ESWIN ESTUARDO ORTEGA LIMA</v>
      </c>
      <c r="F414" t="str">
        <f t="shared" si="496"/>
        <v>ESWIN ESTUARDO ORTEGA LIMA46286</v>
      </c>
      <c r="H414" s="49" t="s">
        <v>12</v>
      </c>
      <c r="I414" s="50" t="str">
        <f>+_xlfn.XLOOKUP($H414&amp;$V414,BASEDATOS!$B:$B,BASEDATOS!F:F,0,0,1)</f>
        <v>DIA</v>
      </c>
      <c r="J414" s="51">
        <f>+_xlfn.XLOOKUP($H414&amp;$V414,BASEDATOS!$B:$B,BASEDATOS!Q:Q,0,0,1)</f>
        <v>0.25</v>
      </c>
      <c r="K414" s="51">
        <f>+_xlfn.XLOOKUP($H414&amp;$V414,BASEDATOS!$B:$B,BASEDATOS!R:R,0,0,1)</f>
        <v>0.75</v>
      </c>
      <c r="L414" s="51">
        <f t="shared" si="497"/>
        <v>0.5</v>
      </c>
      <c r="M414" s="52" t="str">
        <f t="shared" si="498"/>
        <v>1:00</v>
      </c>
      <c r="N414" s="51">
        <f t="shared" si="499"/>
        <v>0.45833333333333331</v>
      </c>
      <c r="O414" s="53" t="str">
        <f t="shared" ref="O414" si="506">+O420</f>
        <v>6-0-1</v>
      </c>
      <c r="P414" s="54">
        <f>+IF(AND(Y414="Domingo",U414=7),_xlfn.XLOOKUP(O414,'Horarios y Sistemas'!C:C,'Horarios y Sistemas'!H:H,0,0,1),0)</f>
        <v>0</v>
      </c>
      <c r="Q414" s="54">
        <f>IF(U414=U415,0,IF(AVERAGEIF(W:W,W414,U:U)=U414,0,_xlfn.XLOOKUP(O414,'Horarios y Sistemas'!C:C,'Horarios y Sistemas'!H:H,0,0,1)-P414))/7*U414</f>
        <v>0</v>
      </c>
      <c r="R414" s="54">
        <f t="shared" si="501"/>
        <v>0</v>
      </c>
      <c r="S414" s="55" t="str">
        <f t="shared" si="502"/>
        <v>SEPTIEMBRE</v>
      </c>
      <c r="T414" s="55" t="str">
        <f t="shared" si="503"/>
        <v>Sem39</v>
      </c>
      <c r="U414" s="56">
        <f t="shared" si="471"/>
        <v>7</v>
      </c>
      <c r="V414" s="59">
        <v>46286</v>
      </c>
      <c r="W414" s="56">
        <f t="shared" si="504"/>
        <v>39</v>
      </c>
      <c r="X414" s="56">
        <f t="shared" si="505"/>
        <v>21</v>
      </c>
      <c r="Y414" s="56" t="s">
        <v>28</v>
      </c>
      <c r="Z414" s="56">
        <v>1</v>
      </c>
      <c r="AA414" s="58">
        <f t="shared" si="464"/>
        <v>1</v>
      </c>
      <c r="AB414" s="58">
        <f t="shared" si="464"/>
        <v>0</v>
      </c>
      <c r="AC414" s="58">
        <f t="shared" si="464"/>
        <v>0</v>
      </c>
      <c r="AD414" s="58">
        <f t="shared" si="464"/>
        <v>0</v>
      </c>
      <c r="AE414" s="58">
        <f t="shared" si="464"/>
        <v>0</v>
      </c>
    </row>
    <row r="415" spans="2:34">
      <c r="B415" t="str">
        <f t="shared" si="492"/>
        <v>Sem3939ESWIN ESTUARDO ORTEGA LIMA</v>
      </c>
      <c r="C415" t="str">
        <f t="shared" si="493"/>
        <v>SEPTIEMBRESem39</v>
      </c>
      <c r="D415" t="str">
        <f t="shared" si="494"/>
        <v>SEPTIEMBRESem39ESWIN ESTUARDO ORTEGA LIMA</v>
      </c>
      <c r="E415" t="str">
        <f t="shared" si="495"/>
        <v>SEPTIEMBRESem3939ESWIN ESTUARDO ORTEGA LIMA</v>
      </c>
      <c r="F415" t="str">
        <f t="shared" si="496"/>
        <v>ESWIN ESTUARDO ORTEGA LIMA46287</v>
      </c>
      <c r="H415" s="49" t="s">
        <v>12</v>
      </c>
      <c r="I415" s="50" t="str">
        <f>+_xlfn.XLOOKUP($H415&amp;$V415,BASEDATOS!$B:$B,BASEDATOS!F:F,0,0,1)</f>
        <v>DIA</v>
      </c>
      <c r="J415" s="51">
        <f>+_xlfn.XLOOKUP($H415&amp;$V415,BASEDATOS!$B:$B,BASEDATOS!Q:Q,0,0,1)</f>
        <v>0.25</v>
      </c>
      <c r="K415" s="51">
        <f>+_xlfn.XLOOKUP($H415&amp;$V415,BASEDATOS!$B:$B,BASEDATOS!R:R,0,0,1)</f>
        <v>0.75</v>
      </c>
      <c r="L415" s="51">
        <f t="shared" si="497"/>
        <v>0.5</v>
      </c>
      <c r="M415" s="52" t="str">
        <f t="shared" si="498"/>
        <v>1:00</v>
      </c>
      <c r="N415" s="51">
        <f t="shared" si="499"/>
        <v>0.45833333333333331</v>
      </c>
      <c r="O415" s="53" t="str">
        <f t="shared" ref="O415" si="507">+O420</f>
        <v>6-0-1</v>
      </c>
      <c r="P415" s="54">
        <f>+IF(AND(Y415="Domingo",U415=7),_xlfn.XLOOKUP(O415,'Horarios y Sistemas'!C:C,'Horarios y Sistemas'!H:H,0,0,1),0)</f>
        <v>0</v>
      </c>
      <c r="Q415" s="54">
        <f>IF(U415=U416,0,IF(AVERAGEIF(W:W,W415,U:U)=U415,0,_xlfn.XLOOKUP(O415,'Horarios y Sistemas'!C:C,'Horarios y Sistemas'!H:H,0,0,1)-P415))/7*U415</f>
        <v>0</v>
      </c>
      <c r="R415" s="54">
        <f t="shared" si="501"/>
        <v>0</v>
      </c>
      <c r="S415" s="55" t="str">
        <f t="shared" si="502"/>
        <v>SEPTIEMBRE</v>
      </c>
      <c r="T415" s="55" t="str">
        <f t="shared" si="503"/>
        <v>Sem39</v>
      </c>
      <c r="U415" s="56">
        <f t="shared" si="471"/>
        <v>7</v>
      </c>
      <c r="V415" s="59">
        <v>46287</v>
      </c>
      <c r="W415" s="56">
        <f t="shared" si="504"/>
        <v>39</v>
      </c>
      <c r="X415" s="56">
        <f t="shared" si="505"/>
        <v>22</v>
      </c>
      <c r="Y415" s="56" t="s">
        <v>29</v>
      </c>
      <c r="Z415" s="56">
        <v>2</v>
      </c>
      <c r="AA415" s="58">
        <f t="shared" si="464"/>
        <v>1</v>
      </c>
      <c r="AB415" s="58">
        <f t="shared" si="464"/>
        <v>0</v>
      </c>
      <c r="AC415" s="58">
        <f t="shared" si="464"/>
        <v>0</v>
      </c>
      <c r="AD415" s="58">
        <f t="shared" si="464"/>
        <v>0</v>
      </c>
      <c r="AE415" s="58">
        <f t="shared" si="464"/>
        <v>0</v>
      </c>
    </row>
    <row r="416" spans="2:34">
      <c r="B416" t="str">
        <f t="shared" si="492"/>
        <v>Sem3939ESWIN ESTUARDO ORTEGA LIMA</v>
      </c>
      <c r="C416" t="str">
        <f t="shared" si="493"/>
        <v>SEPTIEMBRESem39</v>
      </c>
      <c r="D416" t="str">
        <f t="shared" si="494"/>
        <v>SEPTIEMBRESem39ESWIN ESTUARDO ORTEGA LIMA</v>
      </c>
      <c r="E416" t="str">
        <f t="shared" si="495"/>
        <v>SEPTIEMBRESem3939ESWIN ESTUARDO ORTEGA LIMA</v>
      </c>
      <c r="F416" t="str">
        <f t="shared" si="496"/>
        <v>ESWIN ESTUARDO ORTEGA LIMA46288</v>
      </c>
      <c r="H416" s="49" t="s">
        <v>12</v>
      </c>
      <c r="I416" s="50" t="str">
        <f>+_xlfn.XLOOKUP($H416&amp;$V416,BASEDATOS!$B:$B,BASEDATOS!F:F,0,0,1)</f>
        <v>DIA</v>
      </c>
      <c r="J416" s="51">
        <f>+_xlfn.XLOOKUP($H416&amp;$V416,BASEDATOS!$B:$B,BASEDATOS!Q:Q,0,0,1)</f>
        <v>0.25</v>
      </c>
      <c r="K416" s="51">
        <f>+_xlfn.XLOOKUP($H416&amp;$V416,BASEDATOS!$B:$B,BASEDATOS!R:R,0,0,1)</f>
        <v>0.75</v>
      </c>
      <c r="L416" s="51">
        <f t="shared" si="497"/>
        <v>0.5</v>
      </c>
      <c r="M416" s="52" t="str">
        <f t="shared" si="498"/>
        <v>1:00</v>
      </c>
      <c r="N416" s="51">
        <f t="shared" si="499"/>
        <v>0.45833333333333331</v>
      </c>
      <c r="O416" s="53" t="str">
        <f t="shared" ref="O416" si="508">+O420</f>
        <v>6-0-1</v>
      </c>
      <c r="P416" s="54">
        <f>+IF(AND(Y416="Domingo",U416=7),_xlfn.XLOOKUP(O416,'Horarios y Sistemas'!C:C,'Horarios y Sistemas'!H:H,0,0,1),0)</f>
        <v>0</v>
      </c>
      <c r="Q416" s="54">
        <f>IF(U416=U417,0,IF(AVERAGEIF(W:W,W416,U:U)=U416,0,_xlfn.XLOOKUP(O416,'Horarios y Sistemas'!C:C,'Horarios y Sistemas'!H:H,0,0,1)-P416))/7*U416</f>
        <v>0</v>
      </c>
      <c r="R416" s="54">
        <f t="shared" si="501"/>
        <v>0</v>
      </c>
      <c r="S416" s="55" t="str">
        <f t="shared" si="502"/>
        <v>SEPTIEMBRE</v>
      </c>
      <c r="T416" s="55" t="str">
        <f t="shared" si="503"/>
        <v>Sem39</v>
      </c>
      <c r="U416" s="56">
        <f t="shared" si="471"/>
        <v>7</v>
      </c>
      <c r="V416" s="59">
        <v>46288</v>
      </c>
      <c r="W416" s="56">
        <f t="shared" si="504"/>
        <v>39</v>
      </c>
      <c r="X416" s="56">
        <f t="shared" si="505"/>
        <v>23</v>
      </c>
      <c r="Y416" s="56" t="s">
        <v>30</v>
      </c>
      <c r="Z416" s="56">
        <v>3</v>
      </c>
      <c r="AA416" s="58">
        <f t="shared" si="464"/>
        <v>1</v>
      </c>
      <c r="AB416" s="58">
        <f t="shared" si="464"/>
        <v>0</v>
      </c>
      <c r="AC416" s="58">
        <f t="shared" si="464"/>
        <v>0</v>
      </c>
      <c r="AD416" s="58">
        <f t="shared" si="464"/>
        <v>0</v>
      </c>
      <c r="AE416" s="58">
        <f t="shared" si="464"/>
        <v>0</v>
      </c>
    </row>
    <row r="417" spans="2:34">
      <c r="B417" t="str">
        <f t="shared" si="492"/>
        <v>Sem3939ESWIN ESTUARDO ORTEGA LIMA</v>
      </c>
      <c r="C417" t="str">
        <f t="shared" si="493"/>
        <v>SEPTIEMBRESem39</v>
      </c>
      <c r="D417" t="str">
        <f t="shared" si="494"/>
        <v>SEPTIEMBRESem39ESWIN ESTUARDO ORTEGA LIMA</v>
      </c>
      <c r="E417" t="str">
        <f t="shared" si="495"/>
        <v>SEPTIEMBRESem3939ESWIN ESTUARDO ORTEGA LIMA</v>
      </c>
      <c r="F417" t="str">
        <f t="shared" si="496"/>
        <v>ESWIN ESTUARDO ORTEGA LIMA46289</v>
      </c>
      <c r="H417" s="49" t="s">
        <v>12</v>
      </c>
      <c r="I417" s="50" t="str">
        <f>+_xlfn.XLOOKUP($H417&amp;$V417,BASEDATOS!$B:$B,BASEDATOS!F:F,0,0,1)</f>
        <v>DIA</v>
      </c>
      <c r="J417" s="51">
        <f>+_xlfn.XLOOKUP($H417&amp;$V417,BASEDATOS!$B:$B,BASEDATOS!Q:Q,0,0,1)</f>
        <v>0.25</v>
      </c>
      <c r="K417" s="51">
        <f>+_xlfn.XLOOKUP($H417&amp;$V417,BASEDATOS!$B:$B,BASEDATOS!R:R,0,0,1)</f>
        <v>0.75</v>
      </c>
      <c r="L417" s="51">
        <f t="shared" si="497"/>
        <v>0.5</v>
      </c>
      <c r="M417" s="52" t="str">
        <f t="shared" si="498"/>
        <v>1:00</v>
      </c>
      <c r="N417" s="51">
        <f t="shared" si="499"/>
        <v>0.45833333333333331</v>
      </c>
      <c r="O417" s="53" t="str">
        <f t="shared" ref="O417" si="509">+O420</f>
        <v>6-0-1</v>
      </c>
      <c r="P417" s="54">
        <f>+IF(AND(Y417="Domingo",U417=7),_xlfn.XLOOKUP(O417,'Horarios y Sistemas'!C:C,'Horarios y Sistemas'!H:H,0,0,1),0)</f>
        <v>0</v>
      </c>
      <c r="Q417" s="54">
        <f>IF(U417=U418,0,IF(AVERAGEIF(W:W,W417,U:U)=U417,0,_xlfn.XLOOKUP(O417,'Horarios y Sistemas'!C:C,'Horarios y Sistemas'!H:H,0,0,1)-P417))/7*U417</f>
        <v>0</v>
      </c>
      <c r="R417" s="54">
        <f t="shared" si="501"/>
        <v>0</v>
      </c>
      <c r="S417" s="55" t="str">
        <f t="shared" si="502"/>
        <v>SEPTIEMBRE</v>
      </c>
      <c r="T417" s="55" t="str">
        <f t="shared" si="503"/>
        <v>Sem39</v>
      </c>
      <c r="U417" s="56">
        <f t="shared" si="471"/>
        <v>7</v>
      </c>
      <c r="V417" s="59">
        <v>46289</v>
      </c>
      <c r="W417" s="56">
        <f t="shared" si="504"/>
        <v>39</v>
      </c>
      <c r="X417" s="56">
        <f t="shared" si="505"/>
        <v>24</v>
      </c>
      <c r="Y417" s="56" t="s">
        <v>31</v>
      </c>
      <c r="Z417" s="56">
        <v>4</v>
      </c>
      <c r="AA417" s="58">
        <f t="shared" si="464"/>
        <v>1</v>
      </c>
      <c r="AB417" s="58">
        <f t="shared" si="464"/>
        <v>0</v>
      </c>
      <c r="AC417" s="58">
        <f t="shared" si="464"/>
        <v>0</v>
      </c>
      <c r="AD417" s="58">
        <f t="shared" si="464"/>
        <v>0</v>
      </c>
      <c r="AE417" s="58">
        <f t="shared" si="464"/>
        <v>0</v>
      </c>
    </row>
    <row r="418" spans="2:34">
      <c r="B418" t="str">
        <f t="shared" si="492"/>
        <v>Sem3939ESWIN ESTUARDO ORTEGA LIMA</v>
      </c>
      <c r="C418" t="str">
        <f t="shared" si="493"/>
        <v>SEPTIEMBRESem39</v>
      </c>
      <c r="D418" t="str">
        <f t="shared" si="494"/>
        <v>SEPTIEMBRESem39ESWIN ESTUARDO ORTEGA LIMA</v>
      </c>
      <c r="E418" t="str">
        <f t="shared" si="495"/>
        <v>SEPTIEMBRESem3939ESWIN ESTUARDO ORTEGA LIMA</v>
      </c>
      <c r="F418" t="str">
        <f t="shared" si="496"/>
        <v>ESWIN ESTUARDO ORTEGA LIMA46290</v>
      </c>
      <c r="H418" s="49" t="s">
        <v>12</v>
      </c>
      <c r="I418" s="50" t="str">
        <f>+_xlfn.XLOOKUP($H418&amp;$V418,BASEDATOS!$B:$B,BASEDATOS!F:F,0,0,1)</f>
        <v>DIA</v>
      </c>
      <c r="J418" s="51">
        <f>+_xlfn.XLOOKUP($H418&amp;$V418,BASEDATOS!$B:$B,BASEDATOS!Q:Q,0,0,1)</f>
        <v>0.25</v>
      </c>
      <c r="K418" s="51">
        <f>+_xlfn.XLOOKUP($H418&amp;$V418,BASEDATOS!$B:$B,BASEDATOS!R:R,0,0,1)</f>
        <v>0.75</v>
      </c>
      <c r="L418" s="51">
        <f t="shared" si="497"/>
        <v>0.5</v>
      </c>
      <c r="M418" s="52" t="str">
        <f t="shared" si="498"/>
        <v>1:00</v>
      </c>
      <c r="N418" s="51">
        <f t="shared" si="499"/>
        <v>0.45833333333333331</v>
      </c>
      <c r="O418" s="53" t="str">
        <f t="shared" ref="O418" si="510">+O420</f>
        <v>6-0-1</v>
      </c>
      <c r="P418" s="54">
        <f>+IF(AND(Y418="Domingo",U418=7),_xlfn.XLOOKUP(O418,'Horarios y Sistemas'!C:C,'Horarios y Sistemas'!H:H,0,0,1),0)</f>
        <v>0</v>
      </c>
      <c r="Q418" s="54">
        <f>IF(U418=U419,0,IF(AVERAGEIF(W:W,W418,U:U)=U418,0,_xlfn.XLOOKUP(O418,'Horarios y Sistemas'!C:C,'Horarios y Sistemas'!H:H,0,0,1)-P418))/7*U418</f>
        <v>0</v>
      </c>
      <c r="R418" s="54">
        <f t="shared" si="501"/>
        <v>0</v>
      </c>
      <c r="S418" s="55" t="str">
        <f t="shared" si="502"/>
        <v>SEPTIEMBRE</v>
      </c>
      <c r="T418" s="55" t="str">
        <f t="shared" si="503"/>
        <v>Sem39</v>
      </c>
      <c r="U418" s="56">
        <f t="shared" si="471"/>
        <v>7</v>
      </c>
      <c r="V418" s="59">
        <v>46290</v>
      </c>
      <c r="W418" s="56">
        <f t="shared" si="504"/>
        <v>39</v>
      </c>
      <c r="X418" s="56">
        <f t="shared" si="505"/>
        <v>25</v>
      </c>
      <c r="Y418" s="56" t="s">
        <v>32</v>
      </c>
      <c r="Z418" s="56">
        <v>5</v>
      </c>
      <c r="AA418" s="58">
        <f t="shared" si="464"/>
        <v>1</v>
      </c>
      <c r="AB418" s="58">
        <f t="shared" si="464"/>
        <v>0</v>
      </c>
      <c r="AC418" s="58">
        <f t="shared" si="464"/>
        <v>0</v>
      </c>
      <c r="AD418" s="58">
        <f t="shared" si="464"/>
        <v>0</v>
      </c>
      <c r="AE418" s="58">
        <f t="shared" si="464"/>
        <v>0</v>
      </c>
    </row>
    <row r="419" spans="2:34">
      <c r="B419" t="str">
        <f t="shared" si="492"/>
        <v>Sem3939ESWIN ESTUARDO ORTEGA LIMA</v>
      </c>
      <c r="C419" t="str">
        <f t="shared" si="493"/>
        <v>SEPTIEMBRESem39</v>
      </c>
      <c r="D419" t="str">
        <f t="shared" si="494"/>
        <v>SEPTIEMBRESem39ESWIN ESTUARDO ORTEGA LIMA</v>
      </c>
      <c r="E419" t="str">
        <f t="shared" si="495"/>
        <v>SEPTIEMBRESem3939ESWIN ESTUARDO ORTEGA LIMA</v>
      </c>
      <c r="F419" t="str">
        <f t="shared" si="496"/>
        <v>ESWIN ESTUARDO ORTEGA LIMA46291</v>
      </c>
      <c r="H419" s="49" t="s">
        <v>12</v>
      </c>
      <c r="I419" s="50" t="str">
        <f>+_xlfn.XLOOKUP($H419&amp;$V419,BASEDATOS!$B:$B,BASEDATOS!F:F,0,0,1)</f>
        <v>DIA</v>
      </c>
      <c r="J419" s="51">
        <f>+_xlfn.XLOOKUP($H419&amp;$V419,BASEDATOS!$B:$B,BASEDATOS!Q:Q,0,0,1)</f>
        <v>0.25</v>
      </c>
      <c r="K419" s="51">
        <f>+_xlfn.XLOOKUP($H419&amp;$V419,BASEDATOS!$B:$B,BASEDATOS!R:R,0,0,1)</f>
        <v>0.58333333333333304</v>
      </c>
      <c r="L419" s="51">
        <f t="shared" si="497"/>
        <v>0.33333333333333304</v>
      </c>
      <c r="M419" s="52" t="str">
        <f t="shared" si="498"/>
        <v>1:00</v>
      </c>
      <c r="N419" s="51">
        <f t="shared" si="499"/>
        <v>0.29166666666666635</v>
      </c>
      <c r="O419" s="53" t="str">
        <f t="shared" ref="O419" si="511">+O420</f>
        <v>6-0-1</v>
      </c>
      <c r="P419" s="54">
        <f>+IF(AND(Y419="Domingo",U419=7),_xlfn.XLOOKUP(O419,'Horarios y Sistemas'!C:C,'Horarios y Sistemas'!H:H,0,0,1),0)</f>
        <v>0</v>
      </c>
      <c r="Q419" s="54">
        <f>IF(U419=U420,0,IF(AVERAGEIF(W:W,W419,U:U)=U419,0,_xlfn.XLOOKUP(O419,'Horarios y Sistemas'!C:C,'Horarios y Sistemas'!H:H,0,0,1)-P419))/7*U419</f>
        <v>0</v>
      </c>
      <c r="R419" s="54">
        <f t="shared" si="501"/>
        <v>0</v>
      </c>
      <c r="S419" s="55" t="str">
        <f t="shared" si="502"/>
        <v>SEPTIEMBRE</v>
      </c>
      <c r="T419" s="55" t="str">
        <f t="shared" si="503"/>
        <v>Sem39</v>
      </c>
      <c r="U419" s="56">
        <f t="shared" si="471"/>
        <v>7</v>
      </c>
      <c r="V419" s="59">
        <v>46291</v>
      </c>
      <c r="W419" s="56">
        <f t="shared" si="504"/>
        <v>39</v>
      </c>
      <c r="X419" s="56">
        <f t="shared" si="505"/>
        <v>26</v>
      </c>
      <c r="Y419" s="56" t="s">
        <v>33</v>
      </c>
      <c r="Z419" s="56">
        <v>6</v>
      </c>
      <c r="AA419" s="58">
        <f t="shared" si="464"/>
        <v>1</v>
      </c>
      <c r="AB419" s="58">
        <f t="shared" si="464"/>
        <v>0</v>
      </c>
      <c r="AC419" s="58">
        <f t="shared" si="464"/>
        <v>0</v>
      </c>
      <c r="AD419" s="58">
        <f t="shared" si="464"/>
        <v>0</v>
      </c>
      <c r="AE419" s="58">
        <f t="shared" si="464"/>
        <v>0</v>
      </c>
    </row>
    <row r="420" spans="2:34" s="60" customFormat="1">
      <c r="B420" s="60" t="str">
        <f t="shared" si="492"/>
        <v>Sem3939ESWIN ESTUARDO ORTEGA LIMA</v>
      </c>
      <c r="C420" s="60" t="str">
        <f t="shared" si="493"/>
        <v>SEPTIEMBRESem39</v>
      </c>
      <c r="D420" s="60" t="str">
        <f t="shared" si="494"/>
        <v>SEPTIEMBRESem39ESWIN ESTUARDO ORTEGA LIMA</v>
      </c>
      <c r="E420" s="60" t="str">
        <f t="shared" si="495"/>
        <v>SEPTIEMBRESem3939ESWIN ESTUARDO ORTEGA LIMA</v>
      </c>
      <c r="F420" s="60" t="str">
        <f t="shared" si="496"/>
        <v>ESWIN ESTUARDO ORTEGA LIMA46292</v>
      </c>
      <c r="H420" s="61" t="s">
        <v>12</v>
      </c>
      <c r="I420" s="62" t="str">
        <f>+_xlfn.XLOOKUP($H420&amp;$V420,BASEDATOS!$B:$B,BASEDATOS!F:F,0,0,1)</f>
        <v>DESCANSO</v>
      </c>
      <c r="J420" s="63">
        <f>+_xlfn.XLOOKUP($H420&amp;$V420,BASEDATOS!$B:$B,BASEDATOS!Q:Q,0,0,1)</f>
        <v>0</v>
      </c>
      <c r="K420" s="63">
        <f>+_xlfn.XLOOKUP($H420&amp;$V420,BASEDATOS!$B:$B,BASEDATOS!R:R,0,0,1)</f>
        <v>0</v>
      </c>
      <c r="L420" s="63">
        <f t="shared" si="497"/>
        <v>0</v>
      </c>
      <c r="M420" s="64">
        <f t="shared" si="498"/>
        <v>0</v>
      </c>
      <c r="N420" s="63">
        <f t="shared" si="499"/>
        <v>0</v>
      </c>
      <c r="O420" s="65" t="str">
        <f t="shared" ref="O420" si="512">+IF(Y420="Domingo",SUM(AA414:AA420)&amp;"-"&amp;SUM(AB414:AB420)&amp;"-"&amp;SUM(AC414:AE420),"")</f>
        <v>6-0-1</v>
      </c>
      <c r="P420" s="66">
        <f>+IF(AND(Y420="Domingo",U420=7),_xlfn.XLOOKUP(O420,'Horarios y Sistemas'!C:C,'Horarios y Sistemas'!H:H,0,0,1),0)</f>
        <v>44</v>
      </c>
      <c r="Q420" s="66">
        <f>IF(U420=U421,0,IF(AVERAGEIF(W:W,W420,U:U)=U420,0,_xlfn.XLOOKUP(O420,'Horarios y Sistemas'!C:C,'Horarios y Sistemas'!H:H,0,0,1)-P420))/7*U420</f>
        <v>0</v>
      </c>
      <c r="R420" s="66">
        <f t="shared" si="501"/>
        <v>44</v>
      </c>
      <c r="S420" s="67" t="str">
        <f t="shared" si="502"/>
        <v>SEPTIEMBRE</v>
      </c>
      <c r="T420" s="55" t="str">
        <f t="shared" si="503"/>
        <v>Sem39</v>
      </c>
      <c r="U420" s="68">
        <f t="shared" si="471"/>
        <v>7</v>
      </c>
      <c r="V420" s="69">
        <v>46292</v>
      </c>
      <c r="W420" s="68">
        <f t="shared" si="504"/>
        <v>39</v>
      </c>
      <c r="X420" s="68">
        <f t="shared" si="505"/>
        <v>27</v>
      </c>
      <c r="Y420" s="68" t="s">
        <v>34</v>
      </c>
      <c r="Z420" s="68">
        <v>7</v>
      </c>
      <c r="AA420" s="70">
        <f t="shared" si="464"/>
        <v>0</v>
      </c>
      <c r="AB420" s="70">
        <f t="shared" si="464"/>
        <v>0</v>
      </c>
      <c r="AC420" s="70">
        <f t="shared" si="464"/>
        <v>1</v>
      </c>
      <c r="AD420" s="70">
        <f t="shared" si="464"/>
        <v>0</v>
      </c>
      <c r="AE420" s="70">
        <f t="shared" si="464"/>
        <v>0</v>
      </c>
      <c r="AF420" s="71"/>
      <c r="AG420" s="71"/>
      <c r="AH420" s="71"/>
    </row>
    <row r="421" spans="2:34">
      <c r="B421" t="str">
        <f t="shared" si="492"/>
        <v>Sem4040ESWIN ESTUARDO ORTEGA LIMA</v>
      </c>
      <c r="C421" t="str">
        <f t="shared" si="493"/>
        <v>SEPTIEMBRESem40</v>
      </c>
      <c r="D421" t="str">
        <f t="shared" si="494"/>
        <v>SEPTIEMBRESem40ESWIN ESTUARDO ORTEGA LIMA</v>
      </c>
      <c r="E421" t="str">
        <f t="shared" si="495"/>
        <v>SEPTIEMBRESem4040ESWIN ESTUARDO ORTEGA LIMA</v>
      </c>
      <c r="F421" t="str">
        <f t="shared" si="496"/>
        <v>ESWIN ESTUARDO ORTEGA LIMA46293</v>
      </c>
      <c r="H421" s="49" t="s">
        <v>12</v>
      </c>
      <c r="I421" s="50" t="str">
        <f>+_xlfn.XLOOKUP($H421&amp;$V421,BASEDATOS!$B:$B,BASEDATOS!F:F,0,0,1)</f>
        <v>DIA</v>
      </c>
      <c r="J421" s="51">
        <f>+_xlfn.XLOOKUP($H421&amp;$V421,BASEDATOS!$B:$B,BASEDATOS!Q:Q,0,0,1)</f>
        <v>0.25</v>
      </c>
      <c r="K421" s="51">
        <f>+_xlfn.XLOOKUP($H421&amp;$V421,BASEDATOS!$B:$B,BASEDATOS!R:R,0,0,1)</f>
        <v>0.75</v>
      </c>
      <c r="L421" s="51">
        <f t="shared" si="497"/>
        <v>0.5</v>
      </c>
      <c r="M421" s="52" t="str">
        <f t="shared" si="498"/>
        <v>1:00</v>
      </c>
      <c r="N421" s="51">
        <f t="shared" si="499"/>
        <v>0.45833333333333331</v>
      </c>
      <c r="O421" s="53" t="str">
        <f t="shared" ref="O421" si="513">+O427</f>
        <v>6-0-1</v>
      </c>
      <c r="P421" s="54">
        <f>+IF(AND(Y421="Domingo",U421=7),_xlfn.XLOOKUP(O421,'Horarios y Sistemas'!C:C,'Horarios y Sistemas'!H:H,0,0,1),0)</f>
        <v>0</v>
      </c>
      <c r="Q421" s="54">
        <f>IF(U421=U422,0,IF(AVERAGEIF(W:W,W421,U:U)=U421,0,_xlfn.XLOOKUP(O421,'Horarios y Sistemas'!C:C,'Horarios y Sistemas'!H:H,0,0,1)-P421))/7*U421</f>
        <v>0</v>
      </c>
      <c r="R421" s="54">
        <f t="shared" si="501"/>
        <v>0</v>
      </c>
      <c r="S421" s="55" t="str">
        <f t="shared" si="502"/>
        <v>SEPTIEMBRE</v>
      </c>
      <c r="T421" s="55" t="str">
        <f t="shared" si="503"/>
        <v>Sem40</v>
      </c>
      <c r="U421" s="56">
        <f t="shared" si="471"/>
        <v>7</v>
      </c>
      <c r="V421" s="59">
        <v>46293</v>
      </c>
      <c r="W421" s="56">
        <f t="shared" si="504"/>
        <v>40</v>
      </c>
      <c r="X421" s="56">
        <f t="shared" si="505"/>
        <v>28</v>
      </c>
      <c r="Y421" s="56" t="s">
        <v>28</v>
      </c>
      <c r="Z421" s="56">
        <v>1</v>
      </c>
      <c r="AA421" s="58">
        <f t="shared" si="464"/>
        <v>1</v>
      </c>
      <c r="AB421" s="58">
        <f t="shared" si="464"/>
        <v>0</v>
      </c>
      <c r="AC421" s="58">
        <f t="shared" si="464"/>
        <v>0</v>
      </c>
      <c r="AD421" s="58">
        <f t="shared" si="464"/>
        <v>0</v>
      </c>
      <c r="AE421" s="58">
        <f t="shared" si="464"/>
        <v>0</v>
      </c>
    </row>
    <row r="422" spans="2:34">
      <c r="B422" t="str">
        <f t="shared" si="492"/>
        <v>Sem4040ESWIN ESTUARDO ORTEGA LIMA</v>
      </c>
      <c r="C422" t="str">
        <f t="shared" si="493"/>
        <v>SEPTIEMBRESem40</v>
      </c>
      <c r="D422" t="str">
        <f t="shared" si="494"/>
        <v>SEPTIEMBRESem40ESWIN ESTUARDO ORTEGA LIMA</v>
      </c>
      <c r="E422" t="str">
        <f t="shared" si="495"/>
        <v>SEPTIEMBRESem4040ESWIN ESTUARDO ORTEGA LIMA</v>
      </c>
      <c r="F422" t="str">
        <f t="shared" si="496"/>
        <v>ESWIN ESTUARDO ORTEGA LIMA46294</v>
      </c>
      <c r="H422" s="49" t="s">
        <v>12</v>
      </c>
      <c r="I422" s="50" t="str">
        <f>+_xlfn.XLOOKUP($H422&amp;$V422,BASEDATOS!$B:$B,BASEDATOS!F:F,0,0,1)</f>
        <v>DIA</v>
      </c>
      <c r="J422" s="51">
        <f>+_xlfn.XLOOKUP($H422&amp;$V422,BASEDATOS!$B:$B,BASEDATOS!Q:Q,0,0,1)</f>
        <v>0.25</v>
      </c>
      <c r="K422" s="51">
        <f>+_xlfn.XLOOKUP($H422&amp;$V422,BASEDATOS!$B:$B,BASEDATOS!R:R,0,0,1)</f>
        <v>0.75</v>
      </c>
      <c r="L422" s="51">
        <f t="shared" si="497"/>
        <v>0.5</v>
      </c>
      <c r="M422" s="52" t="str">
        <f t="shared" si="498"/>
        <v>1:00</v>
      </c>
      <c r="N422" s="51">
        <f t="shared" si="499"/>
        <v>0.45833333333333331</v>
      </c>
      <c r="O422" s="53" t="str">
        <f t="shared" ref="O422" si="514">+O427</f>
        <v>6-0-1</v>
      </c>
      <c r="P422" s="54">
        <f>+IF(AND(Y422="Domingo",U422=7),_xlfn.XLOOKUP(O422,'Horarios y Sistemas'!C:C,'Horarios y Sistemas'!H:H,0,0,1),0)</f>
        <v>0</v>
      </c>
      <c r="Q422" s="54">
        <f>IF(U422=U423,0,IF(AVERAGEIF(W:W,W422,U:U)=U422,0,_xlfn.XLOOKUP(O422,'Horarios y Sistemas'!C:C,'Horarios y Sistemas'!H:H,0,0,1)-P422))/7*U422</f>
        <v>0</v>
      </c>
      <c r="R422" s="54">
        <f t="shared" si="501"/>
        <v>0</v>
      </c>
      <c r="S422" s="55" t="str">
        <f t="shared" si="502"/>
        <v>SEPTIEMBRE</v>
      </c>
      <c r="T422" s="55" t="str">
        <f t="shared" si="503"/>
        <v>Sem40</v>
      </c>
      <c r="U422" s="56">
        <f t="shared" si="471"/>
        <v>7</v>
      </c>
      <c r="V422" s="59">
        <v>46294</v>
      </c>
      <c r="W422" s="56">
        <f t="shared" si="504"/>
        <v>40</v>
      </c>
      <c r="X422" s="56">
        <f t="shared" si="505"/>
        <v>29</v>
      </c>
      <c r="Y422" s="56" t="s">
        <v>29</v>
      </c>
      <c r="Z422" s="56">
        <v>2</v>
      </c>
      <c r="AA422" s="58">
        <f t="shared" si="464"/>
        <v>1</v>
      </c>
      <c r="AB422" s="58">
        <f t="shared" si="464"/>
        <v>0</v>
      </c>
      <c r="AC422" s="58">
        <f t="shared" si="464"/>
        <v>0</v>
      </c>
      <c r="AD422" s="58">
        <f t="shared" si="464"/>
        <v>0</v>
      </c>
      <c r="AE422" s="58">
        <f t="shared" si="464"/>
        <v>0</v>
      </c>
    </row>
    <row r="423" spans="2:34">
      <c r="B423" t="str">
        <f t="shared" si="492"/>
        <v>Sem4040ESWIN ESTUARDO ORTEGA LIMA</v>
      </c>
      <c r="C423" t="str">
        <f t="shared" si="493"/>
        <v>SEPTIEMBRESem40</v>
      </c>
      <c r="D423" t="str">
        <f t="shared" si="494"/>
        <v>SEPTIEMBRESem40ESWIN ESTUARDO ORTEGA LIMA</v>
      </c>
      <c r="E423" t="str">
        <f t="shared" si="495"/>
        <v>SEPTIEMBRESem4040ESWIN ESTUARDO ORTEGA LIMA</v>
      </c>
      <c r="F423" t="str">
        <f t="shared" si="496"/>
        <v>ESWIN ESTUARDO ORTEGA LIMA46295</v>
      </c>
      <c r="H423" s="49" t="s">
        <v>12</v>
      </c>
      <c r="I423" s="50" t="str">
        <f>+_xlfn.XLOOKUP($H423&amp;$V423,BASEDATOS!$B:$B,BASEDATOS!F:F,0,0,1)</f>
        <v>DIA</v>
      </c>
      <c r="J423" s="51">
        <f>+_xlfn.XLOOKUP($H423&amp;$V423,BASEDATOS!$B:$B,BASEDATOS!Q:Q,0,0,1)</f>
        <v>0.25</v>
      </c>
      <c r="K423" s="51">
        <f>+_xlfn.XLOOKUP($H423&amp;$V423,BASEDATOS!$B:$B,BASEDATOS!R:R,0,0,1)</f>
        <v>0.75</v>
      </c>
      <c r="L423" s="51">
        <f t="shared" si="497"/>
        <v>0.5</v>
      </c>
      <c r="M423" s="52" t="str">
        <f t="shared" si="498"/>
        <v>1:00</v>
      </c>
      <c r="N423" s="51">
        <f t="shared" si="499"/>
        <v>0.45833333333333331</v>
      </c>
      <c r="O423" s="53" t="str">
        <f t="shared" ref="O423" si="515">+O427</f>
        <v>6-0-1</v>
      </c>
      <c r="P423" s="54">
        <f>+IF(AND(Y423="Domingo",U423=7),_xlfn.XLOOKUP(O423,'Horarios y Sistemas'!C:C,'Horarios y Sistemas'!H:H,0,0,1),0)</f>
        <v>0</v>
      </c>
      <c r="Q423" s="54">
        <f>IF(U423=U424,0,IF(AVERAGEIF(W:W,W423,U:U)=U423,0,_xlfn.XLOOKUP(O423,'Horarios y Sistemas'!C:C,'Horarios y Sistemas'!H:H,0,0,1)-P423))/7*U423</f>
        <v>0</v>
      </c>
      <c r="R423" s="54">
        <f t="shared" si="501"/>
        <v>0</v>
      </c>
      <c r="S423" s="55" t="str">
        <f t="shared" si="502"/>
        <v>SEPTIEMBRE</v>
      </c>
      <c r="T423" s="55" t="str">
        <f t="shared" si="503"/>
        <v>Sem40</v>
      </c>
      <c r="U423" s="56">
        <f t="shared" si="471"/>
        <v>7</v>
      </c>
      <c r="V423" s="59">
        <v>46295</v>
      </c>
      <c r="W423" s="56">
        <f t="shared" si="504"/>
        <v>40</v>
      </c>
      <c r="X423" s="56">
        <f t="shared" si="505"/>
        <v>30</v>
      </c>
      <c r="Y423" s="56" t="s">
        <v>30</v>
      </c>
      <c r="Z423" s="56">
        <v>3</v>
      </c>
      <c r="AA423" s="58">
        <f t="shared" si="464"/>
        <v>1</v>
      </c>
      <c r="AB423" s="58">
        <f t="shared" si="464"/>
        <v>0</v>
      </c>
      <c r="AC423" s="58">
        <f t="shared" si="464"/>
        <v>0</v>
      </c>
      <c r="AD423" s="58">
        <f t="shared" si="464"/>
        <v>0</v>
      </c>
      <c r="AE423" s="58">
        <f t="shared" si="464"/>
        <v>0</v>
      </c>
    </row>
    <row r="424" spans="2:34">
      <c r="B424" t="str">
        <f t="shared" si="492"/>
        <v>Sem4040ESWIN ESTUARDO ORTEGA LIMA</v>
      </c>
      <c r="C424" t="str">
        <f t="shared" si="493"/>
        <v>OCTUBRESem40</v>
      </c>
      <c r="D424" t="str">
        <f t="shared" si="494"/>
        <v>OCTUBRESem40ESWIN ESTUARDO ORTEGA LIMA</v>
      </c>
      <c r="E424" t="str">
        <f t="shared" si="495"/>
        <v>OCTUBRESem4040ESWIN ESTUARDO ORTEGA LIMA</v>
      </c>
      <c r="F424" t="str">
        <f t="shared" si="496"/>
        <v>ESWIN ESTUARDO ORTEGA LIMA46296</v>
      </c>
      <c r="H424" s="49" t="s">
        <v>12</v>
      </c>
      <c r="I424" s="50" t="str">
        <f>+_xlfn.XLOOKUP($H424&amp;$V424,BASEDATOS!$B:$B,BASEDATOS!F:F,0,0,1)</f>
        <v>DIA</v>
      </c>
      <c r="J424" s="51">
        <f>+_xlfn.XLOOKUP($H424&amp;$V424,BASEDATOS!$B:$B,BASEDATOS!Q:Q,0,0,1)</f>
        <v>0.25</v>
      </c>
      <c r="K424" s="51">
        <f>+_xlfn.XLOOKUP($H424&amp;$V424,BASEDATOS!$B:$B,BASEDATOS!R:R,0,0,1)</f>
        <v>0.75</v>
      </c>
      <c r="L424" s="51">
        <f t="shared" si="497"/>
        <v>0.5</v>
      </c>
      <c r="M424" s="52" t="str">
        <f t="shared" si="498"/>
        <v>1:00</v>
      </c>
      <c r="N424" s="51">
        <f t="shared" si="499"/>
        <v>0.45833333333333331</v>
      </c>
      <c r="O424" s="53" t="str">
        <f t="shared" ref="O424" si="516">+O427</f>
        <v>6-0-1</v>
      </c>
      <c r="P424" s="54">
        <f>+IF(AND(Y424="Domingo",U424=7),_xlfn.XLOOKUP(O424,'Horarios y Sistemas'!C:C,'Horarios y Sistemas'!H:H,0,0,1),0)</f>
        <v>0</v>
      </c>
      <c r="Q424" s="54">
        <f>IF(U424=U425,0,IF(AVERAGEIF(W:W,W424,U:U)=U424,0,_xlfn.XLOOKUP(O424,'Horarios y Sistemas'!C:C,'Horarios y Sistemas'!H:H,0,0,1)-P424))/7*U424</f>
        <v>0</v>
      </c>
      <c r="R424" s="54">
        <f t="shared" si="501"/>
        <v>0</v>
      </c>
      <c r="S424" s="55" t="str">
        <f t="shared" si="502"/>
        <v>OCTUBRE</v>
      </c>
      <c r="T424" s="55" t="str">
        <f t="shared" si="503"/>
        <v>Sem40</v>
      </c>
      <c r="U424" s="56">
        <f t="shared" si="471"/>
        <v>7</v>
      </c>
      <c r="V424" s="59">
        <v>46296</v>
      </c>
      <c r="W424" s="56">
        <f t="shared" si="504"/>
        <v>40</v>
      </c>
      <c r="X424" s="56">
        <f t="shared" si="505"/>
        <v>1</v>
      </c>
      <c r="Y424" s="56" t="s">
        <v>31</v>
      </c>
      <c r="Z424" s="56">
        <v>4</v>
      </c>
      <c r="AA424" s="58">
        <f t="shared" si="464"/>
        <v>1</v>
      </c>
      <c r="AB424" s="58">
        <f t="shared" si="464"/>
        <v>0</v>
      </c>
      <c r="AC424" s="58">
        <f t="shared" si="464"/>
        <v>0</v>
      </c>
      <c r="AD424" s="58">
        <f t="shared" si="464"/>
        <v>0</v>
      </c>
      <c r="AE424" s="58">
        <f t="shared" si="464"/>
        <v>0</v>
      </c>
    </row>
    <row r="425" spans="2:34">
      <c r="B425" t="str">
        <f t="shared" si="492"/>
        <v>Sem4040ESWIN ESTUARDO ORTEGA LIMA</v>
      </c>
      <c r="C425" t="str">
        <f t="shared" si="493"/>
        <v>OCTUBRESem40</v>
      </c>
      <c r="D425" t="str">
        <f t="shared" si="494"/>
        <v>OCTUBRESem40ESWIN ESTUARDO ORTEGA LIMA</v>
      </c>
      <c r="E425" t="str">
        <f t="shared" si="495"/>
        <v>OCTUBRESem4040ESWIN ESTUARDO ORTEGA LIMA</v>
      </c>
      <c r="F425" t="str">
        <f t="shared" si="496"/>
        <v>ESWIN ESTUARDO ORTEGA LIMA46297</v>
      </c>
      <c r="H425" s="49" t="s">
        <v>12</v>
      </c>
      <c r="I425" s="50" t="str">
        <f>+_xlfn.XLOOKUP($H425&amp;$V425,BASEDATOS!$B:$B,BASEDATOS!F:F,0,0,1)</f>
        <v>DIA</v>
      </c>
      <c r="J425" s="51">
        <f>+_xlfn.XLOOKUP($H425&amp;$V425,BASEDATOS!$B:$B,BASEDATOS!Q:Q,0,0,1)</f>
        <v>0.25</v>
      </c>
      <c r="K425" s="51">
        <f>+_xlfn.XLOOKUP($H425&amp;$V425,BASEDATOS!$B:$B,BASEDATOS!R:R,0,0,1)</f>
        <v>0.75</v>
      </c>
      <c r="L425" s="51">
        <f t="shared" si="497"/>
        <v>0.5</v>
      </c>
      <c r="M425" s="52" t="str">
        <f t="shared" si="498"/>
        <v>1:00</v>
      </c>
      <c r="N425" s="51">
        <f t="shared" si="499"/>
        <v>0.45833333333333331</v>
      </c>
      <c r="O425" s="53" t="str">
        <f t="shared" ref="O425" si="517">+O427</f>
        <v>6-0-1</v>
      </c>
      <c r="P425" s="54">
        <f>+IF(AND(Y425="Domingo",U425=7),_xlfn.XLOOKUP(O425,'Horarios y Sistemas'!C:C,'Horarios y Sistemas'!H:H,0,0,1),0)</f>
        <v>0</v>
      </c>
      <c r="Q425" s="54">
        <f>IF(U425=U426,0,IF(AVERAGEIF(W:W,W425,U:U)=U425,0,_xlfn.XLOOKUP(O425,'Horarios y Sistemas'!C:C,'Horarios y Sistemas'!H:H,0,0,1)-P425))/7*U425</f>
        <v>0</v>
      </c>
      <c r="R425" s="54">
        <f t="shared" si="501"/>
        <v>0</v>
      </c>
      <c r="S425" s="55" t="str">
        <f t="shared" si="502"/>
        <v>OCTUBRE</v>
      </c>
      <c r="T425" s="55" t="str">
        <f t="shared" si="503"/>
        <v>Sem40</v>
      </c>
      <c r="U425" s="56">
        <f t="shared" si="471"/>
        <v>7</v>
      </c>
      <c r="V425" s="59">
        <v>46297</v>
      </c>
      <c r="W425" s="56">
        <f t="shared" si="504"/>
        <v>40</v>
      </c>
      <c r="X425" s="56">
        <f t="shared" si="505"/>
        <v>2</v>
      </c>
      <c r="Y425" s="56" t="s">
        <v>32</v>
      </c>
      <c r="Z425" s="56">
        <v>5</v>
      </c>
      <c r="AA425" s="58">
        <f t="shared" si="464"/>
        <v>1</v>
      </c>
      <c r="AB425" s="58">
        <f t="shared" si="464"/>
        <v>0</v>
      </c>
      <c r="AC425" s="58">
        <f t="shared" si="464"/>
        <v>0</v>
      </c>
      <c r="AD425" s="58">
        <f t="shared" si="464"/>
        <v>0</v>
      </c>
      <c r="AE425" s="58">
        <f t="shared" si="464"/>
        <v>0</v>
      </c>
    </row>
    <row r="426" spans="2:34">
      <c r="B426" t="str">
        <f t="shared" si="492"/>
        <v>Sem4040ESWIN ESTUARDO ORTEGA LIMA</v>
      </c>
      <c r="C426" t="str">
        <f t="shared" si="493"/>
        <v>OCTUBRESem40</v>
      </c>
      <c r="D426" t="str">
        <f t="shared" si="494"/>
        <v>OCTUBRESem40ESWIN ESTUARDO ORTEGA LIMA</v>
      </c>
      <c r="E426" t="str">
        <f t="shared" si="495"/>
        <v>OCTUBRESem4040ESWIN ESTUARDO ORTEGA LIMA</v>
      </c>
      <c r="F426" t="str">
        <f t="shared" si="496"/>
        <v>ESWIN ESTUARDO ORTEGA LIMA46298</v>
      </c>
      <c r="H426" s="49" t="s">
        <v>12</v>
      </c>
      <c r="I426" s="50" t="str">
        <f>+_xlfn.XLOOKUP($H426&amp;$V426,BASEDATOS!$B:$B,BASEDATOS!F:F,0,0,1)</f>
        <v>DIA</v>
      </c>
      <c r="J426" s="51">
        <f>+_xlfn.XLOOKUP($H426&amp;$V426,BASEDATOS!$B:$B,BASEDATOS!Q:Q,0,0,1)</f>
        <v>0.25</v>
      </c>
      <c r="K426" s="51">
        <f>+_xlfn.XLOOKUP($H426&amp;$V426,BASEDATOS!$B:$B,BASEDATOS!R:R,0,0,1)</f>
        <v>0.58333333333333304</v>
      </c>
      <c r="L426" s="51">
        <f t="shared" si="497"/>
        <v>0.33333333333333304</v>
      </c>
      <c r="M426" s="52" t="str">
        <f t="shared" si="498"/>
        <v>1:00</v>
      </c>
      <c r="N426" s="51">
        <f t="shared" si="499"/>
        <v>0.29166666666666635</v>
      </c>
      <c r="O426" s="53" t="str">
        <f t="shared" ref="O426" si="518">+O427</f>
        <v>6-0-1</v>
      </c>
      <c r="P426" s="54">
        <f>+IF(AND(Y426="Domingo",U426=7),_xlfn.XLOOKUP(O426,'Horarios y Sistemas'!C:C,'Horarios y Sistemas'!H:H,0,0,1),0)</f>
        <v>0</v>
      </c>
      <c r="Q426" s="54">
        <f>IF(U426=U427,0,IF(AVERAGEIF(W:W,W426,U:U)=U426,0,_xlfn.XLOOKUP(O426,'Horarios y Sistemas'!C:C,'Horarios y Sistemas'!H:H,0,0,1)-P426))/7*U426</f>
        <v>0</v>
      </c>
      <c r="R426" s="54">
        <f t="shared" si="501"/>
        <v>0</v>
      </c>
      <c r="S426" s="55" t="str">
        <f t="shared" si="502"/>
        <v>OCTUBRE</v>
      </c>
      <c r="T426" s="55" t="str">
        <f t="shared" si="503"/>
        <v>Sem40</v>
      </c>
      <c r="U426" s="56">
        <f t="shared" si="471"/>
        <v>7</v>
      </c>
      <c r="V426" s="59">
        <v>46298</v>
      </c>
      <c r="W426" s="56">
        <f t="shared" si="504"/>
        <v>40</v>
      </c>
      <c r="X426" s="56">
        <f t="shared" si="505"/>
        <v>3</v>
      </c>
      <c r="Y426" s="56" t="s">
        <v>33</v>
      </c>
      <c r="Z426" s="56">
        <v>6</v>
      </c>
      <c r="AA426" s="58">
        <f t="shared" si="464"/>
        <v>1</v>
      </c>
      <c r="AB426" s="58">
        <f t="shared" si="464"/>
        <v>0</v>
      </c>
      <c r="AC426" s="58">
        <f t="shared" si="464"/>
        <v>0</v>
      </c>
      <c r="AD426" s="58">
        <f t="shared" si="464"/>
        <v>0</v>
      </c>
      <c r="AE426" s="58">
        <f t="shared" si="464"/>
        <v>0</v>
      </c>
    </row>
    <row r="427" spans="2:34" s="60" customFormat="1">
      <c r="B427" s="60" t="str">
        <f t="shared" si="492"/>
        <v>Sem4040ESWIN ESTUARDO ORTEGA LIMA</v>
      </c>
      <c r="C427" s="60" t="str">
        <f t="shared" si="493"/>
        <v>OCTUBRESem40</v>
      </c>
      <c r="D427" s="60" t="str">
        <f t="shared" si="494"/>
        <v>OCTUBRESem40ESWIN ESTUARDO ORTEGA LIMA</v>
      </c>
      <c r="E427" s="60" t="str">
        <f t="shared" si="495"/>
        <v>OCTUBRESem4040ESWIN ESTUARDO ORTEGA LIMA</v>
      </c>
      <c r="F427" s="60" t="str">
        <f t="shared" si="496"/>
        <v>ESWIN ESTUARDO ORTEGA LIMA46299</v>
      </c>
      <c r="H427" s="61" t="s">
        <v>12</v>
      </c>
      <c r="I427" s="62" t="str">
        <f>+_xlfn.XLOOKUP($H427&amp;$V427,BASEDATOS!$B:$B,BASEDATOS!F:F,0,0,1)</f>
        <v>DESCANSO</v>
      </c>
      <c r="J427" s="63">
        <f>+_xlfn.XLOOKUP($H427&amp;$V427,BASEDATOS!$B:$B,BASEDATOS!Q:Q,0,0,1)</f>
        <v>0</v>
      </c>
      <c r="K427" s="63">
        <f>+_xlfn.XLOOKUP($H427&amp;$V427,BASEDATOS!$B:$B,BASEDATOS!R:R,0,0,1)</f>
        <v>0</v>
      </c>
      <c r="L427" s="63">
        <f t="shared" si="497"/>
        <v>0</v>
      </c>
      <c r="M427" s="64">
        <f t="shared" si="498"/>
        <v>0</v>
      </c>
      <c r="N427" s="63">
        <f t="shared" si="499"/>
        <v>0</v>
      </c>
      <c r="O427" s="65" t="str">
        <f t="shared" ref="O427" si="519">+IF(Y427="Domingo",SUM(AA421:AA427)&amp;"-"&amp;SUM(AB421:AB427)&amp;"-"&amp;SUM(AC421:AE427),"")</f>
        <v>6-0-1</v>
      </c>
      <c r="P427" s="66">
        <f>+IF(AND(Y427="Domingo",U427=7),_xlfn.XLOOKUP(O427,'Horarios y Sistemas'!C:C,'Horarios y Sistemas'!H:H,0,0,1),0)</f>
        <v>44</v>
      </c>
      <c r="Q427" s="66">
        <f>IF(U427=U428,0,IF(AVERAGEIF(W:W,W427,U:U)=U427,0,_xlfn.XLOOKUP(O427,'Horarios y Sistemas'!C:C,'Horarios y Sistemas'!H:H,0,0,1)-P427))/7*U427</f>
        <v>0</v>
      </c>
      <c r="R427" s="66">
        <f t="shared" si="501"/>
        <v>44</v>
      </c>
      <c r="S427" s="67" t="str">
        <f t="shared" si="502"/>
        <v>OCTUBRE</v>
      </c>
      <c r="T427" s="55" t="str">
        <f t="shared" si="503"/>
        <v>Sem40</v>
      </c>
      <c r="U427" s="68">
        <f t="shared" si="471"/>
        <v>7</v>
      </c>
      <c r="V427" s="69">
        <v>46299</v>
      </c>
      <c r="W427" s="68">
        <f t="shared" si="504"/>
        <v>40</v>
      </c>
      <c r="X427" s="68">
        <f t="shared" si="505"/>
        <v>4</v>
      </c>
      <c r="Y427" s="68" t="s">
        <v>34</v>
      </c>
      <c r="Z427" s="68">
        <v>7</v>
      </c>
      <c r="AA427" s="70">
        <f t="shared" si="464"/>
        <v>0</v>
      </c>
      <c r="AB427" s="70">
        <f t="shared" si="464"/>
        <v>0</v>
      </c>
      <c r="AC427" s="70">
        <f t="shared" si="464"/>
        <v>1</v>
      </c>
      <c r="AD427" s="70">
        <f t="shared" si="464"/>
        <v>0</v>
      </c>
      <c r="AE427" s="70">
        <f t="shared" si="464"/>
        <v>0</v>
      </c>
      <c r="AF427" s="71"/>
      <c r="AG427" s="71"/>
      <c r="AH427" s="71"/>
    </row>
    <row r="428" spans="2:34">
      <c r="B428" t="str">
        <f t="shared" si="492"/>
        <v>Sem3838EVER GESTRUDES BOLVITO ESTRADA</v>
      </c>
      <c r="C428" t="str">
        <f t="shared" si="493"/>
        <v>SEPTIEMBRESem38</v>
      </c>
      <c r="D428" t="str">
        <f t="shared" si="494"/>
        <v>SEPTIEMBRESem38EVER GESTRUDES BOLVITO ESTRADA</v>
      </c>
      <c r="E428" t="str">
        <f t="shared" si="495"/>
        <v>SEPTIEMBRESem3838EVER GESTRUDES BOLVITO ESTRADA</v>
      </c>
      <c r="F428" t="str">
        <f t="shared" si="496"/>
        <v>EVER GESTRUDES BOLVITO ESTRADA46279</v>
      </c>
      <c r="H428" s="49" t="s">
        <v>222</v>
      </c>
      <c r="I428" s="50" t="str">
        <f>+_xlfn.XLOOKUP($H428&amp;$V428,BASEDATOS!$B:$B,BASEDATOS!F:F,0,0,1)</f>
        <v>DESCANSO</v>
      </c>
      <c r="J428" s="51">
        <f>+_xlfn.XLOOKUP($H428&amp;$V428,BASEDATOS!$B:$B,BASEDATOS!Q:Q,0,0,1)</f>
        <v>0</v>
      </c>
      <c r="K428" s="51">
        <f>+_xlfn.XLOOKUP($H428&amp;$V428,BASEDATOS!$B:$B,BASEDATOS!R:R,0,0,1)</f>
        <v>0</v>
      </c>
      <c r="L428" s="51">
        <f t="shared" si="497"/>
        <v>0</v>
      </c>
      <c r="M428" s="52">
        <f t="shared" si="498"/>
        <v>0</v>
      </c>
      <c r="N428" s="51">
        <f t="shared" si="499"/>
        <v>0</v>
      </c>
      <c r="O428" s="53" t="str">
        <f t="shared" ref="O428" si="520">+O434</f>
        <v>4-0-3</v>
      </c>
      <c r="P428" s="54">
        <f>+IF(AND(Y428="Domingo",U428=7),_xlfn.XLOOKUP(O428,'Horarios y Sistemas'!C:C,'Horarios y Sistemas'!H:H,0,0,1),0)</f>
        <v>0</v>
      </c>
      <c r="Q428" s="54">
        <f>IF(U428=U429,0,IF(AVERAGEIF(W:W,W428,U:U)=U428,0,_xlfn.XLOOKUP(O428,'Horarios y Sistemas'!C:C,'Horarios y Sistemas'!H:H,0,0,1)-P428))/7*U428</f>
        <v>0</v>
      </c>
      <c r="R428" s="54">
        <f t="shared" si="501"/>
        <v>0</v>
      </c>
      <c r="S428" s="55" t="str">
        <f t="shared" si="502"/>
        <v>SEPTIEMBRE</v>
      </c>
      <c r="T428" s="55" t="str">
        <f t="shared" si="503"/>
        <v>Sem38</v>
      </c>
      <c r="U428" s="56">
        <f t="shared" si="471"/>
        <v>7</v>
      </c>
      <c r="V428" s="57">
        <v>46279</v>
      </c>
      <c r="W428" s="56">
        <f t="shared" si="504"/>
        <v>38</v>
      </c>
      <c r="X428" s="56">
        <f t="shared" si="505"/>
        <v>14</v>
      </c>
      <c r="Y428" s="56" t="s">
        <v>28</v>
      </c>
      <c r="Z428" s="56">
        <v>1</v>
      </c>
      <c r="AA428" s="58">
        <f t="shared" si="464"/>
        <v>0</v>
      </c>
      <c r="AB428" s="58">
        <f t="shared" si="464"/>
        <v>0</v>
      </c>
      <c r="AC428" s="58">
        <f t="shared" si="464"/>
        <v>1</v>
      </c>
      <c r="AD428" s="58">
        <f t="shared" si="464"/>
        <v>0</v>
      </c>
      <c r="AE428" s="58">
        <f t="shared" si="464"/>
        <v>0</v>
      </c>
    </row>
    <row r="429" spans="2:34">
      <c r="B429" t="str">
        <f t="shared" si="492"/>
        <v>Sem3838EVER GESTRUDES BOLVITO ESTRADA</v>
      </c>
      <c r="C429" t="str">
        <f t="shared" si="493"/>
        <v>SEPTIEMBRESem38</v>
      </c>
      <c r="D429" t="str">
        <f t="shared" si="494"/>
        <v>SEPTIEMBRESem38EVER GESTRUDES BOLVITO ESTRADA</v>
      </c>
      <c r="E429" t="str">
        <f t="shared" si="495"/>
        <v>SEPTIEMBRESem3838EVER GESTRUDES BOLVITO ESTRADA</v>
      </c>
      <c r="F429" t="str">
        <f t="shared" si="496"/>
        <v>EVER GESTRUDES BOLVITO ESTRADA46280</v>
      </c>
      <c r="H429" s="49" t="s">
        <v>222</v>
      </c>
      <c r="I429" s="50" t="str">
        <f>+_xlfn.XLOOKUP($H429&amp;$V429,BASEDATOS!$B:$B,BASEDATOS!F:F,0,0,1)</f>
        <v>DIA</v>
      </c>
      <c r="J429" s="51">
        <f>+_xlfn.XLOOKUP($H429&amp;$V429,BASEDATOS!$B:$B,BASEDATOS!Q:Q,0,0,1)</f>
        <v>0.33333333333333298</v>
      </c>
      <c r="K429" s="51">
        <f>+_xlfn.XLOOKUP($H429&amp;$V429,BASEDATOS!$B:$B,BASEDATOS!R:R,0,0,1)</f>
        <v>0.70833333333333304</v>
      </c>
      <c r="L429" s="51">
        <f t="shared" si="497"/>
        <v>0.37500000000000006</v>
      </c>
      <c r="M429" s="52" t="str">
        <f t="shared" si="498"/>
        <v>1:00</v>
      </c>
      <c r="N429" s="51">
        <f t="shared" si="499"/>
        <v>0.33333333333333337</v>
      </c>
      <c r="O429" s="53" t="str">
        <f t="shared" ref="O429" si="521">+O434</f>
        <v>4-0-3</v>
      </c>
      <c r="P429" s="54">
        <f>+IF(AND(Y429="Domingo",U429=7),_xlfn.XLOOKUP(O429,'Horarios y Sistemas'!C:C,'Horarios y Sistemas'!H:H,0,0,1),0)</f>
        <v>0</v>
      </c>
      <c r="Q429" s="54">
        <f>IF(U429=U430,0,IF(AVERAGEIF(W:W,W429,U:U)=U429,0,_xlfn.XLOOKUP(O429,'Horarios y Sistemas'!C:C,'Horarios y Sistemas'!H:H,0,0,1)-P429))/7*U429</f>
        <v>0</v>
      </c>
      <c r="R429" s="54">
        <f t="shared" si="501"/>
        <v>0</v>
      </c>
      <c r="S429" s="55" t="str">
        <f t="shared" si="502"/>
        <v>SEPTIEMBRE</v>
      </c>
      <c r="T429" s="55" t="str">
        <f t="shared" si="503"/>
        <v>Sem38</v>
      </c>
      <c r="U429" s="56">
        <f t="shared" si="471"/>
        <v>7</v>
      </c>
      <c r="V429" s="59">
        <v>46280</v>
      </c>
      <c r="W429" s="56">
        <f t="shared" si="504"/>
        <v>38</v>
      </c>
      <c r="X429" s="56">
        <f t="shared" si="505"/>
        <v>15</v>
      </c>
      <c r="Y429" s="56" t="s">
        <v>29</v>
      </c>
      <c r="Z429" s="56">
        <v>2</v>
      </c>
      <c r="AA429" s="58">
        <f t="shared" si="464"/>
        <v>1</v>
      </c>
      <c r="AB429" s="58">
        <f t="shared" si="464"/>
        <v>0</v>
      </c>
      <c r="AC429" s="58">
        <f t="shared" si="464"/>
        <v>0</v>
      </c>
      <c r="AD429" s="58">
        <f t="shared" si="464"/>
        <v>0</v>
      </c>
      <c r="AE429" s="58">
        <f t="shared" si="464"/>
        <v>0</v>
      </c>
    </row>
    <row r="430" spans="2:34">
      <c r="B430" t="str">
        <f t="shared" si="492"/>
        <v>Sem3838EVER GESTRUDES BOLVITO ESTRADA</v>
      </c>
      <c r="C430" t="str">
        <f t="shared" si="493"/>
        <v>SEPTIEMBRESem38</v>
      </c>
      <c r="D430" t="str">
        <f t="shared" si="494"/>
        <v>SEPTIEMBRESem38EVER GESTRUDES BOLVITO ESTRADA</v>
      </c>
      <c r="E430" t="str">
        <f t="shared" si="495"/>
        <v>SEPTIEMBRESem3838EVER GESTRUDES BOLVITO ESTRADA</v>
      </c>
      <c r="F430" t="str">
        <f t="shared" si="496"/>
        <v>EVER GESTRUDES BOLVITO ESTRADA46281</v>
      </c>
      <c r="H430" s="49" t="s">
        <v>222</v>
      </c>
      <c r="I430" s="50" t="str">
        <f>+_xlfn.XLOOKUP($H430&amp;$V430,BASEDATOS!$B:$B,BASEDATOS!F:F,0,0,1)</f>
        <v>DIA</v>
      </c>
      <c r="J430" s="51">
        <f>+_xlfn.XLOOKUP($H430&amp;$V430,BASEDATOS!$B:$B,BASEDATOS!Q:Q,0,0,1)</f>
        <v>0.25</v>
      </c>
      <c r="K430" s="51">
        <f>+_xlfn.XLOOKUP($H430&amp;$V430,BASEDATOS!$B:$B,BASEDATOS!R:R,0,0,1)</f>
        <v>0.75</v>
      </c>
      <c r="L430" s="51">
        <f t="shared" si="497"/>
        <v>0.5</v>
      </c>
      <c r="M430" s="52" t="str">
        <f t="shared" si="498"/>
        <v>1:00</v>
      </c>
      <c r="N430" s="51">
        <f t="shared" si="499"/>
        <v>0.45833333333333331</v>
      </c>
      <c r="O430" s="53" t="str">
        <f t="shared" ref="O430" si="522">+O434</f>
        <v>4-0-3</v>
      </c>
      <c r="P430" s="54">
        <f>+IF(AND(Y430="Domingo",U430=7),_xlfn.XLOOKUP(O430,'Horarios y Sistemas'!C:C,'Horarios y Sistemas'!H:H,0,0,1),0)</f>
        <v>0</v>
      </c>
      <c r="Q430" s="54">
        <f>IF(U430=U431,0,IF(AVERAGEIF(W:W,W430,U:U)=U430,0,_xlfn.XLOOKUP(O430,'Horarios y Sistemas'!C:C,'Horarios y Sistemas'!H:H,0,0,1)-P430))/7*U430</f>
        <v>0</v>
      </c>
      <c r="R430" s="54">
        <f t="shared" si="501"/>
        <v>0</v>
      </c>
      <c r="S430" s="55" t="str">
        <f t="shared" si="502"/>
        <v>SEPTIEMBRE</v>
      </c>
      <c r="T430" s="55" t="str">
        <f t="shared" si="503"/>
        <v>Sem38</v>
      </c>
      <c r="U430" s="56">
        <f t="shared" si="471"/>
        <v>7</v>
      </c>
      <c r="V430" s="59">
        <v>46281</v>
      </c>
      <c r="W430" s="56">
        <f t="shared" si="504"/>
        <v>38</v>
      </c>
      <c r="X430" s="56">
        <f t="shared" si="505"/>
        <v>16</v>
      </c>
      <c r="Y430" s="56" t="s">
        <v>30</v>
      </c>
      <c r="Z430" s="56">
        <v>3</v>
      </c>
      <c r="AA430" s="58">
        <f t="shared" si="464"/>
        <v>1</v>
      </c>
      <c r="AB430" s="58">
        <f t="shared" si="464"/>
        <v>0</v>
      </c>
      <c r="AC430" s="58">
        <f t="shared" si="464"/>
        <v>0</v>
      </c>
      <c r="AD430" s="58">
        <f t="shared" si="464"/>
        <v>0</v>
      </c>
      <c r="AE430" s="58">
        <f t="shared" si="464"/>
        <v>0</v>
      </c>
    </row>
    <row r="431" spans="2:34">
      <c r="B431" t="str">
        <f t="shared" si="492"/>
        <v>Sem3838EVER GESTRUDES BOLVITO ESTRADA</v>
      </c>
      <c r="C431" t="str">
        <f t="shared" si="493"/>
        <v>SEPTIEMBRESem38</v>
      </c>
      <c r="D431" t="str">
        <f t="shared" si="494"/>
        <v>SEPTIEMBRESem38EVER GESTRUDES BOLVITO ESTRADA</v>
      </c>
      <c r="E431" t="str">
        <f t="shared" si="495"/>
        <v>SEPTIEMBRESem3838EVER GESTRUDES BOLVITO ESTRADA</v>
      </c>
      <c r="F431" t="str">
        <f t="shared" si="496"/>
        <v>EVER GESTRUDES BOLVITO ESTRADA46282</v>
      </c>
      <c r="H431" s="49" t="s">
        <v>222</v>
      </c>
      <c r="I431" s="50" t="str">
        <f>+_xlfn.XLOOKUP($H431&amp;$V431,BASEDATOS!$B:$B,BASEDATOS!F:F,0,0,1)</f>
        <v>DIA</v>
      </c>
      <c r="J431" s="51">
        <f>+_xlfn.XLOOKUP($H431&amp;$V431,BASEDATOS!$B:$B,BASEDATOS!Q:Q,0,0,1)</f>
        <v>0.25</v>
      </c>
      <c r="K431" s="51">
        <f>+_xlfn.XLOOKUP($H431&amp;$V431,BASEDATOS!$B:$B,BASEDATOS!R:R,0,0,1)</f>
        <v>0.75</v>
      </c>
      <c r="L431" s="51">
        <f t="shared" si="497"/>
        <v>0.5</v>
      </c>
      <c r="M431" s="52" t="str">
        <f t="shared" si="498"/>
        <v>1:00</v>
      </c>
      <c r="N431" s="51">
        <f t="shared" si="499"/>
        <v>0.45833333333333331</v>
      </c>
      <c r="O431" s="53" t="str">
        <f t="shared" ref="O431" si="523">+O434</f>
        <v>4-0-3</v>
      </c>
      <c r="P431" s="54">
        <f>+IF(AND(Y431="Domingo",U431=7),_xlfn.XLOOKUP(O431,'Horarios y Sistemas'!C:C,'Horarios y Sistemas'!H:H,0,0,1),0)</f>
        <v>0</v>
      </c>
      <c r="Q431" s="54">
        <f>IF(U431=U432,0,IF(AVERAGEIF(W:W,W431,U:U)=U431,0,_xlfn.XLOOKUP(O431,'Horarios y Sistemas'!C:C,'Horarios y Sistemas'!H:H,0,0,1)-P431))/7*U431</f>
        <v>0</v>
      </c>
      <c r="R431" s="54">
        <f t="shared" si="501"/>
        <v>0</v>
      </c>
      <c r="S431" s="55" t="str">
        <f t="shared" si="502"/>
        <v>SEPTIEMBRE</v>
      </c>
      <c r="T431" s="55" t="str">
        <f t="shared" si="503"/>
        <v>Sem38</v>
      </c>
      <c r="U431" s="56">
        <f t="shared" si="471"/>
        <v>7</v>
      </c>
      <c r="V431" s="59">
        <v>46282</v>
      </c>
      <c r="W431" s="56">
        <f t="shared" si="504"/>
        <v>38</v>
      </c>
      <c r="X431" s="56">
        <f t="shared" si="505"/>
        <v>17</v>
      </c>
      <c r="Y431" s="56" t="s">
        <v>31</v>
      </c>
      <c r="Z431" s="56">
        <v>4</v>
      </c>
      <c r="AA431" s="58">
        <f t="shared" si="464"/>
        <v>1</v>
      </c>
      <c r="AB431" s="58">
        <f t="shared" si="464"/>
        <v>0</v>
      </c>
      <c r="AC431" s="58">
        <f t="shared" si="464"/>
        <v>0</v>
      </c>
      <c r="AD431" s="58">
        <f t="shared" si="464"/>
        <v>0</v>
      </c>
      <c r="AE431" s="58">
        <f t="shared" si="464"/>
        <v>0</v>
      </c>
    </row>
    <row r="432" spans="2:34">
      <c r="B432" t="str">
        <f t="shared" si="492"/>
        <v>Sem3838EVER GESTRUDES BOLVITO ESTRADA</v>
      </c>
      <c r="C432" t="str">
        <f t="shared" si="493"/>
        <v>SEPTIEMBRESem38</v>
      </c>
      <c r="D432" t="str">
        <f t="shared" si="494"/>
        <v>SEPTIEMBRESem38EVER GESTRUDES BOLVITO ESTRADA</v>
      </c>
      <c r="E432" t="str">
        <f t="shared" si="495"/>
        <v>SEPTIEMBRESem3838EVER GESTRUDES BOLVITO ESTRADA</v>
      </c>
      <c r="F432" t="str">
        <f t="shared" si="496"/>
        <v>EVER GESTRUDES BOLVITO ESTRADA46283</v>
      </c>
      <c r="H432" s="49" t="s">
        <v>222</v>
      </c>
      <c r="I432" s="50" t="str">
        <f>+_xlfn.XLOOKUP($H432&amp;$V432,BASEDATOS!$B:$B,BASEDATOS!F:F,0,0,1)</f>
        <v>DIA</v>
      </c>
      <c r="J432" s="51">
        <f>+_xlfn.XLOOKUP($H432&amp;$V432,BASEDATOS!$B:$B,BASEDATOS!Q:Q,0,0,1)</f>
        <v>0.25</v>
      </c>
      <c r="K432" s="51">
        <f>+_xlfn.XLOOKUP($H432&amp;$V432,BASEDATOS!$B:$B,BASEDATOS!R:R,0,0,1)</f>
        <v>0.75</v>
      </c>
      <c r="L432" s="51">
        <f t="shared" si="497"/>
        <v>0.5</v>
      </c>
      <c r="M432" s="52" t="str">
        <f t="shared" si="498"/>
        <v>1:00</v>
      </c>
      <c r="N432" s="51">
        <f t="shared" si="499"/>
        <v>0.45833333333333331</v>
      </c>
      <c r="O432" s="53" t="str">
        <f t="shared" ref="O432" si="524">+O434</f>
        <v>4-0-3</v>
      </c>
      <c r="P432" s="54">
        <f>+IF(AND(Y432="Domingo",U432=7),_xlfn.XLOOKUP(O432,'Horarios y Sistemas'!C:C,'Horarios y Sistemas'!H:H,0,0,1),0)</f>
        <v>0</v>
      </c>
      <c r="Q432" s="54">
        <f>IF(U432=U433,0,IF(AVERAGEIF(W:W,W432,U:U)=U432,0,_xlfn.XLOOKUP(O432,'Horarios y Sistemas'!C:C,'Horarios y Sistemas'!H:H,0,0,1)-P432))/7*U432</f>
        <v>0</v>
      </c>
      <c r="R432" s="54">
        <f t="shared" si="501"/>
        <v>0</v>
      </c>
      <c r="S432" s="55" t="str">
        <f t="shared" si="502"/>
        <v>SEPTIEMBRE</v>
      </c>
      <c r="T432" s="55" t="str">
        <f t="shared" si="503"/>
        <v>Sem38</v>
      </c>
      <c r="U432" s="56">
        <f t="shared" si="471"/>
        <v>7</v>
      </c>
      <c r="V432" s="59">
        <v>46283</v>
      </c>
      <c r="W432" s="56">
        <f t="shared" si="504"/>
        <v>38</v>
      </c>
      <c r="X432" s="56">
        <f t="shared" si="505"/>
        <v>18</v>
      </c>
      <c r="Y432" s="56" t="s">
        <v>32</v>
      </c>
      <c r="Z432" s="56">
        <v>5</v>
      </c>
      <c r="AA432" s="58">
        <f t="shared" si="464"/>
        <v>1</v>
      </c>
      <c r="AB432" s="58">
        <f t="shared" si="464"/>
        <v>0</v>
      </c>
      <c r="AC432" s="58">
        <f t="shared" si="464"/>
        <v>0</v>
      </c>
      <c r="AD432" s="58">
        <f t="shared" si="464"/>
        <v>0</v>
      </c>
      <c r="AE432" s="58">
        <f t="shared" si="464"/>
        <v>0</v>
      </c>
    </row>
    <row r="433" spans="2:34">
      <c r="B433" t="str">
        <f t="shared" si="492"/>
        <v>Sem3838EVER GESTRUDES BOLVITO ESTRADA</v>
      </c>
      <c r="C433" t="str">
        <f t="shared" si="493"/>
        <v>SEPTIEMBRESem38</v>
      </c>
      <c r="D433" t="str">
        <f t="shared" si="494"/>
        <v>SEPTIEMBRESem38EVER GESTRUDES BOLVITO ESTRADA</v>
      </c>
      <c r="E433" t="str">
        <f t="shared" si="495"/>
        <v>SEPTIEMBRESem3838EVER GESTRUDES BOLVITO ESTRADA</v>
      </c>
      <c r="F433" t="str">
        <f t="shared" si="496"/>
        <v>EVER GESTRUDES BOLVITO ESTRADA46284</v>
      </c>
      <c r="H433" s="49" t="s">
        <v>222</v>
      </c>
      <c r="I433" s="50" t="str">
        <f>+_xlfn.XLOOKUP($H433&amp;$V433,BASEDATOS!$B:$B,BASEDATOS!F:F,0,0,1)</f>
        <v>DESCANSO</v>
      </c>
      <c r="J433" s="51">
        <f>+_xlfn.XLOOKUP($H433&amp;$V433,BASEDATOS!$B:$B,BASEDATOS!Q:Q,0,0,1)</f>
        <v>0</v>
      </c>
      <c r="K433" s="51">
        <f>+_xlfn.XLOOKUP($H433&amp;$V433,BASEDATOS!$B:$B,BASEDATOS!R:R,0,0,1)</f>
        <v>0</v>
      </c>
      <c r="L433" s="51">
        <f t="shared" si="497"/>
        <v>0</v>
      </c>
      <c r="M433" s="52">
        <f t="shared" si="498"/>
        <v>0</v>
      </c>
      <c r="N433" s="51">
        <f t="shared" si="499"/>
        <v>0</v>
      </c>
      <c r="O433" s="53" t="str">
        <f t="shared" ref="O433" si="525">+O434</f>
        <v>4-0-3</v>
      </c>
      <c r="P433" s="54">
        <f>+IF(AND(Y433="Domingo",U433=7),_xlfn.XLOOKUP(O433,'Horarios y Sistemas'!C:C,'Horarios y Sistemas'!H:H,0,0,1),0)</f>
        <v>0</v>
      </c>
      <c r="Q433" s="54">
        <f>IF(U433=U434,0,IF(AVERAGEIF(W:W,W433,U:U)=U433,0,_xlfn.XLOOKUP(O433,'Horarios y Sistemas'!C:C,'Horarios y Sistemas'!H:H,0,0,1)-P433))/7*U433</f>
        <v>0</v>
      </c>
      <c r="R433" s="54">
        <f t="shared" si="501"/>
        <v>0</v>
      </c>
      <c r="S433" s="55" t="str">
        <f t="shared" si="502"/>
        <v>SEPTIEMBRE</v>
      </c>
      <c r="T433" s="55" t="str">
        <f t="shared" si="503"/>
        <v>Sem38</v>
      </c>
      <c r="U433" s="56">
        <f t="shared" si="471"/>
        <v>7</v>
      </c>
      <c r="V433" s="59">
        <v>46284</v>
      </c>
      <c r="W433" s="56">
        <f t="shared" si="504"/>
        <v>38</v>
      </c>
      <c r="X433" s="56">
        <f t="shared" si="505"/>
        <v>19</v>
      </c>
      <c r="Y433" s="56" t="s">
        <v>33</v>
      </c>
      <c r="Z433" s="56">
        <v>6</v>
      </c>
      <c r="AA433" s="58">
        <f t="shared" si="464"/>
        <v>0</v>
      </c>
      <c r="AB433" s="58">
        <f t="shared" si="464"/>
        <v>0</v>
      </c>
      <c r="AC433" s="58">
        <f t="shared" si="464"/>
        <v>1</v>
      </c>
      <c r="AD433" s="58">
        <f t="shared" si="464"/>
        <v>0</v>
      </c>
      <c r="AE433" s="58">
        <f t="shared" si="464"/>
        <v>0</v>
      </c>
    </row>
    <row r="434" spans="2:34" s="60" customFormat="1">
      <c r="B434" s="60" t="str">
        <f t="shared" si="492"/>
        <v>Sem3838EVER GESTRUDES BOLVITO ESTRADA</v>
      </c>
      <c r="C434" s="60" t="str">
        <f t="shared" si="493"/>
        <v>SEPTIEMBRESem38</v>
      </c>
      <c r="D434" s="60" t="str">
        <f t="shared" si="494"/>
        <v>SEPTIEMBRESem38EVER GESTRUDES BOLVITO ESTRADA</v>
      </c>
      <c r="E434" s="60" t="str">
        <f t="shared" si="495"/>
        <v>SEPTIEMBRESem3838EVER GESTRUDES BOLVITO ESTRADA</v>
      </c>
      <c r="F434" s="60" t="str">
        <f t="shared" si="496"/>
        <v>EVER GESTRUDES BOLVITO ESTRADA46285</v>
      </c>
      <c r="H434" s="61" t="s">
        <v>222</v>
      </c>
      <c r="I434" s="62" t="str">
        <f>+_xlfn.XLOOKUP($H434&amp;$V434,BASEDATOS!$B:$B,BASEDATOS!F:F,0,0,1)</f>
        <v>DESCANSO</v>
      </c>
      <c r="J434" s="63">
        <f>+_xlfn.XLOOKUP($H434&amp;$V434,BASEDATOS!$B:$B,BASEDATOS!Q:Q,0,0,1)</f>
        <v>0</v>
      </c>
      <c r="K434" s="63">
        <f>+_xlfn.XLOOKUP($H434&amp;$V434,BASEDATOS!$B:$B,BASEDATOS!R:R,0,0,1)</f>
        <v>0</v>
      </c>
      <c r="L434" s="63">
        <f t="shared" si="497"/>
        <v>0</v>
      </c>
      <c r="M434" s="64">
        <f t="shared" si="498"/>
        <v>0</v>
      </c>
      <c r="N434" s="63">
        <f t="shared" si="499"/>
        <v>0</v>
      </c>
      <c r="O434" s="65" t="str">
        <f t="shared" ref="O434" si="526">+IF(Y434="Domingo",SUM(AA428:AA434)&amp;"-"&amp;SUM(AB428:AB434)&amp;"-"&amp;SUM(AC428:AE434),"")</f>
        <v>4-0-3</v>
      </c>
      <c r="P434" s="66">
        <f>+IF(AND(Y434="Domingo",U434=7),_xlfn.XLOOKUP(O434,'Horarios y Sistemas'!C:C,'Horarios y Sistemas'!H:H,0,0,1),0)</f>
        <v>44</v>
      </c>
      <c r="Q434" s="66">
        <f>IF(U434=U435,0,IF(AVERAGEIF(W:W,W434,U:U)=U434,0,_xlfn.XLOOKUP(O434,'Horarios y Sistemas'!C:C,'Horarios y Sistemas'!H:H,0,0,1)-P434))/7*U434</f>
        <v>0</v>
      </c>
      <c r="R434" s="66">
        <f t="shared" si="501"/>
        <v>44</v>
      </c>
      <c r="S434" s="67" t="str">
        <f t="shared" si="502"/>
        <v>SEPTIEMBRE</v>
      </c>
      <c r="T434" s="55" t="str">
        <f t="shared" si="503"/>
        <v>Sem38</v>
      </c>
      <c r="U434" s="68">
        <f t="shared" si="471"/>
        <v>7</v>
      </c>
      <c r="V434" s="69">
        <v>46285</v>
      </c>
      <c r="W434" s="68">
        <f t="shared" si="504"/>
        <v>38</v>
      </c>
      <c r="X434" s="68">
        <f t="shared" si="505"/>
        <v>20</v>
      </c>
      <c r="Y434" s="68" t="s">
        <v>34</v>
      </c>
      <c r="Z434" s="68">
        <v>7</v>
      </c>
      <c r="AA434" s="70">
        <f t="shared" si="464"/>
        <v>0</v>
      </c>
      <c r="AB434" s="70">
        <f t="shared" si="464"/>
        <v>0</v>
      </c>
      <c r="AC434" s="70">
        <f t="shared" si="464"/>
        <v>1</v>
      </c>
      <c r="AD434" s="70">
        <f t="shared" si="464"/>
        <v>0</v>
      </c>
      <c r="AE434" s="70">
        <f t="shared" si="464"/>
        <v>0</v>
      </c>
      <c r="AF434" s="71"/>
      <c r="AG434" s="71"/>
      <c r="AH434" s="71"/>
    </row>
    <row r="435" spans="2:34">
      <c r="B435" t="str">
        <f t="shared" si="492"/>
        <v>Sem3939EVER GESTRUDES BOLVITO ESTRADA</v>
      </c>
      <c r="C435" t="str">
        <f t="shared" si="493"/>
        <v>SEPTIEMBRESem39</v>
      </c>
      <c r="D435" t="str">
        <f t="shared" si="494"/>
        <v>SEPTIEMBRESem39EVER GESTRUDES BOLVITO ESTRADA</v>
      </c>
      <c r="E435" t="str">
        <f t="shared" si="495"/>
        <v>SEPTIEMBRESem3939EVER GESTRUDES BOLVITO ESTRADA</v>
      </c>
      <c r="F435" t="str">
        <f t="shared" si="496"/>
        <v>EVER GESTRUDES BOLVITO ESTRADA46286</v>
      </c>
      <c r="H435" s="49" t="s">
        <v>222</v>
      </c>
      <c r="I435" s="50" t="str">
        <f>+_xlfn.XLOOKUP($H435&amp;$V435,BASEDATOS!$B:$B,BASEDATOS!F:F,0,0,1)</f>
        <v>DIA</v>
      </c>
      <c r="J435" s="51">
        <f>+_xlfn.XLOOKUP($H435&amp;$V435,BASEDATOS!$B:$B,BASEDATOS!Q:Q,0,0,1)</f>
        <v>0.25</v>
      </c>
      <c r="K435" s="51">
        <f>+_xlfn.XLOOKUP($H435&amp;$V435,BASEDATOS!$B:$B,BASEDATOS!R:R,0,0,1)</f>
        <v>0.75</v>
      </c>
      <c r="L435" s="51">
        <f t="shared" si="497"/>
        <v>0.5</v>
      </c>
      <c r="M435" s="52" t="str">
        <f t="shared" si="498"/>
        <v>1:00</v>
      </c>
      <c r="N435" s="51">
        <f t="shared" si="499"/>
        <v>0.45833333333333331</v>
      </c>
      <c r="O435" s="53" t="str">
        <f t="shared" ref="O435" si="527">+O441</f>
        <v>1-0-6</v>
      </c>
      <c r="P435" s="54">
        <f>+IF(AND(Y435="Domingo",U435=7),_xlfn.XLOOKUP(O435,'Horarios y Sistemas'!C:C,'Horarios y Sistemas'!H:H,0,0,1),0)</f>
        <v>0</v>
      </c>
      <c r="Q435" s="54">
        <f>IF(U435=U436,0,IF(AVERAGEIF(W:W,W435,U:U)=U435,0,_xlfn.XLOOKUP(O435,'Horarios y Sistemas'!C:C,'Horarios y Sistemas'!H:H,0,0,1)-P435))/7*U435</f>
        <v>0</v>
      </c>
      <c r="R435" s="54">
        <f t="shared" si="501"/>
        <v>0</v>
      </c>
      <c r="S435" s="55" t="str">
        <f t="shared" si="502"/>
        <v>SEPTIEMBRE</v>
      </c>
      <c r="T435" s="55" t="str">
        <f t="shared" si="503"/>
        <v>Sem39</v>
      </c>
      <c r="U435" s="56">
        <f t="shared" si="471"/>
        <v>7</v>
      </c>
      <c r="V435" s="59">
        <v>46286</v>
      </c>
      <c r="W435" s="56">
        <f t="shared" si="504"/>
        <v>39</v>
      </c>
      <c r="X435" s="56">
        <f t="shared" si="505"/>
        <v>21</v>
      </c>
      <c r="Y435" s="56" t="s">
        <v>28</v>
      </c>
      <c r="Z435" s="56">
        <v>1</v>
      </c>
      <c r="AA435" s="58">
        <f t="shared" si="464"/>
        <v>1</v>
      </c>
      <c r="AB435" s="58">
        <f t="shared" si="464"/>
        <v>0</v>
      </c>
      <c r="AC435" s="58">
        <f t="shared" si="464"/>
        <v>0</v>
      </c>
      <c r="AD435" s="58">
        <f t="shared" si="464"/>
        <v>0</v>
      </c>
      <c r="AE435" s="58">
        <f t="shared" si="464"/>
        <v>0</v>
      </c>
    </row>
    <row r="436" spans="2:34">
      <c r="B436" t="str">
        <f t="shared" si="492"/>
        <v>Sem3939EVER GESTRUDES BOLVITO ESTRADA</v>
      </c>
      <c r="C436" t="str">
        <f t="shared" si="493"/>
        <v>SEPTIEMBRESem39</v>
      </c>
      <c r="D436" t="str">
        <f t="shared" si="494"/>
        <v>SEPTIEMBRESem39EVER GESTRUDES BOLVITO ESTRADA</v>
      </c>
      <c r="E436" t="str">
        <f t="shared" si="495"/>
        <v>SEPTIEMBRESem3939EVER GESTRUDES BOLVITO ESTRADA</v>
      </c>
      <c r="F436" t="str">
        <f t="shared" si="496"/>
        <v>EVER GESTRUDES BOLVITO ESTRADA46287</v>
      </c>
      <c r="H436" s="49" t="s">
        <v>222</v>
      </c>
      <c r="I436" s="50" t="str">
        <f>+_xlfn.XLOOKUP($H436&amp;$V436,BASEDATOS!$B:$B,BASEDATOS!F:F,0,0,1)</f>
        <v>DESCANSO</v>
      </c>
      <c r="J436" s="51">
        <f>+_xlfn.XLOOKUP($H436&amp;$V436,BASEDATOS!$B:$B,BASEDATOS!Q:Q,0,0,1)</f>
        <v>0</v>
      </c>
      <c r="K436" s="51">
        <f>+_xlfn.XLOOKUP($H436&amp;$V436,BASEDATOS!$B:$B,BASEDATOS!R:R,0,0,1)</f>
        <v>0</v>
      </c>
      <c r="L436" s="51">
        <f t="shared" si="497"/>
        <v>0</v>
      </c>
      <c r="M436" s="52">
        <f t="shared" si="498"/>
        <v>0</v>
      </c>
      <c r="N436" s="51">
        <f t="shared" si="499"/>
        <v>0</v>
      </c>
      <c r="O436" s="53" t="str">
        <f t="shared" ref="O436" si="528">+O441</f>
        <v>1-0-6</v>
      </c>
      <c r="P436" s="54">
        <f>+IF(AND(Y436="Domingo",U436=7),_xlfn.XLOOKUP(O436,'Horarios y Sistemas'!C:C,'Horarios y Sistemas'!H:H,0,0,1),0)</f>
        <v>0</v>
      </c>
      <c r="Q436" s="54">
        <f>IF(U436=U437,0,IF(AVERAGEIF(W:W,W436,U:U)=U436,0,_xlfn.XLOOKUP(O436,'Horarios y Sistemas'!C:C,'Horarios y Sistemas'!H:H,0,0,1)-P436))/7*U436</f>
        <v>0</v>
      </c>
      <c r="R436" s="54">
        <f t="shared" si="501"/>
        <v>0</v>
      </c>
      <c r="S436" s="55" t="str">
        <f t="shared" si="502"/>
        <v>SEPTIEMBRE</v>
      </c>
      <c r="T436" s="55" t="str">
        <f t="shared" si="503"/>
        <v>Sem39</v>
      </c>
      <c r="U436" s="56">
        <f t="shared" si="471"/>
        <v>7</v>
      </c>
      <c r="V436" s="59">
        <v>46287</v>
      </c>
      <c r="W436" s="56">
        <f t="shared" si="504"/>
        <v>39</v>
      </c>
      <c r="X436" s="56">
        <f t="shared" si="505"/>
        <v>22</v>
      </c>
      <c r="Y436" s="56" t="s">
        <v>29</v>
      </c>
      <c r="Z436" s="56">
        <v>2</v>
      </c>
      <c r="AA436" s="58">
        <f t="shared" si="464"/>
        <v>0</v>
      </c>
      <c r="AB436" s="58">
        <f t="shared" si="464"/>
        <v>0</v>
      </c>
      <c r="AC436" s="58">
        <f t="shared" si="464"/>
        <v>1</v>
      </c>
      <c r="AD436" s="58">
        <f t="shared" si="464"/>
        <v>0</v>
      </c>
      <c r="AE436" s="58">
        <f t="shared" si="464"/>
        <v>0</v>
      </c>
    </row>
    <row r="437" spans="2:34">
      <c r="B437" t="str">
        <f t="shared" si="492"/>
        <v>Sem3939EVER GESTRUDES BOLVITO ESTRADA</v>
      </c>
      <c r="C437" t="str">
        <f t="shared" si="493"/>
        <v>SEPTIEMBRESem39</v>
      </c>
      <c r="D437" t="str">
        <f t="shared" si="494"/>
        <v>SEPTIEMBRESem39EVER GESTRUDES BOLVITO ESTRADA</v>
      </c>
      <c r="E437" t="str">
        <f t="shared" si="495"/>
        <v>SEPTIEMBRESem3939EVER GESTRUDES BOLVITO ESTRADA</v>
      </c>
      <c r="F437" t="str">
        <f t="shared" si="496"/>
        <v>EVER GESTRUDES BOLVITO ESTRADA46288</v>
      </c>
      <c r="H437" s="49" t="s">
        <v>222</v>
      </c>
      <c r="I437" s="50" t="str">
        <f>+_xlfn.XLOOKUP($H437&amp;$V437,BASEDATOS!$B:$B,BASEDATOS!F:F,0,0,1)</f>
        <v>DESCANSO</v>
      </c>
      <c r="J437" s="51">
        <f>+_xlfn.XLOOKUP($H437&amp;$V437,BASEDATOS!$B:$B,BASEDATOS!Q:Q,0,0,1)</f>
        <v>0</v>
      </c>
      <c r="K437" s="51">
        <f>+_xlfn.XLOOKUP($H437&amp;$V437,BASEDATOS!$B:$B,BASEDATOS!R:R,0,0,1)</f>
        <v>0</v>
      </c>
      <c r="L437" s="51">
        <f t="shared" si="497"/>
        <v>0</v>
      </c>
      <c r="M437" s="52">
        <f t="shared" si="498"/>
        <v>0</v>
      </c>
      <c r="N437" s="51">
        <f t="shared" si="499"/>
        <v>0</v>
      </c>
      <c r="O437" s="53" t="str">
        <f t="shared" ref="O437" si="529">+O441</f>
        <v>1-0-6</v>
      </c>
      <c r="P437" s="54">
        <f>+IF(AND(Y437="Domingo",U437=7),_xlfn.XLOOKUP(O437,'Horarios y Sistemas'!C:C,'Horarios y Sistemas'!H:H,0,0,1),0)</f>
        <v>0</v>
      </c>
      <c r="Q437" s="54">
        <f>IF(U437=U438,0,IF(AVERAGEIF(W:W,W437,U:U)=U437,0,_xlfn.XLOOKUP(O437,'Horarios y Sistemas'!C:C,'Horarios y Sistemas'!H:H,0,0,1)-P437))/7*U437</f>
        <v>0</v>
      </c>
      <c r="R437" s="54">
        <f t="shared" si="501"/>
        <v>0</v>
      </c>
      <c r="S437" s="55" t="str">
        <f t="shared" si="502"/>
        <v>SEPTIEMBRE</v>
      </c>
      <c r="T437" s="55" t="str">
        <f t="shared" si="503"/>
        <v>Sem39</v>
      </c>
      <c r="U437" s="56">
        <f t="shared" si="471"/>
        <v>7</v>
      </c>
      <c r="V437" s="59">
        <v>46288</v>
      </c>
      <c r="W437" s="56">
        <f t="shared" si="504"/>
        <v>39</v>
      </c>
      <c r="X437" s="56">
        <f t="shared" si="505"/>
        <v>23</v>
      </c>
      <c r="Y437" s="56" t="s">
        <v>30</v>
      </c>
      <c r="Z437" s="56">
        <v>3</v>
      </c>
      <c r="AA437" s="58">
        <f t="shared" ref="AA437:AE487" si="530">+IF($I437=AA$7,1,0)</f>
        <v>0</v>
      </c>
      <c r="AB437" s="58">
        <f t="shared" si="530"/>
        <v>0</v>
      </c>
      <c r="AC437" s="58">
        <f t="shared" si="530"/>
        <v>1</v>
      </c>
      <c r="AD437" s="58">
        <f t="shared" si="530"/>
        <v>0</v>
      </c>
      <c r="AE437" s="58">
        <f t="shared" si="530"/>
        <v>0</v>
      </c>
    </row>
    <row r="438" spans="2:34">
      <c r="B438" t="str">
        <f t="shared" si="492"/>
        <v>Sem3939EVER GESTRUDES BOLVITO ESTRADA</v>
      </c>
      <c r="C438" t="str">
        <f t="shared" si="493"/>
        <v>SEPTIEMBRESem39</v>
      </c>
      <c r="D438" t="str">
        <f t="shared" si="494"/>
        <v>SEPTIEMBRESem39EVER GESTRUDES BOLVITO ESTRADA</v>
      </c>
      <c r="E438" t="str">
        <f t="shared" si="495"/>
        <v>SEPTIEMBRESem3939EVER GESTRUDES BOLVITO ESTRADA</v>
      </c>
      <c r="F438" t="str">
        <f t="shared" si="496"/>
        <v>EVER GESTRUDES BOLVITO ESTRADA46289</v>
      </c>
      <c r="H438" s="49" t="s">
        <v>222</v>
      </c>
      <c r="I438" s="50" t="str">
        <f>+_xlfn.XLOOKUP($H438&amp;$V438,BASEDATOS!$B:$B,BASEDATOS!F:F,0,0,1)</f>
        <v>DESCANSO</v>
      </c>
      <c r="J438" s="51">
        <f>+_xlfn.XLOOKUP($H438&amp;$V438,BASEDATOS!$B:$B,BASEDATOS!Q:Q,0,0,1)</f>
        <v>0</v>
      </c>
      <c r="K438" s="51">
        <f>+_xlfn.XLOOKUP($H438&amp;$V438,BASEDATOS!$B:$B,BASEDATOS!R:R,0,0,1)</f>
        <v>0</v>
      </c>
      <c r="L438" s="51">
        <f t="shared" si="497"/>
        <v>0</v>
      </c>
      <c r="M438" s="52">
        <f t="shared" si="498"/>
        <v>0</v>
      </c>
      <c r="N438" s="51">
        <f t="shared" si="499"/>
        <v>0</v>
      </c>
      <c r="O438" s="53" t="str">
        <f t="shared" ref="O438" si="531">+O441</f>
        <v>1-0-6</v>
      </c>
      <c r="P438" s="54">
        <f>+IF(AND(Y438="Domingo",U438=7),_xlfn.XLOOKUP(O438,'Horarios y Sistemas'!C:C,'Horarios y Sistemas'!H:H,0,0,1),0)</f>
        <v>0</v>
      </c>
      <c r="Q438" s="54">
        <f>IF(U438=U439,0,IF(AVERAGEIF(W:W,W438,U:U)=U438,0,_xlfn.XLOOKUP(O438,'Horarios y Sistemas'!C:C,'Horarios y Sistemas'!H:H,0,0,1)-P438))/7*U438</f>
        <v>0</v>
      </c>
      <c r="R438" s="54">
        <f t="shared" si="501"/>
        <v>0</v>
      </c>
      <c r="S438" s="55" t="str">
        <f t="shared" si="502"/>
        <v>SEPTIEMBRE</v>
      </c>
      <c r="T438" s="55" t="str">
        <f t="shared" si="503"/>
        <v>Sem39</v>
      </c>
      <c r="U438" s="56">
        <f t="shared" si="471"/>
        <v>7</v>
      </c>
      <c r="V438" s="59">
        <v>46289</v>
      </c>
      <c r="W438" s="56">
        <f t="shared" si="504"/>
        <v>39</v>
      </c>
      <c r="X438" s="56">
        <f t="shared" si="505"/>
        <v>24</v>
      </c>
      <c r="Y438" s="56" t="s">
        <v>31</v>
      </c>
      <c r="Z438" s="56">
        <v>4</v>
      </c>
      <c r="AA438" s="58">
        <f t="shared" si="530"/>
        <v>0</v>
      </c>
      <c r="AB438" s="58">
        <f t="shared" si="530"/>
        <v>0</v>
      </c>
      <c r="AC438" s="58">
        <f t="shared" si="530"/>
        <v>1</v>
      </c>
      <c r="AD438" s="58">
        <f t="shared" si="530"/>
        <v>0</v>
      </c>
      <c r="AE438" s="58">
        <f t="shared" si="530"/>
        <v>0</v>
      </c>
    </row>
    <row r="439" spans="2:34">
      <c r="B439" t="str">
        <f t="shared" si="492"/>
        <v>Sem3939EVER GESTRUDES BOLVITO ESTRADA</v>
      </c>
      <c r="C439" t="str">
        <f t="shared" si="493"/>
        <v>SEPTIEMBRESem39</v>
      </c>
      <c r="D439" t="str">
        <f t="shared" si="494"/>
        <v>SEPTIEMBRESem39EVER GESTRUDES BOLVITO ESTRADA</v>
      </c>
      <c r="E439" t="str">
        <f t="shared" si="495"/>
        <v>SEPTIEMBRESem3939EVER GESTRUDES BOLVITO ESTRADA</v>
      </c>
      <c r="F439" t="str">
        <f t="shared" si="496"/>
        <v>EVER GESTRUDES BOLVITO ESTRADA46290</v>
      </c>
      <c r="H439" s="49" t="s">
        <v>222</v>
      </c>
      <c r="I439" s="50" t="str">
        <f>+_xlfn.XLOOKUP($H439&amp;$V439,BASEDATOS!$B:$B,BASEDATOS!F:F,0,0,1)</f>
        <v>DESCANSO</v>
      </c>
      <c r="J439" s="51">
        <f>+_xlfn.XLOOKUP($H439&amp;$V439,BASEDATOS!$B:$B,BASEDATOS!Q:Q,0,0,1)</f>
        <v>0</v>
      </c>
      <c r="K439" s="51">
        <f>+_xlfn.XLOOKUP($H439&amp;$V439,BASEDATOS!$B:$B,BASEDATOS!R:R,0,0,1)</f>
        <v>0</v>
      </c>
      <c r="L439" s="51">
        <f t="shared" si="497"/>
        <v>0</v>
      </c>
      <c r="M439" s="52">
        <f t="shared" si="498"/>
        <v>0</v>
      </c>
      <c r="N439" s="51">
        <f t="shared" si="499"/>
        <v>0</v>
      </c>
      <c r="O439" s="53" t="str">
        <f t="shared" ref="O439" si="532">+O441</f>
        <v>1-0-6</v>
      </c>
      <c r="P439" s="54">
        <f>+IF(AND(Y439="Domingo",U439=7),_xlfn.XLOOKUP(O439,'Horarios y Sistemas'!C:C,'Horarios y Sistemas'!H:H,0,0,1),0)</f>
        <v>0</v>
      </c>
      <c r="Q439" s="54">
        <f>IF(U439=U440,0,IF(AVERAGEIF(W:W,W439,U:U)=U439,0,_xlfn.XLOOKUP(O439,'Horarios y Sistemas'!C:C,'Horarios y Sistemas'!H:H,0,0,1)-P439))/7*U439</f>
        <v>0</v>
      </c>
      <c r="R439" s="54">
        <f t="shared" si="501"/>
        <v>0</v>
      </c>
      <c r="S439" s="55" t="str">
        <f t="shared" si="502"/>
        <v>SEPTIEMBRE</v>
      </c>
      <c r="T439" s="55" t="str">
        <f t="shared" si="503"/>
        <v>Sem39</v>
      </c>
      <c r="U439" s="56">
        <f t="shared" si="471"/>
        <v>7</v>
      </c>
      <c r="V439" s="59">
        <v>46290</v>
      </c>
      <c r="W439" s="56">
        <f t="shared" si="504"/>
        <v>39</v>
      </c>
      <c r="X439" s="56">
        <f t="shared" si="505"/>
        <v>25</v>
      </c>
      <c r="Y439" s="56" t="s">
        <v>32</v>
      </c>
      <c r="Z439" s="56">
        <v>5</v>
      </c>
      <c r="AA439" s="58">
        <f t="shared" si="530"/>
        <v>0</v>
      </c>
      <c r="AB439" s="58">
        <f t="shared" si="530"/>
        <v>0</v>
      </c>
      <c r="AC439" s="58">
        <f t="shared" si="530"/>
        <v>1</v>
      </c>
      <c r="AD439" s="58">
        <f t="shared" si="530"/>
        <v>0</v>
      </c>
      <c r="AE439" s="58">
        <f t="shared" si="530"/>
        <v>0</v>
      </c>
    </row>
    <row r="440" spans="2:34">
      <c r="B440" t="str">
        <f t="shared" si="492"/>
        <v>Sem3939EVER GESTRUDES BOLVITO ESTRADA</v>
      </c>
      <c r="C440" t="str">
        <f t="shared" si="493"/>
        <v>SEPTIEMBRESem39</v>
      </c>
      <c r="D440" t="str">
        <f t="shared" si="494"/>
        <v>SEPTIEMBRESem39EVER GESTRUDES BOLVITO ESTRADA</v>
      </c>
      <c r="E440" t="str">
        <f t="shared" si="495"/>
        <v>SEPTIEMBRESem3939EVER GESTRUDES BOLVITO ESTRADA</v>
      </c>
      <c r="F440" t="str">
        <f t="shared" si="496"/>
        <v>EVER GESTRUDES BOLVITO ESTRADA46291</v>
      </c>
      <c r="H440" s="49" t="s">
        <v>222</v>
      </c>
      <c r="I440" s="50" t="str">
        <f>+_xlfn.XLOOKUP($H440&amp;$V440,BASEDATOS!$B:$B,BASEDATOS!F:F,0,0,1)</f>
        <v>DESCANSO</v>
      </c>
      <c r="J440" s="51">
        <f>+_xlfn.XLOOKUP($H440&amp;$V440,BASEDATOS!$B:$B,BASEDATOS!Q:Q,0,0,1)</f>
        <v>0</v>
      </c>
      <c r="K440" s="51">
        <f>+_xlfn.XLOOKUP($H440&amp;$V440,BASEDATOS!$B:$B,BASEDATOS!R:R,0,0,1)</f>
        <v>0</v>
      </c>
      <c r="L440" s="51">
        <f t="shared" si="497"/>
        <v>0</v>
      </c>
      <c r="M440" s="52">
        <f t="shared" si="498"/>
        <v>0</v>
      </c>
      <c r="N440" s="51">
        <f t="shared" si="499"/>
        <v>0</v>
      </c>
      <c r="O440" s="53" t="str">
        <f t="shared" ref="O440" si="533">+O441</f>
        <v>1-0-6</v>
      </c>
      <c r="P440" s="54">
        <f>+IF(AND(Y440="Domingo",U440=7),_xlfn.XLOOKUP(O440,'Horarios y Sistemas'!C:C,'Horarios y Sistemas'!H:H,0,0,1),0)</f>
        <v>0</v>
      </c>
      <c r="Q440" s="54">
        <f>IF(U440=U441,0,IF(AVERAGEIF(W:W,W440,U:U)=U440,0,_xlfn.XLOOKUP(O440,'Horarios y Sistemas'!C:C,'Horarios y Sistemas'!H:H,0,0,1)-P440))/7*U440</f>
        <v>0</v>
      </c>
      <c r="R440" s="54">
        <f t="shared" si="501"/>
        <v>0</v>
      </c>
      <c r="S440" s="55" t="str">
        <f t="shared" si="502"/>
        <v>SEPTIEMBRE</v>
      </c>
      <c r="T440" s="55" t="str">
        <f t="shared" si="503"/>
        <v>Sem39</v>
      </c>
      <c r="U440" s="56">
        <f t="shared" si="471"/>
        <v>7</v>
      </c>
      <c r="V440" s="59">
        <v>46291</v>
      </c>
      <c r="W440" s="56">
        <f t="shared" si="504"/>
        <v>39</v>
      </c>
      <c r="X440" s="56">
        <f t="shared" si="505"/>
        <v>26</v>
      </c>
      <c r="Y440" s="56" t="s">
        <v>33</v>
      </c>
      <c r="Z440" s="56">
        <v>6</v>
      </c>
      <c r="AA440" s="58">
        <f t="shared" si="530"/>
        <v>0</v>
      </c>
      <c r="AB440" s="58">
        <f t="shared" si="530"/>
        <v>0</v>
      </c>
      <c r="AC440" s="58">
        <f t="shared" si="530"/>
        <v>1</v>
      </c>
      <c r="AD440" s="58">
        <f t="shared" si="530"/>
        <v>0</v>
      </c>
      <c r="AE440" s="58">
        <f t="shared" si="530"/>
        <v>0</v>
      </c>
    </row>
    <row r="441" spans="2:34" s="60" customFormat="1">
      <c r="B441" s="60" t="str">
        <f t="shared" si="492"/>
        <v>Sem3939EVER GESTRUDES BOLVITO ESTRADA</v>
      </c>
      <c r="C441" s="60" t="str">
        <f t="shared" si="493"/>
        <v>SEPTIEMBRESem39</v>
      </c>
      <c r="D441" s="60" t="str">
        <f t="shared" si="494"/>
        <v>SEPTIEMBRESem39EVER GESTRUDES BOLVITO ESTRADA</v>
      </c>
      <c r="E441" s="60" t="str">
        <f t="shared" si="495"/>
        <v>SEPTIEMBRESem3939EVER GESTRUDES BOLVITO ESTRADA</v>
      </c>
      <c r="F441" s="60" t="str">
        <f t="shared" si="496"/>
        <v>EVER GESTRUDES BOLVITO ESTRADA46292</v>
      </c>
      <c r="H441" s="61" t="s">
        <v>222</v>
      </c>
      <c r="I441" s="62" t="str">
        <f>+_xlfn.XLOOKUP($H441&amp;$V441,BASEDATOS!$B:$B,BASEDATOS!F:F,0,0,1)</f>
        <v>DESCANSO</v>
      </c>
      <c r="J441" s="63">
        <f>+_xlfn.XLOOKUP($H441&amp;$V441,BASEDATOS!$B:$B,BASEDATOS!Q:Q,0,0,1)</f>
        <v>0</v>
      </c>
      <c r="K441" s="63">
        <f>+_xlfn.XLOOKUP($H441&amp;$V441,BASEDATOS!$B:$B,BASEDATOS!R:R,0,0,1)</f>
        <v>0</v>
      </c>
      <c r="L441" s="63">
        <f t="shared" si="497"/>
        <v>0</v>
      </c>
      <c r="M441" s="64">
        <f t="shared" si="498"/>
        <v>0</v>
      </c>
      <c r="N441" s="63">
        <f t="shared" si="499"/>
        <v>0</v>
      </c>
      <c r="O441" s="65" t="str">
        <f t="shared" ref="O441" si="534">+IF(Y441="Domingo",SUM(AA435:AA441)&amp;"-"&amp;SUM(AB435:AB441)&amp;"-"&amp;SUM(AC435:AE441),"")</f>
        <v>1-0-6</v>
      </c>
      <c r="P441" s="66">
        <f>+IF(AND(Y441="Domingo",U441=7),_xlfn.XLOOKUP(O441,'Horarios y Sistemas'!C:C,'Horarios y Sistemas'!H:H,0,0,1),0)</f>
        <v>44</v>
      </c>
      <c r="Q441" s="66">
        <f>IF(U441=U442,0,IF(AVERAGEIF(W:W,W441,U:U)=U441,0,_xlfn.XLOOKUP(O441,'Horarios y Sistemas'!C:C,'Horarios y Sistemas'!H:H,0,0,1)-P441))/7*U441</f>
        <v>0</v>
      </c>
      <c r="R441" s="66">
        <f t="shared" si="501"/>
        <v>44</v>
      </c>
      <c r="S441" s="67" t="str">
        <f t="shared" si="502"/>
        <v>SEPTIEMBRE</v>
      </c>
      <c r="T441" s="55" t="str">
        <f t="shared" si="503"/>
        <v>Sem39</v>
      </c>
      <c r="U441" s="68">
        <f t="shared" si="471"/>
        <v>7</v>
      </c>
      <c r="V441" s="69">
        <v>46292</v>
      </c>
      <c r="W441" s="68">
        <f t="shared" si="504"/>
        <v>39</v>
      </c>
      <c r="X441" s="68">
        <f t="shared" si="505"/>
        <v>27</v>
      </c>
      <c r="Y441" s="68" t="s">
        <v>34</v>
      </c>
      <c r="Z441" s="68">
        <v>7</v>
      </c>
      <c r="AA441" s="70">
        <f t="shared" si="530"/>
        <v>0</v>
      </c>
      <c r="AB441" s="70">
        <f t="shared" si="530"/>
        <v>0</v>
      </c>
      <c r="AC441" s="70">
        <f t="shared" si="530"/>
        <v>1</v>
      </c>
      <c r="AD441" s="70">
        <f t="shared" si="530"/>
        <v>0</v>
      </c>
      <c r="AE441" s="70">
        <f t="shared" si="530"/>
        <v>0</v>
      </c>
      <c r="AF441" s="71"/>
      <c r="AG441" s="71"/>
      <c r="AH441" s="71"/>
    </row>
    <row r="442" spans="2:34">
      <c r="B442" t="str">
        <f t="shared" si="492"/>
        <v>Sem4040EVER GESTRUDES BOLVITO ESTRADA</v>
      </c>
      <c r="C442" t="str">
        <f t="shared" si="493"/>
        <v>SEPTIEMBRESem40</v>
      </c>
      <c r="D442" t="str">
        <f t="shared" si="494"/>
        <v>SEPTIEMBRESem40EVER GESTRUDES BOLVITO ESTRADA</v>
      </c>
      <c r="E442" t="str">
        <f t="shared" si="495"/>
        <v>SEPTIEMBRESem4040EVER GESTRUDES BOLVITO ESTRADA</v>
      </c>
      <c r="F442" t="str">
        <f t="shared" si="496"/>
        <v>EVER GESTRUDES BOLVITO ESTRADA46293</v>
      </c>
      <c r="H442" s="49" t="s">
        <v>222</v>
      </c>
      <c r="I442" s="50" t="str">
        <f>+_xlfn.XLOOKUP($H442&amp;$V442,BASEDATOS!$B:$B,BASEDATOS!F:F,0,0,1)</f>
        <v>DIA</v>
      </c>
      <c r="J442" s="51">
        <f>+_xlfn.XLOOKUP($H442&amp;$V442,BASEDATOS!$B:$B,BASEDATOS!Q:Q,0,0,1)</f>
        <v>0.25</v>
      </c>
      <c r="K442" s="51">
        <f>+_xlfn.XLOOKUP($H442&amp;$V442,BASEDATOS!$B:$B,BASEDATOS!R:R,0,0,1)</f>
        <v>0.75</v>
      </c>
      <c r="L442" s="51">
        <f t="shared" si="497"/>
        <v>0.5</v>
      </c>
      <c r="M442" s="52" t="str">
        <f t="shared" si="498"/>
        <v>1:00</v>
      </c>
      <c r="N442" s="51">
        <f t="shared" si="499"/>
        <v>0.45833333333333331</v>
      </c>
      <c r="O442" s="53" t="str">
        <f t="shared" ref="O442" si="535">+O448</f>
        <v>5-0-2</v>
      </c>
      <c r="P442" s="54">
        <f>+IF(AND(Y442="Domingo",U442=7),_xlfn.XLOOKUP(O442,'Horarios y Sistemas'!C:C,'Horarios y Sistemas'!H:H,0,0,1),0)</f>
        <v>0</v>
      </c>
      <c r="Q442" s="54">
        <f>IF(U442=U443,0,IF(AVERAGEIF(W:W,W442,U:U)=U442,0,_xlfn.XLOOKUP(O442,'Horarios y Sistemas'!C:C,'Horarios y Sistemas'!H:H,0,0,1)-P442))/7*U442</f>
        <v>0</v>
      </c>
      <c r="R442" s="54">
        <f t="shared" si="501"/>
        <v>0</v>
      </c>
      <c r="S442" s="55" t="str">
        <f t="shared" si="502"/>
        <v>SEPTIEMBRE</v>
      </c>
      <c r="T442" s="55" t="str">
        <f t="shared" si="503"/>
        <v>Sem40</v>
      </c>
      <c r="U442" s="56">
        <f t="shared" si="471"/>
        <v>7</v>
      </c>
      <c r="V442" s="59">
        <v>46293</v>
      </c>
      <c r="W442" s="56">
        <f t="shared" si="504"/>
        <v>40</v>
      </c>
      <c r="X442" s="56">
        <f t="shared" si="505"/>
        <v>28</v>
      </c>
      <c r="Y442" s="56" t="s">
        <v>28</v>
      </c>
      <c r="Z442" s="56">
        <v>1</v>
      </c>
      <c r="AA442" s="58">
        <f t="shared" si="530"/>
        <v>1</v>
      </c>
      <c r="AB442" s="58">
        <f t="shared" si="530"/>
        <v>0</v>
      </c>
      <c r="AC442" s="58">
        <f t="shared" si="530"/>
        <v>0</v>
      </c>
      <c r="AD442" s="58">
        <f t="shared" si="530"/>
        <v>0</v>
      </c>
      <c r="AE442" s="58">
        <f t="shared" si="530"/>
        <v>0</v>
      </c>
    </row>
    <row r="443" spans="2:34">
      <c r="B443" t="str">
        <f t="shared" si="492"/>
        <v>Sem4040EVER GESTRUDES BOLVITO ESTRADA</v>
      </c>
      <c r="C443" t="str">
        <f t="shared" si="493"/>
        <v>SEPTIEMBRESem40</v>
      </c>
      <c r="D443" t="str">
        <f t="shared" si="494"/>
        <v>SEPTIEMBRESem40EVER GESTRUDES BOLVITO ESTRADA</v>
      </c>
      <c r="E443" t="str">
        <f t="shared" si="495"/>
        <v>SEPTIEMBRESem4040EVER GESTRUDES BOLVITO ESTRADA</v>
      </c>
      <c r="F443" t="str">
        <f t="shared" si="496"/>
        <v>EVER GESTRUDES BOLVITO ESTRADA46294</v>
      </c>
      <c r="H443" s="49" t="s">
        <v>222</v>
      </c>
      <c r="I443" s="50" t="str">
        <f>+_xlfn.XLOOKUP($H443&amp;$V443,BASEDATOS!$B:$B,BASEDATOS!F:F,0,0,1)</f>
        <v>DIA</v>
      </c>
      <c r="J443" s="51">
        <f>+_xlfn.XLOOKUP($H443&amp;$V443,BASEDATOS!$B:$B,BASEDATOS!Q:Q,0,0,1)</f>
        <v>0.25</v>
      </c>
      <c r="K443" s="51">
        <f>+_xlfn.XLOOKUP($H443&amp;$V443,BASEDATOS!$B:$B,BASEDATOS!R:R,0,0,1)</f>
        <v>0.75</v>
      </c>
      <c r="L443" s="51">
        <f t="shared" si="497"/>
        <v>0.5</v>
      </c>
      <c r="M443" s="52" t="str">
        <f t="shared" si="498"/>
        <v>1:00</v>
      </c>
      <c r="N443" s="51">
        <f t="shared" si="499"/>
        <v>0.45833333333333331</v>
      </c>
      <c r="O443" s="53" t="str">
        <f t="shared" ref="O443" si="536">+O448</f>
        <v>5-0-2</v>
      </c>
      <c r="P443" s="54">
        <f>+IF(AND(Y443="Domingo",U443=7),_xlfn.XLOOKUP(O443,'Horarios y Sistemas'!C:C,'Horarios y Sistemas'!H:H,0,0,1),0)</f>
        <v>0</v>
      </c>
      <c r="Q443" s="54">
        <f>IF(U443=U444,0,IF(AVERAGEIF(W:W,W443,U:U)=U443,0,_xlfn.XLOOKUP(O443,'Horarios y Sistemas'!C:C,'Horarios y Sistemas'!H:H,0,0,1)-P443))/7*U443</f>
        <v>0</v>
      </c>
      <c r="R443" s="54">
        <f t="shared" si="501"/>
        <v>0</v>
      </c>
      <c r="S443" s="55" t="str">
        <f t="shared" si="502"/>
        <v>SEPTIEMBRE</v>
      </c>
      <c r="T443" s="55" t="str">
        <f t="shared" si="503"/>
        <v>Sem40</v>
      </c>
      <c r="U443" s="56">
        <f t="shared" si="471"/>
        <v>7</v>
      </c>
      <c r="V443" s="59">
        <v>46294</v>
      </c>
      <c r="W443" s="56">
        <f t="shared" si="504"/>
        <v>40</v>
      </c>
      <c r="X443" s="56">
        <f t="shared" si="505"/>
        <v>29</v>
      </c>
      <c r="Y443" s="56" t="s">
        <v>29</v>
      </c>
      <c r="Z443" s="56">
        <v>2</v>
      </c>
      <c r="AA443" s="58">
        <f t="shared" si="530"/>
        <v>1</v>
      </c>
      <c r="AB443" s="58">
        <f t="shared" si="530"/>
        <v>0</v>
      </c>
      <c r="AC443" s="58">
        <f t="shared" si="530"/>
        <v>0</v>
      </c>
      <c r="AD443" s="58">
        <f t="shared" si="530"/>
        <v>0</v>
      </c>
      <c r="AE443" s="58">
        <f t="shared" si="530"/>
        <v>0</v>
      </c>
    </row>
    <row r="444" spans="2:34">
      <c r="B444" t="str">
        <f t="shared" si="492"/>
        <v>Sem4040EVER GESTRUDES BOLVITO ESTRADA</v>
      </c>
      <c r="C444" t="str">
        <f t="shared" si="493"/>
        <v>SEPTIEMBRESem40</v>
      </c>
      <c r="D444" t="str">
        <f t="shared" si="494"/>
        <v>SEPTIEMBRESem40EVER GESTRUDES BOLVITO ESTRADA</v>
      </c>
      <c r="E444" t="str">
        <f t="shared" si="495"/>
        <v>SEPTIEMBRESem4040EVER GESTRUDES BOLVITO ESTRADA</v>
      </c>
      <c r="F444" t="str">
        <f t="shared" si="496"/>
        <v>EVER GESTRUDES BOLVITO ESTRADA46295</v>
      </c>
      <c r="H444" s="49" t="s">
        <v>222</v>
      </c>
      <c r="I444" s="50" t="str">
        <f>+_xlfn.XLOOKUP($H444&amp;$V444,BASEDATOS!$B:$B,BASEDATOS!F:F,0,0,1)</f>
        <v>DIA</v>
      </c>
      <c r="J444" s="51">
        <f>+_xlfn.XLOOKUP($H444&amp;$V444,BASEDATOS!$B:$B,BASEDATOS!Q:Q,0,0,1)</f>
        <v>0.25</v>
      </c>
      <c r="K444" s="51">
        <f>+_xlfn.XLOOKUP($H444&amp;$V444,BASEDATOS!$B:$B,BASEDATOS!R:R,0,0,1)</f>
        <v>0.75</v>
      </c>
      <c r="L444" s="51">
        <f t="shared" si="497"/>
        <v>0.5</v>
      </c>
      <c r="M444" s="52" t="str">
        <f t="shared" si="498"/>
        <v>1:00</v>
      </c>
      <c r="N444" s="51">
        <f t="shared" si="499"/>
        <v>0.45833333333333331</v>
      </c>
      <c r="O444" s="53" t="str">
        <f t="shared" ref="O444" si="537">+O448</f>
        <v>5-0-2</v>
      </c>
      <c r="P444" s="54">
        <f>+IF(AND(Y444="Domingo",U444=7),_xlfn.XLOOKUP(O444,'Horarios y Sistemas'!C:C,'Horarios y Sistemas'!H:H,0,0,1),0)</f>
        <v>0</v>
      </c>
      <c r="Q444" s="54">
        <f>IF(U444=U445,0,IF(AVERAGEIF(W:W,W444,U:U)=U444,0,_xlfn.XLOOKUP(O444,'Horarios y Sistemas'!C:C,'Horarios y Sistemas'!H:H,0,0,1)-P444))/7*U444</f>
        <v>0</v>
      </c>
      <c r="R444" s="54">
        <f t="shared" si="501"/>
        <v>0</v>
      </c>
      <c r="S444" s="55" t="str">
        <f t="shared" si="502"/>
        <v>SEPTIEMBRE</v>
      </c>
      <c r="T444" s="55" t="str">
        <f t="shared" si="503"/>
        <v>Sem40</v>
      </c>
      <c r="U444" s="56">
        <f t="shared" si="471"/>
        <v>7</v>
      </c>
      <c r="V444" s="59">
        <v>46295</v>
      </c>
      <c r="W444" s="56">
        <f t="shared" si="504"/>
        <v>40</v>
      </c>
      <c r="X444" s="56">
        <f t="shared" si="505"/>
        <v>30</v>
      </c>
      <c r="Y444" s="56" t="s">
        <v>30</v>
      </c>
      <c r="Z444" s="56">
        <v>3</v>
      </c>
      <c r="AA444" s="58">
        <f t="shared" si="530"/>
        <v>1</v>
      </c>
      <c r="AB444" s="58">
        <f t="shared" si="530"/>
        <v>0</v>
      </c>
      <c r="AC444" s="58">
        <f t="shared" si="530"/>
        <v>0</v>
      </c>
      <c r="AD444" s="58">
        <f t="shared" si="530"/>
        <v>0</v>
      </c>
      <c r="AE444" s="58">
        <f t="shared" si="530"/>
        <v>0</v>
      </c>
    </row>
    <row r="445" spans="2:34">
      <c r="B445" t="str">
        <f t="shared" si="492"/>
        <v>Sem4040EVER GESTRUDES BOLVITO ESTRADA</v>
      </c>
      <c r="C445" t="str">
        <f t="shared" si="493"/>
        <v>OCTUBRESem40</v>
      </c>
      <c r="D445" t="str">
        <f t="shared" si="494"/>
        <v>OCTUBRESem40EVER GESTRUDES BOLVITO ESTRADA</v>
      </c>
      <c r="E445" t="str">
        <f t="shared" si="495"/>
        <v>OCTUBRESem4040EVER GESTRUDES BOLVITO ESTRADA</v>
      </c>
      <c r="F445" t="str">
        <f t="shared" si="496"/>
        <v>EVER GESTRUDES BOLVITO ESTRADA46296</v>
      </c>
      <c r="H445" s="49" t="s">
        <v>222</v>
      </c>
      <c r="I445" s="50" t="str">
        <f>+_xlfn.XLOOKUP($H445&amp;$V445,BASEDATOS!$B:$B,BASEDATOS!F:F,0,0,1)</f>
        <v>DIA</v>
      </c>
      <c r="J445" s="51">
        <f>+_xlfn.XLOOKUP($H445&amp;$V445,BASEDATOS!$B:$B,BASEDATOS!Q:Q,0,0,1)</f>
        <v>0.25</v>
      </c>
      <c r="K445" s="51">
        <f>+_xlfn.XLOOKUP($H445&amp;$V445,BASEDATOS!$B:$B,BASEDATOS!R:R,0,0,1)</f>
        <v>0.75</v>
      </c>
      <c r="L445" s="51">
        <f t="shared" si="497"/>
        <v>0.5</v>
      </c>
      <c r="M445" s="52" t="str">
        <f t="shared" si="498"/>
        <v>1:00</v>
      </c>
      <c r="N445" s="51">
        <f t="shared" si="499"/>
        <v>0.45833333333333331</v>
      </c>
      <c r="O445" s="53" t="str">
        <f t="shared" ref="O445" si="538">+O448</f>
        <v>5-0-2</v>
      </c>
      <c r="P445" s="54">
        <f>+IF(AND(Y445="Domingo",U445=7),_xlfn.XLOOKUP(O445,'Horarios y Sistemas'!C:C,'Horarios y Sistemas'!H:H,0,0,1),0)</f>
        <v>0</v>
      </c>
      <c r="Q445" s="54">
        <f>IF(U445=U446,0,IF(AVERAGEIF(W:W,W445,U:U)=U445,0,_xlfn.XLOOKUP(O445,'Horarios y Sistemas'!C:C,'Horarios y Sistemas'!H:H,0,0,1)-P445))/7*U445</f>
        <v>0</v>
      </c>
      <c r="R445" s="54">
        <f t="shared" si="501"/>
        <v>0</v>
      </c>
      <c r="S445" s="55" t="str">
        <f t="shared" si="502"/>
        <v>OCTUBRE</v>
      </c>
      <c r="T445" s="55" t="str">
        <f t="shared" si="503"/>
        <v>Sem40</v>
      </c>
      <c r="U445" s="56">
        <f t="shared" si="471"/>
        <v>7</v>
      </c>
      <c r="V445" s="59">
        <v>46296</v>
      </c>
      <c r="W445" s="56">
        <f t="shared" si="504"/>
        <v>40</v>
      </c>
      <c r="X445" s="56">
        <f t="shared" si="505"/>
        <v>1</v>
      </c>
      <c r="Y445" s="56" t="s">
        <v>31</v>
      </c>
      <c r="Z445" s="56">
        <v>4</v>
      </c>
      <c r="AA445" s="58">
        <f t="shared" si="530"/>
        <v>1</v>
      </c>
      <c r="AB445" s="58">
        <f t="shared" si="530"/>
        <v>0</v>
      </c>
      <c r="AC445" s="58">
        <f t="shared" si="530"/>
        <v>0</v>
      </c>
      <c r="AD445" s="58">
        <f t="shared" si="530"/>
        <v>0</v>
      </c>
      <c r="AE445" s="58">
        <f t="shared" si="530"/>
        <v>0</v>
      </c>
    </row>
    <row r="446" spans="2:34">
      <c r="B446" t="str">
        <f t="shared" si="492"/>
        <v>Sem4040EVER GESTRUDES BOLVITO ESTRADA</v>
      </c>
      <c r="C446" t="str">
        <f t="shared" si="493"/>
        <v>OCTUBRESem40</v>
      </c>
      <c r="D446" t="str">
        <f t="shared" si="494"/>
        <v>OCTUBRESem40EVER GESTRUDES BOLVITO ESTRADA</v>
      </c>
      <c r="E446" t="str">
        <f t="shared" si="495"/>
        <v>OCTUBRESem4040EVER GESTRUDES BOLVITO ESTRADA</v>
      </c>
      <c r="F446" t="str">
        <f t="shared" si="496"/>
        <v>EVER GESTRUDES BOLVITO ESTRADA46297</v>
      </c>
      <c r="H446" s="49" t="s">
        <v>222</v>
      </c>
      <c r="I446" s="50" t="str">
        <f>+_xlfn.XLOOKUP($H446&amp;$V446,BASEDATOS!$B:$B,BASEDATOS!F:F,0,0,1)</f>
        <v>DIA</v>
      </c>
      <c r="J446" s="51">
        <f>+_xlfn.XLOOKUP($H446&amp;$V446,BASEDATOS!$B:$B,BASEDATOS!Q:Q,0,0,1)</f>
        <v>0.25</v>
      </c>
      <c r="K446" s="51">
        <f>+_xlfn.XLOOKUP($H446&amp;$V446,BASEDATOS!$B:$B,BASEDATOS!R:R,0,0,1)</f>
        <v>0.75</v>
      </c>
      <c r="L446" s="51">
        <f t="shared" si="497"/>
        <v>0.5</v>
      </c>
      <c r="M446" s="52" t="str">
        <f t="shared" si="498"/>
        <v>1:00</v>
      </c>
      <c r="N446" s="51">
        <f t="shared" si="499"/>
        <v>0.45833333333333331</v>
      </c>
      <c r="O446" s="53" t="str">
        <f t="shared" ref="O446" si="539">+O448</f>
        <v>5-0-2</v>
      </c>
      <c r="P446" s="54">
        <f>+IF(AND(Y446="Domingo",U446=7),_xlfn.XLOOKUP(O446,'Horarios y Sistemas'!C:C,'Horarios y Sistemas'!H:H,0,0,1),0)</f>
        <v>0</v>
      </c>
      <c r="Q446" s="54">
        <f>IF(U446=U447,0,IF(AVERAGEIF(W:W,W446,U:U)=U446,0,_xlfn.XLOOKUP(O446,'Horarios y Sistemas'!C:C,'Horarios y Sistemas'!H:H,0,0,1)-P446))/7*U446</f>
        <v>0</v>
      </c>
      <c r="R446" s="54">
        <f t="shared" si="501"/>
        <v>0</v>
      </c>
      <c r="S446" s="55" t="str">
        <f t="shared" si="502"/>
        <v>OCTUBRE</v>
      </c>
      <c r="T446" s="55" t="str">
        <f t="shared" si="503"/>
        <v>Sem40</v>
      </c>
      <c r="U446" s="56">
        <f t="shared" si="471"/>
        <v>7</v>
      </c>
      <c r="V446" s="59">
        <v>46297</v>
      </c>
      <c r="W446" s="56">
        <f t="shared" si="504"/>
        <v>40</v>
      </c>
      <c r="X446" s="56">
        <f t="shared" si="505"/>
        <v>2</v>
      </c>
      <c r="Y446" s="56" t="s">
        <v>32</v>
      </c>
      <c r="Z446" s="56">
        <v>5</v>
      </c>
      <c r="AA446" s="58">
        <f t="shared" si="530"/>
        <v>1</v>
      </c>
      <c r="AB446" s="58">
        <f t="shared" si="530"/>
        <v>0</v>
      </c>
      <c r="AC446" s="58">
        <f t="shared" si="530"/>
        <v>0</v>
      </c>
      <c r="AD446" s="58">
        <f t="shared" si="530"/>
        <v>0</v>
      </c>
      <c r="AE446" s="58">
        <f t="shared" si="530"/>
        <v>0</v>
      </c>
    </row>
    <row r="447" spans="2:34">
      <c r="B447" t="str">
        <f t="shared" si="492"/>
        <v>Sem4040EVER GESTRUDES BOLVITO ESTRADA</v>
      </c>
      <c r="C447" t="str">
        <f t="shared" si="493"/>
        <v>OCTUBRESem40</v>
      </c>
      <c r="D447" t="str">
        <f t="shared" si="494"/>
        <v>OCTUBRESem40EVER GESTRUDES BOLVITO ESTRADA</v>
      </c>
      <c r="E447" t="str">
        <f t="shared" si="495"/>
        <v>OCTUBRESem4040EVER GESTRUDES BOLVITO ESTRADA</v>
      </c>
      <c r="F447" t="str">
        <f t="shared" si="496"/>
        <v>EVER GESTRUDES BOLVITO ESTRADA46298</v>
      </c>
      <c r="H447" s="49" t="s">
        <v>222</v>
      </c>
      <c r="I447" s="50" t="str">
        <f>+_xlfn.XLOOKUP($H447&amp;$V447,BASEDATOS!$B:$B,BASEDATOS!F:F,0,0,1)</f>
        <v>DESCANSO</v>
      </c>
      <c r="J447" s="51">
        <f>+_xlfn.XLOOKUP($H447&amp;$V447,BASEDATOS!$B:$B,BASEDATOS!Q:Q,0,0,1)</f>
        <v>0</v>
      </c>
      <c r="K447" s="51">
        <f>+_xlfn.XLOOKUP($H447&amp;$V447,BASEDATOS!$B:$B,BASEDATOS!R:R,0,0,1)</f>
        <v>0</v>
      </c>
      <c r="L447" s="51">
        <f t="shared" si="497"/>
        <v>0</v>
      </c>
      <c r="M447" s="52">
        <f t="shared" si="498"/>
        <v>0</v>
      </c>
      <c r="N447" s="51">
        <f t="shared" si="499"/>
        <v>0</v>
      </c>
      <c r="O447" s="53" t="str">
        <f t="shared" ref="O447" si="540">+O448</f>
        <v>5-0-2</v>
      </c>
      <c r="P447" s="54">
        <f>+IF(AND(Y447="Domingo",U447=7),_xlfn.XLOOKUP(O447,'Horarios y Sistemas'!C:C,'Horarios y Sistemas'!H:H,0,0,1),0)</f>
        <v>0</v>
      </c>
      <c r="Q447" s="54">
        <f>IF(U447=U448,0,IF(AVERAGEIF(W:W,W447,U:U)=U447,0,_xlfn.XLOOKUP(O447,'Horarios y Sistemas'!C:C,'Horarios y Sistemas'!H:H,0,0,1)-P447))/7*U447</f>
        <v>0</v>
      </c>
      <c r="R447" s="54">
        <f t="shared" si="501"/>
        <v>0</v>
      </c>
      <c r="S447" s="55" t="str">
        <f t="shared" si="502"/>
        <v>OCTUBRE</v>
      </c>
      <c r="T447" s="55" t="str">
        <f t="shared" si="503"/>
        <v>Sem40</v>
      </c>
      <c r="U447" s="56">
        <f t="shared" si="471"/>
        <v>7</v>
      </c>
      <c r="V447" s="59">
        <v>46298</v>
      </c>
      <c r="W447" s="56">
        <f t="shared" si="504"/>
        <v>40</v>
      </c>
      <c r="X447" s="56">
        <f t="shared" si="505"/>
        <v>3</v>
      </c>
      <c r="Y447" s="56" t="s">
        <v>33</v>
      </c>
      <c r="Z447" s="56">
        <v>6</v>
      </c>
      <c r="AA447" s="58">
        <f t="shared" si="530"/>
        <v>0</v>
      </c>
      <c r="AB447" s="58">
        <f t="shared" si="530"/>
        <v>0</v>
      </c>
      <c r="AC447" s="58">
        <f t="shared" si="530"/>
        <v>1</v>
      </c>
      <c r="AD447" s="58">
        <f t="shared" si="530"/>
        <v>0</v>
      </c>
      <c r="AE447" s="58">
        <f t="shared" si="530"/>
        <v>0</v>
      </c>
    </row>
    <row r="448" spans="2:34" s="60" customFormat="1">
      <c r="B448" s="60" t="str">
        <f t="shared" si="492"/>
        <v>Sem4040EVER GESTRUDES BOLVITO ESTRADA</v>
      </c>
      <c r="C448" s="60" t="str">
        <f t="shared" si="493"/>
        <v>OCTUBRESem40</v>
      </c>
      <c r="D448" s="60" t="str">
        <f t="shared" si="494"/>
        <v>OCTUBRESem40EVER GESTRUDES BOLVITO ESTRADA</v>
      </c>
      <c r="E448" s="60" t="str">
        <f t="shared" si="495"/>
        <v>OCTUBRESem4040EVER GESTRUDES BOLVITO ESTRADA</v>
      </c>
      <c r="F448" s="60" t="str">
        <f t="shared" si="496"/>
        <v>EVER GESTRUDES BOLVITO ESTRADA46299</v>
      </c>
      <c r="H448" s="61" t="s">
        <v>222</v>
      </c>
      <c r="I448" s="62" t="str">
        <f>+_xlfn.XLOOKUP($H448&amp;$V448,BASEDATOS!$B:$B,BASEDATOS!F:F,0,0,1)</f>
        <v>DESCANSO</v>
      </c>
      <c r="J448" s="63">
        <f>+_xlfn.XLOOKUP($H448&amp;$V448,BASEDATOS!$B:$B,BASEDATOS!Q:Q,0,0,1)</f>
        <v>0</v>
      </c>
      <c r="K448" s="63">
        <f>+_xlfn.XLOOKUP($H448&amp;$V448,BASEDATOS!$B:$B,BASEDATOS!R:R,0,0,1)</f>
        <v>0</v>
      </c>
      <c r="L448" s="63">
        <f t="shared" si="497"/>
        <v>0</v>
      </c>
      <c r="M448" s="64">
        <f t="shared" si="498"/>
        <v>0</v>
      </c>
      <c r="N448" s="63">
        <f t="shared" si="499"/>
        <v>0</v>
      </c>
      <c r="O448" s="65" t="str">
        <f t="shared" ref="O448" si="541">+IF(Y448="Domingo",SUM(AA442:AA448)&amp;"-"&amp;SUM(AB442:AB448)&amp;"-"&amp;SUM(AC442:AE448),"")</f>
        <v>5-0-2</v>
      </c>
      <c r="P448" s="66">
        <f>+IF(AND(Y448="Domingo",U448=7),_xlfn.XLOOKUP(O448,'Horarios y Sistemas'!C:C,'Horarios y Sistemas'!H:H,0,0,1),0)</f>
        <v>44</v>
      </c>
      <c r="Q448" s="66">
        <f>IF(U448=U449,0,IF(AVERAGEIF(W:W,W448,U:U)=U448,0,_xlfn.XLOOKUP(O448,'Horarios y Sistemas'!C:C,'Horarios y Sistemas'!H:H,0,0,1)-P448))/7*U448</f>
        <v>0</v>
      </c>
      <c r="R448" s="66">
        <f t="shared" si="501"/>
        <v>44</v>
      </c>
      <c r="S448" s="67" t="str">
        <f t="shared" si="502"/>
        <v>OCTUBRE</v>
      </c>
      <c r="T448" s="55" t="str">
        <f t="shared" si="503"/>
        <v>Sem40</v>
      </c>
      <c r="U448" s="68">
        <f t="shared" si="471"/>
        <v>7</v>
      </c>
      <c r="V448" s="69">
        <v>46299</v>
      </c>
      <c r="W448" s="68">
        <f t="shared" si="504"/>
        <v>40</v>
      </c>
      <c r="X448" s="68">
        <f t="shared" si="505"/>
        <v>4</v>
      </c>
      <c r="Y448" s="68" t="s">
        <v>34</v>
      </c>
      <c r="Z448" s="68">
        <v>7</v>
      </c>
      <c r="AA448" s="70">
        <f t="shared" si="530"/>
        <v>0</v>
      </c>
      <c r="AB448" s="70">
        <f t="shared" si="530"/>
        <v>0</v>
      </c>
      <c r="AC448" s="70">
        <f t="shared" si="530"/>
        <v>1</v>
      </c>
      <c r="AD448" s="70">
        <f t="shared" si="530"/>
        <v>0</v>
      </c>
      <c r="AE448" s="70">
        <f t="shared" si="530"/>
        <v>0</v>
      </c>
      <c r="AF448" s="71"/>
      <c r="AG448" s="71"/>
      <c r="AH448" s="71"/>
    </row>
    <row r="449" spans="2:34">
      <c r="B449" t="str">
        <f t="shared" si="492"/>
        <v>Sem3838Edvin Omar Chavez Cuque</v>
      </c>
      <c r="C449" t="str">
        <f t="shared" si="493"/>
        <v>SEPTIEMBRESem38</v>
      </c>
      <c r="D449" t="str">
        <f t="shared" si="494"/>
        <v>SEPTIEMBRESem38Edvin Omar Chavez Cuque</v>
      </c>
      <c r="E449" t="str">
        <f t="shared" si="495"/>
        <v>SEPTIEMBRESem3838Edvin Omar Chavez Cuque</v>
      </c>
      <c r="F449" t="str">
        <f t="shared" si="496"/>
        <v>Edvin Omar Chavez Cuque46279</v>
      </c>
      <c r="H449" s="49" t="s">
        <v>236</v>
      </c>
      <c r="I449" s="50" t="str">
        <f>+_xlfn.XLOOKUP($H449&amp;$V449,BASEDATOS!$B:$B,BASEDATOS!F:F,0,0,1)</f>
        <v>DESCANSO</v>
      </c>
      <c r="J449" s="51">
        <f>+_xlfn.XLOOKUP($H449&amp;$V449,BASEDATOS!$B:$B,BASEDATOS!Q:Q,0,0,1)</f>
        <v>0</v>
      </c>
      <c r="K449" s="51">
        <f>+_xlfn.XLOOKUP($H449&amp;$V449,BASEDATOS!$B:$B,BASEDATOS!R:R,0,0,1)</f>
        <v>0</v>
      </c>
      <c r="L449" s="51">
        <f t="shared" si="497"/>
        <v>0</v>
      </c>
      <c r="M449" s="52">
        <f t="shared" si="498"/>
        <v>0</v>
      </c>
      <c r="N449" s="51">
        <f t="shared" si="499"/>
        <v>0</v>
      </c>
      <c r="O449" s="53" t="str">
        <f t="shared" ref="O449" si="542">+O455</f>
        <v>5-0-2</v>
      </c>
      <c r="P449" s="54">
        <f>+IF(AND(Y449="Domingo",U449=7),_xlfn.XLOOKUP(O449,'Horarios y Sistemas'!C:C,'Horarios y Sistemas'!H:H,0,0,1),0)</f>
        <v>0</v>
      </c>
      <c r="Q449" s="54">
        <f>IF(U449=U450,0,IF(AVERAGEIF(W:W,W449,U:U)=U449,0,_xlfn.XLOOKUP(O449,'Horarios y Sistemas'!C:C,'Horarios y Sistemas'!H:H,0,0,1)-P449))/7*U449</f>
        <v>0</v>
      </c>
      <c r="R449" s="54">
        <f t="shared" si="501"/>
        <v>0</v>
      </c>
      <c r="S449" s="55" t="str">
        <f t="shared" si="502"/>
        <v>SEPTIEMBRE</v>
      </c>
      <c r="T449" s="55" t="str">
        <f t="shared" si="503"/>
        <v>Sem38</v>
      </c>
      <c r="U449" s="56">
        <f t="shared" si="471"/>
        <v>7</v>
      </c>
      <c r="V449" s="57">
        <v>46279</v>
      </c>
      <c r="W449" s="56">
        <f t="shared" si="504"/>
        <v>38</v>
      </c>
      <c r="X449" s="56">
        <f t="shared" si="505"/>
        <v>14</v>
      </c>
      <c r="Y449" s="56" t="s">
        <v>28</v>
      </c>
      <c r="Z449" s="56">
        <v>1</v>
      </c>
      <c r="AA449" s="58">
        <f t="shared" si="530"/>
        <v>0</v>
      </c>
      <c r="AB449" s="58">
        <f t="shared" si="530"/>
        <v>0</v>
      </c>
      <c r="AC449" s="58">
        <f t="shared" si="530"/>
        <v>1</v>
      </c>
      <c r="AD449" s="58">
        <f t="shared" si="530"/>
        <v>0</v>
      </c>
      <c r="AE449" s="58">
        <f t="shared" si="530"/>
        <v>0</v>
      </c>
    </row>
    <row r="450" spans="2:34">
      <c r="B450" t="str">
        <f t="shared" si="492"/>
        <v>Sem3838Edvin Omar Chavez Cuque</v>
      </c>
      <c r="C450" t="str">
        <f t="shared" si="493"/>
        <v>SEPTIEMBRESem38</v>
      </c>
      <c r="D450" t="str">
        <f t="shared" si="494"/>
        <v>SEPTIEMBRESem38Edvin Omar Chavez Cuque</v>
      </c>
      <c r="E450" t="str">
        <f t="shared" si="495"/>
        <v>SEPTIEMBRESem3838Edvin Omar Chavez Cuque</v>
      </c>
      <c r="F450" t="str">
        <f t="shared" si="496"/>
        <v>Edvin Omar Chavez Cuque46280</v>
      </c>
      <c r="H450" s="49" t="s">
        <v>236</v>
      </c>
      <c r="I450" s="50" t="str">
        <f>+_xlfn.XLOOKUP($H450&amp;$V450,BASEDATOS!$B:$B,BASEDATOS!F:F,0,0,1)</f>
        <v>DIA</v>
      </c>
      <c r="J450" s="51">
        <f>+_xlfn.XLOOKUP($H450&amp;$V450,BASEDATOS!$B:$B,BASEDATOS!Q:Q,0,0,1)</f>
        <v>0.33333333333333298</v>
      </c>
      <c r="K450" s="51">
        <f>+_xlfn.XLOOKUP($H450&amp;$V450,BASEDATOS!$B:$B,BASEDATOS!R:R,0,0,1)</f>
        <v>0.70833333333333304</v>
      </c>
      <c r="L450" s="51">
        <f t="shared" si="497"/>
        <v>0.37500000000000006</v>
      </c>
      <c r="M450" s="52" t="str">
        <f t="shared" si="498"/>
        <v>1:00</v>
      </c>
      <c r="N450" s="51">
        <f t="shared" si="499"/>
        <v>0.33333333333333337</v>
      </c>
      <c r="O450" s="53" t="str">
        <f t="shared" ref="O450" si="543">+O455</f>
        <v>5-0-2</v>
      </c>
      <c r="P450" s="54">
        <f>+IF(AND(Y450="Domingo",U450=7),_xlfn.XLOOKUP(O450,'Horarios y Sistemas'!C:C,'Horarios y Sistemas'!H:H,0,0,1),0)</f>
        <v>0</v>
      </c>
      <c r="Q450" s="54">
        <f>IF(U450=U451,0,IF(AVERAGEIF(W:W,W450,U:U)=U450,0,_xlfn.XLOOKUP(O450,'Horarios y Sistemas'!C:C,'Horarios y Sistemas'!H:H,0,0,1)-P450))/7*U450</f>
        <v>0</v>
      </c>
      <c r="R450" s="54">
        <f t="shared" si="501"/>
        <v>0</v>
      </c>
      <c r="S450" s="55" t="str">
        <f t="shared" si="502"/>
        <v>SEPTIEMBRE</v>
      </c>
      <c r="T450" s="55" t="str">
        <f t="shared" si="503"/>
        <v>Sem38</v>
      </c>
      <c r="U450" s="56">
        <f t="shared" si="471"/>
        <v>7</v>
      </c>
      <c r="V450" s="59">
        <v>46280</v>
      </c>
      <c r="W450" s="56">
        <f t="shared" si="504"/>
        <v>38</v>
      </c>
      <c r="X450" s="56">
        <f t="shared" si="505"/>
        <v>15</v>
      </c>
      <c r="Y450" s="56" t="s">
        <v>29</v>
      </c>
      <c r="Z450" s="56">
        <v>2</v>
      </c>
      <c r="AA450" s="58">
        <f t="shared" si="530"/>
        <v>1</v>
      </c>
      <c r="AB450" s="58">
        <f t="shared" si="530"/>
        <v>0</v>
      </c>
      <c r="AC450" s="58">
        <f t="shared" si="530"/>
        <v>0</v>
      </c>
      <c r="AD450" s="58">
        <f t="shared" si="530"/>
        <v>0</v>
      </c>
      <c r="AE450" s="58">
        <f t="shared" si="530"/>
        <v>0</v>
      </c>
    </row>
    <row r="451" spans="2:34">
      <c r="B451" t="str">
        <f t="shared" si="492"/>
        <v>Sem3838Edvin Omar Chavez Cuque</v>
      </c>
      <c r="C451" t="str">
        <f t="shared" si="493"/>
        <v>SEPTIEMBRESem38</v>
      </c>
      <c r="D451" t="str">
        <f t="shared" si="494"/>
        <v>SEPTIEMBRESem38Edvin Omar Chavez Cuque</v>
      </c>
      <c r="E451" t="str">
        <f t="shared" si="495"/>
        <v>SEPTIEMBRESem3838Edvin Omar Chavez Cuque</v>
      </c>
      <c r="F451" t="str">
        <f t="shared" si="496"/>
        <v>Edvin Omar Chavez Cuque46281</v>
      </c>
      <c r="H451" s="49" t="s">
        <v>236</v>
      </c>
      <c r="I451" s="50" t="str">
        <f>+_xlfn.XLOOKUP($H451&amp;$V451,BASEDATOS!$B:$B,BASEDATOS!F:F,0,0,1)</f>
        <v>DIA</v>
      </c>
      <c r="J451" s="51">
        <f>+_xlfn.XLOOKUP($H451&amp;$V451,BASEDATOS!$B:$B,BASEDATOS!Q:Q,0,0,1)</f>
        <v>0.33333333333333298</v>
      </c>
      <c r="K451" s="51">
        <f>+_xlfn.XLOOKUP($H451&amp;$V451,BASEDATOS!$B:$B,BASEDATOS!R:R,0,0,1)</f>
        <v>0.70833333333333304</v>
      </c>
      <c r="L451" s="51">
        <f t="shared" si="497"/>
        <v>0.37500000000000006</v>
      </c>
      <c r="M451" s="52" t="str">
        <f t="shared" si="498"/>
        <v>1:00</v>
      </c>
      <c r="N451" s="51">
        <f t="shared" si="499"/>
        <v>0.33333333333333337</v>
      </c>
      <c r="O451" s="53" t="str">
        <f t="shared" ref="O451" si="544">+O455</f>
        <v>5-0-2</v>
      </c>
      <c r="P451" s="54">
        <f>+IF(AND(Y451="Domingo",U451=7),_xlfn.XLOOKUP(O451,'Horarios y Sistemas'!C:C,'Horarios y Sistemas'!H:H,0,0,1),0)</f>
        <v>0</v>
      </c>
      <c r="Q451" s="54">
        <f>IF(U451=U452,0,IF(AVERAGEIF(W:W,W451,U:U)=U451,0,_xlfn.XLOOKUP(O451,'Horarios y Sistemas'!C:C,'Horarios y Sistemas'!H:H,0,0,1)-P451))/7*U451</f>
        <v>0</v>
      </c>
      <c r="R451" s="54">
        <f t="shared" si="501"/>
        <v>0</v>
      </c>
      <c r="S451" s="55" t="str">
        <f t="shared" si="502"/>
        <v>SEPTIEMBRE</v>
      </c>
      <c r="T451" s="55" t="str">
        <f t="shared" si="503"/>
        <v>Sem38</v>
      </c>
      <c r="U451" s="56">
        <f t="shared" si="471"/>
        <v>7</v>
      </c>
      <c r="V451" s="59">
        <v>46281</v>
      </c>
      <c r="W451" s="56">
        <f t="shared" si="504"/>
        <v>38</v>
      </c>
      <c r="X451" s="56">
        <f t="shared" si="505"/>
        <v>16</v>
      </c>
      <c r="Y451" s="56" t="s">
        <v>30</v>
      </c>
      <c r="Z451" s="56">
        <v>3</v>
      </c>
      <c r="AA451" s="58">
        <f t="shared" si="530"/>
        <v>1</v>
      </c>
      <c r="AB451" s="58">
        <f t="shared" si="530"/>
        <v>0</v>
      </c>
      <c r="AC451" s="58">
        <f t="shared" si="530"/>
        <v>0</v>
      </c>
      <c r="AD451" s="58">
        <f t="shared" si="530"/>
        <v>0</v>
      </c>
      <c r="AE451" s="58">
        <f t="shared" si="530"/>
        <v>0</v>
      </c>
    </row>
    <row r="452" spans="2:34">
      <c r="B452" t="str">
        <f t="shared" si="492"/>
        <v>Sem3838Edvin Omar Chavez Cuque</v>
      </c>
      <c r="C452" t="str">
        <f t="shared" si="493"/>
        <v>SEPTIEMBRESem38</v>
      </c>
      <c r="D452" t="str">
        <f t="shared" si="494"/>
        <v>SEPTIEMBRESem38Edvin Omar Chavez Cuque</v>
      </c>
      <c r="E452" t="str">
        <f t="shared" si="495"/>
        <v>SEPTIEMBRESem3838Edvin Omar Chavez Cuque</v>
      </c>
      <c r="F452" t="str">
        <f t="shared" si="496"/>
        <v>Edvin Omar Chavez Cuque46282</v>
      </c>
      <c r="H452" s="49" t="s">
        <v>236</v>
      </c>
      <c r="I452" s="50" t="str">
        <f>+_xlfn.XLOOKUP($H452&amp;$V452,BASEDATOS!$B:$B,BASEDATOS!F:F,0,0,1)</f>
        <v>DIA</v>
      </c>
      <c r="J452" s="51">
        <f>+_xlfn.XLOOKUP($H452&amp;$V452,BASEDATOS!$B:$B,BASEDATOS!Q:Q,0,0,1)</f>
        <v>0.25</v>
      </c>
      <c r="K452" s="51">
        <f>+_xlfn.XLOOKUP($H452&amp;$V452,BASEDATOS!$B:$B,BASEDATOS!R:R,0,0,1)</f>
        <v>0.75</v>
      </c>
      <c r="L452" s="51">
        <f t="shared" si="497"/>
        <v>0.5</v>
      </c>
      <c r="M452" s="52" t="str">
        <f t="shared" si="498"/>
        <v>1:00</v>
      </c>
      <c r="N452" s="51">
        <f t="shared" si="499"/>
        <v>0.45833333333333331</v>
      </c>
      <c r="O452" s="53" t="str">
        <f t="shared" ref="O452" si="545">+O455</f>
        <v>5-0-2</v>
      </c>
      <c r="P452" s="54">
        <f>+IF(AND(Y452="Domingo",U452=7),_xlfn.XLOOKUP(O452,'Horarios y Sistemas'!C:C,'Horarios y Sistemas'!H:H,0,0,1),0)</f>
        <v>0</v>
      </c>
      <c r="Q452" s="54">
        <f>IF(U452=U453,0,IF(AVERAGEIF(W:W,W452,U:U)=U452,0,_xlfn.XLOOKUP(O452,'Horarios y Sistemas'!C:C,'Horarios y Sistemas'!H:H,0,0,1)-P452))/7*U452</f>
        <v>0</v>
      </c>
      <c r="R452" s="54">
        <f t="shared" si="501"/>
        <v>0</v>
      </c>
      <c r="S452" s="55" t="str">
        <f t="shared" si="502"/>
        <v>SEPTIEMBRE</v>
      </c>
      <c r="T452" s="55" t="str">
        <f t="shared" si="503"/>
        <v>Sem38</v>
      </c>
      <c r="U452" s="56">
        <f t="shared" si="471"/>
        <v>7</v>
      </c>
      <c r="V452" s="59">
        <v>46282</v>
      </c>
      <c r="W452" s="56">
        <f t="shared" si="504"/>
        <v>38</v>
      </c>
      <c r="X452" s="56">
        <f t="shared" si="505"/>
        <v>17</v>
      </c>
      <c r="Y452" s="56" t="s">
        <v>31</v>
      </c>
      <c r="Z452" s="56">
        <v>4</v>
      </c>
      <c r="AA452" s="58">
        <f t="shared" si="530"/>
        <v>1</v>
      </c>
      <c r="AB452" s="58">
        <f t="shared" si="530"/>
        <v>0</v>
      </c>
      <c r="AC452" s="58">
        <f t="shared" si="530"/>
        <v>0</v>
      </c>
      <c r="AD452" s="58">
        <f t="shared" si="530"/>
        <v>0</v>
      </c>
      <c r="AE452" s="58">
        <f t="shared" si="530"/>
        <v>0</v>
      </c>
    </row>
    <row r="453" spans="2:34">
      <c r="B453" t="str">
        <f t="shared" si="492"/>
        <v>Sem3838Edvin Omar Chavez Cuque</v>
      </c>
      <c r="C453" t="str">
        <f t="shared" si="493"/>
        <v>SEPTIEMBRESem38</v>
      </c>
      <c r="D453" t="str">
        <f t="shared" si="494"/>
        <v>SEPTIEMBRESem38Edvin Omar Chavez Cuque</v>
      </c>
      <c r="E453" t="str">
        <f t="shared" si="495"/>
        <v>SEPTIEMBRESem3838Edvin Omar Chavez Cuque</v>
      </c>
      <c r="F453" t="str">
        <f t="shared" si="496"/>
        <v>Edvin Omar Chavez Cuque46283</v>
      </c>
      <c r="H453" s="49" t="s">
        <v>236</v>
      </c>
      <c r="I453" s="50" t="str">
        <f>+_xlfn.XLOOKUP($H453&amp;$V453,BASEDATOS!$B:$B,BASEDATOS!F:F,0,0,1)</f>
        <v>DIA</v>
      </c>
      <c r="J453" s="51">
        <f>+_xlfn.XLOOKUP($H453&amp;$V453,BASEDATOS!$B:$B,BASEDATOS!Q:Q,0,0,1)</f>
        <v>0.25</v>
      </c>
      <c r="K453" s="51">
        <f>+_xlfn.XLOOKUP($H453&amp;$V453,BASEDATOS!$B:$B,BASEDATOS!R:R,0,0,1)</f>
        <v>0.75</v>
      </c>
      <c r="L453" s="51">
        <f t="shared" si="497"/>
        <v>0.5</v>
      </c>
      <c r="M453" s="52" t="str">
        <f t="shared" si="498"/>
        <v>1:00</v>
      </c>
      <c r="N453" s="51">
        <f t="shared" si="499"/>
        <v>0.45833333333333331</v>
      </c>
      <c r="O453" s="53" t="str">
        <f t="shared" ref="O453" si="546">+O455</f>
        <v>5-0-2</v>
      </c>
      <c r="P453" s="54">
        <f>+IF(AND(Y453="Domingo",U453=7),_xlfn.XLOOKUP(O453,'Horarios y Sistemas'!C:C,'Horarios y Sistemas'!H:H,0,0,1),0)</f>
        <v>0</v>
      </c>
      <c r="Q453" s="54">
        <f>IF(U453=U454,0,IF(AVERAGEIF(W:W,W453,U:U)=U453,0,_xlfn.XLOOKUP(O453,'Horarios y Sistemas'!C:C,'Horarios y Sistemas'!H:H,0,0,1)-P453))/7*U453</f>
        <v>0</v>
      </c>
      <c r="R453" s="54">
        <f t="shared" si="501"/>
        <v>0</v>
      </c>
      <c r="S453" s="55" t="str">
        <f t="shared" si="502"/>
        <v>SEPTIEMBRE</v>
      </c>
      <c r="T453" s="55" t="str">
        <f t="shared" si="503"/>
        <v>Sem38</v>
      </c>
      <c r="U453" s="56">
        <f t="shared" si="471"/>
        <v>7</v>
      </c>
      <c r="V453" s="59">
        <v>46283</v>
      </c>
      <c r="W453" s="56">
        <f t="shared" si="504"/>
        <v>38</v>
      </c>
      <c r="X453" s="56">
        <f t="shared" si="505"/>
        <v>18</v>
      </c>
      <c r="Y453" s="56" t="s">
        <v>32</v>
      </c>
      <c r="Z453" s="56">
        <v>5</v>
      </c>
      <c r="AA453" s="58">
        <f t="shared" si="530"/>
        <v>1</v>
      </c>
      <c r="AB453" s="58">
        <f t="shared" si="530"/>
        <v>0</v>
      </c>
      <c r="AC453" s="58">
        <f t="shared" si="530"/>
        <v>0</v>
      </c>
      <c r="AD453" s="58">
        <f t="shared" si="530"/>
        <v>0</v>
      </c>
      <c r="AE453" s="58">
        <f t="shared" si="530"/>
        <v>0</v>
      </c>
    </row>
    <row r="454" spans="2:34">
      <c r="B454" t="str">
        <f t="shared" si="492"/>
        <v>Sem3838Edvin Omar Chavez Cuque</v>
      </c>
      <c r="C454" t="str">
        <f t="shared" si="493"/>
        <v>SEPTIEMBRESem38</v>
      </c>
      <c r="D454" t="str">
        <f t="shared" si="494"/>
        <v>SEPTIEMBRESem38Edvin Omar Chavez Cuque</v>
      </c>
      <c r="E454" t="str">
        <f t="shared" si="495"/>
        <v>SEPTIEMBRESem3838Edvin Omar Chavez Cuque</v>
      </c>
      <c r="F454" t="str">
        <f t="shared" si="496"/>
        <v>Edvin Omar Chavez Cuque46284</v>
      </c>
      <c r="H454" s="49" t="s">
        <v>236</v>
      </c>
      <c r="I454" s="50" t="str">
        <f>+_xlfn.XLOOKUP($H454&amp;$V454,BASEDATOS!$B:$B,BASEDATOS!F:F,0,0,1)</f>
        <v>DIA</v>
      </c>
      <c r="J454" s="51">
        <f>+_xlfn.XLOOKUP($H454&amp;$V454,BASEDATOS!$B:$B,BASEDATOS!Q:Q,0,0,1)</f>
        <v>0.25</v>
      </c>
      <c r="K454" s="51">
        <f>+_xlfn.XLOOKUP($H454&amp;$V454,BASEDATOS!$B:$B,BASEDATOS!R:R,0,0,1)</f>
        <v>0.75</v>
      </c>
      <c r="L454" s="51">
        <f t="shared" si="497"/>
        <v>0.5</v>
      </c>
      <c r="M454" s="52" t="str">
        <f t="shared" si="498"/>
        <v>1:00</v>
      </c>
      <c r="N454" s="51">
        <f t="shared" si="499"/>
        <v>0.45833333333333331</v>
      </c>
      <c r="O454" s="53" t="str">
        <f t="shared" ref="O454" si="547">+O455</f>
        <v>5-0-2</v>
      </c>
      <c r="P454" s="54">
        <f>+IF(AND(Y454="Domingo",U454=7),_xlfn.XLOOKUP(O454,'Horarios y Sistemas'!C:C,'Horarios y Sistemas'!H:H,0,0,1),0)</f>
        <v>0</v>
      </c>
      <c r="Q454" s="54">
        <f>IF(U454=U455,0,IF(AVERAGEIF(W:W,W454,U:U)=U454,0,_xlfn.XLOOKUP(O454,'Horarios y Sistemas'!C:C,'Horarios y Sistemas'!H:H,0,0,1)-P454))/7*U454</f>
        <v>0</v>
      </c>
      <c r="R454" s="54">
        <f t="shared" si="501"/>
        <v>0</v>
      </c>
      <c r="S454" s="55" t="str">
        <f t="shared" si="502"/>
        <v>SEPTIEMBRE</v>
      </c>
      <c r="T454" s="55" t="str">
        <f t="shared" si="503"/>
        <v>Sem38</v>
      </c>
      <c r="U454" s="56">
        <f t="shared" si="471"/>
        <v>7</v>
      </c>
      <c r="V454" s="59">
        <v>46284</v>
      </c>
      <c r="W454" s="56">
        <f t="shared" si="504"/>
        <v>38</v>
      </c>
      <c r="X454" s="56">
        <f t="shared" si="505"/>
        <v>19</v>
      </c>
      <c r="Y454" s="56" t="s">
        <v>33</v>
      </c>
      <c r="Z454" s="56">
        <v>6</v>
      </c>
      <c r="AA454" s="58">
        <f t="shared" si="530"/>
        <v>1</v>
      </c>
      <c r="AB454" s="58">
        <f t="shared" si="530"/>
        <v>0</v>
      </c>
      <c r="AC454" s="58">
        <f t="shared" si="530"/>
        <v>0</v>
      </c>
      <c r="AD454" s="58">
        <f t="shared" si="530"/>
        <v>0</v>
      </c>
      <c r="AE454" s="58">
        <f t="shared" si="530"/>
        <v>0</v>
      </c>
    </row>
    <row r="455" spans="2:34" s="60" customFormat="1">
      <c r="B455" s="60" t="str">
        <f t="shared" si="492"/>
        <v>Sem3838Edvin Omar Chavez Cuque</v>
      </c>
      <c r="C455" s="60" t="str">
        <f t="shared" si="493"/>
        <v>SEPTIEMBRESem38</v>
      </c>
      <c r="D455" s="60" t="str">
        <f t="shared" si="494"/>
        <v>SEPTIEMBRESem38Edvin Omar Chavez Cuque</v>
      </c>
      <c r="E455" s="60" t="str">
        <f t="shared" si="495"/>
        <v>SEPTIEMBRESem3838Edvin Omar Chavez Cuque</v>
      </c>
      <c r="F455" s="60" t="str">
        <f t="shared" si="496"/>
        <v>Edvin Omar Chavez Cuque46285</v>
      </c>
      <c r="H455" s="61" t="s">
        <v>236</v>
      </c>
      <c r="I455" s="62" t="str">
        <f>+_xlfn.XLOOKUP($H455&amp;$V455,BASEDATOS!$B:$B,BASEDATOS!F:F,0,0,1)</f>
        <v>DESCANSO</v>
      </c>
      <c r="J455" s="63">
        <f>+_xlfn.XLOOKUP($H455&amp;$V455,BASEDATOS!$B:$B,BASEDATOS!Q:Q,0,0,1)</f>
        <v>0</v>
      </c>
      <c r="K455" s="63">
        <f>+_xlfn.XLOOKUP($H455&amp;$V455,BASEDATOS!$B:$B,BASEDATOS!R:R,0,0,1)</f>
        <v>0</v>
      </c>
      <c r="L455" s="63">
        <f t="shared" si="497"/>
        <v>0</v>
      </c>
      <c r="M455" s="64">
        <f t="shared" si="498"/>
        <v>0</v>
      </c>
      <c r="N455" s="63">
        <f t="shared" si="499"/>
        <v>0</v>
      </c>
      <c r="O455" s="65" t="str">
        <f t="shared" ref="O455" si="548">+IF(Y455="Domingo",SUM(AA449:AA455)&amp;"-"&amp;SUM(AB449:AB455)&amp;"-"&amp;SUM(AC449:AE455),"")</f>
        <v>5-0-2</v>
      </c>
      <c r="P455" s="66">
        <f>+IF(AND(Y455="Domingo",U455=7),_xlfn.XLOOKUP(O455,'Horarios y Sistemas'!C:C,'Horarios y Sistemas'!H:H,0,0,1),0)</f>
        <v>44</v>
      </c>
      <c r="Q455" s="66">
        <f>IF(U455=U456,0,IF(AVERAGEIF(W:W,W455,U:U)=U455,0,_xlfn.XLOOKUP(O455,'Horarios y Sistemas'!C:C,'Horarios y Sistemas'!H:H,0,0,1)-P455))/7*U455</f>
        <v>0</v>
      </c>
      <c r="R455" s="66">
        <f t="shared" si="501"/>
        <v>44</v>
      </c>
      <c r="S455" s="67" t="str">
        <f t="shared" si="502"/>
        <v>SEPTIEMBRE</v>
      </c>
      <c r="T455" s="55" t="str">
        <f t="shared" si="503"/>
        <v>Sem38</v>
      </c>
      <c r="U455" s="68">
        <f t="shared" si="471"/>
        <v>7</v>
      </c>
      <c r="V455" s="69">
        <v>46285</v>
      </c>
      <c r="W455" s="68">
        <f t="shared" si="504"/>
        <v>38</v>
      </c>
      <c r="X455" s="68">
        <f t="shared" si="505"/>
        <v>20</v>
      </c>
      <c r="Y455" s="68" t="s">
        <v>34</v>
      </c>
      <c r="Z455" s="68">
        <v>7</v>
      </c>
      <c r="AA455" s="70">
        <f t="shared" si="530"/>
        <v>0</v>
      </c>
      <c r="AB455" s="70">
        <f t="shared" si="530"/>
        <v>0</v>
      </c>
      <c r="AC455" s="70">
        <f t="shared" si="530"/>
        <v>1</v>
      </c>
      <c r="AD455" s="70">
        <f t="shared" si="530"/>
        <v>0</v>
      </c>
      <c r="AE455" s="70">
        <f t="shared" si="530"/>
        <v>0</v>
      </c>
      <c r="AF455" s="71"/>
      <c r="AG455" s="71"/>
      <c r="AH455" s="71"/>
    </row>
    <row r="456" spans="2:34">
      <c r="B456" t="str">
        <f t="shared" si="492"/>
        <v>Sem3939Edvin Omar Chavez Cuque</v>
      </c>
      <c r="C456" t="str">
        <f t="shared" si="493"/>
        <v>SEPTIEMBRESem39</v>
      </c>
      <c r="D456" t="str">
        <f t="shared" si="494"/>
        <v>SEPTIEMBRESem39Edvin Omar Chavez Cuque</v>
      </c>
      <c r="E456" t="str">
        <f t="shared" si="495"/>
        <v>SEPTIEMBRESem3939Edvin Omar Chavez Cuque</v>
      </c>
      <c r="F456" t="str">
        <f t="shared" si="496"/>
        <v>Edvin Omar Chavez Cuque46286</v>
      </c>
      <c r="H456" s="49" t="s">
        <v>236</v>
      </c>
      <c r="I456" s="50" t="str">
        <f>+_xlfn.XLOOKUP($H456&amp;$V456,BASEDATOS!$B:$B,BASEDATOS!F:F,0,0,1)</f>
        <v>NOCHE</v>
      </c>
      <c r="J456" s="51">
        <f>+_xlfn.XLOOKUP($H456&amp;$V456,BASEDATOS!$B:$B,BASEDATOS!Q:Q,0,0,1)</f>
        <v>0.75</v>
      </c>
      <c r="K456" s="51">
        <f>+_xlfn.XLOOKUP($H456&amp;$V456,BASEDATOS!$B:$B,BASEDATOS!R:R,0,0,1)</f>
        <v>0.25</v>
      </c>
      <c r="L456" s="51">
        <f t="shared" si="497"/>
        <v>0.5</v>
      </c>
      <c r="M456" s="52" t="str">
        <f t="shared" si="498"/>
        <v>1:00</v>
      </c>
      <c r="N456" s="51">
        <f t="shared" si="499"/>
        <v>0.45833333333333331</v>
      </c>
      <c r="O456" s="53" t="str">
        <f t="shared" ref="O456" si="549">+O462</f>
        <v>0-3-4</v>
      </c>
      <c r="P456" s="54">
        <f>+IF(AND(Y456="Domingo",U456=7),_xlfn.XLOOKUP(O456,'Horarios y Sistemas'!C:C,'Horarios y Sistemas'!H:H,0,0,1),0)</f>
        <v>0</v>
      </c>
      <c r="Q456" s="54">
        <f>IF(U456=U457,0,IF(AVERAGEIF(W:W,W456,U:U)=U456,0,_xlfn.XLOOKUP(O456,'Horarios y Sistemas'!C:C,'Horarios y Sistemas'!H:H,0,0,1)-P456))/7*U456</f>
        <v>0</v>
      </c>
      <c r="R456" s="54">
        <f t="shared" si="501"/>
        <v>0</v>
      </c>
      <c r="S456" s="55" t="str">
        <f t="shared" si="502"/>
        <v>SEPTIEMBRE</v>
      </c>
      <c r="T456" s="55" t="str">
        <f t="shared" si="503"/>
        <v>Sem39</v>
      </c>
      <c r="U456" s="56">
        <f t="shared" ref="U456:U519" si="550">+COUNTIF(B:B,B456)</f>
        <v>7</v>
      </c>
      <c r="V456" s="59">
        <v>46286</v>
      </c>
      <c r="W456" s="56">
        <f t="shared" si="504"/>
        <v>39</v>
      </c>
      <c r="X456" s="56">
        <f t="shared" si="505"/>
        <v>21</v>
      </c>
      <c r="Y456" s="56" t="s">
        <v>28</v>
      </c>
      <c r="Z456" s="56">
        <v>1</v>
      </c>
      <c r="AA456" s="58">
        <f t="shared" si="530"/>
        <v>0</v>
      </c>
      <c r="AB456" s="58">
        <f t="shared" si="530"/>
        <v>1</v>
      </c>
      <c r="AC456" s="58">
        <f t="shared" si="530"/>
        <v>0</v>
      </c>
      <c r="AD456" s="58">
        <f t="shared" si="530"/>
        <v>0</v>
      </c>
      <c r="AE456" s="58">
        <f t="shared" si="530"/>
        <v>0</v>
      </c>
    </row>
    <row r="457" spans="2:34">
      <c r="B457" t="str">
        <f t="shared" si="492"/>
        <v>Sem3939Edvin Omar Chavez Cuque</v>
      </c>
      <c r="C457" t="str">
        <f t="shared" si="493"/>
        <v>SEPTIEMBRESem39</v>
      </c>
      <c r="D457" t="str">
        <f t="shared" si="494"/>
        <v>SEPTIEMBRESem39Edvin Omar Chavez Cuque</v>
      </c>
      <c r="E457" t="str">
        <f t="shared" si="495"/>
        <v>SEPTIEMBRESem3939Edvin Omar Chavez Cuque</v>
      </c>
      <c r="F457" t="str">
        <f t="shared" si="496"/>
        <v>Edvin Omar Chavez Cuque46287</v>
      </c>
      <c r="H457" s="49" t="s">
        <v>236</v>
      </c>
      <c r="I457" s="50" t="str">
        <f>+_xlfn.XLOOKUP($H457&amp;$V457,BASEDATOS!$B:$B,BASEDATOS!F:F,0,0,1)</f>
        <v>NOCHE</v>
      </c>
      <c r="J457" s="51">
        <f>+_xlfn.XLOOKUP($H457&amp;$V457,BASEDATOS!$B:$B,BASEDATOS!Q:Q,0,0,1)</f>
        <v>0.75</v>
      </c>
      <c r="K457" s="51">
        <f>+_xlfn.XLOOKUP($H457&amp;$V457,BASEDATOS!$B:$B,BASEDATOS!R:R,0,0,1)</f>
        <v>0.25</v>
      </c>
      <c r="L457" s="51">
        <f t="shared" si="497"/>
        <v>0.5</v>
      </c>
      <c r="M457" s="52" t="str">
        <f t="shared" si="498"/>
        <v>1:00</v>
      </c>
      <c r="N457" s="51">
        <f t="shared" si="499"/>
        <v>0.45833333333333331</v>
      </c>
      <c r="O457" s="53" t="str">
        <f t="shared" ref="O457" si="551">+O462</f>
        <v>0-3-4</v>
      </c>
      <c r="P457" s="54">
        <f>+IF(AND(Y457="Domingo",U457=7),_xlfn.XLOOKUP(O457,'Horarios y Sistemas'!C:C,'Horarios y Sistemas'!H:H,0,0,1),0)</f>
        <v>0</v>
      </c>
      <c r="Q457" s="54">
        <f>IF(U457=U458,0,IF(AVERAGEIF(W:W,W457,U:U)=U457,0,_xlfn.XLOOKUP(O457,'Horarios y Sistemas'!C:C,'Horarios y Sistemas'!H:H,0,0,1)-P457))/7*U457</f>
        <v>0</v>
      </c>
      <c r="R457" s="54">
        <f t="shared" si="501"/>
        <v>0</v>
      </c>
      <c r="S457" s="55" t="str">
        <f t="shared" si="502"/>
        <v>SEPTIEMBRE</v>
      </c>
      <c r="T457" s="55" t="str">
        <f t="shared" si="503"/>
        <v>Sem39</v>
      </c>
      <c r="U457" s="56">
        <f t="shared" si="550"/>
        <v>7</v>
      </c>
      <c r="V457" s="59">
        <v>46287</v>
      </c>
      <c r="W457" s="56">
        <f t="shared" si="504"/>
        <v>39</v>
      </c>
      <c r="X457" s="56">
        <f t="shared" si="505"/>
        <v>22</v>
      </c>
      <c r="Y457" s="56" t="s">
        <v>29</v>
      </c>
      <c r="Z457" s="56">
        <v>2</v>
      </c>
      <c r="AA457" s="58">
        <f t="shared" si="530"/>
        <v>0</v>
      </c>
      <c r="AB457" s="58">
        <f t="shared" si="530"/>
        <v>1</v>
      </c>
      <c r="AC457" s="58">
        <f t="shared" si="530"/>
        <v>0</v>
      </c>
      <c r="AD457" s="58">
        <f t="shared" si="530"/>
        <v>0</v>
      </c>
      <c r="AE457" s="58">
        <f t="shared" si="530"/>
        <v>0</v>
      </c>
    </row>
    <row r="458" spans="2:34">
      <c r="B458" t="str">
        <f t="shared" si="492"/>
        <v>Sem3939Edvin Omar Chavez Cuque</v>
      </c>
      <c r="C458" t="str">
        <f t="shared" si="493"/>
        <v>SEPTIEMBRESem39</v>
      </c>
      <c r="D458" t="str">
        <f t="shared" si="494"/>
        <v>SEPTIEMBRESem39Edvin Omar Chavez Cuque</v>
      </c>
      <c r="E458" t="str">
        <f t="shared" si="495"/>
        <v>SEPTIEMBRESem3939Edvin Omar Chavez Cuque</v>
      </c>
      <c r="F458" t="str">
        <f t="shared" si="496"/>
        <v>Edvin Omar Chavez Cuque46288</v>
      </c>
      <c r="H458" s="49" t="s">
        <v>236</v>
      </c>
      <c r="I458" s="50" t="str">
        <f>+_xlfn.XLOOKUP($H458&amp;$V458,BASEDATOS!$B:$B,BASEDATOS!F:F,0,0,1)</f>
        <v>NOCHE</v>
      </c>
      <c r="J458" s="51">
        <f>+_xlfn.XLOOKUP($H458&amp;$V458,BASEDATOS!$B:$B,BASEDATOS!Q:Q,0,0,1)</f>
        <v>0.75</v>
      </c>
      <c r="K458" s="51">
        <f>+_xlfn.XLOOKUP($H458&amp;$V458,BASEDATOS!$B:$B,BASEDATOS!R:R,0,0,1)</f>
        <v>0.25</v>
      </c>
      <c r="L458" s="51">
        <f t="shared" si="497"/>
        <v>0.5</v>
      </c>
      <c r="M458" s="52" t="str">
        <f t="shared" si="498"/>
        <v>1:00</v>
      </c>
      <c r="N458" s="51">
        <f t="shared" si="499"/>
        <v>0.45833333333333331</v>
      </c>
      <c r="O458" s="53" t="str">
        <f t="shared" ref="O458" si="552">+O462</f>
        <v>0-3-4</v>
      </c>
      <c r="P458" s="54">
        <f>+IF(AND(Y458="Domingo",U458=7),_xlfn.XLOOKUP(O458,'Horarios y Sistemas'!C:C,'Horarios y Sistemas'!H:H,0,0,1),0)</f>
        <v>0</v>
      </c>
      <c r="Q458" s="54">
        <f>IF(U458=U459,0,IF(AVERAGEIF(W:W,W458,U:U)=U458,0,_xlfn.XLOOKUP(O458,'Horarios y Sistemas'!C:C,'Horarios y Sistemas'!H:H,0,0,1)-P458))/7*U458</f>
        <v>0</v>
      </c>
      <c r="R458" s="54">
        <f t="shared" si="501"/>
        <v>0</v>
      </c>
      <c r="S458" s="55" t="str">
        <f t="shared" si="502"/>
        <v>SEPTIEMBRE</v>
      </c>
      <c r="T458" s="55" t="str">
        <f t="shared" si="503"/>
        <v>Sem39</v>
      </c>
      <c r="U458" s="56">
        <f t="shared" si="550"/>
        <v>7</v>
      </c>
      <c r="V458" s="59">
        <v>46288</v>
      </c>
      <c r="W458" s="56">
        <f t="shared" si="504"/>
        <v>39</v>
      </c>
      <c r="X458" s="56">
        <f t="shared" si="505"/>
        <v>23</v>
      </c>
      <c r="Y458" s="56" t="s">
        <v>30</v>
      </c>
      <c r="Z458" s="56">
        <v>3</v>
      </c>
      <c r="AA458" s="58">
        <f t="shared" si="530"/>
        <v>0</v>
      </c>
      <c r="AB458" s="58">
        <f t="shared" si="530"/>
        <v>1</v>
      </c>
      <c r="AC458" s="58">
        <f t="shared" si="530"/>
        <v>0</v>
      </c>
      <c r="AD458" s="58">
        <f t="shared" si="530"/>
        <v>0</v>
      </c>
      <c r="AE458" s="58">
        <f t="shared" si="530"/>
        <v>0</v>
      </c>
    </row>
    <row r="459" spans="2:34">
      <c r="B459" t="str">
        <f t="shared" si="492"/>
        <v>Sem3939Edvin Omar Chavez Cuque</v>
      </c>
      <c r="C459" t="str">
        <f t="shared" si="493"/>
        <v>SEPTIEMBRESem39</v>
      </c>
      <c r="D459" t="str">
        <f t="shared" si="494"/>
        <v>SEPTIEMBRESem39Edvin Omar Chavez Cuque</v>
      </c>
      <c r="E459" t="str">
        <f t="shared" si="495"/>
        <v>SEPTIEMBRESem3939Edvin Omar Chavez Cuque</v>
      </c>
      <c r="F459" t="str">
        <f t="shared" si="496"/>
        <v>Edvin Omar Chavez Cuque46289</v>
      </c>
      <c r="H459" s="49" t="s">
        <v>236</v>
      </c>
      <c r="I459" s="50" t="str">
        <f>+_xlfn.XLOOKUP($H459&amp;$V459,BASEDATOS!$B:$B,BASEDATOS!F:F,0,0,1)</f>
        <v>DESCANSO</v>
      </c>
      <c r="J459" s="51">
        <f>+_xlfn.XLOOKUP($H459&amp;$V459,BASEDATOS!$B:$B,BASEDATOS!Q:Q,0,0,1)</f>
        <v>0</v>
      </c>
      <c r="K459" s="51">
        <f>+_xlfn.XLOOKUP($H459&amp;$V459,BASEDATOS!$B:$B,BASEDATOS!R:R,0,0,1)</f>
        <v>0</v>
      </c>
      <c r="L459" s="51">
        <f t="shared" si="497"/>
        <v>0</v>
      </c>
      <c r="M459" s="52">
        <f t="shared" si="498"/>
        <v>0</v>
      </c>
      <c r="N459" s="51">
        <f t="shared" si="499"/>
        <v>0</v>
      </c>
      <c r="O459" s="53" t="str">
        <f t="shared" ref="O459" si="553">+O462</f>
        <v>0-3-4</v>
      </c>
      <c r="P459" s="54">
        <f>+IF(AND(Y459="Domingo",U459=7),_xlfn.XLOOKUP(O459,'Horarios y Sistemas'!C:C,'Horarios y Sistemas'!H:H,0,0,1),0)</f>
        <v>0</v>
      </c>
      <c r="Q459" s="54">
        <f>IF(U459=U460,0,IF(AVERAGEIF(W:W,W459,U:U)=U459,0,_xlfn.XLOOKUP(O459,'Horarios y Sistemas'!C:C,'Horarios y Sistemas'!H:H,0,0,1)-P459))/7*U459</f>
        <v>0</v>
      </c>
      <c r="R459" s="54">
        <f t="shared" si="501"/>
        <v>0</v>
      </c>
      <c r="S459" s="55" t="str">
        <f t="shared" si="502"/>
        <v>SEPTIEMBRE</v>
      </c>
      <c r="T459" s="55" t="str">
        <f t="shared" si="503"/>
        <v>Sem39</v>
      </c>
      <c r="U459" s="56">
        <f t="shared" si="550"/>
        <v>7</v>
      </c>
      <c r="V459" s="59">
        <v>46289</v>
      </c>
      <c r="W459" s="56">
        <f t="shared" si="504"/>
        <v>39</v>
      </c>
      <c r="X459" s="56">
        <f t="shared" si="505"/>
        <v>24</v>
      </c>
      <c r="Y459" s="56" t="s">
        <v>31</v>
      </c>
      <c r="Z459" s="56">
        <v>4</v>
      </c>
      <c r="AA459" s="58">
        <f t="shared" si="530"/>
        <v>0</v>
      </c>
      <c r="AB459" s="58">
        <f t="shared" si="530"/>
        <v>0</v>
      </c>
      <c r="AC459" s="58">
        <f t="shared" si="530"/>
        <v>1</v>
      </c>
      <c r="AD459" s="58">
        <f t="shared" si="530"/>
        <v>0</v>
      </c>
      <c r="AE459" s="58">
        <f t="shared" si="530"/>
        <v>0</v>
      </c>
    </row>
    <row r="460" spans="2:34">
      <c r="B460" t="str">
        <f t="shared" si="492"/>
        <v>Sem3939Edvin Omar Chavez Cuque</v>
      </c>
      <c r="C460" t="str">
        <f t="shared" si="493"/>
        <v>SEPTIEMBRESem39</v>
      </c>
      <c r="D460" t="str">
        <f t="shared" si="494"/>
        <v>SEPTIEMBRESem39Edvin Omar Chavez Cuque</v>
      </c>
      <c r="E460" t="str">
        <f t="shared" si="495"/>
        <v>SEPTIEMBRESem3939Edvin Omar Chavez Cuque</v>
      </c>
      <c r="F460" t="str">
        <f t="shared" si="496"/>
        <v>Edvin Omar Chavez Cuque46290</v>
      </c>
      <c r="H460" s="49" t="s">
        <v>236</v>
      </c>
      <c r="I460" s="50" t="str">
        <f>+_xlfn.XLOOKUP($H460&amp;$V460,BASEDATOS!$B:$B,BASEDATOS!F:F,0,0,1)</f>
        <v>DESCANSO</v>
      </c>
      <c r="J460" s="51">
        <f>+_xlfn.XLOOKUP($H460&amp;$V460,BASEDATOS!$B:$B,BASEDATOS!Q:Q,0,0,1)</f>
        <v>0</v>
      </c>
      <c r="K460" s="51">
        <f>+_xlfn.XLOOKUP($H460&amp;$V460,BASEDATOS!$B:$B,BASEDATOS!R:R,0,0,1)</f>
        <v>0</v>
      </c>
      <c r="L460" s="51">
        <f t="shared" si="497"/>
        <v>0</v>
      </c>
      <c r="M460" s="52">
        <f t="shared" si="498"/>
        <v>0</v>
      </c>
      <c r="N460" s="51">
        <f t="shared" si="499"/>
        <v>0</v>
      </c>
      <c r="O460" s="53" t="str">
        <f t="shared" ref="O460" si="554">+O462</f>
        <v>0-3-4</v>
      </c>
      <c r="P460" s="54">
        <f>+IF(AND(Y460="Domingo",U460=7),_xlfn.XLOOKUP(O460,'Horarios y Sistemas'!C:C,'Horarios y Sistemas'!H:H,0,0,1),0)</f>
        <v>0</v>
      </c>
      <c r="Q460" s="54">
        <f>IF(U460=U461,0,IF(AVERAGEIF(W:W,W460,U:U)=U460,0,_xlfn.XLOOKUP(O460,'Horarios y Sistemas'!C:C,'Horarios y Sistemas'!H:H,0,0,1)-P460))/7*U460</f>
        <v>0</v>
      </c>
      <c r="R460" s="54">
        <f t="shared" si="501"/>
        <v>0</v>
      </c>
      <c r="S460" s="55" t="str">
        <f t="shared" si="502"/>
        <v>SEPTIEMBRE</v>
      </c>
      <c r="T460" s="55" t="str">
        <f t="shared" si="503"/>
        <v>Sem39</v>
      </c>
      <c r="U460" s="56">
        <f t="shared" si="550"/>
        <v>7</v>
      </c>
      <c r="V460" s="59">
        <v>46290</v>
      </c>
      <c r="W460" s="56">
        <f t="shared" si="504"/>
        <v>39</v>
      </c>
      <c r="X460" s="56">
        <f t="shared" si="505"/>
        <v>25</v>
      </c>
      <c r="Y460" s="56" t="s">
        <v>32</v>
      </c>
      <c r="Z460" s="56">
        <v>5</v>
      </c>
      <c r="AA460" s="58">
        <f t="shared" si="530"/>
        <v>0</v>
      </c>
      <c r="AB460" s="58">
        <f t="shared" si="530"/>
        <v>0</v>
      </c>
      <c r="AC460" s="58">
        <f t="shared" si="530"/>
        <v>1</v>
      </c>
      <c r="AD460" s="58">
        <f t="shared" si="530"/>
        <v>0</v>
      </c>
      <c r="AE460" s="58">
        <f t="shared" si="530"/>
        <v>0</v>
      </c>
    </row>
    <row r="461" spans="2:34">
      <c r="B461" t="str">
        <f t="shared" si="492"/>
        <v>Sem3939Edvin Omar Chavez Cuque</v>
      </c>
      <c r="C461" t="str">
        <f t="shared" si="493"/>
        <v>SEPTIEMBRESem39</v>
      </c>
      <c r="D461" t="str">
        <f t="shared" si="494"/>
        <v>SEPTIEMBRESem39Edvin Omar Chavez Cuque</v>
      </c>
      <c r="E461" t="str">
        <f t="shared" si="495"/>
        <v>SEPTIEMBRESem3939Edvin Omar Chavez Cuque</v>
      </c>
      <c r="F461" t="str">
        <f t="shared" si="496"/>
        <v>Edvin Omar Chavez Cuque46291</v>
      </c>
      <c r="H461" s="49" t="s">
        <v>236</v>
      </c>
      <c r="I461" s="50" t="str">
        <f>+_xlfn.XLOOKUP($H461&amp;$V461,BASEDATOS!$B:$B,BASEDATOS!F:F,0,0,1)</f>
        <v>DESCANSO</v>
      </c>
      <c r="J461" s="51">
        <f>+_xlfn.XLOOKUP($H461&amp;$V461,BASEDATOS!$B:$B,BASEDATOS!Q:Q,0,0,1)</f>
        <v>0</v>
      </c>
      <c r="K461" s="51">
        <f>+_xlfn.XLOOKUP($H461&amp;$V461,BASEDATOS!$B:$B,BASEDATOS!R:R,0,0,1)</f>
        <v>0</v>
      </c>
      <c r="L461" s="51">
        <f t="shared" si="497"/>
        <v>0</v>
      </c>
      <c r="M461" s="52">
        <f t="shared" si="498"/>
        <v>0</v>
      </c>
      <c r="N461" s="51">
        <f t="shared" si="499"/>
        <v>0</v>
      </c>
      <c r="O461" s="53" t="str">
        <f t="shared" ref="O461" si="555">+O462</f>
        <v>0-3-4</v>
      </c>
      <c r="P461" s="54">
        <f>+IF(AND(Y461="Domingo",U461=7),_xlfn.XLOOKUP(O461,'Horarios y Sistemas'!C:C,'Horarios y Sistemas'!H:H,0,0,1),0)</f>
        <v>0</v>
      </c>
      <c r="Q461" s="54">
        <f>IF(U461=U462,0,IF(AVERAGEIF(W:W,W461,U:U)=U461,0,_xlfn.XLOOKUP(O461,'Horarios y Sistemas'!C:C,'Horarios y Sistemas'!H:H,0,0,1)-P461))/7*U461</f>
        <v>0</v>
      </c>
      <c r="R461" s="54">
        <f t="shared" si="501"/>
        <v>0</v>
      </c>
      <c r="S461" s="55" t="str">
        <f t="shared" si="502"/>
        <v>SEPTIEMBRE</v>
      </c>
      <c r="T461" s="55" t="str">
        <f t="shared" si="503"/>
        <v>Sem39</v>
      </c>
      <c r="U461" s="56">
        <f t="shared" si="550"/>
        <v>7</v>
      </c>
      <c r="V461" s="59">
        <v>46291</v>
      </c>
      <c r="W461" s="56">
        <f t="shared" si="504"/>
        <v>39</v>
      </c>
      <c r="X461" s="56">
        <f t="shared" si="505"/>
        <v>26</v>
      </c>
      <c r="Y461" s="56" t="s">
        <v>33</v>
      </c>
      <c r="Z461" s="56">
        <v>6</v>
      </c>
      <c r="AA461" s="58">
        <f t="shared" si="530"/>
        <v>0</v>
      </c>
      <c r="AB461" s="58">
        <f t="shared" si="530"/>
        <v>0</v>
      </c>
      <c r="AC461" s="58">
        <f t="shared" si="530"/>
        <v>1</v>
      </c>
      <c r="AD461" s="58">
        <f t="shared" si="530"/>
        <v>0</v>
      </c>
      <c r="AE461" s="58">
        <f t="shared" si="530"/>
        <v>0</v>
      </c>
    </row>
    <row r="462" spans="2:34" s="60" customFormat="1">
      <c r="B462" s="60" t="str">
        <f t="shared" si="492"/>
        <v>Sem3939Edvin Omar Chavez Cuque</v>
      </c>
      <c r="C462" s="60" t="str">
        <f t="shared" si="493"/>
        <v>SEPTIEMBRESem39</v>
      </c>
      <c r="D462" s="60" t="str">
        <f t="shared" si="494"/>
        <v>SEPTIEMBRESem39Edvin Omar Chavez Cuque</v>
      </c>
      <c r="E462" s="60" t="str">
        <f t="shared" si="495"/>
        <v>SEPTIEMBRESem3939Edvin Omar Chavez Cuque</v>
      </c>
      <c r="F462" s="60" t="str">
        <f t="shared" si="496"/>
        <v>Edvin Omar Chavez Cuque46292</v>
      </c>
      <c r="H462" s="61" t="s">
        <v>236</v>
      </c>
      <c r="I462" s="62" t="str">
        <f>+_xlfn.XLOOKUP($H462&amp;$V462,BASEDATOS!$B:$B,BASEDATOS!F:F,0,0,1)</f>
        <v>DESCANSO</v>
      </c>
      <c r="J462" s="63">
        <f>+_xlfn.XLOOKUP($H462&amp;$V462,BASEDATOS!$B:$B,BASEDATOS!Q:Q,0,0,1)</f>
        <v>0</v>
      </c>
      <c r="K462" s="63">
        <f>+_xlfn.XLOOKUP($H462&amp;$V462,BASEDATOS!$B:$B,BASEDATOS!R:R,0,0,1)</f>
        <v>0</v>
      </c>
      <c r="L462" s="63">
        <f t="shared" si="497"/>
        <v>0</v>
      </c>
      <c r="M462" s="64">
        <f t="shared" si="498"/>
        <v>0</v>
      </c>
      <c r="N462" s="63">
        <f t="shared" si="499"/>
        <v>0</v>
      </c>
      <c r="O462" s="65" t="str">
        <f t="shared" ref="O462" si="556">+IF(Y462="Domingo",SUM(AA456:AA462)&amp;"-"&amp;SUM(AB456:AB462)&amp;"-"&amp;SUM(AC456:AE462),"")</f>
        <v>0-3-4</v>
      </c>
      <c r="P462" s="66">
        <f>+IF(AND(Y462="Domingo",U462=7),_xlfn.XLOOKUP(O462,'Horarios y Sistemas'!C:C,'Horarios y Sistemas'!H:H,0,0,1),0)</f>
        <v>36</v>
      </c>
      <c r="Q462" s="66">
        <f>IF(U462=U463,0,IF(AVERAGEIF(W:W,W462,U:U)=U462,0,_xlfn.XLOOKUP(O462,'Horarios y Sistemas'!C:C,'Horarios y Sistemas'!H:H,0,0,1)-P462))/7*U462</f>
        <v>0</v>
      </c>
      <c r="R462" s="66">
        <f t="shared" si="501"/>
        <v>36</v>
      </c>
      <c r="S462" s="67" t="str">
        <f t="shared" si="502"/>
        <v>SEPTIEMBRE</v>
      </c>
      <c r="T462" s="55" t="str">
        <f t="shared" si="503"/>
        <v>Sem39</v>
      </c>
      <c r="U462" s="68">
        <f t="shared" si="550"/>
        <v>7</v>
      </c>
      <c r="V462" s="69">
        <v>46292</v>
      </c>
      <c r="W462" s="68">
        <f t="shared" si="504"/>
        <v>39</v>
      </c>
      <c r="X462" s="68">
        <f t="shared" si="505"/>
        <v>27</v>
      </c>
      <c r="Y462" s="68" t="s">
        <v>34</v>
      </c>
      <c r="Z462" s="68">
        <v>7</v>
      </c>
      <c r="AA462" s="70">
        <f t="shared" si="530"/>
        <v>0</v>
      </c>
      <c r="AB462" s="70">
        <f t="shared" si="530"/>
        <v>0</v>
      </c>
      <c r="AC462" s="70">
        <f t="shared" si="530"/>
        <v>1</v>
      </c>
      <c r="AD462" s="70">
        <f t="shared" si="530"/>
        <v>0</v>
      </c>
      <c r="AE462" s="70">
        <f t="shared" si="530"/>
        <v>0</v>
      </c>
      <c r="AF462" s="71"/>
      <c r="AG462" s="71"/>
      <c r="AH462" s="71"/>
    </row>
    <row r="463" spans="2:34">
      <c r="B463" t="str">
        <f t="shared" si="492"/>
        <v>Sem4040Edvin Omar Chavez Cuque</v>
      </c>
      <c r="C463" t="str">
        <f t="shared" si="493"/>
        <v>SEPTIEMBRESem40</v>
      </c>
      <c r="D463" t="str">
        <f t="shared" si="494"/>
        <v>SEPTIEMBRESem40Edvin Omar Chavez Cuque</v>
      </c>
      <c r="E463" t="str">
        <f t="shared" si="495"/>
        <v>SEPTIEMBRESem4040Edvin Omar Chavez Cuque</v>
      </c>
      <c r="F463" t="str">
        <f t="shared" si="496"/>
        <v>Edvin Omar Chavez Cuque46293</v>
      </c>
      <c r="H463" s="49" t="s">
        <v>236</v>
      </c>
      <c r="I463" s="50" t="str">
        <f>+_xlfn.XLOOKUP($H463&amp;$V463,BASEDATOS!$B:$B,BASEDATOS!F:F,0,0,1)</f>
        <v>DIA</v>
      </c>
      <c r="J463" s="51">
        <f>+_xlfn.XLOOKUP($H463&amp;$V463,BASEDATOS!$B:$B,BASEDATOS!Q:Q,0,0,1)</f>
        <v>0.25</v>
      </c>
      <c r="K463" s="51">
        <f>+_xlfn.XLOOKUP($H463&amp;$V463,BASEDATOS!$B:$B,BASEDATOS!R:R,0,0,1)</f>
        <v>0.75</v>
      </c>
      <c r="L463" s="51">
        <f t="shared" si="497"/>
        <v>0.5</v>
      </c>
      <c r="M463" s="52" t="str">
        <f t="shared" si="498"/>
        <v>1:00</v>
      </c>
      <c r="N463" s="51">
        <f t="shared" si="499"/>
        <v>0.45833333333333331</v>
      </c>
      <c r="O463" s="53" t="str">
        <f t="shared" ref="O463" si="557">+O469</f>
        <v>6-0-1</v>
      </c>
      <c r="P463" s="54">
        <f>+IF(AND(Y463="Domingo",U463=7),_xlfn.XLOOKUP(O463,'Horarios y Sistemas'!C:C,'Horarios y Sistemas'!H:H,0,0,1),0)</f>
        <v>0</v>
      </c>
      <c r="Q463" s="54">
        <f>IF(U463=U464,0,IF(AVERAGEIF(W:W,W463,U:U)=U463,0,_xlfn.XLOOKUP(O463,'Horarios y Sistemas'!C:C,'Horarios y Sistemas'!H:H,0,0,1)-P463))/7*U463</f>
        <v>0</v>
      </c>
      <c r="R463" s="54">
        <f t="shared" si="501"/>
        <v>0</v>
      </c>
      <c r="S463" s="55" t="str">
        <f t="shared" si="502"/>
        <v>SEPTIEMBRE</v>
      </c>
      <c r="T463" s="55" t="str">
        <f t="shared" si="503"/>
        <v>Sem40</v>
      </c>
      <c r="U463" s="56">
        <f t="shared" si="550"/>
        <v>7</v>
      </c>
      <c r="V463" s="59">
        <v>46293</v>
      </c>
      <c r="W463" s="56">
        <f t="shared" si="504"/>
        <v>40</v>
      </c>
      <c r="X463" s="56">
        <f t="shared" si="505"/>
        <v>28</v>
      </c>
      <c r="Y463" s="56" t="s">
        <v>28</v>
      </c>
      <c r="Z463" s="56">
        <v>1</v>
      </c>
      <c r="AA463" s="58">
        <f t="shared" si="530"/>
        <v>1</v>
      </c>
      <c r="AB463" s="58">
        <f t="shared" si="530"/>
        <v>0</v>
      </c>
      <c r="AC463" s="58">
        <f t="shared" si="530"/>
        <v>0</v>
      </c>
      <c r="AD463" s="58">
        <f t="shared" si="530"/>
        <v>0</v>
      </c>
      <c r="AE463" s="58">
        <f t="shared" si="530"/>
        <v>0</v>
      </c>
    </row>
    <row r="464" spans="2:34">
      <c r="B464" t="str">
        <f t="shared" si="492"/>
        <v>Sem4040Edvin Omar Chavez Cuque</v>
      </c>
      <c r="C464" t="str">
        <f t="shared" si="493"/>
        <v>SEPTIEMBRESem40</v>
      </c>
      <c r="D464" t="str">
        <f t="shared" si="494"/>
        <v>SEPTIEMBRESem40Edvin Omar Chavez Cuque</v>
      </c>
      <c r="E464" t="str">
        <f t="shared" si="495"/>
        <v>SEPTIEMBRESem4040Edvin Omar Chavez Cuque</v>
      </c>
      <c r="F464" t="str">
        <f t="shared" si="496"/>
        <v>Edvin Omar Chavez Cuque46294</v>
      </c>
      <c r="H464" s="49" t="s">
        <v>236</v>
      </c>
      <c r="I464" s="50" t="str">
        <f>+_xlfn.XLOOKUP($H464&amp;$V464,BASEDATOS!$B:$B,BASEDATOS!F:F,0,0,1)</f>
        <v>DIA</v>
      </c>
      <c r="J464" s="51">
        <f>+_xlfn.XLOOKUP($H464&amp;$V464,BASEDATOS!$B:$B,BASEDATOS!Q:Q,0,0,1)</f>
        <v>0.25</v>
      </c>
      <c r="K464" s="51">
        <f>+_xlfn.XLOOKUP($H464&amp;$V464,BASEDATOS!$B:$B,BASEDATOS!R:R,0,0,1)</f>
        <v>0.75</v>
      </c>
      <c r="L464" s="51">
        <f t="shared" si="497"/>
        <v>0.5</v>
      </c>
      <c r="M464" s="52" t="str">
        <f t="shared" si="498"/>
        <v>1:00</v>
      </c>
      <c r="N464" s="51">
        <f t="shared" si="499"/>
        <v>0.45833333333333331</v>
      </c>
      <c r="O464" s="53" t="str">
        <f t="shared" ref="O464" si="558">+O469</f>
        <v>6-0-1</v>
      </c>
      <c r="P464" s="54">
        <f>+IF(AND(Y464="Domingo",U464=7),_xlfn.XLOOKUP(O464,'Horarios y Sistemas'!C:C,'Horarios y Sistemas'!H:H,0,0,1),0)</f>
        <v>0</v>
      </c>
      <c r="Q464" s="54">
        <f>IF(U464=U465,0,IF(AVERAGEIF(W:W,W464,U:U)=U464,0,_xlfn.XLOOKUP(O464,'Horarios y Sistemas'!C:C,'Horarios y Sistemas'!H:H,0,0,1)-P464))/7*U464</f>
        <v>0</v>
      </c>
      <c r="R464" s="54">
        <f t="shared" si="501"/>
        <v>0</v>
      </c>
      <c r="S464" s="55" t="str">
        <f t="shared" si="502"/>
        <v>SEPTIEMBRE</v>
      </c>
      <c r="T464" s="55" t="str">
        <f t="shared" si="503"/>
        <v>Sem40</v>
      </c>
      <c r="U464" s="56">
        <f t="shared" si="550"/>
        <v>7</v>
      </c>
      <c r="V464" s="59">
        <v>46294</v>
      </c>
      <c r="W464" s="56">
        <f t="shared" si="504"/>
        <v>40</v>
      </c>
      <c r="X464" s="56">
        <f t="shared" si="505"/>
        <v>29</v>
      </c>
      <c r="Y464" s="56" t="s">
        <v>29</v>
      </c>
      <c r="Z464" s="56">
        <v>2</v>
      </c>
      <c r="AA464" s="58">
        <f t="shared" si="530"/>
        <v>1</v>
      </c>
      <c r="AB464" s="58">
        <f t="shared" si="530"/>
        <v>0</v>
      </c>
      <c r="AC464" s="58">
        <f t="shared" si="530"/>
        <v>0</v>
      </c>
      <c r="AD464" s="58">
        <f t="shared" si="530"/>
        <v>0</v>
      </c>
      <c r="AE464" s="58">
        <f t="shared" si="530"/>
        <v>0</v>
      </c>
    </row>
    <row r="465" spans="2:34">
      <c r="B465" t="str">
        <f t="shared" si="492"/>
        <v>Sem4040Edvin Omar Chavez Cuque</v>
      </c>
      <c r="C465" t="str">
        <f t="shared" si="493"/>
        <v>SEPTIEMBRESem40</v>
      </c>
      <c r="D465" t="str">
        <f t="shared" si="494"/>
        <v>SEPTIEMBRESem40Edvin Omar Chavez Cuque</v>
      </c>
      <c r="E465" t="str">
        <f t="shared" si="495"/>
        <v>SEPTIEMBRESem4040Edvin Omar Chavez Cuque</v>
      </c>
      <c r="F465" t="str">
        <f t="shared" si="496"/>
        <v>Edvin Omar Chavez Cuque46295</v>
      </c>
      <c r="H465" s="49" t="s">
        <v>236</v>
      </c>
      <c r="I465" s="50" t="str">
        <f>+_xlfn.XLOOKUP($H465&amp;$V465,BASEDATOS!$B:$B,BASEDATOS!F:F,0,0,1)</f>
        <v>DIA</v>
      </c>
      <c r="J465" s="51">
        <f>+_xlfn.XLOOKUP($H465&amp;$V465,BASEDATOS!$B:$B,BASEDATOS!Q:Q,0,0,1)</f>
        <v>0.25</v>
      </c>
      <c r="K465" s="51">
        <f>+_xlfn.XLOOKUP($H465&amp;$V465,BASEDATOS!$B:$B,BASEDATOS!R:R,0,0,1)</f>
        <v>0.75</v>
      </c>
      <c r="L465" s="51">
        <f t="shared" si="497"/>
        <v>0.5</v>
      </c>
      <c r="M465" s="52" t="str">
        <f t="shared" si="498"/>
        <v>1:00</v>
      </c>
      <c r="N465" s="51">
        <f t="shared" si="499"/>
        <v>0.45833333333333331</v>
      </c>
      <c r="O465" s="53" t="str">
        <f t="shared" ref="O465" si="559">+O469</f>
        <v>6-0-1</v>
      </c>
      <c r="P465" s="54">
        <f>+IF(AND(Y465="Domingo",U465=7),_xlfn.XLOOKUP(O465,'Horarios y Sistemas'!C:C,'Horarios y Sistemas'!H:H,0,0,1),0)</f>
        <v>0</v>
      </c>
      <c r="Q465" s="54">
        <f>IF(U465=U466,0,IF(AVERAGEIF(W:W,W465,U:U)=U465,0,_xlfn.XLOOKUP(O465,'Horarios y Sistemas'!C:C,'Horarios y Sistemas'!H:H,0,0,1)-P465))/7*U465</f>
        <v>0</v>
      </c>
      <c r="R465" s="54">
        <f t="shared" si="501"/>
        <v>0</v>
      </c>
      <c r="S465" s="55" t="str">
        <f t="shared" si="502"/>
        <v>SEPTIEMBRE</v>
      </c>
      <c r="T465" s="55" t="str">
        <f t="shared" si="503"/>
        <v>Sem40</v>
      </c>
      <c r="U465" s="56">
        <f t="shared" si="550"/>
        <v>7</v>
      </c>
      <c r="V465" s="59">
        <v>46295</v>
      </c>
      <c r="W465" s="56">
        <f t="shared" si="504"/>
        <v>40</v>
      </c>
      <c r="X465" s="56">
        <f t="shared" si="505"/>
        <v>30</v>
      </c>
      <c r="Y465" s="56" t="s">
        <v>30</v>
      </c>
      <c r="Z465" s="56">
        <v>3</v>
      </c>
      <c r="AA465" s="58">
        <f t="shared" si="530"/>
        <v>1</v>
      </c>
      <c r="AB465" s="58">
        <f t="shared" si="530"/>
        <v>0</v>
      </c>
      <c r="AC465" s="58">
        <f t="shared" si="530"/>
        <v>0</v>
      </c>
      <c r="AD465" s="58">
        <f t="shared" si="530"/>
        <v>0</v>
      </c>
      <c r="AE465" s="58">
        <f t="shared" si="530"/>
        <v>0</v>
      </c>
    </row>
    <row r="466" spans="2:34">
      <c r="B466" t="str">
        <f t="shared" si="492"/>
        <v>Sem4040Edvin Omar Chavez Cuque</v>
      </c>
      <c r="C466" t="str">
        <f t="shared" si="493"/>
        <v>OCTUBRESem40</v>
      </c>
      <c r="D466" t="str">
        <f t="shared" si="494"/>
        <v>OCTUBRESem40Edvin Omar Chavez Cuque</v>
      </c>
      <c r="E466" t="str">
        <f t="shared" si="495"/>
        <v>OCTUBRESem4040Edvin Omar Chavez Cuque</v>
      </c>
      <c r="F466" t="str">
        <f t="shared" si="496"/>
        <v>Edvin Omar Chavez Cuque46296</v>
      </c>
      <c r="H466" s="49" t="s">
        <v>236</v>
      </c>
      <c r="I466" s="50" t="str">
        <f>+_xlfn.XLOOKUP($H466&amp;$V466,BASEDATOS!$B:$B,BASEDATOS!F:F,0,0,1)</f>
        <v>DIA</v>
      </c>
      <c r="J466" s="51">
        <f>+_xlfn.XLOOKUP($H466&amp;$V466,BASEDATOS!$B:$B,BASEDATOS!Q:Q,0,0,1)</f>
        <v>0.25</v>
      </c>
      <c r="K466" s="51">
        <f>+_xlfn.XLOOKUP($H466&amp;$V466,BASEDATOS!$B:$B,BASEDATOS!R:R,0,0,1)</f>
        <v>0.75</v>
      </c>
      <c r="L466" s="51">
        <f t="shared" si="497"/>
        <v>0.5</v>
      </c>
      <c r="M466" s="52" t="str">
        <f t="shared" si="498"/>
        <v>1:00</v>
      </c>
      <c r="N466" s="51">
        <f t="shared" si="499"/>
        <v>0.45833333333333331</v>
      </c>
      <c r="O466" s="53" t="str">
        <f t="shared" ref="O466" si="560">+O469</f>
        <v>6-0-1</v>
      </c>
      <c r="P466" s="54">
        <f>+IF(AND(Y466="Domingo",U466=7),_xlfn.XLOOKUP(O466,'Horarios y Sistemas'!C:C,'Horarios y Sistemas'!H:H,0,0,1),0)</f>
        <v>0</v>
      </c>
      <c r="Q466" s="54">
        <f>IF(U466=U467,0,IF(AVERAGEIF(W:W,W466,U:U)=U466,0,_xlfn.XLOOKUP(O466,'Horarios y Sistemas'!C:C,'Horarios y Sistemas'!H:H,0,0,1)-P466))/7*U466</f>
        <v>0</v>
      </c>
      <c r="R466" s="54">
        <f t="shared" si="501"/>
        <v>0</v>
      </c>
      <c r="S466" s="55" t="str">
        <f t="shared" si="502"/>
        <v>OCTUBRE</v>
      </c>
      <c r="T466" s="55" t="str">
        <f t="shared" si="503"/>
        <v>Sem40</v>
      </c>
      <c r="U466" s="56">
        <f t="shared" si="550"/>
        <v>7</v>
      </c>
      <c r="V466" s="59">
        <v>46296</v>
      </c>
      <c r="W466" s="56">
        <f t="shared" si="504"/>
        <v>40</v>
      </c>
      <c r="X466" s="56">
        <f t="shared" si="505"/>
        <v>1</v>
      </c>
      <c r="Y466" s="56" t="s">
        <v>31</v>
      </c>
      <c r="Z466" s="56">
        <v>4</v>
      </c>
      <c r="AA466" s="58">
        <f t="shared" si="530"/>
        <v>1</v>
      </c>
      <c r="AB466" s="58">
        <f t="shared" si="530"/>
        <v>0</v>
      </c>
      <c r="AC466" s="58">
        <f t="shared" si="530"/>
        <v>0</v>
      </c>
      <c r="AD466" s="58">
        <f t="shared" si="530"/>
        <v>0</v>
      </c>
      <c r="AE466" s="58">
        <f t="shared" si="530"/>
        <v>0</v>
      </c>
    </row>
    <row r="467" spans="2:34">
      <c r="B467" t="str">
        <f t="shared" si="492"/>
        <v>Sem4040Edvin Omar Chavez Cuque</v>
      </c>
      <c r="C467" t="str">
        <f t="shared" si="493"/>
        <v>OCTUBRESem40</v>
      </c>
      <c r="D467" t="str">
        <f t="shared" si="494"/>
        <v>OCTUBRESem40Edvin Omar Chavez Cuque</v>
      </c>
      <c r="E467" t="str">
        <f t="shared" si="495"/>
        <v>OCTUBRESem4040Edvin Omar Chavez Cuque</v>
      </c>
      <c r="F467" t="str">
        <f t="shared" si="496"/>
        <v>Edvin Omar Chavez Cuque46297</v>
      </c>
      <c r="H467" s="49" t="s">
        <v>236</v>
      </c>
      <c r="I467" s="50" t="str">
        <f>+_xlfn.XLOOKUP($H467&amp;$V467,BASEDATOS!$B:$B,BASEDATOS!F:F,0,0,1)</f>
        <v>DIA</v>
      </c>
      <c r="J467" s="51">
        <f>+_xlfn.XLOOKUP($H467&amp;$V467,BASEDATOS!$B:$B,BASEDATOS!Q:Q,0,0,1)</f>
        <v>0.29166666666666702</v>
      </c>
      <c r="K467" s="51">
        <f>+_xlfn.XLOOKUP($H467&amp;$V467,BASEDATOS!$B:$B,BASEDATOS!R:R,0,0,1)</f>
        <v>0.75</v>
      </c>
      <c r="L467" s="51">
        <f t="shared" si="497"/>
        <v>0.45833333333333298</v>
      </c>
      <c r="M467" s="52" t="str">
        <f t="shared" si="498"/>
        <v>1:00</v>
      </c>
      <c r="N467" s="51">
        <f t="shared" si="499"/>
        <v>0.4166666666666663</v>
      </c>
      <c r="O467" s="53" t="str">
        <f t="shared" ref="O467" si="561">+O469</f>
        <v>6-0-1</v>
      </c>
      <c r="P467" s="54">
        <f>+IF(AND(Y467="Domingo",U467=7),_xlfn.XLOOKUP(O467,'Horarios y Sistemas'!C:C,'Horarios y Sistemas'!H:H,0,0,1),0)</f>
        <v>0</v>
      </c>
      <c r="Q467" s="54">
        <f>IF(U467=U468,0,IF(AVERAGEIF(W:W,W467,U:U)=U467,0,_xlfn.XLOOKUP(O467,'Horarios y Sistemas'!C:C,'Horarios y Sistemas'!H:H,0,0,1)-P467))/7*U467</f>
        <v>0</v>
      </c>
      <c r="R467" s="54">
        <f t="shared" si="501"/>
        <v>0</v>
      </c>
      <c r="S467" s="55" t="str">
        <f t="shared" si="502"/>
        <v>OCTUBRE</v>
      </c>
      <c r="T467" s="55" t="str">
        <f t="shared" si="503"/>
        <v>Sem40</v>
      </c>
      <c r="U467" s="56">
        <f t="shared" si="550"/>
        <v>7</v>
      </c>
      <c r="V467" s="59">
        <v>46297</v>
      </c>
      <c r="W467" s="56">
        <f t="shared" si="504"/>
        <v>40</v>
      </c>
      <c r="X467" s="56">
        <f t="shared" si="505"/>
        <v>2</v>
      </c>
      <c r="Y467" s="56" t="s">
        <v>32</v>
      </c>
      <c r="Z467" s="56">
        <v>5</v>
      </c>
      <c r="AA467" s="58">
        <f t="shared" si="530"/>
        <v>1</v>
      </c>
      <c r="AB467" s="58">
        <f t="shared" si="530"/>
        <v>0</v>
      </c>
      <c r="AC467" s="58">
        <f t="shared" si="530"/>
        <v>0</v>
      </c>
      <c r="AD467" s="58">
        <f t="shared" si="530"/>
        <v>0</v>
      </c>
      <c r="AE467" s="58">
        <f t="shared" si="530"/>
        <v>0</v>
      </c>
    </row>
    <row r="468" spans="2:34">
      <c r="B468" t="str">
        <f t="shared" si="492"/>
        <v>Sem4040Edvin Omar Chavez Cuque</v>
      </c>
      <c r="C468" t="str">
        <f t="shared" si="493"/>
        <v>OCTUBRESem40</v>
      </c>
      <c r="D468" t="str">
        <f t="shared" si="494"/>
        <v>OCTUBRESem40Edvin Omar Chavez Cuque</v>
      </c>
      <c r="E468" t="str">
        <f t="shared" si="495"/>
        <v>OCTUBRESem4040Edvin Omar Chavez Cuque</v>
      </c>
      <c r="F468" t="str">
        <f t="shared" si="496"/>
        <v>Edvin Omar Chavez Cuque46298</v>
      </c>
      <c r="H468" s="49" t="s">
        <v>236</v>
      </c>
      <c r="I468" s="50" t="str">
        <f>+_xlfn.XLOOKUP($H468&amp;$V468,BASEDATOS!$B:$B,BASEDATOS!F:F,0,0,1)</f>
        <v>DIA</v>
      </c>
      <c r="J468" s="51">
        <f>+_xlfn.XLOOKUP($H468&amp;$V468,BASEDATOS!$B:$B,BASEDATOS!Q:Q,0,0,1)</f>
        <v>0.25</v>
      </c>
      <c r="K468" s="51">
        <f>+_xlfn.XLOOKUP($H468&amp;$V468,BASEDATOS!$B:$B,BASEDATOS!R:R,0,0,1)</f>
        <v>0.75</v>
      </c>
      <c r="L468" s="51">
        <f t="shared" si="497"/>
        <v>0.5</v>
      </c>
      <c r="M468" s="52" t="str">
        <f t="shared" si="498"/>
        <v>1:00</v>
      </c>
      <c r="N468" s="51">
        <f t="shared" si="499"/>
        <v>0.45833333333333331</v>
      </c>
      <c r="O468" s="53" t="str">
        <f t="shared" ref="O468" si="562">+O469</f>
        <v>6-0-1</v>
      </c>
      <c r="P468" s="54">
        <f>+IF(AND(Y468="Domingo",U468=7),_xlfn.XLOOKUP(O468,'Horarios y Sistemas'!C:C,'Horarios y Sistemas'!H:H,0,0,1),0)</f>
        <v>0</v>
      </c>
      <c r="Q468" s="54">
        <f>IF(U468=U469,0,IF(AVERAGEIF(W:W,W468,U:U)=U468,0,_xlfn.XLOOKUP(O468,'Horarios y Sistemas'!C:C,'Horarios y Sistemas'!H:H,0,0,1)-P468))/7*U468</f>
        <v>0</v>
      </c>
      <c r="R468" s="54">
        <f t="shared" si="501"/>
        <v>0</v>
      </c>
      <c r="S468" s="55" t="str">
        <f t="shared" si="502"/>
        <v>OCTUBRE</v>
      </c>
      <c r="T468" s="55" t="str">
        <f t="shared" si="503"/>
        <v>Sem40</v>
      </c>
      <c r="U468" s="56">
        <f t="shared" si="550"/>
        <v>7</v>
      </c>
      <c r="V468" s="59">
        <v>46298</v>
      </c>
      <c r="W468" s="56">
        <f t="shared" si="504"/>
        <v>40</v>
      </c>
      <c r="X468" s="56">
        <f t="shared" si="505"/>
        <v>3</v>
      </c>
      <c r="Y468" s="56" t="s">
        <v>33</v>
      </c>
      <c r="Z468" s="56">
        <v>6</v>
      </c>
      <c r="AA468" s="58">
        <f t="shared" si="530"/>
        <v>1</v>
      </c>
      <c r="AB468" s="58">
        <f t="shared" si="530"/>
        <v>0</v>
      </c>
      <c r="AC468" s="58">
        <f t="shared" si="530"/>
        <v>0</v>
      </c>
      <c r="AD468" s="58">
        <f t="shared" si="530"/>
        <v>0</v>
      </c>
      <c r="AE468" s="58">
        <f t="shared" si="530"/>
        <v>0</v>
      </c>
    </row>
    <row r="469" spans="2:34" s="60" customFormat="1">
      <c r="B469" s="60" t="str">
        <f t="shared" si="492"/>
        <v>Sem4040Edvin Omar Chavez Cuque</v>
      </c>
      <c r="C469" s="60" t="str">
        <f t="shared" si="493"/>
        <v>OCTUBRESem40</v>
      </c>
      <c r="D469" s="60" t="str">
        <f t="shared" si="494"/>
        <v>OCTUBRESem40Edvin Omar Chavez Cuque</v>
      </c>
      <c r="E469" s="60" t="str">
        <f t="shared" si="495"/>
        <v>OCTUBRESem4040Edvin Omar Chavez Cuque</v>
      </c>
      <c r="F469" s="60" t="str">
        <f t="shared" si="496"/>
        <v>Edvin Omar Chavez Cuque46299</v>
      </c>
      <c r="H469" s="61" t="s">
        <v>236</v>
      </c>
      <c r="I469" s="62" t="str">
        <f>+_xlfn.XLOOKUP($H469&amp;$V469,BASEDATOS!$B:$B,BASEDATOS!F:F,0,0,1)</f>
        <v>DESCANSO</v>
      </c>
      <c r="J469" s="63">
        <f>+_xlfn.XLOOKUP($H469&amp;$V469,BASEDATOS!$B:$B,BASEDATOS!Q:Q,0,0,1)</f>
        <v>0</v>
      </c>
      <c r="K469" s="63">
        <f>+_xlfn.XLOOKUP($H469&amp;$V469,BASEDATOS!$B:$B,BASEDATOS!R:R,0,0,1)</f>
        <v>0</v>
      </c>
      <c r="L469" s="63">
        <f t="shared" si="497"/>
        <v>0</v>
      </c>
      <c r="M469" s="64">
        <f t="shared" si="498"/>
        <v>0</v>
      </c>
      <c r="N469" s="63">
        <f t="shared" si="499"/>
        <v>0</v>
      </c>
      <c r="O469" s="65" t="str">
        <f t="shared" ref="O469" si="563">+IF(Y469="Domingo",SUM(AA463:AA469)&amp;"-"&amp;SUM(AB463:AB469)&amp;"-"&amp;SUM(AC463:AE469),"")</f>
        <v>6-0-1</v>
      </c>
      <c r="P469" s="66">
        <f>+IF(AND(Y469="Domingo",U469=7),_xlfn.XLOOKUP(O469,'Horarios y Sistemas'!C:C,'Horarios y Sistemas'!H:H,0,0,1),0)</f>
        <v>44</v>
      </c>
      <c r="Q469" s="66">
        <f>IF(U469=U470,0,IF(AVERAGEIF(W:W,W469,U:U)=U469,0,_xlfn.XLOOKUP(O469,'Horarios y Sistemas'!C:C,'Horarios y Sistemas'!H:H,0,0,1)-P469))/7*U469</f>
        <v>0</v>
      </c>
      <c r="R469" s="66">
        <f t="shared" si="501"/>
        <v>44</v>
      </c>
      <c r="S469" s="67" t="str">
        <f t="shared" si="502"/>
        <v>OCTUBRE</v>
      </c>
      <c r="T469" s="55" t="str">
        <f t="shared" si="503"/>
        <v>Sem40</v>
      </c>
      <c r="U469" s="68">
        <f t="shared" si="550"/>
        <v>7</v>
      </c>
      <c r="V469" s="69">
        <v>46299</v>
      </c>
      <c r="W469" s="68">
        <f t="shared" si="504"/>
        <v>40</v>
      </c>
      <c r="X469" s="68">
        <f t="shared" si="505"/>
        <v>4</v>
      </c>
      <c r="Y469" s="68" t="s">
        <v>34</v>
      </c>
      <c r="Z469" s="68">
        <v>7</v>
      </c>
      <c r="AA469" s="70">
        <f t="shared" si="530"/>
        <v>0</v>
      </c>
      <c r="AB469" s="70">
        <f t="shared" si="530"/>
        <v>0</v>
      </c>
      <c r="AC469" s="70">
        <f t="shared" si="530"/>
        <v>1</v>
      </c>
      <c r="AD469" s="70">
        <f t="shared" si="530"/>
        <v>0</v>
      </c>
      <c r="AE469" s="70">
        <f t="shared" si="530"/>
        <v>0</v>
      </c>
      <c r="AF469" s="71"/>
      <c r="AG469" s="71"/>
      <c r="AH469" s="71"/>
    </row>
    <row r="470" spans="2:34">
      <c r="B470" t="str">
        <f t="shared" si="492"/>
        <v>Sem3838Elkyn Geocanny Bran Navarro</v>
      </c>
      <c r="C470" t="str">
        <f t="shared" si="493"/>
        <v>SEPTIEMBRESem38</v>
      </c>
      <c r="D470" t="str">
        <f t="shared" si="494"/>
        <v>SEPTIEMBRESem38Elkyn Geocanny Bran Navarro</v>
      </c>
      <c r="E470" t="str">
        <f t="shared" si="495"/>
        <v>SEPTIEMBRESem3838Elkyn Geocanny Bran Navarro</v>
      </c>
      <c r="F470" t="str">
        <f t="shared" si="496"/>
        <v>Elkyn Geocanny Bran Navarro46279</v>
      </c>
      <c r="H470" s="49" t="s">
        <v>254</v>
      </c>
      <c r="I470" s="50" t="str">
        <f>+_xlfn.XLOOKUP($H470&amp;$V470,BASEDATOS!$B:$B,BASEDATOS!F:F,0,0,1)</f>
        <v>DESCANSO</v>
      </c>
      <c r="J470" s="51">
        <f>+_xlfn.XLOOKUP($H470&amp;$V470,BASEDATOS!$B:$B,BASEDATOS!Q:Q,0,0,1)</f>
        <v>0</v>
      </c>
      <c r="K470" s="51">
        <f>+_xlfn.XLOOKUP($H470&amp;$V470,BASEDATOS!$B:$B,BASEDATOS!R:R,0,0,1)</f>
        <v>0</v>
      </c>
      <c r="L470" s="51">
        <f t="shared" si="497"/>
        <v>0</v>
      </c>
      <c r="M470" s="52">
        <f t="shared" si="498"/>
        <v>0</v>
      </c>
      <c r="N470" s="51">
        <f t="shared" si="499"/>
        <v>0</v>
      </c>
      <c r="O470" s="53" t="str">
        <f t="shared" ref="O470" si="564">+O476</f>
        <v>1-3-3</v>
      </c>
      <c r="P470" s="54">
        <f>+IF(AND(Y470="Domingo",U470=7),_xlfn.XLOOKUP(O470,'Horarios y Sistemas'!C:C,'Horarios y Sistemas'!H:H,0,0,1),0)</f>
        <v>0</v>
      </c>
      <c r="Q470" s="54">
        <f>IF(U470=U471,0,IF(AVERAGEIF(W:W,W470,U:U)=U470,0,_xlfn.XLOOKUP(O470,'Horarios y Sistemas'!C:C,'Horarios y Sistemas'!H:H,0,0,1)-P470))/7*U470</f>
        <v>0</v>
      </c>
      <c r="R470" s="54">
        <f t="shared" si="501"/>
        <v>0</v>
      </c>
      <c r="S470" s="55" t="str">
        <f t="shared" si="502"/>
        <v>SEPTIEMBRE</v>
      </c>
      <c r="T470" s="55" t="str">
        <f t="shared" si="503"/>
        <v>Sem38</v>
      </c>
      <c r="U470" s="56">
        <f t="shared" si="550"/>
        <v>7</v>
      </c>
      <c r="V470" s="57">
        <v>46279</v>
      </c>
      <c r="W470" s="56">
        <f t="shared" si="504"/>
        <v>38</v>
      </c>
      <c r="X470" s="56">
        <f t="shared" si="505"/>
        <v>14</v>
      </c>
      <c r="Y470" s="56" t="s">
        <v>28</v>
      </c>
      <c r="Z470" s="56">
        <v>1</v>
      </c>
      <c r="AA470" s="58">
        <f t="shared" si="530"/>
        <v>0</v>
      </c>
      <c r="AB470" s="58">
        <f t="shared" si="530"/>
        <v>0</v>
      </c>
      <c r="AC470" s="58">
        <f t="shared" si="530"/>
        <v>1</v>
      </c>
      <c r="AD470" s="58">
        <f t="shared" si="530"/>
        <v>0</v>
      </c>
      <c r="AE470" s="58">
        <f t="shared" si="530"/>
        <v>0</v>
      </c>
    </row>
    <row r="471" spans="2:34">
      <c r="B471" t="str">
        <f t="shared" si="492"/>
        <v>Sem3838Elkyn Geocanny Bran Navarro</v>
      </c>
      <c r="C471" t="str">
        <f t="shared" si="493"/>
        <v>SEPTIEMBRESem38</v>
      </c>
      <c r="D471" t="str">
        <f t="shared" si="494"/>
        <v>SEPTIEMBRESem38Elkyn Geocanny Bran Navarro</v>
      </c>
      <c r="E471" t="str">
        <f t="shared" si="495"/>
        <v>SEPTIEMBRESem3838Elkyn Geocanny Bran Navarro</v>
      </c>
      <c r="F471" t="str">
        <f t="shared" si="496"/>
        <v>Elkyn Geocanny Bran Navarro46280</v>
      </c>
      <c r="H471" s="49" t="s">
        <v>254</v>
      </c>
      <c r="I471" s="50" t="str">
        <f>+_xlfn.XLOOKUP($H471&amp;$V471,BASEDATOS!$B:$B,BASEDATOS!F:F,0,0,1)</f>
        <v>DIA</v>
      </c>
      <c r="J471" s="51">
        <f>+_xlfn.XLOOKUP($H471&amp;$V471,BASEDATOS!$B:$B,BASEDATOS!Q:Q,0,0,1)</f>
        <v>0.33333333333333298</v>
      </c>
      <c r="K471" s="51">
        <f>+_xlfn.XLOOKUP($H471&amp;$V471,BASEDATOS!$B:$B,BASEDATOS!R:R,0,0,1)</f>
        <v>0.70833333333333304</v>
      </c>
      <c r="L471" s="51">
        <f t="shared" si="497"/>
        <v>0.37500000000000006</v>
      </c>
      <c r="M471" s="52" t="str">
        <f t="shared" si="498"/>
        <v>1:00</v>
      </c>
      <c r="N471" s="51">
        <f t="shared" si="499"/>
        <v>0.33333333333333337</v>
      </c>
      <c r="O471" s="53" t="str">
        <f t="shared" ref="O471" si="565">+O476</f>
        <v>1-3-3</v>
      </c>
      <c r="P471" s="54">
        <f>+IF(AND(Y471="Domingo",U471=7),_xlfn.XLOOKUP(O471,'Horarios y Sistemas'!C:C,'Horarios y Sistemas'!H:H,0,0,1),0)</f>
        <v>0</v>
      </c>
      <c r="Q471" s="54">
        <f>IF(U471=U472,0,IF(AVERAGEIF(W:W,W471,U:U)=U471,0,_xlfn.XLOOKUP(O471,'Horarios y Sistemas'!C:C,'Horarios y Sistemas'!H:H,0,0,1)-P471))/7*U471</f>
        <v>0</v>
      </c>
      <c r="R471" s="54">
        <f t="shared" si="501"/>
        <v>0</v>
      </c>
      <c r="S471" s="55" t="str">
        <f t="shared" si="502"/>
        <v>SEPTIEMBRE</v>
      </c>
      <c r="T471" s="55" t="str">
        <f t="shared" si="503"/>
        <v>Sem38</v>
      </c>
      <c r="U471" s="56">
        <f t="shared" si="550"/>
        <v>7</v>
      </c>
      <c r="V471" s="59">
        <v>46280</v>
      </c>
      <c r="W471" s="56">
        <f t="shared" si="504"/>
        <v>38</v>
      </c>
      <c r="X471" s="56">
        <f t="shared" si="505"/>
        <v>15</v>
      </c>
      <c r="Y471" s="56" t="s">
        <v>29</v>
      </c>
      <c r="Z471" s="56">
        <v>2</v>
      </c>
      <c r="AA471" s="58">
        <f t="shared" si="530"/>
        <v>1</v>
      </c>
      <c r="AB471" s="58">
        <f t="shared" si="530"/>
        <v>0</v>
      </c>
      <c r="AC471" s="58">
        <f t="shared" si="530"/>
        <v>0</v>
      </c>
      <c r="AD471" s="58">
        <f t="shared" si="530"/>
        <v>0</v>
      </c>
      <c r="AE471" s="58">
        <f t="shared" si="530"/>
        <v>0</v>
      </c>
    </row>
    <row r="472" spans="2:34">
      <c r="B472" t="str">
        <f t="shared" si="492"/>
        <v>Sem3838Elkyn Geocanny Bran Navarro</v>
      </c>
      <c r="C472" t="str">
        <f t="shared" si="493"/>
        <v>SEPTIEMBRESem38</v>
      </c>
      <c r="D472" t="str">
        <f t="shared" si="494"/>
        <v>SEPTIEMBRESem38Elkyn Geocanny Bran Navarro</v>
      </c>
      <c r="E472" t="str">
        <f t="shared" si="495"/>
        <v>SEPTIEMBRESem3838Elkyn Geocanny Bran Navarro</v>
      </c>
      <c r="F472" t="str">
        <f t="shared" si="496"/>
        <v>Elkyn Geocanny Bran Navarro46281</v>
      </c>
      <c r="H472" s="49" t="s">
        <v>254</v>
      </c>
      <c r="I472" s="50" t="str">
        <f>+_xlfn.XLOOKUP($H472&amp;$V472,BASEDATOS!$B:$B,BASEDATOS!F:F,0,0,1)</f>
        <v>NOCHE</v>
      </c>
      <c r="J472" s="51">
        <f>+_xlfn.XLOOKUP($H472&amp;$V472,BASEDATOS!$B:$B,BASEDATOS!Q:Q,0,0,1)</f>
        <v>0.75</v>
      </c>
      <c r="K472" s="51">
        <f>+_xlfn.XLOOKUP($H472&amp;$V472,BASEDATOS!$B:$B,BASEDATOS!R:R,0,0,1)</f>
        <v>0.25</v>
      </c>
      <c r="L472" s="51">
        <f t="shared" si="497"/>
        <v>0.5</v>
      </c>
      <c r="M472" s="52" t="str">
        <f t="shared" si="498"/>
        <v>1:00</v>
      </c>
      <c r="N472" s="51">
        <f t="shared" si="499"/>
        <v>0.45833333333333331</v>
      </c>
      <c r="O472" s="53" t="str">
        <f t="shared" ref="O472" si="566">+O476</f>
        <v>1-3-3</v>
      </c>
      <c r="P472" s="54">
        <f>+IF(AND(Y472="Domingo",U472=7),_xlfn.XLOOKUP(O472,'Horarios y Sistemas'!C:C,'Horarios y Sistemas'!H:H,0,0,1),0)</f>
        <v>0</v>
      </c>
      <c r="Q472" s="54">
        <f>IF(U472=U473,0,IF(AVERAGEIF(W:W,W472,U:U)=U472,0,_xlfn.XLOOKUP(O472,'Horarios y Sistemas'!C:C,'Horarios y Sistemas'!H:H,0,0,1)-P472))/7*U472</f>
        <v>0</v>
      </c>
      <c r="R472" s="54">
        <f t="shared" si="501"/>
        <v>0</v>
      </c>
      <c r="S472" s="55" t="str">
        <f t="shared" si="502"/>
        <v>SEPTIEMBRE</v>
      </c>
      <c r="T472" s="55" t="str">
        <f t="shared" si="503"/>
        <v>Sem38</v>
      </c>
      <c r="U472" s="56">
        <f t="shared" si="550"/>
        <v>7</v>
      </c>
      <c r="V472" s="59">
        <v>46281</v>
      </c>
      <c r="W472" s="56">
        <f t="shared" si="504"/>
        <v>38</v>
      </c>
      <c r="X472" s="56">
        <f t="shared" si="505"/>
        <v>16</v>
      </c>
      <c r="Y472" s="56" t="s">
        <v>30</v>
      </c>
      <c r="Z472" s="56">
        <v>3</v>
      </c>
      <c r="AA472" s="58">
        <f t="shared" si="530"/>
        <v>0</v>
      </c>
      <c r="AB472" s="58">
        <f t="shared" si="530"/>
        <v>1</v>
      </c>
      <c r="AC472" s="58">
        <f t="shared" si="530"/>
        <v>0</v>
      </c>
      <c r="AD472" s="58">
        <f t="shared" si="530"/>
        <v>0</v>
      </c>
      <c r="AE472" s="58">
        <f t="shared" si="530"/>
        <v>0</v>
      </c>
    </row>
    <row r="473" spans="2:34">
      <c r="B473" t="str">
        <f t="shared" si="492"/>
        <v>Sem3838Elkyn Geocanny Bran Navarro</v>
      </c>
      <c r="C473" t="str">
        <f t="shared" si="493"/>
        <v>SEPTIEMBRESem38</v>
      </c>
      <c r="D473" t="str">
        <f t="shared" si="494"/>
        <v>SEPTIEMBRESem38Elkyn Geocanny Bran Navarro</v>
      </c>
      <c r="E473" t="str">
        <f t="shared" si="495"/>
        <v>SEPTIEMBRESem3838Elkyn Geocanny Bran Navarro</v>
      </c>
      <c r="F473" t="str">
        <f t="shared" si="496"/>
        <v>Elkyn Geocanny Bran Navarro46282</v>
      </c>
      <c r="H473" s="49" t="s">
        <v>254</v>
      </c>
      <c r="I473" s="50" t="str">
        <f>+_xlfn.XLOOKUP($H473&amp;$V473,BASEDATOS!$B:$B,BASEDATOS!F:F,0,0,1)</f>
        <v>NOCHE</v>
      </c>
      <c r="J473" s="51">
        <f>+_xlfn.XLOOKUP($H473&amp;$V473,BASEDATOS!$B:$B,BASEDATOS!Q:Q,0,0,1)</f>
        <v>0.75</v>
      </c>
      <c r="K473" s="51">
        <f>+_xlfn.XLOOKUP($H473&amp;$V473,BASEDATOS!$B:$B,BASEDATOS!R:R,0,0,1)</f>
        <v>0.25</v>
      </c>
      <c r="L473" s="51">
        <f t="shared" si="497"/>
        <v>0.5</v>
      </c>
      <c r="M473" s="52" t="str">
        <f t="shared" si="498"/>
        <v>1:00</v>
      </c>
      <c r="N473" s="51">
        <f t="shared" si="499"/>
        <v>0.45833333333333331</v>
      </c>
      <c r="O473" s="53" t="str">
        <f t="shared" ref="O473" si="567">+O476</f>
        <v>1-3-3</v>
      </c>
      <c r="P473" s="54">
        <f>+IF(AND(Y473="Domingo",U473=7),_xlfn.XLOOKUP(O473,'Horarios y Sistemas'!C:C,'Horarios y Sistemas'!H:H,0,0,1),0)</f>
        <v>0</v>
      </c>
      <c r="Q473" s="54">
        <f>IF(U473=U474,0,IF(AVERAGEIF(W:W,W473,U:U)=U473,0,_xlfn.XLOOKUP(O473,'Horarios y Sistemas'!C:C,'Horarios y Sistemas'!H:H,0,0,1)-P473))/7*U473</f>
        <v>0</v>
      </c>
      <c r="R473" s="54">
        <f t="shared" si="501"/>
        <v>0</v>
      </c>
      <c r="S473" s="55" t="str">
        <f t="shared" si="502"/>
        <v>SEPTIEMBRE</v>
      </c>
      <c r="T473" s="55" t="str">
        <f t="shared" si="503"/>
        <v>Sem38</v>
      </c>
      <c r="U473" s="56">
        <f t="shared" si="550"/>
        <v>7</v>
      </c>
      <c r="V473" s="59">
        <v>46282</v>
      </c>
      <c r="W473" s="56">
        <f t="shared" si="504"/>
        <v>38</v>
      </c>
      <c r="X473" s="56">
        <f t="shared" si="505"/>
        <v>17</v>
      </c>
      <c r="Y473" s="56" t="s">
        <v>31</v>
      </c>
      <c r="Z473" s="56">
        <v>4</v>
      </c>
      <c r="AA473" s="58">
        <f t="shared" si="530"/>
        <v>0</v>
      </c>
      <c r="AB473" s="58">
        <f t="shared" si="530"/>
        <v>1</v>
      </c>
      <c r="AC473" s="58">
        <f t="shared" si="530"/>
        <v>0</v>
      </c>
      <c r="AD473" s="58">
        <f t="shared" si="530"/>
        <v>0</v>
      </c>
      <c r="AE473" s="58">
        <f t="shared" si="530"/>
        <v>0</v>
      </c>
    </row>
    <row r="474" spans="2:34">
      <c r="B474" t="str">
        <f t="shared" si="492"/>
        <v>Sem3838Elkyn Geocanny Bran Navarro</v>
      </c>
      <c r="C474" t="str">
        <f t="shared" si="493"/>
        <v>SEPTIEMBRESem38</v>
      </c>
      <c r="D474" t="str">
        <f t="shared" si="494"/>
        <v>SEPTIEMBRESem38Elkyn Geocanny Bran Navarro</v>
      </c>
      <c r="E474" t="str">
        <f t="shared" si="495"/>
        <v>SEPTIEMBRESem3838Elkyn Geocanny Bran Navarro</v>
      </c>
      <c r="F474" t="str">
        <f t="shared" si="496"/>
        <v>Elkyn Geocanny Bran Navarro46283</v>
      </c>
      <c r="H474" s="49" t="s">
        <v>254</v>
      </c>
      <c r="I474" s="50" t="str">
        <f>+_xlfn.XLOOKUP($H474&amp;$V474,BASEDATOS!$B:$B,BASEDATOS!F:F,0,0,1)</f>
        <v>NOCHE</v>
      </c>
      <c r="J474" s="51">
        <f>+_xlfn.XLOOKUP($H474&amp;$V474,BASEDATOS!$B:$B,BASEDATOS!Q:Q,0,0,1)</f>
        <v>0.75</v>
      </c>
      <c r="K474" s="51">
        <f>+_xlfn.XLOOKUP($H474&amp;$V474,BASEDATOS!$B:$B,BASEDATOS!R:R,0,0,1)</f>
        <v>0.25</v>
      </c>
      <c r="L474" s="51">
        <f t="shared" si="497"/>
        <v>0.5</v>
      </c>
      <c r="M474" s="52" t="str">
        <f t="shared" si="498"/>
        <v>1:00</v>
      </c>
      <c r="N474" s="51">
        <f t="shared" si="499"/>
        <v>0.45833333333333331</v>
      </c>
      <c r="O474" s="53" t="str">
        <f t="shared" ref="O474" si="568">+O476</f>
        <v>1-3-3</v>
      </c>
      <c r="P474" s="54">
        <f>+IF(AND(Y474="Domingo",U474=7),_xlfn.XLOOKUP(O474,'Horarios y Sistemas'!C:C,'Horarios y Sistemas'!H:H,0,0,1),0)</f>
        <v>0</v>
      </c>
      <c r="Q474" s="54">
        <f>IF(U474=U475,0,IF(AVERAGEIF(W:W,W474,U:U)=U474,0,_xlfn.XLOOKUP(O474,'Horarios y Sistemas'!C:C,'Horarios y Sistemas'!H:H,0,0,1)-P474))/7*U474</f>
        <v>0</v>
      </c>
      <c r="R474" s="54">
        <f t="shared" si="501"/>
        <v>0</v>
      </c>
      <c r="S474" s="55" t="str">
        <f t="shared" si="502"/>
        <v>SEPTIEMBRE</v>
      </c>
      <c r="T474" s="55" t="str">
        <f t="shared" si="503"/>
        <v>Sem38</v>
      </c>
      <c r="U474" s="56">
        <f t="shared" si="550"/>
        <v>7</v>
      </c>
      <c r="V474" s="59">
        <v>46283</v>
      </c>
      <c r="W474" s="56">
        <f t="shared" si="504"/>
        <v>38</v>
      </c>
      <c r="X474" s="56">
        <f t="shared" si="505"/>
        <v>18</v>
      </c>
      <c r="Y474" s="56" t="s">
        <v>32</v>
      </c>
      <c r="Z474" s="56">
        <v>5</v>
      </c>
      <c r="AA474" s="58">
        <f t="shared" si="530"/>
        <v>0</v>
      </c>
      <c r="AB474" s="58">
        <f t="shared" si="530"/>
        <v>1</v>
      </c>
      <c r="AC474" s="58">
        <f t="shared" si="530"/>
        <v>0</v>
      </c>
      <c r="AD474" s="58">
        <f t="shared" si="530"/>
        <v>0</v>
      </c>
      <c r="AE474" s="58">
        <f t="shared" si="530"/>
        <v>0</v>
      </c>
    </row>
    <row r="475" spans="2:34">
      <c r="B475" t="str">
        <f t="shared" si="492"/>
        <v>Sem3838Elkyn Geocanny Bran Navarro</v>
      </c>
      <c r="C475" t="str">
        <f t="shared" si="493"/>
        <v>SEPTIEMBRESem38</v>
      </c>
      <c r="D475" t="str">
        <f t="shared" si="494"/>
        <v>SEPTIEMBRESem38Elkyn Geocanny Bran Navarro</v>
      </c>
      <c r="E475" t="str">
        <f t="shared" si="495"/>
        <v>SEPTIEMBRESem3838Elkyn Geocanny Bran Navarro</v>
      </c>
      <c r="F475" t="str">
        <f t="shared" si="496"/>
        <v>Elkyn Geocanny Bran Navarro46284</v>
      </c>
      <c r="H475" s="49" t="s">
        <v>254</v>
      </c>
      <c r="I475" s="50" t="str">
        <f>+_xlfn.XLOOKUP($H475&amp;$V475,BASEDATOS!$B:$B,BASEDATOS!F:F,0,0,1)</f>
        <v>DESCANSO</v>
      </c>
      <c r="J475" s="51">
        <f>+_xlfn.XLOOKUP($H475&amp;$V475,BASEDATOS!$B:$B,BASEDATOS!Q:Q,0,0,1)</f>
        <v>0</v>
      </c>
      <c r="K475" s="51">
        <f>+_xlfn.XLOOKUP($H475&amp;$V475,BASEDATOS!$B:$B,BASEDATOS!R:R,0,0,1)</f>
        <v>0</v>
      </c>
      <c r="L475" s="51">
        <f t="shared" si="497"/>
        <v>0</v>
      </c>
      <c r="M475" s="52">
        <f t="shared" si="498"/>
        <v>0</v>
      </c>
      <c r="N475" s="51">
        <f t="shared" si="499"/>
        <v>0</v>
      </c>
      <c r="O475" s="53" t="str">
        <f t="shared" ref="O475" si="569">+O476</f>
        <v>1-3-3</v>
      </c>
      <c r="P475" s="54">
        <f>+IF(AND(Y475="Domingo",U475=7),_xlfn.XLOOKUP(O475,'Horarios y Sistemas'!C:C,'Horarios y Sistemas'!H:H,0,0,1),0)</f>
        <v>0</v>
      </c>
      <c r="Q475" s="54">
        <f>IF(U475=U476,0,IF(AVERAGEIF(W:W,W475,U:U)=U475,0,_xlfn.XLOOKUP(O475,'Horarios y Sistemas'!C:C,'Horarios y Sistemas'!H:H,0,0,1)-P475))/7*U475</f>
        <v>0</v>
      </c>
      <c r="R475" s="54">
        <f t="shared" si="501"/>
        <v>0</v>
      </c>
      <c r="S475" s="55" t="str">
        <f t="shared" si="502"/>
        <v>SEPTIEMBRE</v>
      </c>
      <c r="T475" s="55" t="str">
        <f t="shared" si="503"/>
        <v>Sem38</v>
      </c>
      <c r="U475" s="56">
        <f t="shared" si="550"/>
        <v>7</v>
      </c>
      <c r="V475" s="59">
        <v>46284</v>
      </c>
      <c r="W475" s="56">
        <f t="shared" si="504"/>
        <v>38</v>
      </c>
      <c r="X475" s="56">
        <f t="shared" si="505"/>
        <v>19</v>
      </c>
      <c r="Y475" s="56" t="s">
        <v>33</v>
      </c>
      <c r="Z475" s="56">
        <v>6</v>
      </c>
      <c r="AA475" s="58">
        <f t="shared" si="530"/>
        <v>0</v>
      </c>
      <c r="AB475" s="58">
        <f t="shared" si="530"/>
        <v>0</v>
      </c>
      <c r="AC475" s="58">
        <f t="shared" si="530"/>
        <v>1</v>
      </c>
      <c r="AD475" s="58">
        <f t="shared" si="530"/>
        <v>0</v>
      </c>
      <c r="AE475" s="58">
        <f t="shared" si="530"/>
        <v>0</v>
      </c>
    </row>
    <row r="476" spans="2:34" s="60" customFormat="1">
      <c r="B476" s="60" t="str">
        <f t="shared" si="492"/>
        <v>Sem3838Elkyn Geocanny Bran Navarro</v>
      </c>
      <c r="C476" s="60" t="str">
        <f t="shared" si="493"/>
        <v>SEPTIEMBRESem38</v>
      </c>
      <c r="D476" s="60" t="str">
        <f t="shared" si="494"/>
        <v>SEPTIEMBRESem38Elkyn Geocanny Bran Navarro</v>
      </c>
      <c r="E476" s="60" t="str">
        <f t="shared" si="495"/>
        <v>SEPTIEMBRESem3838Elkyn Geocanny Bran Navarro</v>
      </c>
      <c r="F476" s="60" t="str">
        <f t="shared" si="496"/>
        <v>Elkyn Geocanny Bran Navarro46285</v>
      </c>
      <c r="H476" s="61" t="s">
        <v>254</v>
      </c>
      <c r="I476" s="62" t="str">
        <f>+_xlfn.XLOOKUP($H476&amp;$V476,BASEDATOS!$B:$B,BASEDATOS!F:F,0,0,1)</f>
        <v>DESCANSO</v>
      </c>
      <c r="J476" s="63">
        <f>+_xlfn.XLOOKUP($H476&amp;$V476,BASEDATOS!$B:$B,BASEDATOS!Q:Q,0,0,1)</f>
        <v>0</v>
      </c>
      <c r="K476" s="63">
        <f>+_xlfn.XLOOKUP($H476&amp;$V476,BASEDATOS!$B:$B,BASEDATOS!R:R,0,0,1)</f>
        <v>0</v>
      </c>
      <c r="L476" s="63">
        <f t="shared" si="497"/>
        <v>0</v>
      </c>
      <c r="M476" s="64">
        <f t="shared" si="498"/>
        <v>0</v>
      </c>
      <c r="N476" s="63">
        <f t="shared" si="499"/>
        <v>0</v>
      </c>
      <c r="O476" s="65" t="str">
        <f t="shared" ref="O476" si="570">+IF(Y476="Domingo",SUM(AA470:AA476)&amp;"-"&amp;SUM(AB470:AB476)&amp;"-"&amp;SUM(AC470:AE476),"")</f>
        <v>1-3-3</v>
      </c>
      <c r="P476" s="66">
        <f>+IF(AND(Y476="Domingo",U476=7),_xlfn.XLOOKUP(O476,'Horarios y Sistemas'!C:C,'Horarios y Sistemas'!H:H,0,0,1),0)</f>
        <v>38</v>
      </c>
      <c r="Q476" s="66">
        <f>IF(U476=U477,0,IF(AVERAGEIF(W:W,W476,U:U)=U476,0,_xlfn.XLOOKUP(O476,'Horarios y Sistemas'!C:C,'Horarios y Sistemas'!H:H,0,0,1)-P476))/7*U476</f>
        <v>0</v>
      </c>
      <c r="R476" s="66">
        <f t="shared" si="501"/>
        <v>38</v>
      </c>
      <c r="S476" s="67" t="str">
        <f t="shared" si="502"/>
        <v>SEPTIEMBRE</v>
      </c>
      <c r="T476" s="55" t="str">
        <f t="shared" si="503"/>
        <v>Sem38</v>
      </c>
      <c r="U476" s="68">
        <f t="shared" si="550"/>
        <v>7</v>
      </c>
      <c r="V476" s="69">
        <v>46285</v>
      </c>
      <c r="W476" s="68">
        <f t="shared" si="504"/>
        <v>38</v>
      </c>
      <c r="X476" s="68">
        <f t="shared" si="505"/>
        <v>20</v>
      </c>
      <c r="Y476" s="68" t="s">
        <v>34</v>
      </c>
      <c r="Z476" s="68">
        <v>7</v>
      </c>
      <c r="AA476" s="70">
        <f t="shared" si="530"/>
        <v>0</v>
      </c>
      <c r="AB476" s="70">
        <f t="shared" si="530"/>
        <v>0</v>
      </c>
      <c r="AC476" s="70">
        <f t="shared" si="530"/>
        <v>1</v>
      </c>
      <c r="AD476" s="70">
        <f t="shared" si="530"/>
        <v>0</v>
      </c>
      <c r="AE476" s="70">
        <f t="shared" si="530"/>
        <v>0</v>
      </c>
      <c r="AF476" s="71"/>
      <c r="AG476" s="71"/>
      <c r="AH476" s="71"/>
    </row>
    <row r="477" spans="2:34">
      <c r="B477" t="str">
        <f t="shared" ref="B477:B540" si="571">+T477&amp;W477&amp;H477</f>
        <v>Sem3939Elkyn Geocanny Bran Navarro</v>
      </c>
      <c r="C477" t="str">
        <f t="shared" ref="C477:C540" si="572">+S477&amp;T477</f>
        <v>SEPTIEMBRESem39</v>
      </c>
      <c r="D477" t="str">
        <f t="shared" ref="D477:D540" si="573">+S477&amp;T477&amp;H477</f>
        <v>SEPTIEMBRESem39Elkyn Geocanny Bran Navarro</v>
      </c>
      <c r="E477" t="str">
        <f t="shared" ref="E477:E540" si="574">+S477&amp;T477&amp;W477&amp;H477</f>
        <v>SEPTIEMBRESem3939Elkyn Geocanny Bran Navarro</v>
      </c>
      <c r="F477" t="str">
        <f t="shared" ref="F477:F540" si="575">+H477&amp;V477</f>
        <v>Elkyn Geocanny Bran Navarro46286</v>
      </c>
      <c r="H477" s="49" t="s">
        <v>254</v>
      </c>
      <c r="I477" s="50" t="str">
        <f>+_xlfn.XLOOKUP($H477&amp;$V477,BASEDATOS!$B:$B,BASEDATOS!F:F,0,0,1)</f>
        <v>DIA</v>
      </c>
      <c r="J477" s="51">
        <f>+_xlfn.XLOOKUP($H477&amp;$V477,BASEDATOS!$B:$B,BASEDATOS!Q:Q,0,0,1)</f>
        <v>0.25</v>
      </c>
      <c r="K477" s="51">
        <f>+_xlfn.XLOOKUP($H477&amp;$V477,BASEDATOS!$B:$B,BASEDATOS!R:R,0,0,1)</f>
        <v>0.75</v>
      </c>
      <c r="L477" s="51">
        <f t="shared" ref="L477:L540" si="576">+IF(OR(J477="Descanso",J477="AUSENTE",J477="ASUETO"),0,MOD(K477-J477,1))</f>
        <v>0.5</v>
      </c>
      <c r="M477" s="52" t="str">
        <f t="shared" ref="M477:M540" si="577">+IF(OR(I477="DIA",I477="NOCHE",I477="MIXTO"),"1:00",0)</f>
        <v>1:00</v>
      </c>
      <c r="N477" s="51">
        <f t="shared" ref="N477:N540" si="578">+IF(I477="ASUETO-D",8/24,IF(I477="ASUETO-N",6/24,MOD(L477-M477,1)))</f>
        <v>0.45833333333333331</v>
      </c>
      <c r="O477" s="53" t="str">
        <f t="shared" ref="O477" si="579">+O483</f>
        <v>6-0-1</v>
      </c>
      <c r="P477" s="54">
        <f>+IF(AND(Y477="Domingo",U477=7),_xlfn.XLOOKUP(O477,'Horarios y Sistemas'!C:C,'Horarios y Sistemas'!H:H,0,0,1),0)</f>
        <v>0</v>
      </c>
      <c r="Q477" s="54">
        <f>IF(U477=U478,0,IF(AVERAGEIF(W:W,W477,U:U)=U477,0,_xlfn.XLOOKUP(O477,'Horarios y Sistemas'!C:C,'Horarios y Sistemas'!H:H,0,0,1)-P477))/7*U477</f>
        <v>0</v>
      </c>
      <c r="R477" s="54">
        <f t="shared" ref="R477:R540" si="580">+IF(Y477="Domingo",SUM(P471:Q477),0)</f>
        <v>0</v>
      </c>
      <c r="S477" s="55" t="str">
        <f t="shared" ref="S477:S540" si="581">+UPPER(TEXT(V477,"MMMMMMMM"))</f>
        <v>SEPTIEMBRE</v>
      </c>
      <c r="T477" s="55" t="str">
        <f t="shared" ref="T477:T540" si="582">+"Sem"&amp;W477</f>
        <v>Sem39</v>
      </c>
      <c r="U477" s="56">
        <f t="shared" si="550"/>
        <v>7</v>
      </c>
      <c r="V477" s="59">
        <v>46286</v>
      </c>
      <c r="W477" s="56">
        <f t="shared" ref="W477:W540" si="583">+_xlfn.ISOWEEKNUM(V477)</f>
        <v>39</v>
      </c>
      <c r="X477" s="56">
        <f t="shared" ref="X477:X540" si="584">+DAY(V477)</f>
        <v>21</v>
      </c>
      <c r="Y477" s="56" t="s">
        <v>28</v>
      </c>
      <c r="Z477" s="56">
        <v>1</v>
      </c>
      <c r="AA477" s="58">
        <f t="shared" si="530"/>
        <v>1</v>
      </c>
      <c r="AB477" s="58">
        <f t="shared" si="530"/>
        <v>0</v>
      </c>
      <c r="AC477" s="58">
        <f t="shared" si="530"/>
        <v>0</v>
      </c>
      <c r="AD477" s="58">
        <f t="shared" si="530"/>
        <v>0</v>
      </c>
      <c r="AE477" s="58">
        <f t="shared" si="530"/>
        <v>0</v>
      </c>
    </row>
    <row r="478" spans="2:34">
      <c r="B478" t="str">
        <f t="shared" si="571"/>
        <v>Sem3939Elkyn Geocanny Bran Navarro</v>
      </c>
      <c r="C478" t="str">
        <f t="shared" si="572"/>
        <v>SEPTIEMBRESem39</v>
      </c>
      <c r="D478" t="str">
        <f t="shared" si="573"/>
        <v>SEPTIEMBRESem39Elkyn Geocanny Bran Navarro</v>
      </c>
      <c r="E478" t="str">
        <f t="shared" si="574"/>
        <v>SEPTIEMBRESem3939Elkyn Geocanny Bran Navarro</v>
      </c>
      <c r="F478" t="str">
        <f t="shared" si="575"/>
        <v>Elkyn Geocanny Bran Navarro46287</v>
      </c>
      <c r="H478" s="49" t="s">
        <v>254</v>
      </c>
      <c r="I478" s="50" t="str">
        <f>+_xlfn.XLOOKUP($H478&amp;$V478,BASEDATOS!$B:$B,BASEDATOS!F:F,0,0,1)</f>
        <v>DIA</v>
      </c>
      <c r="J478" s="51">
        <f>+_xlfn.XLOOKUP($H478&amp;$V478,BASEDATOS!$B:$B,BASEDATOS!Q:Q,0,0,1)</f>
        <v>0.25</v>
      </c>
      <c r="K478" s="51">
        <f>+_xlfn.XLOOKUP($H478&amp;$V478,BASEDATOS!$B:$B,BASEDATOS!R:R,0,0,1)</f>
        <v>0.75</v>
      </c>
      <c r="L478" s="51">
        <f t="shared" si="576"/>
        <v>0.5</v>
      </c>
      <c r="M478" s="52" t="str">
        <f t="shared" si="577"/>
        <v>1:00</v>
      </c>
      <c r="N478" s="51">
        <f t="shared" si="578"/>
        <v>0.45833333333333331</v>
      </c>
      <c r="O478" s="53" t="str">
        <f t="shared" ref="O478" si="585">+O483</f>
        <v>6-0-1</v>
      </c>
      <c r="P478" s="54">
        <f>+IF(AND(Y478="Domingo",U478=7),_xlfn.XLOOKUP(O478,'Horarios y Sistemas'!C:C,'Horarios y Sistemas'!H:H,0,0,1),0)</f>
        <v>0</v>
      </c>
      <c r="Q478" s="54">
        <f>IF(U478=U479,0,IF(AVERAGEIF(W:W,W478,U:U)=U478,0,_xlfn.XLOOKUP(O478,'Horarios y Sistemas'!C:C,'Horarios y Sistemas'!H:H,0,0,1)-P478))/7*U478</f>
        <v>0</v>
      </c>
      <c r="R478" s="54">
        <f t="shared" si="580"/>
        <v>0</v>
      </c>
      <c r="S478" s="55" t="str">
        <f t="shared" si="581"/>
        <v>SEPTIEMBRE</v>
      </c>
      <c r="T478" s="55" t="str">
        <f t="shared" si="582"/>
        <v>Sem39</v>
      </c>
      <c r="U478" s="56">
        <f t="shared" si="550"/>
        <v>7</v>
      </c>
      <c r="V478" s="59">
        <v>46287</v>
      </c>
      <c r="W478" s="56">
        <f t="shared" si="583"/>
        <v>39</v>
      </c>
      <c r="X478" s="56">
        <f t="shared" si="584"/>
        <v>22</v>
      </c>
      <c r="Y478" s="56" t="s">
        <v>29</v>
      </c>
      <c r="Z478" s="56">
        <v>2</v>
      </c>
      <c r="AA478" s="58">
        <f t="shared" si="530"/>
        <v>1</v>
      </c>
      <c r="AB478" s="58">
        <f t="shared" si="530"/>
        <v>0</v>
      </c>
      <c r="AC478" s="58">
        <f t="shared" si="530"/>
        <v>0</v>
      </c>
      <c r="AD478" s="58">
        <f t="shared" si="530"/>
        <v>0</v>
      </c>
      <c r="AE478" s="58">
        <f t="shared" si="530"/>
        <v>0</v>
      </c>
    </row>
    <row r="479" spans="2:34">
      <c r="B479" t="str">
        <f t="shared" si="571"/>
        <v>Sem3939Elkyn Geocanny Bran Navarro</v>
      </c>
      <c r="C479" t="str">
        <f t="shared" si="572"/>
        <v>SEPTIEMBRESem39</v>
      </c>
      <c r="D479" t="str">
        <f t="shared" si="573"/>
        <v>SEPTIEMBRESem39Elkyn Geocanny Bran Navarro</v>
      </c>
      <c r="E479" t="str">
        <f t="shared" si="574"/>
        <v>SEPTIEMBRESem3939Elkyn Geocanny Bran Navarro</v>
      </c>
      <c r="F479" t="str">
        <f t="shared" si="575"/>
        <v>Elkyn Geocanny Bran Navarro46288</v>
      </c>
      <c r="H479" s="49" t="s">
        <v>254</v>
      </c>
      <c r="I479" s="50" t="str">
        <f>+_xlfn.XLOOKUP($H479&amp;$V479,BASEDATOS!$B:$B,BASEDATOS!F:F,0,0,1)</f>
        <v>DIA</v>
      </c>
      <c r="J479" s="51">
        <f>+_xlfn.XLOOKUP($H479&amp;$V479,BASEDATOS!$B:$B,BASEDATOS!Q:Q,0,0,1)</f>
        <v>0.25</v>
      </c>
      <c r="K479" s="51">
        <f>+_xlfn.XLOOKUP($H479&amp;$V479,BASEDATOS!$B:$B,BASEDATOS!R:R,0,0,1)</f>
        <v>0.75</v>
      </c>
      <c r="L479" s="51">
        <f t="shared" si="576"/>
        <v>0.5</v>
      </c>
      <c r="M479" s="52" t="str">
        <f t="shared" si="577"/>
        <v>1:00</v>
      </c>
      <c r="N479" s="51">
        <f t="shared" si="578"/>
        <v>0.45833333333333331</v>
      </c>
      <c r="O479" s="53" t="str">
        <f t="shared" ref="O479" si="586">+O483</f>
        <v>6-0-1</v>
      </c>
      <c r="P479" s="54">
        <f>+IF(AND(Y479="Domingo",U479=7),_xlfn.XLOOKUP(O479,'Horarios y Sistemas'!C:C,'Horarios y Sistemas'!H:H,0,0,1),0)</f>
        <v>0</v>
      </c>
      <c r="Q479" s="54">
        <f>IF(U479=U480,0,IF(AVERAGEIF(W:W,W479,U:U)=U479,0,_xlfn.XLOOKUP(O479,'Horarios y Sistemas'!C:C,'Horarios y Sistemas'!H:H,0,0,1)-P479))/7*U479</f>
        <v>0</v>
      </c>
      <c r="R479" s="54">
        <f t="shared" si="580"/>
        <v>0</v>
      </c>
      <c r="S479" s="55" t="str">
        <f t="shared" si="581"/>
        <v>SEPTIEMBRE</v>
      </c>
      <c r="T479" s="55" t="str">
        <f t="shared" si="582"/>
        <v>Sem39</v>
      </c>
      <c r="U479" s="56">
        <f t="shared" si="550"/>
        <v>7</v>
      </c>
      <c r="V479" s="59">
        <v>46288</v>
      </c>
      <c r="W479" s="56">
        <f t="shared" si="583"/>
        <v>39</v>
      </c>
      <c r="X479" s="56">
        <f t="shared" si="584"/>
        <v>23</v>
      </c>
      <c r="Y479" s="56" t="s">
        <v>30</v>
      </c>
      <c r="Z479" s="56">
        <v>3</v>
      </c>
      <c r="AA479" s="58">
        <f t="shared" si="530"/>
        <v>1</v>
      </c>
      <c r="AB479" s="58">
        <f t="shared" si="530"/>
        <v>0</v>
      </c>
      <c r="AC479" s="58">
        <f t="shared" si="530"/>
        <v>0</v>
      </c>
      <c r="AD479" s="58">
        <f t="shared" si="530"/>
        <v>0</v>
      </c>
      <c r="AE479" s="58">
        <f t="shared" si="530"/>
        <v>0</v>
      </c>
    </row>
    <row r="480" spans="2:34">
      <c r="B480" t="str">
        <f t="shared" si="571"/>
        <v>Sem3939Elkyn Geocanny Bran Navarro</v>
      </c>
      <c r="C480" t="str">
        <f t="shared" si="572"/>
        <v>SEPTIEMBRESem39</v>
      </c>
      <c r="D480" t="str">
        <f t="shared" si="573"/>
        <v>SEPTIEMBRESem39Elkyn Geocanny Bran Navarro</v>
      </c>
      <c r="E480" t="str">
        <f t="shared" si="574"/>
        <v>SEPTIEMBRESem3939Elkyn Geocanny Bran Navarro</v>
      </c>
      <c r="F480" t="str">
        <f t="shared" si="575"/>
        <v>Elkyn Geocanny Bran Navarro46289</v>
      </c>
      <c r="H480" s="49" t="s">
        <v>254</v>
      </c>
      <c r="I480" s="50" t="str">
        <f>+_xlfn.XLOOKUP($H480&amp;$V480,BASEDATOS!$B:$B,BASEDATOS!F:F,0,0,1)</f>
        <v>DIA</v>
      </c>
      <c r="J480" s="51">
        <f>+_xlfn.XLOOKUP($H480&amp;$V480,BASEDATOS!$B:$B,BASEDATOS!Q:Q,0,0,1)</f>
        <v>0.25</v>
      </c>
      <c r="K480" s="51">
        <f>+_xlfn.XLOOKUP($H480&amp;$V480,BASEDATOS!$B:$B,BASEDATOS!R:R,0,0,1)</f>
        <v>0.75</v>
      </c>
      <c r="L480" s="51">
        <f t="shared" si="576"/>
        <v>0.5</v>
      </c>
      <c r="M480" s="52" t="str">
        <f t="shared" si="577"/>
        <v>1:00</v>
      </c>
      <c r="N480" s="51">
        <f t="shared" si="578"/>
        <v>0.45833333333333331</v>
      </c>
      <c r="O480" s="53" t="str">
        <f t="shared" ref="O480" si="587">+O483</f>
        <v>6-0-1</v>
      </c>
      <c r="P480" s="54">
        <f>+IF(AND(Y480="Domingo",U480=7),_xlfn.XLOOKUP(O480,'Horarios y Sistemas'!C:C,'Horarios y Sistemas'!H:H,0,0,1),0)</f>
        <v>0</v>
      </c>
      <c r="Q480" s="54">
        <f>IF(U480=U481,0,IF(AVERAGEIF(W:W,W480,U:U)=U480,0,_xlfn.XLOOKUP(O480,'Horarios y Sistemas'!C:C,'Horarios y Sistemas'!H:H,0,0,1)-P480))/7*U480</f>
        <v>0</v>
      </c>
      <c r="R480" s="54">
        <f t="shared" si="580"/>
        <v>0</v>
      </c>
      <c r="S480" s="55" t="str">
        <f t="shared" si="581"/>
        <v>SEPTIEMBRE</v>
      </c>
      <c r="T480" s="55" t="str">
        <f t="shared" si="582"/>
        <v>Sem39</v>
      </c>
      <c r="U480" s="56">
        <f t="shared" si="550"/>
        <v>7</v>
      </c>
      <c r="V480" s="59">
        <v>46289</v>
      </c>
      <c r="W480" s="56">
        <f t="shared" si="583"/>
        <v>39</v>
      </c>
      <c r="X480" s="56">
        <f t="shared" si="584"/>
        <v>24</v>
      </c>
      <c r="Y480" s="56" t="s">
        <v>31</v>
      </c>
      <c r="Z480" s="56">
        <v>4</v>
      </c>
      <c r="AA480" s="58">
        <f t="shared" si="530"/>
        <v>1</v>
      </c>
      <c r="AB480" s="58">
        <f t="shared" si="530"/>
        <v>0</v>
      </c>
      <c r="AC480" s="58">
        <f t="shared" si="530"/>
        <v>0</v>
      </c>
      <c r="AD480" s="58">
        <f t="shared" si="530"/>
        <v>0</v>
      </c>
      <c r="AE480" s="58">
        <f t="shared" si="530"/>
        <v>0</v>
      </c>
    </row>
    <row r="481" spans="2:34">
      <c r="B481" t="str">
        <f t="shared" si="571"/>
        <v>Sem3939Elkyn Geocanny Bran Navarro</v>
      </c>
      <c r="C481" t="str">
        <f t="shared" si="572"/>
        <v>SEPTIEMBRESem39</v>
      </c>
      <c r="D481" t="str">
        <f t="shared" si="573"/>
        <v>SEPTIEMBRESem39Elkyn Geocanny Bran Navarro</v>
      </c>
      <c r="E481" t="str">
        <f t="shared" si="574"/>
        <v>SEPTIEMBRESem3939Elkyn Geocanny Bran Navarro</v>
      </c>
      <c r="F481" t="str">
        <f t="shared" si="575"/>
        <v>Elkyn Geocanny Bran Navarro46290</v>
      </c>
      <c r="H481" s="49" t="s">
        <v>254</v>
      </c>
      <c r="I481" s="50" t="str">
        <f>+_xlfn.XLOOKUP($H481&amp;$V481,BASEDATOS!$B:$B,BASEDATOS!F:F,0,0,1)</f>
        <v>DIA</v>
      </c>
      <c r="J481" s="51">
        <f>+_xlfn.XLOOKUP($H481&amp;$V481,BASEDATOS!$B:$B,BASEDATOS!Q:Q,0,0,1)</f>
        <v>0.25</v>
      </c>
      <c r="K481" s="51">
        <f>+_xlfn.XLOOKUP($H481&amp;$V481,BASEDATOS!$B:$B,BASEDATOS!R:R,0,0,1)</f>
        <v>0.75</v>
      </c>
      <c r="L481" s="51">
        <f t="shared" si="576"/>
        <v>0.5</v>
      </c>
      <c r="M481" s="52" t="str">
        <f t="shared" si="577"/>
        <v>1:00</v>
      </c>
      <c r="N481" s="51">
        <f t="shared" si="578"/>
        <v>0.45833333333333331</v>
      </c>
      <c r="O481" s="53" t="str">
        <f t="shared" ref="O481" si="588">+O483</f>
        <v>6-0-1</v>
      </c>
      <c r="P481" s="54">
        <f>+IF(AND(Y481="Domingo",U481=7),_xlfn.XLOOKUP(O481,'Horarios y Sistemas'!C:C,'Horarios y Sistemas'!H:H,0,0,1),0)</f>
        <v>0</v>
      </c>
      <c r="Q481" s="54">
        <f>IF(U481=U482,0,IF(AVERAGEIF(W:W,W481,U:U)=U481,0,_xlfn.XLOOKUP(O481,'Horarios y Sistemas'!C:C,'Horarios y Sistemas'!H:H,0,0,1)-P481))/7*U481</f>
        <v>0</v>
      </c>
      <c r="R481" s="54">
        <f t="shared" si="580"/>
        <v>0</v>
      </c>
      <c r="S481" s="55" t="str">
        <f t="shared" si="581"/>
        <v>SEPTIEMBRE</v>
      </c>
      <c r="T481" s="55" t="str">
        <f t="shared" si="582"/>
        <v>Sem39</v>
      </c>
      <c r="U481" s="56">
        <f t="shared" si="550"/>
        <v>7</v>
      </c>
      <c r="V481" s="59">
        <v>46290</v>
      </c>
      <c r="W481" s="56">
        <f t="shared" si="583"/>
        <v>39</v>
      </c>
      <c r="X481" s="56">
        <f t="shared" si="584"/>
        <v>25</v>
      </c>
      <c r="Y481" s="56" t="s">
        <v>32</v>
      </c>
      <c r="Z481" s="56">
        <v>5</v>
      </c>
      <c r="AA481" s="58">
        <f t="shared" si="530"/>
        <v>1</v>
      </c>
      <c r="AB481" s="58">
        <f t="shared" si="530"/>
        <v>0</v>
      </c>
      <c r="AC481" s="58">
        <f t="shared" si="530"/>
        <v>0</v>
      </c>
      <c r="AD481" s="58">
        <f t="shared" si="530"/>
        <v>0</v>
      </c>
      <c r="AE481" s="58">
        <f t="shared" si="530"/>
        <v>0</v>
      </c>
    </row>
    <row r="482" spans="2:34">
      <c r="B482" t="str">
        <f t="shared" si="571"/>
        <v>Sem3939Elkyn Geocanny Bran Navarro</v>
      </c>
      <c r="C482" t="str">
        <f t="shared" si="572"/>
        <v>SEPTIEMBRESem39</v>
      </c>
      <c r="D482" t="str">
        <f t="shared" si="573"/>
        <v>SEPTIEMBRESem39Elkyn Geocanny Bran Navarro</v>
      </c>
      <c r="E482" t="str">
        <f t="shared" si="574"/>
        <v>SEPTIEMBRESem3939Elkyn Geocanny Bran Navarro</v>
      </c>
      <c r="F482" t="str">
        <f t="shared" si="575"/>
        <v>Elkyn Geocanny Bran Navarro46291</v>
      </c>
      <c r="H482" s="49" t="s">
        <v>254</v>
      </c>
      <c r="I482" s="50" t="str">
        <f>+_xlfn.XLOOKUP($H482&amp;$V482,BASEDATOS!$B:$B,BASEDATOS!F:F,0,0,1)</f>
        <v>DIA</v>
      </c>
      <c r="J482" s="51">
        <f>+_xlfn.XLOOKUP($H482&amp;$V482,BASEDATOS!$B:$B,BASEDATOS!Q:Q,0,0,1)</f>
        <v>0.25</v>
      </c>
      <c r="K482" s="51">
        <f>+_xlfn.XLOOKUP($H482&amp;$V482,BASEDATOS!$B:$B,BASEDATOS!R:R,0,0,1)</f>
        <v>0.58333333333333304</v>
      </c>
      <c r="L482" s="51">
        <f t="shared" si="576"/>
        <v>0.33333333333333304</v>
      </c>
      <c r="M482" s="52" t="str">
        <f t="shared" si="577"/>
        <v>1:00</v>
      </c>
      <c r="N482" s="51">
        <f t="shared" si="578"/>
        <v>0.29166666666666635</v>
      </c>
      <c r="O482" s="53" t="str">
        <f t="shared" ref="O482" si="589">+O483</f>
        <v>6-0-1</v>
      </c>
      <c r="P482" s="54">
        <f>+IF(AND(Y482="Domingo",U482=7),_xlfn.XLOOKUP(O482,'Horarios y Sistemas'!C:C,'Horarios y Sistemas'!H:H,0,0,1),0)</f>
        <v>0</v>
      </c>
      <c r="Q482" s="54">
        <f>IF(U482=U483,0,IF(AVERAGEIF(W:W,W482,U:U)=U482,0,_xlfn.XLOOKUP(O482,'Horarios y Sistemas'!C:C,'Horarios y Sistemas'!H:H,0,0,1)-P482))/7*U482</f>
        <v>0</v>
      </c>
      <c r="R482" s="54">
        <f t="shared" si="580"/>
        <v>0</v>
      </c>
      <c r="S482" s="55" t="str">
        <f t="shared" si="581"/>
        <v>SEPTIEMBRE</v>
      </c>
      <c r="T482" s="55" t="str">
        <f t="shared" si="582"/>
        <v>Sem39</v>
      </c>
      <c r="U482" s="56">
        <f t="shared" si="550"/>
        <v>7</v>
      </c>
      <c r="V482" s="59">
        <v>46291</v>
      </c>
      <c r="W482" s="56">
        <f t="shared" si="583"/>
        <v>39</v>
      </c>
      <c r="X482" s="56">
        <f t="shared" si="584"/>
        <v>26</v>
      </c>
      <c r="Y482" s="56" t="s">
        <v>33</v>
      </c>
      <c r="Z482" s="56">
        <v>6</v>
      </c>
      <c r="AA482" s="58">
        <f t="shared" si="530"/>
        <v>1</v>
      </c>
      <c r="AB482" s="58">
        <f t="shared" si="530"/>
        <v>0</v>
      </c>
      <c r="AC482" s="58">
        <f t="shared" si="530"/>
        <v>0</v>
      </c>
      <c r="AD482" s="58">
        <f t="shared" si="530"/>
        <v>0</v>
      </c>
      <c r="AE482" s="58">
        <f t="shared" si="530"/>
        <v>0</v>
      </c>
    </row>
    <row r="483" spans="2:34" s="60" customFormat="1">
      <c r="B483" s="60" t="str">
        <f t="shared" si="571"/>
        <v>Sem3939Elkyn Geocanny Bran Navarro</v>
      </c>
      <c r="C483" s="60" t="str">
        <f t="shared" si="572"/>
        <v>SEPTIEMBRESem39</v>
      </c>
      <c r="D483" s="60" t="str">
        <f t="shared" si="573"/>
        <v>SEPTIEMBRESem39Elkyn Geocanny Bran Navarro</v>
      </c>
      <c r="E483" s="60" t="str">
        <f t="shared" si="574"/>
        <v>SEPTIEMBRESem3939Elkyn Geocanny Bran Navarro</v>
      </c>
      <c r="F483" s="60" t="str">
        <f t="shared" si="575"/>
        <v>Elkyn Geocanny Bran Navarro46292</v>
      </c>
      <c r="H483" s="61" t="s">
        <v>254</v>
      </c>
      <c r="I483" s="62" t="str">
        <f>+_xlfn.XLOOKUP($H483&amp;$V483,BASEDATOS!$B:$B,BASEDATOS!F:F,0,0,1)</f>
        <v>DESCANSO</v>
      </c>
      <c r="J483" s="63">
        <f>+_xlfn.XLOOKUP($H483&amp;$V483,BASEDATOS!$B:$B,BASEDATOS!Q:Q,0,0,1)</f>
        <v>0</v>
      </c>
      <c r="K483" s="63">
        <f>+_xlfn.XLOOKUP($H483&amp;$V483,BASEDATOS!$B:$B,BASEDATOS!R:R,0,0,1)</f>
        <v>0</v>
      </c>
      <c r="L483" s="63">
        <f t="shared" si="576"/>
        <v>0</v>
      </c>
      <c r="M483" s="64">
        <f t="shared" si="577"/>
        <v>0</v>
      </c>
      <c r="N483" s="63">
        <f t="shared" si="578"/>
        <v>0</v>
      </c>
      <c r="O483" s="65" t="str">
        <f t="shared" ref="O483" si="590">+IF(Y483="Domingo",SUM(AA477:AA483)&amp;"-"&amp;SUM(AB477:AB483)&amp;"-"&amp;SUM(AC477:AE483),"")</f>
        <v>6-0-1</v>
      </c>
      <c r="P483" s="66">
        <f>+IF(AND(Y483="Domingo",U483=7),_xlfn.XLOOKUP(O483,'Horarios y Sistemas'!C:C,'Horarios y Sistemas'!H:H,0,0,1),0)</f>
        <v>44</v>
      </c>
      <c r="Q483" s="66">
        <f>IF(U483=U484,0,IF(AVERAGEIF(W:W,W483,U:U)=U483,0,_xlfn.XLOOKUP(O483,'Horarios y Sistemas'!C:C,'Horarios y Sistemas'!H:H,0,0,1)-P483))/7*U483</f>
        <v>0</v>
      </c>
      <c r="R483" s="66">
        <f t="shared" si="580"/>
        <v>44</v>
      </c>
      <c r="S483" s="67" t="str">
        <f t="shared" si="581"/>
        <v>SEPTIEMBRE</v>
      </c>
      <c r="T483" s="55" t="str">
        <f t="shared" si="582"/>
        <v>Sem39</v>
      </c>
      <c r="U483" s="68">
        <f t="shared" si="550"/>
        <v>7</v>
      </c>
      <c r="V483" s="69">
        <v>46292</v>
      </c>
      <c r="W483" s="68">
        <f t="shared" si="583"/>
        <v>39</v>
      </c>
      <c r="X483" s="68">
        <f t="shared" si="584"/>
        <v>27</v>
      </c>
      <c r="Y483" s="68" t="s">
        <v>34</v>
      </c>
      <c r="Z483" s="68">
        <v>7</v>
      </c>
      <c r="AA483" s="70">
        <f t="shared" si="530"/>
        <v>0</v>
      </c>
      <c r="AB483" s="70">
        <f t="shared" si="530"/>
        <v>0</v>
      </c>
      <c r="AC483" s="70">
        <f t="shared" si="530"/>
        <v>1</v>
      </c>
      <c r="AD483" s="70">
        <f t="shared" si="530"/>
        <v>0</v>
      </c>
      <c r="AE483" s="70">
        <f t="shared" si="530"/>
        <v>0</v>
      </c>
      <c r="AF483" s="71"/>
      <c r="AG483" s="71"/>
      <c r="AH483" s="71"/>
    </row>
    <row r="484" spans="2:34">
      <c r="B484" t="str">
        <f t="shared" si="571"/>
        <v>Sem4040Elkyn Geocanny Bran Navarro</v>
      </c>
      <c r="C484" t="str">
        <f t="shared" si="572"/>
        <v>SEPTIEMBRESem40</v>
      </c>
      <c r="D484" t="str">
        <f t="shared" si="573"/>
        <v>SEPTIEMBRESem40Elkyn Geocanny Bran Navarro</v>
      </c>
      <c r="E484" t="str">
        <f t="shared" si="574"/>
        <v>SEPTIEMBRESem4040Elkyn Geocanny Bran Navarro</v>
      </c>
      <c r="F484" t="str">
        <f t="shared" si="575"/>
        <v>Elkyn Geocanny Bran Navarro46293</v>
      </c>
      <c r="H484" s="49" t="s">
        <v>254</v>
      </c>
      <c r="I484" s="50" t="str">
        <f>+_xlfn.XLOOKUP($H484&amp;$V484,BASEDATOS!$B:$B,BASEDATOS!F:F,0,0,1)</f>
        <v>NOCHE</v>
      </c>
      <c r="J484" s="51">
        <f>+_xlfn.XLOOKUP($H484&amp;$V484,BASEDATOS!$B:$B,BASEDATOS!Q:Q,0,0,1)</f>
        <v>0.75</v>
      </c>
      <c r="K484" s="51">
        <f>+_xlfn.XLOOKUP($H484&amp;$V484,BASEDATOS!$B:$B,BASEDATOS!R:R,0,0,1)</f>
        <v>0.25</v>
      </c>
      <c r="L484" s="51">
        <f t="shared" si="576"/>
        <v>0.5</v>
      </c>
      <c r="M484" s="52" t="str">
        <f t="shared" si="577"/>
        <v>1:00</v>
      </c>
      <c r="N484" s="51">
        <f t="shared" si="578"/>
        <v>0.45833333333333331</v>
      </c>
      <c r="O484" s="53" t="str">
        <f t="shared" ref="O484" si="591">+O490</f>
        <v>0-5-2</v>
      </c>
      <c r="P484" s="54">
        <f>+IF(AND(Y484="Domingo",U484=7),_xlfn.XLOOKUP(O484,'Horarios y Sistemas'!C:C,'Horarios y Sistemas'!H:H,0,0,1),0)</f>
        <v>0</v>
      </c>
      <c r="Q484" s="54">
        <f>IF(U484=U485,0,IF(AVERAGEIF(W:W,W484,U:U)=U484,0,_xlfn.XLOOKUP(O484,'Horarios y Sistemas'!C:C,'Horarios y Sistemas'!H:H,0,0,1)-P484))/7*U484</f>
        <v>0</v>
      </c>
      <c r="R484" s="54">
        <f t="shared" si="580"/>
        <v>0</v>
      </c>
      <c r="S484" s="55" t="str">
        <f t="shared" si="581"/>
        <v>SEPTIEMBRE</v>
      </c>
      <c r="T484" s="55" t="str">
        <f t="shared" si="582"/>
        <v>Sem40</v>
      </c>
      <c r="U484" s="56">
        <f t="shared" si="550"/>
        <v>7</v>
      </c>
      <c r="V484" s="59">
        <v>46293</v>
      </c>
      <c r="W484" s="56">
        <f t="shared" si="583"/>
        <v>40</v>
      </c>
      <c r="X484" s="56">
        <f t="shared" si="584"/>
        <v>28</v>
      </c>
      <c r="Y484" s="56" t="s">
        <v>28</v>
      </c>
      <c r="Z484" s="56">
        <v>1</v>
      </c>
      <c r="AA484" s="58">
        <f t="shared" si="530"/>
        <v>0</v>
      </c>
      <c r="AB484" s="58">
        <f t="shared" si="530"/>
        <v>1</v>
      </c>
      <c r="AC484" s="58">
        <f t="shared" si="530"/>
        <v>0</v>
      </c>
      <c r="AD484" s="58">
        <f t="shared" si="530"/>
        <v>0</v>
      </c>
      <c r="AE484" s="58">
        <f t="shared" si="530"/>
        <v>0</v>
      </c>
    </row>
    <row r="485" spans="2:34">
      <c r="B485" t="str">
        <f t="shared" si="571"/>
        <v>Sem4040Elkyn Geocanny Bran Navarro</v>
      </c>
      <c r="C485" t="str">
        <f t="shared" si="572"/>
        <v>SEPTIEMBRESem40</v>
      </c>
      <c r="D485" t="str">
        <f t="shared" si="573"/>
        <v>SEPTIEMBRESem40Elkyn Geocanny Bran Navarro</v>
      </c>
      <c r="E485" t="str">
        <f t="shared" si="574"/>
        <v>SEPTIEMBRESem4040Elkyn Geocanny Bran Navarro</v>
      </c>
      <c r="F485" t="str">
        <f t="shared" si="575"/>
        <v>Elkyn Geocanny Bran Navarro46294</v>
      </c>
      <c r="H485" s="49" t="s">
        <v>254</v>
      </c>
      <c r="I485" s="50" t="str">
        <f>+_xlfn.XLOOKUP($H485&amp;$V485,BASEDATOS!$B:$B,BASEDATOS!F:F,0,0,1)</f>
        <v>NOCHE</v>
      </c>
      <c r="J485" s="51">
        <f>+_xlfn.XLOOKUP($H485&amp;$V485,BASEDATOS!$B:$B,BASEDATOS!Q:Q,0,0,1)</f>
        <v>0.75</v>
      </c>
      <c r="K485" s="51">
        <f>+_xlfn.XLOOKUP($H485&amp;$V485,BASEDATOS!$B:$B,BASEDATOS!R:R,0,0,1)</f>
        <v>0.25</v>
      </c>
      <c r="L485" s="51">
        <f t="shared" si="576"/>
        <v>0.5</v>
      </c>
      <c r="M485" s="52" t="str">
        <f t="shared" si="577"/>
        <v>1:00</v>
      </c>
      <c r="N485" s="51">
        <f t="shared" si="578"/>
        <v>0.45833333333333331</v>
      </c>
      <c r="O485" s="53" t="str">
        <f t="shared" ref="O485" si="592">+O490</f>
        <v>0-5-2</v>
      </c>
      <c r="P485" s="54">
        <f>+IF(AND(Y485="Domingo",U485=7),_xlfn.XLOOKUP(O485,'Horarios y Sistemas'!C:C,'Horarios y Sistemas'!H:H,0,0,1),0)</f>
        <v>0</v>
      </c>
      <c r="Q485" s="54">
        <f>IF(U485=U486,0,IF(AVERAGEIF(W:W,W485,U:U)=U485,0,_xlfn.XLOOKUP(O485,'Horarios y Sistemas'!C:C,'Horarios y Sistemas'!H:H,0,0,1)-P485))/7*U485</f>
        <v>0</v>
      </c>
      <c r="R485" s="54">
        <f t="shared" si="580"/>
        <v>0</v>
      </c>
      <c r="S485" s="55" t="str">
        <f t="shared" si="581"/>
        <v>SEPTIEMBRE</v>
      </c>
      <c r="T485" s="55" t="str">
        <f t="shared" si="582"/>
        <v>Sem40</v>
      </c>
      <c r="U485" s="56">
        <f t="shared" si="550"/>
        <v>7</v>
      </c>
      <c r="V485" s="59">
        <v>46294</v>
      </c>
      <c r="W485" s="56">
        <f t="shared" si="583"/>
        <v>40</v>
      </c>
      <c r="X485" s="56">
        <f t="shared" si="584"/>
        <v>29</v>
      </c>
      <c r="Y485" s="56" t="s">
        <v>29</v>
      </c>
      <c r="Z485" s="56">
        <v>2</v>
      </c>
      <c r="AA485" s="58">
        <f t="shared" si="530"/>
        <v>0</v>
      </c>
      <c r="AB485" s="58">
        <f t="shared" si="530"/>
        <v>1</v>
      </c>
      <c r="AC485" s="58">
        <f t="shared" si="530"/>
        <v>0</v>
      </c>
      <c r="AD485" s="58">
        <f t="shared" si="530"/>
        <v>0</v>
      </c>
      <c r="AE485" s="58">
        <f t="shared" si="530"/>
        <v>0</v>
      </c>
    </row>
    <row r="486" spans="2:34">
      <c r="B486" t="str">
        <f t="shared" si="571"/>
        <v>Sem4040Elkyn Geocanny Bran Navarro</v>
      </c>
      <c r="C486" t="str">
        <f t="shared" si="572"/>
        <v>SEPTIEMBRESem40</v>
      </c>
      <c r="D486" t="str">
        <f t="shared" si="573"/>
        <v>SEPTIEMBRESem40Elkyn Geocanny Bran Navarro</v>
      </c>
      <c r="E486" t="str">
        <f t="shared" si="574"/>
        <v>SEPTIEMBRESem4040Elkyn Geocanny Bran Navarro</v>
      </c>
      <c r="F486" t="str">
        <f t="shared" si="575"/>
        <v>Elkyn Geocanny Bran Navarro46295</v>
      </c>
      <c r="H486" s="49" t="s">
        <v>254</v>
      </c>
      <c r="I486" s="50" t="str">
        <f>+_xlfn.XLOOKUP($H486&amp;$V486,BASEDATOS!$B:$B,BASEDATOS!F:F,0,0,1)</f>
        <v>NOCHE</v>
      </c>
      <c r="J486" s="51">
        <f>+_xlfn.XLOOKUP($H486&amp;$V486,BASEDATOS!$B:$B,BASEDATOS!Q:Q,0,0,1)</f>
        <v>0.75</v>
      </c>
      <c r="K486" s="51">
        <f>+_xlfn.XLOOKUP($H486&amp;$V486,BASEDATOS!$B:$B,BASEDATOS!R:R,0,0,1)</f>
        <v>0.25</v>
      </c>
      <c r="L486" s="51">
        <f t="shared" si="576"/>
        <v>0.5</v>
      </c>
      <c r="M486" s="52" t="str">
        <f t="shared" si="577"/>
        <v>1:00</v>
      </c>
      <c r="N486" s="51">
        <f t="shared" si="578"/>
        <v>0.45833333333333331</v>
      </c>
      <c r="O486" s="53" t="str">
        <f t="shared" ref="O486" si="593">+O490</f>
        <v>0-5-2</v>
      </c>
      <c r="P486" s="54">
        <f>+IF(AND(Y486="Domingo",U486=7),_xlfn.XLOOKUP(O486,'Horarios y Sistemas'!C:C,'Horarios y Sistemas'!H:H,0,0,1),0)</f>
        <v>0</v>
      </c>
      <c r="Q486" s="54">
        <f>IF(U486=U487,0,IF(AVERAGEIF(W:W,W486,U:U)=U486,0,_xlfn.XLOOKUP(O486,'Horarios y Sistemas'!C:C,'Horarios y Sistemas'!H:H,0,0,1)-P486))/7*U486</f>
        <v>0</v>
      </c>
      <c r="R486" s="54">
        <f t="shared" si="580"/>
        <v>0</v>
      </c>
      <c r="S486" s="55" t="str">
        <f t="shared" si="581"/>
        <v>SEPTIEMBRE</v>
      </c>
      <c r="T486" s="55" t="str">
        <f t="shared" si="582"/>
        <v>Sem40</v>
      </c>
      <c r="U486" s="56">
        <f t="shared" si="550"/>
        <v>7</v>
      </c>
      <c r="V486" s="59">
        <v>46295</v>
      </c>
      <c r="W486" s="56">
        <f t="shared" si="583"/>
        <v>40</v>
      </c>
      <c r="X486" s="56">
        <f t="shared" si="584"/>
        <v>30</v>
      </c>
      <c r="Y486" s="56" t="s">
        <v>30</v>
      </c>
      <c r="Z486" s="56">
        <v>3</v>
      </c>
      <c r="AA486" s="58">
        <f t="shared" si="530"/>
        <v>0</v>
      </c>
      <c r="AB486" s="58">
        <f t="shared" si="530"/>
        <v>1</v>
      </c>
      <c r="AC486" s="58">
        <f t="shared" si="530"/>
        <v>0</v>
      </c>
      <c r="AD486" s="58">
        <f t="shared" si="530"/>
        <v>0</v>
      </c>
      <c r="AE486" s="58">
        <f t="shared" si="530"/>
        <v>0</v>
      </c>
    </row>
    <row r="487" spans="2:34">
      <c r="B487" t="str">
        <f t="shared" si="571"/>
        <v>Sem4040Elkyn Geocanny Bran Navarro</v>
      </c>
      <c r="C487" t="str">
        <f t="shared" si="572"/>
        <v>OCTUBRESem40</v>
      </c>
      <c r="D487" t="str">
        <f t="shared" si="573"/>
        <v>OCTUBRESem40Elkyn Geocanny Bran Navarro</v>
      </c>
      <c r="E487" t="str">
        <f t="shared" si="574"/>
        <v>OCTUBRESem4040Elkyn Geocanny Bran Navarro</v>
      </c>
      <c r="F487" t="str">
        <f t="shared" si="575"/>
        <v>Elkyn Geocanny Bran Navarro46296</v>
      </c>
      <c r="H487" s="49" t="s">
        <v>254</v>
      </c>
      <c r="I487" s="50" t="str">
        <f>+_xlfn.XLOOKUP($H487&amp;$V487,BASEDATOS!$B:$B,BASEDATOS!F:F,0,0,1)</f>
        <v>NOCHE</v>
      </c>
      <c r="J487" s="51">
        <f>+_xlfn.XLOOKUP($H487&amp;$V487,BASEDATOS!$B:$B,BASEDATOS!Q:Q,0,0,1)</f>
        <v>0.75</v>
      </c>
      <c r="K487" s="51">
        <f>+_xlfn.XLOOKUP($H487&amp;$V487,BASEDATOS!$B:$B,BASEDATOS!R:R,0,0,1)</f>
        <v>0.25</v>
      </c>
      <c r="L487" s="51">
        <f t="shared" si="576"/>
        <v>0.5</v>
      </c>
      <c r="M487" s="52" t="str">
        <f t="shared" si="577"/>
        <v>1:00</v>
      </c>
      <c r="N487" s="51">
        <f t="shared" si="578"/>
        <v>0.45833333333333331</v>
      </c>
      <c r="O487" s="53" t="str">
        <f t="shared" ref="O487" si="594">+O490</f>
        <v>0-5-2</v>
      </c>
      <c r="P487" s="54">
        <f>+IF(AND(Y487="Domingo",U487=7),_xlfn.XLOOKUP(O487,'Horarios y Sistemas'!C:C,'Horarios y Sistemas'!H:H,0,0,1),0)</f>
        <v>0</v>
      </c>
      <c r="Q487" s="54">
        <f>IF(U487=U488,0,IF(AVERAGEIF(W:W,W487,U:U)=U487,0,_xlfn.XLOOKUP(O487,'Horarios y Sistemas'!C:C,'Horarios y Sistemas'!H:H,0,0,1)-P487))/7*U487</f>
        <v>0</v>
      </c>
      <c r="R487" s="54">
        <f t="shared" si="580"/>
        <v>0</v>
      </c>
      <c r="S487" s="55" t="str">
        <f t="shared" si="581"/>
        <v>OCTUBRE</v>
      </c>
      <c r="T487" s="55" t="str">
        <f t="shared" si="582"/>
        <v>Sem40</v>
      </c>
      <c r="U487" s="56">
        <f t="shared" si="550"/>
        <v>7</v>
      </c>
      <c r="V487" s="59">
        <v>46296</v>
      </c>
      <c r="W487" s="56">
        <f t="shared" si="583"/>
        <v>40</v>
      </c>
      <c r="X487" s="56">
        <f t="shared" si="584"/>
        <v>1</v>
      </c>
      <c r="Y487" s="56" t="s">
        <v>31</v>
      </c>
      <c r="Z487" s="56">
        <v>4</v>
      </c>
      <c r="AA487" s="58">
        <f t="shared" si="530"/>
        <v>0</v>
      </c>
      <c r="AB487" s="58">
        <f t="shared" si="530"/>
        <v>1</v>
      </c>
      <c r="AC487" s="58">
        <f t="shared" si="530"/>
        <v>0</v>
      </c>
      <c r="AD487" s="58">
        <f t="shared" si="530"/>
        <v>0</v>
      </c>
      <c r="AE487" s="58">
        <f t="shared" si="530"/>
        <v>0</v>
      </c>
    </row>
    <row r="488" spans="2:34">
      <c r="B488" t="str">
        <f t="shared" si="571"/>
        <v>Sem4040Elkyn Geocanny Bran Navarro</v>
      </c>
      <c r="C488" t="str">
        <f t="shared" si="572"/>
        <v>OCTUBRESem40</v>
      </c>
      <c r="D488" t="str">
        <f t="shared" si="573"/>
        <v>OCTUBRESem40Elkyn Geocanny Bran Navarro</v>
      </c>
      <c r="E488" t="str">
        <f t="shared" si="574"/>
        <v>OCTUBRESem4040Elkyn Geocanny Bran Navarro</v>
      </c>
      <c r="F488" t="str">
        <f t="shared" si="575"/>
        <v>Elkyn Geocanny Bran Navarro46297</v>
      </c>
      <c r="H488" s="49" t="s">
        <v>254</v>
      </c>
      <c r="I488" s="50" t="str">
        <f>+_xlfn.XLOOKUP($H488&amp;$V488,BASEDATOS!$B:$B,BASEDATOS!F:F,0,0,1)</f>
        <v>NOCHE</v>
      </c>
      <c r="J488" s="51">
        <f>+_xlfn.XLOOKUP($H488&amp;$V488,BASEDATOS!$B:$B,BASEDATOS!Q:Q,0,0,1)</f>
        <v>0.75</v>
      </c>
      <c r="K488" s="51">
        <f>+_xlfn.XLOOKUP($H488&amp;$V488,BASEDATOS!$B:$B,BASEDATOS!R:R,0,0,1)</f>
        <v>0.25</v>
      </c>
      <c r="L488" s="51">
        <f t="shared" si="576"/>
        <v>0.5</v>
      </c>
      <c r="M488" s="52" t="str">
        <f t="shared" si="577"/>
        <v>1:00</v>
      </c>
      <c r="N488" s="51">
        <f t="shared" si="578"/>
        <v>0.45833333333333331</v>
      </c>
      <c r="O488" s="53" t="str">
        <f t="shared" ref="O488" si="595">+O490</f>
        <v>0-5-2</v>
      </c>
      <c r="P488" s="54">
        <f>+IF(AND(Y488="Domingo",U488=7),_xlfn.XLOOKUP(O488,'Horarios y Sistemas'!C:C,'Horarios y Sistemas'!H:H,0,0,1),0)</f>
        <v>0</v>
      </c>
      <c r="Q488" s="54">
        <f>IF(U488=U489,0,IF(AVERAGEIF(W:W,W488,U:U)=U488,0,_xlfn.XLOOKUP(O488,'Horarios y Sistemas'!C:C,'Horarios y Sistemas'!H:H,0,0,1)-P488))/7*U488</f>
        <v>0</v>
      </c>
      <c r="R488" s="54">
        <f t="shared" si="580"/>
        <v>0</v>
      </c>
      <c r="S488" s="55" t="str">
        <f t="shared" si="581"/>
        <v>OCTUBRE</v>
      </c>
      <c r="T488" s="55" t="str">
        <f t="shared" si="582"/>
        <v>Sem40</v>
      </c>
      <c r="U488" s="56">
        <f t="shared" si="550"/>
        <v>7</v>
      </c>
      <c r="V488" s="59">
        <v>46297</v>
      </c>
      <c r="W488" s="56">
        <f t="shared" si="583"/>
        <v>40</v>
      </c>
      <c r="X488" s="56">
        <f t="shared" si="584"/>
        <v>2</v>
      </c>
      <c r="Y488" s="56" t="s">
        <v>32</v>
      </c>
      <c r="Z488" s="56">
        <v>5</v>
      </c>
      <c r="AA488" s="58">
        <f t="shared" ref="AA488:AE538" si="596">+IF($I488=AA$7,1,0)</f>
        <v>0</v>
      </c>
      <c r="AB488" s="58">
        <f t="shared" si="596"/>
        <v>1</v>
      </c>
      <c r="AC488" s="58">
        <f t="shared" si="596"/>
        <v>0</v>
      </c>
      <c r="AD488" s="58">
        <f t="shared" si="596"/>
        <v>0</v>
      </c>
      <c r="AE488" s="58">
        <f t="shared" si="596"/>
        <v>0</v>
      </c>
    </row>
    <row r="489" spans="2:34">
      <c r="B489" t="str">
        <f t="shared" si="571"/>
        <v>Sem4040Elkyn Geocanny Bran Navarro</v>
      </c>
      <c r="C489" t="str">
        <f t="shared" si="572"/>
        <v>OCTUBRESem40</v>
      </c>
      <c r="D489" t="str">
        <f t="shared" si="573"/>
        <v>OCTUBRESem40Elkyn Geocanny Bran Navarro</v>
      </c>
      <c r="E489" t="str">
        <f t="shared" si="574"/>
        <v>OCTUBRESem4040Elkyn Geocanny Bran Navarro</v>
      </c>
      <c r="F489" t="str">
        <f t="shared" si="575"/>
        <v>Elkyn Geocanny Bran Navarro46298</v>
      </c>
      <c r="H489" s="49" t="s">
        <v>254</v>
      </c>
      <c r="I489" s="50" t="str">
        <f>+_xlfn.XLOOKUP($H489&amp;$V489,BASEDATOS!$B:$B,BASEDATOS!F:F,0,0,1)</f>
        <v>DESCANSO</v>
      </c>
      <c r="J489" s="51">
        <f>+_xlfn.XLOOKUP($H489&amp;$V489,BASEDATOS!$B:$B,BASEDATOS!Q:Q,0,0,1)</f>
        <v>0</v>
      </c>
      <c r="K489" s="51">
        <f>+_xlfn.XLOOKUP($H489&amp;$V489,BASEDATOS!$B:$B,BASEDATOS!R:R,0,0,1)</f>
        <v>0</v>
      </c>
      <c r="L489" s="51">
        <f t="shared" si="576"/>
        <v>0</v>
      </c>
      <c r="M489" s="52">
        <f t="shared" si="577"/>
        <v>0</v>
      </c>
      <c r="N489" s="51">
        <f t="shared" si="578"/>
        <v>0</v>
      </c>
      <c r="O489" s="53" t="str">
        <f t="shared" ref="O489" si="597">+O490</f>
        <v>0-5-2</v>
      </c>
      <c r="P489" s="54">
        <f>+IF(AND(Y489="Domingo",U489=7),_xlfn.XLOOKUP(O489,'Horarios y Sistemas'!C:C,'Horarios y Sistemas'!H:H,0,0,1),0)</f>
        <v>0</v>
      </c>
      <c r="Q489" s="54">
        <f>IF(U489=U490,0,IF(AVERAGEIF(W:W,W489,U:U)=U489,0,_xlfn.XLOOKUP(O489,'Horarios y Sistemas'!C:C,'Horarios y Sistemas'!H:H,0,0,1)-P489))/7*U489</f>
        <v>0</v>
      </c>
      <c r="R489" s="54">
        <f t="shared" si="580"/>
        <v>0</v>
      </c>
      <c r="S489" s="55" t="str">
        <f t="shared" si="581"/>
        <v>OCTUBRE</v>
      </c>
      <c r="T489" s="55" t="str">
        <f t="shared" si="582"/>
        <v>Sem40</v>
      </c>
      <c r="U489" s="56">
        <f t="shared" si="550"/>
        <v>7</v>
      </c>
      <c r="V489" s="59">
        <v>46298</v>
      </c>
      <c r="W489" s="56">
        <f t="shared" si="583"/>
        <v>40</v>
      </c>
      <c r="X489" s="56">
        <f t="shared" si="584"/>
        <v>3</v>
      </c>
      <c r="Y489" s="56" t="s">
        <v>33</v>
      </c>
      <c r="Z489" s="56">
        <v>6</v>
      </c>
      <c r="AA489" s="58">
        <f t="shared" si="596"/>
        <v>0</v>
      </c>
      <c r="AB489" s="58">
        <f t="shared" si="596"/>
        <v>0</v>
      </c>
      <c r="AC489" s="58">
        <f t="shared" si="596"/>
        <v>1</v>
      </c>
      <c r="AD489" s="58">
        <f t="shared" si="596"/>
        <v>0</v>
      </c>
      <c r="AE489" s="58">
        <f t="shared" si="596"/>
        <v>0</v>
      </c>
    </row>
    <row r="490" spans="2:34" s="60" customFormat="1">
      <c r="B490" s="60" t="str">
        <f t="shared" si="571"/>
        <v>Sem4040Elkyn Geocanny Bran Navarro</v>
      </c>
      <c r="C490" s="60" t="str">
        <f t="shared" si="572"/>
        <v>OCTUBRESem40</v>
      </c>
      <c r="D490" s="60" t="str">
        <f t="shared" si="573"/>
        <v>OCTUBRESem40Elkyn Geocanny Bran Navarro</v>
      </c>
      <c r="E490" s="60" t="str">
        <f t="shared" si="574"/>
        <v>OCTUBRESem4040Elkyn Geocanny Bran Navarro</v>
      </c>
      <c r="F490" s="60" t="str">
        <f t="shared" si="575"/>
        <v>Elkyn Geocanny Bran Navarro46299</v>
      </c>
      <c r="H490" s="61" t="s">
        <v>254</v>
      </c>
      <c r="I490" s="62" t="str">
        <f>+_xlfn.XLOOKUP($H490&amp;$V490,BASEDATOS!$B:$B,BASEDATOS!F:F,0,0,1)</f>
        <v>DESCANSO</v>
      </c>
      <c r="J490" s="63">
        <f>+_xlfn.XLOOKUP($H490&amp;$V490,BASEDATOS!$B:$B,BASEDATOS!Q:Q,0,0,1)</f>
        <v>0</v>
      </c>
      <c r="K490" s="63">
        <f>+_xlfn.XLOOKUP($H490&amp;$V490,BASEDATOS!$B:$B,BASEDATOS!R:R,0,0,1)</f>
        <v>0</v>
      </c>
      <c r="L490" s="63">
        <f t="shared" si="576"/>
        <v>0</v>
      </c>
      <c r="M490" s="64">
        <f t="shared" si="577"/>
        <v>0</v>
      </c>
      <c r="N490" s="63">
        <f t="shared" si="578"/>
        <v>0</v>
      </c>
      <c r="O490" s="65" t="str">
        <f t="shared" ref="O490" si="598">+IF(Y490="Domingo",SUM(AA484:AA490)&amp;"-"&amp;SUM(AB484:AB490)&amp;"-"&amp;SUM(AC484:AE490),"")</f>
        <v>0-5-2</v>
      </c>
      <c r="P490" s="66">
        <f>+IF(AND(Y490="Domingo",U490=7),_xlfn.XLOOKUP(O490,'Horarios y Sistemas'!C:C,'Horarios y Sistemas'!H:H,0,0,1),0)</f>
        <v>36</v>
      </c>
      <c r="Q490" s="66">
        <f>IF(U490=U491,0,IF(AVERAGEIF(W:W,W490,U:U)=U490,0,_xlfn.XLOOKUP(O490,'Horarios y Sistemas'!C:C,'Horarios y Sistemas'!H:H,0,0,1)-P490))/7*U490</f>
        <v>0</v>
      </c>
      <c r="R490" s="66">
        <f t="shared" si="580"/>
        <v>36</v>
      </c>
      <c r="S490" s="67" t="str">
        <f t="shared" si="581"/>
        <v>OCTUBRE</v>
      </c>
      <c r="T490" s="55" t="str">
        <f t="shared" si="582"/>
        <v>Sem40</v>
      </c>
      <c r="U490" s="68">
        <f t="shared" si="550"/>
        <v>7</v>
      </c>
      <c r="V490" s="69">
        <v>46299</v>
      </c>
      <c r="W490" s="68">
        <f t="shared" si="583"/>
        <v>40</v>
      </c>
      <c r="X490" s="68">
        <f t="shared" si="584"/>
        <v>4</v>
      </c>
      <c r="Y490" s="68" t="s">
        <v>34</v>
      </c>
      <c r="Z490" s="68">
        <v>7</v>
      </c>
      <c r="AA490" s="70">
        <f t="shared" si="596"/>
        <v>0</v>
      </c>
      <c r="AB490" s="70">
        <f t="shared" si="596"/>
        <v>0</v>
      </c>
      <c r="AC490" s="70">
        <f t="shared" si="596"/>
        <v>1</v>
      </c>
      <c r="AD490" s="70">
        <f t="shared" si="596"/>
        <v>0</v>
      </c>
      <c r="AE490" s="70">
        <f t="shared" si="596"/>
        <v>0</v>
      </c>
      <c r="AF490" s="71"/>
      <c r="AG490" s="71"/>
      <c r="AH490" s="71"/>
    </row>
    <row r="491" spans="2:34">
      <c r="B491" t="str">
        <f t="shared" si="571"/>
        <v>Sem3838Elmar Gustavo Lopez Magallon</v>
      </c>
      <c r="C491" t="str">
        <f t="shared" si="572"/>
        <v>SEPTIEMBRESem38</v>
      </c>
      <c r="D491" t="str">
        <f t="shared" si="573"/>
        <v>SEPTIEMBRESem38Elmar Gustavo Lopez Magallon</v>
      </c>
      <c r="E491" t="str">
        <f t="shared" si="574"/>
        <v>SEPTIEMBRESem3838Elmar Gustavo Lopez Magallon</v>
      </c>
      <c r="F491" t="str">
        <f t="shared" si="575"/>
        <v>Elmar Gustavo Lopez Magallon46279</v>
      </c>
      <c r="H491" s="49" t="s">
        <v>255</v>
      </c>
      <c r="I491" s="50" t="str">
        <f>+_xlfn.XLOOKUP($H491&amp;$V491,BASEDATOS!$B:$B,BASEDATOS!F:F,0,0,1)</f>
        <v>DESCANSO</v>
      </c>
      <c r="J491" s="51">
        <f>+_xlfn.XLOOKUP($H491&amp;$V491,BASEDATOS!$B:$B,BASEDATOS!Q:Q,0,0,1)</f>
        <v>0</v>
      </c>
      <c r="K491" s="51">
        <f>+_xlfn.XLOOKUP($H491&amp;$V491,BASEDATOS!$B:$B,BASEDATOS!R:R,0,0,1)</f>
        <v>0</v>
      </c>
      <c r="L491" s="51">
        <f t="shared" si="576"/>
        <v>0</v>
      </c>
      <c r="M491" s="52">
        <f t="shared" si="577"/>
        <v>0</v>
      </c>
      <c r="N491" s="51">
        <f t="shared" si="578"/>
        <v>0</v>
      </c>
      <c r="O491" s="53" t="str">
        <f t="shared" ref="O491" si="599">+O497</f>
        <v>1-3-3</v>
      </c>
      <c r="P491" s="54">
        <f>+IF(AND(Y491="Domingo",U491=7),_xlfn.XLOOKUP(O491,'Horarios y Sistemas'!C:C,'Horarios y Sistemas'!H:H,0,0,1),0)</f>
        <v>0</v>
      </c>
      <c r="Q491" s="54">
        <f>IF(U491=U492,0,IF(AVERAGEIF(W:W,W491,U:U)=U491,0,_xlfn.XLOOKUP(O491,'Horarios y Sistemas'!C:C,'Horarios y Sistemas'!H:H,0,0,1)-P491))/7*U491</f>
        <v>0</v>
      </c>
      <c r="R491" s="54">
        <f t="shared" si="580"/>
        <v>0</v>
      </c>
      <c r="S491" s="55" t="str">
        <f t="shared" si="581"/>
        <v>SEPTIEMBRE</v>
      </c>
      <c r="T491" s="55" t="str">
        <f t="shared" si="582"/>
        <v>Sem38</v>
      </c>
      <c r="U491" s="56">
        <f t="shared" si="550"/>
        <v>7</v>
      </c>
      <c r="V491" s="57">
        <v>46279</v>
      </c>
      <c r="W491" s="56">
        <f t="shared" si="583"/>
        <v>38</v>
      </c>
      <c r="X491" s="56">
        <f t="shared" si="584"/>
        <v>14</v>
      </c>
      <c r="Y491" s="56" t="s">
        <v>28</v>
      </c>
      <c r="Z491" s="56">
        <v>1</v>
      </c>
      <c r="AA491" s="58">
        <f t="shared" si="596"/>
        <v>0</v>
      </c>
      <c r="AB491" s="58">
        <f t="shared" si="596"/>
        <v>0</v>
      </c>
      <c r="AC491" s="58">
        <f t="shared" si="596"/>
        <v>1</v>
      </c>
      <c r="AD491" s="58">
        <f t="shared" si="596"/>
        <v>0</v>
      </c>
      <c r="AE491" s="58">
        <f t="shared" si="596"/>
        <v>0</v>
      </c>
    </row>
    <row r="492" spans="2:34">
      <c r="B492" t="str">
        <f t="shared" si="571"/>
        <v>Sem3838Elmar Gustavo Lopez Magallon</v>
      </c>
      <c r="C492" t="str">
        <f t="shared" si="572"/>
        <v>SEPTIEMBRESem38</v>
      </c>
      <c r="D492" t="str">
        <f t="shared" si="573"/>
        <v>SEPTIEMBRESem38Elmar Gustavo Lopez Magallon</v>
      </c>
      <c r="E492" t="str">
        <f t="shared" si="574"/>
        <v>SEPTIEMBRESem3838Elmar Gustavo Lopez Magallon</v>
      </c>
      <c r="F492" t="str">
        <f t="shared" si="575"/>
        <v>Elmar Gustavo Lopez Magallon46280</v>
      </c>
      <c r="H492" s="49" t="s">
        <v>255</v>
      </c>
      <c r="I492" s="50" t="str">
        <f>+_xlfn.XLOOKUP($H492&amp;$V492,BASEDATOS!$B:$B,BASEDATOS!F:F,0,0,1)</f>
        <v>DIA</v>
      </c>
      <c r="J492" s="51">
        <f>+_xlfn.XLOOKUP($H492&amp;$V492,BASEDATOS!$B:$B,BASEDATOS!Q:Q,0,0,1)</f>
        <v>0.33333333333333298</v>
      </c>
      <c r="K492" s="51">
        <f>+_xlfn.XLOOKUP($H492&amp;$V492,BASEDATOS!$B:$B,BASEDATOS!R:R,0,0,1)</f>
        <v>0.70833333333333304</v>
      </c>
      <c r="L492" s="51">
        <f t="shared" si="576"/>
        <v>0.37500000000000006</v>
      </c>
      <c r="M492" s="52" t="str">
        <f t="shared" si="577"/>
        <v>1:00</v>
      </c>
      <c r="N492" s="51">
        <f t="shared" si="578"/>
        <v>0.33333333333333337</v>
      </c>
      <c r="O492" s="53" t="str">
        <f t="shared" ref="O492" si="600">+O497</f>
        <v>1-3-3</v>
      </c>
      <c r="P492" s="54">
        <f>+IF(AND(Y492="Domingo",U492=7),_xlfn.XLOOKUP(O492,'Horarios y Sistemas'!C:C,'Horarios y Sistemas'!H:H,0,0,1),0)</f>
        <v>0</v>
      </c>
      <c r="Q492" s="54">
        <f>IF(U492=U493,0,IF(AVERAGEIF(W:W,W492,U:U)=U492,0,_xlfn.XLOOKUP(O492,'Horarios y Sistemas'!C:C,'Horarios y Sistemas'!H:H,0,0,1)-P492))/7*U492</f>
        <v>0</v>
      </c>
      <c r="R492" s="54">
        <f t="shared" si="580"/>
        <v>0</v>
      </c>
      <c r="S492" s="55" t="str">
        <f t="shared" si="581"/>
        <v>SEPTIEMBRE</v>
      </c>
      <c r="T492" s="55" t="str">
        <f t="shared" si="582"/>
        <v>Sem38</v>
      </c>
      <c r="U492" s="56">
        <f t="shared" si="550"/>
        <v>7</v>
      </c>
      <c r="V492" s="59">
        <v>46280</v>
      </c>
      <c r="W492" s="56">
        <f t="shared" si="583"/>
        <v>38</v>
      </c>
      <c r="X492" s="56">
        <f t="shared" si="584"/>
        <v>15</v>
      </c>
      <c r="Y492" s="56" t="s">
        <v>29</v>
      </c>
      <c r="Z492" s="56">
        <v>2</v>
      </c>
      <c r="AA492" s="58">
        <f t="shared" si="596"/>
        <v>1</v>
      </c>
      <c r="AB492" s="58">
        <f t="shared" si="596"/>
        <v>0</v>
      </c>
      <c r="AC492" s="58">
        <f t="shared" si="596"/>
        <v>0</v>
      </c>
      <c r="AD492" s="58">
        <f t="shared" si="596"/>
        <v>0</v>
      </c>
      <c r="AE492" s="58">
        <f t="shared" si="596"/>
        <v>0</v>
      </c>
    </row>
    <row r="493" spans="2:34">
      <c r="B493" t="str">
        <f t="shared" si="571"/>
        <v>Sem3838Elmar Gustavo Lopez Magallon</v>
      </c>
      <c r="C493" t="str">
        <f t="shared" si="572"/>
        <v>SEPTIEMBRESem38</v>
      </c>
      <c r="D493" t="str">
        <f t="shared" si="573"/>
        <v>SEPTIEMBRESem38Elmar Gustavo Lopez Magallon</v>
      </c>
      <c r="E493" t="str">
        <f t="shared" si="574"/>
        <v>SEPTIEMBRESem3838Elmar Gustavo Lopez Magallon</v>
      </c>
      <c r="F493" t="str">
        <f t="shared" si="575"/>
        <v>Elmar Gustavo Lopez Magallon46281</v>
      </c>
      <c r="H493" s="49" t="s">
        <v>255</v>
      </c>
      <c r="I493" s="50" t="str">
        <f>+_xlfn.XLOOKUP($H493&amp;$V493,BASEDATOS!$B:$B,BASEDATOS!F:F,0,0,1)</f>
        <v>NOCHE</v>
      </c>
      <c r="J493" s="51">
        <f>+_xlfn.XLOOKUP($H493&amp;$V493,BASEDATOS!$B:$B,BASEDATOS!Q:Q,0,0,1)</f>
        <v>0.75</v>
      </c>
      <c r="K493" s="51">
        <f>+_xlfn.XLOOKUP($H493&amp;$V493,BASEDATOS!$B:$B,BASEDATOS!R:R,0,0,1)</f>
        <v>0.25</v>
      </c>
      <c r="L493" s="51">
        <f t="shared" si="576"/>
        <v>0.5</v>
      </c>
      <c r="M493" s="52" t="str">
        <f t="shared" si="577"/>
        <v>1:00</v>
      </c>
      <c r="N493" s="51">
        <f t="shared" si="578"/>
        <v>0.45833333333333331</v>
      </c>
      <c r="O493" s="53" t="str">
        <f t="shared" ref="O493" si="601">+O497</f>
        <v>1-3-3</v>
      </c>
      <c r="P493" s="54">
        <f>+IF(AND(Y493="Domingo",U493=7),_xlfn.XLOOKUP(O493,'Horarios y Sistemas'!C:C,'Horarios y Sistemas'!H:H,0,0,1),0)</f>
        <v>0</v>
      </c>
      <c r="Q493" s="54">
        <f>IF(U493=U494,0,IF(AVERAGEIF(W:W,W493,U:U)=U493,0,_xlfn.XLOOKUP(O493,'Horarios y Sistemas'!C:C,'Horarios y Sistemas'!H:H,0,0,1)-P493))/7*U493</f>
        <v>0</v>
      </c>
      <c r="R493" s="54">
        <f t="shared" si="580"/>
        <v>0</v>
      </c>
      <c r="S493" s="55" t="str">
        <f t="shared" si="581"/>
        <v>SEPTIEMBRE</v>
      </c>
      <c r="T493" s="55" t="str">
        <f t="shared" si="582"/>
        <v>Sem38</v>
      </c>
      <c r="U493" s="56">
        <f t="shared" si="550"/>
        <v>7</v>
      </c>
      <c r="V493" s="59">
        <v>46281</v>
      </c>
      <c r="W493" s="56">
        <f t="shared" si="583"/>
        <v>38</v>
      </c>
      <c r="X493" s="56">
        <f t="shared" si="584"/>
        <v>16</v>
      </c>
      <c r="Y493" s="56" t="s">
        <v>30</v>
      </c>
      <c r="Z493" s="56">
        <v>3</v>
      </c>
      <c r="AA493" s="58">
        <f t="shared" si="596"/>
        <v>0</v>
      </c>
      <c r="AB493" s="58">
        <f t="shared" si="596"/>
        <v>1</v>
      </c>
      <c r="AC493" s="58">
        <f t="shared" si="596"/>
        <v>0</v>
      </c>
      <c r="AD493" s="58">
        <f t="shared" si="596"/>
        <v>0</v>
      </c>
      <c r="AE493" s="58">
        <f t="shared" si="596"/>
        <v>0</v>
      </c>
    </row>
    <row r="494" spans="2:34">
      <c r="B494" t="str">
        <f t="shared" si="571"/>
        <v>Sem3838Elmar Gustavo Lopez Magallon</v>
      </c>
      <c r="C494" t="str">
        <f t="shared" si="572"/>
        <v>SEPTIEMBRESem38</v>
      </c>
      <c r="D494" t="str">
        <f t="shared" si="573"/>
        <v>SEPTIEMBRESem38Elmar Gustavo Lopez Magallon</v>
      </c>
      <c r="E494" t="str">
        <f t="shared" si="574"/>
        <v>SEPTIEMBRESem3838Elmar Gustavo Lopez Magallon</v>
      </c>
      <c r="F494" t="str">
        <f t="shared" si="575"/>
        <v>Elmar Gustavo Lopez Magallon46282</v>
      </c>
      <c r="H494" s="49" t="s">
        <v>255</v>
      </c>
      <c r="I494" s="50" t="str">
        <f>+_xlfn.XLOOKUP($H494&amp;$V494,BASEDATOS!$B:$B,BASEDATOS!F:F,0,0,1)</f>
        <v>NOCHE</v>
      </c>
      <c r="J494" s="51">
        <f>+_xlfn.XLOOKUP($H494&amp;$V494,BASEDATOS!$B:$B,BASEDATOS!Q:Q,0,0,1)</f>
        <v>0.75</v>
      </c>
      <c r="K494" s="51">
        <f>+_xlfn.XLOOKUP($H494&amp;$V494,BASEDATOS!$B:$B,BASEDATOS!R:R,0,0,1)</f>
        <v>0.25</v>
      </c>
      <c r="L494" s="51">
        <f t="shared" si="576"/>
        <v>0.5</v>
      </c>
      <c r="M494" s="52" t="str">
        <f t="shared" si="577"/>
        <v>1:00</v>
      </c>
      <c r="N494" s="51">
        <f t="shared" si="578"/>
        <v>0.45833333333333331</v>
      </c>
      <c r="O494" s="53" t="str">
        <f t="shared" ref="O494" si="602">+O497</f>
        <v>1-3-3</v>
      </c>
      <c r="P494" s="54">
        <f>+IF(AND(Y494="Domingo",U494=7),_xlfn.XLOOKUP(O494,'Horarios y Sistemas'!C:C,'Horarios y Sistemas'!H:H,0,0,1),0)</f>
        <v>0</v>
      </c>
      <c r="Q494" s="54">
        <f>IF(U494=U495,0,IF(AVERAGEIF(W:W,W494,U:U)=U494,0,_xlfn.XLOOKUP(O494,'Horarios y Sistemas'!C:C,'Horarios y Sistemas'!H:H,0,0,1)-P494))/7*U494</f>
        <v>0</v>
      </c>
      <c r="R494" s="54">
        <f t="shared" si="580"/>
        <v>0</v>
      </c>
      <c r="S494" s="55" t="str">
        <f t="shared" si="581"/>
        <v>SEPTIEMBRE</v>
      </c>
      <c r="T494" s="55" t="str">
        <f t="shared" si="582"/>
        <v>Sem38</v>
      </c>
      <c r="U494" s="56">
        <f t="shared" si="550"/>
        <v>7</v>
      </c>
      <c r="V494" s="59">
        <v>46282</v>
      </c>
      <c r="W494" s="56">
        <f t="shared" si="583"/>
        <v>38</v>
      </c>
      <c r="X494" s="56">
        <f t="shared" si="584"/>
        <v>17</v>
      </c>
      <c r="Y494" s="56" t="s">
        <v>31</v>
      </c>
      <c r="Z494" s="56">
        <v>4</v>
      </c>
      <c r="AA494" s="58">
        <f t="shared" si="596"/>
        <v>0</v>
      </c>
      <c r="AB494" s="58">
        <f t="shared" si="596"/>
        <v>1</v>
      </c>
      <c r="AC494" s="58">
        <f t="shared" si="596"/>
        <v>0</v>
      </c>
      <c r="AD494" s="58">
        <f t="shared" si="596"/>
        <v>0</v>
      </c>
      <c r="AE494" s="58">
        <f t="shared" si="596"/>
        <v>0</v>
      </c>
    </row>
    <row r="495" spans="2:34">
      <c r="B495" t="str">
        <f t="shared" si="571"/>
        <v>Sem3838Elmar Gustavo Lopez Magallon</v>
      </c>
      <c r="C495" t="str">
        <f t="shared" si="572"/>
        <v>SEPTIEMBRESem38</v>
      </c>
      <c r="D495" t="str">
        <f t="shared" si="573"/>
        <v>SEPTIEMBRESem38Elmar Gustavo Lopez Magallon</v>
      </c>
      <c r="E495" t="str">
        <f t="shared" si="574"/>
        <v>SEPTIEMBRESem3838Elmar Gustavo Lopez Magallon</v>
      </c>
      <c r="F495" t="str">
        <f t="shared" si="575"/>
        <v>Elmar Gustavo Lopez Magallon46283</v>
      </c>
      <c r="H495" s="49" t="s">
        <v>255</v>
      </c>
      <c r="I495" s="50" t="str">
        <f>+_xlfn.XLOOKUP($H495&amp;$V495,BASEDATOS!$B:$B,BASEDATOS!F:F,0,0,1)</f>
        <v>NOCHE</v>
      </c>
      <c r="J495" s="51">
        <f>+_xlfn.XLOOKUP($H495&amp;$V495,BASEDATOS!$B:$B,BASEDATOS!Q:Q,0,0,1)</f>
        <v>0.75</v>
      </c>
      <c r="K495" s="51">
        <f>+_xlfn.XLOOKUP($H495&amp;$V495,BASEDATOS!$B:$B,BASEDATOS!R:R,0,0,1)</f>
        <v>0.25</v>
      </c>
      <c r="L495" s="51">
        <f t="shared" si="576"/>
        <v>0.5</v>
      </c>
      <c r="M495" s="52" t="str">
        <f t="shared" si="577"/>
        <v>1:00</v>
      </c>
      <c r="N495" s="51">
        <f t="shared" si="578"/>
        <v>0.45833333333333331</v>
      </c>
      <c r="O495" s="53" t="str">
        <f t="shared" ref="O495" si="603">+O497</f>
        <v>1-3-3</v>
      </c>
      <c r="P495" s="54">
        <f>+IF(AND(Y495="Domingo",U495=7),_xlfn.XLOOKUP(O495,'Horarios y Sistemas'!C:C,'Horarios y Sistemas'!H:H,0,0,1),0)</f>
        <v>0</v>
      </c>
      <c r="Q495" s="54">
        <f>IF(U495=U496,0,IF(AVERAGEIF(W:W,W495,U:U)=U495,0,_xlfn.XLOOKUP(O495,'Horarios y Sistemas'!C:C,'Horarios y Sistemas'!H:H,0,0,1)-P495))/7*U495</f>
        <v>0</v>
      </c>
      <c r="R495" s="54">
        <f t="shared" si="580"/>
        <v>0</v>
      </c>
      <c r="S495" s="55" t="str">
        <f t="shared" si="581"/>
        <v>SEPTIEMBRE</v>
      </c>
      <c r="T495" s="55" t="str">
        <f t="shared" si="582"/>
        <v>Sem38</v>
      </c>
      <c r="U495" s="56">
        <f t="shared" si="550"/>
        <v>7</v>
      </c>
      <c r="V495" s="59">
        <v>46283</v>
      </c>
      <c r="W495" s="56">
        <f t="shared" si="583"/>
        <v>38</v>
      </c>
      <c r="X495" s="56">
        <f t="shared" si="584"/>
        <v>18</v>
      </c>
      <c r="Y495" s="56" t="s">
        <v>32</v>
      </c>
      <c r="Z495" s="56">
        <v>5</v>
      </c>
      <c r="AA495" s="58">
        <f t="shared" si="596"/>
        <v>0</v>
      </c>
      <c r="AB495" s="58">
        <f t="shared" si="596"/>
        <v>1</v>
      </c>
      <c r="AC495" s="58">
        <f t="shared" si="596"/>
        <v>0</v>
      </c>
      <c r="AD495" s="58">
        <f t="shared" si="596"/>
        <v>0</v>
      </c>
      <c r="AE495" s="58">
        <f t="shared" si="596"/>
        <v>0</v>
      </c>
    </row>
    <row r="496" spans="2:34">
      <c r="B496" t="str">
        <f t="shared" si="571"/>
        <v>Sem3838Elmar Gustavo Lopez Magallon</v>
      </c>
      <c r="C496" t="str">
        <f t="shared" si="572"/>
        <v>SEPTIEMBRESem38</v>
      </c>
      <c r="D496" t="str">
        <f t="shared" si="573"/>
        <v>SEPTIEMBRESem38Elmar Gustavo Lopez Magallon</v>
      </c>
      <c r="E496" t="str">
        <f t="shared" si="574"/>
        <v>SEPTIEMBRESem3838Elmar Gustavo Lopez Magallon</v>
      </c>
      <c r="F496" t="str">
        <f t="shared" si="575"/>
        <v>Elmar Gustavo Lopez Magallon46284</v>
      </c>
      <c r="H496" s="49" t="s">
        <v>255</v>
      </c>
      <c r="I496" s="50" t="str">
        <f>+_xlfn.XLOOKUP($H496&amp;$V496,BASEDATOS!$B:$B,BASEDATOS!F:F,0,0,1)</f>
        <v>DESCANSO</v>
      </c>
      <c r="J496" s="51">
        <f>+_xlfn.XLOOKUP($H496&amp;$V496,BASEDATOS!$B:$B,BASEDATOS!Q:Q,0,0,1)</f>
        <v>0</v>
      </c>
      <c r="K496" s="51">
        <f>+_xlfn.XLOOKUP($H496&amp;$V496,BASEDATOS!$B:$B,BASEDATOS!R:R,0,0,1)</f>
        <v>0</v>
      </c>
      <c r="L496" s="51">
        <f t="shared" si="576"/>
        <v>0</v>
      </c>
      <c r="M496" s="52">
        <f t="shared" si="577"/>
        <v>0</v>
      </c>
      <c r="N496" s="51">
        <f t="shared" si="578"/>
        <v>0</v>
      </c>
      <c r="O496" s="53" t="str">
        <f t="shared" ref="O496" si="604">+O497</f>
        <v>1-3-3</v>
      </c>
      <c r="P496" s="54">
        <f>+IF(AND(Y496="Domingo",U496=7),_xlfn.XLOOKUP(O496,'Horarios y Sistemas'!C:C,'Horarios y Sistemas'!H:H,0,0,1),0)</f>
        <v>0</v>
      </c>
      <c r="Q496" s="54">
        <f>IF(U496=U497,0,IF(AVERAGEIF(W:W,W496,U:U)=U496,0,_xlfn.XLOOKUP(O496,'Horarios y Sistemas'!C:C,'Horarios y Sistemas'!H:H,0,0,1)-P496))/7*U496</f>
        <v>0</v>
      </c>
      <c r="R496" s="54">
        <f t="shared" si="580"/>
        <v>0</v>
      </c>
      <c r="S496" s="55" t="str">
        <f t="shared" si="581"/>
        <v>SEPTIEMBRE</v>
      </c>
      <c r="T496" s="55" t="str">
        <f t="shared" si="582"/>
        <v>Sem38</v>
      </c>
      <c r="U496" s="56">
        <f t="shared" si="550"/>
        <v>7</v>
      </c>
      <c r="V496" s="59">
        <v>46284</v>
      </c>
      <c r="W496" s="56">
        <f t="shared" si="583"/>
        <v>38</v>
      </c>
      <c r="X496" s="56">
        <f t="shared" si="584"/>
        <v>19</v>
      </c>
      <c r="Y496" s="56" t="s">
        <v>33</v>
      </c>
      <c r="Z496" s="56">
        <v>6</v>
      </c>
      <c r="AA496" s="58">
        <f t="shared" si="596"/>
        <v>0</v>
      </c>
      <c r="AB496" s="58">
        <f t="shared" si="596"/>
        <v>0</v>
      </c>
      <c r="AC496" s="58">
        <f t="shared" si="596"/>
        <v>1</v>
      </c>
      <c r="AD496" s="58">
        <f t="shared" si="596"/>
        <v>0</v>
      </c>
      <c r="AE496" s="58">
        <f t="shared" si="596"/>
        <v>0</v>
      </c>
    </row>
    <row r="497" spans="2:34" s="60" customFormat="1">
      <c r="B497" s="60" t="str">
        <f t="shared" si="571"/>
        <v>Sem3838Elmar Gustavo Lopez Magallon</v>
      </c>
      <c r="C497" s="60" t="str">
        <f t="shared" si="572"/>
        <v>SEPTIEMBRESem38</v>
      </c>
      <c r="D497" s="60" t="str">
        <f t="shared" si="573"/>
        <v>SEPTIEMBRESem38Elmar Gustavo Lopez Magallon</v>
      </c>
      <c r="E497" s="60" t="str">
        <f t="shared" si="574"/>
        <v>SEPTIEMBRESem3838Elmar Gustavo Lopez Magallon</v>
      </c>
      <c r="F497" s="60" t="str">
        <f t="shared" si="575"/>
        <v>Elmar Gustavo Lopez Magallon46285</v>
      </c>
      <c r="H497" s="61" t="s">
        <v>255</v>
      </c>
      <c r="I497" s="62" t="str">
        <f>+_xlfn.XLOOKUP($H497&amp;$V497,BASEDATOS!$B:$B,BASEDATOS!F:F,0,0,1)</f>
        <v>DESCANSO</v>
      </c>
      <c r="J497" s="63">
        <f>+_xlfn.XLOOKUP($H497&amp;$V497,BASEDATOS!$B:$B,BASEDATOS!Q:Q,0,0,1)</f>
        <v>0</v>
      </c>
      <c r="K497" s="63">
        <f>+_xlfn.XLOOKUP($H497&amp;$V497,BASEDATOS!$B:$B,BASEDATOS!R:R,0,0,1)</f>
        <v>0</v>
      </c>
      <c r="L497" s="63">
        <f t="shared" si="576"/>
        <v>0</v>
      </c>
      <c r="M497" s="64">
        <f t="shared" si="577"/>
        <v>0</v>
      </c>
      <c r="N497" s="63">
        <f t="shared" si="578"/>
        <v>0</v>
      </c>
      <c r="O497" s="65" t="str">
        <f t="shared" ref="O497" si="605">+IF(Y497="Domingo",SUM(AA491:AA497)&amp;"-"&amp;SUM(AB491:AB497)&amp;"-"&amp;SUM(AC491:AE497),"")</f>
        <v>1-3-3</v>
      </c>
      <c r="P497" s="66">
        <f>+IF(AND(Y497="Domingo",U497=7),_xlfn.XLOOKUP(O497,'Horarios y Sistemas'!C:C,'Horarios y Sistemas'!H:H,0,0,1),0)</f>
        <v>38</v>
      </c>
      <c r="Q497" s="66">
        <f>IF(U497=U498,0,IF(AVERAGEIF(W:W,W497,U:U)=U497,0,_xlfn.XLOOKUP(O497,'Horarios y Sistemas'!C:C,'Horarios y Sistemas'!H:H,0,0,1)-P497))/7*U497</f>
        <v>0</v>
      </c>
      <c r="R497" s="66">
        <f t="shared" si="580"/>
        <v>38</v>
      </c>
      <c r="S497" s="67" t="str">
        <f t="shared" si="581"/>
        <v>SEPTIEMBRE</v>
      </c>
      <c r="T497" s="55" t="str">
        <f t="shared" si="582"/>
        <v>Sem38</v>
      </c>
      <c r="U497" s="68">
        <f t="shared" si="550"/>
        <v>7</v>
      </c>
      <c r="V497" s="69">
        <v>46285</v>
      </c>
      <c r="W497" s="68">
        <f t="shared" si="583"/>
        <v>38</v>
      </c>
      <c r="X497" s="68">
        <f t="shared" si="584"/>
        <v>20</v>
      </c>
      <c r="Y497" s="68" t="s">
        <v>34</v>
      </c>
      <c r="Z497" s="68">
        <v>7</v>
      </c>
      <c r="AA497" s="70">
        <f t="shared" si="596"/>
        <v>0</v>
      </c>
      <c r="AB497" s="70">
        <f t="shared" si="596"/>
        <v>0</v>
      </c>
      <c r="AC497" s="70">
        <f t="shared" si="596"/>
        <v>1</v>
      </c>
      <c r="AD497" s="70">
        <f t="shared" si="596"/>
        <v>0</v>
      </c>
      <c r="AE497" s="70">
        <f t="shared" si="596"/>
        <v>0</v>
      </c>
      <c r="AF497" s="71"/>
      <c r="AG497" s="71"/>
      <c r="AH497" s="71"/>
    </row>
    <row r="498" spans="2:34">
      <c r="B498" t="str">
        <f t="shared" si="571"/>
        <v>Sem3939Elmar Gustavo Lopez Magallon</v>
      </c>
      <c r="C498" t="str">
        <f t="shared" si="572"/>
        <v>SEPTIEMBRESem39</v>
      </c>
      <c r="D498" t="str">
        <f t="shared" si="573"/>
        <v>SEPTIEMBRESem39Elmar Gustavo Lopez Magallon</v>
      </c>
      <c r="E498" t="str">
        <f t="shared" si="574"/>
        <v>SEPTIEMBRESem3939Elmar Gustavo Lopez Magallon</v>
      </c>
      <c r="F498" t="str">
        <f t="shared" si="575"/>
        <v>Elmar Gustavo Lopez Magallon46286</v>
      </c>
      <c r="H498" s="49" t="s">
        <v>255</v>
      </c>
      <c r="I498" s="50" t="str">
        <f>+_xlfn.XLOOKUP($H498&amp;$V498,BASEDATOS!$B:$B,BASEDATOS!F:F,0,0,1)</f>
        <v>DIA</v>
      </c>
      <c r="J498" s="51">
        <f>+_xlfn.XLOOKUP($H498&amp;$V498,BASEDATOS!$B:$B,BASEDATOS!Q:Q,0,0,1)</f>
        <v>0.33333333333333298</v>
      </c>
      <c r="K498" s="51">
        <f>+_xlfn.XLOOKUP($H498&amp;$V498,BASEDATOS!$B:$B,BASEDATOS!R:R,0,0,1)</f>
        <v>0.70833333333333304</v>
      </c>
      <c r="L498" s="51">
        <f t="shared" si="576"/>
        <v>0.37500000000000006</v>
      </c>
      <c r="M498" s="52" t="str">
        <f t="shared" si="577"/>
        <v>1:00</v>
      </c>
      <c r="N498" s="51">
        <f t="shared" si="578"/>
        <v>0.33333333333333337</v>
      </c>
      <c r="O498" s="53" t="str">
        <f t="shared" ref="O498" si="606">+O504</f>
        <v>3-2-2</v>
      </c>
      <c r="P498" s="54">
        <f>+IF(AND(Y498="Domingo",U498=7),_xlfn.XLOOKUP(O498,'Horarios y Sistemas'!C:C,'Horarios y Sistemas'!H:H,0,0,1),0)</f>
        <v>0</v>
      </c>
      <c r="Q498" s="54">
        <f>IF(U498=U499,0,IF(AVERAGEIF(W:W,W498,U:U)=U498,0,_xlfn.XLOOKUP(O498,'Horarios y Sistemas'!C:C,'Horarios y Sistemas'!H:H,0,0,1)-P498))/7*U498</f>
        <v>0</v>
      </c>
      <c r="R498" s="54">
        <f t="shared" si="580"/>
        <v>0</v>
      </c>
      <c r="S498" s="55" t="str">
        <f t="shared" si="581"/>
        <v>SEPTIEMBRE</v>
      </c>
      <c r="T498" s="55" t="str">
        <f t="shared" si="582"/>
        <v>Sem39</v>
      </c>
      <c r="U498" s="56">
        <f t="shared" si="550"/>
        <v>7</v>
      </c>
      <c r="V498" s="59">
        <v>46286</v>
      </c>
      <c r="W498" s="56">
        <f t="shared" si="583"/>
        <v>39</v>
      </c>
      <c r="X498" s="56">
        <f t="shared" si="584"/>
        <v>21</v>
      </c>
      <c r="Y498" s="56" t="s">
        <v>28</v>
      </c>
      <c r="Z498" s="56">
        <v>1</v>
      </c>
      <c r="AA498" s="58">
        <f t="shared" si="596"/>
        <v>1</v>
      </c>
      <c r="AB498" s="58">
        <f t="shared" si="596"/>
        <v>0</v>
      </c>
      <c r="AC498" s="58">
        <f t="shared" si="596"/>
        <v>0</v>
      </c>
      <c r="AD498" s="58">
        <f t="shared" si="596"/>
        <v>0</v>
      </c>
      <c r="AE498" s="58">
        <f t="shared" si="596"/>
        <v>0</v>
      </c>
    </row>
    <row r="499" spans="2:34">
      <c r="B499" t="str">
        <f t="shared" si="571"/>
        <v>Sem3939Elmar Gustavo Lopez Magallon</v>
      </c>
      <c r="C499" t="str">
        <f t="shared" si="572"/>
        <v>SEPTIEMBRESem39</v>
      </c>
      <c r="D499" t="str">
        <f t="shared" si="573"/>
        <v>SEPTIEMBRESem39Elmar Gustavo Lopez Magallon</v>
      </c>
      <c r="E499" t="str">
        <f t="shared" si="574"/>
        <v>SEPTIEMBRESem3939Elmar Gustavo Lopez Magallon</v>
      </c>
      <c r="F499" t="str">
        <f t="shared" si="575"/>
        <v>Elmar Gustavo Lopez Magallon46287</v>
      </c>
      <c r="H499" s="49" t="s">
        <v>255</v>
      </c>
      <c r="I499" s="50" t="str">
        <f>+_xlfn.XLOOKUP($H499&amp;$V499,BASEDATOS!$B:$B,BASEDATOS!F:F,0,0,1)</f>
        <v>DIA</v>
      </c>
      <c r="J499" s="51">
        <f>+_xlfn.XLOOKUP($H499&amp;$V499,BASEDATOS!$B:$B,BASEDATOS!Q:Q,0,0,1)</f>
        <v>0.33333333333333298</v>
      </c>
      <c r="K499" s="51">
        <f>+_xlfn.XLOOKUP($H499&amp;$V499,BASEDATOS!$B:$B,BASEDATOS!R:R,0,0,1)</f>
        <v>0.70833333333333304</v>
      </c>
      <c r="L499" s="51">
        <f t="shared" si="576"/>
        <v>0.37500000000000006</v>
      </c>
      <c r="M499" s="52" t="str">
        <f t="shared" si="577"/>
        <v>1:00</v>
      </c>
      <c r="N499" s="51">
        <f t="shared" si="578"/>
        <v>0.33333333333333337</v>
      </c>
      <c r="O499" s="53" t="str">
        <f t="shared" ref="O499" si="607">+O504</f>
        <v>3-2-2</v>
      </c>
      <c r="P499" s="54">
        <f>+IF(AND(Y499="Domingo",U499=7),_xlfn.XLOOKUP(O499,'Horarios y Sistemas'!C:C,'Horarios y Sistemas'!H:H,0,0,1),0)</f>
        <v>0</v>
      </c>
      <c r="Q499" s="54">
        <f>IF(U499=U500,0,IF(AVERAGEIF(W:W,W499,U:U)=U499,0,_xlfn.XLOOKUP(O499,'Horarios y Sistemas'!C:C,'Horarios y Sistemas'!H:H,0,0,1)-P499))/7*U499</f>
        <v>0</v>
      </c>
      <c r="R499" s="54">
        <f t="shared" si="580"/>
        <v>0</v>
      </c>
      <c r="S499" s="55" t="str">
        <f t="shared" si="581"/>
        <v>SEPTIEMBRE</v>
      </c>
      <c r="T499" s="55" t="str">
        <f t="shared" si="582"/>
        <v>Sem39</v>
      </c>
      <c r="U499" s="56">
        <f t="shared" si="550"/>
        <v>7</v>
      </c>
      <c r="V499" s="59">
        <v>46287</v>
      </c>
      <c r="W499" s="56">
        <f t="shared" si="583"/>
        <v>39</v>
      </c>
      <c r="X499" s="56">
        <f t="shared" si="584"/>
        <v>22</v>
      </c>
      <c r="Y499" s="56" t="s">
        <v>29</v>
      </c>
      <c r="Z499" s="56">
        <v>2</v>
      </c>
      <c r="AA499" s="58">
        <f t="shared" si="596"/>
        <v>1</v>
      </c>
      <c r="AB499" s="58">
        <f t="shared" si="596"/>
        <v>0</v>
      </c>
      <c r="AC499" s="58">
        <f t="shared" si="596"/>
        <v>0</v>
      </c>
      <c r="AD499" s="58">
        <f t="shared" si="596"/>
        <v>0</v>
      </c>
      <c r="AE499" s="58">
        <f t="shared" si="596"/>
        <v>0</v>
      </c>
    </row>
    <row r="500" spans="2:34">
      <c r="B500" t="str">
        <f t="shared" si="571"/>
        <v>Sem3939Elmar Gustavo Lopez Magallon</v>
      </c>
      <c r="C500" t="str">
        <f t="shared" si="572"/>
        <v>SEPTIEMBRESem39</v>
      </c>
      <c r="D500" t="str">
        <f t="shared" si="573"/>
        <v>SEPTIEMBRESem39Elmar Gustavo Lopez Magallon</v>
      </c>
      <c r="E500" t="str">
        <f t="shared" si="574"/>
        <v>SEPTIEMBRESem3939Elmar Gustavo Lopez Magallon</v>
      </c>
      <c r="F500" t="str">
        <f t="shared" si="575"/>
        <v>Elmar Gustavo Lopez Magallon46288</v>
      </c>
      <c r="H500" s="49" t="s">
        <v>255</v>
      </c>
      <c r="I500" s="50" t="str">
        <f>+_xlfn.XLOOKUP($H500&amp;$V500,BASEDATOS!$B:$B,BASEDATOS!F:F,0,0,1)</f>
        <v>DIA</v>
      </c>
      <c r="J500" s="51">
        <f>+_xlfn.XLOOKUP($H500&amp;$V500,BASEDATOS!$B:$B,BASEDATOS!Q:Q,0,0,1)</f>
        <v>0.33333333333333298</v>
      </c>
      <c r="K500" s="51">
        <f>+_xlfn.XLOOKUP($H500&amp;$V500,BASEDATOS!$B:$B,BASEDATOS!R:R,0,0,1)</f>
        <v>0.70833333333333304</v>
      </c>
      <c r="L500" s="51">
        <f t="shared" si="576"/>
        <v>0.37500000000000006</v>
      </c>
      <c r="M500" s="52" t="str">
        <f t="shared" si="577"/>
        <v>1:00</v>
      </c>
      <c r="N500" s="51">
        <f t="shared" si="578"/>
        <v>0.33333333333333337</v>
      </c>
      <c r="O500" s="53" t="str">
        <f t="shared" ref="O500" si="608">+O504</f>
        <v>3-2-2</v>
      </c>
      <c r="P500" s="54">
        <f>+IF(AND(Y500="Domingo",U500=7),_xlfn.XLOOKUP(O500,'Horarios y Sistemas'!C:C,'Horarios y Sistemas'!H:H,0,0,1),0)</f>
        <v>0</v>
      </c>
      <c r="Q500" s="54">
        <f>IF(U500=U501,0,IF(AVERAGEIF(W:W,W500,U:U)=U500,0,_xlfn.XLOOKUP(O500,'Horarios y Sistemas'!C:C,'Horarios y Sistemas'!H:H,0,0,1)-P500))/7*U500</f>
        <v>0</v>
      </c>
      <c r="R500" s="54">
        <f t="shared" si="580"/>
        <v>0</v>
      </c>
      <c r="S500" s="55" t="str">
        <f t="shared" si="581"/>
        <v>SEPTIEMBRE</v>
      </c>
      <c r="T500" s="55" t="str">
        <f t="shared" si="582"/>
        <v>Sem39</v>
      </c>
      <c r="U500" s="56">
        <f t="shared" si="550"/>
        <v>7</v>
      </c>
      <c r="V500" s="59">
        <v>46288</v>
      </c>
      <c r="W500" s="56">
        <f t="shared" si="583"/>
        <v>39</v>
      </c>
      <c r="X500" s="56">
        <f t="shared" si="584"/>
        <v>23</v>
      </c>
      <c r="Y500" s="56" t="s">
        <v>30</v>
      </c>
      <c r="Z500" s="56">
        <v>3</v>
      </c>
      <c r="AA500" s="58">
        <f t="shared" si="596"/>
        <v>1</v>
      </c>
      <c r="AB500" s="58">
        <f t="shared" si="596"/>
        <v>0</v>
      </c>
      <c r="AC500" s="58">
        <f t="shared" si="596"/>
        <v>0</v>
      </c>
      <c r="AD500" s="58">
        <f t="shared" si="596"/>
        <v>0</v>
      </c>
      <c r="AE500" s="58">
        <f t="shared" si="596"/>
        <v>0</v>
      </c>
    </row>
    <row r="501" spans="2:34">
      <c r="B501" t="str">
        <f t="shared" si="571"/>
        <v>Sem3939Elmar Gustavo Lopez Magallon</v>
      </c>
      <c r="C501" t="str">
        <f t="shared" si="572"/>
        <v>SEPTIEMBRESem39</v>
      </c>
      <c r="D501" t="str">
        <f t="shared" si="573"/>
        <v>SEPTIEMBRESem39Elmar Gustavo Lopez Magallon</v>
      </c>
      <c r="E501" t="str">
        <f t="shared" si="574"/>
        <v>SEPTIEMBRESem3939Elmar Gustavo Lopez Magallon</v>
      </c>
      <c r="F501" t="str">
        <f t="shared" si="575"/>
        <v>Elmar Gustavo Lopez Magallon46289</v>
      </c>
      <c r="H501" s="49" t="s">
        <v>255</v>
      </c>
      <c r="I501" s="50" t="str">
        <f>+_xlfn.XLOOKUP($H501&amp;$V501,BASEDATOS!$B:$B,BASEDATOS!F:F,0,0,1)</f>
        <v>NOCHE</v>
      </c>
      <c r="J501" s="51">
        <f>+_xlfn.XLOOKUP($H501&amp;$V501,BASEDATOS!$B:$B,BASEDATOS!Q:Q,0,0,1)</f>
        <v>0.75</v>
      </c>
      <c r="K501" s="51">
        <f>+_xlfn.XLOOKUP($H501&amp;$V501,BASEDATOS!$B:$B,BASEDATOS!R:R,0,0,1)</f>
        <v>0.25</v>
      </c>
      <c r="L501" s="51">
        <f t="shared" si="576"/>
        <v>0.5</v>
      </c>
      <c r="M501" s="52" t="str">
        <f t="shared" si="577"/>
        <v>1:00</v>
      </c>
      <c r="N501" s="51">
        <f t="shared" si="578"/>
        <v>0.45833333333333331</v>
      </c>
      <c r="O501" s="53" t="str">
        <f t="shared" ref="O501" si="609">+O504</f>
        <v>3-2-2</v>
      </c>
      <c r="P501" s="54">
        <f>+IF(AND(Y501="Domingo",U501=7),_xlfn.XLOOKUP(O501,'Horarios y Sistemas'!C:C,'Horarios y Sistemas'!H:H,0,0,1),0)</f>
        <v>0</v>
      </c>
      <c r="Q501" s="54">
        <f>IF(U501=U502,0,IF(AVERAGEIF(W:W,W501,U:U)=U501,0,_xlfn.XLOOKUP(O501,'Horarios y Sistemas'!C:C,'Horarios y Sistemas'!H:H,0,0,1)-P501))/7*U501</f>
        <v>0</v>
      </c>
      <c r="R501" s="54">
        <f t="shared" si="580"/>
        <v>0</v>
      </c>
      <c r="S501" s="55" t="str">
        <f t="shared" si="581"/>
        <v>SEPTIEMBRE</v>
      </c>
      <c r="T501" s="55" t="str">
        <f t="shared" si="582"/>
        <v>Sem39</v>
      </c>
      <c r="U501" s="56">
        <f t="shared" si="550"/>
        <v>7</v>
      </c>
      <c r="V501" s="59">
        <v>46289</v>
      </c>
      <c r="W501" s="56">
        <f t="shared" si="583"/>
        <v>39</v>
      </c>
      <c r="X501" s="56">
        <f t="shared" si="584"/>
        <v>24</v>
      </c>
      <c r="Y501" s="56" t="s">
        <v>31</v>
      </c>
      <c r="Z501" s="56">
        <v>4</v>
      </c>
      <c r="AA501" s="58">
        <f t="shared" si="596"/>
        <v>0</v>
      </c>
      <c r="AB501" s="58">
        <f t="shared" si="596"/>
        <v>1</v>
      </c>
      <c r="AC501" s="58">
        <f t="shared" si="596"/>
        <v>0</v>
      </c>
      <c r="AD501" s="58">
        <f t="shared" si="596"/>
        <v>0</v>
      </c>
      <c r="AE501" s="58">
        <f t="shared" si="596"/>
        <v>0</v>
      </c>
    </row>
    <row r="502" spans="2:34">
      <c r="B502" t="str">
        <f t="shared" si="571"/>
        <v>Sem3939Elmar Gustavo Lopez Magallon</v>
      </c>
      <c r="C502" t="str">
        <f t="shared" si="572"/>
        <v>SEPTIEMBRESem39</v>
      </c>
      <c r="D502" t="str">
        <f t="shared" si="573"/>
        <v>SEPTIEMBRESem39Elmar Gustavo Lopez Magallon</v>
      </c>
      <c r="E502" t="str">
        <f t="shared" si="574"/>
        <v>SEPTIEMBRESem3939Elmar Gustavo Lopez Magallon</v>
      </c>
      <c r="F502" t="str">
        <f t="shared" si="575"/>
        <v>Elmar Gustavo Lopez Magallon46290</v>
      </c>
      <c r="H502" s="49" t="s">
        <v>255</v>
      </c>
      <c r="I502" s="50" t="str">
        <f>+_xlfn.XLOOKUP($H502&amp;$V502,BASEDATOS!$B:$B,BASEDATOS!F:F,0,0,1)</f>
        <v>NOCHE</v>
      </c>
      <c r="J502" s="51">
        <f>+_xlfn.XLOOKUP($H502&amp;$V502,BASEDATOS!$B:$B,BASEDATOS!Q:Q,0,0,1)</f>
        <v>0.75</v>
      </c>
      <c r="K502" s="51">
        <f>+_xlfn.XLOOKUP($H502&amp;$V502,BASEDATOS!$B:$B,BASEDATOS!R:R,0,0,1)</f>
        <v>0.25</v>
      </c>
      <c r="L502" s="51">
        <f t="shared" si="576"/>
        <v>0.5</v>
      </c>
      <c r="M502" s="52" t="str">
        <f t="shared" si="577"/>
        <v>1:00</v>
      </c>
      <c r="N502" s="51">
        <f t="shared" si="578"/>
        <v>0.45833333333333331</v>
      </c>
      <c r="O502" s="53" t="str">
        <f t="shared" ref="O502" si="610">+O504</f>
        <v>3-2-2</v>
      </c>
      <c r="P502" s="54">
        <f>+IF(AND(Y502="Domingo",U502=7),_xlfn.XLOOKUP(O502,'Horarios y Sistemas'!C:C,'Horarios y Sistemas'!H:H,0,0,1),0)</f>
        <v>0</v>
      </c>
      <c r="Q502" s="54">
        <f>IF(U502=U503,0,IF(AVERAGEIF(W:W,W502,U:U)=U502,0,_xlfn.XLOOKUP(O502,'Horarios y Sistemas'!C:C,'Horarios y Sistemas'!H:H,0,0,1)-P502))/7*U502</f>
        <v>0</v>
      </c>
      <c r="R502" s="54">
        <f t="shared" si="580"/>
        <v>0</v>
      </c>
      <c r="S502" s="55" t="str">
        <f t="shared" si="581"/>
        <v>SEPTIEMBRE</v>
      </c>
      <c r="T502" s="55" t="str">
        <f t="shared" si="582"/>
        <v>Sem39</v>
      </c>
      <c r="U502" s="56">
        <f t="shared" si="550"/>
        <v>7</v>
      </c>
      <c r="V502" s="59">
        <v>46290</v>
      </c>
      <c r="W502" s="56">
        <f t="shared" si="583"/>
        <v>39</v>
      </c>
      <c r="X502" s="56">
        <f t="shared" si="584"/>
        <v>25</v>
      </c>
      <c r="Y502" s="56" t="s">
        <v>32</v>
      </c>
      <c r="Z502" s="56">
        <v>5</v>
      </c>
      <c r="AA502" s="58">
        <f t="shared" si="596"/>
        <v>0</v>
      </c>
      <c r="AB502" s="58">
        <f t="shared" si="596"/>
        <v>1</v>
      </c>
      <c r="AC502" s="58">
        <f t="shared" si="596"/>
        <v>0</v>
      </c>
      <c r="AD502" s="58">
        <f t="shared" si="596"/>
        <v>0</v>
      </c>
      <c r="AE502" s="58">
        <f t="shared" si="596"/>
        <v>0</v>
      </c>
    </row>
    <row r="503" spans="2:34">
      <c r="B503" t="str">
        <f t="shared" si="571"/>
        <v>Sem3939Elmar Gustavo Lopez Magallon</v>
      </c>
      <c r="C503" t="str">
        <f t="shared" si="572"/>
        <v>SEPTIEMBRESem39</v>
      </c>
      <c r="D503" t="str">
        <f t="shared" si="573"/>
        <v>SEPTIEMBRESem39Elmar Gustavo Lopez Magallon</v>
      </c>
      <c r="E503" t="str">
        <f t="shared" si="574"/>
        <v>SEPTIEMBRESem3939Elmar Gustavo Lopez Magallon</v>
      </c>
      <c r="F503" t="str">
        <f t="shared" si="575"/>
        <v>Elmar Gustavo Lopez Magallon46291</v>
      </c>
      <c r="H503" s="49" t="s">
        <v>255</v>
      </c>
      <c r="I503" s="50" t="str">
        <f>+_xlfn.XLOOKUP($H503&amp;$V503,BASEDATOS!$B:$B,BASEDATOS!F:F,0,0,1)</f>
        <v>DESCANSO</v>
      </c>
      <c r="J503" s="51">
        <f>+_xlfn.XLOOKUP($H503&amp;$V503,BASEDATOS!$B:$B,BASEDATOS!Q:Q,0,0,1)</f>
        <v>0</v>
      </c>
      <c r="K503" s="51">
        <f>+_xlfn.XLOOKUP($H503&amp;$V503,BASEDATOS!$B:$B,BASEDATOS!R:R,0,0,1)</f>
        <v>0</v>
      </c>
      <c r="L503" s="51">
        <f t="shared" si="576"/>
        <v>0</v>
      </c>
      <c r="M503" s="52">
        <f t="shared" si="577"/>
        <v>0</v>
      </c>
      <c r="N503" s="51">
        <f t="shared" si="578"/>
        <v>0</v>
      </c>
      <c r="O503" s="53" t="str">
        <f t="shared" ref="O503" si="611">+O504</f>
        <v>3-2-2</v>
      </c>
      <c r="P503" s="54">
        <f>+IF(AND(Y503="Domingo",U503=7),_xlfn.XLOOKUP(O503,'Horarios y Sistemas'!C:C,'Horarios y Sistemas'!H:H,0,0,1),0)</f>
        <v>0</v>
      </c>
      <c r="Q503" s="54">
        <f>IF(U503=U504,0,IF(AVERAGEIF(W:W,W503,U:U)=U503,0,_xlfn.XLOOKUP(O503,'Horarios y Sistemas'!C:C,'Horarios y Sistemas'!H:H,0,0,1)-P503))/7*U503</f>
        <v>0</v>
      </c>
      <c r="R503" s="54">
        <f t="shared" si="580"/>
        <v>0</v>
      </c>
      <c r="S503" s="55" t="str">
        <f t="shared" si="581"/>
        <v>SEPTIEMBRE</v>
      </c>
      <c r="T503" s="55" t="str">
        <f t="shared" si="582"/>
        <v>Sem39</v>
      </c>
      <c r="U503" s="56">
        <f t="shared" si="550"/>
        <v>7</v>
      </c>
      <c r="V503" s="59">
        <v>46291</v>
      </c>
      <c r="W503" s="56">
        <f t="shared" si="583"/>
        <v>39</v>
      </c>
      <c r="X503" s="56">
        <f t="shared" si="584"/>
        <v>26</v>
      </c>
      <c r="Y503" s="56" t="s">
        <v>33</v>
      </c>
      <c r="Z503" s="56">
        <v>6</v>
      </c>
      <c r="AA503" s="58">
        <f t="shared" si="596"/>
        <v>0</v>
      </c>
      <c r="AB503" s="58">
        <f t="shared" si="596"/>
        <v>0</v>
      </c>
      <c r="AC503" s="58">
        <f t="shared" si="596"/>
        <v>1</v>
      </c>
      <c r="AD503" s="58">
        <f t="shared" si="596"/>
        <v>0</v>
      </c>
      <c r="AE503" s="58">
        <f t="shared" si="596"/>
        <v>0</v>
      </c>
    </row>
    <row r="504" spans="2:34" s="60" customFormat="1">
      <c r="B504" s="60" t="str">
        <f t="shared" si="571"/>
        <v>Sem3939Elmar Gustavo Lopez Magallon</v>
      </c>
      <c r="C504" s="60" t="str">
        <f t="shared" si="572"/>
        <v>SEPTIEMBRESem39</v>
      </c>
      <c r="D504" s="60" t="str">
        <f t="shared" si="573"/>
        <v>SEPTIEMBRESem39Elmar Gustavo Lopez Magallon</v>
      </c>
      <c r="E504" s="60" t="str">
        <f t="shared" si="574"/>
        <v>SEPTIEMBRESem3939Elmar Gustavo Lopez Magallon</v>
      </c>
      <c r="F504" s="60" t="str">
        <f t="shared" si="575"/>
        <v>Elmar Gustavo Lopez Magallon46292</v>
      </c>
      <c r="H504" s="61" t="s">
        <v>255</v>
      </c>
      <c r="I504" s="62" t="str">
        <f>+_xlfn.XLOOKUP($H504&amp;$V504,BASEDATOS!$B:$B,BASEDATOS!F:F,0,0,1)</f>
        <v>DESCANSO</v>
      </c>
      <c r="J504" s="63">
        <f>+_xlfn.XLOOKUP($H504&amp;$V504,BASEDATOS!$B:$B,BASEDATOS!Q:Q,0,0,1)</f>
        <v>0</v>
      </c>
      <c r="K504" s="63">
        <f>+_xlfn.XLOOKUP($H504&amp;$V504,BASEDATOS!$B:$B,BASEDATOS!R:R,0,0,1)</f>
        <v>0</v>
      </c>
      <c r="L504" s="63">
        <f t="shared" si="576"/>
        <v>0</v>
      </c>
      <c r="M504" s="64">
        <f t="shared" si="577"/>
        <v>0</v>
      </c>
      <c r="N504" s="63">
        <f t="shared" si="578"/>
        <v>0</v>
      </c>
      <c r="O504" s="65" t="str">
        <f t="shared" ref="O504" si="612">+IF(Y504="Domingo",SUM(AA498:AA504)&amp;"-"&amp;SUM(AB498:AB504)&amp;"-"&amp;SUM(AC498:AE504),"")</f>
        <v>3-2-2</v>
      </c>
      <c r="P504" s="66">
        <f>+IF(AND(Y504="Domingo",U504=7),_xlfn.XLOOKUP(O504,'Horarios y Sistemas'!C:C,'Horarios y Sistemas'!H:H,0,0,1),0)</f>
        <v>0</v>
      </c>
      <c r="Q504" s="66">
        <f>IF(U504=U505,0,IF(AVERAGEIF(W:W,W504,U:U)=U504,0,_xlfn.XLOOKUP(O504,'Horarios y Sistemas'!C:C,'Horarios y Sistemas'!H:H,0,0,1)-P504))/7*U504</f>
        <v>0</v>
      </c>
      <c r="R504" s="66">
        <f t="shared" si="580"/>
        <v>0</v>
      </c>
      <c r="S504" s="67" t="str">
        <f t="shared" si="581"/>
        <v>SEPTIEMBRE</v>
      </c>
      <c r="T504" s="55" t="str">
        <f t="shared" si="582"/>
        <v>Sem39</v>
      </c>
      <c r="U504" s="68">
        <f t="shared" si="550"/>
        <v>7</v>
      </c>
      <c r="V504" s="69">
        <v>46292</v>
      </c>
      <c r="W504" s="68">
        <f t="shared" si="583"/>
        <v>39</v>
      </c>
      <c r="X504" s="68">
        <f t="shared" si="584"/>
        <v>27</v>
      </c>
      <c r="Y504" s="68" t="s">
        <v>34</v>
      </c>
      <c r="Z504" s="68">
        <v>7</v>
      </c>
      <c r="AA504" s="70">
        <f t="shared" si="596"/>
        <v>0</v>
      </c>
      <c r="AB504" s="70">
        <f t="shared" si="596"/>
        <v>0</v>
      </c>
      <c r="AC504" s="70">
        <f t="shared" si="596"/>
        <v>1</v>
      </c>
      <c r="AD504" s="70">
        <f t="shared" si="596"/>
        <v>0</v>
      </c>
      <c r="AE504" s="70">
        <f t="shared" si="596"/>
        <v>0</v>
      </c>
      <c r="AF504" s="71"/>
      <c r="AG504" s="71"/>
      <c r="AH504" s="71"/>
    </row>
    <row r="505" spans="2:34">
      <c r="B505" t="str">
        <f t="shared" si="571"/>
        <v>Sem4040Elmar Gustavo Lopez Magallon</v>
      </c>
      <c r="C505" t="str">
        <f t="shared" si="572"/>
        <v>SEPTIEMBRESem40</v>
      </c>
      <c r="D505" t="str">
        <f t="shared" si="573"/>
        <v>SEPTIEMBRESem40Elmar Gustavo Lopez Magallon</v>
      </c>
      <c r="E505" t="str">
        <f t="shared" si="574"/>
        <v>SEPTIEMBRESem4040Elmar Gustavo Lopez Magallon</v>
      </c>
      <c r="F505" t="str">
        <f t="shared" si="575"/>
        <v>Elmar Gustavo Lopez Magallon46293</v>
      </c>
      <c r="H505" s="49" t="s">
        <v>255</v>
      </c>
      <c r="I505" s="50" t="str">
        <f>+_xlfn.XLOOKUP($H505&amp;$V505,BASEDATOS!$B:$B,BASEDATOS!F:F,0,0,1)</f>
        <v>NOCHE</v>
      </c>
      <c r="J505" s="51">
        <f>+_xlfn.XLOOKUP($H505&amp;$V505,BASEDATOS!$B:$B,BASEDATOS!Q:Q,0,0,1)</f>
        <v>0.75</v>
      </c>
      <c r="K505" s="51">
        <f>+_xlfn.XLOOKUP($H505&amp;$V505,BASEDATOS!$B:$B,BASEDATOS!R:R,0,0,1)</f>
        <v>0.25</v>
      </c>
      <c r="L505" s="51">
        <f t="shared" si="576"/>
        <v>0.5</v>
      </c>
      <c r="M505" s="52" t="str">
        <f t="shared" si="577"/>
        <v>1:00</v>
      </c>
      <c r="N505" s="51">
        <f t="shared" si="578"/>
        <v>0.45833333333333331</v>
      </c>
      <c r="O505" s="53" t="str">
        <f t="shared" ref="O505" si="613">+O511</f>
        <v>1-4-2</v>
      </c>
      <c r="P505" s="54">
        <f>+IF(AND(Y505="Domingo",U505=7),_xlfn.XLOOKUP(O505,'Horarios y Sistemas'!C:C,'Horarios y Sistemas'!H:H,0,0,1),0)</f>
        <v>0</v>
      </c>
      <c r="Q505" s="54">
        <f>IF(U505=U506,0,IF(AVERAGEIF(W:W,W505,U:U)=U505,0,_xlfn.XLOOKUP(O505,'Horarios y Sistemas'!C:C,'Horarios y Sistemas'!H:H,0,0,1)-P505))/7*U505</f>
        <v>0</v>
      </c>
      <c r="R505" s="54">
        <f t="shared" si="580"/>
        <v>0</v>
      </c>
      <c r="S505" s="55" t="str">
        <f t="shared" si="581"/>
        <v>SEPTIEMBRE</v>
      </c>
      <c r="T505" s="55" t="str">
        <f t="shared" si="582"/>
        <v>Sem40</v>
      </c>
      <c r="U505" s="56">
        <f t="shared" si="550"/>
        <v>7</v>
      </c>
      <c r="V505" s="59">
        <v>46293</v>
      </c>
      <c r="W505" s="56">
        <f t="shared" si="583"/>
        <v>40</v>
      </c>
      <c r="X505" s="56">
        <f t="shared" si="584"/>
        <v>28</v>
      </c>
      <c r="Y505" s="56" t="s">
        <v>28</v>
      </c>
      <c r="Z505" s="56">
        <v>1</v>
      </c>
      <c r="AA505" s="58">
        <f t="shared" si="596"/>
        <v>0</v>
      </c>
      <c r="AB505" s="58">
        <f t="shared" si="596"/>
        <v>1</v>
      </c>
      <c r="AC505" s="58">
        <f t="shared" si="596"/>
        <v>0</v>
      </c>
      <c r="AD505" s="58">
        <f t="shared" si="596"/>
        <v>0</v>
      </c>
      <c r="AE505" s="58">
        <f t="shared" si="596"/>
        <v>0</v>
      </c>
    </row>
    <row r="506" spans="2:34">
      <c r="B506" t="str">
        <f t="shared" si="571"/>
        <v>Sem4040Elmar Gustavo Lopez Magallon</v>
      </c>
      <c r="C506" t="str">
        <f t="shared" si="572"/>
        <v>SEPTIEMBRESem40</v>
      </c>
      <c r="D506" t="str">
        <f t="shared" si="573"/>
        <v>SEPTIEMBRESem40Elmar Gustavo Lopez Magallon</v>
      </c>
      <c r="E506" t="str">
        <f t="shared" si="574"/>
        <v>SEPTIEMBRESem4040Elmar Gustavo Lopez Magallon</v>
      </c>
      <c r="F506" t="str">
        <f t="shared" si="575"/>
        <v>Elmar Gustavo Lopez Magallon46294</v>
      </c>
      <c r="H506" s="49" t="s">
        <v>255</v>
      </c>
      <c r="I506" s="50" t="str">
        <f>+_xlfn.XLOOKUP($H506&amp;$V506,BASEDATOS!$B:$B,BASEDATOS!F:F,0,0,1)</f>
        <v>NOCHE</v>
      </c>
      <c r="J506" s="51">
        <f>+_xlfn.XLOOKUP($H506&amp;$V506,BASEDATOS!$B:$B,BASEDATOS!Q:Q,0,0,1)</f>
        <v>0.75</v>
      </c>
      <c r="K506" s="51">
        <f>+_xlfn.XLOOKUP($H506&amp;$V506,BASEDATOS!$B:$B,BASEDATOS!R:R,0,0,1)</f>
        <v>0.25</v>
      </c>
      <c r="L506" s="51">
        <f t="shared" si="576"/>
        <v>0.5</v>
      </c>
      <c r="M506" s="52" t="str">
        <f t="shared" si="577"/>
        <v>1:00</v>
      </c>
      <c r="N506" s="51">
        <f t="shared" si="578"/>
        <v>0.45833333333333331</v>
      </c>
      <c r="O506" s="53" t="str">
        <f t="shared" ref="O506" si="614">+O511</f>
        <v>1-4-2</v>
      </c>
      <c r="P506" s="54">
        <f>+IF(AND(Y506="Domingo",U506=7),_xlfn.XLOOKUP(O506,'Horarios y Sistemas'!C:C,'Horarios y Sistemas'!H:H,0,0,1),0)</f>
        <v>0</v>
      </c>
      <c r="Q506" s="54">
        <f>IF(U506=U507,0,IF(AVERAGEIF(W:W,W506,U:U)=U506,0,_xlfn.XLOOKUP(O506,'Horarios y Sistemas'!C:C,'Horarios y Sistemas'!H:H,0,0,1)-P506))/7*U506</f>
        <v>0</v>
      </c>
      <c r="R506" s="54">
        <f t="shared" si="580"/>
        <v>0</v>
      </c>
      <c r="S506" s="55" t="str">
        <f t="shared" si="581"/>
        <v>SEPTIEMBRE</v>
      </c>
      <c r="T506" s="55" t="str">
        <f t="shared" si="582"/>
        <v>Sem40</v>
      </c>
      <c r="U506" s="56">
        <f t="shared" si="550"/>
        <v>7</v>
      </c>
      <c r="V506" s="59">
        <v>46294</v>
      </c>
      <c r="W506" s="56">
        <f t="shared" si="583"/>
        <v>40</v>
      </c>
      <c r="X506" s="56">
        <f t="shared" si="584"/>
        <v>29</v>
      </c>
      <c r="Y506" s="56" t="s">
        <v>29</v>
      </c>
      <c r="Z506" s="56">
        <v>2</v>
      </c>
      <c r="AA506" s="58">
        <f t="shared" si="596"/>
        <v>0</v>
      </c>
      <c r="AB506" s="58">
        <f t="shared" si="596"/>
        <v>1</v>
      </c>
      <c r="AC506" s="58">
        <f t="shared" si="596"/>
        <v>0</v>
      </c>
      <c r="AD506" s="58">
        <f t="shared" si="596"/>
        <v>0</v>
      </c>
      <c r="AE506" s="58">
        <f t="shared" si="596"/>
        <v>0</v>
      </c>
    </row>
    <row r="507" spans="2:34">
      <c r="B507" t="str">
        <f t="shared" si="571"/>
        <v>Sem4040Elmar Gustavo Lopez Magallon</v>
      </c>
      <c r="C507" t="str">
        <f t="shared" si="572"/>
        <v>SEPTIEMBRESem40</v>
      </c>
      <c r="D507" t="str">
        <f t="shared" si="573"/>
        <v>SEPTIEMBRESem40Elmar Gustavo Lopez Magallon</v>
      </c>
      <c r="E507" t="str">
        <f t="shared" si="574"/>
        <v>SEPTIEMBRESem4040Elmar Gustavo Lopez Magallon</v>
      </c>
      <c r="F507" t="str">
        <f t="shared" si="575"/>
        <v>Elmar Gustavo Lopez Magallon46295</v>
      </c>
      <c r="H507" s="49" t="s">
        <v>255</v>
      </c>
      <c r="I507" s="50" t="str">
        <f>+_xlfn.XLOOKUP($H507&amp;$V507,BASEDATOS!$B:$B,BASEDATOS!F:F,0,0,1)</f>
        <v>NOCHE</v>
      </c>
      <c r="J507" s="51">
        <f>+_xlfn.XLOOKUP($H507&amp;$V507,BASEDATOS!$B:$B,BASEDATOS!Q:Q,0,0,1)</f>
        <v>0.75</v>
      </c>
      <c r="K507" s="51">
        <f>+_xlfn.XLOOKUP($H507&amp;$V507,BASEDATOS!$B:$B,BASEDATOS!R:R,0,0,1)</f>
        <v>0.25</v>
      </c>
      <c r="L507" s="51">
        <f t="shared" si="576"/>
        <v>0.5</v>
      </c>
      <c r="M507" s="52" t="str">
        <f t="shared" si="577"/>
        <v>1:00</v>
      </c>
      <c r="N507" s="51">
        <f t="shared" si="578"/>
        <v>0.45833333333333331</v>
      </c>
      <c r="O507" s="53" t="str">
        <f t="shared" ref="O507" si="615">+O511</f>
        <v>1-4-2</v>
      </c>
      <c r="P507" s="54">
        <f>+IF(AND(Y507="Domingo",U507=7),_xlfn.XLOOKUP(O507,'Horarios y Sistemas'!C:C,'Horarios y Sistemas'!H:H,0,0,1),0)</f>
        <v>0</v>
      </c>
      <c r="Q507" s="54">
        <f>IF(U507=U508,0,IF(AVERAGEIF(W:W,W507,U:U)=U507,0,_xlfn.XLOOKUP(O507,'Horarios y Sistemas'!C:C,'Horarios y Sistemas'!H:H,0,0,1)-P507))/7*U507</f>
        <v>0</v>
      </c>
      <c r="R507" s="54">
        <f t="shared" si="580"/>
        <v>0</v>
      </c>
      <c r="S507" s="55" t="str">
        <f t="shared" si="581"/>
        <v>SEPTIEMBRE</v>
      </c>
      <c r="T507" s="55" t="str">
        <f t="shared" si="582"/>
        <v>Sem40</v>
      </c>
      <c r="U507" s="56">
        <f t="shared" si="550"/>
        <v>7</v>
      </c>
      <c r="V507" s="59">
        <v>46295</v>
      </c>
      <c r="W507" s="56">
        <f t="shared" si="583"/>
        <v>40</v>
      </c>
      <c r="X507" s="56">
        <f t="shared" si="584"/>
        <v>30</v>
      </c>
      <c r="Y507" s="56" t="s">
        <v>30</v>
      </c>
      <c r="Z507" s="56">
        <v>3</v>
      </c>
      <c r="AA507" s="58">
        <f t="shared" si="596"/>
        <v>0</v>
      </c>
      <c r="AB507" s="58">
        <f t="shared" si="596"/>
        <v>1</v>
      </c>
      <c r="AC507" s="58">
        <f t="shared" si="596"/>
        <v>0</v>
      </c>
      <c r="AD507" s="58">
        <f t="shared" si="596"/>
        <v>0</v>
      </c>
      <c r="AE507" s="58">
        <f t="shared" si="596"/>
        <v>0</v>
      </c>
    </row>
    <row r="508" spans="2:34">
      <c r="B508" t="str">
        <f t="shared" si="571"/>
        <v>Sem4040Elmar Gustavo Lopez Magallon</v>
      </c>
      <c r="C508" t="str">
        <f t="shared" si="572"/>
        <v>OCTUBRESem40</v>
      </c>
      <c r="D508" t="str">
        <f t="shared" si="573"/>
        <v>OCTUBRESem40Elmar Gustavo Lopez Magallon</v>
      </c>
      <c r="E508" t="str">
        <f t="shared" si="574"/>
        <v>OCTUBRESem4040Elmar Gustavo Lopez Magallon</v>
      </c>
      <c r="F508" t="str">
        <f t="shared" si="575"/>
        <v>Elmar Gustavo Lopez Magallon46296</v>
      </c>
      <c r="H508" s="49" t="s">
        <v>255</v>
      </c>
      <c r="I508" s="50" t="str">
        <f>+_xlfn.XLOOKUP($H508&amp;$V508,BASEDATOS!$B:$B,BASEDATOS!F:F,0,0,1)</f>
        <v>DIA</v>
      </c>
      <c r="J508" s="51">
        <f>+_xlfn.XLOOKUP($H508&amp;$V508,BASEDATOS!$B:$B,BASEDATOS!Q:Q,0,0,1)</f>
        <v>0.33333333333333298</v>
      </c>
      <c r="K508" s="51">
        <f>+_xlfn.XLOOKUP($H508&amp;$V508,BASEDATOS!$B:$B,BASEDATOS!R:R,0,0,1)</f>
        <v>0.70833333333333304</v>
      </c>
      <c r="L508" s="51">
        <f t="shared" si="576"/>
        <v>0.37500000000000006</v>
      </c>
      <c r="M508" s="52" t="str">
        <f t="shared" si="577"/>
        <v>1:00</v>
      </c>
      <c r="N508" s="51">
        <f t="shared" si="578"/>
        <v>0.33333333333333337</v>
      </c>
      <c r="O508" s="53" t="str">
        <f t="shared" ref="O508" si="616">+O511</f>
        <v>1-4-2</v>
      </c>
      <c r="P508" s="54">
        <f>+IF(AND(Y508="Domingo",U508=7),_xlfn.XLOOKUP(O508,'Horarios y Sistemas'!C:C,'Horarios y Sistemas'!H:H,0,0,1),0)</f>
        <v>0</v>
      </c>
      <c r="Q508" s="54">
        <f>IF(U508=U509,0,IF(AVERAGEIF(W:W,W508,U:U)=U508,0,_xlfn.XLOOKUP(O508,'Horarios y Sistemas'!C:C,'Horarios y Sistemas'!H:H,0,0,1)-P508))/7*U508</f>
        <v>0</v>
      </c>
      <c r="R508" s="54">
        <f t="shared" si="580"/>
        <v>0</v>
      </c>
      <c r="S508" s="55" t="str">
        <f t="shared" si="581"/>
        <v>OCTUBRE</v>
      </c>
      <c r="T508" s="55" t="str">
        <f t="shared" si="582"/>
        <v>Sem40</v>
      </c>
      <c r="U508" s="56">
        <f t="shared" si="550"/>
        <v>7</v>
      </c>
      <c r="V508" s="59">
        <v>46296</v>
      </c>
      <c r="W508" s="56">
        <f t="shared" si="583"/>
        <v>40</v>
      </c>
      <c r="X508" s="56">
        <f t="shared" si="584"/>
        <v>1</v>
      </c>
      <c r="Y508" s="56" t="s">
        <v>31</v>
      </c>
      <c r="Z508" s="56">
        <v>4</v>
      </c>
      <c r="AA508" s="58">
        <f t="shared" si="596"/>
        <v>1</v>
      </c>
      <c r="AB508" s="58">
        <f t="shared" si="596"/>
        <v>0</v>
      </c>
      <c r="AC508" s="58">
        <f t="shared" si="596"/>
        <v>0</v>
      </c>
      <c r="AD508" s="58">
        <f t="shared" si="596"/>
        <v>0</v>
      </c>
      <c r="AE508" s="58">
        <f t="shared" si="596"/>
        <v>0</v>
      </c>
    </row>
    <row r="509" spans="2:34">
      <c r="B509" t="str">
        <f t="shared" si="571"/>
        <v>Sem4040Elmar Gustavo Lopez Magallon</v>
      </c>
      <c r="C509" t="str">
        <f t="shared" si="572"/>
        <v>OCTUBRESem40</v>
      </c>
      <c r="D509" t="str">
        <f t="shared" si="573"/>
        <v>OCTUBRESem40Elmar Gustavo Lopez Magallon</v>
      </c>
      <c r="E509" t="str">
        <f t="shared" si="574"/>
        <v>OCTUBRESem4040Elmar Gustavo Lopez Magallon</v>
      </c>
      <c r="F509" t="str">
        <f t="shared" si="575"/>
        <v>Elmar Gustavo Lopez Magallon46297</v>
      </c>
      <c r="H509" s="49" t="s">
        <v>255</v>
      </c>
      <c r="I509" s="50" t="str">
        <f>+_xlfn.XLOOKUP($H509&amp;$V509,BASEDATOS!$B:$B,BASEDATOS!F:F,0,0,1)</f>
        <v>NOCHE</v>
      </c>
      <c r="J509" s="51">
        <f>+_xlfn.XLOOKUP($H509&amp;$V509,BASEDATOS!$B:$B,BASEDATOS!Q:Q,0,0,1)</f>
        <v>0.75</v>
      </c>
      <c r="K509" s="51">
        <f>+_xlfn.XLOOKUP($H509&amp;$V509,BASEDATOS!$B:$B,BASEDATOS!R:R,0,0,1)</f>
        <v>0.25</v>
      </c>
      <c r="L509" s="51">
        <f t="shared" si="576"/>
        <v>0.5</v>
      </c>
      <c r="M509" s="52" t="str">
        <f t="shared" si="577"/>
        <v>1:00</v>
      </c>
      <c r="N509" s="51">
        <f t="shared" si="578"/>
        <v>0.45833333333333331</v>
      </c>
      <c r="O509" s="53" t="str">
        <f t="shared" ref="O509" si="617">+O511</f>
        <v>1-4-2</v>
      </c>
      <c r="P509" s="54">
        <f>+IF(AND(Y509="Domingo",U509=7),_xlfn.XLOOKUP(O509,'Horarios y Sistemas'!C:C,'Horarios y Sistemas'!H:H,0,0,1),0)</f>
        <v>0</v>
      </c>
      <c r="Q509" s="54">
        <f>IF(U509=U510,0,IF(AVERAGEIF(W:W,W509,U:U)=U509,0,_xlfn.XLOOKUP(O509,'Horarios y Sistemas'!C:C,'Horarios y Sistemas'!H:H,0,0,1)-P509))/7*U509</f>
        <v>0</v>
      </c>
      <c r="R509" s="54">
        <f t="shared" si="580"/>
        <v>0</v>
      </c>
      <c r="S509" s="55" t="str">
        <f t="shared" si="581"/>
        <v>OCTUBRE</v>
      </c>
      <c r="T509" s="55" t="str">
        <f t="shared" si="582"/>
        <v>Sem40</v>
      </c>
      <c r="U509" s="56">
        <f t="shared" si="550"/>
        <v>7</v>
      </c>
      <c r="V509" s="59">
        <v>46297</v>
      </c>
      <c r="W509" s="56">
        <f t="shared" si="583"/>
        <v>40</v>
      </c>
      <c r="X509" s="56">
        <f t="shared" si="584"/>
        <v>2</v>
      </c>
      <c r="Y509" s="56" t="s">
        <v>32</v>
      </c>
      <c r="Z509" s="56">
        <v>5</v>
      </c>
      <c r="AA509" s="58">
        <f t="shared" si="596"/>
        <v>0</v>
      </c>
      <c r="AB509" s="58">
        <f t="shared" si="596"/>
        <v>1</v>
      </c>
      <c r="AC509" s="58">
        <f t="shared" si="596"/>
        <v>0</v>
      </c>
      <c r="AD509" s="58">
        <f t="shared" si="596"/>
        <v>0</v>
      </c>
      <c r="AE509" s="58">
        <f t="shared" si="596"/>
        <v>0</v>
      </c>
    </row>
    <row r="510" spans="2:34">
      <c r="B510" t="str">
        <f t="shared" si="571"/>
        <v>Sem4040Elmar Gustavo Lopez Magallon</v>
      </c>
      <c r="C510" t="str">
        <f t="shared" si="572"/>
        <v>OCTUBRESem40</v>
      </c>
      <c r="D510" t="str">
        <f t="shared" si="573"/>
        <v>OCTUBRESem40Elmar Gustavo Lopez Magallon</v>
      </c>
      <c r="E510" t="str">
        <f t="shared" si="574"/>
        <v>OCTUBRESem4040Elmar Gustavo Lopez Magallon</v>
      </c>
      <c r="F510" t="str">
        <f t="shared" si="575"/>
        <v>Elmar Gustavo Lopez Magallon46298</v>
      </c>
      <c r="H510" s="49" t="s">
        <v>255</v>
      </c>
      <c r="I510" s="50" t="str">
        <f>+_xlfn.XLOOKUP($H510&amp;$V510,BASEDATOS!$B:$B,BASEDATOS!F:F,0,0,1)</f>
        <v>DESCANSO</v>
      </c>
      <c r="J510" s="51">
        <f>+_xlfn.XLOOKUP($H510&amp;$V510,BASEDATOS!$B:$B,BASEDATOS!Q:Q,0,0,1)</f>
        <v>0</v>
      </c>
      <c r="K510" s="51">
        <f>+_xlfn.XLOOKUP($H510&amp;$V510,BASEDATOS!$B:$B,BASEDATOS!R:R,0,0,1)</f>
        <v>0</v>
      </c>
      <c r="L510" s="51">
        <f t="shared" si="576"/>
        <v>0</v>
      </c>
      <c r="M510" s="52">
        <f t="shared" si="577"/>
        <v>0</v>
      </c>
      <c r="N510" s="51">
        <f t="shared" si="578"/>
        <v>0</v>
      </c>
      <c r="O510" s="53" t="str">
        <f t="shared" ref="O510" si="618">+O511</f>
        <v>1-4-2</v>
      </c>
      <c r="P510" s="54">
        <f>+IF(AND(Y510="Domingo",U510=7),_xlfn.XLOOKUP(O510,'Horarios y Sistemas'!C:C,'Horarios y Sistemas'!H:H,0,0,1),0)</f>
        <v>0</v>
      </c>
      <c r="Q510" s="54">
        <f>IF(U510=U511,0,IF(AVERAGEIF(W:W,W510,U:U)=U510,0,_xlfn.XLOOKUP(O510,'Horarios y Sistemas'!C:C,'Horarios y Sistemas'!H:H,0,0,1)-P510))/7*U510</f>
        <v>0</v>
      </c>
      <c r="R510" s="54">
        <f t="shared" si="580"/>
        <v>0</v>
      </c>
      <c r="S510" s="55" t="str">
        <f t="shared" si="581"/>
        <v>OCTUBRE</v>
      </c>
      <c r="T510" s="55" t="str">
        <f t="shared" si="582"/>
        <v>Sem40</v>
      </c>
      <c r="U510" s="56">
        <f t="shared" si="550"/>
        <v>7</v>
      </c>
      <c r="V510" s="59">
        <v>46298</v>
      </c>
      <c r="W510" s="56">
        <f t="shared" si="583"/>
        <v>40</v>
      </c>
      <c r="X510" s="56">
        <f t="shared" si="584"/>
        <v>3</v>
      </c>
      <c r="Y510" s="56" t="s">
        <v>33</v>
      </c>
      <c r="Z510" s="56">
        <v>6</v>
      </c>
      <c r="AA510" s="58">
        <f t="shared" si="596"/>
        <v>0</v>
      </c>
      <c r="AB510" s="58">
        <f t="shared" si="596"/>
        <v>0</v>
      </c>
      <c r="AC510" s="58">
        <f t="shared" si="596"/>
        <v>1</v>
      </c>
      <c r="AD510" s="58">
        <f t="shared" si="596"/>
        <v>0</v>
      </c>
      <c r="AE510" s="58">
        <f t="shared" si="596"/>
        <v>0</v>
      </c>
    </row>
    <row r="511" spans="2:34" s="60" customFormat="1">
      <c r="B511" s="60" t="str">
        <f t="shared" si="571"/>
        <v>Sem4040Elmar Gustavo Lopez Magallon</v>
      </c>
      <c r="C511" s="60" t="str">
        <f t="shared" si="572"/>
        <v>OCTUBRESem40</v>
      </c>
      <c r="D511" s="60" t="str">
        <f t="shared" si="573"/>
        <v>OCTUBRESem40Elmar Gustavo Lopez Magallon</v>
      </c>
      <c r="E511" s="60" t="str">
        <f t="shared" si="574"/>
        <v>OCTUBRESem4040Elmar Gustavo Lopez Magallon</v>
      </c>
      <c r="F511" s="60" t="str">
        <f t="shared" si="575"/>
        <v>Elmar Gustavo Lopez Magallon46299</v>
      </c>
      <c r="H511" s="61" t="s">
        <v>255</v>
      </c>
      <c r="I511" s="62" t="str">
        <f>+_xlfn.XLOOKUP($H511&amp;$V511,BASEDATOS!$B:$B,BASEDATOS!F:F,0,0,1)</f>
        <v>DESCANSO</v>
      </c>
      <c r="J511" s="63">
        <f>+_xlfn.XLOOKUP($H511&amp;$V511,BASEDATOS!$B:$B,BASEDATOS!Q:Q,0,0,1)</f>
        <v>0</v>
      </c>
      <c r="K511" s="63">
        <f>+_xlfn.XLOOKUP($H511&amp;$V511,BASEDATOS!$B:$B,BASEDATOS!R:R,0,0,1)</f>
        <v>0</v>
      </c>
      <c r="L511" s="63">
        <f t="shared" si="576"/>
        <v>0</v>
      </c>
      <c r="M511" s="64">
        <f t="shared" si="577"/>
        <v>0</v>
      </c>
      <c r="N511" s="63">
        <f t="shared" si="578"/>
        <v>0</v>
      </c>
      <c r="O511" s="65" t="str">
        <f t="shared" ref="O511" si="619">+IF(Y511="Domingo",SUM(AA505:AA511)&amp;"-"&amp;SUM(AB505:AB511)&amp;"-"&amp;SUM(AC505:AE511),"")</f>
        <v>1-4-2</v>
      </c>
      <c r="P511" s="66">
        <f>+IF(AND(Y511="Domingo",U511=7),_xlfn.XLOOKUP(O511,'Horarios y Sistemas'!C:C,'Horarios y Sistemas'!H:H,0,0,1),0)</f>
        <v>37.6</v>
      </c>
      <c r="Q511" s="66">
        <f>IF(U511=U512,0,IF(AVERAGEIF(W:W,W511,U:U)=U511,0,_xlfn.XLOOKUP(O511,'Horarios y Sistemas'!C:C,'Horarios y Sistemas'!H:H,0,0,1)-P511))/7*U511</f>
        <v>0</v>
      </c>
      <c r="R511" s="66">
        <f t="shared" si="580"/>
        <v>37.6</v>
      </c>
      <c r="S511" s="67" t="str">
        <f t="shared" si="581"/>
        <v>OCTUBRE</v>
      </c>
      <c r="T511" s="55" t="str">
        <f t="shared" si="582"/>
        <v>Sem40</v>
      </c>
      <c r="U511" s="68">
        <f t="shared" si="550"/>
        <v>7</v>
      </c>
      <c r="V511" s="69">
        <v>46299</v>
      </c>
      <c r="W511" s="68">
        <f t="shared" si="583"/>
        <v>40</v>
      </c>
      <c r="X511" s="68">
        <f t="shared" si="584"/>
        <v>4</v>
      </c>
      <c r="Y511" s="68" t="s">
        <v>34</v>
      </c>
      <c r="Z511" s="68">
        <v>7</v>
      </c>
      <c r="AA511" s="70">
        <f t="shared" si="596"/>
        <v>0</v>
      </c>
      <c r="AB511" s="70">
        <f t="shared" si="596"/>
        <v>0</v>
      </c>
      <c r="AC511" s="70">
        <f t="shared" si="596"/>
        <v>1</v>
      </c>
      <c r="AD511" s="70">
        <f t="shared" si="596"/>
        <v>0</v>
      </c>
      <c r="AE511" s="70">
        <f t="shared" si="596"/>
        <v>0</v>
      </c>
      <c r="AF511" s="71"/>
      <c r="AG511" s="71"/>
      <c r="AH511" s="71"/>
    </row>
    <row r="512" spans="2:34">
      <c r="B512" t="str">
        <f t="shared" si="571"/>
        <v>Sem3838FILIBERTO SACUL CUCUL</v>
      </c>
      <c r="C512" t="str">
        <f t="shared" si="572"/>
        <v>SEPTIEMBRESem38</v>
      </c>
      <c r="D512" t="str">
        <f t="shared" si="573"/>
        <v>SEPTIEMBRESem38FILIBERTO SACUL CUCUL</v>
      </c>
      <c r="E512" t="str">
        <f t="shared" si="574"/>
        <v>SEPTIEMBRESem3838FILIBERTO SACUL CUCUL</v>
      </c>
      <c r="F512" t="str">
        <f t="shared" si="575"/>
        <v>FILIBERTO SACUL CUCUL46279</v>
      </c>
      <c r="H512" s="49" t="s">
        <v>223</v>
      </c>
      <c r="I512" s="50" t="str">
        <f>+_xlfn.XLOOKUP($H512&amp;$V512,BASEDATOS!$B:$B,BASEDATOS!F:F,0,0,1)</f>
        <v>DESCANSO</v>
      </c>
      <c r="J512" s="51">
        <f>+_xlfn.XLOOKUP($H512&amp;$V512,BASEDATOS!$B:$B,BASEDATOS!Q:Q,0,0,1)</f>
        <v>0</v>
      </c>
      <c r="K512" s="51">
        <f>+_xlfn.XLOOKUP($H512&amp;$V512,BASEDATOS!$B:$B,BASEDATOS!R:R,0,0,1)</f>
        <v>0</v>
      </c>
      <c r="L512" s="51">
        <f t="shared" si="576"/>
        <v>0</v>
      </c>
      <c r="M512" s="52">
        <f t="shared" si="577"/>
        <v>0</v>
      </c>
      <c r="N512" s="51">
        <f t="shared" si="578"/>
        <v>0</v>
      </c>
      <c r="O512" s="53" t="str">
        <f t="shared" ref="O512" si="620">+O518</f>
        <v>1-0-6</v>
      </c>
      <c r="P512" s="54">
        <f>+IF(AND(Y512="Domingo",U512=7),_xlfn.XLOOKUP(O512,'Horarios y Sistemas'!C:C,'Horarios y Sistemas'!H:H,0,0,1),0)</f>
        <v>0</v>
      </c>
      <c r="Q512" s="54">
        <f>IF(U512=U513,0,IF(AVERAGEIF(W:W,W512,U:U)=U512,0,_xlfn.XLOOKUP(O512,'Horarios y Sistemas'!C:C,'Horarios y Sistemas'!H:H,0,0,1)-P512))/7*U512</f>
        <v>0</v>
      </c>
      <c r="R512" s="54">
        <f t="shared" si="580"/>
        <v>0</v>
      </c>
      <c r="S512" s="55" t="str">
        <f t="shared" si="581"/>
        <v>SEPTIEMBRE</v>
      </c>
      <c r="T512" s="55" t="str">
        <f t="shared" si="582"/>
        <v>Sem38</v>
      </c>
      <c r="U512" s="56">
        <f t="shared" si="550"/>
        <v>7</v>
      </c>
      <c r="V512" s="57">
        <v>46279</v>
      </c>
      <c r="W512" s="56">
        <f t="shared" si="583"/>
        <v>38</v>
      </c>
      <c r="X512" s="56">
        <f t="shared" si="584"/>
        <v>14</v>
      </c>
      <c r="Y512" s="56" t="s">
        <v>28</v>
      </c>
      <c r="Z512" s="56">
        <v>1</v>
      </c>
      <c r="AA512" s="58">
        <f t="shared" si="596"/>
        <v>0</v>
      </c>
      <c r="AB512" s="58">
        <f t="shared" si="596"/>
        <v>0</v>
      </c>
      <c r="AC512" s="58">
        <f t="shared" si="596"/>
        <v>1</v>
      </c>
      <c r="AD512" s="58">
        <f t="shared" si="596"/>
        <v>0</v>
      </c>
      <c r="AE512" s="58">
        <f t="shared" si="596"/>
        <v>0</v>
      </c>
    </row>
    <row r="513" spans="2:34">
      <c r="B513" t="str">
        <f t="shared" si="571"/>
        <v>Sem3838FILIBERTO SACUL CUCUL</v>
      </c>
      <c r="C513" t="str">
        <f t="shared" si="572"/>
        <v>SEPTIEMBRESem38</v>
      </c>
      <c r="D513" t="str">
        <f t="shared" si="573"/>
        <v>SEPTIEMBRESem38FILIBERTO SACUL CUCUL</v>
      </c>
      <c r="E513" t="str">
        <f t="shared" si="574"/>
        <v>SEPTIEMBRESem3838FILIBERTO SACUL CUCUL</v>
      </c>
      <c r="F513" t="str">
        <f t="shared" si="575"/>
        <v>FILIBERTO SACUL CUCUL46280</v>
      </c>
      <c r="H513" s="49" t="s">
        <v>223</v>
      </c>
      <c r="I513" s="50" t="str">
        <f>+_xlfn.XLOOKUP($H513&amp;$V513,BASEDATOS!$B:$B,BASEDATOS!F:F,0,0,1)</f>
        <v>DIA</v>
      </c>
      <c r="J513" s="51">
        <f>+_xlfn.XLOOKUP($H513&amp;$V513,BASEDATOS!$B:$B,BASEDATOS!Q:Q,0,0,1)</f>
        <v>0.33333333333333298</v>
      </c>
      <c r="K513" s="51">
        <f>+_xlfn.XLOOKUP($H513&amp;$V513,BASEDATOS!$B:$B,BASEDATOS!R:R,0,0,1)</f>
        <v>0.70833333333333304</v>
      </c>
      <c r="L513" s="51">
        <f t="shared" si="576"/>
        <v>0.37500000000000006</v>
      </c>
      <c r="M513" s="52" t="str">
        <f t="shared" si="577"/>
        <v>1:00</v>
      </c>
      <c r="N513" s="51">
        <f t="shared" si="578"/>
        <v>0.33333333333333337</v>
      </c>
      <c r="O513" s="53" t="str">
        <f t="shared" ref="O513" si="621">+O518</f>
        <v>1-0-6</v>
      </c>
      <c r="P513" s="54">
        <f>+IF(AND(Y513="Domingo",U513=7),_xlfn.XLOOKUP(O513,'Horarios y Sistemas'!C:C,'Horarios y Sistemas'!H:H,0,0,1),0)</f>
        <v>0</v>
      </c>
      <c r="Q513" s="54">
        <f>IF(U513=U514,0,IF(AVERAGEIF(W:W,W513,U:U)=U513,0,_xlfn.XLOOKUP(O513,'Horarios y Sistemas'!C:C,'Horarios y Sistemas'!H:H,0,0,1)-P513))/7*U513</f>
        <v>0</v>
      </c>
      <c r="R513" s="54">
        <f t="shared" si="580"/>
        <v>0</v>
      </c>
      <c r="S513" s="55" t="str">
        <f t="shared" si="581"/>
        <v>SEPTIEMBRE</v>
      </c>
      <c r="T513" s="55" t="str">
        <f t="shared" si="582"/>
        <v>Sem38</v>
      </c>
      <c r="U513" s="56">
        <f t="shared" si="550"/>
        <v>7</v>
      </c>
      <c r="V513" s="59">
        <v>46280</v>
      </c>
      <c r="W513" s="56">
        <f t="shared" si="583"/>
        <v>38</v>
      </c>
      <c r="X513" s="56">
        <f t="shared" si="584"/>
        <v>15</v>
      </c>
      <c r="Y513" s="56" t="s">
        <v>29</v>
      </c>
      <c r="Z513" s="56">
        <v>2</v>
      </c>
      <c r="AA513" s="58">
        <f t="shared" si="596"/>
        <v>1</v>
      </c>
      <c r="AB513" s="58">
        <f t="shared" si="596"/>
        <v>0</v>
      </c>
      <c r="AC513" s="58">
        <f t="shared" si="596"/>
        <v>0</v>
      </c>
      <c r="AD513" s="58">
        <f t="shared" si="596"/>
        <v>0</v>
      </c>
      <c r="AE513" s="58">
        <f t="shared" si="596"/>
        <v>0</v>
      </c>
    </row>
    <row r="514" spans="2:34">
      <c r="B514" t="str">
        <f t="shared" si="571"/>
        <v>Sem3838FILIBERTO SACUL CUCUL</v>
      </c>
      <c r="C514" t="str">
        <f t="shared" si="572"/>
        <v>SEPTIEMBRESem38</v>
      </c>
      <c r="D514" t="str">
        <f t="shared" si="573"/>
        <v>SEPTIEMBRESem38FILIBERTO SACUL CUCUL</v>
      </c>
      <c r="E514" t="str">
        <f t="shared" si="574"/>
        <v>SEPTIEMBRESem3838FILIBERTO SACUL CUCUL</v>
      </c>
      <c r="F514" t="str">
        <f t="shared" si="575"/>
        <v>FILIBERTO SACUL CUCUL46281</v>
      </c>
      <c r="H514" s="49" t="s">
        <v>223</v>
      </c>
      <c r="I514" s="50" t="str">
        <f>+_xlfn.XLOOKUP($H514&amp;$V514,BASEDATOS!$B:$B,BASEDATOS!F:F,0,0,1)</f>
        <v>DESCANSO</v>
      </c>
      <c r="J514" s="51">
        <f>+_xlfn.XLOOKUP($H514&amp;$V514,BASEDATOS!$B:$B,BASEDATOS!Q:Q,0,0,1)</f>
        <v>0</v>
      </c>
      <c r="K514" s="51">
        <f>+_xlfn.XLOOKUP($H514&amp;$V514,BASEDATOS!$B:$B,BASEDATOS!R:R,0,0,1)</f>
        <v>0</v>
      </c>
      <c r="L514" s="51">
        <f t="shared" si="576"/>
        <v>0</v>
      </c>
      <c r="M514" s="52">
        <f t="shared" si="577"/>
        <v>0</v>
      </c>
      <c r="N514" s="51">
        <f t="shared" si="578"/>
        <v>0</v>
      </c>
      <c r="O514" s="53" t="str">
        <f t="shared" ref="O514" si="622">+O518</f>
        <v>1-0-6</v>
      </c>
      <c r="P514" s="54">
        <f>+IF(AND(Y514="Domingo",U514=7),_xlfn.XLOOKUP(O514,'Horarios y Sistemas'!C:C,'Horarios y Sistemas'!H:H,0,0,1),0)</f>
        <v>0</v>
      </c>
      <c r="Q514" s="54">
        <f>IF(U514=U515,0,IF(AVERAGEIF(W:W,W514,U:U)=U514,0,_xlfn.XLOOKUP(O514,'Horarios y Sistemas'!C:C,'Horarios y Sistemas'!H:H,0,0,1)-P514))/7*U514</f>
        <v>0</v>
      </c>
      <c r="R514" s="54">
        <f t="shared" si="580"/>
        <v>0</v>
      </c>
      <c r="S514" s="55" t="str">
        <f t="shared" si="581"/>
        <v>SEPTIEMBRE</v>
      </c>
      <c r="T514" s="55" t="str">
        <f t="shared" si="582"/>
        <v>Sem38</v>
      </c>
      <c r="U514" s="56">
        <f t="shared" si="550"/>
        <v>7</v>
      </c>
      <c r="V514" s="59">
        <v>46281</v>
      </c>
      <c r="W514" s="56">
        <f t="shared" si="583"/>
        <v>38</v>
      </c>
      <c r="X514" s="56">
        <f t="shared" si="584"/>
        <v>16</v>
      </c>
      <c r="Y514" s="56" t="s">
        <v>30</v>
      </c>
      <c r="Z514" s="56">
        <v>3</v>
      </c>
      <c r="AA514" s="58">
        <f t="shared" si="596"/>
        <v>0</v>
      </c>
      <c r="AB514" s="58">
        <f t="shared" si="596"/>
        <v>0</v>
      </c>
      <c r="AC514" s="58">
        <f t="shared" si="596"/>
        <v>1</v>
      </c>
      <c r="AD514" s="58">
        <f t="shared" si="596"/>
        <v>0</v>
      </c>
      <c r="AE514" s="58">
        <f t="shared" si="596"/>
        <v>0</v>
      </c>
    </row>
    <row r="515" spans="2:34">
      <c r="B515" t="str">
        <f t="shared" si="571"/>
        <v>Sem3838FILIBERTO SACUL CUCUL</v>
      </c>
      <c r="C515" t="str">
        <f t="shared" si="572"/>
        <v>SEPTIEMBRESem38</v>
      </c>
      <c r="D515" t="str">
        <f t="shared" si="573"/>
        <v>SEPTIEMBRESem38FILIBERTO SACUL CUCUL</v>
      </c>
      <c r="E515" t="str">
        <f t="shared" si="574"/>
        <v>SEPTIEMBRESem3838FILIBERTO SACUL CUCUL</v>
      </c>
      <c r="F515" t="str">
        <f t="shared" si="575"/>
        <v>FILIBERTO SACUL CUCUL46282</v>
      </c>
      <c r="H515" s="49" t="s">
        <v>223</v>
      </c>
      <c r="I515" s="50" t="str">
        <f>+_xlfn.XLOOKUP($H515&amp;$V515,BASEDATOS!$B:$B,BASEDATOS!F:F,0,0,1)</f>
        <v>DESCANSO</v>
      </c>
      <c r="J515" s="51">
        <f>+_xlfn.XLOOKUP($H515&amp;$V515,BASEDATOS!$B:$B,BASEDATOS!Q:Q,0,0,1)</f>
        <v>0</v>
      </c>
      <c r="K515" s="51">
        <f>+_xlfn.XLOOKUP($H515&amp;$V515,BASEDATOS!$B:$B,BASEDATOS!R:R,0,0,1)</f>
        <v>0</v>
      </c>
      <c r="L515" s="51">
        <f t="shared" si="576"/>
        <v>0</v>
      </c>
      <c r="M515" s="52">
        <f t="shared" si="577"/>
        <v>0</v>
      </c>
      <c r="N515" s="51">
        <f t="shared" si="578"/>
        <v>0</v>
      </c>
      <c r="O515" s="53" t="str">
        <f t="shared" ref="O515" si="623">+O518</f>
        <v>1-0-6</v>
      </c>
      <c r="P515" s="54">
        <f>+IF(AND(Y515="Domingo",U515=7),_xlfn.XLOOKUP(O515,'Horarios y Sistemas'!C:C,'Horarios y Sistemas'!H:H,0,0,1),0)</f>
        <v>0</v>
      </c>
      <c r="Q515" s="54">
        <f>IF(U515=U516,0,IF(AVERAGEIF(W:W,W515,U:U)=U515,0,_xlfn.XLOOKUP(O515,'Horarios y Sistemas'!C:C,'Horarios y Sistemas'!H:H,0,0,1)-P515))/7*U515</f>
        <v>0</v>
      </c>
      <c r="R515" s="54">
        <f t="shared" si="580"/>
        <v>0</v>
      </c>
      <c r="S515" s="55" t="str">
        <f t="shared" si="581"/>
        <v>SEPTIEMBRE</v>
      </c>
      <c r="T515" s="55" t="str">
        <f t="shared" si="582"/>
        <v>Sem38</v>
      </c>
      <c r="U515" s="56">
        <f t="shared" si="550"/>
        <v>7</v>
      </c>
      <c r="V515" s="59">
        <v>46282</v>
      </c>
      <c r="W515" s="56">
        <f t="shared" si="583"/>
        <v>38</v>
      </c>
      <c r="X515" s="56">
        <f t="shared" si="584"/>
        <v>17</v>
      </c>
      <c r="Y515" s="56" t="s">
        <v>31</v>
      </c>
      <c r="Z515" s="56">
        <v>4</v>
      </c>
      <c r="AA515" s="58">
        <f t="shared" si="596"/>
        <v>0</v>
      </c>
      <c r="AB515" s="58">
        <f t="shared" si="596"/>
        <v>0</v>
      </c>
      <c r="AC515" s="58">
        <f t="shared" si="596"/>
        <v>1</v>
      </c>
      <c r="AD515" s="58">
        <f t="shared" si="596"/>
        <v>0</v>
      </c>
      <c r="AE515" s="58">
        <f t="shared" si="596"/>
        <v>0</v>
      </c>
    </row>
    <row r="516" spans="2:34">
      <c r="B516" t="str">
        <f t="shared" si="571"/>
        <v>Sem3838FILIBERTO SACUL CUCUL</v>
      </c>
      <c r="C516" t="str">
        <f t="shared" si="572"/>
        <v>SEPTIEMBRESem38</v>
      </c>
      <c r="D516" t="str">
        <f t="shared" si="573"/>
        <v>SEPTIEMBRESem38FILIBERTO SACUL CUCUL</v>
      </c>
      <c r="E516" t="str">
        <f t="shared" si="574"/>
        <v>SEPTIEMBRESem3838FILIBERTO SACUL CUCUL</v>
      </c>
      <c r="F516" t="str">
        <f t="shared" si="575"/>
        <v>FILIBERTO SACUL CUCUL46283</v>
      </c>
      <c r="H516" s="49" t="s">
        <v>223</v>
      </c>
      <c r="I516" s="50" t="str">
        <f>+_xlfn.XLOOKUP($H516&amp;$V516,BASEDATOS!$B:$B,BASEDATOS!F:F,0,0,1)</f>
        <v>DESCANSO</v>
      </c>
      <c r="J516" s="51">
        <f>+_xlfn.XLOOKUP($H516&amp;$V516,BASEDATOS!$B:$B,BASEDATOS!Q:Q,0,0,1)</f>
        <v>0</v>
      </c>
      <c r="K516" s="51">
        <f>+_xlfn.XLOOKUP($H516&amp;$V516,BASEDATOS!$B:$B,BASEDATOS!R:R,0,0,1)</f>
        <v>0</v>
      </c>
      <c r="L516" s="51">
        <f t="shared" si="576"/>
        <v>0</v>
      </c>
      <c r="M516" s="52">
        <f t="shared" si="577"/>
        <v>0</v>
      </c>
      <c r="N516" s="51">
        <f t="shared" si="578"/>
        <v>0</v>
      </c>
      <c r="O516" s="53" t="str">
        <f t="shared" ref="O516" si="624">+O518</f>
        <v>1-0-6</v>
      </c>
      <c r="P516" s="54">
        <f>+IF(AND(Y516="Domingo",U516=7),_xlfn.XLOOKUP(O516,'Horarios y Sistemas'!C:C,'Horarios y Sistemas'!H:H,0,0,1),0)</f>
        <v>0</v>
      </c>
      <c r="Q516" s="54">
        <f>IF(U516=U517,0,IF(AVERAGEIF(W:W,W516,U:U)=U516,0,_xlfn.XLOOKUP(O516,'Horarios y Sistemas'!C:C,'Horarios y Sistemas'!H:H,0,0,1)-P516))/7*U516</f>
        <v>0</v>
      </c>
      <c r="R516" s="54">
        <f t="shared" si="580"/>
        <v>0</v>
      </c>
      <c r="S516" s="55" t="str">
        <f t="shared" si="581"/>
        <v>SEPTIEMBRE</v>
      </c>
      <c r="T516" s="55" t="str">
        <f t="shared" si="582"/>
        <v>Sem38</v>
      </c>
      <c r="U516" s="56">
        <f t="shared" si="550"/>
        <v>7</v>
      </c>
      <c r="V516" s="59">
        <v>46283</v>
      </c>
      <c r="W516" s="56">
        <f t="shared" si="583"/>
        <v>38</v>
      </c>
      <c r="X516" s="56">
        <f t="shared" si="584"/>
        <v>18</v>
      </c>
      <c r="Y516" s="56" t="s">
        <v>32</v>
      </c>
      <c r="Z516" s="56">
        <v>5</v>
      </c>
      <c r="AA516" s="58">
        <f t="shared" si="596"/>
        <v>0</v>
      </c>
      <c r="AB516" s="58">
        <f t="shared" si="596"/>
        <v>0</v>
      </c>
      <c r="AC516" s="58">
        <f t="shared" si="596"/>
        <v>1</v>
      </c>
      <c r="AD516" s="58">
        <f t="shared" si="596"/>
        <v>0</v>
      </c>
      <c r="AE516" s="58">
        <f t="shared" si="596"/>
        <v>0</v>
      </c>
    </row>
    <row r="517" spans="2:34">
      <c r="B517" t="str">
        <f t="shared" si="571"/>
        <v>Sem3838FILIBERTO SACUL CUCUL</v>
      </c>
      <c r="C517" t="str">
        <f t="shared" si="572"/>
        <v>SEPTIEMBRESem38</v>
      </c>
      <c r="D517" t="str">
        <f t="shared" si="573"/>
        <v>SEPTIEMBRESem38FILIBERTO SACUL CUCUL</v>
      </c>
      <c r="E517" t="str">
        <f t="shared" si="574"/>
        <v>SEPTIEMBRESem3838FILIBERTO SACUL CUCUL</v>
      </c>
      <c r="F517" t="str">
        <f t="shared" si="575"/>
        <v>FILIBERTO SACUL CUCUL46284</v>
      </c>
      <c r="H517" s="49" t="s">
        <v>223</v>
      </c>
      <c r="I517" s="50" t="str">
        <f>+_xlfn.XLOOKUP($H517&amp;$V517,BASEDATOS!$B:$B,BASEDATOS!F:F,0,0,1)</f>
        <v>DESCANSO</v>
      </c>
      <c r="J517" s="51">
        <f>+_xlfn.XLOOKUP($H517&amp;$V517,BASEDATOS!$B:$B,BASEDATOS!Q:Q,0,0,1)</f>
        <v>0</v>
      </c>
      <c r="K517" s="51">
        <f>+_xlfn.XLOOKUP($H517&amp;$V517,BASEDATOS!$B:$B,BASEDATOS!R:R,0,0,1)</f>
        <v>0</v>
      </c>
      <c r="L517" s="51">
        <f t="shared" si="576"/>
        <v>0</v>
      </c>
      <c r="M517" s="52">
        <f t="shared" si="577"/>
        <v>0</v>
      </c>
      <c r="N517" s="51">
        <f t="shared" si="578"/>
        <v>0</v>
      </c>
      <c r="O517" s="53" t="str">
        <f t="shared" ref="O517" si="625">+O518</f>
        <v>1-0-6</v>
      </c>
      <c r="P517" s="54">
        <f>+IF(AND(Y517="Domingo",U517=7),_xlfn.XLOOKUP(O517,'Horarios y Sistemas'!C:C,'Horarios y Sistemas'!H:H,0,0,1),0)</f>
        <v>0</v>
      </c>
      <c r="Q517" s="54">
        <f>IF(U517=U518,0,IF(AVERAGEIF(W:W,W517,U:U)=U517,0,_xlfn.XLOOKUP(O517,'Horarios y Sistemas'!C:C,'Horarios y Sistemas'!H:H,0,0,1)-P517))/7*U517</f>
        <v>0</v>
      </c>
      <c r="R517" s="54">
        <f t="shared" si="580"/>
        <v>0</v>
      </c>
      <c r="S517" s="55" t="str">
        <f t="shared" si="581"/>
        <v>SEPTIEMBRE</v>
      </c>
      <c r="T517" s="55" t="str">
        <f t="shared" si="582"/>
        <v>Sem38</v>
      </c>
      <c r="U517" s="56">
        <f t="shared" si="550"/>
        <v>7</v>
      </c>
      <c r="V517" s="59">
        <v>46284</v>
      </c>
      <c r="W517" s="56">
        <f t="shared" si="583"/>
        <v>38</v>
      </c>
      <c r="X517" s="56">
        <f t="shared" si="584"/>
        <v>19</v>
      </c>
      <c r="Y517" s="56" t="s">
        <v>33</v>
      </c>
      <c r="Z517" s="56">
        <v>6</v>
      </c>
      <c r="AA517" s="58">
        <f t="shared" si="596"/>
        <v>0</v>
      </c>
      <c r="AB517" s="58">
        <f t="shared" si="596"/>
        <v>0</v>
      </c>
      <c r="AC517" s="58">
        <f t="shared" si="596"/>
        <v>1</v>
      </c>
      <c r="AD517" s="58">
        <f t="shared" si="596"/>
        <v>0</v>
      </c>
      <c r="AE517" s="58">
        <f t="shared" si="596"/>
        <v>0</v>
      </c>
    </row>
    <row r="518" spans="2:34" s="60" customFormat="1">
      <c r="B518" s="60" t="str">
        <f t="shared" si="571"/>
        <v>Sem3838FILIBERTO SACUL CUCUL</v>
      </c>
      <c r="C518" s="60" t="str">
        <f t="shared" si="572"/>
        <v>SEPTIEMBRESem38</v>
      </c>
      <c r="D518" s="60" t="str">
        <f t="shared" si="573"/>
        <v>SEPTIEMBRESem38FILIBERTO SACUL CUCUL</v>
      </c>
      <c r="E518" s="60" t="str">
        <f t="shared" si="574"/>
        <v>SEPTIEMBRESem3838FILIBERTO SACUL CUCUL</v>
      </c>
      <c r="F518" s="60" t="str">
        <f t="shared" si="575"/>
        <v>FILIBERTO SACUL CUCUL46285</v>
      </c>
      <c r="H518" s="61" t="s">
        <v>223</v>
      </c>
      <c r="I518" s="62" t="str">
        <f>+_xlfn.XLOOKUP($H518&amp;$V518,BASEDATOS!$B:$B,BASEDATOS!F:F,0,0,1)</f>
        <v>DESCANSO</v>
      </c>
      <c r="J518" s="63">
        <f>+_xlfn.XLOOKUP($H518&amp;$V518,BASEDATOS!$B:$B,BASEDATOS!Q:Q,0,0,1)</f>
        <v>0</v>
      </c>
      <c r="K518" s="63">
        <f>+_xlfn.XLOOKUP($H518&amp;$V518,BASEDATOS!$B:$B,BASEDATOS!R:R,0,0,1)</f>
        <v>0</v>
      </c>
      <c r="L518" s="63">
        <f t="shared" si="576"/>
        <v>0</v>
      </c>
      <c r="M518" s="64">
        <f t="shared" si="577"/>
        <v>0</v>
      </c>
      <c r="N518" s="63">
        <f t="shared" si="578"/>
        <v>0</v>
      </c>
      <c r="O518" s="65" t="str">
        <f t="shared" ref="O518" si="626">+IF(Y518="Domingo",SUM(AA512:AA518)&amp;"-"&amp;SUM(AB512:AB518)&amp;"-"&amp;SUM(AC512:AE518),"")</f>
        <v>1-0-6</v>
      </c>
      <c r="P518" s="66">
        <f>+IF(AND(Y518="Domingo",U518=7),_xlfn.XLOOKUP(O518,'Horarios y Sistemas'!C:C,'Horarios y Sistemas'!H:H,0,0,1),0)</f>
        <v>44</v>
      </c>
      <c r="Q518" s="66">
        <f>IF(U518=U519,0,IF(AVERAGEIF(W:W,W518,U:U)=U518,0,_xlfn.XLOOKUP(O518,'Horarios y Sistemas'!C:C,'Horarios y Sistemas'!H:H,0,0,1)-P518))/7*U518</f>
        <v>0</v>
      </c>
      <c r="R518" s="66">
        <f t="shared" si="580"/>
        <v>44</v>
      </c>
      <c r="S518" s="67" t="str">
        <f t="shared" si="581"/>
        <v>SEPTIEMBRE</v>
      </c>
      <c r="T518" s="55" t="str">
        <f t="shared" si="582"/>
        <v>Sem38</v>
      </c>
      <c r="U518" s="68">
        <f t="shared" si="550"/>
        <v>7</v>
      </c>
      <c r="V518" s="69">
        <v>46285</v>
      </c>
      <c r="W518" s="68">
        <f t="shared" si="583"/>
        <v>38</v>
      </c>
      <c r="X518" s="68">
        <f t="shared" si="584"/>
        <v>20</v>
      </c>
      <c r="Y518" s="68" t="s">
        <v>34</v>
      </c>
      <c r="Z518" s="68">
        <v>7</v>
      </c>
      <c r="AA518" s="70">
        <f t="shared" si="596"/>
        <v>0</v>
      </c>
      <c r="AB518" s="70">
        <f t="shared" si="596"/>
        <v>0</v>
      </c>
      <c r="AC518" s="70">
        <f t="shared" si="596"/>
        <v>1</v>
      </c>
      <c r="AD518" s="70">
        <f t="shared" si="596"/>
        <v>0</v>
      </c>
      <c r="AE518" s="70">
        <f t="shared" si="596"/>
        <v>0</v>
      </c>
      <c r="AF518" s="71"/>
      <c r="AG518" s="71"/>
      <c r="AH518" s="71"/>
    </row>
    <row r="519" spans="2:34">
      <c r="B519" t="str">
        <f t="shared" si="571"/>
        <v>Sem3939FILIBERTO SACUL CUCUL</v>
      </c>
      <c r="C519" t="str">
        <f t="shared" si="572"/>
        <v>SEPTIEMBRESem39</v>
      </c>
      <c r="D519" t="str">
        <f t="shared" si="573"/>
        <v>SEPTIEMBRESem39FILIBERTO SACUL CUCUL</v>
      </c>
      <c r="E519" t="str">
        <f t="shared" si="574"/>
        <v>SEPTIEMBRESem3939FILIBERTO SACUL CUCUL</v>
      </c>
      <c r="F519" t="str">
        <f t="shared" si="575"/>
        <v>FILIBERTO SACUL CUCUL46286</v>
      </c>
      <c r="H519" s="49" t="s">
        <v>223</v>
      </c>
      <c r="I519" s="50" t="str">
        <f>+_xlfn.XLOOKUP($H519&amp;$V519,BASEDATOS!$B:$B,BASEDATOS!F:F,0,0,1)</f>
        <v>DESCANSO</v>
      </c>
      <c r="J519" s="51">
        <f>+_xlfn.XLOOKUP($H519&amp;$V519,BASEDATOS!$B:$B,BASEDATOS!Q:Q,0,0,1)</f>
        <v>0</v>
      </c>
      <c r="K519" s="51">
        <f>+_xlfn.XLOOKUP($H519&amp;$V519,BASEDATOS!$B:$B,BASEDATOS!R:R,0,0,1)</f>
        <v>0</v>
      </c>
      <c r="L519" s="51">
        <f t="shared" si="576"/>
        <v>0</v>
      </c>
      <c r="M519" s="52">
        <f t="shared" si="577"/>
        <v>0</v>
      </c>
      <c r="N519" s="51">
        <f t="shared" si="578"/>
        <v>0</v>
      </c>
      <c r="O519" s="53" t="str">
        <f t="shared" ref="O519" si="627">+O525</f>
        <v>0-0-7</v>
      </c>
      <c r="P519" s="54">
        <f>+IF(AND(Y519="Domingo",U519=7),_xlfn.XLOOKUP(O519,'Horarios y Sistemas'!C:C,'Horarios y Sistemas'!H:H,0,0,1),0)</f>
        <v>0</v>
      </c>
      <c r="Q519" s="54">
        <f>IF(U519=U520,0,IF(AVERAGEIF(W:W,W519,U:U)=U519,0,_xlfn.XLOOKUP(O519,'Horarios y Sistemas'!C:C,'Horarios y Sistemas'!H:H,0,0,1)-P519))/7*U519</f>
        <v>0</v>
      </c>
      <c r="R519" s="54">
        <f t="shared" si="580"/>
        <v>0</v>
      </c>
      <c r="S519" s="55" t="str">
        <f t="shared" si="581"/>
        <v>SEPTIEMBRE</v>
      </c>
      <c r="T519" s="55" t="str">
        <f t="shared" si="582"/>
        <v>Sem39</v>
      </c>
      <c r="U519" s="56">
        <f t="shared" si="550"/>
        <v>7</v>
      </c>
      <c r="V519" s="59">
        <v>46286</v>
      </c>
      <c r="W519" s="56">
        <f t="shared" si="583"/>
        <v>39</v>
      </c>
      <c r="X519" s="56">
        <f t="shared" si="584"/>
        <v>21</v>
      </c>
      <c r="Y519" s="56" t="s">
        <v>28</v>
      </c>
      <c r="Z519" s="56">
        <v>1</v>
      </c>
      <c r="AA519" s="58">
        <f t="shared" si="596"/>
        <v>0</v>
      </c>
      <c r="AB519" s="58">
        <f t="shared" si="596"/>
        <v>0</v>
      </c>
      <c r="AC519" s="58">
        <f t="shared" si="596"/>
        <v>1</v>
      </c>
      <c r="AD519" s="58">
        <f t="shared" si="596"/>
        <v>0</v>
      </c>
      <c r="AE519" s="58">
        <f t="shared" si="596"/>
        <v>0</v>
      </c>
    </row>
    <row r="520" spans="2:34">
      <c r="B520" t="str">
        <f t="shared" si="571"/>
        <v>Sem3939FILIBERTO SACUL CUCUL</v>
      </c>
      <c r="C520" t="str">
        <f t="shared" si="572"/>
        <v>SEPTIEMBRESem39</v>
      </c>
      <c r="D520" t="str">
        <f t="shared" si="573"/>
        <v>SEPTIEMBRESem39FILIBERTO SACUL CUCUL</v>
      </c>
      <c r="E520" t="str">
        <f t="shared" si="574"/>
        <v>SEPTIEMBRESem3939FILIBERTO SACUL CUCUL</v>
      </c>
      <c r="F520" t="str">
        <f t="shared" si="575"/>
        <v>FILIBERTO SACUL CUCUL46287</v>
      </c>
      <c r="H520" s="49" t="s">
        <v>223</v>
      </c>
      <c r="I520" s="50" t="str">
        <f>+_xlfn.XLOOKUP($H520&amp;$V520,BASEDATOS!$B:$B,BASEDATOS!F:F,0,0,1)</f>
        <v>DESCANSO</v>
      </c>
      <c r="J520" s="51">
        <f>+_xlfn.XLOOKUP($H520&amp;$V520,BASEDATOS!$B:$B,BASEDATOS!Q:Q,0,0,1)</f>
        <v>0</v>
      </c>
      <c r="K520" s="51">
        <f>+_xlfn.XLOOKUP($H520&amp;$V520,BASEDATOS!$B:$B,BASEDATOS!R:R,0,0,1)</f>
        <v>0</v>
      </c>
      <c r="L520" s="51">
        <f t="shared" si="576"/>
        <v>0</v>
      </c>
      <c r="M520" s="52">
        <f t="shared" si="577"/>
        <v>0</v>
      </c>
      <c r="N520" s="51">
        <f t="shared" si="578"/>
        <v>0</v>
      </c>
      <c r="O520" s="53" t="str">
        <f t="shared" ref="O520" si="628">+O525</f>
        <v>0-0-7</v>
      </c>
      <c r="P520" s="54">
        <f>+IF(AND(Y520="Domingo",U520=7),_xlfn.XLOOKUP(O520,'Horarios y Sistemas'!C:C,'Horarios y Sistemas'!H:H,0,0,1),0)</f>
        <v>0</v>
      </c>
      <c r="Q520" s="54">
        <f>IF(U520=U521,0,IF(AVERAGEIF(W:W,W520,U:U)=U520,0,_xlfn.XLOOKUP(O520,'Horarios y Sistemas'!C:C,'Horarios y Sistemas'!H:H,0,0,1)-P520))/7*U520</f>
        <v>0</v>
      </c>
      <c r="R520" s="54">
        <f t="shared" si="580"/>
        <v>0</v>
      </c>
      <c r="S520" s="55" t="str">
        <f t="shared" si="581"/>
        <v>SEPTIEMBRE</v>
      </c>
      <c r="T520" s="55" t="str">
        <f t="shared" si="582"/>
        <v>Sem39</v>
      </c>
      <c r="U520" s="56">
        <f t="shared" ref="U520:U583" si="629">+COUNTIF(B:B,B520)</f>
        <v>7</v>
      </c>
      <c r="V520" s="59">
        <v>46287</v>
      </c>
      <c r="W520" s="56">
        <f t="shared" si="583"/>
        <v>39</v>
      </c>
      <c r="X520" s="56">
        <f t="shared" si="584"/>
        <v>22</v>
      </c>
      <c r="Y520" s="56" t="s">
        <v>29</v>
      </c>
      <c r="Z520" s="56">
        <v>2</v>
      </c>
      <c r="AA520" s="58">
        <f t="shared" si="596"/>
        <v>0</v>
      </c>
      <c r="AB520" s="58">
        <f t="shared" si="596"/>
        <v>0</v>
      </c>
      <c r="AC520" s="58">
        <f t="shared" si="596"/>
        <v>1</v>
      </c>
      <c r="AD520" s="58">
        <f t="shared" si="596"/>
        <v>0</v>
      </c>
      <c r="AE520" s="58">
        <f t="shared" si="596"/>
        <v>0</v>
      </c>
    </row>
    <row r="521" spans="2:34">
      <c r="B521" t="str">
        <f t="shared" si="571"/>
        <v>Sem3939FILIBERTO SACUL CUCUL</v>
      </c>
      <c r="C521" t="str">
        <f t="shared" si="572"/>
        <v>SEPTIEMBRESem39</v>
      </c>
      <c r="D521" t="str">
        <f t="shared" si="573"/>
        <v>SEPTIEMBRESem39FILIBERTO SACUL CUCUL</v>
      </c>
      <c r="E521" t="str">
        <f t="shared" si="574"/>
        <v>SEPTIEMBRESem3939FILIBERTO SACUL CUCUL</v>
      </c>
      <c r="F521" t="str">
        <f t="shared" si="575"/>
        <v>FILIBERTO SACUL CUCUL46288</v>
      </c>
      <c r="H521" s="49" t="s">
        <v>223</v>
      </c>
      <c r="I521" s="50" t="str">
        <f>+_xlfn.XLOOKUP($H521&amp;$V521,BASEDATOS!$B:$B,BASEDATOS!F:F,0,0,1)</f>
        <v>DESCANSO</v>
      </c>
      <c r="J521" s="51">
        <f>+_xlfn.XLOOKUP($H521&amp;$V521,BASEDATOS!$B:$B,BASEDATOS!Q:Q,0,0,1)</f>
        <v>0</v>
      </c>
      <c r="K521" s="51">
        <f>+_xlfn.XLOOKUP($H521&amp;$V521,BASEDATOS!$B:$B,BASEDATOS!R:R,0,0,1)</f>
        <v>0</v>
      </c>
      <c r="L521" s="51">
        <f t="shared" si="576"/>
        <v>0</v>
      </c>
      <c r="M521" s="52">
        <f t="shared" si="577"/>
        <v>0</v>
      </c>
      <c r="N521" s="51">
        <f t="shared" si="578"/>
        <v>0</v>
      </c>
      <c r="O521" s="53" t="str">
        <f t="shared" ref="O521" si="630">+O525</f>
        <v>0-0-7</v>
      </c>
      <c r="P521" s="54">
        <f>+IF(AND(Y521="Domingo",U521=7),_xlfn.XLOOKUP(O521,'Horarios y Sistemas'!C:C,'Horarios y Sistemas'!H:H,0,0,1),0)</f>
        <v>0</v>
      </c>
      <c r="Q521" s="54">
        <f>IF(U521=U522,0,IF(AVERAGEIF(W:W,W521,U:U)=U521,0,_xlfn.XLOOKUP(O521,'Horarios y Sistemas'!C:C,'Horarios y Sistemas'!H:H,0,0,1)-P521))/7*U521</f>
        <v>0</v>
      </c>
      <c r="R521" s="54">
        <f t="shared" si="580"/>
        <v>0</v>
      </c>
      <c r="S521" s="55" t="str">
        <f t="shared" si="581"/>
        <v>SEPTIEMBRE</v>
      </c>
      <c r="T521" s="55" t="str">
        <f t="shared" si="582"/>
        <v>Sem39</v>
      </c>
      <c r="U521" s="56">
        <f t="shared" si="629"/>
        <v>7</v>
      </c>
      <c r="V521" s="59">
        <v>46288</v>
      </c>
      <c r="W521" s="56">
        <f t="shared" si="583"/>
        <v>39</v>
      </c>
      <c r="X521" s="56">
        <f t="shared" si="584"/>
        <v>23</v>
      </c>
      <c r="Y521" s="56" t="s">
        <v>30</v>
      </c>
      <c r="Z521" s="56">
        <v>3</v>
      </c>
      <c r="AA521" s="58">
        <f t="shared" si="596"/>
        <v>0</v>
      </c>
      <c r="AB521" s="58">
        <f t="shared" si="596"/>
        <v>0</v>
      </c>
      <c r="AC521" s="58">
        <f t="shared" si="596"/>
        <v>1</v>
      </c>
      <c r="AD521" s="58">
        <f t="shared" si="596"/>
        <v>0</v>
      </c>
      <c r="AE521" s="58">
        <f t="shared" si="596"/>
        <v>0</v>
      </c>
    </row>
    <row r="522" spans="2:34">
      <c r="B522" t="str">
        <f t="shared" si="571"/>
        <v>Sem3939FILIBERTO SACUL CUCUL</v>
      </c>
      <c r="C522" t="str">
        <f t="shared" si="572"/>
        <v>SEPTIEMBRESem39</v>
      </c>
      <c r="D522" t="str">
        <f t="shared" si="573"/>
        <v>SEPTIEMBRESem39FILIBERTO SACUL CUCUL</v>
      </c>
      <c r="E522" t="str">
        <f t="shared" si="574"/>
        <v>SEPTIEMBRESem3939FILIBERTO SACUL CUCUL</v>
      </c>
      <c r="F522" t="str">
        <f t="shared" si="575"/>
        <v>FILIBERTO SACUL CUCUL46289</v>
      </c>
      <c r="H522" s="49" t="s">
        <v>223</v>
      </c>
      <c r="I522" s="50" t="str">
        <f>+_xlfn.XLOOKUP($H522&amp;$V522,BASEDATOS!$B:$B,BASEDATOS!F:F,0,0,1)</f>
        <v>DESCANSO</v>
      </c>
      <c r="J522" s="51">
        <f>+_xlfn.XLOOKUP($H522&amp;$V522,BASEDATOS!$B:$B,BASEDATOS!Q:Q,0,0,1)</f>
        <v>0</v>
      </c>
      <c r="K522" s="51">
        <f>+_xlfn.XLOOKUP($H522&amp;$V522,BASEDATOS!$B:$B,BASEDATOS!R:R,0,0,1)</f>
        <v>0</v>
      </c>
      <c r="L522" s="51">
        <f t="shared" si="576"/>
        <v>0</v>
      </c>
      <c r="M522" s="52">
        <f t="shared" si="577"/>
        <v>0</v>
      </c>
      <c r="N522" s="51">
        <f t="shared" si="578"/>
        <v>0</v>
      </c>
      <c r="O522" s="53" t="str">
        <f t="shared" ref="O522" si="631">+O525</f>
        <v>0-0-7</v>
      </c>
      <c r="P522" s="54">
        <f>+IF(AND(Y522="Domingo",U522=7),_xlfn.XLOOKUP(O522,'Horarios y Sistemas'!C:C,'Horarios y Sistemas'!H:H,0,0,1),0)</f>
        <v>0</v>
      </c>
      <c r="Q522" s="54">
        <f>IF(U522=U523,0,IF(AVERAGEIF(W:W,W522,U:U)=U522,0,_xlfn.XLOOKUP(O522,'Horarios y Sistemas'!C:C,'Horarios y Sistemas'!H:H,0,0,1)-P522))/7*U522</f>
        <v>0</v>
      </c>
      <c r="R522" s="54">
        <f t="shared" si="580"/>
        <v>0</v>
      </c>
      <c r="S522" s="55" t="str">
        <f t="shared" si="581"/>
        <v>SEPTIEMBRE</v>
      </c>
      <c r="T522" s="55" t="str">
        <f t="shared" si="582"/>
        <v>Sem39</v>
      </c>
      <c r="U522" s="56">
        <f t="shared" si="629"/>
        <v>7</v>
      </c>
      <c r="V522" s="59">
        <v>46289</v>
      </c>
      <c r="W522" s="56">
        <f t="shared" si="583"/>
        <v>39</v>
      </c>
      <c r="X522" s="56">
        <f t="shared" si="584"/>
        <v>24</v>
      </c>
      <c r="Y522" s="56" t="s">
        <v>31</v>
      </c>
      <c r="Z522" s="56">
        <v>4</v>
      </c>
      <c r="AA522" s="58">
        <f t="shared" si="596"/>
        <v>0</v>
      </c>
      <c r="AB522" s="58">
        <f t="shared" si="596"/>
        <v>0</v>
      </c>
      <c r="AC522" s="58">
        <f t="shared" si="596"/>
        <v>1</v>
      </c>
      <c r="AD522" s="58">
        <f t="shared" si="596"/>
        <v>0</v>
      </c>
      <c r="AE522" s="58">
        <f t="shared" si="596"/>
        <v>0</v>
      </c>
    </row>
    <row r="523" spans="2:34">
      <c r="B523" t="str">
        <f t="shared" si="571"/>
        <v>Sem3939FILIBERTO SACUL CUCUL</v>
      </c>
      <c r="C523" t="str">
        <f t="shared" si="572"/>
        <v>SEPTIEMBRESem39</v>
      </c>
      <c r="D523" t="str">
        <f t="shared" si="573"/>
        <v>SEPTIEMBRESem39FILIBERTO SACUL CUCUL</v>
      </c>
      <c r="E523" t="str">
        <f t="shared" si="574"/>
        <v>SEPTIEMBRESem3939FILIBERTO SACUL CUCUL</v>
      </c>
      <c r="F523" t="str">
        <f t="shared" si="575"/>
        <v>FILIBERTO SACUL CUCUL46290</v>
      </c>
      <c r="H523" s="49" t="s">
        <v>223</v>
      </c>
      <c r="I523" s="50" t="str">
        <f>+_xlfn.XLOOKUP($H523&amp;$V523,BASEDATOS!$B:$B,BASEDATOS!F:F,0,0,1)</f>
        <v>DESCANSO</v>
      </c>
      <c r="J523" s="51">
        <f>+_xlfn.XLOOKUP($H523&amp;$V523,BASEDATOS!$B:$B,BASEDATOS!Q:Q,0,0,1)</f>
        <v>0</v>
      </c>
      <c r="K523" s="51">
        <f>+_xlfn.XLOOKUP($H523&amp;$V523,BASEDATOS!$B:$B,BASEDATOS!R:R,0,0,1)</f>
        <v>0</v>
      </c>
      <c r="L523" s="51">
        <f t="shared" si="576"/>
        <v>0</v>
      </c>
      <c r="M523" s="52">
        <f t="shared" si="577"/>
        <v>0</v>
      </c>
      <c r="N523" s="51">
        <f t="shared" si="578"/>
        <v>0</v>
      </c>
      <c r="O523" s="53" t="str">
        <f t="shared" ref="O523" si="632">+O525</f>
        <v>0-0-7</v>
      </c>
      <c r="P523" s="54">
        <f>+IF(AND(Y523="Domingo",U523=7),_xlfn.XLOOKUP(O523,'Horarios y Sistemas'!C:C,'Horarios y Sistemas'!H:H,0,0,1),0)</f>
        <v>0</v>
      </c>
      <c r="Q523" s="54">
        <f>IF(U523=U524,0,IF(AVERAGEIF(W:W,W523,U:U)=U523,0,_xlfn.XLOOKUP(O523,'Horarios y Sistemas'!C:C,'Horarios y Sistemas'!H:H,0,0,1)-P523))/7*U523</f>
        <v>0</v>
      </c>
      <c r="R523" s="54">
        <f t="shared" si="580"/>
        <v>0</v>
      </c>
      <c r="S523" s="55" t="str">
        <f t="shared" si="581"/>
        <v>SEPTIEMBRE</v>
      </c>
      <c r="T523" s="55" t="str">
        <f t="shared" si="582"/>
        <v>Sem39</v>
      </c>
      <c r="U523" s="56">
        <f t="shared" si="629"/>
        <v>7</v>
      </c>
      <c r="V523" s="59">
        <v>46290</v>
      </c>
      <c r="W523" s="56">
        <f t="shared" si="583"/>
        <v>39</v>
      </c>
      <c r="X523" s="56">
        <f t="shared" si="584"/>
        <v>25</v>
      </c>
      <c r="Y523" s="56" t="s">
        <v>32</v>
      </c>
      <c r="Z523" s="56">
        <v>5</v>
      </c>
      <c r="AA523" s="58">
        <f t="shared" si="596"/>
        <v>0</v>
      </c>
      <c r="AB523" s="58">
        <f t="shared" si="596"/>
        <v>0</v>
      </c>
      <c r="AC523" s="58">
        <f t="shared" si="596"/>
        <v>1</v>
      </c>
      <c r="AD523" s="58">
        <f t="shared" si="596"/>
        <v>0</v>
      </c>
      <c r="AE523" s="58">
        <f t="shared" si="596"/>
        <v>0</v>
      </c>
    </row>
    <row r="524" spans="2:34">
      <c r="B524" t="str">
        <f t="shared" si="571"/>
        <v>Sem3939FILIBERTO SACUL CUCUL</v>
      </c>
      <c r="C524" t="str">
        <f t="shared" si="572"/>
        <v>SEPTIEMBRESem39</v>
      </c>
      <c r="D524" t="str">
        <f t="shared" si="573"/>
        <v>SEPTIEMBRESem39FILIBERTO SACUL CUCUL</v>
      </c>
      <c r="E524" t="str">
        <f t="shared" si="574"/>
        <v>SEPTIEMBRESem3939FILIBERTO SACUL CUCUL</v>
      </c>
      <c r="F524" t="str">
        <f t="shared" si="575"/>
        <v>FILIBERTO SACUL CUCUL46291</v>
      </c>
      <c r="H524" s="49" t="s">
        <v>223</v>
      </c>
      <c r="I524" s="50" t="str">
        <f>+_xlfn.XLOOKUP($H524&amp;$V524,BASEDATOS!$B:$B,BASEDATOS!F:F,0,0,1)</f>
        <v>DESCANSO</v>
      </c>
      <c r="J524" s="51">
        <f>+_xlfn.XLOOKUP($H524&amp;$V524,BASEDATOS!$B:$B,BASEDATOS!Q:Q,0,0,1)</f>
        <v>0</v>
      </c>
      <c r="K524" s="51">
        <f>+_xlfn.XLOOKUP($H524&amp;$V524,BASEDATOS!$B:$B,BASEDATOS!R:R,0,0,1)</f>
        <v>0</v>
      </c>
      <c r="L524" s="51">
        <f t="shared" si="576"/>
        <v>0</v>
      </c>
      <c r="M524" s="52">
        <f t="shared" si="577"/>
        <v>0</v>
      </c>
      <c r="N524" s="51">
        <f t="shared" si="578"/>
        <v>0</v>
      </c>
      <c r="O524" s="53" t="str">
        <f t="shared" ref="O524" si="633">+O525</f>
        <v>0-0-7</v>
      </c>
      <c r="P524" s="54">
        <f>+IF(AND(Y524="Domingo",U524=7),_xlfn.XLOOKUP(O524,'Horarios y Sistemas'!C:C,'Horarios y Sistemas'!H:H,0,0,1),0)</f>
        <v>0</v>
      </c>
      <c r="Q524" s="54">
        <f>IF(U524=U525,0,IF(AVERAGEIF(W:W,W524,U:U)=U524,0,_xlfn.XLOOKUP(O524,'Horarios y Sistemas'!C:C,'Horarios y Sistemas'!H:H,0,0,1)-P524))/7*U524</f>
        <v>0</v>
      </c>
      <c r="R524" s="54">
        <f t="shared" si="580"/>
        <v>0</v>
      </c>
      <c r="S524" s="55" t="str">
        <f t="shared" si="581"/>
        <v>SEPTIEMBRE</v>
      </c>
      <c r="T524" s="55" t="str">
        <f t="shared" si="582"/>
        <v>Sem39</v>
      </c>
      <c r="U524" s="56">
        <f t="shared" si="629"/>
        <v>7</v>
      </c>
      <c r="V524" s="59">
        <v>46291</v>
      </c>
      <c r="W524" s="56">
        <f t="shared" si="583"/>
        <v>39</v>
      </c>
      <c r="X524" s="56">
        <f t="shared" si="584"/>
        <v>26</v>
      </c>
      <c r="Y524" s="56" t="s">
        <v>33</v>
      </c>
      <c r="Z524" s="56">
        <v>6</v>
      </c>
      <c r="AA524" s="58">
        <f t="shared" si="596"/>
        <v>0</v>
      </c>
      <c r="AB524" s="58">
        <f t="shared" si="596"/>
        <v>0</v>
      </c>
      <c r="AC524" s="58">
        <f t="shared" si="596"/>
        <v>1</v>
      </c>
      <c r="AD524" s="58">
        <f t="shared" si="596"/>
        <v>0</v>
      </c>
      <c r="AE524" s="58">
        <f t="shared" si="596"/>
        <v>0</v>
      </c>
    </row>
    <row r="525" spans="2:34" s="60" customFormat="1">
      <c r="B525" s="60" t="str">
        <f t="shared" si="571"/>
        <v>Sem3939FILIBERTO SACUL CUCUL</v>
      </c>
      <c r="C525" s="60" t="str">
        <f t="shared" si="572"/>
        <v>SEPTIEMBRESem39</v>
      </c>
      <c r="D525" s="60" t="str">
        <f t="shared" si="573"/>
        <v>SEPTIEMBRESem39FILIBERTO SACUL CUCUL</v>
      </c>
      <c r="E525" s="60" t="str">
        <f t="shared" si="574"/>
        <v>SEPTIEMBRESem3939FILIBERTO SACUL CUCUL</v>
      </c>
      <c r="F525" s="60" t="str">
        <f t="shared" si="575"/>
        <v>FILIBERTO SACUL CUCUL46292</v>
      </c>
      <c r="H525" s="61" t="s">
        <v>223</v>
      </c>
      <c r="I525" s="62" t="str">
        <f>+_xlfn.XLOOKUP($H525&amp;$V525,BASEDATOS!$B:$B,BASEDATOS!F:F,0,0,1)</f>
        <v>DESCANSO</v>
      </c>
      <c r="J525" s="63">
        <f>+_xlfn.XLOOKUP($H525&amp;$V525,BASEDATOS!$B:$B,BASEDATOS!Q:Q,0,0,1)</f>
        <v>0</v>
      </c>
      <c r="K525" s="63">
        <f>+_xlfn.XLOOKUP($H525&amp;$V525,BASEDATOS!$B:$B,BASEDATOS!R:R,0,0,1)</f>
        <v>0</v>
      </c>
      <c r="L525" s="63">
        <f t="shared" si="576"/>
        <v>0</v>
      </c>
      <c r="M525" s="64">
        <f t="shared" si="577"/>
        <v>0</v>
      </c>
      <c r="N525" s="63">
        <f t="shared" si="578"/>
        <v>0</v>
      </c>
      <c r="O525" s="65" t="str">
        <f t="shared" ref="O525" si="634">+IF(Y525="Domingo",SUM(AA519:AA525)&amp;"-"&amp;SUM(AB519:AB525)&amp;"-"&amp;SUM(AC519:AE525),"")</f>
        <v>0-0-7</v>
      </c>
      <c r="P525" s="66">
        <f>+IF(AND(Y525="Domingo",U525=7),_xlfn.XLOOKUP(O525,'Horarios y Sistemas'!C:C,'Horarios y Sistemas'!H:H,0,0,1),0)</f>
        <v>0</v>
      </c>
      <c r="Q525" s="66">
        <f>IF(U525=U526,0,IF(AVERAGEIF(W:W,W525,U:U)=U525,0,_xlfn.XLOOKUP(O525,'Horarios y Sistemas'!C:C,'Horarios y Sistemas'!H:H,0,0,1)-P525))/7*U525</f>
        <v>0</v>
      </c>
      <c r="R525" s="66">
        <f t="shared" si="580"/>
        <v>0</v>
      </c>
      <c r="S525" s="67" t="str">
        <f t="shared" si="581"/>
        <v>SEPTIEMBRE</v>
      </c>
      <c r="T525" s="55" t="str">
        <f t="shared" si="582"/>
        <v>Sem39</v>
      </c>
      <c r="U525" s="68">
        <f t="shared" si="629"/>
        <v>7</v>
      </c>
      <c r="V525" s="69">
        <v>46292</v>
      </c>
      <c r="W525" s="68">
        <f t="shared" si="583"/>
        <v>39</v>
      </c>
      <c r="X525" s="68">
        <f t="shared" si="584"/>
        <v>27</v>
      </c>
      <c r="Y525" s="68" t="s">
        <v>34</v>
      </c>
      <c r="Z525" s="68">
        <v>7</v>
      </c>
      <c r="AA525" s="70">
        <f t="shared" si="596"/>
        <v>0</v>
      </c>
      <c r="AB525" s="70">
        <f t="shared" si="596"/>
        <v>0</v>
      </c>
      <c r="AC525" s="70">
        <f t="shared" si="596"/>
        <v>1</v>
      </c>
      <c r="AD525" s="70">
        <f t="shared" si="596"/>
        <v>0</v>
      </c>
      <c r="AE525" s="70">
        <f t="shared" si="596"/>
        <v>0</v>
      </c>
      <c r="AF525" s="71"/>
      <c r="AG525" s="71"/>
      <c r="AH525" s="71"/>
    </row>
    <row r="526" spans="2:34">
      <c r="B526" t="str">
        <f t="shared" si="571"/>
        <v>Sem4040FILIBERTO SACUL CUCUL</v>
      </c>
      <c r="C526" t="str">
        <f t="shared" si="572"/>
        <v>SEPTIEMBRESem40</v>
      </c>
      <c r="D526" t="str">
        <f t="shared" si="573"/>
        <v>SEPTIEMBRESem40FILIBERTO SACUL CUCUL</v>
      </c>
      <c r="E526" t="str">
        <f t="shared" si="574"/>
        <v>SEPTIEMBRESem4040FILIBERTO SACUL CUCUL</v>
      </c>
      <c r="F526" t="str">
        <f t="shared" si="575"/>
        <v>FILIBERTO SACUL CUCUL46293</v>
      </c>
      <c r="H526" s="49" t="s">
        <v>223</v>
      </c>
      <c r="I526" s="50" t="str">
        <f>+_xlfn.XLOOKUP($H526&amp;$V526,BASEDATOS!$B:$B,BASEDATOS!F:F,0,0,1)</f>
        <v>DESCANSO</v>
      </c>
      <c r="J526" s="51">
        <f>+_xlfn.XLOOKUP($H526&amp;$V526,BASEDATOS!$B:$B,BASEDATOS!Q:Q,0,0,1)</f>
        <v>0</v>
      </c>
      <c r="K526" s="51">
        <f>+_xlfn.XLOOKUP($H526&amp;$V526,BASEDATOS!$B:$B,BASEDATOS!R:R,0,0,1)</f>
        <v>0</v>
      </c>
      <c r="L526" s="51">
        <f t="shared" si="576"/>
        <v>0</v>
      </c>
      <c r="M526" s="52">
        <f t="shared" si="577"/>
        <v>0</v>
      </c>
      <c r="N526" s="51">
        <f t="shared" si="578"/>
        <v>0</v>
      </c>
      <c r="O526" s="53" t="str">
        <f t="shared" ref="O526" si="635">+O532</f>
        <v>0-0-7</v>
      </c>
      <c r="P526" s="54">
        <f>+IF(AND(Y526="Domingo",U526=7),_xlfn.XLOOKUP(O526,'Horarios y Sistemas'!C:C,'Horarios y Sistemas'!H:H,0,0,1),0)</f>
        <v>0</v>
      </c>
      <c r="Q526" s="54">
        <f>IF(U526=U527,0,IF(AVERAGEIF(W:W,W526,U:U)=U526,0,_xlfn.XLOOKUP(O526,'Horarios y Sistemas'!C:C,'Horarios y Sistemas'!H:H,0,0,1)-P526))/7*U526</f>
        <v>0</v>
      </c>
      <c r="R526" s="54">
        <f t="shared" si="580"/>
        <v>0</v>
      </c>
      <c r="S526" s="55" t="str">
        <f t="shared" si="581"/>
        <v>SEPTIEMBRE</v>
      </c>
      <c r="T526" s="55" t="str">
        <f t="shared" si="582"/>
        <v>Sem40</v>
      </c>
      <c r="U526" s="56">
        <f t="shared" si="629"/>
        <v>7</v>
      </c>
      <c r="V526" s="59">
        <v>46293</v>
      </c>
      <c r="W526" s="56">
        <f t="shared" si="583"/>
        <v>40</v>
      </c>
      <c r="X526" s="56">
        <f t="shared" si="584"/>
        <v>28</v>
      </c>
      <c r="Y526" s="56" t="s">
        <v>28</v>
      </c>
      <c r="Z526" s="56">
        <v>1</v>
      </c>
      <c r="AA526" s="58">
        <f t="shared" si="596"/>
        <v>0</v>
      </c>
      <c r="AB526" s="58">
        <f t="shared" si="596"/>
        <v>0</v>
      </c>
      <c r="AC526" s="58">
        <f t="shared" si="596"/>
        <v>1</v>
      </c>
      <c r="AD526" s="58">
        <f t="shared" si="596"/>
        <v>0</v>
      </c>
      <c r="AE526" s="58">
        <f t="shared" si="596"/>
        <v>0</v>
      </c>
    </row>
    <row r="527" spans="2:34">
      <c r="B527" t="str">
        <f t="shared" si="571"/>
        <v>Sem4040FILIBERTO SACUL CUCUL</v>
      </c>
      <c r="C527" t="str">
        <f t="shared" si="572"/>
        <v>SEPTIEMBRESem40</v>
      </c>
      <c r="D527" t="str">
        <f t="shared" si="573"/>
        <v>SEPTIEMBRESem40FILIBERTO SACUL CUCUL</v>
      </c>
      <c r="E527" t="str">
        <f t="shared" si="574"/>
        <v>SEPTIEMBRESem4040FILIBERTO SACUL CUCUL</v>
      </c>
      <c r="F527" t="str">
        <f t="shared" si="575"/>
        <v>FILIBERTO SACUL CUCUL46294</v>
      </c>
      <c r="H527" s="49" t="s">
        <v>223</v>
      </c>
      <c r="I527" s="50" t="str">
        <f>+_xlfn.XLOOKUP($H527&amp;$V527,BASEDATOS!$B:$B,BASEDATOS!F:F,0,0,1)</f>
        <v>DESCANSO</v>
      </c>
      <c r="J527" s="51">
        <f>+_xlfn.XLOOKUP($H527&amp;$V527,BASEDATOS!$B:$B,BASEDATOS!Q:Q,0,0,1)</f>
        <v>0</v>
      </c>
      <c r="K527" s="51">
        <f>+_xlfn.XLOOKUP($H527&amp;$V527,BASEDATOS!$B:$B,BASEDATOS!R:R,0,0,1)</f>
        <v>0</v>
      </c>
      <c r="L527" s="51">
        <f t="shared" si="576"/>
        <v>0</v>
      </c>
      <c r="M527" s="52">
        <f t="shared" si="577"/>
        <v>0</v>
      </c>
      <c r="N527" s="51">
        <f t="shared" si="578"/>
        <v>0</v>
      </c>
      <c r="O527" s="53" t="str">
        <f t="shared" ref="O527" si="636">+O532</f>
        <v>0-0-7</v>
      </c>
      <c r="P527" s="54">
        <f>+IF(AND(Y527="Domingo",U527=7),_xlfn.XLOOKUP(O527,'Horarios y Sistemas'!C:C,'Horarios y Sistemas'!H:H,0,0,1),0)</f>
        <v>0</v>
      </c>
      <c r="Q527" s="54">
        <f>IF(U527=U528,0,IF(AVERAGEIF(W:W,W527,U:U)=U527,0,_xlfn.XLOOKUP(O527,'Horarios y Sistemas'!C:C,'Horarios y Sistemas'!H:H,0,0,1)-P527))/7*U527</f>
        <v>0</v>
      </c>
      <c r="R527" s="54">
        <f t="shared" si="580"/>
        <v>0</v>
      </c>
      <c r="S527" s="55" t="str">
        <f t="shared" si="581"/>
        <v>SEPTIEMBRE</v>
      </c>
      <c r="T527" s="55" t="str">
        <f t="shared" si="582"/>
        <v>Sem40</v>
      </c>
      <c r="U527" s="56">
        <f t="shared" si="629"/>
        <v>7</v>
      </c>
      <c r="V527" s="59">
        <v>46294</v>
      </c>
      <c r="W527" s="56">
        <f t="shared" si="583"/>
        <v>40</v>
      </c>
      <c r="X527" s="56">
        <f t="shared" si="584"/>
        <v>29</v>
      </c>
      <c r="Y527" s="56" t="s">
        <v>29</v>
      </c>
      <c r="Z527" s="56">
        <v>2</v>
      </c>
      <c r="AA527" s="58">
        <f t="shared" si="596"/>
        <v>0</v>
      </c>
      <c r="AB527" s="58">
        <f t="shared" si="596"/>
        <v>0</v>
      </c>
      <c r="AC527" s="58">
        <f t="shared" si="596"/>
        <v>1</v>
      </c>
      <c r="AD527" s="58">
        <f t="shared" si="596"/>
        <v>0</v>
      </c>
      <c r="AE527" s="58">
        <f t="shared" si="596"/>
        <v>0</v>
      </c>
    </row>
    <row r="528" spans="2:34">
      <c r="B528" t="str">
        <f t="shared" si="571"/>
        <v>Sem4040FILIBERTO SACUL CUCUL</v>
      </c>
      <c r="C528" t="str">
        <f t="shared" si="572"/>
        <v>SEPTIEMBRESem40</v>
      </c>
      <c r="D528" t="str">
        <f t="shared" si="573"/>
        <v>SEPTIEMBRESem40FILIBERTO SACUL CUCUL</v>
      </c>
      <c r="E528" t="str">
        <f t="shared" si="574"/>
        <v>SEPTIEMBRESem4040FILIBERTO SACUL CUCUL</v>
      </c>
      <c r="F528" t="str">
        <f t="shared" si="575"/>
        <v>FILIBERTO SACUL CUCUL46295</v>
      </c>
      <c r="H528" s="49" t="s">
        <v>223</v>
      </c>
      <c r="I528" s="50" t="str">
        <f>+_xlfn.XLOOKUP($H528&amp;$V528,BASEDATOS!$B:$B,BASEDATOS!F:F,0,0,1)</f>
        <v>DESCANSO</v>
      </c>
      <c r="J528" s="51">
        <f>+_xlfn.XLOOKUP($H528&amp;$V528,BASEDATOS!$B:$B,BASEDATOS!Q:Q,0,0,1)</f>
        <v>0</v>
      </c>
      <c r="K528" s="51">
        <f>+_xlfn.XLOOKUP($H528&amp;$V528,BASEDATOS!$B:$B,BASEDATOS!R:R,0,0,1)</f>
        <v>0</v>
      </c>
      <c r="L528" s="51">
        <f t="shared" si="576"/>
        <v>0</v>
      </c>
      <c r="M528" s="52">
        <f t="shared" si="577"/>
        <v>0</v>
      </c>
      <c r="N528" s="51">
        <f t="shared" si="578"/>
        <v>0</v>
      </c>
      <c r="O528" s="53" t="str">
        <f t="shared" ref="O528" si="637">+O532</f>
        <v>0-0-7</v>
      </c>
      <c r="P528" s="54">
        <f>+IF(AND(Y528="Domingo",U528=7),_xlfn.XLOOKUP(O528,'Horarios y Sistemas'!C:C,'Horarios y Sistemas'!H:H,0,0,1),0)</f>
        <v>0</v>
      </c>
      <c r="Q528" s="54">
        <f>IF(U528=U529,0,IF(AVERAGEIF(W:W,W528,U:U)=U528,0,_xlfn.XLOOKUP(O528,'Horarios y Sistemas'!C:C,'Horarios y Sistemas'!H:H,0,0,1)-P528))/7*U528</f>
        <v>0</v>
      </c>
      <c r="R528" s="54">
        <f t="shared" si="580"/>
        <v>0</v>
      </c>
      <c r="S528" s="55" t="str">
        <f t="shared" si="581"/>
        <v>SEPTIEMBRE</v>
      </c>
      <c r="T528" s="55" t="str">
        <f t="shared" si="582"/>
        <v>Sem40</v>
      </c>
      <c r="U528" s="56">
        <f t="shared" si="629"/>
        <v>7</v>
      </c>
      <c r="V528" s="59">
        <v>46295</v>
      </c>
      <c r="W528" s="56">
        <f t="shared" si="583"/>
        <v>40</v>
      </c>
      <c r="X528" s="56">
        <f t="shared" si="584"/>
        <v>30</v>
      </c>
      <c r="Y528" s="56" t="s">
        <v>30</v>
      </c>
      <c r="Z528" s="56">
        <v>3</v>
      </c>
      <c r="AA528" s="58">
        <f t="shared" si="596"/>
        <v>0</v>
      </c>
      <c r="AB528" s="58">
        <f t="shared" si="596"/>
        <v>0</v>
      </c>
      <c r="AC528" s="58">
        <f t="shared" si="596"/>
        <v>1</v>
      </c>
      <c r="AD528" s="58">
        <f t="shared" si="596"/>
        <v>0</v>
      </c>
      <c r="AE528" s="58">
        <f t="shared" si="596"/>
        <v>0</v>
      </c>
    </row>
    <row r="529" spans="2:34">
      <c r="B529" t="str">
        <f t="shared" si="571"/>
        <v>Sem4040FILIBERTO SACUL CUCUL</v>
      </c>
      <c r="C529" t="str">
        <f t="shared" si="572"/>
        <v>OCTUBRESem40</v>
      </c>
      <c r="D529" t="str">
        <f t="shared" si="573"/>
        <v>OCTUBRESem40FILIBERTO SACUL CUCUL</v>
      </c>
      <c r="E529" t="str">
        <f t="shared" si="574"/>
        <v>OCTUBRESem4040FILIBERTO SACUL CUCUL</v>
      </c>
      <c r="F529" t="str">
        <f t="shared" si="575"/>
        <v>FILIBERTO SACUL CUCUL46296</v>
      </c>
      <c r="H529" s="49" t="s">
        <v>223</v>
      </c>
      <c r="I529" s="50" t="str">
        <f>+_xlfn.XLOOKUP($H529&amp;$V529,BASEDATOS!$B:$B,BASEDATOS!F:F,0,0,1)</f>
        <v>DESCANSO</v>
      </c>
      <c r="J529" s="51">
        <f>+_xlfn.XLOOKUP($H529&amp;$V529,BASEDATOS!$B:$B,BASEDATOS!Q:Q,0,0,1)</f>
        <v>0</v>
      </c>
      <c r="K529" s="51">
        <f>+_xlfn.XLOOKUP($H529&amp;$V529,BASEDATOS!$B:$B,BASEDATOS!R:R,0,0,1)</f>
        <v>0</v>
      </c>
      <c r="L529" s="51">
        <f t="shared" si="576"/>
        <v>0</v>
      </c>
      <c r="M529" s="52">
        <f t="shared" si="577"/>
        <v>0</v>
      </c>
      <c r="N529" s="51">
        <f t="shared" si="578"/>
        <v>0</v>
      </c>
      <c r="O529" s="53" t="str">
        <f t="shared" ref="O529" si="638">+O532</f>
        <v>0-0-7</v>
      </c>
      <c r="P529" s="54">
        <f>+IF(AND(Y529="Domingo",U529=7),_xlfn.XLOOKUP(O529,'Horarios y Sistemas'!C:C,'Horarios y Sistemas'!H:H,0,0,1),0)</f>
        <v>0</v>
      </c>
      <c r="Q529" s="54">
        <f>IF(U529=U530,0,IF(AVERAGEIF(W:W,W529,U:U)=U529,0,_xlfn.XLOOKUP(O529,'Horarios y Sistemas'!C:C,'Horarios y Sistemas'!H:H,0,0,1)-P529))/7*U529</f>
        <v>0</v>
      </c>
      <c r="R529" s="54">
        <f t="shared" si="580"/>
        <v>0</v>
      </c>
      <c r="S529" s="55" t="str">
        <f t="shared" si="581"/>
        <v>OCTUBRE</v>
      </c>
      <c r="T529" s="55" t="str">
        <f t="shared" si="582"/>
        <v>Sem40</v>
      </c>
      <c r="U529" s="56">
        <f t="shared" si="629"/>
        <v>7</v>
      </c>
      <c r="V529" s="59">
        <v>46296</v>
      </c>
      <c r="W529" s="56">
        <f t="shared" si="583"/>
        <v>40</v>
      </c>
      <c r="X529" s="56">
        <f t="shared" si="584"/>
        <v>1</v>
      </c>
      <c r="Y529" s="56" t="s">
        <v>31</v>
      </c>
      <c r="Z529" s="56">
        <v>4</v>
      </c>
      <c r="AA529" s="58">
        <f t="shared" si="596"/>
        <v>0</v>
      </c>
      <c r="AB529" s="58">
        <f t="shared" si="596"/>
        <v>0</v>
      </c>
      <c r="AC529" s="58">
        <f t="shared" si="596"/>
        <v>1</v>
      </c>
      <c r="AD529" s="58">
        <f t="shared" si="596"/>
        <v>0</v>
      </c>
      <c r="AE529" s="58">
        <f t="shared" si="596"/>
        <v>0</v>
      </c>
    </row>
    <row r="530" spans="2:34">
      <c r="B530" t="str">
        <f t="shared" si="571"/>
        <v>Sem4040FILIBERTO SACUL CUCUL</v>
      </c>
      <c r="C530" t="str">
        <f t="shared" si="572"/>
        <v>OCTUBRESem40</v>
      </c>
      <c r="D530" t="str">
        <f t="shared" si="573"/>
        <v>OCTUBRESem40FILIBERTO SACUL CUCUL</v>
      </c>
      <c r="E530" t="str">
        <f t="shared" si="574"/>
        <v>OCTUBRESem4040FILIBERTO SACUL CUCUL</v>
      </c>
      <c r="F530" t="str">
        <f t="shared" si="575"/>
        <v>FILIBERTO SACUL CUCUL46297</v>
      </c>
      <c r="H530" s="49" t="s">
        <v>223</v>
      </c>
      <c r="I530" s="50" t="str">
        <f>+_xlfn.XLOOKUP($H530&amp;$V530,BASEDATOS!$B:$B,BASEDATOS!F:F,0,0,1)</f>
        <v>DESCANSO</v>
      </c>
      <c r="J530" s="51">
        <f>+_xlfn.XLOOKUP($H530&amp;$V530,BASEDATOS!$B:$B,BASEDATOS!Q:Q,0,0,1)</f>
        <v>0</v>
      </c>
      <c r="K530" s="51">
        <f>+_xlfn.XLOOKUP($H530&amp;$V530,BASEDATOS!$B:$B,BASEDATOS!R:R,0,0,1)</f>
        <v>0</v>
      </c>
      <c r="L530" s="51">
        <f t="shared" si="576"/>
        <v>0</v>
      </c>
      <c r="M530" s="52">
        <f t="shared" si="577"/>
        <v>0</v>
      </c>
      <c r="N530" s="51">
        <f t="shared" si="578"/>
        <v>0</v>
      </c>
      <c r="O530" s="53" t="str">
        <f t="shared" ref="O530" si="639">+O532</f>
        <v>0-0-7</v>
      </c>
      <c r="P530" s="54">
        <f>+IF(AND(Y530="Domingo",U530=7),_xlfn.XLOOKUP(O530,'Horarios y Sistemas'!C:C,'Horarios y Sistemas'!H:H,0,0,1),0)</f>
        <v>0</v>
      </c>
      <c r="Q530" s="54">
        <f>IF(U530=U531,0,IF(AVERAGEIF(W:W,W530,U:U)=U530,0,_xlfn.XLOOKUP(O530,'Horarios y Sistemas'!C:C,'Horarios y Sistemas'!H:H,0,0,1)-P530))/7*U530</f>
        <v>0</v>
      </c>
      <c r="R530" s="54">
        <f t="shared" si="580"/>
        <v>0</v>
      </c>
      <c r="S530" s="55" t="str">
        <f t="shared" si="581"/>
        <v>OCTUBRE</v>
      </c>
      <c r="T530" s="55" t="str">
        <f t="shared" si="582"/>
        <v>Sem40</v>
      </c>
      <c r="U530" s="56">
        <f t="shared" si="629"/>
        <v>7</v>
      </c>
      <c r="V530" s="59">
        <v>46297</v>
      </c>
      <c r="W530" s="56">
        <f t="shared" si="583"/>
        <v>40</v>
      </c>
      <c r="X530" s="56">
        <f t="shared" si="584"/>
        <v>2</v>
      </c>
      <c r="Y530" s="56" t="s">
        <v>32</v>
      </c>
      <c r="Z530" s="56">
        <v>5</v>
      </c>
      <c r="AA530" s="58">
        <f t="shared" si="596"/>
        <v>0</v>
      </c>
      <c r="AB530" s="58">
        <f t="shared" si="596"/>
        <v>0</v>
      </c>
      <c r="AC530" s="58">
        <f t="shared" si="596"/>
        <v>1</v>
      </c>
      <c r="AD530" s="58">
        <f t="shared" si="596"/>
        <v>0</v>
      </c>
      <c r="AE530" s="58">
        <f t="shared" si="596"/>
        <v>0</v>
      </c>
    </row>
    <row r="531" spans="2:34">
      <c r="B531" t="str">
        <f t="shared" si="571"/>
        <v>Sem4040FILIBERTO SACUL CUCUL</v>
      </c>
      <c r="C531" t="str">
        <f t="shared" si="572"/>
        <v>OCTUBRESem40</v>
      </c>
      <c r="D531" t="str">
        <f t="shared" si="573"/>
        <v>OCTUBRESem40FILIBERTO SACUL CUCUL</v>
      </c>
      <c r="E531" t="str">
        <f t="shared" si="574"/>
        <v>OCTUBRESem4040FILIBERTO SACUL CUCUL</v>
      </c>
      <c r="F531" t="str">
        <f t="shared" si="575"/>
        <v>FILIBERTO SACUL CUCUL46298</v>
      </c>
      <c r="H531" s="49" t="s">
        <v>223</v>
      </c>
      <c r="I531" s="50" t="str">
        <f>+_xlfn.XLOOKUP($H531&amp;$V531,BASEDATOS!$B:$B,BASEDATOS!F:F,0,0,1)</f>
        <v>DESCANSO</v>
      </c>
      <c r="J531" s="51">
        <f>+_xlfn.XLOOKUP($H531&amp;$V531,BASEDATOS!$B:$B,BASEDATOS!Q:Q,0,0,1)</f>
        <v>0</v>
      </c>
      <c r="K531" s="51">
        <f>+_xlfn.XLOOKUP($H531&amp;$V531,BASEDATOS!$B:$B,BASEDATOS!R:R,0,0,1)</f>
        <v>0</v>
      </c>
      <c r="L531" s="51">
        <f t="shared" si="576"/>
        <v>0</v>
      </c>
      <c r="M531" s="52">
        <f t="shared" si="577"/>
        <v>0</v>
      </c>
      <c r="N531" s="51">
        <f t="shared" si="578"/>
        <v>0</v>
      </c>
      <c r="O531" s="53" t="str">
        <f t="shared" ref="O531" si="640">+O532</f>
        <v>0-0-7</v>
      </c>
      <c r="P531" s="54">
        <f>+IF(AND(Y531="Domingo",U531=7),_xlfn.XLOOKUP(O531,'Horarios y Sistemas'!C:C,'Horarios y Sistemas'!H:H,0,0,1),0)</f>
        <v>0</v>
      </c>
      <c r="Q531" s="54">
        <f>IF(U531=U532,0,IF(AVERAGEIF(W:W,W531,U:U)=U531,0,_xlfn.XLOOKUP(O531,'Horarios y Sistemas'!C:C,'Horarios y Sistemas'!H:H,0,0,1)-P531))/7*U531</f>
        <v>0</v>
      </c>
      <c r="R531" s="54">
        <f t="shared" si="580"/>
        <v>0</v>
      </c>
      <c r="S531" s="55" t="str">
        <f t="shared" si="581"/>
        <v>OCTUBRE</v>
      </c>
      <c r="T531" s="55" t="str">
        <f t="shared" si="582"/>
        <v>Sem40</v>
      </c>
      <c r="U531" s="56">
        <f t="shared" si="629"/>
        <v>7</v>
      </c>
      <c r="V531" s="59">
        <v>46298</v>
      </c>
      <c r="W531" s="56">
        <f t="shared" si="583"/>
        <v>40</v>
      </c>
      <c r="X531" s="56">
        <f t="shared" si="584"/>
        <v>3</v>
      </c>
      <c r="Y531" s="56" t="s">
        <v>33</v>
      </c>
      <c r="Z531" s="56">
        <v>6</v>
      </c>
      <c r="AA531" s="58">
        <f t="shared" si="596"/>
        <v>0</v>
      </c>
      <c r="AB531" s="58">
        <f t="shared" si="596"/>
        <v>0</v>
      </c>
      <c r="AC531" s="58">
        <f t="shared" si="596"/>
        <v>1</v>
      </c>
      <c r="AD531" s="58">
        <f t="shared" si="596"/>
        <v>0</v>
      </c>
      <c r="AE531" s="58">
        <f t="shared" si="596"/>
        <v>0</v>
      </c>
    </row>
    <row r="532" spans="2:34" s="60" customFormat="1">
      <c r="B532" s="60" t="str">
        <f t="shared" si="571"/>
        <v>Sem4040FILIBERTO SACUL CUCUL</v>
      </c>
      <c r="C532" s="60" t="str">
        <f t="shared" si="572"/>
        <v>OCTUBRESem40</v>
      </c>
      <c r="D532" s="60" t="str">
        <f t="shared" si="573"/>
        <v>OCTUBRESem40FILIBERTO SACUL CUCUL</v>
      </c>
      <c r="E532" s="60" t="str">
        <f t="shared" si="574"/>
        <v>OCTUBRESem4040FILIBERTO SACUL CUCUL</v>
      </c>
      <c r="F532" s="60" t="str">
        <f t="shared" si="575"/>
        <v>FILIBERTO SACUL CUCUL46299</v>
      </c>
      <c r="H532" s="61" t="s">
        <v>223</v>
      </c>
      <c r="I532" s="62" t="str">
        <f>+_xlfn.XLOOKUP($H532&amp;$V532,BASEDATOS!$B:$B,BASEDATOS!F:F,0,0,1)</f>
        <v>DESCANSO</v>
      </c>
      <c r="J532" s="63">
        <f>+_xlfn.XLOOKUP($H532&amp;$V532,BASEDATOS!$B:$B,BASEDATOS!Q:Q,0,0,1)</f>
        <v>0</v>
      </c>
      <c r="K532" s="63">
        <f>+_xlfn.XLOOKUP($H532&amp;$V532,BASEDATOS!$B:$B,BASEDATOS!R:R,0,0,1)</f>
        <v>0</v>
      </c>
      <c r="L532" s="63">
        <f t="shared" si="576"/>
        <v>0</v>
      </c>
      <c r="M532" s="64">
        <f t="shared" si="577"/>
        <v>0</v>
      </c>
      <c r="N532" s="63">
        <f t="shared" si="578"/>
        <v>0</v>
      </c>
      <c r="O532" s="65" t="str">
        <f t="shared" ref="O532" si="641">+IF(Y532="Domingo",SUM(AA526:AA532)&amp;"-"&amp;SUM(AB526:AB532)&amp;"-"&amp;SUM(AC526:AE532),"")</f>
        <v>0-0-7</v>
      </c>
      <c r="P532" s="66">
        <f>+IF(AND(Y532="Domingo",U532=7),_xlfn.XLOOKUP(O532,'Horarios y Sistemas'!C:C,'Horarios y Sistemas'!H:H,0,0,1),0)</f>
        <v>0</v>
      </c>
      <c r="Q532" s="66">
        <f>IF(U532=U533,0,IF(AVERAGEIF(W:W,W532,U:U)=U532,0,_xlfn.XLOOKUP(O532,'Horarios y Sistemas'!C:C,'Horarios y Sistemas'!H:H,0,0,1)-P532))/7*U532</f>
        <v>0</v>
      </c>
      <c r="R532" s="66">
        <f t="shared" si="580"/>
        <v>0</v>
      </c>
      <c r="S532" s="67" t="str">
        <f t="shared" si="581"/>
        <v>OCTUBRE</v>
      </c>
      <c r="T532" s="55" t="str">
        <f t="shared" si="582"/>
        <v>Sem40</v>
      </c>
      <c r="U532" s="68">
        <f t="shared" si="629"/>
        <v>7</v>
      </c>
      <c r="V532" s="69">
        <v>46299</v>
      </c>
      <c r="W532" s="68">
        <f t="shared" si="583"/>
        <v>40</v>
      </c>
      <c r="X532" s="68">
        <f t="shared" si="584"/>
        <v>4</v>
      </c>
      <c r="Y532" s="68" t="s">
        <v>34</v>
      </c>
      <c r="Z532" s="68">
        <v>7</v>
      </c>
      <c r="AA532" s="70">
        <f t="shared" si="596"/>
        <v>0</v>
      </c>
      <c r="AB532" s="70">
        <f t="shared" si="596"/>
        <v>0</v>
      </c>
      <c r="AC532" s="70">
        <f t="shared" si="596"/>
        <v>1</v>
      </c>
      <c r="AD532" s="70">
        <f t="shared" si="596"/>
        <v>0</v>
      </c>
      <c r="AE532" s="70">
        <f t="shared" si="596"/>
        <v>0</v>
      </c>
      <c r="AF532" s="71"/>
      <c r="AG532" s="71"/>
      <c r="AH532" s="71"/>
    </row>
    <row r="533" spans="2:34">
      <c r="B533" t="str">
        <f t="shared" si="571"/>
        <v>Sem3838GUZMÁN MORALES  EDGAR RICARDO</v>
      </c>
      <c r="C533" t="str">
        <f t="shared" si="572"/>
        <v>SEPTIEMBRESem38</v>
      </c>
      <c r="D533" t="str">
        <f t="shared" si="573"/>
        <v>SEPTIEMBRESem38GUZMÁN MORALES  EDGAR RICARDO</v>
      </c>
      <c r="E533" t="str">
        <f t="shared" si="574"/>
        <v>SEPTIEMBRESem3838GUZMÁN MORALES  EDGAR RICARDO</v>
      </c>
      <c r="F533" t="str">
        <f t="shared" si="575"/>
        <v>GUZMÁN MORALES  EDGAR RICARDO46279</v>
      </c>
      <c r="H533" s="49" t="s">
        <v>224</v>
      </c>
      <c r="I533" s="50" t="str">
        <f>+_xlfn.XLOOKUP($H533&amp;$V533,BASEDATOS!$B:$B,BASEDATOS!F:F,0,0,1)</f>
        <v>DESCANSO</v>
      </c>
      <c r="J533" s="51">
        <f>+_xlfn.XLOOKUP($H533&amp;$V533,BASEDATOS!$B:$B,BASEDATOS!Q:Q,0,0,1)</f>
        <v>0</v>
      </c>
      <c r="K533" s="51">
        <f>+_xlfn.XLOOKUP($H533&amp;$V533,BASEDATOS!$B:$B,BASEDATOS!R:R,0,0,1)</f>
        <v>0</v>
      </c>
      <c r="L533" s="51">
        <f t="shared" si="576"/>
        <v>0</v>
      </c>
      <c r="M533" s="52">
        <f t="shared" si="577"/>
        <v>0</v>
      </c>
      <c r="N533" s="51">
        <f t="shared" si="578"/>
        <v>0</v>
      </c>
      <c r="O533" s="53" t="str">
        <f t="shared" ref="O533" si="642">+O539</f>
        <v>5-0-2</v>
      </c>
      <c r="P533" s="54">
        <f>+IF(AND(Y533="Domingo",U533=7),_xlfn.XLOOKUP(O533,'Horarios y Sistemas'!C:C,'Horarios y Sistemas'!H:H,0,0,1),0)</f>
        <v>0</v>
      </c>
      <c r="Q533" s="54">
        <f>IF(U533=U534,0,IF(AVERAGEIF(W:W,W533,U:U)=U533,0,_xlfn.XLOOKUP(O533,'Horarios y Sistemas'!C:C,'Horarios y Sistemas'!H:H,0,0,1)-P533))/7*U533</f>
        <v>0</v>
      </c>
      <c r="R533" s="54">
        <f t="shared" si="580"/>
        <v>0</v>
      </c>
      <c r="S533" s="55" t="str">
        <f t="shared" si="581"/>
        <v>SEPTIEMBRE</v>
      </c>
      <c r="T533" s="55" t="str">
        <f t="shared" si="582"/>
        <v>Sem38</v>
      </c>
      <c r="U533" s="56">
        <f t="shared" si="629"/>
        <v>7</v>
      </c>
      <c r="V533" s="57">
        <v>46279</v>
      </c>
      <c r="W533" s="56">
        <f t="shared" si="583"/>
        <v>38</v>
      </c>
      <c r="X533" s="56">
        <f t="shared" si="584"/>
        <v>14</v>
      </c>
      <c r="Y533" s="56" t="s">
        <v>28</v>
      </c>
      <c r="Z533" s="56">
        <v>1</v>
      </c>
      <c r="AA533" s="58">
        <f t="shared" si="596"/>
        <v>0</v>
      </c>
      <c r="AB533" s="58">
        <f t="shared" si="596"/>
        <v>0</v>
      </c>
      <c r="AC533" s="58">
        <f t="shared" si="596"/>
        <v>1</v>
      </c>
      <c r="AD533" s="58">
        <f t="shared" si="596"/>
        <v>0</v>
      </c>
      <c r="AE533" s="58">
        <f t="shared" si="596"/>
        <v>0</v>
      </c>
    </row>
    <row r="534" spans="2:34">
      <c r="B534" t="str">
        <f t="shared" si="571"/>
        <v>Sem3838GUZMÁN MORALES  EDGAR RICARDO</v>
      </c>
      <c r="C534" t="str">
        <f t="shared" si="572"/>
        <v>SEPTIEMBRESem38</v>
      </c>
      <c r="D534" t="str">
        <f t="shared" si="573"/>
        <v>SEPTIEMBRESem38GUZMÁN MORALES  EDGAR RICARDO</v>
      </c>
      <c r="E534" t="str">
        <f t="shared" si="574"/>
        <v>SEPTIEMBRESem3838GUZMÁN MORALES  EDGAR RICARDO</v>
      </c>
      <c r="F534" t="str">
        <f t="shared" si="575"/>
        <v>GUZMÁN MORALES  EDGAR RICARDO46280</v>
      </c>
      <c r="H534" s="49" t="s">
        <v>224</v>
      </c>
      <c r="I534" s="50" t="str">
        <f>+_xlfn.XLOOKUP($H534&amp;$V534,BASEDATOS!$B:$B,BASEDATOS!F:F,0,0,1)</f>
        <v>DIA</v>
      </c>
      <c r="J534" s="51">
        <f>+_xlfn.XLOOKUP($H534&amp;$V534,BASEDATOS!$B:$B,BASEDATOS!Q:Q,0,0,1)</f>
        <v>0.33333333333333298</v>
      </c>
      <c r="K534" s="51">
        <f>+_xlfn.XLOOKUP($H534&amp;$V534,BASEDATOS!$B:$B,BASEDATOS!R:R,0,0,1)</f>
        <v>0.70833333333333304</v>
      </c>
      <c r="L534" s="51">
        <f t="shared" si="576"/>
        <v>0.37500000000000006</v>
      </c>
      <c r="M534" s="52" t="str">
        <f t="shared" si="577"/>
        <v>1:00</v>
      </c>
      <c r="N534" s="51">
        <f t="shared" si="578"/>
        <v>0.33333333333333337</v>
      </c>
      <c r="O534" s="53" t="str">
        <f t="shared" ref="O534" si="643">+O539</f>
        <v>5-0-2</v>
      </c>
      <c r="P534" s="54">
        <f>+IF(AND(Y534="Domingo",U534=7),_xlfn.XLOOKUP(O534,'Horarios y Sistemas'!C:C,'Horarios y Sistemas'!H:H,0,0,1),0)</f>
        <v>0</v>
      </c>
      <c r="Q534" s="54">
        <f>IF(U534=U535,0,IF(AVERAGEIF(W:W,W534,U:U)=U534,0,_xlfn.XLOOKUP(O534,'Horarios y Sistemas'!C:C,'Horarios y Sistemas'!H:H,0,0,1)-P534))/7*U534</f>
        <v>0</v>
      </c>
      <c r="R534" s="54">
        <f t="shared" si="580"/>
        <v>0</v>
      </c>
      <c r="S534" s="55" t="str">
        <f t="shared" si="581"/>
        <v>SEPTIEMBRE</v>
      </c>
      <c r="T534" s="55" t="str">
        <f t="shared" si="582"/>
        <v>Sem38</v>
      </c>
      <c r="U534" s="56">
        <f t="shared" si="629"/>
        <v>7</v>
      </c>
      <c r="V534" s="59">
        <v>46280</v>
      </c>
      <c r="W534" s="56">
        <f t="shared" si="583"/>
        <v>38</v>
      </c>
      <c r="X534" s="56">
        <f t="shared" si="584"/>
        <v>15</v>
      </c>
      <c r="Y534" s="56" t="s">
        <v>29</v>
      </c>
      <c r="Z534" s="56">
        <v>2</v>
      </c>
      <c r="AA534" s="58">
        <f t="shared" si="596"/>
        <v>1</v>
      </c>
      <c r="AB534" s="58">
        <f t="shared" si="596"/>
        <v>0</v>
      </c>
      <c r="AC534" s="58">
        <f t="shared" si="596"/>
        <v>0</v>
      </c>
      <c r="AD534" s="58">
        <f t="shared" si="596"/>
        <v>0</v>
      </c>
      <c r="AE534" s="58">
        <f t="shared" si="596"/>
        <v>0</v>
      </c>
    </row>
    <row r="535" spans="2:34">
      <c r="B535" t="str">
        <f t="shared" si="571"/>
        <v>Sem3838GUZMÁN MORALES  EDGAR RICARDO</v>
      </c>
      <c r="C535" t="str">
        <f t="shared" si="572"/>
        <v>SEPTIEMBRESem38</v>
      </c>
      <c r="D535" t="str">
        <f t="shared" si="573"/>
        <v>SEPTIEMBRESem38GUZMÁN MORALES  EDGAR RICARDO</v>
      </c>
      <c r="E535" t="str">
        <f t="shared" si="574"/>
        <v>SEPTIEMBRESem3838GUZMÁN MORALES  EDGAR RICARDO</v>
      </c>
      <c r="F535" t="str">
        <f t="shared" si="575"/>
        <v>GUZMÁN MORALES  EDGAR RICARDO46281</v>
      </c>
      <c r="H535" s="49" t="s">
        <v>224</v>
      </c>
      <c r="I535" s="50" t="str">
        <f>+_xlfn.XLOOKUP($H535&amp;$V535,BASEDATOS!$B:$B,BASEDATOS!F:F,0,0,1)</f>
        <v>DIA</v>
      </c>
      <c r="J535" s="51">
        <f>+_xlfn.XLOOKUP($H535&amp;$V535,BASEDATOS!$B:$B,BASEDATOS!Q:Q,0,0,1)</f>
        <v>0.23958333333333301</v>
      </c>
      <c r="K535" s="51">
        <f>+_xlfn.XLOOKUP($H535&amp;$V535,BASEDATOS!$B:$B,BASEDATOS!R:R,0,0,1)</f>
        <v>0.75</v>
      </c>
      <c r="L535" s="51">
        <f t="shared" si="576"/>
        <v>0.51041666666666696</v>
      </c>
      <c r="M535" s="52" t="str">
        <f t="shared" si="577"/>
        <v>1:00</v>
      </c>
      <c r="N535" s="51">
        <f t="shared" si="578"/>
        <v>0.46875000000000028</v>
      </c>
      <c r="O535" s="53" t="str">
        <f t="shared" ref="O535" si="644">+O539</f>
        <v>5-0-2</v>
      </c>
      <c r="P535" s="54">
        <f>+IF(AND(Y535="Domingo",U535=7),_xlfn.XLOOKUP(O535,'Horarios y Sistemas'!C:C,'Horarios y Sistemas'!H:H,0,0,1),0)</f>
        <v>0</v>
      </c>
      <c r="Q535" s="54">
        <f>IF(U535=U536,0,IF(AVERAGEIF(W:W,W535,U:U)=U535,0,_xlfn.XLOOKUP(O535,'Horarios y Sistemas'!C:C,'Horarios y Sistemas'!H:H,0,0,1)-P535))/7*U535</f>
        <v>0</v>
      </c>
      <c r="R535" s="54">
        <f t="shared" si="580"/>
        <v>0</v>
      </c>
      <c r="S535" s="55" t="str">
        <f t="shared" si="581"/>
        <v>SEPTIEMBRE</v>
      </c>
      <c r="T535" s="55" t="str">
        <f t="shared" si="582"/>
        <v>Sem38</v>
      </c>
      <c r="U535" s="56">
        <f t="shared" si="629"/>
        <v>7</v>
      </c>
      <c r="V535" s="59">
        <v>46281</v>
      </c>
      <c r="W535" s="56">
        <f t="shared" si="583"/>
        <v>38</v>
      </c>
      <c r="X535" s="56">
        <f t="shared" si="584"/>
        <v>16</v>
      </c>
      <c r="Y535" s="56" t="s">
        <v>30</v>
      </c>
      <c r="Z535" s="56">
        <v>3</v>
      </c>
      <c r="AA535" s="58">
        <f t="shared" si="596"/>
        <v>1</v>
      </c>
      <c r="AB535" s="58">
        <f t="shared" si="596"/>
        <v>0</v>
      </c>
      <c r="AC535" s="58">
        <f t="shared" si="596"/>
        <v>0</v>
      </c>
      <c r="AD535" s="58">
        <f t="shared" si="596"/>
        <v>0</v>
      </c>
      <c r="AE535" s="58">
        <f t="shared" si="596"/>
        <v>0</v>
      </c>
    </row>
    <row r="536" spans="2:34">
      <c r="B536" t="str">
        <f t="shared" si="571"/>
        <v>Sem3838GUZMÁN MORALES  EDGAR RICARDO</v>
      </c>
      <c r="C536" t="str">
        <f t="shared" si="572"/>
        <v>SEPTIEMBRESem38</v>
      </c>
      <c r="D536" t="str">
        <f t="shared" si="573"/>
        <v>SEPTIEMBRESem38GUZMÁN MORALES  EDGAR RICARDO</v>
      </c>
      <c r="E536" t="str">
        <f t="shared" si="574"/>
        <v>SEPTIEMBRESem3838GUZMÁN MORALES  EDGAR RICARDO</v>
      </c>
      <c r="F536" t="str">
        <f t="shared" si="575"/>
        <v>GUZMÁN MORALES  EDGAR RICARDO46282</v>
      </c>
      <c r="H536" s="49" t="s">
        <v>224</v>
      </c>
      <c r="I536" s="50" t="str">
        <f>+_xlfn.XLOOKUP($H536&amp;$V536,BASEDATOS!$B:$B,BASEDATOS!F:F,0,0,1)</f>
        <v>DIA</v>
      </c>
      <c r="J536" s="51">
        <f>+_xlfn.XLOOKUP($H536&amp;$V536,BASEDATOS!$B:$B,BASEDATOS!Q:Q,0,0,1)</f>
        <v>0.23958333333333301</v>
      </c>
      <c r="K536" s="51">
        <f>+_xlfn.XLOOKUP($H536&amp;$V536,BASEDATOS!$B:$B,BASEDATOS!R:R,0,0,1)</f>
        <v>0.75</v>
      </c>
      <c r="L536" s="51">
        <f t="shared" si="576"/>
        <v>0.51041666666666696</v>
      </c>
      <c r="M536" s="52" t="str">
        <f t="shared" si="577"/>
        <v>1:00</v>
      </c>
      <c r="N536" s="51">
        <f t="shared" si="578"/>
        <v>0.46875000000000028</v>
      </c>
      <c r="O536" s="53" t="str">
        <f t="shared" ref="O536" si="645">+O539</f>
        <v>5-0-2</v>
      </c>
      <c r="P536" s="54">
        <f>+IF(AND(Y536="Domingo",U536=7),_xlfn.XLOOKUP(O536,'Horarios y Sistemas'!C:C,'Horarios y Sistemas'!H:H,0,0,1),0)</f>
        <v>0</v>
      </c>
      <c r="Q536" s="54">
        <f>IF(U536=U537,0,IF(AVERAGEIF(W:W,W536,U:U)=U536,0,_xlfn.XLOOKUP(O536,'Horarios y Sistemas'!C:C,'Horarios y Sistemas'!H:H,0,0,1)-P536))/7*U536</f>
        <v>0</v>
      </c>
      <c r="R536" s="54">
        <f t="shared" si="580"/>
        <v>0</v>
      </c>
      <c r="S536" s="55" t="str">
        <f t="shared" si="581"/>
        <v>SEPTIEMBRE</v>
      </c>
      <c r="T536" s="55" t="str">
        <f t="shared" si="582"/>
        <v>Sem38</v>
      </c>
      <c r="U536" s="56">
        <f t="shared" si="629"/>
        <v>7</v>
      </c>
      <c r="V536" s="59">
        <v>46282</v>
      </c>
      <c r="W536" s="56">
        <f t="shared" si="583"/>
        <v>38</v>
      </c>
      <c r="X536" s="56">
        <f t="shared" si="584"/>
        <v>17</v>
      </c>
      <c r="Y536" s="56" t="s">
        <v>31</v>
      </c>
      <c r="Z536" s="56">
        <v>4</v>
      </c>
      <c r="AA536" s="58">
        <f t="shared" si="596"/>
        <v>1</v>
      </c>
      <c r="AB536" s="58">
        <f t="shared" si="596"/>
        <v>0</v>
      </c>
      <c r="AC536" s="58">
        <f t="shared" si="596"/>
        <v>0</v>
      </c>
      <c r="AD536" s="58">
        <f t="shared" si="596"/>
        <v>0</v>
      </c>
      <c r="AE536" s="58">
        <f t="shared" si="596"/>
        <v>0</v>
      </c>
    </row>
    <row r="537" spans="2:34">
      <c r="B537" t="str">
        <f t="shared" si="571"/>
        <v>Sem3838GUZMÁN MORALES  EDGAR RICARDO</v>
      </c>
      <c r="C537" t="str">
        <f t="shared" si="572"/>
        <v>SEPTIEMBRESem38</v>
      </c>
      <c r="D537" t="str">
        <f t="shared" si="573"/>
        <v>SEPTIEMBRESem38GUZMÁN MORALES  EDGAR RICARDO</v>
      </c>
      <c r="E537" t="str">
        <f t="shared" si="574"/>
        <v>SEPTIEMBRESem3838GUZMÁN MORALES  EDGAR RICARDO</v>
      </c>
      <c r="F537" t="str">
        <f t="shared" si="575"/>
        <v>GUZMÁN MORALES  EDGAR RICARDO46283</v>
      </c>
      <c r="H537" s="49" t="s">
        <v>224</v>
      </c>
      <c r="I537" s="50" t="str">
        <f>+_xlfn.XLOOKUP($H537&amp;$V537,BASEDATOS!$B:$B,BASEDATOS!F:F,0,0,1)</f>
        <v>DIA</v>
      </c>
      <c r="J537" s="51">
        <f>+_xlfn.XLOOKUP($H537&amp;$V537,BASEDATOS!$B:$B,BASEDATOS!Q:Q,0,0,1)</f>
        <v>0.23958333333333301</v>
      </c>
      <c r="K537" s="51">
        <f>+_xlfn.XLOOKUP($H537&amp;$V537,BASEDATOS!$B:$B,BASEDATOS!R:R,0,0,1)</f>
        <v>0.75</v>
      </c>
      <c r="L537" s="51">
        <f t="shared" si="576"/>
        <v>0.51041666666666696</v>
      </c>
      <c r="M537" s="52" t="str">
        <f t="shared" si="577"/>
        <v>1:00</v>
      </c>
      <c r="N537" s="51">
        <f t="shared" si="578"/>
        <v>0.46875000000000028</v>
      </c>
      <c r="O537" s="53" t="str">
        <f t="shared" ref="O537" si="646">+O539</f>
        <v>5-0-2</v>
      </c>
      <c r="P537" s="54">
        <f>+IF(AND(Y537="Domingo",U537=7),_xlfn.XLOOKUP(O537,'Horarios y Sistemas'!C:C,'Horarios y Sistemas'!H:H,0,0,1),0)</f>
        <v>0</v>
      </c>
      <c r="Q537" s="54">
        <f>IF(U537=U538,0,IF(AVERAGEIF(W:W,W537,U:U)=U537,0,_xlfn.XLOOKUP(O537,'Horarios y Sistemas'!C:C,'Horarios y Sistemas'!H:H,0,0,1)-P537))/7*U537</f>
        <v>0</v>
      </c>
      <c r="R537" s="54">
        <f t="shared" si="580"/>
        <v>0</v>
      </c>
      <c r="S537" s="55" t="str">
        <f t="shared" si="581"/>
        <v>SEPTIEMBRE</v>
      </c>
      <c r="T537" s="55" t="str">
        <f t="shared" si="582"/>
        <v>Sem38</v>
      </c>
      <c r="U537" s="56">
        <f t="shared" si="629"/>
        <v>7</v>
      </c>
      <c r="V537" s="59">
        <v>46283</v>
      </c>
      <c r="W537" s="56">
        <f t="shared" si="583"/>
        <v>38</v>
      </c>
      <c r="X537" s="56">
        <f t="shared" si="584"/>
        <v>18</v>
      </c>
      <c r="Y537" s="56" t="s">
        <v>32</v>
      </c>
      <c r="Z537" s="56">
        <v>5</v>
      </c>
      <c r="AA537" s="58">
        <f t="shared" si="596"/>
        <v>1</v>
      </c>
      <c r="AB537" s="58">
        <f t="shared" si="596"/>
        <v>0</v>
      </c>
      <c r="AC537" s="58">
        <f t="shared" si="596"/>
        <v>0</v>
      </c>
      <c r="AD537" s="58">
        <f t="shared" si="596"/>
        <v>0</v>
      </c>
      <c r="AE537" s="58">
        <f t="shared" si="596"/>
        <v>0</v>
      </c>
    </row>
    <row r="538" spans="2:34">
      <c r="B538" t="str">
        <f t="shared" si="571"/>
        <v>Sem3838GUZMÁN MORALES  EDGAR RICARDO</v>
      </c>
      <c r="C538" t="str">
        <f t="shared" si="572"/>
        <v>SEPTIEMBRESem38</v>
      </c>
      <c r="D538" t="str">
        <f t="shared" si="573"/>
        <v>SEPTIEMBRESem38GUZMÁN MORALES  EDGAR RICARDO</v>
      </c>
      <c r="E538" t="str">
        <f t="shared" si="574"/>
        <v>SEPTIEMBRESem3838GUZMÁN MORALES  EDGAR RICARDO</v>
      </c>
      <c r="F538" t="str">
        <f t="shared" si="575"/>
        <v>GUZMÁN MORALES  EDGAR RICARDO46284</v>
      </c>
      <c r="H538" s="49" t="s">
        <v>224</v>
      </c>
      <c r="I538" s="50" t="str">
        <f>+_xlfn.XLOOKUP($H538&amp;$V538,BASEDATOS!$B:$B,BASEDATOS!F:F,0,0,1)</f>
        <v>DIA</v>
      </c>
      <c r="J538" s="51">
        <f>+_xlfn.XLOOKUP($H538&amp;$V538,BASEDATOS!$B:$B,BASEDATOS!Q:Q,0,0,1)</f>
        <v>0.23958333333333301</v>
      </c>
      <c r="K538" s="51">
        <f>+_xlfn.XLOOKUP($H538&amp;$V538,BASEDATOS!$B:$B,BASEDATOS!R:R,0,0,1)</f>
        <v>0.58333333333333304</v>
      </c>
      <c r="L538" s="51">
        <f t="shared" si="576"/>
        <v>0.34375</v>
      </c>
      <c r="M538" s="52" t="str">
        <f t="shared" si="577"/>
        <v>1:00</v>
      </c>
      <c r="N538" s="51">
        <f t="shared" si="578"/>
        <v>0.30208333333333331</v>
      </c>
      <c r="O538" s="53" t="str">
        <f t="shared" ref="O538" si="647">+O539</f>
        <v>5-0-2</v>
      </c>
      <c r="P538" s="54">
        <f>+IF(AND(Y538="Domingo",U538=7),_xlfn.XLOOKUP(O538,'Horarios y Sistemas'!C:C,'Horarios y Sistemas'!H:H,0,0,1),0)</f>
        <v>0</v>
      </c>
      <c r="Q538" s="54">
        <f>IF(U538=U539,0,IF(AVERAGEIF(W:W,W538,U:U)=U538,0,_xlfn.XLOOKUP(O538,'Horarios y Sistemas'!C:C,'Horarios y Sistemas'!H:H,0,0,1)-P538))/7*U538</f>
        <v>0</v>
      </c>
      <c r="R538" s="54">
        <f t="shared" si="580"/>
        <v>0</v>
      </c>
      <c r="S538" s="55" t="str">
        <f t="shared" si="581"/>
        <v>SEPTIEMBRE</v>
      </c>
      <c r="T538" s="55" t="str">
        <f t="shared" si="582"/>
        <v>Sem38</v>
      </c>
      <c r="U538" s="56">
        <f t="shared" si="629"/>
        <v>7</v>
      </c>
      <c r="V538" s="59">
        <v>46284</v>
      </c>
      <c r="W538" s="56">
        <f t="shared" si="583"/>
        <v>38</v>
      </c>
      <c r="X538" s="56">
        <f t="shared" si="584"/>
        <v>19</v>
      </c>
      <c r="Y538" s="56" t="s">
        <v>33</v>
      </c>
      <c r="Z538" s="56">
        <v>6</v>
      </c>
      <c r="AA538" s="58">
        <f t="shared" si="596"/>
        <v>1</v>
      </c>
      <c r="AB538" s="58">
        <f t="shared" si="596"/>
        <v>0</v>
      </c>
      <c r="AC538" s="58">
        <f t="shared" si="596"/>
        <v>0</v>
      </c>
      <c r="AD538" s="58">
        <f t="shared" si="596"/>
        <v>0</v>
      </c>
      <c r="AE538" s="58">
        <f t="shared" si="596"/>
        <v>0</v>
      </c>
    </row>
    <row r="539" spans="2:34" s="60" customFormat="1">
      <c r="B539" s="60" t="str">
        <f t="shared" si="571"/>
        <v>Sem3838GUZMÁN MORALES  EDGAR RICARDO</v>
      </c>
      <c r="C539" s="60" t="str">
        <f t="shared" si="572"/>
        <v>SEPTIEMBRESem38</v>
      </c>
      <c r="D539" s="60" t="str">
        <f t="shared" si="573"/>
        <v>SEPTIEMBRESem38GUZMÁN MORALES  EDGAR RICARDO</v>
      </c>
      <c r="E539" s="60" t="str">
        <f t="shared" si="574"/>
        <v>SEPTIEMBRESem3838GUZMÁN MORALES  EDGAR RICARDO</v>
      </c>
      <c r="F539" s="60" t="str">
        <f t="shared" si="575"/>
        <v>GUZMÁN MORALES  EDGAR RICARDO46285</v>
      </c>
      <c r="H539" s="61" t="s">
        <v>224</v>
      </c>
      <c r="I539" s="62" t="str">
        <f>+_xlfn.XLOOKUP($H539&amp;$V539,BASEDATOS!$B:$B,BASEDATOS!F:F,0,0,1)</f>
        <v>DESCANSO</v>
      </c>
      <c r="J539" s="63">
        <f>+_xlfn.XLOOKUP($H539&amp;$V539,BASEDATOS!$B:$B,BASEDATOS!Q:Q,0,0,1)</f>
        <v>0</v>
      </c>
      <c r="K539" s="63">
        <f>+_xlfn.XLOOKUP($H539&amp;$V539,BASEDATOS!$B:$B,BASEDATOS!R:R,0,0,1)</f>
        <v>0</v>
      </c>
      <c r="L539" s="63">
        <f t="shared" si="576"/>
        <v>0</v>
      </c>
      <c r="M539" s="64">
        <f t="shared" si="577"/>
        <v>0</v>
      </c>
      <c r="N539" s="63">
        <f t="shared" si="578"/>
        <v>0</v>
      </c>
      <c r="O539" s="65" t="str">
        <f t="shared" ref="O539" si="648">+IF(Y539="Domingo",SUM(AA533:AA539)&amp;"-"&amp;SUM(AB533:AB539)&amp;"-"&amp;SUM(AC533:AE539),"")</f>
        <v>5-0-2</v>
      </c>
      <c r="P539" s="66">
        <f>+IF(AND(Y539="Domingo",U539=7),_xlfn.XLOOKUP(O539,'Horarios y Sistemas'!C:C,'Horarios y Sistemas'!H:H,0,0,1),0)</f>
        <v>44</v>
      </c>
      <c r="Q539" s="66">
        <f>IF(U539=U540,0,IF(AVERAGEIF(W:W,W539,U:U)=U539,0,_xlfn.XLOOKUP(O539,'Horarios y Sistemas'!C:C,'Horarios y Sistemas'!H:H,0,0,1)-P539))/7*U539</f>
        <v>0</v>
      </c>
      <c r="R539" s="66">
        <f t="shared" si="580"/>
        <v>44</v>
      </c>
      <c r="S539" s="67" t="str">
        <f t="shared" si="581"/>
        <v>SEPTIEMBRE</v>
      </c>
      <c r="T539" s="55" t="str">
        <f t="shared" si="582"/>
        <v>Sem38</v>
      </c>
      <c r="U539" s="68">
        <f t="shared" si="629"/>
        <v>7</v>
      </c>
      <c r="V539" s="69">
        <v>46285</v>
      </c>
      <c r="W539" s="68">
        <f t="shared" si="583"/>
        <v>38</v>
      </c>
      <c r="X539" s="68">
        <f t="shared" si="584"/>
        <v>20</v>
      </c>
      <c r="Y539" s="68" t="s">
        <v>34</v>
      </c>
      <c r="Z539" s="68">
        <v>7</v>
      </c>
      <c r="AA539" s="70">
        <f t="shared" ref="AA539:AE589" si="649">+IF($I539=AA$7,1,0)</f>
        <v>0</v>
      </c>
      <c r="AB539" s="70">
        <f t="shared" si="649"/>
        <v>0</v>
      </c>
      <c r="AC539" s="70">
        <f t="shared" si="649"/>
        <v>1</v>
      </c>
      <c r="AD539" s="70">
        <f t="shared" si="649"/>
        <v>0</v>
      </c>
      <c r="AE539" s="70">
        <f t="shared" si="649"/>
        <v>0</v>
      </c>
      <c r="AF539" s="71"/>
      <c r="AG539" s="71"/>
      <c r="AH539" s="71"/>
    </row>
    <row r="540" spans="2:34">
      <c r="B540" t="str">
        <f t="shared" si="571"/>
        <v>Sem3939GUZMÁN MORALES  EDGAR RICARDO</v>
      </c>
      <c r="C540" t="str">
        <f t="shared" si="572"/>
        <v>SEPTIEMBRESem39</v>
      </c>
      <c r="D540" t="str">
        <f t="shared" si="573"/>
        <v>SEPTIEMBRESem39GUZMÁN MORALES  EDGAR RICARDO</v>
      </c>
      <c r="E540" t="str">
        <f t="shared" si="574"/>
        <v>SEPTIEMBRESem3939GUZMÁN MORALES  EDGAR RICARDO</v>
      </c>
      <c r="F540" t="str">
        <f t="shared" si="575"/>
        <v>GUZMÁN MORALES  EDGAR RICARDO46286</v>
      </c>
      <c r="H540" s="49" t="s">
        <v>224</v>
      </c>
      <c r="I540" s="50" t="str">
        <f>+_xlfn.XLOOKUP($H540&amp;$V540,BASEDATOS!$B:$B,BASEDATOS!F:F,0,0,1)</f>
        <v>NOCHE</v>
      </c>
      <c r="J540" s="51">
        <f>+_xlfn.XLOOKUP($H540&amp;$V540,BASEDATOS!$B:$B,BASEDATOS!Q:Q,0,0,1)</f>
        <v>0.73958333333333304</v>
      </c>
      <c r="K540" s="51">
        <f>+_xlfn.XLOOKUP($H540&amp;$V540,BASEDATOS!$B:$B,BASEDATOS!R:R,0,0,1)</f>
        <v>0.25</v>
      </c>
      <c r="L540" s="51">
        <f t="shared" si="576"/>
        <v>0.51041666666666696</v>
      </c>
      <c r="M540" s="52" t="str">
        <f t="shared" si="577"/>
        <v>1:00</v>
      </c>
      <c r="N540" s="51">
        <f t="shared" si="578"/>
        <v>0.46875000000000028</v>
      </c>
      <c r="O540" s="53" t="str">
        <f t="shared" ref="O540" si="650">+O546</f>
        <v>0-5-2</v>
      </c>
      <c r="P540" s="54">
        <f>+IF(AND(Y540="Domingo",U540=7),_xlfn.XLOOKUP(O540,'Horarios y Sistemas'!C:C,'Horarios y Sistemas'!H:H,0,0,1),0)</f>
        <v>0</v>
      </c>
      <c r="Q540" s="54">
        <f>IF(U540=U541,0,IF(AVERAGEIF(W:W,W540,U:U)=U540,0,_xlfn.XLOOKUP(O540,'Horarios y Sistemas'!C:C,'Horarios y Sistemas'!H:H,0,0,1)-P540))/7*U540</f>
        <v>0</v>
      </c>
      <c r="R540" s="54">
        <f t="shared" si="580"/>
        <v>0</v>
      </c>
      <c r="S540" s="55" t="str">
        <f t="shared" si="581"/>
        <v>SEPTIEMBRE</v>
      </c>
      <c r="T540" s="55" t="str">
        <f t="shared" si="582"/>
        <v>Sem39</v>
      </c>
      <c r="U540" s="56">
        <f t="shared" si="629"/>
        <v>7</v>
      </c>
      <c r="V540" s="59">
        <v>46286</v>
      </c>
      <c r="W540" s="56">
        <f t="shared" si="583"/>
        <v>39</v>
      </c>
      <c r="X540" s="56">
        <f t="shared" si="584"/>
        <v>21</v>
      </c>
      <c r="Y540" s="56" t="s">
        <v>28</v>
      </c>
      <c r="Z540" s="56">
        <v>1</v>
      </c>
      <c r="AA540" s="58">
        <f t="shared" si="649"/>
        <v>0</v>
      </c>
      <c r="AB540" s="58">
        <f t="shared" si="649"/>
        <v>1</v>
      </c>
      <c r="AC540" s="58">
        <f t="shared" si="649"/>
        <v>0</v>
      </c>
      <c r="AD540" s="58">
        <f t="shared" si="649"/>
        <v>0</v>
      </c>
      <c r="AE540" s="58">
        <f t="shared" si="649"/>
        <v>0</v>
      </c>
    </row>
    <row r="541" spans="2:34">
      <c r="B541" t="str">
        <f t="shared" ref="B541:B604" si="651">+T541&amp;W541&amp;H541</f>
        <v>Sem3939GUZMÁN MORALES  EDGAR RICARDO</v>
      </c>
      <c r="C541" t="str">
        <f t="shared" ref="C541:C604" si="652">+S541&amp;T541</f>
        <v>SEPTIEMBRESem39</v>
      </c>
      <c r="D541" t="str">
        <f t="shared" ref="D541:D604" si="653">+S541&amp;T541&amp;H541</f>
        <v>SEPTIEMBRESem39GUZMÁN MORALES  EDGAR RICARDO</v>
      </c>
      <c r="E541" t="str">
        <f t="shared" ref="E541:E604" si="654">+S541&amp;T541&amp;W541&amp;H541</f>
        <v>SEPTIEMBRESem3939GUZMÁN MORALES  EDGAR RICARDO</v>
      </c>
      <c r="F541" t="str">
        <f t="shared" ref="F541:F604" si="655">+H541&amp;V541</f>
        <v>GUZMÁN MORALES  EDGAR RICARDO46287</v>
      </c>
      <c r="H541" s="49" t="s">
        <v>224</v>
      </c>
      <c r="I541" s="50" t="str">
        <f>+_xlfn.XLOOKUP($H541&amp;$V541,BASEDATOS!$B:$B,BASEDATOS!F:F,0,0,1)</f>
        <v>NOCHE</v>
      </c>
      <c r="J541" s="51">
        <f>+_xlfn.XLOOKUP($H541&amp;$V541,BASEDATOS!$B:$B,BASEDATOS!Q:Q,0,0,1)</f>
        <v>0.73958333333333304</v>
      </c>
      <c r="K541" s="51">
        <f>+_xlfn.XLOOKUP($H541&amp;$V541,BASEDATOS!$B:$B,BASEDATOS!R:R,0,0,1)</f>
        <v>0.25</v>
      </c>
      <c r="L541" s="51">
        <f t="shared" ref="L541:L604" si="656">+IF(OR(J541="Descanso",J541="AUSENTE",J541="ASUETO"),0,MOD(K541-J541,1))</f>
        <v>0.51041666666666696</v>
      </c>
      <c r="M541" s="52" t="str">
        <f t="shared" ref="M541:M604" si="657">+IF(OR(I541="DIA",I541="NOCHE",I541="MIXTO"),"1:00",0)</f>
        <v>1:00</v>
      </c>
      <c r="N541" s="51">
        <f t="shared" ref="N541:N604" si="658">+IF(I541="ASUETO-D",8/24,IF(I541="ASUETO-N",6/24,MOD(L541-M541,1)))</f>
        <v>0.46875000000000028</v>
      </c>
      <c r="O541" s="53" t="str">
        <f t="shared" ref="O541" si="659">+O546</f>
        <v>0-5-2</v>
      </c>
      <c r="P541" s="54">
        <f>+IF(AND(Y541="Domingo",U541=7),_xlfn.XLOOKUP(O541,'Horarios y Sistemas'!C:C,'Horarios y Sistemas'!H:H,0,0,1),0)</f>
        <v>0</v>
      </c>
      <c r="Q541" s="54">
        <f>IF(U541=U542,0,IF(AVERAGEIF(W:W,W541,U:U)=U541,0,_xlfn.XLOOKUP(O541,'Horarios y Sistemas'!C:C,'Horarios y Sistemas'!H:H,0,0,1)-P541))/7*U541</f>
        <v>0</v>
      </c>
      <c r="R541" s="54">
        <f t="shared" ref="R541:R604" si="660">+IF(Y541="Domingo",SUM(P535:Q541),0)</f>
        <v>0</v>
      </c>
      <c r="S541" s="55" t="str">
        <f t="shared" ref="S541:S604" si="661">+UPPER(TEXT(V541,"MMMMMMMM"))</f>
        <v>SEPTIEMBRE</v>
      </c>
      <c r="T541" s="55" t="str">
        <f t="shared" ref="T541:T604" si="662">+"Sem"&amp;W541</f>
        <v>Sem39</v>
      </c>
      <c r="U541" s="56">
        <f t="shared" si="629"/>
        <v>7</v>
      </c>
      <c r="V541" s="59">
        <v>46287</v>
      </c>
      <c r="W541" s="56">
        <f t="shared" ref="W541:W604" si="663">+_xlfn.ISOWEEKNUM(V541)</f>
        <v>39</v>
      </c>
      <c r="X541" s="56">
        <f t="shared" ref="X541:X604" si="664">+DAY(V541)</f>
        <v>22</v>
      </c>
      <c r="Y541" s="56" t="s">
        <v>29</v>
      </c>
      <c r="Z541" s="56">
        <v>2</v>
      </c>
      <c r="AA541" s="58">
        <f t="shared" si="649"/>
        <v>0</v>
      </c>
      <c r="AB541" s="58">
        <f t="shared" si="649"/>
        <v>1</v>
      </c>
      <c r="AC541" s="58">
        <f t="shared" si="649"/>
        <v>0</v>
      </c>
      <c r="AD541" s="58">
        <f t="shared" si="649"/>
        <v>0</v>
      </c>
      <c r="AE541" s="58">
        <f t="shared" si="649"/>
        <v>0</v>
      </c>
    </row>
    <row r="542" spans="2:34">
      <c r="B542" t="str">
        <f t="shared" si="651"/>
        <v>Sem3939GUZMÁN MORALES  EDGAR RICARDO</v>
      </c>
      <c r="C542" t="str">
        <f t="shared" si="652"/>
        <v>SEPTIEMBRESem39</v>
      </c>
      <c r="D542" t="str">
        <f t="shared" si="653"/>
        <v>SEPTIEMBRESem39GUZMÁN MORALES  EDGAR RICARDO</v>
      </c>
      <c r="E542" t="str">
        <f t="shared" si="654"/>
        <v>SEPTIEMBRESem3939GUZMÁN MORALES  EDGAR RICARDO</v>
      </c>
      <c r="F542" t="str">
        <f t="shared" si="655"/>
        <v>GUZMÁN MORALES  EDGAR RICARDO46288</v>
      </c>
      <c r="H542" s="49" t="s">
        <v>224</v>
      </c>
      <c r="I542" s="50" t="str">
        <f>+_xlfn.XLOOKUP($H542&amp;$V542,BASEDATOS!$B:$B,BASEDATOS!F:F,0,0,1)</f>
        <v>NOCHE</v>
      </c>
      <c r="J542" s="51">
        <f>+_xlfn.XLOOKUP($H542&amp;$V542,BASEDATOS!$B:$B,BASEDATOS!Q:Q,0,0,1)</f>
        <v>0.73958333333333304</v>
      </c>
      <c r="K542" s="51">
        <f>+_xlfn.XLOOKUP($H542&amp;$V542,BASEDATOS!$B:$B,BASEDATOS!R:R,0,0,1)</f>
        <v>0.25</v>
      </c>
      <c r="L542" s="51">
        <f t="shared" si="656"/>
        <v>0.51041666666666696</v>
      </c>
      <c r="M542" s="52" t="str">
        <f t="shared" si="657"/>
        <v>1:00</v>
      </c>
      <c r="N542" s="51">
        <f t="shared" si="658"/>
        <v>0.46875000000000028</v>
      </c>
      <c r="O542" s="53" t="str">
        <f t="shared" ref="O542" si="665">+O546</f>
        <v>0-5-2</v>
      </c>
      <c r="P542" s="54">
        <f>+IF(AND(Y542="Domingo",U542=7),_xlfn.XLOOKUP(O542,'Horarios y Sistemas'!C:C,'Horarios y Sistemas'!H:H,0,0,1),0)</f>
        <v>0</v>
      </c>
      <c r="Q542" s="54">
        <f>IF(U542=U543,0,IF(AVERAGEIF(W:W,W542,U:U)=U542,0,_xlfn.XLOOKUP(O542,'Horarios y Sistemas'!C:C,'Horarios y Sistemas'!H:H,0,0,1)-P542))/7*U542</f>
        <v>0</v>
      </c>
      <c r="R542" s="54">
        <f t="shared" si="660"/>
        <v>0</v>
      </c>
      <c r="S542" s="55" t="str">
        <f t="shared" si="661"/>
        <v>SEPTIEMBRE</v>
      </c>
      <c r="T542" s="55" t="str">
        <f t="shared" si="662"/>
        <v>Sem39</v>
      </c>
      <c r="U542" s="56">
        <f t="shared" si="629"/>
        <v>7</v>
      </c>
      <c r="V542" s="59">
        <v>46288</v>
      </c>
      <c r="W542" s="56">
        <f t="shared" si="663"/>
        <v>39</v>
      </c>
      <c r="X542" s="56">
        <f t="shared" si="664"/>
        <v>23</v>
      </c>
      <c r="Y542" s="56" t="s">
        <v>30</v>
      </c>
      <c r="Z542" s="56">
        <v>3</v>
      </c>
      <c r="AA542" s="58">
        <f t="shared" si="649"/>
        <v>0</v>
      </c>
      <c r="AB542" s="58">
        <f t="shared" si="649"/>
        <v>1</v>
      </c>
      <c r="AC542" s="58">
        <f t="shared" si="649"/>
        <v>0</v>
      </c>
      <c r="AD542" s="58">
        <f t="shared" si="649"/>
        <v>0</v>
      </c>
      <c r="AE542" s="58">
        <f t="shared" si="649"/>
        <v>0</v>
      </c>
    </row>
    <row r="543" spans="2:34">
      <c r="B543" t="str">
        <f t="shared" si="651"/>
        <v>Sem3939GUZMÁN MORALES  EDGAR RICARDO</v>
      </c>
      <c r="C543" t="str">
        <f t="shared" si="652"/>
        <v>SEPTIEMBRESem39</v>
      </c>
      <c r="D543" t="str">
        <f t="shared" si="653"/>
        <v>SEPTIEMBRESem39GUZMÁN MORALES  EDGAR RICARDO</v>
      </c>
      <c r="E543" t="str">
        <f t="shared" si="654"/>
        <v>SEPTIEMBRESem3939GUZMÁN MORALES  EDGAR RICARDO</v>
      </c>
      <c r="F543" t="str">
        <f t="shared" si="655"/>
        <v>GUZMÁN MORALES  EDGAR RICARDO46289</v>
      </c>
      <c r="H543" s="49" t="s">
        <v>224</v>
      </c>
      <c r="I543" s="50" t="str">
        <f>+_xlfn.XLOOKUP($H543&amp;$V543,BASEDATOS!$B:$B,BASEDATOS!F:F,0,0,1)</f>
        <v>NOCHE</v>
      </c>
      <c r="J543" s="51">
        <f>+_xlfn.XLOOKUP($H543&amp;$V543,BASEDATOS!$B:$B,BASEDATOS!Q:Q,0,0,1)</f>
        <v>0.73958333333333304</v>
      </c>
      <c r="K543" s="51">
        <f>+_xlfn.XLOOKUP($H543&amp;$V543,BASEDATOS!$B:$B,BASEDATOS!R:R,0,0,1)</f>
        <v>0.25</v>
      </c>
      <c r="L543" s="51">
        <f t="shared" si="656"/>
        <v>0.51041666666666696</v>
      </c>
      <c r="M543" s="52" t="str">
        <f t="shared" si="657"/>
        <v>1:00</v>
      </c>
      <c r="N543" s="51">
        <f t="shared" si="658"/>
        <v>0.46875000000000028</v>
      </c>
      <c r="O543" s="53" t="str">
        <f t="shared" ref="O543" si="666">+O546</f>
        <v>0-5-2</v>
      </c>
      <c r="P543" s="54">
        <f>+IF(AND(Y543="Domingo",U543=7),_xlfn.XLOOKUP(O543,'Horarios y Sistemas'!C:C,'Horarios y Sistemas'!H:H,0,0,1),0)</f>
        <v>0</v>
      </c>
      <c r="Q543" s="54">
        <f>IF(U543=U544,0,IF(AVERAGEIF(W:W,W543,U:U)=U543,0,_xlfn.XLOOKUP(O543,'Horarios y Sistemas'!C:C,'Horarios y Sistemas'!H:H,0,0,1)-P543))/7*U543</f>
        <v>0</v>
      </c>
      <c r="R543" s="54">
        <f t="shared" si="660"/>
        <v>0</v>
      </c>
      <c r="S543" s="55" t="str">
        <f t="shared" si="661"/>
        <v>SEPTIEMBRE</v>
      </c>
      <c r="T543" s="55" t="str">
        <f t="shared" si="662"/>
        <v>Sem39</v>
      </c>
      <c r="U543" s="56">
        <f t="shared" si="629"/>
        <v>7</v>
      </c>
      <c r="V543" s="59">
        <v>46289</v>
      </c>
      <c r="W543" s="56">
        <f t="shared" si="663"/>
        <v>39</v>
      </c>
      <c r="X543" s="56">
        <f t="shared" si="664"/>
        <v>24</v>
      </c>
      <c r="Y543" s="56" t="s">
        <v>31</v>
      </c>
      <c r="Z543" s="56">
        <v>4</v>
      </c>
      <c r="AA543" s="58">
        <f t="shared" si="649"/>
        <v>0</v>
      </c>
      <c r="AB543" s="58">
        <f t="shared" si="649"/>
        <v>1</v>
      </c>
      <c r="AC543" s="58">
        <f t="shared" si="649"/>
        <v>0</v>
      </c>
      <c r="AD543" s="58">
        <f t="shared" si="649"/>
        <v>0</v>
      </c>
      <c r="AE543" s="58">
        <f t="shared" si="649"/>
        <v>0</v>
      </c>
    </row>
    <row r="544" spans="2:34">
      <c r="B544" t="str">
        <f t="shared" si="651"/>
        <v>Sem3939GUZMÁN MORALES  EDGAR RICARDO</v>
      </c>
      <c r="C544" t="str">
        <f t="shared" si="652"/>
        <v>SEPTIEMBRESem39</v>
      </c>
      <c r="D544" t="str">
        <f t="shared" si="653"/>
        <v>SEPTIEMBRESem39GUZMÁN MORALES  EDGAR RICARDO</v>
      </c>
      <c r="E544" t="str">
        <f t="shared" si="654"/>
        <v>SEPTIEMBRESem3939GUZMÁN MORALES  EDGAR RICARDO</v>
      </c>
      <c r="F544" t="str">
        <f t="shared" si="655"/>
        <v>GUZMÁN MORALES  EDGAR RICARDO46290</v>
      </c>
      <c r="H544" s="49" t="s">
        <v>224</v>
      </c>
      <c r="I544" s="50" t="str">
        <f>+_xlfn.XLOOKUP($H544&amp;$V544,BASEDATOS!$B:$B,BASEDATOS!F:F,0,0,1)</f>
        <v>NOCHE</v>
      </c>
      <c r="J544" s="51">
        <f>+_xlfn.XLOOKUP($H544&amp;$V544,BASEDATOS!$B:$B,BASEDATOS!Q:Q,0,0,1)</f>
        <v>0.73958333333333304</v>
      </c>
      <c r="K544" s="51">
        <f>+_xlfn.XLOOKUP($H544&amp;$V544,BASEDATOS!$B:$B,BASEDATOS!R:R,0,0,1)</f>
        <v>0.25</v>
      </c>
      <c r="L544" s="51">
        <f t="shared" si="656"/>
        <v>0.51041666666666696</v>
      </c>
      <c r="M544" s="52" t="str">
        <f t="shared" si="657"/>
        <v>1:00</v>
      </c>
      <c r="N544" s="51">
        <f t="shared" si="658"/>
        <v>0.46875000000000028</v>
      </c>
      <c r="O544" s="53" t="str">
        <f t="shared" ref="O544" si="667">+O546</f>
        <v>0-5-2</v>
      </c>
      <c r="P544" s="54">
        <f>+IF(AND(Y544="Domingo",U544=7),_xlfn.XLOOKUP(O544,'Horarios y Sistemas'!C:C,'Horarios y Sistemas'!H:H,0,0,1),0)</f>
        <v>0</v>
      </c>
      <c r="Q544" s="54">
        <f>IF(U544=U545,0,IF(AVERAGEIF(W:W,W544,U:U)=U544,0,_xlfn.XLOOKUP(O544,'Horarios y Sistemas'!C:C,'Horarios y Sistemas'!H:H,0,0,1)-P544))/7*U544</f>
        <v>0</v>
      </c>
      <c r="R544" s="54">
        <f t="shared" si="660"/>
        <v>0</v>
      </c>
      <c r="S544" s="55" t="str">
        <f t="shared" si="661"/>
        <v>SEPTIEMBRE</v>
      </c>
      <c r="T544" s="55" t="str">
        <f t="shared" si="662"/>
        <v>Sem39</v>
      </c>
      <c r="U544" s="56">
        <f t="shared" si="629"/>
        <v>7</v>
      </c>
      <c r="V544" s="59">
        <v>46290</v>
      </c>
      <c r="W544" s="56">
        <f t="shared" si="663"/>
        <v>39</v>
      </c>
      <c r="X544" s="56">
        <f t="shared" si="664"/>
        <v>25</v>
      </c>
      <c r="Y544" s="56" t="s">
        <v>32</v>
      </c>
      <c r="Z544" s="56">
        <v>5</v>
      </c>
      <c r="AA544" s="58">
        <f t="shared" si="649"/>
        <v>0</v>
      </c>
      <c r="AB544" s="58">
        <f t="shared" si="649"/>
        <v>1</v>
      </c>
      <c r="AC544" s="58">
        <f t="shared" si="649"/>
        <v>0</v>
      </c>
      <c r="AD544" s="58">
        <f t="shared" si="649"/>
        <v>0</v>
      </c>
      <c r="AE544" s="58">
        <f t="shared" si="649"/>
        <v>0</v>
      </c>
    </row>
    <row r="545" spans="2:34">
      <c r="B545" t="str">
        <f t="shared" si="651"/>
        <v>Sem3939GUZMÁN MORALES  EDGAR RICARDO</v>
      </c>
      <c r="C545" t="str">
        <f t="shared" si="652"/>
        <v>SEPTIEMBRESem39</v>
      </c>
      <c r="D545" t="str">
        <f t="shared" si="653"/>
        <v>SEPTIEMBRESem39GUZMÁN MORALES  EDGAR RICARDO</v>
      </c>
      <c r="E545" t="str">
        <f t="shared" si="654"/>
        <v>SEPTIEMBRESem3939GUZMÁN MORALES  EDGAR RICARDO</v>
      </c>
      <c r="F545" t="str">
        <f t="shared" si="655"/>
        <v>GUZMÁN MORALES  EDGAR RICARDO46291</v>
      </c>
      <c r="H545" s="49" t="s">
        <v>224</v>
      </c>
      <c r="I545" s="50" t="str">
        <f>+_xlfn.XLOOKUP($H545&amp;$V545,BASEDATOS!$B:$B,BASEDATOS!F:F,0,0,1)</f>
        <v>DESCANSO</v>
      </c>
      <c r="J545" s="51">
        <f>+_xlfn.XLOOKUP($H545&amp;$V545,BASEDATOS!$B:$B,BASEDATOS!Q:Q,0,0,1)</f>
        <v>0</v>
      </c>
      <c r="K545" s="51">
        <f>+_xlfn.XLOOKUP($H545&amp;$V545,BASEDATOS!$B:$B,BASEDATOS!R:R,0,0,1)</f>
        <v>0</v>
      </c>
      <c r="L545" s="51">
        <f t="shared" si="656"/>
        <v>0</v>
      </c>
      <c r="M545" s="52">
        <f t="shared" si="657"/>
        <v>0</v>
      </c>
      <c r="N545" s="51">
        <f t="shared" si="658"/>
        <v>0</v>
      </c>
      <c r="O545" s="53" t="str">
        <f t="shared" ref="O545" si="668">+O546</f>
        <v>0-5-2</v>
      </c>
      <c r="P545" s="54">
        <f>+IF(AND(Y545="Domingo",U545=7),_xlfn.XLOOKUP(O545,'Horarios y Sistemas'!C:C,'Horarios y Sistemas'!H:H,0,0,1),0)</f>
        <v>0</v>
      </c>
      <c r="Q545" s="54">
        <f>IF(U545=U546,0,IF(AVERAGEIF(W:W,W545,U:U)=U545,0,_xlfn.XLOOKUP(O545,'Horarios y Sistemas'!C:C,'Horarios y Sistemas'!H:H,0,0,1)-P545))/7*U545</f>
        <v>0</v>
      </c>
      <c r="R545" s="54">
        <f t="shared" si="660"/>
        <v>0</v>
      </c>
      <c r="S545" s="55" t="str">
        <f t="shared" si="661"/>
        <v>SEPTIEMBRE</v>
      </c>
      <c r="T545" s="55" t="str">
        <f t="shared" si="662"/>
        <v>Sem39</v>
      </c>
      <c r="U545" s="56">
        <f t="shared" si="629"/>
        <v>7</v>
      </c>
      <c r="V545" s="59">
        <v>46291</v>
      </c>
      <c r="W545" s="56">
        <f t="shared" si="663"/>
        <v>39</v>
      </c>
      <c r="X545" s="56">
        <f t="shared" si="664"/>
        <v>26</v>
      </c>
      <c r="Y545" s="56" t="s">
        <v>33</v>
      </c>
      <c r="Z545" s="56">
        <v>6</v>
      </c>
      <c r="AA545" s="58">
        <f t="shared" si="649"/>
        <v>0</v>
      </c>
      <c r="AB545" s="58">
        <f t="shared" si="649"/>
        <v>0</v>
      </c>
      <c r="AC545" s="58">
        <f t="shared" si="649"/>
        <v>1</v>
      </c>
      <c r="AD545" s="58">
        <f t="shared" si="649"/>
        <v>0</v>
      </c>
      <c r="AE545" s="58">
        <f t="shared" si="649"/>
        <v>0</v>
      </c>
    </row>
    <row r="546" spans="2:34" s="60" customFormat="1">
      <c r="B546" s="60" t="str">
        <f t="shared" si="651"/>
        <v>Sem3939GUZMÁN MORALES  EDGAR RICARDO</v>
      </c>
      <c r="C546" s="60" t="str">
        <f t="shared" si="652"/>
        <v>SEPTIEMBRESem39</v>
      </c>
      <c r="D546" s="60" t="str">
        <f t="shared" si="653"/>
        <v>SEPTIEMBRESem39GUZMÁN MORALES  EDGAR RICARDO</v>
      </c>
      <c r="E546" s="60" t="str">
        <f t="shared" si="654"/>
        <v>SEPTIEMBRESem3939GUZMÁN MORALES  EDGAR RICARDO</v>
      </c>
      <c r="F546" s="60" t="str">
        <f t="shared" si="655"/>
        <v>GUZMÁN MORALES  EDGAR RICARDO46292</v>
      </c>
      <c r="H546" s="61" t="s">
        <v>224</v>
      </c>
      <c r="I546" s="62" t="str">
        <f>+_xlfn.XLOOKUP($H546&amp;$V546,BASEDATOS!$B:$B,BASEDATOS!F:F,0,0,1)</f>
        <v>DESCANSO</v>
      </c>
      <c r="J546" s="63">
        <f>+_xlfn.XLOOKUP($H546&amp;$V546,BASEDATOS!$B:$B,BASEDATOS!Q:Q,0,0,1)</f>
        <v>0</v>
      </c>
      <c r="K546" s="63">
        <f>+_xlfn.XLOOKUP($H546&amp;$V546,BASEDATOS!$B:$B,BASEDATOS!R:R,0,0,1)</f>
        <v>0</v>
      </c>
      <c r="L546" s="63">
        <f t="shared" si="656"/>
        <v>0</v>
      </c>
      <c r="M546" s="64">
        <f t="shared" si="657"/>
        <v>0</v>
      </c>
      <c r="N546" s="63">
        <f t="shared" si="658"/>
        <v>0</v>
      </c>
      <c r="O546" s="65" t="str">
        <f t="shared" ref="O546" si="669">+IF(Y546="Domingo",SUM(AA540:AA546)&amp;"-"&amp;SUM(AB540:AB546)&amp;"-"&amp;SUM(AC540:AE546),"")</f>
        <v>0-5-2</v>
      </c>
      <c r="P546" s="66">
        <f>+IF(AND(Y546="Domingo",U546=7),_xlfn.XLOOKUP(O546,'Horarios y Sistemas'!C:C,'Horarios y Sistemas'!H:H,0,0,1),0)</f>
        <v>36</v>
      </c>
      <c r="Q546" s="66">
        <f>IF(U546=U547,0,IF(AVERAGEIF(W:W,W546,U:U)=U546,0,_xlfn.XLOOKUP(O546,'Horarios y Sistemas'!C:C,'Horarios y Sistemas'!H:H,0,0,1)-P546))/7*U546</f>
        <v>0</v>
      </c>
      <c r="R546" s="66">
        <f t="shared" si="660"/>
        <v>36</v>
      </c>
      <c r="S546" s="67" t="str">
        <f t="shared" si="661"/>
        <v>SEPTIEMBRE</v>
      </c>
      <c r="T546" s="55" t="str">
        <f t="shared" si="662"/>
        <v>Sem39</v>
      </c>
      <c r="U546" s="68">
        <f t="shared" si="629"/>
        <v>7</v>
      </c>
      <c r="V546" s="69">
        <v>46292</v>
      </c>
      <c r="W546" s="68">
        <f t="shared" si="663"/>
        <v>39</v>
      </c>
      <c r="X546" s="68">
        <f t="shared" si="664"/>
        <v>27</v>
      </c>
      <c r="Y546" s="68" t="s">
        <v>34</v>
      </c>
      <c r="Z546" s="68">
        <v>7</v>
      </c>
      <c r="AA546" s="70">
        <f t="shared" si="649"/>
        <v>0</v>
      </c>
      <c r="AB546" s="70">
        <f t="shared" si="649"/>
        <v>0</v>
      </c>
      <c r="AC546" s="70">
        <f t="shared" si="649"/>
        <v>1</v>
      </c>
      <c r="AD546" s="70">
        <f t="shared" si="649"/>
        <v>0</v>
      </c>
      <c r="AE546" s="70">
        <f t="shared" si="649"/>
        <v>0</v>
      </c>
      <c r="AF546" s="71"/>
      <c r="AG546" s="71"/>
      <c r="AH546" s="71"/>
    </row>
    <row r="547" spans="2:34">
      <c r="B547" t="str">
        <f t="shared" si="651"/>
        <v>Sem4040GUZMÁN MORALES  EDGAR RICARDO</v>
      </c>
      <c r="C547" t="str">
        <f t="shared" si="652"/>
        <v>SEPTIEMBRESem40</v>
      </c>
      <c r="D547" t="str">
        <f t="shared" si="653"/>
        <v>SEPTIEMBRESem40GUZMÁN MORALES  EDGAR RICARDO</v>
      </c>
      <c r="E547" t="str">
        <f t="shared" si="654"/>
        <v>SEPTIEMBRESem4040GUZMÁN MORALES  EDGAR RICARDO</v>
      </c>
      <c r="F547" t="str">
        <f t="shared" si="655"/>
        <v>GUZMÁN MORALES  EDGAR RICARDO46293</v>
      </c>
      <c r="H547" s="49" t="s">
        <v>224</v>
      </c>
      <c r="I547" s="50" t="str">
        <f>+_xlfn.XLOOKUP($H547&amp;$V547,BASEDATOS!$B:$B,BASEDATOS!F:F,0,0,1)</f>
        <v>DIA</v>
      </c>
      <c r="J547" s="51">
        <f>+_xlfn.XLOOKUP($H547&amp;$V547,BASEDATOS!$B:$B,BASEDATOS!Q:Q,0,0,1)</f>
        <v>0.23958333333333301</v>
      </c>
      <c r="K547" s="51">
        <f>+_xlfn.XLOOKUP($H547&amp;$V547,BASEDATOS!$B:$B,BASEDATOS!R:R,0,0,1)</f>
        <v>0.75</v>
      </c>
      <c r="L547" s="51">
        <f t="shared" si="656"/>
        <v>0.51041666666666696</v>
      </c>
      <c r="M547" s="52" t="str">
        <f t="shared" si="657"/>
        <v>1:00</v>
      </c>
      <c r="N547" s="51">
        <f t="shared" si="658"/>
        <v>0.46875000000000028</v>
      </c>
      <c r="O547" s="53" t="str">
        <f t="shared" ref="O547" si="670">+O553</f>
        <v>6-0-1</v>
      </c>
      <c r="P547" s="54">
        <f>+IF(AND(Y547="Domingo",U547=7),_xlfn.XLOOKUP(O547,'Horarios y Sistemas'!C:C,'Horarios y Sistemas'!H:H,0,0,1),0)</f>
        <v>0</v>
      </c>
      <c r="Q547" s="54">
        <f>IF(U547=U548,0,IF(AVERAGEIF(W:W,W547,U:U)=U547,0,_xlfn.XLOOKUP(O547,'Horarios y Sistemas'!C:C,'Horarios y Sistemas'!H:H,0,0,1)-P547))/7*U547</f>
        <v>0</v>
      </c>
      <c r="R547" s="54">
        <f t="shared" si="660"/>
        <v>0</v>
      </c>
      <c r="S547" s="55" t="str">
        <f t="shared" si="661"/>
        <v>SEPTIEMBRE</v>
      </c>
      <c r="T547" s="55" t="str">
        <f t="shared" si="662"/>
        <v>Sem40</v>
      </c>
      <c r="U547" s="56">
        <f t="shared" si="629"/>
        <v>7</v>
      </c>
      <c r="V547" s="59">
        <v>46293</v>
      </c>
      <c r="W547" s="56">
        <f t="shared" si="663"/>
        <v>40</v>
      </c>
      <c r="X547" s="56">
        <f t="shared" si="664"/>
        <v>28</v>
      </c>
      <c r="Y547" s="56" t="s">
        <v>28</v>
      </c>
      <c r="Z547" s="56">
        <v>1</v>
      </c>
      <c r="AA547" s="58">
        <f t="shared" si="649"/>
        <v>1</v>
      </c>
      <c r="AB547" s="58">
        <f t="shared" si="649"/>
        <v>0</v>
      </c>
      <c r="AC547" s="58">
        <f t="shared" si="649"/>
        <v>0</v>
      </c>
      <c r="AD547" s="58">
        <f t="shared" si="649"/>
        <v>0</v>
      </c>
      <c r="AE547" s="58">
        <f t="shared" si="649"/>
        <v>0</v>
      </c>
    </row>
    <row r="548" spans="2:34">
      <c r="B548" t="str">
        <f t="shared" si="651"/>
        <v>Sem4040GUZMÁN MORALES  EDGAR RICARDO</v>
      </c>
      <c r="C548" t="str">
        <f t="shared" si="652"/>
        <v>SEPTIEMBRESem40</v>
      </c>
      <c r="D548" t="str">
        <f t="shared" si="653"/>
        <v>SEPTIEMBRESem40GUZMÁN MORALES  EDGAR RICARDO</v>
      </c>
      <c r="E548" t="str">
        <f t="shared" si="654"/>
        <v>SEPTIEMBRESem4040GUZMÁN MORALES  EDGAR RICARDO</v>
      </c>
      <c r="F548" t="str">
        <f t="shared" si="655"/>
        <v>GUZMÁN MORALES  EDGAR RICARDO46294</v>
      </c>
      <c r="H548" s="49" t="s">
        <v>224</v>
      </c>
      <c r="I548" s="50" t="str">
        <f>+_xlfn.XLOOKUP($H548&amp;$V548,BASEDATOS!$B:$B,BASEDATOS!F:F,0,0,1)</f>
        <v>DIA</v>
      </c>
      <c r="J548" s="51">
        <f>+_xlfn.XLOOKUP($H548&amp;$V548,BASEDATOS!$B:$B,BASEDATOS!Q:Q,0,0,1)</f>
        <v>0.23958333333333301</v>
      </c>
      <c r="K548" s="51">
        <f>+_xlfn.XLOOKUP($H548&amp;$V548,BASEDATOS!$B:$B,BASEDATOS!R:R,0,0,1)</f>
        <v>0.75</v>
      </c>
      <c r="L548" s="51">
        <f t="shared" si="656"/>
        <v>0.51041666666666696</v>
      </c>
      <c r="M548" s="52" t="str">
        <f t="shared" si="657"/>
        <v>1:00</v>
      </c>
      <c r="N548" s="51">
        <f t="shared" si="658"/>
        <v>0.46875000000000028</v>
      </c>
      <c r="O548" s="53" t="str">
        <f t="shared" ref="O548" si="671">+O553</f>
        <v>6-0-1</v>
      </c>
      <c r="P548" s="54">
        <f>+IF(AND(Y548="Domingo",U548=7),_xlfn.XLOOKUP(O548,'Horarios y Sistemas'!C:C,'Horarios y Sistemas'!H:H,0,0,1),0)</f>
        <v>0</v>
      </c>
      <c r="Q548" s="54">
        <f>IF(U548=U549,0,IF(AVERAGEIF(W:W,W548,U:U)=U548,0,_xlfn.XLOOKUP(O548,'Horarios y Sistemas'!C:C,'Horarios y Sistemas'!H:H,0,0,1)-P548))/7*U548</f>
        <v>0</v>
      </c>
      <c r="R548" s="54">
        <f t="shared" si="660"/>
        <v>0</v>
      </c>
      <c r="S548" s="55" t="str">
        <f t="shared" si="661"/>
        <v>SEPTIEMBRE</v>
      </c>
      <c r="T548" s="55" t="str">
        <f t="shared" si="662"/>
        <v>Sem40</v>
      </c>
      <c r="U548" s="56">
        <f t="shared" si="629"/>
        <v>7</v>
      </c>
      <c r="V548" s="59">
        <v>46294</v>
      </c>
      <c r="W548" s="56">
        <f t="shared" si="663"/>
        <v>40</v>
      </c>
      <c r="X548" s="56">
        <f t="shared" si="664"/>
        <v>29</v>
      </c>
      <c r="Y548" s="56" t="s">
        <v>29</v>
      </c>
      <c r="Z548" s="56">
        <v>2</v>
      </c>
      <c r="AA548" s="58">
        <f t="shared" si="649"/>
        <v>1</v>
      </c>
      <c r="AB548" s="58">
        <f t="shared" si="649"/>
        <v>0</v>
      </c>
      <c r="AC548" s="58">
        <f t="shared" si="649"/>
        <v>0</v>
      </c>
      <c r="AD548" s="58">
        <f t="shared" si="649"/>
        <v>0</v>
      </c>
      <c r="AE548" s="58">
        <f t="shared" si="649"/>
        <v>0</v>
      </c>
    </row>
    <row r="549" spans="2:34">
      <c r="B549" t="str">
        <f t="shared" si="651"/>
        <v>Sem4040GUZMÁN MORALES  EDGAR RICARDO</v>
      </c>
      <c r="C549" t="str">
        <f t="shared" si="652"/>
        <v>SEPTIEMBRESem40</v>
      </c>
      <c r="D549" t="str">
        <f t="shared" si="653"/>
        <v>SEPTIEMBRESem40GUZMÁN MORALES  EDGAR RICARDO</v>
      </c>
      <c r="E549" t="str">
        <f t="shared" si="654"/>
        <v>SEPTIEMBRESem4040GUZMÁN MORALES  EDGAR RICARDO</v>
      </c>
      <c r="F549" t="str">
        <f t="shared" si="655"/>
        <v>GUZMÁN MORALES  EDGAR RICARDO46295</v>
      </c>
      <c r="H549" s="49" t="s">
        <v>224</v>
      </c>
      <c r="I549" s="50" t="str">
        <f>+_xlfn.XLOOKUP($H549&amp;$V549,BASEDATOS!$B:$B,BASEDATOS!F:F,0,0,1)</f>
        <v>DIA</v>
      </c>
      <c r="J549" s="51">
        <f>+_xlfn.XLOOKUP($H549&amp;$V549,BASEDATOS!$B:$B,BASEDATOS!Q:Q,0,0,1)</f>
        <v>0.23958333333333301</v>
      </c>
      <c r="K549" s="51">
        <f>+_xlfn.XLOOKUP($H549&amp;$V549,BASEDATOS!$B:$B,BASEDATOS!R:R,0,0,1)</f>
        <v>0.75</v>
      </c>
      <c r="L549" s="51">
        <f t="shared" si="656"/>
        <v>0.51041666666666696</v>
      </c>
      <c r="M549" s="52" t="str">
        <f t="shared" si="657"/>
        <v>1:00</v>
      </c>
      <c r="N549" s="51">
        <f t="shared" si="658"/>
        <v>0.46875000000000028</v>
      </c>
      <c r="O549" s="53" t="str">
        <f t="shared" ref="O549" si="672">+O553</f>
        <v>6-0-1</v>
      </c>
      <c r="P549" s="54">
        <f>+IF(AND(Y549="Domingo",U549=7),_xlfn.XLOOKUP(O549,'Horarios y Sistemas'!C:C,'Horarios y Sistemas'!H:H,0,0,1),0)</f>
        <v>0</v>
      </c>
      <c r="Q549" s="54">
        <f>IF(U549=U550,0,IF(AVERAGEIF(W:W,W549,U:U)=U549,0,_xlfn.XLOOKUP(O549,'Horarios y Sistemas'!C:C,'Horarios y Sistemas'!H:H,0,0,1)-P549))/7*U549</f>
        <v>0</v>
      </c>
      <c r="R549" s="54">
        <f t="shared" si="660"/>
        <v>0</v>
      </c>
      <c r="S549" s="55" t="str">
        <f t="shared" si="661"/>
        <v>SEPTIEMBRE</v>
      </c>
      <c r="T549" s="55" t="str">
        <f t="shared" si="662"/>
        <v>Sem40</v>
      </c>
      <c r="U549" s="56">
        <f t="shared" si="629"/>
        <v>7</v>
      </c>
      <c r="V549" s="59">
        <v>46295</v>
      </c>
      <c r="W549" s="56">
        <f t="shared" si="663"/>
        <v>40</v>
      </c>
      <c r="X549" s="56">
        <f t="shared" si="664"/>
        <v>30</v>
      </c>
      <c r="Y549" s="56" t="s">
        <v>30</v>
      </c>
      <c r="Z549" s="56">
        <v>3</v>
      </c>
      <c r="AA549" s="58">
        <f t="shared" si="649"/>
        <v>1</v>
      </c>
      <c r="AB549" s="58">
        <f t="shared" si="649"/>
        <v>0</v>
      </c>
      <c r="AC549" s="58">
        <f t="shared" si="649"/>
        <v>0</v>
      </c>
      <c r="AD549" s="58">
        <f t="shared" si="649"/>
        <v>0</v>
      </c>
      <c r="AE549" s="58">
        <f t="shared" si="649"/>
        <v>0</v>
      </c>
    </row>
    <row r="550" spans="2:34">
      <c r="B550" t="str">
        <f t="shared" si="651"/>
        <v>Sem4040GUZMÁN MORALES  EDGAR RICARDO</v>
      </c>
      <c r="C550" t="str">
        <f t="shared" si="652"/>
        <v>OCTUBRESem40</v>
      </c>
      <c r="D550" t="str">
        <f t="shared" si="653"/>
        <v>OCTUBRESem40GUZMÁN MORALES  EDGAR RICARDO</v>
      </c>
      <c r="E550" t="str">
        <f t="shared" si="654"/>
        <v>OCTUBRESem4040GUZMÁN MORALES  EDGAR RICARDO</v>
      </c>
      <c r="F550" t="str">
        <f t="shared" si="655"/>
        <v>GUZMÁN MORALES  EDGAR RICARDO46296</v>
      </c>
      <c r="H550" s="49" t="s">
        <v>224</v>
      </c>
      <c r="I550" s="50" t="str">
        <f>+_xlfn.XLOOKUP($H550&amp;$V550,BASEDATOS!$B:$B,BASEDATOS!F:F,0,0,1)</f>
        <v>DIA</v>
      </c>
      <c r="J550" s="51">
        <f>+_xlfn.XLOOKUP($H550&amp;$V550,BASEDATOS!$B:$B,BASEDATOS!Q:Q,0,0,1)</f>
        <v>0.23958333333333301</v>
      </c>
      <c r="K550" s="51">
        <f>+_xlfn.XLOOKUP($H550&amp;$V550,BASEDATOS!$B:$B,BASEDATOS!R:R,0,0,1)</f>
        <v>0.75</v>
      </c>
      <c r="L550" s="51">
        <f t="shared" si="656"/>
        <v>0.51041666666666696</v>
      </c>
      <c r="M550" s="52" t="str">
        <f t="shared" si="657"/>
        <v>1:00</v>
      </c>
      <c r="N550" s="51">
        <f t="shared" si="658"/>
        <v>0.46875000000000028</v>
      </c>
      <c r="O550" s="53" t="str">
        <f t="shared" ref="O550" si="673">+O553</f>
        <v>6-0-1</v>
      </c>
      <c r="P550" s="54">
        <f>+IF(AND(Y550="Domingo",U550=7),_xlfn.XLOOKUP(O550,'Horarios y Sistemas'!C:C,'Horarios y Sistemas'!H:H,0,0,1),0)</f>
        <v>0</v>
      </c>
      <c r="Q550" s="54">
        <f>IF(U550=U551,0,IF(AVERAGEIF(W:W,W550,U:U)=U550,0,_xlfn.XLOOKUP(O550,'Horarios y Sistemas'!C:C,'Horarios y Sistemas'!H:H,0,0,1)-P550))/7*U550</f>
        <v>0</v>
      </c>
      <c r="R550" s="54">
        <f t="shared" si="660"/>
        <v>0</v>
      </c>
      <c r="S550" s="55" t="str">
        <f t="shared" si="661"/>
        <v>OCTUBRE</v>
      </c>
      <c r="T550" s="55" t="str">
        <f t="shared" si="662"/>
        <v>Sem40</v>
      </c>
      <c r="U550" s="56">
        <f t="shared" si="629"/>
        <v>7</v>
      </c>
      <c r="V550" s="59">
        <v>46296</v>
      </c>
      <c r="W550" s="56">
        <f t="shared" si="663"/>
        <v>40</v>
      </c>
      <c r="X550" s="56">
        <f t="shared" si="664"/>
        <v>1</v>
      </c>
      <c r="Y550" s="56" t="s">
        <v>31</v>
      </c>
      <c r="Z550" s="56">
        <v>4</v>
      </c>
      <c r="AA550" s="58">
        <f t="shared" si="649"/>
        <v>1</v>
      </c>
      <c r="AB550" s="58">
        <f t="shared" si="649"/>
        <v>0</v>
      </c>
      <c r="AC550" s="58">
        <f t="shared" si="649"/>
        <v>0</v>
      </c>
      <c r="AD550" s="58">
        <f t="shared" si="649"/>
        <v>0</v>
      </c>
      <c r="AE550" s="58">
        <f t="shared" si="649"/>
        <v>0</v>
      </c>
    </row>
    <row r="551" spans="2:34">
      <c r="B551" t="str">
        <f t="shared" si="651"/>
        <v>Sem4040GUZMÁN MORALES  EDGAR RICARDO</v>
      </c>
      <c r="C551" t="str">
        <f t="shared" si="652"/>
        <v>OCTUBRESem40</v>
      </c>
      <c r="D551" t="str">
        <f t="shared" si="653"/>
        <v>OCTUBRESem40GUZMÁN MORALES  EDGAR RICARDO</v>
      </c>
      <c r="E551" t="str">
        <f t="shared" si="654"/>
        <v>OCTUBRESem4040GUZMÁN MORALES  EDGAR RICARDO</v>
      </c>
      <c r="F551" t="str">
        <f t="shared" si="655"/>
        <v>GUZMÁN MORALES  EDGAR RICARDO46297</v>
      </c>
      <c r="H551" s="49" t="s">
        <v>224</v>
      </c>
      <c r="I551" s="50" t="str">
        <f>+_xlfn.XLOOKUP($H551&amp;$V551,BASEDATOS!$B:$B,BASEDATOS!F:F,0,0,1)</f>
        <v>DIA</v>
      </c>
      <c r="J551" s="51">
        <f>+_xlfn.XLOOKUP($H551&amp;$V551,BASEDATOS!$B:$B,BASEDATOS!Q:Q,0,0,1)</f>
        <v>0.23958333333333301</v>
      </c>
      <c r="K551" s="51">
        <f>+_xlfn.XLOOKUP($H551&amp;$V551,BASEDATOS!$B:$B,BASEDATOS!R:R,0,0,1)</f>
        <v>0.75</v>
      </c>
      <c r="L551" s="51">
        <f t="shared" si="656"/>
        <v>0.51041666666666696</v>
      </c>
      <c r="M551" s="52" t="str">
        <f t="shared" si="657"/>
        <v>1:00</v>
      </c>
      <c r="N551" s="51">
        <f t="shared" si="658"/>
        <v>0.46875000000000028</v>
      </c>
      <c r="O551" s="53" t="str">
        <f t="shared" ref="O551" si="674">+O553</f>
        <v>6-0-1</v>
      </c>
      <c r="P551" s="54">
        <f>+IF(AND(Y551="Domingo",U551=7),_xlfn.XLOOKUP(O551,'Horarios y Sistemas'!C:C,'Horarios y Sistemas'!H:H,0,0,1),0)</f>
        <v>0</v>
      </c>
      <c r="Q551" s="54">
        <f>IF(U551=U552,0,IF(AVERAGEIF(W:W,W551,U:U)=U551,0,_xlfn.XLOOKUP(O551,'Horarios y Sistemas'!C:C,'Horarios y Sistemas'!H:H,0,0,1)-P551))/7*U551</f>
        <v>0</v>
      </c>
      <c r="R551" s="54">
        <f t="shared" si="660"/>
        <v>0</v>
      </c>
      <c r="S551" s="55" t="str">
        <f t="shared" si="661"/>
        <v>OCTUBRE</v>
      </c>
      <c r="T551" s="55" t="str">
        <f t="shared" si="662"/>
        <v>Sem40</v>
      </c>
      <c r="U551" s="56">
        <f t="shared" si="629"/>
        <v>7</v>
      </c>
      <c r="V551" s="59">
        <v>46297</v>
      </c>
      <c r="W551" s="56">
        <f t="shared" si="663"/>
        <v>40</v>
      </c>
      <c r="X551" s="56">
        <f t="shared" si="664"/>
        <v>2</v>
      </c>
      <c r="Y551" s="56" t="s">
        <v>32</v>
      </c>
      <c r="Z551" s="56">
        <v>5</v>
      </c>
      <c r="AA551" s="58">
        <f t="shared" si="649"/>
        <v>1</v>
      </c>
      <c r="AB551" s="58">
        <f t="shared" si="649"/>
        <v>0</v>
      </c>
      <c r="AC551" s="58">
        <f t="shared" si="649"/>
        <v>0</v>
      </c>
      <c r="AD551" s="58">
        <f t="shared" si="649"/>
        <v>0</v>
      </c>
      <c r="AE551" s="58">
        <f t="shared" si="649"/>
        <v>0</v>
      </c>
    </row>
    <row r="552" spans="2:34">
      <c r="B552" t="str">
        <f t="shared" si="651"/>
        <v>Sem4040GUZMÁN MORALES  EDGAR RICARDO</v>
      </c>
      <c r="C552" t="str">
        <f t="shared" si="652"/>
        <v>OCTUBRESem40</v>
      </c>
      <c r="D552" t="str">
        <f t="shared" si="653"/>
        <v>OCTUBRESem40GUZMÁN MORALES  EDGAR RICARDO</v>
      </c>
      <c r="E552" t="str">
        <f t="shared" si="654"/>
        <v>OCTUBRESem4040GUZMÁN MORALES  EDGAR RICARDO</v>
      </c>
      <c r="F552" t="str">
        <f t="shared" si="655"/>
        <v>GUZMÁN MORALES  EDGAR RICARDO46298</v>
      </c>
      <c r="H552" s="49" t="s">
        <v>224</v>
      </c>
      <c r="I552" s="50" t="str">
        <f>+_xlfn.XLOOKUP($H552&amp;$V552,BASEDATOS!$B:$B,BASEDATOS!F:F,0,0,1)</f>
        <v>DIA</v>
      </c>
      <c r="J552" s="51">
        <f>+_xlfn.XLOOKUP($H552&amp;$V552,BASEDATOS!$B:$B,BASEDATOS!Q:Q,0,0,1)</f>
        <v>0.23958333333333301</v>
      </c>
      <c r="K552" s="51">
        <f>+_xlfn.XLOOKUP($H552&amp;$V552,BASEDATOS!$B:$B,BASEDATOS!R:R,0,0,1)</f>
        <v>0.58333333333333304</v>
      </c>
      <c r="L552" s="51">
        <f t="shared" si="656"/>
        <v>0.34375</v>
      </c>
      <c r="M552" s="52" t="str">
        <f t="shared" si="657"/>
        <v>1:00</v>
      </c>
      <c r="N552" s="51">
        <f t="shared" si="658"/>
        <v>0.30208333333333331</v>
      </c>
      <c r="O552" s="53" t="str">
        <f t="shared" ref="O552" si="675">+O553</f>
        <v>6-0-1</v>
      </c>
      <c r="P552" s="54">
        <f>+IF(AND(Y552="Domingo",U552=7),_xlfn.XLOOKUP(O552,'Horarios y Sistemas'!C:C,'Horarios y Sistemas'!H:H,0,0,1),0)</f>
        <v>0</v>
      </c>
      <c r="Q552" s="54">
        <f>IF(U552=U553,0,IF(AVERAGEIF(W:W,W552,U:U)=U552,0,_xlfn.XLOOKUP(O552,'Horarios y Sistemas'!C:C,'Horarios y Sistemas'!H:H,0,0,1)-P552))/7*U552</f>
        <v>0</v>
      </c>
      <c r="R552" s="54">
        <f t="shared" si="660"/>
        <v>0</v>
      </c>
      <c r="S552" s="55" t="str">
        <f t="shared" si="661"/>
        <v>OCTUBRE</v>
      </c>
      <c r="T552" s="55" t="str">
        <f t="shared" si="662"/>
        <v>Sem40</v>
      </c>
      <c r="U552" s="56">
        <f t="shared" si="629"/>
        <v>7</v>
      </c>
      <c r="V552" s="59">
        <v>46298</v>
      </c>
      <c r="W552" s="56">
        <f t="shared" si="663"/>
        <v>40</v>
      </c>
      <c r="X552" s="56">
        <f t="shared" si="664"/>
        <v>3</v>
      </c>
      <c r="Y552" s="56" t="s">
        <v>33</v>
      </c>
      <c r="Z552" s="56">
        <v>6</v>
      </c>
      <c r="AA552" s="58">
        <f t="shared" si="649"/>
        <v>1</v>
      </c>
      <c r="AB552" s="58">
        <f t="shared" si="649"/>
        <v>0</v>
      </c>
      <c r="AC552" s="58">
        <f t="shared" si="649"/>
        <v>0</v>
      </c>
      <c r="AD552" s="58">
        <f t="shared" si="649"/>
        <v>0</v>
      </c>
      <c r="AE552" s="58">
        <f t="shared" si="649"/>
        <v>0</v>
      </c>
    </row>
    <row r="553" spans="2:34" s="60" customFormat="1">
      <c r="B553" s="60" t="str">
        <f t="shared" si="651"/>
        <v>Sem4040GUZMÁN MORALES  EDGAR RICARDO</v>
      </c>
      <c r="C553" s="60" t="str">
        <f t="shared" si="652"/>
        <v>OCTUBRESem40</v>
      </c>
      <c r="D553" s="60" t="str">
        <f t="shared" si="653"/>
        <v>OCTUBRESem40GUZMÁN MORALES  EDGAR RICARDO</v>
      </c>
      <c r="E553" s="60" t="str">
        <f t="shared" si="654"/>
        <v>OCTUBRESem4040GUZMÁN MORALES  EDGAR RICARDO</v>
      </c>
      <c r="F553" s="60" t="str">
        <f t="shared" si="655"/>
        <v>GUZMÁN MORALES  EDGAR RICARDO46299</v>
      </c>
      <c r="H553" s="61" t="s">
        <v>224</v>
      </c>
      <c r="I553" s="62" t="str">
        <f>+_xlfn.XLOOKUP($H553&amp;$V553,BASEDATOS!$B:$B,BASEDATOS!F:F,0,0,1)</f>
        <v>DESCANSO</v>
      </c>
      <c r="J553" s="63">
        <f>+_xlfn.XLOOKUP($H553&amp;$V553,BASEDATOS!$B:$B,BASEDATOS!Q:Q,0,0,1)</f>
        <v>0</v>
      </c>
      <c r="K553" s="63">
        <f>+_xlfn.XLOOKUP($H553&amp;$V553,BASEDATOS!$B:$B,BASEDATOS!R:R,0,0,1)</f>
        <v>0</v>
      </c>
      <c r="L553" s="63">
        <f t="shared" si="656"/>
        <v>0</v>
      </c>
      <c r="M553" s="64">
        <f t="shared" si="657"/>
        <v>0</v>
      </c>
      <c r="N553" s="63">
        <f t="shared" si="658"/>
        <v>0</v>
      </c>
      <c r="O553" s="65" t="str">
        <f t="shared" ref="O553" si="676">+IF(Y553="Domingo",SUM(AA547:AA553)&amp;"-"&amp;SUM(AB547:AB553)&amp;"-"&amp;SUM(AC547:AE553),"")</f>
        <v>6-0-1</v>
      </c>
      <c r="P553" s="66">
        <f>+IF(AND(Y553="Domingo",U553=7),_xlfn.XLOOKUP(O553,'Horarios y Sistemas'!C:C,'Horarios y Sistemas'!H:H,0,0,1),0)</f>
        <v>44</v>
      </c>
      <c r="Q553" s="66">
        <f>IF(U553=U554,0,IF(AVERAGEIF(W:W,W553,U:U)=U553,0,_xlfn.XLOOKUP(O553,'Horarios y Sistemas'!C:C,'Horarios y Sistemas'!H:H,0,0,1)-P553))/7*U553</f>
        <v>0</v>
      </c>
      <c r="R553" s="66">
        <f t="shared" si="660"/>
        <v>44</v>
      </c>
      <c r="S553" s="67" t="str">
        <f t="shared" si="661"/>
        <v>OCTUBRE</v>
      </c>
      <c r="T553" s="55" t="str">
        <f t="shared" si="662"/>
        <v>Sem40</v>
      </c>
      <c r="U553" s="68">
        <f t="shared" si="629"/>
        <v>7</v>
      </c>
      <c r="V553" s="69">
        <v>46299</v>
      </c>
      <c r="W553" s="68">
        <f t="shared" si="663"/>
        <v>40</v>
      </c>
      <c r="X553" s="68">
        <f t="shared" si="664"/>
        <v>4</v>
      </c>
      <c r="Y553" s="68" t="s">
        <v>34</v>
      </c>
      <c r="Z553" s="68">
        <v>7</v>
      </c>
      <c r="AA553" s="70">
        <f t="shared" si="649"/>
        <v>0</v>
      </c>
      <c r="AB553" s="70">
        <f t="shared" si="649"/>
        <v>0</v>
      </c>
      <c r="AC553" s="70">
        <f t="shared" si="649"/>
        <v>1</v>
      </c>
      <c r="AD553" s="70">
        <f t="shared" si="649"/>
        <v>0</v>
      </c>
      <c r="AE553" s="70">
        <f t="shared" si="649"/>
        <v>0</v>
      </c>
      <c r="AF553" s="71"/>
      <c r="AG553" s="71"/>
      <c r="AH553" s="71"/>
    </row>
    <row r="554" spans="2:34">
      <c r="B554" t="str">
        <f t="shared" si="651"/>
        <v>Sem3838HECTOR RENE ALVIZUREZ MEJIA</v>
      </c>
      <c r="C554" t="str">
        <f t="shared" si="652"/>
        <v>SEPTIEMBRESem38</v>
      </c>
      <c r="D554" t="str">
        <f t="shared" si="653"/>
        <v>SEPTIEMBRESem38HECTOR RENE ALVIZUREZ MEJIA</v>
      </c>
      <c r="E554" t="str">
        <f t="shared" si="654"/>
        <v>SEPTIEMBRESem3838HECTOR RENE ALVIZUREZ MEJIA</v>
      </c>
      <c r="F554" t="str">
        <f t="shared" si="655"/>
        <v>HECTOR RENE ALVIZUREZ MEJIA46279</v>
      </c>
      <c r="H554" s="49" t="s">
        <v>14</v>
      </c>
      <c r="I554" s="50" t="str">
        <f>+_xlfn.XLOOKUP($H554&amp;$V554,BASEDATOS!$B:$B,BASEDATOS!F:F,0,0,1)</f>
        <v>DESCANSO</v>
      </c>
      <c r="J554" s="51">
        <f>+_xlfn.XLOOKUP($H554&amp;$V554,BASEDATOS!$B:$B,BASEDATOS!Q:Q,0,0,1)</f>
        <v>0</v>
      </c>
      <c r="K554" s="51">
        <f>+_xlfn.XLOOKUP($H554&amp;$V554,BASEDATOS!$B:$B,BASEDATOS!R:R,0,0,1)</f>
        <v>0</v>
      </c>
      <c r="L554" s="51">
        <f t="shared" si="656"/>
        <v>0</v>
      </c>
      <c r="M554" s="52">
        <f t="shared" si="657"/>
        <v>0</v>
      </c>
      <c r="N554" s="51">
        <f t="shared" si="658"/>
        <v>0</v>
      </c>
      <c r="O554" s="53" t="str">
        <f t="shared" ref="O554" si="677">+O560</f>
        <v>2-2-3</v>
      </c>
      <c r="P554" s="54">
        <f>+IF(AND(Y554="Domingo",U554=7),_xlfn.XLOOKUP(O554,'Horarios y Sistemas'!C:C,'Horarios y Sistemas'!H:H,0,0,1),0)</f>
        <v>0</v>
      </c>
      <c r="Q554" s="54">
        <f>IF(U554=U555,0,IF(AVERAGEIF(W:W,W554,U:U)=U554,0,_xlfn.XLOOKUP(O554,'Horarios y Sistemas'!C:C,'Horarios y Sistemas'!H:H,0,0,1)-P554))/7*U554</f>
        <v>0</v>
      </c>
      <c r="R554" s="54">
        <f t="shared" si="660"/>
        <v>0</v>
      </c>
      <c r="S554" s="55" t="str">
        <f t="shared" si="661"/>
        <v>SEPTIEMBRE</v>
      </c>
      <c r="T554" s="55" t="str">
        <f t="shared" si="662"/>
        <v>Sem38</v>
      </c>
      <c r="U554" s="56">
        <f t="shared" si="629"/>
        <v>7</v>
      </c>
      <c r="V554" s="57">
        <v>46279</v>
      </c>
      <c r="W554" s="56">
        <f t="shared" si="663"/>
        <v>38</v>
      </c>
      <c r="X554" s="56">
        <f t="shared" si="664"/>
        <v>14</v>
      </c>
      <c r="Y554" s="56" t="s">
        <v>28</v>
      </c>
      <c r="Z554" s="56">
        <v>1</v>
      </c>
      <c r="AA554" s="58">
        <f t="shared" si="649"/>
        <v>0</v>
      </c>
      <c r="AB554" s="58">
        <f t="shared" si="649"/>
        <v>0</v>
      </c>
      <c r="AC554" s="58">
        <f t="shared" si="649"/>
        <v>1</v>
      </c>
      <c r="AD554" s="58">
        <f t="shared" si="649"/>
        <v>0</v>
      </c>
      <c r="AE554" s="58">
        <f t="shared" si="649"/>
        <v>0</v>
      </c>
    </row>
    <row r="555" spans="2:34">
      <c r="B555" t="str">
        <f t="shared" si="651"/>
        <v>Sem3838HECTOR RENE ALVIZUREZ MEJIA</v>
      </c>
      <c r="C555" t="str">
        <f t="shared" si="652"/>
        <v>SEPTIEMBRESem38</v>
      </c>
      <c r="D555" t="str">
        <f t="shared" si="653"/>
        <v>SEPTIEMBRESem38HECTOR RENE ALVIZUREZ MEJIA</v>
      </c>
      <c r="E555" t="str">
        <f t="shared" si="654"/>
        <v>SEPTIEMBRESem3838HECTOR RENE ALVIZUREZ MEJIA</v>
      </c>
      <c r="F555" t="str">
        <f t="shared" si="655"/>
        <v>HECTOR RENE ALVIZUREZ MEJIA46280</v>
      </c>
      <c r="H555" s="49" t="s">
        <v>14</v>
      </c>
      <c r="I555" s="50" t="str">
        <f>+_xlfn.XLOOKUP($H555&amp;$V555,BASEDATOS!$B:$B,BASEDATOS!F:F,0,0,1)</f>
        <v>DIA</v>
      </c>
      <c r="J555" s="51">
        <f>+_xlfn.XLOOKUP($H555&amp;$V555,BASEDATOS!$B:$B,BASEDATOS!Q:Q,0,0,1)</f>
        <v>0.33333333333333298</v>
      </c>
      <c r="K555" s="51">
        <f>+_xlfn.XLOOKUP($H555&amp;$V555,BASEDATOS!$B:$B,BASEDATOS!R:R,0,0,1)</f>
        <v>0.70833333333333304</v>
      </c>
      <c r="L555" s="51">
        <f t="shared" si="656"/>
        <v>0.37500000000000006</v>
      </c>
      <c r="M555" s="52" t="str">
        <f t="shared" si="657"/>
        <v>1:00</v>
      </c>
      <c r="N555" s="51">
        <f t="shared" si="658"/>
        <v>0.33333333333333337</v>
      </c>
      <c r="O555" s="53" t="str">
        <f t="shared" ref="O555" si="678">+O560</f>
        <v>2-2-3</v>
      </c>
      <c r="P555" s="54">
        <f>+IF(AND(Y555="Domingo",U555=7),_xlfn.XLOOKUP(O555,'Horarios y Sistemas'!C:C,'Horarios y Sistemas'!H:H,0,0,1),0)</f>
        <v>0</v>
      </c>
      <c r="Q555" s="54">
        <f>IF(U555=U556,0,IF(AVERAGEIF(W:W,W555,U:U)=U555,0,_xlfn.XLOOKUP(O555,'Horarios y Sistemas'!C:C,'Horarios y Sistemas'!H:H,0,0,1)-P555))/7*U555</f>
        <v>0</v>
      </c>
      <c r="R555" s="54">
        <f t="shared" si="660"/>
        <v>0</v>
      </c>
      <c r="S555" s="55" t="str">
        <f t="shared" si="661"/>
        <v>SEPTIEMBRE</v>
      </c>
      <c r="T555" s="55" t="str">
        <f t="shared" si="662"/>
        <v>Sem38</v>
      </c>
      <c r="U555" s="56">
        <f t="shared" si="629"/>
        <v>7</v>
      </c>
      <c r="V555" s="59">
        <v>46280</v>
      </c>
      <c r="W555" s="56">
        <f t="shared" si="663"/>
        <v>38</v>
      </c>
      <c r="X555" s="56">
        <f t="shared" si="664"/>
        <v>15</v>
      </c>
      <c r="Y555" s="56" t="s">
        <v>29</v>
      </c>
      <c r="Z555" s="56">
        <v>2</v>
      </c>
      <c r="AA555" s="58">
        <f t="shared" si="649"/>
        <v>1</v>
      </c>
      <c r="AB555" s="58">
        <f t="shared" si="649"/>
        <v>0</v>
      </c>
      <c r="AC555" s="58">
        <f t="shared" si="649"/>
        <v>0</v>
      </c>
      <c r="AD555" s="58">
        <f t="shared" si="649"/>
        <v>0</v>
      </c>
      <c r="AE555" s="58">
        <f t="shared" si="649"/>
        <v>0</v>
      </c>
    </row>
    <row r="556" spans="2:34">
      <c r="B556" t="str">
        <f t="shared" si="651"/>
        <v>Sem3838HECTOR RENE ALVIZUREZ MEJIA</v>
      </c>
      <c r="C556" t="str">
        <f t="shared" si="652"/>
        <v>SEPTIEMBRESem38</v>
      </c>
      <c r="D556" t="str">
        <f t="shared" si="653"/>
        <v>SEPTIEMBRESem38HECTOR RENE ALVIZUREZ MEJIA</v>
      </c>
      <c r="E556" t="str">
        <f t="shared" si="654"/>
        <v>SEPTIEMBRESem3838HECTOR RENE ALVIZUREZ MEJIA</v>
      </c>
      <c r="F556" t="str">
        <f t="shared" si="655"/>
        <v>HECTOR RENE ALVIZUREZ MEJIA46281</v>
      </c>
      <c r="H556" s="49" t="s">
        <v>14</v>
      </c>
      <c r="I556" s="50" t="str">
        <f>+_xlfn.XLOOKUP($H556&amp;$V556,BASEDATOS!$B:$B,BASEDATOS!F:F,0,0,1)</f>
        <v>NOCHE</v>
      </c>
      <c r="J556" s="51">
        <f>+_xlfn.XLOOKUP($H556&amp;$V556,BASEDATOS!$B:$B,BASEDATOS!Q:Q,0,0,1)</f>
        <v>0.79166666666666696</v>
      </c>
      <c r="K556" s="51">
        <f>+_xlfn.XLOOKUP($H556&amp;$V556,BASEDATOS!$B:$B,BASEDATOS!R:R,0,0,1)</f>
        <v>0.20833333333333301</v>
      </c>
      <c r="L556" s="51">
        <f t="shared" si="656"/>
        <v>0.41666666666666607</v>
      </c>
      <c r="M556" s="52" t="str">
        <f t="shared" si="657"/>
        <v>1:00</v>
      </c>
      <c r="N556" s="51">
        <f t="shared" si="658"/>
        <v>0.37499999999999939</v>
      </c>
      <c r="O556" s="53" t="str">
        <f t="shared" ref="O556" si="679">+O560</f>
        <v>2-2-3</v>
      </c>
      <c r="P556" s="54">
        <f>+IF(AND(Y556="Domingo",U556=7),_xlfn.XLOOKUP(O556,'Horarios y Sistemas'!C:C,'Horarios y Sistemas'!H:H,0,0,1),0)</f>
        <v>0</v>
      </c>
      <c r="Q556" s="54">
        <f>IF(U556=U557,0,IF(AVERAGEIF(W:W,W556,U:U)=U556,0,_xlfn.XLOOKUP(O556,'Horarios y Sistemas'!C:C,'Horarios y Sistemas'!H:H,0,0,1)-P556))/7*U556</f>
        <v>0</v>
      </c>
      <c r="R556" s="54">
        <f t="shared" si="660"/>
        <v>0</v>
      </c>
      <c r="S556" s="55" t="str">
        <f t="shared" si="661"/>
        <v>SEPTIEMBRE</v>
      </c>
      <c r="T556" s="55" t="str">
        <f t="shared" si="662"/>
        <v>Sem38</v>
      </c>
      <c r="U556" s="56">
        <f t="shared" si="629"/>
        <v>7</v>
      </c>
      <c r="V556" s="59">
        <v>46281</v>
      </c>
      <c r="W556" s="56">
        <f t="shared" si="663"/>
        <v>38</v>
      </c>
      <c r="X556" s="56">
        <f t="shared" si="664"/>
        <v>16</v>
      </c>
      <c r="Y556" s="56" t="s">
        <v>30</v>
      </c>
      <c r="Z556" s="56">
        <v>3</v>
      </c>
      <c r="AA556" s="58">
        <f t="shared" si="649"/>
        <v>0</v>
      </c>
      <c r="AB556" s="58">
        <f t="shared" si="649"/>
        <v>1</v>
      </c>
      <c r="AC556" s="58">
        <f t="shared" si="649"/>
        <v>0</v>
      </c>
      <c r="AD556" s="58">
        <f t="shared" si="649"/>
        <v>0</v>
      </c>
      <c r="AE556" s="58">
        <f t="shared" si="649"/>
        <v>0</v>
      </c>
    </row>
    <row r="557" spans="2:34">
      <c r="B557" t="str">
        <f t="shared" si="651"/>
        <v>Sem3838HECTOR RENE ALVIZUREZ MEJIA</v>
      </c>
      <c r="C557" t="str">
        <f t="shared" si="652"/>
        <v>SEPTIEMBRESem38</v>
      </c>
      <c r="D557" t="str">
        <f t="shared" si="653"/>
        <v>SEPTIEMBRESem38HECTOR RENE ALVIZUREZ MEJIA</v>
      </c>
      <c r="E557" t="str">
        <f t="shared" si="654"/>
        <v>SEPTIEMBRESem3838HECTOR RENE ALVIZUREZ MEJIA</v>
      </c>
      <c r="F557" t="str">
        <f t="shared" si="655"/>
        <v>HECTOR RENE ALVIZUREZ MEJIA46282</v>
      </c>
      <c r="H557" s="49" t="s">
        <v>14</v>
      </c>
      <c r="I557" s="50" t="str">
        <f>+_xlfn.XLOOKUP($H557&amp;$V557,BASEDATOS!$B:$B,BASEDATOS!F:F,0,0,1)</f>
        <v>NOCHE</v>
      </c>
      <c r="J557" s="51">
        <f>+_xlfn.XLOOKUP($H557&amp;$V557,BASEDATOS!$B:$B,BASEDATOS!Q:Q,0,0,1)</f>
        <v>0.79166666666666696</v>
      </c>
      <c r="K557" s="51">
        <f>+_xlfn.XLOOKUP($H557&amp;$V557,BASEDATOS!$B:$B,BASEDATOS!R:R,0,0,1)</f>
        <v>0.20833333333333301</v>
      </c>
      <c r="L557" s="51">
        <f t="shared" si="656"/>
        <v>0.41666666666666607</v>
      </c>
      <c r="M557" s="52" t="str">
        <f t="shared" si="657"/>
        <v>1:00</v>
      </c>
      <c r="N557" s="51">
        <f t="shared" si="658"/>
        <v>0.37499999999999939</v>
      </c>
      <c r="O557" s="53" t="str">
        <f t="shared" ref="O557" si="680">+O560</f>
        <v>2-2-3</v>
      </c>
      <c r="P557" s="54">
        <f>+IF(AND(Y557="Domingo",U557=7),_xlfn.XLOOKUP(O557,'Horarios y Sistemas'!C:C,'Horarios y Sistemas'!H:H,0,0,1),0)</f>
        <v>0</v>
      </c>
      <c r="Q557" s="54">
        <f>IF(U557=U558,0,IF(AVERAGEIF(W:W,W557,U:U)=U557,0,_xlfn.XLOOKUP(O557,'Horarios y Sistemas'!C:C,'Horarios y Sistemas'!H:H,0,0,1)-P557))/7*U557</f>
        <v>0</v>
      </c>
      <c r="R557" s="54">
        <f t="shared" si="660"/>
        <v>0</v>
      </c>
      <c r="S557" s="55" t="str">
        <f t="shared" si="661"/>
        <v>SEPTIEMBRE</v>
      </c>
      <c r="T557" s="55" t="str">
        <f t="shared" si="662"/>
        <v>Sem38</v>
      </c>
      <c r="U557" s="56">
        <f t="shared" si="629"/>
        <v>7</v>
      </c>
      <c r="V557" s="59">
        <v>46282</v>
      </c>
      <c r="W557" s="56">
        <f t="shared" si="663"/>
        <v>38</v>
      </c>
      <c r="X557" s="56">
        <f t="shared" si="664"/>
        <v>17</v>
      </c>
      <c r="Y557" s="56" t="s">
        <v>31</v>
      </c>
      <c r="Z557" s="56">
        <v>4</v>
      </c>
      <c r="AA557" s="58">
        <f t="shared" si="649"/>
        <v>0</v>
      </c>
      <c r="AB557" s="58">
        <f t="shared" si="649"/>
        <v>1</v>
      </c>
      <c r="AC557" s="58">
        <f t="shared" si="649"/>
        <v>0</v>
      </c>
      <c r="AD557" s="58">
        <f t="shared" si="649"/>
        <v>0</v>
      </c>
      <c r="AE557" s="58">
        <f t="shared" si="649"/>
        <v>0</v>
      </c>
    </row>
    <row r="558" spans="2:34">
      <c r="B558" t="str">
        <f t="shared" si="651"/>
        <v>Sem3838HECTOR RENE ALVIZUREZ MEJIA</v>
      </c>
      <c r="C558" t="str">
        <f t="shared" si="652"/>
        <v>SEPTIEMBRESem38</v>
      </c>
      <c r="D558" t="str">
        <f t="shared" si="653"/>
        <v>SEPTIEMBRESem38HECTOR RENE ALVIZUREZ MEJIA</v>
      </c>
      <c r="E558" t="str">
        <f t="shared" si="654"/>
        <v>SEPTIEMBRESem3838HECTOR RENE ALVIZUREZ MEJIA</v>
      </c>
      <c r="F558" t="str">
        <f t="shared" si="655"/>
        <v>HECTOR RENE ALVIZUREZ MEJIA46283</v>
      </c>
      <c r="H558" s="49" t="s">
        <v>14</v>
      </c>
      <c r="I558" s="50" t="str">
        <f>+_xlfn.XLOOKUP($H558&amp;$V558,BASEDATOS!$B:$B,BASEDATOS!F:F,0,0,1)</f>
        <v>DESCANSO</v>
      </c>
      <c r="J558" s="51">
        <f>+_xlfn.XLOOKUP($H558&amp;$V558,BASEDATOS!$B:$B,BASEDATOS!Q:Q,0,0,1)</f>
        <v>0</v>
      </c>
      <c r="K558" s="51">
        <f>+_xlfn.XLOOKUP($H558&amp;$V558,BASEDATOS!$B:$B,BASEDATOS!R:R,0,0,1)</f>
        <v>0</v>
      </c>
      <c r="L558" s="51">
        <f t="shared" si="656"/>
        <v>0</v>
      </c>
      <c r="M558" s="52">
        <f t="shared" si="657"/>
        <v>0</v>
      </c>
      <c r="N558" s="51">
        <f t="shared" si="658"/>
        <v>0</v>
      </c>
      <c r="O558" s="53" t="str">
        <f t="shared" ref="O558" si="681">+O560</f>
        <v>2-2-3</v>
      </c>
      <c r="P558" s="54">
        <f>+IF(AND(Y558="Domingo",U558=7),_xlfn.XLOOKUP(O558,'Horarios y Sistemas'!C:C,'Horarios y Sistemas'!H:H,0,0,1),0)</f>
        <v>0</v>
      </c>
      <c r="Q558" s="54">
        <f>IF(U558=U559,0,IF(AVERAGEIF(W:W,W558,U:U)=U558,0,_xlfn.XLOOKUP(O558,'Horarios y Sistemas'!C:C,'Horarios y Sistemas'!H:H,0,0,1)-P558))/7*U558</f>
        <v>0</v>
      </c>
      <c r="R558" s="54">
        <f t="shared" si="660"/>
        <v>0</v>
      </c>
      <c r="S558" s="55" t="str">
        <f t="shared" si="661"/>
        <v>SEPTIEMBRE</v>
      </c>
      <c r="T558" s="55" t="str">
        <f t="shared" si="662"/>
        <v>Sem38</v>
      </c>
      <c r="U558" s="56">
        <f t="shared" si="629"/>
        <v>7</v>
      </c>
      <c r="V558" s="59">
        <v>46283</v>
      </c>
      <c r="W558" s="56">
        <f t="shared" si="663"/>
        <v>38</v>
      </c>
      <c r="X558" s="56">
        <f t="shared" si="664"/>
        <v>18</v>
      </c>
      <c r="Y558" s="56" t="s">
        <v>32</v>
      </c>
      <c r="Z558" s="56">
        <v>5</v>
      </c>
      <c r="AA558" s="58">
        <f t="shared" si="649"/>
        <v>0</v>
      </c>
      <c r="AB558" s="58">
        <f t="shared" si="649"/>
        <v>0</v>
      </c>
      <c r="AC558" s="58">
        <f t="shared" si="649"/>
        <v>1</v>
      </c>
      <c r="AD558" s="58">
        <f t="shared" si="649"/>
        <v>0</v>
      </c>
      <c r="AE558" s="58">
        <f t="shared" si="649"/>
        <v>0</v>
      </c>
    </row>
    <row r="559" spans="2:34">
      <c r="B559" t="str">
        <f t="shared" si="651"/>
        <v>Sem3838HECTOR RENE ALVIZUREZ MEJIA</v>
      </c>
      <c r="C559" t="str">
        <f t="shared" si="652"/>
        <v>SEPTIEMBRESem38</v>
      </c>
      <c r="D559" t="str">
        <f t="shared" si="653"/>
        <v>SEPTIEMBRESem38HECTOR RENE ALVIZUREZ MEJIA</v>
      </c>
      <c r="E559" t="str">
        <f t="shared" si="654"/>
        <v>SEPTIEMBRESem3838HECTOR RENE ALVIZUREZ MEJIA</v>
      </c>
      <c r="F559" t="str">
        <f t="shared" si="655"/>
        <v>HECTOR RENE ALVIZUREZ MEJIA46284</v>
      </c>
      <c r="H559" s="49" t="s">
        <v>14</v>
      </c>
      <c r="I559" s="50" t="str">
        <f>+_xlfn.XLOOKUP($H559&amp;$V559,BASEDATOS!$B:$B,BASEDATOS!F:F,0,0,1)</f>
        <v>DIA</v>
      </c>
      <c r="J559" s="51">
        <f>+_xlfn.XLOOKUP($H559&amp;$V559,BASEDATOS!$B:$B,BASEDATOS!Q:Q,0,0,1)</f>
        <v>0.29166666666666702</v>
      </c>
      <c r="K559" s="51">
        <f>+_xlfn.XLOOKUP($H559&amp;$V559,BASEDATOS!$B:$B,BASEDATOS!R:R,0,0,1)</f>
        <v>0.5</v>
      </c>
      <c r="L559" s="51">
        <f t="shared" si="656"/>
        <v>0.20833333333333298</v>
      </c>
      <c r="M559" s="52" t="str">
        <f t="shared" si="657"/>
        <v>1:00</v>
      </c>
      <c r="N559" s="51">
        <f t="shared" si="658"/>
        <v>0.16666666666666632</v>
      </c>
      <c r="O559" s="53" t="str">
        <f t="shared" ref="O559" si="682">+O560</f>
        <v>2-2-3</v>
      </c>
      <c r="P559" s="54">
        <f>+IF(AND(Y559="Domingo",U559=7),_xlfn.XLOOKUP(O559,'Horarios y Sistemas'!C:C,'Horarios y Sistemas'!H:H,0,0,1),0)</f>
        <v>0</v>
      </c>
      <c r="Q559" s="54">
        <f>IF(U559=U560,0,IF(AVERAGEIF(W:W,W559,U:U)=U559,0,_xlfn.XLOOKUP(O559,'Horarios y Sistemas'!C:C,'Horarios y Sistemas'!H:H,0,0,1)-P559))/7*U559</f>
        <v>0</v>
      </c>
      <c r="R559" s="54">
        <f t="shared" si="660"/>
        <v>0</v>
      </c>
      <c r="S559" s="55" t="str">
        <f t="shared" si="661"/>
        <v>SEPTIEMBRE</v>
      </c>
      <c r="T559" s="55" t="str">
        <f t="shared" si="662"/>
        <v>Sem38</v>
      </c>
      <c r="U559" s="56">
        <f t="shared" si="629"/>
        <v>7</v>
      </c>
      <c r="V559" s="59">
        <v>46284</v>
      </c>
      <c r="W559" s="56">
        <f t="shared" si="663"/>
        <v>38</v>
      </c>
      <c r="X559" s="56">
        <f t="shared" si="664"/>
        <v>19</v>
      </c>
      <c r="Y559" s="56" t="s">
        <v>33</v>
      </c>
      <c r="Z559" s="56">
        <v>6</v>
      </c>
      <c r="AA559" s="58">
        <f t="shared" si="649"/>
        <v>1</v>
      </c>
      <c r="AB559" s="58">
        <f t="shared" si="649"/>
        <v>0</v>
      </c>
      <c r="AC559" s="58">
        <f t="shared" si="649"/>
        <v>0</v>
      </c>
      <c r="AD559" s="58">
        <f t="shared" si="649"/>
        <v>0</v>
      </c>
      <c r="AE559" s="58">
        <f t="shared" si="649"/>
        <v>0</v>
      </c>
    </row>
    <row r="560" spans="2:34" s="60" customFormat="1">
      <c r="B560" s="60" t="str">
        <f t="shared" si="651"/>
        <v>Sem3838HECTOR RENE ALVIZUREZ MEJIA</v>
      </c>
      <c r="C560" s="60" t="str">
        <f t="shared" si="652"/>
        <v>SEPTIEMBRESem38</v>
      </c>
      <c r="D560" s="60" t="str">
        <f t="shared" si="653"/>
        <v>SEPTIEMBRESem38HECTOR RENE ALVIZUREZ MEJIA</v>
      </c>
      <c r="E560" s="60" t="str">
        <f t="shared" si="654"/>
        <v>SEPTIEMBRESem3838HECTOR RENE ALVIZUREZ MEJIA</v>
      </c>
      <c r="F560" s="60" t="str">
        <f t="shared" si="655"/>
        <v>HECTOR RENE ALVIZUREZ MEJIA46285</v>
      </c>
      <c r="H560" s="61" t="s">
        <v>14</v>
      </c>
      <c r="I560" s="62" t="str">
        <f>+_xlfn.XLOOKUP($H560&amp;$V560,BASEDATOS!$B:$B,BASEDATOS!F:F,0,0,1)</f>
        <v>DESCANSO</v>
      </c>
      <c r="J560" s="63">
        <f>+_xlfn.XLOOKUP($H560&amp;$V560,BASEDATOS!$B:$B,BASEDATOS!Q:Q,0,0,1)</f>
        <v>0</v>
      </c>
      <c r="K560" s="63">
        <f>+_xlfn.XLOOKUP($H560&amp;$V560,BASEDATOS!$B:$B,BASEDATOS!R:R,0,0,1)</f>
        <v>0</v>
      </c>
      <c r="L560" s="63">
        <f t="shared" si="656"/>
        <v>0</v>
      </c>
      <c r="M560" s="64">
        <f t="shared" si="657"/>
        <v>0</v>
      </c>
      <c r="N560" s="63">
        <f t="shared" si="658"/>
        <v>0</v>
      </c>
      <c r="O560" s="65" t="str">
        <f t="shared" ref="O560" si="683">+IF(Y560="Domingo",SUM(AA554:AA560)&amp;"-"&amp;SUM(AB554:AB560)&amp;"-"&amp;SUM(AC554:AE560),"")</f>
        <v>2-2-3</v>
      </c>
      <c r="P560" s="66">
        <f>+IF(AND(Y560="Domingo",U560=7),_xlfn.XLOOKUP(O560,'Horarios y Sistemas'!C:C,'Horarios y Sistemas'!H:H,0,0,1),0)</f>
        <v>40</v>
      </c>
      <c r="Q560" s="66">
        <f>IF(U560=U561,0,IF(AVERAGEIF(W:W,W560,U:U)=U560,0,_xlfn.XLOOKUP(O560,'Horarios y Sistemas'!C:C,'Horarios y Sistemas'!H:H,0,0,1)-P560))/7*U560</f>
        <v>0</v>
      </c>
      <c r="R560" s="66">
        <f t="shared" si="660"/>
        <v>40</v>
      </c>
      <c r="S560" s="67" t="str">
        <f t="shared" si="661"/>
        <v>SEPTIEMBRE</v>
      </c>
      <c r="T560" s="55" t="str">
        <f t="shared" si="662"/>
        <v>Sem38</v>
      </c>
      <c r="U560" s="68">
        <f t="shared" si="629"/>
        <v>7</v>
      </c>
      <c r="V560" s="69">
        <v>46285</v>
      </c>
      <c r="W560" s="68">
        <f t="shared" si="663"/>
        <v>38</v>
      </c>
      <c r="X560" s="68">
        <f t="shared" si="664"/>
        <v>20</v>
      </c>
      <c r="Y560" s="68" t="s">
        <v>34</v>
      </c>
      <c r="Z560" s="68">
        <v>7</v>
      </c>
      <c r="AA560" s="70">
        <f t="shared" si="649"/>
        <v>0</v>
      </c>
      <c r="AB560" s="70">
        <f t="shared" si="649"/>
        <v>0</v>
      </c>
      <c r="AC560" s="70">
        <f t="shared" si="649"/>
        <v>1</v>
      </c>
      <c r="AD560" s="70">
        <f t="shared" si="649"/>
        <v>0</v>
      </c>
      <c r="AE560" s="70">
        <f t="shared" si="649"/>
        <v>0</v>
      </c>
      <c r="AF560" s="71"/>
      <c r="AG560" s="71"/>
      <c r="AH560" s="71"/>
    </row>
    <row r="561" spans="2:34">
      <c r="B561" t="str">
        <f t="shared" si="651"/>
        <v>Sem3939HECTOR RENE ALVIZUREZ MEJIA</v>
      </c>
      <c r="C561" t="str">
        <f t="shared" si="652"/>
        <v>SEPTIEMBRESem39</v>
      </c>
      <c r="D561" t="str">
        <f t="shared" si="653"/>
        <v>SEPTIEMBRESem39HECTOR RENE ALVIZUREZ MEJIA</v>
      </c>
      <c r="E561" t="str">
        <f t="shared" si="654"/>
        <v>SEPTIEMBRESem3939HECTOR RENE ALVIZUREZ MEJIA</v>
      </c>
      <c r="F561" t="str">
        <f t="shared" si="655"/>
        <v>HECTOR RENE ALVIZUREZ MEJIA46286</v>
      </c>
      <c r="H561" s="49" t="s">
        <v>14</v>
      </c>
      <c r="I561" s="50" t="str">
        <f>+_xlfn.XLOOKUP($H561&amp;$V561,BASEDATOS!$B:$B,BASEDATOS!F:F,0,0,1)</f>
        <v>DIA</v>
      </c>
      <c r="J561" s="51">
        <f>+_xlfn.XLOOKUP($H561&amp;$V561,BASEDATOS!$B:$B,BASEDATOS!Q:Q,0,0,1)</f>
        <v>0.29166666666666702</v>
      </c>
      <c r="K561" s="51">
        <f>+_xlfn.XLOOKUP($H561&amp;$V561,BASEDATOS!$B:$B,BASEDATOS!R:R,0,0,1)</f>
        <v>0.66666666666666696</v>
      </c>
      <c r="L561" s="51">
        <f t="shared" si="656"/>
        <v>0.37499999999999994</v>
      </c>
      <c r="M561" s="52" t="str">
        <f t="shared" si="657"/>
        <v>1:00</v>
      </c>
      <c r="N561" s="51">
        <f t="shared" si="658"/>
        <v>0.33333333333333326</v>
      </c>
      <c r="O561" s="53" t="str">
        <f t="shared" ref="O561" si="684">+O567</f>
        <v>6-0-1</v>
      </c>
      <c r="P561" s="54">
        <f>+IF(AND(Y561="Domingo",U561=7),_xlfn.XLOOKUP(O561,'Horarios y Sistemas'!C:C,'Horarios y Sistemas'!H:H,0,0,1),0)</f>
        <v>0</v>
      </c>
      <c r="Q561" s="54">
        <f>IF(U561=U562,0,IF(AVERAGEIF(W:W,W561,U:U)=U561,0,_xlfn.XLOOKUP(O561,'Horarios y Sistemas'!C:C,'Horarios y Sistemas'!H:H,0,0,1)-P561))/7*U561</f>
        <v>0</v>
      </c>
      <c r="R561" s="54">
        <f t="shared" si="660"/>
        <v>0</v>
      </c>
      <c r="S561" s="55" t="str">
        <f t="shared" si="661"/>
        <v>SEPTIEMBRE</v>
      </c>
      <c r="T561" s="55" t="str">
        <f t="shared" si="662"/>
        <v>Sem39</v>
      </c>
      <c r="U561" s="56">
        <f t="shared" si="629"/>
        <v>7</v>
      </c>
      <c r="V561" s="59">
        <v>46286</v>
      </c>
      <c r="W561" s="56">
        <f t="shared" si="663"/>
        <v>39</v>
      </c>
      <c r="X561" s="56">
        <f t="shared" si="664"/>
        <v>21</v>
      </c>
      <c r="Y561" s="56" t="s">
        <v>28</v>
      </c>
      <c r="Z561" s="56">
        <v>1</v>
      </c>
      <c r="AA561" s="58">
        <f t="shared" si="649"/>
        <v>1</v>
      </c>
      <c r="AB561" s="58">
        <f t="shared" si="649"/>
        <v>0</v>
      </c>
      <c r="AC561" s="58">
        <f t="shared" si="649"/>
        <v>0</v>
      </c>
      <c r="AD561" s="58">
        <f t="shared" si="649"/>
        <v>0</v>
      </c>
      <c r="AE561" s="58">
        <f t="shared" si="649"/>
        <v>0</v>
      </c>
    </row>
    <row r="562" spans="2:34">
      <c r="B562" t="str">
        <f t="shared" si="651"/>
        <v>Sem3939HECTOR RENE ALVIZUREZ MEJIA</v>
      </c>
      <c r="C562" t="str">
        <f t="shared" si="652"/>
        <v>SEPTIEMBRESem39</v>
      </c>
      <c r="D562" t="str">
        <f t="shared" si="653"/>
        <v>SEPTIEMBRESem39HECTOR RENE ALVIZUREZ MEJIA</v>
      </c>
      <c r="E562" t="str">
        <f t="shared" si="654"/>
        <v>SEPTIEMBRESem3939HECTOR RENE ALVIZUREZ MEJIA</v>
      </c>
      <c r="F562" t="str">
        <f t="shared" si="655"/>
        <v>HECTOR RENE ALVIZUREZ MEJIA46287</v>
      </c>
      <c r="H562" s="49" t="s">
        <v>14</v>
      </c>
      <c r="I562" s="50" t="str">
        <f>+_xlfn.XLOOKUP($H562&amp;$V562,BASEDATOS!$B:$B,BASEDATOS!F:F,0,0,1)</f>
        <v>DIA</v>
      </c>
      <c r="J562" s="51">
        <f>+_xlfn.XLOOKUP($H562&amp;$V562,BASEDATOS!$B:$B,BASEDATOS!Q:Q,0,0,1)</f>
        <v>0.29166666666666702</v>
      </c>
      <c r="K562" s="51">
        <f>+_xlfn.XLOOKUP($H562&amp;$V562,BASEDATOS!$B:$B,BASEDATOS!R:R,0,0,1)</f>
        <v>0.66666666666666696</v>
      </c>
      <c r="L562" s="51">
        <f t="shared" si="656"/>
        <v>0.37499999999999994</v>
      </c>
      <c r="M562" s="52" t="str">
        <f t="shared" si="657"/>
        <v>1:00</v>
      </c>
      <c r="N562" s="51">
        <f t="shared" si="658"/>
        <v>0.33333333333333326</v>
      </c>
      <c r="O562" s="53" t="str">
        <f t="shared" ref="O562" si="685">+O567</f>
        <v>6-0-1</v>
      </c>
      <c r="P562" s="54">
        <f>+IF(AND(Y562="Domingo",U562=7),_xlfn.XLOOKUP(O562,'Horarios y Sistemas'!C:C,'Horarios y Sistemas'!H:H,0,0,1),0)</f>
        <v>0</v>
      </c>
      <c r="Q562" s="54">
        <f>IF(U562=U563,0,IF(AVERAGEIF(W:W,W562,U:U)=U562,0,_xlfn.XLOOKUP(O562,'Horarios y Sistemas'!C:C,'Horarios y Sistemas'!H:H,0,0,1)-P562))/7*U562</f>
        <v>0</v>
      </c>
      <c r="R562" s="54">
        <f t="shared" si="660"/>
        <v>0</v>
      </c>
      <c r="S562" s="55" t="str">
        <f t="shared" si="661"/>
        <v>SEPTIEMBRE</v>
      </c>
      <c r="T562" s="55" t="str">
        <f t="shared" si="662"/>
        <v>Sem39</v>
      </c>
      <c r="U562" s="56">
        <f t="shared" si="629"/>
        <v>7</v>
      </c>
      <c r="V562" s="59">
        <v>46287</v>
      </c>
      <c r="W562" s="56">
        <f t="shared" si="663"/>
        <v>39</v>
      </c>
      <c r="X562" s="56">
        <f t="shared" si="664"/>
        <v>22</v>
      </c>
      <c r="Y562" s="56" t="s">
        <v>29</v>
      </c>
      <c r="Z562" s="56">
        <v>2</v>
      </c>
      <c r="AA562" s="58">
        <f t="shared" si="649"/>
        <v>1</v>
      </c>
      <c r="AB562" s="58">
        <f t="shared" si="649"/>
        <v>0</v>
      </c>
      <c r="AC562" s="58">
        <f t="shared" si="649"/>
        <v>0</v>
      </c>
      <c r="AD562" s="58">
        <f t="shared" si="649"/>
        <v>0</v>
      </c>
      <c r="AE562" s="58">
        <f t="shared" si="649"/>
        <v>0</v>
      </c>
    </row>
    <row r="563" spans="2:34">
      <c r="B563" t="str">
        <f t="shared" si="651"/>
        <v>Sem3939HECTOR RENE ALVIZUREZ MEJIA</v>
      </c>
      <c r="C563" t="str">
        <f t="shared" si="652"/>
        <v>SEPTIEMBRESem39</v>
      </c>
      <c r="D563" t="str">
        <f t="shared" si="653"/>
        <v>SEPTIEMBRESem39HECTOR RENE ALVIZUREZ MEJIA</v>
      </c>
      <c r="E563" t="str">
        <f t="shared" si="654"/>
        <v>SEPTIEMBRESem3939HECTOR RENE ALVIZUREZ MEJIA</v>
      </c>
      <c r="F563" t="str">
        <f t="shared" si="655"/>
        <v>HECTOR RENE ALVIZUREZ MEJIA46288</v>
      </c>
      <c r="H563" s="49" t="s">
        <v>14</v>
      </c>
      <c r="I563" s="50" t="str">
        <f>+_xlfn.XLOOKUP($H563&amp;$V563,BASEDATOS!$B:$B,BASEDATOS!F:F,0,0,1)</f>
        <v>DIA</v>
      </c>
      <c r="J563" s="51">
        <f>+_xlfn.XLOOKUP($H563&amp;$V563,BASEDATOS!$B:$B,BASEDATOS!Q:Q,0,0,1)</f>
        <v>0.29166666666666702</v>
      </c>
      <c r="K563" s="51">
        <f>+_xlfn.XLOOKUP($H563&amp;$V563,BASEDATOS!$B:$B,BASEDATOS!R:R,0,0,1)</f>
        <v>0.66666666666666696</v>
      </c>
      <c r="L563" s="51">
        <f t="shared" si="656"/>
        <v>0.37499999999999994</v>
      </c>
      <c r="M563" s="52" t="str">
        <f t="shared" si="657"/>
        <v>1:00</v>
      </c>
      <c r="N563" s="51">
        <f t="shared" si="658"/>
        <v>0.33333333333333326</v>
      </c>
      <c r="O563" s="53" t="str">
        <f t="shared" ref="O563" si="686">+O567</f>
        <v>6-0-1</v>
      </c>
      <c r="P563" s="54">
        <f>+IF(AND(Y563="Domingo",U563=7),_xlfn.XLOOKUP(O563,'Horarios y Sistemas'!C:C,'Horarios y Sistemas'!H:H,0,0,1),0)</f>
        <v>0</v>
      </c>
      <c r="Q563" s="54">
        <f>IF(U563=U564,0,IF(AVERAGEIF(W:W,W563,U:U)=U563,0,_xlfn.XLOOKUP(O563,'Horarios y Sistemas'!C:C,'Horarios y Sistemas'!H:H,0,0,1)-P563))/7*U563</f>
        <v>0</v>
      </c>
      <c r="R563" s="54">
        <f t="shared" si="660"/>
        <v>0</v>
      </c>
      <c r="S563" s="55" t="str">
        <f t="shared" si="661"/>
        <v>SEPTIEMBRE</v>
      </c>
      <c r="T563" s="55" t="str">
        <f t="shared" si="662"/>
        <v>Sem39</v>
      </c>
      <c r="U563" s="56">
        <f t="shared" si="629"/>
        <v>7</v>
      </c>
      <c r="V563" s="59">
        <v>46288</v>
      </c>
      <c r="W563" s="56">
        <f t="shared" si="663"/>
        <v>39</v>
      </c>
      <c r="X563" s="56">
        <f t="shared" si="664"/>
        <v>23</v>
      </c>
      <c r="Y563" s="56" t="s">
        <v>30</v>
      </c>
      <c r="Z563" s="56">
        <v>3</v>
      </c>
      <c r="AA563" s="58">
        <f t="shared" si="649"/>
        <v>1</v>
      </c>
      <c r="AB563" s="58">
        <f t="shared" si="649"/>
        <v>0</v>
      </c>
      <c r="AC563" s="58">
        <f t="shared" si="649"/>
        <v>0</v>
      </c>
      <c r="AD563" s="58">
        <f t="shared" si="649"/>
        <v>0</v>
      </c>
      <c r="AE563" s="58">
        <f t="shared" si="649"/>
        <v>0</v>
      </c>
    </row>
    <row r="564" spans="2:34">
      <c r="B564" t="str">
        <f t="shared" si="651"/>
        <v>Sem3939HECTOR RENE ALVIZUREZ MEJIA</v>
      </c>
      <c r="C564" t="str">
        <f t="shared" si="652"/>
        <v>SEPTIEMBRESem39</v>
      </c>
      <c r="D564" t="str">
        <f t="shared" si="653"/>
        <v>SEPTIEMBRESem39HECTOR RENE ALVIZUREZ MEJIA</v>
      </c>
      <c r="E564" t="str">
        <f t="shared" si="654"/>
        <v>SEPTIEMBRESem3939HECTOR RENE ALVIZUREZ MEJIA</v>
      </c>
      <c r="F564" t="str">
        <f t="shared" si="655"/>
        <v>HECTOR RENE ALVIZUREZ MEJIA46289</v>
      </c>
      <c r="H564" s="49" t="s">
        <v>14</v>
      </c>
      <c r="I564" s="50" t="str">
        <f>+_xlfn.XLOOKUP($H564&amp;$V564,BASEDATOS!$B:$B,BASEDATOS!F:F,0,0,1)</f>
        <v>DIA</v>
      </c>
      <c r="J564" s="51">
        <f>+_xlfn.XLOOKUP($H564&amp;$V564,BASEDATOS!$B:$B,BASEDATOS!Q:Q,0,0,1)</f>
        <v>0.375</v>
      </c>
      <c r="K564" s="51">
        <f>+_xlfn.XLOOKUP($H564&amp;$V564,BASEDATOS!$B:$B,BASEDATOS!R:R,0,0,1)</f>
        <v>0.75</v>
      </c>
      <c r="L564" s="51">
        <f t="shared" si="656"/>
        <v>0.375</v>
      </c>
      <c r="M564" s="52" t="str">
        <f t="shared" si="657"/>
        <v>1:00</v>
      </c>
      <c r="N564" s="51">
        <f t="shared" si="658"/>
        <v>0.33333333333333331</v>
      </c>
      <c r="O564" s="53" t="str">
        <f t="shared" ref="O564" si="687">+O567</f>
        <v>6-0-1</v>
      </c>
      <c r="P564" s="54">
        <f>+IF(AND(Y564="Domingo",U564=7),_xlfn.XLOOKUP(O564,'Horarios y Sistemas'!C:C,'Horarios y Sistemas'!H:H,0,0,1),0)</f>
        <v>0</v>
      </c>
      <c r="Q564" s="54">
        <f>IF(U564=U565,0,IF(AVERAGEIF(W:W,W564,U:U)=U564,0,_xlfn.XLOOKUP(O564,'Horarios y Sistemas'!C:C,'Horarios y Sistemas'!H:H,0,0,1)-P564))/7*U564</f>
        <v>0</v>
      </c>
      <c r="R564" s="54">
        <f t="shared" si="660"/>
        <v>0</v>
      </c>
      <c r="S564" s="55" t="str">
        <f t="shared" si="661"/>
        <v>SEPTIEMBRE</v>
      </c>
      <c r="T564" s="55" t="str">
        <f t="shared" si="662"/>
        <v>Sem39</v>
      </c>
      <c r="U564" s="56">
        <f t="shared" si="629"/>
        <v>7</v>
      </c>
      <c r="V564" s="59">
        <v>46289</v>
      </c>
      <c r="W564" s="56">
        <f t="shared" si="663"/>
        <v>39</v>
      </c>
      <c r="X564" s="56">
        <f t="shared" si="664"/>
        <v>24</v>
      </c>
      <c r="Y564" s="56" t="s">
        <v>31</v>
      </c>
      <c r="Z564" s="56">
        <v>4</v>
      </c>
      <c r="AA564" s="58">
        <f t="shared" si="649"/>
        <v>1</v>
      </c>
      <c r="AB564" s="58">
        <f t="shared" si="649"/>
        <v>0</v>
      </c>
      <c r="AC564" s="58">
        <f t="shared" si="649"/>
        <v>0</v>
      </c>
      <c r="AD564" s="58">
        <f t="shared" si="649"/>
        <v>0</v>
      </c>
      <c r="AE564" s="58">
        <f t="shared" si="649"/>
        <v>0</v>
      </c>
    </row>
    <row r="565" spans="2:34">
      <c r="B565" t="str">
        <f t="shared" si="651"/>
        <v>Sem3939HECTOR RENE ALVIZUREZ MEJIA</v>
      </c>
      <c r="C565" t="str">
        <f t="shared" si="652"/>
        <v>SEPTIEMBRESem39</v>
      </c>
      <c r="D565" t="str">
        <f t="shared" si="653"/>
        <v>SEPTIEMBRESem39HECTOR RENE ALVIZUREZ MEJIA</v>
      </c>
      <c r="E565" t="str">
        <f t="shared" si="654"/>
        <v>SEPTIEMBRESem3939HECTOR RENE ALVIZUREZ MEJIA</v>
      </c>
      <c r="F565" t="str">
        <f t="shared" si="655"/>
        <v>HECTOR RENE ALVIZUREZ MEJIA46290</v>
      </c>
      <c r="H565" s="49" t="s">
        <v>14</v>
      </c>
      <c r="I565" s="50" t="str">
        <f>+_xlfn.XLOOKUP($H565&amp;$V565,BASEDATOS!$B:$B,BASEDATOS!F:F,0,0,1)</f>
        <v>DIA</v>
      </c>
      <c r="J565" s="51">
        <f>+_xlfn.XLOOKUP($H565&amp;$V565,BASEDATOS!$B:$B,BASEDATOS!Q:Q,0,0,1)</f>
        <v>0.29166666666666702</v>
      </c>
      <c r="K565" s="51">
        <f>+_xlfn.XLOOKUP($H565&amp;$V565,BASEDATOS!$B:$B,BASEDATOS!R:R,0,0,1)</f>
        <v>0.66666666666666696</v>
      </c>
      <c r="L565" s="51">
        <f t="shared" si="656"/>
        <v>0.37499999999999994</v>
      </c>
      <c r="M565" s="52" t="str">
        <f t="shared" si="657"/>
        <v>1:00</v>
      </c>
      <c r="N565" s="51">
        <f t="shared" si="658"/>
        <v>0.33333333333333326</v>
      </c>
      <c r="O565" s="53" t="str">
        <f t="shared" ref="O565" si="688">+O567</f>
        <v>6-0-1</v>
      </c>
      <c r="P565" s="54">
        <f>+IF(AND(Y565="Domingo",U565=7),_xlfn.XLOOKUP(O565,'Horarios y Sistemas'!C:C,'Horarios y Sistemas'!H:H,0,0,1),0)</f>
        <v>0</v>
      </c>
      <c r="Q565" s="54">
        <f>IF(U565=U566,0,IF(AVERAGEIF(W:W,W565,U:U)=U565,0,_xlfn.XLOOKUP(O565,'Horarios y Sistemas'!C:C,'Horarios y Sistemas'!H:H,0,0,1)-P565))/7*U565</f>
        <v>0</v>
      </c>
      <c r="R565" s="54">
        <f t="shared" si="660"/>
        <v>0</v>
      </c>
      <c r="S565" s="55" t="str">
        <f t="shared" si="661"/>
        <v>SEPTIEMBRE</v>
      </c>
      <c r="T565" s="55" t="str">
        <f t="shared" si="662"/>
        <v>Sem39</v>
      </c>
      <c r="U565" s="56">
        <f t="shared" si="629"/>
        <v>7</v>
      </c>
      <c r="V565" s="59">
        <v>46290</v>
      </c>
      <c r="W565" s="56">
        <f t="shared" si="663"/>
        <v>39</v>
      </c>
      <c r="X565" s="56">
        <f t="shared" si="664"/>
        <v>25</v>
      </c>
      <c r="Y565" s="56" t="s">
        <v>32</v>
      </c>
      <c r="Z565" s="56">
        <v>5</v>
      </c>
      <c r="AA565" s="58">
        <f t="shared" si="649"/>
        <v>1</v>
      </c>
      <c r="AB565" s="58">
        <f t="shared" si="649"/>
        <v>0</v>
      </c>
      <c r="AC565" s="58">
        <f t="shared" si="649"/>
        <v>0</v>
      </c>
      <c r="AD565" s="58">
        <f t="shared" si="649"/>
        <v>0</v>
      </c>
      <c r="AE565" s="58">
        <f t="shared" si="649"/>
        <v>0</v>
      </c>
    </row>
    <row r="566" spans="2:34">
      <c r="B566" t="str">
        <f t="shared" si="651"/>
        <v>Sem3939HECTOR RENE ALVIZUREZ MEJIA</v>
      </c>
      <c r="C566" t="str">
        <f t="shared" si="652"/>
        <v>SEPTIEMBRESem39</v>
      </c>
      <c r="D566" t="str">
        <f t="shared" si="653"/>
        <v>SEPTIEMBRESem39HECTOR RENE ALVIZUREZ MEJIA</v>
      </c>
      <c r="E566" t="str">
        <f t="shared" si="654"/>
        <v>SEPTIEMBRESem3939HECTOR RENE ALVIZUREZ MEJIA</v>
      </c>
      <c r="F566" t="str">
        <f t="shared" si="655"/>
        <v>HECTOR RENE ALVIZUREZ MEJIA46291</v>
      </c>
      <c r="H566" s="49" t="s">
        <v>14</v>
      </c>
      <c r="I566" s="50" t="str">
        <f>+_xlfn.XLOOKUP($H566&amp;$V566,BASEDATOS!$B:$B,BASEDATOS!F:F,0,0,1)</f>
        <v>DIA</v>
      </c>
      <c r="J566" s="51">
        <f>+_xlfn.XLOOKUP($H566&amp;$V566,BASEDATOS!$B:$B,BASEDATOS!Q:Q,0,0,1)</f>
        <v>0.29166666666666702</v>
      </c>
      <c r="K566" s="51">
        <f>+_xlfn.XLOOKUP($H566&amp;$V566,BASEDATOS!$B:$B,BASEDATOS!R:R,0,0,1)</f>
        <v>0.5</v>
      </c>
      <c r="L566" s="51">
        <f t="shared" si="656"/>
        <v>0.20833333333333298</v>
      </c>
      <c r="M566" s="52" t="str">
        <f t="shared" si="657"/>
        <v>1:00</v>
      </c>
      <c r="N566" s="51">
        <f t="shared" si="658"/>
        <v>0.16666666666666632</v>
      </c>
      <c r="O566" s="53" t="str">
        <f t="shared" ref="O566" si="689">+O567</f>
        <v>6-0-1</v>
      </c>
      <c r="P566" s="54">
        <f>+IF(AND(Y566="Domingo",U566=7),_xlfn.XLOOKUP(O566,'Horarios y Sistemas'!C:C,'Horarios y Sistemas'!H:H,0,0,1),0)</f>
        <v>0</v>
      </c>
      <c r="Q566" s="54">
        <f>IF(U566=U567,0,IF(AVERAGEIF(W:W,W566,U:U)=U566,0,_xlfn.XLOOKUP(O566,'Horarios y Sistemas'!C:C,'Horarios y Sistemas'!H:H,0,0,1)-P566))/7*U566</f>
        <v>0</v>
      </c>
      <c r="R566" s="54">
        <f t="shared" si="660"/>
        <v>0</v>
      </c>
      <c r="S566" s="55" t="str">
        <f t="shared" si="661"/>
        <v>SEPTIEMBRE</v>
      </c>
      <c r="T566" s="55" t="str">
        <f t="shared" si="662"/>
        <v>Sem39</v>
      </c>
      <c r="U566" s="56">
        <f t="shared" si="629"/>
        <v>7</v>
      </c>
      <c r="V566" s="59">
        <v>46291</v>
      </c>
      <c r="W566" s="56">
        <f t="shared" si="663"/>
        <v>39</v>
      </c>
      <c r="X566" s="56">
        <f t="shared" si="664"/>
        <v>26</v>
      </c>
      <c r="Y566" s="56" t="s">
        <v>33</v>
      </c>
      <c r="Z566" s="56">
        <v>6</v>
      </c>
      <c r="AA566" s="58">
        <f t="shared" si="649"/>
        <v>1</v>
      </c>
      <c r="AB566" s="58">
        <f t="shared" si="649"/>
        <v>0</v>
      </c>
      <c r="AC566" s="58">
        <f t="shared" si="649"/>
        <v>0</v>
      </c>
      <c r="AD566" s="58">
        <f t="shared" si="649"/>
        <v>0</v>
      </c>
      <c r="AE566" s="58">
        <f t="shared" si="649"/>
        <v>0</v>
      </c>
    </row>
    <row r="567" spans="2:34" s="60" customFormat="1">
      <c r="B567" s="60" t="str">
        <f t="shared" si="651"/>
        <v>Sem3939HECTOR RENE ALVIZUREZ MEJIA</v>
      </c>
      <c r="C567" s="60" t="str">
        <f t="shared" si="652"/>
        <v>SEPTIEMBRESem39</v>
      </c>
      <c r="D567" s="60" t="str">
        <f t="shared" si="653"/>
        <v>SEPTIEMBRESem39HECTOR RENE ALVIZUREZ MEJIA</v>
      </c>
      <c r="E567" s="60" t="str">
        <f t="shared" si="654"/>
        <v>SEPTIEMBRESem3939HECTOR RENE ALVIZUREZ MEJIA</v>
      </c>
      <c r="F567" s="60" t="str">
        <f t="shared" si="655"/>
        <v>HECTOR RENE ALVIZUREZ MEJIA46292</v>
      </c>
      <c r="H567" s="61" t="s">
        <v>14</v>
      </c>
      <c r="I567" s="62" t="str">
        <f>+_xlfn.XLOOKUP($H567&amp;$V567,BASEDATOS!$B:$B,BASEDATOS!F:F,0,0,1)</f>
        <v>DESCANSO</v>
      </c>
      <c r="J567" s="63">
        <f>+_xlfn.XLOOKUP($H567&amp;$V567,BASEDATOS!$B:$B,BASEDATOS!Q:Q,0,0,1)</f>
        <v>0</v>
      </c>
      <c r="K567" s="63">
        <f>+_xlfn.XLOOKUP($H567&amp;$V567,BASEDATOS!$B:$B,BASEDATOS!R:R,0,0,1)</f>
        <v>0</v>
      </c>
      <c r="L567" s="63">
        <f t="shared" si="656"/>
        <v>0</v>
      </c>
      <c r="M567" s="64">
        <f t="shared" si="657"/>
        <v>0</v>
      </c>
      <c r="N567" s="63">
        <f t="shared" si="658"/>
        <v>0</v>
      </c>
      <c r="O567" s="65" t="str">
        <f t="shared" ref="O567" si="690">+IF(Y567="Domingo",SUM(AA561:AA567)&amp;"-"&amp;SUM(AB561:AB567)&amp;"-"&amp;SUM(AC561:AE567),"")</f>
        <v>6-0-1</v>
      </c>
      <c r="P567" s="66">
        <f>+IF(AND(Y567="Domingo",U567=7),_xlfn.XLOOKUP(O567,'Horarios y Sistemas'!C:C,'Horarios y Sistemas'!H:H,0,0,1),0)</f>
        <v>44</v>
      </c>
      <c r="Q567" s="66">
        <f>IF(U567=U568,0,IF(AVERAGEIF(W:W,W567,U:U)=U567,0,_xlfn.XLOOKUP(O567,'Horarios y Sistemas'!C:C,'Horarios y Sistemas'!H:H,0,0,1)-P567))/7*U567</f>
        <v>0</v>
      </c>
      <c r="R567" s="66">
        <f t="shared" si="660"/>
        <v>44</v>
      </c>
      <c r="S567" s="67" t="str">
        <f t="shared" si="661"/>
        <v>SEPTIEMBRE</v>
      </c>
      <c r="T567" s="55" t="str">
        <f t="shared" si="662"/>
        <v>Sem39</v>
      </c>
      <c r="U567" s="68">
        <f t="shared" si="629"/>
        <v>7</v>
      </c>
      <c r="V567" s="69">
        <v>46292</v>
      </c>
      <c r="W567" s="68">
        <f t="shared" si="663"/>
        <v>39</v>
      </c>
      <c r="X567" s="68">
        <f t="shared" si="664"/>
        <v>27</v>
      </c>
      <c r="Y567" s="68" t="s">
        <v>34</v>
      </c>
      <c r="Z567" s="68">
        <v>7</v>
      </c>
      <c r="AA567" s="70">
        <f t="shared" si="649"/>
        <v>0</v>
      </c>
      <c r="AB567" s="70">
        <f t="shared" si="649"/>
        <v>0</v>
      </c>
      <c r="AC567" s="70">
        <f t="shared" si="649"/>
        <v>1</v>
      </c>
      <c r="AD567" s="70">
        <f t="shared" si="649"/>
        <v>0</v>
      </c>
      <c r="AE567" s="70">
        <f t="shared" si="649"/>
        <v>0</v>
      </c>
      <c r="AF567" s="71"/>
      <c r="AG567" s="71"/>
      <c r="AH567" s="71"/>
    </row>
    <row r="568" spans="2:34">
      <c r="B568" t="str">
        <f t="shared" si="651"/>
        <v>Sem4040HECTOR RENE ALVIZUREZ MEJIA</v>
      </c>
      <c r="C568" t="str">
        <f t="shared" si="652"/>
        <v>SEPTIEMBRESem40</v>
      </c>
      <c r="D568" t="str">
        <f t="shared" si="653"/>
        <v>SEPTIEMBRESem40HECTOR RENE ALVIZUREZ MEJIA</v>
      </c>
      <c r="E568" t="str">
        <f t="shared" si="654"/>
        <v>SEPTIEMBRESem4040HECTOR RENE ALVIZUREZ MEJIA</v>
      </c>
      <c r="F568" t="str">
        <f t="shared" si="655"/>
        <v>HECTOR RENE ALVIZUREZ MEJIA46293</v>
      </c>
      <c r="H568" s="49" t="s">
        <v>14</v>
      </c>
      <c r="I568" s="50" t="str">
        <f>+_xlfn.XLOOKUP($H568&amp;$V568,BASEDATOS!$B:$B,BASEDATOS!F:F,0,0,1)</f>
        <v>DIA</v>
      </c>
      <c r="J568" s="51">
        <f>+_xlfn.XLOOKUP($H568&amp;$V568,BASEDATOS!$B:$B,BASEDATOS!Q:Q,0,0,1)</f>
        <v>0.29166666666666702</v>
      </c>
      <c r="K568" s="51">
        <f>+_xlfn.XLOOKUP($H568&amp;$V568,BASEDATOS!$B:$B,BASEDATOS!R:R,0,0,1)</f>
        <v>0.66666666666666696</v>
      </c>
      <c r="L568" s="51">
        <f t="shared" si="656"/>
        <v>0.37499999999999994</v>
      </c>
      <c r="M568" s="52" t="str">
        <f t="shared" si="657"/>
        <v>1:00</v>
      </c>
      <c r="N568" s="51">
        <f t="shared" si="658"/>
        <v>0.33333333333333326</v>
      </c>
      <c r="O568" s="53" t="str">
        <f t="shared" ref="O568" si="691">+O574</f>
        <v>6-0-1</v>
      </c>
      <c r="P568" s="54">
        <f>+IF(AND(Y568="Domingo",U568=7),_xlfn.XLOOKUP(O568,'Horarios y Sistemas'!C:C,'Horarios y Sistemas'!H:H,0,0,1),0)</f>
        <v>0</v>
      </c>
      <c r="Q568" s="54">
        <f>IF(U568=U569,0,IF(AVERAGEIF(W:W,W568,U:U)=U568,0,_xlfn.XLOOKUP(O568,'Horarios y Sistemas'!C:C,'Horarios y Sistemas'!H:H,0,0,1)-P568))/7*U568</f>
        <v>0</v>
      </c>
      <c r="R568" s="54">
        <f t="shared" si="660"/>
        <v>0</v>
      </c>
      <c r="S568" s="55" t="str">
        <f t="shared" si="661"/>
        <v>SEPTIEMBRE</v>
      </c>
      <c r="T568" s="55" t="str">
        <f t="shared" si="662"/>
        <v>Sem40</v>
      </c>
      <c r="U568" s="56">
        <f t="shared" si="629"/>
        <v>7</v>
      </c>
      <c r="V568" s="59">
        <v>46293</v>
      </c>
      <c r="W568" s="56">
        <f t="shared" si="663"/>
        <v>40</v>
      </c>
      <c r="X568" s="56">
        <f t="shared" si="664"/>
        <v>28</v>
      </c>
      <c r="Y568" s="56" t="s">
        <v>28</v>
      </c>
      <c r="Z568" s="56">
        <v>1</v>
      </c>
      <c r="AA568" s="58">
        <f t="shared" si="649"/>
        <v>1</v>
      </c>
      <c r="AB568" s="58">
        <f t="shared" si="649"/>
        <v>0</v>
      </c>
      <c r="AC568" s="58">
        <f t="shared" si="649"/>
        <v>0</v>
      </c>
      <c r="AD568" s="58">
        <f t="shared" si="649"/>
        <v>0</v>
      </c>
      <c r="AE568" s="58">
        <f t="shared" si="649"/>
        <v>0</v>
      </c>
    </row>
    <row r="569" spans="2:34">
      <c r="B569" t="str">
        <f t="shared" si="651"/>
        <v>Sem4040HECTOR RENE ALVIZUREZ MEJIA</v>
      </c>
      <c r="C569" t="str">
        <f t="shared" si="652"/>
        <v>SEPTIEMBRESem40</v>
      </c>
      <c r="D569" t="str">
        <f t="shared" si="653"/>
        <v>SEPTIEMBRESem40HECTOR RENE ALVIZUREZ MEJIA</v>
      </c>
      <c r="E569" t="str">
        <f t="shared" si="654"/>
        <v>SEPTIEMBRESem4040HECTOR RENE ALVIZUREZ MEJIA</v>
      </c>
      <c r="F569" t="str">
        <f t="shared" si="655"/>
        <v>HECTOR RENE ALVIZUREZ MEJIA46294</v>
      </c>
      <c r="H569" s="49" t="s">
        <v>14</v>
      </c>
      <c r="I569" s="50" t="str">
        <f>+_xlfn.XLOOKUP($H569&amp;$V569,BASEDATOS!$B:$B,BASEDATOS!F:F,0,0,1)</f>
        <v>DIA</v>
      </c>
      <c r="J569" s="51">
        <f>+_xlfn.XLOOKUP($H569&amp;$V569,BASEDATOS!$B:$B,BASEDATOS!Q:Q,0,0,1)</f>
        <v>0.29166666666666702</v>
      </c>
      <c r="K569" s="51">
        <f>+_xlfn.XLOOKUP($H569&amp;$V569,BASEDATOS!$B:$B,BASEDATOS!R:R,0,0,1)</f>
        <v>0.66666666666666696</v>
      </c>
      <c r="L569" s="51">
        <f t="shared" si="656"/>
        <v>0.37499999999999994</v>
      </c>
      <c r="M569" s="52" t="str">
        <f t="shared" si="657"/>
        <v>1:00</v>
      </c>
      <c r="N569" s="51">
        <f t="shared" si="658"/>
        <v>0.33333333333333326</v>
      </c>
      <c r="O569" s="53" t="str">
        <f t="shared" ref="O569" si="692">+O574</f>
        <v>6-0-1</v>
      </c>
      <c r="P569" s="54">
        <f>+IF(AND(Y569="Domingo",U569=7),_xlfn.XLOOKUP(O569,'Horarios y Sistemas'!C:C,'Horarios y Sistemas'!H:H,0,0,1),0)</f>
        <v>0</v>
      </c>
      <c r="Q569" s="54">
        <f>IF(U569=U570,0,IF(AVERAGEIF(W:W,W569,U:U)=U569,0,_xlfn.XLOOKUP(O569,'Horarios y Sistemas'!C:C,'Horarios y Sistemas'!H:H,0,0,1)-P569))/7*U569</f>
        <v>0</v>
      </c>
      <c r="R569" s="54">
        <f t="shared" si="660"/>
        <v>0</v>
      </c>
      <c r="S569" s="55" t="str">
        <f t="shared" si="661"/>
        <v>SEPTIEMBRE</v>
      </c>
      <c r="T569" s="55" t="str">
        <f t="shared" si="662"/>
        <v>Sem40</v>
      </c>
      <c r="U569" s="56">
        <f t="shared" si="629"/>
        <v>7</v>
      </c>
      <c r="V569" s="59">
        <v>46294</v>
      </c>
      <c r="W569" s="56">
        <f t="shared" si="663"/>
        <v>40</v>
      </c>
      <c r="X569" s="56">
        <f t="shared" si="664"/>
        <v>29</v>
      </c>
      <c r="Y569" s="56" t="s">
        <v>29</v>
      </c>
      <c r="Z569" s="56">
        <v>2</v>
      </c>
      <c r="AA569" s="58">
        <f t="shared" si="649"/>
        <v>1</v>
      </c>
      <c r="AB569" s="58">
        <f t="shared" si="649"/>
        <v>0</v>
      </c>
      <c r="AC569" s="58">
        <f t="shared" si="649"/>
        <v>0</v>
      </c>
      <c r="AD569" s="58">
        <f t="shared" si="649"/>
        <v>0</v>
      </c>
      <c r="AE569" s="58">
        <f t="shared" si="649"/>
        <v>0</v>
      </c>
    </row>
    <row r="570" spans="2:34">
      <c r="B570" t="str">
        <f t="shared" si="651"/>
        <v>Sem4040HECTOR RENE ALVIZUREZ MEJIA</v>
      </c>
      <c r="C570" t="str">
        <f t="shared" si="652"/>
        <v>SEPTIEMBRESem40</v>
      </c>
      <c r="D570" t="str">
        <f t="shared" si="653"/>
        <v>SEPTIEMBRESem40HECTOR RENE ALVIZUREZ MEJIA</v>
      </c>
      <c r="E570" t="str">
        <f t="shared" si="654"/>
        <v>SEPTIEMBRESem4040HECTOR RENE ALVIZUREZ MEJIA</v>
      </c>
      <c r="F570" t="str">
        <f t="shared" si="655"/>
        <v>HECTOR RENE ALVIZUREZ MEJIA46295</v>
      </c>
      <c r="H570" s="49" t="s">
        <v>14</v>
      </c>
      <c r="I570" s="50" t="str">
        <f>+_xlfn.XLOOKUP($H570&amp;$V570,BASEDATOS!$B:$B,BASEDATOS!F:F,0,0,1)</f>
        <v>DIA</v>
      </c>
      <c r="J570" s="51">
        <f>+_xlfn.XLOOKUP($H570&amp;$V570,BASEDATOS!$B:$B,BASEDATOS!Q:Q,0,0,1)</f>
        <v>0.29166666666666702</v>
      </c>
      <c r="K570" s="51">
        <f>+_xlfn.XLOOKUP($H570&amp;$V570,BASEDATOS!$B:$B,BASEDATOS!R:R,0,0,1)</f>
        <v>0.66666666666666696</v>
      </c>
      <c r="L570" s="51">
        <f t="shared" si="656"/>
        <v>0.37499999999999994</v>
      </c>
      <c r="M570" s="52" t="str">
        <f t="shared" si="657"/>
        <v>1:00</v>
      </c>
      <c r="N570" s="51">
        <f t="shared" si="658"/>
        <v>0.33333333333333326</v>
      </c>
      <c r="O570" s="53" t="str">
        <f t="shared" ref="O570" si="693">+O574</f>
        <v>6-0-1</v>
      </c>
      <c r="P570" s="54">
        <f>+IF(AND(Y570="Domingo",U570=7),_xlfn.XLOOKUP(O570,'Horarios y Sistemas'!C:C,'Horarios y Sistemas'!H:H,0,0,1),0)</f>
        <v>0</v>
      </c>
      <c r="Q570" s="54">
        <f>IF(U570=U571,0,IF(AVERAGEIF(W:W,W570,U:U)=U570,0,_xlfn.XLOOKUP(O570,'Horarios y Sistemas'!C:C,'Horarios y Sistemas'!H:H,0,0,1)-P570))/7*U570</f>
        <v>0</v>
      </c>
      <c r="R570" s="54">
        <f t="shared" si="660"/>
        <v>0</v>
      </c>
      <c r="S570" s="55" t="str">
        <f t="shared" si="661"/>
        <v>SEPTIEMBRE</v>
      </c>
      <c r="T570" s="55" t="str">
        <f t="shared" si="662"/>
        <v>Sem40</v>
      </c>
      <c r="U570" s="56">
        <f t="shared" si="629"/>
        <v>7</v>
      </c>
      <c r="V570" s="59">
        <v>46295</v>
      </c>
      <c r="W570" s="56">
        <f t="shared" si="663"/>
        <v>40</v>
      </c>
      <c r="X570" s="56">
        <f t="shared" si="664"/>
        <v>30</v>
      </c>
      <c r="Y570" s="56" t="s">
        <v>30</v>
      </c>
      <c r="Z570" s="56">
        <v>3</v>
      </c>
      <c r="AA570" s="58">
        <f t="shared" si="649"/>
        <v>1</v>
      </c>
      <c r="AB570" s="58">
        <f t="shared" si="649"/>
        <v>0</v>
      </c>
      <c r="AC570" s="58">
        <f t="shared" si="649"/>
        <v>0</v>
      </c>
      <c r="AD570" s="58">
        <f t="shared" si="649"/>
        <v>0</v>
      </c>
      <c r="AE570" s="58">
        <f t="shared" si="649"/>
        <v>0</v>
      </c>
    </row>
    <row r="571" spans="2:34">
      <c r="B571" t="str">
        <f t="shared" si="651"/>
        <v>Sem4040HECTOR RENE ALVIZUREZ MEJIA</v>
      </c>
      <c r="C571" t="str">
        <f t="shared" si="652"/>
        <v>OCTUBRESem40</v>
      </c>
      <c r="D571" t="str">
        <f t="shared" si="653"/>
        <v>OCTUBRESem40HECTOR RENE ALVIZUREZ MEJIA</v>
      </c>
      <c r="E571" t="str">
        <f t="shared" si="654"/>
        <v>OCTUBRESem4040HECTOR RENE ALVIZUREZ MEJIA</v>
      </c>
      <c r="F571" t="str">
        <f t="shared" si="655"/>
        <v>HECTOR RENE ALVIZUREZ MEJIA46296</v>
      </c>
      <c r="H571" s="49" t="s">
        <v>14</v>
      </c>
      <c r="I571" s="50" t="str">
        <f>+_xlfn.XLOOKUP($H571&amp;$V571,BASEDATOS!$B:$B,BASEDATOS!F:F,0,0,1)</f>
        <v>DIA</v>
      </c>
      <c r="J571" s="51">
        <f>+_xlfn.XLOOKUP($H571&amp;$V571,BASEDATOS!$B:$B,BASEDATOS!Q:Q,0,0,1)</f>
        <v>0.29166666666666702</v>
      </c>
      <c r="K571" s="51">
        <f>+_xlfn.XLOOKUP($H571&amp;$V571,BASEDATOS!$B:$B,BASEDATOS!R:R,0,0,1)</f>
        <v>0.70833333333333304</v>
      </c>
      <c r="L571" s="51">
        <f t="shared" si="656"/>
        <v>0.41666666666666602</v>
      </c>
      <c r="M571" s="52" t="str">
        <f t="shared" si="657"/>
        <v>1:00</v>
      </c>
      <c r="N571" s="51">
        <f t="shared" si="658"/>
        <v>0.37499999999999933</v>
      </c>
      <c r="O571" s="53" t="str">
        <f t="shared" ref="O571" si="694">+O574</f>
        <v>6-0-1</v>
      </c>
      <c r="P571" s="54">
        <f>+IF(AND(Y571="Domingo",U571=7),_xlfn.XLOOKUP(O571,'Horarios y Sistemas'!C:C,'Horarios y Sistemas'!H:H,0,0,1),0)</f>
        <v>0</v>
      </c>
      <c r="Q571" s="54">
        <f>IF(U571=U572,0,IF(AVERAGEIF(W:W,W571,U:U)=U571,0,_xlfn.XLOOKUP(O571,'Horarios y Sistemas'!C:C,'Horarios y Sistemas'!H:H,0,0,1)-P571))/7*U571</f>
        <v>0</v>
      </c>
      <c r="R571" s="54">
        <f t="shared" si="660"/>
        <v>0</v>
      </c>
      <c r="S571" s="55" t="str">
        <f t="shared" si="661"/>
        <v>OCTUBRE</v>
      </c>
      <c r="T571" s="55" t="str">
        <f t="shared" si="662"/>
        <v>Sem40</v>
      </c>
      <c r="U571" s="56">
        <f t="shared" si="629"/>
        <v>7</v>
      </c>
      <c r="V571" s="59">
        <v>46296</v>
      </c>
      <c r="W571" s="56">
        <f t="shared" si="663"/>
        <v>40</v>
      </c>
      <c r="X571" s="56">
        <f t="shared" si="664"/>
        <v>1</v>
      </c>
      <c r="Y571" s="56" t="s">
        <v>31</v>
      </c>
      <c r="Z571" s="56">
        <v>4</v>
      </c>
      <c r="AA571" s="58">
        <f t="shared" si="649"/>
        <v>1</v>
      </c>
      <c r="AB571" s="58">
        <f t="shared" si="649"/>
        <v>0</v>
      </c>
      <c r="AC571" s="58">
        <f t="shared" si="649"/>
        <v>0</v>
      </c>
      <c r="AD571" s="58">
        <f t="shared" si="649"/>
        <v>0</v>
      </c>
      <c r="AE571" s="58">
        <f t="shared" si="649"/>
        <v>0</v>
      </c>
    </row>
    <row r="572" spans="2:34">
      <c r="B572" t="str">
        <f t="shared" si="651"/>
        <v>Sem4040HECTOR RENE ALVIZUREZ MEJIA</v>
      </c>
      <c r="C572" t="str">
        <f t="shared" si="652"/>
        <v>OCTUBRESem40</v>
      </c>
      <c r="D572" t="str">
        <f t="shared" si="653"/>
        <v>OCTUBRESem40HECTOR RENE ALVIZUREZ MEJIA</v>
      </c>
      <c r="E572" t="str">
        <f t="shared" si="654"/>
        <v>OCTUBRESem4040HECTOR RENE ALVIZUREZ MEJIA</v>
      </c>
      <c r="F572" t="str">
        <f t="shared" si="655"/>
        <v>HECTOR RENE ALVIZUREZ MEJIA46297</v>
      </c>
      <c r="H572" s="49" t="s">
        <v>14</v>
      </c>
      <c r="I572" s="50" t="str">
        <f>+_xlfn.XLOOKUP($H572&amp;$V572,BASEDATOS!$B:$B,BASEDATOS!F:F,0,0,1)</f>
        <v>DIA</v>
      </c>
      <c r="J572" s="51">
        <f>+_xlfn.XLOOKUP($H572&amp;$V572,BASEDATOS!$B:$B,BASEDATOS!Q:Q,0,0,1)</f>
        <v>0.29166666666666702</v>
      </c>
      <c r="K572" s="51">
        <f>+_xlfn.XLOOKUP($H572&amp;$V572,BASEDATOS!$B:$B,BASEDATOS!R:R,0,0,1)</f>
        <v>0.66666666666666696</v>
      </c>
      <c r="L572" s="51">
        <f t="shared" si="656"/>
        <v>0.37499999999999994</v>
      </c>
      <c r="M572" s="52" t="str">
        <f t="shared" si="657"/>
        <v>1:00</v>
      </c>
      <c r="N572" s="51">
        <f t="shared" si="658"/>
        <v>0.33333333333333326</v>
      </c>
      <c r="O572" s="53" t="str">
        <f t="shared" ref="O572" si="695">+O574</f>
        <v>6-0-1</v>
      </c>
      <c r="P572" s="54">
        <f>+IF(AND(Y572="Domingo",U572=7),_xlfn.XLOOKUP(O572,'Horarios y Sistemas'!C:C,'Horarios y Sistemas'!H:H,0,0,1),0)</f>
        <v>0</v>
      </c>
      <c r="Q572" s="54">
        <f>IF(U572=U573,0,IF(AVERAGEIF(W:W,W572,U:U)=U572,0,_xlfn.XLOOKUP(O572,'Horarios y Sistemas'!C:C,'Horarios y Sistemas'!H:H,0,0,1)-P572))/7*U572</f>
        <v>0</v>
      </c>
      <c r="R572" s="54">
        <f t="shared" si="660"/>
        <v>0</v>
      </c>
      <c r="S572" s="55" t="str">
        <f t="shared" si="661"/>
        <v>OCTUBRE</v>
      </c>
      <c r="T572" s="55" t="str">
        <f t="shared" si="662"/>
        <v>Sem40</v>
      </c>
      <c r="U572" s="56">
        <f t="shared" si="629"/>
        <v>7</v>
      </c>
      <c r="V572" s="59">
        <v>46297</v>
      </c>
      <c r="W572" s="56">
        <f t="shared" si="663"/>
        <v>40</v>
      </c>
      <c r="X572" s="56">
        <f t="shared" si="664"/>
        <v>2</v>
      </c>
      <c r="Y572" s="56" t="s">
        <v>32</v>
      </c>
      <c r="Z572" s="56">
        <v>5</v>
      </c>
      <c r="AA572" s="58">
        <f t="shared" si="649"/>
        <v>1</v>
      </c>
      <c r="AB572" s="58">
        <f t="shared" si="649"/>
        <v>0</v>
      </c>
      <c r="AC572" s="58">
        <f t="shared" si="649"/>
        <v>0</v>
      </c>
      <c r="AD572" s="58">
        <f t="shared" si="649"/>
        <v>0</v>
      </c>
      <c r="AE572" s="58">
        <f t="shared" si="649"/>
        <v>0</v>
      </c>
    </row>
    <row r="573" spans="2:34">
      <c r="B573" t="str">
        <f t="shared" si="651"/>
        <v>Sem4040HECTOR RENE ALVIZUREZ MEJIA</v>
      </c>
      <c r="C573" t="str">
        <f t="shared" si="652"/>
        <v>OCTUBRESem40</v>
      </c>
      <c r="D573" t="str">
        <f t="shared" si="653"/>
        <v>OCTUBRESem40HECTOR RENE ALVIZUREZ MEJIA</v>
      </c>
      <c r="E573" t="str">
        <f t="shared" si="654"/>
        <v>OCTUBRESem4040HECTOR RENE ALVIZUREZ MEJIA</v>
      </c>
      <c r="F573" t="str">
        <f t="shared" si="655"/>
        <v>HECTOR RENE ALVIZUREZ MEJIA46298</v>
      </c>
      <c r="H573" s="49" t="s">
        <v>14</v>
      </c>
      <c r="I573" s="50" t="str">
        <f>+_xlfn.XLOOKUP($H573&amp;$V573,BASEDATOS!$B:$B,BASEDATOS!F:F,0,0,1)</f>
        <v>DIA</v>
      </c>
      <c r="J573" s="51">
        <f>+_xlfn.XLOOKUP($H573&amp;$V573,BASEDATOS!$B:$B,BASEDATOS!Q:Q,0,0,1)</f>
        <v>0.29166666666666702</v>
      </c>
      <c r="K573" s="51">
        <f>+_xlfn.XLOOKUP($H573&amp;$V573,BASEDATOS!$B:$B,BASEDATOS!R:R,0,0,1)</f>
        <v>0.5</v>
      </c>
      <c r="L573" s="51">
        <f t="shared" si="656"/>
        <v>0.20833333333333298</v>
      </c>
      <c r="M573" s="52" t="str">
        <f t="shared" si="657"/>
        <v>1:00</v>
      </c>
      <c r="N573" s="51">
        <f t="shared" si="658"/>
        <v>0.16666666666666632</v>
      </c>
      <c r="O573" s="53" t="str">
        <f t="shared" ref="O573" si="696">+O574</f>
        <v>6-0-1</v>
      </c>
      <c r="P573" s="54">
        <f>+IF(AND(Y573="Domingo",U573=7),_xlfn.XLOOKUP(O573,'Horarios y Sistemas'!C:C,'Horarios y Sistemas'!H:H,0,0,1),0)</f>
        <v>0</v>
      </c>
      <c r="Q573" s="54">
        <f>IF(U573=U574,0,IF(AVERAGEIF(W:W,W573,U:U)=U573,0,_xlfn.XLOOKUP(O573,'Horarios y Sistemas'!C:C,'Horarios y Sistemas'!H:H,0,0,1)-P573))/7*U573</f>
        <v>0</v>
      </c>
      <c r="R573" s="54">
        <f t="shared" si="660"/>
        <v>0</v>
      </c>
      <c r="S573" s="55" t="str">
        <f t="shared" si="661"/>
        <v>OCTUBRE</v>
      </c>
      <c r="T573" s="55" t="str">
        <f t="shared" si="662"/>
        <v>Sem40</v>
      </c>
      <c r="U573" s="56">
        <f t="shared" si="629"/>
        <v>7</v>
      </c>
      <c r="V573" s="59">
        <v>46298</v>
      </c>
      <c r="W573" s="56">
        <f t="shared" si="663"/>
        <v>40</v>
      </c>
      <c r="X573" s="56">
        <f t="shared" si="664"/>
        <v>3</v>
      </c>
      <c r="Y573" s="56" t="s">
        <v>33</v>
      </c>
      <c r="Z573" s="56">
        <v>6</v>
      </c>
      <c r="AA573" s="58">
        <f t="shared" si="649"/>
        <v>1</v>
      </c>
      <c r="AB573" s="58">
        <f t="shared" si="649"/>
        <v>0</v>
      </c>
      <c r="AC573" s="58">
        <f t="shared" si="649"/>
        <v>0</v>
      </c>
      <c r="AD573" s="58">
        <f t="shared" si="649"/>
        <v>0</v>
      </c>
      <c r="AE573" s="58">
        <f t="shared" si="649"/>
        <v>0</v>
      </c>
    </row>
    <row r="574" spans="2:34" s="60" customFormat="1">
      <c r="B574" s="60" t="str">
        <f t="shared" si="651"/>
        <v>Sem4040HECTOR RENE ALVIZUREZ MEJIA</v>
      </c>
      <c r="C574" s="60" t="str">
        <f t="shared" si="652"/>
        <v>OCTUBRESem40</v>
      </c>
      <c r="D574" s="60" t="str">
        <f t="shared" si="653"/>
        <v>OCTUBRESem40HECTOR RENE ALVIZUREZ MEJIA</v>
      </c>
      <c r="E574" s="60" t="str">
        <f t="shared" si="654"/>
        <v>OCTUBRESem4040HECTOR RENE ALVIZUREZ MEJIA</v>
      </c>
      <c r="F574" s="60" t="str">
        <f t="shared" si="655"/>
        <v>HECTOR RENE ALVIZUREZ MEJIA46299</v>
      </c>
      <c r="H574" s="61" t="s">
        <v>14</v>
      </c>
      <c r="I574" s="62" t="str">
        <f>+_xlfn.XLOOKUP($H574&amp;$V574,BASEDATOS!$B:$B,BASEDATOS!F:F,0,0,1)</f>
        <v>DESCANSO</v>
      </c>
      <c r="J574" s="63">
        <f>+_xlfn.XLOOKUP($H574&amp;$V574,BASEDATOS!$B:$B,BASEDATOS!Q:Q,0,0,1)</f>
        <v>0</v>
      </c>
      <c r="K574" s="63">
        <f>+_xlfn.XLOOKUP($H574&amp;$V574,BASEDATOS!$B:$B,BASEDATOS!R:R,0,0,1)</f>
        <v>0</v>
      </c>
      <c r="L574" s="63">
        <f t="shared" si="656"/>
        <v>0</v>
      </c>
      <c r="M574" s="64">
        <f t="shared" si="657"/>
        <v>0</v>
      </c>
      <c r="N574" s="63">
        <f t="shared" si="658"/>
        <v>0</v>
      </c>
      <c r="O574" s="65" t="str">
        <f t="shared" ref="O574" si="697">+IF(Y574="Domingo",SUM(AA568:AA574)&amp;"-"&amp;SUM(AB568:AB574)&amp;"-"&amp;SUM(AC568:AE574),"")</f>
        <v>6-0-1</v>
      </c>
      <c r="P574" s="66">
        <f>+IF(AND(Y574="Domingo",U574=7),_xlfn.XLOOKUP(O574,'Horarios y Sistemas'!C:C,'Horarios y Sistemas'!H:H,0,0,1),0)</f>
        <v>44</v>
      </c>
      <c r="Q574" s="66">
        <f>IF(U574=U575,0,IF(AVERAGEIF(W:W,W574,U:U)=U574,0,_xlfn.XLOOKUP(O574,'Horarios y Sistemas'!C:C,'Horarios y Sistemas'!H:H,0,0,1)-P574))/7*U574</f>
        <v>0</v>
      </c>
      <c r="R574" s="66">
        <f t="shared" si="660"/>
        <v>44</v>
      </c>
      <c r="S574" s="67" t="str">
        <f t="shared" si="661"/>
        <v>OCTUBRE</v>
      </c>
      <c r="T574" s="55" t="str">
        <f t="shared" si="662"/>
        <v>Sem40</v>
      </c>
      <c r="U574" s="68">
        <f t="shared" si="629"/>
        <v>7</v>
      </c>
      <c r="V574" s="69">
        <v>46299</v>
      </c>
      <c r="W574" s="68">
        <f t="shared" si="663"/>
        <v>40</v>
      </c>
      <c r="X574" s="68">
        <f t="shared" si="664"/>
        <v>4</v>
      </c>
      <c r="Y574" s="68" t="s">
        <v>34</v>
      </c>
      <c r="Z574" s="68">
        <v>7</v>
      </c>
      <c r="AA574" s="70">
        <f t="shared" si="649"/>
        <v>0</v>
      </c>
      <c r="AB574" s="70">
        <f t="shared" si="649"/>
        <v>0</v>
      </c>
      <c r="AC574" s="70">
        <f t="shared" si="649"/>
        <v>1</v>
      </c>
      <c r="AD574" s="70">
        <f t="shared" si="649"/>
        <v>0</v>
      </c>
      <c r="AE574" s="70">
        <f t="shared" si="649"/>
        <v>0</v>
      </c>
      <c r="AF574" s="71"/>
      <c r="AG574" s="71"/>
      <c r="AH574" s="71"/>
    </row>
    <row r="575" spans="2:34">
      <c r="B575" t="str">
        <f t="shared" si="651"/>
        <v>Sem3838HERNÁNDEZ POCÓN ERVIN ALFONSO</v>
      </c>
      <c r="C575" t="str">
        <f t="shared" si="652"/>
        <v>SEPTIEMBRESem38</v>
      </c>
      <c r="D575" t="str">
        <f t="shared" si="653"/>
        <v>SEPTIEMBRESem38HERNÁNDEZ POCÓN ERVIN ALFONSO</v>
      </c>
      <c r="E575" t="str">
        <f t="shared" si="654"/>
        <v>SEPTIEMBRESem3838HERNÁNDEZ POCÓN ERVIN ALFONSO</v>
      </c>
      <c r="F575" t="str">
        <f t="shared" si="655"/>
        <v>HERNÁNDEZ POCÓN ERVIN ALFONSO46279</v>
      </c>
      <c r="H575" s="49" t="s">
        <v>263</v>
      </c>
      <c r="I575" s="50" t="str">
        <f>+_xlfn.XLOOKUP($H575&amp;$V575,BASEDATOS!$B:$B,BASEDATOS!F:F,0,0,1)</f>
        <v>DESCANSO</v>
      </c>
      <c r="J575" s="51">
        <f>+_xlfn.XLOOKUP($H575&amp;$V575,BASEDATOS!$B:$B,BASEDATOS!Q:Q,0,0,1)</f>
        <v>0</v>
      </c>
      <c r="K575" s="51">
        <f>+_xlfn.XLOOKUP($H575&amp;$V575,BASEDATOS!$B:$B,BASEDATOS!R:R,0,0,1)</f>
        <v>0</v>
      </c>
      <c r="L575" s="51">
        <f t="shared" si="656"/>
        <v>0</v>
      </c>
      <c r="M575" s="52">
        <f t="shared" si="657"/>
        <v>0</v>
      </c>
      <c r="N575" s="51">
        <f t="shared" si="658"/>
        <v>0</v>
      </c>
      <c r="O575" s="53" t="str">
        <f t="shared" ref="O575" si="698">+O581</f>
        <v>5-0-2</v>
      </c>
      <c r="P575" s="54">
        <f>+IF(AND(Y575="Domingo",U575=7),_xlfn.XLOOKUP(O575,'Horarios y Sistemas'!C:C,'Horarios y Sistemas'!H:H,0,0,1),0)</f>
        <v>0</v>
      </c>
      <c r="Q575" s="54">
        <f>IF(U575=U576,0,IF(AVERAGEIF(W:W,W575,U:U)=U575,0,_xlfn.XLOOKUP(O575,'Horarios y Sistemas'!C:C,'Horarios y Sistemas'!H:H,0,0,1)-P575))/7*U575</f>
        <v>0</v>
      </c>
      <c r="R575" s="54">
        <f t="shared" si="660"/>
        <v>0</v>
      </c>
      <c r="S575" s="55" t="str">
        <f t="shared" si="661"/>
        <v>SEPTIEMBRE</v>
      </c>
      <c r="T575" s="55" t="str">
        <f t="shared" si="662"/>
        <v>Sem38</v>
      </c>
      <c r="U575" s="56">
        <f t="shared" si="629"/>
        <v>7</v>
      </c>
      <c r="V575" s="57">
        <v>46279</v>
      </c>
      <c r="W575" s="56">
        <f t="shared" si="663"/>
        <v>38</v>
      </c>
      <c r="X575" s="56">
        <f t="shared" si="664"/>
        <v>14</v>
      </c>
      <c r="Y575" s="56" t="s">
        <v>28</v>
      </c>
      <c r="Z575" s="56">
        <v>1</v>
      </c>
      <c r="AA575" s="58">
        <f t="shared" si="649"/>
        <v>0</v>
      </c>
      <c r="AB575" s="58">
        <f t="shared" si="649"/>
        <v>0</v>
      </c>
      <c r="AC575" s="58">
        <f t="shared" si="649"/>
        <v>1</v>
      </c>
      <c r="AD575" s="58">
        <f t="shared" si="649"/>
        <v>0</v>
      </c>
      <c r="AE575" s="58">
        <f t="shared" si="649"/>
        <v>0</v>
      </c>
    </row>
    <row r="576" spans="2:34">
      <c r="B576" t="str">
        <f t="shared" si="651"/>
        <v>Sem3838HERNÁNDEZ POCÓN ERVIN ALFONSO</v>
      </c>
      <c r="C576" t="str">
        <f t="shared" si="652"/>
        <v>SEPTIEMBRESem38</v>
      </c>
      <c r="D576" t="str">
        <f t="shared" si="653"/>
        <v>SEPTIEMBRESem38HERNÁNDEZ POCÓN ERVIN ALFONSO</v>
      </c>
      <c r="E576" t="str">
        <f t="shared" si="654"/>
        <v>SEPTIEMBRESem3838HERNÁNDEZ POCÓN ERVIN ALFONSO</v>
      </c>
      <c r="F576" t="str">
        <f t="shared" si="655"/>
        <v>HERNÁNDEZ POCÓN ERVIN ALFONSO46280</v>
      </c>
      <c r="H576" s="49" t="s">
        <v>263</v>
      </c>
      <c r="I576" s="50" t="str">
        <f>+_xlfn.XLOOKUP($H576&amp;$V576,BASEDATOS!$B:$B,BASEDATOS!F:F,0,0,1)</f>
        <v>DIA</v>
      </c>
      <c r="J576" s="51">
        <f>+_xlfn.XLOOKUP($H576&amp;$V576,BASEDATOS!$B:$B,BASEDATOS!Q:Q,0,0,1)</f>
        <v>0.33333333333333298</v>
      </c>
      <c r="K576" s="51">
        <f>+_xlfn.XLOOKUP($H576&amp;$V576,BASEDATOS!$B:$B,BASEDATOS!R:R,0,0,1)</f>
        <v>0.70833333333333304</v>
      </c>
      <c r="L576" s="51">
        <f t="shared" si="656"/>
        <v>0.37500000000000006</v>
      </c>
      <c r="M576" s="52" t="str">
        <f t="shared" si="657"/>
        <v>1:00</v>
      </c>
      <c r="N576" s="51">
        <f t="shared" si="658"/>
        <v>0.33333333333333337</v>
      </c>
      <c r="O576" s="53" t="str">
        <f t="shared" ref="O576" si="699">+O581</f>
        <v>5-0-2</v>
      </c>
      <c r="P576" s="54">
        <f>+IF(AND(Y576="Domingo",U576=7),_xlfn.XLOOKUP(O576,'Horarios y Sistemas'!C:C,'Horarios y Sistemas'!H:H,0,0,1),0)</f>
        <v>0</v>
      </c>
      <c r="Q576" s="54">
        <f>IF(U576=U577,0,IF(AVERAGEIF(W:W,W576,U:U)=U576,0,_xlfn.XLOOKUP(O576,'Horarios y Sistemas'!C:C,'Horarios y Sistemas'!H:H,0,0,1)-P576))/7*U576</f>
        <v>0</v>
      </c>
      <c r="R576" s="54">
        <f t="shared" si="660"/>
        <v>0</v>
      </c>
      <c r="S576" s="55" t="str">
        <f t="shared" si="661"/>
        <v>SEPTIEMBRE</v>
      </c>
      <c r="T576" s="55" t="str">
        <f t="shared" si="662"/>
        <v>Sem38</v>
      </c>
      <c r="U576" s="56">
        <f t="shared" si="629"/>
        <v>7</v>
      </c>
      <c r="V576" s="59">
        <v>46280</v>
      </c>
      <c r="W576" s="56">
        <f t="shared" si="663"/>
        <v>38</v>
      </c>
      <c r="X576" s="56">
        <f t="shared" si="664"/>
        <v>15</v>
      </c>
      <c r="Y576" s="56" t="s">
        <v>29</v>
      </c>
      <c r="Z576" s="56">
        <v>2</v>
      </c>
      <c r="AA576" s="58">
        <f t="shared" si="649"/>
        <v>1</v>
      </c>
      <c r="AB576" s="58">
        <f t="shared" si="649"/>
        <v>0</v>
      </c>
      <c r="AC576" s="58">
        <f t="shared" si="649"/>
        <v>0</v>
      </c>
      <c r="AD576" s="58">
        <f t="shared" si="649"/>
        <v>0</v>
      </c>
      <c r="AE576" s="58">
        <f t="shared" si="649"/>
        <v>0</v>
      </c>
    </row>
    <row r="577" spans="2:34">
      <c r="B577" t="str">
        <f t="shared" si="651"/>
        <v>Sem3838HERNÁNDEZ POCÓN ERVIN ALFONSO</v>
      </c>
      <c r="C577" t="str">
        <f t="shared" si="652"/>
        <v>SEPTIEMBRESem38</v>
      </c>
      <c r="D577" t="str">
        <f t="shared" si="653"/>
        <v>SEPTIEMBRESem38HERNÁNDEZ POCÓN ERVIN ALFONSO</v>
      </c>
      <c r="E577" t="str">
        <f t="shared" si="654"/>
        <v>SEPTIEMBRESem3838HERNÁNDEZ POCÓN ERVIN ALFONSO</v>
      </c>
      <c r="F577" t="str">
        <f t="shared" si="655"/>
        <v>HERNÁNDEZ POCÓN ERVIN ALFONSO46281</v>
      </c>
      <c r="H577" s="49" t="s">
        <v>263</v>
      </c>
      <c r="I577" s="50" t="str">
        <f>+_xlfn.XLOOKUP($H577&amp;$V577,BASEDATOS!$B:$B,BASEDATOS!F:F,0,0,1)</f>
        <v>DIA</v>
      </c>
      <c r="J577" s="51">
        <f>+_xlfn.XLOOKUP($H577&amp;$V577,BASEDATOS!$B:$B,BASEDATOS!Q:Q,0,0,1)</f>
        <v>0.23958333333333301</v>
      </c>
      <c r="K577" s="51">
        <f>+_xlfn.XLOOKUP($H577&amp;$V577,BASEDATOS!$B:$B,BASEDATOS!R:R,0,0,1)</f>
        <v>0.75</v>
      </c>
      <c r="L577" s="51">
        <f t="shared" si="656"/>
        <v>0.51041666666666696</v>
      </c>
      <c r="M577" s="52" t="str">
        <f t="shared" si="657"/>
        <v>1:00</v>
      </c>
      <c r="N577" s="51">
        <f t="shared" si="658"/>
        <v>0.46875000000000028</v>
      </c>
      <c r="O577" s="53" t="str">
        <f t="shared" ref="O577" si="700">+O581</f>
        <v>5-0-2</v>
      </c>
      <c r="P577" s="54">
        <f>+IF(AND(Y577="Domingo",U577=7),_xlfn.XLOOKUP(O577,'Horarios y Sistemas'!C:C,'Horarios y Sistemas'!H:H,0,0,1),0)</f>
        <v>0</v>
      </c>
      <c r="Q577" s="54">
        <f>IF(U577=U578,0,IF(AVERAGEIF(W:W,W577,U:U)=U577,0,_xlfn.XLOOKUP(O577,'Horarios y Sistemas'!C:C,'Horarios y Sistemas'!H:H,0,0,1)-P577))/7*U577</f>
        <v>0</v>
      </c>
      <c r="R577" s="54">
        <f t="shared" si="660"/>
        <v>0</v>
      </c>
      <c r="S577" s="55" t="str">
        <f t="shared" si="661"/>
        <v>SEPTIEMBRE</v>
      </c>
      <c r="T577" s="55" t="str">
        <f t="shared" si="662"/>
        <v>Sem38</v>
      </c>
      <c r="U577" s="56">
        <f t="shared" si="629"/>
        <v>7</v>
      </c>
      <c r="V577" s="59">
        <v>46281</v>
      </c>
      <c r="W577" s="56">
        <f t="shared" si="663"/>
        <v>38</v>
      </c>
      <c r="X577" s="56">
        <f t="shared" si="664"/>
        <v>16</v>
      </c>
      <c r="Y577" s="56" t="s">
        <v>30</v>
      </c>
      <c r="Z577" s="56">
        <v>3</v>
      </c>
      <c r="AA577" s="58">
        <f t="shared" si="649"/>
        <v>1</v>
      </c>
      <c r="AB577" s="58">
        <f t="shared" si="649"/>
        <v>0</v>
      </c>
      <c r="AC577" s="58">
        <f t="shared" si="649"/>
        <v>0</v>
      </c>
      <c r="AD577" s="58">
        <f t="shared" si="649"/>
        <v>0</v>
      </c>
      <c r="AE577" s="58">
        <f t="shared" si="649"/>
        <v>0</v>
      </c>
    </row>
    <row r="578" spans="2:34">
      <c r="B578" t="str">
        <f t="shared" si="651"/>
        <v>Sem3838HERNÁNDEZ POCÓN ERVIN ALFONSO</v>
      </c>
      <c r="C578" t="str">
        <f t="shared" si="652"/>
        <v>SEPTIEMBRESem38</v>
      </c>
      <c r="D578" t="str">
        <f t="shared" si="653"/>
        <v>SEPTIEMBRESem38HERNÁNDEZ POCÓN ERVIN ALFONSO</v>
      </c>
      <c r="E578" t="str">
        <f t="shared" si="654"/>
        <v>SEPTIEMBRESem3838HERNÁNDEZ POCÓN ERVIN ALFONSO</v>
      </c>
      <c r="F578" t="str">
        <f t="shared" si="655"/>
        <v>HERNÁNDEZ POCÓN ERVIN ALFONSO46282</v>
      </c>
      <c r="H578" s="49" t="s">
        <v>263</v>
      </c>
      <c r="I578" s="50" t="str">
        <f>+_xlfn.XLOOKUP($H578&amp;$V578,BASEDATOS!$B:$B,BASEDATOS!F:F,0,0,1)</f>
        <v>DIA</v>
      </c>
      <c r="J578" s="51">
        <f>+_xlfn.XLOOKUP($H578&amp;$V578,BASEDATOS!$B:$B,BASEDATOS!Q:Q,0,0,1)</f>
        <v>0.23958333333333301</v>
      </c>
      <c r="K578" s="51">
        <f>+_xlfn.XLOOKUP($H578&amp;$V578,BASEDATOS!$B:$B,BASEDATOS!R:R,0,0,1)</f>
        <v>0.75</v>
      </c>
      <c r="L578" s="51">
        <f t="shared" si="656"/>
        <v>0.51041666666666696</v>
      </c>
      <c r="M578" s="52" t="str">
        <f t="shared" si="657"/>
        <v>1:00</v>
      </c>
      <c r="N578" s="51">
        <f t="shared" si="658"/>
        <v>0.46875000000000028</v>
      </c>
      <c r="O578" s="53" t="str">
        <f t="shared" ref="O578" si="701">+O581</f>
        <v>5-0-2</v>
      </c>
      <c r="P578" s="54">
        <f>+IF(AND(Y578="Domingo",U578=7),_xlfn.XLOOKUP(O578,'Horarios y Sistemas'!C:C,'Horarios y Sistemas'!H:H,0,0,1),0)</f>
        <v>0</v>
      </c>
      <c r="Q578" s="54">
        <f>IF(U578=U579,0,IF(AVERAGEIF(W:W,W578,U:U)=U578,0,_xlfn.XLOOKUP(O578,'Horarios y Sistemas'!C:C,'Horarios y Sistemas'!H:H,0,0,1)-P578))/7*U578</f>
        <v>0</v>
      </c>
      <c r="R578" s="54">
        <f t="shared" si="660"/>
        <v>0</v>
      </c>
      <c r="S578" s="55" t="str">
        <f t="shared" si="661"/>
        <v>SEPTIEMBRE</v>
      </c>
      <c r="T578" s="55" t="str">
        <f t="shared" si="662"/>
        <v>Sem38</v>
      </c>
      <c r="U578" s="56">
        <f t="shared" si="629"/>
        <v>7</v>
      </c>
      <c r="V578" s="59">
        <v>46282</v>
      </c>
      <c r="W578" s="56">
        <f t="shared" si="663"/>
        <v>38</v>
      </c>
      <c r="X578" s="56">
        <f t="shared" si="664"/>
        <v>17</v>
      </c>
      <c r="Y578" s="56" t="s">
        <v>31</v>
      </c>
      <c r="Z578" s="56">
        <v>4</v>
      </c>
      <c r="AA578" s="58">
        <f t="shared" si="649"/>
        <v>1</v>
      </c>
      <c r="AB578" s="58">
        <f t="shared" si="649"/>
        <v>0</v>
      </c>
      <c r="AC578" s="58">
        <f t="shared" si="649"/>
        <v>0</v>
      </c>
      <c r="AD578" s="58">
        <f t="shared" si="649"/>
        <v>0</v>
      </c>
      <c r="AE578" s="58">
        <f t="shared" si="649"/>
        <v>0</v>
      </c>
    </row>
    <row r="579" spans="2:34">
      <c r="B579" t="str">
        <f t="shared" si="651"/>
        <v>Sem3838HERNÁNDEZ POCÓN ERVIN ALFONSO</v>
      </c>
      <c r="C579" t="str">
        <f t="shared" si="652"/>
        <v>SEPTIEMBRESem38</v>
      </c>
      <c r="D579" t="str">
        <f t="shared" si="653"/>
        <v>SEPTIEMBRESem38HERNÁNDEZ POCÓN ERVIN ALFONSO</v>
      </c>
      <c r="E579" t="str">
        <f t="shared" si="654"/>
        <v>SEPTIEMBRESem3838HERNÁNDEZ POCÓN ERVIN ALFONSO</v>
      </c>
      <c r="F579" t="str">
        <f t="shared" si="655"/>
        <v>HERNÁNDEZ POCÓN ERVIN ALFONSO46283</v>
      </c>
      <c r="H579" s="49" t="s">
        <v>263</v>
      </c>
      <c r="I579" s="50" t="str">
        <f>+_xlfn.XLOOKUP($H579&amp;$V579,BASEDATOS!$B:$B,BASEDATOS!F:F,0,0,1)</f>
        <v>DIA</v>
      </c>
      <c r="J579" s="51">
        <f>+_xlfn.XLOOKUP($H579&amp;$V579,BASEDATOS!$B:$B,BASEDATOS!Q:Q,0,0,1)</f>
        <v>0.23958333333333301</v>
      </c>
      <c r="K579" s="51">
        <f>+_xlfn.XLOOKUP($H579&amp;$V579,BASEDATOS!$B:$B,BASEDATOS!R:R,0,0,1)</f>
        <v>0.75</v>
      </c>
      <c r="L579" s="51">
        <f t="shared" si="656"/>
        <v>0.51041666666666696</v>
      </c>
      <c r="M579" s="52" t="str">
        <f t="shared" si="657"/>
        <v>1:00</v>
      </c>
      <c r="N579" s="51">
        <f t="shared" si="658"/>
        <v>0.46875000000000028</v>
      </c>
      <c r="O579" s="53" t="str">
        <f t="shared" ref="O579" si="702">+O581</f>
        <v>5-0-2</v>
      </c>
      <c r="P579" s="54">
        <f>+IF(AND(Y579="Domingo",U579=7),_xlfn.XLOOKUP(O579,'Horarios y Sistemas'!C:C,'Horarios y Sistemas'!H:H,0,0,1),0)</f>
        <v>0</v>
      </c>
      <c r="Q579" s="54">
        <f>IF(U579=U580,0,IF(AVERAGEIF(W:W,W579,U:U)=U579,0,_xlfn.XLOOKUP(O579,'Horarios y Sistemas'!C:C,'Horarios y Sistemas'!H:H,0,0,1)-P579))/7*U579</f>
        <v>0</v>
      </c>
      <c r="R579" s="54">
        <f t="shared" si="660"/>
        <v>0</v>
      </c>
      <c r="S579" s="55" t="str">
        <f t="shared" si="661"/>
        <v>SEPTIEMBRE</v>
      </c>
      <c r="T579" s="55" t="str">
        <f t="shared" si="662"/>
        <v>Sem38</v>
      </c>
      <c r="U579" s="56">
        <f t="shared" si="629"/>
        <v>7</v>
      </c>
      <c r="V579" s="59">
        <v>46283</v>
      </c>
      <c r="W579" s="56">
        <f t="shared" si="663"/>
        <v>38</v>
      </c>
      <c r="X579" s="56">
        <f t="shared" si="664"/>
        <v>18</v>
      </c>
      <c r="Y579" s="56" t="s">
        <v>32</v>
      </c>
      <c r="Z579" s="56">
        <v>5</v>
      </c>
      <c r="AA579" s="58">
        <f t="shared" si="649"/>
        <v>1</v>
      </c>
      <c r="AB579" s="58">
        <f t="shared" si="649"/>
        <v>0</v>
      </c>
      <c r="AC579" s="58">
        <f t="shared" si="649"/>
        <v>0</v>
      </c>
      <c r="AD579" s="58">
        <f t="shared" si="649"/>
        <v>0</v>
      </c>
      <c r="AE579" s="58">
        <f t="shared" si="649"/>
        <v>0</v>
      </c>
    </row>
    <row r="580" spans="2:34">
      <c r="B580" t="str">
        <f t="shared" si="651"/>
        <v>Sem3838HERNÁNDEZ POCÓN ERVIN ALFONSO</v>
      </c>
      <c r="C580" t="str">
        <f t="shared" si="652"/>
        <v>SEPTIEMBRESem38</v>
      </c>
      <c r="D580" t="str">
        <f t="shared" si="653"/>
        <v>SEPTIEMBRESem38HERNÁNDEZ POCÓN ERVIN ALFONSO</v>
      </c>
      <c r="E580" t="str">
        <f t="shared" si="654"/>
        <v>SEPTIEMBRESem3838HERNÁNDEZ POCÓN ERVIN ALFONSO</v>
      </c>
      <c r="F580" t="str">
        <f t="shared" si="655"/>
        <v>HERNÁNDEZ POCÓN ERVIN ALFONSO46284</v>
      </c>
      <c r="H580" s="49" t="s">
        <v>263</v>
      </c>
      <c r="I580" s="50" t="str">
        <f>+_xlfn.XLOOKUP($H580&amp;$V580,BASEDATOS!$B:$B,BASEDATOS!F:F,0,0,1)</f>
        <v>DIA</v>
      </c>
      <c r="J580" s="51">
        <f>+_xlfn.XLOOKUP($H580&amp;$V580,BASEDATOS!$B:$B,BASEDATOS!Q:Q,0,0,1)</f>
        <v>0.23958333333333301</v>
      </c>
      <c r="K580" s="51">
        <f>+_xlfn.XLOOKUP($H580&amp;$V580,BASEDATOS!$B:$B,BASEDATOS!R:R,0,0,1)</f>
        <v>0.58333333333333304</v>
      </c>
      <c r="L580" s="51">
        <f t="shared" si="656"/>
        <v>0.34375</v>
      </c>
      <c r="M580" s="52" t="str">
        <f t="shared" si="657"/>
        <v>1:00</v>
      </c>
      <c r="N580" s="51">
        <f t="shared" si="658"/>
        <v>0.30208333333333331</v>
      </c>
      <c r="O580" s="53" t="str">
        <f t="shared" ref="O580" si="703">+O581</f>
        <v>5-0-2</v>
      </c>
      <c r="P580" s="54">
        <f>+IF(AND(Y580="Domingo",U580=7),_xlfn.XLOOKUP(O580,'Horarios y Sistemas'!C:C,'Horarios y Sistemas'!H:H,0,0,1),0)</f>
        <v>0</v>
      </c>
      <c r="Q580" s="54">
        <f>IF(U580=U581,0,IF(AVERAGEIF(W:W,W580,U:U)=U580,0,_xlfn.XLOOKUP(O580,'Horarios y Sistemas'!C:C,'Horarios y Sistemas'!H:H,0,0,1)-P580))/7*U580</f>
        <v>0</v>
      </c>
      <c r="R580" s="54">
        <f t="shared" si="660"/>
        <v>0</v>
      </c>
      <c r="S580" s="55" t="str">
        <f t="shared" si="661"/>
        <v>SEPTIEMBRE</v>
      </c>
      <c r="T580" s="55" t="str">
        <f t="shared" si="662"/>
        <v>Sem38</v>
      </c>
      <c r="U580" s="56">
        <f t="shared" si="629"/>
        <v>7</v>
      </c>
      <c r="V580" s="59">
        <v>46284</v>
      </c>
      <c r="W580" s="56">
        <f t="shared" si="663"/>
        <v>38</v>
      </c>
      <c r="X580" s="56">
        <f t="shared" si="664"/>
        <v>19</v>
      </c>
      <c r="Y580" s="56" t="s">
        <v>33</v>
      </c>
      <c r="Z580" s="56">
        <v>6</v>
      </c>
      <c r="AA580" s="58">
        <f t="shared" si="649"/>
        <v>1</v>
      </c>
      <c r="AB580" s="58">
        <f t="shared" si="649"/>
        <v>0</v>
      </c>
      <c r="AC580" s="58">
        <f t="shared" si="649"/>
        <v>0</v>
      </c>
      <c r="AD580" s="58">
        <f t="shared" si="649"/>
        <v>0</v>
      </c>
      <c r="AE580" s="58">
        <f t="shared" si="649"/>
        <v>0</v>
      </c>
    </row>
    <row r="581" spans="2:34" s="60" customFormat="1">
      <c r="B581" s="60" t="str">
        <f t="shared" si="651"/>
        <v>Sem3838HERNÁNDEZ POCÓN ERVIN ALFONSO</v>
      </c>
      <c r="C581" s="60" t="str">
        <f t="shared" si="652"/>
        <v>SEPTIEMBRESem38</v>
      </c>
      <c r="D581" s="60" t="str">
        <f t="shared" si="653"/>
        <v>SEPTIEMBRESem38HERNÁNDEZ POCÓN ERVIN ALFONSO</v>
      </c>
      <c r="E581" s="60" t="str">
        <f t="shared" si="654"/>
        <v>SEPTIEMBRESem3838HERNÁNDEZ POCÓN ERVIN ALFONSO</v>
      </c>
      <c r="F581" s="60" t="str">
        <f t="shared" si="655"/>
        <v>HERNÁNDEZ POCÓN ERVIN ALFONSO46285</v>
      </c>
      <c r="H581" s="61" t="s">
        <v>263</v>
      </c>
      <c r="I581" s="62" t="str">
        <f>+_xlfn.XLOOKUP($H581&amp;$V581,BASEDATOS!$B:$B,BASEDATOS!F:F,0,0,1)</f>
        <v>DESCANSO</v>
      </c>
      <c r="J581" s="63">
        <f>+_xlfn.XLOOKUP($H581&amp;$V581,BASEDATOS!$B:$B,BASEDATOS!Q:Q,0,0,1)</f>
        <v>0</v>
      </c>
      <c r="K581" s="63">
        <f>+_xlfn.XLOOKUP($H581&amp;$V581,BASEDATOS!$B:$B,BASEDATOS!R:R,0,0,1)</f>
        <v>0</v>
      </c>
      <c r="L581" s="63">
        <f t="shared" si="656"/>
        <v>0</v>
      </c>
      <c r="M581" s="64">
        <f t="shared" si="657"/>
        <v>0</v>
      </c>
      <c r="N581" s="63">
        <f t="shared" si="658"/>
        <v>0</v>
      </c>
      <c r="O581" s="65" t="str">
        <f t="shared" ref="O581" si="704">+IF(Y581="Domingo",SUM(AA575:AA581)&amp;"-"&amp;SUM(AB575:AB581)&amp;"-"&amp;SUM(AC575:AE581),"")</f>
        <v>5-0-2</v>
      </c>
      <c r="P581" s="66">
        <f>+IF(AND(Y581="Domingo",U581=7),_xlfn.XLOOKUP(O581,'Horarios y Sistemas'!C:C,'Horarios y Sistemas'!H:H,0,0,1),0)</f>
        <v>44</v>
      </c>
      <c r="Q581" s="66">
        <f>IF(U581=U582,0,IF(AVERAGEIF(W:W,W581,U:U)=U581,0,_xlfn.XLOOKUP(O581,'Horarios y Sistemas'!C:C,'Horarios y Sistemas'!H:H,0,0,1)-P581))/7*U581</f>
        <v>0</v>
      </c>
      <c r="R581" s="66">
        <f t="shared" si="660"/>
        <v>44</v>
      </c>
      <c r="S581" s="67" t="str">
        <f t="shared" si="661"/>
        <v>SEPTIEMBRE</v>
      </c>
      <c r="T581" s="55" t="str">
        <f t="shared" si="662"/>
        <v>Sem38</v>
      </c>
      <c r="U581" s="68">
        <f t="shared" si="629"/>
        <v>7</v>
      </c>
      <c r="V581" s="69">
        <v>46285</v>
      </c>
      <c r="W581" s="68">
        <f t="shared" si="663"/>
        <v>38</v>
      </c>
      <c r="X581" s="68">
        <f t="shared" si="664"/>
        <v>20</v>
      </c>
      <c r="Y581" s="68" t="s">
        <v>34</v>
      </c>
      <c r="Z581" s="68">
        <v>7</v>
      </c>
      <c r="AA581" s="70">
        <f t="shared" si="649"/>
        <v>0</v>
      </c>
      <c r="AB581" s="70">
        <f t="shared" si="649"/>
        <v>0</v>
      </c>
      <c r="AC581" s="70">
        <f t="shared" si="649"/>
        <v>1</v>
      </c>
      <c r="AD581" s="70">
        <f t="shared" si="649"/>
        <v>0</v>
      </c>
      <c r="AE581" s="70">
        <f t="shared" si="649"/>
        <v>0</v>
      </c>
      <c r="AF581" s="71"/>
      <c r="AG581" s="71"/>
      <c r="AH581" s="71"/>
    </row>
    <row r="582" spans="2:34">
      <c r="B582" t="str">
        <f t="shared" si="651"/>
        <v>Sem3939HERNÁNDEZ POCÓN ERVIN ALFONSO</v>
      </c>
      <c r="C582" t="str">
        <f t="shared" si="652"/>
        <v>SEPTIEMBRESem39</v>
      </c>
      <c r="D582" t="str">
        <f t="shared" si="653"/>
        <v>SEPTIEMBRESem39HERNÁNDEZ POCÓN ERVIN ALFONSO</v>
      </c>
      <c r="E582" t="str">
        <f t="shared" si="654"/>
        <v>SEPTIEMBRESem3939HERNÁNDEZ POCÓN ERVIN ALFONSO</v>
      </c>
      <c r="F582" t="str">
        <f t="shared" si="655"/>
        <v>HERNÁNDEZ POCÓN ERVIN ALFONSO46286</v>
      </c>
      <c r="H582" s="49" t="s">
        <v>263</v>
      </c>
      <c r="I582" s="50" t="str">
        <f>+_xlfn.XLOOKUP($H582&amp;$V582,BASEDATOS!$B:$B,BASEDATOS!F:F,0,0,1)</f>
        <v>NOCHE</v>
      </c>
      <c r="J582" s="51">
        <f>+_xlfn.XLOOKUP($H582&amp;$V582,BASEDATOS!$B:$B,BASEDATOS!Q:Q,0,0,1)</f>
        <v>0.73958333333333304</v>
      </c>
      <c r="K582" s="51">
        <f>+_xlfn.XLOOKUP($H582&amp;$V582,BASEDATOS!$B:$B,BASEDATOS!R:R,0,0,1)</f>
        <v>0.25</v>
      </c>
      <c r="L582" s="51">
        <f t="shared" si="656"/>
        <v>0.51041666666666696</v>
      </c>
      <c r="M582" s="52" t="str">
        <f t="shared" si="657"/>
        <v>1:00</v>
      </c>
      <c r="N582" s="51">
        <f t="shared" si="658"/>
        <v>0.46875000000000028</v>
      </c>
      <c r="O582" s="53" t="str">
        <f t="shared" ref="O582" si="705">+O588</f>
        <v>0-5-2</v>
      </c>
      <c r="P582" s="54">
        <f>+IF(AND(Y582="Domingo",U582=7),_xlfn.XLOOKUP(O582,'Horarios y Sistemas'!C:C,'Horarios y Sistemas'!H:H,0,0,1),0)</f>
        <v>0</v>
      </c>
      <c r="Q582" s="54">
        <f>IF(U582=U583,0,IF(AVERAGEIF(W:W,W582,U:U)=U582,0,_xlfn.XLOOKUP(O582,'Horarios y Sistemas'!C:C,'Horarios y Sistemas'!H:H,0,0,1)-P582))/7*U582</f>
        <v>0</v>
      </c>
      <c r="R582" s="54">
        <f t="shared" si="660"/>
        <v>0</v>
      </c>
      <c r="S582" s="55" t="str">
        <f t="shared" si="661"/>
        <v>SEPTIEMBRE</v>
      </c>
      <c r="T582" s="55" t="str">
        <f t="shared" si="662"/>
        <v>Sem39</v>
      </c>
      <c r="U582" s="56">
        <f t="shared" si="629"/>
        <v>7</v>
      </c>
      <c r="V582" s="59">
        <v>46286</v>
      </c>
      <c r="W582" s="56">
        <f t="shared" si="663"/>
        <v>39</v>
      </c>
      <c r="X582" s="56">
        <f t="shared" si="664"/>
        <v>21</v>
      </c>
      <c r="Y582" s="56" t="s">
        <v>28</v>
      </c>
      <c r="Z582" s="56">
        <v>1</v>
      </c>
      <c r="AA582" s="58">
        <f t="shared" si="649"/>
        <v>0</v>
      </c>
      <c r="AB582" s="58">
        <f t="shared" si="649"/>
        <v>1</v>
      </c>
      <c r="AC582" s="58">
        <f t="shared" si="649"/>
        <v>0</v>
      </c>
      <c r="AD582" s="58">
        <f t="shared" si="649"/>
        <v>0</v>
      </c>
      <c r="AE582" s="58">
        <f t="shared" si="649"/>
        <v>0</v>
      </c>
    </row>
    <row r="583" spans="2:34">
      <c r="B583" t="str">
        <f t="shared" si="651"/>
        <v>Sem3939HERNÁNDEZ POCÓN ERVIN ALFONSO</v>
      </c>
      <c r="C583" t="str">
        <f t="shared" si="652"/>
        <v>SEPTIEMBRESem39</v>
      </c>
      <c r="D583" t="str">
        <f t="shared" si="653"/>
        <v>SEPTIEMBRESem39HERNÁNDEZ POCÓN ERVIN ALFONSO</v>
      </c>
      <c r="E583" t="str">
        <f t="shared" si="654"/>
        <v>SEPTIEMBRESem3939HERNÁNDEZ POCÓN ERVIN ALFONSO</v>
      </c>
      <c r="F583" t="str">
        <f t="shared" si="655"/>
        <v>HERNÁNDEZ POCÓN ERVIN ALFONSO46287</v>
      </c>
      <c r="H583" s="49" t="s">
        <v>263</v>
      </c>
      <c r="I583" s="50" t="str">
        <f>+_xlfn.XLOOKUP($H583&amp;$V583,BASEDATOS!$B:$B,BASEDATOS!F:F,0,0,1)</f>
        <v>NOCHE</v>
      </c>
      <c r="J583" s="51">
        <f>+_xlfn.XLOOKUP($H583&amp;$V583,BASEDATOS!$B:$B,BASEDATOS!Q:Q,0,0,1)</f>
        <v>0.73958333333333304</v>
      </c>
      <c r="K583" s="51">
        <f>+_xlfn.XLOOKUP($H583&amp;$V583,BASEDATOS!$B:$B,BASEDATOS!R:R,0,0,1)</f>
        <v>0.25</v>
      </c>
      <c r="L583" s="51">
        <f t="shared" si="656"/>
        <v>0.51041666666666696</v>
      </c>
      <c r="M583" s="52" t="str">
        <f t="shared" si="657"/>
        <v>1:00</v>
      </c>
      <c r="N583" s="51">
        <f t="shared" si="658"/>
        <v>0.46875000000000028</v>
      </c>
      <c r="O583" s="53" t="str">
        <f t="shared" ref="O583" si="706">+O588</f>
        <v>0-5-2</v>
      </c>
      <c r="P583" s="54">
        <f>+IF(AND(Y583="Domingo",U583=7),_xlfn.XLOOKUP(O583,'Horarios y Sistemas'!C:C,'Horarios y Sistemas'!H:H,0,0,1),0)</f>
        <v>0</v>
      </c>
      <c r="Q583" s="54">
        <f>IF(U583=U584,0,IF(AVERAGEIF(W:W,W583,U:U)=U583,0,_xlfn.XLOOKUP(O583,'Horarios y Sistemas'!C:C,'Horarios y Sistemas'!H:H,0,0,1)-P583))/7*U583</f>
        <v>0</v>
      </c>
      <c r="R583" s="54">
        <f t="shared" si="660"/>
        <v>0</v>
      </c>
      <c r="S583" s="55" t="str">
        <f t="shared" si="661"/>
        <v>SEPTIEMBRE</v>
      </c>
      <c r="T583" s="55" t="str">
        <f t="shared" si="662"/>
        <v>Sem39</v>
      </c>
      <c r="U583" s="56">
        <f t="shared" si="629"/>
        <v>7</v>
      </c>
      <c r="V583" s="59">
        <v>46287</v>
      </c>
      <c r="W583" s="56">
        <f t="shared" si="663"/>
        <v>39</v>
      </c>
      <c r="X583" s="56">
        <f t="shared" si="664"/>
        <v>22</v>
      </c>
      <c r="Y583" s="56" t="s">
        <v>29</v>
      </c>
      <c r="Z583" s="56">
        <v>2</v>
      </c>
      <c r="AA583" s="58">
        <f t="shared" si="649"/>
        <v>0</v>
      </c>
      <c r="AB583" s="58">
        <f t="shared" si="649"/>
        <v>1</v>
      </c>
      <c r="AC583" s="58">
        <f t="shared" si="649"/>
        <v>0</v>
      </c>
      <c r="AD583" s="58">
        <f t="shared" si="649"/>
        <v>0</v>
      </c>
      <c r="AE583" s="58">
        <f t="shared" si="649"/>
        <v>0</v>
      </c>
    </row>
    <row r="584" spans="2:34">
      <c r="B584" t="str">
        <f t="shared" si="651"/>
        <v>Sem3939HERNÁNDEZ POCÓN ERVIN ALFONSO</v>
      </c>
      <c r="C584" t="str">
        <f t="shared" si="652"/>
        <v>SEPTIEMBRESem39</v>
      </c>
      <c r="D584" t="str">
        <f t="shared" si="653"/>
        <v>SEPTIEMBRESem39HERNÁNDEZ POCÓN ERVIN ALFONSO</v>
      </c>
      <c r="E584" t="str">
        <f t="shared" si="654"/>
        <v>SEPTIEMBRESem3939HERNÁNDEZ POCÓN ERVIN ALFONSO</v>
      </c>
      <c r="F584" t="str">
        <f t="shared" si="655"/>
        <v>HERNÁNDEZ POCÓN ERVIN ALFONSO46288</v>
      </c>
      <c r="H584" s="49" t="s">
        <v>263</v>
      </c>
      <c r="I584" s="50" t="str">
        <f>+_xlfn.XLOOKUP($H584&amp;$V584,BASEDATOS!$B:$B,BASEDATOS!F:F,0,0,1)</f>
        <v>NOCHE</v>
      </c>
      <c r="J584" s="51">
        <f>+_xlfn.XLOOKUP($H584&amp;$V584,BASEDATOS!$B:$B,BASEDATOS!Q:Q,0,0,1)</f>
        <v>0.73958333333333304</v>
      </c>
      <c r="K584" s="51">
        <f>+_xlfn.XLOOKUP($H584&amp;$V584,BASEDATOS!$B:$B,BASEDATOS!R:R,0,0,1)</f>
        <v>0.25</v>
      </c>
      <c r="L584" s="51">
        <f t="shared" si="656"/>
        <v>0.51041666666666696</v>
      </c>
      <c r="M584" s="52" t="str">
        <f t="shared" si="657"/>
        <v>1:00</v>
      </c>
      <c r="N584" s="51">
        <f t="shared" si="658"/>
        <v>0.46875000000000028</v>
      </c>
      <c r="O584" s="53" t="str">
        <f t="shared" ref="O584" si="707">+O588</f>
        <v>0-5-2</v>
      </c>
      <c r="P584" s="54">
        <f>+IF(AND(Y584="Domingo",U584=7),_xlfn.XLOOKUP(O584,'Horarios y Sistemas'!C:C,'Horarios y Sistemas'!H:H,0,0,1),0)</f>
        <v>0</v>
      </c>
      <c r="Q584" s="54">
        <f>IF(U584=U585,0,IF(AVERAGEIF(W:W,W584,U:U)=U584,0,_xlfn.XLOOKUP(O584,'Horarios y Sistemas'!C:C,'Horarios y Sistemas'!H:H,0,0,1)-P584))/7*U584</f>
        <v>0</v>
      </c>
      <c r="R584" s="54">
        <f t="shared" si="660"/>
        <v>0</v>
      </c>
      <c r="S584" s="55" t="str">
        <f t="shared" si="661"/>
        <v>SEPTIEMBRE</v>
      </c>
      <c r="T584" s="55" t="str">
        <f t="shared" si="662"/>
        <v>Sem39</v>
      </c>
      <c r="U584" s="56">
        <f t="shared" ref="U584:U647" si="708">+COUNTIF(B:B,B584)</f>
        <v>7</v>
      </c>
      <c r="V584" s="59">
        <v>46288</v>
      </c>
      <c r="W584" s="56">
        <f t="shared" si="663"/>
        <v>39</v>
      </c>
      <c r="X584" s="56">
        <f t="shared" si="664"/>
        <v>23</v>
      </c>
      <c r="Y584" s="56" t="s">
        <v>30</v>
      </c>
      <c r="Z584" s="56">
        <v>3</v>
      </c>
      <c r="AA584" s="58">
        <f t="shared" si="649"/>
        <v>0</v>
      </c>
      <c r="AB584" s="58">
        <f t="shared" si="649"/>
        <v>1</v>
      </c>
      <c r="AC584" s="58">
        <f t="shared" si="649"/>
        <v>0</v>
      </c>
      <c r="AD584" s="58">
        <f t="shared" si="649"/>
        <v>0</v>
      </c>
      <c r="AE584" s="58">
        <f t="shared" si="649"/>
        <v>0</v>
      </c>
    </row>
    <row r="585" spans="2:34">
      <c r="B585" t="str">
        <f t="shared" si="651"/>
        <v>Sem3939HERNÁNDEZ POCÓN ERVIN ALFONSO</v>
      </c>
      <c r="C585" t="str">
        <f t="shared" si="652"/>
        <v>SEPTIEMBRESem39</v>
      </c>
      <c r="D585" t="str">
        <f t="shared" si="653"/>
        <v>SEPTIEMBRESem39HERNÁNDEZ POCÓN ERVIN ALFONSO</v>
      </c>
      <c r="E585" t="str">
        <f t="shared" si="654"/>
        <v>SEPTIEMBRESem3939HERNÁNDEZ POCÓN ERVIN ALFONSO</v>
      </c>
      <c r="F585" t="str">
        <f t="shared" si="655"/>
        <v>HERNÁNDEZ POCÓN ERVIN ALFONSO46289</v>
      </c>
      <c r="H585" s="49" t="s">
        <v>263</v>
      </c>
      <c r="I585" s="50" t="str">
        <f>+_xlfn.XLOOKUP($H585&amp;$V585,BASEDATOS!$B:$B,BASEDATOS!F:F,0,0,1)</f>
        <v>NOCHE</v>
      </c>
      <c r="J585" s="51">
        <f>+_xlfn.XLOOKUP($H585&amp;$V585,BASEDATOS!$B:$B,BASEDATOS!Q:Q,0,0,1)</f>
        <v>0.73958333333333304</v>
      </c>
      <c r="K585" s="51">
        <f>+_xlfn.XLOOKUP($H585&amp;$V585,BASEDATOS!$B:$B,BASEDATOS!R:R,0,0,1)</f>
        <v>0.25</v>
      </c>
      <c r="L585" s="51">
        <f t="shared" si="656"/>
        <v>0.51041666666666696</v>
      </c>
      <c r="M585" s="52" t="str">
        <f t="shared" si="657"/>
        <v>1:00</v>
      </c>
      <c r="N585" s="51">
        <f t="shared" si="658"/>
        <v>0.46875000000000028</v>
      </c>
      <c r="O585" s="53" t="str">
        <f t="shared" ref="O585" si="709">+O588</f>
        <v>0-5-2</v>
      </c>
      <c r="P585" s="54">
        <f>+IF(AND(Y585="Domingo",U585=7),_xlfn.XLOOKUP(O585,'Horarios y Sistemas'!C:C,'Horarios y Sistemas'!H:H,0,0,1),0)</f>
        <v>0</v>
      </c>
      <c r="Q585" s="54">
        <f>IF(U585=U586,0,IF(AVERAGEIF(W:W,W585,U:U)=U585,0,_xlfn.XLOOKUP(O585,'Horarios y Sistemas'!C:C,'Horarios y Sistemas'!H:H,0,0,1)-P585))/7*U585</f>
        <v>0</v>
      </c>
      <c r="R585" s="54">
        <f t="shared" si="660"/>
        <v>0</v>
      </c>
      <c r="S585" s="55" t="str">
        <f t="shared" si="661"/>
        <v>SEPTIEMBRE</v>
      </c>
      <c r="T585" s="55" t="str">
        <f t="shared" si="662"/>
        <v>Sem39</v>
      </c>
      <c r="U585" s="56">
        <f t="shared" si="708"/>
        <v>7</v>
      </c>
      <c r="V585" s="59">
        <v>46289</v>
      </c>
      <c r="W585" s="56">
        <f t="shared" si="663"/>
        <v>39</v>
      </c>
      <c r="X585" s="56">
        <f t="shared" si="664"/>
        <v>24</v>
      </c>
      <c r="Y585" s="56" t="s">
        <v>31</v>
      </c>
      <c r="Z585" s="56">
        <v>4</v>
      </c>
      <c r="AA585" s="58">
        <f t="shared" si="649"/>
        <v>0</v>
      </c>
      <c r="AB585" s="58">
        <f t="shared" si="649"/>
        <v>1</v>
      </c>
      <c r="AC585" s="58">
        <f t="shared" si="649"/>
        <v>0</v>
      </c>
      <c r="AD585" s="58">
        <f t="shared" si="649"/>
        <v>0</v>
      </c>
      <c r="AE585" s="58">
        <f t="shared" si="649"/>
        <v>0</v>
      </c>
    </row>
    <row r="586" spans="2:34">
      <c r="B586" t="str">
        <f t="shared" si="651"/>
        <v>Sem3939HERNÁNDEZ POCÓN ERVIN ALFONSO</v>
      </c>
      <c r="C586" t="str">
        <f t="shared" si="652"/>
        <v>SEPTIEMBRESem39</v>
      </c>
      <c r="D586" t="str">
        <f t="shared" si="653"/>
        <v>SEPTIEMBRESem39HERNÁNDEZ POCÓN ERVIN ALFONSO</v>
      </c>
      <c r="E586" t="str">
        <f t="shared" si="654"/>
        <v>SEPTIEMBRESem3939HERNÁNDEZ POCÓN ERVIN ALFONSO</v>
      </c>
      <c r="F586" t="str">
        <f t="shared" si="655"/>
        <v>HERNÁNDEZ POCÓN ERVIN ALFONSO46290</v>
      </c>
      <c r="H586" s="49" t="s">
        <v>263</v>
      </c>
      <c r="I586" s="50" t="str">
        <f>+_xlfn.XLOOKUP($H586&amp;$V586,BASEDATOS!$B:$B,BASEDATOS!F:F,0,0,1)</f>
        <v>NOCHE</v>
      </c>
      <c r="J586" s="51">
        <f>+_xlfn.XLOOKUP($H586&amp;$V586,BASEDATOS!$B:$B,BASEDATOS!Q:Q,0,0,1)</f>
        <v>0.73958333333333304</v>
      </c>
      <c r="K586" s="51">
        <f>+_xlfn.XLOOKUP($H586&amp;$V586,BASEDATOS!$B:$B,BASEDATOS!R:R,0,0,1)</f>
        <v>0.25</v>
      </c>
      <c r="L586" s="51">
        <f t="shared" si="656"/>
        <v>0.51041666666666696</v>
      </c>
      <c r="M586" s="52" t="str">
        <f t="shared" si="657"/>
        <v>1:00</v>
      </c>
      <c r="N586" s="51">
        <f t="shared" si="658"/>
        <v>0.46875000000000028</v>
      </c>
      <c r="O586" s="53" t="str">
        <f t="shared" ref="O586" si="710">+O588</f>
        <v>0-5-2</v>
      </c>
      <c r="P586" s="54">
        <f>+IF(AND(Y586="Domingo",U586=7),_xlfn.XLOOKUP(O586,'Horarios y Sistemas'!C:C,'Horarios y Sistemas'!H:H,0,0,1),0)</f>
        <v>0</v>
      </c>
      <c r="Q586" s="54">
        <f>IF(U586=U587,0,IF(AVERAGEIF(W:W,W586,U:U)=U586,0,_xlfn.XLOOKUP(O586,'Horarios y Sistemas'!C:C,'Horarios y Sistemas'!H:H,0,0,1)-P586))/7*U586</f>
        <v>0</v>
      </c>
      <c r="R586" s="54">
        <f t="shared" si="660"/>
        <v>0</v>
      </c>
      <c r="S586" s="55" t="str">
        <f t="shared" si="661"/>
        <v>SEPTIEMBRE</v>
      </c>
      <c r="T586" s="55" t="str">
        <f t="shared" si="662"/>
        <v>Sem39</v>
      </c>
      <c r="U586" s="56">
        <f t="shared" si="708"/>
        <v>7</v>
      </c>
      <c r="V586" s="59">
        <v>46290</v>
      </c>
      <c r="W586" s="56">
        <f t="shared" si="663"/>
        <v>39</v>
      </c>
      <c r="X586" s="56">
        <f t="shared" si="664"/>
        <v>25</v>
      </c>
      <c r="Y586" s="56" t="s">
        <v>32</v>
      </c>
      <c r="Z586" s="56">
        <v>5</v>
      </c>
      <c r="AA586" s="58">
        <f t="shared" si="649"/>
        <v>0</v>
      </c>
      <c r="AB586" s="58">
        <f t="shared" si="649"/>
        <v>1</v>
      </c>
      <c r="AC586" s="58">
        <f t="shared" si="649"/>
        <v>0</v>
      </c>
      <c r="AD586" s="58">
        <f t="shared" si="649"/>
        <v>0</v>
      </c>
      <c r="AE586" s="58">
        <f t="shared" si="649"/>
        <v>0</v>
      </c>
    </row>
    <row r="587" spans="2:34">
      <c r="B587" t="str">
        <f t="shared" si="651"/>
        <v>Sem3939HERNÁNDEZ POCÓN ERVIN ALFONSO</v>
      </c>
      <c r="C587" t="str">
        <f t="shared" si="652"/>
        <v>SEPTIEMBRESem39</v>
      </c>
      <c r="D587" t="str">
        <f t="shared" si="653"/>
        <v>SEPTIEMBRESem39HERNÁNDEZ POCÓN ERVIN ALFONSO</v>
      </c>
      <c r="E587" t="str">
        <f t="shared" si="654"/>
        <v>SEPTIEMBRESem3939HERNÁNDEZ POCÓN ERVIN ALFONSO</v>
      </c>
      <c r="F587" t="str">
        <f t="shared" si="655"/>
        <v>HERNÁNDEZ POCÓN ERVIN ALFONSO46291</v>
      </c>
      <c r="H587" s="49" t="s">
        <v>263</v>
      </c>
      <c r="I587" s="50" t="str">
        <f>+_xlfn.XLOOKUP($H587&amp;$V587,BASEDATOS!$B:$B,BASEDATOS!F:F,0,0,1)</f>
        <v>DESCANSO</v>
      </c>
      <c r="J587" s="51">
        <f>+_xlfn.XLOOKUP($H587&amp;$V587,BASEDATOS!$B:$B,BASEDATOS!Q:Q,0,0,1)</f>
        <v>0</v>
      </c>
      <c r="K587" s="51">
        <f>+_xlfn.XLOOKUP($H587&amp;$V587,BASEDATOS!$B:$B,BASEDATOS!R:R,0,0,1)</f>
        <v>0</v>
      </c>
      <c r="L587" s="51">
        <f t="shared" si="656"/>
        <v>0</v>
      </c>
      <c r="M587" s="52">
        <f t="shared" si="657"/>
        <v>0</v>
      </c>
      <c r="N587" s="51">
        <f t="shared" si="658"/>
        <v>0</v>
      </c>
      <c r="O587" s="53" t="str">
        <f t="shared" ref="O587" si="711">+O588</f>
        <v>0-5-2</v>
      </c>
      <c r="P587" s="54">
        <f>+IF(AND(Y587="Domingo",U587=7),_xlfn.XLOOKUP(O587,'Horarios y Sistemas'!C:C,'Horarios y Sistemas'!H:H,0,0,1),0)</f>
        <v>0</v>
      </c>
      <c r="Q587" s="54">
        <f>IF(U587=U588,0,IF(AVERAGEIF(W:W,W587,U:U)=U587,0,_xlfn.XLOOKUP(O587,'Horarios y Sistemas'!C:C,'Horarios y Sistemas'!H:H,0,0,1)-P587))/7*U587</f>
        <v>0</v>
      </c>
      <c r="R587" s="54">
        <f t="shared" si="660"/>
        <v>0</v>
      </c>
      <c r="S587" s="55" t="str">
        <f t="shared" si="661"/>
        <v>SEPTIEMBRE</v>
      </c>
      <c r="T587" s="55" t="str">
        <f t="shared" si="662"/>
        <v>Sem39</v>
      </c>
      <c r="U587" s="56">
        <f t="shared" si="708"/>
        <v>7</v>
      </c>
      <c r="V587" s="59">
        <v>46291</v>
      </c>
      <c r="W587" s="56">
        <f t="shared" si="663"/>
        <v>39</v>
      </c>
      <c r="X587" s="56">
        <f t="shared" si="664"/>
        <v>26</v>
      </c>
      <c r="Y587" s="56" t="s">
        <v>33</v>
      </c>
      <c r="Z587" s="56">
        <v>6</v>
      </c>
      <c r="AA587" s="58">
        <f t="shared" si="649"/>
        <v>0</v>
      </c>
      <c r="AB587" s="58">
        <f t="shared" si="649"/>
        <v>0</v>
      </c>
      <c r="AC587" s="58">
        <f t="shared" si="649"/>
        <v>1</v>
      </c>
      <c r="AD587" s="58">
        <f t="shared" si="649"/>
        <v>0</v>
      </c>
      <c r="AE587" s="58">
        <f t="shared" si="649"/>
        <v>0</v>
      </c>
    </row>
    <row r="588" spans="2:34" s="60" customFormat="1">
      <c r="B588" s="60" t="str">
        <f t="shared" si="651"/>
        <v>Sem3939HERNÁNDEZ POCÓN ERVIN ALFONSO</v>
      </c>
      <c r="C588" s="60" t="str">
        <f t="shared" si="652"/>
        <v>SEPTIEMBRESem39</v>
      </c>
      <c r="D588" s="60" t="str">
        <f t="shared" si="653"/>
        <v>SEPTIEMBRESem39HERNÁNDEZ POCÓN ERVIN ALFONSO</v>
      </c>
      <c r="E588" s="60" t="str">
        <f t="shared" si="654"/>
        <v>SEPTIEMBRESem3939HERNÁNDEZ POCÓN ERVIN ALFONSO</v>
      </c>
      <c r="F588" s="60" t="str">
        <f t="shared" si="655"/>
        <v>HERNÁNDEZ POCÓN ERVIN ALFONSO46292</v>
      </c>
      <c r="H588" s="61" t="s">
        <v>263</v>
      </c>
      <c r="I588" s="62" t="str">
        <f>+_xlfn.XLOOKUP($H588&amp;$V588,BASEDATOS!$B:$B,BASEDATOS!F:F,0,0,1)</f>
        <v>DESCANSO</v>
      </c>
      <c r="J588" s="63">
        <f>+_xlfn.XLOOKUP($H588&amp;$V588,BASEDATOS!$B:$B,BASEDATOS!Q:Q,0,0,1)</f>
        <v>0</v>
      </c>
      <c r="K588" s="63">
        <f>+_xlfn.XLOOKUP($H588&amp;$V588,BASEDATOS!$B:$B,BASEDATOS!R:R,0,0,1)</f>
        <v>0</v>
      </c>
      <c r="L588" s="63">
        <f t="shared" si="656"/>
        <v>0</v>
      </c>
      <c r="M588" s="64">
        <f t="shared" si="657"/>
        <v>0</v>
      </c>
      <c r="N588" s="63">
        <f t="shared" si="658"/>
        <v>0</v>
      </c>
      <c r="O588" s="65" t="str">
        <f t="shared" ref="O588" si="712">+IF(Y588="Domingo",SUM(AA582:AA588)&amp;"-"&amp;SUM(AB582:AB588)&amp;"-"&amp;SUM(AC582:AE588),"")</f>
        <v>0-5-2</v>
      </c>
      <c r="P588" s="66">
        <f>+IF(AND(Y588="Domingo",U588=7),_xlfn.XLOOKUP(O588,'Horarios y Sistemas'!C:C,'Horarios y Sistemas'!H:H,0,0,1),0)</f>
        <v>36</v>
      </c>
      <c r="Q588" s="66">
        <f>IF(U588=U589,0,IF(AVERAGEIF(W:W,W588,U:U)=U588,0,_xlfn.XLOOKUP(O588,'Horarios y Sistemas'!C:C,'Horarios y Sistemas'!H:H,0,0,1)-P588))/7*U588</f>
        <v>0</v>
      </c>
      <c r="R588" s="66">
        <f t="shared" si="660"/>
        <v>36</v>
      </c>
      <c r="S588" s="67" t="str">
        <f t="shared" si="661"/>
        <v>SEPTIEMBRE</v>
      </c>
      <c r="T588" s="55" t="str">
        <f t="shared" si="662"/>
        <v>Sem39</v>
      </c>
      <c r="U588" s="68">
        <f t="shared" si="708"/>
        <v>7</v>
      </c>
      <c r="V588" s="69">
        <v>46292</v>
      </c>
      <c r="W588" s="68">
        <f t="shared" si="663"/>
        <v>39</v>
      </c>
      <c r="X588" s="68">
        <f t="shared" si="664"/>
        <v>27</v>
      </c>
      <c r="Y588" s="68" t="s">
        <v>34</v>
      </c>
      <c r="Z588" s="68">
        <v>7</v>
      </c>
      <c r="AA588" s="70">
        <f t="shared" si="649"/>
        <v>0</v>
      </c>
      <c r="AB588" s="70">
        <f t="shared" si="649"/>
        <v>0</v>
      </c>
      <c r="AC588" s="70">
        <f t="shared" si="649"/>
        <v>1</v>
      </c>
      <c r="AD588" s="70">
        <f t="shared" si="649"/>
        <v>0</v>
      </c>
      <c r="AE588" s="70">
        <f t="shared" si="649"/>
        <v>0</v>
      </c>
      <c r="AF588" s="71"/>
      <c r="AG588" s="71"/>
      <c r="AH588" s="71"/>
    </row>
    <row r="589" spans="2:34">
      <c r="B589" t="str">
        <f t="shared" si="651"/>
        <v>Sem4040HERNÁNDEZ POCÓN ERVIN ALFONSO</v>
      </c>
      <c r="C589" t="str">
        <f t="shared" si="652"/>
        <v>SEPTIEMBRESem40</v>
      </c>
      <c r="D589" t="str">
        <f t="shared" si="653"/>
        <v>SEPTIEMBRESem40HERNÁNDEZ POCÓN ERVIN ALFONSO</v>
      </c>
      <c r="E589" t="str">
        <f t="shared" si="654"/>
        <v>SEPTIEMBRESem4040HERNÁNDEZ POCÓN ERVIN ALFONSO</v>
      </c>
      <c r="F589" t="str">
        <f t="shared" si="655"/>
        <v>HERNÁNDEZ POCÓN ERVIN ALFONSO46293</v>
      </c>
      <c r="H589" s="49" t="s">
        <v>263</v>
      </c>
      <c r="I589" s="50" t="str">
        <f>+_xlfn.XLOOKUP($H589&amp;$V589,BASEDATOS!$B:$B,BASEDATOS!F:F,0,0,1)</f>
        <v>DIA</v>
      </c>
      <c r="J589" s="51">
        <f>+_xlfn.XLOOKUP($H589&amp;$V589,BASEDATOS!$B:$B,BASEDATOS!Q:Q,0,0,1)</f>
        <v>0.23958333333333301</v>
      </c>
      <c r="K589" s="51">
        <f>+_xlfn.XLOOKUP($H589&amp;$V589,BASEDATOS!$B:$B,BASEDATOS!R:R,0,0,1)</f>
        <v>0.75</v>
      </c>
      <c r="L589" s="51">
        <f t="shared" si="656"/>
        <v>0.51041666666666696</v>
      </c>
      <c r="M589" s="52" t="str">
        <f t="shared" si="657"/>
        <v>1:00</v>
      </c>
      <c r="N589" s="51">
        <f t="shared" si="658"/>
        <v>0.46875000000000028</v>
      </c>
      <c r="O589" s="53" t="str">
        <f t="shared" ref="O589" si="713">+O595</f>
        <v>6-0-1</v>
      </c>
      <c r="P589" s="54">
        <f>+IF(AND(Y589="Domingo",U589=7),_xlfn.XLOOKUP(O589,'Horarios y Sistemas'!C:C,'Horarios y Sistemas'!H:H,0,0,1),0)</f>
        <v>0</v>
      </c>
      <c r="Q589" s="54">
        <f>IF(U589=U590,0,IF(AVERAGEIF(W:W,W589,U:U)=U589,0,_xlfn.XLOOKUP(O589,'Horarios y Sistemas'!C:C,'Horarios y Sistemas'!H:H,0,0,1)-P589))/7*U589</f>
        <v>0</v>
      </c>
      <c r="R589" s="54">
        <f t="shared" si="660"/>
        <v>0</v>
      </c>
      <c r="S589" s="55" t="str">
        <f t="shared" si="661"/>
        <v>SEPTIEMBRE</v>
      </c>
      <c r="T589" s="55" t="str">
        <f t="shared" si="662"/>
        <v>Sem40</v>
      </c>
      <c r="U589" s="56">
        <f t="shared" si="708"/>
        <v>7</v>
      </c>
      <c r="V589" s="59">
        <v>46293</v>
      </c>
      <c r="W589" s="56">
        <f t="shared" si="663"/>
        <v>40</v>
      </c>
      <c r="X589" s="56">
        <f t="shared" si="664"/>
        <v>28</v>
      </c>
      <c r="Y589" s="56" t="s">
        <v>28</v>
      </c>
      <c r="Z589" s="56">
        <v>1</v>
      </c>
      <c r="AA589" s="58">
        <f t="shared" si="649"/>
        <v>1</v>
      </c>
      <c r="AB589" s="58">
        <f t="shared" si="649"/>
        <v>0</v>
      </c>
      <c r="AC589" s="58">
        <f t="shared" si="649"/>
        <v>0</v>
      </c>
      <c r="AD589" s="58">
        <f t="shared" si="649"/>
        <v>0</v>
      </c>
      <c r="AE589" s="58">
        <f t="shared" si="649"/>
        <v>0</v>
      </c>
    </row>
    <row r="590" spans="2:34">
      <c r="B590" t="str">
        <f t="shared" si="651"/>
        <v>Sem4040HERNÁNDEZ POCÓN ERVIN ALFONSO</v>
      </c>
      <c r="C590" t="str">
        <f t="shared" si="652"/>
        <v>SEPTIEMBRESem40</v>
      </c>
      <c r="D590" t="str">
        <f t="shared" si="653"/>
        <v>SEPTIEMBRESem40HERNÁNDEZ POCÓN ERVIN ALFONSO</v>
      </c>
      <c r="E590" t="str">
        <f t="shared" si="654"/>
        <v>SEPTIEMBRESem4040HERNÁNDEZ POCÓN ERVIN ALFONSO</v>
      </c>
      <c r="F590" t="str">
        <f t="shared" si="655"/>
        <v>HERNÁNDEZ POCÓN ERVIN ALFONSO46294</v>
      </c>
      <c r="H590" s="49" t="s">
        <v>263</v>
      </c>
      <c r="I590" s="50" t="str">
        <f>+_xlfn.XLOOKUP($H590&amp;$V590,BASEDATOS!$B:$B,BASEDATOS!F:F,0,0,1)</f>
        <v>DIA</v>
      </c>
      <c r="J590" s="51">
        <f>+_xlfn.XLOOKUP($H590&amp;$V590,BASEDATOS!$B:$B,BASEDATOS!Q:Q,0,0,1)</f>
        <v>0.23958333333333301</v>
      </c>
      <c r="K590" s="51">
        <f>+_xlfn.XLOOKUP($H590&amp;$V590,BASEDATOS!$B:$B,BASEDATOS!R:R,0,0,1)</f>
        <v>0.75</v>
      </c>
      <c r="L590" s="51">
        <f t="shared" si="656"/>
        <v>0.51041666666666696</v>
      </c>
      <c r="M590" s="52" t="str">
        <f t="shared" si="657"/>
        <v>1:00</v>
      </c>
      <c r="N590" s="51">
        <f t="shared" si="658"/>
        <v>0.46875000000000028</v>
      </c>
      <c r="O590" s="53" t="str">
        <f t="shared" ref="O590" si="714">+O595</f>
        <v>6-0-1</v>
      </c>
      <c r="P590" s="54">
        <f>+IF(AND(Y590="Domingo",U590=7),_xlfn.XLOOKUP(O590,'Horarios y Sistemas'!C:C,'Horarios y Sistemas'!H:H,0,0,1),0)</f>
        <v>0</v>
      </c>
      <c r="Q590" s="54">
        <f>IF(U590=U591,0,IF(AVERAGEIF(W:W,W590,U:U)=U590,0,_xlfn.XLOOKUP(O590,'Horarios y Sistemas'!C:C,'Horarios y Sistemas'!H:H,0,0,1)-P590))/7*U590</f>
        <v>0</v>
      </c>
      <c r="R590" s="54">
        <f t="shared" si="660"/>
        <v>0</v>
      </c>
      <c r="S590" s="55" t="str">
        <f t="shared" si="661"/>
        <v>SEPTIEMBRE</v>
      </c>
      <c r="T590" s="55" t="str">
        <f t="shared" si="662"/>
        <v>Sem40</v>
      </c>
      <c r="U590" s="56">
        <f t="shared" si="708"/>
        <v>7</v>
      </c>
      <c r="V590" s="59">
        <v>46294</v>
      </c>
      <c r="W590" s="56">
        <f t="shared" si="663"/>
        <v>40</v>
      </c>
      <c r="X590" s="56">
        <f t="shared" si="664"/>
        <v>29</v>
      </c>
      <c r="Y590" s="56" t="s">
        <v>29</v>
      </c>
      <c r="Z590" s="56">
        <v>2</v>
      </c>
      <c r="AA590" s="58">
        <f t="shared" ref="AA590:AE626" si="715">+IF($I590=AA$7,1,0)</f>
        <v>1</v>
      </c>
      <c r="AB590" s="58">
        <f t="shared" si="715"/>
        <v>0</v>
      </c>
      <c r="AC590" s="58">
        <f t="shared" si="715"/>
        <v>0</v>
      </c>
      <c r="AD590" s="58">
        <f t="shared" si="715"/>
        <v>0</v>
      </c>
      <c r="AE590" s="58">
        <f t="shared" si="715"/>
        <v>0</v>
      </c>
    </row>
    <row r="591" spans="2:34">
      <c r="B591" t="str">
        <f t="shared" si="651"/>
        <v>Sem4040HERNÁNDEZ POCÓN ERVIN ALFONSO</v>
      </c>
      <c r="C591" t="str">
        <f t="shared" si="652"/>
        <v>SEPTIEMBRESem40</v>
      </c>
      <c r="D591" t="str">
        <f t="shared" si="653"/>
        <v>SEPTIEMBRESem40HERNÁNDEZ POCÓN ERVIN ALFONSO</v>
      </c>
      <c r="E591" t="str">
        <f t="shared" si="654"/>
        <v>SEPTIEMBRESem4040HERNÁNDEZ POCÓN ERVIN ALFONSO</v>
      </c>
      <c r="F591" t="str">
        <f t="shared" si="655"/>
        <v>HERNÁNDEZ POCÓN ERVIN ALFONSO46295</v>
      </c>
      <c r="H591" s="49" t="s">
        <v>263</v>
      </c>
      <c r="I591" s="50" t="str">
        <f>+_xlfn.XLOOKUP($H591&amp;$V591,BASEDATOS!$B:$B,BASEDATOS!F:F,0,0,1)</f>
        <v>DIA</v>
      </c>
      <c r="J591" s="51">
        <f>+_xlfn.XLOOKUP($H591&amp;$V591,BASEDATOS!$B:$B,BASEDATOS!Q:Q,0,0,1)</f>
        <v>0.23958333333333301</v>
      </c>
      <c r="K591" s="51">
        <f>+_xlfn.XLOOKUP($H591&amp;$V591,BASEDATOS!$B:$B,BASEDATOS!R:R,0,0,1)</f>
        <v>0.75</v>
      </c>
      <c r="L591" s="51">
        <f t="shared" si="656"/>
        <v>0.51041666666666696</v>
      </c>
      <c r="M591" s="52" t="str">
        <f t="shared" si="657"/>
        <v>1:00</v>
      </c>
      <c r="N591" s="51">
        <f t="shared" si="658"/>
        <v>0.46875000000000028</v>
      </c>
      <c r="O591" s="53" t="str">
        <f t="shared" ref="O591" si="716">+O595</f>
        <v>6-0-1</v>
      </c>
      <c r="P591" s="54">
        <f>+IF(AND(Y591="Domingo",U591=7),_xlfn.XLOOKUP(O591,'Horarios y Sistemas'!C:C,'Horarios y Sistemas'!H:H,0,0,1),0)</f>
        <v>0</v>
      </c>
      <c r="Q591" s="54">
        <f>IF(U591=U592,0,IF(AVERAGEIF(W:W,W591,U:U)=U591,0,_xlfn.XLOOKUP(O591,'Horarios y Sistemas'!C:C,'Horarios y Sistemas'!H:H,0,0,1)-P591))/7*U591</f>
        <v>0</v>
      </c>
      <c r="R591" s="54">
        <f t="shared" si="660"/>
        <v>0</v>
      </c>
      <c r="S591" s="55" t="str">
        <f t="shared" si="661"/>
        <v>SEPTIEMBRE</v>
      </c>
      <c r="T591" s="55" t="str">
        <f t="shared" si="662"/>
        <v>Sem40</v>
      </c>
      <c r="U591" s="56">
        <f t="shared" si="708"/>
        <v>7</v>
      </c>
      <c r="V591" s="59">
        <v>46295</v>
      </c>
      <c r="W591" s="56">
        <f t="shared" si="663"/>
        <v>40</v>
      </c>
      <c r="X591" s="56">
        <f t="shared" si="664"/>
        <v>30</v>
      </c>
      <c r="Y591" s="56" t="s">
        <v>30</v>
      </c>
      <c r="Z591" s="56">
        <v>3</v>
      </c>
      <c r="AA591" s="58">
        <f t="shared" si="715"/>
        <v>1</v>
      </c>
      <c r="AB591" s="58">
        <f t="shared" si="715"/>
        <v>0</v>
      </c>
      <c r="AC591" s="58">
        <f t="shared" si="715"/>
        <v>0</v>
      </c>
      <c r="AD591" s="58">
        <f t="shared" si="715"/>
        <v>0</v>
      </c>
      <c r="AE591" s="58">
        <f t="shared" si="715"/>
        <v>0</v>
      </c>
    </row>
    <row r="592" spans="2:34">
      <c r="B592" t="str">
        <f t="shared" si="651"/>
        <v>Sem4040HERNÁNDEZ POCÓN ERVIN ALFONSO</v>
      </c>
      <c r="C592" t="str">
        <f t="shared" si="652"/>
        <v>OCTUBRESem40</v>
      </c>
      <c r="D592" t="str">
        <f t="shared" si="653"/>
        <v>OCTUBRESem40HERNÁNDEZ POCÓN ERVIN ALFONSO</v>
      </c>
      <c r="E592" t="str">
        <f t="shared" si="654"/>
        <v>OCTUBRESem4040HERNÁNDEZ POCÓN ERVIN ALFONSO</v>
      </c>
      <c r="F592" t="str">
        <f t="shared" si="655"/>
        <v>HERNÁNDEZ POCÓN ERVIN ALFONSO46296</v>
      </c>
      <c r="H592" s="49" t="s">
        <v>263</v>
      </c>
      <c r="I592" s="50" t="str">
        <f>+_xlfn.XLOOKUP($H592&amp;$V592,BASEDATOS!$B:$B,BASEDATOS!F:F,0,0,1)</f>
        <v>DIA</v>
      </c>
      <c r="J592" s="51">
        <f>+_xlfn.XLOOKUP($H592&amp;$V592,BASEDATOS!$B:$B,BASEDATOS!Q:Q,0,0,1)</f>
        <v>0.23958333333333301</v>
      </c>
      <c r="K592" s="51">
        <f>+_xlfn.XLOOKUP($H592&amp;$V592,BASEDATOS!$B:$B,BASEDATOS!R:R,0,0,1)</f>
        <v>0.75</v>
      </c>
      <c r="L592" s="51">
        <f t="shared" si="656"/>
        <v>0.51041666666666696</v>
      </c>
      <c r="M592" s="52" t="str">
        <f t="shared" si="657"/>
        <v>1:00</v>
      </c>
      <c r="N592" s="51">
        <f t="shared" si="658"/>
        <v>0.46875000000000028</v>
      </c>
      <c r="O592" s="53" t="str">
        <f t="shared" ref="O592" si="717">+O595</f>
        <v>6-0-1</v>
      </c>
      <c r="P592" s="54">
        <f>+IF(AND(Y592="Domingo",U592=7),_xlfn.XLOOKUP(O592,'Horarios y Sistemas'!C:C,'Horarios y Sistemas'!H:H,0,0,1),0)</f>
        <v>0</v>
      </c>
      <c r="Q592" s="54">
        <f>IF(U592=U593,0,IF(AVERAGEIF(W:W,W592,U:U)=U592,0,_xlfn.XLOOKUP(O592,'Horarios y Sistemas'!C:C,'Horarios y Sistemas'!H:H,0,0,1)-P592))/7*U592</f>
        <v>0</v>
      </c>
      <c r="R592" s="54">
        <f t="shared" si="660"/>
        <v>0</v>
      </c>
      <c r="S592" s="55" t="str">
        <f t="shared" si="661"/>
        <v>OCTUBRE</v>
      </c>
      <c r="T592" s="55" t="str">
        <f t="shared" si="662"/>
        <v>Sem40</v>
      </c>
      <c r="U592" s="56">
        <f t="shared" si="708"/>
        <v>7</v>
      </c>
      <c r="V592" s="59">
        <v>46296</v>
      </c>
      <c r="W592" s="56">
        <f t="shared" si="663"/>
        <v>40</v>
      </c>
      <c r="X592" s="56">
        <f t="shared" si="664"/>
        <v>1</v>
      </c>
      <c r="Y592" s="56" t="s">
        <v>31</v>
      </c>
      <c r="Z592" s="56">
        <v>4</v>
      </c>
      <c r="AA592" s="58">
        <f t="shared" si="715"/>
        <v>1</v>
      </c>
      <c r="AB592" s="58">
        <f t="shared" si="715"/>
        <v>0</v>
      </c>
      <c r="AC592" s="58">
        <f t="shared" si="715"/>
        <v>0</v>
      </c>
      <c r="AD592" s="58">
        <f t="shared" si="715"/>
        <v>0</v>
      </c>
      <c r="AE592" s="58">
        <f t="shared" si="715"/>
        <v>0</v>
      </c>
    </row>
    <row r="593" spans="2:34">
      <c r="B593" t="str">
        <f t="shared" si="651"/>
        <v>Sem4040HERNÁNDEZ POCÓN ERVIN ALFONSO</v>
      </c>
      <c r="C593" t="str">
        <f t="shared" si="652"/>
        <v>OCTUBRESem40</v>
      </c>
      <c r="D593" t="str">
        <f t="shared" si="653"/>
        <v>OCTUBRESem40HERNÁNDEZ POCÓN ERVIN ALFONSO</v>
      </c>
      <c r="E593" t="str">
        <f t="shared" si="654"/>
        <v>OCTUBRESem4040HERNÁNDEZ POCÓN ERVIN ALFONSO</v>
      </c>
      <c r="F593" t="str">
        <f t="shared" si="655"/>
        <v>HERNÁNDEZ POCÓN ERVIN ALFONSO46297</v>
      </c>
      <c r="H593" s="49" t="s">
        <v>263</v>
      </c>
      <c r="I593" s="50" t="str">
        <f>+_xlfn.XLOOKUP($H593&amp;$V593,BASEDATOS!$B:$B,BASEDATOS!F:F,0,0,1)</f>
        <v>DIA</v>
      </c>
      <c r="J593" s="51">
        <f>+_xlfn.XLOOKUP($H593&amp;$V593,BASEDATOS!$B:$B,BASEDATOS!Q:Q,0,0,1)</f>
        <v>0.23958333333333301</v>
      </c>
      <c r="K593" s="51">
        <f>+_xlfn.XLOOKUP($H593&amp;$V593,BASEDATOS!$B:$B,BASEDATOS!R:R,0,0,1)</f>
        <v>0.75</v>
      </c>
      <c r="L593" s="51">
        <f t="shared" si="656"/>
        <v>0.51041666666666696</v>
      </c>
      <c r="M593" s="52" t="str">
        <f t="shared" si="657"/>
        <v>1:00</v>
      </c>
      <c r="N593" s="51">
        <f t="shared" si="658"/>
        <v>0.46875000000000028</v>
      </c>
      <c r="O593" s="53" t="str">
        <f t="shared" ref="O593" si="718">+O595</f>
        <v>6-0-1</v>
      </c>
      <c r="P593" s="54">
        <f>+IF(AND(Y593="Domingo",U593=7),_xlfn.XLOOKUP(O593,'Horarios y Sistemas'!C:C,'Horarios y Sistemas'!H:H,0,0,1),0)</f>
        <v>0</v>
      </c>
      <c r="Q593" s="54">
        <f>IF(U593=U594,0,IF(AVERAGEIF(W:W,W593,U:U)=U593,0,_xlfn.XLOOKUP(O593,'Horarios y Sistemas'!C:C,'Horarios y Sistemas'!H:H,0,0,1)-P593))/7*U593</f>
        <v>0</v>
      </c>
      <c r="R593" s="54">
        <f t="shared" si="660"/>
        <v>0</v>
      </c>
      <c r="S593" s="55" t="str">
        <f t="shared" si="661"/>
        <v>OCTUBRE</v>
      </c>
      <c r="T593" s="55" t="str">
        <f t="shared" si="662"/>
        <v>Sem40</v>
      </c>
      <c r="U593" s="56">
        <f t="shared" si="708"/>
        <v>7</v>
      </c>
      <c r="V593" s="59">
        <v>46297</v>
      </c>
      <c r="W593" s="56">
        <f t="shared" si="663"/>
        <v>40</v>
      </c>
      <c r="X593" s="56">
        <f t="shared" si="664"/>
        <v>2</v>
      </c>
      <c r="Y593" s="56" t="s">
        <v>32</v>
      </c>
      <c r="Z593" s="56">
        <v>5</v>
      </c>
      <c r="AA593" s="58">
        <f t="shared" si="715"/>
        <v>1</v>
      </c>
      <c r="AB593" s="58">
        <f t="shared" si="715"/>
        <v>0</v>
      </c>
      <c r="AC593" s="58">
        <f t="shared" si="715"/>
        <v>0</v>
      </c>
      <c r="AD593" s="58">
        <f t="shared" si="715"/>
        <v>0</v>
      </c>
      <c r="AE593" s="58">
        <f t="shared" si="715"/>
        <v>0</v>
      </c>
    </row>
    <row r="594" spans="2:34">
      <c r="B594" t="str">
        <f t="shared" si="651"/>
        <v>Sem4040HERNÁNDEZ POCÓN ERVIN ALFONSO</v>
      </c>
      <c r="C594" t="str">
        <f t="shared" si="652"/>
        <v>OCTUBRESem40</v>
      </c>
      <c r="D594" t="str">
        <f t="shared" si="653"/>
        <v>OCTUBRESem40HERNÁNDEZ POCÓN ERVIN ALFONSO</v>
      </c>
      <c r="E594" t="str">
        <f t="shared" si="654"/>
        <v>OCTUBRESem4040HERNÁNDEZ POCÓN ERVIN ALFONSO</v>
      </c>
      <c r="F594" t="str">
        <f t="shared" si="655"/>
        <v>HERNÁNDEZ POCÓN ERVIN ALFONSO46298</v>
      </c>
      <c r="H594" s="49" t="s">
        <v>263</v>
      </c>
      <c r="I594" s="50" t="str">
        <f>+_xlfn.XLOOKUP($H594&amp;$V594,BASEDATOS!$B:$B,BASEDATOS!F:F,0,0,1)</f>
        <v>DIA</v>
      </c>
      <c r="J594" s="51">
        <f>+_xlfn.XLOOKUP($H594&amp;$V594,BASEDATOS!$B:$B,BASEDATOS!Q:Q,0,0,1)</f>
        <v>0.33333333333333298</v>
      </c>
      <c r="K594" s="51">
        <f>+_xlfn.XLOOKUP($H594&amp;$V594,BASEDATOS!$B:$B,BASEDATOS!R:R,0,0,1)</f>
        <v>0.70833333333333304</v>
      </c>
      <c r="L594" s="51">
        <f t="shared" si="656"/>
        <v>0.37500000000000006</v>
      </c>
      <c r="M594" s="52" t="str">
        <f t="shared" si="657"/>
        <v>1:00</v>
      </c>
      <c r="N594" s="51">
        <f t="shared" si="658"/>
        <v>0.33333333333333337</v>
      </c>
      <c r="O594" s="53" t="str">
        <f t="shared" ref="O594" si="719">+O595</f>
        <v>6-0-1</v>
      </c>
      <c r="P594" s="54">
        <f>+IF(AND(Y594="Domingo",U594=7),_xlfn.XLOOKUP(O594,'Horarios y Sistemas'!C:C,'Horarios y Sistemas'!H:H,0,0,1),0)</f>
        <v>0</v>
      </c>
      <c r="Q594" s="54">
        <f>IF(U594=U595,0,IF(AVERAGEIF(W:W,W594,U:U)=U594,0,_xlfn.XLOOKUP(O594,'Horarios y Sistemas'!C:C,'Horarios y Sistemas'!H:H,0,0,1)-P594))/7*U594</f>
        <v>0</v>
      </c>
      <c r="R594" s="54">
        <f t="shared" si="660"/>
        <v>0</v>
      </c>
      <c r="S594" s="55" t="str">
        <f t="shared" si="661"/>
        <v>OCTUBRE</v>
      </c>
      <c r="T594" s="55" t="str">
        <f t="shared" si="662"/>
        <v>Sem40</v>
      </c>
      <c r="U594" s="56">
        <f t="shared" si="708"/>
        <v>7</v>
      </c>
      <c r="V594" s="59">
        <v>46298</v>
      </c>
      <c r="W594" s="56">
        <f t="shared" si="663"/>
        <v>40</v>
      </c>
      <c r="X594" s="56">
        <f t="shared" si="664"/>
        <v>3</v>
      </c>
      <c r="Y594" s="56" t="s">
        <v>33</v>
      </c>
      <c r="Z594" s="56">
        <v>6</v>
      </c>
      <c r="AA594" s="58">
        <f t="shared" si="715"/>
        <v>1</v>
      </c>
      <c r="AB594" s="58">
        <f t="shared" si="715"/>
        <v>0</v>
      </c>
      <c r="AC594" s="58">
        <f t="shared" si="715"/>
        <v>0</v>
      </c>
      <c r="AD594" s="58">
        <f t="shared" si="715"/>
        <v>0</v>
      </c>
      <c r="AE594" s="58">
        <f t="shared" si="715"/>
        <v>0</v>
      </c>
    </row>
    <row r="595" spans="2:34" s="60" customFormat="1">
      <c r="B595" s="60" t="str">
        <f t="shared" si="651"/>
        <v>Sem4040HERNÁNDEZ POCÓN ERVIN ALFONSO</v>
      </c>
      <c r="C595" s="60" t="str">
        <f t="shared" si="652"/>
        <v>OCTUBRESem40</v>
      </c>
      <c r="D595" s="60" t="str">
        <f t="shared" si="653"/>
        <v>OCTUBRESem40HERNÁNDEZ POCÓN ERVIN ALFONSO</v>
      </c>
      <c r="E595" s="60" t="str">
        <f t="shared" si="654"/>
        <v>OCTUBRESem4040HERNÁNDEZ POCÓN ERVIN ALFONSO</v>
      </c>
      <c r="F595" s="60" t="str">
        <f t="shared" si="655"/>
        <v>HERNÁNDEZ POCÓN ERVIN ALFONSO46299</v>
      </c>
      <c r="H595" s="61" t="s">
        <v>263</v>
      </c>
      <c r="I595" s="62" t="str">
        <f>+_xlfn.XLOOKUP($H595&amp;$V595,BASEDATOS!$B:$B,BASEDATOS!F:F,0,0,1)</f>
        <v>DESCANSO</v>
      </c>
      <c r="J595" s="63">
        <f>+_xlfn.XLOOKUP($H595&amp;$V595,BASEDATOS!$B:$B,BASEDATOS!Q:Q,0,0,1)</f>
        <v>0</v>
      </c>
      <c r="K595" s="63">
        <f>+_xlfn.XLOOKUP($H595&amp;$V595,BASEDATOS!$B:$B,BASEDATOS!R:R,0,0,1)</f>
        <v>0</v>
      </c>
      <c r="L595" s="63">
        <f t="shared" si="656"/>
        <v>0</v>
      </c>
      <c r="M595" s="64">
        <f t="shared" si="657"/>
        <v>0</v>
      </c>
      <c r="N595" s="63">
        <f t="shared" si="658"/>
        <v>0</v>
      </c>
      <c r="O595" s="65" t="str">
        <f t="shared" ref="O595" si="720">+IF(Y595="Domingo",SUM(AA589:AA595)&amp;"-"&amp;SUM(AB589:AB595)&amp;"-"&amp;SUM(AC589:AE595),"")</f>
        <v>6-0-1</v>
      </c>
      <c r="P595" s="66">
        <f>+IF(AND(Y595="Domingo",U595=7),_xlfn.XLOOKUP(O595,'Horarios y Sistemas'!C:C,'Horarios y Sistemas'!H:H,0,0,1),0)</f>
        <v>44</v>
      </c>
      <c r="Q595" s="66">
        <f>IF(U595=U596,0,IF(AVERAGEIF(W:W,W595,U:U)=U595,0,_xlfn.XLOOKUP(O595,'Horarios y Sistemas'!C:C,'Horarios y Sistemas'!H:H,0,0,1)-P595))/7*U595</f>
        <v>0</v>
      </c>
      <c r="R595" s="66">
        <f t="shared" si="660"/>
        <v>44</v>
      </c>
      <c r="S595" s="67" t="str">
        <f t="shared" si="661"/>
        <v>OCTUBRE</v>
      </c>
      <c r="T595" s="55" t="str">
        <f t="shared" si="662"/>
        <v>Sem40</v>
      </c>
      <c r="U595" s="68">
        <f t="shared" si="708"/>
        <v>7</v>
      </c>
      <c r="V595" s="69">
        <v>46299</v>
      </c>
      <c r="W595" s="68">
        <f t="shared" si="663"/>
        <v>40</v>
      </c>
      <c r="X595" s="68">
        <f t="shared" si="664"/>
        <v>4</v>
      </c>
      <c r="Y595" s="68" t="s">
        <v>34</v>
      </c>
      <c r="Z595" s="68">
        <v>7</v>
      </c>
      <c r="AA595" s="70">
        <f t="shared" si="715"/>
        <v>0</v>
      </c>
      <c r="AB595" s="70">
        <f t="shared" si="715"/>
        <v>0</v>
      </c>
      <c r="AC595" s="70">
        <f t="shared" si="715"/>
        <v>1</v>
      </c>
      <c r="AD595" s="70">
        <f t="shared" si="715"/>
        <v>0</v>
      </c>
      <c r="AE595" s="70">
        <f t="shared" si="715"/>
        <v>0</v>
      </c>
      <c r="AF595" s="71"/>
      <c r="AG595" s="71"/>
      <c r="AH595" s="71"/>
    </row>
    <row r="596" spans="2:34">
      <c r="B596" t="str">
        <f t="shared" si="651"/>
        <v>Sem3838HOSLIN HELYEL MAYORGA LOPEZ</v>
      </c>
      <c r="C596" t="str">
        <f t="shared" si="652"/>
        <v>SEPTIEMBRESem38</v>
      </c>
      <c r="D596" t="str">
        <f t="shared" si="653"/>
        <v>SEPTIEMBRESem38HOSLIN HELYEL MAYORGA LOPEZ</v>
      </c>
      <c r="E596" t="str">
        <f t="shared" si="654"/>
        <v>SEPTIEMBRESem3838HOSLIN HELYEL MAYORGA LOPEZ</v>
      </c>
      <c r="F596" t="str">
        <f t="shared" si="655"/>
        <v>HOSLIN HELYEL MAYORGA LOPEZ46279</v>
      </c>
      <c r="H596" s="49" t="s">
        <v>17</v>
      </c>
      <c r="I596" s="50" t="str">
        <f>+_xlfn.XLOOKUP($H596&amp;$V596,BASEDATOS!$B:$B,BASEDATOS!F:F,0,0,1)</f>
        <v>DESCANSO</v>
      </c>
      <c r="J596" s="51">
        <f>+_xlfn.XLOOKUP($H596&amp;$V596,BASEDATOS!$B:$B,BASEDATOS!Q:Q,0,0,1)</f>
        <v>0</v>
      </c>
      <c r="K596" s="51">
        <f>+_xlfn.XLOOKUP($H596&amp;$V596,BASEDATOS!$B:$B,BASEDATOS!R:R,0,0,1)</f>
        <v>0</v>
      </c>
      <c r="L596" s="51">
        <f t="shared" si="656"/>
        <v>0</v>
      </c>
      <c r="M596" s="52">
        <f t="shared" si="657"/>
        <v>0</v>
      </c>
      <c r="N596" s="51">
        <f t="shared" si="658"/>
        <v>0</v>
      </c>
      <c r="O596" s="53" t="str">
        <f t="shared" ref="O596" si="721">+O602</f>
        <v>1-0-6</v>
      </c>
      <c r="P596" s="54">
        <f>+IF(AND(Y596="Domingo",U596=7),_xlfn.XLOOKUP(O596,'Horarios y Sistemas'!C:C,'Horarios y Sistemas'!H:H,0,0,1),0)</f>
        <v>0</v>
      </c>
      <c r="Q596" s="54">
        <f>IF(U596=U597,0,IF(AVERAGEIF(W:W,W596,U:U)=U596,0,_xlfn.XLOOKUP(O596,'Horarios y Sistemas'!C:C,'Horarios y Sistemas'!H:H,0,0,1)-P596))/7*U596</f>
        <v>0</v>
      </c>
      <c r="R596" s="54">
        <f t="shared" si="660"/>
        <v>0</v>
      </c>
      <c r="S596" s="55" t="str">
        <f t="shared" si="661"/>
        <v>SEPTIEMBRE</v>
      </c>
      <c r="T596" s="55" t="str">
        <f t="shared" si="662"/>
        <v>Sem38</v>
      </c>
      <c r="U596" s="56">
        <f t="shared" si="708"/>
        <v>7</v>
      </c>
      <c r="V596" s="57">
        <v>46279</v>
      </c>
      <c r="W596" s="56">
        <f t="shared" si="663"/>
        <v>38</v>
      </c>
      <c r="X596" s="56">
        <f t="shared" si="664"/>
        <v>14</v>
      </c>
      <c r="Y596" s="56" t="s">
        <v>28</v>
      </c>
      <c r="Z596" s="56">
        <v>1</v>
      </c>
      <c r="AA596" s="58">
        <f t="shared" si="715"/>
        <v>0</v>
      </c>
      <c r="AB596" s="58">
        <f t="shared" si="715"/>
        <v>0</v>
      </c>
      <c r="AC596" s="58">
        <f t="shared" si="715"/>
        <v>1</v>
      </c>
      <c r="AD596" s="58">
        <f t="shared" si="715"/>
        <v>0</v>
      </c>
      <c r="AE596" s="58">
        <f t="shared" si="715"/>
        <v>0</v>
      </c>
    </row>
    <row r="597" spans="2:34">
      <c r="B597" t="str">
        <f t="shared" si="651"/>
        <v>Sem3838HOSLIN HELYEL MAYORGA LOPEZ</v>
      </c>
      <c r="C597" t="str">
        <f t="shared" si="652"/>
        <v>SEPTIEMBRESem38</v>
      </c>
      <c r="D597" t="str">
        <f t="shared" si="653"/>
        <v>SEPTIEMBRESem38HOSLIN HELYEL MAYORGA LOPEZ</v>
      </c>
      <c r="E597" t="str">
        <f t="shared" si="654"/>
        <v>SEPTIEMBRESem3838HOSLIN HELYEL MAYORGA LOPEZ</v>
      </c>
      <c r="F597" t="str">
        <f t="shared" si="655"/>
        <v>HOSLIN HELYEL MAYORGA LOPEZ46280</v>
      </c>
      <c r="H597" s="49" t="s">
        <v>17</v>
      </c>
      <c r="I597" s="50" t="str">
        <f>+_xlfn.XLOOKUP($H597&amp;$V597,BASEDATOS!$B:$B,BASEDATOS!F:F,0,0,1)</f>
        <v>DIA</v>
      </c>
      <c r="J597" s="51">
        <f>+_xlfn.XLOOKUP($H597&amp;$V597,BASEDATOS!$B:$B,BASEDATOS!Q:Q,0,0,1)</f>
        <v>0.33333333333333298</v>
      </c>
      <c r="K597" s="51">
        <f>+_xlfn.XLOOKUP($H597&amp;$V597,BASEDATOS!$B:$B,BASEDATOS!R:R,0,0,1)</f>
        <v>0.70833333333333304</v>
      </c>
      <c r="L597" s="51">
        <f t="shared" si="656"/>
        <v>0.37500000000000006</v>
      </c>
      <c r="M597" s="52" t="str">
        <f t="shared" si="657"/>
        <v>1:00</v>
      </c>
      <c r="N597" s="51">
        <f t="shared" si="658"/>
        <v>0.33333333333333337</v>
      </c>
      <c r="O597" s="53" t="str">
        <f t="shared" ref="O597" si="722">+O602</f>
        <v>1-0-6</v>
      </c>
      <c r="P597" s="54">
        <f>+IF(AND(Y597="Domingo",U597=7),_xlfn.XLOOKUP(O597,'Horarios y Sistemas'!C:C,'Horarios y Sistemas'!H:H,0,0,1),0)</f>
        <v>0</v>
      </c>
      <c r="Q597" s="54">
        <f>IF(U597=U598,0,IF(AVERAGEIF(W:W,W597,U:U)=U597,0,_xlfn.XLOOKUP(O597,'Horarios y Sistemas'!C:C,'Horarios y Sistemas'!H:H,0,0,1)-P597))/7*U597</f>
        <v>0</v>
      </c>
      <c r="R597" s="54">
        <f t="shared" si="660"/>
        <v>0</v>
      </c>
      <c r="S597" s="55" t="str">
        <f t="shared" si="661"/>
        <v>SEPTIEMBRE</v>
      </c>
      <c r="T597" s="55" t="str">
        <f t="shared" si="662"/>
        <v>Sem38</v>
      </c>
      <c r="U597" s="56">
        <f t="shared" si="708"/>
        <v>7</v>
      </c>
      <c r="V597" s="59">
        <v>46280</v>
      </c>
      <c r="W597" s="56">
        <f t="shared" si="663"/>
        <v>38</v>
      </c>
      <c r="X597" s="56">
        <f t="shared" si="664"/>
        <v>15</v>
      </c>
      <c r="Y597" s="56" t="s">
        <v>29</v>
      </c>
      <c r="Z597" s="56">
        <v>2</v>
      </c>
      <c r="AA597" s="58">
        <f t="shared" si="715"/>
        <v>1</v>
      </c>
      <c r="AB597" s="58">
        <f t="shared" si="715"/>
        <v>0</v>
      </c>
      <c r="AC597" s="58">
        <f t="shared" si="715"/>
        <v>0</v>
      </c>
      <c r="AD597" s="58">
        <f t="shared" si="715"/>
        <v>0</v>
      </c>
      <c r="AE597" s="58">
        <f t="shared" si="715"/>
        <v>0</v>
      </c>
    </row>
    <row r="598" spans="2:34">
      <c r="B598" t="str">
        <f t="shared" si="651"/>
        <v>Sem3838HOSLIN HELYEL MAYORGA LOPEZ</v>
      </c>
      <c r="C598" t="str">
        <f t="shared" si="652"/>
        <v>SEPTIEMBRESem38</v>
      </c>
      <c r="D598" t="str">
        <f t="shared" si="653"/>
        <v>SEPTIEMBRESem38HOSLIN HELYEL MAYORGA LOPEZ</v>
      </c>
      <c r="E598" t="str">
        <f t="shared" si="654"/>
        <v>SEPTIEMBRESem3838HOSLIN HELYEL MAYORGA LOPEZ</v>
      </c>
      <c r="F598" t="str">
        <f t="shared" si="655"/>
        <v>HOSLIN HELYEL MAYORGA LOPEZ46281</v>
      </c>
      <c r="H598" s="49" t="s">
        <v>17</v>
      </c>
      <c r="I598" s="50" t="str">
        <f>+_xlfn.XLOOKUP($H598&amp;$V598,BASEDATOS!$B:$B,BASEDATOS!F:F,0,0,1)</f>
        <v>DESCANSO</v>
      </c>
      <c r="J598" s="51">
        <f>+_xlfn.XLOOKUP($H598&amp;$V598,BASEDATOS!$B:$B,BASEDATOS!Q:Q,0,0,1)</f>
        <v>0</v>
      </c>
      <c r="K598" s="51">
        <f>+_xlfn.XLOOKUP($H598&amp;$V598,BASEDATOS!$B:$B,BASEDATOS!R:R,0,0,1)</f>
        <v>0</v>
      </c>
      <c r="L598" s="51">
        <f t="shared" si="656"/>
        <v>0</v>
      </c>
      <c r="M598" s="52">
        <f t="shared" si="657"/>
        <v>0</v>
      </c>
      <c r="N598" s="51">
        <f t="shared" si="658"/>
        <v>0</v>
      </c>
      <c r="O598" s="53" t="str">
        <f t="shared" ref="O598" si="723">+O602</f>
        <v>1-0-6</v>
      </c>
      <c r="P598" s="54">
        <f>+IF(AND(Y598="Domingo",U598=7),_xlfn.XLOOKUP(O598,'Horarios y Sistemas'!C:C,'Horarios y Sistemas'!H:H,0,0,1),0)</f>
        <v>0</v>
      </c>
      <c r="Q598" s="54">
        <f>IF(U598=U599,0,IF(AVERAGEIF(W:W,W598,U:U)=U598,0,_xlfn.XLOOKUP(O598,'Horarios y Sistemas'!C:C,'Horarios y Sistemas'!H:H,0,0,1)-P598))/7*U598</f>
        <v>0</v>
      </c>
      <c r="R598" s="54">
        <f t="shared" si="660"/>
        <v>0</v>
      </c>
      <c r="S598" s="55" t="str">
        <f t="shared" si="661"/>
        <v>SEPTIEMBRE</v>
      </c>
      <c r="T598" s="55" t="str">
        <f t="shared" si="662"/>
        <v>Sem38</v>
      </c>
      <c r="U598" s="56">
        <f t="shared" si="708"/>
        <v>7</v>
      </c>
      <c r="V598" s="59">
        <v>46281</v>
      </c>
      <c r="W598" s="56">
        <f t="shared" si="663"/>
        <v>38</v>
      </c>
      <c r="X598" s="56">
        <f t="shared" si="664"/>
        <v>16</v>
      </c>
      <c r="Y598" s="56" t="s">
        <v>30</v>
      </c>
      <c r="Z598" s="56">
        <v>3</v>
      </c>
      <c r="AA598" s="58">
        <f t="shared" si="715"/>
        <v>0</v>
      </c>
      <c r="AB598" s="58">
        <f t="shared" si="715"/>
        <v>0</v>
      </c>
      <c r="AC598" s="58">
        <f t="shared" si="715"/>
        <v>1</v>
      </c>
      <c r="AD598" s="58">
        <f t="shared" si="715"/>
        <v>0</v>
      </c>
      <c r="AE598" s="58">
        <f t="shared" si="715"/>
        <v>0</v>
      </c>
    </row>
    <row r="599" spans="2:34">
      <c r="B599" t="str">
        <f t="shared" si="651"/>
        <v>Sem3838HOSLIN HELYEL MAYORGA LOPEZ</v>
      </c>
      <c r="C599" t="str">
        <f t="shared" si="652"/>
        <v>SEPTIEMBRESem38</v>
      </c>
      <c r="D599" t="str">
        <f t="shared" si="653"/>
        <v>SEPTIEMBRESem38HOSLIN HELYEL MAYORGA LOPEZ</v>
      </c>
      <c r="E599" t="str">
        <f t="shared" si="654"/>
        <v>SEPTIEMBRESem3838HOSLIN HELYEL MAYORGA LOPEZ</v>
      </c>
      <c r="F599" t="str">
        <f t="shared" si="655"/>
        <v>HOSLIN HELYEL MAYORGA LOPEZ46282</v>
      </c>
      <c r="H599" s="49" t="s">
        <v>17</v>
      </c>
      <c r="I599" s="50" t="str">
        <f>+_xlfn.XLOOKUP($H599&amp;$V599,BASEDATOS!$B:$B,BASEDATOS!F:F,0,0,1)</f>
        <v>DESCANSO</v>
      </c>
      <c r="J599" s="51">
        <f>+_xlfn.XLOOKUP($H599&amp;$V599,BASEDATOS!$B:$B,BASEDATOS!Q:Q,0,0,1)</f>
        <v>0</v>
      </c>
      <c r="K599" s="51">
        <f>+_xlfn.XLOOKUP($H599&amp;$V599,BASEDATOS!$B:$B,BASEDATOS!R:R,0,0,1)</f>
        <v>0</v>
      </c>
      <c r="L599" s="51">
        <f t="shared" si="656"/>
        <v>0</v>
      </c>
      <c r="M599" s="52">
        <f t="shared" si="657"/>
        <v>0</v>
      </c>
      <c r="N599" s="51">
        <f t="shared" si="658"/>
        <v>0</v>
      </c>
      <c r="O599" s="53" t="str">
        <f t="shared" ref="O599" si="724">+O602</f>
        <v>1-0-6</v>
      </c>
      <c r="P599" s="54">
        <f>+IF(AND(Y599="Domingo",U599=7),_xlfn.XLOOKUP(O599,'Horarios y Sistemas'!C:C,'Horarios y Sistemas'!H:H,0,0,1),0)</f>
        <v>0</v>
      </c>
      <c r="Q599" s="54">
        <f>IF(U599=U600,0,IF(AVERAGEIF(W:W,W599,U:U)=U599,0,_xlfn.XLOOKUP(O599,'Horarios y Sistemas'!C:C,'Horarios y Sistemas'!H:H,0,0,1)-P599))/7*U599</f>
        <v>0</v>
      </c>
      <c r="R599" s="54">
        <f t="shared" si="660"/>
        <v>0</v>
      </c>
      <c r="S599" s="55" t="str">
        <f t="shared" si="661"/>
        <v>SEPTIEMBRE</v>
      </c>
      <c r="T599" s="55" t="str">
        <f t="shared" si="662"/>
        <v>Sem38</v>
      </c>
      <c r="U599" s="56">
        <f t="shared" si="708"/>
        <v>7</v>
      </c>
      <c r="V599" s="59">
        <v>46282</v>
      </c>
      <c r="W599" s="56">
        <f t="shared" si="663"/>
        <v>38</v>
      </c>
      <c r="X599" s="56">
        <f t="shared" si="664"/>
        <v>17</v>
      </c>
      <c r="Y599" s="56" t="s">
        <v>31</v>
      </c>
      <c r="Z599" s="56">
        <v>4</v>
      </c>
      <c r="AA599" s="58">
        <f t="shared" si="715"/>
        <v>0</v>
      </c>
      <c r="AB599" s="58">
        <f t="shared" si="715"/>
        <v>0</v>
      </c>
      <c r="AC599" s="58">
        <f t="shared" si="715"/>
        <v>1</v>
      </c>
      <c r="AD599" s="58">
        <f t="shared" si="715"/>
        <v>0</v>
      </c>
      <c r="AE599" s="58">
        <f t="shared" si="715"/>
        <v>0</v>
      </c>
    </row>
    <row r="600" spans="2:34">
      <c r="B600" t="str">
        <f t="shared" si="651"/>
        <v>Sem3838HOSLIN HELYEL MAYORGA LOPEZ</v>
      </c>
      <c r="C600" t="str">
        <f t="shared" si="652"/>
        <v>SEPTIEMBRESem38</v>
      </c>
      <c r="D600" t="str">
        <f t="shared" si="653"/>
        <v>SEPTIEMBRESem38HOSLIN HELYEL MAYORGA LOPEZ</v>
      </c>
      <c r="E600" t="str">
        <f t="shared" si="654"/>
        <v>SEPTIEMBRESem3838HOSLIN HELYEL MAYORGA LOPEZ</v>
      </c>
      <c r="F600" t="str">
        <f t="shared" si="655"/>
        <v>HOSLIN HELYEL MAYORGA LOPEZ46283</v>
      </c>
      <c r="H600" s="49" t="s">
        <v>17</v>
      </c>
      <c r="I600" s="50" t="str">
        <f>+_xlfn.XLOOKUP($H600&amp;$V600,BASEDATOS!$B:$B,BASEDATOS!F:F,0,0,1)</f>
        <v>DESCANSO</v>
      </c>
      <c r="J600" s="51">
        <f>+_xlfn.XLOOKUP($H600&amp;$V600,BASEDATOS!$B:$B,BASEDATOS!Q:Q,0,0,1)</f>
        <v>0</v>
      </c>
      <c r="K600" s="51">
        <f>+_xlfn.XLOOKUP($H600&amp;$V600,BASEDATOS!$B:$B,BASEDATOS!R:R,0,0,1)</f>
        <v>0</v>
      </c>
      <c r="L600" s="51">
        <f t="shared" si="656"/>
        <v>0</v>
      </c>
      <c r="M600" s="52">
        <f t="shared" si="657"/>
        <v>0</v>
      </c>
      <c r="N600" s="51">
        <f t="shared" si="658"/>
        <v>0</v>
      </c>
      <c r="O600" s="53" t="str">
        <f t="shared" ref="O600" si="725">+O602</f>
        <v>1-0-6</v>
      </c>
      <c r="P600" s="54">
        <f>+IF(AND(Y600="Domingo",U600=7),_xlfn.XLOOKUP(O600,'Horarios y Sistemas'!C:C,'Horarios y Sistemas'!H:H,0,0,1),0)</f>
        <v>0</v>
      </c>
      <c r="Q600" s="54">
        <f>IF(U600=U601,0,IF(AVERAGEIF(W:W,W600,U:U)=U600,0,_xlfn.XLOOKUP(O600,'Horarios y Sistemas'!C:C,'Horarios y Sistemas'!H:H,0,0,1)-P600))/7*U600</f>
        <v>0</v>
      </c>
      <c r="R600" s="54">
        <f t="shared" si="660"/>
        <v>0</v>
      </c>
      <c r="S600" s="55" t="str">
        <f t="shared" si="661"/>
        <v>SEPTIEMBRE</v>
      </c>
      <c r="T600" s="55" t="str">
        <f t="shared" si="662"/>
        <v>Sem38</v>
      </c>
      <c r="U600" s="56">
        <f t="shared" si="708"/>
        <v>7</v>
      </c>
      <c r="V600" s="59">
        <v>46283</v>
      </c>
      <c r="W600" s="56">
        <f t="shared" si="663"/>
        <v>38</v>
      </c>
      <c r="X600" s="56">
        <f t="shared" si="664"/>
        <v>18</v>
      </c>
      <c r="Y600" s="56" t="s">
        <v>32</v>
      </c>
      <c r="Z600" s="56">
        <v>5</v>
      </c>
      <c r="AA600" s="58">
        <f t="shared" si="715"/>
        <v>0</v>
      </c>
      <c r="AB600" s="58">
        <f t="shared" si="715"/>
        <v>0</v>
      </c>
      <c r="AC600" s="58">
        <f t="shared" si="715"/>
        <v>1</v>
      </c>
      <c r="AD600" s="58">
        <f t="shared" si="715"/>
        <v>0</v>
      </c>
      <c r="AE600" s="58">
        <f t="shared" si="715"/>
        <v>0</v>
      </c>
    </row>
    <row r="601" spans="2:34">
      <c r="B601" t="str">
        <f t="shared" si="651"/>
        <v>Sem3838HOSLIN HELYEL MAYORGA LOPEZ</v>
      </c>
      <c r="C601" t="str">
        <f t="shared" si="652"/>
        <v>SEPTIEMBRESem38</v>
      </c>
      <c r="D601" t="str">
        <f t="shared" si="653"/>
        <v>SEPTIEMBRESem38HOSLIN HELYEL MAYORGA LOPEZ</v>
      </c>
      <c r="E601" t="str">
        <f t="shared" si="654"/>
        <v>SEPTIEMBRESem3838HOSLIN HELYEL MAYORGA LOPEZ</v>
      </c>
      <c r="F601" t="str">
        <f t="shared" si="655"/>
        <v>HOSLIN HELYEL MAYORGA LOPEZ46284</v>
      </c>
      <c r="H601" s="49" t="s">
        <v>17</v>
      </c>
      <c r="I601" s="50" t="str">
        <f>+_xlfn.XLOOKUP($H601&amp;$V601,BASEDATOS!$B:$B,BASEDATOS!F:F,0,0,1)</f>
        <v>DESCANSO</v>
      </c>
      <c r="J601" s="51">
        <f>+_xlfn.XLOOKUP($H601&amp;$V601,BASEDATOS!$B:$B,BASEDATOS!Q:Q,0,0,1)</f>
        <v>0</v>
      </c>
      <c r="K601" s="51">
        <f>+_xlfn.XLOOKUP($H601&amp;$V601,BASEDATOS!$B:$B,BASEDATOS!R:R,0,0,1)</f>
        <v>0</v>
      </c>
      <c r="L601" s="51">
        <f t="shared" si="656"/>
        <v>0</v>
      </c>
      <c r="M601" s="52">
        <f t="shared" si="657"/>
        <v>0</v>
      </c>
      <c r="N601" s="51">
        <f t="shared" si="658"/>
        <v>0</v>
      </c>
      <c r="O601" s="53" t="str">
        <f t="shared" ref="O601" si="726">+O602</f>
        <v>1-0-6</v>
      </c>
      <c r="P601" s="54">
        <f>+IF(AND(Y601="Domingo",U601=7),_xlfn.XLOOKUP(O601,'Horarios y Sistemas'!C:C,'Horarios y Sistemas'!H:H,0,0,1),0)</f>
        <v>0</v>
      </c>
      <c r="Q601" s="54">
        <f>IF(U601=U602,0,IF(AVERAGEIF(W:W,W601,U:U)=U601,0,_xlfn.XLOOKUP(O601,'Horarios y Sistemas'!C:C,'Horarios y Sistemas'!H:H,0,0,1)-P601))/7*U601</f>
        <v>0</v>
      </c>
      <c r="R601" s="54">
        <f t="shared" si="660"/>
        <v>0</v>
      </c>
      <c r="S601" s="55" t="str">
        <f t="shared" si="661"/>
        <v>SEPTIEMBRE</v>
      </c>
      <c r="T601" s="55" t="str">
        <f t="shared" si="662"/>
        <v>Sem38</v>
      </c>
      <c r="U601" s="56">
        <f t="shared" si="708"/>
        <v>7</v>
      </c>
      <c r="V601" s="59">
        <v>46284</v>
      </c>
      <c r="W601" s="56">
        <f t="shared" si="663"/>
        <v>38</v>
      </c>
      <c r="X601" s="56">
        <f t="shared" si="664"/>
        <v>19</v>
      </c>
      <c r="Y601" s="56" t="s">
        <v>33</v>
      </c>
      <c r="Z601" s="56">
        <v>6</v>
      </c>
      <c r="AA601" s="58">
        <f t="shared" si="715"/>
        <v>0</v>
      </c>
      <c r="AB601" s="58">
        <f t="shared" si="715"/>
        <v>0</v>
      </c>
      <c r="AC601" s="58">
        <f t="shared" si="715"/>
        <v>1</v>
      </c>
      <c r="AD601" s="58">
        <f t="shared" si="715"/>
        <v>0</v>
      </c>
      <c r="AE601" s="58">
        <f t="shared" si="715"/>
        <v>0</v>
      </c>
    </row>
    <row r="602" spans="2:34" s="60" customFormat="1">
      <c r="B602" s="60" t="str">
        <f t="shared" si="651"/>
        <v>Sem3838HOSLIN HELYEL MAYORGA LOPEZ</v>
      </c>
      <c r="C602" s="60" t="str">
        <f t="shared" si="652"/>
        <v>SEPTIEMBRESem38</v>
      </c>
      <c r="D602" s="60" t="str">
        <f t="shared" si="653"/>
        <v>SEPTIEMBRESem38HOSLIN HELYEL MAYORGA LOPEZ</v>
      </c>
      <c r="E602" s="60" t="str">
        <f t="shared" si="654"/>
        <v>SEPTIEMBRESem3838HOSLIN HELYEL MAYORGA LOPEZ</v>
      </c>
      <c r="F602" s="60" t="str">
        <f t="shared" si="655"/>
        <v>HOSLIN HELYEL MAYORGA LOPEZ46285</v>
      </c>
      <c r="H602" s="61" t="s">
        <v>17</v>
      </c>
      <c r="I602" s="62" t="str">
        <f>+_xlfn.XLOOKUP($H602&amp;$V602,BASEDATOS!$B:$B,BASEDATOS!F:F,0,0,1)</f>
        <v>DESCANSO</v>
      </c>
      <c r="J602" s="63">
        <f>+_xlfn.XLOOKUP($H602&amp;$V602,BASEDATOS!$B:$B,BASEDATOS!Q:Q,0,0,1)</f>
        <v>0</v>
      </c>
      <c r="K602" s="63">
        <f>+_xlfn.XLOOKUP($H602&amp;$V602,BASEDATOS!$B:$B,BASEDATOS!R:R,0,0,1)</f>
        <v>0</v>
      </c>
      <c r="L602" s="63">
        <f t="shared" si="656"/>
        <v>0</v>
      </c>
      <c r="M602" s="64">
        <f t="shared" si="657"/>
        <v>0</v>
      </c>
      <c r="N602" s="63">
        <f t="shared" si="658"/>
        <v>0</v>
      </c>
      <c r="O602" s="65" t="str">
        <f t="shared" ref="O602" si="727">+IF(Y602="Domingo",SUM(AA596:AA602)&amp;"-"&amp;SUM(AB596:AB602)&amp;"-"&amp;SUM(AC596:AE602),"")</f>
        <v>1-0-6</v>
      </c>
      <c r="P602" s="66">
        <f>+IF(AND(Y602="Domingo",U602=7),_xlfn.XLOOKUP(O602,'Horarios y Sistemas'!C:C,'Horarios y Sistemas'!H:H,0,0,1),0)</f>
        <v>44</v>
      </c>
      <c r="Q602" s="66">
        <f>IF(U602=U603,0,IF(AVERAGEIF(W:W,W602,U:U)=U602,0,_xlfn.XLOOKUP(O602,'Horarios y Sistemas'!C:C,'Horarios y Sistemas'!H:H,0,0,1)-P602))/7*U602</f>
        <v>0</v>
      </c>
      <c r="R602" s="66">
        <f t="shared" si="660"/>
        <v>44</v>
      </c>
      <c r="S602" s="67" t="str">
        <f t="shared" si="661"/>
        <v>SEPTIEMBRE</v>
      </c>
      <c r="T602" s="55" t="str">
        <f t="shared" si="662"/>
        <v>Sem38</v>
      </c>
      <c r="U602" s="68">
        <f t="shared" si="708"/>
        <v>7</v>
      </c>
      <c r="V602" s="69">
        <v>46285</v>
      </c>
      <c r="W602" s="68">
        <f t="shared" si="663"/>
        <v>38</v>
      </c>
      <c r="X602" s="68">
        <f t="shared" si="664"/>
        <v>20</v>
      </c>
      <c r="Y602" s="68" t="s">
        <v>34</v>
      </c>
      <c r="Z602" s="68">
        <v>7</v>
      </c>
      <c r="AA602" s="70">
        <f t="shared" si="715"/>
        <v>0</v>
      </c>
      <c r="AB602" s="70">
        <f t="shared" si="715"/>
        <v>0</v>
      </c>
      <c r="AC602" s="70">
        <f t="shared" si="715"/>
        <v>1</v>
      </c>
      <c r="AD602" s="70">
        <f t="shared" si="715"/>
        <v>0</v>
      </c>
      <c r="AE602" s="70">
        <f t="shared" si="715"/>
        <v>0</v>
      </c>
      <c r="AF602" s="71"/>
      <c r="AG602" s="71"/>
      <c r="AH602" s="71"/>
    </row>
    <row r="603" spans="2:34">
      <c r="B603" t="str">
        <f t="shared" si="651"/>
        <v>Sem3939HOSLIN HELYEL MAYORGA LOPEZ</v>
      </c>
      <c r="C603" t="str">
        <f t="shared" si="652"/>
        <v>SEPTIEMBRESem39</v>
      </c>
      <c r="D603" t="str">
        <f t="shared" si="653"/>
        <v>SEPTIEMBRESem39HOSLIN HELYEL MAYORGA LOPEZ</v>
      </c>
      <c r="E603" t="str">
        <f t="shared" si="654"/>
        <v>SEPTIEMBRESem3939HOSLIN HELYEL MAYORGA LOPEZ</v>
      </c>
      <c r="F603" t="str">
        <f t="shared" si="655"/>
        <v>HOSLIN HELYEL MAYORGA LOPEZ46286</v>
      </c>
      <c r="H603" s="49" t="s">
        <v>17</v>
      </c>
      <c r="I603" s="50" t="str">
        <f>+_xlfn.XLOOKUP($H603&amp;$V603,BASEDATOS!$B:$B,BASEDATOS!F:F,0,0,1)</f>
        <v>DESCANSO</v>
      </c>
      <c r="J603" s="51">
        <f>+_xlfn.XLOOKUP($H603&amp;$V603,BASEDATOS!$B:$B,BASEDATOS!Q:Q,0,0,1)</f>
        <v>0</v>
      </c>
      <c r="K603" s="51">
        <f>+_xlfn.XLOOKUP($H603&amp;$V603,BASEDATOS!$B:$B,BASEDATOS!R:R,0,0,1)</f>
        <v>0</v>
      </c>
      <c r="L603" s="51">
        <f t="shared" si="656"/>
        <v>0</v>
      </c>
      <c r="M603" s="52">
        <f t="shared" si="657"/>
        <v>0</v>
      </c>
      <c r="N603" s="51">
        <f t="shared" si="658"/>
        <v>0</v>
      </c>
      <c r="O603" s="53" t="str">
        <f t="shared" ref="O603" si="728">+O609</f>
        <v>0-0-7</v>
      </c>
      <c r="P603" s="54">
        <f>+IF(AND(Y603="Domingo",U603=7),_xlfn.XLOOKUP(O603,'Horarios y Sistemas'!C:C,'Horarios y Sistemas'!H:H,0,0,1),0)</f>
        <v>0</v>
      </c>
      <c r="Q603" s="54">
        <f>IF(U603=U604,0,IF(AVERAGEIF(W:W,W603,U:U)=U603,0,_xlfn.XLOOKUP(O603,'Horarios y Sistemas'!C:C,'Horarios y Sistemas'!H:H,0,0,1)-P603))/7*U603</f>
        <v>0</v>
      </c>
      <c r="R603" s="54">
        <f t="shared" si="660"/>
        <v>0</v>
      </c>
      <c r="S603" s="55" t="str">
        <f t="shared" si="661"/>
        <v>SEPTIEMBRE</v>
      </c>
      <c r="T603" s="55" t="str">
        <f t="shared" si="662"/>
        <v>Sem39</v>
      </c>
      <c r="U603" s="56">
        <f t="shared" si="708"/>
        <v>7</v>
      </c>
      <c r="V603" s="59">
        <v>46286</v>
      </c>
      <c r="W603" s="56">
        <f t="shared" si="663"/>
        <v>39</v>
      </c>
      <c r="X603" s="56">
        <f t="shared" si="664"/>
        <v>21</v>
      </c>
      <c r="Y603" s="56" t="s">
        <v>28</v>
      </c>
      <c r="Z603" s="56">
        <v>1</v>
      </c>
      <c r="AA603" s="58">
        <f t="shared" si="715"/>
        <v>0</v>
      </c>
      <c r="AB603" s="58">
        <f t="shared" si="715"/>
        <v>0</v>
      </c>
      <c r="AC603" s="58">
        <f t="shared" si="715"/>
        <v>1</v>
      </c>
      <c r="AD603" s="58">
        <f t="shared" si="715"/>
        <v>0</v>
      </c>
      <c r="AE603" s="58">
        <f t="shared" si="715"/>
        <v>0</v>
      </c>
    </row>
    <row r="604" spans="2:34">
      <c r="B604" t="str">
        <f t="shared" si="651"/>
        <v>Sem3939HOSLIN HELYEL MAYORGA LOPEZ</v>
      </c>
      <c r="C604" t="str">
        <f t="shared" si="652"/>
        <v>SEPTIEMBRESem39</v>
      </c>
      <c r="D604" t="str">
        <f t="shared" si="653"/>
        <v>SEPTIEMBRESem39HOSLIN HELYEL MAYORGA LOPEZ</v>
      </c>
      <c r="E604" t="str">
        <f t="shared" si="654"/>
        <v>SEPTIEMBRESem3939HOSLIN HELYEL MAYORGA LOPEZ</v>
      </c>
      <c r="F604" t="str">
        <f t="shared" si="655"/>
        <v>HOSLIN HELYEL MAYORGA LOPEZ46287</v>
      </c>
      <c r="H604" s="49" t="s">
        <v>17</v>
      </c>
      <c r="I604" s="50" t="str">
        <f>+_xlfn.XLOOKUP($H604&amp;$V604,BASEDATOS!$B:$B,BASEDATOS!F:F,0,0,1)</f>
        <v>DESCANSO</v>
      </c>
      <c r="J604" s="51">
        <f>+_xlfn.XLOOKUP($H604&amp;$V604,BASEDATOS!$B:$B,BASEDATOS!Q:Q,0,0,1)</f>
        <v>0</v>
      </c>
      <c r="K604" s="51">
        <f>+_xlfn.XLOOKUP($H604&amp;$V604,BASEDATOS!$B:$B,BASEDATOS!R:R,0,0,1)</f>
        <v>0</v>
      </c>
      <c r="L604" s="51">
        <f t="shared" si="656"/>
        <v>0</v>
      </c>
      <c r="M604" s="52">
        <f t="shared" si="657"/>
        <v>0</v>
      </c>
      <c r="N604" s="51">
        <f t="shared" si="658"/>
        <v>0</v>
      </c>
      <c r="O604" s="53" t="str">
        <f t="shared" ref="O604" si="729">+O609</f>
        <v>0-0-7</v>
      </c>
      <c r="P604" s="54">
        <f>+IF(AND(Y604="Domingo",U604=7),_xlfn.XLOOKUP(O604,'Horarios y Sistemas'!C:C,'Horarios y Sistemas'!H:H,0,0,1),0)</f>
        <v>0</v>
      </c>
      <c r="Q604" s="54">
        <f>IF(U604=U605,0,IF(AVERAGEIF(W:W,W604,U:U)=U604,0,_xlfn.XLOOKUP(O604,'Horarios y Sistemas'!C:C,'Horarios y Sistemas'!H:H,0,0,1)-P604))/7*U604</f>
        <v>0</v>
      </c>
      <c r="R604" s="54">
        <f t="shared" si="660"/>
        <v>0</v>
      </c>
      <c r="S604" s="55" t="str">
        <f t="shared" si="661"/>
        <v>SEPTIEMBRE</v>
      </c>
      <c r="T604" s="55" t="str">
        <f t="shared" si="662"/>
        <v>Sem39</v>
      </c>
      <c r="U604" s="56">
        <f t="shared" si="708"/>
        <v>7</v>
      </c>
      <c r="V604" s="59">
        <v>46287</v>
      </c>
      <c r="W604" s="56">
        <f t="shared" si="663"/>
        <v>39</v>
      </c>
      <c r="X604" s="56">
        <f t="shared" si="664"/>
        <v>22</v>
      </c>
      <c r="Y604" s="56" t="s">
        <v>29</v>
      </c>
      <c r="Z604" s="56">
        <v>2</v>
      </c>
      <c r="AA604" s="58">
        <f t="shared" si="715"/>
        <v>0</v>
      </c>
      <c r="AB604" s="58">
        <f t="shared" si="715"/>
        <v>0</v>
      </c>
      <c r="AC604" s="58">
        <f t="shared" si="715"/>
        <v>1</v>
      </c>
      <c r="AD604" s="58">
        <f t="shared" si="715"/>
        <v>0</v>
      </c>
      <c r="AE604" s="58">
        <f t="shared" si="715"/>
        <v>0</v>
      </c>
    </row>
    <row r="605" spans="2:34">
      <c r="B605" t="str">
        <f t="shared" ref="B605:B654" si="730">+T605&amp;W605&amp;H605</f>
        <v>Sem3939HOSLIN HELYEL MAYORGA LOPEZ</v>
      </c>
      <c r="C605" t="str">
        <f t="shared" ref="C605:C654" si="731">+S605&amp;T605</f>
        <v>SEPTIEMBRESem39</v>
      </c>
      <c r="D605" t="str">
        <f t="shared" ref="D605:D654" si="732">+S605&amp;T605&amp;H605</f>
        <v>SEPTIEMBRESem39HOSLIN HELYEL MAYORGA LOPEZ</v>
      </c>
      <c r="E605" t="str">
        <f t="shared" ref="E605:E654" si="733">+S605&amp;T605&amp;W605&amp;H605</f>
        <v>SEPTIEMBRESem3939HOSLIN HELYEL MAYORGA LOPEZ</v>
      </c>
      <c r="F605" t="str">
        <f t="shared" ref="F605:F654" si="734">+H605&amp;V605</f>
        <v>HOSLIN HELYEL MAYORGA LOPEZ46288</v>
      </c>
      <c r="H605" s="49" t="s">
        <v>17</v>
      </c>
      <c r="I605" s="50" t="str">
        <f>+_xlfn.XLOOKUP($H605&amp;$V605,BASEDATOS!$B:$B,BASEDATOS!F:F,0,0,1)</f>
        <v>DESCANSO</v>
      </c>
      <c r="J605" s="51">
        <f>+_xlfn.XLOOKUP($H605&amp;$V605,BASEDATOS!$B:$B,BASEDATOS!Q:Q,0,0,1)</f>
        <v>0</v>
      </c>
      <c r="K605" s="51">
        <f>+_xlfn.XLOOKUP($H605&amp;$V605,BASEDATOS!$B:$B,BASEDATOS!R:R,0,0,1)</f>
        <v>0</v>
      </c>
      <c r="L605" s="51">
        <f t="shared" ref="L605:L654" si="735">+IF(OR(J605="Descanso",J605="AUSENTE",J605="ASUETO"),0,MOD(K605-J605,1))</f>
        <v>0</v>
      </c>
      <c r="M605" s="52">
        <f t="shared" ref="M605:M654" si="736">+IF(OR(I605="DIA",I605="NOCHE",I605="MIXTO"),"1:00",0)</f>
        <v>0</v>
      </c>
      <c r="N605" s="51">
        <f t="shared" ref="N605:N654" si="737">+IF(I605="ASUETO-D",8/24,IF(I605="ASUETO-N",6/24,MOD(L605-M605,1)))</f>
        <v>0</v>
      </c>
      <c r="O605" s="53" t="str">
        <f t="shared" ref="O605" si="738">+O609</f>
        <v>0-0-7</v>
      </c>
      <c r="P605" s="54">
        <f>+IF(AND(Y605="Domingo",U605=7),_xlfn.XLOOKUP(O605,'Horarios y Sistemas'!C:C,'Horarios y Sistemas'!H:H,0,0,1),0)</f>
        <v>0</v>
      </c>
      <c r="Q605" s="54">
        <f>IF(U605=U606,0,IF(AVERAGEIF(W:W,W605,U:U)=U605,0,_xlfn.XLOOKUP(O605,'Horarios y Sistemas'!C:C,'Horarios y Sistemas'!H:H,0,0,1)-P605))/7*U605</f>
        <v>0</v>
      </c>
      <c r="R605" s="54">
        <f t="shared" ref="R605:R654" si="739">+IF(Y605="Domingo",SUM(P599:Q605),0)</f>
        <v>0</v>
      </c>
      <c r="S605" s="55" t="str">
        <f t="shared" ref="S605:S654" si="740">+UPPER(TEXT(V605,"MMMMMMMM"))</f>
        <v>SEPTIEMBRE</v>
      </c>
      <c r="T605" s="55" t="str">
        <f t="shared" ref="T605:T654" si="741">+"Sem"&amp;W605</f>
        <v>Sem39</v>
      </c>
      <c r="U605" s="56">
        <f t="shared" si="708"/>
        <v>7</v>
      </c>
      <c r="V605" s="59">
        <v>46288</v>
      </c>
      <c r="W605" s="56">
        <f t="shared" ref="W605:W654" si="742">+_xlfn.ISOWEEKNUM(V605)</f>
        <v>39</v>
      </c>
      <c r="X605" s="56">
        <f t="shared" ref="X605:X654" si="743">+DAY(V605)</f>
        <v>23</v>
      </c>
      <c r="Y605" s="56" t="s">
        <v>30</v>
      </c>
      <c r="Z605" s="56">
        <v>3</v>
      </c>
      <c r="AA605" s="58">
        <f t="shared" si="715"/>
        <v>0</v>
      </c>
      <c r="AB605" s="58">
        <f t="shared" si="715"/>
        <v>0</v>
      </c>
      <c r="AC605" s="58">
        <f t="shared" si="715"/>
        <v>1</v>
      </c>
      <c r="AD605" s="58">
        <f t="shared" si="715"/>
        <v>0</v>
      </c>
      <c r="AE605" s="58">
        <f t="shared" si="715"/>
        <v>0</v>
      </c>
    </row>
    <row r="606" spans="2:34">
      <c r="B606" t="str">
        <f t="shared" si="730"/>
        <v>Sem3939HOSLIN HELYEL MAYORGA LOPEZ</v>
      </c>
      <c r="C606" t="str">
        <f t="shared" si="731"/>
        <v>SEPTIEMBRESem39</v>
      </c>
      <c r="D606" t="str">
        <f t="shared" si="732"/>
        <v>SEPTIEMBRESem39HOSLIN HELYEL MAYORGA LOPEZ</v>
      </c>
      <c r="E606" t="str">
        <f t="shared" si="733"/>
        <v>SEPTIEMBRESem3939HOSLIN HELYEL MAYORGA LOPEZ</v>
      </c>
      <c r="F606" t="str">
        <f t="shared" si="734"/>
        <v>HOSLIN HELYEL MAYORGA LOPEZ46289</v>
      </c>
      <c r="H606" s="49" t="s">
        <v>17</v>
      </c>
      <c r="I606" s="50" t="str">
        <f>+_xlfn.XLOOKUP($H606&amp;$V606,BASEDATOS!$B:$B,BASEDATOS!F:F,0,0,1)</f>
        <v>DESCANSO</v>
      </c>
      <c r="J606" s="51">
        <f>+_xlfn.XLOOKUP($H606&amp;$V606,BASEDATOS!$B:$B,BASEDATOS!Q:Q,0,0,1)</f>
        <v>0</v>
      </c>
      <c r="K606" s="51">
        <f>+_xlfn.XLOOKUP($H606&amp;$V606,BASEDATOS!$B:$B,BASEDATOS!R:R,0,0,1)</f>
        <v>0</v>
      </c>
      <c r="L606" s="51">
        <f t="shared" si="735"/>
        <v>0</v>
      </c>
      <c r="M606" s="52">
        <f t="shared" si="736"/>
        <v>0</v>
      </c>
      <c r="N606" s="51">
        <f t="shared" si="737"/>
        <v>0</v>
      </c>
      <c r="O606" s="53" t="str">
        <f t="shared" ref="O606" si="744">+O609</f>
        <v>0-0-7</v>
      </c>
      <c r="P606" s="54">
        <f>+IF(AND(Y606="Domingo",U606=7),_xlfn.XLOOKUP(O606,'Horarios y Sistemas'!C:C,'Horarios y Sistemas'!H:H,0,0,1),0)</f>
        <v>0</v>
      </c>
      <c r="Q606" s="54">
        <f>IF(U606=U607,0,IF(AVERAGEIF(W:W,W606,U:U)=U606,0,_xlfn.XLOOKUP(O606,'Horarios y Sistemas'!C:C,'Horarios y Sistemas'!H:H,0,0,1)-P606))/7*U606</f>
        <v>0</v>
      </c>
      <c r="R606" s="54">
        <f t="shared" si="739"/>
        <v>0</v>
      </c>
      <c r="S606" s="55" t="str">
        <f t="shared" si="740"/>
        <v>SEPTIEMBRE</v>
      </c>
      <c r="T606" s="55" t="str">
        <f t="shared" si="741"/>
        <v>Sem39</v>
      </c>
      <c r="U606" s="56">
        <f t="shared" si="708"/>
        <v>7</v>
      </c>
      <c r="V606" s="59">
        <v>46289</v>
      </c>
      <c r="W606" s="56">
        <f t="shared" si="742"/>
        <v>39</v>
      </c>
      <c r="X606" s="56">
        <f t="shared" si="743"/>
        <v>24</v>
      </c>
      <c r="Y606" s="56" t="s">
        <v>31</v>
      </c>
      <c r="Z606" s="56">
        <v>4</v>
      </c>
      <c r="AA606" s="58">
        <f t="shared" si="715"/>
        <v>0</v>
      </c>
      <c r="AB606" s="58">
        <f t="shared" si="715"/>
        <v>0</v>
      </c>
      <c r="AC606" s="58">
        <f t="shared" si="715"/>
        <v>1</v>
      </c>
      <c r="AD606" s="58">
        <f t="shared" si="715"/>
        <v>0</v>
      </c>
      <c r="AE606" s="58">
        <f t="shared" si="715"/>
        <v>0</v>
      </c>
    </row>
    <row r="607" spans="2:34">
      <c r="B607" t="str">
        <f t="shared" si="730"/>
        <v>Sem3939HOSLIN HELYEL MAYORGA LOPEZ</v>
      </c>
      <c r="C607" t="str">
        <f t="shared" si="731"/>
        <v>SEPTIEMBRESem39</v>
      </c>
      <c r="D607" t="str">
        <f t="shared" si="732"/>
        <v>SEPTIEMBRESem39HOSLIN HELYEL MAYORGA LOPEZ</v>
      </c>
      <c r="E607" t="str">
        <f t="shared" si="733"/>
        <v>SEPTIEMBRESem3939HOSLIN HELYEL MAYORGA LOPEZ</v>
      </c>
      <c r="F607" t="str">
        <f t="shared" si="734"/>
        <v>HOSLIN HELYEL MAYORGA LOPEZ46290</v>
      </c>
      <c r="H607" s="49" t="s">
        <v>17</v>
      </c>
      <c r="I607" s="50" t="str">
        <f>+_xlfn.XLOOKUP($H607&amp;$V607,BASEDATOS!$B:$B,BASEDATOS!F:F,0,0,1)</f>
        <v>DESCANSO</v>
      </c>
      <c r="J607" s="51">
        <f>+_xlfn.XLOOKUP($H607&amp;$V607,BASEDATOS!$B:$B,BASEDATOS!Q:Q,0,0,1)</f>
        <v>0</v>
      </c>
      <c r="K607" s="51">
        <f>+_xlfn.XLOOKUP($H607&amp;$V607,BASEDATOS!$B:$B,BASEDATOS!R:R,0,0,1)</f>
        <v>0</v>
      </c>
      <c r="L607" s="51">
        <f t="shared" si="735"/>
        <v>0</v>
      </c>
      <c r="M607" s="52">
        <f t="shared" si="736"/>
        <v>0</v>
      </c>
      <c r="N607" s="51">
        <f t="shared" si="737"/>
        <v>0</v>
      </c>
      <c r="O607" s="53" t="str">
        <f t="shared" ref="O607" si="745">+O609</f>
        <v>0-0-7</v>
      </c>
      <c r="P607" s="54">
        <f>+IF(AND(Y607="Domingo",U607=7),_xlfn.XLOOKUP(O607,'Horarios y Sistemas'!C:C,'Horarios y Sistemas'!H:H,0,0,1),0)</f>
        <v>0</v>
      </c>
      <c r="Q607" s="54">
        <f>IF(U607=U608,0,IF(AVERAGEIF(W:W,W607,U:U)=U607,0,_xlfn.XLOOKUP(O607,'Horarios y Sistemas'!C:C,'Horarios y Sistemas'!H:H,0,0,1)-P607))/7*U607</f>
        <v>0</v>
      </c>
      <c r="R607" s="54">
        <f t="shared" si="739"/>
        <v>0</v>
      </c>
      <c r="S607" s="55" t="str">
        <f t="shared" si="740"/>
        <v>SEPTIEMBRE</v>
      </c>
      <c r="T607" s="55" t="str">
        <f t="shared" si="741"/>
        <v>Sem39</v>
      </c>
      <c r="U607" s="56">
        <f t="shared" si="708"/>
        <v>7</v>
      </c>
      <c r="V607" s="59">
        <v>46290</v>
      </c>
      <c r="W607" s="56">
        <f t="shared" si="742"/>
        <v>39</v>
      </c>
      <c r="X607" s="56">
        <f t="shared" si="743"/>
        <v>25</v>
      </c>
      <c r="Y607" s="56" t="s">
        <v>32</v>
      </c>
      <c r="Z607" s="56">
        <v>5</v>
      </c>
      <c r="AA607" s="58">
        <f t="shared" si="715"/>
        <v>0</v>
      </c>
      <c r="AB607" s="58">
        <f t="shared" si="715"/>
        <v>0</v>
      </c>
      <c r="AC607" s="58">
        <f t="shared" si="715"/>
        <v>1</v>
      </c>
      <c r="AD607" s="58">
        <f t="shared" si="715"/>
        <v>0</v>
      </c>
      <c r="AE607" s="58">
        <f t="shared" si="715"/>
        <v>0</v>
      </c>
    </row>
    <row r="608" spans="2:34">
      <c r="B608" t="str">
        <f t="shared" si="730"/>
        <v>Sem3939HOSLIN HELYEL MAYORGA LOPEZ</v>
      </c>
      <c r="C608" t="str">
        <f t="shared" si="731"/>
        <v>SEPTIEMBRESem39</v>
      </c>
      <c r="D608" t="str">
        <f t="shared" si="732"/>
        <v>SEPTIEMBRESem39HOSLIN HELYEL MAYORGA LOPEZ</v>
      </c>
      <c r="E608" t="str">
        <f t="shared" si="733"/>
        <v>SEPTIEMBRESem3939HOSLIN HELYEL MAYORGA LOPEZ</v>
      </c>
      <c r="F608" t="str">
        <f t="shared" si="734"/>
        <v>HOSLIN HELYEL MAYORGA LOPEZ46291</v>
      </c>
      <c r="H608" s="49" t="s">
        <v>17</v>
      </c>
      <c r="I608" s="50" t="str">
        <f>+_xlfn.XLOOKUP($H608&amp;$V608,BASEDATOS!$B:$B,BASEDATOS!F:F,0,0,1)</f>
        <v>DESCANSO</v>
      </c>
      <c r="J608" s="51">
        <f>+_xlfn.XLOOKUP($H608&amp;$V608,BASEDATOS!$B:$B,BASEDATOS!Q:Q,0,0,1)</f>
        <v>0</v>
      </c>
      <c r="K608" s="51">
        <f>+_xlfn.XLOOKUP($H608&amp;$V608,BASEDATOS!$B:$B,BASEDATOS!R:R,0,0,1)</f>
        <v>0</v>
      </c>
      <c r="L608" s="51">
        <f t="shared" si="735"/>
        <v>0</v>
      </c>
      <c r="M608" s="52">
        <f t="shared" si="736"/>
        <v>0</v>
      </c>
      <c r="N608" s="51">
        <f t="shared" si="737"/>
        <v>0</v>
      </c>
      <c r="O608" s="53" t="str">
        <f t="shared" ref="O608" si="746">+O609</f>
        <v>0-0-7</v>
      </c>
      <c r="P608" s="54">
        <f>+IF(AND(Y608="Domingo",U608=7),_xlfn.XLOOKUP(O608,'Horarios y Sistemas'!C:C,'Horarios y Sistemas'!H:H,0,0,1),0)</f>
        <v>0</v>
      </c>
      <c r="Q608" s="54">
        <f>IF(U608=U609,0,IF(AVERAGEIF(W:W,W608,U:U)=U608,0,_xlfn.XLOOKUP(O608,'Horarios y Sistemas'!C:C,'Horarios y Sistemas'!H:H,0,0,1)-P608))/7*U608</f>
        <v>0</v>
      </c>
      <c r="R608" s="54">
        <f t="shared" si="739"/>
        <v>0</v>
      </c>
      <c r="S608" s="55" t="str">
        <f t="shared" si="740"/>
        <v>SEPTIEMBRE</v>
      </c>
      <c r="T608" s="55" t="str">
        <f t="shared" si="741"/>
        <v>Sem39</v>
      </c>
      <c r="U608" s="56">
        <f t="shared" si="708"/>
        <v>7</v>
      </c>
      <c r="V608" s="59">
        <v>46291</v>
      </c>
      <c r="W608" s="56">
        <f t="shared" si="742"/>
        <v>39</v>
      </c>
      <c r="X608" s="56">
        <f t="shared" si="743"/>
        <v>26</v>
      </c>
      <c r="Y608" s="56" t="s">
        <v>33</v>
      </c>
      <c r="Z608" s="56">
        <v>6</v>
      </c>
      <c r="AA608" s="58">
        <f t="shared" si="715"/>
        <v>0</v>
      </c>
      <c r="AB608" s="58">
        <f t="shared" si="715"/>
        <v>0</v>
      </c>
      <c r="AC608" s="58">
        <f t="shared" si="715"/>
        <v>1</v>
      </c>
      <c r="AD608" s="58">
        <f t="shared" si="715"/>
        <v>0</v>
      </c>
      <c r="AE608" s="58">
        <f t="shared" si="715"/>
        <v>0</v>
      </c>
    </row>
    <row r="609" spans="2:34" s="60" customFormat="1">
      <c r="B609" s="60" t="str">
        <f t="shared" si="730"/>
        <v>Sem3939HOSLIN HELYEL MAYORGA LOPEZ</v>
      </c>
      <c r="C609" s="60" t="str">
        <f t="shared" si="731"/>
        <v>SEPTIEMBRESem39</v>
      </c>
      <c r="D609" s="60" t="str">
        <f t="shared" si="732"/>
        <v>SEPTIEMBRESem39HOSLIN HELYEL MAYORGA LOPEZ</v>
      </c>
      <c r="E609" s="60" t="str">
        <f t="shared" si="733"/>
        <v>SEPTIEMBRESem3939HOSLIN HELYEL MAYORGA LOPEZ</v>
      </c>
      <c r="F609" s="60" t="str">
        <f t="shared" si="734"/>
        <v>HOSLIN HELYEL MAYORGA LOPEZ46292</v>
      </c>
      <c r="H609" s="61" t="s">
        <v>17</v>
      </c>
      <c r="I609" s="62" t="str">
        <f>+_xlfn.XLOOKUP($H609&amp;$V609,BASEDATOS!$B:$B,BASEDATOS!F:F,0,0,1)</f>
        <v>DESCANSO</v>
      </c>
      <c r="J609" s="63">
        <f>+_xlfn.XLOOKUP($H609&amp;$V609,BASEDATOS!$B:$B,BASEDATOS!Q:Q,0,0,1)</f>
        <v>0</v>
      </c>
      <c r="K609" s="63">
        <f>+_xlfn.XLOOKUP($H609&amp;$V609,BASEDATOS!$B:$B,BASEDATOS!R:R,0,0,1)</f>
        <v>0</v>
      </c>
      <c r="L609" s="63">
        <f t="shared" si="735"/>
        <v>0</v>
      </c>
      <c r="M609" s="64">
        <f t="shared" si="736"/>
        <v>0</v>
      </c>
      <c r="N609" s="63">
        <f t="shared" si="737"/>
        <v>0</v>
      </c>
      <c r="O609" s="65" t="str">
        <f t="shared" ref="O609" si="747">+IF(Y609="Domingo",SUM(AA603:AA609)&amp;"-"&amp;SUM(AB603:AB609)&amp;"-"&amp;SUM(AC603:AE609),"")</f>
        <v>0-0-7</v>
      </c>
      <c r="P609" s="66">
        <f>+IF(AND(Y609="Domingo",U609=7),_xlfn.XLOOKUP(O609,'Horarios y Sistemas'!C:C,'Horarios y Sistemas'!H:H,0,0,1),0)</f>
        <v>0</v>
      </c>
      <c r="Q609" s="66">
        <f>IF(U609=U610,0,IF(AVERAGEIF(W:W,W609,U:U)=U609,0,_xlfn.XLOOKUP(O609,'Horarios y Sistemas'!C:C,'Horarios y Sistemas'!H:H,0,0,1)-P609))/7*U609</f>
        <v>0</v>
      </c>
      <c r="R609" s="66">
        <f t="shared" si="739"/>
        <v>0</v>
      </c>
      <c r="S609" s="67" t="str">
        <f t="shared" si="740"/>
        <v>SEPTIEMBRE</v>
      </c>
      <c r="T609" s="55" t="str">
        <f t="shared" si="741"/>
        <v>Sem39</v>
      </c>
      <c r="U609" s="68">
        <f t="shared" si="708"/>
        <v>7</v>
      </c>
      <c r="V609" s="69">
        <v>46292</v>
      </c>
      <c r="W609" s="68">
        <f t="shared" si="742"/>
        <v>39</v>
      </c>
      <c r="X609" s="68">
        <f t="shared" si="743"/>
        <v>27</v>
      </c>
      <c r="Y609" s="68" t="s">
        <v>34</v>
      </c>
      <c r="Z609" s="68">
        <v>7</v>
      </c>
      <c r="AA609" s="70">
        <f t="shared" si="715"/>
        <v>0</v>
      </c>
      <c r="AB609" s="70">
        <f t="shared" si="715"/>
        <v>0</v>
      </c>
      <c r="AC609" s="70">
        <f t="shared" si="715"/>
        <v>1</v>
      </c>
      <c r="AD609" s="70">
        <f t="shared" si="715"/>
        <v>0</v>
      </c>
      <c r="AE609" s="70">
        <f t="shared" si="715"/>
        <v>0</v>
      </c>
      <c r="AF609" s="71"/>
      <c r="AG609" s="71"/>
      <c r="AH609" s="71"/>
    </row>
    <row r="610" spans="2:34">
      <c r="B610" t="str">
        <f t="shared" si="730"/>
        <v>Sem4040HOSLIN HELYEL MAYORGA LOPEZ</v>
      </c>
      <c r="C610" t="str">
        <f t="shared" si="731"/>
        <v>SEPTIEMBRESem40</v>
      </c>
      <c r="D610" t="str">
        <f t="shared" si="732"/>
        <v>SEPTIEMBRESem40HOSLIN HELYEL MAYORGA LOPEZ</v>
      </c>
      <c r="E610" t="str">
        <f t="shared" si="733"/>
        <v>SEPTIEMBRESem4040HOSLIN HELYEL MAYORGA LOPEZ</v>
      </c>
      <c r="F610" t="str">
        <f t="shared" si="734"/>
        <v>HOSLIN HELYEL MAYORGA LOPEZ46293</v>
      </c>
      <c r="H610" s="49" t="s">
        <v>17</v>
      </c>
      <c r="I610" s="50" t="str">
        <f>+_xlfn.XLOOKUP($H610&amp;$V610,BASEDATOS!$B:$B,BASEDATOS!F:F,0,0,1)</f>
        <v>DESCANSO</v>
      </c>
      <c r="J610" s="51">
        <f>+_xlfn.XLOOKUP($H610&amp;$V610,BASEDATOS!$B:$B,BASEDATOS!Q:Q,0,0,1)</f>
        <v>0</v>
      </c>
      <c r="K610" s="51">
        <f>+_xlfn.XLOOKUP($H610&amp;$V610,BASEDATOS!$B:$B,BASEDATOS!R:R,0,0,1)</f>
        <v>0</v>
      </c>
      <c r="L610" s="51">
        <f t="shared" si="735"/>
        <v>0</v>
      </c>
      <c r="M610" s="52">
        <f t="shared" si="736"/>
        <v>0</v>
      </c>
      <c r="N610" s="51">
        <f t="shared" si="737"/>
        <v>0</v>
      </c>
      <c r="O610" s="53" t="str">
        <f t="shared" ref="O610" si="748">+O616</f>
        <v>0-0-7</v>
      </c>
      <c r="P610" s="54">
        <f>+IF(AND(Y610="Domingo",U610=7),_xlfn.XLOOKUP(O610,'Horarios y Sistemas'!C:C,'Horarios y Sistemas'!H:H,0,0,1),0)</f>
        <v>0</v>
      </c>
      <c r="Q610" s="54">
        <f>IF(U610=U611,0,IF(AVERAGEIF(W:W,W610,U:U)=U610,0,_xlfn.XLOOKUP(O610,'Horarios y Sistemas'!C:C,'Horarios y Sistemas'!H:H,0,0,1)-P610))/7*U610</f>
        <v>0</v>
      </c>
      <c r="R610" s="66">
        <f t="shared" si="739"/>
        <v>0</v>
      </c>
      <c r="S610" s="55" t="str">
        <f t="shared" si="740"/>
        <v>SEPTIEMBRE</v>
      </c>
      <c r="T610" s="55" t="str">
        <f t="shared" si="741"/>
        <v>Sem40</v>
      </c>
      <c r="U610" s="56">
        <f t="shared" si="708"/>
        <v>7</v>
      </c>
      <c r="V610" s="59">
        <v>46293</v>
      </c>
      <c r="W610" s="56">
        <f t="shared" si="742"/>
        <v>40</v>
      </c>
      <c r="X610" s="56">
        <f t="shared" si="743"/>
        <v>28</v>
      </c>
      <c r="Y610" s="56" t="s">
        <v>28</v>
      </c>
      <c r="Z610" s="56">
        <v>1</v>
      </c>
      <c r="AA610" s="58">
        <f t="shared" si="715"/>
        <v>0</v>
      </c>
      <c r="AB610" s="58">
        <f t="shared" si="715"/>
        <v>0</v>
      </c>
      <c r="AC610" s="58">
        <f t="shared" si="715"/>
        <v>1</v>
      </c>
      <c r="AD610" s="58">
        <f t="shared" si="715"/>
        <v>0</v>
      </c>
      <c r="AE610" s="58">
        <f t="shared" si="715"/>
        <v>0</v>
      </c>
    </row>
    <row r="611" spans="2:34">
      <c r="B611" t="str">
        <f t="shared" si="730"/>
        <v>Sem4040HOSLIN HELYEL MAYORGA LOPEZ</v>
      </c>
      <c r="C611" t="str">
        <f t="shared" si="731"/>
        <v>SEPTIEMBRESem40</v>
      </c>
      <c r="D611" t="str">
        <f t="shared" si="732"/>
        <v>SEPTIEMBRESem40HOSLIN HELYEL MAYORGA LOPEZ</v>
      </c>
      <c r="E611" t="str">
        <f t="shared" si="733"/>
        <v>SEPTIEMBRESem4040HOSLIN HELYEL MAYORGA LOPEZ</v>
      </c>
      <c r="F611" t="str">
        <f t="shared" si="734"/>
        <v>HOSLIN HELYEL MAYORGA LOPEZ46294</v>
      </c>
      <c r="H611" s="49" t="s">
        <v>17</v>
      </c>
      <c r="I611" s="50" t="str">
        <f>+_xlfn.XLOOKUP($H611&amp;$V611,BASEDATOS!$B:$B,BASEDATOS!F:F,0,0,1)</f>
        <v>DESCANSO</v>
      </c>
      <c r="J611" s="51">
        <f>+_xlfn.XLOOKUP($H611&amp;$V611,BASEDATOS!$B:$B,BASEDATOS!Q:Q,0,0,1)</f>
        <v>0</v>
      </c>
      <c r="K611" s="51">
        <f>+_xlfn.XLOOKUP($H611&amp;$V611,BASEDATOS!$B:$B,BASEDATOS!R:R,0,0,1)</f>
        <v>0</v>
      </c>
      <c r="L611" s="51">
        <f t="shared" si="735"/>
        <v>0</v>
      </c>
      <c r="M611" s="52">
        <f t="shared" si="736"/>
        <v>0</v>
      </c>
      <c r="N611" s="51">
        <f t="shared" si="737"/>
        <v>0</v>
      </c>
      <c r="O611" s="53" t="str">
        <f t="shared" ref="O611" si="749">+O616</f>
        <v>0-0-7</v>
      </c>
      <c r="P611" s="54">
        <f>+IF(AND(Y611="Domingo",U611=7),_xlfn.XLOOKUP(O611,'Horarios y Sistemas'!C:C,'Horarios y Sistemas'!H:H,0,0,1),0)</f>
        <v>0</v>
      </c>
      <c r="Q611" s="54">
        <f>IF(U611=U612,0,IF(AVERAGEIF(W:W,W611,U:U)=U611,0,_xlfn.XLOOKUP(O611,'Horarios y Sistemas'!C:C,'Horarios y Sistemas'!H:H,0,0,1)-P611))/7*U611</f>
        <v>0</v>
      </c>
      <c r="R611" s="66">
        <f t="shared" si="739"/>
        <v>0</v>
      </c>
      <c r="S611" s="55" t="str">
        <f t="shared" si="740"/>
        <v>SEPTIEMBRE</v>
      </c>
      <c r="T611" s="55" t="str">
        <f t="shared" si="741"/>
        <v>Sem40</v>
      </c>
      <c r="U611" s="56">
        <f t="shared" si="708"/>
        <v>7</v>
      </c>
      <c r="V611" s="59">
        <v>46294</v>
      </c>
      <c r="W611" s="56">
        <f t="shared" si="742"/>
        <v>40</v>
      </c>
      <c r="X611" s="56">
        <f t="shared" si="743"/>
        <v>29</v>
      </c>
      <c r="Y611" s="56" t="s">
        <v>29</v>
      </c>
      <c r="Z611" s="56">
        <v>2</v>
      </c>
      <c r="AA611" s="58">
        <f t="shared" si="715"/>
        <v>0</v>
      </c>
      <c r="AB611" s="58">
        <f t="shared" si="715"/>
        <v>0</v>
      </c>
      <c r="AC611" s="58">
        <f t="shared" si="715"/>
        <v>1</v>
      </c>
      <c r="AD611" s="58">
        <f t="shared" si="715"/>
        <v>0</v>
      </c>
      <c r="AE611" s="58">
        <f t="shared" si="715"/>
        <v>0</v>
      </c>
    </row>
    <row r="612" spans="2:34">
      <c r="B612" t="str">
        <f t="shared" si="730"/>
        <v>Sem4040HOSLIN HELYEL MAYORGA LOPEZ</v>
      </c>
      <c r="C612" t="str">
        <f t="shared" si="731"/>
        <v>SEPTIEMBRESem40</v>
      </c>
      <c r="D612" t="str">
        <f t="shared" si="732"/>
        <v>SEPTIEMBRESem40HOSLIN HELYEL MAYORGA LOPEZ</v>
      </c>
      <c r="E612" t="str">
        <f t="shared" si="733"/>
        <v>SEPTIEMBRESem4040HOSLIN HELYEL MAYORGA LOPEZ</v>
      </c>
      <c r="F612" t="str">
        <f t="shared" si="734"/>
        <v>HOSLIN HELYEL MAYORGA LOPEZ46295</v>
      </c>
      <c r="H612" s="49" t="s">
        <v>17</v>
      </c>
      <c r="I612" s="50" t="str">
        <f>+_xlfn.XLOOKUP($H612&amp;$V612,BASEDATOS!$B:$B,BASEDATOS!F:F,0,0,1)</f>
        <v>DESCANSO</v>
      </c>
      <c r="J612" s="51">
        <f>+_xlfn.XLOOKUP($H612&amp;$V612,BASEDATOS!$B:$B,BASEDATOS!Q:Q,0,0,1)</f>
        <v>0</v>
      </c>
      <c r="K612" s="51">
        <f>+_xlfn.XLOOKUP($H612&amp;$V612,BASEDATOS!$B:$B,BASEDATOS!R:R,0,0,1)</f>
        <v>0</v>
      </c>
      <c r="L612" s="51">
        <f t="shared" si="735"/>
        <v>0</v>
      </c>
      <c r="M612" s="52">
        <f t="shared" si="736"/>
        <v>0</v>
      </c>
      <c r="N612" s="51">
        <f t="shared" si="737"/>
        <v>0</v>
      </c>
      <c r="O612" s="53" t="str">
        <f t="shared" ref="O612" si="750">+O616</f>
        <v>0-0-7</v>
      </c>
      <c r="P612" s="54">
        <f>+IF(AND(Y612="Domingo",U612=7),_xlfn.XLOOKUP(O612,'Horarios y Sistemas'!C:C,'Horarios y Sistemas'!H:H,0,0,1),0)</f>
        <v>0</v>
      </c>
      <c r="Q612" s="54">
        <f>IF(U612=U613,0,IF(AVERAGEIF(W:W,W612,U:U)=U612,0,_xlfn.XLOOKUP(O612,'Horarios y Sistemas'!C:C,'Horarios y Sistemas'!H:H,0,0,1)-P612))/7*U612</f>
        <v>0</v>
      </c>
      <c r="R612" s="66">
        <f t="shared" si="739"/>
        <v>0</v>
      </c>
      <c r="S612" s="55" t="str">
        <f t="shared" si="740"/>
        <v>SEPTIEMBRE</v>
      </c>
      <c r="T612" s="55" t="str">
        <f t="shared" si="741"/>
        <v>Sem40</v>
      </c>
      <c r="U612" s="56">
        <f t="shared" si="708"/>
        <v>7</v>
      </c>
      <c r="V612" s="59">
        <v>46295</v>
      </c>
      <c r="W612" s="56">
        <f t="shared" si="742"/>
        <v>40</v>
      </c>
      <c r="X612" s="56">
        <f t="shared" si="743"/>
        <v>30</v>
      </c>
      <c r="Y612" s="56" t="s">
        <v>30</v>
      </c>
      <c r="Z612" s="56">
        <v>3</v>
      </c>
      <c r="AA612" s="58">
        <f t="shared" si="715"/>
        <v>0</v>
      </c>
      <c r="AB612" s="58">
        <f t="shared" si="715"/>
        <v>0</v>
      </c>
      <c r="AC612" s="58">
        <f t="shared" si="715"/>
        <v>1</v>
      </c>
      <c r="AD612" s="58">
        <f t="shared" si="715"/>
        <v>0</v>
      </c>
      <c r="AE612" s="58">
        <f t="shared" si="715"/>
        <v>0</v>
      </c>
    </row>
    <row r="613" spans="2:34">
      <c r="B613" t="str">
        <f t="shared" si="730"/>
        <v>Sem4040HOSLIN HELYEL MAYORGA LOPEZ</v>
      </c>
      <c r="C613" t="str">
        <f t="shared" si="731"/>
        <v>OCTUBRESem40</v>
      </c>
      <c r="D613" t="str">
        <f t="shared" si="732"/>
        <v>OCTUBRESem40HOSLIN HELYEL MAYORGA LOPEZ</v>
      </c>
      <c r="E613" t="str">
        <f t="shared" si="733"/>
        <v>OCTUBRESem4040HOSLIN HELYEL MAYORGA LOPEZ</v>
      </c>
      <c r="F613" t="str">
        <f t="shared" si="734"/>
        <v>HOSLIN HELYEL MAYORGA LOPEZ46296</v>
      </c>
      <c r="H613" s="49" t="s">
        <v>17</v>
      </c>
      <c r="I613" s="50" t="str">
        <f>+_xlfn.XLOOKUP($H613&amp;$V613,BASEDATOS!$B:$B,BASEDATOS!F:F,0,0,1)</f>
        <v>DESCANSO</v>
      </c>
      <c r="J613" s="51">
        <f>+_xlfn.XLOOKUP($H613&amp;$V613,BASEDATOS!$B:$B,BASEDATOS!Q:Q,0,0,1)</f>
        <v>0</v>
      </c>
      <c r="K613" s="51">
        <f>+_xlfn.XLOOKUP($H613&amp;$V613,BASEDATOS!$B:$B,BASEDATOS!R:R,0,0,1)</f>
        <v>0</v>
      </c>
      <c r="L613" s="51">
        <f t="shared" si="735"/>
        <v>0</v>
      </c>
      <c r="M613" s="52">
        <f t="shared" si="736"/>
        <v>0</v>
      </c>
      <c r="N613" s="51">
        <f t="shared" si="737"/>
        <v>0</v>
      </c>
      <c r="O613" s="53" t="str">
        <f t="shared" ref="O613" si="751">+O616</f>
        <v>0-0-7</v>
      </c>
      <c r="P613" s="54">
        <f>+IF(AND(Y613="Domingo",U613=7),_xlfn.XLOOKUP(O613,'Horarios y Sistemas'!C:C,'Horarios y Sistemas'!H:H,0,0,1),0)</f>
        <v>0</v>
      </c>
      <c r="Q613" s="54">
        <f>IF(U613=U614,0,IF(AVERAGEIF(W:W,W613,U:U)=U613,0,_xlfn.XLOOKUP(O613,'Horarios y Sistemas'!C:C,'Horarios y Sistemas'!H:H,0,0,1)-P613))/7*U613</f>
        <v>0</v>
      </c>
      <c r="R613" s="66">
        <f t="shared" si="739"/>
        <v>0</v>
      </c>
      <c r="S613" s="55" t="str">
        <f t="shared" si="740"/>
        <v>OCTUBRE</v>
      </c>
      <c r="T613" s="55" t="str">
        <f t="shared" si="741"/>
        <v>Sem40</v>
      </c>
      <c r="U613" s="56">
        <f t="shared" si="708"/>
        <v>7</v>
      </c>
      <c r="V613" s="59">
        <v>46296</v>
      </c>
      <c r="W613" s="56">
        <f t="shared" si="742"/>
        <v>40</v>
      </c>
      <c r="X613" s="56">
        <f t="shared" si="743"/>
        <v>1</v>
      </c>
      <c r="Y613" s="56" t="s">
        <v>31</v>
      </c>
      <c r="Z613" s="56">
        <v>4</v>
      </c>
      <c r="AA613" s="58">
        <f t="shared" si="715"/>
        <v>0</v>
      </c>
      <c r="AB613" s="58">
        <f t="shared" si="715"/>
        <v>0</v>
      </c>
      <c r="AC613" s="58">
        <f t="shared" si="715"/>
        <v>1</v>
      </c>
      <c r="AD613" s="58">
        <f t="shared" si="715"/>
        <v>0</v>
      </c>
      <c r="AE613" s="58">
        <f t="shared" si="715"/>
        <v>0</v>
      </c>
    </row>
    <row r="614" spans="2:34">
      <c r="B614" t="str">
        <f t="shared" si="730"/>
        <v>Sem4040HOSLIN HELYEL MAYORGA LOPEZ</v>
      </c>
      <c r="C614" t="str">
        <f t="shared" si="731"/>
        <v>OCTUBRESem40</v>
      </c>
      <c r="D614" t="str">
        <f t="shared" si="732"/>
        <v>OCTUBRESem40HOSLIN HELYEL MAYORGA LOPEZ</v>
      </c>
      <c r="E614" t="str">
        <f t="shared" si="733"/>
        <v>OCTUBRESem4040HOSLIN HELYEL MAYORGA LOPEZ</v>
      </c>
      <c r="F614" t="str">
        <f t="shared" si="734"/>
        <v>HOSLIN HELYEL MAYORGA LOPEZ46297</v>
      </c>
      <c r="H614" s="49" t="s">
        <v>17</v>
      </c>
      <c r="I614" s="50" t="str">
        <f>+_xlfn.XLOOKUP($H614&amp;$V614,BASEDATOS!$B:$B,BASEDATOS!F:F,0,0,1)</f>
        <v>DESCANSO</v>
      </c>
      <c r="J614" s="51">
        <f>+_xlfn.XLOOKUP($H614&amp;$V614,BASEDATOS!$B:$B,BASEDATOS!Q:Q,0,0,1)</f>
        <v>0</v>
      </c>
      <c r="K614" s="51">
        <f>+_xlfn.XLOOKUP($H614&amp;$V614,BASEDATOS!$B:$B,BASEDATOS!R:R,0,0,1)</f>
        <v>0</v>
      </c>
      <c r="L614" s="51">
        <f t="shared" si="735"/>
        <v>0</v>
      </c>
      <c r="M614" s="52">
        <f t="shared" si="736"/>
        <v>0</v>
      </c>
      <c r="N614" s="51">
        <f t="shared" si="737"/>
        <v>0</v>
      </c>
      <c r="O614" s="53" t="str">
        <f t="shared" ref="O614" si="752">+O616</f>
        <v>0-0-7</v>
      </c>
      <c r="P614" s="54">
        <f>+IF(AND(Y614="Domingo",U614=7),_xlfn.XLOOKUP(O614,'Horarios y Sistemas'!C:C,'Horarios y Sistemas'!H:H,0,0,1),0)</f>
        <v>0</v>
      </c>
      <c r="Q614" s="54">
        <f>IF(U614=U615,0,IF(AVERAGEIF(W:W,W614,U:U)=U614,0,_xlfn.XLOOKUP(O614,'Horarios y Sistemas'!C:C,'Horarios y Sistemas'!H:H,0,0,1)-P614))/7*U614</f>
        <v>0</v>
      </c>
      <c r="R614" s="66">
        <f t="shared" si="739"/>
        <v>0</v>
      </c>
      <c r="S614" s="55" t="str">
        <f t="shared" si="740"/>
        <v>OCTUBRE</v>
      </c>
      <c r="T614" s="55" t="str">
        <f t="shared" si="741"/>
        <v>Sem40</v>
      </c>
      <c r="U614" s="56">
        <f t="shared" si="708"/>
        <v>7</v>
      </c>
      <c r="V614" s="59">
        <v>46297</v>
      </c>
      <c r="W614" s="56">
        <f t="shared" si="742"/>
        <v>40</v>
      </c>
      <c r="X614" s="56">
        <f t="shared" si="743"/>
        <v>2</v>
      </c>
      <c r="Y614" s="56" t="s">
        <v>32</v>
      </c>
      <c r="Z614" s="56">
        <v>5</v>
      </c>
      <c r="AA614" s="58">
        <f t="shared" si="715"/>
        <v>0</v>
      </c>
      <c r="AB614" s="58">
        <f t="shared" si="715"/>
        <v>0</v>
      </c>
      <c r="AC614" s="58">
        <f t="shared" si="715"/>
        <v>1</v>
      </c>
      <c r="AD614" s="58">
        <f t="shared" si="715"/>
        <v>0</v>
      </c>
      <c r="AE614" s="58">
        <f t="shared" si="715"/>
        <v>0</v>
      </c>
    </row>
    <row r="615" spans="2:34">
      <c r="B615" t="str">
        <f t="shared" si="730"/>
        <v>Sem4040HOSLIN HELYEL MAYORGA LOPEZ</v>
      </c>
      <c r="C615" t="str">
        <f t="shared" si="731"/>
        <v>OCTUBRESem40</v>
      </c>
      <c r="D615" t="str">
        <f t="shared" si="732"/>
        <v>OCTUBRESem40HOSLIN HELYEL MAYORGA LOPEZ</v>
      </c>
      <c r="E615" t="str">
        <f t="shared" si="733"/>
        <v>OCTUBRESem4040HOSLIN HELYEL MAYORGA LOPEZ</v>
      </c>
      <c r="F615" t="str">
        <f t="shared" si="734"/>
        <v>HOSLIN HELYEL MAYORGA LOPEZ46298</v>
      </c>
      <c r="H615" s="49" t="s">
        <v>17</v>
      </c>
      <c r="I615" s="50" t="str">
        <f>+_xlfn.XLOOKUP($H615&amp;$V615,BASEDATOS!$B:$B,BASEDATOS!F:F,0,0,1)</f>
        <v>DESCANSO</v>
      </c>
      <c r="J615" s="51">
        <f>+_xlfn.XLOOKUP($H615&amp;$V615,BASEDATOS!$B:$B,BASEDATOS!Q:Q,0,0,1)</f>
        <v>0</v>
      </c>
      <c r="K615" s="51">
        <f>+_xlfn.XLOOKUP($H615&amp;$V615,BASEDATOS!$B:$B,BASEDATOS!R:R,0,0,1)</f>
        <v>0</v>
      </c>
      <c r="L615" s="51">
        <f t="shared" si="735"/>
        <v>0</v>
      </c>
      <c r="M615" s="52">
        <f t="shared" si="736"/>
        <v>0</v>
      </c>
      <c r="N615" s="51">
        <f t="shared" si="737"/>
        <v>0</v>
      </c>
      <c r="O615" s="53" t="str">
        <f t="shared" ref="O615" si="753">+O616</f>
        <v>0-0-7</v>
      </c>
      <c r="P615" s="54">
        <f>+IF(AND(Y615="Domingo",U615=7),_xlfn.XLOOKUP(O615,'Horarios y Sistemas'!C:C,'Horarios y Sistemas'!H:H,0,0,1),0)</f>
        <v>0</v>
      </c>
      <c r="Q615" s="54">
        <f>IF(U615=U616,0,IF(AVERAGEIF(W:W,W615,U:U)=U615,0,_xlfn.XLOOKUP(O615,'Horarios y Sistemas'!C:C,'Horarios y Sistemas'!H:H,0,0,1)-P615))/7*U615</f>
        <v>0</v>
      </c>
      <c r="R615" s="66">
        <f t="shared" si="739"/>
        <v>0</v>
      </c>
      <c r="S615" s="55" t="str">
        <f t="shared" si="740"/>
        <v>OCTUBRE</v>
      </c>
      <c r="T615" s="55" t="str">
        <f t="shared" si="741"/>
        <v>Sem40</v>
      </c>
      <c r="U615" s="56">
        <f t="shared" si="708"/>
        <v>7</v>
      </c>
      <c r="V615" s="59">
        <v>46298</v>
      </c>
      <c r="W615" s="56">
        <f t="shared" si="742"/>
        <v>40</v>
      </c>
      <c r="X615" s="56">
        <f t="shared" si="743"/>
        <v>3</v>
      </c>
      <c r="Y615" s="56" t="s">
        <v>33</v>
      </c>
      <c r="Z615" s="56">
        <v>6</v>
      </c>
      <c r="AA615" s="58">
        <f t="shared" si="715"/>
        <v>0</v>
      </c>
      <c r="AB615" s="58">
        <f t="shared" si="715"/>
        <v>0</v>
      </c>
      <c r="AC615" s="58">
        <f t="shared" si="715"/>
        <v>1</v>
      </c>
      <c r="AD615" s="58">
        <f t="shared" si="715"/>
        <v>0</v>
      </c>
      <c r="AE615" s="58">
        <f t="shared" si="715"/>
        <v>0</v>
      </c>
    </row>
    <row r="616" spans="2:34" s="60" customFormat="1">
      <c r="B616" s="60" t="str">
        <f t="shared" si="730"/>
        <v>Sem4040HOSLIN HELYEL MAYORGA LOPEZ</v>
      </c>
      <c r="C616" s="60" t="str">
        <f t="shared" si="731"/>
        <v>OCTUBRESem40</v>
      </c>
      <c r="D616" s="60" t="str">
        <f t="shared" si="732"/>
        <v>OCTUBRESem40HOSLIN HELYEL MAYORGA LOPEZ</v>
      </c>
      <c r="E616" s="60" t="str">
        <f t="shared" si="733"/>
        <v>OCTUBRESem4040HOSLIN HELYEL MAYORGA LOPEZ</v>
      </c>
      <c r="F616" s="60" t="str">
        <f t="shared" si="734"/>
        <v>HOSLIN HELYEL MAYORGA LOPEZ46299</v>
      </c>
      <c r="H616" s="61" t="s">
        <v>17</v>
      </c>
      <c r="I616" s="62" t="str">
        <f>+_xlfn.XLOOKUP($H616&amp;$V616,BASEDATOS!$B:$B,BASEDATOS!F:F,0,0,1)</f>
        <v>DESCANSO</v>
      </c>
      <c r="J616" s="63">
        <f>+_xlfn.XLOOKUP($H616&amp;$V616,BASEDATOS!$B:$B,BASEDATOS!Q:Q,0,0,1)</f>
        <v>0</v>
      </c>
      <c r="K616" s="63">
        <f>+_xlfn.XLOOKUP($H616&amp;$V616,BASEDATOS!$B:$B,BASEDATOS!R:R,0,0,1)</f>
        <v>0</v>
      </c>
      <c r="L616" s="63">
        <f t="shared" si="735"/>
        <v>0</v>
      </c>
      <c r="M616" s="64">
        <f t="shared" si="736"/>
        <v>0</v>
      </c>
      <c r="N616" s="63">
        <f t="shared" si="737"/>
        <v>0</v>
      </c>
      <c r="O616" s="65" t="str">
        <f t="shared" ref="O616" si="754">+IF(Y616="Domingo",SUM(AA610:AA616)&amp;"-"&amp;SUM(AB610:AB616)&amp;"-"&amp;SUM(AC610:AE616),"")</f>
        <v>0-0-7</v>
      </c>
      <c r="P616" s="66">
        <f>+IF(AND(Y616="Domingo",U616=7),_xlfn.XLOOKUP(O616,'Horarios y Sistemas'!C:C,'Horarios y Sistemas'!H:H,0,0,1),0)</f>
        <v>0</v>
      </c>
      <c r="Q616" s="66">
        <f>IF(U616=U617,0,IF(AVERAGEIF(W:W,W616,U:U)=U616,0,_xlfn.XLOOKUP(O616,'Horarios y Sistemas'!C:C,'Horarios y Sistemas'!H:H,0,0,1)-P616))/7*U616</f>
        <v>0</v>
      </c>
      <c r="R616" s="66">
        <f t="shared" si="739"/>
        <v>0</v>
      </c>
      <c r="S616" s="67" t="str">
        <f t="shared" si="740"/>
        <v>OCTUBRE</v>
      </c>
      <c r="T616" s="55" t="str">
        <f t="shared" si="741"/>
        <v>Sem40</v>
      </c>
      <c r="U616" s="68">
        <f t="shared" si="708"/>
        <v>7</v>
      </c>
      <c r="V616" s="69">
        <v>46299</v>
      </c>
      <c r="W616" s="68">
        <f t="shared" si="742"/>
        <v>40</v>
      </c>
      <c r="X616" s="68">
        <f t="shared" si="743"/>
        <v>4</v>
      </c>
      <c r="Y616" s="68" t="s">
        <v>34</v>
      </c>
      <c r="Z616" s="68">
        <v>7</v>
      </c>
      <c r="AA616" s="70">
        <f t="shared" si="715"/>
        <v>0</v>
      </c>
      <c r="AB616" s="70">
        <f t="shared" si="715"/>
        <v>0</v>
      </c>
      <c r="AC616" s="70">
        <f t="shared" si="715"/>
        <v>1</v>
      </c>
      <c r="AD616" s="70">
        <f t="shared" si="715"/>
        <v>0</v>
      </c>
      <c r="AE616" s="70">
        <f t="shared" si="715"/>
        <v>0</v>
      </c>
      <c r="AF616" s="71"/>
      <c r="AG616" s="71"/>
      <c r="AH616" s="71"/>
    </row>
    <row r="617" spans="2:34">
      <c r="B617" t="str">
        <f t="shared" si="730"/>
        <v>Sem3838JARDIN NATANAHEL GARCIA CHAPEN</v>
      </c>
      <c r="C617" t="str">
        <f t="shared" si="731"/>
        <v>SEPTIEMBRESem38</v>
      </c>
      <c r="D617" t="str">
        <f t="shared" si="732"/>
        <v>SEPTIEMBRESem38JARDIN NATANAHEL GARCIA CHAPEN</v>
      </c>
      <c r="E617" t="str">
        <f t="shared" si="733"/>
        <v>SEPTIEMBRESem3838JARDIN NATANAHEL GARCIA CHAPEN</v>
      </c>
      <c r="F617" t="str">
        <f t="shared" si="734"/>
        <v>JARDIN NATANAHEL GARCIA CHAPEN46279</v>
      </c>
      <c r="H617" s="49" t="s">
        <v>15</v>
      </c>
      <c r="I617" s="50" t="str">
        <f>+_xlfn.XLOOKUP($H617&amp;$V617,BASEDATOS!$B:$B,BASEDATOS!F:F,0,0,1)</f>
        <v>DESCANSO</v>
      </c>
      <c r="J617" s="51">
        <f>+_xlfn.XLOOKUP($H617&amp;$V617,BASEDATOS!$B:$B,BASEDATOS!Q:Q,0,0,1)</f>
        <v>0</v>
      </c>
      <c r="K617" s="51">
        <f>+_xlfn.XLOOKUP($H617&amp;$V617,BASEDATOS!$B:$B,BASEDATOS!R:R,0,0,1)</f>
        <v>0</v>
      </c>
      <c r="L617" s="51">
        <f t="shared" si="735"/>
        <v>0</v>
      </c>
      <c r="M617" s="52">
        <f t="shared" si="736"/>
        <v>0</v>
      </c>
      <c r="N617" s="51">
        <f t="shared" si="737"/>
        <v>0</v>
      </c>
      <c r="O617" s="53" t="str">
        <f t="shared" ref="O617" si="755">+O623</f>
        <v>5-0-2</v>
      </c>
      <c r="P617" s="54">
        <f>+IF(AND(Y617="Domingo",U617=7),_xlfn.XLOOKUP(O617,'Horarios y Sistemas'!C:C,'Horarios y Sistemas'!H:H,0,0,1),0)</f>
        <v>0</v>
      </c>
      <c r="Q617" s="54">
        <f>IF(U617=U618,0,IF(AVERAGEIF(W:W,W617,U:U)=U617,0,_xlfn.XLOOKUP(O617,'Horarios y Sistemas'!C:C,'Horarios y Sistemas'!H:H,0,0,1)-P617))/7*U617</f>
        <v>0</v>
      </c>
      <c r="R617" s="54">
        <f t="shared" si="739"/>
        <v>0</v>
      </c>
      <c r="S617" s="55" t="str">
        <f t="shared" si="740"/>
        <v>SEPTIEMBRE</v>
      </c>
      <c r="T617" s="55" t="str">
        <f t="shared" si="741"/>
        <v>Sem38</v>
      </c>
      <c r="U617" s="56">
        <f t="shared" si="708"/>
        <v>7</v>
      </c>
      <c r="V617" s="59">
        <v>46279</v>
      </c>
      <c r="W617" s="56">
        <f t="shared" si="742"/>
        <v>38</v>
      </c>
      <c r="X617" s="56">
        <f t="shared" si="743"/>
        <v>14</v>
      </c>
      <c r="Y617" s="56" t="s">
        <v>28</v>
      </c>
      <c r="Z617" s="56">
        <v>1</v>
      </c>
      <c r="AA617" s="58">
        <f t="shared" si="715"/>
        <v>0</v>
      </c>
      <c r="AB617" s="58">
        <f t="shared" si="715"/>
        <v>0</v>
      </c>
      <c r="AC617" s="58">
        <f t="shared" si="715"/>
        <v>1</v>
      </c>
      <c r="AD617" s="58">
        <f t="shared" si="715"/>
        <v>0</v>
      </c>
      <c r="AE617" s="58">
        <f t="shared" si="715"/>
        <v>0</v>
      </c>
    </row>
    <row r="618" spans="2:34">
      <c r="B618" t="str">
        <f t="shared" si="730"/>
        <v>Sem3838JARDIN NATANAHEL GARCIA CHAPEN</v>
      </c>
      <c r="C618" t="str">
        <f t="shared" si="731"/>
        <v>SEPTIEMBRESem38</v>
      </c>
      <c r="D618" t="str">
        <f t="shared" si="732"/>
        <v>SEPTIEMBRESem38JARDIN NATANAHEL GARCIA CHAPEN</v>
      </c>
      <c r="E618" t="str">
        <f t="shared" si="733"/>
        <v>SEPTIEMBRESem3838JARDIN NATANAHEL GARCIA CHAPEN</v>
      </c>
      <c r="F618" t="str">
        <f t="shared" si="734"/>
        <v>JARDIN NATANAHEL GARCIA CHAPEN46280</v>
      </c>
      <c r="H618" s="49" t="s">
        <v>15</v>
      </c>
      <c r="I618" s="50" t="str">
        <f>+_xlfn.XLOOKUP($H618&amp;$V618,BASEDATOS!$B:$B,BASEDATOS!F:F,0,0,1)</f>
        <v>DIA</v>
      </c>
      <c r="J618" s="51">
        <f>+_xlfn.XLOOKUP($H618&amp;$V618,BASEDATOS!$B:$B,BASEDATOS!Q:Q,0,0,1)</f>
        <v>0.33333333333333298</v>
      </c>
      <c r="K618" s="51">
        <f>+_xlfn.XLOOKUP($H618&amp;$V618,BASEDATOS!$B:$B,BASEDATOS!R:R,0,0,1)</f>
        <v>0.70833333333333304</v>
      </c>
      <c r="L618" s="51">
        <f t="shared" si="735"/>
        <v>0.37500000000000006</v>
      </c>
      <c r="M618" s="52" t="str">
        <f t="shared" si="736"/>
        <v>1:00</v>
      </c>
      <c r="N618" s="51">
        <f t="shared" si="737"/>
        <v>0.33333333333333337</v>
      </c>
      <c r="O618" s="53" t="str">
        <f t="shared" ref="O618" si="756">+O623</f>
        <v>5-0-2</v>
      </c>
      <c r="P618" s="54">
        <f>+IF(AND(Y618="Domingo",U618=7),_xlfn.XLOOKUP(O618,'Horarios y Sistemas'!C:C,'Horarios y Sistemas'!H:H,0,0,1),0)</f>
        <v>0</v>
      </c>
      <c r="Q618" s="54">
        <f>IF(U618=U619,0,IF(AVERAGEIF(W:W,W618,U:U)=U618,0,_xlfn.XLOOKUP(O618,'Horarios y Sistemas'!C:C,'Horarios y Sistemas'!H:H,0,0,1)-P618))/7*U618</f>
        <v>0</v>
      </c>
      <c r="R618" s="54">
        <f t="shared" si="739"/>
        <v>0</v>
      </c>
      <c r="S618" s="55" t="str">
        <f t="shared" si="740"/>
        <v>SEPTIEMBRE</v>
      </c>
      <c r="T618" s="55" t="str">
        <f t="shared" si="741"/>
        <v>Sem38</v>
      </c>
      <c r="U618" s="56">
        <f t="shared" si="708"/>
        <v>7</v>
      </c>
      <c r="V618" s="59">
        <v>46280</v>
      </c>
      <c r="W618" s="56">
        <f t="shared" si="742"/>
        <v>38</v>
      </c>
      <c r="X618" s="56">
        <f t="shared" si="743"/>
        <v>15</v>
      </c>
      <c r="Y618" s="56" t="s">
        <v>29</v>
      </c>
      <c r="Z618" s="56">
        <v>2</v>
      </c>
      <c r="AA618" s="58">
        <f t="shared" si="715"/>
        <v>1</v>
      </c>
      <c r="AB618" s="58">
        <f t="shared" si="715"/>
        <v>0</v>
      </c>
      <c r="AC618" s="58">
        <f t="shared" si="715"/>
        <v>0</v>
      </c>
      <c r="AD618" s="58">
        <f t="shared" si="715"/>
        <v>0</v>
      </c>
      <c r="AE618" s="58">
        <f t="shared" si="715"/>
        <v>0</v>
      </c>
    </row>
    <row r="619" spans="2:34">
      <c r="B619" t="str">
        <f t="shared" si="730"/>
        <v>Sem3838JARDIN NATANAHEL GARCIA CHAPEN</v>
      </c>
      <c r="C619" t="str">
        <f t="shared" si="731"/>
        <v>SEPTIEMBRESem38</v>
      </c>
      <c r="D619" t="str">
        <f t="shared" si="732"/>
        <v>SEPTIEMBRESem38JARDIN NATANAHEL GARCIA CHAPEN</v>
      </c>
      <c r="E619" t="str">
        <f t="shared" si="733"/>
        <v>SEPTIEMBRESem3838JARDIN NATANAHEL GARCIA CHAPEN</v>
      </c>
      <c r="F619" t="str">
        <f t="shared" si="734"/>
        <v>JARDIN NATANAHEL GARCIA CHAPEN46281</v>
      </c>
      <c r="H619" s="49" t="s">
        <v>15</v>
      </c>
      <c r="I619" s="50" t="str">
        <f>+_xlfn.XLOOKUP($H619&amp;$V619,BASEDATOS!$B:$B,BASEDATOS!F:F,0,0,1)</f>
        <v>DIA</v>
      </c>
      <c r="J619" s="51">
        <f>+_xlfn.XLOOKUP($H619&amp;$V619,BASEDATOS!$B:$B,BASEDATOS!Q:Q,0,0,1)</f>
        <v>0.29166666666666702</v>
      </c>
      <c r="K619" s="51">
        <f>+_xlfn.XLOOKUP($H619&amp;$V619,BASEDATOS!$B:$B,BASEDATOS!R:R,0,0,1)</f>
        <v>0.66666666666666696</v>
      </c>
      <c r="L619" s="51">
        <f t="shared" si="735"/>
        <v>0.37499999999999994</v>
      </c>
      <c r="M619" s="52" t="str">
        <f t="shared" si="736"/>
        <v>1:00</v>
      </c>
      <c r="N619" s="51">
        <f t="shared" si="737"/>
        <v>0.33333333333333326</v>
      </c>
      <c r="O619" s="53" t="str">
        <f t="shared" ref="O619" si="757">+O623</f>
        <v>5-0-2</v>
      </c>
      <c r="P619" s="54">
        <f>+IF(AND(Y619="Domingo",U619=7),_xlfn.XLOOKUP(O619,'Horarios y Sistemas'!C:C,'Horarios y Sistemas'!H:H,0,0,1),0)</f>
        <v>0</v>
      </c>
      <c r="Q619" s="54">
        <f>IF(U619=U620,0,IF(AVERAGEIF(W:W,W619,U:U)=U619,0,_xlfn.XLOOKUP(O619,'Horarios y Sistemas'!C:C,'Horarios y Sistemas'!H:H,0,0,1)-P619))/7*U619</f>
        <v>0</v>
      </c>
      <c r="R619" s="54">
        <f t="shared" si="739"/>
        <v>0</v>
      </c>
      <c r="S619" s="55" t="str">
        <f t="shared" si="740"/>
        <v>SEPTIEMBRE</v>
      </c>
      <c r="T619" s="55" t="str">
        <f t="shared" si="741"/>
        <v>Sem38</v>
      </c>
      <c r="U619" s="56">
        <f t="shared" si="708"/>
        <v>7</v>
      </c>
      <c r="V619" s="59">
        <v>46281</v>
      </c>
      <c r="W619" s="56">
        <f t="shared" si="742"/>
        <v>38</v>
      </c>
      <c r="X619" s="56">
        <f t="shared" si="743"/>
        <v>16</v>
      </c>
      <c r="Y619" s="56" t="s">
        <v>30</v>
      </c>
      <c r="Z619" s="56">
        <v>3</v>
      </c>
      <c r="AA619" s="58">
        <f t="shared" si="715"/>
        <v>1</v>
      </c>
      <c r="AB619" s="58">
        <f t="shared" si="715"/>
        <v>0</v>
      </c>
      <c r="AC619" s="58">
        <f t="shared" si="715"/>
        <v>0</v>
      </c>
      <c r="AD619" s="58">
        <f t="shared" si="715"/>
        <v>0</v>
      </c>
      <c r="AE619" s="58">
        <f t="shared" si="715"/>
        <v>0</v>
      </c>
    </row>
    <row r="620" spans="2:34">
      <c r="B620" t="str">
        <f t="shared" si="730"/>
        <v>Sem3838JARDIN NATANAHEL GARCIA CHAPEN</v>
      </c>
      <c r="C620" t="str">
        <f t="shared" si="731"/>
        <v>SEPTIEMBRESem38</v>
      </c>
      <c r="D620" t="str">
        <f t="shared" si="732"/>
        <v>SEPTIEMBRESem38JARDIN NATANAHEL GARCIA CHAPEN</v>
      </c>
      <c r="E620" t="str">
        <f t="shared" si="733"/>
        <v>SEPTIEMBRESem3838JARDIN NATANAHEL GARCIA CHAPEN</v>
      </c>
      <c r="F620" t="str">
        <f t="shared" si="734"/>
        <v>JARDIN NATANAHEL GARCIA CHAPEN46282</v>
      </c>
      <c r="H620" s="49" t="s">
        <v>15</v>
      </c>
      <c r="I620" s="50" t="str">
        <f>+_xlfn.XLOOKUP($H620&amp;$V620,BASEDATOS!$B:$B,BASEDATOS!F:F,0,0,1)</f>
        <v>DIA</v>
      </c>
      <c r="J620" s="51">
        <f>+_xlfn.XLOOKUP($H620&amp;$V620,BASEDATOS!$B:$B,BASEDATOS!Q:Q,0,0,1)</f>
        <v>0.375</v>
      </c>
      <c r="K620" s="51">
        <f>+_xlfn.XLOOKUP($H620&amp;$V620,BASEDATOS!$B:$B,BASEDATOS!R:R,0,0,1)</f>
        <v>0.75</v>
      </c>
      <c r="L620" s="51">
        <f t="shared" si="735"/>
        <v>0.375</v>
      </c>
      <c r="M620" s="52" t="str">
        <f t="shared" si="736"/>
        <v>1:00</v>
      </c>
      <c r="N620" s="51">
        <f t="shared" si="737"/>
        <v>0.33333333333333331</v>
      </c>
      <c r="O620" s="53" t="str">
        <f t="shared" ref="O620" si="758">+O623</f>
        <v>5-0-2</v>
      </c>
      <c r="P620" s="54">
        <f>+IF(AND(Y620="Domingo",U620=7),_xlfn.XLOOKUP(O620,'Horarios y Sistemas'!C:C,'Horarios y Sistemas'!H:H,0,0,1),0)</f>
        <v>0</v>
      </c>
      <c r="Q620" s="54">
        <f>IF(U620=U621,0,IF(AVERAGEIF(W:W,W620,U:U)=U620,0,_xlfn.XLOOKUP(O620,'Horarios y Sistemas'!C:C,'Horarios y Sistemas'!H:H,0,0,1)-P620))/7*U620</f>
        <v>0</v>
      </c>
      <c r="R620" s="54">
        <f t="shared" si="739"/>
        <v>0</v>
      </c>
      <c r="S620" s="55" t="str">
        <f t="shared" si="740"/>
        <v>SEPTIEMBRE</v>
      </c>
      <c r="T620" s="55" t="str">
        <f t="shared" si="741"/>
        <v>Sem38</v>
      </c>
      <c r="U620" s="56">
        <f t="shared" si="708"/>
        <v>7</v>
      </c>
      <c r="V620" s="59">
        <v>46282</v>
      </c>
      <c r="W620" s="56">
        <f t="shared" si="742"/>
        <v>38</v>
      </c>
      <c r="X620" s="56">
        <f t="shared" si="743"/>
        <v>17</v>
      </c>
      <c r="Y620" s="56" t="s">
        <v>31</v>
      </c>
      <c r="Z620" s="56">
        <v>4</v>
      </c>
      <c r="AA620" s="58">
        <f t="shared" si="715"/>
        <v>1</v>
      </c>
      <c r="AB620" s="58">
        <f t="shared" si="715"/>
        <v>0</v>
      </c>
      <c r="AC620" s="58">
        <f t="shared" si="715"/>
        <v>0</v>
      </c>
      <c r="AD620" s="58">
        <f t="shared" si="715"/>
        <v>0</v>
      </c>
      <c r="AE620" s="58">
        <f t="shared" si="715"/>
        <v>0</v>
      </c>
    </row>
    <row r="621" spans="2:34">
      <c r="B621" t="str">
        <f t="shared" si="730"/>
        <v>Sem3838JARDIN NATANAHEL GARCIA CHAPEN</v>
      </c>
      <c r="C621" t="str">
        <f t="shared" si="731"/>
        <v>SEPTIEMBRESem38</v>
      </c>
      <c r="D621" t="str">
        <f t="shared" si="732"/>
        <v>SEPTIEMBRESem38JARDIN NATANAHEL GARCIA CHAPEN</v>
      </c>
      <c r="E621" t="str">
        <f t="shared" si="733"/>
        <v>SEPTIEMBRESem3838JARDIN NATANAHEL GARCIA CHAPEN</v>
      </c>
      <c r="F621" t="str">
        <f t="shared" si="734"/>
        <v>JARDIN NATANAHEL GARCIA CHAPEN46283</v>
      </c>
      <c r="H621" s="49" t="s">
        <v>15</v>
      </c>
      <c r="I621" s="50" t="str">
        <f>+_xlfn.XLOOKUP($H621&amp;$V621,BASEDATOS!$B:$B,BASEDATOS!F:F,0,0,1)</f>
        <v>DIA</v>
      </c>
      <c r="J621" s="51">
        <f>+_xlfn.XLOOKUP($H621&amp;$V621,BASEDATOS!$B:$B,BASEDATOS!Q:Q,0,0,1)</f>
        <v>0.29166666666666702</v>
      </c>
      <c r="K621" s="51">
        <f>+_xlfn.XLOOKUP($H621&amp;$V621,BASEDATOS!$B:$B,BASEDATOS!R:R,0,0,1)</f>
        <v>0.66666666666666696</v>
      </c>
      <c r="L621" s="51">
        <f t="shared" si="735"/>
        <v>0.37499999999999994</v>
      </c>
      <c r="M621" s="52" t="str">
        <f t="shared" si="736"/>
        <v>1:00</v>
      </c>
      <c r="N621" s="51">
        <f t="shared" si="737"/>
        <v>0.33333333333333326</v>
      </c>
      <c r="O621" s="53" t="str">
        <f t="shared" ref="O621" si="759">+O623</f>
        <v>5-0-2</v>
      </c>
      <c r="P621" s="54">
        <f>+IF(AND(Y621="Domingo",U621=7),_xlfn.XLOOKUP(O621,'Horarios y Sistemas'!C:C,'Horarios y Sistemas'!H:H,0,0,1),0)</f>
        <v>0</v>
      </c>
      <c r="Q621" s="54">
        <f>IF(U621=U622,0,IF(AVERAGEIF(W:W,W621,U:U)=U621,0,_xlfn.XLOOKUP(O621,'Horarios y Sistemas'!C:C,'Horarios y Sistemas'!H:H,0,0,1)-P621))/7*U621</f>
        <v>0</v>
      </c>
      <c r="R621" s="54">
        <f t="shared" si="739"/>
        <v>0</v>
      </c>
      <c r="S621" s="55" t="str">
        <f t="shared" si="740"/>
        <v>SEPTIEMBRE</v>
      </c>
      <c r="T621" s="55" t="str">
        <f t="shared" si="741"/>
        <v>Sem38</v>
      </c>
      <c r="U621" s="56">
        <f t="shared" si="708"/>
        <v>7</v>
      </c>
      <c r="V621" s="59">
        <v>46283</v>
      </c>
      <c r="W621" s="56">
        <f t="shared" si="742"/>
        <v>38</v>
      </c>
      <c r="X621" s="56">
        <f t="shared" si="743"/>
        <v>18</v>
      </c>
      <c r="Y621" s="56" t="s">
        <v>32</v>
      </c>
      <c r="Z621" s="56">
        <v>5</v>
      </c>
      <c r="AA621" s="58">
        <f t="shared" si="715"/>
        <v>1</v>
      </c>
      <c r="AB621" s="58">
        <f t="shared" si="715"/>
        <v>0</v>
      </c>
      <c r="AC621" s="58">
        <f t="shared" si="715"/>
        <v>0</v>
      </c>
      <c r="AD621" s="58">
        <f t="shared" si="715"/>
        <v>0</v>
      </c>
      <c r="AE621" s="58">
        <f t="shared" si="715"/>
        <v>0</v>
      </c>
    </row>
    <row r="622" spans="2:34">
      <c r="B622" t="str">
        <f t="shared" si="730"/>
        <v>Sem3838JARDIN NATANAHEL GARCIA CHAPEN</v>
      </c>
      <c r="C622" t="str">
        <f t="shared" si="731"/>
        <v>SEPTIEMBRESem38</v>
      </c>
      <c r="D622" t="str">
        <f t="shared" si="732"/>
        <v>SEPTIEMBRESem38JARDIN NATANAHEL GARCIA CHAPEN</v>
      </c>
      <c r="E622" t="str">
        <f t="shared" si="733"/>
        <v>SEPTIEMBRESem3838JARDIN NATANAHEL GARCIA CHAPEN</v>
      </c>
      <c r="F622" t="str">
        <f t="shared" si="734"/>
        <v>JARDIN NATANAHEL GARCIA CHAPEN46284</v>
      </c>
      <c r="H622" s="49" t="s">
        <v>15</v>
      </c>
      <c r="I622" s="50" t="str">
        <f>+_xlfn.XLOOKUP($H622&amp;$V622,BASEDATOS!$B:$B,BASEDATOS!F:F,0,0,1)</f>
        <v>DIA</v>
      </c>
      <c r="J622" s="51">
        <f>+_xlfn.XLOOKUP($H622&amp;$V622,BASEDATOS!$B:$B,BASEDATOS!Q:Q,0,0,1)</f>
        <v>0.29166666666666702</v>
      </c>
      <c r="K622" s="51">
        <f>+_xlfn.XLOOKUP($H622&amp;$V622,BASEDATOS!$B:$B,BASEDATOS!R:R,0,0,1)</f>
        <v>0.5</v>
      </c>
      <c r="L622" s="51">
        <f t="shared" si="735"/>
        <v>0.20833333333333298</v>
      </c>
      <c r="M622" s="52" t="str">
        <f t="shared" si="736"/>
        <v>1:00</v>
      </c>
      <c r="N622" s="51">
        <f t="shared" si="737"/>
        <v>0.16666666666666632</v>
      </c>
      <c r="O622" s="53" t="str">
        <f t="shared" ref="O622" si="760">+O623</f>
        <v>5-0-2</v>
      </c>
      <c r="P622" s="54">
        <f>+IF(AND(Y622="Domingo",U622=7),_xlfn.XLOOKUP(O622,'Horarios y Sistemas'!C:C,'Horarios y Sistemas'!H:H,0,0,1),0)</f>
        <v>0</v>
      </c>
      <c r="Q622" s="54">
        <f>IF(U622=U623,0,IF(AVERAGEIF(W:W,W622,U:U)=U622,0,_xlfn.XLOOKUP(O622,'Horarios y Sistemas'!C:C,'Horarios y Sistemas'!H:H,0,0,1)-P622))/7*U622</f>
        <v>0</v>
      </c>
      <c r="R622" s="54">
        <f t="shared" si="739"/>
        <v>0</v>
      </c>
      <c r="S622" s="55" t="str">
        <f t="shared" si="740"/>
        <v>SEPTIEMBRE</v>
      </c>
      <c r="T622" s="55" t="str">
        <f t="shared" si="741"/>
        <v>Sem38</v>
      </c>
      <c r="U622" s="56">
        <f t="shared" si="708"/>
        <v>7</v>
      </c>
      <c r="V622" s="59">
        <v>46284</v>
      </c>
      <c r="W622" s="56">
        <f t="shared" si="742"/>
        <v>38</v>
      </c>
      <c r="X622" s="56">
        <f t="shared" si="743"/>
        <v>19</v>
      </c>
      <c r="Y622" s="56" t="s">
        <v>33</v>
      </c>
      <c r="Z622" s="56">
        <v>6</v>
      </c>
      <c r="AA622" s="58">
        <f t="shared" si="715"/>
        <v>1</v>
      </c>
      <c r="AB622" s="58">
        <f t="shared" si="715"/>
        <v>0</v>
      </c>
      <c r="AC622" s="58">
        <f t="shared" si="715"/>
        <v>0</v>
      </c>
      <c r="AD622" s="58">
        <f t="shared" si="715"/>
        <v>0</v>
      </c>
      <c r="AE622" s="58">
        <f t="shared" si="715"/>
        <v>0</v>
      </c>
    </row>
    <row r="623" spans="2:34" s="60" customFormat="1">
      <c r="B623" s="60" t="str">
        <f t="shared" si="730"/>
        <v>Sem3838JARDIN NATANAHEL GARCIA CHAPEN</v>
      </c>
      <c r="C623" s="60" t="str">
        <f t="shared" si="731"/>
        <v>SEPTIEMBRESem38</v>
      </c>
      <c r="D623" s="60" t="str">
        <f t="shared" si="732"/>
        <v>SEPTIEMBRESem38JARDIN NATANAHEL GARCIA CHAPEN</v>
      </c>
      <c r="E623" s="60" t="str">
        <f t="shared" si="733"/>
        <v>SEPTIEMBRESem3838JARDIN NATANAHEL GARCIA CHAPEN</v>
      </c>
      <c r="F623" s="60" t="str">
        <f t="shared" si="734"/>
        <v>JARDIN NATANAHEL GARCIA CHAPEN46285</v>
      </c>
      <c r="H623" s="61" t="s">
        <v>15</v>
      </c>
      <c r="I623" s="62" t="str">
        <f>+_xlfn.XLOOKUP($H623&amp;$V623,BASEDATOS!$B:$B,BASEDATOS!F:F,0,0,1)</f>
        <v>DESCANSO</v>
      </c>
      <c r="J623" s="63">
        <f>+_xlfn.XLOOKUP($H623&amp;$V623,BASEDATOS!$B:$B,BASEDATOS!Q:Q,0,0,1)</f>
        <v>0</v>
      </c>
      <c r="K623" s="63">
        <f>+_xlfn.XLOOKUP($H623&amp;$V623,BASEDATOS!$B:$B,BASEDATOS!R:R,0,0,1)</f>
        <v>0</v>
      </c>
      <c r="L623" s="63">
        <f t="shared" si="735"/>
        <v>0</v>
      </c>
      <c r="M623" s="64">
        <f t="shared" si="736"/>
        <v>0</v>
      </c>
      <c r="N623" s="63">
        <f t="shared" si="737"/>
        <v>0</v>
      </c>
      <c r="O623" s="65" t="str">
        <f t="shared" ref="O623" si="761">+IF(Y623="Domingo",SUM(AA617:AA623)&amp;"-"&amp;SUM(AB617:AB623)&amp;"-"&amp;SUM(AC617:AE623),"")</f>
        <v>5-0-2</v>
      </c>
      <c r="P623" s="66">
        <f>+IF(AND(Y623="Domingo",U623=7),_xlfn.XLOOKUP(O623,'Horarios y Sistemas'!C:C,'Horarios y Sistemas'!H:H,0,0,1),0)</f>
        <v>44</v>
      </c>
      <c r="Q623" s="66">
        <f>IF(U623=U624,0,IF(AVERAGEIF(W:W,W623,U:U)=U623,0,_xlfn.XLOOKUP(O623,'Horarios y Sistemas'!C:C,'Horarios y Sistemas'!H:H,0,0,1)-P623))/7*U623</f>
        <v>0</v>
      </c>
      <c r="R623" s="66">
        <f t="shared" si="739"/>
        <v>44</v>
      </c>
      <c r="S623" s="67" t="str">
        <f t="shared" si="740"/>
        <v>SEPTIEMBRE</v>
      </c>
      <c r="T623" s="55" t="str">
        <f t="shared" si="741"/>
        <v>Sem38</v>
      </c>
      <c r="U623" s="68">
        <f t="shared" si="708"/>
        <v>7</v>
      </c>
      <c r="V623" s="69">
        <v>46285</v>
      </c>
      <c r="W623" s="68">
        <f t="shared" si="742"/>
        <v>38</v>
      </c>
      <c r="X623" s="68">
        <f t="shared" si="743"/>
        <v>20</v>
      </c>
      <c r="Y623" s="68" t="s">
        <v>34</v>
      </c>
      <c r="Z623" s="68">
        <v>7</v>
      </c>
      <c r="AA623" s="70">
        <f t="shared" si="715"/>
        <v>0</v>
      </c>
      <c r="AB623" s="70">
        <f t="shared" si="715"/>
        <v>0</v>
      </c>
      <c r="AC623" s="70">
        <f t="shared" si="715"/>
        <v>1</v>
      </c>
      <c r="AD623" s="70">
        <f t="shared" si="715"/>
        <v>0</v>
      </c>
      <c r="AE623" s="70">
        <f t="shared" si="715"/>
        <v>0</v>
      </c>
      <c r="AF623" s="71"/>
      <c r="AG623" s="71"/>
      <c r="AH623" s="71"/>
    </row>
    <row r="624" spans="2:34">
      <c r="B624" t="str">
        <f t="shared" si="730"/>
        <v>Sem3939JARDIN NATANAHEL GARCIA CHAPEN</v>
      </c>
      <c r="C624" t="str">
        <f t="shared" si="731"/>
        <v>SEPTIEMBRESem39</v>
      </c>
      <c r="D624" t="str">
        <f t="shared" si="732"/>
        <v>SEPTIEMBRESem39JARDIN NATANAHEL GARCIA CHAPEN</v>
      </c>
      <c r="E624" t="str">
        <f t="shared" si="733"/>
        <v>SEPTIEMBRESem3939JARDIN NATANAHEL GARCIA CHAPEN</v>
      </c>
      <c r="F624" t="str">
        <f t="shared" si="734"/>
        <v>JARDIN NATANAHEL GARCIA CHAPEN46286</v>
      </c>
      <c r="H624" s="49" t="s">
        <v>15</v>
      </c>
      <c r="I624" s="50" t="str">
        <f>+_xlfn.XLOOKUP($H624&amp;$V624,BASEDATOS!$B:$B,BASEDATOS!F:F,0,0,1)</f>
        <v>DIA</v>
      </c>
      <c r="J624" s="51">
        <f>+_xlfn.XLOOKUP($H624&amp;$V624,BASEDATOS!$B:$B,BASEDATOS!Q:Q,0,0,1)</f>
        <v>0.29166666666666702</v>
      </c>
      <c r="K624" s="51">
        <f>+_xlfn.XLOOKUP($H624&amp;$V624,BASEDATOS!$B:$B,BASEDATOS!R:R,0,0,1)</f>
        <v>0.66666666666666696</v>
      </c>
      <c r="L624" s="51">
        <f t="shared" si="735"/>
        <v>0.37499999999999994</v>
      </c>
      <c r="M624" s="52" t="str">
        <f t="shared" si="736"/>
        <v>1:00</v>
      </c>
      <c r="N624" s="51">
        <f t="shared" si="737"/>
        <v>0.33333333333333326</v>
      </c>
      <c r="O624" s="53" t="str">
        <f t="shared" ref="O624" si="762">+O630</f>
        <v>6-0-1</v>
      </c>
      <c r="P624" s="54">
        <f>+IF(AND(Y624="Domingo",U624=7),_xlfn.XLOOKUP(O624,'Horarios y Sistemas'!C:C,'Horarios y Sistemas'!H:H,0,0,1),0)</f>
        <v>0</v>
      </c>
      <c r="Q624" s="54">
        <f>IF(U624=U625,0,IF(AVERAGEIF(W:W,W624,U:U)=U624,0,_xlfn.XLOOKUP(O624,'Horarios y Sistemas'!C:C,'Horarios y Sistemas'!H:H,0,0,1)-P624))/7*U624</f>
        <v>0</v>
      </c>
      <c r="R624" s="54">
        <f t="shared" si="739"/>
        <v>0</v>
      </c>
      <c r="S624" s="55" t="str">
        <f t="shared" si="740"/>
        <v>SEPTIEMBRE</v>
      </c>
      <c r="T624" s="55" t="str">
        <f t="shared" si="741"/>
        <v>Sem39</v>
      </c>
      <c r="U624" s="56">
        <f t="shared" si="708"/>
        <v>7</v>
      </c>
      <c r="V624" s="57">
        <v>46286</v>
      </c>
      <c r="W624" s="56">
        <f t="shared" si="742"/>
        <v>39</v>
      </c>
      <c r="X624" s="56">
        <f t="shared" si="743"/>
        <v>21</v>
      </c>
      <c r="Y624" s="56" t="s">
        <v>28</v>
      </c>
      <c r="Z624" s="56">
        <v>1</v>
      </c>
      <c r="AA624" s="58">
        <f t="shared" si="715"/>
        <v>1</v>
      </c>
      <c r="AB624" s="58">
        <f t="shared" si="715"/>
        <v>0</v>
      </c>
      <c r="AC624" s="58">
        <f t="shared" si="715"/>
        <v>0</v>
      </c>
      <c r="AD624" s="58">
        <f t="shared" si="715"/>
        <v>0</v>
      </c>
      <c r="AE624" s="58">
        <f t="shared" si="715"/>
        <v>0</v>
      </c>
    </row>
    <row r="625" spans="2:34">
      <c r="B625" t="str">
        <f t="shared" si="730"/>
        <v>Sem3939JARDIN NATANAHEL GARCIA CHAPEN</v>
      </c>
      <c r="C625" t="str">
        <f t="shared" si="731"/>
        <v>SEPTIEMBRESem39</v>
      </c>
      <c r="D625" t="str">
        <f t="shared" si="732"/>
        <v>SEPTIEMBRESem39JARDIN NATANAHEL GARCIA CHAPEN</v>
      </c>
      <c r="E625" t="str">
        <f t="shared" si="733"/>
        <v>SEPTIEMBRESem3939JARDIN NATANAHEL GARCIA CHAPEN</v>
      </c>
      <c r="F625" t="str">
        <f t="shared" si="734"/>
        <v>JARDIN NATANAHEL GARCIA CHAPEN46287</v>
      </c>
      <c r="H625" s="49" t="s">
        <v>15</v>
      </c>
      <c r="I625" s="50" t="str">
        <f>+_xlfn.XLOOKUP($H625&amp;$V625,BASEDATOS!$B:$B,BASEDATOS!F:F,0,0,1)</f>
        <v>DIA</v>
      </c>
      <c r="J625" s="51">
        <f>+_xlfn.XLOOKUP($H625&amp;$V625,BASEDATOS!$B:$B,BASEDATOS!Q:Q,0,0,1)</f>
        <v>0.29166666666666702</v>
      </c>
      <c r="K625" s="51">
        <f>+_xlfn.XLOOKUP($H625&amp;$V625,BASEDATOS!$B:$B,BASEDATOS!R:R,0,0,1)</f>
        <v>0.66666666666666696</v>
      </c>
      <c r="L625" s="51">
        <f t="shared" si="735"/>
        <v>0.37499999999999994</v>
      </c>
      <c r="M625" s="52" t="str">
        <f t="shared" si="736"/>
        <v>1:00</v>
      </c>
      <c r="N625" s="51">
        <f t="shared" si="737"/>
        <v>0.33333333333333326</v>
      </c>
      <c r="O625" s="53" t="str">
        <f t="shared" ref="O625" si="763">+O630</f>
        <v>6-0-1</v>
      </c>
      <c r="P625" s="54">
        <f>+IF(AND(Y625="Domingo",U625=7),_xlfn.XLOOKUP(O625,'Horarios y Sistemas'!C:C,'Horarios y Sistemas'!H:H,0,0,1),0)</f>
        <v>0</v>
      </c>
      <c r="Q625" s="54">
        <f>IF(U625=U626,0,IF(AVERAGEIF(W:W,W625,U:U)=U625,0,_xlfn.XLOOKUP(O625,'Horarios y Sistemas'!C:C,'Horarios y Sistemas'!H:H,0,0,1)-P625))/7*U625</f>
        <v>0</v>
      </c>
      <c r="R625" s="54">
        <f t="shared" si="739"/>
        <v>0</v>
      </c>
      <c r="S625" s="55" t="str">
        <f t="shared" si="740"/>
        <v>SEPTIEMBRE</v>
      </c>
      <c r="T625" s="55" t="str">
        <f t="shared" si="741"/>
        <v>Sem39</v>
      </c>
      <c r="U625" s="56">
        <f t="shared" si="708"/>
        <v>7</v>
      </c>
      <c r="V625" s="59">
        <v>46287</v>
      </c>
      <c r="W625" s="56">
        <f t="shared" si="742"/>
        <v>39</v>
      </c>
      <c r="X625" s="56">
        <f t="shared" si="743"/>
        <v>22</v>
      </c>
      <c r="Y625" s="56" t="s">
        <v>29</v>
      </c>
      <c r="Z625" s="56">
        <v>2</v>
      </c>
      <c r="AA625" s="58">
        <f t="shared" si="715"/>
        <v>1</v>
      </c>
      <c r="AB625" s="58">
        <f t="shared" si="715"/>
        <v>0</v>
      </c>
      <c r="AC625" s="58">
        <f t="shared" si="715"/>
        <v>0</v>
      </c>
      <c r="AD625" s="58">
        <f t="shared" si="715"/>
        <v>0</v>
      </c>
      <c r="AE625" s="58">
        <f t="shared" si="715"/>
        <v>0</v>
      </c>
    </row>
    <row r="626" spans="2:34">
      <c r="B626" t="str">
        <f t="shared" si="730"/>
        <v>Sem3939JARDIN NATANAHEL GARCIA CHAPEN</v>
      </c>
      <c r="C626" t="str">
        <f t="shared" si="731"/>
        <v>SEPTIEMBRESem39</v>
      </c>
      <c r="D626" t="str">
        <f t="shared" si="732"/>
        <v>SEPTIEMBRESem39JARDIN NATANAHEL GARCIA CHAPEN</v>
      </c>
      <c r="E626" t="str">
        <f t="shared" si="733"/>
        <v>SEPTIEMBRESem3939JARDIN NATANAHEL GARCIA CHAPEN</v>
      </c>
      <c r="F626" t="str">
        <f t="shared" si="734"/>
        <v>JARDIN NATANAHEL GARCIA CHAPEN46288</v>
      </c>
      <c r="H626" s="49" t="s">
        <v>15</v>
      </c>
      <c r="I626" s="50" t="str">
        <f>+_xlfn.XLOOKUP($H626&amp;$V626,BASEDATOS!$B:$B,BASEDATOS!F:F,0,0,1)</f>
        <v>DIA</v>
      </c>
      <c r="J626" s="51">
        <f>+_xlfn.XLOOKUP($H626&amp;$V626,BASEDATOS!$B:$B,BASEDATOS!Q:Q,0,0,1)</f>
        <v>0.29166666666666702</v>
      </c>
      <c r="K626" s="51">
        <f>+_xlfn.XLOOKUP($H626&amp;$V626,BASEDATOS!$B:$B,BASEDATOS!R:R,0,0,1)</f>
        <v>0.66666666666666696</v>
      </c>
      <c r="L626" s="51">
        <f t="shared" si="735"/>
        <v>0.37499999999999994</v>
      </c>
      <c r="M626" s="52" t="str">
        <f t="shared" si="736"/>
        <v>1:00</v>
      </c>
      <c r="N626" s="51">
        <f t="shared" si="737"/>
        <v>0.33333333333333326</v>
      </c>
      <c r="O626" s="53" t="str">
        <f t="shared" ref="O626" si="764">+O630</f>
        <v>6-0-1</v>
      </c>
      <c r="P626" s="54">
        <f>+IF(AND(Y626="Domingo",U626=7),_xlfn.XLOOKUP(O626,'Horarios y Sistemas'!C:C,'Horarios y Sistemas'!H:H,0,0,1),0)</f>
        <v>0</v>
      </c>
      <c r="Q626" s="54">
        <f>IF(U626=U627,0,IF(AVERAGEIF(W:W,W626,U:U)=U626,0,_xlfn.XLOOKUP(O626,'Horarios y Sistemas'!C:C,'Horarios y Sistemas'!H:H,0,0,1)-P626))/7*U626</f>
        <v>0</v>
      </c>
      <c r="R626" s="54">
        <f t="shared" si="739"/>
        <v>0</v>
      </c>
      <c r="S626" s="55" t="str">
        <f t="shared" si="740"/>
        <v>SEPTIEMBRE</v>
      </c>
      <c r="T626" s="55" t="str">
        <f t="shared" si="741"/>
        <v>Sem39</v>
      </c>
      <c r="U626" s="56">
        <f t="shared" si="708"/>
        <v>7</v>
      </c>
      <c r="V626" s="59">
        <v>46288</v>
      </c>
      <c r="W626" s="56">
        <f t="shared" si="742"/>
        <v>39</v>
      </c>
      <c r="X626" s="56">
        <f t="shared" si="743"/>
        <v>23</v>
      </c>
      <c r="Y626" s="56" t="s">
        <v>30</v>
      </c>
      <c r="Z626" s="56">
        <v>3</v>
      </c>
      <c r="AA626" s="58">
        <f t="shared" si="715"/>
        <v>1</v>
      </c>
      <c r="AB626" s="58">
        <f t="shared" si="715"/>
        <v>0</v>
      </c>
      <c r="AC626" s="58">
        <f t="shared" si="715"/>
        <v>0</v>
      </c>
      <c r="AD626" s="58">
        <f t="shared" si="715"/>
        <v>0</v>
      </c>
      <c r="AE626" s="58">
        <f t="shared" si="715"/>
        <v>0</v>
      </c>
    </row>
    <row r="627" spans="2:34">
      <c r="B627" t="str">
        <f t="shared" si="730"/>
        <v>Sem3939JARDIN NATANAHEL GARCIA CHAPEN</v>
      </c>
      <c r="C627" t="str">
        <f t="shared" si="731"/>
        <v>SEPTIEMBRESem39</v>
      </c>
      <c r="D627" t="str">
        <f t="shared" si="732"/>
        <v>SEPTIEMBRESem39JARDIN NATANAHEL GARCIA CHAPEN</v>
      </c>
      <c r="E627" t="str">
        <f t="shared" si="733"/>
        <v>SEPTIEMBRESem3939JARDIN NATANAHEL GARCIA CHAPEN</v>
      </c>
      <c r="F627" t="str">
        <f t="shared" si="734"/>
        <v>JARDIN NATANAHEL GARCIA CHAPEN46289</v>
      </c>
      <c r="H627" s="49" t="s">
        <v>15</v>
      </c>
      <c r="I627" s="50" t="str">
        <f>+_xlfn.XLOOKUP($H627&amp;$V627,BASEDATOS!$B:$B,BASEDATOS!F:F,0,0,1)</f>
        <v>DIA</v>
      </c>
      <c r="J627" s="51">
        <f>+_xlfn.XLOOKUP($H627&amp;$V627,BASEDATOS!$B:$B,BASEDATOS!Q:Q,0,0,1)</f>
        <v>0.375</v>
      </c>
      <c r="K627" s="51">
        <f>+_xlfn.XLOOKUP($H627&amp;$V627,BASEDATOS!$B:$B,BASEDATOS!R:R,0,0,1)</f>
        <v>0.75</v>
      </c>
      <c r="L627" s="51">
        <f t="shared" si="735"/>
        <v>0.375</v>
      </c>
      <c r="M627" s="52" t="str">
        <f t="shared" si="736"/>
        <v>1:00</v>
      </c>
      <c r="N627" s="51">
        <f t="shared" si="737"/>
        <v>0.33333333333333331</v>
      </c>
      <c r="O627" s="53" t="str">
        <f t="shared" ref="O627" si="765">+O630</f>
        <v>6-0-1</v>
      </c>
      <c r="P627" s="54">
        <f>+IF(AND(Y627="Domingo",U627=7),_xlfn.XLOOKUP(O627,'Horarios y Sistemas'!C:C,'Horarios y Sistemas'!H:H,0,0,1),0)</f>
        <v>0</v>
      </c>
      <c r="Q627" s="54">
        <f>IF(U627=U628,0,IF(AVERAGEIF(W:W,W627,U:U)=U627,0,_xlfn.XLOOKUP(O627,'Horarios y Sistemas'!C:C,'Horarios y Sistemas'!H:H,0,0,1)-P627))/7*U627</f>
        <v>0</v>
      </c>
      <c r="R627" s="54">
        <f t="shared" si="739"/>
        <v>0</v>
      </c>
      <c r="S627" s="55" t="str">
        <f t="shared" si="740"/>
        <v>SEPTIEMBRE</v>
      </c>
      <c r="T627" s="55" t="str">
        <f t="shared" si="741"/>
        <v>Sem39</v>
      </c>
      <c r="U627" s="56">
        <f t="shared" si="708"/>
        <v>7</v>
      </c>
      <c r="V627" s="59">
        <v>46289</v>
      </c>
      <c r="W627" s="56">
        <f t="shared" si="742"/>
        <v>39</v>
      </c>
      <c r="X627" s="56">
        <f t="shared" si="743"/>
        <v>24</v>
      </c>
      <c r="Y627" s="56" t="s">
        <v>31</v>
      </c>
      <c r="Z627" s="56">
        <v>4</v>
      </c>
      <c r="AA627" s="58">
        <f t="shared" ref="AA627:AE677" si="766">+IF($I627=AA$7,1,0)</f>
        <v>1</v>
      </c>
      <c r="AB627" s="58">
        <f t="shared" si="766"/>
        <v>0</v>
      </c>
      <c r="AC627" s="58">
        <f t="shared" si="766"/>
        <v>0</v>
      </c>
      <c r="AD627" s="58">
        <f t="shared" si="766"/>
        <v>0</v>
      </c>
      <c r="AE627" s="58">
        <f t="shared" si="766"/>
        <v>0</v>
      </c>
    </row>
    <row r="628" spans="2:34">
      <c r="B628" t="str">
        <f t="shared" si="730"/>
        <v>Sem3939JARDIN NATANAHEL GARCIA CHAPEN</v>
      </c>
      <c r="C628" t="str">
        <f t="shared" si="731"/>
        <v>SEPTIEMBRESem39</v>
      </c>
      <c r="D628" t="str">
        <f t="shared" si="732"/>
        <v>SEPTIEMBRESem39JARDIN NATANAHEL GARCIA CHAPEN</v>
      </c>
      <c r="E628" t="str">
        <f t="shared" si="733"/>
        <v>SEPTIEMBRESem3939JARDIN NATANAHEL GARCIA CHAPEN</v>
      </c>
      <c r="F628" t="str">
        <f t="shared" si="734"/>
        <v>JARDIN NATANAHEL GARCIA CHAPEN46290</v>
      </c>
      <c r="H628" s="49" t="s">
        <v>15</v>
      </c>
      <c r="I628" s="50" t="str">
        <f>+_xlfn.XLOOKUP($H628&amp;$V628,BASEDATOS!$B:$B,BASEDATOS!F:F,0,0,1)</f>
        <v>DIA</v>
      </c>
      <c r="J628" s="51">
        <f>+_xlfn.XLOOKUP($H628&amp;$V628,BASEDATOS!$B:$B,BASEDATOS!Q:Q,0,0,1)</f>
        <v>0.29166666666666702</v>
      </c>
      <c r="K628" s="51">
        <f>+_xlfn.XLOOKUP($H628&amp;$V628,BASEDATOS!$B:$B,BASEDATOS!R:R,0,0,1)</f>
        <v>0.66666666666666696</v>
      </c>
      <c r="L628" s="51">
        <f t="shared" si="735"/>
        <v>0.37499999999999994</v>
      </c>
      <c r="M628" s="52" t="str">
        <f t="shared" si="736"/>
        <v>1:00</v>
      </c>
      <c r="N628" s="51">
        <f t="shared" si="737"/>
        <v>0.33333333333333326</v>
      </c>
      <c r="O628" s="53" t="str">
        <f t="shared" ref="O628" si="767">+O630</f>
        <v>6-0-1</v>
      </c>
      <c r="P628" s="54">
        <f>+IF(AND(Y628="Domingo",U628=7),_xlfn.XLOOKUP(O628,'Horarios y Sistemas'!C:C,'Horarios y Sistemas'!H:H,0,0,1),0)</f>
        <v>0</v>
      </c>
      <c r="Q628" s="54">
        <f>IF(U628=U629,0,IF(AVERAGEIF(W:W,W628,U:U)=U628,0,_xlfn.XLOOKUP(O628,'Horarios y Sistemas'!C:C,'Horarios y Sistemas'!H:H,0,0,1)-P628))/7*U628</f>
        <v>0</v>
      </c>
      <c r="R628" s="54">
        <f t="shared" si="739"/>
        <v>0</v>
      </c>
      <c r="S628" s="55" t="str">
        <f t="shared" si="740"/>
        <v>SEPTIEMBRE</v>
      </c>
      <c r="T628" s="55" t="str">
        <f t="shared" si="741"/>
        <v>Sem39</v>
      </c>
      <c r="U628" s="56">
        <f t="shared" si="708"/>
        <v>7</v>
      </c>
      <c r="V628" s="59">
        <v>46290</v>
      </c>
      <c r="W628" s="56">
        <f t="shared" si="742"/>
        <v>39</v>
      </c>
      <c r="X628" s="56">
        <f t="shared" si="743"/>
        <v>25</v>
      </c>
      <c r="Y628" s="56" t="s">
        <v>32</v>
      </c>
      <c r="Z628" s="56">
        <v>5</v>
      </c>
      <c r="AA628" s="58">
        <f t="shared" si="766"/>
        <v>1</v>
      </c>
      <c r="AB628" s="58">
        <f t="shared" si="766"/>
        <v>0</v>
      </c>
      <c r="AC628" s="58">
        <f t="shared" si="766"/>
        <v>0</v>
      </c>
      <c r="AD628" s="58">
        <f t="shared" si="766"/>
        <v>0</v>
      </c>
      <c r="AE628" s="58">
        <f t="shared" si="766"/>
        <v>0</v>
      </c>
    </row>
    <row r="629" spans="2:34">
      <c r="B629" t="str">
        <f t="shared" si="730"/>
        <v>Sem3939JARDIN NATANAHEL GARCIA CHAPEN</v>
      </c>
      <c r="C629" t="str">
        <f t="shared" si="731"/>
        <v>SEPTIEMBRESem39</v>
      </c>
      <c r="D629" t="str">
        <f t="shared" si="732"/>
        <v>SEPTIEMBRESem39JARDIN NATANAHEL GARCIA CHAPEN</v>
      </c>
      <c r="E629" t="str">
        <f t="shared" si="733"/>
        <v>SEPTIEMBRESem3939JARDIN NATANAHEL GARCIA CHAPEN</v>
      </c>
      <c r="F629" t="str">
        <f t="shared" si="734"/>
        <v>JARDIN NATANAHEL GARCIA CHAPEN46291</v>
      </c>
      <c r="H629" s="49" t="s">
        <v>15</v>
      </c>
      <c r="I629" s="50" t="str">
        <f>+_xlfn.XLOOKUP($H629&amp;$V629,BASEDATOS!$B:$B,BASEDATOS!F:F,0,0,1)</f>
        <v>DIA</v>
      </c>
      <c r="J629" s="51">
        <f>+_xlfn.XLOOKUP($H629&amp;$V629,BASEDATOS!$B:$B,BASEDATOS!Q:Q,0,0,1)</f>
        <v>0.29166666666666702</v>
      </c>
      <c r="K629" s="51">
        <f>+_xlfn.XLOOKUP($H629&amp;$V629,BASEDATOS!$B:$B,BASEDATOS!R:R,0,0,1)</f>
        <v>0.5</v>
      </c>
      <c r="L629" s="51">
        <f t="shared" si="735"/>
        <v>0.20833333333333298</v>
      </c>
      <c r="M629" s="52" t="str">
        <f t="shared" si="736"/>
        <v>1:00</v>
      </c>
      <c r="N629" s="51">
        <f t="shared" si="737"/>
        <v>0.16666666666666632</v>
      </c>
      <c r="O629" s="53" t="str">
        <f t="shared" ref="O629" si="768">+O630</f>
        <v>6-0-1</v>
      </c>
      <c r="P629" s="54">
        <f>+IF(AND(Y629="Domingo",U629=7),_xlfn.XLOOKUP(O629,'Horarios y Sistemas'!C:C,'Horarios y Sistemas'!H:H,0,0,1),0)</f>
        <v>0</v>
      </c>
      <c r="Q629" s="54">
        <f>IF(U629=U630,0,IF(AVERAGEIF(W:W,W629,U:U)=U629,0,_xlfn.XLOOKUP(O629,'Horarios y Sistemas'!C:C,'Horarios y Sistemas'!H:H,0,0,1)-P629))/7*U629</f>
        <v>0</v>
      </c>
      <c r="R629" s="54">
        <f t="shared" si="739"/>
        <v>0</v>
      </c>
      <c r="S629" s="55" t="str">
        <f t="shared" si="740"/>
        <v>SEPTIEMBRE</v>
      </c>
      <c r="T629" s="55" t="str">
        <f t="shared" si="741"/>
        <v>Sem39</v>
      </c>
      <c r="U629" s="56">
        <f t="shared" si="708"/>
        <v>7</v>
      </c>
      <c r="V629" s="59">
        <v>46291</v>
      </c>
      <c r="W629" s="56">
        <f t="shared" si="742"/>
        <v>39</v>
      </c>
      <c r="X629" s="56">
        <f t="shared" si="743"/>
        <v>26</v>
      </c>
      <c r="Y629" s="56" t="s">
        <v>33</v>
      </c>
      <c r="Z629" s="56">
        <v>6</v>
      </c>
      <c r="AA629" s="58">
        <f t="shared" si="766"/>
        <v>1</v>
      </c>
      <c r="AB629" s="58">
        <f t="shared" si="766"/>
        <v>0</v>
      </c>
      <c r="AC629" s="58">
        <f t="shared" si="766"/>
        <v>0</v>
      </c>
      <c r="AD629" s="58">
        <f t="shared" si="766"/>
        <v>0</v>
      </c>
      <c r="AE629" s="58">
        <f t="shared" si="766"/>
        <v>0</v>
      </c>
    </row>
    <row r="630" spans="2:34" s="60" customFormat="1">
      <c r="B630" s="60" t="str">
        <f t="shared" si="730"/>
        <v>Sem3939JARDIN NATANAHEL GARCIA CHAPEN</v>
      </c>
      <c r="C630" s="60" t="str">
        <f t="shared" si="731"/>
        <v>SEPTIEMBRESem39</v>
      </c>
      <c r="D630" s="60" t="str">
        <f t="shared" si="732"/>
        <v>SEPTIEMBRESem39JARDIN NATANAHEL GARCIA CHAPEN</v>
      </c>
      <c r="E630" s="60" t="str">
        <f t="shared" si="733"/>
        <v>SEPTIEMBRESem3939JARDIN NATANAHEL GARCIA CHAPEN</v>
      </c>
      <c r="F630" s="60" t="str">
        <f t="shared" si="734"/>
        <v>JARDIN NATANAHEL GARCIA CHAPEN46292</v>
      </c>
      <c r="H630" s="61" t="s">
        <v>15</v>
      </c>
      <c r="I630" s="62" t="str">
        <f>+_xlfn.XLOOKUP($H630&amp;$V630,BASEDATOS!$B:$B,BASEDATOS!F:F,0,0,1)</f>
        <v>DESCANSO</v>
      </c>
      <c r="J630" s="63">
        <f>+_xlfn.XLOOKUP($H630&amp;$V630,BASEDATOS!$B:$B,BASEDATOS!Q:Q,0,0,1)</f>
        <v>0</v>
      </c>
      <c r="K630" s="63">
        <f>+_xlfn.XLOOKUP($H630&amp;$V630,BASEDATOS!$B:$B,BASEDATOS!R:R,0,0,1)</f>
        <v>0</v>
      </c>
      <c r="L630" s="63">
        <f t="shared" si="735"/>
        <v>0</v>
      </c>
      <c r="M630" s="64">
        <f t="shared" si="736"/>
        <v>0</v>
      </c>
      <c r="N630" s="63">
        <f t="shared" si="737"/>
        <v>0</v>
      </c>
      <c r="O630" s="65" t="str">
        <f t="shared" ref="O630" si="769">+IF(Y630="Domingo",SUM(AA624:AA630)&amp;"-"&amp;SUM(AB624:AB630)&amp;"-"&amp;SUM(AC624:AE630),"")</f>
        <v>6-0-1</v>
      </c>
      <c r="P630" s="66">
        <f>+IF(AND(Y630="Domingo",U630=7),_xlfn.XLOOKUP(O630,'Horarios y Sistemas'!C:C,'Horarios y Sistemas'!H:H,0,0,1),0)</f>
        <v>44</v>
      </c>
      <c r="Q630" s="66">
        <f>IF(U630=U631,0,IF(AVERAGEIF(W:W,W630,U:U)=U630,0,_xlfn.XLOOKUP(O630,'Horarios y Sistemas'!C:C,'Horarios y Sistemas'!H:H,0,0,1)-P630))/7*U630</f>
        <v>0</v>
      </c>
      <c r="R630" s="66">
        <f t="shared" si="739"/>
        <v>44</v>
      </c>
      <c r="S630" s="67" t="str">
        <f t="shared" si="740"/>
        <v>SEPTIEMBRE</v>
      </c>
      <c r="T630" s="55" t="str">
        <f t="shared" si="741"/>
        <v>Sem39</v>
      </c>
      <c r="U630" s="68">
        <f t="shared" si="708"/>
        <v>7</v>
      </c>
      <c r="V630" s="69">
        <v>46292</v>
      </c>
      <c r="W630" s="68">
        <f t="shared" si="742"/>
        <v>39</v>
      </c>
      <c r="X630" s="68">
        <f t="shared" si="743"/>
        <v>27</v>
      </c>
      <c r="Y630" s="68" t="s">
        <v>34</v>
      </c>
      <c r="Z630" s="68">
        <v>7</v>
      </c>
      <c r="AA630" s="70">
        <f t="shared" si="766"/>
        <v>0</v>
      </c>
      <c r="AB630" s="70">
        <f t="shared" si="766"/>
        <v>0</v>
      </c>
      <c r="AC630" s="70">
        <f t="shared" si="766"/>
        <v>1</v>
      </c>
      <c r="AD630" s="70">
        <f t="shared" si="766"/>
        <v>0</v>
      </c>
      <c r="AE630" s="70">
        <f t="shared" si="766"/>
        <v>0</v>
      </c>
      <c r="AF630" s="71"/>
      <c r="AG630" s="71"/>
      <c r="AH630" s="71"/>
    </row>
    <row r="631" spans="2:34">
      <c r="B631" t="str">
        <f t="shared" si="730"/>
        <v>Sem4040JARDIN NATANAHEL GARCIA CHAPEN</v>
      </c>
      <c r="C631" t="str">
        <f t="shared" si="731"/>
        <v>SEPTIEMBRESem40</v>
      </c>
      <c r="D631" t="str">
        <f t="shared" si="732"/>
        <v>SEPTIEMBRESem40JARDIN NATANAHEL GARCIA CHAPEN</v>
      </c>
      <c r="E631" t="str">
        <f t="shared" si="733"/>
        <v>SEPTIEMBRESem4040JARDIN NATANAHEL GARCIA CHAPEN</v>
      </c>
      <c r="F631" t="str">
        <f t="shared" si="734"/>
        <v>JARDIN NATANAHEL GARCIA CHAPEN46293</v>
      </c>
      <c r="H631" s="49" t="s">
        <v>15</v>
      </c>
      <c r="I631" s="50" t="str">
        <f>+_xlfn.XLOOKUP($H631&amp;$V631,BASEDATOS!$B:$B,BASEDATOS!F:F,0,0,1)</f>
        <v>NOCHE</v>
      </c>
      <c r="J631" s="51">
        <f>+_xlfn.XLOOKUP($H631&amp;$V631,BASEDATOS!$B:$B,BASEDATOS!Q:Q,0,0,1)</f>
        <v>0.79166666666666696</v>
      </c>
      <c r="K631" s="51">
        <f>+_xlfn.XLOOKUP($H631&amp;$V631,BASEDATOS!$B:$B,BASEDATOS!R:R,0,0,1)</f>
        <v>0.20833333333333301</v>
      </c>
      <c r="L631" s="51">
        <f t="shared" si="735"/>
        <v>0.41666666666666607</v>
      </c>
      <c r="M631" s="52" t="str">
        <f t="shared" si="736"/>
        <v>1:00</v>
      </c>
      <c r="N631" s="51">
        <f t="shared" si="737"/>
        <v>0.37499999999999939</v>
      </c>
      <c r="O631" s="53" t="str">
        <f t="shared" ref="O631" si="770">+O637</f>
        <v>1-4-2</v>
      </c>
      <c r="P631" s="54">
        <f>+IF(AND(Y631="Domingo",U631=7),_xlfn.XLOOKUP(O631,'Horarios y Sistemas'!C:C,'Horarios y Sistemas'!H:H,0,0,1),0)</f>
        <v>0</v>
      </c>
      <c r="Q631" s="54">
        <f>IF(U631=U632,0,IF(AVERAGEIF(W:W,W631,U:U)=U631,0,_xlfn.XLOOKUP(O631,'Horarios y Sistemas'!C:C,'Horarios y Sistemas'!H:H,0,0,1)-P631))/7*U631</f>
        <v>0</v>
      </c>
      <c r="R631" s="54">
        <f t="shared" si="739"/>
        <v>0</v>
      </c>
      <c r="S631" s="55" t="str">
        <f t="shared" si="740"/>
        <v>SEPTIEMBRE</v>
      </c>
      <c r="T631" s="55" t="str">
        <f t="shared" si="741"/>
        <v>Sem40</v>
      </c>
      <c r="U631" s="56">
        <f t="shared" si="708"/>
        <v>7</v>
      </c>
      <c r="V631" s="59">
        <v>46293</v>
      </c>
      <c r="W631" s="56">
        <f t="shared" si="742"/>
        <v>40</v>
      </c>
      <c r="X631" s="56">
        <f t="shared" si="743"/>
        <v>28</v>
      </c>
      <c r="Y631" s="56" t="s">
        <v>28</v>
      </c>
      <c r="Z631" s="56">
        <v>1</v>
      </c>
      <c r="AA631" s="58">
        <f t="shared" si="766"/>
        <v>0</v>
      </c>
      <c r="AB631" s="58">
        <f t="shared" si="766"/>
        <v>1</v>
      </c>
      <c r="AC631" s="58">
        <f t="shared" si="766"/>
        <v>0</v>
      </c>
      <c r="AD631" s="58">
        <f t="shared" si="766"/>
        <v>0</v>
      </c>
      <c r="AE631" s="58">
        <f t="shared" si="766"/>
        <v>0</v>
      </c>
    </row>
    <row r="632" spans="2:34">
      <c r="B632" t="str">
        <f t="shared" si="730"/>
        <v>Sem4040JARDIN NATANAHEL GARCIA CHAPEN</v>
      </c>
      <c r="C632" t="str">
        <f t="shared" si="731"/>
        <v>SEPTIEMBRESem40</v>
      </c>
      <c r="D632" t="str">
        <f t="shared" si="732"/>
        <v>SEPTIEMBRESem40JARDIN NATANAHEL GARCIA CHAPEN</v>
      </c>
      <c r="E632" t="str">
        <f t="shared" si="733"/>
        <v>SEPTIEMBRESem4040JARDIN NATANAHEL GARCIA CHAPEN</v>
      </c>
      <c r="F632" t="str">
        <f t="shared" si="734"/>
        <v>JARDIN NATANAHEL GARCIA CHAPEN46294</v>
      </c>
      <c r="H632" s="49" t="s">
        <v>15</v>
      </c>
      <c r="I632" s="50" t="str">
        <f>+_xlfn.XLOOKUP($H632&amp;$V632,BASEDATOS!$B:$B,BASEDATOS!F:F,0,0,1)</f>
        <v>DIA</v>
      </c>
      <c r="J632" s="51">
        <f>+_xlfn.XLOOKUP($H632&amp;$V632,BASEDATOS!$B:$B,BASEDATOS!Q:Q,0,0,1)</f>
        <v>0.33333333333333298</v>
      </c>
      <c r="K632" s="51">
        <f>+_xlfn.XLOOKUP($H632&amp;$V632,BASEDATOS!$B:$B,BASEDATOS!R:R,0,0,1)</f>
        <v>0.70833333333333304</v>
      </c>
      <c r="L632" s="51">
        <f t="shared" si="735"/>
        <v>0.37500000000000006</v>
      </c>
      <c r="M632" s="52" t="str">
        <f t="shared" si="736"/>
        <v>1:00</v>
      </c>
      <c r="N632" s="51">
        <f t="shared" si="737"/>
        <v>0.33333333333333337</v>
      </c>
      <c r="O632" s="53" t="str">
        <f t="shared" ref="O632" si="771">+O637</f>
        <v>1-4-2</v>
      </c>
      <c r="P632" s="54">
        <f>+IF(AND(Y632="Domingo",U632=7),_xlfn.XLOOKUP(O632,'Horarios y Sistemas'!C:C,'Horarios y Sistemas'!H:H,0,0,1),0)</f>
        <v>0</v>
      </c>
      <c r="Q632" s="54">
        <f>IF(U632=U633,0,IF(AVERAGEIF(W:W,W632,U:U)=U632,0,_xlfn.XLOOKUP(O632,'Horarios y Sistemas'!C:C,'Horarios y Sistemas'!H:H,0,0,1)-P632))/7*U632</f>
        <v>0</v>
      </c>
      <c r="R632" s="54">
        <f t="shared" si="739"/>
        <v>0</v>
      </c>
      <c r="S632" s="55" t="str">
        <f t="shared" si="740"/>
        <v>SEPTIEMBRE</v>
      </c>
      <c r="T632" s="55" t="str">
        <f t="shared" si="741"/>
        <v>Sem40</v>
      </c>
      <c r="U632" s="56">
        <f t="shared" si="708"/>
        <v>7</v>
      </c>
      <c r="V632" s="59">
        <v>46294</v>
      </c>
      <c r="W632" s="56">
        <f t="shared" si="742"/>
        <v>40</v>
      </c>
      <c r="X632" s="56">
        <f t="shared" si="743"/>
        <v>29</v>
      </c>
      <c r="Y632" s="56" t="s">
        <v>29</v>
      </c>
      <c r="Z632" s="56">
        <v>2</v>
      </c>
      <c r="AA632" s="58">
        <f t="shared" si="766"/>
        <v>1</v>
      </c>
      <c r="AB632" s="58">
        <f t="shared" si="766"/>
        <v>0</v>
      </c>
      <c r="AC632" s="58">
        <f t="shared" si="766"/>
        <v>0</v>
      </c>
      <c r="AD632" s="58">
        <f t="shared" si="766"/>
        <v>0</v>
      </c>
      <c r="AE632" s="58">
        <f t="shared" si="766"/>
        <v>0</v>
      </c>
    </row>
    <row r="633" spans="2:34">
      <c r="B633" t="str">
        <f t="shared" si="730"/>
        <v>Sem4040JARDIN NATANAHEL GARCIA CHAPEN</v>
      </c>
      <c r="C633" t="str">
        <f t="shared" si="731"/>
        <v>SEPTIEMBRESem40</v>
      </c>
      <c r="D633" t="str">
        <f t="shared" si="732"/>
        <v>SEPTIEMBRESem40JARDIN NATANAHEL GARCIA CHAPEN</v>
      </c>
      <c r="E633" t="str">
        <f t="shared" si="733"/>
        <v>SEPTIEMBRESem4040JARDIN NATANAHEL GARCIA CHAPEN</v>
      </c>
      <c r="F633" t="str">
        <f t="shared" si="734"/>
        <v>JARDIN NATANAHEL GARCIA CHAPEN46295</v>
      </c>
      <c r="H633" s="49" t="s">
        <v>15</v>
      </c>
      <c r="I633" s="50" t="str">
        <f>+_xlfn.XLOOKUP($H633&amp;$V633,BASEDATOS!$B:$B,BASEDATOS!F:F,0,0,1)</f>
        <v>NOCHE</v>
      </c>
      <c r="J633" s="51">
        <f>+_xlfn.XLOOKUP($H633&amp;$V633,BASEDATOS!$B:$B,BASEDATOS!Q:Q,0,0,1)</f>
        <v>0.79166666666666696</v>
      </c>
      <c r="K633" s="51">
        <f>+_xlfn.XLOOKUP($H633&amp;$V633,BASEDATOS!$B:$B,BASEDATOS!R:R,0,0,1)</f>
        <v>0.20833333333333301</v>
      </c>
      <c r="L633" s="51">
        <f t="shared" si="735"/>
        <v>0.41666666666666607</v>
      </c>
      <c r="M633" s="52" t="str">
        <f t="shared" si="736"/>
        <v>1:00</v>
      </c>
      <c r="N633" s="51">
        <f t="shared" si="737"/>
        <v>0.37499999999999939</v>
      </c>
      <c r="O633" s="53" t="str">
        <f t="shared" ref="O633" si="772">+O637</f>
        <v>1-4-2</v>
      </c>
      <c r="P633" s="54">
        <f>+IF(AND(Y633="Domingo",U633=7),_xlfn.XLOOKUP(O633,'Horarios y Sistemas'!C:C,'Horarios y Sistemas'!H:H,0,0,1),0)</f>
        <v>0</v>
      </c>
      <c r="Q633" s="54">
        <f>IF(U633=U634,0,IF(AVERAGEIF(W:W,W633,U:U)=U633,0,_xlfn.XLOOKUP(O633,'Horarios y Sistemas'!C:C,'Horarios y Sistemas'!H:H,0,0,1)-P633))/7*U633</f>
        <v>0</v>
      </c>
      <c r="R633" s="54">
        <f t="shared" si="739"/>
        <v>0</v>
      </c>
      <c r="S633" s="55" t="str">
        <f t="shared" si="740"/>
        <v>SEPTIEMBRE</v>
      </c>
      <c r="T633" s="55" t="str">
        <f t="shared" si="741"/>
        <v>Sem40</v>
      </c>
      <c r="U633" s="56">
        <f t="shared" si="708"/>
        <v>7</v>
      </c>
      <c r="V633" s="59">
        <v>46295</v>
      </c>
      <c r="W633" s="56">
        <f t="shared" si="742"/>
        <v>40</v>
      </c>
      <c r="X633" s="56">
        <f t="shared" si="743"/>
        <v>30</v>
      </c>
      <c r="Y633" s="56" t="s">
        <v>30</v>
      </c>
      <c r="Z633" s="56">
        <v>3</v>
      </c>
      <c r="AA633" s="58">
        <f t="shared" si="766"/>
        <v>0</v>
      </c>
      <c r="AB633" s="58">
        <f t="shared" si="766"/>
        <v>1</v>
      </c>
      <c r="AC633" s="58">
        <f t="shared" si="766"/>
        <v>0</v>
      </c>
      <c r="AD633" s="58">
        <f t="shared" si="766"/>
        <v>0</v>
      </c>
      <c r="AE633" s="58">
        <f t="shared" si="766"/>
        <v>0</v>
      </c>
    </row>
    <row r="634" spans="2:34">
      <c r="B634" t="str">
        <f t="shared" si="730"/>
        <v>Sem4040JARDIN NATANAHEL GARCIA CHAPEN</v>
      </c>
      <c r="C634" t="str">
        <f t="shared" si="731"/>
        <v>OCTUBRESem40</v>
      </c>
      <c r="D634" t="str">
        <f t="shared" si="732"/>
        <v>OCTUBRESem40JARDIN NATANAHEL GARCIA CHAPEN</v>
      </c>
      <c r="E634" t="str">
        <f t="shared" si="733"/>
        <v>OCTUBRESem4040JARDIN NATANAHEL GARCIA CHAPEN</v>
      </c>
      <c r="F634" t="str">
        <f t="shared" si="734"/>
        <v>JARDIN NATANAHEL GARCIA CHAPEN46296</v>
      </c>
      <c r="H634" s="49" t="s">
        <v>15</v>
      </c>
      <c r="I634" s="50" t="str">
        <f>+_xlfn.XLOOKUP($H634&amp;$V634,BASEDATOS!$B:$B,BASEDATOS!F:F,0,0,1)</f>
        <v>NOCHE</v>
      </c>
      <c r="J634" s="51">
        <f>+_xlfn.XLOOKUP($H634&amp;$V634,BASEDATOS!$B:$B,BASEDATOS!Q:Q,0,0,1)</f>
        <v>0.79166666666666696</v>
      </c>
      <c r="K634" s="51">
        <f>+_xlfn.XLOOKUP($H634&amp;$V634,BASEDATOS!$B:$B,BASEDATOS!R:R,0,0,1)</f>
        <v>0.20833333333333301</v>
      </c>
      <c r="L634" s="51">
        <f t="shared" si="735"/>
        <v>0.41666666666666607</v>
      </c>
      <c r="M634" s="52" t="str">
        <f t="shared" si="736"/>
        <v>1:00</v>
      </c>
      <c r="N634" s="51">
        <f t="shared" si="737"/>
        <v>0.37499999999999939</v>
      </c>
      <c r="O634" s="53" t="str">
        <f t="shared" ref="O634" si="773">+O637</f>
        <v>1-4-2</v>
      </c>
      <c r="P634" s="54">
        <f>+IF(AND(Y634="Domingo",U634=7),_xlfn.XLOOKUP(O634,'Horarios y Sistemas'!C:C,'Horarios y Sistemas'!H:H,0,0,1),0)</f>
        <v>0</v>
      </c>
      <c r="Q634" s="54">
        <f>IF(U634=U635,0,IF(AVERAGEIF(W:W,W634,U:U)=U634,0,_xlfn.XLOOKUP(O634,'Horarios y Sistemas'!C:C,'Horarios y Sistemas'!H:H,0,0,1)-P634))/7*U634</f>
        <v>0</v>
      </c>
      <c r="R634" s="54">
        <f t="shared" si="739"/>
        <v>0</v>
      </c>
      <c r="S634" s="55" t="str">
        <f t="shared" si="740"/>
        <v>OCTUBRE</v>
      </c>
      <c r="T634" s="55" t="str">
        <f t="shared" si="741"/>
        <v>Sem40</v>
      </c>
      <c r="U634" s="56">
        <f t="shared" si="708"/>
        <v>7</v>
      </c>
      <c r="V634" s="59">
        <v>46296</v>
      </c>
      <c r="W634" s="56">
        <f t="shared" si="742"/>
        <v>40</v>
      </c>
      <c r="X634" s="56">
        <f t="shared" si="743"/>
        <v>1</v>
      </c>
      <c r="Y634" s="56" t="s">
        <v>31</v>
      </c>
      <c r="Z634" s="56">
        <v>4</v>
      </c>
      <c r="AA634" s="58">
        <f t="shared" si="766"/>
        <v>0</v>
      </c>
      <c r="AB634" s="58">
        <f t="shared" si="766"/>
        <v>1</v>
      </c>
      <c r="AC634" s="58">
        <f t="shared" si="766"/>
        <v>0</v>
      </c>
      <c r="AD634" s="58">
        <f t="shared" si="766"/>
        <v>0</v>
      </c>
      <c r="AE634" s="58">
        <f t="shared" si="766"/>
        <v>0</v>
      </c>
    </row>
    <row r="635" spans="2:34">
      <c r="B635" t="str">
        <f t="shared" si="730"/>
        <v>Sem4040JARDIN NATANAHEL GARCIA CHAPEN</v>
      </c>
      <c r="C635" t="str">
        <f t="shared" si="731"/>
        <v>OCTUBRESem40</v>
      </c>
      <c r="D635" t="str">
        <f t="shared" si="732"/>
        <v>OCTUBRESem40JARDIN NATANAHEL GARCIA CHAPEN</v>
      </c>
      <c r="E635" t="str">
        <f t="shared" si="733"/>
        <v>OCTUBRESem4040JARDIN NATANAHEL GARCIA CHAPEN</v>
      </c>
      <c r="F635" t="str">
        <f t="shared" si="734"/>
        <v>JARDIN NATANAHEL GARCIA CHAPEN46297</v>
      </c>
      <c r="H635" s="49" t="s">
        <v>15</v>
      </c>
      <c r="I635" s="50" t="str">
        <f>+_xlfn.XLOOKUP($H635&amp;$V635,BASEDATOS!$B:$B,BASEDATOS!F:F,0,0,1)</f>
        <v>NOCHE</v>
      </c>
      <c r="J635" s="51">
        <f>+_xlfn.XLOOKUP($H635&amp;$V635,BASEDATOS!$B:$B,BASEDATOS!Q:Q,0,0,1)</f>
        <v>0.79166666666666696</v>
      </c>
      <c r="K635" s="51">
        <f>+_xlfn.XLOOKUP($H635&amp;$V635,BASEDATOS!$B:$B,BASEDATOS!R:R,0,0,1)</f>
        <v>0.20833333333333301</v>
      </c>
      <c r="L635" s="51">
        <f t="shared" si="735"/>
        <v>0.41666666666666607</v>
      </c>
      <c r="M635" s="52" t="str">
        <f t="shared" si="736"/>
        <v>1:00</v>
      </c>
      <c r="N635" s="51">
        <f t="shared" si="737"/>
        <v>0.37499999999999939</v>
      </c>
      <c r="O635" s="53" t="str">
        <f t="shared" ref="O635" si="774">+O637</f>
        <v>1-4-2</v>
      </c>
      <c r="P635" s="54">
        <f>+IF(AND(Y635="Domingo",U635=7),_xlfn.XLOOKUP(O635,'Horarios y Sistemas'!C:C,'Horarios y Sistemas'!H:H,0,0,1),0)</f>
        <v>0</v>
      </c>
      <c r="Q635" s="54">
        <f>IF(U635=U636,0,IF(AVERAGEIF(W:W,W635,U:U)=U635,0,_xlfn.XLOOKUP(O635,'Horarios y Sistemas'!C:C,'Horarios y Sistemas'!H:H,0,0,1)-P635))/7*U635</f>
        <v>0</v>
      </c>
      <c r="R635" s="54">
        <f t="shared" si="739"/>
        <v>0</v>
      </c>
      <c r="S635" s="55" t="str">
        <f t="shared" si="740"/>
        <v>OCTUBRE</v>
      </c>
      <c r="T635" s="55" t="str">
        <f t="shared" si="741"/>
        <v>Sem40</v>
      </c>
      <c r="U635" s="56">
        <f t="shared" si="708"/>
        <v>7</v>
      </c>
      <c r="V635" s="59">
        <v>46297</v>
      </c>
      <c r="W635" s="56">
        <f t="shared" si="742"/>
        <v>40</v>
      </c>
      <c r="X635" s="56">
        <f t="shared" si="743"/>
        <v>2</v>
      </c>
      <c r="Y635" s="56" t="s">
        <v>32</v>
      </c>
      <c r="Z635" s="56">
        <v>5</v>
      </c>
      <c r="AA635" s="58">
        <f t="shared" si="766"/>
        <v>0</v>
      </c>
      <c r="AB635" s="58">
        <f t="shared" si="766"/>
        <v>1</v>
      </c>
      <c r="AC635" s="58">
        <f t="shared" si="766"/>
        <v>0</v>
      </c>
      <c r="AD635" s="58">
        <f t="shared" si="766"/>
        <v>0</v>
      </c>
      <c r="AE635" s="58">
        <f t="shared" si="766"/>
        <v>0</v>
      </c>
    </row>
    <row r="636" spans="2:34">
      <c r="B636" t="str">
        <f t="shared" si="730"/>
        <v>Sem4040JARDIN NATANAHEL GARCIA CHAPEN</v>
      </c>
      <c r="C636" t="str">
        <f t="shared" si="731"/>
        <v>OCTUBRESem40</v>
      </c>
      <c r="D636" t="str">
        <f t="shared" si="732"/>
        <v>OCTUBRESem40JARDIN NATANAHEL GARCIA CHAPEN</v>
      </c>
      <c r="E636" t="str">
        <f t="shared" si="733"/>
        <v>OCTUBRESem4040JARDIN NATANAHEL GARCIA CHAPEN</v>
      </c>
      <c r="F636" t="str">
        <f t="shared" si="734"/>
        <v>JARDIN NATANAHEL GARCIA CHAPEN46298</v>
      </c>
      <c r="H636" s="49" t="s">
        <v>15</v>
      </c>
      <c r="I636" s="50" t="str">
        <f>+_xlfn.XLOOKUP($H636&amp;$V636,BASEDATOS!$B:$B,BASEDATOS!F:F,0,0,1)</f>
        <v>DESCANSO</v>
      </c>
      <c r="J636" s="51">
        <f>+_xlfn.XLOOKUP($H636&amp;$V636,BASEDATOS!$B:$B,BASEDATOS!Q:Q,0,0,1)</f>
        <v>0</v>
      </c>
      <c r="K636" s="51">
        <f>+_xlfn.XLOOKUP($H636&amp;$V636,BASEDATOS!$B:$B,BASEDATOS!R:R,0,0,1)</f>
        <v>0</v>
      </c>
      <c r="L636" s="51">
        <f t="shared" si="735"/>
        <v>0</v>
      </c>
      <c r="M636" s="52">
        <f t="shared" si="736"/>
        <v>0</v>
      </c>
      <c r="N636" s="51">
        <f t="shared" si="737"/>
        <v>0</v>
      </c>
      <c r="O636" s="53" t="str">
        <f t="shared" ref="O636" si="775">+O637</f>
        <v>1-4-2</v>
      </c>
      <c r="P636" s="54">
        <f>+IF(AND(Y636="Domingo",U636=7),_xlfn.XLOOKUP(O636,'Horarios y Sistemas'!C:C,'Horarios y Sistemas'!H:H,0,0,1),0)</f>
        <v>0</v>
      </c>
      <c r="Q636" s="54">
        <f>IF(U636=U637,0,IF(AVERAGEIF(W:W,W636,U:U)=U636,0,_xlfn.XLOOKUP(O636,'Horarios y Sistemas'!C:C,'Horarios y Sistemas'!H:H,0,0,1)-P636))/7*U636</f>
        <v>0</v>
      </c>
      <c r="R636" s="54">
        <f t="shared" si="739"/>
        <v>0</v>
      </c>
      <c r="S636" s="55" t="str">
        <f t="shared" si="740"/>
        <v>OCTUBRE</v>
      </c>
      <c r="T636" s="55" t="str">
        <f t="shared" si="741"/>
        <v>Sem40</v>
      </c>
      <c r="U636" s="56">
        <f t="shared" si="708"/>
        <v>7</v>
      </c>
      <c r="V636" s="59">
        <v>46298</v>
      </c>
      <c r="W636" s="56">
        <f t="shared" si="742"/>
        <v>40</v>
      </c>
      <c r="X636" s="56">
        <f t="shared" si="743"/>
        <v>3</v>
      </c>
      <c r="Y636" s="56" t="s">
        <v>33</v>
      </c>
      <c r="Z636" s="56">
        <v>6</v>
      </c>
      <c r="AA636" s="58">
        <f t="shared" si="766"/>
        <v>0</v>
      </c>
      <c r="AB636" s="58">
        <f t="shared" si="766"/>
        <v>0</v>
      </c>
      <c r="AC636" s="58">
        <f t="shared" si="766"/>
        <v>1</v>
      </c>
      <c r="AD636" s="58">
        <f t="shared" si="766"/>
        <v>0</v>
      </c>
      <c r="AE636" s="58">
        <f t="shared" si="766"/>
        <v>0</v>
      </c>
    </row>
    <row r="637" spans="2:34" s="60" customFormat="1">
      <c r="B637" s="60" t="str">
        <f t="shared" si="730"/>
        <v>Sem4040JARDIN NATANAHEL GARCIA CHAPEN</v>
      </c>
      <c r="C637" s="60" t="str">
        <f t="shared" si="731"/>
        <v>OCTUBRESem40</v>
      </c>
      <c r="D637" s="60" t="str">
        <f t="shared" si="732"/>
        <v>OCTUBRESem40JARDIN NATANAHEL GARCIA CHAPEN</v>
      </c>
      <c r="E637" s="60" t="str">
        <f t="shared" si="733"/>
        <v>OCTUBRESem4040JARDIN NATANAHEL GARCIA CHAPEN</v>
      </c>
      <c r="F637" s="60" t="str">
        <f t="shared" si="734"/>
        <v>JARDIN NATANAHEL GARCIA CHAPEN46299</v>
      </c>
      <c r="H637" s="61" t="s">
        <v>15</v>
      </c>
      <c r="I637" s="62" t="str">
        <f>+_xlfn.XLOOKUP($H637&amp;$V637,BASEDATOS!$B:$B,BASEDATOS!F:F,0,0,1)</f>
        <v>DESCANSO</v>
      </c>
      <c r="J637" s="63">
        <f>+_xlfn.XLOOKUP($H637&amp;$V637,BASEDATOS!$B:$B,BASEDATOS!Q:Q,0,0,1)</f>
        <v>0</v>
      </c>
      <c r="K637" s="63">
        <f>+_xlfn.XLOOKUP($H637&amp;$V637,BASEDATOS!$B:$B,BASEDATOS!R:R,0,0,1)</f>
        <v>0</v>
      </c>
      <c r="L637" s="63">
        <f t="shared" si="735"/>
        <v>0</v>
      </c>
      <c r="M637" s="64">
        <f t="shared" si="736"/>
        <v>0</v>
      </c>
      <c r="N637" s="63">
        <f t="shared" si="737"/>
        <v>0</v>
      </c>
      <c r="O637" s="65" t="str">
        <f t="shared" ref="O637" si="776">+IF(Y637="Domingo",SUM(AA631:AA637)&amp;"-"&amp;SUM(AB631:AB637)&amp;"-"&amp;SUM(AC631:AE637),"")</f>
        <v>1-4-2</v>
      </c>
      <c r="P637" s="66">
        <f>+IF(AND(Y637="Domingo",U637=7),_xlfn.XLOOKUP(O637,'Horarios y Sistemas'!C:C,'Horarios y Sistemas'!H:H,0,0,1),0)</f>
        <v>37.6</v>
      </c>
      <c r="Q637" s="66">
        <f>IF(U637=U638,0,IF(AVERAGEIF(W:W,W637,U:U)=U637,0,_xlfn.XLOOKUP(O637,'Horarios y Sistemas'!C:C,'Horarios y Sistemas'!H:H,0,0,1)-P637))/7*U637</f>
        <v>0</v>
      </c>
      <c r="R637" s="66">
        <f t="shared" si="739"/>
        <v>37.6</v>
      </c>
      <c r="S637" s="67" t="str">
        <f t="shared" si="740"/>
        <v>OCTUBRE</v>
      </c>
      <c r="T637" s="55" t="str">
        <f t="shared" si="741"/>
        <v>Sem40</v>
      </c>
      <c r="U637" s="68">
        <f t="shared" si="708"/>
        <v>7</v>
      </c>
      <c r="V637" s="69">
        <v>46299</v>
      </c>
      <c r="W637" s="68">
        <f t="shared" si="742"/>
        <v>40</v>
      </c>
      <c r="X637" s="68">
        <f t="shared" si="743"/>
        <v>4</v>
      </c>
      <c r="Y637" s="68" t="s">
        <v>34</v>
      </c>
      <c r="Z637" s="68">
        <v>7</v>
      </c>
      <c r="AA637" s="70">
        <f t="shared" si="766"/>
        <v>0</v>
      </c>
      <c r="AB637" s="70">
        <f t="shared" si="766"/>
        <v>0</v>
      </c>
      <c r="AC637" s="70">
        <f t="shared" si="766"/>
        <v>1</v>
      </c>
      <c r="AD637" s="70">
        <f t="shared" si="766"/>
        <v>0</v>
      </c>
      <c r="AE637" s="70">
        <f t="shared" si="766"/>
        <v>0</v>
      </c>
      <c r="AF637" s="71"/>
      <c r="AG637" s="71"/>
      <c r="AH637" s="71"/>
    </row>
    <row r="638" spans="2:34">
      <c r="B638" t="str">
        <f t="shared" si="730"/>
        <v>Sem3838JEREMY ELIAS JUAREZ GUZMAN</v>
      </c>
      <c r="C638" t="str">
        <f t="shared" si="731"/>
        <v>SEPTIEMBRESem38</v>
      </c>
      <c r="D638" t="str">
        <f t="shared" si="732"/>
        <v>SEPTIEMBRESem38JEREMY ELIAS JUAREZ GUZMAN</v>
      </c>
      <c r="E638" t="str">
        <f t="shared" si="733"/>
        <v>SEPTIEMBRESem3838JEREMY ELIAS JUAREZ GUZMAN</v>
      </c>
      <c r="F638" t="str">
        <f t="shared" si="734"/>
        <v>JEREMY ELIAS JUAREZ GUZMAN46279</v>
      </c>
      <c r="H638" s="49" t="s">
        <v>225</v>
      </c>
      <c r="I638" s="50" t="str">
        <f>+_xlfn.XLOOKUP($H638&amp;$V638,BASEDATOS!$B:$B,BASEDATOS!F:F,0,0,1)</f>
        <v>DESCANSO</v>
      </c>
      <c r="J638" s="51">
        <f>+_xlfn.XLOOKUP($H638&amp;$V638,BASEDATOS!$B:$B,BASEDATOS!Q:Q,0,0,1)</f>
        <v>0</v>
      </c>
      <c r="K638" s="51">
        <f>+_xlfn.XLOOKUP($H638&amp;$V638,BASEDATOS!$B:$B,BASEDATOS!R:R,0,0,1)</f>
        <v>0</v>
      </c>
      <c r="L638" s="51">
        <f t="shared" si="735"/>
        <v>0</v>
      </c>
      <c r="M638" s="52">
        <f t="shared" si="736"/>
        <v>0</v>
      </c>
      <c r="N638" s="51">
        <f t="shared" si="737"/>
        <v>0</v>
      </c>
      <c r="O638" s="53" t="str">
        <f t="shared" ref="O638" si="777">+O644</f>
        <v>5-0-2</v>
      </c>
      <c r="P638" s="54">
        <f>+IF(AND(Y638="Domingo",U638=7),_xlfn.XLOOKUP(O638,'Horarios y Sistemas'!C:C,'Horarios y Sistemas'!H:H,0,0,1),0)</f>
        <v>0</v>
      </c>
      <c r="Q638" s="54">
        <f>IF(U638=U639,0,IF(AVERAGEIF(W:W,W638,U:U)=U638,0,_xlfn.XLOOKUP(O638,'Horarios y Sistemas'!C:C,'Horarios y Sistemas'!H:H,0,0,1)-P638))/7*U638</f>
        <v>0</v>
      </c>
      <c r="R638" s="54">
        <f t="shared" si="739"/>
        <v>0</v>
      </c>
      <c r="S638" s="55" t="str">
        <f t="shared" si="740"/>
        <v>SEPTIEMBRE</v>
      </c>
      <c r="T638" s="55" t="str">
        <f t="shared" si="741"/>
        <v>Sem38</v>
      </c>
      <c r="U638" s="56">
        <f t="shared" si="708"/>
        <v>7</v>
      </c>
      <c r="V638" s="59">
        <v>46279</v>
      </c>
      <c r="W638" s="56">
        <f t="shared" si="742"/>
        <v>38</v>
      </c>
      <c r="X638" s="56">
        <f t="shared" si="743"/>
        <v>14</v>
      </c>
      <c r="Y638" s="56" t="s">
        <v>28</v>
      </c>
      <c r="Z638" s="56">
        <v>1</v>
      </c>
      <c r="AA638" s="58">
        <f t="shared" si="766"/>
        <v>0</v>
      </c>
      <c r="AB638" s="58">
        <f t="shared" si="766"/>
        <v>0</v>
      </c>
      <c r="AC638" s="58">
        <f t="shared" si="766"/>
        <v>1</v>
      </c>
      <c r="AD638" s="58">
        <f t="shared" si="766"/>
        <v>0</v>
      </c>
      <c r="AE638" s="58">
        <f t="shared" si="766"/>
        <v>0</v>
      </c>
    </row>
    <row r="639" spans="2:34">
      <c r="B639" t="str">
        <f t="shared" si="730"/>
        <v>Sem3838JEREMY ELIAS JUAREZ GUZMAN</v>
      </c>
      <c r="C639" t="str">
        <f t="shared" si="731"/>
        <v>SEPTIEMBRESem38</v>
      </c>
      <c r="D639" t="str">
        <f t="shared" si="732"/>
        <v>SEPTIEMBRESem38JEREMY ELIAS JUAREZ GUZMAN</v>
      </c>
      <c r="E639" t="str">
        <f t="shared" si="733"/>
        <v>SEPTIEMBRESem3838JEREMY ELIAS JUAREZ GUZMAN</v>
      </c>
      <c r="F639" t="str">
        <f t="shared" si="734"/>
        <v>JEREMY ELIAS JUAREZ GUZMAN46280</v>
      </c>
      <c r="H639" s="49" t="s">
        <v>225</v>
      </c>
      <c r="I639" s="50" t="str">
        <f>+_xlfn.XLOOKUP($H639&amp;$V639,BASEDATOS!$B:$B,BASEDATOS!F:F,0,0,1)</f>
        <v>DIA</v>
      </c>
      <c r="J639" s="51">
        <f>+_xlfn.XLOOKUP($H639&amp;$V639,BASEDATOS!$B:$B,BASEDATOS!Q:Q,0,0,1)</f>
        <v>0.33333333333333298</v>
      </c>
      <c r="K639" s="51">
        <f>+_xlfn.XLOOKUP($H639&amp;$V639,BASEDATOS!$B:$B,BASEDATOS!R:R,0,0,1)</f>
        <v>0.70833333333333304</v>
      </c>
      <c r="L639" s="51">
        <f t="shared" si="735"/>
        <v>0.37500000000000006</v>
      </c>
      <c r="M639" s="52" t="str">
        <f t="shared" si="736"/>
        <v>1:00</v>
      </c>
      <c r="N639" s="51">
        <f t="shared" si="737"/>
        <v>0.33333333333333337</v>
      </c>
      <c r="O639" s="53" t="str">
        <f t="shared" ref="O639" si="778">+O644</f>
        <v>5-0-2</v>
      </c>
      <c r="P639" s="54">
        <f>+IF(AND(Y639="Domingo",U639=7),_xlfn.XLOOKUP(O639,'Horarios y Sistemas'!C:C,'Horarios y Sistemas'!H:H,0,0,1),0)</f>
        <v>0</v>
      </c>
      <c r="Q639" s="54">
        <f>IF(U639=U640,0,IF(AVERAGEIF(W:W,W639,U:U)=U639,0,_xlfn.XLOOKUP(O639,'Horarios y Sistemas'!C:C,'Horarios y Sistemas'!H:H,0,0,1)-P639))/7*U639</f>
        <v>0</v>
      </c>
      <c r="R639" s="54">
        <f t="shared" si="739"/>
        <v>0</v>
      </c>
      <c r="S639" s="55" t="str">
        <f t="shared" si="740"/>
        <v>SEPTIEMBRE</v>
      </c>
      <c r="T639" s="55" t="str">
        <f t="shared" si="741"/>
        <v>Sem38</v>
      </c>
      <c r="U639" s="56">
        <f t="shared" si="708"/>
        <v>7</v>
      </c>
      <c r="V639" s="59">
        <v>46280</v>
      </c>
      <c r="W639" s="56">
        <f t="shared" si="742"/>
        <v>38</v>
      </c>
      <c r="X639" s="56">
        <f t="shared" si="743"/>
        <v>15</v>
      </c>
      <c r="Y639" s="56" t="s">
        <v>29</v>
      </c>
      <c r="Z639" s="56">
        <v>2</v>
      </c>
      <c r="AA639" s="58">
        <f t="shared" si="766"/>
        <v>1</v>
      </c>
      <c r="AB639" s="58">
        <f t="shared" si="766"/>
        <v>0</v>
      </c>
      <c r="AC639" s="58">
        <f t="shared" si="766"/>
        <v>0</v>
      </c>
      <c r="AD639" s="58">
        <f t="shared" si="766"/>
        <v>0</v>
      </c>
      <c r="AE639" s="58">
        <f t="shared" si="766"/>
        <v>0</v>
      </c>
    </row>
    <row r="640" spans="2:34">
      <c r="B640" t="str">
        <f t="shared" si="730"/>
        <v>Sem3838JEREMY ELIAS JUAREZ GUZMAN</v>
      </c>
      <c r="C640" t="str">
        <f t="shared" si="731"/>
        <v>SEPTIEMBRESem38</v>
      </c>
      <c r="D640" t="str">
        <f t="shared" si="732"/>
        <v>SEPTIEMBRESem38JEREMY ELIAS JUAREZ GUZMAN</v>
      </c>
      <c r="E640" t="str">
        <f t="shared" si="733"/>
        <v>SEPTIEMBRESem3838JEREMY ELIAS JUAREZ GUZMAN</v>
      </c>
      <c r="F640" t="str">
        <f t="shared" si="734"/>
        <v>JEREMY ELIAS JUAREZ GUZMAN46281</v>
      </c>
      <c r="H640" s="49" t="s">
        <v>225</v>
      </c>
      <c r="I640" s="50" t="str">
        <f>+_xlfn.XLOOKUP($H640&amp;$V640,BASEDATOS!$B:$B,BASEDATOS!F:F,0,0,1)</f>
        <v>DIA</v>
      </c>
      <c r="J640" s="51">
        <f>+_xlfn.XLOOKUP($H640&amp;$V640,BASEDATOS!$B:$B,BASEDATOS!Q:Q,0,0,1)</f>
        <v>0.25</v>
      </c>
      <c r="K640" s="51">
        <f>+_xlfn.XLOOKUP($H640&amp;$V640,BASEDATOS!$B:$B,BASEDATOS!R:R,0,0,1)</f>
        <v>0.75</v>
      </c>
      <c r="L640" s="51">
        <f t="shared" si="735"/>
        <v>0.5</v>
      </c>
      <c r="M640" s="52" t="str">
        <f t="shared" si="736"/>
        <v>1:00</v>
      </c>
      <c r="N640" s="51">
        <f t="shared" si="737"/>
        <v>0.45833333333333331</v>
      </c>
      <c r="O640" s="53" t="str">
        <f t="shared" ref="O640" si="779">+O644</f>
        <v>5-0-2</v>
      </c>
      <c r="P640" s="54">
        <f>+IF(AND(Y640="Domingo",U640=7),_xlfn.XLOOKUP(O640,'Horarios y Sistemas'!C:C,'Horarios y Sistemas'!H:H,0,0,1),0)</f>
        <v>0</v>
      </c>
      <c r="Q640" s="54">
        <f>IF(U640=U641,0,IF(AVERAGEIF(W:W,W640,U:U)=U640,0,_xlfn.XLOOKUP(O640,'Horarios y Sistemas'!C:C,'Horarios y Sistemas'!H:H,0,0,1)-P640))/7*U640</f>
        <v>0</v>
      </c>
      <c r="R640" s="54">
        <f t="shared" si="739"/>
        <v>0</v>
      </c>
      <c r="S640" s="55" t="str">
        <f t="shared" si="740"/>
        <v>SEPTIEMBRE</v>
      </c>
      <c r="T640" s="55" t="str">
        <f t="shared" si="741"/>
        <v>Sem38</v>
      </c>
      <c r="U640" s="56">
        <f t="shared" si="708"/>
        <v>7</v>
      </c>
      <c r="V640" s="59">
        <v>46281</v>
      </c>
      <c r="W640" s="56">
        <f t="shared" si="742"/>
        <v>38</v>
      </c>
      <c r="X640" s="56">
        <f t="shared" si="743"/>
        <v>16</v>
      </c>
      <c r="Y640" s="56" t="s">
        <v>30</v>
      </c>
      <c r="Z640" s="56">
        <v>3</v>
      </c>
      <c r="AA640" s="58">
        <f t="shared" si="766"/>
        <v>1</v>
      </c>
      <c r="AB640" s="58">
        <f t="shared" si="766"/>
        <v>0</v>
      </c>
      <c r="AC640" s="58">
        <f t="shared" si="766"/>
        <v>0</v>
      </c>
      <c r="AD640" s="58">
        <f t="shared" si="766"/>
        <v>0</v>
      </c>
      <c r="AE640" s="58">
        <f t="shared" si="766"/>
        <v>0</v>
      </c>
    </row>
    <row r="641" spans="2:34">
      <c r="B641" t="str">
        <f t="shared" si="730"/>
        <v>Sem3838JEREMY ELIAS JUAREZ GUZMAN</v>
      </c>
      <c r="C641" t="str">
        <f t="shared" si="731"/>
        <v>SEPTIEMBRESem38</v>
      </c>
      <c r="D641" t="str">
        <f t="shared" si="732"/>
        <v>SEPTIEMBRESem38JEREMY ELIAS JUAREZ GUZMAN</v>
      </c>
      <c r="E641" t="str">
        <f t="shared" si="733"/>
        <v>SEPTIEMBRESem3838JEREMY ELIAS JUAREZ GUZMAN</v>
      </c>
      <c r="F641" t="str">
        <f t="shared" si="734"/>
        <v>JEREMY ELIAS JUAREZ GUZMAN46282</v>
      </c>
      <c r="H641" s="49" t="s">
        <v>225</v>
      </c>
      <c r="I641" s="50" t="str">
        <f>+_xlfn.XLOOKUP($H641&amp;$V641,BASEDATOS!$B:$B,BASEDATOS!F:F,0,0,1)</f>
        <v>DIA</v>
      </c>
      <c r="J641" s="51">
        <f>+_xlfn.XLOOKUP($H641&amp;$V641,BASEDATOS!$B:$B,BASEDATOS!Q:Q,0,0,1)</f>
        <v>0.25</v>
      </c>
      <c r="K641" s="51">
        <f>+_xlfn.XLOOKUP($H641&amp;$V641,BASEDATOS!$B:$B,BASEDATOS!R:R,0,0,1)</f>
        <v>0.75</v>
      </c>
      <c r="L641" s="51">
        <f t="shared" si="735"/>
        <v>0.5</v>
      </c>
      <c r="M641" s="52" t="str">
        <f t="shared" si="736"/>
        <v>1:00</v>
      </c>
      <c r="N641" s="51">
        <f t="shared" si="737"/>
        <v>0.45833333333333331</v>
      </c>
      <c r="O641" s="53" t="str">
        <f t="shared" ref="O641" si="780">+O644</f>
        <v>5-0-2</v>
      </c>
      <c r="P641" s="54">
        <f>+IF(AND(Y641="Domingo",U641=7),_xlfn.XLOOKUP(O641,'Horarios y Sistemas'!C:C,'Horarios y Sistemas'!H:H,0,0,1),0)</f>
        <v>0</v>
      </c>
      <c r="Q641" s="54">
        <f>IF(U641=U642,0,IF(AVERAGEIF(W:W,W641,U:U)=U641,0,_xlfn.XLOOKUP(O641,'Horarios y Sistemas'!C:C,'Horarios y Sistemas'!H:H,0,0,1)-P641))/7*U641</f>
        <v>0</v>
      </c>
      <c r="R641" s="54">
        <f t="shared" si="739"/>
        <v>0</v>
      </c>
      <c r="S641" s="55" t="str">
        <f t="shared" si="740"/>
        <v>SEPTIEMBRE</v>
      </c>
      <c r="T641" s="55" t="str">
        <f t="shared" si="741"/>
        <v>Sem38</v>
      </c>
      <c r="U641" s="56">
        <f t="shared" si="708"/>
        <v>7</v>
      </c>
      <c r="V641" s="59">
        <v>46282</v>
      </c>
      <c r="W641" s="56">
        <f t="shared" si="742"/>
        <v>38</v>
      </c>
      <c r="X641" s="56">
        <f t="shared" si="743"/>
        <v>17</v>
      </c>
      <c r="Y641" s="56" t="s">
        <v>31</v>
      </c>
      <c r="Z641" s="56">
        <v>4</v>
      </c>
      <c r="AA641" s="58">
        <f t="shared" si="766"/>
        <v>1</v>
      </c>
      <c r="AB641" s="58">
        <f t="shared" si="766"/>
        <v>0</v>
      </c>
      <c r="AC641" s="58">
        <f t="shared" si="766"/>
        <v>0</v>
      </c>
      <c r="AD641" s="58">
        <f t="shared" si="766"/>
        <v>0</v>
      </c>
      <c r="AE641" s="58">
        <f t="shared" si="766"/>
        <v>0</v>
      </c>
    </row>
    <row r="642" spans="2:34">
      <c r="B642" t="str">
        <f t="shared" si="730"/>
        <v>Sem3838JEREMY ELIAS JUAREZ GUZMAN</v>
      </c>
      <c r="C642" t="str">
        <f t="shared" si="731"/>
        <v>SEPTIEMBRESem38</v>
      </c>
      <c r="D642" t="str">
        <f t="shared" si="732"/>
        <v>SEPTIEMBRESem38JEREMY ELIAS JUAREZ GUZMAN</v>
      </c>
      <c r="E642" t="str">
        <f t="shared" si="733"/>
        <v>SEPTIEMBRESem3838JEREMY ELIAS JUAREZ GUZMAN</v>
      </c>
      <c r="F642" t="str">
        <f t="shared" si="734"/>
        <v>JEREMY ELIAS JUAREZ GUZMAN46283</v>
      </c>
      <c r="H642" s="49" t="s">
        <v>225</v>
      </c>
      <c r="I642" s="50" t="str">
        <f>+_xlfn.XLOOKUP($H642&amp;$V642,BASEDATOS!$B:$B,BASEDATOS!F:F,0,0,1)</f>
        <v>DIA</v>
      </c>
      <c r="J642" s="51">
        <f>+_xlfn.XLOOKUP($H642&amp;$V642,BASEDATOS!$B:$B,BASEDATOS!Q:Q,0,0,1)</f>
        <v>0.25</v>
      </c>
      <c r="K642" s="51">
        <f>+_xlfn.XLOOKUP($H642&amp;$V642,BASEDATOS!$B:$B,BASEDATOS!R:R,0,0,1)</f>
        <v>0.75</v>
      </c>
      <c r="L642" s="51">
        <f t="shared" si="735"/>
        <v>0.5</v>
      </c>
      <c r="M642" s="52" t="str">
        <f t="shared" si="736"/>
        <v>1:00</v>
      </c>
      <c r="N642" s="51">
        <f t="shared" si="737"/>
        <v>0.45833333333333331</v>
      </c>
      <c r="O642" s="53" t="str">
        <f t="shared" ref="O642" si="781">+O644</f>
        <v>5-0-2</v>
      </c>
      <c r="P642" s="54">
        <f>+IF(AND(Y642="Domingo",U642=7),_xlfn.XLOOKUP(O642,'Horarios y Sistemas'!C:C,'Horarios y Sistemas'!H:H,0,0,1),0)</f>
        <v>0</v>
      </c>
      <c r="Q642" s="54">
        <f>IF(U642=U643,0,IF(AVERAGEIF(W:W,W642,U:U)=U642,0,_xlfn.XLOOKUP(O642,'Horarios y Sistemas'!C:C,'Horarios y Sistemas'!H:H,0,0,1)-P642))/7*U642</f>
        <v>0</v>
      </c>
      <c r="R642" s="54">
        <f t="shared" si="739"/>
        <v>0</v>
      </c>
      <c r="S642" s="55" t="str">
        <f t="shared" si="740"/>
        <v>SEPTIEMBRE</v>
      </c>
      <c r="T642" s="55" t="str">
        <f t="shared" si="741"/>
        <v>Sem38</v>
      </c>
      <c r="U642" s="56">
        <f t="shared" si="708"/>
        <v>7</v>
      </c>
      <c r="V642" s="59">
        <v>46283</v>
      </c>
      <c r="W642" s="56">
        <f t="shared" si="742"/>
        <v>38</v>
      </c>
      <c r="X642" s="56">
        <f t="shared" si="743"/>
        <v>18</v>
      </c>
      <c r="Y642" s="56" t="s">
        <v>32</v>
      </c>
      <c r="Z642" s="56">
        <v>5</v>
      </c>
      <c r="AA642" s="58">
        <f t="shared" si="766"/>
        <v>1</v>
      </c>
      <c r="AB642" s="58">
        <f t="shared" si="766"/>
        <v>0</v>
      </c>
      <c r="AC642" s="58">
        <f t="shared" si="766"/>
        <v>0</v>
      </c>
      <c r="AD642" s="58">
        <f t="shared" si="766"/>
        <v>0</v>
      </c>
      <c r="AE642" s="58">
        <f t="shared" si="766"/>
        <v>0</v>
      </c>
    </row>
    <row r="643" spans="2:34">
      <c r="B643" t="str">
        <f t="shared" si="730"/>
        <v>Sem3838JEREMY ELIAS JUAREZ GUZMAN</v>
      </c>
      <c r="C643" t="str">
        <f t="shared" si="731"/>
        <v>SEPTIEMBRESem38</v>
      </c>
      <c r="D643" t="str">
        <f t="shared" si="732"/>
        <v>SEPTIEMBRESem38JEREMY ELIAS JUAREZ GUZMAN</v>
      </c>
      <c r="E643" t="str">
        <f t="shared" si="733"/>
        <v>SEPTIEMBRESem3838JEREMY ELIAS JUAREZ GUZMAN</v>
      </c>
      <c r="F643" t="str">
        <f t="shared" si="734"/>
        <v>JEREMY ELIAS JUAREZ GUZMAN46284</v>
      </c>
      <c r="H643" s="49" t="s">
        <v>225</v>
      </c>
      <c r="I643" s="50" t="str">
        <f>+_xlfn.XLOOKUP($H643&amp;$V643,BASEDATOS!$B:$B,BASEDATOS!F:F,0,0,1)</f>
        <v>DIA</v>
      </c>
      <c r="J643" s="51">
        <f>+_xlfn.XLOOKUP($H643&amp;$V643,BASEDATOS!$B:$B,BASEDATOS!Q:Q,0,0,1)</f>
        <v>0.25</v>
      </c>
      <c r="K643" s="51">
        <f>+_xlfn.XLOOKUP($H643&amp;$V643,BASEDATOS!$B:$B,BASEDATOS!R:R,0,0,1)</f>
        <v>0.58333333333333304</v>
      </c>
      <c r="L643" s="51">
        <f t="shared" si="735"/>
        <v>0.33333333333333304</v>
      </c>
      <c r="M643" s="52" t="str">
        <f t="shared" si="736"/>
        <v>1:00</v>
      </c>
      <c r="N643" s="51">
        <f t="shared" si="737"/>
        <v>0.29166666666666635</v>
      </c>
      <c r="O643" s="53" t="str">
        <f t="shared" ref="O643" si="782">+O644</f>
        <v>5-0-2</v>
      </c>
      <c r="P643" s="54">
        <f>+IF(AND(Y643="Domingo",U643=7),_xlfn.XLOOKUP(O643,'Horarios y Sistemas'!C:C,'Horarios y Sistemas'!H:H,0,0,1),0)</f>
        <v>0</v>
      </c>
      <c r="Q643" s="54">
        <f>IF(U643=U644,0,IF(AVERAGEIF(W:W,W643,U:U)=U643,0,_xlfn.XLOOKUP(O643,'Horarios y Sistemas'!C:C,'Horarios y Sistemas'!H:H,0,0,1)-P643))/7*U643</f>
        <v>0</v>
      </c>
      <c r="R643" s="54">
        <f t="shared" si="739"/>
        <v>0</v>
      </c>
      <c r="S643" s="55" t="str">
        <f t="shared" si="740"/>
        <v>SEPTIEMBRE</v>
      </c>
      <c r="T643" s="55" t="str">
        <f t="shared" si="741"/>
        <v>Sem38</v>
      </c>
      <c r="U643" s="56">
        <f t="shared" si="708"/>
        <v>7</v>
      </c>
      <c r="V643" s="59">
        <v>46284</v>
      </c>
      <c r="W643" s="56">
        <f t="shared" si="742"/>
        <v>38</v>
      </c>
      <c r="X643" s="56">
        <f t="shared" si="743"/>
        <v>19</v>
      </c>
      <c r="Y643" s="56" t="s">
        <v>33</v>
      </c>
      <c r="Z643" s="56">
        <v>6</v>
      </c>
      <c r="AA643" s="58">
        <f t="shared" si="766"/>
        <v>1</v>
      </c>
      <c r="AB643" s="58">
        <f t="shared" si="766"/>
        <v>0</v>
      </c>
      <c r="AC643" s="58">
        <f t="shared" si="766"/>
        <v>0</v>
      </c>
      <c r="AD643" s="58">
        <f t="shared" si="766"/>
        <v>0</v>
      </c>
      <c r="AE643" s="58">
        <f t="shared" si="766"/>
        <v>0</v>
      </c>
    </row>
    <row r="644" spans="2:34" s="60" customFormat="1">
      <c r="B644" s="60" t="str">
        <f t="shared" si="730"/>
        <v>Sem3838JEREMY ELIAS JUAREZ GUZMAN</v>
      </c>
      <c r="C644" s="60" t="str">
        <f t="shared" si="731"/>
        <v>SEPTIEMBRESem38</v>
      </c>
      <c r="D644" s="60" t="str">
        <f t="shared" si="732"/>
        <v>SEPTIEMBRESem38JEREMY ELIAS JUAREZ GUZMAN</v>
      </c>
      <c r="E644" s="60" t="str">
        <f t="shared" si="733"/>
        <v>SEPTIEMBRESem3838JEREMY ELIAS JUAREZ GUZMAN</v>
      </c>
      <c r="F644" s="60" t="str">
        <f t="shared" si="734"/>
        <v>JEREMY ELIAS JUAREZ GUZMAN46285</v>
      </c>
      <c r="H644" s="61" t="s">
        <v>225</v>
      </c>
      <c r="I644" s="62" t="str">
        <f>+_xlfn.XLOOKUP($H644&amp;$V644,BASEDATOS!$B:$B,BASEDATOS!F:F,0,0,1)</f>
        <v>DESCANSO</v>
      </c>
      <c r="J644" s="63">
        <f>+_xlfn.XLOOKUP($H644&amp;$V644,BASEDATOS!$B:$B,BASEDATOS!Q:Q,0,0,1)</f>
        <v>0</v>
      </c>
      <c r="K644" s="63">
        <f>+_xlfn.XLOOKUP($H644&amp;$V644,BASEDATOS!$B:$B,BASEDATOS!R:R,0,0,1)</f>
        <v>0</v>
      </c>
      <c r="L644" s="63">
        <f t="shared" si="735"/>
        <v>0</v>
      </c>
      <c r="M644" s="64">
        <f t="shared" si="736"/>
        <v>0</v>
      </c>
      <c r="N644" s="63">
        <f t="shared" si="737"/>
        <v>0</v>
      </c>
      <c r="O644" s="65" t="str">
        <f t="shared" ref="O644" si="783">+IF(Y644="Domingo",SUM(AA638:AA644)&amp;"-"&amp;SUM(AB638:AB644)&amp;"-"&amp;SUM(AC638:AE644),"")</f>
        <v>5-0-2</v>
      </c>
      <c r="P644" s="66">
        <f>+IF(AND(Y644="Domingo",U644=7),_xlfn.XLOOKUP(O644,'Horarios y Sistemas'!C:C,'Horarios y Sistemas'!H:H,0,0,1),0)</f>
        <v>44</v>
      </c>
      <c r="Q644" s="66">
        <f>IF(U644=U645,0,IF(AVERAGEIF(W:W,W644,U:U)=U644,0,_xlfn.XLOOKUP(O644,'Horarios y Sistemas'!C:C,'Horarios y Sistemas'!H:H,0,0,1)-P644))/7*U644</f>
        <v>0</v>
      </c>
      <c r="R644" s="66">
        <f t="shared" si="739"/>
        <v>44</v>
      </c>
      <c r="S644" s="67" t="str">
        <f t="shared" si="740"/>
        <v>SEPTIEMBRE</v>
      </c>
      <c r="T644" s="55" t="str">
        <f t="shared" si="741"/>
        <v>Sem38</v>
      </c>
      <c r="U644" s="68">
        <f t="shared" si="708"/>
        <v>7</v>
      </c>
      <c r="V644" s="69">
        <v>46285</v>
      </c>
      <c r="W644" s="68">
        <f t="shared" si="742"/>
        <v>38</v>
      </c>
      <c r="X644" s="68">
        <f t="shared" si="743"/>
        <v>20</v>
      </c>
      <c r="Y644" s="68" t="s">
        <v>34</v>
      </c>
      <c r="Z644" s="68">
        <v>7</v>
      </c>
      <c r="AA644" s="70">
        <f t="shared" si="766"/>
        <v>0</v>
      </c>
      <c r="AB644" s="70">
        <f t="shared" si="766"/>
        <v>0</v>
      </c>
      <c r="AC644" s="70">
        <f t="shared" si="766"/>
        <v>1</v>
      </c>
      <c r="AD644" s="70">
        <f t="shared" si="766"/>
        <v>0</v>
      </c>
      <c r="AE644" s="70">
        <f t="shared" si="766"/>
        <v>0</v>
      </c>
      <c r="AF644" s="71"/>
      <c r="AG644" s="71"/>
      <c r="AH644" s="71"/>
    </row>
    <row r="645" spans="2:34">
      <c r="B645" t="str">
        <f t="shared" si="730"/>
        <v>Sem3939JEREMY ELIAS JUAREZ GUZMAN</v>
      </c>
      <c r="C645" t="str">
        <f t="shared" si="731"/>
        <v>SEPTIEMBRESem39</v>
      </c>
      <c r="D645" t="str">
        <f t="shared" si="732"/>
        <v>SEPTIEMBRESem39JEREMY ELIAS JUAREZ GUZMAN</v>
      </c>
      <c r="E645" t="str">
        <f t="shared" si="733"/>
        <v>SEPTIEMBRESem3939JEREMY ELIAS JUAREZ GUZMAN</v>
      </c>
      <c r="F645" t="str">
        <f t="shared" si="734"/>
        <v>JEREMY ELIAS JUAREZ GUZMAN46286</v>
      </c>
      <c r="H645" s="49" t="s">
        <v>225</v>
      </c>
      <c r="I645" s="50" t="str">
        <f>+_xlfn.XLOOKUP($H645&amp;$V645,BASEDATOS!$B:$B,BASEDATOS!F:F,0,0,1)</f>
        <v>NOCHE</v>
      </c>
      <c r="J645" s="51">
        <f>+_xlfn.XLOOKUP($H645&amp;$V645,BASEDATOS!$B:$B,BASEDATOS!Q:Q,0,0,1)</f>
        <v>0.75</v>
      </c>
      <c r="K645" s="51">
        <f>+_xlfn.XLOOKUP($H645&amp;$V645,BASEDATOS!$B:$B,BASEDATOS!R:R,0,0,1)</f>
        <v>0.25</v>
      </c>
      <c r="L645" s="51">
        <f t="shared" si="735"/>
        <v>0.5</v>
      </c>
      <c r="M645" s="52" t="str">
        <f t="shared" si="736"/>
        <v>1:00</v>
      </c>
      <c r="N645" s="51">
        <f t="shared" si="737"/>
        <v>0.45833333333333331</v>
      </c>
      <c r="O645" s="53" t="str">
        <f t="shared" ref="O645" si="784">+O651</f>
        <v>0-5-2</v>
      </c>
      <c r="P645" s="54">
        <f>+IF(AND(Y645="Domingo",U645=7),_xlfn.XLOOKUP(O645,'Horarios y Sistemas'!C:C,'Horarios y Sistemas'!H:H,0,0,1),0)</f>
        <v>0</v>
      </c>
      <c r="Q645" s="54">
        <f>IF(U645=U646,0,IF(AVERAGEIF(W:W,W645,U:U)=U645,0,_xlfn.XLOOKUP(O645,'Horarios y Sistemas'!C:C,'Horarios y Sistemas'!H:H,0,0,1)-P645))/7*U645</f>
        <v>0</v>
      </c>
      <c r="R645" s="54">
        <f t="shared" si="739"/>
        <v>0</v>
      </c>
      <c r="S645" s="55" t="str">
        <f t="shared" si="740"/>
        <v>SEPTIEMBRE</v>
      </c>
      <c r="T645" s="55" t="str">
        <f t="shared" si="741"/>
        <v>Sem39</v>
      </c>
      <c r="U645" s="56">
        <f t="shared" si="708"/>
        <v>7</v>
      </c>
      <c r="V645" s="57">
        <v>46286</v>
      </c>
      <c r="W645" s="56">
        <f t="shared" si="742"/>
        <v>39</v>
      </c>
      <c r="X645" s="56">
        <f t="shared" si="743"/>
        <v>21</v>
      </c>
      <c r="Y645" s="56" t="s">
        <v>28</v>
      </c>
      <c r="Z645" s="56">
        <v>1</v>
      </c>
      <c r="AA645" s="58">
        <f t="shared" si="766"/>
        <v>0</v>
      </c>
      <c r="AB645" s="58">
        <f t="shared" si="766"/>
        <v>1</v>
      </c>
      <c r="AC645" s="58">
        <f t="shared" si="766"/>
        <v>0</v>
      </c>
      <c r="AD645" s="58">
        <f t="shared" si="766"/>
        <v>0</v>
      </c>
      <c r="AE645" s="58">
        <f t="shared" si="766"/>
        <v>0</v>
      </c>
    </row>
    <row r="646" spans="2:34">
      <c r="B646" t="str">
        <f t="shared" si="730"/>
        <v>Sem3939JEREMY ELIAS JUAREZ GUZMAN</v>
      </c>
      <c r="C646" t="str">
        <f t="shared" si="731"/>
        <v>SEPTIEMBRESem39</v>
      </c>
      <c r="D646" t="str">
        <f t="shared" si="732"/>
        <v>SEPTIEMBRESem39JEREMY ELIAS JUAREZ GUZMAN</v>
      </c>
      <c r="E646" t="str">
        <f t="shared" si="733"/>
        <v>SEPTIEMBRESem3939JEREMY ELIAS JUAREZ GUZMAN</v>
      </c>
      <c r="F646" t="str">
        <f t="shared" si="734"/>
        <v>JEREMY ELIAS JUAREZ GUZMAN46287</v>
      </c>
      <c r="H646" s="49" t="s">
        <v>225</v>
      </c>
      <c r="I646" s="50" t="str">
        <f>+_xlfn.XLOOKUP($H646&amp;$V646,BASEDATOS!$B:$B,BASEDATOS!F:F,0,0,1)</f>
        <v>NOCHE</v>
      </c>
      <c r="J646" s="51">
        <f>+_xlfn.XLOOKUP($H646&amp;$V646,BASEDATOS!$B:$B,BASEDATOS!Q:Q,0,0,1)</f>
        <v>0.75</v>
      </c>
      <c r="K646" s="51">
        <f>+_xlfn.XLOOKUP($H646&amp;$V646,BASEDATOS!$B:$B,BASEDATOS!R:R,0,0,1)</f>
        <v>0.25</v>
      </c>
      <c r="L646" s="51">
        <f t="shared" si="735"/>
        <v>0.5</v>
      </c>
      <c r="M646" s="52" t="str">
        <f t="shared" si="736"/>
        <v>1:00</v>
      </c>
      <c r="N646" s="51">
        <f t="shared" si="737"/>
        <v>0.45833333333333331</v>
      </c>
      <c r="O646" s="53" t="str">
        <f t="shared" ref="O646" si="785">+O651</f>
        <v>0-5-2</v>
      </c>
      <c r="P646" s="54">
        <f>+IF(AND(Y646="Domingo",U646=7),_xlfn.XLOOKUP(O646,'Horarios y Sistemas'!C:C,'Horarios y Sistemas'!H:H,0,0,1),0)</f>
        <v>0</v>
      </c>
      <c r="Q646" s="54">
        <f>IF(U646=U647,0,IF(AVERAGEIF(W:W,W646,U:U)=U646,0,_xlfn.XLOOKUP(O646,'Horarios y Sistemas'!C:C,'Horarios y Sistemas'!H:H,0,0,1)-P646))/7*U646</f>
        <v>0</v>
      </c>
      <c r="R646" s="54">
        <f t="shared" si="739"/>
        <v>0</v>
      </c>
      <c r="S646" s="55" t="str">
        <f t="shared" si="740"/>
        <v>SEPTIEMBRE</v>
      </c>
      <c r="T646" s="55" t="str">
        <f t="shared" si="741"/>
        <v>Sem39</v>
      </c>
      <c r="U646" s="56">
        <f t="shared" si="708"/>
        <v>7</v>
      </c>
      <c r="V646" s="59">
        <v>46287</v>
      </c>
      <c r="W646" s="56">
        <f t="shared" si="742"/>
        <v>39</v>
      </c>
      <c r="X646" s="56">
        <f t="shared" si="743"/>
        <v>22</v>
      </c>
      <c r="Y646" s="56" t="s">
        <v>29</v>
      </c>
      <c r="Z646" s="56">
        <v>2</v>
      </c>
      <c r="AA646" s="58">
        <f t="shared" si="766"/>
        <v>0</v>
      </c>
      <c r="AB646" s="58">
        <f t="shared" si="766"/>
        <v>1</v>
      </c>
      <c r="AC646" s="58">
        <f t="shared" si="766"/>
        <v>0</v>
      </c>
      <c r="AD646" s="58">
        <f t="shared" si="766"/>
        <v>0</v>
      </c>
      <c r="AE646" s="58">
        <f t="shared" si="766"/>
        <v>0</v>
      </c>
    </row>
    <row r="647" spans="2:34">
      <c r="B647" t="str">
        <f t="shared" si="730"/>
        <v>Sem3939JEREMY ELIAS JUAREZ GUZMAN</v>
      </c>
      <c r="C647" t="str">
        <f t="shared" si="731"/>
        <v>SEPTIEMBRESem39</v>
      </c>
      <c r="D647" t="str">
        <f t="shared" si="732"/>
        <v>SEPTIEMBRESem39JEREMY ELIAS JUAREZ GUZMAN</v>
      </c>
      <c r="E647" t="str">
        <f t="shared" si="733"/>
        <v>SEPTIEMBRESem3939JEREMY ELIAS JUAREZ GUZMAN</v>
      </c>
      <c r="F647" t="str">
        <f t="shared" si="734"/>
        <v>JEREMY ELIAS JUAREZ GUZMAN46288</v>
      </c>
      <c r="H647" s="49" t="s">
        <v>225</v>
      </c>
      <c r="I647" s="50" t="str">
        <f>+_xlfn.XLOOKUP($H647&amp;$V647,BASEDATOS!$B:$B,BASEDATOS!F:F,0,0,1)</f>
        <v>NOCHE</v>
      </c>
      <c r="J647" s="51">
        <f>+_xlfn.XLOOKUP($H647&amp;$V647,BASEDATOS!$B:$B,BASEDATOS!Q:Q,0,0,1)</f>
        <v>0.75</v>
      </c>
      <c r="K647" s="51">
        <f>+_xlfn.XLOOKUP($H647&amp;$V647,BASEDATOS!$B:$B,BASEDATOS!R:R,0,0,1)</f>
        <v>0.25</v>
      </c>
      <c r="L647" s="51">
        <f t="shared" si="735"/>
        <v>0.5</v>
      </c>
      <c r="M647" s="52" t="str">
        <f t="shared" si="736"/>
        <v>1:00</v>
      </c>
      <c r="N647" s="51">
        <f t="shared" si="737"/>
        <v>0.45833333333333331</v>
      </c>
      <c r="O647" s="53" t="str">
        <f t="shared" ref="O647" si="786">+O651</f>
        <v>0-5-2</v>
      </c>
      <c r="P647" s="54">
        <f>+IF(AND(Y647="Domingo",U647=7),_xlfn.XLOOKUP(O647,'Horarios y Sistemas'!C:C,'Horarios y Sistemas'!H:H,0,0,1),0)</f>
        <v>0</v>
      </c>
      <c r="Q647" s="54">
        <f>IF(U647=U648,0,IF(AVERAGEIF(W:W,W647,U:U)=U647,0,_xlfn.XLOOKUP(O647,'Horarios y Sistemas'!C:C,'Horarios y Sistemas'!H:H,0,0,1)-P647))/7*U647</f>
        <v>0</v>
      </c>
      <c r="R647" s="54">
        <f t="shared" si="739"/>
        <v>0</v>
      </c>
      <c r="S647" s="55" t="str">
        <f t="shared" si="740"/>
        <v>SEPTIEMBRE</v>
      </c>
      <c r="T647" s="55" t="str">
        <f t="shared" si="741"/>
        <v>Sem39</v>
      </c>
      <c r="U647" s="56">
        <f t="shared" si="708"/>
        <v>7</v>
      </c>
      <c r="V647" s="59">
        <v>46288</v>
      </c>
      <c r="W647" s="56">
        <f t="shared" si="742"/>
        <v>39</v>
      </c>
      <c r="X647" s="56">
        <f t="shared" si="743"/>
        <v>23</v>
      </c>
      <c r="Y647" s="56" t="s">
        <v>30</v>
      </c>
      <c r="Z647" s="56">
        <v>3</v>
      </c>
      <c r="AA647" s="58">
        <f t="shared" si="766"/>
        <v>0</v>
      </c>
      <c r="AB647" s="58">
        <f t="shared" si="766"/>
        <v>1</v>
      </c>
      <c r="AC647" s="58">
        <f t="shared" si="766"/>
        <v>0</v>
      </c>
      <c r="AD647" s="58">
        <f t="shared" si="766"/>
        <v>0</v>
      </c>
      <c r="AE647" s="58">
        <f t="shared" si="766"/>
        <v>0</v>
      </c>
    </row>
    <row r="648" spans="2:34">
      <c r="B648" t="str">
        <f t="shared" si="730"/>
        <v>Sem3939JEREMY ELIAS JUAREZ GUZMAN</v>
      </c>
      <c r="C648" t="str">
        <f t="shared" si="731"/>
        <v>SEPTIEMBRESem39</v>
      </c>
      <c r="D648" t="str">
        <f t="shared" si="732"/>
        <v>SEPTIEMBRESem39JEREMY ELIAS JUAREZ GUZMAN</v>
      </c>
      <c r="E648" t="str">
        <f t="shared" si="733"/>
        <v>SEPTIEMBRESem3939JEREMY ELIAS JUAREZ GUZMAN</v>
      </c>
      <c r="F648" t="str">
        <f t="shared" si="734"/>
        <v>JEREMY ELIAS JUAREZ GUZMAN46289</v>
      </c>
      <c r="H648" s="49" t="s">
        <v>225</v>
      </c>
      <c r="I648" s="50" t="str">
        <f>+_xlfn.XLOOKUP($H648&amp;$V648,BASEDATOS!$B:$B,BASEDATOS!F:F,0,0,1)</f>
        <v>NOCHE</v>
      </c>
      <c r="J648" s="51">
        <f>+_xlfn.XLOOKUP($H648&amp;$V648,BASEDATOS!$B:$B,BASEDATOS!Q:Q,0,0,1)</f>
        <v>0.75</v>
      </c>
      <c r="K648" s="51">
        <f>+_xlfn.XLOOKUP($H648&amp;$V648,BASEDATOS!$B:$B,BASEDATOS!R:R,0,0,1)</f>
        <v>0.25</v>
      </c>
      <c r="L648" s="51">
        <f t="shared" si="735"/>
        <v>0.5</v>
      </c>
      <c r="M648" s="52" t="str">
        <f t="shared" si="736"/>
        <v>1:00</v>
      </c>
      <c r="N648" s="51">
        <f t="shared" si="737"/>
        <v>0.45833333333333331</v>
      </c>
      <c r="O648" s="53" t="str">
        <f t="shared" ref="O648" si="787">+O651</f>
        <v>0-5-2</v>
      </c>
      <c r="P648" s="54">
        <f>+IF(AND(Y648="Domingo",U648=7),_xlfn.XLOOKUP(O648,'Horarios y Sistemas'!C:C,'Horarios y Sistemas'!H:H,0,0,1),0)</f>
        <v>0</v>
      </c>
      <c r="Q648" s="54">
        <f>IF(U648=U649,0,IF(AVERAGEIF(W:W,W648,U:U)=U648,0,_xlfn.XLOOKUP(O648,'Horarios y Sistemas'!C:C,'Horarios y Sistemas'!H:H,0,0,1)-P648))/7*U648</f>
        <v>0</v>
      </c>
      <c r="R648" s="54">
        <f t="shared" si="739"/>
        <v>0</v>
      </c>
      <c r="S648" s="55" t="str">
        <f t="shared" si="740"/>
        <v>SEPTIEMBRE</v>
      </c>
      <c r="T648" s="55" t="str">
        <f t="shared" si="741"/>
        <v>Sem39</v>
      </c>
      <c r="U648" s="56">
        <f t="shared" ref="U648:U711" si="788">+COUNTIF(B:B,B648)</f>
        <v>7</v>
      </c>
      <c r="V648" s="59">
        <v>46289</v>
      </c>
      <c r="W648" s="56">
        <f t="shared" si="742"/>
        <v>39</v>
      </c>
      <c r="X648" s="56">
        <f t="shared" si="743"/>
        <v>24</v>
      </c>
      <c r="Y648" s="56" t="s">
        <v>31</v>
      </c>
      <c r="Z648" s="56">
        <v>4</v>
      </c>
      <c r="AA648" s="58">
        <f t="shared" si="766"/>
        <v>0</v>
      </c>
      <c r="AB648" s="58">
        <f t="shared" si="766"/>
        <v>1</v>
      </c>
      <c r="AC648" s="58">
        <f t="shared" si="766"/>
        <v>0</v>
      </c>
      <c r="AD648" s="58">
        <f t="shared" si="766"/>
        <v>0</v>
      </c>
      <c r="AE648" s="58">
        <f t="shared" si="766"/>
        <v>0</v>
      </c>
    </row>
    <row r="649" spans="2:34">
      <c r="B649" t="str">
        <f t="shared" si="730"/>
        <v>Sem3939JEREMY ELIAS JUAREZ GUZMAN</v>
      </c>
      <c r="C649" t="str">
        <f t="shared" si="731"/>
        <v>SEPTIEMBRESem39</v>
      </c>
      <c r="D649" t="str">
        <f t="shared" si="732"/>
        <v>SEPTIEMBRESem39JEREMY ELIAS JUAREZ GUZMAN</v>
      </c>
      <c r="E649" t="str">
        <f t="shared" si="733"/>
        <v>SEPTIEMBRESem3939JEREMY ELIAS JUAREZ GUZMAN</v>
      </c>
      <c r="F649" t="str">
        <f t="shared" si="734"/>
        <v>JEREMY ELIAS JUAREZ GUZMAN46290</v>
      </c>
      <c r="H649" s="49" t="s">
        <v>225</v>
      </c>
      <c r="I649" s="50" t="str">
        <f>+_xlfn.XLOOKUP($H649&amp;$V649,BASEDATOS!$B:$B,BASEDATOS!F:F,0,0,1)</f>
        <v>NOCHE</v>
      </c>
      <c r="J649" s="51">
        <f>+_xlfn.XLOOKUP($H649&amp;$V649,BASEDATOS!$B:$B,BASEDATOS!Q:Q,0,0,1)</f>
        <v>0.75</v>
      </c>
      <c r="K649" s="51">
        <f>+_xlfn.XLOOKUP($H649&amp;$V649,BASEDATOS!$B:$B,BASEDATOS!R:R,0,0,1)</f>
        <v>0.25</v>
      </c>
      <c r="L649" s="51">
        <f t="shared" si="735"/>
        <v>0.5</v>
      </c>
      <c r="M649" s="52" t="str">
        <f t="shared" si="736"/>
        <v>1:00</v>
      </c>
      <c r="N649" s="51">
        <f t="shared" si="737"/>
        <v>0.45833333333333331</v>
      </c>
      <c r="O649" s="53" t="str">
        <f t="shared" ref="O649" si="789">+O651</f>
        <v>0-5-2</v>
      </c>
      <c r="P649" s="54">
        <f>+IF(AND(Y649="Domingo",U649=7),_xlfn.XLOOKUP(O649,'Horarios y Sistemas'!C:C,'Horarios y Sistemas'!H:H,0,0,1),0)</f>
        <v>0</v>
      </c>
      <c r="Q649" s="54">
        <f>IF(U649=U650,0,IF(AVERAGEIF(W:W,W649,U:U)=U649,0,_xlfn.XLOOKUP(O649,'Horarios y Sistemas'!C:C,'Horarios y Sistemas'!H:H,0,0,1)-P649))/7*U649</f>
        <v>0</v>
      </c>
      <c r="R649" s="54">
        <f t="shared" si="739"/>
        <v>0</v>
      </c>
      <c r="S649" s="55" t="str">
        <f t="shared" si="740"/>
        <v>SEPTIEMBRE</v>
      </c>
      <c r="T649" s="55" t="str">
        <f t="shared" si="741"/>
        <v>Sem39</v>
      </c>
      <c r="U649" s="56">
        <f t="shared" si="788"/>
        <v>7</v>
      </c>
      <c r="V649" s="59">
        <v>46290</v>
      </c>
      <c r="W649" s="56">
        <f t="shared" si="742"/>
        <v>39</v>
      </c>
      <c r="X649" s="56">
        <f t="shared" si="743"/>
        <v>25</v>
      </c>
      <c r="Y649" s="56" t="s">
        <v>32</v>
      </c>
      <c r="Z649" s="56">
        <v>5</v>
      </c>
      <c r="AA649" s="58">
        <f t="shared" si="766"/>
        <v>0</v>
      </c>
      <c r="AB649" s="58">
        <f t="shared" si="766"/>
        <v>1</v>
      </c>
      <c r="AC649" s="58">
        <f t="shared" si="766"/>
        <v>0</v>
      </c>
      <c r="AD649" s="58">
        <f t="shared" si="766"/>
        <v>0</v>
      </c>
      <c r="AE649" s="58">
        <f t="shared" si="766"/>
        <v>0</v>
      </c>
    </row>
    <row r="650" spans="2:34">
      <c r="B650" t="str">
        <f t="shared" si="730"/>
        <v>Sem3939JEREMY ELIAS JUAREZ GUZMAN</v>
      </c>
      <c r="C650" t="str">
        <f t="shared" si="731"/>
        <v>SEPTIEMBRESem39</v>
      </c>
      <c r="D650" t="str">
        <f t="shared" si="732"/>
        <v>SEPTIEMBRESem39JEREMY ELIAS JUAREZ GUZMAN</v>
      </c>
      <c r="E650" t="str">
        <f t="shared" si="733"/>
        <v>SEPTIEMBRESem3939JEREMY ELIAS JUAREZ GUZMAN</v>
      </c>
      <c r="F650" t="str">
        <f t="shared" si="734"/>
        <v>JEREMY ELIAS JUAREZ GUZMAN46291</v>
      </c>
      <c r="H650" s="49" t="s">
        <v>225</v>
      </c>
      <c r="I650" s="50" t="str">
        <f>+_xlfn.XLOOKUP($H650&amp;$V650,BASEDATOS!$B:$B,BASEDATOS!F:F,0,0,1)</f>
        <v>DESCANSO</v>
      </c>
      <c r="J650" s="51">
        <f>+_xlfn.XLOOKUP($H650&amp;$V650,BASEDATOS!$B:$B,BASEDATOS!Q:Q,0,0,1)</f>
        <v>0</v>
      </c>
      <c r="K650" s="51">
        <f>+_xlfn.XLOOKUP($H650&amp;$V650,BASEDATOS!$B:$B,BASEDATOS!R:R,0,0,1)</f>
        <v>0</v>
      </c>
      <c r="L650" s="51">
        <f t="shared" si="735"/>
        <v>0</v>
      </c>
      <c r="M650" s="52">
        <f t="shared" si="736"/>
        <v>0</v>
      </c>
      <c r="N650" s="51">
        <f t="shared" si="737"/>
        <v>0</v>
      </c>
      <c r="O650" s="53" t="str">
        <f t="shared" ref="O650" si="790">+O651</f>
        <v>0-5-2</v>
      </c>
      <c r="P650" s="54">
        <f>+IF(AND(Y650="Domingo",U650=7),_xlfn.XLOOKUP(O650,'Horarios y Sistemas'!C:C,'Horarios y Sistemas'!H:H,0,0,1),0)</f>
        <v>0</v>
      </c>
      <c r="Q650" s="54">
        <f>IF(U650=U651,0,IF(AVERAGEIF(W:W,W650,U:U)=U650,0,_xlfn.XLOOKUP(O650,'Horarios y Sistemas'!C:C,'Horarios y Sistemas'!H:H,0,0,1)-P650))/7*U650</f>
        <v>0</v>
      </c>
      <c r="R650" s="54">
        <f t="shared" si="739"/>
        <v>0</v>
      </c>
      <c r="S650" s="55" t="str">
        <f t="shared" si="740"/>
        <v>SEPTIEMBRE</v>
      </c>
      <c r="T650" s="55" t="str">
        <f t="shared" si="741"/>
        <v>Sem39</v>
      </c>
      <c r="U650" s="56">
        <f t="shared" si="788"/>
        <v>7</v>
      </c>
      <c r="V650" s="59">
        <v>46291</v>
      </c>
      <c r="W650" s="56">
        <f t="shared" si="742"/>
        <v>39</v>
      </c>
      <c r="X650" s="56">
        <f t="shared" si="743"/>
        <v>26</v>
      </c>
      <c r="Y650" s="56" t="s">
        <v>33</v>
      </c>
      <c r="Z650" s="56">
        <v>6</v>
      </c>
      <c r="AA650" s="58">
        <f t="shared" si="766"/>
        <v>0</v>
      </c>
      <c r="AB650" s="58">
        <f t="shared" si="766"/>
        <v>0</v>
      </c>
      <c r="AC650" s="58">
        <f t="shared" si="766"/>
        <v>1</v>
      </c>
      <c r="AD650" s="58">
        <f t="shared" si="766"/>
        <v>0</v>
      </c>
      <c r="AE650" s="58">
        <f t="shared" si="766"/>
        <v>0</v>
      </c>
    </row>
    <row r="651" spans="2:34" s="60" customFormat="1">
      <c r="B651" s="60" t="str">
        <f t="shared" si="730"/>
        <v>Sem3939JEREMY ELIAS JUAREZ GUZMAN</v>
      </c>
      <c r="C651" s="60" t="str">
        <f t="shared" si="731"/>
        <v>SEPTIEMBRESem39</v>
      </c>
      <c r="D651" s="60" t="str">
        <f t="shared" si="732"/>
        <v>SEPTIEMBRESem39JEREMY ELIAS JUAREZ GUZMAN</v>
      </c>
      <c r="E651" s="60" t="str">
        <f t="shared" si="733"/>
        <v>SEPTIEMBRESem3939JEREMY ELIAS JUAREZ GUZMAN</v>
      </c>
      <c r="F651" s="60" t="str">
        <f t="shared" si="734"/>
        <v>JEREMY ELIAS JUAREZ GUZMAN46292</v>
      </c>
      <c r="H651" s="61" t="s">
        <v>225</v>
      </c>
      <c r="I651" s="62" t="str">
        <f>+_xlfn.XLOOKUP($H651&amp;$V651,BASEDATOS!$B:$B,BASEDATOS!F:F,0,0,1)</f>
        <v>DESCANSO</v>
      </c>
      <c r="J651" s="63">
        <f>+_xlfn.XLOOKUP($H651&amp;$V651,BASEDATOS!$B:$B,BASEDATOS!Q:Q,0,0,1)</f>
        <v>0</v>
      </c>
      <c r="K651" s="63">
        <f>+_xlfn.XLOOKUP($H651&amp;$V651,BASEDATOS!$B:$B,BASEDATOS!R:R,0,0,1)</f>
        <v>0</v>
      </c>
      <c r="L651" s="63">
        <f t="shared" si="735"/>
        <v>0</v>
      </c>
      <c r="M651" s="64">
        <f t="shared" si="736"/>
        <v>0</v>
      </c>
      <c r="N651" s="63">
        <f t="shared" si="737"/>
        <v>0</v>
      </c>
      <c r="O651" s="65" t="str">
        <f t="shared" ref="O651" si="791">+IF(Y651="Domingo",SUM(AA645:AA651)&amp;"-"&amp;SUM(AB645:AB651)&amp;"-"&amp;SUM(AC645:AE651),"")</f>
        <v>0-5-2</v>
      </c>
      <c r="P651" s="66">
        <f>+IF(AND(Y651="Domingo",U651=7),_xlfn.XLOOKUP(O651,'Horarios y Sistemas'!C:C,'Horarios y Sistemas'!H:H,0,0,1),0)</f>
        <v>36</v>
      </c>
      <c r="Q651" s="66">
        <f>IF(U651=U652,0,IF(AVERAGEIF(W:W,W651,U:U)=U651,0,_xlfn.XLOOKUP(O651,'Horarios y Sistemas'!C:C,'Horarios y Sistemas'!H:H,0,0,1)-P651))/7*U651</f>
        <v>0</v>
      </c>
      <c r="R651" s="66">
        <f t="shared" si="739"/>
        <v>36</v>
      </c>
      <c r="S651" s="67" t="str">
        <f t="shared" si="740"/>
        <v>SEPTIEMBRE</v>
      </c>
      <c r="T651" s="55" t="str">
        <f t="shared" si="741"/>
        <v>Sem39</v>
      </c>
      <c r="U651" s="68">
        <f t="shared" si="788"/>
        <v>7</v>
      </c>
      <c r="V651" s="69">
        <v>46292</v>
      </c>
      <c r="W651" s="68">
        <f t="shared" si="742"/>
        <v>39</v>
      </c>
      <c r="X651" s="68">
        <f t="shared" si="743"/>
        <v>27</v>
      </c>
      <c r="Y651" s="68" t="s">
        <v>34</v>
      </c>
      <c r="Z651" s="68">
        <v>7</v>
      </c>
      <c r="AA651" s="70">
        <f t="shared" si="766"/>
        <v>0</v>
      </c>
      <c r="AB651" s="70">
        <f t="shared" si="766"/>
        <v>0</v>
      </c>
      <c r="AC651" s="70">
        <f t="shared" si="766"/>
        <v>1</v>
      </c>
      <c r="AD651" s="70">
        <f t="shared" si="766"/>
        <v>0</v>
      </c>
      <c r="AE651" s="70">
        <f t="shared" si="766"/>
        <v>0</v>
      </c>
      <c r="AF651" s="71"/>
      <c r="AG651" s="71"/>
      <c r="AH651" s="71"/>
    </row>
    <row r="652" spans="2:34">
      <c r="B652" t="str">
        <f t="shared" si="730"/>
        <v>Sem4040JEREMY ELIAS JUAREZ GUZMAN</v>
      </c>
      <c r="C652" t="str">
        <f t="shared" si="731"/>
        <v>SEPTIEMBRESem40</v>
      </c>
      <c r="D652" t="str">
        <f t="shared" si="732"/>
        <v>SEPTIEMBRESem40JEREMY ELIAS JUAREZ GUZMAN</v>
      </c>
      <c r="E652" t="str">
        <f t="shared" si="733"/>
        <v>SEPTIEMBRESem4040JEREMY ELIAS JUAREZ GUZMAN</v>
      </c>
      <c r="F652" t="str">
        <f t="shared" si="734"/>
        <v>JEREMY ELIAS JUAREZ GUZMAN46293</v>
      </c>
      <c r="H652" s="49" t="s">
        <v>225</v>
      </c>
      <c r="I652" s="50" t="str">
        <f>+_xlfn.XLOOKUP($H652&amp;$V652,BASEDATOS!$B:$B,BASEDATOS!F:F,0,0,1)</f>
        <v>DIA</v>
      </c>
      <c r="J652" s="51">
        <f>+_xlfn.XLOOKUP($H652&amp;$V652,BASEDATOS!$B:$B,BASEDATOS!Q:Q,0,0,1)</f>
        <v>0.25</v>
      </c>
      <c r="K652" s="51">
        <f>+_xlfn.XLOOKUP($H652&amp;$V652,BASEDATOS!$B:$B,BASEDATOS!R:R,0,0,1)</f>
        <v>0.75</v>
      </c>
      <c r="L652" s="51">
        <f t="shared" si="735"/>
        <v>0.5</v>
      </c>
      <c r="M652" s="52" t="str">
        <f t="shared" si="736"/>
        <v>1:00</v>
      </c>
      <c r="N652" s="51">
        <f t="shared" si="737"/>
        <v>0.45833333333333331</v>
      </c>
      <c r="O652" s="53" t="str">
        <f t="shared" ref="O652" si="792">+O658</f>
        <v>6-0-1</v>
      </c>
      <c r="P652" s="54">
        <f>+IF(AND(Y652="Domingo",U652=7),_xlfn.XLOOKUP(O652,'Horarios y Sistemas'!C:C,'Horarios y Sistemas'!H:H,0,0,1),0)</f>
        <v>0</v>
      </c>
      <c r="Q652" s="54">
        <f>IF(U652=U653,0,IF(AVERAGEIF(W:W,W652,U:U)=U652,0,_xlfn.XLOOKUP(O652,'Horarios y Sistemas'!C:C,'Horarios y Sistemas'!H:H,0,0,1)-P652))/7*U652</f>
        <v>0</v>
      </c>
      <c r="R652" s="54">
        <f t="shared" si="739"/>
        <v>0</v>
      </c>
      <c r="S652" s="55" t="str">
        <f t="shared" si="740"/>
        <v>SEPTIEMBRE</v>
      </c>
      <c r="T652" s="55" t="str">
        <f t="shared" si="741"/>
        <v>Sem40</v>
      </c>
      <c r="U652" s="56">
        <f t="shared" si="788"/>
        <v>7</v>
      </c>
      <c r="V652" s="59">
        <v>46293</v>
      </c>
      <c r="W652" s="56">
        <f t="shared" si="742"/>
        <v>40</v>
      </c>
      <c r="X652" s="56">
        <f t="shared" si="743"/>
        <v>28</v>
      </c>
      <c r="Y652" s="56" t="s">
        <v>28</v>
      </c>
      <c r="Z652" s="56">
        <v>1</v>
      </c>
      <c r="AA652" s="58">
        <f t="shared" si="766"/>
        <v>1</v>
      </c>
      <c r="AB652" s="58">
        <f t="shared" si="766"/>
        <v>0</v>
      </c>
      <c r="AC652" s="58">
        <f t="shared" si="766"/>
        <v>0</v>
      </c>
      <c r="AD652" s="58">
        <f t="shared" si="766"/>
        <v>0</v>
      </c>
      <c r="AE652" s="58">
        <f t="shared" si="766"/>
        <v>0</v>
      </c>
    </row>
    <row r="653" spans="2:34">
      <c r="B653" t="str">
        <f t="shared" si="730"/>
        <v>Sem4040JEREMY ELIAS JUAREZ GUZMAN</v>
      </c>
      <c r="C653" t="str">
        <f t="shared" si="731"/>
        <v>SEPTIEMBRESem40</v>
      </c>
      <c r="D653" t="str">
        <f t="shared" si="732"/>
        <v>SEPTIEMBRESem40JEREMY ELIAS JUAREZ GUZMAN</v>
      </c>
      <c r="E653" t="str">
        <f t="shared" si="733"/>
        <v>SEPTIEMBRESem4040JEREMY ELIAS JUAREZ GUZMAN</v>
      </c>
      <c r="F653" t="str">
        <f t="shared" si="734"/>
        <v>JEREMY ELIAS JUAREZ GUZMAN46294</v>
      </c>
      <c r="H653" s="49" t="s">
        <v>225</v>
      </c>
      <c r="I653" s="50" t="str">
        <f>+_xlfn.XLOOKUP($H653&amp;$V653,BASEDATOS!$B:$B,BASEDATOS!F:F,0,0,1)</f>
        <v>DIA</v>
      </c>
      <c r="J653" s="51">
        <f>+_xlfn.XLOOKUP($H653&amp;$V653,BASEDATOS!$B:$B,BASEDATOS!Q:Q,0,0,1)</f>
        <v>0.25</v>
      </c>
      <c r="K653" s="51">
        <f>+_xlfn.XLOOKUP($H653&amp;$V653,BASEDATOS!$B:$B,BASEDATOS!R:R,0,0,1)</f>
        <v>0.75</v>
      </c>
      <c r="L653" s="51">
        <f t="shared" si="735"/>
        <v>0.5</v>
      </c>
      <c r="M653" s="52" t="str">
        <f t="shared" si="736"/>
        <v>1:00</v>
      </c>
      <c r="N653" s="51">
        <f t="shared" si="737"/>
        <v>0.45833333333333331</v>
      </c>
      <c r="O653" s="53" t="str">
        <f t="shared" ref="O653" si="793">+O658</f>
        <v>6-0-1</v>
      </c>
      <c r="P653" s="54">
        <f>+IF(AND(Y653="Domingo",U653=7),_xlfn.XLOOKUP(O653,'Horarios y Sistemas'!C:C,'Horarios y Sistemas'!H:H,0,0,1),0)</f>
        <v>0</v>
      </c>
      <c r="Q653" s="54">
        <f>IF(U653=U654,0,IF(AVERAGEIF(W:W,W653,U:U)=U653,0,_xlfn.XLOOKUP(O653,'Horarios y Sistemas'!C:C,'Horarios y Sistemas'!H:H,0,0,1)-P653))/7*U653</f>
        <v>0</v>
      </c>
      <c r="R653" s="54">
        <f t="shared" si="739"/>
        <v>0</v>
      </c>
      <c r="S653" s="55" t="str">
        <f t="shared" si="740"/>
        <v>SEPTIEMBRE</v>
      </c>
      <c r="T653" s="55" t="str">
        <f t="shared" si="741"/>
        <v>Sem40</v>
      </c>
      <c r="U653" s="56">
        <f t="shared" si="788"/>
        <v>7</v>
      </c>
      <c r="V653" s="59">
        <v>46294</v>
      </c>
      <c r="W653" s="56">
        <f t="shared" si="742"/>
        <v>40</v>
      </c>
      <c r="X653" s="56">
        <f t="shared" si="743"/>
        <v>29</v>
      </c>
      <c r="Y653" s="56" t="s">
        <v>29</v>
      </c>
      <c r="Z653" s="56">
        <v>2</v>
      </c>
      <c r="AA653" s="58">
        <f t="shared" si="766"/>
        <v>1</v>
      </c>
      <c r="AB653" s="58">
        <f t="shared" si="766"/>
        <v>0</v>
      </c>
      <c r="AC653" s="58">
        <f t="shared" si="766"/>
        <v>0</v>
      </c>
      <c r="AD653" s="58">
        <f t="shared" si="766"/>
        <v>0</v>
      </c>
      <c r="AE653" s="58">
        <f t="shared" si="766"/>
        <v>0</v>
      </c>
    </row>
    <row r="654" spans="2:34">
      <c r="B654" t="str">
        <f t="shared" si="730"/>
        <v>Sem4040JEREMY ELIAS JUAREZ GUZMAN</v>
      </c>
      <c r="C654" t="str">
        <f t="shared" si="731"/>
        <v>SEPTIEMBRESem40</v>
      </c>
      <c r="D654" t="str">
        <f t="shared" si="732"/>
        <v>SEPTIEMBRESem40JEREMY ELIAS JUAREZ GUZMAN</v>
      </c>
      <c r="E654" t="str">
        <f t="shared" si="733"/>
        <v>SEPTIEMBRESem4040JEREMY ELIAS JUAREZ GUZMAN</v>
      </c>
      <c r="F654" t="str">
        <f t="shared" si="734"/>
        <v>JEREMY ELIAS JUAREZ GUZMAN46295</v>
      </c>
      <c r="H654" s="49" t="s">
        <v>225</v>
      </c>
      <c r="I654" s="50" t="str">
        <f>+_xlfn.XLOOKUP($H654&amp;$V654,BASEDATOS!$B:$B,BASEDATOS!F:F,0,0,1)</f>
        <v>DIA</v>
      </c>
      <c r="J654" s="51">
        <f>+_xlfn.XLOOKUP($H654&amp;$V654,BASEDATOS!$B:$B,BASEDATOS!Q:Q,0,0,1)</f>
        <v>0.25</v>
      </c>
      <c r="K654" s="51">
        <f>+_xlfn.XLOOKUP($H654&amp;$V654,BASEDATOS!$B:$B,BASEDATOS!R:R,0,0,1)</f>
        <v>0.75</v>
      </c>
      <c r="L654" s="51">
        <f t="shared" si="735"/>
        <v>0.5</v>
      </c>
      <c r="M654" s="52" t="str">
        <f t="shared" si="736"/>
        <v>1:00</v>
      </c>
      <c r="N654" s="51">
        <f t="shared" si="737"/>
        <v>0.45833333333333331</v>
      </c>
      <c r="O654" s="53" t="str">
        <f t="shared" ref="O654" si="794">+O658</f>
        <v>6-0-1</v>
      </c>
      <c r="P654" s="54">
        <f>+IF(AND(Y654="Domingo",U654=7),_xlfn.XLOOKUP(O654,'Horarios y Sistemas'!C:C,'Horarios y Sistemas'!H:H,0,0,1),0)</f>
        <v>0</v>
      </c>
      <c r="Q654" s="54">
        <f>IF(U654=U655,0,IF(AVERAGEIF(W:W,W654,U:U)=U654,0,_xlfn.XLOOKUP(O654,'Horarios y Sistemas'!C:C,'Horarios y Sistemas'!H:H,0,0,1)-P654))/7*U654</f>
        <v>0</v>
      </c>
      <c r="R654" s="54">
        <f t="shared" si="739"/>
        <v>0</v>
      </c>
      <c r="S654" s="55" t="str">
        <f t="shared" si="740"/>
        <v>SEPTIEMBRE</v>
      </c>
      <c r="T654" s="55" t="str">
        <f t="shared" si="741"/>
        <v>Sem40</v>
      </c>
      <c r="U654" s="56">
        <f t="shared" si="788"/>
        <v>7</v>
      </c>
      <c r="V654" s="59">
        <v>46295</v>
      </c>
      <c r="W654" s="56">
        <f t="shared" si="742"/>
        <v>40</v>
      </c>
      <c r="X654" s="56">
        <f t="shared" si="743"/>
        <v>30</v>
      </c>
      <c r="Y654" s="56" t="s">
        <v>30</v>
      </c>
      <c r="Z654" s="56">
        <v>3</v>
      </c>
      <c r="AA654" s="58">
        <f t="shared" si="766"/>
        <v>1</v>
      </c>
      <c r="AB654" s="58">
        <f t="shared" si="766"/>
        <v>0</v>
      </c>
      <c r="AC654" s="58">
        <f t="shared" si="766"/>
        <v>0</v>
      </c>
      <c r="AD654" s="58">
        <f t="shared" si="766"/>
        <v>0</v>
      </c>
      <c r="AE654" s="58">
        <f t="shared" si="766"/>
        <v>0</v>
      </c>
    </row>
    <row r="655" spans="2:34">
      <c r="B655" t="str">
        <f t="shared" ref="B655:B718" si="795">+T655&amp;W655&amp;H655</f>
        <v>Sem4040JEREMY ELIAS JUAREZ GUZMAN</v>
      </c>
      <c r="C655" t="str">
        <f t="shared" ref="C655:C718" si="796">+S655&amp;T655</f>
        <v>OCTUBRESem40</v>
      </c>
      <c r="D655" t="str">
        <f t="shared" ref="D655:D718" si="797">+S655&amp;T655&amp;H655</f>
        <v>OCTUBRESem40JEREMY ELIAS JUAREZ GUZMAN</v>
      </c>
      <c r="E655" t="str">
        <f t="shared" ref="E655:E718" si="798">+S655&amp;T655&amp;W655&amp;H655</f>
        <v>OCTUBRESem4040JEREMY ELIAS JUAREZ GUZMAN</v>
      </c>
      <c r="F655" t="str">
        <f t="shared" ref="F655:F718" si="799">+H655&amp;V655</f>
        <v>JEREMY ELIAS JUAREZ GUZMAN46296</v>
      </c>
      <c r="H655" s="49" t="s">
        <v>225</v>
      </c>
      <c r="I655" s="50" t="str">
        <f>+_xlfn.XLOOKUP($H655&amp;$V655,BASEDATOS!$B:$B,BASEDATOS!F:F,0,0,1)</f>
        <v>DIA</v>
      </c>
      <c r="J655" s="51">
        <f>+_xlfn.XLOOKUP($H655&amp;$V655,BASEDATOS!$B:$B,BASEDATOS!Q:Q,0,0,1)</f>
        <v>0.25</v>
      </c>
      <c r="K655" s="51">
        <f>+_xlfn.XLOOKUP($H655&amp;$V655,BASEDATOS!$B:$B,BASEDATOS!R:R,0,0,1)</f>
        <v>0.75</v>
      </c>
      <c r="L655" s="51">
        <f t="shared" ref="L655:L718" si="800">+IF(OR(J655="Descanso",J655="AUSENTE",J655="ASUETO"),0,MOD(K655-J655,1))</f>
        <v>0.5</v>
      </c>
      <c r="M655" s="52" t="str">
        <f t="shared" ref="M655:M718" si="801">+IF(OR(I655="DIA",I655="NOCHE",I655="MIXTO"),"1:00",0)</f>
        <v>1:00</v>
      </c>
      <c r="N655" s="51">
        <f t="shared" ref="N655:N718" si="802">+IF(I655="ASUETO-D",8/24,IF(I655="ASUETO-N",6/24,MOD(L655-M655,1)))</f>
        <v>0.45833333333333331</v>
      </c>
      <c r="O655" s="53" t="str">
        <f t="shared" ref="O655" si="803">+O658</f>
        <v>6-0-1</v>
      </c>
      <c r="P655" s="54">
        <f>+IF(AND(Y655="Domingo",U655=7),_xlfn.XLOOKUP(O655,'Horarios y Sistemas'!C:C,'Horarios y Sistemas'!H:H,0,0,1),0)</f>
        <v>0</v>
      </c>
      <c r="Q655" s="54">
        <f>IF(U655=U656,0,IF(AVERAGEIF(W:W,W655,U:U)=U655,0,_xlfn.XLOOKUP(O655,'Horarios y Sistemas'!C:C,'Horarios y Sistemas'!H:H,0,0,1)-P655))/7*U655</f>
        <v>0</v>
      </c>
      <c r="R655" s="54">
        <f t="shared" ref="R655:R718" si="804">+IF(Y655="Domingo",SUM(P649:Q655),0)</f>
        <v>0</v>
      </c>
      <c r="S655" s="55" t="str">
        <f t="shared" ref="S655:S718" si="805">+UPPER(TEXT(V655,"MMMMMMMM"))</f>
        <v>OCTUBRE</v>
      </c>
      <c r="T655" s="55" t="str">
        <f t="shared" ref="T655:T718" si="806">+"Sem"&amp;W655</f>
        <v>Sem40</v>
      </c>
      <c r="U655" s="56">
        <f t="shared" si="788"/>
        <v>7</v>
      </c>
      <c r="V655" s="59">
        <v>46296</v>
      </c>
      <c r="W655" s="56">
        <f t="shared" ref="W655:W718" si="807">+_xlfn.ISOWEEKNUM(V655)</f>
        <v>40</v>
      </c>
      <c r="X655" s="56">
        <f t="shared" ref="X655:X718" si="808">+DAY(V655)</f>
        <v>1</v>
      </c>
      <c r="Y655" s="56" t="s">
        <v>31</v>
      </c>
      <c r="Z655" s="56">
        <v>4</v>
      </c>
      <c r="AA655" s="58">
        <f t="shared" si="766"/>
        <v>1</v>
      </c>
      <c r="AB655" s="58">
        <f t="shared" si="766"/>
        <v>0</v>
      </c>
      <c r="AC655" s="58">
        <f t="shared" si="766"/>
        <v>0</v>
      </c>
      <c r="AD655" s="58">
        <f t="shared" si="766"/>
        <v>0</v>
      </c>
      <c r="AE655" s="58">
        <f t="shared" si="766"/>
        <v>0</v>
      </c>
    </row>
    <row r="656" spans="2:34">
      <c r="B656" t="str">
        <f t="shared" si="795"/>
        <v>Sem4040JEREMY ELIAS JUAREZ GUZMAN</v>
      </c>
      <c r="C656" t="str">
        <f t="shared" si="796"/>
        <v>OCTUBRESem40</v>
      </c>
      <c r="D656" t="str">
        <f t="shared" si="797"/>
        <v>OCTUBRESem40JEREMY ELIAS JUAREZ GUZMAN</v>
      </c>
      <c r="E656" t="str">
        <f t="shared" si="798"/>
        <v>OCTUBRESem4040JEREMY ELIAS JUAREZ GUZMAN</v>
      </c>
      <c r="F656" t="str">
        <f t="shared" si="799"/>
        <v>JEREMY ELIAS JUAREZ GUZMAN46297</v>
      </c>
      <c r="H656" s="49" t="s">
        <v>225</v>
      </c>
      <c r="I656" s="50" t="str">
        <f>+_xlfn.XLOOKUP($H656&amp;$V656,BASEDATOS!$B:$B,BASEDATOS!F:F,0,0,1)</f>
        <v>DIA</v>
      </c>
      <c r="J656" s="51">
        <f>+_xlfn.XLOOKUP($H656&amp;$V656,BASEDATOS!$B:$B,BASEDATOS!Q:Q,0,0,1)</f>
        <v>0.25</v>
      </c>
      <c r="K656" s="51">
        <f>+_xlfn.XLOOKUP($H656&amp;$V656,BASEDATOS!$B:$B,BASEDATOS!R:R,0,0,1)</f>
        <v>0.75</v>
      </c>
      <c r="L656" s="51">
        <f t="shared" si="800"/>
        <v>0.5</v>
      </c>
      <c r="M656" s="52" t="str">
        <f t="shared" si="801"/>
        <v>1:00</v>
      </c>
      <c r="N656" s="51">
        <f t="shared" si="802"/>
        <v>0.45833333333333331</v>
      </c>
      <c r="O656" s="53" t="str">
        <f t="shared" ref="O656" si="809">+O658</f>
        <v>6-0-1</v>
      </c>
      <c r="P656" s="54">
        <f>+IF(AND(Y656="Domingo",U656=7),_xlfn.XLOOKUP(O656,'Horarios y Sistemas'!C:C,'Horarios y Sistemas'!H:H,0,0,1),0)</f>
        <v>0</v>
      </c>
      <c r="Q656" s="54">
        <f>IF(U656=U657,0,IF(AVERAGEIF(W:W,W656,U:U)=U656,0,_xlfn.XLOOKUP(O656,'Horarios y Sistemas'!C:C,'Horarios y Sistemas'!H:H,0,0,1)-P656))/7*U656</f>
        <v>0</v>
      </c>
      <c r="R656" s="54">
        <f t="shared" si="804"/>
        <v>0</v>
      </c>
      <c r="S656" s="55" t="str">
        <f t="shared" si="805"/>
        <v>OCTUBRE</v>
      </c>
      <c r="T656" s="55" t="str">
        <f t="shared" si="806"/>
        <v>Sem40</v>
      </c>
      <c r="U656" s="56">
        <f t="shared" si="788"/>
        <v>7</v>
      </c>
      <c r="V656" s="59">
        <v>46297</v>
      </c>
      <c r="W656" s="56">
        <f t="shared" si="807"/>
        <v>40</v>
      </c>
      <c r="X656" s="56">
        <f t="shared" si="808"/>
        <v>2</v>
      </c>
      <c r="Y656" s="56" t="s">
        <v>32</v>
      </c>
      <c r="Z656" s="56">
        <v>5</v>
      </c>
      <c r="AA656" s="58">
        <f t="shared" si="766"/>
        <v>1</v>
      </c>
      <c r="AB656" s="58">
        <f t="shared" si="766"/>
        <v>0</v>
      </c>
      <c r="AC656" s="58">
        <f t="shared" si="766"/>
        <v>0</v>
      </c>
      <c r="AD656" s="58">
        <f t="shared" si="766"/>
        <v>0</v>
      </c>
      <c r="AE656" s="58">
        <f t="shared" si="766"/>
        <v>0</v>
      </c>
    </row>
    <row r="657" spans="2:34">
      <c r="B657" t="str">
        <f t="shared" si="795"/>
        <v>Sem4040JEREMY ELIAS JUAREZ GUZMAN</v>
      </c>
      <c r="C657" t="str">
        <f t="shared" si="796"/>
        <v>OCTUBRESem40</v>
      </c>
      <c r="D657" t="str">
        <f t="shared" si="797"/>
        <v>OCTUBRESem40JEREMY ELIAS JUAREZ GUZMAN</v>
      </c>
      <c r="E657" t="str">
        <f t="shared" si="798"/>
        <v>OCTUBRESem4040JEREMY ELIAS JUAREZ GUZMAN</v>
      </c>
      <c r="F657" t="str">
        <f t="shared" si="799"/>
        <v>JEREMY ELIAS JUAREZ GUZMAN46298</v>
      </c>
      <c r="H657" s="49" t="s">
        <v>225</v>
      </c>
      <c r="I657" s="50" t="str">
        <f>+_xlfn.XLOOKUP($H657&amp;$V657,BASEDATOS!$B:$B,BASEDATOS!F:F,0,0,1)</f>
        <v>DIA</v>
      </c>
      <c r="J657" s="51">
        <f>+_xlfn.XLOOKUP($H657&amp;$V657,BASEDATOS!$B:$B,BASEDATOS!Q:Q,0,0,1)</f>
        <v>0.25</v>
      </c>
      <c r="K657" s="51">
        <f>+_xlfn.XLOOKUP($H657&amp;$V657,BASEDATOS!$B:$B,BASEDATOS!R:R,0,0,1)</f>
        <v>0.58333333333333304</v>
      </c>
      <c r="L657" s="51">
        <f t="shared" si="800"/>
        <v>0.33333333333333304</v>
      </c>
      <c r="M657" s="52" t="str">
        <f t="shared" si="801"/>
        <v>1:00</v>
      </c>
      <c r="N657" s="51">
        <f t="shared" si="802"/>
        <v>0.29166666666666635</v>
      </c>
      <c r="O657" s="53" t="str">
        <f t="shared" ref="O657" si="810">+O658</f>
        <v>6-0-1</v>
      </c>
      <c r="P657" s="54">
        <f>+IF(AND(Y657="Domingo",U657=7),_xlfn.XLOOKUP(O657,'Horarios y Sistemas'!C:C,'Horarios y Sistemas'!H:H,0,0,1),0)</f>
        <v>0</v>
      </c>
      <c r="Q657" s="54">
        <f>IF(U657=U658,0,IF(AVERAGEIF(W:W,W657,U:U)=U657,0,_xlfn.XLOOKUP(O657,'Horarios y Sistemas'!C:C,'Horarios y Sistemas'!H:H,0,0,1)-P657))/7*U657</f>
        <v>0</v>
      </c>
      <c r="R657" s="54">
        <f t="shared" si="804"/>
        <v>0</v>
      </c>
      <c r="S657" s="55" t="str">
        <f t="shared" si="805"/>
        <v>OCTUBRE</v>
      </c>
      <c r="T657" s="55" t="str">
        <f t="shared" si="806"/>
        <v>Sem40</v>
      </c>
      <c r="U657" s="56">
        <f t="shared" si="788"/>
        <v>7</v>
      </c>
      <c r="V657" s="59">
        <v>46298</v>
      </c>
      <c r="W657" s="56">
        <f t="shared" si="807"/>
        <v>40</v>
      </c>
      <c r="X657" s="56">
        <f t="shared" si="808"/>
        <v>3</v>
      </c>
      <c r="Y657" s="56" t="s">
        <v>33</v>
      </c>
      <c r="Z657" s="56">
        <v>6</v>
      </c>
      <c r="AA657" s="58">
        <f t="shared" si="766"/>
        <v>1</v>
      </c>
      <c r="AB657" s="58">
        <f t="shared" si="766"/>
        <v>0</v>
      </c>
      <c r="AC657" s="58">
        <f t="shared" si="766"/>
        <v>0</v>
      </c>
      <c r="AD657" s="58">
        <f t="shared" si="766"/>
        <v>0</v>
      </c>
      <c r="AE657" s="58">
        <f t="shared" si="766"/>
        <v>0</v>
      </c>
    </row>
    <row r="658" spans="2:34" s="60" customFormat="1">
      <c r="B658" s="60" t="str">
        <f t="shared" si="795"/>
        <v>Sem4040JEREMY ELIAS JUAREZ GUZMAN</v>
      </c>
      <c r="C658" s="60" t="str">
        <f t="shared" si="796"/>
        <v>OCTUBRESem40</v>
      </c>
      <c r="D658" s="60" t="str">
        <f t="shared" si="797"/>
        <v>OCTUBRESem40JEREMY ELIAS JUAREZ GUZMAN</v>
      </c>
      <c r="E658" s="60" t="str">
        <f t="shared" si="798"/>
        <v>OCTUBRESem4040JEREMY ELIAS JUAREZ GUZMAN</v>
      </c>
      <c r="F658" s="60" t="str">
        <f t="shared" si="799"/>
        <v>JEREMY ELIAS JUAREZ GUZMAN46299</v>
      </c>
      <c r="H658" s="61" t="s">
        <v>225</v>
      </c>
      <c r="I658" s="62" t="str">
        <f>+_xlfn.XLOOKUP($H658&amp;$V658,BASEDATOS!$B:$B,BASEDATOS!F:F,0,0,1)</f>
        <v>DESCANSO</v>
      </c>
      <c r="J658" s="63">
        <f>+_xlfn.XLOOKUP($H658&amp;$V658,BASEDATOS!$B:$B,BASEDATOS!Q:Q,0,0,1)</f>
        <v>0</v>
      </c>
      <c r="K658" s="63">
        <f>+_xlfn.XLOOKUP($H658&amp;$V658,BASEDATOS!$B:$B,BASEDATOS!R:R,0,0,1)</f>
        <v>0</v>
      </c>
      <c r="L658" s="63">
        <f t="shared" si="800"/>
        <v>0</v>
      </c>
      <c r="M658" s="64">
        <f t="shared" si="801"/>
        <v>0</v>
      </c>
      <c r="N658" s="63">
        <f t="shared" si="802"/>
        <v>0</v>
      </c>
      <c r="O658" s="65" t="str">
        <f t="shared" ref="O658" si="811">+IF(Y658="Domingo",SUM(AA652:AA658)&amp;"-"&amp;SUM(AB652:AB658)&amp;"-"&amp;SUM(AC652:AE658),"")</f>
        <v>6-0-1</v>
      </c>
      <c r="P658" s="66">
        <f>+IF(AND(Y658="Domingo",U658=7),_xlfn.XLOOKUP(O658,'Horarios y Sistemas'!C:C,'Horarios y Sistemas'!H:H,0,0,1),0)</f>
        <v>44</v>
      </c>
      <c r="Q658" s="66">
        <f>IF(U658=U659,0,IF(AVERAGEIF(W:W,W658,U:U)=U658,0,_xlfn.XLOOKUP(O658,'Horarios y Sistemas'!C:C,'Horarios y Sistemas'!H:H,0,0,1)-P658))/7*U658</f>
        <v>0</v>
      </c>
      <c r="R658" s="66">
        <f t="shared" si="804"/>
        <v>44</v>
      </c>
      <c r="S658" s="67" t="str">
        <f t="shared" si="805"/>
        <v>OCTUBRE</v>
      </c>
      <c r="T658" s="55" t="str">
        <f t="shared" si="806"/>
        <v>Sem40</v>
      </c>
      <c r="U658" s="68">
        <f t="shared" si="788"/>
        <v>7</v>
      </c>
      <c r="V658" s="69">
        <v>46299</v>
      </c>
      <c r="W658" s="68">
        <f t="shared" si="807"/>
        <v>40</v>
      </c>
      <c r="X658" s="68">
        <f t="shared" si="808"/>
        <v>4</v>
      </c>
      <c r="Y658" s="68" t="s">
        <v>34</v>
      </c>
      <c r="Z658" s="68">
        <v>7</v>
      </c>
      <c r="AA658" s="70">
        <f t="shared" si="766"/>
        <v>0</v>
      </c>
      <c r="AB658" s="70">
        <f t="shared" si="766"/>
        <v>0</v>
      </c>
      <c r="AC658" s="70">
        <f t="shared" si="766"/>
        <v>1</v>
      </c>
      <c r="AD658" s="70">
        <f t="shared" si="766"/>
        <v>0</v>
      </c>
      <c r="AE658" s="70">
        <f t="shared" si="766"/>
        <v>0</v>
      </c>
      <c r="AF658" s="71"/>
      <c r="AG658" s="71"/>
      <c r="AH658" s="71"/>
    </row>
    <row r="659" spans="2:34">
      <c r="B659" t="str">
        <f t="shared" si="795"/>
        <v>Sem3838JOSÈ BRAULIO NAVARRO ARCHILA</v>
      </c>
      <c r="C659" t="str">
        <f t="shared" si="796"/>
        <v>SEPTIEMBRESem38</v>
      </c>
      <c r="D659" t="str">
        <f t="shared" si="797"/>
        <v>SEPTIEMBRESem38JOSÈ BRAULIO NAVARRO ARCHILA</v>
      </c>
      <c r="E659" t="str">
        <f t="shared" si="798"/>
        <v>SEPTIEMBRESem3838JOSÈ BRAULIO NAVARRO ARCHILA</v>
      </c>
      <c r="F659" t="str">
        <f t="shared" si="799"/>
        <v>JOSÈ BRAULIO NAVARRO ARCHILA46279</v>
      </c>
      <c r="H659" s="49" t="s">
        <v>264</v>
      </c>
      <c r="I659" s="50" t="str">
        <f>+_xlfn.XLOOKUP($H659&amp;$V659,BASEDATOS!$B:$B,BASEDATOS!F:F,0,0,1)</f>
        <v>DESCANSO</v>
      </c>
      <c r="J659" s="51">
        <f>+_xlfn.XLOOKUP($H659&amp;$V659,BASEDATOS!$B:$B,BASEDATOS!Q:Q,0,0,1)</f>
        <v>0</v>
      </c>
      <c r="K659" s="51">
        <f>+_xlfn.XLOOKUP($H659&amp;$V659,BASEDATOS!$B:$B,BASEDATOS!R:R,0,0,1)</f>
        <v>0</v>
      </c>
      <c r="L659" s="51">
        <f t="shared" si="800"/>
        <v>0</v>
      </c>
      <c r="M659" s="52">
        <f t="shared" si="801"/>
        <v>0</v>
      </c>
      <c r="N659" s="51">
        <f t="shared" si="802"/>
        <v>0</v>
      </c>
      <c r="O659" s="53" t="str">
        <f t="shared" ref="O659" si="812">+O665</f>
        <v>5-0-2</v>
      </c>
      <c r="P659" s="54">
        <f>+IF(AND(Y659="Domingo",U659=7),_xlfn.XLOOKUP(O659,'Horarios y Sistemas'!C:C,'Horarios y Sistemas'!H:H,0,0,1),0)</f>
        <v>0</v>
      </c>
      <c r="Q659" s="54">
        <f>IF(U659=U660,0,IF(AVERAGEIF(W:W,W659,U:U)=U659,0,_xlfn.XLOOKUP(O659,'Horarios y Sistemas'!C:C,'Horarios y Sistemas'!H:H,0,0,1)-P659))/7*U659</f>
        <v>0</v>
      </c>
      <c r="R659" s="54">
        <f t="shared" si="804"/>
        <v>0</v>
      </c>
      <c r="S659" s="55" t="str">
        <f t="shared" si="805"/>
        <v>SEPTIEMBRE</v>
      </c>
      <c r="T659" s="55" t="str">
        <f t="shared" si="806"/>
        <v>Sem38</v>
      </c>
      <c r="U659" s="56">
        <f t="shared" si="788"/>
        <v>7</v>
      </c>
      <c r="V659" s="59">
        <v>46279</v>
      </c>
      <c r="W659" s="56">
        <f t="shared" si="807"/>
        <v>38</v>
      </c>
      <c r="X659" s="56">
        <f t="shared" si="808"/>
        <v>14</v>
      </c>
      <c r="Y659" s="56" t="s">
        <v>28</v>
      </c>
      <c r="Z659" s="56">
        <v>1</v>
      </c>
      <c r="AA659" s="58">
        <f t="shared" si="766"/>
        <v>0</v>
      </c>
      <c r="AB659" s="58">
        <f t="shared" si="766"/>
        <v>0</v>
      </c>
      <c r="AC659" s="58">
        <f t="shared" si="766"/>
        <v>1</v>
      </c>
      <c r="AD659" s="58">
        <f t="shared" si="766"/>
        <v>0</v>
      </c>
      <c r="AE659" s="58">
        <f t="shared" si="766"/>
        <v>0</v>
      </c>
    </row>
    <row r="660" spans="2:34">
      <c r="B660" t="str">
        <f t="shared" si="795"/>
        <v>Sem3838JOSÈ BRAULIO NAVARRO ARCHILA</v>
      </c>
      <c r="C660" t="str">
        <f t="shared" si="796"/>
        <v>SEPTIEMBRESem38</v>
      </c>
      <c r="D660" t="str">
        <f t="shared" si="797"/>
        <v>SEPTIEMBRESem38JOSÈ BRAULIO NAVARRO ARCHILA</v>
      </c>
      <c r="E660" t="str">
        <f t="shared" si="798"/>
        <v>SEPTIEMBRESem3838JOSÈ BRAULIO NAVARRO ARCHILA</v>
      </c>
      <c r="F660" t="str">
        <f t="shared" si="799"/>
        <v>JOSÈ BRAULIO NAVARRO ARCHILA46280</v>
      </c>
      <c r="H660" s="49" t="s">
        <v>264</v>
      </c>
      <c r="I660" s="50" t="str">
        <f>+_xlfn.XLOOKUP($H660&amp;$V660,BASEDATOS!$B:$B,BASEDATOS!F:F,0,0,1)</f>
        <v>DIA</v>
      </c>
      <c r="J660" s="51">
        <f>+_xlfn.XLOOKUP($H660&amp;$V660,BASEDATOS!$B:$B,BASEDATOS!Q:Q,0,0,1)</f>
        <v>0.33333333333333298</v>
      </c>
      <c r="K660" s="51">
        <f>+_xlfn.XLOOKUP($H660&amp;$V660,BASEDATOS!$B:$B,BASEDATOS!R:R,0,0,1)</f>
        <v>0.70833333333333304</v>
      </c>
      <c r="L660" s="51">
        <f t="shared" si="800"/>
        <v>0.37500000000000006</v>
      </c>
      <c r="M660" s="52" t="str">
        <f t="shared" si="801"/>
        <v>1:00</v>
      </c>
      <c r="N660" s="51">
        <f t="shared" si="802"/>
        <v>0.33333333333333337</v>
      </c>
      <c r="O660" s="53" t="str">
        <f t="shared" ref="O660" si="813">+O665</f>
        <v>5-0-2</v>
      </c>
      <c r="P660" s="54">
        <f>+IF(AND(Y660="Domingo",U660=7),_xlfn.XLOOKUP(O660,'Horarios y Sistemas'!C:C,'Horarios y Sistemas'!H:H,0,0,1),0)</f>
        <v>0</v>
      </c>
      <c r="Q660" s="54">
        <f>IF(U660=U661,0,IF(AVERAGEIF(W:W,W660,U:U)=U660,0,_xlfn.XLOOKUP(O660,'Horarios y Sistemas'!C:C,'Horarios y Sistemas'!H:H,0,0,1)-P660))/7*U660</f>
        <v>0</v>
      </c>
      <c r="R660" s="54">
        <f t="shared" si="804"/>
        <v>0</v>
      </c>
      <c r="S660" s="55" t="str">
        <f t="shared" si="805"/>
        <v>SEPTIEMBRE</v>
      </c>
      <c r="T660" s="55" t="str">
        <f t="shared" si="806"/>
        <v>Sem38</v>
      </c>
      <c r="U660" s="56">
        <f t="shared" si="788"/>
        <v>7</v>
      </c>
      <c r="V660" s="59">
        <v>46280</v>
      </c>
      <c r="W660" s="56">
        <f t="shared" si="807"/>
        <v>38</v>
      </c>
      <c r="X660" s="56">
        <f t="shared" si="808"/>
        <v>15</v>
      </c>
      <c r="Y660" s="56" t="s">
        <v>29</v>
      </c>
      <c r="Z660" s="56">
        <v>2</v>
      </c>
      <c r="AA660" s="58">
        <f t="shared" si="766"/>
        <v>1</v>
      </c>
      <c r="AB660" s="58">
        <f t="shared" si="766"/>
        <v>0</v>
      </c>
      <c r="AC660" s="58">
        <f t="shared" si="766"/>
        <v>0</v>
      </c>
      <c r="AD660" s="58">
        <f t="shared" si="766"/>
        <v>0</v>
      </c>
      <c r="AE660" s="58">
        <f t="shared" si="766"/>
        <v>0</v>
      </c>
    </row>
    <row r="661" spans="2:34">
      <c r="B661" t="str">
        <f t="shared" si="795"/>
        <v>Sem3838JOSÈ BRAULIO NAVARRO ARCHILA</v>
      </c>
      <c r="C661" t="str">
        <f t="shared" si="796"/>
        <v>SEPTIEMBRESem38</v>
      </c>
      <c r="D661" t="str">
        <f t="shared" si="797"/>
        <v>SEPTIEMBRESem38JOSÈ BRAULIO NAVARRO ARCHILA</v>
      </c>
      <c r="E661" t="str">
        <f t="shared" si="798"/>
        <v>SEPTIEMBRESem3838JOSÈ BRAULIO NAVARRO ARCHILA</v>
      </c>
      <c r="F661" t="str">
        <f t="shared" si="799"/>
        <v>JOSÈ BRAULIO NAVARRO ARCHILA46281</v>
      </c>
      <c r="H661" s="49" t="s">
        <v>264</v>
      </c>
      <c r="I661" s="50" t="str">
        <f>+_xlfn.XLOOKUP($H661&amp;$V661,BASEDATOS!$B:$B,BASEDATOS!F:F,0,0,1)</f>
        <v>DIA</v>
      </c>
      <c r="J661" s="51">
        <f>+_xlfn.XLOOKUP($H661&amp;$V661,BASEDATOS!$B:$B,BASEDATOS!Q:Q,0,0,1)</f>
        <v>0.29166666666666702</v>
      </c>
      <c r="K661" s="51">
        <f>+_xlfn.XLOOKUP($H661&amp;$V661,BASEDATOS!$B:$B,BASEDATOS!R:R,0,0,1)</f>
        <v>0.75</v>
      </c>
      <c r="L661" s="51">
        <f t="shared" si="800"/>
        <v>0.45833333333333298</v>
      </c>
      <c r="M661" s="52" t="str">
        <f t="shared" si="801"/>
        <v>1:00</v>
      </c>
      <c r="N661" s="51">
        <f t="shared" si="802"/>
        <v>0.4166666666666663</v>
      </c>
      <c r="O661" s="53" t="str">
        <f t="shared" ref="O661" si="814">+O665</f>
        <v>5-0-2</v>
      </c>
      <c r="P661" s="54">
        <f>+IF(AND(Y661="Domingo",U661=7),_xlfn.XLOOKUP(O661,'Horarios y Sistemas'!C:C,'Horarios y Sistemas'!H:H,0,0,1),0)</f>
        <v>0</v>
      </c>
      <c r="Q661" s="54">
        <f>IF(U661=U662,0,IF(AVERAGEIF(W:W,W661,U:U)=U661,0,_xlfn.XLOOKUP(O661,'Horarios y Sistemas'!C:C,'Horarios y Sistemas'!H:H,0,0,1)-P661))/7*U661</f>
        <v>0</v>
      </c>
      <c r="R661" s="54">
        <f t="shared" si="804"/>
        <v>0</v>
      </c>
      <c r="S661" s="55" t="str">
        <f t="shared" si="805"/>
        <v>SEPTIEMBRE</v>
      </c>
      <c r="T661" s="55" t="str">
        <f t="shared" si="806"/>
        <v>Sem38</v>
      </c>
      <c r="U661" s="56">
        <f t="shared" si="788"/>
        <v>7</v>
      </c>
      <c r="V661" s="59">
        <v>46281</v>
      </c>
      <c r="W661" s="56">
        <f t="shared" si="807"/>
        <v>38</v>
      </c>
      <c r="X661" s="56">
        <f t="shared" si="808"/>
        <v>16</v>
      </c>
      <c r="Y661" s="56" t="s">
        <v>30</v>
      </c>
      <c r="Z661" s="56">
        <v>3</v>
      </c>
      <c r="AA661" s="58">
        <f t="shared" si="766"/>
        <v>1</v>
      </c>
      <c r="AB661" s="58">
        <f t="shared" si="766"/>
        <v>0</v>
      </c>
      <c r="AC661" s="58">
        <f t="shared" si="766"/>
        <v>0</v>
      </c>
      <c r="AD661" s="58">
        <f t="shared" si="766"/>
        <v>0</v>
      </c>
      <c r="AE661" s="58">
        <f t="shared" si="766"/>
        <v>0</v>
      </c>
    </row>
    <row r="662" spans="2:34">
      <c r="B662" t="str">
        <f t="shared" si="795"/>
        <v>Sem3838JOSÈ BRAULIO NAVARRO ARCHILA</v>
      </c>
      <c r="C662" t="str">
        <f t="shared" si="796"/>
        <v>SEPTIEMBRESem38</v>
      </c>
      <c r="D662" t="str">
        <f t="shared" si="797"/>
        <v>SEPTIEMBRESem38JOSÈ BRAULIO NAVARRO ARCHILA</v>
      </c>
      <c r="E662" t="str">
        <f t="shared" si="798"/>
        <v>SEPTIEMBRESem3838JOSÈ BRAULIO NAVARRO ARCHILA</v>
      </c>
      <c r="F662" t="str">
        <f t="shared" si="799"/>
        <v>JOSÈ BRAULIO NAVARRO ARCHILA46282</v>
      </c>
      <c r="H662" s="49" t="s">
        <v>264</v>
      </c>
      <c r="I662" s="50" t="str">
        <f>+_xlfn.XLOOKUP($H662&amp;$V662,BASEDATOS!$B:$B,BASEDATOS!F:F,0,0,1)</f>
        <v>DIA</v>
      </c>
      <c r="J662" s="51">
        <f>+_xlfn.XLOOKUP($H662&amp;$V662,BASEDATOS!$B:$B,BASEDATOS!Q:Q,0,0,1)</f>
        <v>0.29166666666666702</v>
      </c>
      <c r="K662" s="51">
        <f>+_xlfn.XLOOKUP($H662&amp;$V662,BASEDATOS!$B:$B,BASEDATOS!R:R,0,0,1)</f>
        <v>0.75</v>
      </c>
      <c r="L662" s="51">
        <f t="shared" si="800"/>
        <v>0.45833333333333298</v>
      </c>
      <c r="M662" s="52" t="str">
        <f t="shared" si="801"/>
        <v>1:00</v>
      </c>
      <c r="N662" s="51">
        <f t="shared" si="802"/>
        <v>0.4166666666666663</v>
      </c>
      <c r="O662" s="53" t="str">
        <f t="shared" ref="O662" si="815">+O665</f>
        <v>5-0-2</v>
      </c>
      <c r="P662" s="54">
        <f>+IF(AND(Y662="Domingo",U662=7),_xlfn.XLOOKUP(O662,'Horarios y Sistemas'!C:C,'Horarios y Sistemas'!H:H,0,0,1),0)</f>
        <v>0</v>
      </c>
      <c r="Q662" s="54">
        <f>IF(U662=U663,0,IF(AVERAGEIF(W:W,W662,U:U)=U662,0,_xlfn.XLOOKUP(O662,'Horarios y Sistemas'!C:C,'Horarios y Sistemas'!H:H,0,0,1)-P662))/7*U662</f>
        <v>0</v>
      </c>
      <c r="R662" s="54">
        <f t="shared" si="804"/>
        <v>0</v>
      </c>
      <c r="S662" s="55" t="str">
        <f t="shared" si="805"/>
        <v>SEPTIEMBRE</v>
      </c>
      <c r="T662" s="55" t="str">
        <f t="shared" si="806"/>
        <v>Sem38</v>
      </c>
      <c r="U662" s="56">
        <f t="shared" si="788"/>
        <v>7</v>
      </c>
      <c r="V662" s="59">
        <v>46282</v>
      </c>
      <c r="W662" s="56">
        <f t="shared" si="807"/>
        <v>38</v>
      </c>
      <c r="X662" s="56">
        <f t="shared" si="808"/>
        <v>17</v>
      </c>
      <c r="Y662" s="56" t="s">
        <v>31</v>
      </c>
      <c r="Z662" s="56">
        <v>4</v>
      </c>
      <c r="AA662" s="58">
        <f t="shared" si="766"/>
        <v>1</v>
      </c>
      <c r="AB662" s="58">
        <f t="shared" si="766"/>
        <v>0</v>
      </c>
      <c r="AC662" s="58">
        <f t="shared" si="766"/>
        <v>0</v>
      </c>
      <c r="AD662" s="58">
        <f t="shared" si="766"/>
        <v>0</v>
      </c>
      <c r="AE662" s="58">
        <f t="shared" si="766"/>
        <v>0</v>
      </c>
    </row>
    <row r="663" spans="2:34">
      <c r="B663" t="str">
        <f t="shared" si="795"/>
        <v>Sem3838JOSÈ BRAULIO NAVARRO ARCHILA</v>
      </c>
      <c r="C663" t="str">
        <f t="shared" si="796"/>
        <v>SEPTIEMBRESem38</v>
      </c>
      <c r="D663" t="str">
        <f t="shared" si="797"/>
        <v>SEPTIEMBRESem38JOSÈ BRAULIO NAVARRO ARCHILA</v>
      </c>
      <c r="E663" t="str">
        <f t="shared" si="798"/>
        <v>SEPTIEMBRESem3838JOSÈ BRAULIO NAVARRO ARCHILA</v>
      </c>
      <c r="F663" t="str">
        <f t="shared" si="799"/>
        <v>JOSÈ BRAULIO NAVARRO ARCHILA46283</v>
      </c>
      <c r="H663" s="49" t="s">
        <v>264</v>
      </c>
      <c r="I663" s="50" t="str">
        <f>+_xlfn.XLOOKUP($H663&amp;$V663,BASEDATOS!$B:$B,BASEDATOS!F:F,0,0,1)</f>
        <v>DIA</v>
      </c>
      <c r="J663" s="51">
        <f>+_xlfn.XLOOKUP($H663&amp;$V663,BASEDATOS!$B:$B,BASEDATOS!Q:Q,0,0,1)</f>
        <v>0.29166666666666702</v>
      </c>
      <c r="K663" s="51">
        <f>+_xlfn.XLOOKUP($H663&amp;$V663,BASEDATOS!$B:$B,BASEDATOS!R:R,0,0,1)</f>
        <v>0.75</v>
      </c>
      <c r="L663" s="51">
        <f t="shared" si="800"/>
        <v>0.45833333333333298</v>
      </c>
      <c r="M663" s="52" t="str">
        <f t="shared" si="801"/>
        <v>1:00</v>
      </c>
      <c r="N663" s="51">
        <f t="shared" si="802"/>
        <v>0.4166666666666663</v>
      </c>
      <c r="O663" s="53" t="str">
        <f t="shared" ref="O663" si="816">+O665</f>
        <v>5-0-2</v>
      </c>
      <c r="P663" s="54">
        <f>+IF(AND(Y663="Domingo",U663=7),_xlfn.XLOOKUP(O663,'Horarios y Sistemas'!C:C,'Horarios y Sistemas'!H:H,0,0,1),0)</f>
        <v>0</v>
      </c>
      <c r="Q663" s="54">
        <f>IF(U663=U664,0,IF(AVERAGEIF(W:W,W663,U:U)=U663,0,_xlfn.XLOOKUP(O663,'Horarios y Sistemas'!C:C,'Horarios y Sistemas'!H:H,0,0,1)-P663))/7*U663</f>
        <v>0</v>
      </c>
      <c r="R663" s="54">
        <f t="shared" si="804"/>
        <v>0</v>
      </c>
      <c r="S663" s="55" t="str">
        <f t="shared" si="805"/>
        <v>SEPTIEMBRE</v>
      </c>
      <c r="T663" s="55" t="str">
        <f t="shared" si="806"/>
        <v>Sem38</v>
      </c>
      <c r="U663" s="56">
        <f t="shared" si="788"/>
        <v>7</v>
      </c>
      <c r="V663" s="59">
        <v>46283</v>
      </c>
      <c r="W663" s="56">
        <f t="shared" si="807"/>
        <v>38</v>
      </c>
      <c r="X663" s="56">
        <f t="shared" si="808"/>
        <v>18</v>
      </c>
      <c r="Y663" s="56" t="s">
        <v>32</v>
      </c>
      <c r="Z663" s="56">
        <v>5</v>
      </c>
      <c r="AA663" s="58">
        <f t="shared" si="766"/>
        <v>1</v>
      </c>
      <c r="AB663" s="58">
        <f t="shared" si="766"/>
        <v>0</v>
      </c>
      <c r="AC663" s="58">
        <f t="shared" si="766"/>
        <v>0</v>
      </c>
      <c r="AD663" s="58">
        <f t="shared" si="766"/>
        <v>0</v>
      </c>
      <c r="AE663" s="58">
        <f t="shared" si="766"/>
        <v>0</v>
      </c>
    </row>
    <row r="664" spans="2:34">
      <c r="B664" t="str">
        <f t="shared" si="795"/>
        <v>Sem3838JOSÈ BRAULIO NAVARRO ARCHILA</v>
      </c>
      <c r="C664" t="str">
        <f t="shared" si="796"/>
        <v>SEPTIEMBRESem38</v>
      </c>
      <c r="D664" t="str">
        <f t="shared" si="797"/>
        <v>SEPTIEMBRESem38JOSÈ BRAULIO NAVARRO ARCHILA</v>
      </c>
      <c r="E664" t="str">
        <f t="shared" si="798"/>
        <v>SEPTIEMBRESem3838JOSÈ BRAULIO NAVARRO ARCHILA</v>
      </c>
      <c r="F664" t="str">
        <f t="shared" si="799"/>
        <v>JOSÈ BRAULIO NAVARRO ARCHILA46284</v>
      </c>
      <c r="H664" s="49" t="s">
        <v>264</v>
      </c>
      <c r="I664" s="50" t="str">
        <f>+_xlfn.XLOOKUP($H664&amp;$V664,BASEDATOS!$B:$B,BASEDATOS!F:F,0,0,1)</f>
        <v>DIA</v>
      </c>
      <c r="J664" s="51">
        <f>+_xlfn.XLOOKUP($H664&amp;$V664,BASEDATOS!$B:$B,BASEDATOS!Q:Q,0,0,1)</f>
        <v>0.29166666666666702</v>
      </c>
      <c r="K664" s="51">
        <f>+_xlfn.XLOOKUP($H664&amp;$V664,BASEDATOS!$B:$B,BASEDATOS!R:R,0,0,1)</f>
        <v>0.58333333333333304</v>
      </c>
      <c r="L664" s="51">
        <f t="shared" si="800"/>
        <v>0.29166666666666602</v>
      </c>
      <c r="M664" s="52" t="str">
        <f t="shared" si="801"/>
        <v>1:00</v>
      </c>
      <c r="N664" s="51">
        <f t="shared" si="802"/>
        <v>0.24999999999999936</v>
      </c>
      <c r="O664" s="53" t="str">
        <f t="shared" ref="O664" si="817">+O665</f>
        <v>5-0-2</v>
      </c>
      <c r="P664" s="54">
        <f>+IF(AND(Y664="Domingo",U664=7),_xlfn.XLOOKUP(O664,'Horarios y Sistemas'!C:C,'Horarios y Sistemas'!H:H,0,0,1),0)</f>
        <v>0</v>
      </c>
      <c r="Q664" s="54">
        <f>IF(U664=U665,0,IF(AVERAGEIF(W:W,W664,U:U)=U664,0,_xlfn.XLOOKUP(O664,'Horarios y Sistemas'!C:C,'Horarios y Sistemas'!H:H,0,0,1)-P664))/7*U664</f>
        <v>0</v>
      </c>
      <c r="R664" s="54">
        <f t="shared" si="804"/>
        <v>0</v>
      </c>
      <c r="S664" s="55" t="str">
        <f t="shared" si="805"/>
        <v>SEPTIEMBRE</v>
      </c>
      <c r="T664" s="55" t="str">
        <f t="shared" si="806"/>
        <v>Sem38</v>
      </c>
      <c r="U664" s="56">
        <f t="shared" si="788"/>
        <v>7</v>
      </c>
      <c r="V664" s="59">
        <v>46284</v>
      </c>
      <c r="W664" s="56">
        <f t="shared" si="807"/>
        <v>38</v>
      </c>
      <c r="X664" s="56">
        <f t="shared" si="808"/>
        <v>19</v>
      </c>
      <c r="Y664" s="56" t="s">
        <v>33</v>
      </c>
      <c r="Z664" s="56">
        <v>6</v>
      </c>
      <c r="AA664" s="58">
        <f t="shared" si="766"/>
        <v>1</v>
      </c>
      <c r="AB664" s="58">
        <f t="shared" si="766"/>
        <v>0</v>
      </c>
      <c r="AC664" s="58">
        <f t="shared" si="766"/>
        <v>0</v>
      </c>
      <c r="AD664" s="58">
        <f t="shared" si="766"/>
        <v>0</v>
      </c>
      <c r="AE664" s="58">
        <f t="shared" si="766"/>
        <v>0</v>
      </c>
    </row>
    <row r="665" spans="2:34" s="60" customFormat="1">
      <c r="B665" s="60" t="str">
        <f t="shared" si="795"/>
        <v>Sem3838JOSÈ BRAULIO NAVARRO ARCHILA</v>
      </c>
      <c r="C665" s="60" t="str">
        <f t="shared" si="796"/>
        <v>SEPTIEMBRESem38</v>
      </c>
      <c r="D665" s="60" t="str">
        <f t="shared" si="797"/>
        <v>SEPTIEMBRESem38JOSÈ BRAULIO NAVARRO ARCHILA</v>
      </c>
      <c r="E665" s="60" t="str">
        <f t="shared" si="798"/>
        <v>SEPTIEMBRESem3838JOSÈ BRAULIO NAVARRO ARCHILA</v>
      </c>
      <c r="F665" s="60" t="str">
        <f t="shared" si="799"/>
        <v>JOSÈ BRAULIO NAVARRO ARCHILA46285</v>
      </c>
      <c r="H665" s="61" t="s">
        <v>264</v>
      </c>
      <c r="I665" s="62" t="str">
        <f>+_xlfn.XLOOKUP($H665&amp;$V665,BASEDATOS!$B:$B,BASEDATOS!F:F,0,0,1)</f>
        <v>DESCANSO</v>
      </c>
      <c r="J665" s="63">
        <f>+_xlfn.XLOOKUP($H665&amp;$V665,BASEDATOS!$B:$B,BASEDATOS!Q:Q,0,0,1)</f>
        <v>0</v>
      </c>
      <c r="K665" s="63">
        <f>+_xlfn.XLOOKUP($H665&amp;$V665,BASEDATOS!$B:$B,BASEDATOS!R:R,0,0,1)</f>
        <v>0</v>
      </c>
      <c r="L665" s="63">
        <f t="shared" si="800"/>
        <v>0</v>
      </c>
      <c r="M665" s="64">
        <f t="shared" si="801"/>
        <v>0</v>
      </c>
      <c r="N665" s="63">
        <f t="shared" si="802"/>
        <v>0</v>
      </c>
      <c r="O665" s="65" t="str">
        <f t="shared" ref="O665" si="818">+IF(Y665="Domingo",SUM(AA659:AA665)&amp;"-"&amp;SUM(AB659:AB665)&amp;"-"&amp;SUM(AC659:AE665),"")</f>
        <v>5-0-2</v>
      </c>
      <c r="P665" s="66">
        <f>+IF(AND(Y665="Domingo",U665=7),_xlfn.XLOOKUP(O665,'Horarios y Sistemas'!C:C,'Horarios y Sistemas'!H:H,0,0,1),0)</f>
        <v>44</v>
      </c>
      <c r="Q665" s="66">
        <f>IF(U665=U666,0,IF(AVERAGEIF(W:W,W665,U:U)=U665,0,_xlfn.XLOOKUP(O665,'Horarios y Sistemas'!C:C,'Horarios y Sistemas'!H:H,0,0,1)-P665))/7*U665</f>
        <v>0</v>
      </c>
      <c r="R665" s="66">
        <f t="shared" si="804"/>
        <v>44</v>
      </c>
      <c r="S665" s="67" t="str">
        <f t="shared" si="805"/>
        <v>SEPTIEMBRE</v>
      </c>
      <c r="T665" s="55" t="str">
        <f t="shared" si="806"/>
        <v>Sem38</v>
      </c>
      <c r="U665" s="68">
        <f t="shared" si="788"/>
        <v>7</v>
      </c>
      <c r="V665" s="69">
        <v>46285</v>
      </c>
      <c r="W665" s="68">
        <f t="shared" si="807"/>
        <v>38</v>
      </c>
      <c r="X665" s="68">
        <f t="shared" si="808"/>
        <v>20</v>
      </c>
      <c r="Y665" s="68" t="s">
        <v>34</v>
      </c>
      <c r="Z665" s="68">
        <v>7</v>
      </c>
      <c r="AA665" s="70">
        <f t="shared" si="766"/>
        <v>0</v>
      </c>
      <c r="AB665" s="70">
        <f t="shared" si="766"/>
        <v>0</v>
      </c>
      <c r="AC665" s="70">
        <f t="shared" si="766"/>
        <v>1</v>
      </c>
      <c r="AD665" s="70">
        <f t="shared" si="766"/>
        <v>0</v>
      </c>
      <c r="AE665" s="70">
        <f t="shared" si="766"/>
        <v>0</v>
      </c>
      <c r="AF665" s="71"/>
      <c r="AG665" s="71"/>
      <c r="AH665" s="71"/>
    </row>
    <row r="666" spans="2:34">
      <c r="B666" t="str">
        <f t="shared" si="795"/>
        <v>Sem3939JOSÈ BRAULIO NAVARRO ARCHILA</v>
      </c>
      <c r="C666" t="str">
        <f t="shared" si="796"/>
        <v>SEPTIEMBRESem39</v>
      </c>
      <c r="D666" t="str">
        <f t="shared" si="797"/>
        <v>SEPTIEMBRESem39JOSÈ BRAULIO NAVARRO ARCHILA</v>
      </c>
      <c r="E666" t="str">
        <f t="shared" si="798"/>
        <v>SEPTIEMBRESem3939JOSÈ BRAULIO NAVARRO ARCHILA</v>
      </c>
      <c r="F666" t="str">
        <f t="shared" si="799"/>
        <v>JOSÈ BRAULIO NAVARRO ARCHILA46286</v>
      </c>
      <c r="H666" s="49" t="s">
        <v>264</v>
      </c>
      <c r="I666" s="50" t="str">
        <f>+_xlfn.XLOOKUP($H666&amp;$V666,BASEDATOS!$B:$B,BASEDATOS!F:F,0,0,1)</f>
        <v>NOCHE</v>
      </c>
      <c r="J666" s="51">
        <f>+_xlfn.XLOOKUP($H666&amp;$V666,BASEDATOS!$B:$B,BASEDATOS!Q:Q,0,0,1)</f>
        <v>0.79166666666666696</v>
      </c>
      <c r="K666" s="51">
        <f>+_xlfn.XLOOKUP($H666&amp;$V666,BASEDATOS!$B:$B,BASEDATOS!R:R,0,0,1)</f>
        <v>0.20833333333333301</v>
      </c>
      <c r="L666" s="51">
        <f t="shared" si="800"/>
        <v>0.41666666666666607</v>
      </c>
      <c r="M666" s="52" t="str">
        <f t="shared" si="801"/>
        <v>1:00</v>
      </c>
      <c r="N666" s="51">
        <f t="shared" si="802"/>
        <v>0.37499999999999939</v>
      </c>
      <c r="O666" s="53" t="str">
        <f t="shared" ref="O666" si="819">+O672</f>
        <v>0-5-2</v>
      </c>
      <c r="P666" s="54">
        <f>+IF(AND(Y666="Domingo",U666=7),_xlfn.XLOOKUP(O666,'Horarios y Sistemas'!C:C,'Horarios y Sistemas'!H:H,0,0,1),0)</f>
        <v>0</v>
      </c>
      <c r="Q666" s="54">
        <f>IF(U666=U667,0,IF(AVERAGEIF(W:W,W666,U:U)=U666,0,_xlfn.XLOOKUP(O666,'Horarios y Sistemas'!C:C,'Horarios y Sistemas'!H:H,0,0,1)-P666))/7*U666</f>
        <v>0</v>
      </c>
      <c r="R666" s="54">
        <f t="shared" si="804"/>
        <v>0</v>
      </c>
      <c r="S666" s="55" t="str">
        <f t="shared" si="805"/>
        <v>SEPTIEMBRE</v>
      </c>
      <c r="T666" s="55" t="str">
        <f t="shared" si="806"/>
        <v>Sem39</v>
      </c>
      <c r="U666" s="56">
        <f t="shared" si="788"/>
        <v>7</v>
      </c>
      <c r="V666" s="57">
        <v>46286</v>
      </c>
      <c r="W666" s="56">
        <f t="shared" si="807"/>
        <v>39</v>
      </c>
      <c r="X666" s="56">
        <f t="shared" si="808"/>
        <v>21</v>
      </c>
      <c r="Y666" s="56" t="s">
        <v>28</v>
      </c>
      <c r="Z666" s="56">
        <v>1</v>
      </c>
      <c r="AA666" s="58">
        <f t="shared" si="766"/>
        <v>0</v>
      </c>
      <c r="AB666" s="58">
        <f t="shared" si="766"/>
        <v>1</v>
      </c>
      <c r="AC666" s="58">
        <f t="shared" si="766"/>
        <v>0</v>
      </c>
      <c r="AD666" s="58">
        <f t="shared" si="766"/>
        <v>0</v>
      </c>
      <c r="AE666" s="58">
        <f t="shared" si="766"/>
        <v>0</v>
      </c>
    </row>
    <row r="667" spans="2:34">
      <c r="B667" t="str">
        <f t="shared" si="795"/>
        <v>Sem3939JOSÈ BRAULIO NAVARRO ARCHILA</v>
      </c>
      <c r="C667" t="str">
        <f t="shared" si="796"/>
        <v>SEPTIEMBRESem39</v>
      </c>
      <c r="D667" t="str">
        <f t="shared" si="797"/>
        <v>SEPTIEMBRESem39JOSÈ BRAULIO NAVARRO ARCHILA</v>
      </c>
      <c r="E667" t="str">
        <f t="shared" si="798"/>
        <v>SEPTIEMBRESem3939JOSÈ BRAULIO NAVARRO ARCHILA</v>
      </c>
      <c r="F667" t="str">
        <f t="shared" si="799"/>
        <v>JOSÈ BRAULIO NAVARRO ARCHILA46287</v>
      </c>
      <c r="H667" s="49" t="s">
        <v>264</v>
      </c>
      <c r="I667" s="50" t="str">
        <f>+_xlfn.XLOOKUP($H667&amp;$V667,BASEDATOS!$B:$B,BASEDATOS!F:F,0,0,1)</f>
        <v>NOCHE</v>
      </c>
      <c r="J667" s="51">
        <f>+_xlfn.XLOOKUP($H667&amp;$V667,BASEDATOS!$B:$B,BASEDATOS!Q:Q,0,0,1)</f>
        <v>0.79166666666666696</v>
      </c>
      <c r="K667" s="51">
        <f>+_xlfn.XLOOKUP($H667&amp;$V667,BASEDATOS!$B:$B,BASEDATOS!R:R,0,0,1)</f>
        <v>0.20833333333333301</v>
      </c>
      <c r="L667" s="51">
        <f t="shared" si="800"/>
        <v>0.41666666666666607</v>
      </c>
      <c r="M667" s="52" t="str">
        <f t="shared" si="801"/>
        <v>1:00</v>
      </c>
      <c r="N667" s="51">
        <f t="shared" si="802"/>
        <v>0.37499999999999939</v>
      </c>
      <c r="O667" s="53" t="str">
        <f t="shared" ref="O667" si="820">+O672</f>
        <v>0-5-2</v>
      </c>
      <c r="P667" s="54">
        <f>+IF(AND(Y667="Domingo",U667=7),_xlfn.XLOOKUP(O667,'Horarios y Sistemas'!C:C,'Horarios y Sistemas'!H:H,0,0,1),0)</f>
        <v>0</v>
      </c>
      <c r="Q667" s="54">
        <f>IF(U667=U668,0,IF(AVERAGEIF(W:W,W667,U:U)=U667,0,_xlfn.XLOOKUP(O667,'Horarios y Sistemas'!C:C,'Horarios y Sistemas'!H:H,0,0,1)-P667))/7*U667</f>
        <v>0</v>
      </c>
      <c r="R667" s="54">
        <f t="shared" si="804"/>
        <v>0</v>
      </c>
      <c r="S667" s="55" t="str">
        <f t="shared" si="805"/>
        <v>SEPTIEMBRE</v>
      </c>
      <c r="T667" s="55" t="str">
        <f t="shared" si="806"/>
        <v>Sem39</v>
      </c>
      <c r="U667" s="56">
        <f t="shared" si="788"/>
        <v>7</v>
      </c>
      <c r="V667" s="59">
        <v>46287</v>
      </c>
      <c r="W667" s="56">
        <f t="shared" si="807"/>
        <v>39</v>
      </c>
      <c r="X667" s="56">
        <f t="shared" si="808"/>
        <v>22</v>
      </c>
      <c r="Y667" s="56" t="s">
        <v>29</v>
      </c>
      <c r="Z667" s="56">
        <v>2</v>
      </c>
      <c r="AA667" s="58">
        <f t="shared" si="766"/>
        <v>0</v>
      </c>
      <c r="AB667" s="58">
        <f t="shared" si="766"/>
        <v>1</v>
      </c>
      <c r="AC667" s="58">
        <f t="shared" si="766"/>
        <v>0</v>
      </c>
      <c r="AD667" s="58">
        <f t="shared" si="766"/>
        <v>0</v>
      </c>
      <c r="AE667" s="58">
        <f t="shared" si="766"/>
        <v>0</v>
      </c>
    </row>
    <row r="668" spans="2:34">
      <c r="B668" t="str">
        <f t="shared" si="795"/>
        <v>Sem3939JOSÈ BRAULIO NAVARRO ARCHILA</v>
      </c>
      <c r="C668" t="str">
        <f t="shared" si="796"/>
        <v>SEPTIEMBRESem39</v>
      </c>
      <c r="D668" t="str">
        <f t="shared" si="797"/>
        <v>SEPTIEMBRESem39JOSÈ BRAULIO NAVARRO ARCHILA</v>
      </c>
      <c r="E668" t="str">
        <f t="shared" si="798"/>
        <v>SEPTIEMBRESem3939JOSÈ BRAULIO NAVARRO ARCHILA</v>
      </c>
      <c r="F668" t="str">
        <f t="shared" si="799"/>
        <v>JOSÈ BRAULIO NAVARRO ARCHILA46288</v>
      </c>
      <c r="H668" s="49" t="s">
        <v>264</v>
      </c>
      <c r="I668" s="50" t="str">
        <f>+_xlfn.XLOOKUP($H668&amp;$V668,BASEDATOS!$B:$B,BASEDATOS!F:F,0,0,1)</f>
        <v>NOCHE</v>
      </c>
      <c r="J668" s="51">
        <f>+_xlfn.XLOOKUP($H668&amp;$V668,BASEDATOS!$B:$B,BASEDATOS!Q:Q,0,0,1)</f>
        <v>0.79166666666666696</v>
      </c>
      <c r="K668" s="51">
        <f>+_xlfn.XLOOKUP($H668&amp;$V668,BASEDATOS!$B:$B,BASEDATOS!R:R,0,0,1)</f>
        <v>0.20833333333333301</v>
      </c>
      <c r="L668" s="51">
        <f t="shared" si="800"/>
        <v>0.41666666666666607</v>
      </c>
      <c r="M668" s="52" t="str">
        <f t="shared" si="801"/>
        <v>1:00</v>
      </c>
      <c r="N668" s="51">
        <f t="shared" si="802"/>
        <v>0.37499999999999939</v>
      </c>
      <c r="O668" s="53" t="str">
        <f t="shared" ref="O668" si="821">+O672</f>
        <v>0-5-2</v>
      </c>
      <c r="P668" s="54">
        <f>+IF(AND(Y668="Domingo",U668=7),_xlfn.XLOOKUP(O668,'Horarios y Sistemas'!C:C,'Horarios y Sistemas'!H:H,0,0,1),0)</f>
        <v>0</v>
      </c>
      <c r="Q668" s="54">
        <f>IF(U668=U669,0,IF(AVERAGEIF(W:W,W668,U:U)=U668,0,_xlfn.XLOOKUP(O668,'Horarios y Sistemas'!C:C,'Horarios y Sistemas'!H:H,0,0,1)-P668))/7*U668</f>
        <v>0</v>
      </c>
      <c r="R668" s="54">
        <f t="shared" si="804"/>
        <v>0</v>
      </c>
      <c r="S668" s="55" t="str">
        <f t="shared" si="805"/>
        <v>SEPTIEMBRE</v>
      </c>
      <c r="T668" s="55" t="str">
        <f t="shared" si="806"/>
        <v>Sem39</v>
      </c>
      <c r="U668" s="56">
        <f t="shared" si="788"/>
        <v>7</v>
      </c>
      <c r="V668" s="59">
        <v>46288</v>
      </c>
      <c r="W668" s="56">
        <f t="shared" si="807"/>
        <v>39</v>
      </c>
      <c r="X668" s="56">
        <f t="shared" si="808"/>
        <v>23</v>
      </c>
      <c r="Y668" s="56" t="s">
        <v>30</v>
      </c>
      <c r="Z668" s="56">
        <v>3</v>
      </c>
      <c r="AA668" s="58">
        <f t="shared" si="766"/>
        <v>0</v>
      </c>
      <c r="AB668" s="58">
        <f t="shared" si="766"/>
        <v>1</v>
      </c>
      <c r="AC668" s="58">
        <f t="shared" si="766"/>
        <v>0</v>
      </c>
      <c r="AD668" s="58">
        <f t="shared" si="766"/>
        <v>0</v>
      </c>
      <c r="AE668" s="58">
        <f t="shared" si="766"/>
        <v>0</v>
      </c>
    </row>
    <row r="669" spans="2:34">
      <c r="B669" t="str">
        <f t="shared" si="795"/>
        <v>Sem3939JOSÈ BRAULIO NAVARRO ARCHILA</v>
      </c>
      <c r="C669" t="str">
        <f t="shared" si="796"/>
        <v>SEPTIEMBRESem39</v>
      </c>
      <c r="D669" t="str">
        <f t="shared" si="797"/>
        <v>SEPTIEMBRESem39JOSÈ BRAULIO NAVARRO ARCHILA</v>
      </c>
      <c r="E669" t="str">
        <f t="shared" si="798"/>
        <v>SEPTIEMBRESem3939JOSÈ BRAULIO NAVARRO ARCHILA</v>
      </c>
      <c r="F669" t="str">
        <f t="shared" si="799"/>
        <v>JOSÈ BRAULIO NAVARRO ARCHILA46289</v>
      </c>
      <c r="H669" s="49" t="s">
        <v>264</v>
      </c>
      <c r="I669" s="50" t="str">
        <f>+_xlfn.XLOOKUP($H669&amp;$V669,BASEDATOS!$B:$B,BASEDATOS!F:F,0,0,1)</f>
        <v>NOCHE</v>
      </c>
      <c r="J669" s="51">
        <f>+_xlfn.XLOOKUP($H669&amp;$V669,BASEDATOS!$B:$B,BASEDATOS!Q:Q,0,0,1)</f>
        <v>0.79166666666666696</v>
      </c>
      <c r="K669" s="51">
        <f>+_xlfn.XLOOKUP($H669&amp;$V669,BASEDATOS!$B:$B,BASEDATOS!R:R,0,0,1)</f>
        <v>0.20833333333333301</v>
      </c>
      <c r="L669" s="51">
        <f t="shared" si="800"/>
        <v>0.41666666666666607</v>
      </c>
      <c r="M669" s="52" t="str">
        <f t="shared" si="801"/>
        <v>1:00</v>
      </c>
      <c r="N669" s="51">
        <f t="shared" si="802"/>
        <v>0.37499999999999939</v>
      </c>
      <c r="O669" s="53" t="str">
        <f t="shared" ref="O669" si="822">+O672</f>
        <v>0-5-2</v>
      </c>
      <c r="P669" s="54">
        <f>+IF(AND(Y669="Domingo",U669=7),_xlfn.XLOOKUP(O669,'Horarios y Sistemas'!C:C,'Horarios y Sistemas'!H:H,0,0,1),0)</f>
        <v>0</v>
      </c>
      <c r="Q669" s="54">
        <f>IF(U669=U670,0,IF(AVERAGEIF(W:W,W669,U:U)=U669,0,_xlfn.XLOOKUP(O669,'Horarios y Sistemas'!C:C,'Horarios y Sistemas'!H:H,0,0,1)-P669))/7*U669</f>
        <v>0</v>
      </c>
      <c r="R669" s="54">
        <f t="shared" si="804"/>
        <v>0</v>
      </c>
      <c r="S669" s="55" t="str">
        <f t="shared" si="805"/>
        <v>SEPTIEMBRE</v>
      </c>
      <c r="T669" s="55" t="str">
        <f t="shared" si="806"/>
        <v>Sem39</v>
      </c>
      <c r="U669" s="56">
        <f t="shared" si="788"/>
        <v>7</v>
      </c>
      <c r="V669" s="59">
        <v>46289</v>
      </c>
      <c r="W669" s="56">
        <f t="shared" si="807"/>
        <v>39</v>
      </c>
      <c r="X669" s="56">
        <f t="shared" si="808"/>
        <v>24</v>
      </c>
      <c r="Y669" s="56" t="s">
        <v>31</v>
      </c>
      <c r="Z669" s="56">
        <v>4</v>
      </c>
      <c r="AA669" s="58">
        <f t="shared" si="766"/>
        <v>0</v>
      </c>
      <c r="AB669" s="58">
        <f t="shared" si="766"/>
        <v>1</v>
      </c>
      <c r="AC669" s="58">
        <f t="shared" si="766"/>
        <v>0</v>
      </c>
      <c r="AD669" s="58">
        <f t="shared" si="766"/>
        <v>0</v>
      </c>
      <c r="AE669" s="58">
        <f t="shared" si="766"/>
        <v>0</v>
      </c>
    </row>
    <row r="670" spans="2:34">
      <c r="B670" t="str">
        <f t="shared" si="795"/>
        <v>Sem3939JOSÈ BRAULIO NAVARRO ARCHILA</v>
      </c>
      <c r="C670" t="str">
        <f t="shared" si="796"/>
        <v>SEPTIEMBRESem39</v>
      </c>
      <c r="D670" t="str">
        <f t="shared" si="797"/>
        <v>SEPTIEMBRESem39JOSÈ BRAULIO NAVARRO ARCHILA</v>
      </c>
      <c r="E670" t="str">
        <f t="shared" si="798"/>
        <v>SEPTIEMBRESem3939JOSÈ BRAULIO NAVARRO ARCHILA</v>
      </c>
      <c r="F670" t="str">
        <f t="shared" si="799"/>
        <v>JOSÈ BRAULIO NAVARRO ARCHILA46290</v>
      </c>
      <c r="H670" s="49" t="s">
        <v>264</v>
      </c>
      <c r="I670" s="50" t="str">
        <f>+_xlfn.XLOOKUP($H670&amp;$V670,BASEDATOS!$B:$B,BASEDATOS!F:F,0,0,1)</f>
        <v>NOCHE</v>
      </c>
      <c r="J670" s="51">
        <f>+_xlfn.XLOOKUP($H670&amp;$V670,BASEDATOS!$B:$B,BASEDATOS!Q:Q,0,0,1)</f>
        <v>0.79166666666666696</v>
      </c>
      <c r="K670" s="51">
        <f>+_xlfn.XLOOKUP($H670&amp;$V670,BASEDATOS!$B:$B,BASEDATOS!R:R,0,0,1)</f>
        <v>0.20833333333333301</v>
      </c>
      <c r="L670" s="51">
        <f t="shared" si="800"/>
        <v>0.41666666666666607</v>
      </c>
      <c r="M670" s="52" t="str">
        <f t="shared" si="801"/>
        <v>1:00</v>
      </c>
      <c r="N670" s="51">
        <f t="shared" si="802"/>
        <v>0.37499999999999939</v>
      </c>
      <c r="O670" s="53" t="str">
        <f t="shared" ref="O670" si="823">+O672</f>
        <v>0-5-2</v>
      </c>
      <c r="P670" s="54">
        <f>+IF(AND(Y670="Domingo",U670=7),_xlfn.XLOOKUP(O670,'Horarios y Sistemas'!C:C,'Horarios y Sistemas'!H:H,0,0,1),0)</f>
        <v>0</v>
      </c>
      <c r="Q670" s="54">
        <f>IF(U670=U671,0,IF(AVERAGEIF(W:W,W670,U:U)=U670,0,_xlfn.XLOOKUP(O670,'Horarios y Sistemas'!C:C,'Horarios y Sistemas'!H:H,0,0,1)-P670))/7*U670</f>
        <v>0</v>
      </c>
      <c r="R670" s="54">
        <f t="shared" si="804"/>
        <v>0</v>
      </c>
      <c r="S670" s="55" t="str">
        <f t="shared" si="805"/>
        <v>SEPTIEMBRE</v>
      </c>
      <c r="T670" s="55" t="str">
        <f t="shared" si="806"/>
        <v>Sem39</v>
      </c>
      <c r="U670" s="56">
        <f t="shared" si="788"/>
        <v>7</v>
      </c>
      <c r="V670" s="59">
        <v>46290</v>
      </c>
      <c r="W670" s="56">
        <f t="shared" si="807"/>
        <v>39</v>
      </c>
      <c r="X670" s="56">
        <f t="shared" si="808"/>
        <v>25</v>
      </c>
      <c r="Y670" s="56" t="s">
        <v>32</v>
      </c>
      <c r="Z670" s="56">
        <v>5</v>
      </c>
      <c r="AA670" s="58">
        <f t="shared" si="766"/>
        <v>0</v>
      </c>
      <c r="AB670" s="58">
        <f t="shared" si="766"/>
        <v>1</v>
      </c>
      <c r="AC670" s="58">
        <f t="shared" si="766"/>
        <v>0</v>
      </c>
      <c r="AD670" s="58">
        <f t="shared" si="766"/>
        <v>0</v>
      </c>
      <c r="AE670" s="58">
        <f t="shared" si="766"/>
        <v>0</v>
      </c>
    </row>
    <row r="671" spans="2:34">
      <c r="B671" t="str">
        <f t="shared" si="795"/>
        <v>Sem3939JOSÈ BRAULIO NAVARRO ARCHILA</v>
      </c>
      <c r="C671" t="str">
        <f t="shared" si="796"/>
        <v>SEPTIEMBRESem39</v>
      </c>
      <c r="D671" t="str">
        <f t="shared" si="797"/>
        <v>SEPTIEMBRESem39JOSÈ BRAULIO NAVARRO ARCHILA</v>
      </c>
      <c r="E671" t="str">
        <f t="shared" si="798"/>
        <v>SEPTIEMBRESem3939JOSÈ BRAULIO NAVARRO ARCHILA</v>
      </c>
      <c r="F671" t="str">
        <f t="shared" si="799"/>
        <v>JOSÈ BRAULIO NAVARRO ARCHILA46291</v>
      </c>
      <c r="H671" s="49" t="s">
        <v>264</v>
      </c>
      <c r="I671" s="50" t="str">
        <f>+_xlfn.XLOOKUP($H671&amp;$V671,BASEDATOS!$B:$B,BASEDATOS!F:F,0,0,1)</f>
        <v>DESCANSO</v>
      </c>
      <c r="J671" s="51">
        <f>+_xlfn.XLOOKUP($H671&amp;$V671,BASEDATOS!$B:$B,BASEDATOS!Q:Q,0,0,1)</f>
        <v>0</v>
      </c>
      <c r="K671" s="51">
        <f>+_xlfn.XLOOKUP($H671&amp;$V671,BASEDATOS!$B:$B,BASEDATOS!R:R,0,0,1)</f>
        <v>0</v>
      </c>
      <c r="L671" s="51">
        <f t="shared" si="800"/>
        <v>0</v>
      </c>
      <c r="M671" s="52">
        <f t="shared" si="801"/>
        <v>0</v>
      </c>
      <c r="N671" s="51">
        <f t="shared" si="802"/>
        <v>0</v>
      </c>
      <c r="O671" s="53" t="str">
        <f t="shared" ref="O671" si="824">+O672</f>
        <v>0-5-2</v>
      </c>
      <c r="P671" s="54">
        <f>+IF(AND(Y671="Domingo",U671=7),_xlfn.XLOOKUP(O671,'Horarios y Sistemas'!C:C,'Horarios y Sistemas'!H:H,0,0,1),0)</f>
        <v>0</v>
      </c>
      <c r="Q671" s="54">
        <f>IF(U671=U672,0,IF(AVERAGEIF(W:W,W671,U:U)=U671,0,_xlfn.XLOOKUP(O671,'Horarios y Sistemas'!C:C,'Horarios y Sistemas'!H:H,0,0,1)-P671))/7*U671</f>
        <v>0</v>
      </c>
      <c r="R671" s="54">
        <f t="shared" si="804"/>
        <v>0</v>
      </c>
      <c r="S671" s="55" t="str">
        <f t="shared" si="805"/>
        <v>SEPTIEMBRE</v>
      </c>
      <c r="T671" s="55" t="str">
        <f t="shared" si="806"/>
        <v>Sem39</v>
      </c>
      <c r="U671" s="56">
        <f t="shared" si="788"/>
        <v>7</v>
      </c>
      <c r="V671" s="59">
        <v>46291</v>
      </c>
      <c r="W671" s="56">
        <f t="shared" si="807"/>
        <v>39</v>
      </c>
      <c r="X671" s="56">
        <f t="shared" si="808"/>
        <v>26</v>
      </c>
      <c r="Y671" s="56" t="s">
        <v>33</v>
      </c>
      <c r="Z671" s="56">
        <v>6</v>
      </c>
      <c r="AA671" s="58">
        <f t="shared" si="766"/>
        <v>0</v>
      </c>
      <c r="AB671" s="58">
        <f t="shared" si="766"/>
        <v>0</v>
      </c>
      <c r="AC671" s="58">
        <f t="shared" si="766"/>
        <v>1</v>
      </c>
      <c r="AD671" s="58">
        <f t="shared" si="766"/>
        <v>0</v>
      </c>
      <c r="AE671" s="58">
        <f t="shared" si="766"/>
        <v>0</v>
      </c>
    </row>
    <row r="672" spans="2:34" s="60" customFormat="1">
      <c r="B672" s="60" t="str">
        <f t="shared" si="795"/>
        <v>Sem3939JOSÈ BRAULIO NAVARRO ARCHILA</v>
      </c>
      <c r="C672" s="60" t="str">
        <f t="shared" si="796"/>
        <v>SEPTIEMBRESem39</v>
      </c>
      <c r="D672" s="60" t="str">
        <f t="shared" si="797"/>
        <v>SEPTIEMBRESem39JOSÈ BRAULIO NAVARRO ARCHILA</v>
      </c>
      <c r="E672" s="60" t="str">
        <f t="shared" si="798"/>
        <v>SEPTIEMBRESem3939JOSÈ BRAULIO NAVARRO ARCHILA</v>
      </c>
      <c r="F672" s="60" t="str">
        <f t="shared" si="799"/>
        <v>JOSÈ BRAULIO NAVARRO ARCHILA46292</v>
      </c>
      <c r="H672" s="61" t="s">
        <v>264</v>
      </c>
      <c r="I672" s="62" t="str">
        <f>+_xlfn.XLOOKUP($H672&amp;$V672,BASEDATOS!$B:$B,BASEDATOS!F:F,0,0,1)</f>
        <v>DESCANSO</v>
      </c>
      <c r="J672" s="63">
        <f>+_xlfn.XLOOKUP($H672&amp;$V672,BASEDATOS!$B:$B,BASEDATOS!Q:Q,0,0,1)</f>
        <v>0</v>
      </c>
      <c r="K672" s="63">
        <f>+_xlfn.XLOOKUP($H672&amp;$V672,BASEDATOS!$B:$B,BASEDATOS!R:R,0,0,1)</f>
        <v>0</v>
      </c>
      <c r="L672" s="63">
        <f t="shared" si="800"/>
        <v>0</v>
      </c>
      <c r="M672" s="64">
        <f t="shared" si="801"/>
        <v>0</v>
      </c>
      <c r="N672" s="63">
        <f t="shared" si="802"/>
        <v>0</v>
      </c>
      <c r="O672" s="65" t="str">
        <f t="shared" ref="O672" si="825">+IF(Y672="Domingo",SUM(AA666:AA672)&amp;"-"&amp;SUM(AB666:AB672)&amp;"-"&amp;SUM(AC666:AE672),"")</f>
        <v>0-5-2</v>
      </c>
      <c r="P672" s="66">
        <f>+IF(AND(Y672="Domingo",U672=7),_xlfn.XLOOKUP(O672,'Horarios y Sistemas'!C:C,'Horarios y Sistemas'!H:H,0,0,1),0)</f>
        <v>36</v>
      </c>
      <c r="Q672" s="66">
        <f>IF(U672=U673,0,IF(AVERAGEIF(W:W,W672,U:U)=U672,0,_xlfn.XLOOKUP(O672,'Horarios y Sistemas'!C:C,'Horarios y Sistemas'!H:H,0,0,1)-P672))/7*U672</f>
        <v>0</v>
      </c>
      <c r="R672" s="66">
        <f t="shared" si="804"/>
        <v>36</v>
      </c>
      <c r="S672" s="67" t="str">
        <f t="shared" si="805"/>
        <v>SEPTIEMBRE</v>
      </c>
      <c r="T672" s="55" t="str">
        <f t="shared" si="806"/>
        <v>Sem39</v>
      </c>
      <c r="U672" s="68">
        <f t="shared" si="788"/>
        <v>7</v>
      </c>
      <c r="V672" s="69">
        <v>46292</v>
      </c>
      <c r="W672" s="68">
        <f t="shared" si="807"/>
        <v>39</v>
      </c>
      <c r="X672" s="68">
        <f t="shared" si="808"/>
        <v>27</v>
      </c>
      <c r="Y672" s="68" t="s">
        <v>34</v>
      </c>
      <c r="Z672" s="68">
        <v>7</v>
      </c>
      <c r="AA672" s="70">
        <f t="shared" si="766"/>
        <v>0</v>
      </c>
      <c r="AB672" s="70">
        <f t="shared" si="766"/>
        <v>0</v>
      </c>
      <c r="AC672" s="70">
        <f t="shared" si="766"/>
        <v>1</v>
      </c>
      <c r="AD672" s="70">
        <f t="shared" si="766"/>
        <v>0</v>
      </c>
      <c r="AE672" s="70">
        <f t="shared" si="766"/>
        <v>0</v>
      </c>
      <c r="AF672" s="71"/>
      <c r="AG672" s="71"/>
      <c r="AH672" s="71"/>
    </row>
    <row r="673" spans="2:34">
      <c r="B673" t="str">
        <f t="shared" si="795"/>
        <v>Sem4040JOSÈ BRAULIO NAVARRO ARCHILA</v>
      </c>
      <c r="C673" t="str">
        <f t="shared" si="796"/>
        <v>SEPTIEMBRESem40</v>
      </c>
      <c r="D673" t="str">
        <f t="shared" si="797"/>
        <v>SEPTIEMBRESem40JOSÈ BRAULIO NAVARRO ARCHILA</v>
      </c>
      <c r="E673" t="str">
        <f t="shared" si="798"/>
        <v>SEPTIEMBRESem4040JOSÈ BRAULIO NAVARRO ARCHILA</v>
      </c>
      <c r="F673" t="str">
        <f t="shared" si="799"/>
        <v>JOSÈ BRAULIO NAVARRO ARCHILA46293</v>
      </c>
      <c r="H673" s="49" t="s">
        <v>264</v>
      </c>
      <c r="I673" s="50" t="str">
        <f>+_xlfn.XLOOKUP($H673&amp;$V673,BASEDATOS!$B:$B,BASEDATOS!F:F,0,0,1)</f>
        <v>NOCHE</v>
      </c>
      <c r="J673" s="51">
        <f>+_xlfn.XLOOKUP($H673&amp;$V673,BASEDATOS!$B:$B,BASEDATOS!Q:Q,0,0,1)</f>
        <v>0.79166666666666696</v>
      </c>
      <c r="K673" s="51">
        <f>+_xlfn.XLOOKUP($H673&amp;$V673,BASEDATOS!$B:$B,BASEDATOS!R:R,0,0,1)</f>
        <v>0.20833333333333301</v>
      </c>
      <c r="L673" s="51">
        <f t="shared" si="800"/>
        <v>0.41666666666666607</v>
      </c>
      <c r="M673" s="52" t="str">
        <f t="shared" si="801"/>
        <v>1:00</v>
      </c>
      <c r="N673" s="51">
        <f t="shared" si="802"/>
        <v>0.37499999999999939</v>
      </c>
      <c r="O673" s="53" t="str">
        <f t="shared" ref="O673" si="826">+O679</f>
        <v>0-5-2</v>
      </c>
      <c r="P673" s="54">
        <f>+IF(AND(Y673="Domingo",U673=7),_xlfn.XLOOKUP(O673,'Horarios y Sistemas'!C:C,'Horarios y Sistemas'!H:H,0,0,1),0)</f>
        <v>0</v>
      </c>
      <c r="Q673" s="54">
        <f>IF(U673=U674,0,IF(AVERAGEIF(W:W,W673,U:U)=U673,0,_xlfn.XLOOKUP(O673,'Horarios y Sistemas'!C:C,'Horarios y Sistemas'!H:H,0,0,1)-P673))/7*U673</f>
        <v>0</v>
      </c>
      <c r="R673" s="54">
        <f t="shared" si="804"/>
        <v>0</v>
      </c>
      <c r="S673" s="55" t="str">
        <f t="shared" si="805"/>
        <v>SEPTIEMBRE</v>
      </c>
      <c r="T673" s="55" t="str">
        <f t="shared" si="806"/>
        <v>Sem40</v>
      </c>
      <c r="U673" s="56">
        <f t="shared" si="788"/>
        <v>7</v>
      </c>
      <c r="V673" s="59">
        <v>46293</v>
      </c>
      <c r="W673" s="56">
        <f t="shared" si="807"/>
        <v>40</v>
      </c>
      <c r="X673" s="56">
        <f t="shared" si="808"/>
        <v>28</v>
      </c>
      <c r="Y673" s="56" t="s">
        <v>28</v>
      </c>
      <c r="Z673" s="56">
        <v>1</v>
      </c>
      <c r="AA673" s="58">
        <f t="shared" si="766"/>
        <v>0</v>
      </c>
      <c r="AB673" s="58">
        <f t="shared" si="766"/>
        <v>1</v>
      </c>
      <c r="AC673" s="58">
        <f t="shared" si="766"/>
        <v>0</v>
      </c>
      <c r="AD673" s="58">
        <f t="shared" si="766"/>
        <v>0</v>
      </c>
      <c r="AE673" s="58">
        <f t="shared" si="766"/>
        <v>0</v>
      </c>
    </row>
    <row r="674" spans="2:34">
      <c r="B674" t="str">
        <f t="shared" si="795"/>
        <v>Sem4040JOSÈ BRAULIO NAVARRO ARCHILA</v>
      </c>
      <c r="C674" t="str">
        <f t="shared" si="796"/>
        <v>SEPTIEMBRESem40</v>
      </c>
      <c r="D674" t="str">
        <f t="shared" si="797"/>
        <v>SEPTIEMBRESem40JOSÈ BRAULIO NAVARRO ARCHILA</v>
      </c>
      <c r="E674" t="str">
        <f t="shared" si="798"/>
        <v>SEPTIEMBRESem4040JOSÈ BRAULIO NAVARRO ARCHILA</v>
      </c>
      <c r="F674" t="str">
        <f t="shared" si="799"/>
        <v>JOSÈ BRAULIO NAVARRO ARCHILA46294</v>
      </c>
      <c r="H674" s="49" t="s">
        <v>264</v>
      </c>
      <c r="I674" s="50" t="str">
        <f>+_xlfn.XLOOKUP($H674&amp;$V674,BASEDATOS!$B:$B,BASEDATOS!F:F,0,0,1)</f>
        <v>NOCHE</v>
      </c>
      <c r="J674" s="51">
        <f>+_xlfn.XLOOKUP($H674&amp;$V674,BASEDATOS!$B:$B,BASEDATOS!Q:Q,0,0,1)</f>
        <v>0.79166666666666696</v>
      </c>
      <c r="K674" s="51">
        <f>+_xlfn.XLOOKUP($H674&amp;$V674,BASEDATOS!$B:$B,BASEDATOS!R:R,0,0,1)</f>
        <v>0.20833333333333301</v>
      </c>
      <c r="L674" s="51">
        <f t="shared" si="800"/>
        <v>0.41666666666666607</v>
      </c>
      <c r="M674" s="52" t="str">
        <f t="shared" si="801"/>
        <v>1:00</v>
      </c>
      <c r="N674" s="51">
        <f t="shared" si="802"/>
        <v>0.37499999999999939</v>
      </c>
      <c r="O674" s="53" t="str">
        <f t="shared" ref="O674" si="827">+O679</f>
        <v>0-5-2</v>
      </c>
      <c r="P674" s="54">
        <f>+IF(AND(Y674="Domingo",U674=7),_xlfn.XLOOKUP(O674,'Horarios y Sistemas'!C:C,'Horarios y Sistemas'!H:H,0,0,1),0)</f>
        <v>0</v>
      </c>
      <c r="Q674" s="54">
        <f>IF(U674=U675,0,IF(AVERAGEIF(W:W,W674,U:U)=U674,0,_xlfn.XLOOKUP(O674,'Horarios y Sistemas'!C:C,'Horarios y Sistemas'!H:H,0,0,1)-P674))/7*U674</f>
        <v>0</v>
      </c>
      <c r="R674" s="54">
        <f t="shared" si="804"/>
        <v>0</v>
      </c>
      <c r="S674" s="55" t="str">
        <f t="shared" si="805"/>
        <v>SEPTIEMBRE</v>
      </c>
      <c r="T674" s="55" t="str">
        <f t="shared" si="806"/>
        <v>Sem40</v>
      </c>
      <c r="U674" s="56">
        <f t="shared" si="788"/>
        <v>7</v>
      </c>
      <c r="V674" s="59">
        <v>46294</v>
      </c>
      <c r="W674" s="56">
        <f t="shared" si="807"/>
        <v>40</v>
      </c>
      <c r="X674" s="56">
        <f t="shared" si="808"/>
        <v>29</v>
      </c>
      <c r="Y674" s="56" t="s">
        <v>29</v>
      </c>
      <c r="Z674" s="56">
        <v>2</v>
      </c>
      <c r="AA674" s="58">
        <f t="shared" si="766"/>
        <v>0</v>
      </c>
      <c r="AB674" s="58">
        <f t="shared" si="766"/>
        <v>1</v>
      </c>
      <c r="AC674" s="58">
        <f t="shared" si="766"/>
        <v>0</v>
      </c>
      <c r="AD674" s="58">
        <f t="shared" si="766"/>
        <v>0</v>
      </c>
      <c r="AE674" s="58">
        <f t="shared" si="766"/>
        <v>0</v>
      </c>
    </row>
    <row r="675" spans="2:34">
      <c r="B675" t="str">
        <f t="shared" si="795"/>
        <v>Sem4040JOSÈ BRAULIO NAVARRO ARCHILA</v>
      </c>
      <c r="C675" t="str">
        <f t="shared" si="796"/>
        <v>SEPTIEMBRESem40</v>
      </c>
      <c r="D675" t="str">
        <f t="shared" si="797"/>
        <v>SEPTIEMBRESem40JOSÈ BRAULIO NAVARRO ARCHILA</v>
      </c>
      <c r="E675" t="str">
        <f t="shared" si="798"/>
        <v>SEPTIEMBRESem4040JOSÈ BRAULIO NAVARRO ARCHILA</v>
      </c>
      <c r="F675" t="str">
        <f t="shared" si="799"/>
        <v>JOSÈ BRAULIO NAVARRO ARCHILA46295</v>
      </c>
      <c r="H675" s="49" t="s">
        <v>264</v>
      </c>
      <c r="I675" s="50" t="str">
        <f>+_xlfn.XLOOKUP($H675&amp;$V675,BASEDATOS!$B:$B,BASEDATOS!F:F,0,0,1)</f>
        <v>NOCHE</v>
      </c>
      <c r="J675" s="51">
        <f>+_xlfn.XLOOKUP($H675&amp;$V675,BASEDATOS!$B:$B,BASEDATOS!Q:Q,0,0,1)</f>
        <v>0.79166666666666696</v>
      </c>
      <c r="K675" s="51">
        <f>+_xlfn.XLOOKUP($H675&amp;$V675,BASEDATOS!$B:$B,BASEDATOS!R:R,0,0,1)</f>
        <v>0.20833333333333301</v>
      </c>
      <c r="L675" s="51">
        <f t="shared" si="800"/>
        <v>0.41666666666666607</v>
      </c>
      <c r="M675" s="52" t="str">
        <f t="shared" si="801"/>
        <v>1:00</v>
      </c>
      <c r="N675" s="51">
        <f t="shared" si="802"/>
        <v>0.37499999999999939</v>
      </c>
      <c r="O675" s="53" t="str">
        <f t="shared" ref="O675" si="828">+O679</f>
        <v>0-5-2</v>
      </c>
      <c r="P675" s="54">
        <f>+IF(AND(Y675="Domingo",U675=7),_xlfn.XLOOKUP(O675,'Horarios y Sistemas'!C:C,'Horarios y Sistemas'!H:H,0,0,1),0)</f>
        <v>0</v>
      </c>
      <c r="Q675" s="54">
        <f>IF(U675=U676,0,IF(AVERAGEIF(W:W,W675,U:U)=U675,0,_xlfn.XLOOKUP(O675,'Horarios y Sistemas'!C:C,'Horarios y Sistemas'!H:H,0,0,1)-P675))/7*U675</f>
        <v>0</v>
      </c>
      <c r="R675" s="54">
        <f t="shared" si="804"/>
        <v>0</v>
      </c>
      <c r="S675" s="55" t="str">
        <f t="shared" si="805"/>
        <v>SEPTIEMBRE</v>
      </c>
      <c r="T675" s="55" t="str">
        <f t="shared" si="806"/>
        <v>Sem40</v>
      </c>
      <c r="U675" s="56">
        <f t="shared" si="788"/>
        <v>7</v>
      </c>
      <c r="V675" s="59">
        <v>46295</v>
      </c>
      <c r="W675" s="56">
        <f t="shared" si="807"/>
        <v>40</v>
      </c>
      <c r="X675" s="56">
        <f t="shared" si="808"/>
        <v>30</v>
      </c>
      <c r="Y675" s="56" t="s">
        <v>30</v>
      </c>
      <c r="Z675" s="56">
        <v>3</v>
      </c>
      <c r="AA675" s="58">
        <f t="shared" si="766"/>
        <v>0</v>
      </c>
      <c r="AB675" s="58">
        <f t="shared" si="766"/>
        <v>1</v>
      </c>
      <c r="AC675" s="58">
        <f t="shared" si="766"/>
        <v>0</v>
      </c>
      <c r="AD675" s="58">
        <f t="shared" si="766"/>
        <v>0</v>
      </c>
      <c r="AE675" s="58">
        <f t="shared" si="766"/>
        <v>0</v>
      </c>
    </row>
    <row r="676" spans="2:34">
      <c r="B676" t="str">
        <f t="shared" si="795"/>
        <v>Sem4040JOSÈ BRAULIO NAVARRO ARCHILA</v>
      </c>
      <c r="C676" t="str">
        <f t="shared" si="796"/>
        <v>OCTUBRESem40</v>
      </c>
      <c r="D676" t="str">
        <f t="shared" si="797"/>
        <v>OCTUBRESem40JOSÈ BRAULIO NAVARRO ARCHILA</v>
      </c>
      <c r="E676" t="str">
        <f t="shared" si="798"/>
        <v>OCTUBRESem4040JOSÈ BRAULIO NAVARRO ARCHILA</v>
      </c>
      <c r="F676" t="str">
        <f t="shared" si="799"/>
        <v>JOSÈ BRAULIO NAVARRO ARCHILA46296</v>
      </c>
      <c r="H676" s="49" t="s">
        <v>264</v>
      </c>
      <c r="I676" s="50" t="str">
        <f>+_xlfn.XLOOKUP($H676&amp;$V676,BASEDATOS!$B:$B,BASEDATOS!F:F,0,0,1)</f>
        <v>NOCHE</v>
      </c>
      <c r="J676" s="51">
        <f>+_xlfn.XLOOKUP($H676&amp;$V676,BASEDATOS!$B:$B,BASEDATOS!Q:Q,0,0,1)</f>
        <v>0.79166666666666696</v>
      </c>
      <c r="K676" s="51">
        <f>+_xlfn.XLOOKUP($H676&amp;$V676,BASEDATOS!$B:$B,BASEDATOS!R:R,0,0,1)</f>
        <v>0.20833333333333301</v>
      </c>
      <c r="L676" s="51">
        <f t="shared" si="800"/>
        <v>0.41666666666666607</v>
      </c>
      <c r="M676" s="52" t="str">
        <f t="shared" si="801"/>
        <v>1:00</v>
      </c>
      <c r="N676" s="51">
        <f t="shared" si="802"/>
        <v>0.37499999999999939</v>
      </c>
      <c r="O676" s="53" t="str">
        <f t="shared" ref="O676" si="829">+O679</f>
        <v>0-5-2</v>
      </c>
      <c r="P676" s="54">
        <f>+IF(AND(Y676="Domingo",U676=7),_xlfn.XLOOKUP(O676,'Horarios y Sistemas'!C:C,'Horarios y Sistemas'!H:H,0,0,1),0)</f>
        <v>0</v>
      </c>
      <c r="Q676" s="54">
        <f>IF(U676=U677,0,IF(AVERAGEIF(W:W,W676,U:U)=U676,0,_xlfn.XLOOKUP(O676,'Horarios y Sistemas'!C:C,'Horarios y Sistemas'!H:H,0,0,1)-P676))/7*U676</f>
        <v>0</v>
      </c>
      <c r="R676" s="54">
        <f t="shared" si="804"/>
        <v>0</v>
      </c>
      <c r="S676" s="55" t="str">
        <f t="shared" si="805"/>
        <v>OCTUBRE</v>
      </c>
      <c r="T676" s="55" t="str">
        <f t="shared" si="806"/>
        <v>Sem40</v>
      </c>
      <c r="U676" s="56">
        <f t="shared" si="788"/>
        <v>7</v>
      </c>
      <c r="V676" s="59">
        <v>46296</v>
      </c>
      <c r="W676" s="56">
        <f t="shared" si="807"/>
        <v>40</v>
      </c>
      <c r="X676" s="56">
        <f t="shared" si="808"/>
        <v>1</v>
      </c>
      <c r="Y676" s="56" t="s">
        <v>31</v>
      </c>
      <c r="Z676" s="56">
        <v>4</v>
      </c>
      <c r="AA676" s="58">
        <f t="shared" si="766"/>
        <v>0</v>
      </c>
      <c r="AB676" s="58">
        <f t="shared" si="766"/>
        <v>1</v>
      </c>
      <c r="AC676" s="58">
        <f t="shared" si="766"/>
        <v>0</v>
      </c>
      <c r="AD676" s="58">
        <f t="shared" si="766"/>
        <v>0</v>
      </c>
      <c r="AE676" s="58">
        <f t="shared" si="766"/>
        <v>0</v>
      </c>
    </row>
    <row r="677" spans="2:34">
      <c r="B677" t="str">
        <f t="shared" si="795"/>
        <v>Sem4040JOSÈ BRAULIO NAVARRO ARCHILA</v>
      </c>
      <c r="C677" t="str">
        <f t="shared" si="796"/>
        <v>OCTUBRESem40</v>
      </c>
      <c r="D677" t="str">
        <f t="shared" si="797"/>
        <v>OCTUBRESem40JOSÈ BRAULIO NAVARRO ARCHILA</v>
      </c>
      <c r="E677" t="str">
        <f t="shared" si="798"/>
        <v>OCTUBRESem4040JOSÈ BRAULIO NAVARRO ARCHILA</v>
      </c>
      <c r="F677" t="str">
        <f t="shared" si="799"/>
        <v>JOSÈ BRAULIO NAVARRO ARCHILA46297</v>
      </c>
      <c r="H677" s="49" t="s">
        <v>264</v>
      </c>
      <c r="I677" s="50" t="str">
        <f>+_xlfn.XLOOKUP($H677&amp;$V677,BASEDATOS!$B:$B,BASEDATOS!F:F,0,0,1)</f>
        <v>NOCHE</v>
      </c>
      <c r="J677" s="51">
        <f>+_xlfn.XLOOKUP($H677&amp;$V677,BASEDATOS!$B:$B,BASEDATOS!Q:Q,0,0,1)</f>
        <v>0.79166666666666696</v>
      </c>
      <c r="K677" s="51">
        <f>+_xlfn.XLOOKUP($H677&amp;$V677,BASEDATOS!$B:$B,BASEDATOS!R:R,0,0,1)</f>
        <v>0.20833333333333301</v>
      </c>
      <c r="L677" s="51">
        <f t="shared" si="800"/>
        <v>0.41666666666666607</v>
      </c>
      <c r="M677" s="52" t="str">
        <f t="shared" si="801"/>
        <v>1:00</v>
      </c>
      <c r="N677" s="51">
        <f t="shared" si="802"/>
        <v>0.37499999999999939</v>
      </c>
      <c r="O677" s="53" t="str">
        <f t="shared" ref="O677" si="830">+O679</f>
        <v>0-5-2</v>
      </c>
      <c r="P677" s="54">
        <f>+IF(AND(Y677="Domingo",U677=7),_xlfn.XLOOKUP(O677,'Horarios y Sistemas'!C:C,'Horarios y Sistemas'!H:H,0,0,1),0)</f>
        <v>0</v>
      </c>
      <c r="Q677" s="54">
        <f>IF(U677=U678,0,IF(AVERAGEIF(W:W,W677,U:U)=U677,0,_xlfn.XLOOKUP(O677,'Horarios y Sistemas'!C:C,'Horarios y Sistemas'!H:H,0,0,1)-P677))/7*U677</f>
        <v>0</v>
      </c>
      <c r="R677" s="54">
        <f t="shared" si="804"/>
        <v>0</v>
      </c>
      <c r="S677" s="55" t="str">
        <f t="shared" si="805"/>
        <v>OCTUBRE</v>
      </c>
      <c r="T677" s="55" t="str">
        <f t="shared" si="806"/>
        <v>Sem40</v>
      </c>
      <c r="U677" s="56">
        <f t="shared" si="788"/>
        <v>7</v>
      </c>
      <c r="V677" s="59">
        <v>46297</v>
      </c>
      <c r="W677" s="56">
        <f t="shared" si="807"/>
        <v>40</v>
      </c>
      <c r="X677" s="56">
        <f t="shared" si="808"/>
        <v>2</v>
      </c>
      <c r="Y677" s="56" t="s">
        <v>32</v>
      </c>
      <c r="Z677" s="56">
        <v>5</v>
      </c>
      <c r="AA677" s="58">
        <f t="shared" si="766"/>
        <v>0</v>
      </c>
      <c r="AB677" s="58">
        <f t="shared" si="766"/>
        <v>1</v>
      </c>
      <c r="AC677" s="58">
        <f t="shared" si="766"/>
        <v>0</v>
      </c>
      <c r="AD677" s="58">
        <f t="shared" si="766"/>
        <v>0</v>
      </c>
      <c r="AE677" s="58">
        <f t="shared" si="766"/>
        <v>0</v>
      </c>
    </row>
    <row r="678" spans="2:34">
      <c r="B678" t="str">
        <f t="shared" si="795"/>
        <v>Sem4040JOSÈ BRAULIO NAVARRO ARCHILA</v>
      </c>
      <c r="C678" t="str">
        <f t="shared" si="796"/>
        <v>OCTUBRESem40</v>
      </c>
      <c r="D678" t="str">
        <f t="shared" si="797"/>
        <v>OCTUBRESem40JOSÈ BRAULIO NAVARRO ARCHILA</v>
      </c>
      <c r="E678" t="str">
        <f t="shared" si="798"/>
        <v>OCTUBRESem4040JOSÈ BRAULIO NAVARRO ARCHILA</v>
      </c>
      <c r="F678" t="str">
        <f t="shared" si="799"/>
        <v>JOSÈ BRAULIO NAVARRO ARCHILA46298</v>
      </c>
      <c r="H678" s="49" t="s">
        <v>264</v>
      </c>
      <c r="I678" s="50" t="str">
        <f>+_xlfn.XLOOKUP($H678&amp;$V678,BASEDATOS!$B:$B,BASEDATOS!F:F,0,0,1)</f>
        <v>DESCANSO</v>
      </c>
      <c r="J678" s="51">
        <f>+_xlfn.XLOOKUP($H678&amp;$V678,BASEDATOS!$B:$B,BASEDATOS!Q:Q,0,0,1)</f>
        <v>0</v>
      </c>
      <c r="K678" s="51">
        <f>+_xlfn.XLOOKUP($H678&amp;$V678,BASEDATOS!$B:$B,BASEDATOS!R:R,0,0,1)</f>
        <v>0</v>
      </c>
      <c r="L678" s="51">
        <f t="shared" si="800"/>
        <v>0</v>
      </c>
      <c r="M678" s="52">
        <f t="shared" si="801"/>
        <v>0</v>
      </c>
      <c r="N678" s="51">
        <f t="shared" si="802"/>
        <v>0</v>
      </c>
      <c r="O678" s="53" t="str">
        <f t="shared" ref="O678" si="831">+O679</f>
        <v>0-5-2</v>
      </c>
      <c r="P678" s="54">
        <f>+IF(AND(Y678="Domingo",U678=7),_xlfn.XLOOKUP(O678,'Horarios y Sistemas'!C:C,'Horarios y Sistemas'!H:H,0,0,1),0)</f>
        <v>0</v>
      </c>
      <c r="Q678" s="54">
        <f>IF(U678=U679,0,IF(AVERAGEIF(W:W,W678,U:U)=U678,0,_xlfn.XLOOKUP(O678,'Horarios y Sistemas'!C:C,'Horarios y Sistemas'!H:H,0,0,1)-P678))/7*U678</f>
        <v>0</v>
      </c>
      <c r="R678" s="54">
        <f t="shared" si="804"/>
        <v>0</v>
      </c>
      <c r="S678" s="55" t="str">
        <f t="shared" si="805"/>
        <v>OCTUBRE</v>
      </c>
      <c r="T678" s="55" t="str">
        <f t="shared" si="806"/>
        <v>Sem40</v>
      </c>
      <c r="U678" s="56">
        <f t="shared" si="788"/>
        <v>7</v>
      </c>
      <c r="V678" s="59">
        <v>46298</v>
      </c>
      <c r="W678" s="56">
        <f t="shared" si="807"/>
        <v>40</v>
      </c>
      <c r="X678" s="56">
        <f t="shared" si="808"/>
        <v>3</v>
      </c>
      <c r="Y678" s="56" t="s">
        <v>33</v>
      </c>
      <c r="Z678" s="56">
        <v>6</v>
      </c>
      <c r="AA678" s="58">
        <f t="shared" ref="AA678:AE728" si="832">+IF($I678=AA$7,1,0)</f>
        <v>0</v>
      </c>
      <c r="AB678" s="58">
        <f t="shared" si="832"/>
        <v>0</v>
      </c>
      <c r="AC678" s="58">
        <f t="shared" si="832"/>
        <v>1</v>
      </c>
      <c r="AD678" s="58">
        <f t="shared" si="832"/>
        <v>0</v>
      </c>
      <c r="AE678" s="58">
        <f t="shared" si="832"/>
        <v>0</v>
      </c>
    </row>
    <row r="679" spans="2:34" s="60" customFormat="1">
      <c r="B679" s="60" t="str">
        <f t="shared" si="795"/>
        <v>Sem4040JOSÈ BRAULIO NAVARRO ARCHILA</v>
      </c>
      <c r="C679" s="60" t="str">
        <f t="shared" si="796"/>
        <v>OCTUBRESem40</v>
      </c>
      <c r="D679" s="60" t="str">
        <f t="shared" si="797"/>
        <v>OCTUBRESem40JOSÈ BRAULIO NAVARRO ARCHILA</v>
      </c>
      <c r="E679" s="60" t="str">
        <f t="shared" si="798"/>
        <v>OCTUBRESem4040JOSÈ BRAULIO NAVARRO ARCHILA</v>
      </c>
      <c r="F679" s="60" t="str">
        <f t="shared" si="799"/>
        <v>JOSÈ BRAULIO NAVARRO ARCHILA46299</v>
      </c>
      <c r="H679" s="61" t="s">
        <v>264</v>
      </c>
      <c r="I679" s="62" t="str">
        <f>+_xlfn.XLOOKUP($H679&amp;$V679,BASEDATOS!$B:$B,BASEDATOS!F:F,0,0,1)</f>
        <v>DESCANSO</v>
      </c>
      <c r="J679" s="63">
        <f>+_xlfn.XLOOKUP($H679&amp;$V679,BASEDATOS!$B:$B,BASEDATOS!Q:Q,0,0,1)</f>
        <v>0</v>
      </c>
      <c r="K679" s="63">
        <f>+_xlfn.XLOOKUP($H679&amp;$V679,BASEDATOS!$B:$B,BASEDATOS!R:R,0,0,1)</f>
        <v>0</v>
      </c>
      <c r="L679" s="63">
        <f t="shared" si="800"/>
        <v>0</v>
      </c>
      <c r="M679" s="64">
        <f t="shared" si="801"/>
        <v>0</v>
      </c>
      <c r="N679" s="63">
        <f t="shared" si="802"/>
        <v>0</v>
      </c>
      <c r="O679" s="65" t="str">
        <f t="shared" ref="O679" si="833">+IF(Y679="Domingo",SUM(AA673:AA679)&amp;"-"&amp;SUM(AB673:AB679)&amp;"-"&amp;SUM(AC673:AE679),"")</f>
        <v>0-5-2</v>
      </c>
      <c r="P679" s="66">
        <f>+IF(AND(Y679="Domingo",U679=7),_xlfn.XLOOKUP(O679,'Horarios y Sistemas'!C:C,'Horarios y Sistemas'!H:H,0,0,1),0)</f>
        <v>36</v>
      </c>
      <c r="Q679" s="66">
        <f>IF(U679=U680,0,IF(AVERAGEIF(W:W,W679,U:U)=U679,0,_xlfn.XLOOKUP(O679,'Horarios y Sistemas'!C:C,'Horarios y Sistemas'!H:H,0,0,1)-P679))/7*U679</f>
        <v>0</v>
      </c>
      <c r="R679" s="66">
        <f t="shared" si="804"/>
        <v>36</v>
      </c>
      <c r="S679" s="67" t="str">
        <f t="shared" si="805"/>
        <v>OCTUBRE</v>
      </c>
      <c r="T679" s="55" t="str">
        <f t="shared" si="806"/>
        <v>Sem40</v>
      </c>
      <c r="U679" s="68">
        <f t="shared" si="788"/>
        <v>7</v>
      </c>
      <c r="V679" s="69">
        <v>46299</v>
      </c>
      <c r="W679" s="68">
        <f t="shared" si="807"/>
        <v>40</v>
      </c>
      <c r="X679" s="68">
        <f t="shared" si="808"/>
        <v>4</v>
      </c>
      <c r="Y679" s="68" t="s">
        <v>34</v>
      </c>
      <c r="Z679" s="68">
        <v>7</v>
      </c>
      <c r="AA679" s="70">
        <f t="shared" si="832"/>
        <v>0</v>
      </c>
      <c r="AB679" s="70">
        <f t="shared" si="832"/>
        <v>0</v>
      </c>
      <c r="AC679" s="70">
        <f t="shared" si="832"/>
        <v>1</v>
      </c>
      <c r="AD679" s="70">
        <f t="shared" si="832"/>
        <v>0</v>
      </c>
      <c r="AE679" s="70">
        <f t="shared" si="832"/>
        <v>0</v>
      </c>
      <c r="AF679" s="71"/>
      <c r="AG679" s="71"/>
      <c r="AH679" s="71"/>
    </row>
    <row r="680" spans="2:34">
      <c r="B680" t="str">
        <f t="shared" si="795"/>
        <v>Sem3838José Miguel Ronquillo Pineda</v>
      </c>
      <c r="C680" t="str">
        <f t="shared" si="796"/>
        <v>SEPTIEMBRESem38</v>
      </c>
      <c r="D680" t="str">
        <f t="shared" si="797"/>
        <v>SEPTIEMBRESem38José Miguel Ronquillo Pineda</v>
      </c>
      <c r="E680" t="str">
        <f t="shared" si="798"/>
        <v>SEPTIEMBRESem3838José Miguel Ronquillo Pineda</v>
      </c>
      <c r="F680" t="str">
        <f t="shared" si="799"/>
        <v>José Miguel Ronquillo Pineda46279</v>
      </c>
      <c r="H680" s="49" t="s">
        <v>226</v>
      </c>
      <c r="I680" s="50" t="str">
        <f>+_xlfn.XLOOKUP($H680&amp;$V680,BASEDATOS!$B:$B,BASEDATOS!F:F,0,0,1)</f>
        <v>DESCANSO</v>
      </c>
      <c r="J680" s="51">
        <f>+_xlfn.XLOOKUP($H680&amp;$V680,BASEDATOS!$B:$B,BASEDATOS!Q:Q,0,0,1)</f>
        <v>0</v>
      </c>
      <c r="K680" s="51">
        <f>+_xlfn.XLOOKUP($H680&amp;$V680,BASEDATOS!$B:$B,BASEDATOS!R:R,0,0,1)</f>
        <v>0</v>
      </c>
      <c r="L680" s="51">
        <f t="shared" si="800"/>
        <v>0</v>
      </c>
      <c r="M680" s="52">
        <f t="shared" si="801"/>
        <v>0</v>
      </c>
      <c r="N680" s="51">
        <f t="shared" si="802"/>
        <v>0</v>
      </c>
      <c r="O680" s="53" t="str">
        <f t="shared" ref="O680" si="834">+O686</f>
        <v>5-0-2</v>
      </c>
      <c r="P680" s="54">
        <f>+IF(AND(Y680="Domingo",U680=7),_xlfn.XLOOKUP(O680,'Horarios y Sistemas'!C:C,'Horarios y Sistemas'!H:H,0,0,1),0)</f>
        <v>0</v>
      </c>
      <c r="Q680" s="54">
        <f>IF(U680=U681,0,IF(AVERAGEIF(W:W,W680,U:U)=U680,0,_xlfn.XLOOKUP(O680,'Horarios y Sistemas'!C:C,'Horarios y Sistemas'!H:H,0,0,1)-P680))/7*U680</f>
        <v>0</v>
      </c>
      <c r="R680" s="54">
        <f t="shared" si="804"/>
        <v>0</v>
      </c>
      <c r="S680" s="55" t="str">
        <f t="shared" si="805"/>
        <v>SEPTIEMBRE</v>
      </c>
      <c r="T680" s="55" t="str">
        <f t="shared" si="806"/>
        <v>Sem38</v>
      </c>
      <c r="U680" s="56">
        <f t="shared" si="788"/>
        <v>7</v>
      </c>
      <c r="V680" s="59">
        <v>46279</v>
      </c>
      <c r="W680" s="56">
        <f t="shared" si="807"/>
        <v>38</v>
      </c>
      <c r="X680" s="56">
        <f t="shared" si="808"/>
        <v>14</v>
      </c>
      <c r="Y680" s="56" t="s">
        <v>28</v>
      </c>
      <c r="Z680" s="56">
        <v>1</v>
      </c>
      <c r="AA680" s="58">
        <f t="shared" si="832"/>
        <v>0</v>
      </c>
      <c r="AB680" s="58">
        <f t="shared" si="832"/>
        <v>0</v>
      </c>
      <c r="AC680" s="58">
        <f t="shared" si="832"/>
        <v>1</v>
      </c>
      <c r="AD680" s="58">
        <f t="shared" si="832"/>
        <v>0</v>
      </c>
      <c r="AE680" s="58">
        <f t="shared" si="832"/>
        <v>0</v>
      </c>
    </row>
    <row r="681" spans="2:34">
      <c r="B681" t="str">
        <f t="shared" si="795"/>
        <v>Sem3838José Miguel Ronquillo Pineda</v>
      </c>
      <c r="C681" t="str">
        <f t="shared" si="796"/>
        <v>SEPTIEMBRESem38</v>
      </c>
      <c r="D681" t="str">
        <f t="shared" si="797"/>
        <v>SEPTIEMBRESem38José Miguel Ronquillo Pineda</v>
      </c>
      <c r="E681" t="str">
        <f t="shared" si="798"/>
        <v>SEPTIEMBRESem3838José Miguel Ronquillo Pineda</v>
      </c>
      <c r="F681" t="str">
        <f t="shared" si="799"/>
        <v>José Miguel Ronquillo Pineda46280</v>
      </c>
      <c r="H681" s="49" t="s">
        <v>226</v>
      </c>
      <c r="I681" s="50" t="str">
        <f>+_xlfn.XLOOKUP($H681&amp;$V681,BASEDATOS!$B:$B,BASEDATOS!F:F,0,0,1)</f>
        <v>DIA</v>
      </c>
      <c r="J681" s="51">
        <f>+_xlfn.XLOOKUP($H681&amp;$V681,BASEDATOS!$B:$B,BASEDATOS!Q:Q,0,0,1)</f>
        <v>0.33333333333333298</v>
      </c>
      <c r="K681" s="51">
        <f>+_xlfn.XLOOKUP($H681&amp;$V681,BASEDATOS!$B:$B,BASEDATOS!R:R,0,0,1)</f>
        <v>0.70833333333333304</v>
      </c>
      <c r="L681" s="51">
        <f t="shared" si="800"/>
        <v>0.37500000000000006</v>
      </c>
      <c r="M681" s="52" t="str">
        <f t="shared" si="801"/>
        <v>1:00</v>
      </c>
      <c r="N681" s="51">
        <f t="shared" si="802"/>
        <v>0.33333333333333337</v>
      </c>
      <c r="O681" s="53" t="str">
        <f t="shared" ref="O681" si="835">+O686</f>
        <v>5-0-2</v>
      </c>
      <c r="P681" s="54">
        <f>+IF(AND(Y681="Domingo",U681=7),_xlfn.XLOOKUP(O681,'Horarios y Sistemas'!C:C,'Horarios y Sistemas'!H:H,0,0,1),0)</f>
        <v>0</v>
      </c>
      <c r="Q681" s="54">
        <f>IF(U681=U682,0,IF(AVERAGEIF(W:W,W681,U:U)=U681,0,_xlfn.XLOOKUP(O681,'Horarios y Sistemas'!C:C,'Horarios y Sistemas'!H:H,0,0,1)-P681))/7*U681</f>
        <v>0</v>
      </c>
      <c r="R681" s="54">
        <f t="shared" si="804"/>
        <v>0</v>
      </c>
      <c r="S681" s="55" t="str">
        <f t="shared" si="805"/>
        <v>SEPTIEMBRE</v>
      </c>
      <c r="T681" s="55" t="str">
        <f t="shared" si="806"/>
        <v>Sem38</v>
      </c>
      <c r="U681" s="56">
        <f t="shared" si="788"/>
        <v>7</v>
      </c>
      <c r="V681" s="59">
        <v>46280</v>
      </c>
      <c r="W681" s="56">
        <f t="shared" si="807"/>
        <v>38</v>
      </c>
      <c r="X681" s="56">
        <f t="shared" si="808"/>
        <v>15</v>
      </c>
      <c r="Y681" s="56" t="s">
        <v>29</v>
      </c>
      <c r="Z681" s="56">
        <v>2</v>
      </c>
      <c r="AA681" s="58">
        <f t="shared" si="832"/>
        <v>1</v>
      </c>
      <c r="AB681" s="58">
        <f t="shared" si="832"/>
        <v>0</v>
      </c>
      <c r="AC681" s="58">
        <f t="shared" si="832"/>
        <v>0</v>
      </c>
      <c r="AD681" s="58">
        <f t="shared" si="832"/>
        <v>0</v>
      </c>
      <c r="AE681" s="58">
        <f t="shared" si="832"/>
        <v>0</v>
      </c>
    </row>
    <row r="682" spans="2:34">
      <c r="B682" t="str">
        <f t="shared" si="795"/>
        <v>Sem3838José Miguel Ronquillo Pineda</v>
      </c>
      <c r="C682" t="str">
        <f t="shared" si="796"/>
        <v>SEPTIEMBRESem38</v>
      </c>
      <c r="D682" t="str">
        <f t="shared" si="797"/>
        <v>SEPTIEMBRESem38José Miguel Ronquillo Pineda</v>
      </c>
      <c r="E682" t="str">
        <f t="shared" si="798"/>
        <v>SEPTIEMBRESem3838José Miguel Ronquillo Pineda</v>
      </c>
      <c r="F682" t="str">
        <f t="shared" si="799"/>
        <v>José Miguel Ronquillo Pineda46281</v>
      </c>
      <c r="H682" s="49" t="s">
        <v>226</v>
      </c>
      <c r="I682" s="50" t="str">
        <f>+_xlfn.XLOOKUP($H682&amp;$V682,BASEDATOS!$B:$B,BASEDATOS!F:F,0,0,1)</f>
        <v>DIA</v>
      </c>
      <c r="J682" s="51">
        <f>+_xlfn.XLOOKUP($H682&amp;$V682,BASEDATOS!$B:$B,BASEDATOS!Q:Q,0,0,1)</f>
        <v>0.25</v>
      </c>
      <c r="K682" s="51">
        <f>+_xlfn.XLOOKUP($H682&amp;$V682,BASEDATOS!$B:$B,BASEDATOS!R:R,0,0,1)</f>
        <v>0.75</v>
      </c>
      <c r="L682" s="51">
        <f t="shared" si="800"/>
        <v>0.5</v>
      </c>
      <c r="M682" s="52" t="str">
        <f t="shared" si="801"/>
        <v>1:00</v>
      </c>
      <c r="N682" s="51">
        <f t="shared" si="802"/>
        <v>0.45833333333333331</v>
      </c>
      <c r="O682" s="53" t="str">
        <f t="shared" ref="O682" si="836">+O686</f>
        <v>5-0-2</v>
      </c>
      <c r="P682" s="54">
        <f>+IF(AND(Y682="Domingo",U682=7),_xlfn.XLOOKUP(O682,'Horarios y Sistemas'!C:C,'Horarios y Sistemas'!H:H,0,0,1),0)</f>
        <v>0</v>
      </c>
      <c r="Q682" s="54">
        <f>IF(U682=U683,0,IF(AVERAGEIF(W:W,W682,U:U)=U682,0,_xlfn.XLOOKUP(O682,'Horarios y Sistemas'!C:C,'Horarios y Sistemas'!H:H,0,0,1)-P682))/7*U682</f>
        <v>0</v>
      </c>
      <c r="R682" s="54">
        <f t="shared" si="804"/>
        <v>0</v>
      </c>
      <c r="S682" s="55" t="str">
        <f t="shared" si="805"/>
        <v>SEPTIEMBRE</v>
      </c>
      <c r="T682" s="55" t="str">
        <f t="shared" si="806"/>
        <v>Sem38</v>
      </c>
      <c r="U682" s="56">
        <f t="shared" si="788"/>
        <v>7</v>
      </c>
      <c r="V682" s="59">
        <v>46281</v>
      </c>
      <c r="W682" s="56">
        <f t="shared" si="807"/>
        <v>38</v>
      </c>
      <c r="X682" s="56">
        <f t="shared" si="808"/>
        <v>16</v>
      </c>
      <c r="Y682" s="56" t="s">
        <v>30</v>
      </c>
      <c r="Z682" s="56">
        <v>3</v>
      </c>
      <c r="AA682" s="58">
        <f t="shared" si="832"/>
        <v>1</v>
      </c>
      <c r="AB682" s="58">
        <f t="shared" si="832"/>
        <v>0</v>
      </c>
      <c r="AC682" s="58">
        <f t="shared" si="832"/>
        <v>0</v>
      </c>
      <c r="AD682" s="58">
        <f t="shared" si="832"/>
        <v>0</v>
      </c>
      <c r="AE682" s="58">
        <f t="shared" si="832"/>
        <v>0</v>
      </c>
    </row>
    <row r="683" spans="2:34">
      <c r="B683" t="str">
        <f t="shared" si="795"/>
        <v>Sem3838José Miguel Ronquillo Pineda</v>
      </c>
      <c r="C683" t="str">
        <f t="shared" si="796"/>
        <v>SEPTIEMBRESem38</v>
      </c>
      <c r="D683" t="str">
        <f t="shared" si="797"/>
        <v>SEPTIEMBRESem38José Miguel Ronquillo Pineda</v>
      </c>
      <c r="E683" t="str">
        <f t="shared" si="798"/>
        <v>SEPTIEMBRESem3838José Miguel Ronquillo Pineda</v>
      </c>
      <c r="F683" t="str">
        <f t="shared" si="799"/>
        <v>José Miguel Ronquillo Pineda46282</v>
      </c>
      <c r="H683" s="49" t="s">
        <v>226</v>
      </c>
      <c r="I683" s="50" t="str">
        <f>+_xlfn.XLOOKUP($H683&amp;$V683,BASEDATOS!$B:$B,BASEDATOS!F:F,0,0,1)</f>
        <v>DIA</v>
      </c>
      <c r="J683" s="51">
        <f>+_xlfn.XLOOKUP($H683&amp;$V683,BASEDATOS!$B:$B,BASEDATOS!Q:Q,0,0,1)</f>
        <v>0.25</v>
      </c>
      <c r="K683" s="51">
        <f>+_xlfn.XLOOKUP($H683&amp;$V683,BASEDATOS!$B:$B,BASEDATOS!R:R,0,0,1)</f>
        <v>0.75</v>
      </c>
      <c r="L683" s="51">
        <f t="shared" si="800"/>
        <v>0.5</v>
      </c>
      <c r="M683" s="52" t="str">
        <f t="shared" si="801"/>
        <v>1:00</v>
      </c>
      <c r="N683" s="51">
        <f t="shared" si="802"/>
        <v>0.45833333333333331</v>
      </c>
      <c r="O683" s="53" t="str">
        <f t="shared" ref="O683" si="837">+O686</f>
        <v>5-0-2</v>
      </c>
      <c r="P683" s="54">
        <f>+IF(AND(Y683="Domingo",U683=7),_xlfn.XLOOKUP(O683,'Horarios y Sistemas'!C:C,'Horarios y Sistemas'!H:H,0,0,1),0)</f>
        <v>0</v>
      </c>
      <c r="Q683" s="54">
        <f>IF(U683=U684,0,IF(AVERAGEIF(W:W,W683,U:U)=U683,0,_xlfn.XLOOKUP(O683,'Horarios y Sistemas'!C:C,'Horarios y Sistemas'!H:H,0,0,1)-P683))/7*U683</f>
        <v>0</v>
      </c>
      <c r="R683" s="54">
        <f t="shared" si="804"/>
        <v>0</v>
      </c>
      <c r="S683" s="55" t="str">
        <f t="shared" si="805"/>
        <v>SEPTIEMBRE</v>
      </c>
      <c r="T683" s="55" t="str">
        <f t="shared" si="806"/>
        <v>Sem38</v>
      </c>
      <c r="U683" s="56">
        <f t="shared" si="788"/>
        <v>7</v>
      </c>
      <c r="V683" s="59">
        <v>46282</v>
      </c>
      <c r="W683" s="56">
        <f t="shared" si="807"/>
        <v>38</v>
      </c>
      <c r="X683" s="56">
        <f t="shared" si="808"/>
        <v>17</v>
      </c>
      <c r="Y683" s="56" t="s">
        <v>31</v>
      </c>
      <c r="Z683" s="56">
        <v>4</v>
      </c>
      <c r="AA683" s="58">
        <f t="shared" si="832"/>
        <v>1</v>
      </c>
      <c r="AB683" s="58">
        <f t="shared" si="832"/>
        <v>0</v>
      </c>
      <c r="AC683" s="58">
        <f t="shared" si="832"/>
        <v>0</v>
      </c>
      <c r="AD683" s="58">
        <f t="shared" si="832"/>
        <v>0</v>
      </c>
      <c r="AE683" s="58">
        <f t="shared" si="832"/>
        <v>0</v>
      </c>
    </row>
    <row r="684" spans="2:34">
      <c r="B684" t="str">
        <f t="shared" si="795"/>
        <v>Sem3838José Miguel Ronquillo Pineda</v>
      </c>
      <c r="C684" t="str">
        <f t="shared" si="796"/>
        <v>SEPTIEMBRESem38</v>
      </c>
      <c r="D684" t="str">
        <f t="shared" si="797"/>
        <v>SEPTIEMBRESem38José Miguel Ronquillo Pineda</v>
      </c>
      <c r="E684" t="str">
        <f t="shared" si="798"/>
        <v>SEPTIEMBRESem3838José Miguel Ronquillo Pineda</v>
      </c>
      <c r="F684" t="str">
        <f t="shared" si="799"/>
        <v>José Miguel Ronquillo Pineda46283</v>
      </c>
      <c r="H684" s="49" t="s">
        <v>226</v>
      </c>
      <c r="I684" s="50" t="str">
        <f>+_xlfn.XLOOKUP($H684&amp;$V684,BASEDATOS!$B:$B,BASEDATOS!F:F,0,0,1)</f>
        <v>DIA</v>
      </c>
      <c r="J684" s="51">
        <f>+_xlfn.XLOOKUP($H684&amp;$V684,BASEDATOS!$B:$B,BASEDATOS!Q:Q,0,0,1)</f>
        <v>0.25</v>
      </c>
      <c r="K684" s="51">
        <f>+_xlfn.XLOOKUP($H684&amp;$V684,BASEDATOS!$B:$B,BASEDATOS!R:R,0,0,1)</f>
        <v>0.75</v>
      </c>
      <c r="L684" s="51">
        <f t="shared" si="800"/>
        <v>0.5</v>
      </c>
      <c r="M684" s="52" t="str">
        <f t="shared" si="801"/>
        <v>1:00</v>
      </c>
      <c r="N684" s="51">
        <f t="shared" si="802"/>
        <v>0.45833333333333331</v>
      </c>
      <c r="O684" s="53" t="str">
        <f t="shared" ref="O684" si="838">+O686</f>
        <v>5-0-2</v>
      </c>
      <c r="P684" s="54">
        <f>+IF(AND(Y684="Domingo",U684=7),_xlfn.XLOOKUP(O684,'Horarios y Sistemas'!C:C,'Horarios y Sistemas'!H:H,0,0,1),0)</f>
        <v>0</v>
      </c>
      <c r="Q684" s="54">
        <f>IF(U684=U685,0,IF(AVERAGEIF(W:W,W684,U:U)=U684,0,_xlfn.XLOOKUP(O684,'Horarios y Sistemas'!C:C,'Horarios y Sistemas'!H:H,0,0,1)-P684))/7*U684</f>
        <v>0</v>
      </c>
      <c r="R684" s="54">
        <f t="shared" si="804"/>
        <v>0</v>
      </c>
      <c r="S684" s="55" t="str">
        <f t="shared" si="805"/>
        <v>SEPTIEMBRE</v>
      </c>
      <c r="T684" s="55" t="str">
        <f t="shared" si="806"/>
        <v>Sem38</v>
      </c>
      <c r="U684" s="56">
        <f t="shared" si="788"/>
        <v>7</v>
      </c>
      <c r="V684" s="59">
        <v>46283</v>
      </c>
      <c r="W684" s="56">
        <f t="shared" si="807"/>
        <v>38</v>
      </c>
      <c r="X684" s="56">
        <f t="shared" si="808"/>
        <v>18</v>
      </c>
      <c r="Y684" s="56" t="s">
        <v>32</v>
      </c>
      <c r="Z684" s="56">
        <v>5</v>
      </c>
      <c r="AA684" s="58">
        <f t="shared" si="832"/>
        <v>1</v>
      </c>
      <c r="AB684" s="58">
        <f t="shared" si="832"/>
        <v>0</v>
      </c>
      <c r="AC684" s="58">
        <f t="shared" si="832"/>
        <v>0</v>
      </c>
      <c r="AD684" s="58">
        <f t="shared" si="832"/>
        <v>0</v>
      </c>
      <c r="AE684" s="58">
        <f t="shared" si="832"/>
        <v>0</v>
      </c>
    </row>
    <row r="685" spans="2:34">
      <c r="B685" t="str">
        <f t="shared" si="795"/>
        <v>Sem3838José Miguel Ronquillo Pineda</v>
      </c>
      <c r="C685" t="str">
        <f t="shared" si="796"/>
        <v>SEPTIEMBRESem38</v>
      </c>
      <c r="D685" t="str">
        <f t="shared" si="797"/>
        <v>SEPTIEMBRESem38José Miguel Ronquillo Pineda</v>
      </c>
      <c r="E685" t="str">
        <f t="shared" si="798"/>
        <v>SEPTIEMBRESem3838José Miguel Ronquillo Pineda</v>
      </c>
      <c r="F685" t="str">
        <f t="shared" si="799"/>
        <v>José Miguel Ronquillo Pineda46284</v>
      </c>
      <c r="H685" s="49" t="s">
        <v>226</v>
      </c>
      <c r="I685" s="50" t="str">
        <f>+_xlfn.XLOOKUP($H685&amp;$V685,BASEDATOS!$B:$B,BASEDATOS!F:F,0,0,1)</f>
        <v>DIA</v>
      </c>
      <c r="J685" s="51">
        <f>+_xlfn.XLOOKUP($H685&amp;$V685,BASEDATOS!$B:$B,BASEDATOS!Q:Q,0,0,1)</f>
        <v>0.25</v>
      </c>
      <c r="K685" s="51">
        <f>+_xlfn.XLOOKUP($H685&amp;$V685,BASEDATOS!$B:$B,BASEDATOS!R:R,0,0,1)</f>
        <v>0.75</v>
      </c>
      <c r="L685" s="51">
        <f t="shared" si="800"/>
        <v>0.5</v>
      </c>
      <c r="M685" s="52" t="str">
        <f t="shared" si="801"/>
        <v>1:00</v>
      </c>
      <c r="N685" s="51">
        <f t="shared" si="802"/>
        <v>0.45833333333333331</v>
      </c>
      <c r="O685" s="53" t="str">
        <f t="shared" ref="O685" si="839">+O686</f>
        <v>5-0-2</v>
      </c>
      <c r="P685" s="54">
        <f>+IF(AND(Y685="Domingo",U685=7),_xlfn.XLOOKUP(O685,'Horarios y Sistemas'!C:C,'Horarios y Sistemas'!H:H,0,0,1),0)</f>
        <v>0</v>
      </c>
      <c r="Q685" s="54">
        <f>IF(U685=U686,0,IF(AVERAGEIF(W:W,W685,U:U)=U685,0,_xlfn.XLOOKUP(O685,'Horarios y Sistemas'!C:C,'Horarios y Sistemas'!H:H,0,0,1)-P685))/7*U685</f>
        <v>0</v>
      </c>
      <c r="R685" s="54">
        <f t="shared" si="804"/>
        <v>0</v>
      </c>
      <c r="S685" s="55" t="str">
        <f t="shared" si="805"/>
        <v>SEPTIEMBRE</v>
      </c>
      <c r="T685" s="55" t="str">
        <f t="shared" si="806"/>
        <v>Sem38</v>
      </c>
      <c r="U685" s="56">
        <f t="shared" si="788"/>
        <v>7</v>
      </c>
      <c r="V685" s="59">
        <v>46284</v>
      </c>
      <c r="W685" s="56">
        <f t="shared" si="807"/>
        <v>38</v>
      </c>
      <c r="X685" s="56">
        <f t="shared" si="808"/>
        <v>19</v>
      </c>
      <c r="Y685" s="56" t="s">
        <v>33</v>
      </c>
      <c r="Z685" s="56">
        <v>6</v>
      </c>
      <c r="AA685" s="58">
        <f t="shared" si="832"/>
        <v>1</v>
      </c>
      <c r="AB685" s="58">
        <f t="shared" si="832"/>
        <v>0</v>
      </c>
      <c r="AC685" s="58">
        <f t="shared" si="832"/>
        <v>0</v>
      </c>
      <c r="AD685" s="58">
        <f t="shared" si="832"/>
        <v>0</v>
      </c>
      <c r="AE685" s="58">
        <f t="shared" si="832"/>
        <v>0</v>
      </c>
    </row>
    <row r="686" spans="2:34" s="60" customFormat="1">
      <c r="B686" s="60" t="str">
        <f t="shared" si="795"/>
        <v>Sem3838José Miguel Ronquillo Pineda</v>
      </c>
      <c r="C686" s="60" t="str">
        <f t="shared" si="796"/>
        <v>SEPTIEMBRESem38</v>
      </c>
      <c r="D686" s="60" t="str">
        <f t="shared" si="797"/>
        <v>SEPTIEMBRESem38José Miguel Ronquillo Pineda</v>
      </c>
      <c r="E686" s="60" t="str">
        <f t="shared" si="798"/>
        <v>SEPTIEMBRESem3838José Miguel Ronquillo Pineda</v>
      </c>
      <c r="F686" s="60" t="str">
        <f t="shared" si="799"/>
        <v>José Miguel Ronquillo Pineda46285</v>
      </c>
      <c r="H686" s="61" t="s">
        <v>226</v>
      </c>
      <c r="I686" s="62" t="str">
        <f>+_xlfn.XLOOKUP($H686&amp;$V686,BASEDATOS!$B:$B,BASEDATOS!F:F,0,0,1)</f>
        <v>DESCANSO</v>
      </c>
      <c r="J686" s="63">
        <f>+_xlfn.XLOOKUP($H686&amp;$V686,BASEDATOS!$B:$B,BASEDATOS!Q:Q,0,0,1)</f>
        <v>0</v>
      </c>
      <c r="K686" s="63">
        <f>+_xlfn.XLOOKUP($H686&amp;$V686,BASEDATOS!$B:$B,BASEDATOS!R:R,0,0,1)</f>
        <v>0</v>
      </c>
      <c r="L686" s="63">
        <f t="shared" si="800"/>
        <v>0</v>
      </c>
      <c r="M686" s="64">
        <f t="shared" si="801"/>
        <v>0</v>
      </c>
      <c r="N686" s="63">
        <f t="shared" si="802"/>
        <v>0</v>
      </c>
      <c r="O686" s="65" t="str">
        <f t="shared" ref="O686" si="840">+IF(Y686="Domingo",SUM(AA680:AA686)&amp;"-"&amp;SUM(AB680:AB686)&amp;"-"&amp;SUM(AC680:AE686),"")</f>
        <v>5-0-2</v>
      </c>
      <c r="P686" s="66">
        <f>+IF(AND(Y686="Domingo",U686=7),_xlfn.XLOOKUP(O686,'Horarios y Sistemas'!C:C,'Horarios y Sistemas'!H:H,0,0,1),0)</f>
        <v>44</v>
      </c>
      <c r="Q686" s="66">
        <f>IF(U686=U687,0,IF(AVERAGEIF(W:W,W686,U:U)=U686,0,_xlfn.XLOOKUP(O686,'Horarios y Sistemas'!C:C,'Horarios y Sistemas'!H:H,0,0,1)-P686))/7*U686</f>
        <v>0</v>
      </c>
      <c r="R686" s="66">
        <f t="shared" si="804"/>
        <v>44</v>
      </c>
      <c r="S686" s="67" t="str">
        <f t="shared" si="805"/>
        <v>SEPTIEMBRE</v>
      </c>
      <c r="T686" s="55" t="str">
        <f t="shared" si="806"/>
        <v>Sem38</v>
      </c>
      <c r="U686" s="68">
        <f t="shared" si="788"/>
        <v>7</v>
      </c>
      <c r="V686" s="69">
        <v>46285</v>
      </c>
      <c r="W686" s="68">
        <f t="shared" si="807"/>
        <v>38</v>
      </c>
      <c r="X686" s="68">
        <f t="shared" si="808"/>
        <v>20</v>
      </c>
      <c r="Y686" s="68" t="s">
        <v>34</v>
      </c>
      <c r="Z686" s="68">
        <v>7</v>
      </c>
      <c r="AA686" s="70">
        <f t="shared" si="832"/>
        <v>0</v>
      </c>
      <c r="AB686" s="70">
        <f t="shared" si="832"/>
        <v>0</v>
      </c>
      <c r="AC686" s="70">
        <f t="shared" si="832"/>
        <v>1</v>
      </c>
      <c r="AD686" s="70">
        <f t="shared" si="832"/>
        <v>0</v>
      </c>
      <c r="AE686" s="70">
        <f t="shared" si="832"/>
        <v>0</v>
      </c>
      <c r="AF686" s="71"/>
      <c r="AG686" s="71"/>
      <c r="AH686" s="71"/>
    </row>
    <row r="687" spans="2:34">
      <c r="B687" t="str">
        <f t="shared" si="795"/>
        <v>Sem3939José Miguel Ronquillo Pineda</v>
      </c>
      <c r="C687" t="str">
        <f t="shared" si="796"/>
        <v>SEPTIEMBRESem39</v>
      </c>
      <c r="D687" t="str">
        <f t="shared" si="797"/>
        <v>SEPTIEMBRESem39José Miguel Ronquillo Pineda</v>
      </c>
      <c r="E687" t="str">
        <f t="shared" si="798"/>
        <v>SEPTIEMBRESem3939José Miguel Ronquillo Pineda</v>
      </c>
      <c r="F687" t="str">
        <f t="shared" si="799"/>
        <v>José Miguel Ronquillo Pineda46286</v>
      </c>
      <c r="H687" s="49" t="s">
        <v>226</v>
      </c>
      <c r="I687" s="50" t="str">
        <f>+_xlfn.XLOOKUP($H687&amp;$V687,BASEDATOS!$B:$B,BASEDATOS!F:F,0,0,1)</f>
        <v>NOCHE</v>
      </c>
      <c r="J687" s="51">
        <f>+_xlfn.XLOOKUP($H687&amp;$V687,BASEDATOS!$B:$B,BASEDATOS!Q:Q,0,0,1)</f>
        <v>0.75</v>
      </c>
      <c r="K687" s="51">
        <f>+_xlfn.XLOOKUP($H687&amp;$V687,BASEDATOS!$B:$B,BASEDATOS!R:R,0,0,1)</f>
        <v>0.25</v>
      </c>
      <c r="L687" s="51">
        <f t="shared" si="800"/>
        <v>0.5</v>
      </c>
      <c r="M687" s="52" t="str">
        <f t="shared" si="801"/>
        <v>1:00</v>
      </c>
      <c r="N687" s="51">
        <f t="shared" si="802"/>
        <v>0.45833333333333331</v>
      </c>
      <c r="O687" s="53" t="str">
        <f t="shared" ref="O687" si="841">+O693</f>
        <v>0-6-1</v>
      </c>
      <c r="P687" s="54">
        <f>+IF(AND(Y687="Domingo",U687=7),_xlfn.XLOOKUP(O687,'Horarios y Sistemas'!C:C,'Horarios y Sistemas'!H:H,0,0,1),0)</f>
        <v>0</v>
      </c>
      <c r="Q687" s="54">
        <f>IF(U687=U688,0,IF(AVERAGEIF(W:W,W687,U:U)=U687,0,_xlfn.XLOOKUP(O687,'Horarios y Sistemas'!C:C,'Horarios y Sistemas'!H:H,0,0,1)-P687))/7*U687</f>
        <v>0</v>
      </c>
      <c r="R687" s="54">
        <f t="shared" si="804"/>
        <v>0</v>
      </c>
      <c r="S687" s="55" t="str">
        <f t="shared" si="805"/>
        <v>SEPTIEMBRE</v>
      </c>
      <c r="T687" s="55" t="str">
        <f t="shared" si="806"/>
        <v>Sem39</v>
      </c>
      <c r="U687" s="56">
        <f t="shared" si="788"/>
        <v>7</v>
      </c>
      <c r="V687" s="57">
        <v>46286</v>
      </c>
      <c r="W687" s="56">
        <f t="shared" si="807"/>
        <v>39</v>
      </c>
      <c r="X687" s="56">
        <f t="shared" si="808"/>
        <v>21</v>
      </c>
      <c r="Y687" s="56" t="s">
        <v>28</v>
      </c>
      <c r="Z687" s="56">
        <v>1</v>
      </c>
      <c r="AA687" s="58">
        <f t="shared" si="832"/>
        <v>0</v>
      </c>
      <c r="AB687" s="58">
        <f t="shared" si="832"/>
        <v>1</v>
      </c>
      <c r="AC687" s="58">
        <f t="shared" si="832"/>
        <v>0</v>
      </c>
      <c r="AD687" s="58">
        <f t="shared" si="832"/>
        <v>0</v>
      </c>
      <c r="AE687" s="58">
        <f t="shared" si="832"/>
        <v>0</v>
      </c>
    </row>
    <row r="688" spans="2:34">
      <c r="B688" t="str">
        <f t="shared" si="795"/>
        <v>Sem3939José Miguel Ronquillo Pineda</v>
      </c>
      <c r="C688" t="str">
        <f t="shared" si="796"/>
        <v>SEPTIEMBRESem39</v>
      </c>
      <c r="D688" t="str">
        <f t="shared" si="797"/>
        <v>SEPTIEMBRESem39José Miguel Ronquillo Pineda</v>
      </c>
      <c r="E688" t="str">
        <f t="shared" si="798"/>
        <v>SEPTIEMBRESem3939José Miguel Ronquillo Pineda</v>
      </c>
      <c r="F688" t="str">
        <f t="shared" si="799"/>
        <v>José Miguel Ronquillo Pineda46287</v>
      </c>
      <c r="H688" s="49" t="s">
        <v>226</v>
      </c>
      <c r="I688" s="50" t="str">
        <f>+_xlfn.XLOOKUP($H688&amp;$V688,BASEDATOS!$B:$B,BASEDATOS!F:F,0,0,1)</f>
        <v>NOCHE</v>
      </c>
      <c r="J688" s="51">
        <f>+_xlfn.XLOOKUP($H688&amp;$V688,BASEDATOS!$B:$B,BASEDATOS!Q:Q,0,0,1)</f>
        <v>0.75</v>
      </c>
      <c r="K688" s="51">
        <f>+_xlfn.XLOOKUP($H688&amp;$V688,BASEDATOS!$B:$B,BASEDATOS!R:R,0,0,1)</f>
        <v>0.25</v>
      </c>
      <c r="L688" s="51">
        <f t="shared" si="800"/>
        <v>0.5</v>
      </c>
      <c r="M688" s="52" t="str">
        <f t="shared" si="801"/>
        <v>1:00</v>
      </c>
      <c r="N688" s="51">
        <f t="shared" si="802"/>
        <v>0.45833333333333331</v>
      </c>
      <c r="O688" s="53" t="str">
        <f t="shared" ref="O688" si="842">+O693</f>
        <v>0-6-1</v>
      </c>
      <c r="P688" s="54">
        <f>+IF(AND(Y688="Domingo",U688=7),_xlfn.XLOOKUP(O688,'Horarios y Sistemas'!C:C,'Horarios y Sistemas'!H:H,0,0,1),0)</f>
        <v>0</v>
      </c>
      <c r="Q688" s="54">
        <f>IF(U688=U689,0,IF(AVERAGEIF(W:W,W688,U:U)=U688,0,_xlfn.XLOOKUP(O688,'Horarios y Sistemas'!C:C,'Horarios y Sistemas'!H:H,0,0,1)-P688))/7*U688</f>
        <v>0</v>
      </c>
      <c r="R688" s="54">
        <f t="shared" si="804"/>
        <v>0</v>
      </c>
      <c r="S688" s="55" t="str">
        <f t="shared" si="805"/>
        <v>SEPTIEMBRE</v>
      </c>
      <c r="T688" s="55" t="str">
        <f t="shared" si="806"/>
        <v>Sem39</v>
      </c>
      <c r="U688" s="56">
        <f t="shared" si="788"/>
        <v>7</v>
      </c>
      <c r="V688" s="59">
        <v>46287</v>
      </c>
      <c r="W688" s="56">
        <f t="shared" si="807"/>
        <v>39</v>
      </c>
      <c r="X688" s="56">
        <f t="shared" si="808"/>
        <v>22</v>
      </c>
      <c r="Y688" s="56" t="s">
        <v>29</v>
      </c>
      <c r="Z688" s="56">
        <v>2</v>
      </c>
      <c r="AA688" s="58">
        <f t="shared" si="832"/>
        <v>0</v>
      </c>
      <c r="AB688" s="58">
        <f t="shared" si="832"/>
        <v>1</v>
      </c>
      <c r="AC688" s="58">
        <f t="shared" si="832"/>
        <v>0</v>
      </c>
      <c r="AD688" s="58">
        <f t="shared" si="832"/>
        <v>0</v>
      </c>
      <c r="AE688" s="58">
        <f t="shared" si="832"/>
        <v>0</v>
      </c>
    </row>
    <row r="689" spans="2:34">
      <c r="B689" t="str">
        <f t="shared" si="795"/>
        <v>Sem3939José Miguel Ronquillo Pineda</v>
      </c>
      <c r="C689" t="str">
        <f t="shared" si="796"/>
        <v>SEPTIEMBRESem39</v>
      </c>
      <c r="D689" t="str">
        <f t="shared" si="797"/>
        <v>SEPTIEMBRESem39José Miguel Ronquillo Pineda</v>
      </c>
      <c r="E689" t="str">
        <f t="shared" si="798"/>
        <v>SEPTIEMBRESem3939José Miguel Ronquillo Pineda</v>
      </c>
      <c r="F689" t="str">
        <f t="shared" si="799"/>
        <v>José Miguel Ronquillo Pineda46288</v>
      </c>
      <c r="H689" s="49" t="s">
        <v>226</v>
      </c>
      <c r="I689" s="50" t="str">
        <f>+_xlfn.XLOOKUP($H689&amp;$V689,BASEDATOS!$B:$B,BASEDATOS!F:F,0,0,1)</f>
        <v>NOCHE</v>
      </c>
      <c r="J689" s="51">
        <f>+_xlfn.XLOOKUP($H689&amp;$V689,BASEDATOS!$B:$B,BASEDATOS!Q:Q,0,0,1)</f>
        <v>0.75</v>
      </c>
      <c r="K689" s="51">
        <f>+_xlfn.XLOOKUP($H689&amp;$V689,BASEDATOS!$B:$B,BASEDATOS!R:R,0,0,1)</f>
        <v>0.25</v>
      </c>
      <c r="L689" s="51">
        <f t="shared" si="800"/>
        <v>0.5</v>
      </c>
      <c r="M689" s="52" t="str">
        <f t="shared" si="801"/>
        <v>1:00</v>
      </c>
      <c r="N689" s="51">
        <f t="shared" si="802"/>
        <v>0.45833333333333331</v>
      </c>
      <c r="O689" s="53" t="str">
        <f t="shared" ref="O689" si="843">+O693</f>
        <v>0-6-1</v>
      </c>
      <c r="P689" s="54">
        <f>+IF(AND(Y689="Domingo",U689=7),_xlfn.XLOOKUP(O689,'Horarios y Sistemas'!C:C,'Horarios y Sistemas'!H:H,0,0,1),0)</f>
        <v>0</v>
      </c>
      <c r="Q689" s="54">
        <f>IF(U689=U690,0,IF(AVERAGEIF(W:W,W689,U:U)=U689,0,_xlfn.XLOOKUP(O689,'Horarios y Sistemas'!C:C,'Horarios y Sistemas'!H:H,0,0,1)-P689))/7*U689</f>
        <v>0</v>
      </c>
      <c r="R689" s="54">
        <f t="shared" si="804"/>
        <v>0</v>
      </c>
      <c r="S689" s="55" t="str">
        <f t="shared" si="805"/>
        <v>SEPTIEMBRE</v>
      </c>
      <c r="T689" s="55" t="str">
        <f t="shared" si="806"/>
        <v>Sem39</v>
      </c>
      <c r="U689" s="56">
        <f t="shared" si="788"/>
        <v>7</v>
      </c>
      <c r="V689" s="59">
        <v>46288</v>
      </c>
      <c r="W689" s="56">
        <f t="shared" si="807"/>
        <v>39</v>
      </c>
      <c r="X689" s="56">
        <f t="shared" si="808"/>
        <v>23</v>
      </c>
      <c r="Y689" s="56" t="s">
        <v>30</v>
      </c>
      <c r="Z689" s="56">
        <v>3</v>
      </c>
      <c r="AA689" s="58">
        <f t="shared" si="832"/>
        <v>0</v>
      </c>
      <c r="AB689" s="58">
        <f t="shared" si="832"/>
        <v>1</v>
      </c>
      <c r="AC689" s="58">
        <f t="shared" si="832"/>
        <v>0</v>
      </c>
      <c r="AD689" s="58">
        <f t="shared" si="832"/>
        <v>0</v>
      </c>
      <c r="AE689" s="58">
        <f t="shared" si="832"/>
        <v>0</v>
      </c>
    </row>
    <row r="690" spans="2:34">
      <c r="B690" t="str">
        <f t="shared" si="795"/>
        <v>Sem3939José Miguel Ronquillo Pineda</v>
      </c>
      <c r="C690" t="str">
        <f t="shared" si="796"/>
        <v>SEPTIEMBRESem39</v>
      </c>
      <c r="D690" t="str">
        <f t="shared" si="797"/>
        <v>SEPTIEMBRESem39José Miguel Ronquillo Pineda</v>
      </c>
      <c r="E690" t="str">
        <f t="shared" si="798"/>
        <v>SEPTIEMBRESem3939José Miguel Ronquillo Pineda</v>
      </c>
      <c r="F690" t="str">
        <f t="shared" si="799"/>
        <v>José Miguel Ronquillo Pineda46289</v>
      </c>
      <c r="H690" s="49" t="s">
        <v>226</v>
      </c>
      <c r="I690" s="50" t="str">
        <f>+_xlfn.XLOOKUP($H690&amp;$V690,BASEDATOS!$B:$B,BASEDATOS!F:F,0,0,1)</f>
        <v>NOCHE</v>
      </c>
      <c r="J690" s="51">
        <f>+_xlfn.XLOOKUP($H690&amp;$V690,BASEDATOS!$B:$B,BASEDATOS!Q:Q,0,0,1)</f>
        <v>0.75</v>
      </c>
      <c r="K690" s="51">
        <f>+_xlfn.XLOOKUP($H690&amp;$V690,BASEDATOS!$B:$B,BASEDATOS!R:R,0,0,1)</f>
        <v>0.25</v>
      </c>
      <c r="L690" s="51">
        <f t="shared" si="800"/>
        <v>0.5</v>
      </c>
      <c r="M690" s="52" t="str">
        <f t="shared" si="801"/>
        <v>1:00</v>
      </c>
      <c r="N690" s="51">
        <f t="shared" si="802"/>
        <v>0.45833333333333331</v>
      </c>
      <c r="O690" s="53" t="str">
        <f t="shared" ref="O690" si="844">+O693</f>
        <v>0-6-1</v>
      </c>
      <c r="P690" s="54">
        <f>+IF(AND(Y690="Domingo",U690=7),_xlfn.XLOOKUP(O690,'Horarios y Sistemas'!C:C,'Horarios y Sistemas'!H:H,0,0,1),0)</f>
        <v>0</v>
      </c>
      <c r="Q690" s="54">
        <f>IF(U690=U691,0,IF(AVERAGEIF(W:W,W690,U:U)=U690,0,_xlfn.XLOOKUP(O690,'Horarios y Sistemas'!C:C,'Horarios y Sistemas'!H:H,0,0,1)-P690))/7*U690</f>
        <v>0</v>
      </c>
      <c r="R690" s="54">
        <f t="shared" si="804"/>
        <v>0</v>
      </c>
      <c r="S690" s="55" t="str">
        <f t="shared" si="805"/>
        <v>SEPTIEMBRE</v>
      </c>
      <c r="T690" s="55" t="str">
        <f t="shared" si="806"/>
        <v>Sem39</v>
      </c>
      <c r="U690" s="56">
        <f t="shared" si="788"/>
        <v>7</v>
      </c>
      <c r="V690" s="59">
        <v>46289</v>
      </c>
      <c r="W690" s="56">
        <f t="shared" si="807"/>
        <v>39</v>
      </c>
      <c r="X690" s="56">
        <f t="shared" si="808"/>
        <v>24</v>
      </c>
      <c r="Y690" s="56" t="s">
        <v>31</v>
      </c>
      <c r="Z690" s="56">
        <v>4</v>
      </c>
      <c r="AA690" s="58">
        <f t="shared" si="832"/>
        <v>0</v>
      </c>
      <c r="AB690" s="58">
        <f t="shared" si="832"/>
        <v>1</v>
      </c>
      <c r="AC690" s="58">
        <f t="shared" si="832"/>
        <v>0</v>
      </c>
      <c r="AD690" s="58">
        <f t="shared" si="832"/>
        <v>0</v>
      </c>
      <c r="AE690" s="58">
        <f t="shared" si="832"/>
        <v>0</v>
      </c>
    </row>
    <row r="691" spans="2:34">
      <c r="B691" t="str">
        <f t="shared" si="795"/>
        <v>Sem3939José Miguel Ronquillo Pineda</v>
      </c>
      <c r="C691" t="str">
        <f t="shared" si="796"/>
        <v>SEPTIEMBRESem39</v>
      </c>
      <c r="D691" t="str">
        <f t="shared" si="797"/>
        <v>SEPTIEMBRESem39José Miguel Ronquillo Pineda</v>
      </c>
      <c r="E691" t="str">
        <f t="shared" si="798"/>
        <v>SEPTIEMBRESem3939José Miguel Ronquillo Pineda</v>
      </c>
      <c r="F691" t="str">
        <f t="shared" si="799"/>
        <v>José Miguel Ronquillo Pineda46290</v>
      </c>
      <c r="H691" s="49" t="s">
        <v>226</v>
      </c>
      <c r="I691" s="50" t="str">
        <f>+_xlfn.XLOOKUP($H691&amp;$V691,BASEDATOS!$B:$B,BASEDATOS!F:F,0,0,1)</f>
        <v>NOCHE</v>
      </c>
      <c r="J691" s="51">
        <f>+_xlfn.XLOOKUP($H691&amp;$V691,BASEDATOS!$B:$B,BASEDATOS!Q:Q,0,0,1)</f>
        <v>0.75</v>
      </c>
      <c r="K691" s="51">
        <f>+_xlfn.XLOOKUP($H691&amp;$V691,BASEDATOS!$B:$B,BASEDATOS!R:R,0,0,1)</f>
        <v>0.25</v>
      </c>
      <c r="L691" s="51">
        <f t="shared" si="800"/>
        <v>0.5</v>
      </c>
      <c r="M691" s="52" t="str">
        <f t="shared" si="801"/>
        <v>1:00</v>
      </c>
      <c r="N691" s="51">
        <f t="shared" si="802"/>
        <v>0.45833333333333331</v>
      </c>
      <c r="O691" s="53" t="str">
        <f t="shared" ref="O691" si="845">+O693</f>
        <v>0-6-1</v>
      </c>
      <c r="P691" s="54">
        <f>+IF(AND(Y691="Domingo",U691=7),_xlfn.XLOOKUP(O691,'Horarios y Sistemas'!C:C,'Horarios y Sistemas'!H:H,0,0,1),0)</f>
        <v>0</v>
      </c>
      <c r="Q691" s="54">
        <f>IF(U691=U692,0,IF(AVERAGEIF(W:W,W691,U:U)=U691,0,_xlfn.XLOOKUP(O691,'Horarios y Sistemas'!C:C,'Horarios y Sistemas'!H:H,0,0,1)-P691))/7*U691</f>
        <v>0</v>
      </c>
      <c r="R691" s="54">
        <f t="shared" si="804"/>
        <v>0</v>
      </c>
      <c r="S691" s="55" t="str">
        <f t="shared" si="805"/>
        <v>SEPTIEMBRE</v>
      </c>
      <c r="T691" s="55" t="str">
        <f t="shared" si="806"/>
        <v>Sem39</v>
      </c>
      <c r="U691" s="56">
        <f t="shared" si="788"/>
        <v>7</v>
      </c>
      <c r="V691" s="59">
        <v>46290</v>
      </c>
      <c r="W691" s="56">
        <f t="shared" si="807"/>
        <v>39</v>
      </c>
      <c r="X691" s="56">
        <f t="shared" si="808"/>
        <v>25</v>
      </c>
      <c r="Y691" s="56" t="s">
        <v>32</v>
      </c>
      <c r="Z691" s="56">
        <v>5</v>
      </c>
      <c r="AA691" s="58">
        <f t="shared" si="832"/>
        <v>0</v>
      </c>
      <c r="AB691" s="58">
        <f t="shared" si="832"/>
        <v>1</v>
      </c>
      <c r="AC691" s="58">
        <f t="shared" si="832"/>
        <v>0</v>
      </c>
      <c r="AD691" s="58">
        <f t="shared" si="832"/>
        <v>0</v>
      </c>
      <c r="AE691" s="58">
        <f t="shared" si="832"/>
        <v>0</v>
      </c>
    </row>
    <row r="692" spans="2:34">
      <c r="B692" t="str">
        <f t="shared" si="795"/>
        <v>Sem3939José Miguel Ronquillo Pineda</v>
      </c>
      <c r="C692" t="str">
        <f t="shared" si="796"/>
        <v>SEPTIEMBRESem39</v>
      </c>
      <c r="D692" t="str">
        <f t="shared" si="797"/>
        <v>SEPTIEMBRESem39José Miguel Ronquillo Pineda</v>
      </c>
      <c r="E692" t="str">
        <f t="shared" si="798"/>
        <v>SEPTIEMBRESem3939José Miguel Ronquillo Pineda</v>
      </c>
      <c r="F692" t="str">
        <f t="shared" si="799"/>
        <v>José Miguel Ronquillo Pineda46291</v>
      </c>
      <c r="H692" s="49" t="s">
        <v>226</v>
      </c>
      <c r="I692" s="50" t="str">
        <f>+_xlfn.XLOOKUP($H692&amp;$V692,BASEDATOS!$B:$B,BASEDATOS!F:F,0,0,1)</f>
        <v>NOCHE</v>
      </c>
      <c r="J692" s="51">
        <f>+_xlfn.XLOOKUP($H692&amp;$V692,BASEDATOS!$B:$B,BASEDATOS!Q:Q,0,0,1)</f>
        <v>0.75</v>
      </c>
      <c r="K692" s="51">
        <f>+_xlfn.XLOOKUP($H692&amp;$V692,BASEDATOS!$B:$B,BASEDATOS!R:R,0,0,1)</f>
        <v>0.25</v>
      </c>
      <c r="L692" s="51">
        <f t="shared" si="800"/>
        <v>0.5</v>
      </c>
      <c r="M692" s="52" t="str">
        <f t="shared" si="801"/>
        <v>1:00</v>
      </c>
      <c r="N692" s="51">
        <f t="shared" si="802"/>
        <v>0.45833333333333331</v>
      </c>
      <c r="O692" s="53" t="str">
        <f t="shared" ref="O692" si="846">+O693</f>
        <v>0-6-1</v>
      </c>
      <c r="P692" s="54">
        <f>+IF(AND(Y692="Domingo",U692=7),_xlfn.XLOOKUP(O692,'Horarios y Sistemas'!C:C,'Horarios y Sistemas'!H:H,0,0,1),0)</f>
        <v>0</v>
      </c>
      <c r="Q692" s="54">
        <f>IF(U692=U693,0,IF(AVERAGEIF(W:W,W692,U:U)=U692,0,_xlfn.XLOOKUP(O692,'Horarios y Sistemas'!C:C,'Horarios y Sistemas'!H:H,0,0,1)-P692))/7*U692</f>
        <v>0</v>
      </c>
      <c r="R692" s="54">
        <f t="shared" si="804"/>
        <v>0</v>
      </c>
      <c r="S692" s="55" t="str">
        <f t="shared" si="805"/>
        <v>SEPTIEMBRE</v>
      </c>
      <c r="T692" s="55" t="str">
        <f t="shared" si="806"/>
        <v>Sem39</v>
      </c>
      <c r="U692" s="56">
        <f t="shared" si="788"/>
        <v>7</v>
      </c>
      <c r="V692" s="59">
        <v>46291</v>
      </c>
      <c r="W692" s="56">
        <f t="shared" si="807"/>
        <v>39</v>
      </c>
      <c r="X692" s="56">
        <f t="shared" si="808"/>
        <v>26</v>
      </c>
      <c r="Y692" s="56" t="s">
        <v>33</v>
      </c>
      <c r="Z692" s="56">
        <v>6</v>
      </c>
      <c r="AA692" s="58">
        <f t="shared" si="832"/>
        <v>0</v>
      </c>
      <c r="AB692" s="58">
        <f t="shared" si="832"/>
        <v>1</v>
      </c>
      <c r="AC692" s="58">
        <f t="shared" si="832"/>
        <v>0</v>
      </c>
      <c r="AD692" s="58">
        <f t="shared" si="832"/>
        <v>0</v>
      </c>
      <c r="AE692" s="58">
        <f t="shared" si="832"/>
        <v>0</v>
      </c>
    </row>
    <row r="693" spans="2:34" s="60" customFormat="1">
      <c r="B693" s="60" t="str">
        <f t="shared" si="795"/>
        <v>Sem3939José Miguel Ronquillo Pineda</v>
      </c>
      <c r="C693" s="60" t="str">
        <f t="shared" si="796"/>
        <v>SEPTIEMBRESem39</v>
      </c>
      <c r="D693" s="60" t="str">
        <f t="shared" si="797"/>
        <v>SEPTIEMBRESem39José Miguel Ronquillo Pineda</v>
      </c>
      <c r="E693" s="60" t="str">
        <f t="shared" si="798"/>
        <v>SEPTIEMBRESem3939José Miguel Ronquillo Pineda</v>
      </c>
      <c r="F693" s="60" t="str">
        <f t="shared" si="799"/>
        <v>José Miguel Ronquillo Pineda46292</v>
      </c>
      <c r="H693" s="61" t="s">
        <v>226</v>
      </c>
      <c r="I693" s="62" t="str">
        <f>+_xlfn.XLOOKUP($H693&amp;$V693,BASEDATOS!$B:$B,BASEDATOS!F:F,0,0,1)</f>
        <v>DESCANSO</v>
      </c>
      <c r="J693" s="63">
        <f>+_xlfn.XLOOKUP($H693&amp;$V693,BASEDATOS!$B:$B,BASEDATOS!Q:Q,0,0,1)</f>
        <v>0</v>
      </c>
      <c r="K693" s="63">
        <f>+_xlfn.XLOOKUP($H693&amp;$V693,BASEDATOS!$B:$B,BASEDATOS!R:R,0,0,1)</f>
        <v>0</v>
      </c>
      <c r="L693" s="63">
        <f t="shared" si="800"/>
        <v>0</v>
      </c>
      <c r="M693" s="64">
        <f t="shared" si="801"/>
        <v>0</v>
      </c>
      <c r="N693" s="63">
        <f t="shared" si="802"/>
        <v>0</v>
      </c>
      <c r="O693" s="65" t="str">
        <f t="shared" ref="O693" si="847">+IF(Y693="Domingo",SUM(AA687:AA693)&amp;"-"&amp;SUM(AB687:AB693)&amp;"-"&amp;SUM(AC687:AE693),"")</f>
        <v>0-6-1</v>
      </c>
      <c r="P693" s="66">
        <f>+IF(AND(Y693="Domingo",U693=7),_xlfn.XLOOKUP(O693,'Horarios y Sistemas'!C:C,'Horarios y Sistemas'!H:H,0,0,1),0)</f>
        <v>36</v>
      </c>
      <c r="Q693" s="66">
        <f>IF(U693=U694,0,IF(AVERAGEIF(W:W,W693,U:U)=U693,0,_xlfn.XLOOKUP(O693,'Horarios y Sistemas'!C:C,'Horarios y Sistemas'!H:H,0,0,1)-P693))/7*U693</f>
        <v>0</v>
      </c>
      <c r="R693" s="66">
        <f t="shared" si="804"/>
        <v>36</v>
      </c>
      <c r="S693" s="67" t="str">
        <f t="shared" si="805"/>
        <v>SEPTIEMBRE</v>
      </c>
      <c r="T693" s="55" t="str">
        <f t="shared" si="806"/>
        <v>Sem39</v>
      </c>
      <c r="U693" s="68">
        <f t="shared" si="788"/>
        <v>7</v>
      </c>
      <c r="V693" s="69">
        <v>46292</v>
      </c>
      <c r="W693" s="68">
        <f t="shared" si="807"/>
        <v>39</v>
      </c>
      <c r="X693" s="68">
        <f t="shared" si="808"/>
        <v>27</v>
      </c>
      <c r="Y693" s="68" t="s">
        <v>34</v>
      </c>
      <c r="Z693" s="68">
        <v>7</v>
      </c>
      <c r="AA693" s="70">
        <f t="shared" si="832"/>
        <v>0</v>
      </c>
      <c r="AB693" s="70">
        <f t="shared" si="832"/>
        <v>0</v>
      </c>
      <c r="AC693" s="70">
        <f t="shared" si="832"/>
        <v>1</v>
      </c>
      <c r="AD693" s="70">
        <f t="shared" si="832"/>
        <v>0</v>
      </c>
      <c r="AE693" s="70">
        <f t="shared" si="832"/>
        <v>0</v>
      </c>
      <c r="AF693" s="71"/>
      <c r="AG693" s="71"/>
      <c r="AH693" s="71"/>
    </row>
    <row r="694" spans="2:34">
      <c r="B694" t="str">
        <f t="shared" si="795"/>
        <v>Sem4040José Miguel Ronquillo Pineda</v>
      </c>
      <c r="C694" t="str">
        <f t="shared" si="796"/>
        <v>SEPTIEMBRESem40</v>
      </c>
      <c r="D694" t="str">
        <f t="shared" si="797"/>
        <v>SEPTIEMBRESem40José Miguel Ronquillo Pineda</v>
      </c>
      <c r="E694" t="str">
        <f t="shared" si="798"/>
        <v>SEPTIEMBRESem4040José Miguel Ronquillo Pineda</v>
      </c>
      <c r="F694" t="str">
        <f t="shared" si="799"/>
        <v>José Miguel Ronquillo Pineda46293</v>
      </c>
      <c r="H694" s="49" t="s">
        <v>226</v>
      </c>
      <c r="I694" s="50" t="str">
        <f>+_xlfn.XLOOKUP($H694&amp;$V694,BASEDATOS!$B:$B,BASEDATOS!F:F,0,0,1)</f>
        <v>DIA</v>
      </c>
      <c r="J694" s="51">
        <f>+_xlfn.XLOOKUP($H694&amp;$V694,BASEDATOS!$B:$B,BASEDATOS!Q:Q,0,0,1)</f>
        <v>0.25</v>
      </c>
      <c r="K694" s="51">
        <f>+_xlfn.XLOOKUP($H694&amp;$V694,BASEDATOS!$B:$B,BASEDATOS!R:R,0,0,1)</f>
        <v>0.75</v>
      </c>
      <c r="L694" s="51">
        <f t="shared" si="800"/>
        <v>0.5</v>
      </c>
      <c r="M694" s="52" t="str">
        <f t="shared" si="801"/>
        <v>1:00</v>
      </c>
      <c r="N694" s="51">
        <f t="shared" si="802"/>
        <v>0.45833333333333331</v>
      </c>
      <c r="O694" s="53" t="str">
        <f t="shared" ref="O694" si="848">+O700</f>
        <v>6-0-1</v>
      </c>
      <c r="P694" s="54">
        <f>+IF(AND(Y694="Domingo",U694=7),_xlfn.XLOOKUP(O694,'Horarios y Sistemas'!C:C,'Horarios y Sistemas'!H:H,0,0,1),0)</f>
        <v>0</v>
      </c>
      <c r="Q694" s="54">
        <f>IF(U694=U695,0,IF(AVERAGEIF(W:W,W694,U:U)=U694,0,_xlfn.XLOOKUP(O694,'Horarios y Sistemas'!C:C,'Horarios y Sistemas'!H:H,0,0,1)-P694))/7*U694</f>
        <v>0</v>
      </c>
      <c r="R694" s="54">
        <f t="shared" si="804"/>
        <v>0</v>
      </c>
      <c r="S694" s="55" t="str">
        <f t="shared" si="805"/>
        <v>SEPTIEMBRE</v>
      </c>
      <c r="T694" s="55" t="str">
        <f t="shared" si="806"/>
        <v>Sem40</v>
      </c>
      <c r="U694" s="56">
        <f t="shared" si="788"/>
        <v>7</v>
      </c>
      <c r="V694" s="59">
        <v>46293</v>
      </c>
      <c r="W694" s="56">
        <f t="shared" si="807"/>
        <v>40</v>
      </c>
      <c r="X694" s="56">
        <f t="shared" si="808"/>
        <v>28</v>
      </c>
      <c r="Y694" s="56" t="s">
        <v>28</v>
      </c>
      <c r="Z694" s="56">
        <v>1</v>
      </c>
      <c r="AA694" s="58">
        <f t="shared" si="832"/>
        <v>1</v>
      </c>
      <c r="AB694" s="58">
        <f t="shared" si="832"/>
        <v>0</v>
      </c>
      <c r="AC694" s="58">
        <f t="shared" si="832"/>
        <v>0</v>
      </c>
      <c r="AD694" s="58">
        <f t="shared" si="832"/>
        <v>0</v>
      </c>
      <c r="AE694" s="58">
        <f t="shared" si="832"/>
        <v>0</v>
      </c>
    </row>
    <row r="695" spans="2:34">
      <c r="B695" t="str">
        <f t="shared" si="795"/>
        <v>Sem4040José Miguel Ronquillo Pineda</v>
      </c>
      <c r="C695" t="str">
        <f t="shared" si="796"/>
        <v>SEPTIEMBRESem40</v>
      </c>
      <c r="D695" t="str">
        <f t="shared" si="797"/>
        <v>SEPTIEMBRESem40José Miguel Ronquillo Pineda</v>
      </c>
      <c r="E695" t="str">
        <f t="shared" si="798"/>
        <v>SEPTIEMBRESem4040José Miguel Ronquillo Pineda</v>
      </c>
      <c r="F695" t="str">
        <f t="shared" si="799"/>
        <v>José Miguel Ronquillo Pineda46294</v>
      </c>
      <c r="H695" s="49" t="s">
        <v>226</v>
      </c>
      <c r="I695" s="50" t="str">
        <f>+_xlfn.XLOOKUP($H695&amp;$V695,BASEDATOS!$B:$B,BASEDATOS!F:F,0,0,1)</f>
        <v>DIA</v>
      </c>
      <c r="J695" s="51">
        <f>+_xlfn.XLOOKUP($H695&amp;$V695,BASEDATOS!$B:$B,BASEDATOS!Q:Q,0,0,1)</f>
        <v>0.25</v>
      </c>
      <c r="K695" s="51">
        <f>+_xlfn.XLOOKUP($H695&amp;$V695,BASEDATOS!$B:$B,BASEDATOS!R:R,0,0,1)</f>
        <v>0.75</v>
      </c>
      <c r="L695" s="51">
        <f t="shared" si="800"/>
        <v>0.5</v>
      </c>
      <c r="M695" s="52" t="str">
        <f t="shared" si="801"/>
        <v>1:00</v>
      </c>
      <c r="N695" s="51">
        <f t="shared" si="802"/>
        <v>0.45833333333333331</v>
      </c>
      <c r="O695" s="53" t="str">
        <f t="shared" ref="O695" si="849">+O700</f>
        <v>6-0-1</v>
      </c>
      <c r="P695" s="54">
        <f>+IF(AND(Y695="Domingo",U695=7),_xlfn.XLOOKUP(O695,'Horarios y Sistemas'!C:C,'Horarios y Sistemas'!H:H,0,0,1),0)</f>
        <v>0</v>
      </c>
      <c r="Q695" s="54">
        <f>IF(U695=U696,0,IF(AVERAGEIF(W:W,W695,U:U)=U695,0,_xlfn.XLOOKUP(O695,'Horarios y Sistemas'!C:C,'Horarios y Sistemas'!H:H,0,0,1)-P695))/7*U695</f>
        <v>0</v>
      </c>
      <c r="R695" s="54">
        <f t="shared" si="804"/>
        <v>0</v>
      </c>
      <c r="S695" s="55" t="str">
        <f t="shared" si="805"/>
        <v>SEPTIEMBRE</v>
      </c>
      <c r="T695" s="55" t="str">
        <f t="shared" si="806"/>
        <v>Sem40</v>
      </c>
      <c r="U695" s="56">
        <f t="shared" si="788"/>
        <v>7</v>
      </c>
      <c r="V695" s="59">
        <v>46294</v>
      </c>
      <c r="W695" s="56">
        <f t="shared" si="807"/>
        <v>40</v>
      </c>
      <c r="X695" s="56">
        <f t="shared" si="808"/>
        <v>29</v>
      </c>
      <c r="Y695" s="56" t="s">
        <v>29</v>
      </c>
      <c r="Z695" s="56">
        <v>2</v>
      </c>
      <c r="AA695" s="58">
        <f t="shared" si="832"/>
        <v>1</v>
      </c>
      <c r="AB695" s="58">
        <f t="shared" si="832"/>
        <v>0</v>
      </c>
      <c r="AC695" s="58">
        <f t="shared" si="832"/>
        <v>0</v>
      </c>
      <c r="AD695" s="58">
        <f t="shared" si="832"/>
        <v>0</v>
      </c>
      <c r="AE695" s="58">
        <f t="shared" si="832"/>
        <v>0</v>
      </c>
    </row>
    <row r="696" spans="2:34">
      <c r="B696" t="str">
        <f t="shared" si="795"/>
        <v>Sem4040José Miguel Ronquillo Pineda</v>
      </c>
      <c r="C696" t="str">
        <f t="shared" si="796"/>
        <v>SEPTIEMBRESem40</v>
      </c>
      <c r="D696" t="str">
        <f t="shared" si="797"/>
        <v>SEPTIEMBRESem40José Miguel Ronquillo Pineda</v>
      </c>
      <c r="E696" t="str">
        <f t="shared" si="798"/>
        <v>SEPTIEMBRESem4040José Miguel Ronquillo Pineda</v>
      </c>
      <c r="F696" t="str">
        <f t="shared" si="799"/>
        <v>José Miguel Ronquillo Pineda46295</v>
      </c>
      <c r="H696" s="49" t="s">
        <v>226</v>
      </c>
      <c r="I696" s="50" t="str">
        <f>+_xlfn.XLOOKUP($H696&amp;$V696,BASEDATOS!$B:$B,BASEDATOS!F:F,0,0,1)</f>
        <v>DIA</v>
      </c>
      <c r="J696" s="51">
        <f>+_xlfn.XLOOKUP($H696&amp;$V696,BASEDATOS!$B:$B,BASEDATOS!Q:Q,0,0,1)</f>
        <v>0.25</v>
      </c>
      <c r="K696" s="51">
        <f>+_xlfn.XLOOKUP($H696&amp;$V696,BASEDATOS!$B:$B,BASEDATOS!R:R,0,0,1)</f>
        <v>0.75</v>
      </c>
      <c r="L696" s="51">
        <f t="shared" si="800"/>
        <v>0.5</v>
      </c>
      <c r="M696" s="52" t="str">
        <f t="shared" si="801"/>
        <v>1:00</v>
      </c>
      <c r="N696" s="51">
        <f t="shared" si="802"/>
        <v>0.45833333333333331</v>
      </c>
      <c r="O696" s="53" t="str">
        <f t="shared" ref="O696" si="850">+O700</f>
        <v>6-0-1</v>
      </c>
      <c r="P696" s="54">
        <f>+IF(AND(Y696="Domingo",U696=7),_xlfn.XLOOKUP(O696,'Horarios y Sistemas'!C:C,'Horarios y Sistemas'!H:H,0,0,1),0)</f>
        <v>0</v>
      </c>
      <c r="Q696" s="54">
        <f>IF(U696=U697,0,IF(AVERAGEIF(W:W,W696,U:U)=U696,0,_xlfn.XLOOKUP(O696,'Horarios y Sistemas'!C:C,'Horarios y Sistemas'!H:H,0,0,1)-P696))/7*U696</f>
        <v>0</v>
      </c>
      <c r="R696" s="54">
        <f t="shared" si="804"/>
        <v>0</v>
      </c>
      <c r="S696" s="55" t="str">
        <f t="shared" si="805"/>
        <v>SEPTIEMBRE</v>
      </c>
      <c r="T696" s="55" t="str">
        <f t="shared" si="806"/>
        <v>Sem40</v>
      </c>
      <c r="U696" s="56">
        <f t="shared" si="788"/>
        <v>7</v>
      </c>
      <c r="V696" s="59">
        <v>46295</v>
      </c>
      <c r="W696" s="56">
        <f t="shared" si="807"/>
        <v>40</v>
      </c>
      <c r="X696" s="56">
        <f t="shared" si="808"/>
        <v>30</v>
      </c>
      <c r="Y696" s="56" t="s">
        <v>30</v>
      </c>
      <c r="Z696" s="56">
        <v>3</v>
      </c>
      <c r="AA696" s="58">
        <f t="shared" si="832"/>
        <v>1</v>
      </c>
      <c r="AB696" s="58">
        <f t="shared" si="832"/>
        <v>0</v>
      </c>
      <c r="AC696" s="58">
        <f t="shared" si="832"/>
        <v>0</v>
      </c>
      <c r="AD696" s="58">
        <f t="shared" si="832"/>
        <v>0</v>
      </c>
      <c r="AE696" s="58">
        <f t="shared" si="832"/>
        <v>0</v>
      </c>
    </row>
    <row r="697" spans="2:34">
      <c r="B697" t="str">
        <f t="shared" si="795"/>
        <v>Sem4040José Miguel Ronquillo Pineda</v>
      </c>
      <c r="C697" t="str">
        <f t="shared" si="796"/>
        <v>OCTUBRESem40</v>
      </c>
      <c r="D697" t="str">
        <f t="shared" si="797"/>
        <v>OCTUBRESem40José Miguel Ronquillo Pineda</v>
      </c>
      <c r="E697" t="str">
        <f t="shared" si="798"/>
        <v>OCTUBRESem4040José Miguel Ronquillo Pineda</v>
      </c>
      <c r="F697" t="str">
        <f t="shared" si="799"/>
        <v>José Miguel Ronquillo Pineda46296</v>
      </c>
      <c r="H697" s="49" t="s">
        <v>226</v>
      </c>
      <c r="I697" s="50" t="str">
        <f>+_xlfn.XLOOKUP($H697&amp;$V697,BASEDATOS!$B:$B,BASEDATOS!F:F,0,0,1)</f>
        <v>DIA</v>
      </c>
      <c r="J697" s="51">
        <f>+_xlfn.XLOOKUP($H697&amp;$V697,BASEDATOS!$B:$B,BASEDATOS!Q:Q,0,0,1)</f>
        <v>0.25</v>
      </c>
      <c r="K697" s="51">
        <f>+_xlfn.XLOOKUP($H697&amp;$V697,BASEDATOS!$B:$B,BASEDATOS!R:R,0,0,1)</f>
        <v>0.75</v>
      </c>
      <c r="L697" s="51">
        <f t="shared" si="800"/>
        <v>0.5</v>
      </c>
      <c r="M697" s="52" t="str">
        <f t="shared" si="801"/>
        <v>1:00</v>
      </c>
      <c r="N697" s="51">
        <f t="shared" si="802"/>
        <v>0.45833333333333331</v>
      </c>
      <c r="O697" s="53" t="str">
        <f t="shared" ref="O697" si="851">+O700</f>
        <v>6-0-1</v>
      </c>
      <c r="P697" s="54">
        <f>+IF(AND(Y697="Domingo",U697=7),_xlfn.XLOOKUP(O697,'Horarios y Sistemas'!C:C,'Horarios y Sistemas'!H:H,0,0,1),0)</f>
        <v>0</v>
      </c>
      <c r="Q697" s="54">
        <f>IF(U697=U698,0,IF(AVERAGEIF(W:W,W697,U:U)=U697,0,_xlfn.XLOOKUP(O697,'Horarios y Sistemas'!C:C,'Horarios y Sistemas'!H:H,0,0,1)-P697))/7*U697</f>
        <v>0</v>
      </c>
      <c r="R697" s="54">
        <f t="shared" si="804"/>
        <v>0</v>
      </c>
      <c r="S697" s="55" t="str">
        <f t="shared" si="805"/>
        <v>OCTUBRE</v>
      </c>
      <c r="T697" s="55" t="str">
        <f t="shared" si="806"/>
        <v>Sem40</v>
      </c>
      <c r="U697" s="56">
        <f t="shared" si="788"/>
        <v>7</v>
      </c>
      <c r="V697" s="59">
        <v>46296</v>
      </c>
      <c r="W697" s="56">
        <f t="shared" si="807"/>
        <v>40</v>
      </c>
      <c r="X697" s="56">
        <f t="shared" si="808"/>
        <v>1</v>
      </c>
      <c r="Y697" s="56" t="s">
        <v>31</v>
      </c>
      <c r="Z697" s="56">
        <v>4</v>
      </c>
      <c r="AA697" s="58">
        <f t="shared" si="832"/>
        <v>1</v>
      </c>
      <c r="AB697" s="58">
        <f t="shared" si="832"/>
        <v>0</v>
      </c>
      <c r="AC697" s="58">
        <f t="shared" si="832"/>
        <v>0</v>
      </c>
      <c r="AD697" s="58">
        <f t="shared" si="832"/>
        <v>0</v>
      </c>
      <c r="AE697" s="58">
        <f t="shared" si="832"/>
        <v>0</v>
      </c>
    </row>
    <row r="698" spans="2:34">
      <c r="B698" t="str">
        <f t="shared" si="795"/>
        <v>Sem4040José Miguel Ronquillo Pineda</v>
      </c>
      <c r="C698" t="str">
        <f t="shared" si="796"/>
        <v>OCTUBRESem40</v>
      </c>
      <c r="D698" t="str">
        <f t="shared" si="797"/>
        <v>OCTUBRESem40José Miguel Ronquillo Pineda</v>
      </c>
      <c r="E698" t="str">
        <f t="shared" si="798"/>
        <v>OCTUBRESem4040José Miguel Ronquillo Pineda</v>
      </c>
      <c r="F698" t="str">
        <f t="shared" si="799"/>
        <v>José Miguel Ronquillo Pineda46297</v>
      </c>
      <c r="H698" s="49" t="s">
        <v>226</v>
      </c>
      <c r="I698" s="50" t="str">
        <f>+_xlfn.XLOOKUP($H698&amp;$V698,BASEDATOS!$B:$B,BASEDATOS!F:F,0,0,1)</f>
        <v>DIA</v>
      </c>
      <c r="J698" s="51">
        <f>+_xlfn.XLOOKUP($H698&amp;$V698,BASEDATOS!$B:$B,BASEDATOS!Q:Q,0,0,1)</f>
        <v>0.25</v>
      </c>
      <c r="K698" s="51">
        <f>+_xlfn.XLOOKUP($H698&amp;$V698,BASEDATOS!$B:$B,BASEDATOS!R:R,0,0,1)</f>
        <v>0.75</v>
      </c>
      <c r="L698" s="51">
        <f t="shared" si="800"/>
        <v>0.5</v>
      </c>
      <c r="M698" s="52" t="str">
        <f t="shared" si="801"/>
        <v>1:00</v>
      </c>
      <c r="N698" s="51">
        <f t="shared" si="802"/>
        <v>0.45833333333333331</v>
      </c>
      <c r="O698" s="53" t="str">
        <f t="shared" ref="O698" si="852">+O700</f>
        <v>6-0-1</v>
      </c>
      <c r="P698" s="54">
        <f>+IF(AND(Y698="Domingo",U698=7),_xlfn.XLOOKUP(O698,'Horarios y Sistemas'!C:C,'Horarios y Sistemas'!H:H,0,0,1),0)</f>
        <v>0</v>
      </c>
      <c r="Q698" s="54">
        <f>IF(U698=U699,0,IF(AVERAGEIF(W:W,W698,U:U)=U698,0,_xlfn.XLOOKUP(O698,'Horarios y Sistemas'!C:C,'Horarios y Sistemas'!H:H,0,0,1)-P698))/7*U698</f>
        <v>0</v>
      </c>
      <c r="R698" s="54">
        <f t="shared" si="804"/>
        <v>0</v>
      </c>
      <c r="S698" s="55" t="str">
        <f t="shared" si="805"/>
        <v>OCTUBRE</v>
      </c>
      <c r="T698" s="55" t="str">
        <f t="shared" si="806"/>
        <v>Sem40</v>
      </c>
      <c r="U698" s="56">
        <f t="shared" si="788"/>
        <v>7</v>
      </c>
      <c r="V698" s="59">
        <v>46297</v>
      </c>
      <c r="W698" s="56">
        <f t="shared" si="807"/>
        <v>40</v>
      </c>
      <c r="X698" s="56">
        <f t="shared" si="808"/>
        <v>2</v>
      </c>
      <c r="Y698" s="56" t="s">
        <v>32</v>
      </c>
      <c r="Z698" s="56">
        <v>5</v>
      </c>
      <c r="AA698" s="58">
        <f t="shared" si="832"/>
        <v>1</v>
      </c>
      <c r="AB698" s="58">
        <f t="shared" si="832"/>
        <v>0</v>
      </c>
      <c r="AC698" s="58">
        <f t="shared" si="832"/>
        <v>0</v>
      </c>
      <c r="AD698" s="58">
        <f t="shared" si="832"/>
        <v>0</v>
      </c>
      <c r="AE698" s="58">
        <f t="shared" si="832"/>
        <v>0</v>
      </c>
    </row>
    <row r="699" spans="2:34">
      <c r="B699" t="str">
        <f t="shared" si="795"/>
        <v>Sem4040José Miguel Ronquillo Pineda</v>
      </c>
      <c r="C699" t="str">
        <f t="shared" si="796"/>
        <v>OCTUBRESem40</v>
      </c>
      <c r="D699" t="str">
        <f t="shared" si="797"/>
        <v>OCTUBRESem40José Miguel Ronquillo Pineda</v>
      </c>
      <c r="E699" t="str">
        <f t="shared" si="798"/>
        <v>OCTUBRESem4040José Miguel Ronquillo Pineda</v>
      </c>
      <c r="F699" t="str">
        <f t="shared" si="799"/>
        <v>José Miguel Ronquillo Pineda46298</v>
      </c>
      <c r="H699" s="49" t="s">
        <v>226</v>
      </c>
      <c r="I699" s="50" t="str">
        <f>+_xlfn.XLOOKUP($H699&amp;$V699,BASEDATOS!$B:$B,BASEDATOS!F:F,0,0,1)</f>
        <v>DIA</v>
      </c>
      <c r="J699" s="51">
        <f>+_xlfn.XLOOKUP($H699&amp;$V699,BASEDATOS!$B:$B,BASEDATOS!Q:Q,0,0,1)</f>
        <v>0.25</v>
      </c>
      <c r="K699" s="51">
        <f>+_xlfn.XLOOKUP($H699&amp;$V699,BASEDATOS!$B:$B,BASEDATOS!R:R,0,0,1)</f>
        <v>0.75</v>
      </c>
      <c r="L699" s="51">
        <f t="shared" si="800"/>
        <v>0.5</v>
      </c>
      <c r="M699" s="52" t="str">
        <f t="shared" si="801"/>
        <v>1:00</v>
      </c>
      <c r="N699" s="51">
        <f t="shared" si="802"/>
        <v>0.45833333333333331</v>
      </c>
      <c r="O699" s="53" t="str">
        <f t="shared" ref="O699" si="853">+O700</f>
        <v>6-0-1</v>
      </c>
      <c r="P699" s="54">
        <f>+IF(AND(Y699="Domingo",U699=7),_xlfn.XLOOKUP(O699,'Horarios y Sistemas'!C:C,'Horarios y Sistemas'!H:H,0,0,1),0)</f>
        <v>0</v>
      </c>
      <c r="Q699" s="54">
        <f>IF(U699=U700,0,IF(AVERAGEIF(W:W,W699,U:U)=U699,0,_xlfn.XLOOKUP(O699,'Horarios y Sistemas'!C:C,'Horarios y Sistemas'!H:H,0,0,1)-P699))/7*U699</f>
        <v>0</v>
      </c>
      <c r="R699" s="54">
        <f t="shared" si="804"/>
        <v>0</v>
      </c>
      <c r="S699" s="55" t="str">
        <f t="shared" si="805"/>
        <v>OCTUBRE</v>
      </c>
      <c r="T699" s="55" t="str">
        <f t="shared" si="806"/>
        <v>Sem40</v>
      </c>
      <c r="U699" s="56">
        <f t="shared" si="788"/>
        <v>7</v>
      </c>
      <c r="V699" s="59">
        <v>46298</v>
      </c>
      <c r="W699" s="56">
        <f t="shared" si="807"/>
        <v>40</v>
      </c>
      <c r="X699" s="56">
        <f t="shared" si="808"/>
        <v>3</v>
      </c>
      <c r="Y699" s="56" t="s">
        <v>33</v>
      </c>
      <c r="Z699" s="56">
        <v>6</v>
      </c>
      <c r="AA699" s="58">
        <f t="shared" si="832"/>
        <v>1</v>
      </c>
      <c r="AB699" s="58">
        <f t="shared" si="832"/>
        <v>0</v>
      </c>
      <c r="AC699" s="58">
        <f t="shared" si="832"/>
        <v>0</v>
      </c>
      <c r="AD699" s="58">
        <f t="shared" si="832"/>
        <v>0</v>
      </c>
      <c r="AE699" s="58">
        <f t="shared" si="832"/>
        <v>0</v>
      </c>
    </row>
    <row r="700" spans="2:34" s="60" customFormat="1">
      <c r="B700" s="60" t="str">
        <f t="shared" si="795"/>
        <v>Sem4040José Miguel Ronquillo Pineda</v>
      </c>
      <c r="C700" s="60" t="str">
        <f t="shared" si="796"/>
        <v>OCTUBRESem40</v>
      </c>
      <c r="D700" s="60" t="str">
        <f t="shared" si="797"/>
        <v>OCTUBRESem40José Miguel Ronquillo Pineda</v>
      </c>
      <c r="E700" s="60" t="str">
        <f t="shared" si="798"/>
        <v>OCTUBRESem4040José Miguel Ronquillo Pineda</v>
      </c>
      <c r="F700" s="60" t="str">
        <f t="shared" si="799"/>
        <v>José Miguel Ronquillo Pineda46299</v>
      </c>
      <c r="H700" s="61" t="s">
        <v>226</v>
      </c>
      <c r="I700" s="62" t="str">
        <f>+_xlfn.XLOOKUP($H700&amp;$V700,BASEDATOS!$B:$B,BASEDATOS!F:F,0,0,1)</f>
        <v>DESCANSO</v>
      </c>
      <c r="J700" s="63">
        <f>+_xlfn.XLOOKUP($H700&amp;$V700,BASEDATOS!$B:$B,BASEDATOS!Q:Q,0,0,1)</f>
        <v>0</v>
      </c>
      <c r="K700" s="63">
        <f>+_xlfn.XLOOKUP($H700&amp;$V700,BASEDATOS!$B:$B,BASEDATOS!R:R,0,0,1)</f>
        <v>0</v>
      </c>
      <c r="L700" s="63">
        <f t="shared" si="800"/>
        <v>0</v>
      </c>
      <c r="M700" s="64">
        <f t="shared" si="801"/>
        <v>0</v>
      </c>
      <c r="N700" s="63">
        <f t="shared" si="802"/>
        <v>0</v>
      </c>
      <c r="O700" s="65" t="str">
        <f t="shared" ref="O700" si="854">+IF(Y700="Domingo",SUM(AA694:AA700)&amp;"-"&amp;SUM(AB694:AB700)&amp;"-"&amp;SUM(AC694:AE700),"")</f>
        <v>6-0-1</v>
      </c>
      <c r="P700" s="66">
        <f>+IF(AND(Y700="Domingo",U700=7),_xlfn.XLOOKUP(O700,'Horarios y Sistemas'!C:C,'Horarios y Sistemas'!H:H,0,0,1),0)</f>
        <v>44</v>
      </c>
      <c r="Q700" s="66">
        <f>IF(U700=U701,0,IF(AVERAGEIF(W:W,W700,U:U)=U700,0,_xlfn.XLOOKUP(O700,'Horarios y Sistemas'!C:C,'Horarios y Sistemas'!H:H,0,0,1)-P700))/7*U700</f>
        <v>0</v>
      </c>
      <c r="R700" s="66">
        <f t="shared" si="804"/>
        <v>44</v>
      </c>
      <c r="S700" s="67" t="str">
        <f t="shared" si="805"/>
        <v>OCTUBRE</v>
      </c>
      <c r="T700" s="55" t="str">
        <f t="shared" si="806"/>
        <v>Sem40</v>
      </c>
      <c r="U700" s="68">
        <f t="shared" si="788"/>
        <v>7</v>
      </c>
      <c r="V700" s="69">
        <v>46299</v>
      </c>
      <c r="W700" s="68">
        <f t="shared" si="807"/>
        <v>40</v>
      </c>
      <c r="X700" s="68">
        <f t="shared" si="808"/>
        <v>4</v>
      </c>
      <c r="Y700" s="68" t="s">
        <v>34</v>
      </c>
      <c r="Z700" s="68">
        <v>7</v>
      </c>
      <c r="AA700" s="70">
        <f t="shared" si="832"/>
        <v>0</v>
      </c>
      <c r="AB700" s="70">
        <f t="shared" si="832"/>
        <v>0</v>
      </c>
      <c r="AC700" s="70">
        <f t="shared" si="832"/>
        <v>1</v>
      </c>
      <c r="AD700" s="70">
        <f t="shared" si="832"/>
        <v>0</v>
      </c>
      <c r="AE700" s="70">
        <f t="shared" si="832"/>
        <v>0</v>
      </c>
      <c r="AF700" s="71"/>
      <c r="AG700" s="71"/>
      <c r="AH700" s="71"/>
    </row>
    <row r="701" spans="2:34">
      <c r="B701" t="str">
        <f t="shared" si="795"/>
        <v>Sem3838KEVIN ALEJANDRO RODRIGUEZ ARGUETA</v>
      </c>
      <c r="C701" t="str">
        <f t="shared" si="796"/>
        <v>SEPTIEMBRESem38</v>
      </c>
      <c r="D701" t="str">
        <f t="shared" si="797"/>
        <v>SEPTIEMBRESem38KEVIN ALEJANDRO RODRIGUEZ ARGUETA</v>
      </c>
      <c r="E701" t="str">
        <f t="shared" si="798"/>
        <v>SEPTIEMBRESem3838KEVIN ALEJANDRO RODRIGUEZ ARGUETA</v>
      </c>
      <c r="F701" t="str">
        <f t="shared" si="799"/>
        <v>KEVIN ALEJANDRO RODRIGUEZ ARGUETA46279</v>
      </c>
      <c r="H701" s="49" t="s">
        <v>227</v>
      </c>
      <c r="I701" s="50" t="str">
        <f>+_xlfn.XLOOKUP($H701&amp;$V701,BASEDATOS!$B:$B,BASEDATOS!F:F,0,0,1)</f>
        <v>DESCANSO</v>
      </c>
      <c r="J701" s="51">
        <f>+_xlfn.XLOOKUP($H701&amp;$V701,BASEDATOS!$B:$B,BASEDATOS!Q:Q,0,0,1)</f>
        <v>0</v>
      </c>
      <c r="K701" s="51">
        <f>+_xlfn.XLOOKUP($H701&amp;$V701,BASEDATOS!$B:$B,BASEDATOS!R:R,0,0,1)</f>
        <v>0</v>
      </c>
      <c r="L701" s="51">
        <f t="shared" si="800"/>
        <v>0</v>
      </c>
      <c r="M701" s="52">
        <f t="shared" si="801"/>
        <v>0</v>
      </c>
      <c r="N701" s="51">
        <f t="shared" si="802"/>
        <v>0</v>
      </c>
      <c r="O701" s="53" t="str">
        <f t="shared" ref="O701" si="855">+O707</f>
        <v>5-0-2</v>
      </c>
      <c r="P701" s="54">
        <f>+IF(AND(Y701="Domingo",U701=7),_xlfn.XLOOKUP(O701,'Horarios y Sistemas'!C:C,'Horarios y Sistemas'!H:H,0,0,1),0)</f>
        <v>0</v>
      </c>
      <c r="Q701" s="54">
        <f>IF(U701=U702,0,IF(AVERAGEIF(W:W,W701,U:U)=U701,0,_xlfn.XLOOKUP(O701,'Horarios y Sistemas'!C:C,'Horarios y Sistemas'!H:H,0,0,1)-P701))/7*U701</f>
        <v>0</v>
      </c>
      <c r="R701" s="54">
        <f t="shared" si="804"/>
        <v>0</v>
      </c>
      <c r="S701" s="55" t="str">
        <f t="shared" si="805"/>
        <v>SEPTIEMBRE</v>
      </c>
      <c r="T701" s="55" t="str">
        <f t="shared" si="806"/>
        <v>Sem38</v>
      </c>
      <c r="U701" s="56">
        <f t="shared" si="788"/>
        <v>7</v>
      </c>
      <c r="V701" s="59">
        <v>46279</v>
      </c>
      <c r="W701" s="56">
        <f t="shared" si="807"/>
        <v>38</v>
      </c>
      <c r="X701" s="56">
        <f t="shared" si="808"/>
        <v>14</v>
      </c>
      <c r="Y701" s="56" t="s">
        <v>28</v>
      </c>
      <c r="Z701" s="56">
        <v>1</v>
      </c>
      <c r="AA701" s="58">
        <f t="shared" si="832"/>
        <v>0</v>
      </c>
      <c r="AB701" s="58">
        <f t="shared" si="832"/>
        <v>0</v>
      </c>
      <c r="AC701" s="58">
        <f t="shared" si="832"/>
        <v>1</v>
      </c>
      <c r="AD701" s="58">
        <f t="shared" si="832"/>
        <v>0</v>
      </c>
      <c r="AE701" s="58">
        <f t="shared" si="832"/>
        <v>0</v>
      </c>
    </row>
    <row r="702" spans="2:34">
      <c r="B702" t="str">
        <f t="shared" si="795"/>
        <v>Sem3838KEVIN ALEJANDRO RODRIGUEZ ARGUETA</v>
      </c>
      <c r="C702" t="str">
        <f t="shared" si="796"/>
        <v>SEPTIEMBRESem38</v>
      </c>
      <c r="D702" t="str">
        <f t="shared" si="797"/>
        <v>SEPTIEMBRESem38KEVIN ALEJANDRO RODRIGUEZ ARGUETA</v>
      </c>
      <c r="E702" t="str">
        <f t="shared" si="798"/>
        <v>SEPTIEMBRESem3838KEVIN ALEJANDRO RODRIGUEZ ARGUETA</v>
      </c>
      <c r="F702" t="str">
        <f t="shared" si="799"/>
        <v>KEVIN ALEJANDRO RODRIGUEZ ARGUETA46280</v>
      </c>
      <c r="H702" s="49" t="s">
        <v>227</v>
      </c>
      <c r="I702" s="50" t="str">
        <f>+_xlfn.XLOOKUP($H702&amp;$V702,BASEDATOS!$B:$B,BASEDATOS!F:F,0,0,1)</f>
        <v>DIA</v>
      </c>
      <c r="J702" s="51">
        <f>+_xlfn.XLOOKUP($H702&amp;$V702,BASEDATOS!$B:$B,BASEDATOS!Q:Q,0,0,1)</f>
        <v>0.33333333333333298</v>
      </c>
      <c r="K702" s="51">
        <f>+_xlfn.XLOOKUP($H702&amp;$V702,BASEDATOS!$B:$B,BASEDATOS!R:R,0,0,1)</f>
        <v>0.70833333333333304</v>
      </c>
      <c r="L702" s="51">
        <f t="shared" si="800"/>
        <v>0.37500000000000006</v>
      </c>
      <c r="M702" s="52" t="str">
        <f t="shared" si="801"/>
        <v>1:00</v>
      </c>
      <c r="N702" s="51">
        <f t="shared" si="802"/>
        <v>0.33333333333333337</v>
      </c>
      <c r="O702" s="53" t="str">
        <f t="shared" ref="O702" si="856">+O707</f>
        <v>5-0-2</v>
      </c>
      <c r="P702" s="54">
        <f>+IF(AND(Y702="Domingo",U702=7),_xlfn.XLOOKUP(O702,'Horarios y Sistemas'!C:C,'Horarios y Sistemas'!H:H,0,0,1),0)</f>
        <v>0</v>
      </c>
      <c r="Q702" s="54">
        <f>IF(U702=U703,0,IF(AVERAGEIF(W:W,W702,U:U)=U702,0,_xlfn.XLOOKUP(O702,'Horarios y Sistemas'!C:C,'Horarios y Sistemas'!H:H,0,0,1)-P702))/7*U702</f>
        <v>0</v>
      </c>
      <c r="R702" s="54">
        <f t="shared" si="804"/>
        <v>0</v>
      </c>
      <c r="S702" s="55" t="str">
        <f t="shared" si="805"/>
        <v>SEPTIEMBRE</v>
      </c>
      <c r="T702" s="55" t="str">
        <f t="shared" si="806"/>
        <v>Sem38</v>
      </c>
      <c r="U702" s="56">
        <f t="shared" si="788"/>
        <v>7</v>
      </c>
      <c r="V702" s="59">
        <v>46280</v>
      </c>
      <c r="W702" s="56">
        <f t="shared" si="807"/>
        <v>38</v>
      </c>
      <c r="X702" s="56">
        <f t="shared" si="808"/>
        <v>15</v>
      </c>
      <c r="Y702" s="56" t="s">
        <v>29</v>
      </c>
      <c r="Z702" s="56">
        <v>2</v>
      </c>
      <c r="AA702" s="58">
        <f t="shared" si="832"/>
        <v>1</v>
      </c>
      <c r="AB702" s="58">
        <f t="shared" si="832"/>
        <v>0</v>
      </c>
      <c r="AC702" s="58">
        <f t="shared" si="832"/>
        <v>0</v>
      </c>
      <c r="AD702" s="58">
        <f t="shared" si="832"/>
        <v>0</v>
      </c>
      <c r="AE702" s="58">
        <f t="shared" si="832"/>
        <v>0</v>
      </c>
    </row>
    <row r="703" spans="2:34">
      <c r="B703" t="str">
        <f t="shared" si="795"/>
        <v>Sem3838KEVIN ALEJANDRO RODRIGUEZ ARGUETA</v>
      </c>
      <c r="C703" t="str">
        <f t="shared" si="796"/>
        <v>SEPTIEMBRESem38</v>
      </c>
      <c r="D703" t="str">
        <f t="shared" si="797"/>
        <v>SEPTIEMBRESem38KEVIN ALEJANDRO RODRIGUEZ ARGUETA</v>
      </c>
      <c r="E703" t="str">
        <f t="shared" si="798"/>
        <v>SEPTIEMBRESem3838KEVIN ALEJANDRO RODRIGUEZ ARGUETA</v>
      </c>
      <c r="F703" t="str">
        <f t="shared" si="799"/>
        <v>KEVIN ALEJANDRO RODRIGUEZ ARGUETA46281</v>
      </c>
      <c r="H703" s="49" t="s">
        <v>227</v>
      </c>
      <c r="I703" s="50" t="str">
        <f>+_xlfn.XLOOKUP($H703&amp;$V703,BASEDATOS!$B:$B,BASEDATOS!F:F,0,0,1)</f>
        <v>DIA</v>
      </c>
      <c r="J703" s="51">
        <f>+_xlfn.XLOOKUP($H703&amp;$V703,BASEDATOS!$B:$B,BASEDATOS!Q:Q,0,0,1)</f>
        <v>0.25</v>
      </c>
      <c r="K703" s="51">
        <f>+_xlfn.XLOOKUP($H703&amp;$V703,BASEDATOS!$B:$B,BASEDATOS!R:R,0,0,1)</f>
        <v>0.75</v>
      </c>
      <c r="L703" s="51">
        <f t="shared" si="800"/>
        <v>0.5</v>
      </c>
      <c r="M703" s="52" t="str">
        <f t="shared" si="801"/>
        <v>1:00</v>
      </c>
      <c r="N703" s="51">
        <f t="shared" si="802"/>
        <v>0.45833333333333331</v>
      </c>
      <c r="O703" s="53" t="str">
        <f t="shared" ref="O703" si="857">+O707</f>
        <v>5-0-2</v>
      </c>
      <c r="P703" s="54">
        <f>+IF(AND(Y703="Domingo",U703=7),_xlfn.XLOOKUP(O703,'Horarios y Sistemas'!C:C,'Horarios y Sistemas'!H:H,0,0,1),0)</f>
        <v>0</v>
      </c>
      <c r="Q703" s="54">
        <f>IF(U703=U704,0,IF(AVERAGEIF(W:W,W703,U:U)=U703,0,_xlfn.XLOOKUP(O703,'Horarios y Sistemas'!C:C,'Horarios y Sistemas'!H:H,0,0,1)-P703))/7*U703</f>
        <v>0</v>
      </c>
      <c r="R703" s="54">
        <f t="shared" si="804"/>
        <v>0</v>
      </c>
      <c r="S703" s="55" t="str">
        <f t="shared" si="805"/>
        <v>SEPTIEMBRE</v>
      </c>
      <c r="T703" s="55" t="str">
        <f t="shared" si="806"/>
        <v>Sem38</v>
      </c>
      <c r="U703" s="56">
        <f t="shared" si="788"/>
        <v>7</v>
      </c>
      <c r="V703" s="59">
        <v>46281</v>
      </c>
      <c r="W703" s="56">
        <f t="shared" si="807"/>
        <v>38</v>
      </c>
      <c r="X703" s="56">
        <f t="shared" si="808"/>
        <v>16</v>
      </c>
      <c r="Y703" s="56" t="s">
        <v>30</v>
      </c>
      <c r="Z703" s="56">
        <v>3</v>
      </c>
      <c r="AA703" s="58">
        <f t="shared" si="832"/>
        <v>1</v>
      </c>
      <c r="AB703" s="58">
        <f t="shared" si="832"/>
        <v>0</v>
      </c>
      <c r="AC703" s="58">
        <f t="shared" si="832"/>
        <v>0</v>
      </c>
      <c r="AD703" s="58">
        <f t="shared" si="832"/>
        <v>0</v>
      </c>
      <c r="AE703" s="58">
        <f t="shared" si="832"/>
        <v>0</v>
      </c>
    </row>
    <row r="704" spans="2:34">
      <c r="B704" t="str">
        <f t="shared" si="795"/>
        <v>Sem3838KEVIN ALEJANDRO RODRIGUEZ ARGUETA</v>
      </c>
      <c r="C704" t="str">
        <f t="shared" si="796"/>
        <v>SEPTIEMBRESem38</v>
      </c>
      <c r="D704" t="str">
        <f t="shared" si="797"/>
        <v>SEPTIEMBRESem38KEVIN ALEJANDRO RODRIGUEZ ARGUETA</v>
      </c>
      <c r="E704" t="str">
        <f t="shared" si="798"/>
        <v>SEPTIEMBRESem3838KEVIN ALEJANDRO RODRIGUEZ ARGUETA</v>
      </c>
      <c r="F704" t="str">
        <f t="shared" si="799"/>
        <v>KEVIN ALEJANDRO RODRIGUEZ ARGUETA46282</v>
      </c>
      <c r="H704" s="49" t="s">
        <v>227</v>
      </c>
      <c r="I704" s="50" t="str">
        <f>+_xlfn.XLOOKUP($H704&amp;$V704,BASEDATOS!$B:$B,BASEDATOS!F:F,0,0,1)</f>
        <v>DIA</v>
      </c>
      <c r="J704" s="51">
        <f>+_xlfn.XLOOKUP($H704&amp;$V704,BASEDATOS!$B:$B,BASEDATOS!Q:Q,0,0,1)</f>
        <v>0.25</v>
      </c>
      <c r="K704" s="51">
        <f>+_xlfn.XLOOKUP($H704&amp;$V704,BASEDATOS!$B:$B,BASEDATOS!R:R,0,0,1)</f>
        <v>0.75</v>
      </c>
      <c r="L704" s="51">
        <f t="shared" si="800"/>
        <v>0.5</v>
      </c>
      <c r="M704" s="52" t="str">
        <f t="shared" si="801"/>
        <v>1:00</v>
      </c>
      <c r="N704" s="51">
        <f t="shared" si="802"/>
        <v>0.45833333333333331</v>
      </c>
      <c r="O704" s="53" t="str">
        <f t="shared" ref="O704" si="858">+O707</f>
        <v>5-0-2</v>
      </c>
      <c r="P704" s="54">
        <f>+IF(AND(Y704="Domingo",U704=7),_xlfn.XLOOKUP(O704,'Horarios y Sistemas'!C:C,'Horarios y Sistemas'!H:H,0,0,1),0)</f>
        <v>0</v>
      </c>
      <c r="Q704" s="54">
        <f>IF(U704=U705,0,IF(AVERAGEIF(W:W,W704,U:U)=U704,0,_xlfn.XLOOKUP(O704,'Horarios y Sistemas'!C:C,'Horarios y Sistemas'!H:H,0,0,1)-P704))/7*U704</f>
        <v>0</v>
      </c>
      <c r="R704" s="54">
        <f t="shared" si="804"/>
        <v>0</v>
      </c>
      <c r="S704" s="55" t="str">
        <f t="shared" si="805"/>
        <v>SEPTIEMBRE</v>
      </c>
      <c r="T704" s="55" t="str">
        <f t="shared" si="806"/>
        <v>Sem38</v>
      </c>
      <c r="U704" s="56">
        <f t="shared" si="788"/>
        <v>7</v>
      </c>
      <c r="V704" s="59">
        <v>46282</v>
      </c>
      <c r="W704" s="56">
        <f t="shared" si="807"/>
        <v>38</v>
      </c>
      <c r="X704" s="56">
        <f t="shared" si="808"/>
        <v>17</v>
      </c>
      <c r="Y704" s="56" t="s">
        <v>31</v>
      </c>
      <c r="Z704" s="56">
        <v>4</v>
      </c>
      <c r="AA704" s="58">
        <f t="shared" si="832"/>
        <v>1</v>
      </c>
      <c r="AB704" s="58">
        <f t="shared" si="832"/>
        <v>0</v>
      </c>
      <c r="AC704" s="58">
        <f t="shared" si="832"/>
        <v>0</v>
      </c>
      <c r="AD704" s="58">
        <f t="shared" si="832"/>
        <v>0</v>
      </c>
      <c r="AE704" s="58">
        <f t="shared" si="832"/>
        <v>0</v>
      </c>
    </row>
    <row r="705" spans="2:34">
      <c r="B705" t="str">
        <f t="shared" si="795"/>
        <v>Sem3838KEVIN ALEJANDRO RODRIGUEZ ARGUETA</v>
      </c>
      <c r="C705" t="str">
        <f t="shared" si="796"/>
        <v>SEPTIEMBRESem38</v>
      </c>
      <c r="D705" t="str">
        <f t="shared" si="797"/>
        <v>SEPTIEMBRESem38KEVIN ALEJANDRO RODRIGUEZ ARGUETA</v>
      </c>
      <c r="E705" t="str">
        <f t="shared" si="798"/>
        <v>SEPTIEMBRESem3838KEVIN ALEJANDRO RODRIGUEZ ARGUETA</v>
      </c>
      <c r="F705" t="str">
        <f t="shared" si="799"/>
        <v>KEVIN ALEJANDRO RODRIGUEZ ARGUETA46283</v>
      </c>
      <c r="H705" s="49" t="s">
        <v>227</v>
      </c>
      <c r="I705" s="50" t="str">
        <f>+_xlfn.XLOOKUP($H705&amp;$V705,BASEDATOS!$B:$B,BASEDATOS!F:F,0,0,1)</f>
        <v>DIA</v>
      </c>
      <c r="J705" s="51">
        <f>+_xlfn.XLOOKUP($H705&amp;$V705,BASEDATOS!$B:$B,BASEDATOS!Q:Q,0,0,1)</f>
        <v>0.25</v>
      </c>
      <c r="K705" s="51">
        <f>+_xlfn.XLOOKUP($H705&amp;$V705,BASEDATOS!$B:$B,BASEDATOS!R:R,0,0,1)</f>
        <v>0.75</v>
      </c>
      <c r="L705" s="51">
        <f t="shared" si="800"/>
        <v>0.5</v>
      </c>
      <c r="M705" s="52" t="str">
        <f t="shared" si="801"/>
        <v>1:00</v>
      </c>
      <c r="N705" s="51">
        <f t="shared" si="802"/>
        <v>0.45833333333333331</v>
      </c>
      <c r="O705" s="53" t="str">
        <f t="shared" ref="O705" si="859">+O707</f>
        <v>5-0-2</v>
      </c>
      <c r="P705" s="54">
        <f>+IF(AND(Y705="Domingo",U705=7),_xlfn.XLOOKUP(O705,'Horarios y Sistemas'!C:C,'Horarios y Sistemas'!H:H,0,0,1),0)</f>
        <v>0</v>
      </c>
      <c r="Q705" s="54">
        <f>IF(U705=U706,0,IF(AVERAGEIF(W:W,W705,U:U)=U705,0,_xlfn.XLOOKUP(O705,'Horarios y Sistemas'!C:C,'Horarios y Sistemas'!H:H,0,0,1)-P705))/7*U705</f>
        <v>0</v>
      </c>
      <c r="R705" s="54">
        <f t="shared" si="804"/>
        <v>0</v>
      </c>
      <c r="S705" s="55" t="str">
        <f t="shared" si="805"/>
        <v>SEPTIEMBRE</v>
      </c>
      <c r="T705" s="55" t="str">
        <f t="shared" si="806"/>
        <v>Sem38</v>
      </c>
      <c r="U705" s="56">
        <f t="shared" si="788"/>
        <v>7</v>
      </c>
      <c r="V705" s="59">
        <v>46283</v>
      </c>
      <c r="W705" s="56">
        <f t="shared" si="807"/>
        <v>38</v>
      </c>
      <c r="X705" s="56">
        <f t="shared" si="808"/>
        <v>18</v>
      </c>
      <c r="Y705" s="56" t="s">
        <v>32</v>
      </c>
      <c r="Z705" s="56">
        <v>5</v>
      </c>
      <c r="AA705" s="58">
        <f t="shared" si="832"/>
        <v>1</v>
      </c>
      <c r="AB705" s="58">
        <f t="shared" si="832"/>
        <v>0</v>
      </c>
      <c r="AC705" s="58">
        <f t="shared" si="832"/>
        <v>0</v>
      </c>
      <c r="AD705" s="58">
        <f t="shared" si="832"/>
        <v>0</v>
      </c>
      <c r="AE705" s="58">
        <f t="shared" si="832"/>
        <v>0</v>
      </c>
    </row>
    <row r="706" spans="2:34">
      <c r="B706" t="str">
        <f t="shared" si="795"/>
        <v>Sem3838KEVIN ALEJANDRO RODRIGUEZ ARGUETA</v>
      </c>
      <c r="C706" t="str">
        <f t="shared" si="796"/>
        <v>SEPTIEMBRESem38</v>
      </c>
      <c r="D706" t="str">
        <f t="shared" si="797"/>
        <v>SEPTIEMBRESem38KEVIN ALEJANDRO RODRIGUEZ ARGUETA</v>
      </c>
      <c r="E706" t="str">
        <f t="shared" si="798"/>
        <v>SEPTIEMBRESem3838KEVIN ALEJANDRO RODRIGUEZ ARGUETA</v>
      </c>
      <c r="F706" t="str">
        <f t="shared" si="799"/>
        <v>KEVIN ALEJANDRO RODRIGUEZ ARGUETA46284</v>
      </c>
      <c r="H706" s="49" t="s">
        <v>227</v>
      </c>
      <c r="I706" s="50" t="str">
        <f>+_xlfn.XLOOKUP($H706&amp;$V706,BASEDATOS!$B:$B,BASEDATOS!F:F,0,0,1)</f>
        <v>DIA</v>
      </c>
      <c r="J706" s="51">
        <f>+_xlfn.XLOOKUP($H706&amp;$V706,BASEDATOS!$B:$B,BASEDATOS!Q:Q,0,0,1)</f>
        <v>0.25</v>
      </c>
      <c r="K706" s="51">
        <f>+_xlfn.XLOOKUP($H706&amp;$V706,BASEDATOS!$B:$B,BASEDATOS!R:R,0,0,1)</f>
        <v>0.58333333333333304</v>
      </c>
      <c r="L706" s="51">
        <f t="shared" si="800"/>
        <v>0.33333333333333304</v>
      </c>
      <c r="M706" s="52" t="str">
        <f t="shared" si="801"/>
        <v>1:00</v>
      </c>
      <c r="N706" s="51">
        <f t="shared" si="802"/>
        <v>0.29166666666666635</v>
      </c>
      <c r="O706" s="53" t="str">
        <f t="shared" ref="O706" si="860">+O707</f>
        <v>5-0-2</v>
      </c>
      <c r="P706" s="54">
        <f>+IF(AND(Y706="Domingo",U706=7),_xlfn.XLOOKUP(O706,'Horarios y Sistemas'!C:C,'Horarios y Sistemas'!H:H,0,0,1),0)</f>
        <v>0</v>
      </c>
      <c r="Q706" s="54">
        <f>IF(U706=U707,0,IF(AVERAGEIF(W:W,W706,U:U)=U706,0,_xlfn.XLOOKUP(O706,'Horarios y Sistemas'!C:C,'Horarios y Sistemas'!H:H,0,0,1)-P706))/7*U706</f>
        <v>0</v>
      </c>
      <c r="R706" s="54">
        <f t="shared" si="804"/>
        <v>0</v>
      </c>
      <c r="S706" s="55" t="str">
        <f t="shared" si="805"/>
        <v>SEPTIEMBRE</v>
      </c>
      <c r="T706" s="55" t="str">
        <f t="shared" si="806"/>
        <v>Sem38</v>
      </c>
      <c r="U706" s="56">
        <f t="shared" si="788"/>
        <v>7</v>
      </c>
      <c r="V706" s="59">
        <v>46284</v>
      </c>
      <c r="W706" s="56">
        <f t="shared" si="807"/>
        <v>38</v>
      </c>
      <c r="X706" s="56">
        <f t="shared" si="808"/>
        <v>19</v>
      </c>
      <c r="Y706" s="56" t="s">
        <v>33</v>
      </c>
      <c r="Z706" s="56">
        <v>6</v>
      </c>
      <c r="AA706" s="58">
        <f t="shared" si="832"/>
        <v>1</v>
      </c>
      <c r="AB706" s="58">
        <f t="shared" si="832"/>
        <v>0</v>
      </c>
      <c r="AC706" s="58">
        <f t="shared" si="832"/>
        <v>0</v>
      </c>
      <c r="AD706" s="58">
        <f t="shared" si="832"/>
        <v>0</v>
      </c>
      <c r="AE706" s="58">
        <f t="shared" si="832"/>
        <v>0</v>
      </c>
    </row>
    <row r="707" spans="2:34" s="60" customFormat="1">
      <c r="B707" s="60" t="str">
        <f t="shared" si="795"/>
        <v>Sem3838KEVIN ALEJANDRO RODRIGUEZ ARGUETA</v>
      </c>
      <c r="C707" s="60" t="str">
        <f t="shared" si="796"/>
        <v>SEPTIEMBRESem38</v>
      </c>
      <c r="D707" s="60" t="str">
        <f t="shared" si="797"/>
        <v>SEPTIEMBRESem38KEVIN ALEJANDRO RODRIGUEZ ARGUETA</v>
      </c>
      <c r="E707" s="60" t="str">
        <f t="shared" si="798"/>
        <v>SEPTIEMBRESem3838KEVIN ALEJANDRO RODRIGUEZ ARGUETA</v>
      </c>
      <c r="F707" s="60" t="str">
        <f t="shared" si="799"/>
        <v>KEVIN ALEJANDRO RODRIGUEZ ARGUETA46285</v>
      </c>
      <c r="H707" s="61" t="s">
        <v>227</v>
      </c>
      <c r="I707" s="62" t="str">
        <f>+_xlfn.XLOOKUP($H707&amp;$V707,BASEDATOS!$B:$B,BASEDATOS!F:F,0,0,1)</f>
        <v>DESCANSO</v>
      </c>
      <c r="J707" s="63">
        <f>+_xlfn.XLOOKUP($H707&amp;$V707,BASEDATOS!$B:$B,BASEDATOS!Q:Q,0,0,1)</f>
        <v>0</v>
      </c>
      <c r="K707" s="63">
        <f>+_xlfn.XLOOKUP($H707&amp;$V707,BASEDATOS!$B:$B,BASEDATOS!R:R,0,0,1)</f>
        <v>0</v>
      </c>
      <c r="L707" s="63">
        <f t="shared" si="800"/>
        <v>0</v>
      </c>
      <c r="M707" s="64">
        <f t="shared" si="801"/>
        <v>0</v>
      </c>
      <c r="N707" s="63">
        <f t="shared" si="802"/>
        <v>0</v>
      </c>
      <c r="O707" s="65" t="str">
        <f t="shared" ref="O707" si="861">+IF(Y707="Domingo",SUM(AA701:AA707)&amp;"-"&amp;SUM(AB701:AB707)&amp;"-"&amp;SUM(AC701:AE707),"")</f>
        <v>5-0-2</v>
      </c>
      <c r="P707" s="66">
        <f>+IF(AND(Y707="Domingo",U707=7),_xlfn.XLOOKUP(O707,'Horarios y Sistemas'!C:C,'Horarios y Sistemas'!H:H,0,0,1),0)</f>
        <v>44</v>
      </c>
      <c r="Q707" s="66">
        <f>IF(U707=U708,0,IF(AVERAGEIF(W:W,W707,U:U)=U707,0,_xlfn.XLOOKUP(O707,'Horarios y Sistemas'!C:C,'Horarios y Sistemas'!H:H,0,0,1)-P707))/7*U707</f>
        <v>0</v>
      </c>
      <c r="R707" s="66">
        <f t="shared" si="804"/>
        <v>44</v>
      </c>
      <c r="S707" s="67" t="str">
        <f t="shared" si="805"/>
        <v>SEPTIEMBRE</v>
      </c>
      <c r="T707" s="55" t="str">
        <f t="shared" si="806"/>
        <v>Sem38</v>
      </c>
      <c r="U707" s="68">
        <f t="shared" si="788"/>
        <v>7</v>
      </c>
      <c r="V707" s="69">
        <v>46285</v>
      </c>
      <c r="W707" s="68">
        <f t="shared" si="807"/>
        <v>38</v>
      </c>
      <c r="X707" s="68">
        <f t="shared" si="808"/>
        <v>20</v>
      </c>
      <c r="Y707" s="68" t="s">
        <v>34</v>
      </c>
      <c r="Z707" s="68">
        <v>7</v>
      </c>
      <c r="AA707" s="70">
        <f t="shared" si="832"/>
        <v>0</v>
      </c>
      <c r="AB707" s="70">
        <f t="shared" si="832"/>
        <v>0</v>
      </c>
      <c r="AC707" s="70">
        <f t="shared" si="832"/>
        <v>1</v>
      </c>
      <c r="AD707" s="70">
        <f t="shared" si="832"/>
        <v>0</v>
      </c>
      <c r="AE707" s="70">
        <f t="shared" si="832"/>
        <v>0</v>
      </c>
      <c r="AF707" s="71"/>
      <c r="AG707" s="71"/>
      <c r="AH707" s="71"/>
    </row>
    <row r="708" spans="2:34">
      <c r="B708" t="str">
        <f t="shared" si="795"/>
        <v>Sem3939KEVIN ALEJANDRO RODRIGUEZ ARGUETA</v>
      </c>
      <c r="C708" t="str">
        <f t="shared" si="796"/>
        <v>SEPTIEMBRESem39</v>
      </c>
      <c r="D708" t="str">
        <f t="shared" si="797"/>
        <v>SEPTIEMBRESem39KEVIN ALEJANDRO RODRIGUEZ ARGUETA</v>
      </c>
      <c r="E708" t="str">
        <f t="shared" si="798"/>
        <v>SEPTIEMBRESem3939KEVIN ALEJANDRO RODRIGUEZ ARGUETA</v>
      </c>
      <c r="F708" t="str">
        <f t="shared" si="799"/>
        <v>KEVIN ALEJANDRO RODRIGUEZ ARGUETA46286</v>
      </c>
      <c r="H708" s="49" t="s">
        <v>227</v>
      </c>
      <c r="I708" s="50" t="str">
        <f>+_xlfn.XLOOKUP($H708&amp;$V708,BASEDATOS!$B:$B,BASEDATOS!F:F,0,0,1)</f>
        <v>NOCHE</v>
      </c>
      <c r="J708" s="51">
        <f>+_xlfn.XLOOKUP($H708&amp;$V708,BASEDATOS!$B:$B,BASEDATOS!Q:Q,0,0,1)</f>
        <v>0.75</v>
      </c>
      <c r="K708" s="51">
        <f>+_xlfn.XLOOKUP($H708&amp;$V708,BASEDATOS!$B:$B,BASEDATOS!R:R,0,0,1)</f>
        <v>0.25</v>
      </c>
      <c r="L708" s="51">
        <f t="shared" si="800"/>
        <v>0.5</v>
      </c>
      <c r="M708" s="52" t="str">
        <f t="shared" si="801"/>
        <v>1:00</v>
      </c>
      <c r="N708" s="51">
        <f t="shared" si="802"/>
        <v>0.45833333333333331</v>
      </c>
      <c r="O708" s="53" t="str">
        <f t="shared" ref="O708" si="862">+O714</f>
        <v>0-5-2</v>
      </c>
      <c r="P708" s="54">
        <f>+IF(AND(Y708="Domingo",U708=7),_xlfn.XLOOKUP(O708,'Horarios y Sistemas'!C:C,'Horarios y Sistemas'!H:H,0,0,1),0)</f>
        <v>0</v>
      </c>
      <c r="Q708" s="54">
        <f>IF(U708=U709,0,IF(AVERAGEIF(W:W,W708,U:U)=U708,0,_xlfn.XLOOKUP(O708,'Horarios y Sistemas'!C:C,'Horarios y Sistemas'!H:H,0,0,1)-P708))/7*U708</f>
        <v>0</v>
      </c>
      <c r="R708" s="54">
        <f t="shared" si="804"/>
        <v>0</v>
      </c>
      <c r="S708" s="55" t="str">
        <f t="shared" si="805"/>
        <v>SEPTIEMBRE</v>
      </c>
      <c r="T708" s="55" t="str">
        <f t="shared" si="806"/>
        <v>Sem39</v>
      </c>
      <c r="U708" s="56">
        <f t="shared" si="788"/>
        <v>7</v>
      </c>
      <c r="V708" s="57">
        <v>46286</v>
      </c>
      <c r="W708" s="56">
        <f t="shared" si="807"/>
        <v>39</v>
      </c>
      <c r="X708" s="56">
        <f t="shared" si="808"/>
        <v>21</v>
      </c>
      <c r="Y708" s="56" t="s">
        <v>28</v>
      </c>
      <c r="Z708" s="56">
        <v>1</v>
      </c>
      <c r="AA708" s="58">
        <f t="shared" si="832"/>
        <v>0</v>
      </c>
      <c r="AB708" s="58">
        <f t="shared" si="832"/>
        <v>1</v>
      </c>
      <c r="AC708" s="58">
        <f t="shared" si="832"/>
        <v>0</v>
      </c>
      <c r="AD708" s="58">
        <f t="shared" si="832"/>
        <v>0</v>
      </c>
      <c r="AE708" s="58">
        <f t="shared" si="832"/>
        <v>0</v>
      </c>
    </row>
    <row r="709" spans="2:34">
      <c r="B709" t="str">
        <f t="shared" si="795"/>
        <v>Sem3939KEVIN ALEJANDRO RODRIGUEZ ARGUETA</v>
      </c>
      <c r="C709" t="str">
        <f t="shared" si="796"/>
        <v>SEPTIEMBRESem39</v>
      </c>
      <c r="D709" t="str">
        <f t="shared" si="797"/>
        <v>SEPTIEMBRESem39KEVIN ALEJANDRO RODRIGUEZ ARGUETA</v>
      </c>
      <c r="E709" t="str">
        <f t="shared" si="798"/>
        <v>SEPTIEMBRESem3939KEVIN ALEJANDRO RODRIGUEZ ARGUETA</v>
      </c>
      <c r="F709" t="str">
        <f t="shared" si="799"/>
        <v>KEVIN ALEJANDRO RODRIGUEZ ARGUETA46287</v>
      </c>
      <c r="H709" s="49" t="s">
        <v>227</v>
      </c>
      <c r="I709" s="50" t="str">
        <f>+_xlfn.XLOOKUP($H709&amp;$V709,BASEDATOS!$B:$B,BASEDATOS!F:F,0,0,1)</f>
        <v>NOCHE</v>
      </c>
      <c r="J709" s="51">
        <f>+_xlfn.XLOOKUP($H709&amp;$V709,BASEDATOS!$B:$B,BASEDATOS!Q:Q,0,0,1)</f>
        <v>0.75</v>
      </c>
      <c r="K709" s="51">
        <f>+_xlfn.XLOOKUP($H709&amp;$V709,BASEDATOS!$B:$B,BASEDATOS!R:R,0,0,1)</f>
        <v>0.25</v>
      </c>
      <c r="L709" s="51">
        <f t="shared" si="800"/>
        <v>0.5</v>
      </c>
      <c r="M709" s="52" t="str">
        <f t="shared" si="801"/>
        <v>1:00</v>
      </c>
      <c r="N709" s="51">
        <f t="shared" si="802"/>
        <v>0.45833333333333331</v>
      </c>
      <c r="O709" s="53" t="str">
        <f t="shared" ref="O709" si="863">+O714</f>
        <v>0-5-2</v>
      </c>
      <c r="P709" s="54">
        <f>+IF(AND(Y709="Domingo",U709=7),_xlfn.XLOOKUP(O709,'Horarios y Sistemas'!C:C,'Horarios y Sistemas'!H:H,0,0,1),0)</f>
        <v>0</v>
      </c>
      <c r="Q709" s="54">
        <f>IF(U709=U710,0,IF(AVERAGEIF(W:W,W709,U:U)=U709,0,_xlfn.XLOOKUP(O709,'Horarios y Sistemas'!C:C,'Horarios y Sistemas'!H:H,0,0,1)-P709))/7*U709</f>
        <v>0</v>
      </c>
      <c r="R709" s="54">
        <f t="shared" si="804"/>
        <v>0</v>
      </c>
      <c r="S709" s="55" t="str">
        <f t="shared" si="805"/>
        <v>SEPTIEMBRE</v>
      </c>
      <c r="T709" s="55" t="str">
        <f t="shared" si="806"/>
        <v>Sem39</v>
      </c>
      <c r="U709" s="56">
        <f t="shared" si="788"/>
        <v>7</v>
      </c>
      <c r="V709" s="59">
        <v>46287</v>
      </c>
      <c r="W709" s="56">
        <f t="shared" si="807"/>
        <v>39</v>
      </c>
      <c r="X709" s="56">
        <f t="shared" si="808"/>
        <v>22</v>
      </c>
      <c r="Y709" s="56" t="s">
        <v>29</v>
      </c>
      <c r="Z709" s="56">
        <v>2</v>
      </c>
      <c r="AA709" s="58">
        <f t="shared" si="832"/>
        <v>0</v>
      </c>
      <c r="AB709" s="58">
        <f t="shared" si="832"/>
        <v>1</v>
      </c>
      <c r="AC709" s="58">
        <f t="shared" si="832"/>
        <v>0</v>
      </c>
      <c r="AD709" s="58">
        <f t="shared" si="832"/>
        <v>0</v>
      </c>
      <c r="AE709" s="58">
        <f t="shared" si="832"/>
        <v>0</v>
      </c>
    </row>
    <row r="710" spans="2:34">
      <c r="B710" t="str">
        <f t="shared" si="795"/>
        <v>Sem3939KEVIN ALEJANDRO RODRIGUEZ ARGUETA</v>
      </c>
      <c r="C710" t="str">
        <f t="shared" si="796"/>
        <v>SEPTIEMBRESem39</v>
      </c>
      <c r="D710" t="str">
        <f t="shared" si="797"/>
        <v>SEPTIEMBRESem39KEVIN ALEJANDRO RODRIGUEZ ARGUETA</v>
      </c>
      <c r="E710" t="str">
        <f t="shared" si="798"/>
        <v>SEPTIEMBRESem3939KEVIN ALEJANDRO RODRIGUEZ ARGUETA</v>
      </c>
      <c r="F710" t="str">
        <f t="shared" si="799"/>
        <v>KEVIN ALEJANDRO RODRIGUEZ ARGUETA46288</v>
      </c>
      <c r="H710" s="49" t="s">
        <v>227</v>
      </c>
      <c r="I710" s="50" t="str">
        <f>+_xlfn.XLOOKUP($H710&amp;$V710,BASEDATOS!$B:$B,BASEDATOS!F:F,0,0,1)</f>
        <v>NOCHE</v>
      </c>
      <c r="J710" s="51">
        <f>+_xlfn.XLOOKUP($H710&amp;$V710,BASEDATOS!$B:$B,BASEDATOS!Q:Q,0,0,1)</f>
        <v>0.75</v>
      </c>
      <c r="K710" s="51">
        <f>+_xlfn.XLOOKUP($H710&amp;$V710,BASEDATOS!$B:$B,BASEDATOS!R:R,0,0,1)</f>
        <v>0.25</v>
      </c>
      <c r="L710" s="51">
        <f t="shared" si="800"/>
        <v>0.5</v>
      </c>
      <c r="M710" s="52" t="str">
        <f t="shared" si="801"/>
        <v>1:00</v>
      </c>
      <c r="N710" s="51">
        <f t="shared" si="802"/>
        <v>0.45833333333333331</v>
      </c>
      <c r="O710" s="53" t="str">
        <f t="shared" ref="O710" si="864">+O714</f>
        <v>0-5-2</v>
      </c>
      <c r="P710" s="54">
        <f>+IF(AND(Y710="Domingo",U710=7),_xlfn.XLOOKUP(O710,'Horarios y Sistemas'!C:C,'Horarios y Sistemas'!H:H,0,0,1),0)</f>
        <v>0</v>
      </c>
      <c r="Q710" s="54">
        <f>IF(U710=U711,0,IF(AVERAGEIF(W:W,W710,U:U)=U710,0,_xlfn.XLOOKUP(O710,'Horarios y Sistemas'!C:C,'Horarios y Sistemas'!H:H,0,0,1)-P710))/7*U710</f>
        <v>0</v>
      </c>
      <c r="R710" s="54">
        <f t="shared" si="804"/>
        <v>0</v>
      </c>
      <c r="S710" s="55" t="str">
        <f t="shared" si="805"/>
        <v>SEPTIEMBRE</v>
      </c>
      <c r="T710" s="55" t="str">
        <f t="shared" si="806"/>
        <v>Sem39</v>
      </c>
      <c r="U710" s="56">
        <f t="shared" si="788"/>
        <v>7</v>
      </c>
      <c r="V710" s="59">
        <v>46288</v>
      </c>
      <c r="W710" s="56">
        <f t="shared" si="807"/>
        <v>39</v>
      </c>
      <c r="X710" s="56">
        <f t="shared" si="808"/>
        <v>23</v>
      </c>
      <c r="Y710" s="56" t="s">
        <v>30</v>
      </c>
      <c r="Z710" s="56">
        <v>3</v>
      </c>
      <c r="AA710" s="58">
        <f t="shared" si="832"/>
        <v>0</v>
      </c>
      <c r="AB710" s="58">
        <f t="shared" si="832"/>
        <v>1</v>
      </c>
      <c r="AC710" s="58">
        <f t="shared" si="832"/>
        <v>0</v>
      </c>
      <c r="AD710" s="58">
        <f t="shared" si="832"/>
        <v>0</v>
      </c>
      <c r="AE710" s="58">
        <f t="shared" si="832"/>
        <v>0</v>
      </c>
    </row>
    <row r="711" spans="2:34">
      <c r="B711" t="str">
        <f t="shared" si="795"/>
        <v>Sem3939KEVIN ALEJANDRO RODRIGUEZ ARGUETA</v>
      </c>
      <c r="C711" t="str">
        <f t="shared" si="796"/>
        <v>SEPTIEMBRESem39</v>
      </c>
      <c r="D711" t="str">
        <f t="shared" si="797"/>
        <v>SEPTIEMBRESem39KEVIN ALEJANDRO RODRIGUEZ ARGUETA</v>
      </c>
      <c r="E711" t="str">
        <f t="shared" si="798"/>
        <v>SEPTIEMBRESem3939KEVIN ALEJANDRO RODRIGUEZ ARGUETA</v>
      </c>
      <c r="F711" t="str">
        <f t="shared" si="799"/>
        <v>KEVIN ALEJANDRO RODRIGUEZ ARGUETA46289</v>
      </c>
      <c r="H711" s="49" t="s">
        <v>227</v>
      </c>
      <c r="I711" s="50" t="str">
        <f>+_xlfn.XLOOKUP($H711&amp;$V711,BASEDATOS!$B:$B,BASEDATOS!F:F,0,0,1)</f>
        <v>NOCHE</v>
      </c>
      <c r="J711" s="51">
        <f>+_xlfn.XLOOKUP($H711&amp;$V711,BASEDATOS!$B:$B,BASEDATOS!Q:Q,0,0,1)</f>
        <v>0.75</v>
      </c>
      <c r="K711" s="51">
        <f>+_xlfn.XLOOKUP($H711&amp;$V711,BASEDATOS!$B:$B,BASEDATOS!R:R,0,0,1)</f>
        <v>0.25</v>
      </c>
      <c r="L711" s="51">
        <f t="shared" si="800"/>
        <v>0.5</v>
      </c>
      <c r="M711" s="52" t="str">
        <f t="shared" si="801"/>
        <v>1:00</v>
      </c>
      <c r="N711" s="51">
        <f t="shared" si="802"/>
        <v>0.45833333333333331</v>
      </c>
      <c r="O711" s="53" t="str">
        <f t="shared" ref="O711" si="865">+O714</f>
        <v>0-5-2</v>
      </c>
      <c r="P711" s="54">
        <f>+IF(AND(Y711="Domingo",U711=7),_xlfn.XLOOKUP(O711,'Horarios y Sistemas'!C:C,'Horarios y Sistemas'!H:H,0,0,1),0)</f>
        <v>0</v>
      </c>
      <c r="Q711" s="54">
        <f>IF(U711=U712,0,IF(AVERAGEIF(W:W,W711,U:U)=U711,0,_xlfn.XLOOKUP(O711,'Horarios y Sistemas'!C:C,'Horarios y Sistemas'!H:H,0,0,1)-P711))/7*U711</f>
        <v>0</v>
      </c>
      <c r="R711" s="54">
        <f t="shared" si="804"/>
        <v>0</v>
      </c>
      <c r="S711" s="55" t="str">
        <f t="shared" si="805"/>
        <v>SEPTIEMBRE</v>
      </c>
      <c r="T711" s="55" t="str">
        <f t="shared" si="806"/>
        <v>Sem39</v>
      </c>
      <c r="U711" s="56">
        <f t="shared" si="788"/>
        <v>7</v>
      </c>
      <c r="V711" s="59">
        <v>46289</v>
      </c>
      <c r="W711" s="56">
        <f t="shared" si="807"/>
        <v>39</v>
      </c>
      <c r="X711" s="56">
        <f t="shared" si="808"/>
        <v>24</v>
      </c>
      <c r="Y711" s="56" t="s">
        <v>31</v>
      </c>
      <c r="Z711" s="56">
        <v>4</v>
      </c>
      <c r="AA711" s="58">
        <f t="shared" si="832"/>
        <v>0</v>
      </c>
      <c r="AB711" s="58">
        <f t="shared" si="832"/>
        <v>1</v>
      </c>
      <c r="AC711" s="58">
        <f t="shared" si="832"/>
        <v>0</v>
      </c>
      <c r="AD711" s="58">
        <f t="shared" si="832"/>
        <v>0</v>
      </c>
      <c r="AE711" s="58">
        <f t="shared" si="832"/>
        <v>0</v>
      </c>
    </row>
    <row r="712" spans="2:34">
      <c r="B712" t="str">
        <f t="shared" si="795"/>
        <v>Sem3939KEVIN ALEJANDRO RODRIGUEZ ARGUETA</v>
      </c>
      <c r="C712" t="str">
        <f t="shared" si="796"/>
        <v>SEPTIEMBRESem39</v>
      </c>
      <c r="D712" t="str">
        <f t="shared" si="797"/>
        <v>SEPTIEMBRESem39KEVIN ALEJANDRO RODRIGUEZ ARGUETA</v>
      </c>
      <c r="E712" t="str">
        <f t="shared" si="798"/>
        <v>SEPTIEMBRESem3939KEVIN ALEJANDRO RODRIGUEZ ARGUETA</v>
      </c>
      <c r="F712" t="str">
        <f t="shared" si="799"/>
        <v>KEVIN ALEJANDRO RODRIGUEZ ARGUETA46290</v>
      </c>
      <c r="H712" s="49" t="s">
        <v>227</v>
      </c>
      <c r="I712" s="50" t="str">
        <f>+_xlfn.XLOOKUP($H712&amp;$V712,BASEDATOS!$B:$B,BASEDATOS!F:F,0,0,1)</f>
        <v>NOCHE</v>
      </c>
      <c r="J712" s="51">
        <f>+_xlfn.XLOOKUP($H712&amp;$V712,BASEDATOS!$B:$B,BASEDATOS!Q:Q,0,0,1)</f>
        <v>0.75</v>
      </c>
      <c r="K712" s="51">
        <f>+_xlfn.XLOOKUP($H712&amp;$V712,BASEDATOS!$B:$B,BASEDATOS!R:R,0,0,1)</f>
        <v>0.25</v>
      </c>
      <c r="L712" s="51">
        <f t="shared" si="800"/>
        <v>0.5</v>
      </c>
      <c r="M712" s="52" t="str">
        <f t="shared" si="801"/>
        <v>1:00</v>
      </c>
      <c r="N712" s="51">
        <f t="shared" si="802"/>
        <v>0.45833333333333331</v>
      </c>
      <c r="O712" s="53" t="str">
        <f t="shared" ref="O712" si="866">+O714</f>
        <v>0-5-2</v>
      </c>
      <c r="P712" s="54">
        <f>+IF(AND(Y712="Domingo",U712=7),_xlfn.XLOOKUP(O712,'Horarios y Sistemas'!C:C,'Horarios y Sistemas'!H:H,0,0,1),0)</f>
        <v>0</v>
      </c>
      <c r="Q712" s="54">
        <f>IF(U712=U713,0,IF(AVERAGEIF(W:W,W712,U:U)=U712,0,_xlfn.XLOOKUP(O712,'Horarios y Sistemas'!C:C,'Horarios y Sistemas'!H:H,0,0,1)-P712))/7*U712</f>
        <v>0</v>
      </c>
      <c r="R712" s="54">
        <f t="shared" si="804"/>
        <v>0</v>
      </c>
      <c r="S712" s="55" t="str">
        <f t="shared" si="805"/>
        <v>SEPTIEMBRE</v>
      </c>
      <c r="T712" s="55" t="str">
        <f t="shared" si="806"/>
        <v>Sem39</v>
      </c>
      <c r="U712" s="56">
        <f t="shared" ref="U712:U775" si="867">+COUNTIF(B:B,B712)</f>
        <v>7</v>
      </c>
      <c r="V712" s="59">
        <v>46290</v>
      </c>
      <c r="W712" s="56">
        <f t="shared" si="807"/>
        <v>39</v>
      </c>
      <c r="X712" s="56">
        <f t="shared" si="808"/>
        <v>25</v>
      </c>
      <c r="Y712" s="56" t="s">
        <v>32</v>
      </c>
      <c r="Z712" s="56">
        <v>5</v>
      </c>
      <c r="AA712" s="58">
        <f t="shared" si="832"/>
        <v>0</v>
      </c>
      <c r="AB712" s="58">
        <f t="shared" si="832"/>
        <v>1</v>
      </c>
      <c r="AC712" s="58">
        <f t="shared" si="832"/>
        <v>0</v>
      </c>
      <c r="AD712" s="58">
        <f t="shared" si="832"/>
        <v>0</v>
      </c>
      <c r="AE712" s="58">
        <f t="shared" si="832"/>
        <v>0</v>
      </c>
    </row>
    <row r="713" spans="2:34">
      <c r="B713" t="str">
        <f t="shared" si="795"/>
        <v>Sem3939KEVIN ALEJANDRO RODRIGUEZ ARGUETA</v>
      </c>
      <c r="C713" t="str">
        <f t="shared" si="796"/>
        <v>SEPTIEMBRESem39</v>
      </c>
      <c r="D713" t="str">
        <f t="shared" si="797"/>
        <v>SEPTIEMBRESem39KEVIN ALEJANDRO RODRIGUEZ ARGUETA</v>
      </c>
      <c r="E713" t="str">
        <f t="shared" si="798"/>
        <v>SEPTIEMBRESem3939KEVIN ALEJANDRO RODRIGUEZ ARGUETA</v>
      </c>
      <c r="F713" t="str">
        <f t="shared" si="799"/>
        <v>KEVIN ALEJANDRO RODRIGUEZ ARGUETA46291</v>
      </c>
      <c r="H713" s="49" t="s">
        <v>227</v>
      </c>
      <c r="I713" s="50" t="str">
        <f>+_xlfn.XLOOKUP($H713&amp;$V713,BASEDATOS!$B:$B,BASEDATOS!F:F,0,0,1)</f>
        <v>DESCANSO</v>
      </c>
      <c r="J713" s="51">
        <f>+_xlfn.XLOOKUP($H713&amp;$V713,BASEDATOS!$B:$B,BASEDATOS!Q:Q,0,0,1)</f>
        <v>0</v>
      </c>
      <c r="K713" s="51">
        <f>+_xlfn.XLOOKUP($H713&amp;$V713,BASEDATOS!$B:$B,BASEDATOS!R:R,0,0,1)</f>
        <v>0</v>
      </c>
      <c r="L713" s="51">
        <f t="shared" si="800"/>
        <v>0</v>
      </c>
      <c r="M713" s="52">
        <f t="shared" si="801"/>
        <v>0</v>
      </c>
      <c r="N713" s="51">
        <f t="shared" si="802"/>
        <v>0</v>
      </c>
      <c r="O713" s="53" t="str">
        <f t="shared" ref="O713" si="868">+O714</f>
        <v>0-5-2</v>
      </c>
      <c r="P713" s="54">
        <f>+IF(AND(Y713="Domingo",U713=7),_xlfn.XLOOKUP(O713,'Horarios y Sistemas'!C:C,'Horarios y Sistemas'!H:H,0,0,1),0)</f>
        <v>0</v>
      </c>
      <c r="Q713" s="54">
        <f>IF(U713=U714,0,IF(AVERAGEIF(W:W,W713,U:U)=U713,0,_xlfn.XLOOKUP(O713,'Horarios y Sistemas'!C:C,'Horarios y Sistemas'!H:H,0,0,1)-P713))/7*U713</f>
        <v>0</v>
      </c>
      <c r="R713" s="54">
        <f t="shared" si="804"/>
        <v>0</v>
      </c>
      <c r="S713" s="55" t="str">
        <f t="shared" si="805"/>
        <v>SEPTIEMBRE</v>
      </c>
      <c r="T713" s="55" t="str">
        <f t="shared" si="806"/>
        <v>Sem39</v>
      </c>
      <c r="U713" s="56">
        <f t="shared" si="867"/>
        <v>7</v>
      </c>
      <c r="V713" s="59">
        <v>46291</v>
      </c>
      <c r="W713" s="56">
        <f t="shared" si="807"/>
        <v>39</v>
      </c>
      <c r="X713" s="56">
        <f t="shared" si="808"/>
        <v>26</v>
      </c>
      <c r="Y713" s="56" t="s">
        <v>33</v>
      </c>
      <c r="Z713" s="56">
        <v>6</v>
      </c>
      <c r="AA713" s="58">
        <f t="shared" si="832"/>
        <v>0</v>
      </c>
      <c r="AB713" s="58">
        <f t="shared" si="832"/>
        <v>0</v>
      </c>
      <c r="AC713" s="58">
        <f t="shared" si="832"/>
        <v>1</v>
      </c>
      <c r="AD713" s="58">
        <f t="shared" si="832"/>
        <v>0</v>
      </c>
      <c r="AE713" s="58">
        <f t="shared" si="832"/>
        <v>0</v>
      </c>
    </row>
    <row r="714" spans="2:34" s="60" customFormat="1">
      <c r="B714" s="60" t="str">
        <f t="shared" si="795"/>
        <v>Sem3939KEVIN ALEJANDRO RODRIGUEZ ARGUETA</v>
      </c>
      <c r="C714" s="60" t="str">
        <f t="shared" si="796"/>
        <v>SEPTIEMBRESem39</v>
      </c>
      <c r="D714" s="60" t="str">
        <f t="shared" si="797"/>
        <v>SEPTIEMBRESem39KEVIN ALEJANDRO RODRIGUEZ ARGUETA</v>
      </c>
      <c r="E714" s="60" t="str">
        <f t="shared" si="798"/>
        <v>SEPTIEMBRESem3939KEVIN ALEJANDRO RODRIGUEZ ARGUETA</v>
      </c>
      <c r="F714" s="60" t="str">
        <f t="shared" si="799"/>
        <v>KEVIN ALEJANDRO RODRIGUEZ ARGUETA46292</v>
      </c>
      <c r="H714" s="61" t="s">
        <v>227</v>
      </c>
      <c r="I714" s="62" t="str">
        <f>+_xlfn.XLOOKUP($H714&amp;$V714,BASEDATOS!$B:$B,BASEDATOS!F:F,0,0,1)</f>
        <v>DESCANSO</v>
      </c>
      <c r="J714" s="63">
        <f>+_xlfn.XLOOKUP($H714&amp;$V714,BASEDATOS!$B:$B,BASEDATOS!Q:Q,0,0,1)</f>
        <v>0</v>
      </c>
      <c r="K714" s="63">
        <f>+_xlfn.XLOOKUP($H714&amp;$V714,BASEDATOS!$B:$B,BASEDATOS!R:R,0,0,1)</f>
        <v>0</v>
      </c>
      <c r="L714" s="63">
        <f t="shared" si="800"/>
        <v>0</v>
      </c>
      <c r="M714" s="64">
        <f t="shared" si="801"/>
        <v>0</v>
      </c>
      <c r="N714" s="63">
        <f t="shared" si="802"/>
        <v>0</v>
      </c>
      <c r="O714" s="65" t="str">
        <f t="shared" ref="O714" si="869">+IF(Y714="Domingo",SUM(AA708:AA714)&amp;"-"&amp;SUM(AB708:AB714)&amp;"-"&amp;SUM(AC708:AE714),"")</f>
        <v>0-5-2</v>
      </c>
      <c r="P714" s="66">
        <f>+IF(AND(Y714="Domingo",U714=7),_xlfn.XLOOKUP(O714,'Horarios y Sistemas'!C:C,'Horarios y Sistemas'!H:H,0,0,1),0)</f>
        <v>36</v>
      </c>
      <c r="Q714" s="66">
        <f>IF(U714=U715,0,IF(AVERAGEIF(W:W,W714,U:U)=U714,0,_xlfn.XLOOKUP(O714,'Horarios y Sistemas'!C:C,'Horarios y Sistemas'!H:H,0,0,1)-P714))/7*U714</f>
        <v>0</v>
      </c>
      <c r="R714" s="66">
        <f t="shared" si="804"/>
        <v>36</v>
      </c>
      <c r="S714" s="67" t="str">
        <f t="shared" si="805"/>
        <v>SEPTIEMBRE</v>
      </c>
      <c r="T714" s="55" t="str">
        <f t="shared" si="806"/>
        <v>Sem39</v>
      </c>
      <c r="U714" s="68">
        <f t="shared" si="867"/>
        <v>7</v>
      </c>
      <c r="V714" s="69">
        <v>46292</v>
      </c>
      <c r="W714" s="68">
        <f t="shared" si="807"/>
        <v>39</v>
      </c>
      <c r="X714" s="68">
        <f t="shared" si="808"/>
        <v>27</v>
      </c>
      <c r="Y714" s="68" t="s">
        <v>34</v>
      </c>
      <c r="Z714" s="68">
        <v>7</v>
      </c>
      <c r="AA714" s="70">
        <f t="shared" si="832"/>
        <v>0</v>
      </c>
      <c r="AB714" s="70">
        <f t="shared" si="832"/>
        <v>0</v>
      </c>
      <c r="AC714" s="70">
        <f t="shared" si="832"/>
        <v>1</v>
      </c>
      <c r="AD714" s="70">
        <f t="shared" si="832"/>
        <v>0</v>
      </c>
      <c r="AE714" s="70">
        <f t="shared" si="832"/>
        <v>0</v>
      </c>
      <c r="AF714" s="71"/>
      <c r="AG714" s="71"/>
      <c r="AH714" s="71"/>
    </row>
    <row r="715" spans="2:34">
      <c r="B715" t="str">
        <f t="shared" si="795"/>
        <v>Sem4040KEVIN ALEJANDRO RODRIGUEZ ARGUETA</v>
      </c>
      <c r="C715" t="str">
        <f t="shared" si="796"/>
        <v>SEPTIEMBRESem40</v>
      </c>
      <c r="D715" t="str">
        <f t="shared" si="797"/>
        <v>SEPTIEMBRESem40KEVIN ALEJANDRO RODRIGUEZ ARGUETA</v>
      </c>
      <c r="E715" t="str">
        <f t="shared" si="798"/>
        <v>SEPTIEMBRESem4040KEVIN ALEJANDRO RODRIGUEZ ARGUETA</v>
      </c>
      <c r="F715" t="str">
        <f t="shared" si="799"/>
        <v>KEVIN ALEJANDRO RODRIGUEZ ARGUETA46293</v>
      </c>
      <c r="H715" s="49" t="s">
        <v>227</v>
      </c>
      <c r="I715" s="50" t="str">
        <f>+_xlfn.XLOOKUP($H715&amp;$V715,BASEDATOS!$B:$B,BASEDATOS!F:F,0,0,1)</f>
        <v>DIA</v>
      </c>
      <c r="J715" s="51">
        <f>+_xlfn.XLOOKUP($H715&amp;$V715,BASEDATOS!$B:$B,BASEDATOS!Q:Q,0,0,1)</f>
        <v>0.25</v>
      </c>
      <c r="K715" s="51">
        <f>+_xlfn.XLOOKUP($H715&amp;$V715,BASEDATOS!$B:$B,BASEDATOS!R:R,0,0,1)</f>
        <v>0.75</v>
      </c>
      <c r="L715" s="51">
        <f t="shared" si="800"/>
        <v>0.5</v>
      </c>
      <c r="M715" s="52" t="str">
        <f t="shared" si="801"/>
        <v>1:00</v>
      </c>
      <c r="N715" s="51">
        <f t="shared" si="802"/>
        <v>0.45833333333333331</v>
      </c>
      <c r="O715" s="53" t="str">
        <f t="shared" ref="O715" si="870">+O721</f>
        <v>6-0-1</v>
      </c>
      <c r="P715" s="54">
        <f>+IF(AND(Y715="Domingo",U715=7),_xlfn.XLOOKUP(O715,'Horarios y Sistemas'!C:C,'Horarios y Sistemas'!H:H,0,0,1),0)</f>
        <v>0</v>
      </c>
      <c r="Q715" s="54">
        <f>IF(U715=U716,0,IF(AVERAGEIF(W:W,W715,U:U)=U715,0,_xlfn.XLOOKUP(O715,'Horarios y Sistemas'!C:C,'Horarios y Sistemas'!H:H,0,0,1)-P715))/7*U715</f>
        <v>0</v>
      </c>
      <c r="R715" s="54">
        <f t="shared" si="804"/>
        <v>0</v>
      </c>
      <c r="S715" s="55" t="str">
        <f t="shared" si="805"/>
        <v>SEPTIEMBRE</v>
      </c>
      <c r="T715" s="55" t="str">
        <f t="shared" si="806"/>
        <v>Sem40</v>
      </c>
      <c r="U715" s="56">
        <f t="shared" si="867"/>
        <v>7</v>
      </c>
      <c r="V715" s="59">
        <v>46293</v>
      </c>
      <c r="W715" s="56">
        <f t="shared" si="807"/>
        <v>40</v>
      </c>
      <c r="X715" s="56">
        <f t="shared" si="808"/>
        <v>28</v>
      </c>
      <c r="Y715" s="56" t="s">
        <v>28</v>
      </c>
      <c r="Z715" s="56">
        <v>1</v>
      </c>
      <c r="AA715" s="58">
        <f t="shared" si="832"/>
        <v>1</v>
      </c>
      <c r="AB715" s="58">
        <f t="shared" si="832"/>
        <v>0</v>
      </c>
      <c r="AC715" s="58">
        <f t="shared" si="832"/>
        <v>0</v>
      </c>
      <c r="AD715" s="58">
        <f t="shared" si="832"/>
        <v>0</v>
      </c>
      <c r="AE715" s="58">
        <f t="shared" si="832"/>
        <v>0</v>
      </c>
    </row>
    <row r="716" spans="2:34">
      <c r="B716" t="str">
        <f t="shared" si="795"/>
        <v>Sem4040KEVIN ALEJANDRO RODRIGUEZ ARGUETA</v>
      </c>
      <c r="C716" t="str">
        <f t="shared" si="796"/>
        <v>SEPTIEMBRESem40</v>
      </c>
      <c r="D716" t="str">
        <f t="shared" si="797"/>
        <v>SEPTIEMBRESem40KEVIN ALEJANDRO RODRIGUEZ ARGUETA</v>
      </c>
      <c r="E716" t="str">
        <f t="shared" si="798"/>
        <v>SEPTIEMBRESem4040KEVIN ALEJANDRO RODRIGUEZ ARGUETA</v>
      </c>
      <c r="F716" t="str">
        <f t="shared" si="799"/>
        <v>KEVIN ALEJANDRO RODRIGUEZ ARGUETA46294</v>
      </c>
      <c r="H716" s="49" t="s">
        <v>227</v>
      </c>
      <c r="I716" s="50" t="str">
        <f>+_xlfn.XLOOKUP($H716&amp;$V716,BASEDATOS!$B:$B,BASEDATOS!F:F,0,0,1)</f>
        <v>DIA</v>
      </c>
      <c r="J716" s="51">
        <f>+_xlfn.XLOOKUP($H716&amp;$V716,BASEDATOS!$B:$B,BASEDATOS!Q:Q,0,0,1)</f>
        <v>0.25</v>
      </c>
      <c r="K716" s="51">
        <f>+_xlfn.XLOOKUP($H716&amp;$V716,BASEDATOS!$B:$B,BASEDATOS!R:R,0,0,1)</f>
        <v>0.75</v>
      </c>
      <c r="L716" s="51">
        <f t="shared" si="800"/>
        <v>0.5</v>
      </c>
      <c r="M716" s="52" t="str">
        <f t="shared" si="801"/>
        <v>1:00</v>
      </c>
      <c r="N716" s="51">
        <f t="shared" si="802"/>
        <v>0.45833333333333331</v>
      </c>
      <c r="O716" s="53" t="str">
        <f t="shared" ref="O716" si="871">+O721</f>
        <v>6-0-1</v>
      </c>
      <c r="P716" s="54">
        <f>+IF(AND(Y716="Domingo",U716=7),_xlfn.XLOOKUP(O716,'Horarios y Sistemas'!C:C,'Horarios y Sistemas'!H:H,0,0,1),0)</f>
        <v>0</v>
      </c>
      <c r="Q716" s="54">
        <f>IF(U716=U717,0,IF(AVERAGEIF(W:W,W716,U:U)=U716,0,_xlfn.XLOOKUP(O716,'Horarios y Sistemas'!C:C,'Horarios y Sistemas'!H:H,0,0,1)-P716))/7*U716</f>
        <v>0</v>
      </c>
      <c r="R716" s="54">
        <f t="shared" si="804"/>
        <v>0</v>
      </c>
      <c r="S716" s="55" t="str">
        <f t="shared" si="805"/>
        <v>SEPTIEMBRE</v>
      </c>
      <c r="T716" s="55" t="str">
        <f t="shared" si="806"/>
        <v>Sem40</v>
      </c>
      <c r="U716" s="56">
        <f t="shared" si="867"/>
        <v>7</v>
      </c>
      <c r="V716" s="59">
        <v>46294</v>
      </c>
      <c r="W716" s="56">
        <f t="shared" si="807"/>
        <v>40</v>
      </c>
      <c r="X716" s="56">
        <f t="shared" si="808"/>
        <v>29</v>
      </c>
      <c r="Y716" s="56" t="s">
        <v>29</v>
      </c>
      <c r="Z716" s="56">
        <v>2</v>
      </c>
      <c r="AA716" s="58">
        <f t="shared" si="832"/>
        <v>1</v>
      </c>
      <c r="AB716" s="58">
        <f t="shared" si="832"/>
        <v>0</v>
      </c>
      <c r="AC716" s="58">
        <f t="shared" si="832"/>
        <v>0</v>
      </c>
      <c r="AD716" s="58">
        <f t="shared" si="832"/>
        <v>0</v>
      </c>
      <c r="AE716" s="58">
        <f t="shared" si="832"/>
        <v>0</v>
      </c>
    </row>
    <row r="717" spans="2:34">
      <c r="B717" t="str">
        <f t="shared" si="795"/>
        <v>Sem4040KEVIN ALEJANDRO RODRIGUEZ ARGUETA</v>
      </c>
      <c r="C717" t="str">
        <f t="shared" si="796"/>
        <v>SEPTIEMBRESem40</v>
      </c>
      <c r="D717" t="str">
        <f t="shared" si="797"/>
        <v>SEPTIEMBRESem40KEVIN ALEJANDRO RODRIGUEZ ARGUETA</v>
      </c>
      <c r="E717" t="str">
        <f t="shared" si="798"/>
        <v>SEPTIEMBRESem4040KEVIN ALEJANDRO RODRIGUEZ ARGUETA</v>
      </c>
      <c r="F717" t="str">
        <f t="shared" si="799"/>
        <v>KEVIN ALEJANDRO RODRIGUEZ ARGUETA46295</v>
      </c>
      <c r="H717" s="49" t="s">
        <v>227</v>
      </c>
      <c r="I717" s="50" t="str">
        <f>+_xlfn.XLOOKUP($H717&amp;$V717,BASEDATOS!$B:$B,BASEDATOS!F:F,0,0,1)</f>
        <v>DIA</v>
      </c>
      <c r="J717" s="51">
        <f>+_xlfn.XLOOKUP($H717&amp;$V717,BASEDATOS!$B:$B,BASEDATOS!Q:Q,0,0,1)</f>
        <v>0.33333333333333298</v>
      </c>
      <c r="K717" s="51">
        <f>+_xlfn.XLOOKUP($H717&amp;$V717,BASEDATOS!$B:$B,BASEDATOS!R:R,0,0,1)</f>
        <v>0.70833333333333304</v>
      </c>
      <c r="L717" s="51">
        <f t="shared" si="800"/>
        <v>0.37500000000000006</v>
      </c>
      <c r="M717" s="52" t="str">
        <f t="shared" si="801"/>
        <v>1:00</v>
      </c>
      <c r="N717" s="51">
        <f t="shared" si="802"/>
        <v>0.33333333333333337</v>
      </c>
      <c r="O717" s="53" t="str">
        <f t="shared" ref="O717" si="872">+O721</f>
        <v>6-0-1</v>
      </c>
      <c r="P717" s="54">
        <f>+IF(AND(Y717="Domingo",U717=7),_xlfn.XLOOKUP(O717,'Horarios y Sistemas'!C:C,'Horarios y Sistemas'!H:H,0,0,1),0)</f>
        <v>0</v>
      </c>
      <c r="Q717" s="54">
        <f>IF(U717=U718,0,IF(AVERAGEIF(W:W,W717,U:U)=U717,0,_xlfn.XLOOKUP(O717,'Horarios y Sistemas'!C:C,'Horarios y Sistemas'!H:H,0,0,1)-P717))/7*U717</f>
        <v>0</v>
      </c>
      <c r="R717" s="54">
        <f t="shared" si="804"/>
        <v>0</v>
      </c>
      <c r="S717" s="55" t="str">
        <f t="shared" si="805"/>
        <v>SEPTIEMBRE</v>
      </c>
      <c r="T717" s="55" t="str">
        <f t="shared" si="806"/>
        <v>Sem40</v>
      </c>
      <c r="U717" s="56">
        <f t="shared" si="867"/>
        <v>7</v>
      </c>
      <c r="V717" s="59">
        <v>46295</v>
      </c>
      <c r="W717" s="56">
        <f t="shared" si="807"/>
        <v>40</v>
      </c>
      <c r="X717" s="56">
        <f t="shared" si="808"/>
        <v>30</v>
      </c>
      <c r="Y717" s="56" t="s">
        <v>30</v>
      </c>
      <c r="Z717" s="56">
        <v>3</v>
      </c>
      <c r="AA717" s="58">
        <f t="shared" si="832"/>
        <v>1</v>
      </c>
      <c r="AB717" s="58">
        <f t="shared" si="832"/>
        <v>0</v>
      </c>
      <c r="AC717" s="58">
        <f t="shared" si="832"/>
        <v>0</v>
      </c>
      <c r="AD717" s="58">
        <f t="shared" si="832"/>
        <v>0</v>
      </c>
      <c r="AE717" s="58">
        <f t="shared" si="832"/>
        <v>0</v>
      </c>
    </row>
    <row r="718" spans="2:34">
      <c r="B718" t="str">
        <f t="shared" si="795"/>
        <v>Sem4040KEVIN ALEJANDRO RODRIGUEZ ARGUETA</v>
      </c>
      <c r="C718" t="str">
        <f t="shared" si="796"/>
        <v>OCTUBRESem40</v>
      </c>
      <c r="D718" t="str">
        <f t="shared" si="797"/>
        <v>OCTUBRESem40KEVIN ALEJANDRO RODRIGUEZ ARGUETA</v>
      </c>
      <c r="E718" t="str">
        <f t="shared" si="798"/>
        <v>OCTUBRESem4040KEVIN ALEJANDRO RODRIGUEZ ARGUETA</v>
      </c>
      <c r="F718" t="str">
        <f t="shared" si="799"/>
        <v>KEVIN ALEJANDRO RODRIGUEZ ARGUETA46296</v>
      </c>
      <c r="H718" s="49" t="s">
        <v>227</v>
      </c>
      <c r="I718" s="50" t="str">
        <f>+_xlfn.XLOOKUP($H718&amp;$V718,BASEDATOS!$B:$B,BASEDATOS!F:F,0,0,1)</f>
        <v>DIA</v>
      </c>
      <c r="J718" s="51">
        <f>+_xlfn.XLOOKUP($H718&amp;$V718,BASEDATOS!$B:$B,BASEDATOS!Q:Q,0,0,1)</f>
        <v>0.25</v>
      </c>
      <c r="K718" s="51">
        <f>+_xlfn.XLOOKUP($H718&amp;$V718,BASEDATOS!$B:$B,BASEDATOS!R:R,0,0,1)</f>
        <v>0.75</v>
      </c>
      <c r="L718" s="51">
        <f t="shared" si="800"/>
        <v>0.5</v>
      </c>
      <c r="M718" s="52" t="str">
        <f t="shared" si="801"/>
        <v>1:00</v>
      </c>
      <c r="N718" s="51">
        <f t="shared" si="802"/>
        <v>0.45833333333333331</v>
      </c>
      <c r="O718" s="53" t="str">
        <f t="shared" ref="O718" si="873">+O721</f>
        <v>6-0-1</v>
      </c>
      <c r="P718" s="54">
        <f>+IF(AND(Y718="Domingo",U718=7),_xlfn.XLOOKUP(O718,'Horarios y Sistemas'!C:C,'Horarios y Sistemas'!H:H,0,0,1),0)</f>
        <v>0</v>
      </c>
      <c r="Q718" s="54">
        <f>IF(U718=U719,0,IF(AVERAGEIF(W:W,W718,U:U)=U718,0,_xlfn.XLOOKUP(O718,'Horarios y Sistemas'!C:C,'Horarios y Sistemas'!H:H,0,0,1)-P718))/7*U718</f>
        <v>0</v>
      </c>
      <c r="R718" s="54">
        <f t="shared" si="804"/>
        <v>0</v>
      </c>
      <c r="S718" s="55" t="str">
        <f t="shared" si="805"/>
        <v>OCTUBRE</v>
      </c>
      <c r="T718" s="55" t="str">
        <f t="shared" si="806"/>
        <v>Sem40</v>
      </c>
      <c r="U718" s="56">
        <f t="shared" si="867"/>
        <v>7</v>
      </c>
      <c r="V718" s="59">
        <v>46296</v>
      </c>
      <c r="W718" s="56">
        <f t="shared" si="807"/>
        <v>40</v>
      </c>
      <c r="X718" s="56">
        <f t="shared" si="808"/>
        <v>1</v>
      </c>
      <c r="Y718" s="56" t="s">
        <v>31</v>
      </c>
      <c r="Z718" s="56">
        <v>4</v>
      </c>
      <c r="AA718" s="58">
        <f t="shared" si="832"/>
        <v>1</v>
      </c>
      <c r="AB718" s="58">
        <f t="shared" si="832"/>
        <v>0</v>
      </c>
      <c r="AC718" s="58">
        <f t="shared" si="832"/>
        <v>0</v>
      </c>
      <c r="AD718" s="58">
        <f t="shared" si="832"/>
        <v>0</v>
      </c>
      <c r="AE718" s="58">
        <f t="shared" si="832"/>
        <v>0</v>
      </c>
    </row>
    <row r="719" spans="2:34">
      <c r="B719" t="str">
        <f t="shared" ref="B719:B782" si="874">+T719&amp;W719&amp;H719</f>
        <v>Sem4040KEVIN ALEJANDRO RODRIGUEZ ARGUETA</v>
      </c>
      <c r="C719" t="str">
        <f t="shared" ref="C719:C782" si="875">+S719&amp;T719</f>
        <v>OCTUBRESem40</v>
      </c>
      <c r="D719" t="str">
        <f t="shared" ref="D719:D782" si="876">+S719&amp;T719&amp;H719</f>
        <v>OCTUBRESem40KEVIN ALEJANDRO RODRIGUEZ ARGUETA</v>
      </c>
      <c r="E719" t="str">
        <f t="shared" ref="E719:E782" si="877">+S719&amp;T719&amp;W719&amp;H719</f>
        <v>OCTUBRESem4040KEVIN ALEJANDRO RODRIGUEZ ARGUETA</v>
      </c>
      <c r="F719" t="str">
        <f t="shared" ref="F719:F782" si="878">+H719&amp;V719</f>
        <v>KEVIN ALEJANDRO RODRIGUEZ ARGUETA46297</v>
      </c>
      <c r="H719" s="49" t="s">
        <v>227</v>
      </c>
      <c r="I719" s="50" t="str">
        <f>+_xlfn.XLOOKUP($H719&amp;$V719,BASEDATOS!$B:$B,BASEDATOS!F:F,0,0,1)</f>
        <v>DIA</v>
      </c>
      <c r="J719" s="51">
        <f>+_xlfn.XLOOKUP($H719&amp;$V719,BASEDATOS!$B:$B,BASEDATOS!Q:Q,0,0,1)</f>
        <v>0.25</v>
      </c>
      <c r="K719" s="51">
        <f>+_xlfn.XLOOKUP($H719&amp;$V719,BASEDATOS!$B:$B,BASEDATOS!R:R,0,0,1)</f>
        <v>0.75</v>
      </c>
      <c r="L719" s="51">
        <f t="shared" ref="L719:L782" si="879">+IF(OR(J719="Descanso",J719="AUSENTE",J719="ASUETO"),0,MOD(K719-J719,1))</f>
        <v>0.5</v>
      </c>
      <c r="M719" s="52" t="str">
        <f t="shared" ref="M719:M782" si="880">+IF(OR(I719="DIA",I719="NOCHE",I719="MIXTO"),"1:00",0)</f>
        <v>1:00</v>
      </c>
      <c r="N719" s="51">
        <f t="shared" ref="N719:N782" si="881">+IF(I719="ASUETO-D",8/24,IF(I719="ASUETO-N",6/24,MOD(L719-M719,1)))</f>
        <v>0.45833333333333331</v>
      </c>
      <c r="O719" s="53" t="str">
        <f t="shared" ref="O719" si="882">+O721</f>
        <v>6-0-1</v>
      </c>
      <c r="P719" s="54">
        <f>+IF(AND(Y719="Domingo",U719=7),_xlfn.XLOOKUP(O719,'Horarios y Sistemas'!C:C,'Horarios y Sistemas'!H:H,0,0,1),0)</f>
        <v>0</v>
      </c>
      <c r="Q719" s="54">
        <f>IF(U719=U720,0,IF(AVERAGEIF(W:W,W719,U:U)=U719,0,_xlfn.XLOOKUP(O719,'Horarios y Sistemas'!C:C,'Horarios y Sistemas'!H:H,0,0,1)-P719))/7*U719</f>
        <v>0</v>
      </c>
      <c r="R719" s="54">
        <f t="shared" ref="R719:R782" si="883">+IF(Y719="Domingo",SUM(P713:Q719),0)</f>
        <v>0</v>
      </c>
      <c r="S719" s="55" t="str">
        <f t="shared" ref="S719:S782" si="884">+UPPER(TEXT(V719,"MMMMMMMM"))</f>
        <v>OCTUBRE</v>
      </c>
      <c r="T719" s="55" t="str">
        <f t="shared" ref="T719:T782" si="885">+"Sem"&amp;W719</f>
        <v>Sem40</v>
      </c>
      <c r="U719" s="56">
        <f t="shared" si="867"/>
        <v>7</v>
      </c>
      <c r="V719" s="59">
        <v>46297</v>
      </c>
      <c r="W719" s="56">
        <f t="shared" ref="W719:W782" si="886">+_xlfn.ISOWEEKNUM(V719)</f>
        <v>40</v>
      </c>
      <c r="X719" s="56">
        <f t="shared" ref="X719:X782" si="887">+DAY(V719)</f>
        <v>2</v>
      </c>
      <c r="Y719" s="56" t="s">
        <v>32</v>
      </c>
      <c r="Z719" s="56">
        <v>5</v>
      </c>
      <c r="AA719" s="58">
        <f t="shared" si="832"/>
        <v>1</v>
      </c>
      <c r="AB719" s="58">
        <f t="shared" si="832"/>
        <v>0</v>
      </c>
      <c r="AC719" s="58">
        <f t="shared" si="832"/>
        <v>0</v>
      </c>
      <c r="AD719" s="58">
        <f t="shared" si="832"/>
        <v>0</v>
      </c>
      <c r="AE719" s="58">
        <f t="shared" si="832"/>
        <v>0</v>
      </c>
    </row>
    <row r="720" spans="2:34">
      <c r="B720" t="str">
        <f t="shared" si="874"/>
        <v>Sem4040KEVIN ALEJANDRO RODRIGUEZ ARGUETA</v>
      </c>
      <c r="C720" t="str">
        <f t="shared" si="875"/>
        <v>OCTUBRESem40</v>
      </c>
      <c r="D720" t="str">
        <f t="shared" si="876"/>
        <v>OCTUBRESem40KEVIN ALEJANDRO RODRIGUEZ ARGUETA</v>
      </c>
      <c r="E720" t="str">
        <f t="shared" si="877"/>
        <v>OCTUBRESem4040KEVIN ALEJANDRO RODRIGUEZ ARGUETA</v>
      </c>
      <c r="F720" t="str">
        <f t="shared" si="878"/>
        <v>KEVIN ALEJANDRO RODRIGUEZ ARGUETA46298</v>
      </c>
      <c r="H720" s="49" t="s">
        <v>227</v>
      </c>
      <c r="I720" s="50" t="str">
        <f>+_xlfn.XLOOKUP($H720&amp;$V720,BASEDATOS!$B:$B,BASEDATOS!F:F,0,0,1)</f>
        <v>DIA</v>
      </c>
      <c r="J720" s="51">
        <f>+_xlfn.XLOOKUP($H720&amp;$V720,BASEDATOS!$B:$B,BASEDATOS!Q:Q,0,0,1)</f>
        <v>0.25</v>
      </c>
      <c r="K720" s="51">
        <f>+_xlfn.XLOOKUP($H720&amp;$V720,BASEDATOS!$B:$B,BASEDATOS!R:R,0,0,1)</f>
        <v>0.58333333333333304</v>
      </c>
      <c r="L720" s="51">
        <f t="shared" si="879"/>
        <v>0.33333333333333304</v>
      </c>
      <c r="M720" s="52" t="str">
        <f t="shared" si="880"/>
        <v>1:00</v>
      </c>
      <c r="N720" s="51">
        <f t="shared" si="881"/>
        <v>0.29166666666666635</v>
      </c>
      <c r="O720" s="53" t="str">
        <f t="shared" ref="O720" si="888">+O721</f>
        <v>6-0-1</v>
      </c>
      <c r="P720" s="54">
        <f>+IF(AND(Y720="Domingo",U720=7),_xlfn.XLOOKUP(O720,'Horarios y Sistemas'!C:C,'Horarios y Sistemas'!H:H,0,0,1),0)</f>
        <v>0</v>
      </c>
      <c r="Q720" s="54">
        <f>IF(U720=U721,0,IF(AVERAGEIF(W:W,W720,U:U)=U720,0,_xlfn.XLOOKUP(O720,'Horarios y Sistemas'!C:C,'Horarios y Sistemas'!H:H,0,0,1)-P720))/7*U720</f>
        <v>0</v>
      </c>
      <c r="R720" s="54">
        <f t="shared" si="883"/>
        <v>0</v>
      </c>
      <c r="S720" s="55" t="str">
        <f t="shared" si="884"/>
        <v>OCTUBRE</v>
      </c>
      <c r="T720" s="55" t="str">
        <f t="shared" si="885"/>
        <v>Sem40</v>
      </c>
      <c r="U720" s="56">
        <f t="shared" si="867"/>
        <v>7</v>
      </c>
      <c r="V720" s="59">
        <v>46298</v>
      </c>
      <c r="W720" s="56">
        <f t="shared" si="886"/>
        <v>40</v>
      </c>
      <c r="X720" s="56">
        <f t="shared" si="887"/>
        <v>3</v>
      </c>
      <c r="Y720" s="56" t="s">
        <v>33</v>
      </c>
      <c r="Z720" s="56">
        <v>6</v>
      </c>
      <c r="AA720" s="58">
        <f t="shared" si="832"/>
        <v>1</v>
      </c>
      <c r="AB720" s="58">
        <f t="shared" si="832"/>
        <v>0</v>
      </c>
      <c r="AC720" s="58">
        <f t="shared" si="832"/>
        <v>0</v>
      </c>
      <c r="AD720" s="58">
        <f t="shared" si="832"/>
        <v>0</v>
      </c>
      <c r="AE720" s="58">
        <f t="shared" si="832"/>
        <v>0</v>
      </c>
    </row>
    <row r="721" spans="2:34" s="60" customFormat="1">
      <c r="B721" s="60" t="str">
        <f t="shared" si="874"/>
        <v>Sem4040KEVIN ALEJANDRO RODRIGUEZ ARGUETA</v>
      </c>
      <c r="C721" s="60" t="str">
        <f t="shared" si="875"/>
        <v>OCTUBRESem40</v>
      </c>
      <c r="D721" s="60" t="str">
        <f t="shared" si="876"/>
        <v>OCTUBRESem40KEVIN ALEJANDRO RODRIGUEZ ARGUETA</v>
      </c>
      <c r="E721" s="60" t="str">
        <f t="shared" si="877"/>
        <v>OCTUBRESem4040KEVIN ALEJANDRO RODRIGUEZ ARGUETA</v>
      </c>
      <c r="F721" s="60" t="str">
        <f t="shared" si="878"/>
        <v>KEVIN ALEJANDRO RODRIGUEZ ARGUETA46299</v>
      </c>
      <c r="H721" s="61" t="s">
        <v>227</v>
      </c>
      <c r="I721" s="62" t="str">
        <f>+_xlfn.XLOOKUP($H721&amp;$V721,BASEDATOS!$B:$B,BASEDATOS!F:F,0,0,1)</f>
        <v>DESCANSO</v>
      </c>
      <c r="J721" s="63">
        <f>+_xlfn.XLOOKUP($H721&amp;$V721,BASEDATOS!$B:$B,BASEDATOS!Q:Q,0,0,1)</f>
        <v>0</v>
      </c>
      <c r="K721" s="63">
        <f>+_xlfn.XLOOKUP($H721&amp;$V721,BASEDATOS!$B:$B,BASEDATOS!R:R,0,0,1)</f>
        <v>0</v>
      </c>
      <c r="L721" s="63">
        <f t="shared" si="879"/>
        <v>0</v>
      </c>
      <c r="M721" s="64">
        <f t="shared" si="880"/>
        <v>0</v>
      </c>
      <c r="N721" s="63">
        <f t="shared" si="881"/>
        <v>0</v>
      </c>
      <c r="O721" s="65" t="str">
        <f t="shared" ref="O721" si="889">+IF(Y721="Domingo",SUM(AA715:AA721)&amp;"-"&amp;SUM(AB715:AB721)&amp;"-"&amp;SUM(AC715:AE721),"")</f>
        <v>6-0-1</v>
      </c>
      <c r="P721" s="66">
        <f>+IF(AND(Y721="Domingo",U721=7),_xlfn.XLOOKUP(O721,'Horarios y Sistemas'!C:C,'Horarios y Sistemas'!H:H,0,0,1),0)</f>
        <v>44</v>
      </c>
      <c r="Q721" s="66">
        <f>IF(U721=U722,0,IF(AVERAGEIF(W:W,W721,U:U)=U721,0,_xlfn.XLOOKUP(O721,'Horarios y Sistemas'!C:C,'Horarios y Sistemas'!H:H,0,0,1)-P721))/7*U721</f>
        <v>0</v>
      </c>
      <c r="R721" s="66">
        <f t="shared" si="883"/>
        <v>44</v>
      </c>
      <c r="S721" s="67" t="str">
        <f t="shared" si="884"/>
        <v>OCTUBRE</v>
      </c>
      <c r="T721" s="55" t="str">
        <f t="shared" si="885"/>
        <v>Sem40</v>
      </c>
      <c r="U721" s="68">
        <f t="shared" si="867"/>
        <v>7</v>
      </c>
      <c r="V721" s="69">
        <v>46299</v>
      </c>
      <c r="W721" s="68">
        <f t="shared" si="886"/>
        <v>40</v>
      </c>
      <c r="X721" s="68">
        <f t="shared" si="887"/>
        <v>4</v>
      </c>
      <c r="Y721" s="68" t="s">
        <v>34</v>
      </c>
      <c r="Z721" s="68">
        <v>7</v>
      </c>
      <c r="AA721" s="70">
        <f t="shared" si="832"/>
        <v>0</v>
      </c>
      <c r="AB721" s="70">
        <f t="shared" si="832"/>
        <v>0</v>
      </c>
      <c r="AC721" s="70">
        <f t="shared" si="832"/>
        <v>1</v>
      </c>
      <c r="AD721" s="70">
        <f t="shared" si="832"/>
        <v>0</v>
      </c>
      <c r="AE721" s="70">
        <f t="shared" si="832"/>
        <v>0</v>
      </c>
      <c r="AF721" s="71"/>
      <c r="AG721" s="71"/>
      <c r="AH721" s="71"/>
    </row>
    <row r="722" spans="2:34">
      <c r="B722" t="str">
        <f t="shared" si="874"/>
        <v>Sem3838LUIS ESTUARDO GARCIA BARILLAS</v>
      </c>
      <c r="C722" t="str">
        <f t="shared" si="875"/>
        <v>SEPTIEMBRESem38</v>
      </c>
      <c r="D722" t="str">
        <f t="shared" si="876"/>
        <v>SEPTIEMBRESem38LUIS ESTUARDO GARCIA BARILLAS</v>
      </c>
      <c r="E722" t="str">
        <f t="shared" si="877"/>
        <v>SEPTIEMBRESem3838LUIS ESTUARDO GARCIA BARILLAS</v>
      </c>
      <c r="F722" t="str">
        <f t="shared" si="878"/>
        <v>LUIS ESTUARDO GARCIA BARILLAS46279</v>
      </c>
      <c r="H722" s="49" t="s">
        <v>228</v>
      </c>
      <c r="I722" s="50" t="str">
        <f>+_xlfn.XLOOKUP($H722&amp;$V722,BASEDATOS!$B:$B,BASEDATOS!F:F,0,0,1)</f>
        <v>DESCANSO</v>
      </c>
      <c r="J722" s="51">
        <f>+_xlfn.XLOOKUP($H722&amp;$V722,BASEDATOS!$B:$B,BASEDATOS!Q:Q,0,0,1)</f>
        <v>0</v>
      </c>
      <c r="K722" s="51">
        <f>+_xlfn.XLOOKUP($H722&amp;$V722,BASEDATOS!$B:$B,BASEDATOS!R:R,0,0,1)</f>
        <v>0</v>
      </c>
      <c r="L722" s="51">
        <f t="shared" si="879"/>
        <v>0</v>
      </c>
      <c r="M722" s="52">
        <f t="shared" si="880"/>
        <v>0</v>
      </c>
      <c r="N722" s="51">
        <f t="shared" si="881"/>
        <v>0</v>
      </c>
      <c r="O722" s="53" t="str">
        <f t="shared" ref="O722" si="890">+O728</f>
        <v>5-0-2</v>
      </c>
      <c r="P722" s="54">
        <f>+IF(AND(Y722="Domingo",U722=7),_xlfn.XLOOKUP(O722,'Horarios y Sistemas'!C:C,'Horarios y Sistemas'!H:H,0,0,1),0)</f>
        <v>0</v>
      </c>
      <c r="Q722" s="54">
        <f>IF(U722=U723,0,IF(AVERAGEIF(W:W,W722,U:U)=U722,0,_xlfn.XLOOKUP(O722,'Horarios y Sistemas'!C:C,'Horarios y Sistemas'!H:H,0,0,1)-P722))/7*U722</f>
        <v>0</v>
      </c>
      <c r="R722" s="54">
        <f t="shared" si="883"/>
        <v>0</v>
      </c>
      <c r="S722" s="55" t="str">
        <f t="shared" si="884"/>
        <v>SEPTIEMBRE</v>
      </c>
      <c r="T722" s="55" t="str">
        <f t="shared" si="885"/>
        <v>Sem38</v>
      </c>
      <c r="U722" s="56">
        <f t="shared" si="867"/>
        <v>7</v>
      </c>
      <c r="V722" s="59">
        <v>46279</v>
      </c>
      <c r="W722" s="56">
        <f t="shared" si="886"/>
        <v>38</v>
      </c>
      <c r="X722" s="56">
        <f t="shared" si="887"/>
        <v>14</v>
      </c>
      <c r="Y722" s="56" t="s">
        <v>28</v>
      </c>
      <c r="Z722" s="56">
        <v>1</v>
      </c>
      <c r="AA722" s="58">
        <f t="shared" si="832"/>
        <v>0</v>
      </c>
      <c r="AB722" s="58">
        <f t="shared" si="832"/>
        <v>0</v>
      </c>
      <c r="AC722" s="58">
        <f t="shared" si="832"/>
        <v>1</v>
      </c>
      <c r="AD722" s="58">
        <f t="shared" si="832"/>
        <v>0</v>
      </c>
      <c r="AE722" s="58">
        <f t="shared" si="832"/>
        <v>0</v>
      </c>
    </row>
    <row r="723" spans="2:34">
      <c r="B723" t="str">
        <f t="shared" si="874"/>
        <v>Sem3838LUIS ESTUARDO GARCIA BARILLAS</v>
      </c>
      <c r="C723" t="str">
        <f t="shared" si="875"/>
        <v>SEPTIEMBRESem38</v>
      </c>
      <c r="D723" t="str">
        <f t="shared" si="876"/>
        <v>SEPTIEMBRESem38LUIS ESTUARDO GARCIA BARILLAS</v>
      </c>
      <c r="E723" t="str">
        <f t="shared" si="877"/>
        <v>SEPTIEMBRESem3838LUIS ESTUARDO GARCIA BARILLAS</v>
      </c>
      <c r="F723" t="str">
        <f t="shared" si="878"/>
        <v>LUIS ESTUARDO GARCIA BARILLAS46280</v>
      </c>
      <c r="H723" s="49" t="s">
        <v>228</v>
      </c>
      <c r="I723" s="50" t="str">
        <f>+_xlfn.XLOOKUP($H723&amp;$V723,BASEDATOS!$B:$B,BASEDATOS!F:F,0,0,1)</f>
        <v>DIA</v>
      </c>
      <c r="J723" s="51">
        <f>+_xlfn.XLOOKUP($H723&amp;$V723,BASEDATOS!$B:$B,BASEDATOS!Q:Q,0,0,1)</f>
        <v>0.33333333333333298</v>
      </c>
      <c r="K723" s="51">
        <f>+_xlfn.XLOOKUP($H723&amp;$V723,BASEDATOS!$B:$B,BASEDATOS!R:R,0,0,1)</f>
        <v>0.70833333333333304</v>
      </c>
      <c r="L723" s="51">
        <f t="shared" si="879"/>
        <v>0.37500000000000006</v>
      </c>
      <c r="M723" s="52" t="str">
        <f t="shared" si="880"/>
        <v>1:00</v>
      </c>
      <c r="N723" s="51">
        <f t="shared" si="881"/>
        <v>0.33333333333333337</v>
      </c>
      <c r="O723" s="53" t="str">
        <f t="shared" ref="O723" si="891">+O728</f>
        <v>5-0-2</v>
      </c>
      <c r="P723" s="54">
        <f>+IF(AND(Y723="Domingo",U723=7),_xlfn.XLOOKUP(O723,'Horarios y Sistemas'!C:C,'Horarios y Sistemas'!H:H,0,0,1),0)</f>
        <v>0</v>
      </c>
      <c r="Q723" s="54">
        <f>IF(U723=U724,0,IF(AVERAGEIF(W:W,W723,U:U)=U723,0,_xlfn.XLOOKUP(O723,'Horarios y Sistemas'!C:C,'Horarios y Sistemas'!H:H,0,0,1)-P723))/7*U723</f>
        <v>0</v>
      </c>
      <c r="R723" s="54">
        <f t="shared" si="883"/>
        <v>0</v>
      </c>
      <c r="S723" s="55" t="str">
        <f t="shared" si="884"/>
        <v>SEPTIEMBRE</v>
      </c>
      <c r="T723" s="55" t="str">
        <f t="shared" si="885"/>
        <v>Sem38</v>
      </c>
      <c r="U723" s="56">
        <f t="shared" si="867"/>
        <v>7</v>
      </c>
      <c r="V723" s="59">
        <v>46280</v>
      </c>
      <c r="W723" s="56">
        <f t="shared" si="886"/>
        <v>38</v>
      </c>
      <c r="X723" s="56">
        <f t="shared" si="887"/>
        <v>15</v>
      </c>
      <c r="Y723" s="56" t="s">
        <v>29</v>
      </c>
      <c r="Z723" s="56">
        <v>2</v>
      </c>
      <c r="AA723" s="58">
        <f t="shared" si="832"/>
        <v>1</v>
      </c>
      <c r="AB723" s="58">
        <f t="shared" si="832"/>
        <v>0</v>
      </c>
      <c r="AC723" s="58">
        <f t="shared" si="832"/>
        <v>0</v>
      </c>
      <c r="AD723" s="58">
        <f t="shared" si="832"/>
        <v>0</v>
      </c>
      <c r="AE723" s="58">
        <f t="shared" si="832"/>
        <v>0</v>
      </c>
    </row>
    <row r="724" spans="2:34">
      <c r="B724" t="str">
        <f t="shared" si="874"/>
        <v>Sem3838LUIS ESTUARDO GARCIA BARILLAS</v>
      </c>
      <c r="C724" t="str">
        <f t="shared" si="875"/>
        <v>SEPTIEMBRESem38</v>
      </c>
      <c r="D724" t="str">
        <f t="shared" si="876"/>
        <v>SEPTIEMBRESem38LUIS ESTUARDO GARCIA BARILLAS</v>
      </c>
      <c r="E724" t="str">
        <f t="shared" si="877"/>
        <v>SEPTIEMBRESem3838LUIS ESTUARDO GARCIA BARILLAS</v>
      </c>
      <c r="F724" t="str">
        <f t="shared" si="878"/>
        <v>LUIS ESTUARDO GARCIA BARILLAS46281</v>
      </c>
      <c r="H724" s="49" t="s">
        <v>228</v>
      </c>
      <c r="I724" s="50" t="str">
        <f>+_xlfn.XLOOKUP($H724&amp;$V724,BASEDATOS!$B:$B,BASEDATOS!F:F,0,0,1)</f>
        <v>DIA</v>
      </c>
      <c r="J724" s="51">
        <f>+_xlfn.XLOOKUP($H724&amp;$V724,BASEDATOS!$B:$B,BASEDATOS!Q:Q,0,0,1)</f>
        <v>0.25</v>
      </c>
      <c r="K724" s="51">
        <f>+_xlfn.XLOOKUP($H724&amp;$V724,BASEDATOS!$B:$B,BASEDATOS!R:R,0,0,1)</f>
        <v>0.75</v>
      </c>
      <c r="L724" s="51">
        <f t="shared" si="879"/>
        <v>0.5</v>
      </c>
      <c r="M724" s="52" t="str">
        <f t="shared" si="880"/>
        <v>1:00</v>
      </c>
      <c r="N724" s="51">
        <f t="shared" si="881"/>
        <v>0.45833333333333331</v>
      </c>
      <c r="O724" s="53" t="str">
        <f t="shared" ref="O724" si="892">+O728</f>
        <v>5-0-2</v>
      </c>
      <c r="P724" s="54">
        <f>+IF(AND(Y724="Domingo",U724=7),_xlfn.XLOOKUP(O724,'Horarios y Sistemas'!C:C,'Horarios y Sistemas'!H:H,0,0,1),0)</f>
        <v>0</v>
      </c>
      <c r="Q724" s="54">
        <f>IF(U724=U725,0,IF(AVERAGEIF(W:W,W724,U:U)=U724,0,_xlfn.XLOOKUP(O724,'Horarios y Sistemas'!C:C,'Horarios y Sistemas'!H:H,0,0,1)-P724))/7*U724</f>
        <v>0</v>
      </c>
      <c r="R724" s="54">
        <f t="shared" si="883"/>
        <v>0</v>
      </c>
      <c r="S724" s="55" t="str">
        <f t="shared" si="884"/>
        <v>SEPTIEMBRE</v>
      </c>
      <c r="T724" s="55" t="str">
        <f t="shared" si="885"/>
        <v>Sem38</v>
      </c>
      <c r="U724" s="56">
        <f t="shared" si="867"/>
        <v>7</v>
      </c>
      <c r="V724" s="59">
        <v>46281</v>
      </c>
      <c r="W724" s="56">
        <f t="shared" si="886"/>
        <v>38</v>
      </c>
      <c r="X724" s="56">
        <f t="shared" si="887"/>
        <v>16</v>
      </c>
      <c r="Y724" s="56" t="s">
        <v>30</v>
      </c>
      <c r="Z724" s="56">
        <v>3</v>
      </c>
      <c r="AA724" s="58">
        <f t="shared" si="832"/>
        <v>1</v>
      </c>
      <c r="AB724" s="58">
        <f t="shared" si="832"/>
        <v>0</v>
      </c>
      <c r="AC724" s="58">
        <f t="shared" si="832"/>
        <v>0</v>
      </c>
      <c r="AD724" s="58">
        <f t="shared" si="832"/>
        <v>0</v>
      </c>
      <c r="AE724" s="58">
        <f t="shared" si="832"/>
        <v>0</v>
      </c>
    </row>
    <row r="725" spans="2:34">
      <c r="B725" t="str">
        <f t="shared" si="874"/>
        <v>Sem3838LUIS ESTUARDO GARCIA BARILLAS</v>
      </c>
      <c r="C725" t="str">
        <f t="shared" si="875"/>
        <v>SEPTIEMBRESem38</v>
      </c>
      <c r="D725" t="str">
        <f t="shared" si="876"/>
        <v>SEPTIEMBRESem38LUIS ESTUARDO GARCIA BARILLAS</v>
      </c>
      <c r="E725" t="str">
        <f t="shared" si="877"/>
        <v>SEPTIEMBRESem3838LUIS ESTUARDO GARCIA BARILLAS</v>
      </c>
      <c r="F725" t="str">
        <f t="shared" si="878"/>
        <v>LUIS ESTUARDO GARCIA BARILLAS46282</v>
      </c>
      <c r="H725" s="49" t="s">
        <v>228</v>
      </c>
      <c r="I725" s="50" t="str">
        <f>+_xlfn.XLOOKUP($H725&amp;$V725,BASEDATOS!$B:$B,BASEDATOS!F:F,0,0,1)</f>
        <v>DIA</v>
      </c>
      <c r="J725" s="51">
        <f>+_xlfn.XLOOKUP($H725&amp;$V725,BASEDATOS!$B:$B,BASEDATOS!Q:Q,0,0,1)</f>
        <v>0.25</v>
      </c>
      <c r="K725" s="51">
        <f>+_xlfn.XLOOKUP($H725&amp;$V725,BASEDATOS!$B:$B,BASEDATOS!R:R,0,0,1)</f>
        <v>0.75</v>
      </c>
      <c r="L725" s="51">
        <f t="shared" si="879"/>
        <v>0.5</v>
      </c>
      <c r="M725" s="52" t="str">
        <f t="shared" si="880"/>
        <v>1:00</v>
      </c>
      <c r="N725" s="51">
        <f t="shared" si="881"/>
        <v>0.45833333333333331</v>
      </c>
      <c r="O725" s="53" t="str">
        <f t="shared" ref="O725" si="893">+O728</f>
        <v>5-0-2</v>
      </c>
      <c r="P725" s="54">
        <f>+IF(AND(Y725="Domingo",U725=7),_xlfn.XLOOKUP(O725,'Horarios y Sistemas'!C:C,'Horarios y Sistemas'!H:H,0,0,1),0)</f>
        <v>0</v>
      </c>
      <c r="Q725" s="54">
        <f>IF(U725=U726,0,IF(AVERAGEIF(W:W,W725,U:U)=U725,0,_xlfn.XLOOKUP(O725,'Horarios y Sistemas'!C:C,'Horarios y Sistemas'!H:H,0,0,1)-P725))/7*U725</f>
        <v>0</v>
      </c>
      <c r="R725" s="54">
        <f t="shared" si="883"/>
        <v>0</v>
      </c>
      <c r="S725" s="55" t="str">
        <f t="shared" si="884"/>
        <v>SEPTIEMBRE</v>
      </c>
      <c r="T725" s="55" t="str">
        <f t="shared" si="885"/>
        <v>Sem38</v>
      </c>
      <c r="U725" s="56">
        <f t="shared" si="867"/>
        <v>7</v>
      </c>
      <c r="V725" s="59">
        <v>46282</v>
      </c>
      <c r="W725" s="56">
        <f t="shared" si="886"/>
        <v>38</v>
      </c>
      <c r="X725" s="56">
        <f t="shared" si="887"/>
        <v>17</v>
      </c>
      <c r="Y725" s="56" t="s">
        <v>31</v>
      </c>
      <c r="Z725" s="56">
        <v>4</v>
      </c>
      <c r="AA725" s="58">
        <f t="shared" si="832"/>
        <v>1</v>
      </c>
      <c r="AB725" s="58">
        <f t="shared" si="832"/>
        <v>0</v>
      </c>
      <c r="AC725" s="58">
        <f t="shared" si="832"/>
        <v>0</v>
      </c>
      <c r="AD725" s="58">
        <f t="shared" si="832"/>
        <v>0</v>
      </c>
      <c r="AE725" s="58">
        <f t="shared" si="832"/>
        <v>0</v>
      </c>
    </row>
    <row r="726" spans="2:34">
      <c r="B726" t="str">
        <f t="shared" si="874"/>
        <v>Sem3838LUIS ESTUARDO GARCIA BARILLAS</v>
      </c>
      <c r="C726" t="str">
        <f t="shared" si="875"/>
        <v>SEPTIEMBRESem38</v>
      </c>
      <c r="D726" t="str">
        <f t="shared" si="876"/>
        <v>SEPTIEMBRESem38LUIS ESTUARDO GARCIA BARILLAS</v>
      </c>
      <c r="E726" t="str">
        <f t="shared" si="877"/>
        <v>SEPTIEMBRESem3838LUIS ESTUARDO GARCIA BARILLAS</v>
      </c>
      <c r="F726" t="str">
        <f t="shared" si="878"/>
        <v>LUIS ESTUARDO GARCIA BARILLAS46283</v>
      </c>
      <c r="H726" s="49" t="s">
        <v>228</v>
      </c>
      <c r="I726" s="50" t="str">
        <f>+_xlfn.XLOOKUP($H726&amp;$V726,BASEDATOS!$B:$B,BASEDATOS!F:F,0,0,1)</f>
        <v>DIA</v>
      </c>
      <c r="J726" s="51">
        <f>+_xlfn.XLOOKUP($H726&amp;$V726,BASEDATOS!$B:$B,BASEDATOS!Q:Q,0,0,1)</f>
        <v>0.25</v>
      </c>
      <c r="K726" s="51">
        <f>+_xlfn.XLOOKUP($H726&amp;$V726,BASEDATOS!$B:$B,BASEDATOS!R:R,0,0,1)</f>
        <v>0.75</v>
      </c>
      <c r="L726" s="51">
        <f t="shared" si="879"/>
        <v>0.5</v>
      </c>
      <c r="M726" s="52" t="str">
        <f t="shared" si="880"/>
        <v>1:00</v>
      </c>
      <c r="N726" s="51">
        <f t="shared" si="881"/>
        <v>0.45833333333333331</v>
      </c>
      <c r="O726" s="53" t="str">
        <f t="shared" ref="O726" si="894">+O728</f>
        <v>5-0-2</v>
      </c>
      <c r="P726" s="54">
        <f>+IF(AND(Y726="Domingo",U726=7),_xlfn.XLOOKUP(O726,'Horarios y Sistemas'!C:C,'Horarios y Sistemas'!H:H,0,0,1),0)</f>
        <v>0</v>
      </c>
      <c r="Q726" s="54">
        <f>IF(U726=U727,0,IF(AVERAGEIF(W:W,W726,U:U)=U726,0,_xlfn.XLOOKUP(O726,'Horarios y Sistemas'!C:C,'Horarios y Sistemas'!H:H,0,0,1)-P726))/7*U726</f>
        <v>0</v>
      </c>
      <c r="R726" s="54">
        <f t="shared" si="883"/>
        <v>0</v>
      </c>
      <c r="S726" s="55" t="str">
        <f t="shared" si="884"/>
        <v>SEPTIEMBRE</v>
      </c>
      <c r="T726" s="55" t="str">
        <f t="shared" si="885"/>
        <v>Sem38</v>
      </c>
      <c r="U726" s="56">
        <f t="shared" si="867"/>
        <v>7</v>
      </c>
      <c r="V726" s="59">
        <v>46283</v>
      </c>
      <c r="W726" s="56">
        <f t="shared" si="886"/>
        <v>38</v>
      </c>
      <c r="X726" s="56">
        <f t="shared" si="887"/>
        <v>18</v>
      </c>
      <c r="Y726" s="56" t="s">
        <v>32</v>
      </c>
      <c r="Z726" s="56">
        <v>5</v>
      </c>
      <c r="AA726" s="58">
        <f t="shared" si="832"/>
        <v>1</v>
      </c>
      <c r="AB726" s="58">
        <f t="shared" si="832"/>
        <v>0</v>
      </c>
      <c r="AC726" s="58">
        <f t="shared" si="832"/>
        <v>0</v>
      </c>
      <c r="AD726" s="58">
        <f t="shared" si="832"/>
        <v>0</v>
      </c>
      <c r="AE726" s="58">
        <f t="shared" si="832"/>
        <v>0</v>
      </c>
    </row>
    <row r="727" spans="2:34">
      <c r="B727" t="str">
        <f t="shared" si="874"/>
        <v>Sem3838LUIS ESTUARDO GARCIA BARILLAS</v>
      </c>
      <c r="C727" t="str">
        <f t="shared" si="875"/>
        <v>SEPTIEMBRESem38</v>
      </c>
      <c r="D727" t="str">
        <f t="shared" si="876"/>
        <v>SEPTIEMBRESem38LUIS ESTUARDO GARCIA BARILLAS</v>
      </c>
      <c r="E727" t="str">
        <f t="shared" si="877"/>
        <v>SEPTIEMBRESem3838LUIS ESTUARDO GARCIA BARILLAS</v>
      </c>
      <c r="F727" t="str">
        <f t="shared" si="878"/>
        <v>LUIS ESTUARDO GARCIA BARILLAS46284</v>
      </c>
      <c r="H727" s="49" t="s">
        <v>228</v>
      </c>
      <c r="I727" s="50" t="str">
        <f>+_xlfn.XLOOKUP($H727&amp;$V727,BASEDATOS!$B:$B,BASEDATOS!F:F,0,0,1)</f>
        <v>DIA</v>
      </c>
      <c r="J727" s="51">
        <f>+_xlfn.XLOOKUP($H727&amp;$V727,BASEDATOS!$B:$B,BASEDATOS!Q:Q,0,0,1)</f>
        <v>0.25</v>
      </c>
      <c r="K727" s="51">
        <f>+_xlfn.XLOOKUP($H727&amp;$V727,BASEDATOS!$B:$B,BASEDATOS!R:R,0,0,1)</f>
        <v>0.58333333333333304</v>
      </c>
      <c r="L727" s="51">
        <f t="shared" si="879"/>
        <v>0.33333333333333304</v>
      </c>
      <c r="M727" s="52" t="str">
        <f t="shared" si="880"/>
        <v>1:00</v>
      </c>
      <c r="N727" s="51">
        <f t="shared" si="881"/>
        <v>0.29166666666666635</v>
      </c>
      <c r="O727" s="53" t="str">
        <f t="shared" ref="O727" si="895">+O728</f>
        <v>5-0-2</v>
      </c>
      <c r="P727" s="54">
        <f>+IF(AND(Y727="Domingo",U727=7),_xlfn.XLOOKUP(O727,'Horarios y Sistemas'!C:C,'Horarios y Sistemas'!H:H,0,0,1),0)</f>
        <v>0</v>
      </c>
      <c r="Q727" s="54">
        <f>IF(U727=U728,0,IF(AVERAGEIF(W:W,W727,U:U)=U727,0,_xlfn.XLOOKUP(O727,'Horarios y Sistemas'!C:C,'Horarios y Sistemas'!H:H,0,0,1)-P727))/7*U727</f>
        <v>0</v>
      </c>
      <c r="R727" s="54">
        <f t="shared" si="883"/>
        <v>0</v>
      </c>
      <c r="S727" s="55" t="str">
        <f t="shared" si="884"/>
        <v>SEPTIEMBRE</v>
      </c>
      <c r="T727" s="55" t="str">
        <f t="shared" si="885"/>
        <v>Sem38</v>
      </c>
      <c r="U727" s="56">
        <f t="shared" si="867"/>
        <v>7</v>
      </c>
      <c r="V727" s="59">
        <v>46284</v>
      </c>
      <c r="W727" s="56">
        <f t="shared" si="886"/>
        <v>38</v>
      </c>
      <c r="X727" s="56">
        <f t="shared" si="887"/>
        <v>19</v>
      </c>
      <c r="Y727" s="56" t="s">
        <v>33</v>
      </c>
      <c r="Z727" s="56">
        <v>6</v>
      </c>
      <c r="AA727" s="58">
        <f t="shared" si="832"/>
        <v>1</v>
      </c>
      <c r="AB727" s="58">
        <f t="shared" si="832"/>
        <v>0</v>
      </c>
      <c r="AC727" s="58">
        <f t="shared" si="832"/>
        <v>0</v>
      </c>
      <c r="AD727" s="58">
        <f t="shared" si="832"/>
        <v>0</v>
      </c>
      <c r="AE727" s="58">
        <f t="shared" si="832"/>
        <v>0</v>
      </c>
    </row>
    <row r="728" spans="2:34" s="60" customFormat="1">
      <c r="B728" s="60" t="str">
        <f t="shared" si="874"/>
        <v>Sem3838LUIS ESTUARDO GARCIA BARILLAS</v>
      </c>
      <c r="C728" s="60" t="str">
        <f t="shared" si="875"/>
        <v>SEPTIEMBRESem38</v>
      </c>
      <c r="D728" s="60" t="str">
        <f t="shared" si="876"/>
        <v>SEPTIEMBRESem38LUIS ESTUARDO GARCIA BARILLAS</v>
      </c>
      <c r="E728" s="60" t="str">
        <f t="shared" si="877"/>
        <v>SEPTIEMBRESem3838LUIS ESTUARDO GARCIA BARILLAS</v>
      </c>
      <c r="F728" s="60" t="str">
        <f t="shared" si="878"/>
        <v>LUIS ESTUARDO GARCIA BARILLAS46285</v>
      </c>
      <c r="H728" s="61" t="s">
        <v>228</v>
      </c>
      <c r="I728" s="62" t="str">
        <f>+_xlfn.XLOOKUP($H728&amp;$V728,BASEDATOS!$B:$B,BASEDATOS!F:F,0,0,1)</f>
        <v>DESCANSO</v>
      </c>
      <c r="J728" s="63">
        <f>+_xlfn.XLOOKUP($H728&amp;$V728,BASEDATOS!$B:$B,BASEDATOS!Q:Q,0,0,1)</f>
        <v>0</v>
      </c>
      <c r="K728" s="63">
        <f>+_xlfn.XLOOKUP($H728&amp;$V728,BASEDATOS!$B:$B,BASEDATOS!R:R,0,0,1)</f>
        <v>0</v>
      </c>
      <c r="L728" s="63">
        <f t="shared" si="879"/>
        <v>0</v>
      </c>
      <c r="M728" s="64">
        <f t="shared" si="880"/>
        <v>0</v>
      </c>
      <c r="N728" s="63">
        <f t="shared" si="881"/>
        <v>0</v>
      </c>
      <c r="O728" s="65" t="str">
        <f t="shared" ref="O728" si="896">+IF(Y728="Domingo",SUM(AA722:AA728)&amp;"-"&amp;SUM(AB722:AB728)&amp;"-"&amp;SUM(AC722:AE728),"")</f>
        <v>5-0-2</v>
      </c>
      <c r="P728" s="66">
        <f>+IF(AND(Y728="Domingo",U728=7),_xlfn.XLOOKUP(O728,'Horarios y Sistemas'!C:C,'Horarios y Sistemas'!H:H,0,0,1),0)</f>
        <v>44</v>
      </c>
      <c r="Q728" s="66">
        <f>IF(U728=U729,0,IF(AVERAGEIF(W:W,W728,U:U)=U728,0,_xlfn.XLOOKUP(O728,'Horarios y Sistemas'!C:C,'Horarios y Sistemas'!H:H,0,0,1)-P728))/7*U728</f>
        <v>0</v>
      </c>
      <c r="R728" s="66">
        <f t="shared" si="883"/>
        <v>44</v>
      </c>
      <c r="S728" s="67" t="str">
        <f t="shared" si="884"/>
        <v>SEPTIEMBRE</v>
      </c>
      <c r="T728" s="55" t="str">
        <f t="shared" si="885"/>
        <v>Sem38</v>
      </c>
      <c r="U728" s="68">
        <f t="shared" si="867"/>
        <v>7</v>
      </c>
      <c r="V728" s="69">
        <v>46285</v>
      </c>
      <c r="W728" s="68">
        <f t="shared" si="886"/>
        <v>38</v>
      </c>
      <c r="X728" s="68">
        <f t="shared" si="887"/>
        <v>20</v>
      </c>
      <c r="Y728" s="68" t="s">
        <v>34</v>
      </c>
      <c r="Z728" s="68">
        <v>7</v>
      </c>
      <c r="AA728" s="70">
        <f t="shared" si="832"/>
        <v>0</v>
      </c>
      <c r="AB728" s="70">
        <f t="shared" si="832"/>
        <v>0</v>
      </c>
      <c r="AC728" s="70">
        <f t="shared" si="832"/>
        <v>1</v>
      </c>
      <c r="AD728" s="70">
        <f t="shared" si="832"/>
        <v>0</v>
      </c>
      <c r="AE728" s="70">
        <f t="shared" si="832"/>
        <v>0</v>
      </c>
      <c r="AF728" s="71"/>
      <c r="AG728" s="71"/>
      <c r="AH728" s="71"/>
    </row>
    <row r="729" spans="2:34">
      <c r="B729" t="str">
        <f t="shared" si="874"/>
        <v>Sem3939LUIS ESTUARDO GARCIA BARILLAS</v>
      </c>
      <c r="C729" t="str">
        <f t="shared" si="875"/>
        <v>SEPTIEMBRESem39</v>
      </c>
      <c r="D729" t="str">
        <f t="shared" si="876"/>
        <v>SEPTIEMBRESem39LUIS ESTUARDO GARCIA BARILLAS</v>
      </c>
      <c r="E729" t="str">
        <f t="shared" si="877"/>
        <v>SEPTIEMBRESem3939LUIS ESTUARDO GARCIA BARILLAS</v>
      </c>
      <c r="F729" t="str">
        <f t="shared" si="878"/>
        <v>LUIS ESTUARDO GARCIA BARILLAS46286</v>
      </c>
      <c r="H729" s="49" t="s">
        <v>228</v>
      </c>
      <c r="I729" s="50" t="str">
        <f>+_xlfn.XLOOKUP($H729&amp;$V729,BASEDATOS!$B:$B,BASEDATOS!F:F,0,0,1)</f>
        <v>NOCHE</v>
      </c>
      <c r="J729" s="51">
        <f>+_xlfn.XLOOKUP($H729&amp;$V729,BASEDATOS!$B:$B,BASEDATOS!Q:Q,0,0,1)</f>
        <v>0.75</v>
      </c>
      <c r="K729" s="51">
        <f>+_xlfn.XLOOKUP($H729&amp;$V729,BASEDATOS!$B:$B,BASEDATOS!R:R,0,0,1)</f>
        <v>0.25</v>
      </c>
      <c r="L729" s="51">
        <f t="shared" si="879"/>
        <v>0.5</v>
      </c>
      <c r="M729" s="52" t="str">
        <f t="shared" si="880"/>
        <v>1:00</v>
      </c>
      <c r="N729" s="51">
        <f t="shared" si="881"/>
        <v>0.45833333333333331</v>
      </c>
      <c r="O729" s="53" t="str">
        <f t="shared" ref="O729" si="897">+O735</f>
        <v>0-5-2</v>
      </c>
      <c r="P729" s="54">
        <f>+IF(AND(Y729="Domingo",U729=7),_xlfn.XLOOKUP(O729,'Horarios y Sistemas'!C:C,'Horarios y Sistemas'!H:H,0,0,1),0)</f>
        <v>0</v>
      </c>
      <c r="Q729" s="54">
        <f>IF(U729=U730,0,IF(AVERAGEIF(W:W,W729,U:U)=U729,0,_xlfn.XLOOKUP(O729,'Horarios y Sistemas'!C:C,'Horarios y Sistemas'!H:H,0,0,1)-P729))/7*U729</f>
        <v>0</v>
      </c>
      <c r="R729" s="54">
        <f t="shared" si="883"/>
        <v>0</v>
      </c>
      <c r="S729" s="55" t="str">
        <f t="shared" si="884"/>
        <v>SEPTIEMBRE</v>
      </c>
      <c r="T729" s="55" t="str">
        <f t="shared" si="885"/>
        <v>Sem39</v>
      </c>
      <c r="U729" s="56">
        <f t="shared" si="867"/>
        <v>7</v>
      </c>
      <c r="V729" s="57">
        <v>46286</v>
      </c>
      <c r="W729" s="56">
        <f t="shared" si="886"/>
        <v>39</v>
      </c>
      <c r="X729" s="56">
        <f t="shared" si="887"/>
        <v>21</v>
      </c>
      <c r="Y729" s="56" t="s">
        <v>28</v>
      </c>
      <c r="Z729" s="56">
        <v>1</v>
      </c>
      <c r="AA729" s="58">
        <f t="shared" ref="AA729:AE779" si="898">+IF($I729=AA$7,1,0)</f>
        <v>0</v>
      </c>
      <c r="AB729" s="58">
        <f t="shared" si="898"/>
        <v>1</v>
      </c>
      <c r="AC729" s="58">
        <f t="shared" si="898"/>
        <v>0</v>
      </c>
      <c r="AD729" s="58">
        <f t="shared" si="898"/>
        <v>0</v>
      </c>
      <c r="AE729" s="58">
        <f t="shared" si="898"/>
        <v>0</v>
      </c>
    </row>
    <row r="730" spans="2:34">
      <c r="B730" t="str">
        <f t="shared" si="874"/>
        <v>Sem3939LUIS ESTUARDO GARCIA BARILLAS</v>
      </c>
      <c r="C730" t="str">
        <f t="shared" si="875"/>
        <v>SEPTIEMBRESem39</v>
      </c>
      <c r="D730" t="str">
        <f t="shared" si="876"/>
        <v>SEPTIEMBRESem39LUIS ESTUARDO GARCIA BARILLAS</v>
      </c>
      <c r="E730" t="str">
        <f t="shared" si="877"/>
        <v>SEPTIEMBRESem3939LUIS ESTUARDO GARCIA BARILLAS</v>
      </c>
      <c r="F730" t="str">
        <f t="shared" si="878"/>
        <v>LUIS ESTUARDO GARCIA BARILLAS46287</v>
      </c>
      <c r="H730" s="49" t="s">
        <v>228</v>
      </c>
      <c r="I730" s="50" t="str">
        <f>+_xlfn.XLOOKUP($H730&amp;$V730,BASEDATOS!$B:$B,BASEDATOS!F:F,0,0,1)</f>
        <v>NOCHE</v>
      </c>
      <c r="J730" s="51">
        <f>+_xlfn.XLOOKUP($H730&amp;$V730,BASEDATOS!$B:$B,BASEDATOS!Q:Q,0,0,1)</f>
        <v>0.75</v>
      </c>
      <c r="K730" s="51">
        <f>+_xlfn.XLOOKUP($H730&amp;$V730,BASEDATOS!$B:$B,BASEDATOS!R:R,0,0,1)</f>
        <v>0.25</v>
      </c>
      <c r="L730" s="51">
        <f t="shared" si="879"/>
        <v>0.5</v>
      </c>
      <c r="M730" s="52" t="str">
        <f t="shared" si="880"/>
        <v>1:00</v>
      </c>
      <c r="N730" s="51">
        <f t="shared" si="881"/>
        <v>0.45833333333333331</v>
      </c>
      <c r="O730" s="53" t="str">
        <f t="shared" ref="O730" si="899">+O735</f>
        <v>0-5-2</v>
      </c>
      <c r="P730" s="54">
        <f>+IF(AND(Y730="Domingo",U730=7),_xlfn.XLOOKUP(O730,'Horarios y Sistemas'!C:C,'Horarios y Sistemas'!H:H,0,0,1),0)</f>
        <v>0</v>
      </c>
      <c r="Q730" s="54">
        <f>IF(U730=U731,0,IF(AVERAGEIF(W:W,W730,U:U)=U730,0,_xlfn.XLOOKUP(O730,'Horarios y Sistemas'!C:C,'Horarios y Sistemas'!H:H,0,0,1)-P730))/7*U730</f>
        <v>0</v>
      </c>
      <c r="R730" s="54">
        <f t="shared" si="883"/>
        <v>0</v>
      </c>
      <c r="S730" s="55" t="str">
        <f t="shared" si="884"/>
        <v>SEPTIEMBRE</v>
      </c>
      <c r="T730" s="55" t="str">
        <f t="shared" si="885"/>
        <v>Sem39</v>
      </c>
      <c r="U730" s="56">
        <f t="shared" si="867"/>
        <v>7</v>
      </c>
      <c r="V730" s="59">
        <v>46287</v>
      </c>
      <c r="W730" s="56">
        <f t="shared" si="886"/>
        <v>39</v>
      </c>
      <c r="X730" s="56">
        <f t="shared" si="887"/>
        <v>22</v>
      </c>
      <c r="Y730" s="56" t="s">
        <v>29</v>
      </c>
      <c r="Z730" s="56">
        <v>2</v>
      </c>
      <c r="AA730" s="58">
        <f t="shared" si="898"/>
        <v>0</v>
      </c>
      <c r="AB730" s="58">
        <f t="shared" si="898"/>
        <v>1</v>
      </c>
      <c r="AC730" s="58">
        <f t="shared" si="898"/>
        <v>0</v>
      </c>
      <c r="AD730" s="58">
        <f t="shared" si="898"/>
        <v>0</v>
      </c>
      <c r="AE730" s="58">
        <f t="shared" si="898"/>
        <v>0</v>
      </c>
    </row>
    <row r="731" spans="2:34">
      <c r="B731" t="str">
        <f t="shared" si="874"/>
        <v>Sem3939LUIS ESTUARDO GARCIA BARILLAS</v>
      </c>
      <c r="C731" t="str">
        <f t="shared" si="875"/>
        <v>SEPTIEMBRESem39</v>
      </c>
      <c r="D731" t="str">
        <f t="shared" si="876"/>
        <v>SEPTIEMBRESem39LUIS ESTUARDO GARCIA BARILLAS</v>
      </c>
      <c r="E731" t="str">
        <f t="shared" si="877"/>
        <v>SEPTIEMBRESem3939LUIS ESTUARDO GARCIA BARILLAS</v>
      </c>
      <c r="F731" t="str">
        <f t="shared" si="878"/>
        <v>LUIS ESTUARDO GARCIA BARILLAS46288</v>
      </c>
      <c r="H731" s="49" t="s">
        <v>228</v>
      </c>
      <c r="I731" s="50" t="str">
        <f>+_xlfn.XLOOKUP($H731&amp;$V731,BASEDATOS!$B:$B,BASEDATOS!F:F,0,0,1)</f>
        <v>NOCHE</v>
      </c>
      <c r="J731" s="51">
        <f>+_xlfn.XLOOKUP($H731&amp;$V731,BASEDATOS!$B:$B,BASEDATOS!Q:Q,0,0,1)</f>
        <v>0.75</v>
      </c>
      <c r="K731" s="51">
        <f>+_xlfn.XLOOKUP($H731&amp;$V731,BASEDATOS!$B:$B,BASEDATOS!R:R,0,0,1)</f>
        <v>0.25</v>
      </c>
      <c r="L731" s="51">
        <f t="shared" si="879"/>
        <v>0.5</v>
      </c>
      <c r="M731" s="52" t="str">
        <f t="shared" si="880"/>
        <v>1:00</v>
      </c>
      <c r="N731" s="51">
        <f t="shared" si="881"/>
        <v>0.45833333333333331</v>
      </c>
      <c r="O731" s="53" t="str">
        <f t="shared" ref="O731" si="900">+O735</f>
        <v>0-5-2</v>
      </c>
      <c r="P731" s="54">
        <f>+IF(AND(Y731="Domingo",U731=7),_xlfn.XLOOKUP(O731,'Horarios y Sistemas'!C:C,'Horarios y Sistemas'!H:H,0,0,1),0)</f>
        <v>0</v>
      </c>
      <c r="Q731" s="54">
        <f>IF(U731=U732,0,IF(AVERAGEIF(W:W,W731,U:U)=U731,0,_xlfn.XLOOKUP(O731,'Horarios y Sistemas'!C:C,'Horarios y Sistemas'!H:H,0,0,1)-P731))/7*U731</f>
        <v>0</v>
      </c>
      <c r="R731" s="54">
        <f t="shared" si="883"/>
        <v>0</v>
      </c>
      <c r="S731" s="55" t="str">
        <f t="shared" si="884"/>
        <v>SEPTIEMBRE</v>
      </c>
      <c r="T731" s="55" t="str">
        <f t="shared" si="885"/>
        <v>Sem39</v>
      </c>
      <c r="U731" s="56">
        <f t="shared" si="867"/>
        <v>7</v>
      </c>
      <c r="V731" s="59">
        <v>46288</v>
      </c>
      <c r="W731" s="56">
        <f t="shared" si="886"/>
        <v>39</v>
      </c>
      <c r="X731" s="56">
        <f t="shared" si="887"/>
        <v>23</v>
      </c>
      <c r="Y731" s="56" t="s">
        <v>30</v>
      </c>
      <c r="Z731" s="56">
        <v>3</v>
      </c>
      <c r="AA731" s="58">
        <f t="shared" si="898"/>
        <v>0</v>
      </c>
      <c r="AB731" s="58">
        <f t="shared" si="898"/>
        <v>1</v>
      </c>
      <c r="AC731" s="58">
        <f t="shared" si="898"/>
        <v>0</v>
      </c>
      <c r="AD731" s="58">
        <f t="shared" si="898"/>
        <v>0</v>
      </c>
      <c r="AE731" s="58">
        <f t="shared" si="898"/>
        <v>0</v>
      </c>
    </row>
    <row r="732" spans="2:34">
      <c r="B732" t="str">
        <f t="shared" si="874"/>
        <v>Sem3939LUIS ESTUARDO GARCIA BARILLAS</v>
      </c>
      <c r="C732" t="str">
        <f t="shared" si="875"/>
        <v>SEPTIEMBRESem39</v>
      </c>
      <c r="D732" t="str">
        <f t="shared" si="876"/>
        <v>SEPTIEMBRESem39LUIS ESTUARDO GARCIA BARILLAS</v>
      </c>
      <c r="E732" t="str">
        <f t="shared" si="877"/>
        <v>SEPTIEMBRESem3939LUIS ESTUARDO GARCIA BARILLAS</v>
      </c>
      <c r="F732" t="str">
        <f t="shared" si="878"/>
        <v>LUIS ESTUARDO GARCIA BARILLAS46289</v>
      </c>
      <c r="H732" s="49" t="s">
        <v>228</v>
      </c>
      <c r="I732" s="50" t="str">
        <f>+_xlfn.XLOOKUP($H732&amp;$V732,BASEDATOS!$B:$B,BASEDATOS!F:F,0,0,1)</f>
        <v>NOCHE</v>
      </c>
      <c r="J732" s="51">
        <f>+_xlfn.XLOOKUP($H732&amp;$V732,BASEDATOS!$B:$B,BASEDATOS!Q:Q,0,0,1)</f>
        <v>0.75</v>
      </c>
      <c r="K732" s="51">
        <f>+_xlfn.XLOOKUP($H732&amp;$V732,BASEDATOS!$B:$B,BASEDATOS!R:R,0,0,1)</f>
        <v>0.25</v>
      </c>
      <c r="L732" s="51">
        <f t="shared" si="879"/>
        <v>0.5</v>
      </c>
      <c r="M732" s="52" t="str">
        <f t="shared" si="880"/>
        <v>1:00</v>
      </c>
      <c r="N732" s="51">
        <f t="shared" si="881"/>
        <v>0.45833333333333331</v>
      </c>
      <c r="O732" s="53" t="str">
        <f t="shared" ref="O732" si="901">+O735</f>
        <v>0-5-2</v>
      </c>
      <c r="P732" s="54">
        <f>+IF(AND(Y732="Domingo",U732=7),_xlfn.XLOOKUP(O732,'Horarios y Sistemas'!C:C,'Horarios y Sistemas'!H:H,0,0,1),0)</f>
        <v>0</v>
      </c>
      <c r="Q732" s="54">
        <f>IF(U732=U733,0,IF(AVERAGEIF(W:W,W732,U:U)=U732,0,_xlfn.XLOOKUP(O732,'Horarios y Sistemas'!C:C,'Horarios y Sistemas'!H:H,0,0,1)-P732))/7*U732</f>
        <v>0</v>
      </c>
      <c r="R732" s="54">
        <f t="shared" si="883"/>
        <v>0</v>
      </c>
      <c r="S732" s="55" t="str">
        <f t="shared" si="884"/>
        <v>SEPTIEMBRE</v>
      </c>
      <c r="T732" s="55" t="str">
        <f t="shared" si="885"/>
        <v>Sem39</v>
      </c>
      <c r="U732" s="56">
        <f t="shared" si="867"/>
        <v>7</v>
      </c>
      <c r="V732" s="59">
        <v>46289</v>
      </c>
      <c r="W732" s="56">
        <f t="shared" si="886"/>
        <v>39</v>
      </c>
      <c r="X732" s="56">
        <f t="shared" si="887"/>
        <v>24</v>
      </c>
      <c r="Y732" s="56" t="s">
        <v>31</v>
      </c>
      <c r="Z732" s="56">
        <v>4</v>
      </c>
      <c r="AA732" s="58">
        <f t="shared" si="898"/>
        <v>0</v>
      </c>
      <c r="AB732" s="58">
        <f t="shared" si="898"/>
        <v>1</v>
      </c>
      <c r="AC732" s="58">
        <f t="shared" si="898"/>
        <v>0</v>
      </c>
      <c r="AD732" s="58">
        <f t="shared" si="898"/>
        <v>0</v>
      </c>
      <c r="AE732" s="58">
        <f t="shared" si="898"/>
        <v>0</v>
      </c>
    </row>
    <row r="733" spans="2:34">
      <c r="B733" t="str">
        <f t="shared" si="874"/>
        <v>Sem3939LUIS ESTUARDO GARCIA BARILLAS</v>
      </c>
      <c r="C733" t="str">
        <f t="shared" si="875"/>
        <v>SEPTIEMBRESem39</v>
      </c>
      <c r="D733" t="str">
        <f t="shared" si="876"/>
        <v>SEPTIEMBRESem39LUIS ESTUARDO GARCIA BARILLAS</v>
      </c>
      <c r="E733" t="str">
        <f t="shared" si="877"/>
        <v>SEPTIEMBRESem3939LUIS ESTUARDO GARCIA BARILLAS</v>
      </c>
      <c r="F733" t="str">
        <f t="shared" si="878"/>
        <v>LUIS ESTUARDO GARCIA BARILLAS46290</v>
      </c>
      <c r="H733" s="49" t="s">
        <v>228</v>
      </c>
      <c r="I733" s="50" t="str">
        <f>+_xlfn.XLOOKUP($H733&amp;$V733,BASEDATOS!$B:$B,BASEDATOS!F:F,0,0,1)</f>
        <v>NOCHE</v>
      </c>
      <c r="J733" s="51">
        <f>+_xlfn.XLOOKUP($H733&amp;$V733,BASEDATOS!$B:$B,BASEDATOS!Q:Q,0,0,1)</f>
        <v>0.75</v>
      </c>
      <c r="K733" s="51">
        <f>+_xlfn.XLOOKUP($H733&amp;$V733,BASEDATOS!$B:$B,BASEDATOS!R:R,0,0,1)</f>
        <v>0.25</v>
      </c>
      <c r="L733" s="51">
        <f t="shared" si="879"/>
        <v>0.5</v>
      </c>
      <c r="M733" s="52" t="str">
        <f t="shared" si="880"/>
        <v>1:00</v>
      </c>
      <c r="N733" s="51">
        <f t="shared" si="881"/>
        <v>0.45833333333333331</v>
      </c>
      <c r="O733" s="53" t="str">
        <f t="shared" ref="O733" si="902">+O735</f>
        <v>0-5-2</v>
      </c>
      <c r="P733" s="54">
        <f>+IF(AND(Y733="Domingo",U733=7),_xlfn.XLOOKUP(O733,'Horarios y Sistemas'!C:C,'Horarios y Sistemas'!H:H,0,0,1),0)</f>
        <v>0</v>
      </c>
      <c r="Q733" s="54">
        <f>IF(U733=U734,0,IF(AVERAGEIF(W:W,W733,U:U)=U733,0,_xlfn.XLOOKUP(O733,'Horarios y Sistemas'!C:C,'Horarios y Sistemas'!H:H,0,0,1)-P733))/7*U733</f>
        <v>0</v>
      </c>
      <c r="R733" s="54">
        <f t="shared" si="883"/>
        <v>0</v>
      </c>
      <c r="S733" s="55" t="str">
        <f t="shared" si="884"/>
        <v>SEPTIEMBRE</v>
      </c>
      <c r="T733" s="55" t="str">
        <f t="shared" si="885"/>
        <v>Sem39</v>
      </c>
      <c r="U733" s="56">
        <f t="shared" si="867"/>
        <v>7</v>
      </c>
      <c r="V733" s="59">
        <v>46290</v>
      </c>
      <c r="W733" s="56">
        <f t="shared" si="886"/>
        <v>39</v>
      </c>
      <c r="X733" s="56">
        <f t="shared" si="887"/>
        <v>25</v>
      </c>
      <c r="Y733" s="56" t="s">
        <v>32</v>
      </c>
      <c r="Z733" s="56">
        <v>5</v>
      </c>
      <c r="AA733" s="58">
        <f t="shared" si="898"/>
        <v>0</v>
      </c>
      <c r="AB733" s="58">
        <f t="shared" si="898"/>
        <v>1</v>
      </c>
      <c r="AC733" s="58">
        <f t="shared" si="898"/>
        <v>0</v>
      </c>
      <c r="AD733" s="58">
        <f t="shared" si="898"/>
        <v>0</v>
      </c>
      <c r="AE733" s="58">
        <f t="shared" si="898"/>
        <v>0</v>
      </c>
    </row>
    <row r="734" spans="2:34">
      <c r="B734" t="str">
        <f t="shared" si="874"/>
        <v>Sem3939LUIS ESTUARDO GARCIA BARILLAS</v>
      </c>
      <c r="C734" t="str">
        <f t="shared" si="875"/>
        <v>SEPTIEMBRESem39</v>
      </c>
      <c r="D734" t="str">
        <f t="shared" si="876"/>
        <v>SEPTIEMBRESem39LUIS ESTUARDO GARCIA BARILLAS</v>
      </c>
      <c r="E734" t="str">
        <f t="shared" si="877"/>
        <v>SEPTIEMBRESem3939LUIS ESTUARDO GARCIA BARILLAS</v>
      </c>
      <c r="F734" t="str">
        <f t="shared" si="878"/>
        <v>LUIS ESTUARDO GARCIA BARILLAS46291</v>
      </c>
      <c r="H734" s="49" t="s">
        <v>228</v>
      </c>
      <c r="I734" s="50" t="str">
        <f>+_xlfn.XLOOKUP($H734&amp;$V734,BASEDATOS!$B:$B,BASEDATOS!F:F,0,0,1)</f>
        <v>DESCANSO</v>
      </c>
      <c r="J734" s="51">
        <f>+_xlfn.XLOOKUP($H734&amp;$V734,BASEDATOS!$B:$B,BASEDATOS!Q:Q,0,0,1)</f>
        <v>0</v>
      </c>
      <c r="K734" s="51">
        <f>+_xlfn.XLOOKUP($H734&amp;$V734,BASEDATOS!$B:$B,BASEDATOS!R:R,0,0,1)</f>
        <v>0</v>
      </c>
      <c r="L734" s="51">
        <f t="shared" si="879"/>
        <v>0</v>
      </c>
      <c r="M734" s="52">
        <f t="shared" si="880"/>
        <v>0</v>
      </c>
      <c r="N734" s="51">
        <f t="shared" si="881"/>
        <v>0</v>
      </c>
      <c r="O734" s="53" t="str">
        <f t="shared" ref="O734" si="903">+O735</f>
        <v>0-5-2</v>
      </c>
      <c r="P734" s="54">
        <f>+IF(AND(Y734="Domingo",U734=7),_xlfn.XLOOKUP(O734,'Horarios y Sistemas'!C:C,'Horarios y Sistemas'!H:H,0,0,1),0)</f>
        <v>0</v>
      </c>
      <c r="Q734" s="54">
        <f>IF(U734=U735,0,IF(AVERAGEIF(W:W,W734,U:U)=U734,0,_xlfn.XLOOKUP(O734,'Horarios y Sistemas'!C:C,'Horarios y Sistemas'!H:H,0,0,1)-P734))/7*U734</f>
        <v>0</v>
      </c>
      <c r="R734" s="54">
        <f t="shared" si="883"/>
        <v>0</v>
      </c>
      <c r="S734" s="55" t="str">
        <f t="shared" si="884"/>
        <v>SEPTIEMBRE</v>
      </c>
      <c r="T734" s="55" t="str">
        <f t="shared" si="885"/>
        <v>Sem39</v>
      </c>
      <c r="U734" s="56">
        <f t="shared" si="867"/>
        <v>7</v>
      </c>
      <c r="V734" s="59">
        <v>46291</v>
      </c>
      <c r="W734" s="56">
        <f t="shared" si="886"/>
        <v>39</v>
      </c>
      <c r="X734" s="56">
        <f t="shared" si="887"/>
        <v>26</v>
      </c>
      <c r="Y734" s="56" t="s">
        <v>33</v>
      </c>
      <c r="Z734" s="56">
        <v>6</v>
      </c>
      <c r="AA734" s="58">
        <f t="shared" si="898"/>
        <v>0</v>
      </c>
      <c r="AB734" s="58">
        <f t="shared" si="898"/>
        <v>0</v>
      </c>
      <c r="AC734" s="58">
        <f t="shared" si="898"/>
        <v>1</v>
      </c>
      <c r="AD734" s="58">
        <f t="shared" si="898"/>
        <v>0</v>
      </c>
      <c r="AE734" s="58">
        <f t="shared" si="898"/>
        <v>0</v>
      </c>
    </row>
    <row r="735" spans="2:34" s="60" customFormat="1">
      <c r="B735" s="60" t="str">
        <f t="shared" si="874"/>
        <v>Sem3939LUIS ESTUARDO GARCIA BARILLAS</v>
      </c>
      <c r="C735" s="60" t="str">
        <f t="shared" si="875"/>
        <v>SEPTIEMBRESem39</v>
      </c>
      <c r="D735" s="60" t="str">
        <f t="shared" si="876"/>
        <v>SEPTIEMBRESem39LUIS ESTUARDO GARCIA BARILLAS</v>
      </c>
      <c r="E735" s="60" t="str">
        <f t="shared" si="877"/>
        <v>SEPTIEMBRESem3939LUIS ESTUARDO GARCIA BARILLAS</v>
      </c>
      <c r="F735" s="60" t="str">
        <f t="shared" si="878"/>
        <v>LUIS ESTUARDO GARCIA BARILLAS46292</v>
      </c>
      <c r="H735" s="61" t="s">
        <v>228</v>
      </c>
      <c r="I735" s="62" t="str">
        <f>+_xlfn.XLOOKUP($H735&amp;$V735,BASEDATOS!$B:$B,BASEDATOS!F:F,0,0,1)</f>
        <v>DESCANSO</v>
      </c>
      <c r="J735" s="63">
        <f>+_xlfn.XLOOKUP($H735&amp;$V735,BASEDATOS!$B:$B,BASEDATOS!Q:Q,0,0,1)</f>
        <v>0</v>
      </c>
      <c r="K735" s="63">
        <f>+_xlfn.XLOOKUP($H735&amp;$V735,BASEDATOS!$B:$B,BASEDATOS!R:R,0,0,1)</f>
        <v>0</v>
      </c>
      <c r="L735" s="63">
        <f t="shared" si="879"/>
        <v>0</v>
      </c>
      <c r="M735" s="64">
        <f t="shared" si="880"/>
        <v>0</v>
      </c>
      <c r="N735" s="63">
        <f t="shared" si="881"/>
        <v>0</v>
      </c>
      <c r="O735" s="65" t="str">
        <f t="shared" ref="O735" si="904">+IF(Y735="Domingo",SUM(AA729:AA735)&amp;"-"&amp;SUM(AB729:AB735)&amp;"-"&amp;SUM(AC729:AE735),"")</f>
        <v>0-5-2</v>
      </c>
      <c r="P735" s="66">
        <f>+IF(AND(Y735="Domingo",U735=7),_xlfn.XLOOKUP(O735,'Horarios y Sistemas'!C:C,'Horarios y Sistemas'!H:H,0,0,1),0)</f>
        <v>36</v>
      </c>
      <c r="Q735" s="66">
        <f>IF(U735=U736,0,IF(AVERAGEIF(W:W,W735,U:U)=U735,0,_xlfn.XLOOKUP(O735,'Horarios y Sistemas'!C:C,'Horarios y Sistemas'!H:H,0,0,1)-P735))/7*U735</f>
        <v>0</v>
      </c>
      <c r="R735" s="66">
        <f t="shared" si="883"/>
        <v>36</v>
      </c>
      <c r="S735" s="67" t="str">
        <f t="shared" si="884"/>
        <v>SEPTIEMBRE</v>
      </c>
      <c r="T735" s="55" t="str">
        <f t="shared" si="885"/>
        <v>Sem39</v>
      </c>
      <c r="U735" s="68">
        <f t="shared" si="867"/>
        <v>7</v>
      </c>
      <c r="V735" s="69">
        <v>46292</v>
      </c>
      <c r="W735" s="68">
        <f t="shared" si="886"/>
        <v>39</v>
      </c>
      <c r="X735" s="68">
        <f t="shared" si="887"/>
        <v>27</v>
      </c>
      <c r="Y735" s="68" t="s">
        <v>34</v>
      </c>
      <c r="Z735" s="68">
        <v>7</v>
      </c>
      <c r="AA735" s="70">
        <f t="shared" si="898"/>
        <v>0</v>
      </c>
      <c r="AB735" s="70">
        <f t="shared" si="898"/>
        <v>0</v>
      </c>
      <c r="AC735" s="70">
        <f t="shared" si="898"/>
        <v>1</v>
      </c>
      <c r="AD735" s="70">
        <f t="shared" si="898"/>
        <v>0</v>
      </c>
      <c r="AE735" s="70">
        <f t="shared" si="898"/>
        <v>0</v>
      </c>
      <c r="AF735" s="71"/>
      <c r="AG735" s="71"/>
      <c r="AH735" s="71"/>
    </row>
    <row r="736" spans="2:34">
      <c r="B736" t="str">
        <f t="shared" si="874"/>
        <v>Sem4040LUIS ESTUARDO GARCIA BARILLAS</v>
      </c>
      <c r="C736" t="str">
        <f t="shared" si="875"/>
        <v>SEPTIEMBRESem40</v>
      </c>
      <c r="D736" t="str">
        <f t="shared" si="876"/>
        <v>SEPTIEMBRESem40LUIS ESTUARDO GARCIA BARILLAS</v>
      </c>
      <c r="E736" t="str">
        <f t="shared" si="877"/>
        <v>SEPTIEMBRESem4040LUIS ESTUARDO GARCIA BARILLAS</v>
      </c>
      <c r="F736" t="str">
        <f t="shared" si="878"/>
        <v>LUIS ESTUARDO GARCIA BARILLAS46293</v>
      </c>
      <c r="H736" s="49" t="s">
        <v>228</v>
      </c>
      <c r="I736" s="50" t="str">
        <f>+_xlfn.XLOOKUP($H736&amp;$V736,BASEDATOS!$B:$B,BASEDATOS!F:F,0,0,1)</f>
        <v>DIA</v>
      </c>
      <c r="J736" s="51">
        <f>+_xlfn.XLOOKUP($H736&amp;$V736,BASEDATOS!$B:$B,BASEDATOS!Q:Q,0,0,1)</f>
        <v>0.25</v>
      </c>
      <c r="K736" s="51">
        <f>+_xlfn.XLOOKUP($H736&amp;$V736,BASEDATOS!$B:$B,BASEDATOS!R:R,0,0,1)</f>
        <v>0.75</v>
      </c>
      <c r="L736" s="51">
        <f t="shared" si="879"/>
        <v>0.5</v>
      </c>
      <c r="M736" s="52" t="str">
        <f t="shared" si="880"/>
        <v>1:00</v>
      </c>
      <c r="N736" s="51">
        <f t="shared" si="881"/>
        <v>0.45833333333333331</v>
      </c>
      <c r="O736" s="53" t="str">
        <f t="shared" ref="O736" si="905">+O742</f>
        <v>6-0-1</v>
      </c>
      <c r="P736" s="54">
        <f>+IF(AND(Y736="Domingo",U736=7),_xlfn.XLOOKUP(O736,'Horarios y Sistemas'!C:C,'Horarios y Sistemas'!H:H,0,0,1),0)</f>
        <v>0</v>
      </c>
      <c r="Q736" s="54">
        <f>IF(U736=U737,0,IF(AVERAGEIF(W:W,W736,U:U)=U736,0,_xlfn.XLOOKUP(O736,'Horarios y Sistemas'!C:C,'Horarios y Sistemas'!H:H,0,0,1)-P736))/7*U736</f>
        <v>0</v>
      </c>
      <c r="R736" s="54">
        <f t="shared" si="883"/>
        <v>0</v>
      </c>
      <c r="S736" s="55" t="str">
        <f t="shared" si="884"/>
        <v>SEPTIEMBRE</v>
      </c>
      <c r="T736" s="55" t="str">
        <f t="shared" si="885"/>
        <v>Sem40</v>
      </c>
      <c r="U736" s="56">
        <f t="shared" si="867"/>
        <v>7</v>
      </c>
      <c r="V736" s="59">
        <v>46293</v>
      </c>
      <c r="W736" s="56">
        <f t="shared" si="886"/>
        <v>40</v>
      </c>
      <c r="X736" s="56">
        <f t="shared" si="887"/>
        <v>28</v>
      </c>
      <c r="Y736" s="56" t="s">
        <v>28</v>
      </c>
      <c r="Z736" s="56">
        <v>1</v>
      </c>
      <c r="AA736" s="58">
        <f t="shared" si="898"/>
        <v>1</v>
      </c>
      <c r="AB736" s="58">
        <f t="shared" si="898"/>
        <v>0</v>
      </c>
      <c r="AC736" s="58">
        <f t="shared" si="898"/>
        <v>0</v>
      </c>
      <c r="AD736" s="58">
        <f t="shared" si="898"/>
        <v>0</v>
      </c>
      <c r="AE736" s="58">
        <f t="shared" si="898"/>
        <v>0</v>
      </c>
    </row>
    <row r="737" spans="2:34">
      <c r="B737" t="str">
        <f t="shared" si="874"/>
        <v>Sem4040LUIS ESTUARDO GARCIA BARILLAS</v>
      </c>
      <c r="C737" t="str">
        <f t="shared" si="875"/>
        <v>SEPTIEMBRESem40</v>
      </c>
      <c r="D737" t="str">
        <f t="shared" si="876"/>
        <v>SEPTIEMBRESem40LUIS ESTUARDO GARCIA BARILLAS</v>
      </c>
      <c r="E737" t="str">
        <f t="shared" si="877"/>
        <v>SEPTIEMBRESem4040LUIS ESTUARDO GARCIA BARILLAS</v>
      </c>
      <c r="F737" t="str">
        <f t="shared" si="878"/>
        <v>LUIS ESTUARDO GARCIA BARILLAS46294</v>
      </c>
      <c r="H737" s="49" t="s">
        <v>228</v>
      </c>
      <c r="I737" s="50" t="str">
        <f>+_xlfn.XLOOKUP($H737&amp;$V737,BASEDATOS!$B:$B,BASEDATOS!F:F,0,0,1)</f>
        <v>DIA</v>
      </c>
      <c r="J737" s="51">
        <f>+_xlfn.XLOOKUP($H737&amp;$V737,BASEDATOS!$B:$B,BASEDATOS!Q:Q,0,0,1)</f>
        <v>0.25</v>
      </c>
      <c r="K737" s="51">
        <f>+_xlfn.XLOOKUP($H737&amp;$V737,BASEDATOS!$B:$B,BASEDATOS!R:R,0,0,1)</f>
        <v>0.75</v>
      </c>
      <c r="L737" s="51">
        <f t="shared" si="879"/>
        <v>0.5</v>
      </c>
      <c r="M737" s="52" t="str">
        <f t="shared" si="880"/>
        <v>1:00</v>
      </c>
      <c r="N737" s="51">
        <f t="shared" si="881"/>
        <v>0.45833333333333331</v>
      </c>
      <c r="O737" s="53" t="str">
        <f t="shared" ref="O737" si="906">+O742</f>
        <v>6-0-1</v>
      </c>
      <c r="P737" s="54">
        <f>+IF(AND(Y737="Domingo",U737=7),_xlfn.XLOOKUP(O737,'Horarios y Sistemas'!C:C,'Horarios y Sistemas'!H:H,0,0,1),0)</f>
        <v>0</v>
      </c>
      <c r="Q737" s="54">
        <f>IF(U737=U738,0,IF(AVERAGEIF(W:W,W737,U:U)=U737,0,_xlfn.XLOOKUP(O737,'Horarios y Sistemas'!C:C,'Horarios y Sistemas'!H:H,0,0,1)-P737))/7*U737</f>
        <v>0</v>
      </c>
      <c r="R737" s="54">
        <f t="shared" si="883"/>
        <v>0</v>
      </c>
      <c r="S737" s="55" t="str">
        <f t="shared" si="884"/>
        <v>SEPTIEMBRE</v>
      </c>
      <c r="T737" s="55" t="str">
        <f t="shared" si="885"/>
        <v>Sem40</v>
      </c>
      <c r="U737" s="56">
        <f t="shared" si="867"/>
        <v>7</v>
      </c>
      <c r="V737" s="59">
        <v>46294</v>
      </c>
      <c r="W737" s="56">
        <f t="shared" si="886"/>
        <v>40</v>
      </c>
      <c r="X737" s="56">
        <f t="shared" si="887"/>
        <v>29</v>
      </c>
      <c r="Y737" s="56" t="s">
        <v>29</v>
      </c>
      <c r="Z737" s="56">
        <v>2</v>
      </c>
      <c r="AA737" s="58">
        <f t="shared" si="898"/>
        <v>1</v>
      </c>
      <c r="AB737" s="58">
        <f t="shared" si="898"/>
        <v>0</v>
      </c>
      <c r="AC737" s="58">
        <f t="shared" si="898"/>
        <v>0</v>
      </c>
      <c r="AD737" s="58">
        <f t="shared" si="898"/>
        <v>0</v>
      </c>
      <c r="AE737" s="58">
        <f t="shared" si="898"/>
        <v>0</v>
      </c>
    </row>
    <row r="738" spans="2:34">
      <c r="B738" t="str">
        <f t="shared" si="874"/>
        <v>Sem4040LUIS ESTUARDO GARCIA BARILLAS</v>
      </c>
      <c r="C738" t="str">
        <f t="shared" si="875"/>
        <v>SEPTIEMBRESem40</v>
      </c>
      <c r="D738" t="str">
        <f t="shared" si="876"/>
        <v>SEPTIEMBRESem40LUIS ESTUARDO GARCIA BARILLAS</v>
      </c>
      <c r="E738" t="str">
        <f t="shared" si="877"/>
        <v>SEPTIEMBRESem4040LUIS ESTUARDO GARCIA BARILLAS</v>
      </c>
      <c r="F738" t="str">
        <f t="shared" si="878"/>
        <v>LUIS ESTUARDO GARCIA BARILLAS46295</v>
      </c>
      <c r="H738" s="49" t="s">
        <v>228</v>
      </c>
      <c r="I738" s="50" t="str">
        <f>+_xlfn.XLOOKUP($H738&amp;$V738,BASEDATOS!$B:$B,BASEDATOS!F:F,0,0,1)</f>
        <v>DIA</v>
      </c>
      <c r="J738" s="51">
        <f>+_xlfn.XLOOKUP($H738&amp;$V738,BASEDATOS!$B:$B,BASEDATOS!Q:Q,0,0,1)</f>
        <v>0.25</v>
      </c>
      <c r="K738" s="51">
        <f>+_xlfn.XLOOKUP($H738&amp;$V738,BASEDATOS!$B:$B,BASEDATOS!R:R,0,0,1)</f>
        <v>0.75</v>
      </c>
      <c r="L738" s="51">
        <f t="shared" si="879"/>
        <v>0.5</v>
      </c>
      <c r="M738" s="52" t="str">
        <f t="shared" si="880"/>
        <v>1:00</v>
      </c>
      <c r="N738" s="51">
        <f t="shared" si="881"/>
        <v>0.45833333333333331</v>
      </c>
      <c r="O738" s="53" t="str">
        <f t="shared" ref="O738" si="907">+O742</f>
        <v>6-0-1</v>
      </c>
      <c r="P738" s="54">
        <f>+IF(AND(Y738="Domingo",U738=7),_xlfn.XLOOKUP(O738,'Horarios y Sistemas'!C:C,'Horarios y Sistemas'!H:H,0,0,1),0)</f>
        <v>0</v>
      </c>
      <c r="Q738" s="54">
        <f>IF(U738=U739,0,IF(AVERAGEIF(W:W,W738,U:U)=U738,0,_xlfn.XLOOKUP(O738,'Horarios y Sistemas'!C:C,'Horarios y Sistemas'!H:H,0,0,1)-P738))/7*U738</f>
        <v>0</v>
      </c>
      <c r="R738" s="54">
        <f t="shared" si="883"/>
        <v>0</v>
      </c>
      <c r="S738" s="55" t="str">
        <f t="shared" si="884"/>
        <v>SEPTIEMBRE</v>
      </c>
      <c r="T738" s="55" t="str">
        <f t="shared" si="885"/>
        <v>Sem40</v>
      </c>
      <c r="U738" s="56">
        <f t="shared" si="867"/>
        <v>7</v>
      </c>
      <c r="V738" s="59">
        <v>46295</v>
      </c>
      <c r="W738" s="56">
        <f t="shared" si="886"/>
        <v>40</v>
      </c>
      <c r="X738" s="56">
        <f t="shared" si="887"/>
        <v>30</v>
      </c>
      <c r="Y738" s="56" t="s">
        <v>30</v>
      </c>
      <c r="Z738" s="56">
        <v>3</v>
      </c>
      <c r="AA738" s="58">
        <f t="shared" si="898"/>
        <v>1</v>
      </c>
      <c r="AB738" s="58">
        <f t="shared" si="898"/>
        <v>0</v>
      </c>
      <c r="AC738" s="58">
        <f t="shared" si="898"/>
        <v>0</v>
      </c>
      <c r="AD738" s="58">
        <f t="shared" si="898"/>
        <v>0</v>
      </c>
      <c r="AE738" s="58">
        <f t="shared" si="898"/>
        <v>0</v>
      </c>
    </row>
    <row r="739" spans="2:34">
      <c r="B739" t="str">
        <f t="shared" si="874"/>
        <v>Sem4040LUIS ESTUARDO GARCIA BARILLAS</v>
      </c>
      <c r="C739" t="str">
        <f t="shared" si="875"/>
        <v>OCTUBRESem40</v>
      </c>
      <c r="D739" t="str">
        <f t="shared" si="876"/>
        <v>OCTUBRESem40LUIS ESTUARDO GARCIA BARILLAS</v>
      </c>
      <c r="E739" t="str">
        <f t="shared" si="877"/>
        <v>OCTUBRESem4040LUIS ESTUARDO GARCIA BARILLAS</v>
      </c>
      <c r="F739" t="str">
        <f t="shared" si="878"/>
        <v>LUIS ESTUARDO GARCIA BARILLAS46296</v>
      </c>
      <c r="H739" s="49" t="s">
        <v>228</v>
      </c>
      <c r="I739" s="50" t="str">
        <f>+_xlfn.XLOOKUP($H739&amp;$V739,BASEDATOS!$B:$B,BASEDATOS!F:F,0,0,1)</f>
        <v>DIA</v>
      </c>
      <c r="J739" s="51">
        <f>+_xlfn.XLOOKUP($H739&amp;$V739,BASEDATOS!$B:$B,BASEDATOS!Q:Q,0,0,1)</f>
        <v>0.25</v>
      </c>
      <c r="K739" s="51">
        <f>+_xlfn.XLOOKUP($H739&amp;$V739,BASEDATOS!$B:$B,BASEDATOS!R:R,0,0,1)</f>
        <v>0.75</v>
      </c>
      <c r="L739" s="51">
        <f t="shared" si="879"/>
        <v>0.5</v>
      </c>
      <c r="M739" s="52" t="str">
        <f t="shared" si="880"/>
        <v>1:00</v>
      </c>
      <c r="N739" s="51">
        <f t="shared" si="881"/>
        <v>0.45833333333333331</v>
      </c>
      <c r="O739" s="53" t="str">
        <f t="shared" ref="O739" si="908">+O742</f>
        <v>6-0-1</v>
      </c>
      <c r="P739" s="54">
        <f>+IF(AND(Y739="Domingo",U739=7),_xlfn.XLOOKUP(O739,'Horarios y Sistemas'!C:C,'Horarios y Sistemas'!H:H,0,0,1),0)</f>
        <v>0</v>
      </c>
      <c r="Q739" s="54">
        <f>IF(U739=U740,0,IF(AVERAGEIF(W:W,W739,U:U)=U739,0,_xlfn.XLOOKUP(O739,'Horarios y Sistemas'!C:C,'Horarios y Sistemas'!H:H,0,0,1)-P739))/7*U739</f>
        <v>0</v>
      </c>
      <c r="R739" s="54">
        <f t="shared" si="883"/>
        <v>0</v>
      </c>
      <c r="S739" s="55" t="str">
        <f t="shared" si="884"/>
        <v>OCTUBRE</v>
      </c>
      <c r="T739" s="55" t="str">
        <f t="shared" si="885"/>
        <v>Sem40</v>
      </c>
      <c r="U739" s="56">
        <f t="shared" si="867"/>
        <v>7</v>
      </c>
      <c r="V739" s="59">
        <v>46296</v>
      </c>
      <c r="W739" s="56">
        <f t="shared" si="886"/>
        <v>40</v>
      </c>
      <c r="X739" s="56">
        <f t="shared" si="887"/>
        <v>1</v>
      </c>
      <c r="Y739" s="56" t="s">
        <v>31</v>
      </c>
      <c r="Z739" s="56">
        <v>4</v>
      </c>
      <c r="AA739" s="58">
        <f t="shared" si="898"/>
        <v>1</v>
      </c>
      <c r="AB739" s="58">
        <f t="shared" si="898"/>
        <v>0</v>
      </c>
      <c r="AC739" s="58">
        <f t="shared" si="898"/>
        <v>0</v>
      </c>
      <c r="AD739" s="58">
        <f t="shared" si="898"/>
        <v>0</v>
      </c>
      <c r="AE739" s="58">
        <f t="shared" si="898"/>
        <v>0</v>
      </c>
    </row>
    <row r="740" spans="2:34">
      <c r="B740" t="str">
        <f t="shared" si="874"/>
        <v>Sem4040LUIS ESTUARDO GARCIA BARILLAS</v>
      </c>
      <c r="C740" t="str">
        <f t="shared" si="875"/>
        <v>OCTUBRESem40</v>
      </c>
      <c r="D740" t="str">
        <f t="shared" si="876"/>
        <v>OCTUBRESem40LUIS ESTUARDO GARCIA BARILLAS</v>
      </c>
      <c r="E740" t="str">
        <f t="shared" si="877"/>
        <v>OCTUBRESem4040LUIS ESTUARDO GARCIA BARILLAS</v>
      </c>
      <c r="F740" t="str">
        <f t="shared" si="878"/>
        <v>LUIS ESTUARDO GARCIA BARILLAS46297</v>
      </c>
      <c r="H740" s="49" t="s">
        <v>228</v>
      </c>
      <c r="I740" s="50" t="str">
        <f>+_xlfn.XLOOKUP($H740&amp;$V740,BASEDATOS!$B:$B,BASEDATOS!F:F,0,0,1)</f>
        <v>DIA</v>
      </c>
      <c r="J740" s="51">
        <f>+_xlfn.XLOOKUP($H740&amp;$V740,BASEDATOS!$B:$B,BASEDATOS!Q:Q,0,0,1)</f>
        <v>0.25</v>
      </c>
      <c r="K740" s="51">
        <f>+_xlfn.XLOOKUP($H740&amp;$V740,BASEDATOS!$B:$B,BASEDATOS!R:R,0,0,1)</f>
        <v>0.75</v>
      </c>
      <c r="L740" s="51">
        <f t="shared" si="879"/>
        <v>0.5</v>
      </c>
      <c r="M740" s="52" t="str">
        <f t="shared" si="880"/>
        <v>1:00</v>
      </c>
      <c r="N740" s="51">
        <f t="shared" si="881"/>
        <v>0.45833333333333331</v>
      </c>
      <c r="O740" s="53" t="str">
        <f t="shared" ref="O740" si="909">+O742</f>
        <v>6-0-1</v>
      </c>
      <c r="P740" s="54">
        <f>+IF(AND(Y740="Domingo",U740=7),_xlfn.XLOOKUP(O740,'Horarios y Sistemas'!C:C,'Horarios y Sistemas'!H:H,0,0,1),0)</f>
        <v>0</v>
      </c>
      <c r="Q740" s="54">
        <f>IF(U740=U741,0,IF(AVERAGEIF(W:W,W740,U:U)=U740,0,_xlfn.XLOOKUP(O740,'Horarios y Sistemas'!C:C,'Horarios y Sistemas'!H:H,0,0,1)-P740))/7*U740</f>
        <v>0</v>
      </c>
      <c r="R740" s="54">
        <f t="shared" si="883"/>
        <v>0</v>
      </c>
      <c r="S740" s="55" t="str">
        <f t="shared" si="884"/>
        <v>OCTUBRE</v>
      </c>
      <c r="T740" s="55" t="str">
        <f t="shared" si="885"/>
        <v>Sem40</v>
      </c>
      <c r="U740" s="56">
        <f t="shared" si="867"/>
        <v>7</v>
      </c>
      <c r="V740" s="59">
        <v>46297</v>
      </c>
      <c r="W740" s="56">
        <f t="shared" si="886"/>
        <v>40</v>
      </c>
      <c r="X740" s="56">
        <f t="shared" si="887"/>
        <v>2</v>
      </c>
      <c r="Y740" s="56" t="s">
        <v>32</v>
      </c>
      <c r="Z740" s="56">
        <v>5</v>
      </c>
      <c r="AA740" s="58">
        <f t="shared" si="898"/>
        <v>1</v>
      </c>
      <c r="AB740" s="58">
        <f t="shared" si="898"/>
        <v>0</v>
      </c>
      <c r="AC740" s="58">
        <f t="shared" si="898"/>
        <v>0</v>
      </c>
      <c r="AD740" s="58">
        <f t="shared" si="898"/>
        <v>0</v>
      </c>
      <c r="AE740" s="58">
        <f t="shared" si="898"/>
        <v>0</v>
      </c>
    </row>
    <row r="741" spans="2:34">
      <c r="B741" t="str">
        <f t="shared" si="874"/>
        <v>Sem4040LUIS ESTUARDO GARCIA BARILLAS</v>
      </c>
      <c r="C741" t="str">
        <f t="shared" si="875"/>
        <v>OCTUBRESem40</v>
      </c>
      <c r="D741" t="str">
        <f t="shared" si="876"/>
        <v>OCTUBRESem40LUIS ESTUARDO GARCIA BARILLAS</v>
      </c>
      <c r="E741" t="str">
        <f t="shared" si="877"/>
        <v>OCTUBRESem4040LUIS ESTUARDO GARCIA BARILLAS</v>
      </c>
      <c r="F741" t="str">
        <f t="shared" si="878"/>
        <v>LUIS ESTUARDO GARCIA BARILLAS46298</v>
      </c>
      <c r="H741" s="49" t="s">
        <v>228</v>
      </c>
      <c r="I741" s="50" t="str">
        <f>+_xlfn.XLOOKUP($H741&amp;$V741,BASEDATOS!$B:$B,BASEDATOS!F:F,0,0,1)</f>
        <v>DIA</v>
      </c>
      <c r="J741" s="51">
        <f>+_xlfn.XLOOKUP($H741&amp;$V741,BASEDATOS!$B:$B,BASEDATOS!Q:Q,0,0,1)</f>
        <v>0.33333333333333298</v>
      </c>
      <c r="K741" s="51">
        <f>+_xlfn.XLOOKUP($H741&amp;$V741,BASEDATOS!$B:$B,BASEDATOS!R:R,0,0,1)</f>
        <v>0.70833333333333304</v>
      </c>
      <c r="L741" s="51">
        <f t="shared" si="879"/>
        <v>0.37500000000000006</v>
      </c>
      <c r="M741" s="52" t="str">
        <f t="shared" si="880"/>
        <v>1:00</v>
      </c>
      <c r="N741" s="51">
        <f t="shared" si="881"/>
        <v>0.33333333333333337</v>
      </c>
      <c r="O741" s="53" t="str">
        <f t="shared" ref="O741" si="910">+O742</f>
        <v>6-0-1</v>
      </c>
      <c r="P741" s="54">
        <f>+IF(AND(Y741="Domingo",U741=7),_xlfn.XLOOKUP(O741,'Horarios y Sistemas'!C:C,'Horarios y Sistemas'!H:H,0,0,1),0)</f>
        <v>0</v>
      </c>
      <c r="Q741" s="54">
        <f>IF(U741=U742,0,IF(AVERAGEIF(W:W,W741,U:U)=U741,0,_xlfn.XLOOKUP(O741,'Horarios y Sistemas'!C:C,'Horarios y Sistemas'!H:H,0,0,1)-P741))/7*U741</f>
        <v>0</v>
      </c>
      <c r="R741" s="54">
        <f t="shared" si="883"/>
        <v>0</v>
      </c>
      <c r="S741" s="55" t="str">
        <f t="shared" si="884"/>
        <v>OCTUBRE</v>
      </c>
      <c r="T741" s="55" t="str">
        <f t="shared" si="885"/>
        <v>Sem40</v>
      </c>
      <c r="U741" s="56">
        <f t="shared" si="867"/>
        <v>7</v>
      </c>
      <c r="V741" s="59">
        <v>46298</v>
      </c>
      <c r="W741" s="56">
        <f t="shared" si="886"/>
        <v>40</v>
      </c>
      <c r="X741" s="56">
        <f t="shared" si="887"/>
        <v>3</v>
      </c>
      <c r="Y741" s="56" t="s">
        <v>33</v>
      </c>
      <c r="Z741" s="56">
        <v>6</v>
      </c>
      <c r="AA741" s="58">
        <f t="shared" si="898"/>
        <v>1</v>
      </c>
      <c r="AB741" s="58">
        <f t="shared" si="898"/>
        <v>0</v>
      </c>
      <c r="AC741" s="58">
        <f t="shared" si="898"/>
        <v>0</v>
      </c>
      <c r="AD741" s="58">
        <f t="shared" si="898"/>
        <v>0</v>
      </c>
      <c r="AE741" s="58">
        <f t="shared" si="898"/>
        <v>0</v>
      </c>
    </row>
    <row r="742" spans="2:34" s="60" customFormat="1">
      <c r="B742" s="60" t="str">
        <f t="shared" si="874"/>
        <v>Sem4040LUIS ESTUARDO GARCIA BARILLAS</v>
      </c>
      <c r="C742" s="60" t="str">
        <f t="shared" si="875"/>
        <v>OCTUBRESem40</v>
      </c>
      <c r="D742" s="60" t="str">
        <f t="shared" si="876"/>
        <v>OCTUBRESem40LUIS ESTUARDO GARCIA BARILLAS</v>
      </c>
      <c r="E742" s="60" t="str">
        <f t="shared" si="877"/>
        <v>OCTUBRESem4040LUIS ESTUARDO GARCIA BARILLAS</v>
      </c>
      <c r="F742" s="60" t="str">
        <f t="shared" si="878"/>
        <v>LUIS ESTUARDO GARCIA BARILLAS46299</v>
      </c>
      <c r="H742" s="61" t="s">
        <v>228</v>
      </c>
      <c r="I742" s="62" t="str">
        <f>+_xlfn.XLOOKUP($H742&amp;$V742,BASEDATOS!$B:$B,BASEDATOS!F:F,0,0,1)</f>
        <v>DESCANSO</v>
      </c>
      <c r="J742" s="63">
        <f>+_xlfn.XLOOKUP($H742&amp;$V742,BASEDATOS!$B:$B,BASEDATOS!Q:Q,0,0,1)</f>
        <v>0</v>
      </c>
      <c r="K742" s="63">
        <f>+_xlfn.XLOOKUP($H742&amp;$V742,BASEDATOS!$B:$B,BASEDATOS!R:R,0,0,1)</f>
        <v>0</v>
      </c>
      <c r="L742" s="63">
        <f t="shared" si="879"/>
        <v>0</v>
      </c>
      <c r="M742" s="64">
        <f t="shared" si="880"/>
        <v>0</v>
      </c>
      <c r="N742" s="63">
        <f t="shared" si="881"/>
        <v>0</v>
      </c>
      <c r="O742" s="65" t="str">
        <f t="shared" ref="O742" si="911">+IF(Y742="Domingo",SUM(AA736:AA742)&amp;"-"&amp;SUM(AB736:AB742)&amp;"-"&amp;SUM(AC736:AE742),"")</f>
        <v>6-0-1</v>
      </c>
      <c r="P742" s="66">
        <f>+IF(AND(Y742="Domingo",U742=7),_xlfn.XLOOKUP(O742,'Horarios y Sistemas'!C:C,'Horarios y Sistemas'!H:H,0,0,1),0)</f>
        <v>44</v>
      </c>
      <c r="Q742" s="66">
        <f>IF(U742=U743,0,IF(AVERAGEIF(W:W,W742,U:U)=U742,0,_xlfn.XLOOKUP(O742,'Horarios y Sistemas'!C:C,'Horarios y Sistemas'!H:H,0,0,1)-P742))/7*U742</f>
        <v>0</v>
      </c>
      <c r="R742" s="66">
        <f t="shared" si="883"/>
        <v>44</v>
      </c>
      <c r="S742" s="67" t="str">
        <f t="shared" si="884"/>
        <v>OCTUBRE</v>
      </c>
      <c r="T742" s="55" t="str">
        <f t="shared" si="885"/>
        <v>Sem40</v>
      </c>
      <c r="U742" s="68">
        <f t="shared" si="867"/>
        <v>7</v>
      </c>
      <c r="V742" s="69">
        <v>46299</v>
      </c>
      <c r="W742" s="68">
        <f t="shared" si="886"/>
        <v>40</v>
      </c>
      <c r="X742" s="68">
        <f t="shared" si="887"/>
        <v>4</v>
      </c>
      <c r="Y742" s="68" t="s">
        <v>34</v>
      </c>
      <c r="Z742" s="68">
        <v>7</v>
      </c>
      <c r="AA742" s="70">
        <f t="shared" si="898"/>
        <v>0</v>
      </c>
      <c r="AB742" s="70">
        <f t="shared" si="898"/>
        <v>0</v>
      </c>
      <c r="AC742" s="70">
        <f t="shared" si="898"/>
        <v>1</v>
      </c>
      <c r="AD742" s="70">
        <f t="shared" si="898"/>
        <v>0</v>
      </c>
      <c r="AE742" s="70">
        <f t="shared" si="898"/>
        <v>0</v>
      </c>
      <c r="AF742" s="71"/>
      <c r="AG742" s="71"/>
      <c r="AH742" s="71"/>
    </row>
    <row r="743" spans="2:34">
      <c r="B743" t="str">
        <f t="shared" si="874"/>
        <v>Sem3838Lusvin Ardani Alvizures</v>
      </c>
      <c r="C743" t="str">
        <f t="shared" si="875"/>
        <v>SEPTIEMBRESem38</v>
      </c>
      <c r="D743" t="str">
        <f t="shared" si="876"/>
        <v>SEPTIEMBRESem38Lusvin Ardani Alvizures</v>
      </c>
      <c r="E743" t="str">
        <f t="shared" si="877"/>
        <v>SEPTIEMBRESem3838Lusvin Ardani Alvizures</v>
      </c>
      <c r="F743" t="str">
        <f t="shared" si="878"/>
        <v>Lusvin Ardani Alvizures46279</v>
      </c>
      <c r="H743" s="49" t="s">
        <v>229</v>
      </c>
      <c r="I743" s="50" t="str">
        <f>+_xlfn.XLOOKUP($H743&amp;$V743,BASEDATOS!$B:$B,BASEDATOS!F:F,0,0,1)</f>
        <v>DESCANSO</v>
      </c>
      <c r="J743" s="51">
        <f>+_xlfn.XLOOKUP($H743&amp;$V743,BASEDATOS!$B:$B,BASEDATOS!Q:Q,0,0,1)</f>
        <v>0</v>
      </c>
      <c r="K743" s="51">
        <f>+_xlfn.XLOOKUP($H743&amp;$V743,BASEDATOS!$B:$B,BASEDATOS!R:R,0,0,1)</f>
        <v>0</v>
      </c>
      <c r="L743" s="51">
        <f t="shared" si="879"/>
        <v>0</v>
      </c>
      <c r="M743" s="52">
        <f t="shared" si="880"/>
        <v>0</v>
      </c>
      <c r="N743" s="51">
        <f t="shared" si="881"/>
        <v>0</v>
      </c>
      <c r="O743" s="53" t="str">
        <f t="shared" ref="O743" si="912">+O749</f>
        <v>5-0-2</v>
      </c>
      <c r="P743" s="54">
        <f>+IF(AND(Y743="Domingo",U743=7),_xlfn.XLOOKUP(O743,'Horarios y Sistemas'!C:C,'Horarios y Sistemas'!H:H,0,0,1),0)</f>
        <v>0</v>
      </c>
      <c r="Q743" s="54">
        <f>IF(U743=U744,0,IF(AVERAGEIF(W:W,W743,U:U)=U743,0,_xlfn.XLOOKUP(O743,'Horarios y Sistemas'!C:C,'Horarios y Sistemas'!H:H,0,0,1)-P743))/7*U743</f>
        <v>0</v>
      </c>
      <c r="R743" s="54">
        <f t="shared" si="883"/>
        <v>0</v>
      </c>
      <c r="S743" s="55" t="str">
        <f t="shared" si="884"/>
        <v>SEPTIEMBRE</v>
      </c>
      <c r="T743" s="55" t="str">
        <f t="shared" si="885"/>
        <v>Sem38</v>
      </c>
      <c r="U743" s="56">
        <f t="shared" si="867"/>
        <v>7</v>
      </c>
      <c r="V743" s="59">
        <v>46279</v>
      </c>
      <c r="W743" s="56">
        <f t="shared" si="886"/>
        <v>38</v>
      </c>
      <c r="X743" s="56">
        <f t="shared" si="887"/>
        <v>14</v>
      </c>
      <c r="Y743" s="56" t="s">
        <v>28</v>
      </c>
      <c r="Z743" s="56">
        <v>1</v>
      </c>
      <c r="AA743" s="58">
        <f t="shared" si="898"/>
        <v>0</v>
      </c>
      <c r="AB743" s="58">
        <f t="shared" si="898"/>
        <v>0</v>
      </c>
      <c r="AC743" s="58">
        <f t="shared" si="898"/>
        <v>1</v>
      </c>
      <c r="AD743" s="58">
        <f t="shared" si="898"/>
        <v>0</v>
      </c>
      <c r="AE743" s="58">
        <f t="shared" si="898"/>
        <v>0</v>
      </c>
    </row>
    <row r="744" spans="2:34">
      <c r="B744" t="str">
        <f t="shared" si="874"/>
        <v>Sem3838Lusvin Ardani Alvizures</v>
      </c>
      <c r="C744" t="str">
        <f t="shared" si="875"/>
        <v>SEPTIEMBRESem38</v>
      </c>
      <c r="D744" t="str">
        <f t="shared" si="876"/>
        <v>SEPTIEMBRESem38Lusvin Ardani Alvizures</v>
      </c>
      <c r="E744" t="str">
        <f t="shared" si="877"/>
        <v>SEPTIEMBRESem3838Lusvin Ardani Alvizures</v>
      </c>
      <c r="F744" t="str">
        <f t="shared" si="878"/>
        <v>Lusvin Ardani Alvizures46280</v>
      </c>
      <c r="H744" s="49" t="s">
        <v>229</v>
      </c>
      <c r="I744" s="50" t="str">
        <f>+_xlfn.XLOOKUP($H744&amp;$V744,BASEDATOS!$B:$B,BASEDATOS!F:F,0,0,1)</f>
        <v>DIA</v>
      </c>
      <c r="J744" s="51">
        <f>+_xlfn.XLOOKUP($H744&amp;$V744,BASEDATOS!$B:$B,BASEDATOS!Q:Q,0,0,1)</f>
        <v>0.33333333333333298</v>
      </c>
      <c r="K744" s="51">
        <f>+_xlfn.XLOOKUP($H744&amp;$V744,BASEDATOS!$B:$B,BASEDATOS!R:R,0,0,1)</f>
        <v>0.70833333333333304</v>
      </c>
      <c r="L744" s="51">
        <f t="shared" si="879"/>
        <v>0.37500000000000006</v>
      </c>
      <c r="M744" s="52" t="str">
        <f t="shared" si="880"/>
        <v>1:00</v>
      </c>
      <c r="N744" s="51">
        <f t="shared" si="881"/>
        <v>0.33333333333333337</v>
      </c>
      <c r="O744" s="53" t="str">
        <f t="shared" ref="O744" si="913">+O749</f>
        <v>5-0-2</v>
      </c>
      <c r="P744" s="54">
        <f>+IF(AND(Y744="Domingo",U744=7),_xlfn.XLOOKUP(O744,'Horarios y Sistemas'!C:C,'Horarios y Sistemas'!H:H,0,0,1),0)</f>
        <v>0</v>
      </c>
      <c r="Q744" s="54">
        <f>IF(U744=U745,0,IF(AVERAGEIF(W:W,W744,U:U)=U744,0,_xlfn.XLOOKUP(O744,'Horarios y Sistemas'!C:C,'Horarios y Sistemas'!H:H,0,0,1)-P744))/7*U744</f>
        <v>0</v>
      </c>
      <c r="R744" s="54">
        <f t="shared" si="883"/>
        <v>0</v>
      </c>
      <c r="S744" s="55" t="str">
        <f t="shared" si="884"/>
        <v>SEPTIEMBRE</v>
      </c>
      <c r="T744" s="55" t="str">
        <f t="shared" si="885"/>
        <v>Sem38</v>
      </c>
      <c r="U744" s="56">
        <f t="shared" si="867"/>
        <v>7</v>
      </c>
      <c r="V744" s="59">
        <v>46280</v>
      </c>
      <c r="W744" s="56">
        <f t="shared" si="886"/>
        <v>38</v>
      </c>
      <c r="X744" s="56">
        <f t="shared" si="887"/>
        <v>15</v>
      </c>
      <c r="Y744" s="56" t="s">
        <v>29</v>
      </c>
      <c r="Z744" s="56">
        <v>2</v>
      </c>
      <c r="AA744" s="58">
        <f t="shared" si="898"/>
        <v>1</v>
      </c>
      <c r="AB744" s="58">
        <f t="shared" si="898"/>
        <v>0</v>
      </c>
      <c r="AC744" s="58">
        <f t="shared" si="898"/>
        <v>0</v>
      </c>
      <c r="AD744" s="58">
        <f t="shared" si="898"/>
        <v>0</v>
      </c>
      <c r="AE744" s="58">
        <f t="shared" si="898"/>
        <v>0</v>
      </c>
    </row>
    <row r="745" spans="2:34">
      <c r="B745" t="str">
        <f t="shared" si="874"/>
        <v>Sem3838Lusvin Ardani Alvizures</v>
      </c>
      <c r="C745" t="str">
        <f t="shared" si="875"/>
        <v>SEPTIEMBRESem38</v>
      </c>
      <c r="D745" t="str">
        <f t="shared" si="876"/>
        <v>SEPTIEMBRESem38Lusvin Ardani Alvizures</v>
      </c>
      <c r="E745" t="str">
        <f t="shared" si="877"/>
        <v>SEPTIEMBRESem3838Lusvin Ardani Alvizures</v>
      </c>
      <c r="F745" t="str">
        <f t="shared" si="878"/>
        <v>Lusvin Ardani Alvizures46281</v>
      </c>
      <c r="H745" s="49" t="s">
        <v>229</v>
      </c>
      <c r="I745" s="50" t="str">
        <f>+_xlfn.XLOOKUP($H745&amp;$V745,BASEDATOS!$B:$B,BASEDATOS!F:F,0,0,1)</f>
        <v>DIA</v>
      </c>
      <c r="J745" s="51">
        <f>+_xlfn.XLOOKUP($H745&amp;$V745,BASEDATOS!$B:$B,BASEDATOS!Q:Q,0,0,1)</f>
        <v>0.33333333333333298</v>
      </c>
      <c r="K745" s="51">
        <f>+_xlfn.XLOOKUP($H745&amp;$V745,BASEDATOS!$B:$B,BASEDATOS!R:R,0,0,1)</f>
        <v>0.70833333333333304</v>
      </c>
      <c r="L745" s="51">
        <f t="shared" si="879"/>
        <v>0.37500000000000006</v>
      </c>
      <c r="M745" s="52" t="str">
        <f t="shared" si="880"/>
        <v>1:00</v>
      </c>
      <c r="N745" s="51">
        <f t="shared" si="881"/>
        <v>0.33333333333333337</v>
      </c>
      <c r="O745" s="53" t="str">
        <f t="shared" ref="O745" si="914">+O749</f>
        <v>5-0-2</v>
      </c>
      <c r="P745" s="54">
        <f>+IF(AND(Y745="Domingo",U745=7),_xlfn.XLOOKUP(O745,'Horarios y Sistemas'!C:C,'Horarios y Sistemas'!H:H,0,0,1),0)</f>
        <v>0</v>
      </c>
      <c r="Q745" s="54">
        <f>IF(U745=U746,0,IF(AVERAGEIF(W:W,W745,U:U)=U745,0,_xlfn.XLOOKUP(O745,'Horarios y Sistemas'!C:C,'Horarios y Sistemas'!H:H,0,0,1)-P745))/7*U745</f>
        <v>0</v>
      </c>
      <c r="R745" s="54">
        <f t="shared" si="883"/>
        <v>0</v>
      </c>
      <c r="S745" s="55" t="str">
        <f t="shared" si="884"/>
        <v>SEPTIEMBRE</v>
      </c>
      <c r="T745" s="55" t="str">
        <f t="shared" si="885"/>
        <v>Sem38</v>
      </c>
      <c r="U745" s="56">
        <f t="shared" si="867"/>
        <v>7</v>
      </c>
      <c r="V745" s="59">
        <v>46281</v>
      </c>
      <c r="W745" s="56">
        <f t="shared" si="886"/>
        <v>38</v>
      </c>
      <c r="X745" s="56">
        <f t="shared" si="887"/>
        <v>16</v>
      </c>
      <c r="Y745" s="56" t="s">
        <v>30</v>
      </c>
      <c r="Z745" s="56">
        <v>3</v>
      </c>
      <c r="AA745" s="58">
        <f t="shared" si="898"/>
        <v>1</v>
      </c>
      <c r="AB745" s="58">
        <f t="shared" si="898"/>
        <v>0</v>
      </c>
      <c r="AC745" s="58">
        <f t="shared" si="898"/>
        <v>0</v>
      </c>
      <c r="AD745" s="58">
        <f t="shared" si="898"/>
        <v>0</v>
      </c>
      <c r="AE745" s="58">
        <f t="shared" si="898"/>
        <v>0</v>
      </c>
    </row>
    <row r="746" spans="2:34">
      <c r="B746" t="str">
        <f t="shared" si="874"/>
        <v>Sem3838Lusvin Ardani Alvizures</v>
      </c>
      <c r="C746" t="str">
        <f t="shared" si="875"/>
        <v>SEPTIEMBRESem38</v>
      </c>
      <c r="D746" t="str">
        <f t="shared" si="876"/>
        <v>SEPTIEMBRESem38Lusvin Ardani Alvizures</v>
      </c>
      <c r="E746" t="str">
        <f t="shared" si="877"/>
        <v>SEPTIEMBRESem3838Lusvin Ardani Alvizures</v>
      </c>
      <c r="F746" t="str">
        <f t="shared" si="878"/>
        <v>Lusvin Ardani Alvizures46282</v>
      </c>
      <c r="H746" s="49" t="s">
        <v>229</v>
      </c>
      <c r="I746" s="50" t="str">
        <f>+_xlfn.XLOOKUP($H746&amp;$V746,BASEDATOS!$B:$B,BASEDATOS!F:F,0,0,1)</f>
        <v>DIA</v>
      </c>
      <c r="J746" s="51">
        <f>+_xlfn.XLOOKUP($H746&amp;$V746,BASEDATOS!$B:$B,BASEDATOS!Q:Q,0,0,1)</f>
        <v>0.33333333333333298</v>
      </c>
      <c r="K746" s="51">
        <f>+_xlfn.XLOOKUP($H746&amp;$V746,BASEDATOS!$B:$B,BASEDATOS!R:R,0,0,1)</f>
        <v>0.70833333333333304</v>
      </c>
      <c r="L746" s="51">
        <f t="shared" si="879"/>
        <v>0.37500000000000006</v>
      </c>
      <c r="M746" s="52" t="str">
        <f t="shared" si="880"/>
        <v>1:00</v>
      </c>
      <c r="N746" s="51">
        <f t="shared" si="881"/>
        <v>0.33333333333333337</v>
      </c>
      <c r="O746" s="53" t="str">
        <f t="shared" ref="O746" si="915">+O749</f>
        <v>5-0-2</v>
      </c>
      <c r="P746" s="54">
        <f>+IF(AND(Y746="Domingo",U746=7),_xlfn.XLOOKUP(O746,'Horarios y Sistemas'!C:C,'Horarios y Sistemas'!H:H,0,0,1),0)</f>
        <v>0</v>
      </c>
      <c r="Q746" s="54">
        <f>IF(U746=U747,0,IF(AVERAGEIF(W:W,W746,U:U)=U746,0,_xlfn.XLOOKUP(O746,'Horarios y Sistemas'!C:C,'Horarios y Sistemas'!H:H,0,0,1)-P746))/7*U746</f>
        <v>0</v>
      </c>
      <c r="R746" s="54">
        <f t="shared" si="883"/>
        <v>0</v>
      </c>
      <c r="S746" s="55" t="str">
        <f t="shared" si="884"/>
        <v>SEPTIEMBRE</v>
      </c>
      <c r="T746" s="55" t="str">
        <f t="shared" si="885"/>
        <v>Sem38</v>
      </c>
      <c r="U746" s="56">
        <f t="shared" si="867"/>
        <v>7</v>
      </c>
      <c r="V746" s="59">
        <v>46282</v>
      </c>
      <c r="W746" s="56">
        <f t="shared" si="886"/>
        <v>38</v>
      </c>
      <c r="X746" s="56">
        <f t="shared" si="887"/>
        <v>17</v>
      </c>
      <c r="Y746" s="56" t="s">
        <v>31</v>
      </c>
      <c r="Z746" s="56">
        <v>4</v>
      </c>
      <c r="AA746" s="58">
        <f t="shared" si="898"/>
        <v>1</v>
      </c>
      <c r="AB746" s="58">
        <f t="shared" si="898"/>
        <v>0</v>
      </c>
      <c r="AC746" s="58">
        <f t="shared" si="898"/>
        <v>0</v>
      </c>
      <c r="AD746" s="58">
        <f t="shared" si="898"/>
        <v>0</v>
      </c>
      <c r="AE746" s="58">
        <f t="shared" si="898"/>
        <v>0</v>
      </c>
    </row>
    <row r="747" spans="2:34">
      <c r="B747" t="str">
        <f t="shared" si="874"/>
        <v>Sem3838Lusvin Ardani Alvizures</v>
      </c>
      <c r="C747" t="str">
        <f t="shared" si="875"/>
        <v>SEPTIEMBRESem38</v>
      </c>
      <c r="D747" t="str">
        <f t="shared" si="876"/>
        <v>SEPTIEMBRESem38Lusvin Ardani Alvizures</v>
      </c>
      <c r="E747" t="str">
        <f t="shared" si="877"/>
        <v>SEPTIEMBRESem3838Lusvin Ardani Alvizures</v>
      </c>
      <c r="F747" t="str">
        <f t="shared" si="878"/>
        <v>Lusvin Ardani Alvizures46283</v>
      </c>
      <c r="H747" s="49" t="s">
        <v>229</v>
      </c>
      <c r="I747" s="50" t="str">
        <f>+_xlfn.XLOOKUP($H747&amp;$V747,BASEDATOS!$B:$B,BASEDATOS!F:F,0,0,1)</f>
        <v>DIA</v>
      </c>
      <c r="J747" s="51">
        <f>+_xlfn.XLOOKUP($H747&amp;$V747,BASEDATOS!$B:$B,BASEDATOS!Q:Q,0,0,1)</f>
        <v>0.33333333333333298</v>
      </c>
      <c r="K747" s="51">
        <f>+_xlfn.XLOOKUP($H747&amp;$V747,BASEDATOS!$B:$B,BASEDATOS!R:R,0,0,1)</f>
        <v>0.70833333333333304</v>
      </c>
      <c r="L747" s="51">
        <f t="shared" si="879"/>
        <v>0.37500000000000006</v>
      </c>
      <c r="M747" s="52" t="str">
        <f t="shared" si="880"/>
        <v>1:00</v>
      </c>
      <c r="N747" s="51">
        <f t="shared" si="881"/>
        <v>0.33333333333333337</v>
      </c>
      <c r="O747" s="53" t="str">
        <f t="shared" ref="O747" si="916">+O749</f>
        <v>5-0-2</v>
      </c>
      <c r="P747" s="54">
        <f>+IF(AND(Y747="Domingo",U747=7),_xlfn.XLOOKUP(O747,'Horarios y Sistemas'!C:C,'Horarios y Sistemas'!H:H,0,0,1),0)</f>
        <v>0</v>
      </c>
      <c r="Q747" s="54">
        <f>IF(U747=U748,0,IF(AVERAGEIF(W:W,W747,U:U)=U747,0,_xlfn.XLOOKUP(O747,'Horarios y Sistemas'!C:C,'Horarios y Sistemas'!H:H,0,0,1)-P747))/7*U747</f>
        <v>0</v>
      </c>
      <c r="R747" s="54">
        <f t="shared" si="883"/>
        <v>0</v>
      </c>
      <c r="S747" s="55" t="str">
        <f t="shared" si="884"/>
        <v>SEPTIEMBRE</v>
      </c>
      <c r="T747" s="55" t="str">
        <f t="shared" si="885"/>
        <v>Sem38</v>
      </c>
      <c r="U747" s="56">
        <f t="shared" si="867"/>
        <v>7</v>
      </c>
      <c r="V747" s="59">
        <v>46283</v>
      </c>
      <c r="W747" s="56">
        <f t="shared" si="886"/>
        <v>38</v>
      </c>
      <c r="X747" s="56">
        <f t="shared" si="887"/>
        <v>18</v>
      </c>
      <c r="Y747" s="56" t="s">
        <v>32</v>
      </c>
      <c r="Z747" s="56">
        <v>5</v>
      </c>
      <c r="AA747" s="58">
        <f t="shared" si="898"/>
        <v>1</v>
      </c>
      <c r="AB747" s="58">
        <f t="shared" si="898"/>
        <v>0</v>
      </c>
      <c r="AC747" s="58">
        <f t="shared" si="898"/>
        <v>0</v>
      </c>
      <c r="AD747" s="58">
        <f t="shared" si="898"/>
        <v>0</v>
      </c>
      <c r="AE747" s="58">
        <f t="shared" si="898"/>
        <v>0</v>
      </c>
    </row>
    <row r="748" spans="2:34">
      <c r="B748" t="str">
        <f t="shared" si="874"/>
        <v>Sem3838Lusvin Ardani Alvizures</v>
      </c>
      <c r="C748" t="str">
        <f t="shared" si="875"/>
        <v>SEPTIEMBRESem38</v>
      </c>
      <c r="D748" t="str">
        <f t="shared" si="876"/>
        <v>SEPTIEMBRESem38Lusvin Ardani Alvizures</v>
      </c>
      <c r="E748" t="str">
        <f t="shared" si="877"/>
        <v>SEPTIEMBRESem3838Lusvin Ardani Alvizures</v>
      </c>
      <c r="F748" t="str">
        <f t="shared" si="878"/>
        <v>Lusvin Ardani Alvizures46284</v>
      </c>
      <c r="H748" s="49" t="s">
        <v>229</v>
      </c>
      <c r="I748" s="50" t="str">
        <f>+_xlfn.XLOOKUP($H748&amp;$V748,BASEDATOS!$B:$B,BASEDATOS!F:F,0,0,1)</f>
        <v>DIA</v>
      </c>
      <c r="J748" s="51">
        <f>+_xlfn.XLOOKUP($H748&amp;$V748,BASEDATOS!$B:$B,BASEDATOS!Q:Q,0,0,1)</f>
        <v>0.33333333333333298</v>
      </c>
      <c r="K748" s="51">
        <f>+_xlfn.XLOOKUP($H748&amp;$V748,BASEDATOS!$B:$B,BASEDATOS!R:R,0,0,1)</f>
        <v>0.70833333333333304</v>
      </c>
      <c r="L748" s="51">
        <f t="shared" si="879"/>
        <v>0.37500000000000006</v>
      </c>
      <c r="M748" s="52" t="str">
        <f t="shared" si="880"/>
        <v>1:00</v>
      </c>
      <c r="N748" s="51">
        <f t="shared" si="881"/>
        <v>0.33333333333333337</v>
      </c>
      <c r="O748" s="53" t="str">
        <f t="shared" ref="O748" si="917">+O749</f>
        <v>5-0-2</v>
      </c>
      <c r="P748" s="54">
        <f>+IF(AND(Y748="Domingo",U748=7),_xlfn.XLOOKUP(O748,'Horarios y Sistemas'!C:C,'Horarios y Sistemas'!H:H,0,0,1),0)</f>
        <v>0</v>
      </c>
      <c r="Q748" s="54">
        <f>IF(U748=U749,0,IF(AVERAGEIF(W:W,W748,U:U)=U748,0,_xlfn.XLOOKUP(O748,'Horarios y Sistemas'!C:C,'Horarios y Sistemas'!H:H,0,0,1)-P748))/7*U748</f>
        <v>0</v>
      </c>
      <c r="R748" s="54">
        <f t="shared" si="883"/>
        <v>0</v>
      </c>
      <c r="S748" s="55" t="str">
        <f t="shared" si="884"/>
        <v>SEPTIEMBRE</v>
      </c>
      <c r="T748" s="55" t="str">
        <f t="shared" si="885"/>
        <v>Sem38</v>
      </c>
      <c r="U748" s="56">
        <f t="shared" si="867"/>
        <v>7</v>
      </c>
      <c r="V748" s="59">
        <v>46284</v>
      </c>
      <c r="W748" s="56">
        <f t="shared" si="886"/>
        <v>38</v>
      </c>
      <c r="X748" s="56">
        <f t="shared" si="887"/>
        <v>19</v>
      </c>
      <c r="Y748" s="56" t="s">
        <v>33</v>
      </c>
      <c r="Z748" s="56">
        <v>6</v>
      </c>
      <c r="AA748" s="58">
        <f t="shared" si="898"/>
        <v>1</v>
      </c>
      <c r="AB748" s="58">
        <f t="shared" si="898"/>
        <v>0</v>
      </c>
      <c r="AC748" s="58">
        <f t="shared" si="898"/>
        <v>0</v>
      </c>
      <c r="AD748" s="58">
        <f t="shared" si="898"/>
        <v>0</v>
      </c>
      <c r="AE748" s="58">
        <f t="shared" si="898"/>
        <v>0</v>
      </c>
    </row>
    <row r="749" spans="2:34" s="60" customFormat="1">
      <c r="B749" s="60" t="str">
        <f t="shared" si="874"/>
        <v>Sem3838Lusvin Ardani Alvizures</v>
      </c>
      <c r="C749" s="60" t="str">
        <f t="shared" si="875"/>
        <v>SEPTIEMBRESem38</v>
      </c>
      <c r="D749" s="60" t="str">
        <f t="shared" si="876"/>
        <v>SEPTIEMBRESem38Lusvin Ardani Alvizures</v>
      </c>
      <c r="E749" s="60" t="str">
        <f t="shared" si="877"/>
        <v>SEPTIEMBRESem3838Lusvin Ardani Alvizures</v>
      </c>
      <c r="F749" s="60" t="str">
        <f t="shared" si="878"/>
        <v>Lusvin Ardani Alvizures46285</v>
      </c>
      <c r="H749" s="61" t="s">
        <v>229</v>
      </c>
      <c r="I749" s="62" t="str">
        <f>+_xlfn.XLOOKUP($H749&amp;$V749,BASEDATOS!$B:$B,BASEDATOS!F:F,0,0,1)</f>
        <v>DESCANSO</v>
      </c>
      <c r="J749" s="63">
        <f>+_xlfn.XLOOKUP($H749&amp;$V749,BASEDATOS!$B:$B,BASEDATOS!Q:Q,0,0,1)</f>
        <v>0</v>
      </c>
      <c r="K749" s="63">
        <f>+_xlfn.XLOOKUP($H749&amp;$V749,BASEDATOS!$B:$B,BASEDATOS!R:R,0,0,1)</f>
        <v>0</v>
      </c>
      <c r="L749" s="63">
        <f t="shared" si="879"/>
        <v>0</v>
      </c>
      <c r="M749" s="64">
        <f t="shared" si="880"/>
        <v>0</v>
      </c>
      <c r="N749" s="63">
        <f t="shared" si="881"/>
        <v>0</v>
      </c>
      <c r="O749" s="65" t="str">
        <f t="shared" ref="O749" si="918">+IF(Y749="Domingo",SUM(AA743:AA749)&amp;"-"&amp;SUM(AB743:AB749)&amp;"-"&amp;SUM(AC743:AE749),"")</f>
        <v>5-0-2</v>
      </c>
      <c r="P749" s="66">
        <f>+IF(AND(Y749="Domingo",U749=7),_xlfn.XLOOKUP(O749,'Horarios y Sistemas'!C:C,'Horarios y Sistemas'!H:H,0,0,1),0)</f>
        <v>44</v>
      </c>
      <c r="Q749" s="66">
        <f>IF(U749=U750,0,IF(AVERAGEIF(W:W,W749,U:U)=U749,0,_xlfn.XLOOKUP(O749,'Horarios y Sistemas'!C:C,'Horarios y Sistemas'!H:H,0,0,1)-P749))/7*U749</f>
        <v>0</v>
      </c>
      <c r="R749" s="66">
        <f t="shared" si="883"/>
        <v>44</v>
      </c>
      <c r="S749" s="67" t="str">
        <f t="shared" si="884"/>
        <v>SEPTIEMBRE</v>
      </c>
      <c r="T749" s="55" t="str">
        <f t="shared" si="885"/>
        <v>Sem38</v>
      </c>
      <c r="U749" s="68">
        <f t="shared" si="867"/>
        <v>7</v>
      </c>
      <c r="V749" s="69">
        <v>46285</v>
      </c>
      <c r="W749" s="68">
        <f t="shared" si="886"/>
        <v>38</v>
      </c>
      <c r="X749" s="68">
        <f t="shared" si="887"/>
        <v>20</v>
      </c>
      <c r="Y749" s="68" t="s">
        <v>34</v>
      </c>
      <c r="Z749" s="68">
        <v>7</v>
      </c>
      <c r="AA749" s="70">
        <f t="shared" si="898"/>
        <v>0</v>
      </c>
      <c r="AB749" s="70">
        <f t="shared" si="898"/>
        <v>0</v>
      </c>
      <c r="AC749" s="70">
        <f t="shared" si="898"/>
        <v>1</v>
      </c>
      <c r="AD749" s="70">
        <f t="shared" si="898"/>
        <v>0</v>
      </c>
      <c r="AE749" s="70">
        <f t="shared" si="898"/>
        <v>0</v>
      </c>
      <c r="AF749" s="71"/>
      <c r="AG749" s="71"/>
      <c r="AH749" s="71"/>
    </row>
    <row r="750" spans="2:34">
      <c r="B750" t="str">
        <f t="shared" si="874"/>
        <v>Sem3939Lusvin Ardani Alvizures</v>
      </c>
      <c r="C750" t="str">
        <f t="shared" si="875"/>
        <v>SEPTIEMBRESem39</v>
      </c>
      <c r="D750" t="str">
        <f t="shared" si="876"/>
        <v>SEPTIEMBRESem39Lusvin Ardani Alvizures</v>
      </c>
      <c r="E750" t="str">
        <f t="shared" si="877"/>
        <v>SEPTIEMBRESem3939Lusvin Ardani Alvizures</v>
      </c>
      <c r="F750" t="str">
        <f t="shared" si="878"/>
        <v>Lusvin Ardani Alvizures46286</v>
      </c>
      <c r="H750" s="49" t="s">
        <v>229</v>
      </c>
      <c r="I750" s="50" t="str">
        <f>+_xlfn.XLOOKUP($H750&amp;$V750,BASEDATOS!$B:$B,BASEDATOS!F:F,0,0,1)</f>
        <v>DIA</v>
      </c>
      <c r="J750" s="51">
        <f>+_xlfn.XLOOKUP($H750&amp;$V750,BASEDATOS!$B:$B,BASEDATOS!Q:Q,0,0,1)</f>
        <v>0.29166666666666702</v>
      </c>
      <c r="K750" s="51">
        <f>+_xlfn.XLOOKUP($H750&amp;$V750,BASEDATOS!$B:$B,BASEDATOS!R:R,0,0,1)</f>
        <v>0.66666666666666696</v>
      </c>
      <c r="L750" s="51">
        <f t="shared" si="879"/>
        <v>0.37499999999999994</v>
      </c>
      <c r="M750" s="52" t="str">
        <f t="shared" si="880"/>
        <v>1:00</v>
      </c>
      <c r="N750" s="51">
        <f t="shared" si="881"/>
        <v>0.33333333333333326</v>
      </c>
      <c r="O750" s="53" t="str">
        <f t="shared" ref="O750" si="919">+O756</f>
        <v>6-0-1</v>
      </c>
      <c r="P750" s="54">
        <f>+IF(AND(Y750="Domingo",U750=7),_xlfn.XLOOKUP(O750,'Horarios y Sistemas'!C:C,'Horarios y Sistemas'!H:H,0,0,1),0)</f>
        <v>0</v>
      </c>
      <c r="Q750" s="54">
        <f>IF(U750=U751,0,IF(AVERAGEIF(W:W,W750,U:U)=U750,0,_xlfn.XLOOKUP(O750,'Horarios y Sistemas'!C:C,'Horarios y Sistemas'!H:H,0,0,1)-P750))/7*U750</f>
        <v>0</v>
      </c>
      <c r="R750" s="54">
        <f t="shared" si="883"/>
        <v>0</v>
      </c>
      <c r="S750" s="55" t="str">
        <f t="shared" si="884"/>
        <v>SEPTIEMBRE</v>
      </c>
      <c r="T750" s="55" t="str">
        <f t="shared" si="885"/>
        <v>Sem39</v>
      </c>
      <c r="U750" s="56">
        <f t="shared" si="867"/>
        <v>7</v>
      </c>
      <c r="V750" s="57">
        <v>46286</v>
      </c>
      <c r="W750" s="56">
        <f t="shared" si="886"/>
        <v>39</v>
      </c>
      <c r="X750" s="56">
        <f t="shared" si="887"/>
        <v>21</v>
      </c>
      <c r="Y750" s="56" t="s">
        <v>28</v>
      </c>
      <c r="Z750" s="56">
        <v>1</v>
      </c>
      <c r="AA750" s="58">
        <f t="shared" si="898"/>
        <v>1</v>
      </c>
      <c r="AB750" s="58">
        <f t="shared" si="898"/>
        <v>0</v>
      </c>
      <c r="AC750" s="58">
        <f t="shared" si="898"/>
        <v>0</v>
      </c>
      <c r="AD750" s="58">
        <f t="shared" si="898"/>
        <v>0</v>
      </c>
      <c r="AE750" s="58">
        <f t="shared" si="898"/>
        <v>0</v>
      </c>
    </row>
    <row r="751" spans="2:34">
      <c r="B751" t="str">
        <f t="shared" si="874"/>
        <v>Sem3939Lusvin Ardani Alvizures</v>
      </c>
      <c r="C751" t="str">
        <f t="shared" si="875"/>
        <v>SEPTIEMBRESem39</v>
      </c>
      <c r="D751" t="str">
        <f t="shared" si="876"/>
        <v>SEPTIEMBRESem39Lusvin Ardani Alvizures</v>
      </c>
      <c r="E751" t="str">
        <f t="shared" si="877"/>
        <v>SEPTIEMBRESem3939Lusvin Ardani Alvizures</v>
      </c>
      <c r="F751" t="str">
        <f t="shared" si="878"/>
        <v>Lusvin Ardani Alvizures46287</v>
      </c>
      <c r="H751" s="49" t="s">
        <v>229</v>
      </c>
      <c r="I751" s="50" t="str">
        <f>+_xlfn.XLOOKUP($H751&amp;$V751,BASEDATOS!$B:$B,BASEDATOS!F:F,0,0,1)</f>
        <v>DIA</v>
      </c>
      <c r="J751" s="51">
        <f>+_xlfn.XLOOKUP($H751&amp;$V751,BASEDATOS!$B:$B,BASEDATOS!Q:Q,0,0,1)</f>
        <v>0.29166666666666702</v>
      </c>
      <c r="K751" s="51">
        <f>+_xlfn.XLOOKUP($H751&amp;$V751,BASEDATOS!$B:$B,BASEDATOS!R:R,0,0,1)</f>
        <v>0.70833333333333304</v>
      </c>
      <c r="L751" s="51">
        <f t="shared" si="879"/>
        <v>0.41666666666666602</v>
      </c>
      <c r="M751" s="52" t="str">
        <f t="shared" si="880"/>
        <v>1:00</v>
      </c>
      <c r="N751" s="51">
        <f t="shared" si="881"/>
        <v>0.37499999999999933</v>
      </c>
      <c r="O751" s="53" t="str">
        <f t="shared" ref="O751" si="920">+O756</f>
        <v>6-0-1</v>
      </c>
      <c r="P751" s="54">
        <f>+IF(AND(Y751="Domingo",U751=7),_xlfn.XLOOKUP(O751,'Horarios y Sistemas'!C:C,'Horarios y Sistemas'!H:H,0,0,1),0)</f>
        <v>0</v>
      </c>
      <c r="Q751" s="54">
        <f>IF(U751=U752,0,IF(AVERAGEIF(W:W,W751,U:U)=U751,0,_xlfn.XLOOKUP(O751,'Horarios y Sistemas'!C:C,'Horarios y Sistemas'!H:H,0,0,1)-P751))/7*U751</f>
        <v>0</v>
      </c>
      <c r="R751" s="54">
        <f t="shared" si="883"/>
        <v>0</v>
      </c>
      <c r="S751" s="55" t="str">
        <f t="shared" si="884"/>
        <v>SEPTIEMBRE</v>
      </c>
      <c r="T751" s="55" t="str">
        <f t="shared" si="885"/>
        <v>Sem39</v>
      </c>
      <c r="U751" s="56">
        <f t="shared" si="867"/>
        <v>7</v>
      </c>
      <c r="V751" s="59">
        <v>46287</v>
      </c>
      <c r="W751" s="56">
        <f t="shared" si="886"/>
        <v>39</v>
      </c>
      <c r="X751" s="56">
        <f t="shared" si="887"/>
        <v>22</v>
      </c>
      <c r="Y751" s="56" t="s">
        <v>29</v>
      </c>
      <c r="Z751" s="56">
        <v>2</v>
      </c>
      <c r="AA751" s="58">
        <f t="shared" si="898"/>
        <v>1</v>
      </c>
      <c r="AB751" s="58">
        <f t="shared" si="898"/>
        <v>0</v>
      </c>
      <c r="AC751" s="58">
        <f t="shared" si="898"/>
        <v>0</v>
      </c>
      <c r="AD751" s="58">
        <f t="shared" si="898"/>
        <v>0</v>
      </c>
      <c r="AE751" s="58">
        <f t="shared" si="898"/>
        <v>0</v>
      </c>
    </row>
    <row r="752" spans="2:34">
      <c r="B752" t="str">
        <f t="shared" si="874"/>
        <v>Sem3939Lusvin Ardani Alvizures</v>
      </c>
      <c r="C752" t="str">
        <f t="shared" si="875"/>
        <v>SEPTIEMBRESem39</v>
      </c>
      <c r="D752" t="str">
        <f t="shared" si="876"/>
        <v>SEPTIEMBRESem39Lusvin Ardani Alvizures</v>
      </c>
      <c r="E752" t="str">
        <f t="shared" si="877"/>
        <v>SEPTIEMBRESem3939Lusvin Ardani Alvizures</v>
      </c>
      <c r="F752" t="str">
        <f t="shared" si="878"/>
        <v>Lusvin Ardani Alvizures46288</v>
      </c>
      <c r="H752" s="49" t="s">
        <v>229</v>
      </c>
      <c r="I752" s="50" t="str">
        <f>+_xlfn.XLOOKUP($H752&amp;$V752,BASEDATOS!$B:$B,BASEDATOS!F:F,0,0,1)</f>
        <v>DIA</v>
      </c>
      <c r="J752" s="51">
        <f>+_xlfn.XLOOKUP($H752&amp;$V752,BASEDATOS!$B:$B,BASEDATOS!Q:Q,0,0,1)</f>
        <v>0.25</v>
      </c>
      <c r="K752" s="51">
        <f>+_xlfn.XLOOKUP($H752&amp;$V752,BASEDATOS!$B:$B,BASEDATOS!R:R,0,0,1)</f>
        <v>0.75</v>
      </c>
      <c r="L752" s="51">
        <f t="shared" si="879"/>
        <v>0.5</v>
      </c>
      <c r="M752" s="52" t="str">
        <f t="shared" si="880"/>
        <v>1:00</v>
      </c>
      <c r="N752" s="51">
        <f t="shared" si="881"/>
        <v>0.45833333333333331</v>
      </c>
      <c r="O752" s="53" t="str">
        <f t="shared" ref="O752" si="921">+O756</f>
        <v>6-0-1</v>
      </c>
      <c r="P752" s="54">
        <f>+IF(AND(Y752="Domingo",U752=7),_xlfn.XLOOKUP(O752,'Horarios y Sistemas'!C:C,'Horarios y Sistemas'!H:H,0,0,1),0)</f>
        <v>0</v>
      </c>
      <c r="Q752" s="54">
        <f>IF(U752=U753,0,IF(AVERAGEIF(W:W,W752,U:U)=U752,0,_xlfn.XLOOKUP(O752,'Horarios y Sistemas'!C:C,'Horarios y Sistemas'!H:H,0,0,1)-P752))/7*U752</f>
        <v>0</v>
      </c>
      <c r="R752" s="54">
        <f t="shared" si="883"/>
        <v>0</v>
      </c>
      <c r="S752" s="55" t="str">
        <f t="shared" si="884"/>
        <v>SEPTIEMBRE</v>
      </c>
      <c r="T752" s="55" t="str">
        <f t="shared" si="885"/>
        <v>Sem39</v>
      </c>
      <c r="U752" s="56">
        <f t="shared" si="867"/>
        <v>7</v>
      </c>
      <c r="V752" s="59">
        <v>46288</v>
      </c>
      <c r="W752" s="56">
        <f t="shared" si="886"/>
        <v>39</v>
      </c>
      <c r="X752" s="56">
        <f t="shared" si="887"/>
        <v>23</v>
      </c>
      <c r="Y752" s="56" t="s">
        <v>30</v>
      </c>
      <c r="Z752" s="56">
        <v>3</v>
      </c>
      <c r="AA752" s="58">
        <f t="shared" si="898"/>
        <v>1</v>
      </c>
      <c r="AB752" s="58">
        <f t="shared" si="898"/>
        <v>0</v>
      </c>
      <c r="AC752" s="58">
        <f t="shared" si="898"/>
        <v>0</v>
      </c>
      <c r="AD752" s="58">
        <f t="shared" si="898"/>
        <v>0</v>
      </c>
      <c r="AE752" s="58">
        <f t="shared" si="898"/>
        <v>0</v>
      </c>
    </row>
    <row r="753" spans="2:34">
      <c r="B753" t="str">
        <f t="shared" si="874"/>
        <v>Sem3939Lusvin Ardani Alvizures</v>
      </c>
      <c r="C753" t="str">
        <f t="shared" si="875"/>
        <v>SEPTIEMBRESem39</v>
      </c>
      <c r="D753" t="str">
        <f t="shared" si="876"/>
        <v>SEPTIEMBRESem39Lusvin Ardani Alvizures</v>
      </c>
      <c r="E753" t="str">
        <f t="shared" si="877"/>
        <v>SEPTIEMBRESem3939Lusvin Ardani Alvizures</v>
      </c>
      <c r="F753" t="str">
        <f t="shared" si="878"/>
        <v>Lusvin Ardani Alvizures46289</v>
      </c>
      <c r="H753" s="49" t="s">
        <v>229</v>
      </c>
      <c r="I753" s="50" t="str">
        <f>+_xlfn.XLOOKUP($H753&amp;$V753,BASEDATOS!$B:$B,BASEDATOS!F:F,0,0,1)</f>
        <v>DIA</v>
      </c>
      <c r="J753" s="51">
        <f>+_xlfn.XLOOKUP($H753&amp;$V753,BASEDATOS!$B:$B,BASEDATOS!Q:Q,0,0,1)</f>
        <v>0.25</v>
      </c>
      <c r="K753" s="51">
        <f>+_xlfn.XLOOKUP($H753&amp;$V753,BASEDATOS!$B:$B,BASEDATOS!R:R,0,0,1)</f>
        <v>0.75</v>
      </c>
      <c r="L753" s="51">
        <f t="shared" si="879"/>
        <v>0.5</v>
      </c>
      <c r="M753" s="52" t="str">
        <f t="shared" si="880"/>
        <v>1:00</v>
      </c>
      <c r="N753" s="51">
        <f t="shared" si="881"/>
        <v>0.45833333333333331</v>
      </c>
      <c r="O753" s="53" t="str">
        <f t="shared" ref="O753" si="922">+O756</f>
        <v>6-0-1</v>
      </c>
      <c r="P753" s="54">
        <f>+IF(AND(Y753="Domingo",U753=7),_xlfn.XLOOKUP(O753,'Horarios y Sistemas'!C:C,'Horarios y Sistemas'!H:H,0,0,1),0)</f>
        <v>0</v>
      </c>
      <c r="Q753" s="54">
        <f>IF(U753=U754,0,IF(AVERAGEIF(W:W,W753,U:U)=U753,0,_xlfn.XLOOKUP(O753,'Horarios y Sistemas'!C:C,'Horarios y Sistemas'!H:H,0,0,1)-P753))/7*U753</f>
        <v>0</v>
      </c>
      <c r="R753" s="54">
        <f t="shared" si="883"/>
        <v>0</v>
      </c>
      <c r="S753" s="55" t="str">
        <f t="shared" si="884"/>
        <v>SEPTIEMBRE</v>
      </c>
      <c r="T753" s="55" t="str">
        <f t="shared" si="885"/>
        <v>Sem39</v>
      </c>
      <c r="U753" s="56">
        <f t="shared" si="867"/>
        <v>7</v>
      </c>
      <c r="V753" s="59">
        <v>46289</v>
      </c>
      <c r="W753" s="56">
        <f t="shared" si="886"/>
        <v>39</v>
      </c>
      <c r="X753" s="56">
        <f t="shared" si="887"/>
        <v>24</v>
      </c>
      <c r="Y753" s="56" t="s">
        <v>31</v>
      </c>
      <c r="Z753" s="56">
        <v>4</v>
      </c>
      <c r="AA753" s="58">
        <f t="shared" si="898"/>
        <v>1</v>
      </c>
      <c r="AB753" s="58">
        <f t="shared" si="898"/>
        <v>0</v>
      </c>
      <c r="AC753" s="58">
        <f t="shared" si="898"/>
        <v>0</v>
      </c>
      <c r="AD753" s="58">
        <f t="shared" si="898"/>
        <v>0</v>
      </c>
      <c r="AE753" s="58">
        <f t="shared" si="898"/>
        <v>0</v>
      </c>
    </row>
    <row r="754" spans="2:34">
      <c r="B754" t="str">
        <f t="shared" si="874"/>
        <v>Sem3939Lusvin Ardani Alvizures</v>
      </c>
      <c r="C754" t="str">
        <f t="shared" si="875"/>
        <v>SEPTIEMBRESem39</v>
      </c>
      <c r="D754" t="str">
        <f t="shared" si="876"/>
        <v>SEPTIEMBRESem39Lusvin Ardani Alvizures</v>
      </c>
      <c r="E754" t="str">
        <f t="shared" si="877"/>
        <v>SEPTIEMBRESem3939Lusvin Ardani Alvizures</v>
      </c>
      <c r="F754" t="str">
        <f t="shared" si="878"/>
        <v>Lusvin Ardani Alvizures46290</v>
      </c>
      <c r="H754" s="49" t="s">
        <v>229</v>
      </c>
      <c r="I754" s="50" t="str">
        <f>+_xlfn.XLOOKUP($H754&amp;$V754,BASEDATOS!$B:$B,BASEDATOS!F:F,0,0,1)</f>
        <v>DIA</v>
      </c>
      <c r="J754" s="51">
        <f>+_xlfn.XLOOKUP($H754&amp;$V754,BASEDATOS!$B:$B,BASEDATOS!Q:Q,0,0,1)</f>
        <v>0.29166666666666702</v>
      </c>
      <c r="K754" s="51">
        <f>+_xlfn.XLOOKUP($H754&amp;$V754,BASEDATOS!$B:$B,BASEDATOS!R:R,0,0,1)</f>
        <v>0.66666666666666696</v>
      </c>
      <c r="L754" s="51">
        <f t="shared" si="879"/>
        <v>0.37499999999999994</v>
      </c>
      <c r="M754" s="52" t="str">
        <f t="shared" si="880"/>
        <v>1:00</v>
      </c>
      <c r="N754" s="51">
        <f t="shared" si="881"/>
        <v>0.33333333333333326</v>
      </c>
      <c r="O754" s="53" t="str">
        <f t="shared" ref="O754" si="923">+O756</f>
        <v>6-0-1</v>
      </c>
      <c r="P754" s="54">
        <f>+IF(AND(Y754="Domingo",U754=7),_xlfn.XLOOKUP(O754,'Horarios y Sistemas'!C:C,'Horarios y Sistemas'!H:H,0,0,1),0)</f>
        <v>0</v>
      </c>
      <c r="Q754" s="54">
        <f>IF(U754=U755,0,IF(AVERAGEIF(W:W,W754,U:U)=U754,0,_xlfn.XLOOKUP(O754,'Horarios y Sistemas'!C:C,'Horarios y Sistemas'!H:H,0,0,1)-P754))/7*U754</f>
        <v>0</v>
      </c>
      <c r="R754" s="54">
        <f t="shared" si="883"/>
        <v>0</v>
      </c>
      <c r="S754" s="55" t="str">
        <f t="shared" si="884"/>
        <v>SEPTIEMBRE</v>
      </c>
      <c r="T754" s="55" t="str">
        <f t="shared" si="885"/>
        <v>Sem39</v>
      </c>
      <c r="U754" s="56">
        <f t="shared" si="867"/>
        <v>7</v>
      </c>
      <c r="V754" s="59">
        <v>46290</v>
      </c>
      <c r="W754" s="56">
        <f t="shared" si="886"/>
        <v>39</v>
      </c>
      <c r="X754" s="56">
        <f t="shared" si="887"/>
        <v>25</v>
      </c>
      <c r="Y754" s="56" t="s">
        <v>32</v>
      </c>
      <c r="Z754" s="56">
        <v>5</v>
      </c>
      <c r="AA754" s="58">
        <f t="shared" si="898"/>
        <v>1</v>
      </c>
      <c r="AB754" s="58">
        <f t="shared" si="898"/>
        <v>0</v>
      </c>
      <c r="AC754" s="58">
        <f t="shared" si="898"/>
        <v>0</v>
      </c>
      <c r="AD754" s="58">
        <f t="shared" si="898"/>
        <v>0</v>
      </c>
      <c r="AE754" s="58">
        <f t="shared" si="898"/>
        <v>0</v>
      </c>
    </row>
    <row r="755" spans="2:34">
      <c r="B755" t="str">
        <f t="shared" si="874"/>
        <v>Sem3939Lusvin Ardani Alvizures</v>
      </c>
      <c r="C755" t="str">
        <f t="shared" si="875"/>
        <v>SEPTIEMBRESem39</v>
      </c>
      <c r="D755" t="str">
        <f t="shared" si="876"/>
        <v>SEPTIEMBRESem39Lusvin Ardani Alvizures</v>
      </c>
      <c r="E755" t="str">
        <f t="shared" si="877"/>
        <v>SEPTIEMBRESem3939Lusvin Ardani Alvizures</v>
      </c>
      <c r="F755" t="str">
        <f t="shared" si="878"/>
        <v>Lusvin Ardani Alvizures46291</v>
      </c>
      <c r="H755" s="49" t="s">
        <v>229</v>
      </c>
      <c r="I755" s="50" t="str">
        <f>+_xlfn.XLOOKUP($H755&amp;$V755,BASEDATOS!$B:$B,BASEDATOS!F:F,0,0,1)</f>
        <v>DIA</v>
      </c>
      <c r="J755" s="51">
        <f>+_xlfn.XLOOKUP($H755&amp;$V755,BASEDATOS!$B:$B,BASEDATOS!Q:Q,0,0,1)</f>
        <v>0.29166666666666702</v>
      </c>
      <c r="K755" s="51">
        <f>+_xlfn.XLOOKUP($H755&amp;$V755,BASEDATOS!$B:$B,BASEDATOS!R:R,0,0,1)</f>
        <v>0.45833333333333298</v>
      </c>
      <c r="L755" s="51">
        <f t="shared" si="879"/>
        <v>0.16666666666666596</v>
      </c>
      <c r="M755" s="52" t="str">
        <f t="shared" si="880"/>
        <v>1:00</v>
      </c>
      <c r="N755" s="51">
        <f t="shared" si="881"/>
        <v>0.12499999999999931</v>
      </c>
      <c r="O755" s="53" t="str">
        <f t="shared" ref="O755" si="924">+O756</f>
        <v>6-0-1</v>
      </c>
      <c r="P755" s="54">
        <f>+IF(AND(Y755="Domingo",U755=7),_xlfn.XLOOKUP(O755,'Horarios y Sistemas'!C:C,'Horarios y Sistemas'!H:H,0,0,1),0)</f>
        <v>0</v>
      </c>
      <c r="Q755" s="54">
        <f>IF(U755=U756,0,IF(AVERAGEIF(W:W,W755,U:U)=U755,0,_xlfn.XLOOKUP(O755,'Horarios y Sistemas'!C:C,'Horarios y Sistemas'!H:H,0,0,1)-P755))/7*U755</f>
        <v>0</v>
      </c>
      <c r="R755" s="54">
        <f t="shared" si="883"/>
        <v>0</v>
      </c>
      <c r="S755" s="55" t="str">
        <f t="shared" si="884"/>
        <v>SEPTIEMBRE</v>
      </c>
      <c r="T755" s="55" t="str">
        <f t="shared" si="885"/>
        <v>Sem39</v>
      </c>
      <c r="U755" s="56">
        <f t="shared" si="867"/>
        <v>7</v>
      </c>
      <c r="V755" s="59">
        <v>46291</v>
      </c>
      <c r="W755" s="56">
        <f t="shared" si="886"/>
        <v>39</v>
      </c>
      <c r="X755" s="56">
        <f t="shared" si="887"/>
        <v>26</v>
      </c>
      <c r="Y755" s="56" t="s">
        <v>33</v>
      </c>
      <c r="Z755" s="56">
        <v>6</v>
      </c>
      <c r="AA755" s="58">
        <f t="shared" si="898"/>
        <v>1</v>
      </c>
      <c r="AB755" s="58">
        <f t="shared" si="898"/>
        <v>0</v>
      </c>
      <c r="AC755" s="58">
        <f t="shared" si="898"/>
        <v>0</v>
      </c>
      <c r="AD755" s="58">
        <f t="shared" si="898"/>
        <v>0</v>
      </c>
      <c r="AE755" s="58">
        <f t="shared" si="898"/>
        <v>0</v>
      </c>
    </row>
    <row r="756" spans="2:34" s="60" customFormat="1">
      <c r="B756" s="60" t="str">
        <f t="shared" si="874"/>
        <v>Sem3939Lusvin Ardani Alvizures</v>
      </c>
      <c r="C756" s="60" t="str">
        <f t="shared" si="875"/>
        <v>SEPTIEMBRESem39</v>
      </c>
      <c r="D756" s="60" t="str">
        <f t="shared" si="876"/>
        <v>SEPTIEMBRESem39Lusvin Ardani Alvizures</v>
      </c>
      <c r="E756" s="60" t="str">
        <f t="shared" si="877"/>
        <v>SEPTIEMBRESem3939Lusvin Ardani Alvizures</v>
      </c>
      <c r="F756" s="60" t="str">
        <f t="shared" si="878"/>
        <v>Lusvin Ardani Alvizures46292</v>
      </c>
      <c r="H756" s="61" t="s">
        <v>229</v>
      </c>
      <c r="I756" s="62" t="str">
        <f>+_xlfn.XLOOKUP($H756&amp;$V756,BASEDATOS!$B:$B,BASEDATOS!F:F,0,0,1)</f>
        <v>DESCANSO</v>
      </c>
      <c r="J756" s="63">
        <f>+_xlfn.XLOOKUP($H756&amp;$V756,BASEDATOS!$B:$B,BASEDATOS!Q:Q,0,0,1)</f>
        <v>0</v>
      </c>
      <c r="K756" s="63">
        <f>+_xlfn.XLOOKUP($H756&amp;$V756,BASEDATOS!$B:$B,BASEDATOS!R:R,0,0,1)</f>
        <v>0</v>
      </c>
      <c r="L756" s="63">
        <f t="shared" si="879"/>
        <v>0</v>
      </c>
      <c r="M756" s="64">
        <f t="shared" si="880"/>
        <v>0</v>
      </c>
      <c r="N756" s="63">
        <f t="shared" si="881"/>
        <v>0</v>
      </c>
      <c r="O756" s="65" t="str">
        <f t="shared" ref="O756" si="925">+IF(Y756="Domingo",SUM(AA750:AA756)&amp;"-"&amp;SUM(AB750:AB756)&amp;"-"&amp;SUM(AC750:AE756),"")</f>
        <v>6-0-1</v>
      </c>
      <c r="P756" s="66">
        <f>+IF(AND(Y756="Domingo",U756=7),_xlfn.XLOOKUP(O756,'Horarios y Sistemas'!C:C,'Horarios y Sistemas'!H:H,0,0,1),0)</f>
        <v>44</v>
      </c>
      <c r="Q756" s="66">
        <f>IF(U756=U757,0,IF(AVERAGEIF(W:W,W756,U:U)=U756,0,_xlfn.XLOOKUP(O756,'Horarios y Sistemas'!C:C,'Horarios y Sistemas'!H:H,0,0,1)-P756))/7*U756</f>
        <v>0</v>
      </c>
      <c r="R756" s="66">
        <f t="shared" si="883"/>
        <v>44</v>
      </c>
      <c r="S756" s="67" t="str">
        <f t="shared" si="884"/>
        <v>SEPTIEMBRE</v>
      </c>
      <c r="T756" s="55" t="str">
        <f t="shared" si="885"/>
        <v>Sem39</v>
      </c>
      <c r="U756" s="68">
        <f t="shared" si="867"/>
        <v>7</v>
      </c>
      <c r="V756" s="69">
        <v>46292</v>
      </c>
      <c r="W756" s="68">
        <f t="shared" si="886"/>
        <v>39</v>
      </c>
      <c r="X756" s="68">
        <f t="shared" si="887"/>
        <v>27</v>
      </c>
      <c r="Y756" s="68" t="s">
        <v>34</v>
      </c>
      <c r="Z756" s="68">
        <v>7</v>
      </c>
      <c r="AA756" s="70">
        <f t="shared" si="898"/>
        <v>0</v>
      </c>
      <c r="AB756" s="70">
        <f t="shared" si="898"/>
        <v>0</v>
      </c>
      <c r="AC756" s="70">
        <f t="shared" si="898"/>
        <v>1</v>
      </c>
      <c r="AD756" s="70">
        <f t="shared" si="898"/>
        <v>0</v>
      </c>
      <c r="AE756" s="70">
        <f t="shared" si="898"/>
        <v>0</v>
      </c>
      <c r="AF756" s="71"/>
      <c r="AG756" s="71"/>
      <c r="AH756" s="71"/>
    </row>
    <row r="757" spans="2:34">
      <c r="B757" t="str">
        <f t="shared" si="874"/>
        <v>Sem4040Lusvin Ardani Alvizures</v>
      </c>
      <c r="C757" t="str">
        <f t="shared" si="875"/>
        <v>SEPTIEMBRESem40</v>
      </c>
      <c r="D757" t="str">
        <f t="shared" si="876"/>
        <v>SEPTIEMBRESem40Lusvin Ardani Alvizures</v>
      </c>
      <c r="E757" t="str">
        <f t="shared" si="877"/>
        <v>SEPTIEMBRESem4040Lusvin Ardani Alvizures</v>
      </c>
      <c r="F757" t="str">
        <f t="shared" si="878"/>
        <v>Lusvin Ardani Alvizures46293</v>
      </c>
      <c r="H757" s="49" t="s">
        <v>229</v>
      </c>
      <c r="I757" s="50" t="str">
        <f>+_xlfn.XLOOKUP($H757&amp;$V757,BASEDATOS!$B:$B,BASEDATOS!F:F,0,0,1)</f>
        <v>DIA</v>
      </c>
      <c r="J757" s="51">
        <f>+_xlfn.XLOOKUP($H757&amp;$V757,BASEDATOS!$B:$B,BASEDATOS!Q:Q,0,0,1)</f>
        <v>0.29166666666666702</v>
      </c>
      <c r="K757" s="51">
        <f>+_xlfn.XLOOKUP($H757&amp;$V757,BASEDATOS!$B:$B,BASEDATOS!R:R,0,0,1)</f>
        <v>0.75</v>
      </c>
      <c r="L757" s="51">
        <f t="shared" si="879"/>
        <v>0.45833333333333298</v>
      </c>
      <c r="M757" s="52" t="str">
        <f t="shared" si="880"/>
        <v>1:00</v>
      </c>
      <c r="N757" s="51">
        <f t="shared" si="881"/>
        <v>0.4166666666666663</v>
      </c>
      <c r="O757" s="53" t="str">
        <f t="shared" ref="O757" si="926">+O763</f>
        <v>6-0-1</v>
      </c>
      <c r="P757" s="54">
        <f>+IF(AND(Y757="Domingo",U757=7),_xlfn.XLOOKUP(O757,'Horarios y Sistemas'!C:C,'Horarios y Sistemas'!H:H,0,0,1),0)</f>
        <v>0</v>
      </c>
      <c r="Q757" s="54">
        <f>IF(U757=U758,0,IF(AVERAGEIF(W:W,W757,U:U)=U757,0,_xlfn.XLOOKUP(O757,'Horarios y Sistemas'!C:C,'Horarios y Sistemas'!H:H,0,0,1)-P757))/7*U757</f>
        <v>0</v>
      </c>
      <c r="R757" s="54">
        <f t="shared" si="883"/>
        <v>0</v>
      </c>
      <c r="S757" s="55" t="str">
        <f t="shared" si="884"/>
        <v>SEPTIEMBRE</v>
      </c>
      <c r="T757" s="55" t="str">
        <f t="shared" si="885"/>
        <v>Sem40</v>
      </c>
      <c r="U757" s="56">
        <f t="shared" si="867"/>
        <v>7</v>
      </c>
      <c r="V757" s="59">
        <v>46293</v>
      </c>
      <c r="W757" s="56">
        <f t="shared" si="886"/>
        <v>40</v>
      </c>
      <c r="X757" s="56">
        <f t="shared" si="887"/>
        <v>28</v>
      </c>
      <c r="Y757" s="56" t="s">
        <v>28</v>
      </c>
      <c r="Z757" s="56">
        <v>1</v>
      </c>
      <c r="AA757" s="58">
        <f t="shared" si="898"/>
        <v>1</v>
      </c>
      <c r="AB757" s="58">
        <f t="shared" si="898"/>
        <v>0</v>
      </c>
      <c r="AC757" s="58">
        <f t="shared" si="898"/>
        <v>0</v>
      </c>
      <c r="AD757" s="58">
        <f t="shared" si="898"/>
        <v>0</v>
      </c>
      <c r="AE757" s="58">
        <f t="shared" si="898"/>
        <v>0</v>
      </c>
    </row>
    <row r="758" spans="2:34">
      <c r="B758" t="str">
        <f t="shared" si="874"/>
        <v>Sem4040Lusvin Ardani Alvizures</v>
      </c>
      <c r="C758" t="str">
        <f t="shared" si="875"/>
        <v>SEPTIEMBRESem40</v>
      </c>
      <c r="D758" t="str">
        <f t="shared" si="876"/>
        <v>SEPTIEMBRESem40Lusvin Ardani Alvizures</v>
      </c>
      <c r="E758" t="str">
        <f t="shared" si="877"/>
        <v>SEPTIEMBRESem4040Lusvin Ardani Alvizures</v>
      </c>
      <c r="F758" t="str">
        <f t="shared" si="878"/>
        <v>Lusvin Ardani Alvizures46294</v>
      </c>
      <c r="H758" s="49" t="s">
        <v>229</v>
      </c>
      <c r="I758" s="50" t="str">
        <f>+_xlfn.XLOOKUP($H758&amp;$V758,BASEDATOS!$B:$B,BASEDATOS!F:F,0,0,1)</f>
        <v>DIA</v>
      </c>
      <c r="J758" s="51">
        <f>+_xlfn.XLOOKUP($H758&amp;$V758,BASEDATOS!$B:$B,BASEDATOS!Q:Q,0,0,1)</f>
        <v>0.25</v>
      </c>
      <c r="K758" s="51">
        <f>+_xlfn.XLOOKUP($H758&amp;$V758,BASEDATOS!$B:$B,BASEDATOS!R:R,0,0,1)</f>
        <v>0.75</v>
      </c>
      <c r="L758" s="51">
        <f t="shared" si="879"/>
        <v>0.5</v>
      </c>
      <c r="M758" s="52" t="str">
        <f t="shared" si="880"/>
        <v>1:00</v>
      </c>
      <c r="N758" s="51">
        <f t="shared" si="881"/>
        <v>0.45833333333333331</v>
      </c>
      <c r="O758" s="53" t="str">
        <f t="shared" ref="O758" si="927">+O763</f>
        <v>6-0-1</v>
      </c>
      <c r="P758" s="54">
        <f>+IF(AND(Y758="Domingo",U758=7),_xlfn.XLOOKUP(O758,'Horarios y Sistemas'!C:C,'Horarios y Sistemas'!H:H,0,0,1),0)</f>
        <v>0</v>
      </c>
      <c r="Q758" s="54">
        <f>IF(U758=U759,0,IF(AVERAGEIF(W:W,W758,U:U)=U758,0,_xlfn.XLOOKUP(O758,'Horarios y Sistemas'!C:C,'Horarios y Sistemas'!H:H,0,0,1)-P758))/7*U758</f>
        <v>0</v>
      </c>
      <c r="R758" s="54">
        <f t="shared" si="883"/>
        <v>0</v>
      </c>
      <c r="S758" s="55" t="str">
        <f t="shared" si="884"/>
        <v>SEPTIEMBRE</v>
      </c>
      <c r="T758" s="55" t="str">
        <f t="shared" si="885"/>
        <v>Sem40</v>
      </c>
      <c r="U758" s="56">
        <f t="shared" si="867"/>
        <v>7</v>
      </c>
      <c r="V758" s="59">
        <v>46294</v>
      </c>
      <c r="W758" s="56">
        <f t="shared" si="886"/>
        <v>40</v>
      </c>
      <c r="X758" s="56">
        <f t="shared" si="887"/>
        <v>29</v>
      </c>
      <c r="Y758" s="56" t="s">
        <v>29</v>
      </c>
      <c r="Z758" s="56">
        <v>2</v>
      </c>
      <c r="AA758" s="58">
        <f t="shared" si="898"/>
        <v>1</v>
      </c>
      <c r="AB758" s="58">
        <f t="shared" si="898"/>
        <v>0</v>
      </c>
      <c r="AC758" s="58">
        <f t="shared" si="898"/>
        <v>0</v>
      </c>
      <c r="AD758" s="58">
        <f t="shared" si="898"/>
        <v>0</v>
      </c>
      <c r="AE758" s="58">
        <f t="shared" si="898"/>
        <v>0</v>
      </c>
    </row>
    <row r="759" spans="2:34">
      <c r="B759" t="str">
        <f t="shared" si="874"/>
        <v>Sem4040Lusvin Ardani Alvizures</v>
      </c>
      <c r="C759" t="str">
        <f t="shared" si="875"/>
        <v>SEPTIEMBRESem40</v>
      </c>
      <c r="D759" t="str">
        <f t="shared" si="876"/>
        <v>SEPTIEMBRESem40Lusvin Ardani Alvizures</v>
      </c>
      <c r="E759" t="str">
        <f t="shared" si="877"/>
        <v>SEPTIEMBRESem4040Lusvin Ardani Alvizures</v>
      </c>
      <c r="F759" t="str">
        <f t="shared" si="878"/>
        <v>Lusvin Ardani Alvizures46295</v>
      </c>
      <c r="H759" s="49" t="s">
        <v>229</v>
      </c>
      <c r="I759" s="50" t="str">
        <f>+_xlfn.XLOOKUP($H759&amp;$V759,BASEDATOS!$B:$B,BASEDATOS!F:F,0,0,1)</f>
        <v>DIA</v>
      </c>
      <c r="J759" s="51">
        <f>+_xlfn.XLOOKUP($H759&amp;$V759,BASEDATOS!$B:$B,BASEDATOS!Q:Q,0,0,1)</f>
        <v>0.25</v>
      </c>
      <c r="K759" s="51">
        <f>+_xlfn.XLOOKUP($H759&amp;$V759,BASEDATOS!$B:$B,BASEDATOS!R:R,0,0,1)</f>
        <v>0.75</v>
      </c>
      <c r="L759" s="51">
        <f t="shared" si="879"/>
        <v>0.5</v>
      </c>
      <c r="M759" s="52" t="str">
        <f t="shared" si="880"/>
        <v>1:00</v>
      </c>
      <c r="N759" s="51">
        <f t="shared" si="881"/>
        <v>0.45833333333333331</v>
      </c>
      <c r="O759" s="53" t="str">
        <f t="shared" ref="O759" si="928">+O763</f>
        <v>6-0-1</v>
      </c>
      <c r="P759" s="54">
        <f>+IF(AND(Y759="Domingo",U759=7),_xlfn.XLOOKUP(O759,'Horarios y Sistemas'!C:C,'Horarios y Sistemas'!H:H,0,0,1),0)</f>
        <v>0</v>
      </c>
      <c r="Q759" s="54">
        <f>IF(U759=U760,0,IF(AVERAGEIF(W:W,W759,U:U)=U759,0,_xlfn.XLOOKUP(O759,'Horarios y Sistemas'!C:C,'Horarios y Sistemas'!H:H,0,0,1)-P759))/7*U759</f>
        <v>0</v>
      </c>
      <c r="R759" s="54">
        <f t="shared" si="883"/>
        <v>0</v>
      </c>
      <c r="S759" s="55" t="str">
        <f t="shared" si="884"/>
        <v>SEPTIEMBRE</v>
      </c>
      <c r="T759" s="55" t="str">
        <f t="shared" si="885"/>
        <v>Sem40</v>
      </c>
      <c r="U759" s="56">
        <f t="shared" si="867"/>
        <v>7</v>
      </c>
      <c r="V759" s="59">
        <v>46295</v>
      </c>
      <c r="W759" s="56">
        <f t="shared" si="886"/>
        <v>40</v>
      </c>
      <c r="X759" s="56">
        <f t="shared" si="887"/>
        <v>30</v>
      </c>
      <c r="Y759" s="56" t="s">
        <v>30</v>
      </c>
      <c r="Z759" s="56">
        <v>3</v>
      </c>
      <c r="AA759" s="58">
        <f t="shared" si="898"/>
        <v>1</v>
      </c>
      <c r="AB759" s="58">
        <f t="shared" si="898"/>
        <v>0</v>
      </c>
      <c r="AC759" s="58">
        <f t="shared" si="898"/>
        <v>0</v>
      </c>
      <c r="AD759" s="58">
        <f t="shared" si="898"/>
        <v>0</v>
      </c>
      <c r="AE759" s="58">
        <f t="shared" si="898"/>
        <v>0</v>
      </c>
    </row>
    <row r="760" spans="2:34">
      <c r="B760" t="str">
        <f t="shared" si="874"/>
        <v>Sem4040Lusvin Ardani Alvizures</v>
      </c>
      <c r="C760" t="str">
        <f t="shared" si="875"/>
        <v>OCTUBRESem40</v>
      </c>
      <c r="D760" t="str">
        <f t="shared" si="876"/>
        <v>OCTUBRESem40Lusvin Ardani Alvizures</v>
      </c>
      <c r="E760" t="str">
        <f t="shared" si="877"/>
        <v>OCTUBRESem4040Lusvin Ardani Alvizures</v>
      </c>
      <c r="F760" t="str">
        <f t="shared" si="878"/>
        <v>Lusvin Ardani Alvizures46296</v>
      </c>
      <c r="H760" s="49" t="s">
        <v>229</v>
      </c>
      <c r="I760" s="50" t="str">
        <f>+_xlfn.XLOOKUP($H760&amp;$V760,BASEDATOS!$B:$B,BASEDATOS!F:F,0,0,1)</f>
        <v>DIA</v>
      </c>
      <c r="J760" s="51">
        <f>+_xlfn.XLOOKUP($H760&amp;$V760,BASEDATOS!$B:$B,BASEDATOS!Q:Q,0,0,1)</f>
        <v>0.25</v>
      </c>
      <c r="K760" s="51">
        <f>+_xlfn.XLOOKUP($H760&amp;$V760,BASEDATOS!$B:$B,BASEDATOS!R:R,0,0,1)</f>
        <v>0.75</v>
      </c>
      <c r="L760" s="51">
        <f t="shared" si="879"/>
        <v>0.5</v>
      </c>
      <c r="M760" s="52" t="str">
        <f t="shared" si="880"/>
        <v>1:00</v>
      </c>
      <c r="N760" s="51">
        <f t="shared" si="881"/>
        <v>0.45833333333333331</v>
      </c>
      <c r="O760" s="53" t="str">
        <f t="shared" ref="O760" si="929">+O763</f>
        <v>6-0-1</v>
      </c>
      <c r="P760" s="54">
        <f>+IF(AND(Y760="Domingo",U760=7),_xlfn.XLOOKUP(O760,'Horarios y Sistemas'!C:C,'Horarios y Sistemas'!H:H,0,0,1),0)</f>
        <v>0</v>
      </c>
      <c r="Q760" s="54">
        <f>IF(U760=U761,0,IF(AVERAGEIF(W:W,W760,U:U)=U760,0,_xlfn.XLOOKUP(O760,'Horarios y Sistemas'!C:C,'Horarios y Sistemas'!H:H,0,0,1)-P760))/7*U760</f>
        <v>0</v>
      </c>
      <c r="R760" s="54">
        <f t="shared" si="883"/>
        <v>0</v>
      </c>
      <c r="S760" s="55" t="str">
        <f t="shared" si="884"/>
        <v>OCTUBRE</v>
      </c>
      <c r="T760" s="55" t="str">
        <f t="shared" si="885"/>
        <v>Sem40</v>
      </c>
      <c r="U760" s="56">
        <f t="shared" si="867"/>
        <v>7</v>
      </c>
      <c r="V760" s="59">
        <v>46296</v>
      </c>
      <c r="W760" s="56">
        <f t="shared" si="886"/>
        <v>40</v>
      </c>
      <c r="X760" s="56">
        <f t="shared" si="887"/>
        <v>1</v>
      </c>
      <c r="Y760" s="56" t="s">
        <v>31</v>
      </c>
      <c r="Z760" s="56">
        <v>4</v>
      </c>
      <c r="AA760" s="58">
        <f t="shared" si="898"/>
        <v>1</v>
      </c>
      <c r="AB760" s="58">
        <f t="shared" si="898"/>
        <v>0</v>
      </c>
      <c r="AC760" s="58">
        <f t="shared" si="898"/>
        <v>0</v>
      </c>
      <c r="AD760" s="58">
        <f t="shared" si="898"/>
        <v>0</v>
      </c>
      <c r="AE760" s="58">
        <f t="shared" si="898"/>
        <v>0</v>
      </c>
    </row>
    <row r="761" spans="2:34">
      <c r="B761" t="str">
        <f t="shared" si="874"/>
        <v>Sem4040Lusvin Ardani Alvizures</v>
      </c>
      <c r="C761" t="str">
        <f t="shared" si="875"/>
        <v>OCTUBRESem40</v>
      </c>
      <c r="D761" t="str">
        <f t="shared" si="876"/>
        <v>OCTUBRESem40Lusvin Ardani Alvizures</v>
      </c>
      <c r="E761" t="str">
        <f t="shared" si="877"/>
        <v>OCTUBRESem4040Lusvin Ardani Alvizures</v>
      </c>
      <c r="F761" t="str">
        <f t="shared" si="878"/>
        <v>Lusvin Ardani Alvizures46297</v>
      </c>
      <c r="H761" s="49" t="s">
        <v>229</v>
      </c>
      <c r="I761" s="50" t="str">
        <f>+_xlfn.XLOOKUP($H761&amp;$V761,BASEDATOS!$B:$B,BASEDATOS!F:F,0,0,1)</f>
        <v>DIA</v>
      </c>
      <c r="J761" s="51">
        <f>+_xlfn.XLOOKUP($H761&amp;$V761,BASEDATOS!$B:$B,BASEDATOS!Q:Q,0,0,1)</f>
        <v>0.25</v>
      </c>
      <c r="K761" s="51">
        <f>+_xlfn.XLOOKUP($H761&amp;$V761,BASEDATOS!$B:$B,BASEDATOS!R:R,0,0,1)</f>
        <v>0.75</v>
      </c>
      <c r="L761" s="51">
        <f t="shared" si="879"/>
        <v>0.5</v>
      </c>
      <c r="M761" s="52" t="str">
        <f t="shared" si="880"/>
        <v>1:00</v>
      </c>
      <c r="N761" s="51">
        <f t="shared" si="881"/>
        <v>0.45833333333333331</v>
      </c>
      <c r="O761" s="53" t="str">
        <f t="shared" ref="O761" si="930">+O763</f>
        <v>6-0-1</v>
      </c>
      <c r="P761" s="54">
        <f>+IF(AND(Y761="Domingo",U761=7),_xlfn.XLOOKUP(O761,'Horarios y Sistemas'!C:C,'Horarios y Sistemas'!H:H,0,0,1),0)</f>
        <v>0</v>
      </c>
      <c r="Q761" s="54">
        <f>IF(U761=U762,0,IF(AVERAGEIF(W:W,W761,U:U)=U761,0,_xlfn.XLOOKUP(O761,'Horarios y Sistemas'!C:C,'Horarios y Sistemas'!H:H,0,0,1)-P761))/7*U761</f>
        <v>0</v>
      </c>
      <c r="R761" s="54">
        <f t="shared" si="883"/>
        <v>0</v>
      </c>
      <c r="S761" s="55" t="str">
        <f t="shared" si="884"/>
        <v>OCTUBRE</v>
      </c>
      <c r="T761" s="55" t="str">
        <f t="shared" si="885"/>
        <v>Sem40</v>
      </c>
      <c r="U761" s="56">
        <f t="shared" si="867"/>
        <v>7</v>
      </c>
      <c r="V761" s="59">
        <v>46297</v>
      </c>
      <c r="W761" s="56">
        <f t="shared" si="886"/>
        <v>40</v>
      </c>
      <c r="X761" s="56">
        <f t="shared" si="887"/>
        <v>2</v>
      </c>
      <c r="Y761" s="56" t="s">
        <v>32</v>
      </c>
      <c r="Z761" s="56">
        <v>5</v>
      </c>
      <c r="AA761" s="58">
        <f t="shared" si="898"/>
        <v>1</v>
      </c>
      <c r="AB761" s="58">
        <f t="shared" si="898"/>
        <v>0</v>
      </c>
      <c r="AC761" s="58">
        <f t="shared" si="898"/>
        <v>0</v>
      </c>
      <c r="AD761" s="58">
        <f t="shared" si="898"/>
        <v>0</v>
      </c>
      <c r="AE761" s="58">
        <f t="shared" si="898"/>
        <v>0</v>
      </c>
    </row>
    <row r="762" spans="2:34">
      <c r="B762" t="str">
        <f t="shared" si="874"/>
        <v>Sem4040Lusvin Ardani Alvizures</v>
      </c>
      <c r="C762" t="str">
        <f t="shared" si="875"/>
        <v>OCTUBRESem40</v>
      </c>
      <c r="D762" t="str">
        <f t="shared" si="876"/>
        <v>OCTUBRESem40Lusvin Ardani Alvizures</v>
      </c>
      <c r="E762" t="str">
        <f t="shared" si="877"/>
        <v>OCTUBRESem4040Lusvin Ardani Alvizures</v>
      </c>
      <c r="F762" t="str">
        <f t="shared" si="878"/>
        <v>Lusvin Ardani Alvizures46298</v>
      </c>
      <c r="H762" s="49" t="s">
        <v>229</v>
      </c>
      <c r="I762" s="50" t="str">
        <f>+_xlfn.XLOOKUP($H762&amp;$V762,BASEDATOS!$B:$B,BASEDATOS!F:F,0,0,1)</f>
        <v>DIA</v>
      </c>
      <c r="J762" s="51">
        <f>+_xlfn.XLOOKUP($H762&amp;$V762,BASEDATOS!$B:$B,BASEDATOS!Q:Q,0,0,1)</f>
        <v>0.25</v>
      </c>
      <c r="K762" s="51">
        <f>+_xlfn.XLOOKUP($H762&amp;$V762,BASEDATOS!$B:$B,BASEDATOS!R:R,0,0,1)</f>
        <v>0.75</v>
      </c>
      <c r="L762" s="51">
        <f t="shared" si="879"/>
        <v>0.5</v>
      </c>
      <c r="M762" s="52" t="str">
        <f t="shared" si="880"/>
        <v>1:00</v>
      </c>
      <c r="N762" s="51">
        <f t="shared" si="881"/>
        <v>0.45833333333333331</v>
      </c>
      <c r="O762" s="53" t="str">
        <f t="shared" ref="O762" si="931">+O763</f>
        <v>6-0-1</v>
      </c>
      <c r="P762" s="54">
        <f>+IF(AND(Y762="Domingo",U762=7),_xlfn.XLOOKUP(O762,'Horarios y Sistemas'!C:C,'Horarios y Sistemas'!H:H,0,0,1),0)</f>
        <v>0</v>
      </c>
      <c r="Q762" s="54">
        <f>IF(U762=U763,0,IF(AVERAGEIF(W:W,W762,U:U)=U762,0,_xlfn.XLOOKUP(O762,'Horarios y Sistemas'!C:C,'Horarios y Sistemas'!H:H,0,0,1)-P762))/7*U762</f>
        <v>0</v>
      </c>
      <c r="R762" s="54">
        <f t="shared" si="883"/>
        <v>0</v>
      </c>
      <c r="S762" s="55" t="str">
        <f t="shared" si="884"/>
        <v>OCTUBRE</v>
      </c>
      <c r="T762" s="55" t="str">
        <f t="shared" si="885"/>
        <v>Sem40</v>
      </c>
      <c r="U762" s="56">
        <f t="shared" si="867"/>
        <v>7</v>
      </c>
      <c r="V762" s="59">
        <v>46298</v>
      </c>
      <c r="W762" s="56">
        <f t="shared" si="886"/>
        <v>40</v>
      </c>
      <c r="X762" s="56">
        <f t="shared" si="887"/>
        <v>3</v>
      </c>
      <c r="Y762" s="56" t="s">
        <v>33</v>
      </c>
      <c r="Z762" s="56">
        <v>6</v>
      </c>
      <c r="AA762" s="58">
        <f t="shared" si="898"/>
        <v>1</v>
      </c>
      <c r="AB762" s="58">
        <f t="shared" si="898"/>
        <v>0</v>
      </c>
      <c r="AC762" s="58">
        <f t="shared" si="898"/>
        <v>0</v>
      </c>
      <c r="AD762" s="58">
        <f t="shared" si="898"/>
        <v>0</v>
      </c>
      <c r="AE762" s="58">
        <f t="shared" si="898"/>
        <v>0</v>
      </c>
    </row>
    <row r="763" spans="2:34" s="60" customFormat="1">
      <c r="B763" s="60" t="str">
        <f t="shared" si="874"/>
        <v>Sem4040Lusvin Ardani Alvizures</v>
      </c>
      <c r="C763" s="60" t="str">
        <f t="shared" si="875"/>
        <v>OCTUBRESem40</v>
      </c>
      <c r="D763" s="60" t="str">
        <f t="shared" si="876"/>
        <v>OCTUBRESem40Lusvin Ardani Alvizures</v>
      </c>
      <c r="E763" s="60" t="str">
        <f t="shared" si="877"/>
        <v>OCTUBRESem4040Lusvin Ardani Alvizures</v>
      </c>
      <c r="F763" s="60" t="str">
        <f t="shared" si="878"/>
        <v>Lusvin Ardani Alvizures46299</v>
      </c>
      <c r="H763" s="61" t="s">
        <v>229</v>
      </c>
      <c r="I763" s="62" t="str">
        <f>+_xlfn.XLOOKUP($H763&amp;$V763,BASEDATOS!$B:$B,BASEDATOS!F:F,0,0,1)</f>
        <v>DESCANSO</v>
      </c>
      <c r="J763" s="63">
        <f>+_xlfn.XLOOKUP($H763&amp;$V763,BASEDATOS!$B:$B,BASEDATOS!Q:Q,0,0,1)</f>
        <v>0</v>
      </c>
      <c r="K763" s="63">
        <f>+_xlfn.XLOOKUP($H763&amp;$V763,BASEDATOS!$B:$B,BASEDATOS!R:R,0,0,1)</f>
        <v>0</v>
      </c>
      <c r="L763" s="63">
        <f t="shared" si="879"/>
        <v>0</v>
      </c>
      <c r="M763" s="64">
        <f t="shared" si="880"/>
        <v>0</v>
      </c>
      <c r="N763" s="63">
        <f t="shared" si="881"/>
        <v>0</v>
      </c>
      <c r="O763" s="65" t="str">
        <f t="shared" ref="O763" si="932">+IF(Y763="Domingo",SUM(AA757:AA763)&amp;"-"&amp;SUM(AB757:AB763)&amp;"-"&amp;SUM(AC757:AE763),"")</f>
        <v>6-0-1</v>
      </c>
      <c r="P763" s="66">
        <f>+IF(AND(Y763="Domingo",U763=7),_xlfn.XLOOKUP(O763,'Horarios y Sistemas'!C:C,'Horarios y Sistemas'!H:H,0,0,1),0)</f>
        <v>44</v>
      </c>
      <c r="Q763" s="66">
        <f>IF(U763=U764,0,IF(AVERAGEIF(W:W,W763,U:U)=U763,0,_xlfn.XLOOKUP(O763,'Horarios y Sistemas'!C:C,'Horarios y Sistemas'!H:H,0,0,1)-P763))/7*U763</f>
        <v>0</v>
      </c>
      <c r="R763" s="66">
        <f t="shared" si="883"/>
        <v>44</v>
      </c>
      <c r="S763" s="67" t="str">
        <f t="shared" si="884"/>
        <v>OCTUBRE</v>
      </c>
      <c r="T763" s="55" t="str">
        <f t="shared" si="885"/>
        <v>Sem40</v>
      </c>
      <c r="U763" s="68">
        <f t="shared" si="867"/>
        <v>7</v>
      </c>
      <c r="V763" s="69">
        <v>46299</v>
      </c>
      <c r="W763" s="68">
        <f t="shared" si="886"/>
        <v>40</v>
      </c>
      <c r="X763" s="68">
        <f t="shared" si="887"/>
        <v>4</v>
      </c>
      <c r="Y763" s="68" t="s">
        <v>34</v>
      </c>
      <c r="Z763" s="68">
        <v>7</v>
      </c>
      <c r="AA763" s="70">
        <f t="shared" si="898"/>
        <v>0</v>
      </c>
      <c r="AB763" s="70">
        <f t="shared" si="898"/>
        <v>0</v>
      </c>
      <c r="AC763" s="70">
        <f t="shared" si="898"/>
        <v>1</v>
      </c>
      <c r="AD763" s="70">
        <f t="shared" si="898"/>
        <v>0</v>
      </c>
      <c r="AE763" s="70">
        <f t="shared" si="898"/>
        <v>0</v>
      </c>
      <c r="AF763" s="71"/>
      <c r="AG763" s="71"/>
      <c r="AH763" s="71"/>
    </row>
    <row r="764" spans="2:34">
      <c r="B764" t="str">
        <f t="shared" si="874"/>
        <v>Sem3838LÁZARO CHOCHÉ</v>
      </c>
      <c r="C764" t="str">
        <f t="shared" si="875"/>
        <v>SEPTIEMBRESem38</v>
      </c>
      <c r="D764" t="str">
        <f t="shared" si="876"/>
        <v>SEPTIEMBRESem38LÁZARO CHOCHÉ</v>
      </c>
      <c r="E764" t="str">
        <f t="shared" si="877"/>
        <v>SEPTIEMBRESem3838LÁZARO CHOCHÉ</v>
      </c>
      <c r="F764" t="str">
        <f t="shared" si="878"/>
        <v>LÁZARO CHOCHÉ46279</v>
      </c>
      <c r="H764" s="49" t="s">
        <v>265</v>
      </c>
      <c r="I764" s="50" t="str">
        <f>+_xlfn.XLOOKUP($H764&amp;$V764,BASEDATOS!$B:$B,BASEDATOS!F:F,0,0,1)</f>
        <v>DESCANSO</v>
      </c>
      <c r="J764" s="51">
        <f>+_xlfn.XLOOKUP($H764&amp;$V764,BASEDATOS!$B:$B,BASEDATOS!Q:Q,0,0,1)</f>
        <v>0</v>
      </c>
      <c r="K764" s="51">
        <f>+_xlfn.XLOOKUP($H764&amp;$V764,BASEDATOS!$B:$B,BASEDATOS!R:R,0,0,1)</f>
        <v>0</v>
      </c>
      <c r="L764" s="51">
        <f t="shared" si="879"/>
        <v>0</v>
      </c>
      <c r="M764" s="52">
        <f t="shared" si="880"/>
        <v>0</v>
      </c>
      <c r="N764" s="51">
        <f t="shared" si="881"/>
        <v>0</v>
      </c>
      <c r="O764" s="53" t="str">
        <f t="shared" ref="O764" si="933">+O770</f>
        <v>5-0-2</v>
      </c>
      <c r="P764" s="54">
        <f>+IF(AND(Y764="Domingo",U764=7),_xlfn.XLOOKUP(O764,'Horarios y Sistemas'!C:C,'Horarios y Sistemas'!H:H,0,0,1),0)</f>
        <v>0</v>
      </c>
      <c r="Q764" s="54">
        <f>IF(U764=U765,0,IF(AVERAGEIF(W:W,W764,U:U)=U764,0,_xlfn.XLOOKUP(O764,'Horarios y Sistemas'!C:C,'Horarios y Sistemas'!H:H,0,0,1)-P764))/7*U764</f>
        <v>0</v>
      </c>
      <c r="R764" s="54">
        <f t="shared" si="883"/>
        <v>0</v>
      </c>
      <c r="S764" s="55" t="str">
        <f t="shared" si="884"/>
        <v>SEPTIEMBRE</v>
      </c>
      <c r="T764" s="55" t="str">
        <f t="shared" si="885"/>
        <v>Sem38</v>
      </c>
      <c r="U764" s="56">
        <f t="shared" si="867"/>
        <v>7</v>
      </c>
      <c r="V764" s="59">
        <v>46279</v>
      </c>
      <c r="W764" s="56">
        <f t="shared" si="886"/>
        <v>38</v>
      </c>
      <c r="X764" s="56">
        <f t="shared" si="887"/>
        <v>14</v>
      </c>
      <c r="Y764" s="56" t="s">
        <v>28</v>
      </c>
      <c r="Z764" s="56">
        <v>1</v>
      </c>
      <c r="AA764" s="58">
        <f t="shared" si="898"/>
        <v>0</v>
      </c>
      <c r="AB764" s="58">
        <f t="shared" si="898"/>
        <v>0</v>
      </c>
      <c r="AC764" s="58">
        <f t="shared" si="898"/>
        <v>1</v>
      </c>
      <c r="AD764" s="58">
        <f t="shared" si="898"/>
        <v>0</v>
      </c>
      <c r="AE764" s="58">
        <f t="shared" si="898"/>
        <v>0</v>
      </c>
    </row>
    <row r="765" spans="2:34">
      <c r="B765" t="str">
        <f t="shared" si="874"/>
        <v>Sem3838LÁZARO CHOCHÉ</v>
      </c>
      <c r="C765" t="str">
        <f t="shared" si="875"/>
        <v>SEPTIEMBRESem38</v>
      </c>
      <c r="D765" t="str">
        <f t="shared" si="876"/>
        <v>SEPTIEMBRESem38LÁZARO CHOCHÉ</v>
      </c>
      <c r="E765" t="str">
        <f t="shared" si="877"/>
        <v>SEPTIEMBRESem3838LÁZARO CHOCHÉ</v>
      </c>
      <c r="F765" t="str">
        <f t="shared" si="878"/>
        <v>LÁZARO CHOCHÉ46280</v>
      </c>
      <c r="H765" s="49" t="s">
        <v>265</v>
      </c>
      <c r="I765" s="50" t="str">
        <f>+_xlfn.XLOOKUP($H765&amp;$V765,BASEDATOS!$B:$B,BASEDATOS!F:F,0,0,1)</f>
        <v>DIA</v>
      </c>
      <c r="J765" s="51">
        <f>+_xlfn.XLOOKUP($H765&amp;$V765,BASEDATOS!$B:$B,BASEDATOS!Q:Q,0,0,1)</f>
        <v>0.33333333333333298</v>
      </c>
      <c r="K765" s="51">
        <f>+_xlfn.XLOOKUP($H765&amp;$V765,BASEDATOS!$B:$B,BASEDATOS!R:R,0,0,1)</f>
        <v>0.70833333333333304</v>
      </c>
      <c r="L765" s="51">
        <f t="shared" si="879"/>
        <v>0.37500000000000006</v>
      </c>
      <c r="M765" s="52" t="str">
        <f t="shared" si="880"/>
        <v>1:00</v>
      </c>
      <c r="N765" s="51">
        <f t="shared" si="881"/>
        <v>0.33333333333333337</v>
      </c>
      <c r="O765" s="53" t="str">
        <f t="shared" ref="O765" si="934">+O770</f>
        <v>5-0-2</v>
      </c>
      <c r="P765" s="54">
        <f>+IF(AND(Y765="Domingo",U765=7),_xlfn.XLOOKUP(O765,'Horarios y Sistemas'!C:C,'Horarios y Sistemas'!H:H,0,0,1),0)</f>
        <v>0</v>
      </c>
      <c r="Q765" s="54">
        <f>IF(U765=U766,0,IF(AVERAGEIF(W:W,W765,U:U)=U765,0,_xlfn.XLOOKUP(O765,'Horarios y Sistemas'!C:C,'Horarios y Sistemas'!H:H,0,0,1)-P765))/7*U765</f>
        <v>0</v>
      </c>
      <c r="R765" s="54">
        <f t="shared" si="883"/>
        <v>0</v>
      </c>
      <c r="S765" s="55" t="str">
        <f t="shared" si="884"/>
        <v>SEPTIEMBRE</v>
      </c>
      <c r="T765" s="55" t="str">
        <f t="shared" si="885"/>
        <v>Sem38</v>
      </c>
      <c r="U765" s="56">
        <f t="shared" si="867"/>
        <v>7</v>
      </c>
      <c r="V765" s="59">
        <v>46280</v>
      </c>
      <c r="W765" s="56">
        <f t="shared" si="886"/>
        <v>38</v>
      </c>
      <c r="X765" s="56">
        <f t="shared" si="887"/>
        <v>15</v>
      </c>
      <c r="Y765" s="56" t="s">
        <v>29</v>
      </c>
      <c r="Z765" s="56">
        <v>2</v>
      </c>
      <c r="AA765" s="58">
        <f t="shared" si="898"/>
        <v>1</v>
      </c>
      <c r="AB765" s="58">
        <f t="shared" si="898"/>
        <v>0</v>
      </c>
      <c r="AC765" s="58">
        <f t="shared" si="898"/>
        <v>0</v>
      </c>
      <c r="AD765" s="58">
        <f t="shared" si="898"/>
        <v>0</v>
      </c>
      <c r="AE765" s="58">
        <f t="shared" si="898"/>
        <v>0</v>
      </c>
    </row>
    <row r="766" spans="2:34">
      <c r="B766" t="str">
        <f t="shared" si="874"/>
        <v>Sem3838LÁZARO CHOCHÉ</v>
      </c>
      <c r="C766" t="str">
        <f t="shared" si="875"/>
        <v>SEPTIEMBRESem38</v>
      </c>
      <c r="D766" t="str">
        <f t="shared" si="876"/>
        <v>SEPTIEMBRESem38LÁZARO CHOCHÉ</v>
      </c>
      <c r="E766" t="str">
        <f t="shared" si="877"/>
        <v>SEPTIEMBRESem3838LÁZARO CHOCHÉ</v>
      </c>
      <c r="F766" t="str">
        <f t="shared" si="878"/>
        <v>LÁZARO CHOCHÉ46281</v>
      </c>
      <c r="H766" s="49" t="s">
        <v>265</v>
      </c>
      <c r="I766" s="50" t="str">
        <f>+_xlfn.XLOOKUP($H766&amp;$V766,BASEDATOS!$B:$B,BASEDATOS!F:F,0,0,1)</f>
        <v>DIA</v>
      </c>
      <c r="J766" s="51">
        <f>+_xlfn.XLOOKUP($H766&amp;$V766,BASEDATOS!$B:$B,BASEDATOS!Q:Q,0,0,1)</f>
        <v>0.28125</v>
      </c>
      <c r="K766" s="51">
        <f>+_xlfn.XLOOKUP($H766&amp;$V766,BASEDATOS!$B:$B,BASEDATOS!R:R,0,0,1)</f>
        <v>0.66666666666666696</v>
      </c>
      <c r="L766" s="51">
        <f t="shared" si="879"/>
        <v>0.38541666666666696</v>
      </c>
      <c r="M766" s="52" t="str">
        <f t="shared" si="880"/>
        <v>1:00</v>
      </c>
      <c r="N766" s="51">
        <f t="shared" si="881"/>
        <v>0.34375000000000028</v>
      </c>
      <c r="O766" s="53" t="str">
        <f t="shared" ref="O766" si="935">+O770</f>
        <v>5-0-2</v>
      </c>
      <c r="P766" s="54">
        <f>+IF(AND(Y766="Domingo",U766=7),_xlfn.XLOOKUP(O766,'Horarios y Sistemas'!C:C,'Horarios y Sistemas'!H:H,0,0,1),0)</f>
        <v>0</v>
      </c>
      <c r="Q766" s="54">
        <f>IF(U766=U767,0,IF(AVERAGEIF(W:W,W766,U:U)=U766,0,_xlfn.XLOOKUP(O766,'Horarios y Sistemas'!C:C,'Horarios y Sistemas'!H:H,0,0,1)-P766))/7*U766</f>
        <v>0</v>
      </c>
      <c r="R766" s="54">
        <f t="shared" si="883"/>
        <v>0</v>
      </c>
      <c r="S766" s="55" t="str">
        <f t="shared" si="884"/>
        <v>SEPTIEMBRE</v>
      </c>
      <c r="T766" s="55" t="str">
        <f t="shared" si="885"/>
        <v>Sem38</v>
      </c>
      <c r="U766" s="56">
        <f t="shared" si="867"/>
        <v>7</v>
      </c>
      <c r="V766" s="59">
        <v>46281</v>
      </c>
      <c r="W766" s="56">
        <f t="shared" si="886"/>
        <v>38</v>
      </c>
      <c r="X766" s="56">
        <f t="shared" si="887"/>
        <v>16</v>
      </c>
      <c r="Y766" s="56" t="s">
        <v>30</v>
      </c>
      <c r="Z766" s="56">
        <v>3</v>
      </c>
      <c r="AA766" s="58">
        <f t="shared" si="898"/>
        <v>1</v>
      </c>
      <c r="AB766" s="58">
        <f t="shared" si="898"/>
        <v>0</v>
      </c>
      <c r="AC766" s="58">
        <f t="shared" si="898"/>
        <v>0</v>
      </c>
      <c r="AD766" s="58">
        <f t="shared" si="898"/>
        <v>0</v>
      </c>
      <c r="AE766" s="58">
        <f t="shared" si="898"/>
        <v>0</v>
      </c>
    </row>
    <row r="767" spans="2:34">
      <c r="B767" t="str">
        <f t="shared" si="874"/>
        <v>Sem3838LÁZARO CHOCHÉ</v>
      </c>
      <c r="C767" t="str">
        <f t="shared" si="875"/>
        <v>SEPTIEMBRESem38</v>
      </c>
      <c r="D767" t="str">
        <f t="shared" si="876"/>
        <v>SEPTIEMBRESem38LÁZARO CHOCHÉ</v>
      </c>
      <c r="E767" t="str">
        <f t="shared" si="877"/>
        <v>SEPTIEMBRESem3838LÁZARO CHOCHÉ</v>
      </c>
      <c r="F767" t="str">
        <f t="shared" si="878"/>
        <v>LÁZARO CHOCHÉ46282</v>
      </c>
      <c r="H767" s="49" t="s">
        <v>265</v>
      </c>
      <c r="I767" s="50" t="str">
        <f>+_xlfn.XLOOKUP($H767&amp;$V767,BASEDATOS!$B:$B,BASEDATOS!F:F,0,0,1)</f>
        <v>DIA</v>
      </c>
      <c r="J767" s="51">
        <f>+_xlfn.XLOOKUP($H767&amp;$V767,BASEDATOS!$B:$B,BASEDATOS!Q:Q,0,0,1)</f>
        <v>0.28125</v>
      </c>
      <c r="K767" s="51">
        <f>+_xlfn.XLOOKUP($H767&amp;$V767,BASEDATOS!$B:$B,BASEDATOS!R:R,0,0,1)</f>
        <v>0.66666666666666696</v>
      </c>
      <c r="L767" s="51">
        <f t="shared" si="879"/>
        <v>0.38541666666666696</v>
      </c>
      <c r="M767" s="52" t="str">
        <f t="shared" si="880"/>
        <v>1:00</v>
      </c>
      <c r="N767" s="51">
        <f t="shared" si="881"/>
        <v>0.34375000000000028</v>
      </c>
      <c r="O767" s="53" t="str">
        <f t="shared" ref="O767" si="936">+O770</f>
        <v>5-0-2</v>
      </c>
      <c r="P767" s="54">
        <f>+IF(AND(Y767="Domingo",U767=7),_xlfn.XLOOKUP(O767,'Horarios y Sistemas'!C:C,'Horarios y Sistemas'!H:H,0,0,1),0)</f>
        <v>0</v>
      </c>
      <c r="Q767" s="54">
        <f>IF(U767=U768,0,IF(AVERAGEIF(W:W,W767,U:U)=U767,0,_xlfn.XLOOKUP(O767,'Horarios y Sistemas'!C:C,'Horarios y Sistemas'!H:H,0,0,1)-P767))/7*U767</f>
        <v>0</v>
      </c>
      <c r="R767" s="54">
        <f t="shared" si="883"/>
        <v>0</v>
      </c>
      <c r="S767" s="55" t="str">
        <f t="shared" si="884"/>
        <v>SEPTIEMBRE</v>
      </c>
      <c r="T767" s="55" t="str">
        <f t="shared" si="885"/>
        <v>Sem38</v>
      </c>
      <c r="U767" s="56">
        <f t="shared" si="867"/>
        <v>7</v>
      </c>
      <c r="V767" s="59">
        <v>46282</v>
      </c>
      <c r="W767" s="56">
        <f t="shared" si="886"/>
        <v>38</v>
      </c>
      <c r="X767" s="56">
        <f t="shared" si="887"/>
        <v>17</v>
      </c>
      <c r="Y767" s="56" t="s">
        <v>31</v>
      </c>
      <c r="Z767" s="56">
        <v>4</v>
      </c>
      <c r="AA767" s="58">
        <f t="shared" si="898"/>
        <v>1</v>
      </c>
      <c r="AB767" s="58">
        <f t="shared" si="898"/>
        <v>0</v>
      </c>
      <c r="AC767" s="58">
        <f t="shared" si="898"/>
        <v>0</v>
      </c>
      <c r="AD767" s="58">
        <f t="shared" si="898"/>
        <v>0</v>
      </c>
      <c r="AE767" s="58">
        <f t="shared" si="898"/>
        <v>0</v>
      </c>
    </row>
    <row r="768" spans="2:34">
      <c r="B768" t="str">
        <f t="shared" si="874"/>
        <v>Sem3838LÁZARO CHOCHÉ</v>
      </c>
      <c r="C768" t="str">
        <f t="shared" si="875"/>
        <v>SEPTIEMBRESem38</v>
      </c>
      <c r="D768" t="str">
        <f t="shared" si="876"/>
        <v>SEPTIEMBRESem38LÁZARO CHOCHÉ</v>
      </c>
      <c r="E768" t="str">
        <f t="shared" si="877"/>
        <v>SEPTIEMBRESem3838LÁZARO CHOCHÉ</v>
      </c>
      <c r="F768" t="str">
        <f t="shared" si="878"/>
        <v>LÁZARO CHOCHÉ46283</v>
      </c>
      <c r="H768" s="49" t="s">
        <v>265</v>
      </c>
      <c r="I768" s="50" t="str">
        <f>+_xlfn.XLOOKUP($H768&amp;$V768,BASEDATOS!$B:$B,BASEDATOS!F:F,0,0,1)</f>
        <v>DIA</v>
      </c>
      <c r="J768" s="51">
        <f>+_xlfn.XLOOKUP($H768&amp;$V768,BASEDATOS!$B:$B,BASEDATOS!Q:Q,0,0,1)</f>
        <v>0.28125</v>
      </c>
      <c r="K768" s="51">
        <f>+_xlfn.XLOOKUP($H768&amp;$V768,BASEDATOS!$B:$B,BASEDATOS!R:R,0,0,1)</f>
        <v>0.66666666666666696</v>
      </c>
      <c r="L768" s="51">
        <f t="shared" si="879"/>
        <v>0.38541666666666696</v>
      </c>
      <c r="M768" s="52" t="str">
        <f t="shared" si="880"/>
        <v>1:00</v>
      </c>
      <c r="N768" s="51">
        <f t="shared" si="881"/>
        <v>0.34375000000000028</v>
      </c>
      <c r="O768" s="53" t="str">
        <f t="shared" ref="O768" si="937">+O770</f>
        <v>5-0-2</v>
      </c>
      <c r="P768" s="54">
        <f>+IF(AND(Y768="Domingo",U768=7),_xlfn.XLOOKUP(O768,'Horarios y Sistemas'!C:C,'Horarios y Sistemas'!H:H,0,0,1),0)</f>
        <v>0</v>
      </c>
      <c r="Q768" s="54">
        <f>IF(U768=U769,0,IF(AVERAGEIF(W:W,W768,U:U)=U768,0,_xlfn.XLOOKUP(O768,'Horarios y Sistemas'!C:C,'Horarios y Sistemas'!H:H,0,0,1)-P768))/7*U768</f>
        <v>0</v>
      </c>
      <c r="R768" s="54">
        <f t="shared" si="883"/>
        <v>0</v>
      </c>
      <c r="S768" s="55" t="str">
        <f t="shared" si="884"/>
        <v>SEPTIEMBRE</v>
      </c>
      <c r="T768" s="55" t="str">
        <f t="shared" si="885"/>
        <v>Sem38</v>
      </c>
      <c r="U768" s="56">
        <f t="shared" si="867"/>
        <v>7</v>
      </c>
      <c r="V768" s="59">
        <v>46283</v>
      </c>
      <c r="W768" s="56">
        <f t="shared" si="886"/>
        <v>38</v>
      </c>
      <c r="X768" s="56">
        <f t="shared" si="887"/>
        <v>18</v>
      </c>
      <c r="Y768" s="56" t="s">
        <v>32</v>
      </c>
      <c r="Z768" s="56">
        <v>5</v>
      </c>
      <c r="AA768" s="58">
        <f t="shared" si="898"/>
        <v>1</v>
      </c>
      <c r="AB768" s="58">
        <f t="shared" si="898"/>
        <v>0</v>
      </c>
      <c r="AC768" s="58">
        <f t="shared" si="898"/>
        <v>0</v>
      </c>
      <c r="AD768" s="58">
        <f t="shared" si="898"/>
        <v>0</v>
      </c>
      <c r="AE768" s="58">
        <f t="shared" si="898"/>
        <v>0</v>
      </c>
    </row>
    <row r="769" spans="2:34">
      <c r="B769" t="str">
        <f t="shared" si="874"/>
        <v>Sem3838LÁZARO CHOCHÉ</v>
      </c>
      <c r="C769" t="str">
        <f t="shared" si="875"/>
        <v>SEPTIEMBRESem38</v>
      </c>
      <c r="D769" t="str">
        <f t="shared" si="876"/>
        <v>SEPTIEMBRESem38LÁZARO CHOCHÉ</v>
      </c>
      <c r="E769" t="str">
        <f t="shared" si="877"/>
        <v>SEPTIEMBRESem3838LÁZARO CHOCHÉ</v>
      </c>
      <c r="F769" t="str">
        <f t="shared" si="878"/>
        <v>LÁZARO CHOCHÉ46284</v>
      </c>
      <c r="H769" s="49" t="s">
        <v>265</v>
      </c>
      <c r="I769" s="50" t="str">
        <f>+_xlfn.XLOOKUP($H769&amp;$V769,BASEDATOS!$B:$B,BASEDATOS!F:F,0,0,1)</f>
        <v>DIA</v>
      </c>
      <c r="J769" s="51">
        <f>+_xlfn.XLOOKUP($H769&amp;$V769,BASEDATOS!$B:$B,BASEDATOS!Q:Q,0,0,1)</f>
        <v>0.28125</v>
      </c>
      <c r="K769" s="51">
        <f>+_xlfn.XLOOKUP($H769&amp;$V769,BASEDATOS!$B:$B,BASEDATOS!R:R,0,0,1)</f>
        <v>0.58333333333333304</v>
      </c>
      <c r="L769" s="51">
        <f t="shared" si="879"/>
        <v>0.30208333333333304</v>
      </c>
      <c r="M769" s="52" t="str">
        <f t="shared" si="880"/>
        <v>1:00</v>
      </c>
      <c r="N769" s="51">
        <f t="shared" si="881"/>
        <v>0.26041666666666635</v>
      </c>
      <c r="O769" s="53" t="str">
        <f t="shared" ref="O769" si="938">+O770</f>
        <v>5-0-2</v>
      </c>
      <c r="P769" s="54">
        <f>+IF(AND(Y769="Domingo",U769=7),_xlfn.XLOOKUP(O769,'Horarios y Sistemas'!C:C,'Horarios y Sistemas'!H:H,0,0,1),0)</f>
        <v>0</v>
      </c>
      <c r="Q769" s="54">
        <f>IF(U769=U770,0,IF(AVERAGEIF(W:W,W769,U:U)=U769,0,_xlfn.XLOOKUP(O769,'Horarios y Sistemas'!C:C,'Horarios y Sistemas'!H:H,0,0,1)-P769))/7*U769</f>
        <v>0</v>
      </c>
      <c r="R769" s="54">
        <f t="shared" si="883"/>
        <v>0</v>
      </c>
      <c r="S769" s="55" t="str">
        <f t="shared" si="884"/>
        <v>SEPTIEMBRE</v>
      </c>
      <c r="T769" s="55" t="str">
        <f t="shared" si="885"/>
        <v>Sem38</v>
      </c>
      <c r="U769" s="56">
        <f t="shared" si="867"/>
        <v>7</v>
      </c>
      <c r="V769" s="59">
        <v>46284</v>
      </c>
      <c r="W769" s="56">
        <f t="shared" si="886"/>
        <v>38</v>
      </c>
      <c r="X769" s="56">
        <f t="shared" si="887"/>
        <v>19</v>
      </c>
      <c r="Y769" s="56" t="s">
        <v>33</v>
      </c>
      <c r="Z769" s="56">
        <v>6</v>
      </c>
      <c r="AA769" s="58">
        <f t="shared" si="898"/>
        <v>1</v>
      </c>
      <c r="AB769" s="58">
        <f t="shared" si="898"/>
        <v>0</v>
      </c>
      <c r="AC769" s="58">
        <f t="shared" si="898"/>
        <v>0</v>
      </c>
      <c r="AD769" s="58">
        <f t="shared" si="898"/>
        <v>0</v>
      </c>
      <c r="AE769" s="58">
        <f t="shared" si="898"/>
        <v>0</v>
      </c>
    </row>
    <row r="770" spans="2:34" s="60" customFormat="1">
      <c r="B770" s="60" t="str">
        <f t="shared" si="874"/>
        <v>Sem3838LÁZARO CHOCHÉ</v>
      </c>
      <c r="C770" s="60" t="str">
        <f t="shared" si="875"/>
        <v>SEPTIEMBRESem38</v>
      </c>
      <c r="D770" s="60" t="str">
        <f t="shared" si="876"/>
        <v>SEPTIEMBRESem38LÁZARO CHOCHÉ</v>
      </c>
      <c r="E770" s="60" t="str">
        <f t="shared" si="877"/>
        <v>SEPTIEMBRESem3838LÁZARO CHOCHÉ</v>
      </c>
      <c r="F770" s="60" t="str">
        <f t="shared" si="878"/>
        <v>LÁZARO CHOCHÉ46285</v>
      </c>
      <c r="H770" s="61" t="s">
        <v>265</v>
      </c>
      <c r="I770" s="62" t="str">
        <f>+_xlfn.XLOOKUP($H770&amp;$V770,BASEDATOS!$B:$B,BASEDATOS!F:F,0,0,1)</f>
        <v>DESCANSO</v>
      </c>
      <c r="J770" s="63">
        <f>+_xlfn.XLOOKUP($H770&amp;$V770,BASEDATOS!$B:$B,BASEDATOS!Q:Q,0,0,1)</f>
        <v>0</v>
      </c>
      <c r="K770" s="63">
        <f>+_xlfn.XLOOKUP($H770&amp;$V770,BASEDATOS!$B:$B,BASEDATOS!R:R,0,0,1)</f>
        <v>0</v>
      </c>
      <c r="L770" s="63">
        <f t="shared" si="879"/>
        <v>0</v>
      </c>
      <c r="M770" s="64">
        <f t="shared" si="880"/>
        <v>0</v>
      </c>
      <c r="N770" s="63">
        <f t="shared" si="881"/>
        <v>0</v>
      </c>
      <c r="O770" s="65" t="str">
        <f t="shared" ref="O770" si="939">+IF(Y770="Domingo",SUM(AA764:AA770)&amp;"-"&amp;SUM(AB764:AB770)&amp;"-"&amp;SUM(AC764:AE770),"")</f>
        <v>5-0-2</v>
      </c>
      <c r="P770" s="66">
        <f>+IF(AND(Y770="Domingo",U770=7),_xlfn.XLOOKUP(O770,'Horarios y Sistemas'!C:C,'Horarios y Sistemas'!H:H,0,0,1),0)</f>
        <v>44</v>
      </c>
      <c r="Q770" s="66">
        <f>IF(U770=U771,0,IF(AVERAGEIF(W:W,W770,U:U)=U770,0,_xlfn.XLOOKUP(O770,'Horarios y Sistemas'!C:C,'Horarios y Sistemas'!H:H,0,0,1)-P770))/7*U770</f>
        <v>0</v>
      </c>
      <c r="R770" s="66">
        <f t="shared" si="883"/>
        <v>44</v>
      </c>
      <c r="S770" s="67" t="str">
        <f t="shared" si="884"/>
        <v>SEPTIEMBRE</v>
      </c>
      <c r="T770" s="55" t="str">
        <f t="shared" si="885"/>
        <v>Sem38</v>
      </c>
      <c r="U770" s="68">
        <f t="shared" si="867"/>
        <v>7</v>
      </c>
      <c r="V770" s="69">
        <v>46285</v>
      </c>
      <c r="W770" s="68">
        <f t="shared" si="886"/>
        <v>38</v>
      </c>
      <c r="X770" s="68">
        <f t="shared" si="887"/>
        <v>20</v>
      </c>
      <c r="Y770" s="68" t="s">
        <v>34</v>
      </c>
      <c r="Z770" s="68">
        <v>7</v>
      </c>
      <c r="AA770" s="70">
        <f t="shared" si="898"/>
        <v>0</v>
      </c>
      <c r="AB770" s="70">
        <f t="shared" si="898"/>
        <v>0</v>
      </c>
      <c r="AC770" s="70">
        <f t="shared" si="898"/>
        <v>1</v>
      </c>
      <c r="AD770" s="70">
        <f t="shared" si="898"/>
        <v>0</v>
      </c>
      <c r="AE770" s="70">
        <f t="shared" si="898"/>
        <v>0</v>
      </c>
      <c r="AF770" s="71"/>
      <c r="AG770" s="71"/>
      <c r="AH770" s="71"/>
    </row>
    <row r="771" spans="2:34">
      <c r="B771" t="str">
        <f t="shared" si="874"/>
        <v>Sem3939LÁZARO CHOCHÉ</v>
      </c>
      <c r="C771" t="str">
        <f t="shared" si="875"/>
        <v>SEPTIEMBRESem39</v>
      </c>
      <c r="D771" t="str">
        <f t="shared" si="876"/>
        <v>SEPTIEMBRESem39LÁZARO CHOCHÉ</v>
      </c>
      <c r="E771" t="str">
        <f t="shared" si="877"/>
        <v>SEPTIEMBRESem3939LÁZARO CHOCHÉ</v>
      </c>
      <c r="F771" t="str">
        <f t="shared" si="878"/>
        <v>LÁZARO CHOCHÉ46286</v>
      </c>
      <c r="H771" s="49" t="s">
        <v>265</v>
      </c>
      <c r="I771" s="50" t="str">
        <f>+_xlfn.XLOOKUP($H771&amp;$V771,BASEDATOS!$B:$B,BASEDATOS!F:F,0,0,1)</f>
        <v>DIA</v>
      </c>
      <c r="J771" s="51">
        <f>+_xlfn.XLOOKUP($H771&amp;$V771,BASEDATOS!$B:$B,BASEDATOS!Q:Q,0,0,1)</f>
        <v>0.23958333333333301</v>
      </c>
      <c r="K771" s="51">
        <f>+_xlfn.XLOOKUP($H771&amp;$V771,BASEDATOS!$B:$B,BASEDATOS!R:R,0,0,1)</f>
        <v>0.75</v>
      </c>
      <c r="L771" s="51">
        <f t="shared" si="879"/>
        <v>0.51041666666666696</v>
      </c>
      <c r="M771" s="52" t="str">
        <f t="shared" si="880"/>
        <v>1:00</v>
      </c>
      <c r="N771" s="51">
        <f t="shared" si="881"/>
        <v>0.46875000000000028</v>
      </c>
      <c r="O771" s="53" t="str">
        <f t="shared" ref="O771" si="940">+O777</f>
        <v>6-0-1</v>
      </c>
      <c r="P771" s="54">
        <f>+IF(AND(Y771="Domingo",U771=7),_xlfn.XLOOKUP(O771,'Horarios y Sistemas'!C:C,'Horarios y Sistemas'!H:H,0,0,1),0)</f>
        <v>0</v>
      </c>
      <c r="Q771" s="54">
        <f>IF(U771=U772,0,IF(AVERAGEIF(W:W,W771,U:U)=U771,0,_xlfn.XLOOKUP(O771,'Horarios y Sistemas'!C:C,'Horarios y Sistemas'!H:H,0,0,1)-P771))/7*U771</f>
        <v>0</v>
      </c>
      <c r="R771" s="54">
        <f t="shared" si="883"/>
        <v>0</v>
      </c>
      <c r="S771" s="55" t="str">
        <f t="shared" si="884"/>
        <v>SEPTIEMBRE</v>
      </c>
      <c r="T771" s="55" t="str">
        <f t="shared" si="885"/>
        <v>Sem39</v>
      </c>
      <c r="U771" s="56">
        <f t="shared" si="867"/>
        <v>7</v>
      </c>
      <c r="V771" s="57">
        <v>46286</v>
      </c>
      <c r="W771" s="56">
        <f t="shared" si="886"/>
        <v>39</v>
      </c>
      <c r="X771" s="56">
        <f t="shared" si="887"/>
        <v>21</v>
      </c>
      <c r="Y771" s="56" t="s">
        <v>28</v>
      </c>
      <c r="Z771" s="56">
        <v>1</v>
      </c>
      <c r="AA771" s="58">
        <f t="shared" si="898"/>
        <v>1</v>
      </c>
      <c r="AB771" s="58">
        <f t="shared" si="898"/>
        <v>0</v>
      </c>
      <c r="AC771" s="58">
        <f t="shared" si="898"/>
        <v>0</v>
      </c>
      <c r="AD771" s="58">
        <f t="shared" si="898"/>
        <v>0</v>
      </c>
      <c r="AE771" s="58">
        <f t="shared" si="898"/>
        <v>0</v>
      </c>
    </row>
    <row r="772" spans="2:34">
      <c r="B772" t="str">
        <f t="shared" si="874"/>
        <v>Sem3939LÁZARO CHOCHÉ</v>
      </c>
      <c r="C772" t="str">
        <f t="shared" si="875"/>
        <v>SEPTIEMBRESem39</v>
      </c>
      <c r="D772" t="str">
        <f t="shared" si="876"/>
        <v>SEPTIEMBRESem39LÁZARO CHOCHÉ</v>
      </c>
      <c r="E772" t="str">
        <f t="shared" si="877"/>
        <v>SEPTIEMBRESem3939LÁZARO CHOCHÉ</v>
      </c>
      <c r="F772" t="str">
        <f t="shared" si="878"/>
        <v>LÁZARO CHOCHÉ46287</v>
      </c>
      <c r="H772" s="49" t="s">
        <v>265</v>
      </c>
      <c r="I772" s="50" t="str">
        <f>+_xlfn.XLOOKUP($H772&amp;$V772,BASEDATOS!$B:$B,BASEDATOS!F:F,0,0,1)</f>
        <v>DIA</v>
      </c>
      <c r="J772" s="51">
        <f>+_xlfn.XLOOKUP($H772&amp;$V772,BASEDATOS!$B:$B,BASEDATOS!Q:Q,0,0,1)</f>
        <v>0.23958333333333301</v>
      </c>
      <c r="K772" s="51">
        <f>+_xlfn.XLOOKUP($H772&amp;$V772,BASEDATOS!$B:$B,BASEDATOS!R:R,0,0,1)</f>
        <v>0.75</v>
      </c>
      <c r="L772" s="51">
        <f t="shared" si="879"/>
        <v>0.51041666666666696</v>
      </c>
      <c r="M772" s="52" t="str">
        <f t="shared" si="880"/>
        <v>1:00</v>
      </c>
      <c r="N772" s="51">
        <f t="shared" si="881"/>
        <v>0.46875000000000028</v>
      </c>
      <c r="O772" s="53" t="str">
        <f t="shared" ref="O772" si="941">+O777</f>
        <v>6-0-1</v>
      </c>
      <c r="P772" s="54">
        <f>+IF(AND(Y772="Domingo",U772=7),_xlfn.XLOOKUP(O772,'Horarios y Sistemas'!C:C,'Horarios y Sistemas'!H:H,0,0,1),0)</f>
        <v>0</v>
      </c>
      <c r="Q772" s="54">
        <f>IF(U772=U773,0,IF(AVERAGEIF(W:W,W772,U:U)=U772,0,_xlfn.XLOOKUP(O772,'Horarios y Sistemas'!C:C,'Horarios y Sistemas'!H:H,0,0,1)-P772))/7*U772</f>
        <v>0</v>
      </c>
      <c r="R772" s="54">
        <f t="shared" si="883"/>
        <v>0</v>
      </c>
      <c r="S772" s="55" t="str">
        <f t="shared" si="884"/>
        <v>SEPTIEMBRE</v>
      </c>
      <c r="T772" s="55" t="str">
        <f t="shared" si="885"/>
        <v>Sem39</v>
      </c>
      <c r="U772" s="56">
        <f t="shared" si="867"/>
        <v>7</v>
      </c>
      <c r="V772" s="59">
        <v>46287</v>
      </c>
      <c r="W772" s="56">
        <f t="shared" si="886"/>
        <v>39</v>
      </c>
      <c r="X772" s="56">
        <f t="shared" si="887"/>
        <v>22</v>
      </c>
      <c r="Y772" s="56" t="s">
        <v>29</v>
      </c>
      <c r="Z772" s="56">
        <v>2</v>
      </c>
      <c r="AA772" s="58">
        <f t="shared" si="898"/>
        <v>1</v>
      </c>
      <c r="AB772" s="58">
        <f t="shared" si="898"/>
        <v>0</v>
      </c>
      <c r="AC772" s="58">
        <f t="shared" si="898"/>
        <v>0</v>
      </c>
      <c r="AD772" s="58">
        <f t="shared" si="898"/>
        <v>0</v>
      </c>
      <c r="AE772" s="58">
        <f t="shared" si="898"/>
        <v>0</v>
      </c>
    </row>
    <row r="773" spans="2:34">
      <c r="B773" t="str">
        <f t="shared" si="874"/>
        <v>Sem3939LÁZARO CHOCHÉ</v>
      </c>
      <c r="C773" t="str">
        <f t="shared" si="875"/>
        <v>SEPTIEMBRESem39</v>
      </c>
      <c r="D773" t="str">
        <f t="shared" si="876"/>
        <v>SEPTIEMBRESem39LÁZARO CHOCHÉ</v>
      </c>
      <c r="E773" t="str">
        <f t="shared" si="877"/>
        <v>SEPTIEMBRESem3939LÁZARO CHOCHÉ</v>
      </c>
      <c r="F773" t="str">
        <f t="shared" si="878"/>
        <v>LÁZARO CHOCHÉ46288</v>
      </c>
      <c r="H773" s="49" t="s">
        <v>265</v>
      </c>
      <c r="I773" s="50" t="str">
        <f>+_xlfn.XLOOKUP($H773&amp;$V773,BASEDATOS!$B:$B,BASEDATOS!F:F,0,0,1)</f>
        <v>DIA</v>
      </c>
      <c r="J773" s="51">
        <f>+_xlfn.XLOOKUP($H773&amp;$V773,BASEDATOS!$B:$B,BASEDATOS!Q:Q,0,0,1)</f>
        <v>0.23958333333333301</v>
      </c>
      <c r="K773" s="51">
        <f>+_xlfn.XLOOKUP($H773&amp;$V773,BASEDATOS!$B:$B,BASEDATOS!R:R,0,0,1)</f>
        <v>0.75</v>
      </c>
      <c r="L773" s="51">
        <f t="shared" si="879"/>
        <v>0.51041666666666696</v>
      </c>
      <c r="M773" s="52" t="str">
        <f t="shared" si="880"/>
        <v>1:00</v>
      </c>
      <c r="N773" s="51">
        <f t="shared" si="881"/>
        <v>0.46875000000000028</v>
      </c>
      <c r="O773" s="53" t="str">
        <f t="shared" ref="O773" si="942">+O777</f>
        <v>6-0-1</v>
      </c>
      <c r="P773" s="54">
        <f>+IF(AND(Y773="Domingo",U773=7),_xlfn.XLOOKUP(O773,'Horarios y Sistemas'!C:C,'Horarios y Sistemas'!H:H,0,0,1),0)</f>
        <v>0</v>
      </c>
      <c r="Q773" s="54">
        <f>IF(U773=U774,0,IF(AVERAGEIF(W:W,W773,U:U)=U773,0,_xlfn.XLOOKUP(O773,'Horarios y Sistemas'!C:C,'Horarios y Sistemas'!H:H,0,0,1)-P773))/7*U773</f>
        <v>0</v>
      </c>
      <c r="R773" s="54">
        <f t="shared" si="883"/>
        <v>0</v>
      </c>
      <c r="S773" s="55" t="str">
        <f t="shared" si="884"/>
        <v>SEPTIEMBRE</v>
      </c>
      <c r="T773" s="55" t="str">
        <f t="shared" si="885"/>
        <v>Sem39</v>
      </c>
      <c r="U773" s="56">
        <f t="shared" si="867"/>
        <v>7</v>
      </c>
      <c r="V773" s="59">
        <v>46288</v>
      </c>
      <c r="W773" s="56">
        <f t="shared" si="886"/>
        <v>39</v>
      </c>
      <c r="X773" s="56">
        <f t="shared" si="887"/>
        <v>23</v>
      </c>
      <c r="Y773" s="56" t="s">
        <v>30</v>
      </c>
      <c r="Z773" s="56">
        <v>3</v>
      </c>
      <c r="AA773" s="58">
        <f t="shared" si="898"/>
        <v>1</v>
      </c>
      <c r="AB773" s="58">
        <f t="shared" si="898"/>
        <v>0</v>
      </c>
      <c r="AC773" s="58">
        <f t="shared" si="898"/>
        <v>0</v>
      </c>
      <c r="AD773" s="58">
        <f t="shared" si="898"/>
        <v>0</v>
      </c>
      <c r="AE773" s="58">
        <f t="shared" si="898"/>
        <v>0</v>
      </c>
    </row>
    <row r="774" spans="2:34">
      <c r="B774" t="str">
        <f t="shared" si="874"/>
        <v>Sem3939LÁZARO CHOCHÉ</v>
      </c>
      <c r="C774" t="str">
        <f t="shared" si="875"/>
        <v>SEPTIEMBRESem39</v>
      </c>
      <c r="D774" t="str">
        <f t="shared" si="876"/>
        <v>SEPTIEMBRESem39LÁZARO CHOCHÉ</v>
      </c>
      <c r="E774" t="str">
        <f t="shared" si="877"/>
        <v>SEPTIEMBRESem3939LÁZARO CHOCHÉ</v>
      </c>
      <c r="F774" t="str">
        <f t="shared" si="878"/>
        <v>LÁZARO CHOCHÉ46289</v>
      </c>
      <c r="H774" s="49" t="s">
        <v>265</v>
      </c>
      <c r="I774" s="50" t="str">
        <f>+_xlfn.XLOOKUP($H774&amp;$V774,BASEDATOS!$B:$B,BASEDATOS!F:F,0,0,1)</f>
        <v>DIA</v>
      </c>
      <c r="J774" s="51">
        <f>+_xlfn.XLOOKUP($H774&amp;$V774,BASEDATOS!$B:$B,BASEDATOS!Q:Q,0,0,1)</f>
        <v>0.23958333333333301</v>
      </c>
      <c r="K774" s="51">
        <f>+_xlfn.XLOOKUP($H774&amp;$V774,BASEDATOS!$B:$B,BASEDATOS!R:R,0,0,1)</f>
        <v>0.75</v>
      </c>
      <c r="L774" s="51">
        <f t="shared" si="879"/>
        <v>0.51041666666666696</v>
      </c>
      <c r="M774" s="52" t="str">
        <f t="shared" si="880"/>
        <v>1:00</v>
      </c>
      <c r="N774" s="51">
        <f t="shared" si="881"/>
        <v>0.46875000000000028</v>
      </c>
      <c r="O774" s="53" t="str">
        <f t="shared" ref="O774" si="943">+O777</f>
        <v>6-0-1</v>
      </c>
      <c r="P774" s="54">
        <f>+IF(AND(Y774="Domingo",U774=7),_xlfn.XLOOKUP(O774,'Horarios y Sistemas'!C:C,'Horarios y Sistemas'!H:H,0,0,1),0)</f>
        <v>0</v>
      </c>
      <c r="Q774" s="54">
        <f>IF(U774=U775,0,IF(AVERAGEIF(W:W,W774,U:U)=U774,0,_xlfn.XLOOKUP(O774,'Horarios y Sistemas'!C:C,'Horarios y Sistemas'!H:H,0,0,1)-P774))/7*U774</f>
        <v>0</v>
      </c>
      <c r="R774" s="54">
        <f t="shared" si="883"/>
        <v>0</v>
      </c>
      <c r="S774" s="55" t="str">
        <f t="shared" si="884"/>
        <v>SEPTIEMBRE</v>
      </c>
      <c r="T774" s="55" t="str">
        <f t="shared" si="885"/>
        <v>Sem39</v>
      </c>
      <c r="U774" s="56">
        <f t="shared" si="867"/>
        <v>7</v>
      </c>
      <c r="V774" s="59">
        <v>46289</v>
      </c>
      <c r="W774" s="56">
        <f t="shared" si="886"/>
        <v>39</v>
      </c>
      <c r="X774" s="56">
        <f t="shared" si="887"/>
        <v>24</v>
      </c>
      <c r="Y774" s="56" t="s">
        <v>31</v>
      </c>
      <c r="Z774" s="56">
        <v>4</v>
      </c>
      <c r="AA774" s="58">
        <f t="shared" si="898"/>
        <v>1</v>
      </c>
      <c r="AB774" s="58">
        <f t="shared" si="898"/>
        <v>0</v>
      </c>
      <c r="AC774" s="58">
        <f t="shared" si="898"/>
        <v>0</v>
      </c>
      <c r="AD774" s="58">
        <f t="shared" si="898"/>
        <v>0</v>
      </c>
      <c r="AE774" s="58">
        <f t="shared" si="898"/>
        <v>0</v>
      </c>
    </row>
    <row r="775" spans="2:34">
      <c r="B775" t="str">
        <f t="shared" si="874"/>
        <v>Sem3939LÁZARO CHOCHÉ</v>
      </c>
      <c r="C775" t="str">
        <f t="shared" si="875"/>
        <v>SEPTIEMBRESem39</v>
      </c>
      <c r="D775" t="str">
        <f t="shared" si="876"/>
        <v>SEPTIEMBRESem39LÁZARO CHOCHÉ</v>
      </c>
      <c r="E775" t="str">
        <f t="shared" si="877"/>
        <v>SEPTIEMBRESem3939LÁZARO CHOCHÉ</v>
      </c>
      <c r="F775" t="str">
        <f t="shared" si="878"/>
        <v>LÁZARO CHOCHÉ46290</v>
      </c>
      <c r="H775" s="49" t="s">
        <v>265</v>
      </c>
      <c r="I775" s="50" t="str">
        <f>+_xlfn.XLOOKUP($H775&amp;$V775,BASEDATOS!$B:$B,BASEDATOS!F:F,0,0,1)</f>
        <v>DIA</v>
      </c>
      <c r="J775" s="51">
        <f>+_xlfn.XLOOKUP($H775&amp;$V775,BASEDATOS!$B:$B,BASEDATOS!Q:Q,0,0,1)</f>
        <v>0.23958333333333301</v>
      </c>
      <c r="K775" s="51">
        <f>+_xlfn.XLOOKUP($H775&amp;$V775,BASEDATOS!$B:$B,BASEDATOS!R:R,0,0,1)</f>
        <v>0.75</v>
      </c>
      <c r="L775" s="51">
        <f t="shared" si="879"/>
        <v>0.51041666666666696</v>
      </c>
      <c r="M775" s="52" t="str">
        <f t="shared" si="880"/>
        <v>1:00</v>
      </c>
      <c r="N775" s="51">
        <f t="shared" si="881"/>
        <v>0.46875000000000028</v>
      </c>
      <c r="O775" s="53" t="str">
        <f t="shared" ref="O775" si="944">+O777</f>
        <v>6-0-1</v>
      </c>
      <c r="P775" s="54">
        <f>+IF(AND(Y775="Domingo",U775=7),_xlfn.XLOOKUP(O775,'Horarios y Sistemas'!C:C,'Horarios y Sistemas'!H:H,0,0,1),0)</f>
        <v>0</v>
      </c>
      <c r="Q775" s="54">
        <f>IF(U775=U776,0,IF(AVERAGEIF(W:W,W775,U:U)=U775,0,_xlfn.XLOOKUP(O775,'Horarios y Sistemas'!C:C,'Horarios y Sistemas'!H:H,0,0,1)-P775))/7*U775</f>
        <v>0</v>
      </c>
      <c r="R775" s="54">
        <f t="shared" si="883"/>
        <v>0</v>
      </c>
      <c r="S775" s="55" t="str">
        <f t="shared" si="884"/>
        <v>SEPTIEMBRE</v>
      </c>
      <c r="T775" s="55" t="str">
        <f t="shared" si="885"/>
        <v>Sem39</v>
      </c>
      <c r="U775" s="56">
        <f t="shared" si="867"/>
        <v>7</v>
      </c>
      <c r="V775" s="59">
        <v>46290</v>
      </c>
      <c r="W775" s="56">
        <f t="shared" si="886"/>
        <v>39</v>
      </c>
      <c r="X775" s="56">
        <f t="shared" si="887"/>
        <v>25</v>
      </c>
      <c r="Y775" s="56" t="s">
        <v>32</v>
      </c>
      <c r="Z775" s="56">
        <v>5</v>
      </c>
      <c r="AA775" s="58">
        <f t="shared" si="898"/>
        <v>1</v>
      </c>
      <c r="AB775" s="58">
        <f t="shared" si="898"/>
        <v>0</v>
      </c>
      <c r="AC775" s="58">
        <f t="shared" si="898"/>
        <v>0</v>
      </c>
      <c r="AD775" s="58">
        <f t="shared" si="898"/>
        <v>0</v>
      </c>
      <c r="AE775" s="58">
        <f t="shared" si="898"/>
        <v>0</v>
      </c>
    </row>
    <row r="776" spans="2:34">
      <c r="B776" t="str">
        <f t="shared" si="874"/>
        <v>Sem3939LÁZARO CHOCHÉ</v>
      </c>
      <c r="C776" t="str">
        <f t="shared" si="875"/>
        <v>SEPTIEMBRESem39</v>
      </c>
      <c r="D776" t="str">
        <f t="shared" si="876"/>
        <v>SEPTIEMBRESem39LÁZARO CHOCHÉ</v>
      </c>
      <c r="E776" t="str">
        <f t="shared" si="877"/>
        <v>SEPTIEMBRESem3939LÁZARO CHOCHÉ</v>
      </c>
      <c r="F776" t="str">
        <f t="shared" si="878"/>
        <v>LÁZARO CHOCHÉ46291</v>
      </c>
      <c r="H776" s="49" t="s">
        <v>265</v>
      </c>
      <c r="I776" s="50" t="str">
        <f>+_xlfn.XLOOKUP($H776&amp;$V776,BASEDATOS!$B:$B,BASEDATOS!F:F,0,0,1)</f>
        <v>DIA</v>
      </c>
      <c r="J776" s="51">
        <f>+_xlfn.XLOOKUP($H776&amp;$V776,BASEDATOS!$B:$B,BASEDATOS!Q:Q,0,0,1)</f>
        <v>0.23958333333333301</v>
      </c>
      <c r="K776" s="51">
        <f>+_xlfn.XLOOKUP($H776&amp;$V776,BASEDATOS!$B:$B,BASEDATOS!R:R,0,0,1)</f>
        <v>0.58333333333333304</v>
      </c>
      <c r="L776" s="51">
        <f t="shared" si="879"/>
        <v>0.34375</v>
      </c>
      <c r="M776" s="52" t="str">
        <f t="shared" si="880"/>
        <v>1:00</v>
      </c>
      <c r="N776" s="51">
        <f t="shared" si="881"/>
        <v>0.30208333333333331</v>
      </c>
      <c r="O776" s="53" t="str">
        <f t="shared" ref="O776" si="945">+O777</f>
        <v>6-0-1</v>
      </c>
      <c r="P776" s="54">
        <f>+IF(AND(Y776="Domingo",U776=7),_xlfn.XLOOKUP(O776,'Horarios y Sistemas'!C:C,'Horarios y Sistemas'!H:H,0,0,1),0)</f>
        <v>0</v>
      </c>
      <c r="Q776" s="54">
        <f>IF(U776=U777,0,IF(AVERAGEIF(W:W,W776,U:U)=U776,0,_xlfn.XLOOKUP(O776,'Horarios y Sistemas'!C:C,'Horarios y Sistemas'!H:H,0,0,1)-P776))/7*U776</f>
        <v>0</v>
      </c>
      <c r="R776" s="54">
        <f t="shared" si="883"/>
        <v>0</v>
      </c>
      <c r="S776" s="55" t="str">
        <f t="shared" si="884"/>
        <v>SEPTIEMBRE</v>
      </c>
      <c r="T776" s="55" t="str">
        <f t="shared" si="885"/>
        <v>Sem39</v>
      </c>
      <c r="U776" s="56">
        <f t="shared" ref="U776:U839" si="946">+COUNTIF(B:B,B776)</f>
        <v>7</v>
      </c>
      <c r="V776" s="59">
        <v>46291</v>
      </c>
      <c r="W776" s="56">
        <f t="shared" si="886"/>
        <v>39</v>
      </c>
      <c r="X776" s="56">
        <f t="shared" si="887"/>
        <v>26</v>
      </c>
      <c r="Y776" s="56" t="s">
        <v>33</v>
      </c>
      <c r="Z776" s="56">
        <v>6</v>
      </c>
      <c r="AA776" s="58">
        <f t="shared" si="898"/>
        <v>1</v>
      </c>
      <c r="AB776" s="58">
        <f t="shared" si="898"/>
        <v>0</v>
      </c>
      <c r="AC776" s="58">
        <f t="shared" si="898"/>
        <v>0</v>
      </c>
      <c r="AD776" s="58">
        <f t="shared" si="898"/>
        <v>0</v>
      </c>
      <c r="AE776" s="58">
        <f t="shared" si="898"/>
        <v>0</v>
      </c>
    </row>
    <row r="777" spans="2:34" s="60" customFormat="1">
      <c r="B777" s="60" t="str">
        <f t="shared" si="874"/>
        <v>Sem3939LÁZARO CHOCHÉ</v>
      </c>
      <c r="C777" s="60" t="str">
        <f t="shared" si="875"/>
        <v>SEPTIEMBRESem39</v>
      </c>
      <c r="D777" s="60" t="str">
        <f t="shared" si="876"/>
        <v>SEPTIEMBRESem39LÁZARO CHOCHÉ</v>
      </c>
      <c r="E777" s="60" t="str">
        <f t="shared" si="877"/>
        <v>SEPTIEMBRESem3939LÁZARO CHOCHÉ</v>
      </c>
      <c r="F777" s="60" t="str">
        <f t="shared" si="878"/>
        <v>LÁZARO CHOCHÉ46292</v>
      </c>
      <c r="H777" s="61" t="s">
        <v>265</v>
      </c>
      <c r="I777" s="62" t="str">
        <f>+_xlfn.XLOOKUP($H777&amp;$V777,BASEDATOS!$B:$B,BASEDATOS!F:F,0,0,1)</f>
        <v>DESCANSO</v>
      </c>
      <c r="J777" s="63">
        <f>+_xlfn.XLOOKUP($H777&amp;$V777,BASEDATOS!$B:$B,BASEDATOS!Q:Q,0,0,1)</f>
        <v>0</v>
      </c>
      <c r="K777" s="63">
        <f>+_xlfn.XLOOKUP($H777&amp;$V777,BASEDATOS!$B:$B,BASEDATOS!R:R,0,0,1)</f>
        <v>0</v>
      </c>
      <c r="L777" s="63">
        <f t="shared" si="879"/>
        <v>0</v>
      </c>
      <c r="M777" s="64">
        <f t="shared" si="880"/>
        <v>0</v>
      </c>
      <c r="N777" s="63">
        <f t="shared" si="881"/>
        <v>0</v>
      </c>
      <c r="O777" s="65" t="str">
        <f t="shared" ref="O777" si="947">+IF(Y777="Domingo",SUM(AA771:AA777)&amp;"-"&amp;SUM(AB771:AB777)&amp;"-"&amp;SUM(AC771:AE777),"")</f>
        <v>6-0-1</v>
      </c>
      <c r="P777" s="66">
        <f>+IF(AND(Y777="Domingo",U777=7),_xlfn.XLOOKUP(O777,'Horarios y Sistemas'!C:C,'Horarios y Sistemas'!H:H,0,0,1),0)</f>
        <v>44</v>
      </c>
      <c r="Q777" s="66">
        <f>IF(U777=U778,0,IF(AVERAGEIF(W:W,W777,U:U)=U777,0,_xlfn.XLOOKUP(O777,'Horarios y Sistemas'!C:C,'Horarios y Sistemas'!H:H,0,0,1)-P777))/7*U777</f>
        <v>0</v>
      </c>
      <c r="R777" s="66">
        <f t="shared" si="883"/>
        <v>44</v>
      </c>
      <c r="S777" s="67" t="str">
        <f t="shared" si="884"/>
        <v>SEPTIEMBRE</v>
      </c>
      <c r="T777" s="55" t="str">
        <f t="shared" si="885"/>
        <v>Sem39</v>
      </c>
      <c r="U777" s="68">
        <f t="shared" si="946"/>
        <v>7</v>
      </c>
      <c r="V777" s="69">
        <v>46292</v>
      </c>
      <c r="W777" s="68">
        <f t="shared" si="886"/>
        <v>39</v>
      </c>
      <c r="X777" s="68">
        <f t="shared" si="887"/>
        <v>27</v>
      </c>
      <c r="Y777" s="68" t="s">
        <v>34</v>
      </c>
      <c r="Z777" s="68">
        <v>7</v>
      </c>
      <c r="AA777" s="70">
        <f t="shared" si="898"/>
        <v>0</v>
      </c>
      <c r="AB777" s="70">
        <f t="shared" si="898"/>
        <v>0</v>
      </c>
      <c r="AC777" s="70">
        <f t="shared" si="898"/>
        <v>1</v>
      </c>
      <c r="AD777" s="70">
        <f t="shared" si="898"/>
        <v>0</v>
      </c>
      <c r="AE777" s="70">
        <f t="shared" si="898"/>
        <v>0</v>
      </c>
      <c r="AF777" s="71"/>
      <c r="AG777" s="71"/>
      <c r="AH777" s="71"/>
    </row>
    <row r="778" spans="2:34">
      <c r="B778" t="str">
        <f t="shared" si="874"/>
        <v>Sem4040LÁZARO CHOCHÉ</v>
      </c>
      <c r="C778" t="str">
        <f t="shared" si="875"/>
        <v>SEPTIEMBRESem40</v>
      </c>
      <c r="D778" t="str">
        <f t="shared" si="876"/>
        <v>SEPTIEMBRESem40LÁZARO CHOCHÉ</v>
      </c>
      <c r="E778" t="str">
        <f t="shared" si="877"/>
        <v>SEPTIEMBRESem4040LÁZARO CHOCHÉ</v>
      </c>
      <c r="F778" t="str">
        <f t="shared" si="878"/>
        <v>LÁZARO CHOCHÉ46293</v>
      </c>
      <c r="H778" s="49" t="s">
        <v>265</v>
      </c>
      <c r="I778" s="50" t="str">
        <f>+_xlfn.XLOOKUP($H778&amp;$V778,BASEDATOS!$B:$B,BASEDATOS!F:F,0,0,1)</f>
        <v>DIA</v>
      </c>
      <c r="J778" s="51">
        <f>+_xlfn.XLOOKUP($H778&amp;$V778,BASEDATOS!$B:$B,BASEDATOS!Q:Q,0,0,1)</f>
        <v>0.25</v>
      </c>
      <c r="K778" s="51">
        <f>+_xlfn.XLOOKUP($H778&amp;$V778,BASEDATOS!$B:$B,BASEDATOS!R:R,0,0,1)</f>
        <v>0.75</v>
      </c>
      <c r="L778" s="51">
        <f t="shared" si="879"/>
        <v>0.5</v>
      </c>
      <c r="M778" s="52" t="str">
        <f t="shared" si="880"/>
        <v>1:00</v>
      </c>
      <c r="N778" s="51">
        <f t="shared" si="881"/>
        <v>0.45833333333333331</v>
      </c>
      <c r="O778" s="53" t="str">
        <f t="shared" ref="O778" si="948">+O784</f>
        <v>6-0-1</v>
      </c>
      <c r="P778" s="54">
        <f>+IF(AND(Y778="Domingo",U778=7),_xlfn.XLOOKUP(O778,'Horarios y Sistemas'!C:C,'Horarios y Sistemas'!H:H,0,0,1),0)</f>
        <v>0</v>
      </c>
      <c r="Q778" s="54">
        <f>IF(U778=U779,0,IF(AVERAGEIF(W:W,W778,U:U)=U778,0,_xlfn.XLOOKUP(O778,'Horarios y Sistemas'!C:C,'Horarios y Sistemas'!H:H,0,0,1)-P778))/7*U778</f>
        <v>0</v>
      </c>
      <c r="R778" s="54">
        <f t="shared" si="883"/>
        <v>0</v>
      </c>
      <c r="S778" s="55" t="str">
        <f t="shared" si="884"/>
        <v>SEPTIEMBRE</v>
      </c>
      <c r="T778" s="55" t="str">
        <f t="shared" si="885"/>
        <v>Sem40</v>
      </c>
      <c r="U778" s="56">
        <f t="shared" si="946"/>
        <v>7</v>
      </c>
      <c r="V778" s="59">
        <v>46293</v>
      </c>
      <c r="W778" s="56">
        <f t="shared" si="886"/>
        <v>40</v>
      </c>
      <c r="X778" s="56">
        <f t="shared" si="887"/>
        <v>28</v>
      </c>
      <c r="Y778" s="56" t="s">
        <v>28</v>
      </c>
      <c r="Z778" s="56">
        <v>1</v>
      </c>
      <c r="AA778" s="58">
        <f t="shared" si="898"/>
        <v>1</v>
      </c>
      <c r="AB778" s="58">
        <f t="shared" si="898"/>
        <v>0</v>
      </c>
      <c r="AC778" s="58">
        <f t="shared" si="898"/>
        <v>0</v>
      </c>
      <c r="AD778" s="58">
        <f t="shared" si="898"/>
        <v>0</v>
      </c>
      <c r="AE778" s="58">
        <f t="shared" si="898"/>
        <v>0</v>
      </c>
    </row>
    <row r="779" spans="2:34">
      <c r="B779" t="str">
        <f t="shared" si="874"/>
        <v>Sem4040LÁZARO CHOCHÉ</v>
      </c>
      <c r="C779" t="str">
        <f t="shared" si="875"/>
        <v>SEPTIEMBRESem40</v>
      </c>
      <c r="D779" t="str">
        <f t="shared" si="876"/>
        <v>SEPTIEMBRESem40LÁZARO CHOCHÉ</v>
      </c>
      <c r="E779" t="str">
        <f t="shared" si="877"/>
        <v>SEPTIEMBRESem4040LÁZARO CHOCHÉ</v>
      </c>
      <c r="F779" t="str">
        <f t="shared" si="878"/>
        <v>LÁZARO CHOCHÉ46294</v>
      </c>
      <c r="H779" s="49" t="s">
        <v>265</v>
      </c>
      <c r="I779" s="50" t="str">
        <f>+_xlfn.XLOOKUP($H779&amp;$V779,BASEDATOS!$B:$B,BASEDATOS!F:F,0,0,1)</f>
        <v>DIA</v>
      </c>
      <c r="J779" s="51">
        <f>+_xlfn.XLOOKUP($H779&amp;$V779,BASEDATOS!$B:$B,BASEDATOS!Q:Q,0,0,1)</f>
        <v>0.25</v>
      </c>
      <c r="K779" s="51">
        <f>+_xlfn.XLOOKUP($H779&amp;$V779,BASEDATOS!$B:$B,BASEDATOS!R:R,0,0,1)</f>
        <v>0.75</v>
      </c>
      <c r="L779" s="51">
        <f t="shared" si="879"/>
        <v>0.5</v>
      </c>
      <c r="M779" s="52" t="str">
        <f t="shared" si="880"/>
        <v>1:00</v>
      </c>
      <c r="N779" s="51">
        <f t="shared" si="881"/>
        <v>0.45833333333333331</v>
      </c>
      <c r="O779" s="53" t="str">
        <f t="shared" ref="O779" si="949">+O784</f>
        <v>6-0-1</v>
      </c>
      <c r="P779" s="54">
        <f>+IF(AND(Y779="Domingo",U779=7),_xlfn.XLOOKUP(O779,'Horarios y Sistemas'!C:C,'Horarios y Sistemas'!H:H,0,0,1),0)</f>
        <v>0</v>
      </c>
      <c r="Q779" s="54">
        <f>IF(U779=U780,0,IF(AVERAGEIF(W:W,W779,U:U)=U779,0,_xlfn.XLOOKUP(O779,'Horarios y Sistemas'!C:C,'Horarios y Sistemas'!H:H,0,0,1)-P779))/7*U779</f>
        <v>0</v>
      </c>
      <c r="R779" s="54">
        <f t="shared" si="883"/>
        <v>0</v>
      </c>
      <c r="S779" s="55" t="str">
        <f t="shared" si="884"/>
        <v>SEPTIEMBRE</v>
      </c>
      <c r="T779" s="55" t="str">
        <f t="shared" si="885"/>
        <v>Sem40</v>
      </c>
      <c r="U779" s="56">
        <f t="shared" si="946"/>
        <v>7</v>
      </c>
      <c r="V779" s="59">
        <v>46294</v>
      </c>
      <c r="W779" s="56">
        <f t="shared" si="886"/>
        <v>40</v>
      </c>
      <c r="X779" s="56">
        <f t="shared" si="887"/>
        <v>29</v>
      </c>
      <c r="Y779" s="56" t="s">
        <v>29</v>
      </c>
      <c r="Z779" s="56">
        <v>2</v>
      </c>
      <c r="AA779" s="58">
        <f t="shared" si="898"/>
        <v>1</v>
      </c>
      <c r="AB779" s="58">
        <f t="shared" si="898"/>
        <v>0</v>
      </c>
      <c r="AC779" s="58">
        <f t="shared" si="898"/>
        <v>0</v>
      </c>
      <c r="AD779" s="58">
        <f t="shared" si="898"/>
        <v>0</v>
      </c>
      <c r="AE779" s="58">
        <f t="shared" si="898"/>
        <v>0</v>
      </c>
    </row>
    <row r="780" spans="2:34">
      <c r="B780" t="str">
        <f t="shared" si="874"/>
        <v>Sem4040LÁZARO CHOCHÉ</v>
      </c>
      <c r="C780" t="str">
        <f t="shared" si="875"/>
        <v>SEPTIEMBRESem40</v>
      </c>
      <c r="D780" t="str">
        <f t="shared" si="876"/>
        <v>SEPTIEMBRESem40LÁZARO CHOCHÉ</v>
      </c>
      <c r="E780" t="str">
        <f t="shared" si="877"/>
        <v>SEPTIEMBRESem4040LÁZARO CHOCHÉ</v>
      </c>
      <c r="F780" t="str">
        <f t="shared" si="878"/>
        <v>LÁZARO CHOCHÉ46295</v>
      </c>
      <c r="H780" s="49" t="s">
        <v>265</v>
      </c>
      <c r="I780" s="50" t="str">
        <f>+_xlfn.XLOOKUP($H780&amp;$V780,BASEDATOS!$B:$B,BASEDATOS!F:F,0,0,1)</f>
        <v>DIA</v>
      </c>
      <c r="J780" s="51">
        <f>+_xlfn.XLOOKUP($H780&amp;$V780,BASEDATOS!$B:$B,BASEDATOS!Q:Q,0,0,1)</f>
        <v>0.25</v>
      </c>
      <c r="K780" s="51">
        <f>+_xlfn.XLOOKUP($H780&amp;$V780,BASEDATOS!$B:$B,BASEDATOS!R:R,0,0,1)</f>
        <v>0.75</v>
      </c>
      <c r="L780" s="51">
        <f t="shared" si="879"/>
        <v>0.5</v>
      </c>
      <c r="M780" s="52" t="str">
        <f t="shared" si="880"/>
        <v>1:00</v>
      </c>
      <c r="N780" s="51">
        <f t="shared" si="881"/>
        <v>0.45833333333333331</v>
      </c>
      <c r="O780" s="53" t="str">
        <f t="shared" ref="O780" si="950">+O784</f>
        <v>6-0-1</v>
      </c>
      <c r="P780" s="54">
        <f>+IF(AND(Y780="Domingo",U780=7),_xlfn.XLOOKUP(O780,'Horarios y Sistemas'!C:C,'Horarios y Sistemas'!H:H,0,0,1),0)</f>
        <v>0</v>
      </c>
      <c r="Q780" s="54">
        <f>IF(U780=U781,0,IF(AVERAGEIF(W:W,W780,U:U)=U780,0,_xlfn.XLOOKUP(O780,'Horarios y Sistemas'!C:C,'Horarios y Sistemas'!H:H,0,0,1)-P780))/7*U780</f>
        <v>0</v>
      </c>
      <c r="R780" s="54">
        <f t="shared" si="883"/>
        <v>0</v>
      </c>
      <c r="S780" s="55" t="str">
        <f t="shared" si="884"/>
        <v>SEPTIEMBRE</v>
      </c>
      <c r="T780" s="55" t="str">
        <f t="shared" si="885"/>
        <v>Sem40</v>
      </c>
      <c r="U780" s="56">
        <f t="shared" si="946"/>
        <v>7</v>
      </c>
      <c r="V780" s="59">
        <v>46295</v>
      </c>
      <c r="W780" s="56">
        <f t="shared" si="886"/>
        <v>40</v>
      </c>
      <c r="X780" s="56">
        <f t="shared" si="887"/>
        <v>30</v>
      </c>
      <c r="Y780" s="56" t="s">
        <v>30</v>
      </c>
      <c r="Z780" s="56">
        <v>3</v>
      </c>
      <c r="AA780" s="58">
        <f t="shared" ref="AA780:AE830" si="951">+IF($I780=AA$7,1,0)</f>
        <v>1</v>
      </c>
      <c r="AB780" s="58">
        <f t="shared" si="951"/>
        <v>0</v>
      </c>
      <c r="AC780" s="58">
        <f t="shared" si="951"/>
        <v>0</v>
      </c>
      <c r="AD780" s="58">
        <f t="shared" si="951"/>
        <v>0</v>
      </c>
      <c r="AE780" s="58">
        <f t="shared" si="951"/>
        <v>0</v>
      </c>
    </row>
    <row r="781" spans="2:34">
      <c r="B781" t="str">
        <f t="shared" si="874"/>
        <v>Sem4040LÁZARO CHOCHÉ</v>
      </c>
      <c r="C781" t="str">
        <f t="shared" si="875"/>
        <v>OCTUBRESem40</v>
      </c>
      <c r="D781" t="str">
        <f t="shared" si="876"/>
        <v>OCTUBRESem40LÁZARO CHOCHÉ</v>
      </c>
      <c r="E781" t="str">
        <f t="shared" si="877"/>
        <v>OCTUBRESem4040LÁZARO CHOCHÉ</v>
      </c>
      <c r="F781" t="str">
        <f t="shared" si="878"/>
        <v>LÁZARO CHOCHÉ46296</v>
      </c>
      <c r="H781" s="49" t="s">
        <v>265</v>
      </c>
      <c r="I781" s="50" t="str">
        <f>+_xlfn.XLOOKUP($H781&amp;$V781,BASEDATOS!$B:$B,BASEDATOS!F:F,0,0,1)</f>
        <v>DIA</v>
      </c>
      <c r="J781" s="51">
        <f>+_xlfn.XLOOKUP($H781&amp;$V781,BASEDATOS!$B:$B,BASEDATOS!Q:Q,0,0,1)</f>
        <v>0.25</v>
      </c>
      <c r="K781" s="51">
        <f>+_xlfn.XLOOKUP($H781&amp;$V781,BASEDATOS!$B:$B,BASEDATOS!R:R,0,0,1)</f>
        <v>0.75</v>
      </c>
      <c r="L781" s="51">
        <f t="shared" si="879"/>
        <v>0.5</v>
      </c>
      <c r="M781" s="52" t="str">
        <f t="shared" si="880"/>
        <v>1:00</v>
      </c>
      <c r="N781" s="51">
        <f t="shared" si="881"/>
        <v>0.45833333333333331</v>
      </c>
      <c r="O781" s="53" t="str">
        <f t="shared" ref="O781" si="952">+O784</f>
        <v>6-0-1</v>
      </c>
      <c r="P781" s="54">
        <f>+IF(AND(Y781="Domingo",U781=7),_xlfn.XLOOKUP(O781,'Horarios y Sistemas'!C:C,'Horarios y Sistemas'!H:H,0,0,1),0)</f>
        <v>0</v>
      </c>
      <c r="Q781" s="54">
        <f>IF(U781=U782,0,IF(AVERAGEIF(W:W,W781,U:U)=U781,0,_xlfn.XLOOKUP(O781,'Horarios y Sistemas'!C:C,'Horarios y Sistemas'!H:H,0,0,1)-P781))/7*U781</f>
        <v>0</v>
      </c>
      <c r="R781" s="54">
        <f t="shared" si="883"/>
        <v>0</v>
      </c>
      <c r="S781" s="55" t="str">
        <f t="shared" si="884"/>
        <v>OCTUBRE</v>
      </c>
      <c r="T781" s="55" t="str">
        <f t="shared" si="885"/>
        <v>Sem40</v>
      </c>
      <c r="U781" s="56">
        <f t="shared" si="946"/>
        <v>7</v>
      </c>
      <c r="V781" s="59">
        <v>46296</v>
      </c>
      <c r="W781" s="56">
        <f t="shared" si="886"/>
        <v>40</v>
      </c>
      <c r="X781" s="56">
        <f t="shared" si="887"/>
        <v>1</v>
      </c>
      <c r="Y781" s="56" t="s">
        <v>31</v>
      </c>
      <c r="Z781" s="56">
        <v>4</v>
      </c>
      <c r="AA781" s="58">
        <f t="shared" si="951"/>
        <v>1</v>
      </c>
      <c r="AB781" s="58">
        <f t="shared" si="951"/>
        <v>0</v>
      </c>
      <c r="AC781" s="58">
        <f t="shared" si="951"/>
        <v>0</v>
      </c>
      <c r="AD781" s="58">
        <f t="shared" si="951"/>
        <v>0</v>
      </c>
      <c r="AE781" s="58">
        <f t="shared" si="951"/>
        <v>0</v>
      </c>
    </row>
    <row r="782" spans="2:34">
      <c r="B782" t="str">
        <f t="shared" si="874"/>
        <v>Sem4040LÁZARO CHOCHÉ</v>
      </c>
      <c r="C782" t="str">
        <f t="shared" si="875"/>
        <v>OCTUBRESem40</v>
      </c>
      <c r="D782" t="str">
        <f t="shared" si="876"/>
        <v>OCTUBRESem40LÁZARO CHOCHÉ</v>
      </c>
      <c r="E782" t="str">
        <f t="shared" si="877"/>
        <v>OCTUBRESem4040LÁZARO CHOCHÉ</v>
      </c>
      <c r="F782" t="str">
        <f t="shared" si="878"/>
        <v>LÁZARO CHOCHÉ46297</v>
      </c>
      <c r="H782" s="49" t="s">
        <v>265</v>
      </c>
      <c r="I782" s="50" t="str">
        <f>+_xlfn.XLOOKUP($H782&amp;$V782,BASEDATOS!$B:$B,BASEDATOS!F:F,0,0,1)</f>
        <v>DIA</v>
      </c>
      <c r="J782" s="51">
        <f>+_xlfn.XLOOKUP($H782&amp;$V782,BASEDATOS!$B:$B,BASEDATOS!Q:Q,0,0,1)</f>
        <v>0.25</v>
      </c>
      <c r="K782" s="51">
        <f>+_xlfn.XLOOKUP($H782&amp;$V782,BASEDATOS!$B:$B,BASEDATOS!R:R,0,0,1)</f>
        <v>0.75</v>
      </c>
      <c r="L782" s="51">
        <f t="shared" si="879"/>
        <v>0.5</v>
      </c>
      <c r="M782" s="52" t="str">
        <f t="shared" si="880"/>
        <v>1:00</v>
      </c>
      <c r="N782" s="51">
        <f t="shared" si="881"/>
        <v>0.45833333333333331</v>
      </c>
      <c r="O782" s="53" t="str">
        <f t="shared" ref="O782" si="953">+O784</f>
        <v>6-0-1</v>
      </c>
      <c r="P782" s="54">
        <f>+IF(AND(Y782="Domingo",U782=7),_xlfn.XLOOKUP(O782,'Horarios y Sistemas'!C:C,'Horarios y Sistemas'!H:H,0,0,1),0)</f>
        <v>0</v>
      </c>
      <c r="Q782" s="54">
        <f>IF(U782=U783,0,IF(AVERAGEIF(W:W,W782,U:U)=U782,0,_xlfn.XLOOKUP(O782,'Horarios y Sistemas'!C:C,'Horarios y Sistemas'!H:H,0,0,1)-P782))/7*U782</f>
        <v>0</v>
      </c>
      <c r="R782" s="54">
        <f t="shared" si="883"/>
        <v>0</v>
      </c>
      <c r="S782" s="55" t="str">
        <f t="shared" si="884"/>
        <v>OCTUBRE</v>
      </c>
      <c r="T782" s="55" t="str">
        <f t="shared" si="885"/>
        <v>Sem40</v>
      </c>
      <c r="U782" s="56">
        <f t="shared" si="946"/>
        <v>7</v>
      </c>
      <c r="V782" s="59">
        <v>46297</v>
      </c>
      <c r="W782" s="56">
        <f t="shared" si="886"/>
        <v>40</v>
      </c>
      <c r="X782" s="56">
        <f t="shared" si="887"/>
        <v>2</v>
      </c>
      <c r="Y782" s="56" t="s">
        <v>32</v>
      </c>
      <c r="Z782" s="56">
        <v>5</v>
      </c>
      <c r="AA782" s="58">
        <f t="shared" si="951"/>
        <v>1</v>
      </c>
      <c r="AB782" s="58">
        <f t="shared" si="951"/>
        <v>0</v>
      </c>
      <c r="AC782" s="58">
        <f t="shared" si="951"/>
        <v>0</v>
      </c>
      <c r="AD782" s="58">
        <f t="shared" si="951"/>
        <v>0</v>
      </c>
      <c r="AE782" s="58">
        <f t="shared" si="951"/>
        <v>0</v>
      </c>
    </row>
    <row r="783" spans="2:34">
      <c r="B783" t="str">
        <f t="shared" ref="B783:B846" si="954">+T783&amp;W783&amp;H783</f>
        <v>Sem4040LÁZARO CHOCHÉ</v>
      </c>
      <c r="C783" t="str">
        <f t="shared" ref="C783:C846" si="955">+S783&amp;T783</f>
        <v>OCTUBRESem40</v>
      </c>
      <c r="D783" t="str">
        <f t="shared" ref="D783:D846" si="956">+S783&amp;T783&amp;H783</f>
        <v>OCTUBRESem40LÁZARO CHOCHÉ</v>
      </c>
      <c r="E783" t="str">
        <f t="shared" ref="E783:E846" si="957">+S783&amp;T783&amp;W783&amp;H783</f>
        <v>OCTUBRESem4040LÁZARO CHOCHÉ</v>
      </c>
      <c r="F783" t="str">
        <f t="shared" ref="F783:F846" si="958">+H783&amp;V783</f>
        <v>LÁZARO CHOCHÉ46298</v>
      </c>
      <c r="H783" s="49" t="s">
        <v>265</v>
      </c>
      <c r="I783" s="50" t="str">
        <f>+_xlfn.XLOOKUP($H783&amp;$V783,BASEDATOS!$B:$B,BASEDATOS!F:F,0,0,1)</f>
        <v>DIA</v>
      </c>
      <c r="J783" s="51">
        <f>+_xlfn.XLOOKUP($H783&amp;$V783,BASEDATOS!$B:$B,BASEDATOS!Q:Q,0,0,1)</f>
        <v>0.25</v>
      </c>
      <c r="K783" s="51">
        <f>+_xlfn.XLOOKUP($H783&amp;$V783,BASEDATOS!$B:$B,BASEDATOS!R:R,0,0,1)</f>
        <v>0.58333333333333304</v>
      </c>
      <c r="L783" s="51">
        <f t="shared" ref="L783:L846" si="959">+IF(OR(J783="Descanso",J783="AUSENTE",J783="ASUETO"),0,MOD(K783-J783,1))</f>
        <v>0.33333333333333304</v>
      </c>
      <c r="M783" s="52" t="str">
        <f t="shared" ref="M783:M846" si="960">+IF(OR(I783="DIA",I783="NOCHE",I783="MIXTO"),"1:00",0)</f>
        <v>1:00</v>
      </c>
      <c r="N783" s="51">
        <f t="shared" ref="N783:N846" si="961">+IF(I783="ASUETO-D",8/24,IF(I783="ASUETO-N",6/24,MOD(L783-M783,1)))</f>
        <v>0.29166666666666635</v>
      </c>
      <c r="O783" s="53" t="str">
        <f t="shared" ref="O783" si="962">+O784</f>
        <v>6-0-1</v>
      </c>
      <c r="P783" s="54">
        <f>+IF(AND(Y783="Domingo",U783=7),_xlfn.XLOOKUP(O783,'Horarios y Sistemas'!C:C,'Horarios y Sistemas'!H:H,0,0,1),0)</f>
        <v>0</v>
      </c>
      <c r="Q783" s="54">
        <f>IF(U783=U784,0,IF(AVERAGEIF(W:W,W783,U:U)=U783,0,_xlfn.XLOOKUP(O783,'Horarios y Sistemas'!C:C,'Horarios y Sistemas'!H:H,0,0,1)-P783))/7*U783</f>
        <v>0</v>
      </c>
      <c r="R783" s="54">
        <f t="shared" ref="R783:R846" si="963">+IF(Y783="Domingo",SUM(P777:Q783),0)</f>
        <v>0</v>
      </c>
      <c r="S783" s="55" t="str">
        <f t="shared" ref="S783:S846" si="964">+UPPER(TEXT(V783,"MMMMMMMM"))</f>
        <v>OCTUBRE</v>
      </c>
      <c r="T783" s="55" t="str">
        <f t="shared" ref="T783:T846" si="965">+"Sem"&amp;W783</f>
        <v>Sem40</v>
      </c>
      <c r="U783" s="56">
        <f t="shared" si="946"/>
        <v>7</v>
      </c>
      <c r="V783" s="59">
        <v>46298</v>
      </c>
      <c r="W783" s="56">
        <f t="shared" ref="W783:W846" si="966">+_xlfn.ISOWEEKNUM(V783)</f>
        <v>40</v>
      </c>
      <c r="X783" s="56">
        <f t="shared" ref="X783:X846" si="967">+DAY(V783)</f>
        <v>3</v>
      </c>
      <c r="Y783" s="56" t="s">
        <v>33</v>
      </c>
      <c r="Z783" s="56">
        <v>6</v>
      </c>
      <c r="AA783" s="58">
        <f t="shared" si="951"/>
        <v>1</v>
      </c>
      <c r="AB783" s="58">
        <f t="shared" si="951"/>
        <v>0</v>
      </c>
      <c r="AC783" s="58">
        <f t="shared" si="951"/>
        <v>0</v>
      </c>
      <c r="AD783" s="58">
        <f t="shared" si="951"/>
        <v>0</v>
      </c>
      <c r="AE783" s="58">
        <f t="shared" si="951"/>
        <v>0</v>
      </c>
    </row>
    <row r="784" spans="2:34" s="60" customFormat="1">
      <c r="B784" s="60" t="str">
        <f t="shared" si="954"/>
        <v>Sem4040LÁZARO CHOCHÉ</v>
      </c>
      <c r="C784" s="60" t="str">
        <f t="shared" si="955"/>
        <v>OCTUBRESem40</v>
      </c>
      <c r="D784" s="60" t="str">
        <f t="shared" si="956"/>
        <v>OCTUBRESem40LÁZARO CHOCHÉ</v>
      </c>
      <c r="E784" s="60" t="str">
        <f t="shared" si="957"/>
        <v>OCTUBRESem4040LÁZARO CHOCHÉ</v>
      </c>
      <c r="F784" s="60" t="str">
        <f t="shared" si="958"/>
        <v>LÁZARO CHOCHÉ46299</v>
      </c>
      <c r="H784" s="61" t="s">
        <v>265</v>
      </c>
      <c r="I784" s="62" t="str">
        <f>+_xlfn.XLOOKUP($H784&amp;$V784,BASEDATOS!$B:$B,BASEDATOS!F:F,0,0,1)</f>
        <v>DESCANSO</v>
      </c>
      <c r="J784" s="63">
        <f>+_xlfn.XLOOKUP($H784&amp;$V784,BASEDATOS!$B:$B,BASEDATOS!Q:Q,0,0,1)</f>
        <v>0</v>
      </c>
      <c r="K784" s="63">
        <f>+_xlfn.XLOOKUP($H784&amp;$V784,BASEDATOS!$B:$B,BASEDATOS!R:R,0,0,1)</f>
        <v>0</v>
      </c>
      <c r="L784" s="63">
        <f t="shared" si="959"/>
        <v>0</v>
      </c>
      <c r="M784" s="64">
        <f t="shared" si="960"/>
        <v>0</v>
      </c>
      <c r="N784" s="63">
        <f t="shared" si="961"/>
        <v>0</v>
      </c>
      <c r="O784" s="65" t="str">
        <f t="shared" ref="O784" si="968">+IF(Y784="Domingo",SUM(AA778:AA784)&amp;"-"&amp;SUM(AB778:AB784)&amp;"-"&amp;SUM(AC778:AE784),"")</f>
        <v>6-0-1</v>
      </c>
      <c r="P784" s="66">
        <f>+IF(AND(Y784="Domingo",U784=7),_xlfn.XLOOKUP(O784,'Horarios y Sistemas'!C:C,'Horarios y Sistemas'!H:H,0,0,1),0)</f>
        <v>44</v>
      </c>
      <c r="Q784" s="66">
        <f>IF(U784=U785,0,IF(AVERAGEIF(W:W,W784,U:U)=U784,0,_xlfn.XLOOKUP(O784,'Horarios y Sistemas'!C:C,'Horarios y Sistemas'!H:H,0,0,1)-P784))/7*U784</f>
        <v>0</v>
      </c>
      <c r="R784" s="66">
        <f t="shared" si="963"/>
        <v>44</v>
      </c>
      <c r="S784" s="67" t="str">
        <f t="shared" si="964"/>
        <v>OCTUBRE</v>
      </c>
      <c r="T784" s="55" t="str">
        <f t="shared" si="965"/>
        <v>Sem40</v>
      </c>
      <c r="U784" s="68">
        <f t="shared" si="946"/>
        <v>7</v>
      </c>
      <c r="V784" s="69">
        <v>46299</v>
      </c>
      <c r="W784" s="68">
        <f t="shared" si="966"/>
        <v>40</v>
      </c>
      <c r="X784" s="68">
        <f t="shared" si="967"/>
        <v>4</v>
      </c>
      <c r="Y784" s="68" t="s">
        <v>34</v>
      </c>
      <c r="Z784" s="68">
        <v>7</v>
      </c>
      <c r="AA784" s="70">
        <f t="shared" si="951"/>
        <v>0</v>
      </c>
      <c r="AB784" s="70">
        <f t="shared" si="951"/>
        <v>0</v>
      </c>
      <c r="AC784" s="70">
        <f t="shared" si="951"/>
        <v>1</v>
      </c>
      <c r="AD784" s="70">
        <f t="shared" si="951"/>
        <v>0</v>
      </c>
      <c r="AE784" s="70">
        <f t="shared" si="951"/>
        <v>0</v>
      </c>
      <c r="AF784" s="71"/>
      <c r="AG784" s="71"/>
      <c r="AH784" s="71"/>
    </row>
    <row r="785" spans="2:34">
      <c r="B785" t="str">
        <f t="shared" si="954"/>
        <v>Sem3838MANUEL ALEJANDRO OSORIO CAHUEC</v>
      </c>
      <c r="C785" t="str">
        <f t="shared" si="955"/>
        <v>SEPTIEMBRESem38</v>
      </c>
      <c r="D785" t="str">
        <f t="shared" si="956"/>
        <v>SEPTIEMBRESem38MANUEL ALEJANDRO OSORIO CAHUEC</v>
      </c>
      <c r="E785" t="str">
        <f t="shared" si="957"/>
        <v>SEPTIEMBRESem3838MANUEL ALEJANDRO OSORIO CAHUEC</v>
      </c>
      <c r="F785" t="str">
        <f t="shared" si="958"/>
        <v>MANUEL ALEJANDRO OSORIO CAHUEC46279</v>
      </c>
      <c r="H785" s="49" t="s">
        <v>20</v>
      </c>
      <c r="I785" s="50" t="str">
        <f>+_xlfn.XLOOKUP($H785&amp;$V785,BASEDATOS!$B:$B,BASEDATOS!F:F,0,0,1)</f>
        <v>DESCANSO</v>
      </c>
      <c r="J785" s="51">
        <f>+_xlfn.XLOOKUP($H785&amp;$V785,BASEDATOS!$B:$B,BASEDATOS!Q:Q,0,0,1)</f>
        <v>0</v>
      </c>
      <c r="K785" s="51">
        <f>+_xlfn.XLOOKUP($H785&amp;$V785,BASEDATOS!$B:$B,BASEDATOS!R:R,0,0,1)</f>
        <v>0</v>
      </c>
      <c r="L785" s="51">
        <f t="shared" si="959"/>
        <v>0</v>
      </c>
      <c r="M785" s="52">
        <f t="shared" si="960"/>
        <v>0</v>
      </c>
      <c r="N785" s="51">
        <f t="shared" si="961"/>
        <v>0</v>
      </c>
      <c r="O785" s="53" t="str">
        <f t="shared" ref="O785" si="969">+O791</f>
        <v>2-2-3</v>
      </c>
      <c r="P785" s="54">
        <f>+IF(AND(Y785="Domingo",U785=7),_xlfn.XLOOKUP(O785,'Horarios y Sistemas'!C:C,'Horarios y Sistemas'!H:H,0,0,1),0)</f>
        <v>0</v>
      </c>
      <c r="Q785" s="54">
        <f>IF(U785=U786,0,IF(AVERAGEIF(W:W,W785,U:U)=U785,0,_xlfn.XLOOKUP(O785,'Horarios y Sistemas'!C:C,'Horarios y Sistemas'!H:H,0,0,1)-P785))/7*U785</f>
        <v>0</v>
      </c>
      <c r="R785" s="54">
        <f t="shared" si="963"/>
        <v>0</v>
      </c>
      <c r="S785" s="55" t="str">
        <f t="shared" si="964"/>
        <v>SEPTIEMBRE</v>
      </c>
      <c r="T785" s="55" t="str">
        <f t="shared" si="965"/>
        <v>Sem38</v>
      </c>
      <c r="U785" s="56">
        <f t="shared" si="946"/>
        <v>7</v>
      </c>
      <c r="V785" s="59">
        <v>46279</v>
      </c>
      <c r="W785" s="56">
        <f t="shared" si="966"/>
        <v>38</v>
      </c>
      <c r="X785" s="56">
        <f t="shared" si="967"/>
        <v>14</v>
      </c>
      <c r="Y785" s="56" t="s">
        <v>28</v>
      </c>
      <c r="Z785" s="56">
        <v>1</v>
      </c>
      <c r="AA785" s="58">
        <f t="shared" si="951"/>
        <v>0</v>
      </c>
      <c r="AB785" s="58">
        <f t="shared" si="951"/>
        <v>0</v>
      </c>
      <c r="AC785" s="58">
        <f t="shared" si="951"/>
        <v>1</v>
      </c>
      <c r="AD785" s="58">
        <f t="shared" si="951"/>
        <v>0</v>
      </c>
      <c r="AE785" s="58">
        <f t="shared" si="951"/>
        <v>0</v>
      </c>
    </row>
    <row r="786" spans="2:34">
      <c r="B786" t="str">
        <f t="shared" si="954"/>
        <v>Sem3838MANUEL ALEJANDRO OSORIO CAHUEC</v>
      </c>
      <c r="C786" t="str">
        <f t="shared" si="955"/>
        <v>SEPTIEMBRESem38</v>
      </c>
      <c r="D786" t="str">
        <f t="shared" si="956"/>
        <v>SEPTIEMBRESem38MANUEL ALEJANDRO OSORIO CAHUEC</v>
      </c>
      <c r="E786" t="str">
        <f t="shared" si="957"/>
        <v>SEPTIEMBRESem3838MANUEL ALEJANDRO OSORIO CAHUEC</v>
      </c>
      <c r="F786" t="str">
        <f t="shared" si="958"/>
        <v>MANUEL ALEJANDRO OSORIO CAHUEC46280</v>
      </c>
      <c r="H786" s="49" t="s">
        <v>20</v>
      </c>
      <c r="I786" s="50" t="str">
        <f>+_xlfn.XLOOKUP($H786&amp;$V786,BASEDATOS!$B:$B,BASEDATOS!F:F,0,0,1)</f>
        <v>DIA</v>
      </c>
      <c r="J786" s="51">
        <f>+_xlfn.XLOOKUP($H786&amp;$V786,BASEDATOS!$B:$B,BASEDATOS!Q:Q,0,0,1)</f>
        <v>0.33333333333333298</v>
      </c>
      <c r="K786" s="51">
        <f>+_xlfn.XLOOKUP($H786&amp;$V786,BASEDATOS!$B:$B,BASEDATOS!R:R,0,0,1)</f>
        <v>0.70833333333333304</v>
      </c>
      <c r="L786" s="51">
        <f t="shared" si="959"/>
        <v>0.37500000000000006</v>
      </c>
      <c r="M786" s="52" t="str">
        <f t="shared" si="960"/>
        <v>1:00</v>
      </c>
      <c r="N786" s="51">
        <f t="shared" si="961"/>
        <v>0.33333333333333337</v>
      </c>
      <c r="O786" s="53" t="str">
        <f t="shared" ref="O786" si="970">+O791</f>
        <v>2-2-3</v>
      </c>
      <c r="P786" s="54">
        <f>+IF(AND(Y786="Domingo",U786=7),_xlfn.XLOOKUP(O786,'Horarios y Sistemas'!C:C,'Horarios y Sistemas'!H:H,0,0,1),0)</f>
        <v>0</v>
      </c>
      <c r="Q786" s="54">
        <f>IF(U786=U787,0,IF(AVERAGEIF(W:W,W786,U:U)=U786,0,_xlfn.XLOOKUP(O786,'Horarios y Sistemas'!C:C,'Horarios y Sistemas'!H:H,0,0,1)-P786))/7*U786</f>
        <v>0</v>
      </c>
      <c r="R786" s="54">
        <f t="shared" si="963"/>
        <v>0</v>
      </c>
      <c r="S786" s="55" t="str">
        <f t="shared" si="964"/>
        <v>SEPTIEMBRE</v>
      </c>
      <c r="T786" s="55" t="str">
        <f t="shared" si="965"/>
        <v>Sem38</v>
      </c>
      <c r="U786" s="56">
        <f t="shared" si="946"/>
        <v>7</v>
      </c>
      <c r="V786" s="59">
        <v>46280</v>
      </c>
      <c r="W786" s="56">
        <f t="shared" si="966"/>
        <v>38</v>
      </c>
      <c r="X786" s="56">
        <f t="shared" si="967"/>
        <v>15</v>
      </c>
      <c r="Y786" s="56" t="s">
        <v>29</v>
      </c>
      <c r="Z786" s="56">
        <v>2</v>
      </c>
      <c r="AA786" s="58">
        <f t="shared" si="951"/>
        <v>1</v>
      </c>
      <c r="AB786" s="58">
        <f t="shared" si="951"/>
        <v>0</v>
      </c>
      <c r="AC786" s="58">
        <f t="shared" si="951"/>
        <v>0</v>
      </c>
      <c r="AD786" s="58">
        <f t="shared" si="951"/>
        <v>0</v>
      </c>
      <c r="AE786" s="58">
        <f t="shared" si="951"/>
        <v>0</v>
      </c>
    </row>
    <row r="787" spans="2:34">
      <c r="B787" t="str">
        <f t="shared" si="954"/>
        <v>Sem3838MANUEL ALEJANDRO OSORIO CAHUEC</v>
      </c>
      <c r="C787" t="str">
        <f t="shared" si="955"/>
        <v>SEPTIEMBRESem38</v>
      </c>
      <c r="D787" t="str">
        <f t="shared" si="956"/>
        <v>SEPTIEMBRESem38MANUEL ALEJANDRO OSORIO CAHUEC</v>
      </c>
      <c r="E787" t="str">
        <f t="shared" si="957"/>
        <v>SEPTIEMBRESem3838MANUEL ALEJANDRO OSORIO CAHUEC</v>
      </c>
      <c r="F787" t="str">
        <f t="shared" si="958"/>
        <v>MANUEL ALEJANDRO OSORIO CAHUEC46281</v>
      </c>
      <c r="H787" s="49" t="s">
        <v>20</v>
      </c>
      <c r="I787" s="50" t="str">
        <f>+_xlfn.XLOOKUP($H787&amp;$V787,BASEDATOS!$B:$B,BASEDATOS!F:F,0,0,1)</f>
        <v>NOCHE</v>
      </c>
      <c r="J787" s="51">
        <f>+_xlfn.XLOOKUP($H787&amp;$V787,BASEDATOS!$B:$B,BASEDATOS!Q:Q,0,0,1)</f>
        <v>0.79166666666666696</v>
      </c>
      <c r="K787" s="51">
        <f>+_xlfn.XLOOKUP($H787&amp;$V787,BASEDATOS!$B:$B,BASEDATOS!R:R,0,0,1)</f>
        <v>0.20833333333333301</v>
      </c>
      <c r="L787" s="51">
        <f t="shared" si="959"/>
        <v>0.41666666666666607</v>
      </c>
      <c r="M787" s="52" t="str">
        <f t="shared" si="960"/>
        <v>1:00</v>
      </c>
      <c r="N787" s="51">
        <f t="shared" si="961"/>
        <v>0.37499999999999939</v>
      </c>
      <c r="O787" s="53" t="str">
        <f t="shared" ref="O787" si="971">+O791</f>
        <v>2-2-3</v>
      </c>
      <c r="P787" s="54">
        <f>+IF(AND(Y787="Domingo",U787=7),_xlfn.XLOOKUP(O787,'Horarios y Sistemas'!C:C,'Horarios y Sistemas'!H:H,0,0,1),0)</f>
        <v>0</v>
      </c>
      <c r="Q787" s="54">
        <f>IF(U787=U788,0,IF(AVERAGEIF(W:W,W787,U:U)=U787,0,_xlfn.XLOOKUP(O787,'Horarios y Sistemas'!C:C,'Horarios y Sistemas'!H:H,0,0,1)-P787))/7*U787</f>
        <v>0</v>
      </c>
      <c r="R787" s="54">
        <f t="shared" si="963"/>
        <v>0</v>
      </c>
      <c r="S787" s="55" t="str">
        <f t="shared" si="964"/>
        <v>SEPTIEMBRE</v>
      </c>
      <c r="T787" s="55" t="str">
        <f t="shared" si="965"/>
        <v>Sem38</v>
      </c>
      <c r="U787" s="56">
        <f t="shared" si="946"/>
        <v>7</v>
      </c>
      <c r="V787" s="59">
        <v>46281</v>
      </c>
      <c r="W787" s="56">
        <f t="shared" si="966"/>
        <v>38</v>
      </c>
      <c r="X787" s="56">
        <f t="shared" si="967"/>
        <v>16</v>
      </c>
      <c r="Y787" s="56" t="s">
        <v>30</v>
      </c>
      <c r="Z787" s="56">
        <v>3</v>
      </c>
      <c r="AA787" s="58">
        <f t="shared" si="951"/>
        <v>0</v>
      </c>
      <c r="AB787" s="58">
        <f t="shared" si="951"/>
        <v>1</v>
      </c>
      <c r="AC787" s="58">
        <f t="shared" si="951"/>
        <v>0</v>
      </c>
      <c r="AD787" s="58">
        <f t="shared" si="951"/>
        <v>0</v>
      </c>
      <c r="AE787" s="58">
        <f t="shared" si="951"/>
        <v>0</v>
      </c>
    </row>
    <row r="788" spans="2:34">
      <c r="B788" t="str">
        <f t="shared" si="954"/>
        <v>Sem3838MANUEL ALEJANDRO OSORIO CAHUEC</v>
      </c>
      <c r="C788" t="str">
        <f t="shared" si="955"/>
        <v>SEPTIEMBRESem38</v>
      </c>
      <c r="D788" t="str">
        <f t="shared" si="956"/>
        <v>SEPTIEMBRESem38MANUEL ALEJANDRO OSORIO CAHUEC</v>
      </c>
      <c r="E788" t="str">
        <f t="shared" si="957"/>
        <v>SEPTIEMBRESem3838MANUEL ALEJANDRO OSORIO CAHUEC</v>
      </c>
      <c r="F788" t="str">
        <f t="shared" si="958"/>
        <v>MANUEL ALEJANDRO OSORIO CAHUEC46282</v>
      </c>
      <c r="H788" s="49" t="s">
        <v>20</v>
      </c>
      <c r="I788" s="50" t="str">
        <f>+_xlfn.XLOOKUP($H788&amp;$V788,BASEDATOS!$B:$B,BASEDATOS!F:F,0,0,1)</f>
        <v>NOCHE</v>
      </c>
      <c r="J788" s="51">
        <f>+_xlfn.XLOOKUP($H788&amp;$V788,BASEDATOS!$B:$B,BASEDATOS!Q:Q,0,0,1)</f>
        <v>0.79166666666666696</v>
      </c>
      <c r="K788" s="51">
        <f>+_xlfn.XLOOKUP($H788&amp;$V788,BASEDATOS!$B:$B,BASEDATOS!R:R,0,0,1)</f>
        <v>0.20833333333333301</v>
      </c>
      <c r="L788" s="51">
        <f t="shared" si="959"/>
        <v>0.41666666666666607</v>
      </c>
      <c r="M788" s="52" t="str">
        <f t="shared" si="960"/>
        <v>1:00</v>
      </c>
      <c r="N788" s="51">
        <f t="shared" si="961"/>
        <v>0.37499999999999939</v>
      </c>
      <c r="O788" s="53" t="str">
        <f t="shared" ref="O788" si="972">+O791</f>
        <v>2-2-3</v>
      </c>
      <c r="P788" s="54">
        <f>+IF(AND(Y788="Domingo",U788=7),_xlfn.XLOOKUP(O788,'Horarios y Sistemas'!C:C,'Horarios y Sistemas'!H:H,0,0,1),0)</f>
        <v>0</v>
      </c>
      <c r="Q788" s="54">
        <f>IF(U788=U789,0,IF(AVERAGEIF(W:W,W788,U:U)=U788,0,_xlfn.XLOOKUP(O788,'Horarios y Sistemas'!C:C,'Horarios y Sistemas'!H:H,0,0,1)-P788))/7*U788</f>
        <v>0</v>
      </c>
      <c r="R788" s="54">
        <f t="shared" si="963"/>
        <v>0</v>
      </c>
      <c r="S788" s="55" t="str">
        <f t="shared" si="964"/>
        <v>SEPTIEMBRE</v>
      </c>
      <c r="T788" s="55" t="str">
        <f t="shared" si="965"/>
        <v>Sem38</v>
      </c>
      <c r="U788" s="56">
        <f t="shared" si="946"/>
        <v>7</v>
      </c>
      <c r="V788" s="59">
        <v>46282</v>
      </c>
      <c r="W788" s="56">
        <f t="shared" si="966"/>
        <v>38</v>
      </c>
      <c r="X788" s="56">
        <f t="shared" si="967"/>
        <v>17</v>
      </c>
      <c r="Y788" s="56" t="s">
        <v>31</v>
      </c>
      <c r="Z788" s="56">
        <v>4</v>
      </c>
      <c r="AA788" s="58">
        <f t="shared" si="951"/>
        <v>0</v>
      </c>
      <c r="AB788" s="58">
        <f t="shared" si="951"/>
        <v>1</v>
      </c>
      <c r="AC788" s="58">
        <f t="shared" si="951"/>
        <v>0</v>
      </c>
      <c r="AD788" s="58">
        <f t="shared" si="951"/>
        <v>0</v>
      </c>
      <c r="AE788" s="58">
        <f t="shared" si="951"/>
        <v>0</v>
      </c>
    </row>
    <row r="789" spans="2:34">
      <c r="B789" t="str">
        <f t="shared" si="954"/>
        <v>Sem3838MANUEL ALEJANDRO OSORIO CAHUEC</v>
      </c>
      <c r="C789" t="str">
        <f t="shared" si="955"/>
        <v>SEPTIEMBRESem38</v>
      </c>
      <c r="D789" t="str">
        <f t="shared" si="956"/>
        <v>SEPTIEMBRESem38MANUEL ALEJANDRO OSORIO CAHUEC</v>
      </c>
      <c r="E789" t="str">
        <f t="shared" si="957"/>
        <v>SEPTIEMBRESem3838MANUEL ALEJANDRO OSORIO CAHUEC</v>
      </c>
      <c r="F789" t="str">
        <f t="shared" si="958"/>
        <v>MANUEL ALEJANDRO OSORIO CAHUEC46283</v>
      </c>
      <c r="H789" s="49" t="s">
        <v>20</v>
      </c>
      <c r="I789" s="50" t="str">
        <f>+_xlfn.XLOOKUP($H789&amp;$V789,BASEDATOS!$B:$B,BASEDATOS!F:F,0,0,1)</f>
        <v>DESCANSO</v>
      </c>
      <c r="J789" s="51">
        <f>+_xlfn.XLOOKUP($H789&amp;$V789,BASEDATOS!$B:$B,BASEDATOS!Q:Q,0,0,1)</f>
        <v>0</v>
      </c>
      <c r="K789" s="51">
        <f>+_xlfn.XLOOKUP($H789&amp;$V789,BASEDATOS!$B:$B,BASEDATOS!R:R,0,0,1)</f>
        <v>0</v>
      </c>
      <c r="L789" s="51">
        <f t="shared" si="959"/>
        <v>0</v>
      </c>
      <c r="M789" s="52">
        <f t="shared" si="960"/>
        <v>0</v>
      </c>
      <c r="N789" s="51">
        <f t="shared" si="961"/>
        <v>0</v>
      </c>
      <c r="O789" s="53" t="str">
        <f t="shared" ref="O789" si="973">+O791</f>
        <v>2-2-3</v>
      </c>
      <c r="P789" s="54">
        <f>+IF(AND(Y789="Domingo",U789=7),_xlfn.XLOOKUP(O789,'Horarios y Sistemas'!C:C,'Horarios y Sistemas'!H:H,0,0,1),0)</f>
        <v>0</v>
      </c>
      <c r="Q789" s="54">
        <f>IF(U789=U790,0,IF(AVERAGEIF(W:W,W789,U:U)=U789,0,_xlfn.XLOOKUP(O789,'Horarios y Sistemas'!C:C,'Horarios y Sistemas'!H:H,0,0,1)-P789))/7*U789</f>
        <v>0</v>
      </c>
      <c r="R789" s="54">
        <f t="shared" si="963"/>
        <v>0</v>
      </c>
      <c r="S789" s="55" t="str">
        <f t="shared" si="964"/>
        <v>SEPTIEMBRE</v>
      </c>
      <c r="T789" s="55" t="str">
        <f t="shared" si="965"/>
        <v>Sem38</v>
      </c>
      <c r="U789" s="56">
        <f t="shared" si="946"/>
        <v>7</v>
      </c>
      <c r="V789" s="59">
        <v>46283</v>
      </c>
      <c r="W789" s="56">
        <f t="shared" si="966"/>
        <v>38</v>
      </c>
      <c r="X789" s="56">
        <f t="shared" si="967"/>
        <v>18</v>
      </c>
      <c r="Y789" s="56" t="s">
        <v>32</v>
      </c>
      <c r="Z789" s="56">
        <v>5</v>
      </c>
      <c r="AA789" s="58">
        <f t="shared" si="951"/>
        <v>0</v>
      </c>
      <c r="AB789" s="58">
        <f t="shared" si="951"/>
        <v>0</v>
      </c>
      <c r="AC789" s="58">
        <f t="shared" si="951"/>
        <v>1</v>
      </c>
      <c r="AD789" s="58">
        <f t="shared" si="951"/>
        <v>0</v>
      </c>
      <c r="AE789" s="58">
        <f t="shared" si="951"/>
        <v>0</v>
      </c>
    </row>
    <row r="790" spans="2:34">
      <c r="B790" t="str">
        <f t="shared" si="954"/>
        <v>Sem3838MANUEL ALEJANDRO OSORIO CAHUEC</v>
      </c>
      <c r="C790" t="str">
        <f t="shared" si="955"/>
        <v>SEPTIEMBRESem38</v>
      </c>
      <c r="D790" t="str">
        <f t="shared" si="956"/>
        <v>SEPTIEMBRESem38MANUEL ALEJANDRO OSORIO CAHUEC</v>
      </c>
      <c r="E790" t="str">
        <f t="shared" si="957"/>
        <v>SEPTIEMBRESem3838MANUEL ALEJANDRO OSORIO CAHUEC</v>
      </c>
      <c r="F790" t="str">
        <f t="shared" si="958"/>
        <v>MANUEL ALEJANDRO OSORIO CAHUEC46284</v>
      </c>
      <c r="H790" s="49" t="s">
        <v>20</v>
      </c>
      <c r="I790" s="50" t="str">
        <f>+_xlfn.XLOOKUP($H790&amp;$V790,BASEDATOS!$B:$B,BASEDATOS!F:F,0,0,1)</f>
        <v>DIA</v>
      </c>
      <c r="J790" s="51">
        <f>+_xlfn.XLOOKUP($H790&amp;$V790,BASEDATOS!$B:$B,BASEDATOS!Q:Q,0,0,1)</f>
        <v>0.29166666666666702</v>
      </c>
      <c r="K790" s="51">
        <f>+_xlfn.XLOOKUP($H790&amp;$V790,BASEDATOS!$B:$B,BASEDATOS!R:R,0,0,1)</f>
        <v>0.5</v>
      </c>
      <c r="L790" s="51">
        <f t="shared" si="959"/>
        <v>0.20833333333333298</v>
      </c>
      <c r="M790" s="52" t="str">
        <f t="shared" si="960"/>
        <v>1:00</v>
      </c>
      <c r="N790" s="51">
        <f t="shared" si="961"/>
        <v>0.16666666666666632</v>
      </c>
      <c r="O790" s="53" t="str">
        <f t="shared" ref="O790" si="974">+O791</f>
        <v>2-2-3</v>
      </c>
      <c r="P790" s="54">
        <f>+IF(AND(Y790="Domingo",U790=7),_xlfn.XLOOKUP(O790,'Horarios y Sistemas'!C:C,'Horarios y Sistemas'!H:H,0,0,1),0)</f>
        <v>0</v>
      </c>
      <c r="Q790" s="54">
        <f>IF(U790=U791,0,IF(AVERAGEIF(W:W,W790,U:U)=U790,0,_xlfn.XLOOKUP(O790,'Horarios y Sistemas'!C:C,'Horarios y Sistemas'!H:H,0,0,1)-P790))/7*U790</f>
        <v>0</v>
      </c>
      <c r="R790" s="54">
        <f t="shared" si="963"/>
        <v>0</v>
      </c>
      <c r="S790" s="55" t="str">
        <f t="shared" si="964"/>
        <v>SEPTIEMBRE</v>
      </c>
      <c r="T790" s="55" t="str">
        <f t="shared" si="965"/>
        <v>Sem38</v>
      </c>
      <c r="U790" s="56">
        <f t="shared" si="946"/>
        <v>7</v>
      </c>
      <c r="V790" s="59">
        <v>46284</v>
      </c>
      <c r="W790" s="56">
        <f t="shared" si="966"/>
        <v>38</v>
      </c>
      <c r="X790" s="56">
        <f t="shared" si="967"/>
        <v>19</v>
      </c>
      <c r="Y790" s="56" t="s">
        <v>33</v>
      </c>
      <c r="Z790" s="56">
        <v>6</v>
      </c>
      <c r="AA790" s="58">
        <f t="shared" si="951"/>
        <v>1</v>
      </c>
      <c r="AB790" s="58">
        <f t="shared" si="951"/>
        <v>0</v>
      </c>
      <c r="AC790" s="58">
        <f t="shared" si="951"/>
        <v>0</v>
      </c>
      <c r="AD790" s="58">
        <f t="shared" si="951"/>
        <v>0</v>
      </c>
      <c r="AE790" s="58">
        <f t="shared" si="951"/>
        <v>0</v>
      </c>
    </row>
    <row r="791" spans="2:34" s="60" customFormat="1">
      <c r="B791" s="60" t="str">
        <f t="shared" si="954"/>
        <v>Sem3838MANUEL ALEJANDRO OSORIO CAHUEC</v>
      </c>
      <c r="C791" s="60" t="str">
        <f t="shared" si="955"/>
        <v>SEPTIEMBRESem38</v>
      </c>
      <c r="D791" s="60" t="str">
        <f t="shared" si="956"/>
        <v>SEPTIEMBRESem38MANUEL ALEJANDRO OSORIO CAHUEC</v>
      </c>
      <c r="E791" s="60" t="str">
        <f t="shared" si="957"/>
        <v>SEPTIEMBRESem3838MANUEL ALEJANDRO OSORIO CAHUEC</v>
      </c>
      <c r="F791" s="60" t="str">
        <f t="shared" si="958"/>
        <v>MANUEL ALEJANDRO OSORIO CAHUEC46285</v>
      </c>
      <c r="H791" s="61" t="s">
        <v>20</v>
      </c>
      <c r="I791" s="62" t="str">
        <f>+_xlfn.XLOOKUP($H791&amp;$V791,BASEDATOS!$B:$B,BASEDATOS!F:F,0,0,1)</f>
        <v>DESCANSO</v>
      </c>
      <c r="J791" s="63">
        <f>+_xlfn.XLOOKUP($H791&amp;$V791,BASEDATOS!$B:$B,BASEDATOS!Q:Q,0,0,1)</f>
        <v>0</v>
      </c>
      <c r="K791" s="63">
        <f>+_xlfn.XLOOKUP($H791&amp;$V791,BASEDATOS!$B:$B,BASEDATOS!R:R,0,0,1)</f>
        <v>0</v>
      </c>
      <c r="L791" s="63">
        <f t="shared" si="959"/>
        <v>0</v>
      </c>
      <c r="M791" s="64">
        <f t="shared" si="960"/>
        <v>0</v>
      </c>
      <c r="N791" s="63">
        <f t="shared" si="961"/>
        <v>0</v>
      </c>
      <c r="O791" s="65" t="str">
        <f t="shared" ref="O791" si="975">+IF(Y791="Domingo",SUM(AA785:AA791)&amp;"-"&amp;SUM(AB785:AB791)&amp;"-"&amp;SUM(AC785:AE791),"")</f>
        <v>2-2-3</v>
      </c>
      <c r="P791" s="66">
        <f>+IF(AND(Y791="Domingo",U791=7),_xlfn.XLOOKUP(O791,'Horarios y Sistemas'!C:C,'Horarios y Sistemas'!H:H,0,0,1),0)</f>
        <v>40</v>
      </c>
      <c r="Q791" s="66">
        <f>IF(U791=U792,0,IF(AVERAGEIF(W:W,W791,U:U)=U791,0,_xlfn.XLOOKUP(O791,'Horarios y Sistemas'!C:C,'Horarios y Sistemas'!H:H,0,0,1)-P791))/7*U791</f>
        <v>0</v>
      </c>
      <c r="R791" s="66">
        <f t="shared" si="963"/>
        <v>40</v>
      </c>
      <c r="S791" s="67" t="str">
        <f t="shared" si="964"/>
        <v>SEPTIEMBRE</v>
      </c>
      <c r="T791" s="55" t="str">
        <f t="shared" si="965"/>
        <v>Sem38</v>
      </c>
      <c r="U791" s="68">
        <f t="shared" si="946"/>
        <v>7</v>
      </c>
      <c r="V791" s="69">
        <v>46285</v>
      </c>
      <c r="W791" s="68">
        <f t="shared" si="966"/>
        <v>38</v>
      </c>
      <c r="X791" s="68">
        <f t="shared" si="967"/>
        <v>20</v>
      </c>
      <c r="Y791" s="68" t="s">
        <v>34</v>
      </c>
      <c r="Z791" s="68">
        <v>7</v>
      </c>
      <c r="AA791" s="70">
        <f t="shared" si="951"/>
        <v>0</v>
      </c>
      <c r="AB791" s="70">
        <f t="shared" si="951"/>
        <v>0</v>
      </c>
      <c r="AC791" s="70">
        <f t="shared" si="951"/>
        <v>1</v>
      </c>
      <c r="AD791" s="70">
        <f t="shared" si="951"/>
        <v>0</v>
      </c>
      <c r="AE791" s="70">
        <f t="shared" si="951"/>
        <v>0</v>
      </c>
      <c r="AF791" s="71"/>
      <c r="AG791" s="71"/>
      <c r="AH791" s="71"/>
    </row>
    <row r="792" spans="2:34">
      <c r="B792" t="str">
        <f t="shared" si="954"/>
        <v>Sem3939MANUEL ALEJANDRO OSORIO CAHUEC</v>
      </c>
      <c r="C792" t="str">
        <f t="shared" si="955"/>
        <v>SEPTIEMBRESem39</v>
      </c>
      <c r="D792" t="str">
        <f t="shared" si="956"/>
        <v>SEPTIEMBRESem39MANUEL ALEJANDRO OSORIO CAHUEC</v>
      </c>
      <c r="E792" t="str">
        <f t="shared" si="957"/>
        <v>SEPTIEMBRESem3939MANUEL ALEJANDRO OSORIO CAHUEC</v>
      </c>
      <c r="F792" t="str">
        <f t="shared" si="958"/>
        <v>MANUEL ALEJANDRO OSORIO CAHUEC46286</v>
      </c>
      <c r="H792" s="49" t="s">
        <v>20</v>
      </c>
      <c r="I792" s="50" t="str">
        <f>+_xlfn.XLOOKUP($H792&amp;$V792,BASEDATOS!$B:$B,BASEDATOS!F:F,0,0,1)</f>
        <v>DIA</v>
      </c>
      <c r="J792" s="51">
        <f>+_xlfn.XLOOKUP($H792&amp;$V792,BASEDATOS!$B:$B,BASEDATOS!Q:Q,0,0,1)</f>
        <v>0.29166666666666702</v>
      </c>
      <c r="K792" s="51">
        <f>+_xlfn.XLOOKUP($H792&amp;$V792,BASEDATOS!$B:$B,BASEDATOS!R:R,0,0,1)</f>
        <v>0.66666666666666696</v>
      </c>
      <c r="L792" s="51">
        <f t="shared" si="959"/>
        <v>0.37499999999999994</v>
      </c>
      <c r="M792" s="52" t="str">
        <f t="shared" si="960"/>
        <v>1:00</v>
      </c>
      <c r="N792" s="51">
        <f t="shared" si="961"/>
        <v>0.33333333333333326</v>
      </c>
      <c r="O792" s="53" t="str">
        <f t="shared" ref="O792" si="976">+O798</f>
        <v>6-0-1</v>
      </c>
      <c r="P792" s="54">
        <f>+IF(AND(Y792="Domingo",U792=7),_xlfn.XLOOKUP(O792,'Horarios y Sistemas'!C:C,'Horarios y Sistemas'!H:H,0,0,1),0)</f>
        <v>0</v>
      </c>
      <c r="Q792" s="54">
        <f>IF(U792=U793,0,IF(AVERAGEIF(W:W,W792,U:U)=U792,0,_xlfn.XLOOKUP(O792,'Horarios y Sistemas'!C:C,'Horarios y Sistemas'!H:H,0,0,1)-P792))/7*U792</f>
        <v>0</v>
      </c>
      <c r="R792" s="54">
        <f t="shared" si="963"/>
        <v>0</v>
      </c>
      <c r="S792" s="55" t="str">
        <f t="shared" si="964"/>
        <v>SEPTIEMBRE</v>
      </c>
      <c r="T792" s="55" t="str">
        <f t="shared" si="965"/>
        <v>Sem39</v>
      </c>
      <c r="U792" s="56">
        <f t="shared" si="946"/>
        <v>7</v>
      </c>
      <c r="V792" s="57">
        <v>46286</v>
      </c>
      <c r="W792" s="56">
        <f t="shared" si="966"/>
        <v>39</v>
      </c>
      <c r="X792" s="56">
        <f t="shared" si="967"/>
        <v>21</v>
      </c>
      <c r="Y792" s="56" t="s">
        <v>28</v>
      </c>
      <c r="Z792" s="56">
        <v>1</v>
      </c>
      <c r="AA792" s="58">
        <f t="shared" si="951"/>
        <v>1</v>
      </c>
      <c r="AB792" s="58">
        <f t="shared" si="951"/>
        <v>0</v>
      </c>
      <c r="AC792" s="58">
        <f t="shared" si="951"/>
        <v>0</v>
      </c>
      <c r="AD792" s="58">
        <f t="shared" si="951"/>
        <v>0</v>
      </c>
      <c r="AE792" s="58">
        <f t="shared" si="951"/>
        <v>0</v>
      </c>
    </row>
    <row r="793" spans="2:34">
      <c r="B793" t="str">
        <f t="shared" si="954"/>
        <v>Sem3939MANUEL ALEJANDRO OSORIO CAHUEC</v>
      </c>
      <c r="C793" t="str">
        <f t="shared" si="955"/>
        <v>SEPTIEMBRESem39</v>
      </c>
      <c r="D793" t="str">
        <f t="shared" si="956"/>
        <v>SEPTIEMBRESem39MANUEL ALEJANDRO OSORIO CAHUEC</v>
      </c>
      <c r="E793" t="str">
        <f t="shared" si="957"/>
        <v>SEPTIEMBRESem3939MANUEL ALEJANDRO OSORIO CAHUEC</v>
      </c>
      <c r="F793" t="str">
        <f t="shared" si="958"/>
        <v>MANUEL ALEJANDRO OSORIO CAHUEC46287</v>
      </c>
      <c r="H793" s="49" t="s">
        <v>20</v>
      </c>
      <c r="I793" s="50" t="str">
        <f>+_xlfn.XLOOKUP($H793&amp;$V793,BASEDATOS!$B:$B,BASEDATOS!F:F,0,0,1)</f>
        <v>DIA</v>
      </c>
      <c r="J793" s="51">
        <f>+_xlfn.XLOOKUP($H793&amp;$V793,BASEDATOS!$B:$B,BASEDATOS!Q:Q,0,0,1)</f>
        <v>0.29166666666666702</v>
      </c>
      <c r="K793" s="51">
        <f>+_xlfn.XLOOKUP($H793&amp;$V793,BASEDATOS!$B:$B,BASEDATOS!R:R,0,0,1)</f>
        <v>0.66666666666666696</v>
      </c>
      <c r="L793" s="51">
        <f t="shared" si="959"/>
        <v>0.37499999999999994</v>
      </c>
      <c r="M793" s="52" t="str">
        <f t="shared" si="960"/>
        <v>1:00</v>
      </c>
      <c r="N793" s="51">
        <f t="shared" si="961"/>
        <v>0.33333333333333326</v>
      </c>
      <c r="O793" s="53" t="str">
        <f t="shared" ref="O793" si="977">+O798</f>
        <v>6-0-1</v>
      </c>
      <c r="P793" s="54">
        <f>+IF(AND(Y793="Domingo",U793=7),_xlfn.XLOOKUP(O793,'Horarios y Sistemas'!C:C,'Horarios y Sistemas'!H:H,0,0,1),0)</f>
        <v>0</v>
      </c>
      <c r="Q793" s="54">
        <f>IF(U793=U794,0,IF(AVERAGEIF(W:W,W793,U:U)=U793,0,_xlfn.XLOOKUP(O793,'Horarios y Sistemas'!C:C,'Horarios y Sistemas'!H:H,0,0,1)-P793))/7*U793</f>
        <v>0</v>
      </c>
      <c r="R793" s="54">
        <f t="shared" si="963"/>
        <v>0</v>
      </c>
      <c r="S793" s="55" t="str">
        <f t="shared" si="964"/>
        <v>SEPTIEMBRE</v>
      </c>
      <c r="T793" s="55" t="str">
        <f t="shared" si="965"/>
        <v>Sem39</v>
      </c>
      <c r="U793" s="56">
        <f t="shared" si="946"/>
        <v>7</v>
      </c>
      <c r="V793" s="59">
        <v>46287</v>
      </c>
      <c r="W793" s="56">
        <f t="shared" si="966"/>
        <v>39</v>
      </c>
      <c r="X793" s="56">
        <f t="shared" si="967"/>
        <v>22</v>
      </c>
      <c r="Y793" s="56" t="s">
        <v>29</v>
      </c>
      <c r="Z793" s="56">
        <v>2</v>
      </c>
      <c r="AA793" s="58">
        <f t="shared" si="951"/>
        <v>1</v>
      </c>
      <c r="AB793" s="58">
        <f t="shared" si="951"/>
        <v>0</v>
      </c>
      <c r="AC793" s="58">
        <f t="shared" si="951"/>
        <v>0</v>
      </c>
      <c r="AD793" s="58">
        <f t="shared" si="951"/>
        <v>0</v>
      </c>
      <c r="AE793" s="58">
        <f t="shared" si="951"/>
        <v>0</v>
      </c>
    </row>
    <row r="794" spans="2:34">
      <c r="B794" t="str">
        <f t="shared" si="954"/>
        <v>Sem3939MANUEL ALEJANDRO OSORIO CAHUEC</v>
      </c>
      <c r="C794" t="str">
        <f t="shared" si="955"/>
        <v>SEPTIEMBRESem39</v>
      </c>
      <c r="D794" t="str">
        <f t="shared" si="956"/>
        <v>SEPTIEMBRESem39MANUEL ALEJANDRO OSORIO CAHUEC</v>
      </c>
      <c r="E794" t="str">
        <f t="shared" si="957"/>
        <v>SEPTIEMBRESem3939MANUEL ALEJANDRO OSORIO CAHUEC</v>
      </c>
      <c r="F794" t="str">
        <f t="shared" si="958"/>
        <v>MANUEL ALEJANDRO OSORIO CAHUEC46288</v>
      </c>
      <c r="H794" s="49" t="s">
        <v>20</v>
      </c>
      <c r="I794" s="50" t="str">
        <f>+_xlfn.XLOOKUP($H794&amp;$V794,BASEDATOS!$B:$B,BASEDATOS!F:F,0,0,1)</f>
        <v>DIA</v>
      </c>
      <c r="J794" s="51">
        <f>+_xlfn.XLOOKUP($H794&amp;$V794,BASEDATOS!$B:$B,BASEDATOS!Q:Q,0,0,1)</f>
        <v>0.29166666666666702</v>
      </c>
      <c r="K794" s="51">
        <f>+_xlfn.XLOOKUP($H794&amp;$V794,BASEDATOS!$B:$B,BASEDATOS!R:R,0,0,1)</f>
        <v>0.66666666666666696</v>
      </c>
      <c r="L794" s="51">
        <f t="shared" si="959"/>
        <v>0.37499999999999994</v>
      </c>
      <c r="M794" s="52" t="str">
        <f t="shared" si="960"/>
        <v>1:00</v>
      </c>
      <c r="N794" s="51">
        <f t="shared" si="961"/>
        <v>0.33333333333333326</v>
      </c>
      <c r="O794" s="53" t="str">
        <f t="shared" ref="O794" si="978">+O798</f>
        <v>6-0-1</v>
      </c>
      <c r="P794" s="54">
        <f>+IF(AND(Y794="Domingo",U794=7),_xlfn.XLOOKUP(O794,'Horarios y Sistemas'!C:C,'Horarios y Sistemas'!H:H,0,0,1),0)</f>
        <v>0</v>
      </c>
      <c r="Q794" s="54">
        <f>IF(U794=U795,0,IF(AVERAGEIF(W:W,W794,U:U)=U794,0,_xlfn.XLOOKUP(O794,'Horarios y Sistemas'!C:C,'Horarios y Sistemas'!H:H,0,0,1)-P794))/7*U794</f>
        <v>0</v>
      </c>
      <c r="R794" s="54">
        <f t="shared" si="963"/>
        <v>0</v>
      </c>
      <c r="S794" s="55" t="str">
        <f t="shared" si="964"/>
        <v>SEPTIEMBRE</v>
      </c>
      <c r="T794" s="55" t="str">
        <f t="shared" si="965"/>
        <v>Sem39</v>
      </c>
      <c r="U794" s="56">
        <f t="shared" si="946"/>
        <v>7</v>
      </c>
      <c r="V794" s="59">
        <v>46288</v>
      </c>
      <c r="W794" s="56">
        <f t="shared" si="966"/>
        <v>39</v>
      </c>
      <c r="X794" s="56">
        <f t="shared" si="967"/>
        <v>23</v>
      </c>
      <c r="Y794" s="56" t="s">
        <v>30</v>
      </c>
      <c r="Z794" s="56">
        <v>3</v>
      </c>
      <c r="AA794" s="58">
        <f t="shared" si="951"/>
        <v>1</v>
      </c>
      <c r="AB794" s="58">
        <f t="shared" si="951"/>
        <v>0</v>
      </c>
      <c r="AC794" s="58">
        <f t="shared" si="951"/>
        <v>0</v>
      </c>
      <c r="AD794" s="58">
        <f t="shared" si="951"/>
        <v>0</v>
      </c>
      <c r="AE794" s="58">
        <f t="shared" si="951"/>
        <v>0</v>
      </c>
    </row>
    <row r="795" spans="2:34">
      <c r="B795" t="str">
        <f t="shared" si="954"/>
        <v>Sem3939MANUEL ALEJANDRO OSORIO CAHUEC</v>
      </c>
      <c r="C795" t="str">
        <f t="shared" si="955"/>
        <v>SEPTIEMBRESem39</v>
      </c>
      <c r="D795" t="str">
        <f t="shared" si="956"/>
        <v>SEPTIEMBRESem39MANUEL ALEJANDRO OSORIO CAHUEC</v>
      </c>
      <c r="E795" t="str">
        <f t="shared" si="957"/>
        <v>SEPTIEMBRESem3939MANUEL ALEJANDRO OSORIO CAHUEC</v>
      </c>
      <c r="F795" t="str">
        <f t="shared" si="958"/>
        <v>MANUEL ALEJANDRO OSORIO CAHUEC46289</v>
      </c>
      <c r="H795" s="49" t="s">
        <v>20</v>
      </c>
      <c r="I795" s="50" t="str">
        <f>+_xlfn.XLOOKUP($H795&amp;$V795,BASEDATOS!$B:$B,BASEDATOS!F:F,0,0,1)</f>
        <v>DIA</v>
      </c>
      <c r="J795" s="51">
        <f>+_xlfn.XLOOKUP($H795&amp;$V795,BASEDATOS!$B:$B,BASEDATOS!Q:Q,0,0,1)</f>
        <v>0.375</v>
      </c>
      <c r="K795" s="51">
        <f>+_xlfn.XLOOKUP($H795&amp;$V795,BASEDATOS!$B:$B,BASEDATOS!R:R,0,0,1)</f>
        <v>0.75</v>
      </c>
      <c r="L795" s="51">
        <f t="shared" si="959"/>
        <v>0.375</v>
      </c>
      <c r="M795" s="52" t="str">
        <f t="shared" si="960"/>
        <v>1:00</v>
      </c>
      <c r="N795" s="51">
        <f t="shared" si="961"/>
        <v>0.33333333333333331</v>
      </c>
      <c r="O795" s="53" t="str">
        <f t="shared" ref="O795" si="979">+O798</f>
        <v>6-0-1</v>
      </c>
      <c r="P795" s="54">
        <f>+IF(AND(Y795="Domingo",U795=7),_xlfn.XLOOKUP(O795,'Horarios y Sistemas'!C:C,'Horarios y Sistemas'!H:H,0,0,1),0)</f>
        <v>0</v>
      </c>
      <c r="Q795" s="54">
        <f>IF(U795=U796,0,IF(AVERAGEIF(W:W,W795,U:U)=U795,0,_xlfn.XLOOKUP(O795,'Horarios y Sistemas'!C:C,'Horarios y Sistemas'!H:H,0,0,1)-P795))/7*U795</f>
        <v>0</v>
      </c>
      <c r="R795" s="54">
        <f t="shared" si="963"/>
        <v>0</v>
      </c>
      <c r="S795" s="55" t="str">
        <f t="shared" si="964"/>
        <v>SEPTIEMBRE</v>
      </c>
      <c r="T795" s="55" t="str">
        <f t="shared" si="965"/>
        <v>Sem39</v>
      </c>
      <c r="U795" s="56">
        <f t="shared" si="946"/>
        <v>7</v>
      </c>
      <c r="V795" s="59">
        <v>46289</v>
      </c>
      <c r="W795" s="56">
        <f t="shared" si="966"/>
        <v>39</v>
      </c>
      <c r="X795" s="56">
        <f t="shared" si="967"/>
        <v>24</v>
      </c>
      <c r="Y795" s="56" t="s">
        <v>31</v>
      </c>
      <c r="Z795" s="56">
        <v>4</v>
      </c>
      <c r="AA795" s="58">
        <f t="shared" si="951"/>
        <v>1</v>
      </c>
      <c r="AB795" s="58">
        <f t="shared" si="951"/>
        <v>0</v>
      </c>
      <c r="AC795" s="58">
        <f t="shared" si="951"/>
        <v>0</v>
      </c>
      <c r="AD795" s="58">
        <f t="shared" si="951"/>
        <v>0</v>
      </c>
      <c r="AE795" s="58">
        <f t="shared" si="951"/>
        <v>0</v>
      </c>
    </row>
    <row r="796" spans="2:34">
      <c r="B796" t="str">
        <f t="shared" si="954"/>
        <v>Sem3939MANUEL ALEJANDRO OSORIO CAHUEC</v>
      </c>
      <c r="C796" t="str">
        <f t="shared" si="955"/>
        <v>SEPTIEMBRESem39</v>
      </c>
      <c r="D796" t="str">
        <f t="shared" si="956"/>
        <v>SEPTIEMBRESem39MANUEL ALEJANDRO OSORIO CAHUEC</v>
      </c>
      <c r="E796" t="str">
        <f t="shared" si="957"/>
        <v>SEPTIEMBRESem3939MANUEL ALEJANDRO OSORIO CAHUEC</v>
      </c>
      <c r="F796" t="str">
        <f t="shared" si="958"/>
        <v>MANUEL ALEJANDRO OSORIO CAHUEC46290</v>
      </c>
      <c r="H796" s="49" t="s">
        <v>20</v>
      </c>
      <c r="I796" s="50" t="str">
        <f>+_xlfn.XLOOKUP($H796&amp;$V796,BASEDATOS!$B:$B,BASEDATOS!F:F,0,0,1)</f>
        <v>DIA</v>
      </c>
      <c r="J796" s="51">
        <f>+_xlfn.XLOOKUP($H796&amp;$V796,BASEDATOS!$B:$B,BASEDATOS!Q:Q,0,0,1)</f>
        <v>0.29166666666666702</v>
      </c>
      <c r="K796" s="51">
        <f>+_xlfn.XLOOKUP($H796&amp;$V796,BASEDATOS!$B:$B,BASEDATOS!R:R,0,0,1)</f>
        <v>0.66666666666666696</v>
      </c>
      <c r="L796" s="51">
        <f t="shared" si="959"/>
        <v>0.37499999999999994</v>
      </c>
      <c r="M796" s="52" t="str">
        <f t="shared" si="960"/>
        <v>1:00</v>
      </c>
      <c r="N796" s="51">
        <f t="shared" si="961"/>
        <v>0.33333333333333326</v>
      </c>
      <c r="O796" s="53" t="str">
        <f t="shared" ref="O796" si="980">+O798</f>
        <v>6-0-1</v>
      </c>
      <c r="P796" s="54">
        <f>+IF(AND(Y796="Domingo",U796=7),_xlfn.XLOOKUP(O796,'Horarios y Sistemas'!C:C,'Horarios y Sistemas'!H:H,0,0,1),0)</f>
        <v>0</v>
      </c>
      <c r="Q796" s="54">
        <f>IF(U796=U797,0,IF(AVERAGEIF(W:W,W796,U:U)=U796,0,_xlfn.XLOOKUP(O796,'Horarios y Sistemas'!C:C,'Horarios y Sistemas'!H:H,0,0,1)-P796))/7*U796</f>
        <v>0</v>
      </c>
      <c r="R796" s="54">
        <f t="shared" si="963"/>
        <v>0</v>
      </c>
      <c r="S796" s="55" t="str">
        <f t="shared" si="964"/>
        <v>SEPTIEMBRE</v>
      </c>
      <c r="T796" s="55" t="str">
        <f t="shared" si="965"/>
        <v>Sem39</v>
      </c>
      <c r="U796" s="56">
        <f t="shared" si="946"/>
        <v>7</v>
      </c>
      <c r="V796" s="59">
        <v>46290</v>
      </c>
      <c r="W796" s="56">
        <f t="shared" si="966"/>
        <v>39</v>
      </c>
      <c r="X796" s="56">
        <f t="shared" si="967"/>
        <v>25</v>
      </c>
      <c r="Y796" s="56" t="s">
        <v>32</v>
      </c>
      <c r="Z796" s="56">
        <v>5</v>
      </c>
      <c r="AA796" s="58">
        <f t="shared" si="951"/>
        <v>1</v>
      </c>
      <c r="AB796" s="58">
        <f t="shared" si="951"/>
        <v>0</v>
      </c>
      <c r="AC796" s="58">
        <f t="shared" si="951"/>
        <v>0</v>
      </c>
      <c r="AD796" s="58">
        <f t="shared" si="951"/>
        <v>0</v>
      </c>
      <c r="AE796" s="58">
        <f t="shared" si="951"/>
        <v>0</v>
      </c>
    </row>
    <row r="797" spans="2:34">
      <c r="B797" t="str">
        <f t="shared" si="954"/>
        <v>Sem3939MANUEL ALEJANDRO OSORIO CAHUEC</v>
      </c>
      <c r="C797" t="str">
        <f t="shared" si="955"/>
        <v>SEPTIEMBRESem39</v>
      </c>
      <c r="D797" t="str">
        <f t="shared" si="956"/>
        <v>SEPTIEMBRESem39MANUEL ALEJANDRO OSORIO CAHUEC</v>
      </c>
      <c r="E797" t="str">
        <f t="shared" si="957"/>
        <v>SEPTIEMBRESem3939MANUEL ALEJANDRO OSORIO CAHUEC</v>
      </c>
      <c r="F797" t="str">
        <f t="shared" si="958"/>
        <v>MANUEL ALEJANDRO OSORIO CAHUEC46291</v>
      </c>
      <c r="H797" s="49" t="s">
        <v>20</v>
      </c>
      <c r="I797" s="50" t="str">
        <f>+_xlfn.XLOOKUP($H797&amp;$V797,BASEDATOS!$B:$B,BASEDATOS!F:F,0,0,1)</f>
        <v>DIA</v>
      </c>
      <c r="J797" s="51">
        <f>+_xlfn.XLOOKUP($H797&amp;$V797,BASEDATOS!$B:$B,BASEDATOS!Q:Q,0,0,1)</f>
        <v>0.29166666666666702</v>
      </c>
      <c r="K797" s="51">
        <f>+_xlfn.XLOOKUP($H797&amp;$V797,BASEDATOS!$B:$B,BASEDATOS!R:R,0,0,1)</f>
        <v>0.5</v>
      </c>
      <c r="L797" s="51">
        <f t="shared" si="959"/>
        <v>0.20833333333333298</v>
      </c>
      <c r="M797" s="52" t="str">
        <f t="shared" si="960"/>
        <v>1:00</v>
      </c>
      <c r="N797" s="51">
        <f t="shared" si="961"/>
        <v>0.16666666666666632</v>
      </c>
      <c r="O797" s="53" t="str">
        <f t="shared" ref="O797" si="981">+O798</f>
        <v>6-0-1</v>
      </c>
      <c r="P797" s="54">
        <f>+IF(AND(Y797="Domingo",U797=7),_xlfn.XLOOKUP(O797,'Horarios y Sistemas'!C:C,'Horarios y Sistemas'!H:H,0,0,1),0)</f>
        <v>0</v>
      </c>
      <c r="Q797" s="54">
        <f>IF(U797=U798,0,IF(AVERAGEIF(W:W,W797,U:U)=U797,0,_xlfn.XLOOKUP(O797,'Horarios y Sistemas'!C:C,'Horarios y Sistemas'!H:H,0,0,1)-P797))/7*U797</f>
        <v>0</v>
      </c>
      <c r="R797" s="54">
        <f t="shared" si="963"/>
        <v>0</v>
      </c>
      <c r="S797" s="55" t="str">
        <f t="shared" si="964"/>
        <v>SEPTIEMBRE</v>
      </c>
      <c r="T797" s="55" t="str">
        <f t="shared" si="965"/>
        <v>Sem39</v>
      </c>
      <c r="U797" s="56">
        <f t="shared" si="946"/>
        <v>7</v>
      </c>
      <c r="V797" s="59">
        <v>46291</v>
      </c>
      <c r="W797" s="56">
        <f t="shared" si="966"/>
        <v>39</v>
      </c>
      <c r="X797" s="56">
        <f t="shared" si="967"/>
        <v>26</v>
      </c>
      <c r="Y797" s="56" t="s">
        <v>33</v>
      </c>
      <c r="Z797" s="56">
        <v>6</v>
      </c>
      <c r="AA797" s="58">
        <f t="shared" si="951"/>
        <v>1</v>
      </c>
      <c r="AB797" s="58">
        <f t="shared" si="951"/>
        <v>0</v>
      </c>
      <c r="AC797" s="58">
        <f t="shared" si="951"/>
        <v>0</v>
      </c>
      <c r="AD797" s="58">
        <f t="shared" si="951"/>
        <v>0</v>
      </c>
      <c r="AE797" s="58">
        <f t="shared" si="951"/>
        <v>0</v>
      </c>
    </row>
    <row r="798" spans="2:34" s="60" customFormat="1">
      <c r="B798" s="60" t="str">
        <f t="shared" si="954"/>
        <v>Sem3939MANUEL ALEJANDRO OSORIO CAHUEC</v>
      </c>
      <c r="C798" s="60" t="str">
        <f t="shared" si="955"/>
        <v>SEPTIEMBRESem39</v>
      </c>
      <c r="D798" s="60" t="str">
        <f t="shared" si="956"/>
        <v>SEPTIEMBRESem39MANUEL ALEJANDRO OSORIO CAHUEC</v>
      </c>
      <c r="E798" s="60" t="str">
        <f t="shared" si="957"/>
        <v>SEPTIEMBRESem3939MANUEL ALEJANDRO OSORIO CAHUEC</v>
      </c>
      <c r="F798" s="60" t="str">
        <f t="shared" si="958"/>
        <v>MANUEL ALEJANDRO OSORIO CAHUEC46292</v>
      </c>
      <c r="H798" s="61" t="s">
        <v>20</v>
      </c>
      <c r="I798" s="62" t="str">
        <f>+_xlfn.XLOOKUP($H798&amp;$V798,BASEDATOS!$B:$B,BASEDATOS!F:F,0,0,1)</f>
        <v>DESCANSO</v>
      </c>
      <c r="J798" s="63">
        <f>+_xlfn.XLOOKUP($H798&amp;$V798,BASEDATOS!$B:$B,BASEDATOS!Q:Q,0,0,1)</f>
        <v>0</v>
      </c>
      <c r="K798" s="63">
        <f>+_xlfn.XLOOKUP($H798&amp;$V798,BASEDATOS!$B:$B,BASEDATOS!R:R,0,0,1)</f>
        <v>0</v>
      </c>
      <c r="L798" s="63">
        <f t="shared" si="959"/>
        <v>0</v>
      </c>
      <c r="M798" s="64">
        <f t="shared" si="960"/>
        <v>0</v>
      </c>
      <c r="N798" s="63">
        <f t="shared" si="961"/>
        <v>0</v>
      </c>
      <c r="O798" s="65" t="str">
        <f t="shared" ref="O798" si="982">+IF(Y798="Domingo",SUM(AA792:AA798)&amp;"-"&amp;SUM(AB792:AB798)&amp;"-"&amp;SUM(AC792:AE798),"")</f>
        <v>6-0-1</v>
      </c>
      <c r="P798" s="66">
        <f>+IF(AND(Y798="Domingo",U798=7),_xlfn.XLOOKUP(O798,'Horarios y Sistemas'!C:C,'Horarios y Sistemas'!H:H,0,0,1),0)</f>
        <v>44</v>
      </c>
      <c r="Q798" s="66">
        <f>IF(U798=U799,0,IF(AVERAGEIF(W:W,W798,U:U)=U798,0,_xlfn.XLOOKUP(O798,'Horarios y Sistemas'!C:C,'Horarios y Sistemas'!H:H,0,0,1)-P798))/7*U798</f>
        <v>0</v>
      </c>
      <c r="R798" s="66">
        <f t="shared" si="963"/>
        <v>44</v>
      </c>
      <c r="S798" s="67" t="str">
        <f t="shared" si="964"/>
        <v>SEPTIEMBRE</v>
      </c>
      <c r="T798" s="55" t="str">
        <f t="shared" si="965"/>
        <v>Sem39</v>
      </c>
      <c r="U798" s="68">
        <f t="shared" si="946"/>
        <v>7</v>
      </c>
      <c r="V798" s="69">
        <v>46292</v>
      </c>
      <c r="W798" s="68">
        <f t="shared" si="966"/>
        <v>39</v>
      </c>
      <c r="X798" s="68">
        <f t="shared" si="967"/>
        <v>27</v>
      </c>
      <c r="Y798" s="68" t="s">
        <v>34</v>
      </c>
      <c r="Z798" s="68">
        <v>7</v>
      </c>
      <c r="AA798" s="70">
        <f t="shared" si="951"/>
        <v>0</v>
      </c>
      <c r="AB798" s="70">
        <f t="shared" si="951"/>
        <v>0</v>
      </c>
      <c r="AC798" s="70">
        <f t="shared" si="951"/>
        <v>1</v>
      </c>
      <c r="AD798" s="70">
        <f t="shared" si="951"/>
        <v>0</v>
      </c>
      <c r="AE798" s="70">
        <f t="shared" si="951"/>
        <v>0</v>
      </c>
      <c r="AF798" s="71"/>
      <c r="AG798" s="71"/>
      <c r="AH798" s="71"/>
    </row>
    <row r="799" spans="2:34">
      <c r="B799" t="str">
        <f t="shared" si="954"/>
        <v>Sem4040MANUEL ALEJANDRO OSORIO CAHUEC</v>
      </c>
      <c r="C799" t="str">
        <f t="shared" si="955"/>
        <v>SEPTIEMBRESem40</v>
      </c>
      <c r="D799" t="str">
        <f t="shared" si="956"/>
        <v>SEPTIEMBRESem40MANUEL ALEJANDRO OSORIO CAHUEC</v>
      </c>
      <c r="E799" t="str">
        <f t="shared" si="957"/>
        <v>SEPTIEMBRESem4040MANUEL ALEJANDRO OSORIO CAHUEC</v>
      </c>
      <c r="F799" t="str">
        <f t="shared" si="958"/>
        <v>MANUEL ALEJANDRO OSORIO CAHUEC46293</v>
      </c>
      <c r="H799" s="49" t="s">
        <v>20</v>
      </c>
      <c r="I799" s="50" t="str">
        <f>+_xlfn.XLOOKUP($H799&amp;$V799,BASEDATOS!$B:$B,BASEDATOS!F:F,0,0,1)</f>
        <v>DIA</v>
      </c>
      <c r="J799" s="51">
        <f>+_xlfn.XLOOKUP($H799&amp;$V799,BASEDATOS!$B:$B,BASEDATOS!Q:Q,0,0,1)</f>
        <v>0.33333333333333298</v>
      </c>
      <c r="K799" s="51">
        <f>+_xlfn.XLOOKUP($H799&amp;$V799,BASEDATOS!$B:$B,BASEDATOS!R:R,0,0,1)</f>
        <v>0.70833333333333304</v>
      </c>
      <c r="L799" s="51">
        <f t="shared" si="959"/>
        <v>0.37500000000000006</v>
      </c>
      <c r="M799" s="52" t="str">
        <f t="shared" si="960"/>
        <v>1:00</v>
      </c>
      <c r="N799" s="51">
        <f t="shared" si="961"/>
        <v>0.33333333333333337</v>
      </c>
      <c r="O799" s="53" t="str">
        <f t="shared" ref="O799" si="983">+O805</f>
        <v>2-3-2</v>
      </c>
      <c r="P799" s="54">
        <f>+IF(AND(Y799="Domingo",U799=7),_xlfn.XLOOKUP(O799,'Horarios y Sistemas'!C:C,'Horarios y Sistemas'!H:H,0,0,1),0)</f>
        <v>0</v>
      </c>
      <c r="Q799" s="54">
        <f>IF(U799=U800,0,IF(AVERAGEIF(W:W,W799,U:U)=U799,0,_xlfn.XLOOKUP(O799,'Horarios y Sistemas'!C:C,'Horarios y Sistemas'!H:H,0,0,1)-P799))/7*U799</f>
        <v>0</v>
      </c>
      <c r="R799" s="54">
        <f t="shared" si="963"/>
        <v>0</v>
      </c>
      <c r="S799" s="55" t="str">
        <f t="shared" si="964"/>
        <v>SEPTIEMBRE</v>
      </c>
      <c r="T799" s="55" t="str">
        <f t="shared" si="965"/>
        <v>Sem40</v>
      </c>
      <c r="U799" s="56">
        <f t="shared" si="946"/>
        <v>7</v>
      </c>
      <c r="V799" s="59">
        <v>46293</v>
      </c>
      <c r="W799" s="56">
        <f t="shared" si="966"/>
        <v>40</v>
      </c>
      <c r="X799" s="56">
        <f t="shared" si="967"/>
        <v>28</v>
      </c>
      <c r="Y799" s="56" t="s">
        <v>28</v>
      </c>
      <c r="Z799" s="56">
        <v>1</v>
      </c>
      <c r="AA799" s="58">
        <f t="shared" si="951"/>
        <v>1</v>
      </c>
      <c r="AB799" s="58">
        <f t="shared" si="951"/>
        <v>0</v>
      </c>
      <c r="AC799" s="58">
        <f t="shared" si="951"/>
        <v>0</v>
      </c>
      <c r="AD799" s="58">
        <f t="shared" si="951"/>
        <v>0</v>
      </c>
      <c r="AE799" s="58">
        <f t="shared" si="951"/>
        <v>0</v>
      </c>
    </row>
    <row r="800" spans="2:34">
      <c r="B800" t="str">
        <f t="shared" si="954"/>
        <v>Sem4040MANUEL ALEJANDRO OSORIO CAHUEC</v>
      </c>
      <c r="C800" t="str">
        <f t="shared" si="955"/>
        <v>SEPTIEMBRESem40</v>
      </c>
      <c r="D800" t="str">
        <f t="shared" si="956"/>
        <v>SEPTIEMBRESem40MANUEL ALEJANDRO OSORIO CAHUEC</v>
      </c>
      <c r="E800" t="str">
        <f t="shared" si="957"/>
        <v>SEPTIEMBRESem4040MANUEL ALEJANDRO OSORIO CAHUEC</v>
      </c>
      <c r="F800" t="str">
        <f t="shared" si="958"/>
        <v>MANUEL ALEJANDRO OSORIO CAHUEC46294</v>
      </c>
      <c r="H800" s="49" t="s">
        <v>20</v>
      </c>
      <c r="I800" s="50" t="str">
        <f>+_xlfn.XLOOKUP($H800&amp;$V800,BASEDATOS!$B:$B,BASEDATOS!F:F,0,0,1)</f>
        <v>DIA</v>
      </c>
      <c r="J800" s="51">
        <f>+_xlfn.XLOOKUP($H800&amp;$V800,BASEDATOS!$B:$B,BASEDATOS!Q:Q,0,0,1)</f>
        <v>0.29166666666666702</v>
      </c>
      <c r="K800" s="51">
        <f>+_xlfn.XLOOKUP($H800&amp;$V800,BASEDATOS!$B:$B,BASEDATOS!R:R,0,0,1)</f>
        <v>0.66666666666666696</v>
      </c>
      <c r="L800" s="51">
        <f t="shared" si="959"/>
        <v>0.37499999999999994</v>
      </c>
      <c r="M800" s="52" t="str">
        <f t="shared" si="960"/>
        <v>1:00</v>
      </c>
      <c r="N800" s="51">
        <f t="shared" si="961"/>
        <v>0.33333333333333326</v>
      </c>
      <c r="O800" s="53" t="str">
        <f t="shared" ref="O800" si="984">+O805</f>
        <v>2-3-2</v>
      </c>
      <c r="P800" s="54">
        <f>+IF(AND(Y800="Domingo",U800=7),_xlfn.XLOOKUP(O800,'Horarios y Sistemas'!C:C,'Horarios y Sistemas'!H:H,0,0,1),0)</f>
        <v>0</v>
      </c>
      <c r="Q800" s="54">
        <f>IF(U800=U801,0,IF(AVERAGEIF(W:W,W800,U:U)=U800,0,_xlfn.XLOOKUP(O800,'Horarios y Sistemas'!C:C,'Horarios y Sistemas'!H:H,0,0,1)-P800))/7*U800</f>
        <v>0</v>
      </c>
      <c r="R800" s="54">
        <f t="shared" si="963"/>
        <v>0</v>
      </c>
      <c r="S800" s="55" t="str">
        <f t="shared" si="964"/>
        <v>SEPTIEMBRE</v>
      </c>
      <c r="T800" s="55" t="str">
        <f t="shared" si="965"/>
        <v>Sem40</v>
      </c>
      <c r="U800" s="56">
        <f t="shared" si="946"/>
        <v>7</v>
      </c>
      <c r="V800" s="59">
        <v>46294</v>
      </c>
      <c r="W800" s="56">
        <f t="shared" si="966"/>
        <v>40</v>
      </c>
      <c r="X800" s="56">
        <f t="shared" si="967"/>
        <v>29</v>
      </c>
      <c r="Y800" s="56" t="s">
        <v>29</v>
      </c>
      <c r="Z800" s="56">
        <v>2</v>
      </c>
      <c r="AA800" s="58">
        <f t="shared" si="951"/>
        <v>1</v>
      </c>
      <c r="AB800" s="58">
        <f t="shared" si="951"/>
        <v>0</v>
      </c>
      <c r="AC800" s="58">
        <f t="shared" si="951"/>
        <v>0</v>
      </c>
      <c r="AD800" s="58">
        <f t="shared" si="951"/>
        <v>0</v>
      </c>
      <c r="AE800" s="58">
        <f t="shared" si="951"/>
        <v>0</v>
      </c>
    </row>
    <row r="801" spans="2:34">
      <c r="B801" t="str">
        <f t="shared" si="954"/>
        <v>Sem4040MANUEL ALEJANDRO OSORIO CAHUEC</v>
      </c>
      <c r="C801" t="str">
        <f t="shared" si="955"/>
        <v>SEPTIEMBRESem40</v>
      </c>
      <c r="D801" t="str">
        <f t="shared" si="956"/>
        <v>SEPTIEMBRESem40MANUEL ALEJANDRO OSORIO CAHUEC</v>
      </c>
      <c r="E801" t="str">
        <f t="shared" si="957"/>
        <v>SEPTIEMBRESem4040MANUEL ALEJANDRO OSORIO CAHUEC</v>
      </c>
      <c r="F801" t="str">
        <f t="shared" si="958"/>
        <v>MANUEL ALEJANDRO OSORIO CAHUEC46295</v>
      </c>
      <c r="H801" s="49" t="s">
        <v>20</v>
      </c>
      <c r="I801" s="50" t="str">
        <f>+_xlfn.XLOOKUP($H801&amp;$V801,BASEDATOS!$B:$B,BASEDATOS!F:F,0,0,1)</f>
        <v>NOCHE</v>
      </c>
      <c r="J801" s="51">
        <f>+_xlfn.XLOOKUP($H801&amp;$V801,BASEDATOS!$B:$B,BASEDATOS!Q:Q,0,0,1)</f>
        <v>0.79166666666666696</v>
      </c>
      <c r="K801" s="51">
        <f>+_xlfn.XLOOKUP($H801&amp;$V801,BASEDATOS!$B:$B,BASEDATOS!R:R,0,0,1)</f>
        <v>0.20833333333333301</v>
      </c>
      <c r="L801" s="51">
        <f t="shared" si="959"/>
        <v>0.41666666666666607</v>
      </c>
      <c r="M801" s="52" t="str">
        <f t="shared" si="960"/>
        <v>1:00</v>
      </c>
      <c r="N801" s="51">
        <f t="shared" si="961"/>
        <v>0.37499999999999939</v>
      </c>
      <c r="O801" s="53" t="str">
        <f t="shared" ref="O801" si="985">+O805</f>
        <v>2-3-2</v>
      </c>
      <c r="P801" s="54">
        <f>+IF(AND(Y801="Domingo",U801=7),_xlfn.XLOOKUP(O801,'Horarios y Sistemas'!C:C,'Horarios y Sistemas'!H:H,0,0,1),0)</f>
        <v>0</v>
      </c>
      <c r="Q801" s="54">
        <f>IF(U801=U802,0,IF(AVERAGEIF(W:W,W801,U:U)=U801,0,_xlfn.XLOOKUP(O801,'Horarios y Sistemas'!C:C,'Horarios y Sistemas'!H:H,0,0,1)-P801))/7*U801</f>
        <v>0</v>
      </c>
      <c r="R801" s="54">
        <f t="shared" si="963"/>
        <v>0</v>
      </c>
      <c r="S801" s="55" t="str">
        <f t="shared" si="964"/>
        <v>SEPTIEMBRE</v>
      </c>
      <c r="T801" s="55" t="str">
        <f t="shared" si="965"/>
        <v>Sem40</v>
      </c>
      <c r="U801" s="56">
        <f t="shared" si="946"/>
        <v>7</v>
      </c>
      <c r="V801" s="59">
        <v>46295</v>
      </c>
      <c r="W801" s="56">
        <f t="shared" si="966"/>
        <v>40</v>
      </c>
      <c r="X801" s="56">
        <f t="shared" si="967"/>
        <v>30</v>
      </c>
      <c r="Y801" s="56" t="s">
        <v>30</v>
      </c>
      <c r="Z801" s="56">
        <v>3</v>
      </c>
      <c r="AA801" s="58">
        <f t="shared" si="951"/>
        <v>0</v>
      </c>
      <c r="AB801" s="58">
        <f t="shared" si="951"/>
        <v>1</v>
      </c>
      <c r="AC801" s="58">
        <f t="shared" si="951"/>
        <v>0</v>
      </c>
      <c r="AD801" s="58">
        <f t="shared" si="951"/>
        <v>0</v>
      </c>
      <c r="AE801" s="58">
        <f t="shared" si="951"/>
        <v>0</v>
      </c>
    </row>
    <row r="802" spans="2:34">
      <c r="B802" t="str">
        <f t="shared" si="954"/>
        <v>Sem4040MANUEL ALEJANDRO OSORIO CAHUEC</v>
      </c>
      <c r="C802" t="str">
        <f t="shared" si="955"/>
        <v>OCTUBRESem40</v>
      </c>
      <c r="D802" t="str">
        <f t="shared" si="956"/>
        <v>OCTUBRESem40MANUEL ALEJANDRO OSORIO CAHUEC</v>
      </c>
      <c r="E802" t="str">
        <f t="shared" si="957"/>
        <v>OCTUBRESem4040MANUEL ALEJANDRO OSORIO CAHUEC</v>
      </c>
      <c r="F802" t="str">
        <f t="shared" si="958"/>
        <v>MANUEL ALEJANDRO OSORIO CAHUEC46296</v>
      </c>
      <c r="H802" s="49" t="s">
        <v>20</v>
      </c>
      <c r="I802" s="50" t="str">
        <f>+_xlfn.XLOOKUP($H802&amp;$V802,BASEDATOS!$B:$B,BASEDATOS!F:F,0,0,1)</f>
        <v>NOCHE</v>
      </c>
      <c r="J802" s="51">
        <f>+_xlfn.XLOOKUP($H802&amp;$V802,BASEDATOS!$B:$B,BASEDATOS!Q:Q,0,0,1)</f>
        <v>0.79166666666666696</v>
      </c>
      <c r="K802" s="51">
        <f>+_xlfn.XLOOKUP($H802&amp;$V802,BASEDATOS!$B:$B,BASEDATOS!R:R,0,0,1)</f>
        <v>0.20833333333333301</v>
      </c>
      <c r="L802" s="51">
        <f t="shared" si="959"/>
        <v>0.41666666666666607</v>
      </c>
      <c r="M802" s="52" t="str">
        <f t="shared" si="960"/>
        <v>1:00</v>
      </c>
      <c r="N802" s="51">
        <f t="shared" si="961"/>
        <v>0.37499999999999939</v>
      </c>
      <c r="O802" s="53" t="str">
        <f t="shared" ref="O802" si="986">+O805</f>
        <v>2-3-2</v>
      </c>
      <c r="P802" s="54">
        <f>+IF(AND(Y802="Domingo",U802=7),_xlfn.XLOOKUP(O802,'Horarios y Sistemas'!C:C,'Horarios y Sistemas'!H:H,0,0,1),0)</f>
        <v>0</v>
      </c>
      <c r="Q802" s="54">
        <f>IF(U802=U803,0,IF(AVERAGEIF(W:W,W802,U:U)=U802,0,_xlfn.XLOOKUP(O802,'Horarios y Sistemas'!C:C,'Horarios y Sistemas'!H:H,0,0,1)-P802))/7*U802</f>
        <v>0</v>
      </c>
      <c r="R802" s="54">
        <f t="shared" si="963"/>
        <v>0</v>
      </c>
      <c r="S802" s="55" t="str">
        <f t="shared" si="964"/>
        <v>OCTUBRE</v>
      </c>
      <c r="T802" s="55" t="str">
        <f t="shared" si="965"/>
        <v>Sem40</v>
      </c>
      <c r="U802" s="56">
        <f t="shared" si="946"/>
        <v>7</v>
      </c>
      <c r="V802" s="59">
        <v>46296</v>
      </c>
      <c r="W802" s="56">
        <f t="shared" si="966"/>
        <v>40</v>
      </c>
      <c r="X802" s="56">
        <f t="shared" si="967"/>
        <v>1</v>
      </c>
      <c r="Y802" s="56" t="s">
        <v>31</v>
      </c>
      <c r="Z802" s="56">
        <v>4</v>
      </c>
      <c r="AA802" s="58">
        <f t="shared" si="951"/>
        <v>0</v>
      </c>
      <c r="AB802" s="58">
        <f t="shared" si="951"/>
        <v>1</v>
      </c>
      <c r="AC802" s="58">
        <f t="shared" si="951"/>
        <v>0</v>
      </c>
      <c r="AD802" s="58">
        <f t="shared" si="951"/>
        <v>0</v>
      </c>
      <c r="AE802" s="58">
        <f t="shared" si="951"/>
        <v>0</v>
      </c>
    </row>
    <row r="803" spans="2:34">
      <c r="B803" t="str">
        <f t="shared" si="954"/>
        <v>Sem4040MANUEL ALEJANDRO OSORIO CAHUEC</v>
      </c>
      <c r="C803" t="str">
        <f t="shared" si="955"/>
        <v>OCTUBRESem40</v>
      </c>
      <c r="D803" t="str">
        <f t="shared" si="956"/>
        <v>OCTUBRESem40MANUEL ALEJANDRO OSORIO CAHUEC</v>
      </c>
      <c r="E803" t="str">
        <f t="shared" si="957"/>
        <v>OCTUBRESem4040MANUEL ALEJANDRO OSORIO CAHUEC</v>
      </c>
      <c r="F803" t="str">
        <f t="shared" si="958"/>
        <v>MANUEL ALEJANDRO OSORIO CAHUEC46297</v>
      </c>
      <c r="H803" s="49" t="s">
        <v>20</v>
      </c>
      <c r="I803" s="50" t="str">
        <f>+_xlfn.XLOOKUP($H803&amp;$V803,BASEDATOS!$B:$B,BASEDATOS!F:F,0,0,1)</f>
        <v>NOCHE</v>
      </c>
      <c r="J803" s="51">
        <f>+_xlfn.XLOOKUP($H803&amp;$V803,BASEDATOS!$B:$B,BASEDATOS!Q:Q,0,0,1)</f>
        <v>0.79166666666666696</v>
      </c>
      <c r="K803" s="51">
        <f>+_xlfn.XLOOKUP($H803&amp;$V803,BASEDATOS!$B:$B,BASEDATOS!R:R,0,0,1)</f>
        <v>0.20833333333333301</v>
      </c>
      <c r="L803" s="51">
        <f t="shared" si="959"/>
        <v>0.41666666666666607</v>
      </c>
      <c r="M803" s="52" t="str">
        <f t="shared" si="960"/>
        <v>1:00</v>
      </c>
      <c r="N803" s="51">
        <f t="shared" si="961"/>
        <v>0.37499999999999939</v>
      </c>
      <c r="O803" s="53" t="str">
        <f t="shared" ref="O803" si="987">+O805</f>
        <v>2-3-2</v>
      </c>
      <c r="P803" s="54">
        <f>+IF(AND(Y803="Domingo",U803=7),_xlfn.XLOOKUP(O803,'Horarios y Sistemas'!C:C,'Horarios y Sistemas'!H:H,0,0,1),0)</f>
        <v>0</v>
      </c>
      <c r="Q803" s="54">
        <f>IF(U803=U804,0,IF(AVERAGEIF(W:W,W803,U:U)=U803,0,_xlfn.XLOOKUP(O803,'Horarios y Sistemas'!C:C,'Horarios y Sistemas'!H:H,0,0,1)-P803))/7*U803</f>
        <v>0</v>
      </c>
      <c r="R803" s="54">
        <f t="shared" si="963"/>
        <v>0</v>
      </c>
      <c r="S803" s="55" t="str">
        <f t="shared" si="964"/>
        <v>OCTUBRE</v>
      </c>
      <c r="T803" s="55" t="str">
        <f t="shared" si="965"/>
        <v>Sem40</v>
      </c>
      <c r="U803" s="56">
        <f t="shared" si="946"/>
        <v>7</v>
      </c>
      <c r="V803" s="59">
        <v>46297</v>
      </c>
      <c r="W803" s="56">
        <f t="shared" si="966"/>
        <v>40</v>
      </c>
      <c r="X803" s="56">
        <f t="shared" si="967"/>
        <v>2</v>
      </c>
      <c r="Y803" s="56" t="s">
        <v>32</v>
      </c>
      <c r="Z803" s="56">
        <v>5</v>
      </c>
      <c r="AA803" s="58">
        <f t="shared" si="951"/>
        <v>0</v>
      </c>
      <c r="AB803" s="58">
        <f t="shared" si="951"/>
        <v>1</v>
      </c>
      <c r="AC803" s="58">
        <f t="shared" si="951"/>
        <v>0</v>
      </c>
      <c r="AD803" s="58">
        <f t="shared" si="951"/>
        <v>0</v>
      </c>
      <c r="AE803" s="58">
        <f t="shared" si="951"/>
        <v>0</v>
      </c>
    </row>
    <row r="804" spans="2:34">
      <c r="B804" t="str">
        <f t="shared" si="954"/>
        <v>Sem4040MANUEL ALEJANDRO OSORIO CAHUEC</v>
      </c>
      <c r="C804" t="str">
        <f t="shared" si="955"/>
        <v>OCTUBRESem40</v>
      </c>
      <c r="D804" t="str">
        <f t="shared" si="956"/>
        <v>OCTUBRESem40MANUEL ALEJANDRO OSORIO CAHUEC</v>
      </c>
      <c r="E804" t="str">
        <f t="shared" si="957"/>
        <v>OCTUBRESem4040MANUEL ALEJANDRO OSORIO CAHUEC</v>
      </c>
      <c r="F804" t="str">
        <f t="shared" si="958"/>
        <v>MANUEL ALEJANDRO OSORIO CAHUEC46298</v>
      </c>
      <c r="H804" s="49" t="s">
        <v>20</v>
      </c>
      <c r="I804" s="50" t="str">
        <f>+_xlfn.XLOOKUP($H804&amp;$V804,BASEDATOS!$B:$B,BASEDATOS!F:F,0,0,1)</f>
        <v>DESCANSO</v>
      </c>
      <c r="J804" s="51">
        <f>+_xlfn.XLOOKUP($H804&amp;$V804,BASEDATOS!$B:$B,BASEDATOS!Q:Q,0,0,1)</f>
        <v>0</v>
      </c>
      <c r="K804" s="51">
        <f>+_xlfn.XLOOKUP($H804&amp;$V804,BASEDATOS!$B:$B,BASEDATOS!R:R,0,0,1)</f>
        <v>0</v>
      </c>
      <c r="L804" s="51">
        <f t="shared" si="959"/>
        <v>0</v>
      </c>
      <c r="M804" s="52">
        <f t="shared" si="960"/>
        <v>0</v>
      </c>
      <c r="N804" s="51">
        <f t="shared" si="961"/>
        <v>0</v>
      </c>
      <c r="O804" s="53" t="str">
        <f t="shared" ref="O804" si="988">+O805</f>
        <v>2-3-2</v>
      </c>
      <c r="P804" s="54">
        <f>+IF(AND(Y804="Domingo",U804=7),_xlfn.XLOOKUP(O804,'Horarios y Sistemas'!C:C,'Horarios y Sistemas'!H:H,0,0,1),0)</f>
        <v>0</v>
      </c>
      <c r="Q804" s="54">
        <f>IF(U804=U805,0,IF(AVERAGEIF(W:W,W804,U:U)=U804,0,_xlfn.XLOOKUP(O804,'Horarios y Sistemas'!C:C,'Horarios y Sistemas'!H:H,0,0,1)-P804))/7*U804</f>
        <v>0</v>
      </c>
      <c r="R804" s="54">
        <f t="shared" si="963"/>
        <v>0</v>
      </c>
      <c r="S804" s="55" t="str">
        <f t="shared" si="964"/>
        <v>OCTUBRE</v>
      </c>
      <c r="T804" s="55" t="str">
        <f t="shared" si="965"/>
        <v>Sem40</v>
      </c>
      <c r="U804" s="56">
        <f t="shared" si="946"/>
        <v>7</v>
      </c>
      <c r="V804" s="59">
        <v>46298</v>
      </c>
      <c r="W804" s="56">
        <f t="shared" si="966"/>
        <v>40</v>
      </c>
      <c r="X804" s="56">
        <f t="shared" si="967"/>
        <v>3</v>
      </c>
      <c r="Y804" s="56" t="s">
        <v>33</v>
      </c>
      <c r="Z804" s="56">
        <v>6</v>
      </c>
      <c r="AA804" s="58">
        <f t="shared" si="951"/>
        <v>0</v>
      </c>
      <c r="AB804" s="58">
        <f t="shared" si="951"/>
        <v>0</v>
      </c>
      <c r="AC804" s="58">
        <f t="shared" si="951"/>
        <v>1</v>
      </c>
      <c r="AD804" s="58">
        <f t="shared" si="951"/>
        <v>0</v>
      </c>
      <c r="AE804" s="58">
        <f t="shared" si="951"/>
        <v>0</v>
      </c>
    </row>
    <row r="805" spans="2:34" s="60" customFormat="1">
      <c r="B805" s="60" t="str">
        <f t="shared" si="954"/>
        <v>Sem4040MANUEL ALEJANDRO OSORIO CAHUEC</v>
      </c>
      <c r="C805" s="60" t="str">
        <f t="shared" si="955"/>
        <v>OCTUBRESem40</v>
      </c>
      <c r="D805" s="60" t="str">
        <f t="shared" si="956"/>
        <v>OCTUBRESem40MANUEL ALEJANDRO OSORIO CAHUEC</v>
      </c>
      <c r="E805" s="60" t="str">
        <f t="shared" si="957"/>
        <v>OCTUBRESem4040MANUEL ALEJANDRO OSORIO CAHUEC</v>
      </c>
      <c r="F805" s="60" t="str">
        <f t="shared" si="958"/>
        <v>MANUEL ALEJANDRO OSORIO CAHUEC46299</v>
      </c>
      <c r="H805" s="61" t="s">
        <v>20</v>
      </c>
      <c r="I805" s="62" t="str">
        <f>+_xlfn.XLOOKUP($H805&amp;$V805,BASEDATOS!$B:$B,BASEDATOS!F:F,0,0,1)</f>
        <v>DESCANSO</v>
      </c>
      <c r="J805" s="63">
        <f>+_xlfn.XLOOKUP($H805&amp;$V805,BASEDATOS!$B:$B,BASEDATOS!Q:Q,0,0,1)</f>
        <v>0</v>
      </c>
      <c r="K805" s="63">
        <f>+_xlfn.XLOOKUP($H805&amp;$V805,BASEDATOS!$B:$B,BASEDATOS!R:R,0,0,1)</f>
        <v>0</v>
      </c>
      <c r="L805" s="63">
        <f t="shared" si="959"/>
        <v>0</v>
      </c>
      <c r="M805" s="64">
        <f t="shared" si="960"/>
        <v>0</v>
      </c>
      <c r="N805" s="63">
        <f t="shared" si="961"/>
        <v>0</v>
      </c>
      <c r="O805" s="65" t="str">
        <f t="shared" ref="O805" si="989">+IF(Y805="Domingo",SUM(AA799:AA805)&amp;"-"&amp;SUM(AB799:AB805)&amp;"-"&amp;SUM(AC799:AE805),"")</f>
        <v>2-3-2</v>
      </c>
      <c r="P805" s="66">
        <f>+IF(AND(Y805="Domingo",U805=7),_xlfn.XLOOKUP(O805,'Horarios y Sistemas'!C:C,'Horarios y Sistemas'!H:H,0,0,1),0)</f>
        <v>39.200000000000003</v>
      </c>
      <c r="Q805" s="66">
        <f>IF(U805=U806,0,IF(AVERAGEIF(W:W,W805,U:U)=U805,0,_xlfn.XLOOKUP(O805,'Horarios y Sistemas'!C:C,'Horarios y Sistemas'!H:H,0,0,1)-P805))/7*U805</f>
        <v>0</v>
      </c>
      <c r="R805" s="66">
        <f t="shared" si="963"/>
        <v>39.200000000000003</v>
      </c>
      <c r="S805" s="67" t="str">
        <f t="shared" si="964"/>
        <v>OCTUBRE</v>
      </c>
      <c r="T805" s="55" t="str">
        <f t="shared" si="965"/>
        <v>Sem40</v>
      </c>
      <c r="U805" s="68">
        <f t="shared" si="946"/>
        <v>7</v>
      </c>
      <c r="V805" s="69">
        <v>46299</v>
      </c>
      <c r="W805" s="68">
        <f t="shared" si="966"/>
        <v>40</v>
      </c>
      <c r="X805" s="68">
        <f t="shared" si="967"/>
        <v>4</v>
      </c>
      <c r="Y805" s="68" t="s">
        <v>34</v>
      </c>
      <c r="Z805" s="68">
        <v>7</v>
      </c>
      <c r="AA805" s="70">
        <f t="shared" si="951"/>
        <v>0</v>
      </c>
      <c r="AB805" s="70">
        <f t="shared" si="951"/>
        <v>0</v>
      </c>
      <c r="AC805" s="70">
        <f t="shared" si="951"/>
        <v>1</v>
      </c>
      <c r="AD805" s="70">
        <f t="shared" si="951"/>
        <v>0</v>
      </c>
      <c r="AE805" s="70">
        <f t="shared" si="951"/>
        <v>0</v>
      </c>
      <c r="AF805" s="71"/>
      <c r="AG805" s="71"/>
      <c r="AH805" s="71"/>
    </row>
    <row r="806" spans="2:34">
      <c r="B806" t="str">
        <f t="shared" si="954"/>
        <v>Sem3838MARROQIN HERNANDEZ WILLIAM ERNESTO</v>
      </c>
      <c r="C806" t="str">
        <f t="shared" si="955"/>
        <v>SEPTIEMBRESem38</v>
      </c>
      <c r="D806" t="str">
        <f t="shared" si="956"/>
        <v>SEPTIEMBRESem38MARROQIN HERNANDEZ WILLIAM ERNESTO</v>
      </c>
      <c r="E806" t="str">
        <f t="shared" si="957"/>
        <v>SEPTIEMBRESem3838MARROQIN HERNANDEZ WILLIAM ERNESTO</v>
      </c>
      <c r="F806" t="str">
        <f t="shared" si="958"/>
        <v>MARROQIN HERNANDEZ WILLIAM ERNESTO46279</v>
      </c>
      <c r="H806" s="49" t="s">
        <v>266</v>
      </c>
      <c r="I806" s="50" t="str">
        <f>+_xlfn.XLOOKUP($H806&amp;$V806,BASEDATOS!$B:$B,BASEDATOS!F:F,0,0,1)</f>
        <v>DESCANSO</v>
      </c>
      <c r="J806" s="51">
        <f>+_xlfn.XLOOKUP($H806&amp;$V806,BASEDATOS!$B:$B,BASEDATOS!Q:Q,0,0,1)</f>
        <v>0</v>
      </c>
      <c r="K806" s="51">
        <f>+_xlfn.XLOOKUP($H806&amp;$V806,BASEDATOS!$B:$B,BASEDATOS!R:R,0,0,1)</f>
        <v>0</v>
      </c>
      <c r="L806" s="51">
        <f t="shared" si="959"/>
        <v>0</v>
      </c>
      <c r="M806" s="52">
        <f t="shared" si="960"/>
        <v>0</v>
      </c>
      <c r="N806" s="51">
        <f t="shared" si="961"/>
        <v>0</v>
      </c>
      <c r="O806" s="53" t="str">
        <f t="shared" ref="O806" si="990">+O812</f>
        <v>1-3-3</v>
      </c>
      <c r="P806" s="54">
        <f>+IF(AND(Y806="Domingo",U806=7),_xlfn.XLOOKUP(O806,'Horarios y Sistemas'!C:C,'Horarios y Sistemas'!H:H,0,0,1),0)</f>
        <v>0</v>
      </c>
      <c r="Q806" s="54">
        <f>IF(U806=U807,0,IF(AVERAGEIF(W:W,W806,U:U)=U806,0,_xlfn.XLOOKUP(O806,'Horarios y Sistemas'!C:C,'Horarios y Sistemas'!H:H,0,0,1)-P806))/7*U806</f>
        <v>0</v>
      </c>
      <c r="R806" s="54">
        <f t="shared" si="963"/>
        <v>0</v>
      </c>
      <c r="S806" s="55" t="str">
        <f t="shared" si="964"/>
        <v>SEPTIEMBRE</v>
      </c>
      <c r="T806" s="55" t="str">
        <f t="shared" si="965"/>
        <v>Sem38</v>
      </c>
      <c r="U806" s="56">
        <f t="shared" si="946"/>
        <v>7</v>
      </c>
      <c r="V806" s="59">
        <v>46279</v>
      </c>
      <c r="W806" s="56">
        <f t="shared" si="966"/>
        <v>38</v>
      </c>
      <c r="X806" s="56">
        <f t="shared" si="967"/>
        <v>14</v>
      </c>
      <c r="Y806" s="56" t="s">
        <v>28</v>
      </c>
      <c r="Z806" s="56">
        <v>1</v>
      </c>
      <c r="AA806" s="58">
        <f t="shared" si="951"/>
        <v>0</v>
      </c>
      <c r="AB806" s="58">
        <f t="shared" si="951"/>
        <v>0</v>
      </c>
      <c r="AC806" s="58">
        <f t="shared" si="951"/>
        <v>1</v>
      </c>
      <c r="AD806" s="58">
        <f t="shared" si="951"/>
        <v>0</v>
      </c>
      <c r="AE806" s="58">
        <f t="shared" si="951"/>
        <v>0</v>
      </c>
    </row>
    <row r="807" spans="2:34">
      <c r="B807" t="str">
        <f t="shared" si="954"/>
        <v>Sem3838MARROQIN HERNANDEZ WILLIAM ERNESTO</v>
      </c>
      <c r="C807" t="str">
        <f t="shared" si="955"/>
        <v>SEPTIEMBRESem38</v>
      </c>
      <c r="D807" t="str">
        <f t="shared" si="956"/>
        <v>SEPTIEMBRESem38MARROQIN HERNANDEZ WILLIAM ERNESTO</v>
      </c>
      <c r="E807" t="str">
        <f t="shared" si="957"/>
        <v>SEPTIEMBRESem3838MARROQIN HERNANDEZ WILLIAM ERNESTO</v>
      </c>
      <c r="F807" t="str">
        <f t="shared" si="958"/>
        <v>MARROQIN HERNANDEZ WILLIAM ERNESTO46280</v>
      </c>
      <c r="H807" s="49" t="s">
        <v>266</v>
      </c>
      <c r="I807" s="50" t="str">
        <f>+_xlfn.XLOOKUP($H807&amp;$V807,BASEDATOS!$B:$B,BASEDATOS!F:F,0,0,1)</f>
        <v>DIA</v>
      </c>
      <c r="J807" s="51">
        <f>+_xlfn.XLOOKUP($H807&amp;$V807,BASEDATOS!$B:$B,BASEDATOS!Q:Q,0,0,1)</f>
        <v>0.33333333333333298</v>
      </c>
      <c r="K807" s="51">
        <f>+_xlfn.XLOOKUP($H807&amp;$V807,BASEDATOS!$B:$B,BASEDATOS!R:R,0,0,1)</f>
        <v>0.70833333333333304</v>
      </c>
      <c r="L807" s="51">
        <f t="shared" si="959"/>
        <v>0.37500000000000006</v>
      </c>
      <c r="M807" s="52" t="str">
        <f t="shared" si="960"/>
        <v>1:00</v>
      </c>
      <c r="N807" s="51">
        <f t="shared" si="961"/>
        <v>0.33333333333333337</v>
      </c>
      <c r="O807" s="53" t="str">
        <f t="shared" ref="O807" si="991">+O812</f>
        <v>1-3-3</v>
      </c>
      <c r="P807" s="54">
        <f>+IF(AND(Y807="Domingo",U807=7),_xlfn.XLOOKUP(O807,'Horarios y Sistemas'!C:C,'Horarios y Sistemas'!H:H,0,0,1),0)</f>
        <v>0</v>
      </c>
      <c r="Q807" s="54">
        <f>IF(U807=U808,0,IF(AVERAGEIF(W:W,W807,U:U)=U807,0,_xlfn.XLOOKUP(O807,'Horarios y Sistemas'!C:C,'Horarios y Sistemas'!H:H,0,0,1)-P807))/7*U807</f>
        <v>0</v>
      </c>
      <c r="R807" s="54">
        <f t="shared" si="963"/>
        <v>0</v>
      </c>
      <c r="S807" s="55" t="str">
        <f t="shared" si="964"/>
        <v>SEPTIEMBRE</v>
      </c>
      <c r="T807" s="55" t="str">
        <f t="shared" si="965"/>
        <v>Sem38</v>
      </c>
      <c r="U807" s="56">
        <f t="shared" si="946"/>
        <v>7</v>
      </c>
      <c r="V807" s="59">
        <v>46280</v>
      </c>
      <c r="W807" s="56">
        <f t="shared" si="966"/>
        <v>38</v>
      </c>
      <c r="X807" s="56">
        <f t="shared" si="967"/>
        <v>15</v>
      </c>
      <c r="Y807" s="56" t="s">
        <v>29</v>
      </c>
      <c r="Z807" s="56">
        <v>2</v>
      </c>
      <c r="AA807" s="58">
        <f t="shared" si="951"/>
        <v>1</v>
      </c>
      <c r="AB807" s="58">
        <f t="shared" si="951"/>
        <v>0</v>
      </c>
      <c r="AC807" s="58">
        <f t="shared" si="951"/>
        <v>0</v>
      </c>
      <c r="AD807" s="58">
        <f t="shared" si="951"/>
        <v>0</v>
      </c>
      <c r="AE807" s="58">
        <f t="shared" si="951"/>
        <v>0</v>
      </c>
    </row>
    <row r="808" spans="2:34">
      <c r="B808" t="str">
        <f t="shared" si="954"/>
        <v>Sem3838MARROQIN HERNANDEZ WILLIAM ERNESTO</v>
      </c>
      <c r="C808" t="str">
        <f t="shared" si="955"/>
        <v>SEPTIEMBRESem38</v>
      </c>
      <c r="D808" t="str">
        <f t="shared" si="956"/>
        <v>SEPTIEMBRESem38MARROQIN HERNANDEZ WILLIAM ERNESTO</v>
      </c>
      <c r="E808" t="str">
        <f t="shared" si="957"/>
        <v>SEPTIEMBRESem3838MARROQIN HERNANDEZ WILLIAM ERNESTO</v>
      </c>
      <c r="F808" t="str">
        <f t="shared" si="958"/>
        <v>MARROQIN HERNANDEZ WILLIAM ERNESTO46281</v>
      </c>
      <c r="H808" s="49" t="s">
        <v>266</v>
      </c>
      <c r="I808" s="50" t="str">
        <f>+_xlfn.XLOOKUP($H808&amp;$V808,BASEDATOS!$B:$B,BASEDATOS!F:F,0,0,1)</f>
        <v>NOCHE</v>
      </c>
      <c r="J808" s="51">
        <f>+_xlfn.XLOOKUP($H808&amp;$V808,BASEDATOS!$B:$B,BASEDATOS!Q:Q,0,0,1)</f>
        <v>0.75</v>
      </c>
      <c r="K808" s="51">
        <f>+_xlfn.XLOOKUP($H808&amp;$V808,BASEDATOS!$B:$B,BASEDATOS!R:R,0,0,1)</f>
        <v>0.20833333333333301</v>
      </c>
      <c r="L808" s="51">
        <f t="shared" si="959"/>
        <v>0.45833333333333304</v>
      </c>
      <c r="M808" s="52" t="str">
        <f t="shared" si="960"/>
        <v>1:00</v>
      </c>
      <c r="N808" s="51">
        <f t="shared" si="961"/>
        <v>0.41666666666666635</v>
      </c>
      <c r="O808" s="53" t="str">
        <f t="shared" ref="O808" si="992">+O812</f>
        <v>1-3-3</v>
      </c>
      <c r="P808" s="54">
        <f>+IF(AND(Y808="Domingo",U808=7),_xlfn.XLOOKUP(O808,'Horarios y Sistemas'!C:C,'Horarios y Sistemas'!H:H,0,0,1),0)</f>
        <v>0</v>
      </c>
      <c r="Q808" s="54">
        <f>IF(U808=U809,0,IF(AVERAGEIF(W:W,W808,U:U)=U808,0,_xlfn.XLOOKUP(O808,'Horarios y Sistemas'!C:C,'Horarios y Sistemas'!H:H,0,0,1)-P808))/7*U808</f>
        <v>0</v>
      </c>
      <c r="R808" s="54">
        <f t="shared" si="963"/>
        <v>0</v>
      </c>
      <c r="S808" s="55" t="str">
        <f t="shared" si="964"/>
        <v>SEPTIEMBRE</v>
      </c>
      <c r="T808" s="55" t="str">
        <f t="shared" si="965"/>
        <v>Sem38</v>
      </c>
      <c r="U808" s="56">
        <f t="shared" si="946"/>
        <v>7</v>
      </c>
      <c r="V808" s="59">
        <v>46281</v>
      </c>
      <c r="W808" s="56">
        <f t="shared" si="966"/>
        <v>38</v>
      </c>
      <c r="X808" s="56">
        <f t="shared" si="967"/>
        <v>16</v>
      </c>
      <c r="Y808" s="56" t="s">
        <v>30</v>
      </c>
      <c r="Z808" s="56">
        <v>3</v>
      </c>
      <c r="AA808" s="58">
        <f t="shared" si="951"/>
        <v>0</v>
      </c>
      <c r="AB808" s="58">
        <f t="shared" si="951"/>
        <v>1</v>
      </c>
      <c r="AC808" s="58">
        <f t="shared" si="951"/>
        <v>0</v>
      </c>
      <c r="AD808" s="58">
        <f t="shared" si="951"/>
        <v>0</v>
      </c>
      <c r="AE808" s="58">
        <f t="shared" si="951"/>
        <v>0</v>
      </c>
    </row>
    <row r="809" spans="2:34">
      <c r="B809" t="str">
        <f t="shared" si="954"/>
        <v>Sem3838MARROQIN HERNANDEZ WILLIAM ERNESTO</v>
      </c>
      <c r="C809" t="str">
        <f t="shared" si="955"/>
        <v>SEPTIEMBRESem38</v>
      </c>
      <c r="D809" t="str">
        <f t="shared" si="956"/>
        <v>SEPTIEMBRESem38MARROQIN HERNANDEZ WILLIAM ERNESTO</v>
      </c>
      <c r="E809" t="str">
        <f t="shared" si="957"/>
        <v>SEPTIEMBRESem3838MARROQIN HERNANDEZ WILLIAM ERNESTO</v>
      </c>
      <c r="F809" t="str">
        <f t="shared" si="958"/>
        <v>MARROQIN HERNANDEZ WILLIAM ERNESTO46282</v>
      </c>
      <c r="H809" s="49" t="s">
        <v>266</v>
      </c>
      <c r="I809" s="50" t="str">
        <f>+_xlfn.XLOOKUP($H809&amp;$V809,BASEDATOS!$B:$B,BASEDATOS!F:F,0,0,1)</f>
        <v>NOCHE</v>
      </c>
      <c r="J809" s="51">
        <f>+_xlfn.XLOOKUP($H809&amp;$V809,BASEDATOS!$B:$B,BASEDATOS!Q:Q,0,0,1)</f>
        <v>0.75</v>
      </c>
      <c r="K809" s="51">
        <f>+_xlfn.XLOOKUP($H809&amp;$V809,BASEDATOS!$B:$B,BASEDATOS!R:R,0,0,1)</f>
        <v>0.20833333333333301</v>
      </c>
      <c r="L809" s="51">
        <f t="shared" si="959"/>
        <v>0.45833333333333304</v>
      </c>
      <c r="M809" s="52" t="str">
        <f t="shared" si="960"/>
        <v>1:00</v>
      </c>
      <c r="N809" s="51">
        <f t="shared" si="961"/>
        <v>0.41666666666666635</v>
      </c>
      <c r="O809" s="53" t="str">
        <f t="shared" ref="O809" si="993">+O812</f>
        <v>1-3-3</v>
      </c>
      <c r="P809" s="54">
        <f>+IF(AND(Y809="Domingo",U809=7),_xlfn.XLOOKUP(O809,'Horarios y Sistemas'!C:C,'Horarios y Sistemas'!H:H,0,0,1),0)</f>
        <v>0</v>
      </c>
      <c r="Q809" s="54">
        <f>IF(U809=U810,0,IF(AVERAGEIF(W:W,W809,U:U)=U809,0,_xlfn.XLOOKUP(O809,'Horarios y Sistemas'!C:C,'Horarios y Sistemas'!H:H,0,0,1)-P809))/7*U809</f>
        <v>0</v>
      </c>
      <c r="R809" s="54">
        <f t="shared" si="963"/>
        <v>0</v>
      </c>
      <c r="S809" s="55" t="str">
        <f t="shared" si="964"/>
        <v>SEPTIEMBRE</v>
      </c>
      <c r="T809" s="55" t="str">
        <f t="shared" si="965"/>
        <v>Sem38</v>
      </c>
      <c r="U809" s="56">
        <f t="shared" si="946"/>
        <v>7</v>
      </c>
      <c r="V809" s="59">
        <v>46282</v>
      </c>
      <c r="W809" s="56">
        <f t="shared" si="966"/>
        <v>38</v>
      </c>
      <c r="X809" s="56">
        <f t="shared" si="967"/>
        <v>17</v>
      </c>
      <c r="Y809" s="56" t="s">
        <v>31</v>
      </c>
      <c r="Z809" s="56">
        <v>4</v>
      </c>
      <c r="AA809" s="58">
        <f t="shared" si="951"/>
        <v>0</v>
      </c>
      <c r="AB809" s="58">
        <f t="shared" si="951"/>
        <v>1</v>
      </c>
      <c r="AC809" s="58">
        <f t="shared" si="951"/>
        <v>0</v>
      </c>
      <c r="AD809" s="58">
        <f t="shared" si="951"/>
        <v>0</v>
      </c>
      <c r="AE809" s="58">
        <f t="shared" si="951"/>
        <v>0</v>
      </c>
    </row>
    <row r="810" spans="2:34">
      <c r="B810" t="str">
        <f t="shared" si="954"/>
        <v>Sem3838MARROQIN HERNANDEZ WILLIAM ERNESTO</v>
      </c>
      <c r="C810" t="str">
        <f t="shared" si="955"/>
        <v>SEPTIEMBRESem38</v>
      </c>
      <c r="D810" t="str">
        <f t="shared" si="956"/>
        <v>SEPTIEMBRESem38MARROQIN HERNANDEZ WILLIAM ERNESTO</v>
      </c>
      <c r="E810" t="str">
        <f t="shared" si="957"/>
        <v>SEPTIEMBRESem3838MARROQIN HERNANDEZ WILLIAM ERNESTO</v>
      </c>
      <c r="F810" t="str">
        <f t="shared" si="958"/>
        <v>MARROQIN HERNANDEZ WILLIAM ERNESTO46283</v>
      </c>
      <c r="H810" s="49" t="s">
        <v>266</v>
      </c>
      <c r="I810" s="50" t="str">
        <f>+_xlfn.XLOOKUP($H810&amp;$V810,BASEDATOS!$B:$B,BASEDATOS!F:F,0,0,1)</f>
        <v>NOCHE</v>
      </c>
      <c r="J810" s="51">
        <f>+_xlfn.XLOOKUP($H810&amp;$V810,BASEDATOS!$B:$B,BASEDATOS!Q:Q,0,0,1)</f>
        <v>0.75</v>
      </c>
      <c r="K810" s="51">
        <f>+_xlfn.XLOOKUP($H810&amp;$V810,BASEDATOS!$B:$B,BASEDATOS!R:R,0,0,1)</f>
        <v>0.20833333333333301</v>
      </c>
      <c r="L810" s="51">
        <f t="shared" si="959"/>
        <v>0.45833333333333304</v>
      </c>
      <c r="M810" s="52" t="str">
        <f t="shared" si="960"/>
        <v>1:00</v>
      </c>
      <c r="N810" s="51">
        <f t="shared" si="961"/>
        <v>0.41666666666666635</v>
      </c>
      <c r="O810" s="53" t="str">
        <f t="shared" ref="O810" si="994">+O812</f>
        <v>1-3-3</v>
      </c>
      <c r="P810" s="54">
        <f>+IF(AND(Y810="Domingo",U810=7),_xlfn.XLOOKUP(O810,'Horarios y Sistemas'!C:C,'Horarios y Sistemas'!H:H,0,0,1),0)</f>
        <v>0</v>
      </c>
      <c r="Q810" s="54">
        <f>IF(U810=U811,0,IF(AVERAGEIF(W:W,W810,U:U)=U810,0,_xlfn.XLOOKUP(O810,'Horarios y Sistemas'!C:C,'Horarios y Sistemas'!H:H,0,0,1)-P810))/7*U810</f>
        <v>0</v>
      </c>
      <c r="R810" s="54">
        <f t="shared" si="963"/>
        <v>0</v>
      </c>
      <c r="S810" s="55" t="str">
        <f t="shared" si="964"/>
        <v>SEPTIEMBRE</v>
      </c>
      <c r="T810" s="55" t="str">
        <f t="shared" si="965"/>
        <v>Sem38</v>
      </c>
      <c r="U810" s="56">
        <f t="shared" si="946"/>
        <v>7</v>
      </c>
      <c r="V810" s="59">
        <v>46283</v>
      </c>
      <c r="W810" s="56">
        <f t="shared" si="966"/>
        <v>38</v>
      </c>
      <c r="X810" s="56">
        <f t="shared" si="967"/>
        <v>18</v>
      </c>
      <c r="Y810" s="56" t="s">
        <v>32</v>
      </c>
      <c r="Z810" s="56">
        <v>5</v>
      </c>
      <c r="AA810" s="58">
        <f t="shared" si="951"/>
        <v>0</v>
      </c>
      <c r="AB810" s="58">
        <f t="shared" si="951"/>
        <v>1</v>
      </c>
      <c r="AC810" s="58">
        <f t="shared" si="951"/>
        <v>0</v>
      </c>
      <c r="AD810" s="58">
        <f t="shared" si="951"/>
        <v>0</v>
      </c>
      <c r="AE810" s="58">
        <f t="shared" si="951"/>
        <v>0</v>
      </c>
    </row>
    <row r="811" spans="2:34">
      <c r="B811" t="str">
        <f t="shared" si="954"/>
        <v>Sem3838MARROQIN HERNANDEZ WILLIAM ERNESTO</v>
      </c>
      <c r="C811" t="str">
        <f t="shared" si="955"/>
        <v>SEPTIEMBRESem38</v>
      </c>
      <c r="D811" t="str">
        <f t="shared" si="956"/>
        <v>SEPTIEMBRESem38MARROQIN HERNANDEZ WILLIAM ERNESTO</v>
      </c>
      <c r="E811" t="str">
        <f t="shared" si="957"/>
        <v>SEPTIEMBRESem3838MARROQIN HERNANDEZ WILLIAM ERNESTO</v>
      </c>
      <c r="F811" t="str">
        <f t="shared" si="958"/>
        <v>MARROQIN HERNANDEZ WILLIAM ERNESTO46284</v>
      </c>
      <c r="H811" s="49" t="s">
        <v>266</v>
      </c>
      <c r="I811" s="50" t="str">
        <f>+_xlfn.XLOOKUP($H811&amp;$V811,BASEDATOS!$B:$B,BASEDATOS!F:F,0,0,1)</f>
        <v>DESCANSO</v>
      </c>
      <c r="J811" s="51">
        <f>+_xlfn.XLOOKUP($H811&amp;$V811,BASEDATOS!$B:$B,BASEDATOS!Q:Q,0,0,1)</f>
        <v>0</v>
      </c>
      <c r="K811" s="51">
        <f>+_xlfn.XLOOKUP($H811&amp;$V811,BASEDATOS!$B:$B,BASEDATOS!R:R,0,0,1)</f>
        <v>0</v>
      </c>
      <c r="L811" s="51">
        <f t="shared" si="959"/>
        <v>0</v>
      </c>
      <c r="M811" s="52">
        <f t="shared" si="960"/>
        <v>0</v>
      </c>
      <c r="N811" s="51">
        <f t="shared" si="961"/>
        <v>0</v>
      </c>
      <c r="O811" s="53" t="str">
        <f t="shared" ref="O811" si="995">+O812</f>
        <v>1-3-3</v>
      </c>
      <c r="P811" s="54">
        <f>+IF(AND(Y811="Domingo",U811=7),_xlfn.XLOOKUP(O811,'Horarios y Sistemas'!C:C,'Horarios y Sistemas'!H:H,0,0,1),0)</f>
        <v>0</v>
      </c>
      <c r="Q811" s="54">
        <f>IF(U811=U812,0,IF(AVERAGEIF(W:W,W811,U:U)=U811,0,_xlfn.XLOOKUP(O811,'Horarios y Sistemas'!C:C,'Horarios y Sistemas'!H:H,0,0,1)-P811))/7*U811</f>
        <v>0</v>
      </c>
      <c r="R811" s="54">
        <f t="shared" si="963"/>
        <v>0</v>
      </c>
      <c r="S811" s="55" t="str">
        <f t="shared" si="964"/>
        <v>SEPTIEMBRE</v>
      </c>
      <c r="T811" s="55" t="str">
        <f t="shared" si="965"/>
        <v>Sem38</v>
      </c>
      <c r="U811" s="56">
        <f t="shared" si="946"/>
        <v>7</v>
      </c>
      <c r="V811" s="59">
        <v>46284</v>
      </c>
      <c r="W811" s="56">
        <f t="shared" si="966"/>
        <v>38</v>
      </c>
      <c r="X811" s="56">
        <f t="shared" si="967"/>
        <v>19</v>
      </c>
      <c r="Y811" s="56" t="s">
        <v>33</v>
      </c>
      <c r="Z811" s="56">
        <v>6</v>
      </c>
      <c r="AA811" s="58">
        <f t="shared" si="951"/>
        <v>0</v>
      </c>
      <c r="AB811" s="58">
        <f t="shared" si="951"/>
        <v>0</v>
      </c>
      <c r="AC811" s="58">
        <f t="shared" si="951"/>
        <v>1</v>
      </c>
      <c r="AD811" s="58">
        <f t="shared" si="951"/>
        <v>0</v>
      </c>
      <c r="AE811" s="58">
        <f t="shared" si="951"/>
        <v>0</v>
      </c>
    </row>
    <row r="812" spans="2:34" s="60" customFormat="1">
      <c r="B812" s="60" t="str">
        <f t="shared" si="954"/>
        <v>Sem3838MARROQIN HERNANDEZ WILLIAM ERNESTO</v>
      </c>
      <c r="C812" s="60" t="str">
        <f t="shared" si="955"/>
        <v>SEPTIEMBRESem38</v>
      </c>
      <c r="D812" s="60" t="str">
        <f t="shared" si="956"/>
        <v>SEPTIEMBRESem38MARROQIN HERNANDEZ WILLIAM ERNESTO</v>
      </c>
      <c r="E812" s="60" t="str">
        <f t="shared" si="957"/>
        <v>SEPTIEMBRESem3838MARROQIN HERNANDEZ WILLIAM ERNESTO</v>
      </c>
      <c r="F812" s="60" t="str">
        <f t="shared" si="958"/>
        <v>MARROQIN HERNANDEZ WILLIAM ERNESTO46285</v>
      </c>
      <c r="H812" s="61" t="s">
        <v>266</v>
      </c>
      <c r="I812" s="62" t="str">
        <f>+_xlfn.XLOOKUP($H812&amp;$V812,BASEDATOS!$B:$B,BASEDATOS!F:F,0,0,1)</f>
        <v>DESCANSO</v>
      </c>
      <c r="J812" s="63">
        <f>+_xlfn.XLOOKUP($H812&amp;$V812,BASEDATOS!$B:$B,BASEDATOS!Q:Q,0,0,1)</f>
        <v>0</v>
      </c>
      <c r="K812" s="63">
        <f>+_xlfn.XLOOKUP($H812&amp;$V812,BASEDATOS!$B:$B,BASEDATOS!R:R,0,0,1)</f>
        <v>0</v>
      </c>
      <c r="L812" s="63">
        <f t="shared" si="959"/>
        <v>0</v>
      </c>
      <c r="M812" s="64">
        <f t="shared" si="960"/>
        <v>0</v>
      </c>
      <c r="N812" s="63">
        <f t="shared" si="961"/>
        <v>0</v>
      </c>
      <c r="O812" s="65" t="str">
        <f t="shared" ref="O812" si="996">+IF(Y812="Domingo",SUM(AA806:AA812)&amp;"-"&amp;SUM(AB806:AB812)&amp;"-"&amp;SUM(AC806:AE812),"")</f>
        <v>1-3-3</v>
      </c>
      <c r="P812" s="66">
        <f>+IF(AND(Y812="Domingo",U812=7),_xlfn.XLOOKUP(O812,'Horarios y Sistemas'!C:C,'Horarios y Sistemas'!H:H,0,0,1),0)</f>
        <v>38</v>
      </c>
      <c r="Q812" s="66">
        <f>IF(U812=U813,0,IF(AVERAGEIF(W:W,W812,U:U)=U812,0,_xlfn.XLOOKUP(O812,'Horarios y Sistemas'!C:C,'Horarios y Sistemas'!H:H,0,0,1)-P812))/7*U812</f>
        <v>0</v>
      </c>
      <c r="R812" s="66">
        <f t="shared" si="963"/>
        <v>38</v>
      </c>
      <c r="S812" s="67" t="str">
        <f t="shared" si="964"/>
        <v>SEPTIEMBRE</v>
      </c>
      <c r="T812" s="55" t="str">
        <f t="shared" si="965"/>
        <v>Sem38</v>
      </c>
      <c r="U812" s="68">
        <f t="shared" si="946"/>
        <v>7</v>
      </c>
      <c r="V812" s="69">
        <v>46285</v>
      </c>
      <c r="W812" s="68">
        <f t="shared" si="966"/>
        <v>38</v>
      </c>
      <c r="X812" s="68">
        <f t="shared" si="967"/>
        <v>20</v>
      </c>
      <c r="Y812" s="68" t="s">
        <v>34</v>
      </c>
      <c r="Z812" s="68">
        <v>7</v>
      </c>
      <c r="AA812" s="70">
        <f t="shared" si="951"/>
        <v>0</v>
      </c>
      <c r="AB812" s="70">
        <f t="shared" si="951"/>
        <v>0</v>
      </c>
      <c r="AC812" s="70">
        <f t="shared" si="951"/>
        <v>1</v>
      </c>
      <c r="AD812" s="70">
        <f t="shared" si="951"/>
        <v>0</v>
      </c>
      <c r="AE812" s="70">
        <f t="shared" si="951"/>
        <v>0</v>
      </c>
      <c r="AF812" s="71"/>
      <c r="AG812" s="71"/>
      <c r="AH812" s="71"/>
    </row>
    <row r="813" spans="2:34">
      <c r="B813" t="str">
        <f t="shared" si="954"/>
        <v>Sem3939MARROQIN HERNANDEZ WILLIAM ERNESTO</v>
      </c>
      <c r="C813" t="str">
        <f t="shared" si="955"/>
        <v>SEPTIEMBRESem39</v>
      </c>
      <c r="D813" t="str">
        <f t="shared" si="956"/>
        <v>SEPTIEMBRESem39MARROQIN HERNANDEZ WILLIAM ERNESTO</v>
      </c>
      <c r="E813" t="str">
        <f t="shared" si="957"/>
        <v>SEPTIEMBRESem3939MARROQIN HERNANDEZ WILLIAM ERNESTO</v>
      </c>
      <c r="F813" t="str">
        <f t="shared" si="958"/>
        <v>MARROQIN HERNANDEZ WILLIAM ERNESTO46286</v>
      </c>
      <c r="H813" s="49" t="s">
        <v>266</v>
      </c>
      <c r="I813" s="50" t="str">
        <f>+_xlfn.XLOOKUP($H813&amp;$V813,BASEDATOS!$B:$B,BASEDATOS!F:F,0,0,1)</f>
        <v>DIA</v>
      </c>
      <c r="J813" s="51">
        <f>+_xlfn.XLOOKUP($H813&amp;$V813,BASEDATOS!$B:$B,BASEDATOS!Q:Q,0,0,1)</f>
        <v>0.22916666666666699</v>
      </c>
      <c r="K813" s="51">
        <f>+_xlfn.XLOOKUP($H813&amp;$V813,BASEDATOS!$B:$B,BASEDATOS!R:R,0,0,1)</f>
        <v>0.6875</v>
      </c>
      <c r="L813" s="51">
        <f t="shared" si="959"/>
        <v>0.45833333333333304</v>
      </c>
      <c r="M813" s="52" t="str">
        <f t="shared" si="960"/>
        <v>1:00</v>
      </c>
      <c r="N813" s="51">
        <f t="shared" si="961"/>
        <v>0.41666666666666635</v>
      </c>
      <c r="O813" s="53" t="str">
        <f t="shared" ref="O813" si="997">+O819</f>
        <v>6-0-1</v>
      </c>
      <c r="P813" s="54">
        <f>+IF(AND(Y813="Domingo",U813=7),_xlfn.XLOOKUP(O813,'Horarios y Sistemas'!C:C,'Horarios y Sistemas'!H:H,0,0,1),0)</f>
        <v>0</v>
      </c>
      <c r="Q813" s="54">
        <f>IF(U813=U814,0,IF(AVERAGEIF(W:W,W813,U:U)=U813,0,_xlfn.XLOOKUP(O813,'Horarios y Sistemas'!C:C,'Horarios y Sistemas'!H:H,0,0,1)-P813))/7*U813</f>
        <v>0</v>
      </c>
      <c r="R813" s="54">
        <f t="shared" si="963"/>
        <v>0</v>
      </c>
      <c r="S813" s="55" t="str">
        <f t="shared" si="964"/>
        <v>SEPTIEMBRE</v>
      </c>
      <c r="T813" s="55" t="str">
        <f t="shared" si="965"/>
        <v>Sem39</v>
      </c>
      <c r="U813" s="56">
        <f t="shared" si="946"/>
        <v>7</v>
      </c>
      <c r="V813" s="57">
        <v>46286</v>
      </c>
      <c r="W813" s="56">
        <f t="shared" si="966"/>
        <v>39</v>
      </c>
      <c r="X813" s="56">
        <f t="shared" si="967"/>
        <v>21</v>
      </c>
      <c r="Y813" s="56" t="s">
        <v>28</v>
      </c>
      <c r="Z813" s="56">
        <v>1</v>
      </c>
      <c r="AA813" s="58">
        <f t="shared" si="951"/>
        <v>1</v>
      </c>
      <c r="AB813" s="58">
        <f t="shared" si="951"/>
        <v>0</v>
      </c>
      <c r="AC813" s="58">
        <f t="shared" si="951"/>
        <v>0</v>
      </c>
      <c r="AD813" s="58">
        <f t="shared" si="951"/>
        <v>0</v>
      </c>
      <c r="AE813" s="58">
        <f t="shared" si="951"/>
        <v>0</v>
      </c>
    </row>
    <row r="814" spans="2:34">
      <c r="B814" t="str">
        <f t="shared" si="954"/>
        <v>Sem3939MARROQIN HERNANDEZ WILLIAM ERNESTO</v>
      </c>
      <c r="C814" t="str">
        <f t="shared" si="955"/>
        <v>SEPTIEMBRESem39</v>
      </c>
      <c r="D814" t="str">
        <f t="shared" si="956"/>
        <v>SEPTIEMBRESem39MARROQIN HERNANDEZ WILLIAM ERNESTO</v>
      </c>
      <c r="E814" t="str">
        <f t="shared" si="957"/>
        <v>SEPTIEMBRESem3939MARROQIN HERNANDEZ WILLIAM ERNESTO</v>
      </c>
      <c r="F814" t="str">
        <f t="shared" si="958"/>
        <v>MARROQIN HERNANDEZ WILLIAM ERNESTO46287</v>
      </c>
      <c r="H814" s="49" t="s">
        <v>266</v>
      </c>
      <c r="I814" s="50" t="str">
        <f>+_xlfn.XLOOKUP($H814&amp;$V814,BASEDATOS!$B:$B,BASEDATOS!F:F,0,0,1)</f>
        <v>DIA</v>
      </c>
      <c r="J814" s="51">
        <f>+_xlfn.XLOOKUP($H814&amp;$V814,BASEDATOS!$B:$B,BASEDATOS!Q:Q,0,0,1)</f>
        <v>0.25</v>
      </c>
      <c r="K814" s="51">
        <f>+_xlfn.XLOOKUP($H814&amp;$V814,BASEDATOS!$B:$B,BASEDATOS!R:R,0,0,1)</f>
        <v>0.70833333333333304</v>
      </c>
      <c r="L814" s="51">
        <f t="shared" si="959"/>
        <v>0.45833333333333304</v>
      </c>
      <c r="M814" s="52" t="str">
        <f t="shared" si="960"/>
        <v>1:00</v>
      </c>
      <c r="N814" s="51">
        <f t="shared" si="961"/>
        <v>0.41666666666666635</v>
      </c>
      <c r="O814" s="53" t="str">
        <f t="shared" ref="O814" si="998">+O819</f>
        <v>6-0-1</v>
      </c>
      <c r="P814" s="54">
        <f>+IF(AND(Y814="Domingo",U814=7),_xlfn.XLOOKUP(O814,'Horarios y Sistemas'!C:C,'Horarios y Sistemas'!H:H,0,0,1),0)</f>
        <v>0</v>
      </c>
      <c r="Q814" s="54">
        <f>IF(U814=U815,0,IF(AVERAGEIF(W:W,W814,U:U)=U814,0,_xlfn.XLOOKUP(O814,'Horarios y Sistemas'!C:C,'Horarios y Sistemas'!H:H,0,0,1)-P814))/7*U814</f>
        <v>0</v>
      </c>
      <c r="R814" s="54">
        <f t="shared" si="963"/>
        <v>0</v>
      </c>
      <c r="S814" s="55" t="str">
        <f t="shared" si="964"/>
        <v>SEPTIEMBRE</v>
      </c>
      <c r="T814" s="55" t="str">
        <f t="shared" si="965"/>
        <v>Sem39</v>
      </c>
      <c r="U814" s="56">
        <f t="shared" si="946"/>
        <v>7</v>
      </c>
      <c r="V814" s="59">
        <v>46287</v>
      </c>
      <c r="W814" s="56">
        <f t="shared" si="966"/>
        <v>39</v>
      </c>
      <c r="X814" s="56">
        <f t="shared" si="967"/>
        <v>22</v>
      </c>
      <c r="Y814" s="56" t="s">
        <v>29</v>
      </c>
      <c r="Z814" s="56">
        <v>2</v>
      </c>
      <c r="AA814" s="58">
        <f t="shared" si="951"/>
        <v>1</v>
      </c>
      <c r="AB814" s="58">
        <f t="shared" si="951"/>
        <v>0</v>
      </c>
      <c r="AC814" s="58">
        <f t="shared" si="951"/>
        <v>0</v>
      </c>
      <c r="AD814" s="58">
        <f t="shared" si="951"/>
        <v>0</v>
      </c>
      <c r="AE814" s="58">
        <f t="shared" si="951"/>
        <v>0</v>
      </c>
    </row>
    <row r="815" spans="2:34">
      <c r="B815" t="str">
        <f t="shared" si="954"/>
        <v>Sem3939MARROQIN HERNANDEZ WILLIAM ERNESTO</v>
      </c>
      <c r="C815" t="str">
        <f t="shared" si="955"/>
        <v>SEPTIEMBRESem39</v>
      </c>
      <c r="D815" t="str">
        <f t="shared" si="956"/>
        <v>SEPTIEMBRESem39MARROQIN HERNANDEZ WILLIAM ERNESTO</v>
      </c>
      <c r="E815" t="str">
        <f t="shared" si="957"/>
        <v>SEPTIEMBRESem3939MARROQIN HERNANDEZ WILLIAM ERNESTO</v>
      </c>
      <c r="F815" t="str">
        <f t="shared" si="958"/>
        <v>MARROQIN HERNANDEZ WILLIAM ERNESTO46288</v>
      </c>
      <c r="H815" s="49" t="s">
        <v>266</v>
      </c>
      <c r="I815" s="50" t="str">
        <f>+_xlfn.XLOOKUP($H815&amp;$V815,BASEDATOS!$B:$B,BASEDATOS!F:F,0,0,1)</f>
        <v>DIA</v>
      </c>
      <c r="J815" s="51">
        <f>+_xlfn.XLOOKUP($H815&amp;$V815,BASEDATOS!$B:$B,BASEDATOS!Q:Q,0,0,1)</f>
        <v>0.25</v>
      </c>
      <c r="K815" s="51">
        <f>+_xlfn.XLOOKUP($H815&amp;$V815,BASEDATOS!$B:$B,BASEDATOS!R:R,0,0,1)</f>
        <v>0.70833333333333304</v>
      </c>
      <c r="L815" s="51">
        <f t="shared" si="959"/>
        <v>0.45833333333333304</v>
      </c>
      <c r="M815" s="52" t="str">
        <f t="shared" si="960"/>
        <v>1:00</v>
      </c>
      <c r="N815" s="51">
        <f t="shared" si="961"/>
        <v>0.41666666666666635</v>
      </c>
      <c r="O815" s="53" t="str">
        <f t="shared" ref="O815" si="999">+O819</f>
        <v>6-0-1</v>
      </c>
      <c r="P815" s="54">
        <f>+IF(AND(Y815="Domingo",U815=7),_xlfn.XLOOKUP(O815,'Horarios y Sistemas'!C:C,'Horarios y Sistemas'!H:H,0,0,1),0)</f>
        <v>0</v>
      </c>
      <c r="Q815" s="54">
        <f>IF(U815=U816,0,IF(AVERAGEIF(W:W,W815,U:U)=U815,0,_xlfn.XLOOKUP(O815,'Horarios y Sistemas'!C:C,'Horarios y Sistemas'!H:H,0,0,1)-P815))/7*U815</f>
        <v>0</v>
      </c>
      <c r="R815" s="54">
        <f t="shared" si="963"/>
        <v>0</v>
      </c>
      <c r="S815" s="55" t="str">
        <f t="shared" si="964"/>
        <v>SEPTIEMBRE</v>
      </c>
      <c r="T815" s="55" t="str">
        <f t="shared" si="965"/>
        <v>Sem39</v>
      </c>
      <c r="U815" s="56">
        <f t="shared" si="946"/>
        <v>7</v>
      </c>
      <c r="V815" s="59">
        <v>46288</v>
      </c>
      <c r="W815" s="56">
        <f t="shared" si="966"/>
        <v>39</v>
      </c>
      <c r="X815" s="56">
        <f t="shared" si="967"/>
        <v>23</v>
      </c>
      <c r="Y815" s="56" t="s">
        <v>30</v>
      </c>
      <c r="Z815" s="56">
        <v>3</v>
      </c>
      <c r="AA815" s="58">
        <f t="shared" si="951"/>
        <v>1</v>
      </c>
      <c r="AB815" s="58">
        <f t="shared" si="951"/>
        <v>0</v>
      </c>
      <c r="AC815" s="58">
        <f t="shared" si="951"/>
        <v>0</v>
      </c>
      <c r="AD815" s="58">
        <f t="shared" si="951"/>
        <v>0</v>
      </c>
      <c r="AE815" s="58">
        <f t="shared" si="951"/>
        <v>0</v>
      </c>
    </row>
    <row r="816" spans="2:34">
      <c r="B816" t="str">
        <f t="shared" si="954"/>
        <v>Sem3939MARROQIN HERNANDEZ WILLIAM ERNESTO</v>
      </c>
      <c r="C816" t="str">
        <f t="shared" si="955"/>
        <v>SEPTIEMBRESem39</v>
      </c>
      <c r="D816" t="str">
        <f t="shared" si="956"/>
        <v>SEPTIEMBRESem39MARROQIN HERNANDEZ WILLIAM ERNESTO</v>
      </c>
      <c r="E816" t="str">
        <f t="shared" si="957"/>
        <v>SEPTIEMBRESem3939MARROQIN HERNANDEZ WILLIAM ERNESTO</v>
      </c>
      <c r="F816" t="str">
        <f t="shared" si="958"/>
        <v>MARROQIN HERNANDEZ WILLIAM ERNESTO46289</v>
      </c>
      <c r="H816" s="49" t="s">
        <v>266</v>
      </c>
      <c r="I816" s="50" t="str">
        <f>+_xlfn.XLOOKUP($H816&amp;$V816,BASEDATOS!$B:$B,BASEDATOS!F:F,0,0,1)</f>
        <v>DIA</v>
      </c>
      <c r="J816" s="51">
        <f>+_xlfn.XLOOKUP($H816&amp;$V816,BASEDATOS!$B:$B,BASEDATOS!Q:Q,0,0,1)</f>
        <v>0.25</v>
      </c>
      <c r="K816" s="51">
        <f>+_xlfn.XLOOKUP($H816&amp;$V816,BASEDATOS!$B:$B,BASEDATOS!R:R,0,0,1)</f>
        <v>0.70833333333333304</v>
      </c>
      <c r="L816" s="51">
        <f t="shared" si="959"/>
        <v>0.45833333333333304</v>
      </c>
      <c r="M816" s="52" t="str">
        <f t="shared" si="960"/>
        <v>1:00</v>
      </c>
      <c r="N816" s="51">
        <f t="shared" si="961"/>
        <v>0.41666666666666635</v>
      </c>
      <c r="O816" s="53" t="str">
        <f t="shared" ref="O816" si="1000">+O819</f>
        <v>6-0-1</v>
      </c>
      <c r="P816" s="54">
        <f>+IF(AND(Y816="Domingo",U816=7),_xlfn.XLOOKUP(O816,'Horarios y Sistemas'!C:C,'Horarios y Sistemas'!H:H,0,0,1),0)</f>
        <v>0</v>
      </c>
      <c r="Q816" s="54">
        <f>IF(U816=U817,0,IF(AVERAGEIF(W:W,W816,U:U)=U816,0,_xlfn.XLOOKUP(O816,'Horarios y Sistemas'!C:C,'Horarios y Sistemas'!H:H,0,0,1)-P816))/7*U816</f>
        <v>0</v>
      </c>
      <c r="R816" s="54">
        <f t="shared" si="963"/>
        <v>0</v>
      </c>
      <c r="S816" s="55" t="str">
        <f t="shared" si="964"/>
        <v>SEPTIEMBRE</v>
      </c>
      <c r="T816" s="55" t="str">
        <f t="shared" si="965"/>
        <v>Sem39</v>
      </c>
      <c r="U816" s="56">
        <f t="shared" si="946"/>
        <v>7</v>
      </c>
      <c r="V816" s="59">
        <v>46289</v>
      </c>
      <c r="W816" s="56">
        <f t="shared" si="966"/>
        <v>39</v>
      </c>
      <c r="X816" s="56">
        <f t="shared" si="967"/>
        <v>24</v>
      </c>
      <c r="Y816" s="56" t="s">
        <v>31</v>
      </c>
      <c r="Z816" s="56">
        <v>4</v>
      </c>
      <c r="AA816" s="58">
        <f t="shared" si="951"/>
        <v>1</v>
      </c>
      <c r="AB816" s="58">
        <f t="shared" si="951"/>
        <v>0</v>
      </c>
      <c r="AC816" s="58">
        <f t="shared" si="951"/>
        <v>0</v>
      </c>
      <c r="AD816" s="58">
        <f t="shared" si="951"/>
        <v>0</v>
      </c>
      <c r="AE816" s="58">
        <f t="shared" si="951"/>
        <v>0</v>
      </c>
    </row>
    <row r="817" spans="2:34">
      <c r="B817" t="str">
        <f t="shared" si="954"/>
        <v>Sem3939MARROQIN HERNANDEZ WILLIAM ERNESTO</v>
      </c>
      <c r="C817" t="str">
        <f t="shared" si="955"/>
        <v>SEPTIEMBRESem39</v>
      </c>
      <c r="D817" t="str">
        <f t="shared" si="956"/>
        <v>SEPTIEMBRESem39MARROQIN HERNANDEZ WILLIAM ERNESTO</v>
      </c>
      <c r="E817" t="str">
        <f t="shared" si="957"/>
        <v>SEPTIEMBRESem3939MARROQIN HERNANDEZ WILLIAM ERNESTO</v>
      </c>
      <c r="F817" t="str">
        <f t="shared" si="958"/>
        <v>MARROQIN HERNANDEZ WILLIAM ERNESTO46290</v>
      </c>
      <c r="H817" s="49" t="s">
        <v>266</v>
      </c>
      <c r="I817" s="50" t="str">
        <f>+_xlfn.XLOOKUP($H817&amp;$V817,BASEDATOS!$B:$B,BASEDATOS!F:F,0,0,1)</f>
        <v>DIA</v>
      </c>
      <c r="J817" s="51">
        <f>+_xlfn.XLOOKUP($H817&amp;$V817,BASEDATOS!$B:$B,BASEDATOS!Q:Q,0,0,1)</f>
        <v>0.25</v>
      </c>
      <c r="K817" s="51">
        <f>+_xlfn.XLOOKUP($H817&amp;$V817,BASEDATOS!$B:$B,BASEDATOS!R:R,0,0,1)</f>
        <v>0.70833333333333304</v>
      </c>
      <c r="L817" s="51">
        <f t="shared" si="959"/>
        <v>0.45833333333333304</v>
      </c>
      <c r="M817" s="52" t="str">
        <f t="shared" si="960"/>
        <v>1:00</v>
      </c>
      <c r="N817" s="51">
        <f t="shared" si="961"/>
        <v>0.41666666666666635</v>
      </c>
      <c r="O817" s="53" t="str">
        <f t="shared" ref="O817" si="1001">+O819</f>
        <v>6-0-1</v>
      </c>
      <c r="P817" s="54">
        <f>+IF(AND(Y817="Domingo",U817=7),_xlfn.XLOOKUP(O817,'Horarios y Sistemas'!C:C,'Horarios y Sistemas'!H:H,0,0,1),0)</f>
        <v>0</v>
      </c>
      <c r="Q817" s="54">
        <f>IF(U817=U818,0,IF(AVERAGEIF(W:W,W817,U:U)=U817,0,_xlfn.XLOOKUP(O817,'Horarios y Sistemas'!C:C,'Horarios y Sistemas'!H:H,0,0,1)-P817))/7*U817</f>
        <v>0</v>
      </c>
      <c r="R817" s="54">
        <f t="shared" si="963"/>
        <v>0</v>
      </c>
      <c r="S817" s="55" t="str">
        <f t="shared" si="964"/>
        <v>SEPTIEMBRE</v>
      </c>
      <c r="T817" s="55" t="str">
        <f t="shared" si="965"/>
        <v>Sem39</v>
      </c>
      <c r="U817" s="56">
        <f t="shared" si="946"/>
        <v>7</v>
      </c>
      <c r="V817" s="59">
        <v>46290</v>
      </c>
      <c r="W817" s="56">
        <f t="shared" si="966"/>
        <v>39</v>
      </c>
      <c r="X817" s="56">
        <f t="shared" si="967"/>
        <v>25</v>
      </c>
      <c r="Y817" s="56" t="s">
        <v>32</v>
      </c>
      <c r="Z817" s="56">
        <v>5</v>
      </c>
      <c r="AA817" s="58">
        <f t="shared" si="951"/>
        <v>1</v>
      </c>
      <c r="AB817" s="58">
        <f t="shared" si="951"/>
        <v>0</v>
      </c>
      <c r="AC817" s="58">
        <f t="shared" si="951"/>
        <v>0</v>
      </c>
      <c r="AD817" s="58">
        <f t="shared" si="951"/>
        <v>0</v>
      </c>
      <c r="AE817" s="58">
        <f t="shared" si="951"/>
        <v>0</v>
      </c>
    </row>
    <row r="818" spans="2:34">
      <c r="B818" t="str">
        <f t="shared" si="954"/>
        <v>Sem3939MARROQIN HERNANDEZ WILLIAM ERNESTO</v>
      </c>
      <c r="C818" t="str">
        <f t="shared" si="955"/>
        <v>SEPTIEMBRESem39</v>
      </c>
      <c r="D818" t="str">
        <f t="shared" si="956"/>
        <v>SEPTIEMBRESem39MARROQIN HERNANDEZ WILLIAM ERNESTO</v>
      </c>
      <c r="E818" t="str">
        <f t="shared" si="957"/>
        <v>SEPTIEMBRESem3939MARROQIN HERNANDEZ WILLIAM ERNESTO</v>
      </c>
      <c r="F818" t="str">
        <f t="shared" si="958"/>
        <v>MARROQIN HERNANDEZ WILLIAM ERNESTO46291</v>
      </c>
      <c r="H818" s="49" t="s">
        <v>266</v>
      </c>
      <c r="I818" s="50" t="str">
        <f>+_xlfn.XLOOKUP($H818&amp;$V818,BASEDATOS!$B:$B,BASEDATOS!F:F,0,0,1)</f>
        <v>DIA</v>
      </c>
      <c r="J818" s="51">
        <f>+_xlfn.XLOOKUP($H818&amp;$V818,BASEDATOS!$B:$B,BASEDATOS!Q:Q,0,0,1)</f>
        <v>0.25</v>
      </c>
      <c r="K818" s="51">
        <f>+_xlfn.XLOOKUP($H818&amp;$V818,BASEDATOS!$B:$B,BASEDATOS!R:R,0,0,1)</f>
        <v>0.54166666666666696</v>
      </c>
      <c r="L818" s="51">
        <f t="shared" si="959"/>
        <v>0.29166666666666696</v>
      </c>
      <c r="M818" s="52" t="str">
        <f t="shared" si="960"/>
        <v>1:00</v>
      </c>
      <c r="N818" s="51">
        <f t="shared" si="961"/>
        <v>0.25000000000000028</v>
      </c>
      <c r="O818" s="53" t="str">
        <f t="shared" ref="O818" si="1002">+O819</f>
        <v>6-0-1</v>
      </c>
      <c r="P818" s="54">
        <f>+IF(AND(Y818="Domingo",U818=7),_xlfn.XLOOKUP(O818,'Horarios y Sistemas'!C:C,'Horarios y Sistemas'!H:H,0,0,1),0)</f>
        <v>0</v>
      </c>
      <c r="Q818" s="54">
        <f>IF(U818=U819,0,IF(AVERAGEIF(W:W,W818,U:U)=U818,0,_xlfn.XLOOKUP(O818,'Horarios y Sistemas'!C:C,'Horarios y Sistemas'!H:H,0,0,1)-P818))/7*U818</f>
        <v>0</v>
      </c>
      <c r="R818" s="54">
        <f t="shared" si="963"/>
        <v>0</v>
      </c>
      <c r="S818" s="55" t="str">
        <f t="shared" si="964"/>
        <v>SEPTIEMBRE</v>
      </c>
      <c r="T818" s="55" t="str">
        <f t="shared" si="965"/>
        <v>Sem39</v>
      </c>
      <c r="U818" s="56">
        <f t="shared" si="946"/>
        <v>7</v>
      </c>
      <c r="V818" s="59">
        <v>46291</v>
      </c>
      <c r="W818" s="56">
        <f t="shared" si="966"/>
        <v>39</v>
      </c>
      <c r="X818" s="56">
        <f t="shared" si="967"/>
        <v>26</v>
      </c>
      <c r="Y818" s="56" t="s">
        <v>33</v>
      </c>
      <c r="Z818" s="56">
        <v>6</v>
      </c>
      <c r="AA818" s="58">
        <f t="shared" si="951"/>
        <v>1</v>
      </c>
      <c r="AB818" s="58">
        <f t="shared" si="951"/>
        <v>0</v>
      </c>
      <c r="AC818" s="58">
        <f t="shared" si="951"/>
        <v>0</v>
      </c>
      <c r="AD818" s="58">
        <f t="shared" si="951"/>
        <v>0</v>
      </c>
      <c r="AE818" s="58">
        <f t="shared" si="951"/>
        <v>0</v>
      </c>
    </row>
    <row r="819" spans="2:34" s="60" customFormat="1">
      <c r="B819" s="60" t="str">
        <f t="shared" si="954"/>
        <v>Sem3939MARROQIN HERNANDEZ WILLIAM ERNESTO</v>
      </c>
      <c r="C819" s="60" t="str">
        <f t="shared" si="955"/>
        <v>SEPTIEMBRESem39</v>
      </c>
      <c r="D819" s="60" t="str">
        <f t="shared" si="956"/>
        <v>SEPTIEMBRESem39MARROQIN HERNANDEZ WILLIAM ERNESTO</v>
      </c>
      <c r="E819" s="60" t="str">
        <f t="shared" si="957"/>
        <v>SEPTIEMBRESem3939MARROQIN HERNANDEZ WILLIAM ERNESTO</v>
      </c>
      <c r="F819" s="60" t="str">
        <f t="shared" si="958"/>
        <v>MARROQIN HERNANDEZ WILLIAM ERNESTO46292</v>
      </c>
      <c r="H819" s="61" t="s">
        <v>266</v>
      </c>
      <c r="I819" s="62" t="str">
        <f>+_xlfn.XLOOKUP($H819&amp;$V819,BASEDATOS!$B:$B,BASEDATOS!F:F,0,0,1)</f>
        <v>DESCANSO</v>
      </c>
      <c r="J819" s="63">
        <f>+_xlfn.XLOOKUP($H819&amp;$V819,BASEDATOS!$B:$B,BASEDATOS!Q:Q,0,0,1)</f>
        <v>0</v>
      </c>
      <c r="K819" s="63">
        <f>+_xlfn.XLOOKUP($H819&amp;$V819,BASEDATOS!$B:$B,BASEDATOS!R:R,0,0,1)</f>
        <v>0</v>
      </c>
      <c r="L819" s="63">
        <f t="shared" si="959"/>
        <v>0</v>
      </c>
      <c r="M819" s="64">
        <f t="shared" si="960"/>
        <v>0</v>
      </c>
      <c r="N819" s="63">
        <f t="shared" si="961"/>
        <v>0</v>
      </c>
      <c r="O819" s="65" t="str">
        <f t="shared" ref="O819" si="1003">+IF(Y819="Domingo",SUM(AA813:AA819)&amp;"-"&amp;SUM(AB813:AB819)&amp;"-"&amp;SUM(AC813:AE819),"")</f>
        <v>6-0-1</v>
      </c>
      <c r="P819" s="66">
        <f>+IF(AND(Y819="Domingo",U819=7),_xlfn.XLOOKUP(O819,'Horarios y Sistemas'!C:C,'Horarios y Sistemas'!H:H,0,0,1),0)</f>
        <v>44</v>
      </c>
      <c r="Q819" s="66">
        <f>IF(U819=U820,0,IF(AVERAGEIF(W:W,W819,U:U)=U819,0,_xlfn.XLOOKUP(O819,'Horarios y Sistemas'!C:C,'Horarios y Sistemas'!H:H,0,0,1)-P819))/7*U819</f>
        <v>0</v>
      </c>
      <c r="R819" s="66">
        <f t="shared" si="963"/>
        <v>44</v>
      </c>
      <c r="S819" s="67" t="str">
        <f t="shared" si="964"/>
        <v>SEPTIEMBRE</v>
      </c>
      <c r="T819" s="55" t="str">
        <f t="shared" si="965"/>
        <v>Sem39</v>
      </c>
      <c r="U819" s="68">
        <f t="shared" si="946"/>
        <v>7</v>
      </c>
      <c r="V819" s="69">
        <v>46292</v>
      </c>
      <c r="W819" s="68">
        <f t="shared" si="966"/>
        <v>39</v>
      </c>
      <c r="X819" s="68">
        <f t="shared" si="967"/>
        <v>27</v>
      </c>
      <c r="Y819" s="68" t="s">
        <v>34</v>
      </c>
      <c r="Z819" s="68">
        <v>7</v>
      </c>
      <c r="AA819" s="70">
        <f t="shared" si="951"/>
        <v>0</v>
      </c>
      <c r="AB819" s="70">
        <f t="shared" si="951"/>
        <v>0</v>
      </c>
      <c r="AC819" s="70">
        <f t="shared" si="951"/>
        <v>1</v>
      </c>
      <c r="AD819" s="70">
        <f t="shared" si="951"/>
        <v>0</v>
      </c>
      <c r="AE819" s="70">
        <f t="shared" si="951"/>
        <v>0</v>
      </c>
      <c r="AF819" s="71"/>
      <c r="AG819" s="71"/>
      <c r="AH819" s="71"/>
    </row>
    <row r="820" spans="2:34">
      <c r="B820" t="str">
        <f t="shared" si="954"/>
        <v>Sem4040MARROQIN HERNANDEZ WILLIAM ERNESTO</v>
      </c>
      <c r="C820" t="str">
        <f t="shared" si="955"/>
        <v>SEPTIEMBRESem40</v>
      </c>
      <c r="D820" t="str">
        <f t="shared" si="956"/>
        <v>SEPTIEMBRESem40MARROQIN HERNANDEZ WILLIAM ERNESTO</v>
      </c>
      <c r="E820" t="str">
        <f t="shared" si="957"/>
        <v>SEPTIEMBRESem4040MARROQIN HERNANDEZ WILLIAM ERNESTO</v>
      </c>
      <c r="F820" t="str">
        <f t="shared" si="958"/>
        <v>MARROQIN HERNANDEZ WILLIAM ERNESTO46293</v>
      </c>
      <c r="H820" s="49" t="s">
        <v>266</v>
      </c>
      <c r="I820" s="50" t="str">
        <f>+_xlfn.XLOOKUP($H820&amp;$V820,BASEDATOS!$B:$B,BASEDATOS!F:F,0,0,1)</f>
        <v>DESCANSO</v>
      </c>
      <c r="J820" s="51">
        <f>+_xlfn.XLOOKUP($H820&amp;$V820,BASEDATOS!$B:$B,BASEDATOS!Q:Q,0,0,1)</f>
        <v>0</v>
      </c>
      <c r="K820" s="51">
        <f>+_xlfn.XLOOKUP($H820&amp;$V820,BASEDATOS!$B:$B,BASEDATOS!R:R,0,0,1)</f>
        <v>0</v>
      </c>
      <c r="L820" s="51">
        <f t="shared" si="959"/>
        <v>0</v>
      </c>
      <c r="M820" s="52">
        <f t="shared" si="960"/>
        <v>0</v>
      </c>
      <c r="N820" s="51">
        <f t="shared" si="961"/>
        <v>0</v>
      </c>
      <c r="O820" s="53" t="str">
        <f t="shared" ref="O820" si="1004">+O826</f>
        <v>0-0-7</v>
      </c>
      <c r="P820" s="54">
        <f>+IF(AND(Y820="Domingo",U820=7),_xlfn.XLOOKUP(O820,'Horarios y Sistemas'!C:C,'Horarios y Sistemas'!H:H,0,0,1),0)</f>
        <v>0</v>
      </c>
      <c r="Q820" s="54">
        <f>IF(U820=U821,0,IF(AVERAGEIF(W:W,W820,U:U)=U820,0,_xlfn.XLOOKUP(O820,'Horarios y Sistemas'!C:C,'Horarios y Sistemas'!H:H,0,0,1)-P820))/7*U820</f>
        <v>0</v>
      </c>
      <c r="R820" s="54">
        <f t="shared" si="963"/>
        <v>0</v>
      </c>
      <c r="S820" s="55" t="str">
        <f t="shared" si="964"/>
        <v>SEPTIEMBRE</v>
      </c>
      <c r="T820" s="55" t="str">
        <f t="shared" si="965"/>
        <v>Sem40</v>
      </c>
      <c r="U820" s="56">
        <f t="shared" si="946"/>
        <v>7</v>
      </c>
      <c r="V820" s="59">
        <v>46293</v>
      </c>
      <c r="W820" s="56">
        <f t="shared" si="966"/>
        <v>40</v>
      </c>
      <c r="X820" s="56">
        <f t="shared" si="967"/>
        <v>28</v>
      </c>
      <c r="Y820" s="56" t="s">
        <v>28</v>
      </c>
      <c r="Z820" s="56">
        <v>1</v>
      </c>
      <c r="AA820" s="58">
        <f t="shared" si="951"/>
        <v>0</v>
      </c>
      <c r="AB820" s="58">
        <f t="shared" si="951"/>
        <v>0</v>
      </c>
      <c r="AC820" s="58">
        <f t="shared" si="951"/>
        <v>1</v>
      </c>
      <c r="AD820" s="58">
        <f t="shared" si="951"/>
        <v>0</v>
      </c>
      <c r="AE820" s="58">
        <f t="shared" si="951"/>
        <v>0</v>
      </c>
    </row>
    <row r="821" spans="2:34">
      <c r="B821" t="str">
        <f t="shared" si="954"/>
        <v>Sem4040MARROQIN HERNANDEZ WILLIAM ERNESTO</v>
      </c>
      <c r="C821" t="str">
        <f t="shared" si="955"/>
        <v>SEPTIEMBRESem40</v>
      </c>
      <c r="D821" t="str">
        <f t="shared" si="956"/>
        <v>SEPTIEMBRESem40MARROQIN HERNANDEZ WILLIAM ERNESTO</v>
      </c>
      <c r="E821" t="str">
        <f t="shared" si="957"/>
        <v>SEPTIEMBRESem4040MARROQIN HERNANDEZ WILLIAM ERNESTO</v>
      </c>
      <c r="F821" t="str">
        <f t="shared" si="958"/>
        <v>MARROQIN HERNANDEZ WILLIAM ERNESTO46294</v>
      </c>
      <c r="H821" s="49" t="s">
        <v>266</v>
      </c>
      <c r="I821" s="50" t="str">
        <f>+_xlfn.XLOOKUP($H821&amp;$V821,BASEDATOS!$B:$B,BASEDATOS!F:F,0,0,1)</f>
        <v>DESCANSO</v>
      </c>
      <c r="J821" s="51">
        <f>+_xlfn.XLOOKUP($H821&amp;$V821,BASEDATOS!$B:$B,BASEDATOS!Q:Q,0,0,1)</f>
        <v>0</v>
      </c>
      <c r="K821" s="51">
        <f>+_xlfn.XLOOKUP($H821&amp;$V821,BASEDATOS!$B:$B,BASEDATOS!R:R,0,0,1)</f>
        <v>0</v>
      </c>
      <c r="L821" s="51">
        <f t="shared" si="959"/>
        <v>0</v>
      </c>
      <c r="M821" s="52">
        <f t="shared" si="960"/>
        <v>0</v>
      </c>
      <c r="N821" s="51">
        <f t="shared" si="961"/>
        <v>0</v>
      </c>
      <c r="O821" s="53" t="str">
        <f t="shared" ref="O821" si="1005">+O826</f>
        <v>0-0-7</v>
      </c>
      <c r="P821" s="54">
        <f>+IF(AND(Y821="Domingo",U821=7),_xlfn.XLOOKUP(O821,'Horarios y Sistemas'!C:C,'Horarios y Sistemas'!H:H,0,0,1),0)</f>
        <v>0</v>
      </c>
      <c r="Q821" s="54">
        <f>IF(U821=U822,0,IF(AVERAGEIF(W:W,W821,U:U)=U821,0,_xlfn.XLOOKUP(O821,'Horarios y Sistemas'!C:C,'Horarios y Sistemas'!H:H,0,0,1)-P821))/7*U821</f>
        <v>0</v>
      </c>
      <c r="R821" s="54">
        <f t="shared" si="963"/>
        <v>0</v>
      </c>
      <c r="S821" s="55" t="str">
        <f t="shared" si="964"/>
        <v>SEPTIEMBRE</v>
      </c>
      <c r="T821" s="55" t="str">
        <f t="shared" si="965"/>
        <v>Sem40</v>
      </c>
      <c r="U821" s="56">
        <f t="shared" si="946"/>
        <v>7</v>
      </c>
      <c r="V821" s="59">
        <v>46294</v>
      </c>
      <c r="W821" s="56">
        <f t="shared" si="966"/>
        <v>40</v>
      </c>
      <c r="X821" s="56">
        <f t="shared" si="967"/>
        <v>29</v>
      </c>
      <c r="Y821" s="56" t="s">
        <v>29</v>
      </c>
      <c r="Z821" s="56">
        <v>2</v>
      </c>
      <c r="AA821" s="58">
        <f t="shared" si="951"/>
        <v>0</v>
      </c>
      <c r="AB821" s="58">
        <f t="shared" si="951"/>
        <v>0</v>
      </c>
      <c r="AC821" s="58">
        <f t="shared" si="951"/>
        <v>1</v>
      </c>
      <c r="AD821" s="58">
        <f t="shared" si="951"/>
        <v>0</v>
      </c>
      <c r="AE821" s="58">
        <f t="shared" si="951"/>
        <v>0</v>
      </c>
    </row>
    <row r="822" spans="2:34">
      <c r="B822" t="str">
        <f t="shared" si="954"/>
        <v>Sem4040MARROQIN HERNANDEZ WILLIAM ERNESTO</v>
      </c>
      <c r="C822" t="str">
        <f t="shared" si="955"/>
        <v>SEPTIEMBRESem40</v>
      </c>
      <c r="D822" t="str">
        <f t="shared" si="956"/>
        <v>SEPTIEMBRESem40MARROQIN HERNANDEZ WILLIAM ERNESTO</v>
      </c>
      <c r="E822" t="str">
        <f t="shared" si="957"/>
        <v>SEPTIEMBRESem4040MARROQIN HERNANDEZ WILLIAM ERNESTO</v>
      </c>
      <c r="F822" t="str">
        <f t="shared" si="958"/>
        <v>MARROQIN HERNANDEZ WILLIAM ERNESTO46295</v>
      </c>
      <c r="H822" s="49" t="s">
        <v>266</v>
      </c>
      <c r="I822" s="50" t="str">
        <f>+_xlfn.XLOOKUP($H822&amp;$V822,BASEDATOS!$B:$B,BASEDATOS!F:F,0,0,1)</f>
        <v>DESCANSO</v>
      </c>
      <c r="J822" s="51">
        <f>+_xlfn.XLOOKUP($H822&amp;$V822,BASEDATOS!$B:$B,BASEDATOS!Q:Q,0,0,1)</f>
        <v>0</v>
      </c>
      <c r="K822" s="51">
        <f>+_xlfn.XLOOKUP($H822&amp;$V822,BASEDATOS!$B:$B,BASEDATOS!R:R,0,0,1)</f>
        <v>0</v>
      </c>
      <c r="L822" s="51">
        <f t="shared" si="959"/>
        <v>0</v>
      </c>
      <c r="M822" s="52">
        <f t="shared" si="960"/>
        <v>0</v>
      </c>
      <c r="N822" s="51">
        <f t="shared" si="961"/>
        <v>0</v>
      </c>
      <c r="O822" s="53" t="str">
        <f t="shared" ref="O822" si="1006">+O826</f>
        <v>0-0-7</v>
      </c>
      <c r="P822" s="54">
        <f>+IF(AND(Y822="Domingo",U822=7),_xlfn.XLOOKUP(O822,'Horarios y Sistemas'!C:C,'Horarios y Sistemas'!H:H,0,0,1),0)</f>
        <v>0</v>
      </c>
      <c r="Q822" s="54">
        <f>IF(U822=U823,0,IF(AVERAGEIF(W:W,W822,U:U)=U822,0,_xlfn.XLOOKUP(O822,'Horarios y Sistemas'!C:C,'Horarios y Sistemas'!H:H,0,0,1)-P822))/7*U822</f>
        <v>0</v>
      </c>
      <c r="R822" s="54">
        <f t="shared" si="963"/>
        <v>0</v>
      </c>
      <c r="S822" s="55" t="str">
        <f t="shared" si="964"/>
        <v>SEPTIEMBRE</v>
      </c>
      <c r="T822" s="55" t="str">
        <f t="shared" si="965"/>
        <v>Sem40</v>
      </c>
      <c r="U822" s="56">
        <f t="shared" si="946"/>
        <v>7</v>
      </c>
      <c r="V822" s="59">
        <v>46295</v>
      </c>
      <c r="W822" s="56">
        <f t="shared" si="966"/>
        <v>40</v>
      </c>
      <c r="X822" s="56">
        <f t="shared" si="967"/>
        <v>30</v>
      </c>
      <c r="Y822" s="56" t="s">
        <v>30</v>
      </c>
      <c r="Z822" s="56">
        <v>3</v>
      </c>
      <c r="AA822" s="58">
        <f t="shared" si="951"/>
        <v>0</v>
      </c>
      <c r="AB822" s="58">
        <f t="shared" si="951"/>
        <v>0</v>
      </c>
      <c r="AC822" s="58">
        <f t="shared" si="951"/>
        <v>1</v>
      </c>
      <c r="AD822" s="58">
        <f t="shared" si="951"/>
        <v>0</v>
      </c>
      <c r="AE822" s="58">
        <f t="shared" si="951"/>
        <v>0</v>
      </c>
    </row>
    <row r="823" spans="2:34">
      <c r="B823" t="str">
        <f t="shared" si="954"/>
        <v>Sem4040MARROQIN HERNANDEZ WILLIAM ERNESTO</v>
      </c>
      <c r="C823" t="str">
        <f t="shared" si="955"/>
        <v>OCTUBRESem40</v>
      </c>
      <c r="D823" t="str">
        <f t="shared" si="956"/>
        <v>OCTUBRESem40MARROQIN HERNANDEZ WILLIAM ERNESTO</v>
      </c>
      <c r="E823" t="str">
        <f t="shared" si="957"/>
        <v>OCTUBRESem4040MARROQIN HERNANDEZ WILLIAM ERNESTO</v>
      </c>
      <c r="F823" t="str">
        <f t="shared" si="958"/>
        <v>MARROQIN HERNANDEZ WILLIAM ERNESTO46296</v>
      </c>
      <c r="H823" s="49" t="s">
        <v>266</v>
      </c>
      <c r="I823" s="50" t="str">
        <f>+_xlfn.XLOOKUP($H823&amp;$V823,BASEDATOS!$B:$B,BASEDATOS!F:F,0,0,1)</f>
        <v>DESCANSO</v>
      </c>
      <c r="J823" s="51">
        <f>+_xlfn.XLOOKUP($H823&amp;$V823,BASEDATOS!$B:$B,BASEDATOS!Q:Q,0,0,1)</f>
        <v>0</v>
      </c>
      <c r="K823" s="51">
        <f>+_xlfn.XLOOKUP($H823&amp;$V823,BASEDATOS!$B:$B,BASEDATOS!R:R,0,0,1)</f>
        <v>0</v>
      </c>
      <c r="L823" s="51">
        <f t="shared" si="959"/>
        <v>0</v>
      </c>
      <c r="M823" s="52">
        <f t="shared" si="960"/>
        <v>0</v>
      </c>
      <c r="N823" s="51">
        <f t="shared" si="961"/>
        <v>0</v>
      </c>
      <c r="O823" s="53" t="str">
        <f t="shared" ref="O823" si="1007">+O826</f>
        <v>0-0-7</v>
      </c>
      <c r="P823" s="54">
        <f>+IF(AND(Y823="Domingo",U823=7),_xlfn.XLOOKUP(O823,'Horarios y Sistemas'!C:C,'Horarios y Sistemas'!H:H,0,0,1),0)</f>
        <v>0</v>
      </c>
      <c r="Q823" s="54">
        <f>IF(U823=U824,0,IF(AVERAGEIF(W:W,W823,U:U)=U823,0,_xlfn.XLOOKUP(O823,'Horarios y Sistemas'!C:C,'Horarios y Sistemas'!H:H,0,0,1)-P823))/7*U823</f>
        <v>0</v>
      </c>
      <c r="R823" s="54">
        <f t="shared" si="963"/>
        <v>0</v>
      </c>
      <c r="S823" s="55" t="str">
        <f t="shared" si="964"/>
        <v>OCTUBRE</v>
      </c>
      <c r="T823" s="55" t="str">
        <f t="shared" si="965"/>
        <v>Sem40</v>
      </c>
      <c r="U823" s="56">
        <f t="shared" si="946"/>
        <v>7</v>
      </c>
      <c r="V823" s="59">
        <v>46296</v>
      </c>
      <c r="W823" s="56">
        <f t="shared" si="966"/>
        <v>40</v>
      </c>
      <c r="X823" s="56">
        <f t="shared" si="967"/>
        <v>1</v>
      </c>
      <c r="Y823" s="56" t="s">
        <v>31</v>
      </c>
      <c r="Z823" s="56">
        <v>4</v>
      </c>
      <c r="AA823" s="58">
        <f t="shared" si="951"/>
        <v>0</v>
      </c>
      <c r="AB823" s="58">
        <f t="shared" si="951"/>
        <v>0</v>
      </c>
      <c r="AC823" s="58">
        <f t="shared" si="951"/>
        <v>1</v>
      </c>
      <c r="AD823" s="58">
        <f t="shared" si="951"/>
        <v>0</v>
      </c>
      <c r="AE823" s="58">
        <f t="shared" si="951"/>
        <v>0</v>
      </c>
    </row>
    <row r="824" spans="2:34">
      <c r="B824" t="str">
        <f t="shared" si="954"/>
        <v>Sem4040MARROQIN HERNANDEZ WILLIAM ERNESTO</v>
      </c>
      <c r="C824" t="str">
        <f t="shared" si="955"/>
        <v>OCTUBRESem40</v>
      </c>
      <c r="D824" t="str">
        <f t="shared" si="956"/>
        <v>OCTUBRESem40MARROQIN HERNANDEZ WILLIAM ERNESTO</v>
      </c>
      <c r="E824" t="str">
        <f t="shared" si="957"/>
        <v>OCTUBRESem4040MARROQIN HERNANDEZ WILLIAM ERNESTO</v>
      </c>
      <c r="F824" t="str">
        <f t="shared" si="958"/>
        <v>MARROQIN HERNANDEZ WILLIAM ERNESTO46297</v>
      </c>
      <c r="H824" s="49" t="s">
        <v>266</v>
      </c>
      <c r="I824" s="50" t="str">
        <f>+_xlfn.XLOOKUP($H824&amp;$V824,BASEDATOS!$B:$B,BASEDATOS!F:F,0,0,1)</f>
        <v>DESCANSO</v>
      </c>
      <c r="J824" s="51">
        <f>+_xlfn.XLOOKUP($H824&amp;$V824,BASEDATOS!$B:$B,BASEDATOS!Q:Q,0,0,1)</f>
        <v>0</v>
      </c>
      <c r="K824" s="51">
        <f>+_xlfn.XLOOKUP($H824&amp;$V824,BASEDATOS!$B:$B,BASEDATOS!R:R,0,0,1)</f>
        <v>0</v>
      </c>
      <c r="L824" s="51">
        <f t="shared" si="959"/>
        <v>0</v>
      </c>
      <c r="M824" s="52">
        <f t="shared" si="960"/>
        <v>0</v>
      </c>
      <c r="N824" s="51">
        <f t="shared" si="961"/>
        <v>0</v>
      </c>
      <c r="O824" s="53" t="str">
        <f t="shared" ref="O824" si="1008">+O826</f>
        <v>0-0-7</v>
      </c>
      <c r="P824" s="54">
        <f>+IF(AND(Y824="Domingo",U824=7),_xlfn.XLOOKUP(O824,'Horarios y Sistemas'!C:C,'Horarios y Sistemas'!H:H,0,0,1),0)</f>
        <v>0</v>
      </c>
      <c r="Q824" s="54">
        <f>IF(U824=U825,0,IF(AVERAGEIF(W:W,W824,U:U)=U824,0,_xlfn.XLOOKUP(O824,'Horarios y Sistemas'!C:C,'Horarios y Sistemas'!H:H,0,0,1)-P824))/7*U824</f>
        <v>0</v>
      </c>
      <c r="R824" s="54">
        <f t="shared" si="963"/>
        <v>0</v>
      </c>
      <c r="S824" s="55" t="str">
        <f t="shared" si="964"/>
        <v>OCTUBRE</v>
      </c>
      <c r="T824" s="55" t="str">
        <f t="shared" si="965"/>
        <v>Sem40</v>
      </c>
      <c r="U824" s="56">
        <f t="shared" si="946"/>
        <v>7</v>
      </c>
      <c r="V824" s="59">
        <v>46297</v>
      </c>
      <c r="W824" s="56">
        <f t="shared" si="966"/>
        <v>40</v>
      </c>
      <c r="X824" s="56">
        <f t="shared" si="967"/>
        <v>2</v>
      </c>
      <c r="Y824" s="56" t="s">
        <v>32</v>
      </c>
      <c r="Z824" s="56">
        <v>5</v>
      </c>
      <c r="AA824" s="58">
        <f t="shared" si="951"/>
        <v>0</v>
      </c>
      <c r="AB824" s="58">
        <f t="shared" si="951"/>
        <v>0</v>
      </c>
      <c r="AC824" s="58">
        <f t="shared" si="951"/>
        <v>1</v>
      </c>
      <c r="AD824" s="58">
        <f t="shared" si="951"/>
        <v>0</v>
      </c>
      <c r="AE824" s="58">
        <f t="shared" si="951"/>
        <v>0</v>
      </c>
    </row>
    <row r="825" spans="2:34">
      <c r="B825" t="str">
        <f t="shared" si="954"/>
        <v>Sem4040MARROQIN HERNANDEZ WILLIAM ERNESTO</v>
      </c>
      <c r="C825" t="str">
        <f t="shared" si="955"/>
        <v>OCTUBRESem40</v>
      </c>
      <c r="D825" t="str">
        <f t="shared" si="956"/>
        <v>OCTUBRESem40MARROQIN HERNANDEZ WILLIAM ERNESTO</v>
      </c>
      <c r="E825" t="str">
        <f t="shared" si="957"/>
        <v>OCTUBRESem4040MARROQIN HERNANDEZ WILLIAM ERNESTO</v>
      </c>
      <c r="F825" t="str">
        <f t="shared" si="958"/>
        <v>MARROQIN HERNANDEZ WILLIAM ERNESTO46298</v>
      </c>
      <c r="H825" s="49" t="s">
        <v>266</v>
      </c>
      <c r="I825" s="50" t="str">
        <f>+_xlfn.XLOOKUP($H825&amp;$V825,BASEDATOS!$B:$B,BASEDATOS!F:F,0,0,1)</f>
        <v>DESCANSO</v>
      </c>
      <c r="J825" s="51">
        <f>+_xlfn.XLOOKUP($H825&amp;$V825,BASEDATOS!$B:$B,BASEDATOS!Q:Q,0,0,1)</f>
        <v>0</v>
      </c>
      <c r="K825" s="51">
        <f>+_xlfn.XLOOKUP($H825&amp;$V825,BASEDATOS!$B:$B,BASEDATOS!R:R,0,0,1)</f>
        <v>0</v>
      </c>
      <c r="L825" s="51">
        <f t="shared" si="959"/>
        <v>0</v>
      </c>
      <c r="M825" s="52">
        <f t="shared" si="960"/>
        <v>0</v>
      </c>
      <c r="N825" s="51">
        <f t="shared" si="961"/>
        <v>0</v>
      </c>
      <c r="O825" s="53" t="str">
        <f t="shared" ref="O825" si="1009">+O826</f>
        <v>0-0-7</v>
      </c>
      <c r="P825" s="54">
        <f>+IF(AND(Y825="Domingo",U825=7),_xlfn.XLOOKUP(O825,'Horarios y Sistemas'!C:C,'Horarios y Sistemas'!H:H,0,0,1),0)</f>
        <v>0</v>
      </c>
      <c r="Q825" s="54">
        <f>IF(U825=U826,0,IF(AVERAGEIF(W:W,W825,U:U)=U825,0,_xlfn.XLOOKUP(O825,'Horarios y Sistemas'!C:C,'Horarios y Sistemas'!H:H,0,0,1)-P825))/7*U825</f>
        <v>0</v>
      </c>
      <c r="R825" s="54">
        <f t="shared" si="963"/>
        <v>0</v>
      </c>
      <c r="S825" s="55" t="str">
        <f t="shared" si="964"/>
        <v>OCTUBRE</v>
      </c>
      <c r="T825" s="55" t="str">
        <f t="shared" si="965"/>
        <v>Sem40</v>
      </c>
      <c r="U825" s="56">
        <f t="shared" si="946"/>
        <v>7</v>
      </c>
      <c r="V825" s="59">
        <v>46298</v>
      </c>
      <c r="W825" s="56">
        <f t="shared" si="966"/>
        <v>40</v>
      </c>
      <c r="X825" s="56">
        <f t="shared" si="967"/>
        <v>3</v>
      </c>
      <c r="Y825" s="56" t="s">
        <v>33</v>
      </c>
      <c r="Z825" s="56">
        <v>6</v>
      </c>
      <c r="AA825" s="58">
        <f t="shared" si="951"/>
        <v>0</v>
      </c>
      <c r="AB825" s="58">
        <f t="shared" si="951"/>
        <v>0</v>
      </c>
      <c r="AC825" s="58">
        <f t="shared" si="951"/>
        <v>1</v>
      </c>
      <c r="AD825" s="58">
        <f t="shared" si="951"/>
        <v>0</v>
      </c>
      <c r="AE825" s="58">
        <f t="shared" si="951"/>
        <v>0</v>
      </c>
    </row>
    <row r="826" spans="2:34" s="60" customFormat="1">
      <c r="B826" s="60" t="str">
        <f t="shared" si="954"/>
        <v>Sem4040MARROQIN HERNANDEZ WILLIAM ERNESTO</v>
      </c>
      <c r="C826" s="60" t="str">
        <f t="shared" si="955"/>
        <v>OCTUBRESem40</v>
      </c>
      <c r="D826" s="60" t="str">
        <f t="shared" si="956"/>
        <v>OCTUBRESem40MARROQIN HERNANDEZ WILLIAM ERNESTO</v>
      </c>
      <c r="E826" s="60" t="str">
        <f t="shared" si="957"/>
        <v>OCTUBRESem4040MARROQIN HERNANDEZ WILLIAM ERNESTO</v>
      </c>
      <c r="F826" s="60" t="str">
        <f t="shared" si="958"/>
        <v>MARROQIN HERNANDEZ WILLIAM ERNESTO46299</v>
      </c>
      <c r="H826" s="61" t="s">
        <v>266</v>
      </c>
      <c r="I826" s="62" t="str">
        <f>+_xlfn.XLOOKUP($H826&amp;$V826,BASEDATOS!$B:$B,BASEDATOS!F:F,0,0,1)</f>
        <v>DESCANSO</v>
      </c>
      <c r="J826" s="63">
        <f>+_xlfn.XLOOKUP($H826&amp;$V826,BASEDATOS!$B:$B,BASEDATOS!Q:Q,0,0,1)</f>
        <v>0</v>
      </c>
      <c r="K826" s="63">
        <f>+_xlfn.XLOOKUP($H826&amp;$V826,BASEDATOS!$B:$B,BASEDATOS!R:R,0,0,1)</f>
        <v>0</v>
      </c>
      <c r="L826" s="63">
        <f t="shared" si="959"/>
        <v>0</v>
      </c>
      <c r="M826" s="64">
        <f t="shared" si="960"/>
        <v>0</v>
      </c>
      <c r="N826" s="63">
        <f t="shared" si="961"/>
        <v>0</v>
      </c>
      <c r="O826" s="65" t="str">
        <f t="shared" ref="O826" si="1010">+IF(Y826="Domingo",SUM(AA820:AA826)&amp;"-"&amp;SUM(AB820:AB826)&amp;"-"&amp;SUM(AC820:AE826),"")</f>
        <v>0-0-7</v>
      </c>
      <c r="P826" s="66">
        <f>+IF(AND(Y826="Domingo",U826=7),_xlfn.XLOOKUP(O826,'Horarios y Sistemas'!C:C,'Horarios y Sistemas'!H:H,0,0,1),0)</f>
        <v>0</v>
      </c>
      <c r="Q826" s="66">
        <f>IF(U826=U827,0,IF(AVERAGEIF(W:W,W826,U:U)=U826,0,_xlfn.XLOOKUP(O826,'Horarios y Sistemas'!C:C,'Horarios y Sistemas'!H:H,0,0,1)-P826))/7*U826</f>
        <v>0</v>
      </c>
      <c r="R826" s="66">
        <f t="shared" si="963"/>
        <v>0</v>
      </c>
      <c r="S826" s="67" t="str">
        <f t="shared" si="964"/>
        <v>OCTUBRE</v>
      </c>
      <c r="T826" s="55" t="str">
        <f t="shared" si="965"/>
        <v>Sem40</v>
      </c>
      <c r="U826" s="68">
        <f t="shared" si="946"/>
        <v>7</v>
      </c>
      <c r="V826" s="69">
        <v>46299</v>
      </c>
      <c r="W826" s="68">
        <f t="shared" si="966"/>
        <v>40</v>
      </c>
      <c r="X826" s="68">
        <f t="shared" si="967"/>
        <v>4</v>
      </c>
      <c r="Y826" s="68" t="s">
        <v>34</v>
      </c>
      <c r="Z826" s="68">
        <v>7</v>
      </c>
      <c r="AA826" s="70">
        <f t="shared" si="951"/>
        <v>0</v>
      </c>
      <c r="AB826" s="70">
        <f t="shared" si="951"/>
        <v>0</v>
      </c>
      <c r="AC826" s="70">
        <f t="shared" si="951"/>
        <v>1</v>
      </c>
      <c r="AD826" s="70">
        <f t="shared" si="951"/>
        <v>0</v>
      </c>
      <c r="AE826" s="70">
        <f t="shared" si="951"/>
        <v>0</v>
      </c>
      <c r="AF826" s="71"/>
      <c r="AG826" s="71"/>
      <c r="AH826" s="71"/>
    </row>
    <row r="827" spans="2:34">
      <c r="B827" t="str">
        <f t="shared" si="954"/>
        <v>Sem3838MARROQUIN HERNANDEZ WILLIAM ERNESTO</v>
      </c>
      <c r="C827" t="str">
        <f t="shared" si="955"/>
        <v>SEPTIEMBRESem38</v>
      </c>
      <c r="D827" t="str">
        <f t="shared" si="956"/>
        <v>SEPTIEMBRESem38MARROQUIN HERNANDEZ WILLIAM ERNESTO</v>
      </c>
      <c r="E827" t="str">
        <f t="shared" si="957"/>
        <v>SEPTIEMBRESem3838MARROQUIN HERNANDEZ WILLIAM ERNESTO</v>
      </c>
      <c r="F827" t="str">
        <f t="shared" si="958"/>
        <v>MARROQUIN HERNANDEZ WILLIAM ERNESTO46279</v>
      </c>
      <c r="H827" s="49" t="s">
        <v>250</v>
      </c>
      <c r="I827" s="50" t="str">
        <f>+_xlfn.XLOOKUP($H827&amp;$V827,BASEDATOS!$B:$B,BASEDATOS!F:F,0,0,1)</f>
        <v>DESCANSO</v>
      </c>
      <c r="J827" s="51">
        <f>+_xlfn.XLOOKUP($H827&amp;$V827,BASEDATOS!$B:$B,BASEDATOS!Q:Q,0,0,1)</f>
        <v>0</v>
      </c>
      <c r="K827" s="51">
        <f>+_xlfn.XLOOKUP($H827&amp;$V827,BASEDATOS!$B:$B,BASEDATOS!R:R,0,0,1)</f>
        <v>0</v>
      </c>
      <c r="L827" s="51">
        <f t="shared" si="959"/>
        <v>0</v>
      </c>
      <c r="M827" s="52">
        <f t="shared" si="960"/>
        <v>0</v>
      </c>
      <c r="N827" s="51">
        <f t="shared" si="961"/>
        <v>0</v>
      </c>
      <c r="O827" s="53" t="str">
        <f t="shared" ref="O827" si="1011">+O833</f>
        <v>0-0-7</v>
      </c>
      <c r="P827" s="54">
        <f>+IF(AND(Y827="Domingo",U827=7),_xlfn.XLOOKUP(O827,'Horarios y Sistemas'!C:C,'Horarios y Sistemas'!H:H,0,0,1),0)</f>
        <v>0</v>
      </c>
      <c r="Q827" s="54">
        <f>IF(U827=U828,0,IF(AVERAGEIF(W:W,W827,U:U)=U827,0,_xlfn.XLOOKUP(O827,'Horarios y Sistemas'!C:C,'Horarios y Sistemas'!H:H,0,0,1)-P827))/7*U827</f>
        <v>0</v>
      </c>
      <c r="R827" s="54">
        <f t="shared" si="963"/>
        <v>0</v>
      </c>
      <c r="S827" s="55" t="str">
        <f t="shared" si="964"/>
        <v>SEPTIEMBRE</v>
      </c>
      <c r="T827" s="55" t="str">
        <f t="shared" si="965"/>
        <v>Sem38</v>
      </c>
      <c r="U827" s="56">
        <f t="shared" si="946"/>
        <v>7</v>
      </c>
      <c r="V827" s="59">
        <v>46279</v>
      </c>
      <c r="W827" s="56">
        <f t="shared" si="966"/>
        <v>38</v>
      </c>
      <c r="X827" s="56">
        <f t="shared" si="967"/>
        <v>14</v>
      </c>
      <c r="Y827" s="56" t="s">
        <v>28</v>
      </c>
      <c r="Z827" s="56">
        <v>1</v>
      </c>
      <c r="AA827" s="58">
        <f t="shared" si="951"/>
        <v>0</v>
      </c>
      <c r="AB827" s="58">
        <f t="shared" si="951"/>
        <v>0</v>
      </c>
      <c r="AC827" s="58">
        <f t="shared" si="951"/>
        <v>1</v>
      </c>
      <c r="AD827" s="58">
        <f t="shared" si="951"/>
        <v>0</v>
      </c>
      <c r="AE827" s="58">
        <f t="shared" si="951"/>
        <v>0</v>
      </c>
    </row>
    <row r="828" spans="2:34">
      <c r="B828" t="str">
        <f t="shared" si="954"/>
        <v>Sem3838MARROQUIN HERNANDEZ WILLIAM ERNESTO</v>
      </c>
      <c r="C828" t="str">
        <f t="shared" si="955"/>
        <v>SEPTIEMBRESem38</v>
      </c>
      <c r="D828" t="str">
        <f t="shared" si="956"/>
        <v>SEPTIEMBRESem38MARROQUIN HERNANDEZ WILLIAM ERNESTO</v>
      </c>
      <c r="E828" t="str">
        <f t="shared" si="957"/>
        <v>SEPTIEMBRESem3838MARROQUIN HERNANDEZ WILLIAM ERNESTO</v>
      </c>
      <c r="F828" t="str">
        <f t="shared" si="958"/>
        <v>MARROQUIN HERNANDEZ WILLIAM ERNESTO46280</v>
      </c>
      <c r="H828" s="49" t="s">
        <v>250</v>
      </c>
      <c r="I828" s="50" t="str">
        <f>+_xlfn.XLOOKUP($H828&amp;$V828,BASEDATOS!$B:$B,BASEDATOS!F:F,0,0,1)</f>
        <v>DESCANSO</v>
      </c>
      <c r="J828" s="51">
        <f>+_xlfn.XLOOKUP($H828&amp;$V828,BASEDATOS!$B:$B,BASEDATOS!Q:Q,0,0,1)</f>
        <v>0</v>
      </c>
      <c r="K828" s="51">
        <f>+_xlfn.XLOOKUP($H828&amp;$V828,BASEDATOS!$B:$B,BASEDATOS!R:R,0,0,1)</f>
        <v>0</v>
      </c>
      <c r="L828" s="51">
        <f t="shared" si="959"/>
        <v>0</v>
      </c>
      <c r="M828" s="52">
        <f t="shared" si="960"/>
        <v>0</v>
      </c>
      <c r="N828" s="51">
        <f t="shared" si="961"/>
        <v>0</v>
      </c>
      <c r="O828" s="53" t="str">
        <f t="shared" ref="O828" si="1012">+O833</f>
        <v>0-0-7</v>
      </c>
      <c r="P828" s="54">
        <f>+IF(AND(Y828="Domingo",U828=7),_xlfn.XLOOKUP(O828,'Horarios y Sistemas'!C:C,'Horarios y Sistemas'!H:H,0,0,1),0)</f>
        <v>0</v>
      </c>
      <c r="Q828" s="54">
        <f>IF(U828=U829,0,IF(AVERAGEIF(W:W,W828,U:U)=U828,0,_xlfn.XLOOKUP(O828,'Horarios y Sistemas'!C:C,'Horarios y Sistemas'!H:H,0,0,1)-P828))/7*U828</f>
        <v>0</v>
      </c>
      <c r="R828" s="54">
        <f t="shared" si="963"/>
        <v>0</v>
      </c>
      <c r="S828" s="55" t="str">
        <f t="shared" si="964"/>
        <v>SEPTIEMBRE</v>
      </c>
      <c r="T828" s="55" t="str">
        <f t="shared" si="965"/>
        <v>Sem38</v>
      </c>
      <c r="U828" s="56">
        <f t="shared" si="946"/>
        <v>7</v>
      </c>
      <c r="V828" s="59">
        <v>46280</v>
      </c>
      <c r="W828" s="56">
        <f t="shared" si="966"/>
        <v>38</v>
      </c>
      <c r="X828" s="56">
        <f t="shared" si="967"/>
        <v>15</v>
      </c>
      <c r="Y828" s="56" t="s">
        <v>29</v>
      </c>
      <c r="Z828" s="56">
        <v>2</v>
      </c>
      <c r="AA828" s="58">
        <f t="shared" si="951"/>
        <v>0</v>
      </c>
      <c r="AB828" s="58">
        <f t="shared" si="951"/>
        <v>0</v>
      </c>
      <c r="AC828" s="58">
        <f t="shared" si="951"/>
        <v>1</v>
      </c>
      <c r="AD828" s="58">
        <f t="shared" si="951"/>
        <v>0</v>
      </c>
      <c r="AE828" s="58">
        <f t="shared" si="951"/>
        <v>0</v>
      </c>
    </row>
    <row r="829" spans="2:34">
      <c r="B829" t="str">
        <f t="shared" si="954"/>
        <v>Sem3838MARROQUIN HERNANDEZ WILLIAM ERNESTO</v>
      </c>
      <c r="C829" t="str">
        <f t="shared" si="955"/>
        <v>SEPTIEMBRESem38</v>
      </c>
      <c r="D829" t="str">
        <f t="shared" si="956"/>
        <v>SEPTIEMBRESem38MARROQUIN HERNANDEZ WILLIAM ERNESTO</v>
      </c>
      <c r="E829" t="str">
        <f t="shared" si="957"/>
        <v>SEPTIEMBRESem3838MARROQUIN HERNANDEZ WILLIAM ERNESTO</v>
      </c>
      <c r="F829" t="str">
        <f t="shared" si="958"/>
        <v>MARROQUIN HERNANDEZ WILLIAM ERNESTO46281</v>
      </c>
      <c r="H829" s="49" t="s">
        <v>250</v>
      </c>
      <c r="I829" s="50" t="str">
        <f>+_xlfn.XLOOKUP($H829&amp;$V829,BASEDATOS!$B:$B,BASEDATOS!F:F,0,0,1)</f>
        <v>DESCANSO</v>
      </c>
      <c r="J829" s="51">
        <f>+_xlfn.XLOOKUP($H829&amp;$V829,BASEDATOS!$B:$B,BASEDATOS!Q:Q,0,0,1)</f>
        <v>0</v>
      </c>
      <c r="K829" s="51">
        <f>+_xlfn.XLOOKUP($H829&amp;$V829,BASEDATOS!$B:$B,BASEDATOS!R:R,0,0,1)</f>
        <v>0</v>
      </c>
      <c r="L829" s="51">
        <f t="shared" si="959"/>
        <v>0</v>
      </c>
      <c r="M829" s="52">
        <f t="shared" si="960"/>
        <v>0</v>
      </c>
      <c r="N829" s="51">
        <f t="shared" si="961"/>
        <v>0</v>
      </c>
      <c r="O829" s="53" t="str">
        <f t="shared" ref="O829" si="1013">+O833</f>
        <v>0-0-7</v>
      </c>
      <c r="P829" s="54">
        <f>+IF(AND(Y829="Domingo",U829=7),_xlfn.XLOOKUP(O829,'Horarios y Sistemas'!C:C,'Horarios y Sistemas'!H:H,0,0,1),0)</f>
        <v>0</v>
      </c>
      <c r="Q829" s="54">
        <f>IF(U829=U830,0,IF(AVERAGEIF(W:W,W829,U:U)=U829,0,_xlfn.XLOOKUP(O829,'Horarios y Sistemas'!C:C,'Horarios y Sistemas'!H:H,0,0,1)-P829))/7*U829</f>
        <v>0</v>
      </c>
      <c r="R829" s="54">
        <f t="shared" si="963"/>
        <v>0</v>
      </c>
      <c r="S829" s="55" t="str">
        <f t="shared" si="964"/>
        <v>SEPTIEMBRE</v>
      </c>
      <c r="T829" s="55" t="str">
        <f t="shared" si="965"/>
        <v>Sem38</v>
      </c>
      <c r="U829" s="56">
        <f t="shared" si="946"/>
        <v>7</v>
      </c>
      <c r="V829" s="59">
        <v>46281</v>
      </c>
      <c r="W829" s="56">
        <f t="shared" si="966"/>
        <v>38</v>
      </c>
      <c r="X829" s="56">
        <f t="shared" si="967"/>
        <v>16</v>
      </c>
      <c r="Y829" s="56" t="s">
        <v>30</v>
      </c>
      <c r="Z829" s="56">
        <v>3</v>
      </c>
      <c r="AA829" s="58">
        <f t="shared" si="951"/>
        <v>0</v>
      </c>
      <c r="AB829" s="58">
        <f t="shared" si="951"/>
        <v>0</v>
      </c>
      <c r="AC829" s="58">
        <f t="shared" si="951"/>
        <v>1</v>
      </c>
      <c r="AD829" s="58">
        <f t="shared" si="951"/>
        <v>0</v>
      </c>
      <c r="AE829" s="58">
        <f t="shared" si="951"/>
        <v>0</v>
      </c>
    </row>
    <row r="830" spans="2:34">
      <c r="B830" t="str">
        <f t="shared" si="954"/>
        <v>Sem3838MARROQUIN HERNANDEZ WILLIAM ERNESTO</v>
      </c>
      <c r="C830" t="str">
        <f t="shared" si="955"/>
        <v>SEPTIEMBRESem38</v>
      </c>
      <c r="D830" t="str">
        <f t="shared" si="956"/>
        <v>SEPTIEMBRESem38MARROQUIN HERNANDEZ WILLIAM ERNESTO</v>
      </c>
      <c r="E830" t="str">
        <f t="shared" si="957"/>
        <v>SEPTIEMBRESem3838MARROQUIN HERNANDEZ WILLIAM ERNESTO</v>
      </c>
      <c r="F830" t="str">
        <f t="shared" si="958"/>
        <v>MARROQUIN HERNANDEZ WILLIAM ERNESTO46282</v>
      </c>
      <c r="H830" s="49" t="s">
        <v>250</v>
      </c>
      <c r="I830" s="50" t="str">
        <f>+_xlfn.XLOOKUP($H830&amp;$V830,BASEDATOS!$B:$B,BASEDATOS!F:F,0,0,1)</f>
        <v>DESCANSO</v>
      </c>
      <c r="J830" s="51">
        <f>+_xlfn.XLOOKUP($H830&amp;$V830,BASEDATOS!$B:$B,BASEDATOS!Q:Q,0,0,1)</f>
        <v>0</v>
      </c>
      <c r="K830" s="51">
        <f>+_xlfn.XLOOKUP($H830&amp;$V830,BASEDATOS!$B:$B,BASEDATOS!R:R,0,0,1)</f>
        <v>0</v>
      </c>
      <c r="L830" s="51">
        <f t="shared" si="959"/>
        <v>0</v>
      </c>
      <c r="M830" s="52">
        <f t="shared" si="960"/>
        <v>0</v>
      </c>
      <c r="N830" s="51">
        <f t="shared" si="961"/>
        <v>0</v>
      </c>
      <c r="O830" s="53" t="str">
        <f t="shared" ref="O830" si="1014">+O833</f>
        <v>0-0-7</v>
      </c>
      <c r="P830" s="54">
        <f>+IF(AND(Y830="Domingo",U830=7),_xlfn.XLOOKUP(O830,'Horarios y Sistemas'!C:C,'Horarios y Sistemas'!H:H,0,0,1),0)</f>
        <v>0</v>
      </c>
      <c r="Q830" s="54">
        <f>IF(U830=U831,0,IF(AVERAGEIF(W:W,W830,U:U)=U830,0,_xlfn.XLOOKUP(O830,'Horarios y Sistemas'!C:C,'Horarios y Sistemas'!H:H,0,0,1)-P830))/7*U830</f>
        <v>0</v>
      </c>
      <c r="R830" s="54">
        <f t="shared" si="963"/>
        <v>0</v>
      </c>
      <c r="S830" s="55" t="str">
        <f t="shared" si="964"/>
        <v>SEPTIEMBRE</v>
      </c>
      <c r="T830" s="55" t="str">
        <f t="shared" si="965"/>
        <v>Sem38</v>
      </c>
      <c r="U830" s="56">
        <f t="shared" si="946"/>
        <v>7</v>
      </c>
      <c r="V830" s="59">
        <v>46282</v>
      </c>
      <c r="W830" s="56">
        <f t="shared" si="966"/>
        <v>38</v>
      </c>
      <c r="X830" s="56">
        <f t="shared" si="967"/>
        <v>17</v>
      </c>
      <c r="Y830" s="56" t="s">
        <v>31</v>
      </c>
      <c r="Z830" s="56">
        <v>4</v>
      </c>
      <c r="AA830" s="58">
        <f t="shared" si="951"/>
        <v>0</v>
      </c>
      <c r="AB830" s="58">
        <f t="shared" si="951"/>
        <v>0</v>
      </c>
      <c r="AC830" s="58">
        <f t="shared" si="951"/>
        <v>1</v>
      </c>
      <c r="AD830" s="58">
        <f t="shared" si="951"/>
        <v>0</v>
      </c>
      <c r="AE830" s="58">
        <f t="shared" si="951"/>
        <v>0</v>
      </c>
    </row>
    <row r="831" spans="2:34">
      <c r="B831" t="str">
        <f t="shared" si="954"/>
        <v>Sem3838MARROQUIN HERNANDEZ WILLIAM ERNESTO</v>
      </c>
      <c r="C831" t="str">
        <f t="shared" si="955"/>
        <v>SEPTIEMBRESem38</v>
      </c>
      <c r="D831" t="str">
        <f t="shared" si="956"/>
        <v>SEPTIEMBRESem38MARROQUIN HERNANDEZ WILLIAM ERNESTO</v>
      </c>
      <c r="E831" t="str">
        <f t="shared" si="957"/>
        <v>SEPTIEMBRESem3838MARROQUIN HERNANDEZ WILLIAM ERNESTO</v>
      </c>
      <c r="F831" t="str">
        <f t="shared" si="958"/>
        <v>MARROQUIN HERNANDEZ WILLIAM ERNESTO46283</v>
      </c>
      <c r="H831" s="49" t="s">
        <v>250</v>
      </c>
      <c r="I831" s="50" t="str">
        <f>+_xlfn.XLOOKUP($H831&amp;$V831,BASEDATOS!$B:$B,BASEDATOS!F:F,0,0,1)</f>
        <v>DESCANSO</v>
      </c>
      <c r="J831" s="51">
        <f>+_xlfn.XLOOKUP($H831&amp;$V831,BASEDATOS!$B:$B,BASEDATOS!Q:Q,0,0,1)</f>
        <v>0</v>
      </c>
      <c r="K831" s="51">
        <f>+_xlfn.XLOOKUP($H831&amp;$V831,BASEDATOS!$B:$B,BASEDATOS!R:R,0,0,1)</f>
        <v>0</v>
      </c>
      <c r="L831" s="51">
        <f t="shared" si="959"/>
        <v>0</v>
      </c>
      <c r="M831" s="52">
        <f t="shared" si="960"/>
        <v>0</v>
      </c>
      <c r="N831" s="51">
        <f t="shared" si="961"/>
        <v>0</v>
      </c>
      <c r="O831" s="53" t="str">
        <f t="shared" ref="O831" si="1015">+O833</f>
        <v>0-0-7</v>
      </c>
      <c r="P831" s="54">
        <f>+IF(AND(Y831="Domingo",U831=7),_xlfn.XLOOKUP(O831,'Horarios y Sistemas'!C:C,'Horarios y Sistemas'!H:H,0,0,1),0)</f>
        <v>0</v>
      </c>
      <c r="Q831" s="54">
        <f>IF(U831=U832,0,IF(AVERAGEIF(W:W,W831,U:U)=U831,0,_xlfn.XLOOKUP(O831,'Horarios y Sistemas'!C:C,'Horarios y Sistemas'!H:H,0,0,1)-P831))/7*U831</f>
        <v>0</v>
      </c>
      <c r="R831" s="54">
        <f t="shared" si="963"/>
        <v>0</v>
      </c>
      <c r="S831" s="55" t="str">
        <f t="shared" si="964"/>
        <v>SEPTIEMBRE</v>
      </c>
      <c r="T831" s="55" t="str">
        <f t="shared" si="965"/>
        <v>Sem38</v>
      </c>
      <c r="U831" s="56">
        <f t="shared" si="946"/>
        <v>7</v>
      </c>
      <c r="V831" s="59">
        <v>46283</v>
      </c>
      <c r="W831" s="56">
        <f t="shared" si="966"/>
        <v>38</v>
      </c>
      <c r="X831" s="56">
        <f t="shared" si="967"/>
        <v>18</v>
      </c>
      <c r="Y831" s="56" t="s">
        <v>32</v>
      </c>
      <c r="Z831" s="56">
        <v>5</v>
      </c>
      <c r="AA831" s="58">
        <f t="shared" ref="AA831:AE881" si="1016">+IF($I831=AA$7,1,0)</f>
        <v>0</v>
      </c>
      <c r="AB831" s="58">
        <f t="shared" si="1016"/>
        <v>0</v>
      </c>
      <c r="AC831" s="58">
        <f t="shared" si="1016"/>
        <v>1</v>
      </c>
      <c r="AD831" s="58">
        <f t="shared" si="1016"/>
        <v>0</v>
      </c>
      <c r="AE831" s="58">
        <f t="shared" si="1016"/>
        <v>0</v>
      </c>
    </row>
    <row r="832" spans="2:34">
      <c r="B832" t="str">
        <f t="shared" si="954"/>
        <v>Sem3838MARROQUIN HERNANDEZ WILLIAM ERNESTO</v>
      </c>
      <c r="C832" t="str">
        <f t="shared" si="955"/>
        <v>SEPTIEMBRESem38</v>
      </c>
      <c r="D832" t="str">
        <f t="shared" si="956"/>
        <v>SEPTIEMBRESem38MARROQUIN HERNANDEZ WILLIAM ERNESTO</v>
      </c>
      <c r="E832" t="str">
        <f t="shared" si="957"/>
        <v>SEPTIEMBRESem3838MARROQUIN HERNANDEZ WILLIAM ERNESTO</v>
      </c>
      <c r="F832" t="str">
        <f t="shared" si="958"/>
        <v>MARROQUIN HERNANDEZ WILLIAM ERNESTO46284</v>
      </c>
      <c r="H832" s="49" t="s">
        <v>250</v>
      </c>
      <c r="I832" s="50" t="str">
        <f>+_xlfn.XLOOKUP($H832&amp;$V832,BASEDATOS!$B:$B,BASEDATOS!F:F,0,0,1)</f>
        <v>DESCANSO</v>
      </c>
      <c r="J832" s="51">
        <f>+_xlfn.XLOOKUP($H832&amp;$V832,BASEDATOS!$B:$B,BASEDATOS!Q:Q,0,0,1)</f>
        <v>0</v>
      </c>
      <c r="K832" s="51">
        <f>+_xlfn.XLOOKUP($H832&amp;$V832,BASEDATOS!$B:$B,BASEDATOS!R:R,0,0,1)</f>
        <v>0</v>
      </c>
      <c r="L832" s="51">
        <f t="shared" si="959"/>
        <v>0</v>
      </c>
      <c r="M832" s="52">
        <f t="shared" si="960"/>
        <v>0</v>
      </c>
      <c r="N832" s="51">
        <f t="shared" si="961"/>
        <v>0</v>
      </c>
      <c r="O832" s="53" t="str">
        <f t="shared" ref="O832" si="1017">+O833</f>
        <v>0-0-7</v>
      </c>
      <c r="P832" s="54">
        <f>+IF(AND(Y832="Domingo",U832=7),_xlfn.XLOOKUP(O832,'Horarios y Sistemas'!C:C,'Horarios y Sistemas'!H:H,0,0,1),0)</f>
        <v>0</v>
      </c>
      <c r="Q832" s="54">
        <f>IF(U832=U833,0,IF(AVERAGEIF(W:W,W832,U:U)=U832,0,_xlfn.XLOOKUP(O832,'Horarios y Sistemas'!C:C,'Horarios y Sistemas'!H:H,0,0,1)-P832))/7*U832</f>
        <v>0</v>
      </c>
      <c r="R832" s="54">
        <f t="shared" si="963"/>
        <v>0</v>
      </c>
      <c r="S832" s="55" t="str">
        <f t="shared" si="964"/>
        <v>SEPTIEMBRE</v>
      </c>
      <c r="T832" s="55" t="str">
        <f t="shared" si="965"/>
        <v>Sem38</v>
      </c>
      <c r="U832" s="56">
        <f t="shared" si="946"/>
        <v>7</v>
      </c>
      <c r="V832" s="59">
        <v>46284</v>
      </c>
      <c r="W832" s="56">
        <f t="shared" si="966"/>
        <v>38</v>
      </c>
      <c r="X832" s="56">
        <f t="shared" si="967"/>
        <v>19</v>
      </c>
      <c r="Y832" s="56" t="s">
        <v>33</v>
      </c>
      <c r="Z832" s="56">
        <v>6</v>
      </c>
      <c r="AA832" s="58">
        <f t="shared" si="1016"/>
        <v>0</v>
      </c>
      <c r="AB832" s="58">
        <f t="shared" si="1016"/>
        <v>0</v>
      </c>
      <c r="AC832" s="58">
        <f t="shared" si="1016"/>
        <v>1</v>
      </c>
      <c r="AD832" s="58">
        <f t="shared" si="1016"/>
        <v>0</v>
      </c>
      <c r="AE832" s="58">
        <f t="shared" si="1016"/>
        <v>0</v>
      </c>
    </row>
    <row r="833" spans="2:34" s="60" customFormat="1">
      <c r="B833" s="60" t="str">
        <f t="shared" si="954"/>
        <v>Sem3838MARROQUIN HERNANDEZ WILLIAM ERNESTO</v>
      </c>
      <c r="C833" s="60" t="str">
        <f t="shared" si="955"/>
        <v>SEPTIEMBRESem38</v>
      </c>
      <c r="D833" s="60" t="str">
        <f t="shared" si="956"/>
        <v>SEPTIEMBRESem38MARROQUIN HERNANDEZ WILLIAM ERNESTO</v>
      </c>
      <c r="E833" s="60" t="str">
        <f t="shared" si="957"/>
        <v>SEPTIEMBRESem3838MARROQUIN HERNANDEZ WILLIAM ERNESTO</v>
      </c>
      <c r="F833" s="60" t="str">
        <f t="shared" si="958"/>
        <v>MARROQUIN HERNANDEZ WILLIAM ERNESTO46285</v>
      </c>
      <c r="H833" s="61" t="s">
        <v>250</v>
      </c>
      <c r="I833" s="62" t="str">
        <f>+_xlfn.XLOOKUP($H833&amp;$V833,BASEDATOS!$B:$B,BASEDATOS!F:F,0,0,1)</f>
        <v>DESCANSO</v>
      </c>
      <c r="J833" s="63">
        <f>+_xlfn.XLOOKUP($H833&amp;$V833,BASEDATOS!$B:$B,BASEDATOS!Q:Q,0,0,1)</f>
        <v>0</v>
      </c>
      <c r="K833" s="63">
        <f>+_xlfn.XLOOKUP($H833&amp;$V833,BASEDATOS!$B:$B,BASEDATOS!R:R,0,0,1)</f>
        <v>0</v>
      </c>
      <c r="L833" s="63">
        <f t="shared" si="959"/>
        <v>0</v>
      </c>
      <c r="M833" s="64">
        <f t="shared" si="960"/>
        <v>0</v>
      </c>
      <c r="N833" s="63">
        <f t="shared" si="961"/>
        <v>0</v>
      </c>
      <c r="O833" s="65" t="str">
        <f t="shared" ref="O833" si="1018">+IF(Y833="Domingo",SUM(AA827:AA833)&amp;"-"&amp;SUM(AB827:AB833)&amp;"-"&amp;SUM(AC827:AE833),"")</f>
        <v>0-0-7</v>
      </c>
      <c r="P833" s="66">
        <f>+IF(AND(Y833="Domingo",U833=7),_xlfn.XLOOKUP(O833,'Horarios y Sistemas'!C:C,'Horarios y Sistemas'!H:H,0,0,1),0)</f>
        <v>0</v>
      </c>
      <c r="Q833" s="66">
        <f>IF(U833=U834,0,IF(AVERAGEIF(W:W,W833,U:U)=U833,0,_xlfn.XLOOKUP(O833,'Horarios y Sistemas'!C:C,'Horarios y Sistemas'!H:H,0,0,1)-P833))/7*U833</f>
        <v>0</v>
      </c>
      <c r="R833" s="66">
        <f t="shared" si="963"/>
        <v>0</v>
      </c>
      <c r="S833" s="67" t="str">
        <f t="shared" si="964"/>
        <v>SEPTIEMBRE</v>
      </c>
      <c r="T833" s="55" t="str">
        <f t="shared" si="965"/>
        <v>Sem38</v>
      </c>
      <c r="U833" s="68">
        <f t="shared" si="946"/>
        <v>7</v>
      </c>
      <c r="V833" s="69">
        <v>46285</v>
      </c>
      <c r="W833" s="68">
        <f t="shared" si="966"/>
        <v>38</v>
      </c>
      <c r="X833" s="68">
        <f t="shared" si="967"/>
        <v>20</v>
      </c>
      <c r="Y833" s="68" t="s">
        <v>34</v>
      </c>
      <c r="Z833" s="68">
        <v>7</v>
      </c>
      <c r="AA833" s="70">
        <f t="shared" si="1016"/>
        <v>0</v>
      </c>
      <c r="AB833" s="70">
        <f t="shared" si="1016"/>
        <v>0</v>
      </c>
      <c r="AC833" s="70">
        <f t="shared" si="1016"/>
        <v>1</v>
      </c>
      <c r="AD833" s="70">
        <f t="shared" si="1016"/>
        <v>0</v>
      </c>
      <c r="AE833" s="70">
        <f t="shared" si="1016"/>
        <v>0</v>
      </c>
      <c r="AF833" s="71"/>
      <c r="AG833" s="71"/>
      <c r="AH833" s="71"/>
    </row>
    <row r="834" spans="2:34">
      <c r="B834" t="str">
        <f t="shared" si="954"/>
        <v>Sem3939MARROQUIN HERNANDEZ WILLIAM ERNESTO</v>
      </c>
      <c r="C834" t="str">
        <f t="shared" si="955"/>
        <v>SEPTIEMBRESem39</v>
      </c>
      <c r="D834" t="str">
        <f t="shared" si="956"/>
        <v>SEPTIEMBRESem39MARROQUIN HERNANDEZ WILLIAM ERNESTO</v>
      </c>
      <c r="E834" t="str">
        <f t="shared" si="957"/>
        <v>SEPTIEMBRESem3939MARROQUIN HERNANDEZ WILLIAM ERNESTO</v>
      </c>
      <c r="F834" t="str">
        <f t="shared" si="958"/>
        <v>MARROQUIN HERNANDEZ WILLIAM ERNESTO46286</v>
      </c>
      <c r="H834" s="49" t="s">
        <v>250</v>
      </c>
      <c r="I834" s="50" t="str">
        <f>+_xlfn.XLOOKUP($H834&amp;$V834,BASEDATOS!$B:$B,BASEDATOS!F:F,0,0,1)</f>
        <v>DESCANSO</v>
      </c>
      <c r="J834" s="51">
        <f>+_xlfn.XLOOKUP($H834&amp;$V834,BASEDATOS!$B:$B,BASEDATOS!Q:Q,0,0,1)</f>
        <v>0</v>
      </c>
      <c r="K834" s="51">
        <f>+_xlfn.XLOOKUP($H834&amp;$V834,BASEDATOS!$B:$B,BASEDATOS!R:R,0,0,1)</f>
        <v>0</v>
      </c>
      <c r="L834" s="51">
        <f t="shared" si="959"/>
        <v>0</v>
      </c>
      <c r="M834" s="52">
        <f t="shared" si="960"/>
        <v>0</v>
      </c>
      <c r="N834" s="51">
        <f t="shared" si="961"/>
        <v>0</v>
      </c>
      <c r="O834" s="53" t="str">
        <f t="shared" ref="O834" si="1019">+O840</f>
        <v>0-0-7</v>
      </c>
      <c r="P834" s="54">
        <f>+IF(AND(Y834="Domingo",U834=7),_xlfn.XLOOKUP(O834,'Horarios y Sistemas'!C:C,'Horarios y Sistemas'!H:H,0,0,1),0)</f>
        <v>0</v>
      </c>
      <c r="Q834" s="54">
        <f>IF(U834=U835,0,IF(AVERAGEIF(W:W,W834,U:U)=U834,0,_xlfn.XLOOKUP(O834,'Horarios y Sistemas'!C:C,'Horarios y Sistemas'!H:H,0,0,1)-P834))/7*U834</f>
        <v>0</v>
      </c>
      <c r="R834" s="54">
        <f t="shared" si="963"/>
        <v>0</v>
      </c>
      <c r="S834" s="55" t="str">
        <f t="shared" si="964"/>
        <v>SEPTIEMBRE</v>
      </c>
      <c r="T834" s="55" t="str">
        <f t="shared" si="965"/>
        <v>Sem39</v>
      </c>
      <c r="U834" s="56">
        <f t="shared" si="946"/>
        <v>7</v>
      </c>
      <c r="V834" s="57">
        <v>46286</v>
      </c>
      <c r="W834" s="56">
        <f t="shared" si="966"/>
        <v>39</v>
      </c>
      <c r="X834" s="56">
        <f t="shared" si="967"/>
        <v>21</v>
      </c>
      <c r="Y834" s="56" t="s">
        <v>28</v>
      </c>
      <c r="Z834" s="56">
        <v>1</v>
      </c>
      <c r="AA834" s="58">
        <f t="shared" si="1016"/>
        <v>0</v>
      </c>
      <c r="AB834" s="58">
        <f t="shared" si="1016"/>
        <v>0</v>
      </c>
      <c r="AC834" s="58">
        <f t="shared" si="1016"/>
        <v>1</v>
      </c>
      <c r="AD834" s="58">
        <f t="shared" si="1016"/>
        <v>0</v>
      </c>
      <c r="AE834" s="58">
        <f t="shared" si="1016"/>
        <v>0</v>
      </c>
    </row>
    <row r="835" spans="2:34">
      <c r="B835" t="str">
        <f t="shared" si="954"/>
        <v>Sem3939MARROQUIN HERNANDEZ WILLIAM ERNESTO</v>
      </c>
      <c r="C835" t="str">
        <f t="shared" si="955"/>
        <v>SEPTIEMBRESem39</v>
      </c>
      <c r="D835" t="str">
        <f t="shared" si="956"/>
        <v>SEPTIEMBRESem39MARROQUIN HERNANDEZ WILLIAM ERNESTO</v>
      </c>
      <c r="E835" t="str">
        <f t="shared" si="957"/>
        <v>SEPTIEMBRESem3939MARROQUIN HERNANDEZ WILLIAM ERNESTO</v>
      </c>
      <c r="F835" t="str">
        <f t="shared" si="958"/>
        <v>MARROQUIN HERNANDEZ WILLIAM ERNESTO46287</v>
      </c>
      <c r="H835" s="49" t="s">
        <v>250</v>
      </c>
      <c r="I835" s="50" t="str">
        <f>+_xlfn.XLOOKUP($H835&amp;$V835,BASEDATOS!$B:$B,BASEDATOS!F:F,0,0,1)</f>
        <v>DESCANSO</v>
      </c>
      <c r="J835" s="51">
        <f>+_xlfn.XLOOKUP($H835&amp;$V835,BASEDATOS!$B:$B,BASEDATOS!Q:Q,0,0,1)</f>
        <v>0</v>
      </c>
      <c r="K835" s="51">
        <f>+_xlfn.XLOOKUP($H835&amp;$V835,BASEDATOS!$B:$B,BASEDATOS!R:R,0,0,1)</f>
        <v>0</v>
      </c>
      <c r="L835" s="51">
        <f t="shared" si="959"/>
        <v>0</v>
      </c>
      <c r="M835" s="52">
        <f t="shared" si="960"/>
        <v>0</v>
      </c>
      <c r="N835" s="51">
        <f t="shared" si="961"/>
        <v>0</v>
      </c>
      <c r="O835" s="53" t="str">
        <f t="shared" ref="O835" si="1020">+O840</f>
        <v>0-0-7</v>
      </c>
      <c r="P835" s="54">
        <f>+IF(AND(Y835="Domingo",U835=7),_xlfn.XLOOKUP(O835,'Horarios y Sistemas'!C:C,'Horarios y Sistemas'!H:H,0,0,1),0)</f>
        <v>0</v>
      </c>
      <c r="Q835" s="54">
        <f>IF(U835=U836,0,IF(AVERAGEIF(W:W,W835,U:U)=U835,0,_xlfn.XLOOKUP(O835,'Horarios y Sistemas'!C:C,'Horarios y Sistemas'!H:H,0,0,1)-P835))/7*U835</f>
        <v>0</v>
      </c>
      <c r="R835" s="54">
        <f t="shared" si="963"/>
        <v>0</v>
      </c>
      <c r="S835" s="55" t="str">
        <f t="shared" si="964"/>
        <v>SEPTIEMBRE</v>
      </c>
      <c r="T835" s="55" t="str">
        <f t="shared" si="965"/>
        <v>Sem39</v>
      </c>
      <c r="U835" s="56">
        <f t="shared" si="946"/>
        <v>7</v>
      </c>
      <c r="V835" s="59">
        <v>46287</v>
      </c>
      <c r="W835" s="56">
        <f t="shared" si="966"/>
        <v>39</v>
      </c>
      <c r="X835" s="56">
        <f t="shared" si="967"/>
        <v>22</v>
      </c>
      <c r="Y835" s="56" t="s">
        <v>29</v>
      </c>
      <c r="Z835" s="56">
        <v>2</v>
      </c>
      <c r="AA835" s="58">
        <f t="shared" si="1016"/>
        <v>0</v>
      </c>
      <c r="AB835" s="58">
        <f t="shared" si="1016"/>
        <v>0</v>
      </c>
      <c r="AC835" s="58">
        <f t="shared" si="1016"/>
        <v>1</v>
      </c>
      <c r="AD835" s="58">
        <f t="shared" si="1016"/>
        <v>0</v>
      </c>
      <c r="AE835" s="58">
        <f t="shared" si="1016"/>
        <v>0</v>
      </c>
    </row>
    <row r="836" spans="2:34">
      <c r="B836" t="str">
        <f t="shared" si="954"/>
        <v>Sem3939MARROQUIN HERNANDEZ WILLIAM ERNESTO</v>
      </c>
      <c r="C836" t="str">
        <f t="shared" si="955"/>
        <v>SEPTIEMBRESem39</v>
      </c>
      <c r="D836" t="str">
        <f t="shared" si="956"/>
        <v>SEPTIEMBRESem39MARROQUIN HERNANDEZ WILLIAM ERNESTO</v>
      </c>
      <c r="E836" t="str">
        <f t="shared" si="957"/>
        <v>SEPTIEMBRESem3939MARROQUIN HERNANDEZ WILLIAM ERNESTO</v>
      </c>
      <c r="F836" t="str">
        <f t="shared" si="958"/>
        <v>MARROQUIN HERNANDEZ WILLIAM ERNESTO46288</v>
      </c>
      <c r="H836" s="49" t="s">
        <v>250</v>
      </c>
      <c r="I836" s="50" t="str">
        <f>+_xlfn.XLOOKUP($H836&amp;$V836,BASEDATOS!$B:$B,BASEDATOS!F:F,0,0,1)</f>
        <v>DESCANSO</v>
      </c>
      <c r="J836" s="51">
        <f>+_xlfn.XLOOKUP($H836&amp;$V836,BASEDATOS!$B:$B,BASEDATOS!Q:Q,0,0,1)</f>
        <v>0</v>
      </c>
      <c r="K836" s="51">
        <f>+_xlfn.XLOOKUP($H836&amp;$V836,BASEDATOS!$B:$B,BASEDATOS!R:R,0,0,1)</f>
        <v>0</v>
      </c>
      <c r="L836" s="51">
        <f t="shared" si="959"/>
        <v>0</v>
      </c>
      <c r="M836" s="52">
        <f t="shared" si="960"/>
        <v>0</v>
      </c>
      <c r="N836" s="51">
        <f t="shared" si="961"/>
        <v>0</v>
      </c>
      <c r="O836" s="53" t="str">
        <f t="shared" ref="O836" si="1021">+O840</f>
        <v>0-0-7</v>
      </c>
      <c r="P836" s="54">
        <f>+IF(AND(Y836="Domingo",U836=7),_xlfn.XLOOKUP(O836,'Horarios y Sistemas'!C:C,'Horarios y Sistemas'!H:H,0,0,1),0)</f>
        <v>0</v>
      </c>
      <c r="Q836" s="54">
        <f>IF(U836=U837,0,IF(AVERAGEIF(W:W,W836,U:U)=U836,0,_xlfn.XLOOKUP(O836,'Horarios y Sistemas'!C:C,'Horarios y Sistemas'!H:H,0,0,1)-P836))/7*U836</f>
        <v>0</v>
      </c>
      <c r="R836" s="54">
        <f t="shared" si="963"/>
        <v>0</v>
      </c>
      <c r="S836" s="55" t="str">
        <f t="shared" si="964"/>
        <v>SEPTIEMBRE</v>
      </c>
      <c r="T836" s="55" t="str">
        <f t="shared" si="965"/>
        <v>Sem39</v>
      </c>
      <c r="U836" s="56">
        <f t="shared" si="946"/>
        <v>7</v>
      </c>
      <c r="V836" s="59">
        <v>46288</v>
      </c>
      <c r="W836" s="56">
        <f t="shared" si="966"/>
        <v>39</v>
      </c>
      <c r="X836" s="56">
        <f t="shared" si="967"/>
        <v>23</v>
      </c>
      <c r="Y836" s="56" t="s">
        <v>30</v>
      </c>
      <c r="Z836" s="56">
        <v>3</v>
      </c>
      <c r="AA836" s="58">
        <f t="shared" si="1016"/>
        <v>0</v>
      </c>
      <c r="AB836" s="58">
        <f t="shared" si="1016"/>
        <v>0</v>
      </c>
      <c r="AC836" s="58">
        <f t="shared" si="1016"/>
        <v>1</v>
      </c>
      <c r="AD836" s="58">
        <f t="shared" si="1016"/>
        <v>0</v>
      </c>
      <c r="AE836" s="58">
        <f t="shared" si="1016"/>
        <v>0</v>
      </c>
    </row>
    <row r="837" spans="2:34">
      <c r="B837" t="str">
        <f t="shared" si="954"/>
        <v>Sem3939MARROQUIN HERNANDEZ WILLIAM ERNESTO</v>
      </c>
      <c r="C837" t="str">
        <f t="shared" si="955"/>
        <v>SEPTIEMBRESem39</v>
      </c>
      <c r="D837" t="str">
        <f t="shared" si="956"/>
        <v>SEPTIEMBRESem39MARROQUIN HERNANDEZ WILLIAM ERNESTO</v>
      </c>
      <c r="E837" t="str">
        <f t="shared" si="957"/>
        <v>SEPTIEMBRESem3939MARROQUIN HERNANDEZ WILLIAM ERNESTO</v>
      </c>
      <c r="F837" t="str">
        <f t="shared" si="958"/>
        <v>MARROQUIN HERNANDEZ WILLIAM ERNESTO46289</v>
      </c>
      <c r="H837" s="49" t="s">
        <v>250</v>
      </c>
      <c r="I837" s="50" t="str">
        <f>+_xlfn.XLOOKUP($H837&amp;$V837,BASEDATOS!$B:$B,BASEDATOS!F:F,0,0,1)</f>
        <v>DESCANSO</v>
      </c>
      <c r="J837" s="51">
        <f>+_xlfn.XLOOKUP($H837&amp;$V837,BASEDATOS!$B:$B,BASEDATOS!Q:Q,0,0,1)</f>
        <v>0</v>
      </c>
      <c r="K837" s="51">
        <f>+_xlfn.XLOOKUP($H837&amp;$V837,BASEDATOS!$B:$B,BASEDATOS!R:R,0,0,1)</f>
        <v>0</v>
      </c>
      <c r="L837" s="51">
        <f t="shared" si="959"/>
        <v>0</v>
      </c>
      <c r="M837" s="52">
        <f t="shared" si="960"/>
        <v>0</v>
      </c>
      <c r="N837" s="51">
        <f t="shared" si="961"/>
        <v>0</v>
      </c>
      <c r="O837" s="53" t="str">
        <f t="shared" ref="O837" si="1022">+O840</f>
        <v>0-0-7</v>
      </c>
      <c r="P837" s="54">
        <f>+IF(AND(Y837="Domingo",U837=7),_xlfn.XLOOKUP(O837,'Horarios y Sistemas'!C:C,'Horarios y Sistemas'!H:H,0,0,1),0)</f>
        <v>0</v>
      </c>
      <c r="Q837" s="54">
        <f>IF(U837=U838,0,IF(AVERAGEIF(W:W,W837,U:U)=U837,0,_xlfn.XLOOKUP(O837,'Horarios y Sistemas'!C:C,'Horarios y Sistemas'!H:H,0,0,1)-P837))/7*U837</f>
        <v>0</v>
      </c>
      <c r="R837" s="54">
        <f t="shared" si="963"/>
        <v>0</v>
      </c>
      <c r="S837" s="55" t="str">
        <f t="shared" si="964"/>
        <v>SEPTIEMBRE</v>
      </c>
      <c r="T837" s="55" t="str">
        <f t="shared" si="965"/>
        <v>Sem39</v>
      </c>
      <c r="U837" s="56">
        <f t="shared" si="946"/>
        <v>7</v>
      </c>
      <c r="V837" s="59">
        <v>46289</v>
      </c>
      <c r="W837" s="56">
        <f t="shared" si="966"/>
        <v>39</v>
      </c>
      <c r="X837" s="56">
        <f t="shared" si="967"/>
        <v>24</v>
      </c>
      <c r="Y837" s="56" t="s">
        <v>31</v>
      </c>
      <c r="Z837" s="56">
        <v>4</v>
      </c>
      <c r="AA837" s="58">
        <f t="shared" si="1016"/>
        <v>0</v>
      </c>
      <c r="AB837" s="58">
        <f t="shared" si="1016"/>
        <v>0</v>
      </c>
      <c r="AC837" s="58">
        <f t="shared" si="1016"/>
        <v>1</v>
      </c>
      <c r="AD837" s="58">
        <f t="shared" si="1016"/>
        <v>0</v>
      </c>
      <c r="AE837" s="58">
        <f t="shared" si="1016"/>
        <v>0</v>
      </c>
    </row>
    <row r="838" spans="2:34">
      <c r="B838" t="str">
        <f t="shared" si="954"/>
        <v>Sem3939MARROQUIN HERNANDEZ WILLIAM ERNESTO</v>
      </c>
      <c r="C838" t="str">
        <f t="shared" si="955"/>
        <v>SEPTIEMBRESem39</v>
      </c>
      <c r="D838" t="str">
        <f t="shared" si="956"/>
        <v>SEPTIEMBRESem39MARROQUIN HERNANDEZ WILLIAM ERNESTO</v>
      </c>
      <c r="E838" t="str">
        <f t="shared" si="957"/>
        <v>SEPTIEMBRESem3939MARROQUIN HERNANDEZ WILLIAM ERNESTO</v>
      </c>
      <c r="F838" t="str">
        <f t="shared" si="958"/>
        <v>MARROQUIN HERNANDEZ WILLIAM ERNESTO46290</v>
      </c>
      <c r="H838" s="49" t="s">
        <v>250</v>
      </c>
      <c r="I838" s="50" t="str">
        <f>+_xlfn.XLOOKUP($H838&amp;$V838,BASEDATOS!$B:$B,BASEDATOS!F:F,0,0,1)</f>
        <v>DESCANSO</v>
      </c>
      <c r="J838" s="51">
        <f>+_xlfn.XLOOKUP($H838&amp;$V838,BASEDATOS!$B:$B,BASEDATOS!Q:Q,0,0,1)</f>
        <v>0</v>
      </c>
      <c r="K838" s="51">
        <f>+_xlfn.XLOOKUP($H838&amp;$V838,BASEDATOS!$B:$B,BASEDATOS!R:R,0,0,1)</f>
        <v>0</v>
      </c>
      <c r="L838" s="51">
        <f t="shared" si="959"/>
        <v>0</v>
      </c>
      <c r="M838" s="52">
        <f t="shared" si="960"/>
        <v>0</v>
      </c>
      <c r="N838" s="51">
        <f t="shared" si="961"/>
        <v>0</v>
      </c>
      <c r="O838" s="53" t="str">
        <f t="shared" ref="O838" si="1023">+O840</f>
        <v>0-0-7</v>
      </c>
      <c r="P838" s="54">
        <f>+IF(AND(Y838="Domingo",U838=7),_xlfn.XLOOKUP(O838,'Horarios y Sistemas'!C:C,'Horarios y Sistemas'!H:H,0,0,1),0)</f>
        <v>0</v>
      </c>
      <c r="Q838" s="54">
        <f>IF(U838=U839,0,IF(AVERAGEIF(W:W,W838,U:U)=U838,0,_xlfn.XLOOKUP(O838,'Horarios y Sistemas'!C:C,'Horarios y Sistemas'!H:H,0,0,1)-P838))/7*U838</f>
        <v>0</v>
      </c>
      <c r="R838" s="54">
        <f t="shared" si="963"/>
        <v>0</v>
      </c>
      <c r="S838" s="55" t="str">
        <f t="shared" si="964"/>
        <v>SEPTIEMBRE</v>
      </c>
      <c r="T838" s="55" t="str">
        <f t="shared" si="965"/>
        <v>Sem39</v>
      </c>
      <c r="U838" s="56">
        <f t="shared" si="946"/>
        <v>7</v>
      </c>
      <c r="V838" s="59">
        <v>46290</v>
      </c>
      <c r="W838" s="56">
        <f t="shared" si="966"/>
        <v>39</v>
      </c>
      <c r="X838" s="56">
        <f t="shared" si="967"/>
        <v>25</v>
      </c>
      <c r="Y838" s="56" t="s">
        <v>32</v>
      </c>
      <c r="Z838" s="56">
        <v>5</v>
      </c>
      <c r="AA838" s="58">
        <f t="shared" si="1016"/>
        <v>0</v>
      </c>
      <c r="AB838" s="58">
        <f t="shared" si="1016"/>
        <v>0</v>
      </c>
      <c r="AC838" s="58">
        <f t="shared" si="1016"/>
        <v>1</v>
      </c>
      <c r="AD838" s="58">
        <f t="shared" si="1016"/>
        <v>0</v>
      </c>
      <c r="AE838" s="58">
        <f t="shared" si="1016"/>
        <v>0</v>
      </c>
    </row>
    <row r="839" spans="2:34">
      <c r="B839" t="str">
        <f t="shared" si="954"/>
        <v>Sem3939MARROQUIN HERNANDEZ WILLIAM ERNESTO</v>
      </c>
      <c r="C839" t="str">
        <f t="shared" si="955"/>
        <v>SEPTIEMBRESem39</v>
      </c>
      <c r="D839" t="str">
        <f t="shared" si="956"/>
        <v>SEPTIEMBRESem39MARROQUIN HERNANDEZ WILLIAM ERNESTO</v>
      </c>
      <c r="E839" t="str">
        <f t="shared" si="957"/>
        <v>SEPTIEMBRESem3939MARROQUIN HERNANDEZ WILLIAM ERNESTO</v>
      </c>
      <c r="F839" t="str">
        <f t="shared" si="958"/>
        <v>MARROQUIN HERNANDEZ WILLIAM ERNESTO46291</v>
      </c>
      <c r="H839" s="49" t="s">
        <v>250</v>
      </c>
      <c r="I839" s="50" t="str">
        <f>+_xlfn.XLOOKUP($H839&amp;$V839,BASEDATOS!$B:$B,BASEDATOS!F:F,0,0,1)</f>
        <v>DESCANSO</v>
      </c>
      <c r="J839" s="51">
        <f>+_xlfn.XLOOKUP($H839&amp;$V839,BASEDATOS!$B:$B,BASEDATOS!Q:Q,0,0,1)</f>
        <v>0</v>
      </c>
      <c r="K839" s="51">
        <f>+_xlfn.XLOOKUP($H839&amp;$V839,BASEDATOS!$B:$B,BASEDATOS!R:R,0,0,1)</f>
        <v>0</v>
      </c>
      <c r="L839" s="51">
        <f t="shared" si="959"/>
        <v>0</v>
      </c>
      <c r="M839" s="52">
        <f t="shared" si="960"/>
        <v>0</v>
      </c>
      <c r="N839" s="51">
        <f t="shared" si="961"/>
        <v>0</v>
      </c>
      <c r="O839" s="53" t="str">
        <f t="shared" ref="O839" si="1024">+O840</f>
        <v>0-0-7</v>
      </c>
      <c r="P839" s="54">
        <f>+IF(AND(Y839="Domingo",U839=7),_xlfn.XLOOKUP(O839,'Horarios y Sistemas'!C:C,'Horarios y Sistemas'!H:H,0,0,1),0)</f>
        <v>0</v>
      </c>
      <c r="Q839" s="54">
        <f>IF(U839=U840,0,IF(AVERAGEIF(W:W,W839,U:U)=U839,0,_xlfn.XLOOKUP(O839,'Horarios y Sistemas'!C:C,'Horarios y Sistemas'!H:H,0,0,1)-P839))/7*U839</f>
        <v>0</v>
      </c>
      <c r="R839" s="54">
        <f t="shared" si="963"/>
        <v>0</v>
      </c>
      <c r="S839" s="55" t="str">
        <f t="shared" si="964"/>
        <v>SEPTIEMBRE</v>
      </c>
      <c r="T839" s="55" t="str">
        <f t="shared" si="965"/>
        <v>Sem39</v>
      </c>
      <c r="U839" s="56">
        <f t="shared" si="946"/>
        <v>7</v>
      </c>
      <c r="V839" s="59">
        <v>46291</v>
      </c>
      <c r="W839" s="56">
        <f t="shared" si="966"/>
        <v>39</v>
      </c>
      <c r="X839" s="56">
        <f t="shared" si="967"/>
        <v>26</v>
      </c>
      <c r="Y839" s="56" t="s">
        <v>33</v>
      </c>
      <c r="Z839" s="56">
        <v>6</v>
      </c>
      <c r="AA839" s="58">
        <f t="shared" si="1016"/>
        <v>0</v>
      </c>
      <c r="AB839" s="58">
        <f t="shared" si="1016"/>
        <v>0</v>
      </c>
      <c r="AC839" s="58">
        <f t="shared" si="1016"/>
        <v>1</v>
      </c>
      <c r="AD839" s="58">
        <f t="shared" si="1016"/>
        <v>0</v>
      </c>
      <c r="AE839" s="58">
        <f t="shared" si="1016"/>
        <v>0</v>
      </c>
    </row>
    <row r="840" spans="2:34" s="60" customFormat="1">
      <c r="B840" s="60" t="str">
        <f t="shared" si="954"/>
        <v>Sem3939MARROQUIN HERNANDEZ WILLIAM ERNESTO</v>
      </c>
      <c r="C840" s="60" t="str">
        <f t="shared" si="955"/>
        <v>SEPTIEMBRESem39</v>
      </c>
      <c r="D840" s="60" t="str">
        <f t="shared" si="956"/>
        <v>SEPTIEMBRESem39MARROQUIN HERNANDEZ WILLIAM ERNESTO</v>
      </c>
      <c r="E840" s="60" t="str">
        <f t="shared" si="957"/>
        <v>SEPTIEMBRESem3939MARROQUIN HERNANDEZ WILLIAM ERNESTO</v>
      </c>
      <c r="F840" s="60" t="str">
        <f t="shared" si="958"/>
        <v>MARROQUIN HERNANDEZ WILLIAM ERNESTO46292</v>
      </c>
      <c r="H840" s="61" t="s">
        <v>250</v>
      </c>
      <c r="I840" s="62" t="str">
        <f>+_xlfn.XLOOKUP($H840&amp;$V840,BASEDATOS!$B:$B,BASEDATOS!F:F,0,0,1)</f>
        <v>DESCANSO</v>
      </c>
      <c r="J840" s="63">
        <f>+_xlfn.XLOOKUP($H840&amp;$V840,BASEDATOS!$B:$B,BASEDATOS!Q:Q,0,0,1)</f>
        <v>0</v>
      </c>
      <c r="K840" s="63">
        <f>+_xlfn.XLOOKUP($H840&amp;$V840,BASEDATOS!$B:$B,BASEDATOS!R:R,0,0,1)</f>
        <v>0</v>
      </c>
      <c r="L840" s="63">
        <f t="shared" si="959"/>
        <v>0</v>
      </c>
      <c r="M840" s="64">
        <f t="shared" si="960"/>
        <v>0</v>
      </c>
      <c r="N840" s="63">
        <f t="shared" si="961"/>
        <v>0</v>
      </c>
      <c r="O840" s="65" t="str">
        <f t="shared" ref="O840" si="1025">+IF(Y840="Domingo",SUM(AA834:AA840)&amp;"-"&amp;SUM(AB834:AB840)&amp;"-"&amp;SUM(AC834:AE840),"")</f>
        <v>0-0-7</v>
      </c>
      <c r="P840" s="66">
        <f>+IF(AND(Y840="Domingo",U840=7),_xlfn.XLOOKUP(O840,'Horarios y Sistemas'!C:C,'Horarios y Sistemas'!H:H,0,0,1),0)</f>
        <v>0</v>
      </c>
      <c r="Q840" s="66">
        <f>IF(U840=U841,0,IF(AVERAGEIF(W:W,W840,U:U)=U840,0,_xlfn.XLOOKUP(O840,'Horarios y Sistemas'!C:C,'Horarios y Sistemas'!H:H,0,0,1)-P840))/7*U840</f>
        <v>0</v>
      </c>
      <c r="R840" s="66">
        <f t="shared" si="963"/>
        <v>0</v>
      </c>
      <c r="S840" s="67" t="str">
        <f t="shared" si="964"/>
        <v>SEPTIEMBRE</v>
      </c>
      <c r="T840" s="55" t="str">
        <f t="shared" si="965"/>
        <v>Sem39</v>
      </c>
      <c r="U840" s="68">
        <f t="shared" ref="U840:U903" si="1026">+COUNTIF(B:B,B840)</f>
        <v>7</v>
      </c>
      <c r="V840" s="69">
        <v>46292</v>
      </c>
      <c r="W840" s="68">
        <f t="shared" si="966"/>
        <v>39</v>
      </c>
      <c r="X840" s="68">
        <f t="shared" si="967"/>
        <v>27</v>
      </c>
      <c r="Y840" s="68" t="s">
        <v>34</v>
      </c>
      <c r="Z840" s="68">
        <v>7</v>
      </c>
      <c r="AA840" s="70">
        <f t="shared" si="1016"/>
        <v>0</v>
      </c>
      <c r="AB840" s="70">
        <f t="shared" si="1016"/>
        <v>0</v>
      </c>
      <c r="AC840" s="70">
        <f t="shared" si="1016"/>
        <v>1</v>
      </c>
      <c r="AD840" s="70">
        <f t="shared" si="1016"/>
        <v>0</v>
      </c>
      <c r="AE840" s="70">
        <f t="shared" si="1016"/>
        <v>0</v>
      </c>
      <c r="AF840" s="71"/>
      <c r="AG840" s="71"/>
      <c r="AH840" s="71"/>
    </row>
    <row r="841" spans="2:34">
      <c r="B841" t="str">
        <f t="shared" si="954"/>
        <v>Sem4040MARROQUIN HERNANDEZ WILLIAM ERNESTO</v>
      </c>
      <c r="C841" t="str">
        <f t="shared" si="955"/>
        <v>SEPTIEMBRESem40</v>
      </c>
      <c r="D841" t="str">
        <f t="shared" si="956"/>
        <v>SEPTIEMBRESem40MARROQUIN HERNANDEZ WILLIAM ERNESTO</v>
      </c>
      <c r="E841" t="str">
        <f t="shared" si="957"/>
        <v>SEPTIEMBRESem4040MARROQUIN HERNANDEZ WILLIAM ERNESTO</v>
      </c>
      <c r="F841" t="str">
        <f t="shared" si="958"/>
        <v>MARROQUIN HERNANDEZ WILLIAM ERNESTO46293</v>
      </c>
      <c r="H841" s="49" t="s">
        <v>250</v>
      </c>
      <c r="I841" s="50" t="str">
        <f>+_xlfn.XLOOKUP($H841&amp;$V841,BASEDATOS!$B:$B,BASEDATOS!F:F,0,0,1)</f>
        <v>NOCHE</v>
      </c>
      <c r="J841" s="51">
        <f>+_xlfn.XLOOKUP($H841&amp;$V841,BASEDATOS!$B:$B,BASEDATOS!Q:Q,0,0,1)</f>
        <v>0.75</v>
      </c>
      <c r="K841" s="51">
        <f>+_xlfn.XLOOKUP($H841&amp;$V841,BASEDATOS!$B:$B,BASEDATOS!R:R,0,0,1)</f>
        <v>0.16666666666666699</v>
      </c>
      <c r="L841" s="51">
        <f t="shared" si="959"/>
        <v>0.41666666666666696</v>
      </c>
      <c r="M841" s="52" t="str">
        <f t="shared" si="960"/>
        <v>1:00</v>
      </c>
      <c r="N841" s="51">
        <f t="shared" si="961"/>
        <v>0.37500000000000028</v>
      </c>
      <c r="O841" s="53" t="str">
        <f t="shared" ref="O841" si="1027">+O847</f>
        <v>0-5-2</v>
      </c>
      <c r="P841" s="54">
        <f>+IF(AND(Y841="Domingo",U841=7),_xlfn.XLOOKUP(O841,'Horarios y Sistemas'!C:C,'Horarios y Sistemas'!H:H,0,0,1),0)</f>
        <v>0</v>
      </c>
      <c r="Q841" s="54">
        <f>IF(U841=U842,0,IF(AVERAGEIF(W:W,W841,U:U)=U841,0,_xlfn.XLOOKUP(O841,'Horarios y Sistemas'!C:C,'Horarios y Sistemas'!H:H,0,0,1)-P841))/7*U841</f>
        <v>0</v>
      </c>
      <c r="R841" s="54">
        <f t="shared" si="963"/>
        <v>0</v>
      </c>
      <c r="S841" s="55" t="str">
        <f t="shared" si="964"/>
        <v>SEPTIEMBRE</v>
      </c>
      <c r="T841" s="55" t="str">
        <f t="shared" si="965"/>
        <v>Sem40</v>
      </c>
      <c r="U841" s="56">
        <f t="shared" si="1026"/>
        <v>7</v>
      </c>
      <c r="V841" s="59">
        <v>46293</v>
      </c>
      <c r="W841" s="56">
        <f t="shared" si="966"/>
        <v>40</v>
      </c>
      <c r="X841" s="56">
        <f t="shared" si="967"/>
        <v>28</v>
      </c>
      <c r="Y841" s="56" t="s">
        <v>28</v>
      </c>
      <c r="Z841" s="56">
        <v>1</v>
      </c>
      <c r="AA841" s="58">
        <f t="shared" si="1016"/>
        <v>0</v>
      </c>
      <c r="AB841" s="58">
        <f t="shared" si="1016"/>
        <v>1</v>
      </c>
      <c r="AC841" s="58">
        <f t="shared" si="1016"/>
        <v>0</v>
      </c>
      <c r="AD841" s="58">
        <f t="shared" si="1016"/>
        <v>0</v>
      </c>
      <c r="AE841" s="58">
        <f t="shared" si="1016"/>
        <v>0</v>
      </c>
    </row>
    <row r="842" spans="2:34">
      <c r="B842" t="str">
        <f t="shared" si="954"/>
        <v>Sem4040MARROQUIN HERNANDEZ WILLIAM ERNESTO</v>
      </c>
      <c r="C842" t="str">
        <f t="shared" si="955"/>
        <v>SEPTIEMBRESem40</v>
      </c>
      <c r="D842" t="str">
        <f t="shared" si="956"/>
        <v>SEPTIEMBRESem40MARROQUIN HERNANDEZ WILLIAM ERNESTO</v>
      </c>
      <c r="E842" t="str">
        <f t="shared" si="957"/>
        <v>SEPTIEMBRESem4040MARROQUIN HERNANDEZ WILLIAM ERNESTO</v>
      </c>
      <c r="F842" t="str">
        <f t="shared" si="958"/>
        <v>MARROQUIN HERNANDEZ WILLIAM ERNESTO46294</v>
      </c>
      <c r="H842" s="49" t="s">
        <v>250</v>
      </c>
      <c r="I842" s="50" t="str">
        <f>+_xlfn.XLOOKUP($H842&amp;$V842,BASEDATOS!$B:$B,BASEDATOS!F:F,0,0,1)</f>
        <v>NOCHE</v>
      </c>
      <c r="J842" s="51">
        <f>+_xlfn.XLOOKUP($H842&amp;$V842,BASEDATOS!$B:$B,BASEDATOS!Q:Q,0,0,1)</f>
        <v>0.75</v>
      </c>
      <c r="K842" s="51">
        <f>+_xlfn.XLOOKUP($H842&amp;$V842,BASEDATOS!$B:$B,BASEDATOS!R:R,0,0,1)</f>
        <v>0.16666666666666699</v>
      </c>
      <c r="L842" s="51">
        <f t="shared" si="959"/>
        <v>0.41666666666666696</v>
      </c>
      <c r="M842" s="52" t="str">
        <f t="shared" si="960"/>
        <v>1:00</v>
      </c>
      <c r="N842" s="51">
        <f t="shared" si="961"/>
        <v>0.37500000000000028</v>
      </c>
      <c r="O842" s="53" t="str">
        <f t="shared" ref="O842" si="1028">+O847</f>
        <v>0-5-2</v>
      </c>
      <c r="P842" s="54">
        <f>+IF(AND(Y842="Domingo",U842=7),_xlfn.XLOOKUP(O842,'Horarios y Sistemas'!C:C,'Horarios y Sistemas'!H:H,0,0,1),0)</f>
        <v>0</v>
      </c>
      <c r="Q842" s="54">
        <f>IF(U842=U843,0,IF(AVERAGEIF(W:W,W842,U:U)=U842,0,_xlfn.XLOOKUP(O842,'Horarios y Sistemas'!C:C,'Horarios y Sistemas'!H:H,0,0,1)-P842))/7*U842</f>
        <v>0</v>
      </c>
      <c r="R842" s="54">
        <f t="shared" si="963"/>
        <v>0</v>
      </c>
      <c r="S842" s="55" t="str">
        <f t="shared" si="964"/>
        <v>SEPTIEMBRE</v>
      </c>
      <c r="T842" s="55" t="str">
        <f t="shared" si="965"/>
        <v>Sem40</v>
      </c>
      <c r="U842" s="56">
        <f t="shared" si="1026"/>
        <v>7</v>
      </c>
      <c r="V842" s="59">
        <v>46294</v>
      </c>
      <c r="W842" s="56">
        <f t="shared" si="966"/>
        <v>40</v>
      </c>
      <c r="X842" s="56">
        <f t="shared" si="967"/>
        <v>29</v>
      </c>
      <c r="Y842" s="56" t="s">
        <v>29</v>
      </c>
      <c r="Z842" s="56">
        <v>2</v>
      </c>
      <c r="AA842" s="58">
        <f t="shared" si="1016"/>
        <v>0</v>
      </c>
      <c r="AB842" s="58">
        <f t="shared" si="1016"/>
        <v>1</v>
      </c>
      <c r="AC842" s="58">
        <f t="shared" si="1016"/>
        <v>0</v>
      </c>
      <c r="AD842" s="58">
        <f t="shared" si="1016"/>
        <v>0</v>
      </c>
      <c r="AE842" s="58">
        <f t="shared" si="1016"/>
        <v>0</v>
      </c>
    </row>
    <row r="843" spans="2:34">
      <c r="B843" t="str">
        <f t="shared" si="954"/>
        <v>Sem4040MARROQUIN HERNANDEZ WILLIAM ERNESTO</v>
      </c>
      <c r="C843" t="str">
        <f t="shared" si="955"/>
        <v>SEPTIEMBRESem40</v>
      </c>
      <c r="D843" t="str">
        <f t="shared" si="956"/>
        <v>SEPTIEMBRESem40MARROQUIN HERNANDEZ WILLIAM ERNESTO</v>
      </c>
      <c r="E843" t="str">
        <f t="shared" si="957"/>
        <v>SEPTIEMBRESem4040MARROQUIN HERNANDEZ WILLIAM ERNESTO</v>
      </c>
      <c r="F843" t="str">
        <f t="shared" si="958"/>
        <v>MARROQUIN HERNANDEZ WILLIAM ERNESTO46295</v>
      </c>
      <c r="H843" s="49" t="s">
        <v>250</v>
      </c>
      <c r="I843" s="50" t="str">
        <f>+_xlfn.XLOOKUP($H843&amp;$V843,BASEDATOS!$B:$B,BASEDATOS!F:F,0,0,1)</f>
        <v>NOCHE</v>
      </c>
      <c r="J843" s="51">
        <f>+_xlfn.XLOOKUP($H843&amp;$V843,BASEDATOS!$B:$B,BASEDATOS!Q:Q,0,0,1)</f>
        <v>0.75</v>
      </c>
      <c r="K843" s="51">
        <f>+_xlfn.XLOOKUP($H843&amp;$V843,BASEDATOS!$B:$B,BASEDATOS!R:R,0,0,1)</f>
        <v>0.16666666666666699</v>
      </c>
      <c r="L843" s="51">
        <f t="shared" si="959"/>
        <v>0.41666666666666696</v>
      </c>
      <c r="M843" s="52" t="str">
        <f t="shared" si="960"/>
        <v>1:00</v>
      </c>
      <c r="N843" s="51">
        <f t="shared" si="961"/>
        <v>0.37500000000000028</v>
      </c>
      <c r="O843" s="53" t="str">
        <f t="shared" ref="O843" si="1029">+O847</f>
        <v>0-5-2</v>
      </c>
      <c r="P843" s="54">
        <f>+IF(AND(Y843="Domingo",U843=7),_xlfn.XLOOKUP(O843,'Horarios y Sistemas'!C:C,'Horarios y Sistemas'!H:H,0,0,1),0)</f>
        <v>0</v>
      </c>
      <c r="Q843" s="54">
        <f>IF(U843=U844,0,IF(AVERAGEIF(W:W,W843,U:U)=U843,0,_xlfn.XLOOKUP(O843,'Horarios y Sistemas'!C:C,'Horarios y Sistemas'!H:H,0,0,1)-P843))/7*U843</f>
        <v>0</v>
      </c>
      <c r="R843" s="54">
        <f t="shared" si="963"/>
        <v>0</v>
      </c>
      <c r="S843" s="55" t="str">
        <f t="shared" si="964"/>
        <v>SEPTIEMBRE</v>
      </c>
      <c r="T843" s="55" t="str">
        <f t="shared" si="965"/>
        <v>Sem40</v>
      </c>
      <c r="U843" s="56">
        <f t="shared" si="1026"/>
        <v>7</v>
      </c>
      <c r="V843" s="59">
        <v>46295</v>
      </c>
      <c r="W843" s="56">
        <f t="shared" si="966"/>
        <v>40</v>
      </c>
      <c r="X843" s="56">
        <f t="shared" si="967"/>
        <v>30</v>
      </c>
      <c r="Y843" s="56" t="s">
        <v>30</v>
      </c>
      <c r="Z843" s="56">
        <v>3</v>
      </c>
      <c r="AA843" s="58">
        <f t="shared" si="1016"/>
        <v>0</v>
      </c>
      <c r="AB843" s="58">
        <f t="shared" si="1016"/>
        <v>1</v>
      </c>
      <c r="AC843" s="58">
        <f t="shared" si="1016"/>
        <v>0</v>
      </c>
      <c r="AD843" s="58">
        <f t="shared" si="1016"/>
        <v>0</v>
      </c>
      <c r="AE843" s="58">
        <f t="shared" si="1016"/>
        <v>0</v>
      </c>
    </row>
    <row r="844" spans="2:34">
      <c r="B844" t="str">
        <f t="shared" si="954"/>
        <v>Sem4040MARROQUIN HERNANDEZ WILLIAM ERNESTO</v>
      </c>
      <c r="C844" t="str">
        <f t="shared" si="955"/>
        <v>OCTUBRESem40</v>
      </c>
      <c r="D844" t="str">
        <f t="shared" si="956"/>
        <v>OCTUBRESem40MARROQUIN HERNANDEZ WILLIAM ERNESTO</v>
      </c>
      <c r="E844" t="str">
        <f t="shared" si="957"/>
        <v>OCTUBRESem4040MARROQUIN HERNANDEZ WILLIAM ERNESTO</v>
      </c>
      <c r="F844" t="str">
        <f t="shared" si="958"/>
        <v>MARROQUIN HERNANDEZ WILLIAM ERNESTO46296</v>
      </c>
      <c r="H844" s="49" t="s">
        <v>250</v>
      </c>
      <c r="I844" s="50" t="str">
        <f>+_xlfn.XLOOKUP($H844&amp;$V844,BASEDATOS!$B:$B,BASEDATOS!F:F,0,0,1)</f>
        <v>NOCHE</v>
      </c>
      <c r="J844" s="51">
        <f>+_xlfn.XLOOKUP($H844&amp;$V844,BASEDATOS!$B:$B,BASEDATOS!Q:Q,0,0,1)</f>
        <v>0.75</v>
      </c>
      <c r="K844" s="51">
        <f>+_xlfn.XLOOKUP($H844&amp;$V844,BASEDATOS!$B:$B,BASEDATOS!R:R,0,0,1)</f>
        <v>0.16666666666666699</v>
      </c>
      <c r="L844" s="51">
        <f t="shared" si="959"/>
        <v>0.41666666666666696</v>
      </c>
      <c r="M844" s="52" t="str">
        <f t="shared" si="960"/>
        <v>1:00</v>
      </c>
      <c r="N844" s="51">
        <f t="shared" si="961"/>
        <v>0.37500000000000028</v>
      </c>
      <c r="O844" s="53" t="str">
        <f t="shared" ref="O844" si="1030">+O847</f>
        <v>0-5-2</v>
      </c>
      <c r="P844" s="54">
        <f>+IF(AND(Y844="Domingo",U844=7),_xlfn.XLOOKUP(O844,'Horarios y Sistemas'!C:C,'Horarios y Sistemas'!H:H,0,0,1),0)</f>
        <v>0</v>
      </c>
      <c r="Q844" s="54">
        <f>IF(U844=U845,0,IF(AVERAGEIF(W:W,W844,U:U)=U844,0,_xlfn.XLOOKUP(O844,'Horarios y Sistemas'!C:C,'Horarios y Sistemas'!H:H,0,0,1)-P844))/7*U844</f>
        <v>0</v>
      </c>
      <c r="R844" s="54">
        <f t="shared" si="963"/>
        <v>0</v>
      </c>
      <c r="S844" s="55" t="str">
        <f t="shared" si="964"/>
        <v>OCTUBRE</v>
      </c>
      <c r="T844" s="55" t="str">
        <f t="shared" si="965"/>
        <v>Sem40</v>
      </c>
      <c r="U844" s="56">
        <f t="shared" si="1026"/>
        <v>7</v>
      </c>
      <c r="V844" s="59">
        <v>46296</v>
      </c>
      <c r="W844" s="56">
        <f t="shared" si="966"/>
        <v>40</v>
      </c>
      <c r="X844" s="56">
        <f t="shared" si="967"/>
        <v>1</v>
      </c>
      <c r="Y844" s="56" t="s">
        <v>31</v>
      </c>
      <c r="Z844" s="56">
        <v>4</v>
      </c>
      <c r="AA844" s="58">
        <f t="shared" si="1016"/>
        <v>0</v>
      </c>
      <c r="AB844" s="58">
        <f t="shared" si="1016"/>
        <v>1</v>
      </c>
      <c r="AC844" s="58">
        <f t="shared" si="1016"/>
        <v>0</v>
      </c>
      <c r="AD844" s="58">
        <f t="shared" si="1016"/>
        <v>0</v>
      </c>
      <c r="AE844" s="58">
        <f t="shared" si="1016"/>
        <v>0</v>
      </c>
    </row>
    <row r="845" spans="2:34">
      <c r="B845" t="str">
        <f t="shared" si="954"/>
        <v>Sem4040MARROQUIN HERNANDEZ WILLIAM ERNESTO</v>
      </c>
      <c r="C845" t="str">
        <f t="shared" si="955"/>
        <v>OCTUBRESem40</v>
      </c>
      <c r="D845" t="str">
        <f t="shared" si="956"/>
        <v>OCTUBRESem40MARROQUIN HERNANDEZ WILLIAM ERNESTO</v>
      </c>
      <c r="E845" t="str">
        <f t="shared" si="957"/>
        <v>OCTUBRESem4040MARROQUIN HERNANDEZ WILLIAM ERNESTO</v>
      </c>
      <c r="F845" t="str">
        <f t="shared" si="958"/>
        <v>MARROQUIN HERNANDEZ WILLIAM ERNESTO46297</v>
      </c>
      <c r="H845" s="49" t="s">
        <v>250</v>
      </c>
      <c r="I845" s="50" t="str">
        <f>+_xlfn.XLOOKUP($H845&amp;$V845,BASEDATOS!$B:$B,BASEDATOS!F:F,0,0,1)</f>
        <v>NOCHE</v>
      </c>
      <c r="J845" s="51">
        <f>+_xlfn.XLOOKUP($H845&amp;$V845,BASEDATOS!$B:$B,BASEDATOS!Q:Q,0,0,1)</f>
        <v>0.75</v>
      </c>
      <c r="K845" s="51">
        <f>+_xlfn.XLOOKUP($H845&amp;$V845,BASEDATOS!$B:$B,BASEDATOS!R:R,0,0,1)</f>
        <v>0.16666666666666699</v>
      </c>
      <c r="L845" s="51">
        <f t="shared" si="959"/>
        <v>0.41666666666666696</v>
      </c>
      <c r="M845" s="52" t="str">
        <f t="shared" si="960"/>
        <v>1:00</v>
      </c>
      <c r="N845" s="51">
        <f t="shared" si="961"/>
        <v>0.37500000000000028</v>
      </c>
      <c r="O845" s="53" t="str">
        <f t="shared" ref="O845" si="1031">+O847</f>
        <v>0-5-2</v>
      </c>
      <c r="P845" s="54">
        <f>+IF(AND(Y845="Domingo",U845=7),_xlfn.XLOOKUP(O845,'Horarios y Sistemas'!C:C,'Horarios y Sistemas'!H:H,0,0,1),0)</f>
        <v>0</v>
      </c>
      <c r="Q845" s="54">
        <f>IF(U845=U846,0,IF(AVERAGEIF(W:W,W845,U:U)=U845,0,_xlfn.XLOOKUP(O845,'Horarios y Sistemas'!C:C,'Horarios y Sistemas'!H:H,0,0,1)-P845))/7*U845</f>
        <v>0</v>
      </c>
      <c r="R845" s="54">
        <f t="shared" si="963"/>
        <v>0</v>
      </c>
      <c r="S845" s="55" t="str">
        <f t="shared" si="964"/>
        <v>OCTUBRE</v>
      </c>
      <c r="T845" s="55" t="str">
        <f t="shared" si="965"/>
        <v>Sem40</v>
      </c>
      <c r="U845" s="56">
        <f t="shared" si="1026"/>
        <v>7</v>
      </c>
      <c r="V845" s="59">
        <v>46297</v>
      </c>
      <c r="W845" s="56">
        <f t="shared" si="966"/>
        <v>40</v>
      </c>
      <c r="X845" s="56">
        <f t="shared" si="967"/>
        <v>2</v>
      </c>
      <c r="Y845" s="56" t="s">
        <v>32</v>
      </c>
      <c r="Z845" s="56">
        <v>5</v>
      </c>
      <c r="AA845" s="58">
        <f t="shared" si="1016"/>
        <v>0</v>
      </c>
      <c r="AB845" s="58">
        <f t="shared" si="1016"/>
        <v>1</v>
      </c>
      <c r="AC845" s="58">
        <f t="shared" si="1016"/>
        <v>0</v>
      </c>
      <c r="AD845" s="58">
        <f t="shared" si="1016"/>
        <v>0</v>
      </c>
      <c r="AE845" s="58">
        <f t="shared" si="1016"/>
        <v>0</v>
      </c>
    </row>
    <row r="846" spans="2:34">
      <c r="B846" t="str">
        <f t="shared" si="954"/>
        <v>Sem4040MARROQUIN HERNANDEZ WILLIAM ERNESTO</v>
      </c>
      <c r="C846" t="str">
        <f t="shared" si="955"/>
        <v>OCTUBRESem40</v>
      </c>
      <c r="D846" t="str">
        <f t="shared" si="956"/>
        <v>OCTUBRESem40MARROQUIN HERNANDEZ WILLIAM ERNESTO</v>
      </c>
      <c r="E846" t="str">
        <f t="shared" si="957"/>
        <v>OCTUBRESem4040MARROQUIN HERNANDEZ WILLIAM ERNESTO</v>
      </c>
      <c r="F846" t="str">
        <f t="shared" si="958"/>
        <v>MARROQUIN HERNANDEZ WILLIAM ERNESTO46298</v>
      </c>
      <c r="H846" s="49" t="s">
        <v>250</v>
      </c>
      <c r="I846" s="50" t="str">
        <f>+_xlfn.XLOOKUP($H846&amp;$V846,BASEDATOS!$B:$B,BASEDATOS!F:F,0,0,1)</f>
        <v>DESCANSO</v>
      </c>
      <c r="J846" s="51">
        <f>+_xlfn.XLOOKUP($H846&amp;$V846,BASEDATOS!$B:$B,BASEDATOS!Q:Q,0,0,1)</f>
        <v>0</v>
      </c>
      <c r="K846" s="51">
        <f>+_xlfn.XLOOKUP($H846&amp;$V846,BASEDATOS!$B:$B,BASEDATOS!R:R,0,0,1)</f>
        <v>0</v>
      </c>
      <c r="L846" s="51">
        <f t="shared" si="959"/>
        <v>0</v>
      </c>
      <c r="M846" s="52">
        <f t="shared" si="960"/>
        <v>0</v>
      </c>
      <c r="N846" s="51">
        <f t="shared" si="961"/>
        <v>0</v>
      </c>
      <c r="O846" s="53" t="str">
        <f t="shared" ref="O846" si="1032">+O847</f>
        <v>0-5-2</v>
      </c>
      <c r="P846" s="54">
        <f>+IF(AND(Y846="Domingo",U846=7),_xlfn.XLOOKUP(O846,'Horarios y Sistemas'!C:C,'Horarios y Sistemas'!H:H,0,0,1),0)</f>
        <v>0</v>
      </c>
      <c r="Q846" s="54">
        <f>IF(U846=U847,0,IF(AVERAGEIF(W:W,W846,U:U)=U846,0,_xlfn.XLOOKUP(O846,'Horarios y Sistemas'!C:C,'Horarios y Sistemas'!H:H,0,0,1)-P846))/7*U846</f>
        <v>0</v>
      </c>
      <c r="R846" s="54">
        <f t="shared" si="963"/>
        <v>0</v>
      </c>
      <c r="S846" s="55" t="str">
        <f t="shared" si="964"/>
        <v>OCTUBRE</v>
      </c>
      <c r="T846" s="55" t="str">
        <f t="shared" si="965"/>
        <v>Sem40</v>
      </c>
      <c r="U846" s="56">
        <f t="shared" si="1026"/>
        <v>7</v>
      </c>
      <c r="V846" s="59">
        <v>46298</v>
      </c>
      <c r="W846" s="56">
        <f t="shared" si="966"/>
        <v>40</v>
      </c>
      <c r="X846" s="56">
        <f t="shared" si="967"/>
        <v>3</v>
      </c>
      <c r="Y846" s="56" t="s">
        <v>33</v>
      </c>
      <c r="Z846" s="56">
        <v>6</v>
      </c>
      <c r="AA846" s="58">
        <f t="shared" si="1016"/>
        <v>0</v>
      </c>
      <c r="AB846" s="58">
        <f t="shared" si="1016"/>
        <v>0</v>
      </c>
      <c r="AC846" s="58">
        <f t="shared" si="1016"/>
        <v>1</v>
      </c>
      <c r="AD846" s="58">
        <f t="shared" si="1016"/>
        <v>0</v>
      </c>
      <c r="AE846" s="58">
        <f t="shared" si="1016"/>
        <v>0</v>
      </c>
    </row>
    <row r="847" spans="2:34" s="60" customFormat="1">
      <c r="B847" s="60" t="str">
        <f t="shared" ref="B847:B910" si="1033">+T847&amp;W847&amp;H847</f>
        <v>Sem4040MARROQUIN HERNANDEZ WILLIAM ERNESTO</v>
      </c>
      <c r="C847" s="60" t="str">
        <f t="shared" ref="C847:C910" si="1034">+S847&amp;T847</f>
        <v>OCTUBRESem40</v>
      </c>
      <c r="D847" s="60" t="str">
        <f t="shared" ref="D847:D910" si="1035">+S847&amp;T847&amp;H847</f>
        <v>OCTUBRESem40MARROQUIN HERNANDEZ WILLIAM ERNESTO</v>
      </c>
      <c r="E847" s="60" t="str">
        <f t="shared" ref="E847:E910" si="1036">+S847&amp;T847&amp;W847&amp;H847</f>
        <v>OCTUBRESem4040MARROQUIN HERNANDEZ WILLIAM ERNESTO</v>
      </c>
      <c r="F847" s="60" t="str">
        <f t="shared" ref="F847:F910" si="1037">+H847&amp;V847</f>
        <v>MARROQUIN HERNANDEZ WILLIAM ERNESTO46299</v>
      </c>
      <c r="H847" s="61" t="s">
        <v>250</v>
      </c>
      <c r="I847" s="62" t="str">
        <f>+_xlfn.XLOOKUP($H847&amp;$V847,BASEDATOS!$B:$B,BASEDATOS!F:F,0,0,1)</f>
        <v>DESCANSO</v>
      </c>
      <c r="J847" s="63">
        <f>+_xlfn.XLOOKUP($H847&amp;$V847,BASEDATOS!$B:$B,BASEDATOS!Q:Q,0,0,1)</f>
        <v>0</v>
      </c>
      <c r="K847" s="63">
        <f>+_xlfn.XLOOKUP($H847&amp;$V847,BASEDATOS!$B:$B,BASEDATOS!R:R,0,0,1)</f>
        <v>0</v>
      </c>
      <c r="L847" s="63">
        <f t="shared" ref="L847:L910" si="1038">+IF(OR(J847="Descanso",J847="AUSENTE",J847="ASUETO"),0,MOD(K847-J847,1))</f>
        <v>0</v>
      </c>
      <c r="M847" s="64">
        <f t="shared" ref="M847:M910" si="1039">+IF(OR(I847="DIA",I847="NOCHE",I847="MIXTO"),"1:00",0)</f>
        <v>0</v>
      </c>
      <c r="N847" s="63">
        <f t="shared" ref="N847:N910" si="1040">+IF(I847="ASUETO-D",8/24,IF(I847="ASUETO-N",6/24,MOD(L847-M847,1)))</f>
        <v>0</v>
      </c>
      <c r="O847" s="65" t="str">
        <f t="shared" ref="O847" si="1041">+IF(Y847="Domingo",SUM(AA841:AA847)&amp;"-"&amp;SUM(AB841:AB847)&amp;"-"&amp;SUM(AC841:AE847),"")</f>
        <v>0-5-2</v>
      </c>
      <c r="P847" s="66">
        <f>+IF(AND(Y847="Domingo",U847=7),_xlfn.XLOOKUP(O847,'Horarios y Sistemas'!C:C,'Horarios y Sistemas'!H:H,0,0,1),0)</f>
        <v>36</v>
      </c>
      <c r="Q847" s="66">
        <f>IF(U847=U848,0,IF(AVERAGEIF(W:W,W847,U:U)=U847,0,_xlfn.XLOOKUP(O847,'Horarios y Sistemas'!C:C,'Horarios y Sistemas'!H:H,0,0,1)-P847))/7*U847</f>
        <v>0</v>
      </c>
      <c r="R847" s="66">
        <f t="shared" ref="R847:R910" si="1042">+IF(Y847="Domingo",SUM(P841:Q847),0)</f>
        <v>36</v>
      </c>
      <c r="S847" s="67" t="str">
        <f t="shared" ref="S847:S910" si="1043">+UPPER(TEXT(V847,"MMMMMMMM"))</f>
        <v>OCTUBRE</v>
      </c>
      <c r="T847" s="55" t="str">
        <f t="shared" ref="T847:T910" si="1044">+"Sem"&amp;W847</f>
        <v>Sem40</v>
      </c>
      <c r="U847" s="68">
        <f t="shared" si="1026"/>
        <v>7</v>
      </c>
      <c r="V847" s="69">
        <v>46299</v>
      </c>
      <c r="W847" s="68">
        <f t="shared" ref="W847:W910" si="1045">+_xlfn.ISOWEEKNUM(V847)</f>
        <v>40</v>
      </c>
      <c r="X847" s="68">
        <f t="shared" ref="X847:X910" si="1046">+DAY(V847)</f>
        <v>4</v>
      </c>
      <c r="Y847" s="68" t="s">
        <v>34</v>
      </c>
      <c r="Z847" s="68">
        <v>7</v>
      </c>
      <c r="AA847" s="70">
        <f t="shared" si="1016"/>
        <v>0</v>
      </c>
      <c r="AB847" s="70">
        <f t="shared" si="1016"/>
        <v>0</v>
      </c>
      <c r="AC847" s="70">
        <f t="shared" si="1016"/>
        <v>1</v>
      </c>
      <c r="AD847" s="70">
        <f t="shared" si="1016"/>
        <v>0</v>
      </c>
      <c r="AE847" s="70">
        <f t="shared" si="1016"/>
        <v>0</v>
      </c>
      <c r="AF847" s="71"/>
      <c r="AG847" s="71"/>
      <c r="AH847" s="71"/>
    </row>
    <row r="848" spans="2:34">
      <c r="B848" t="str">
        <f t="shared" si="1033"/>
        <v>Sem3838Marcos Hosdualvi Hernadez Obando</v>
      </c>
      <c r="C848" t="str">
        <f t="shared" si="1034"/>
        <v>SEPTIEMBRESem38</v>
      </c>
      <c r="D848" t="str">
        <f t="shared" si="1035"/>
        <v>SEPTIEMBRESem38Marcos Hosdualvi Hernadez Obando</v>
      </c>
      <c r="E848" t="str">
        <f t="shared" si="1036"/>
        <v>SEPTIEMBRESem3838Marcos Hosdualvi Hernadez Obando</v>
      </c>
      <c r="F848" t="str">
        <f t="shared" si="1037"/>
        <v>Marcos Hosdualvi Hernadez Obando46279</v>
      </c>
      <c r="H848" s="49" t="s">
        <v>190</v>
      </c>
      <c r="I848" s="50" t="str">
        <f>+_xlfn.XLOOKUP($H848&amp;$V848,BASEDATOS!$B:$B,BASEDATOS!F:F,0,0,1)</f>
        <v>DESCANSO</v>
      </c>
      <c r="J848" s="51">
        <f>+_xlfn.XLOOKUP($H848&amp;$V848,BASEDATOS!$B:$B,BASEDATOS!Q:Q,0,0,1)</f>
        <v>0</v>
      </c>
      <c r="K848" s="51">
        <f>+_xlfn.XLOOKUP($H848&amp;$V848,BASEDATOS!$B:$B,BASEDATOS!R:R,0,0,1)</f>
        <v>0</v>
      </c>
      <c r="L848" s="51">
        <f t="shared" si="1038"/>
        <v>0</v>
      </c>
      <c r="M848" s="52">
        <f t="shared" si="1039"/>
        <v>0</v>
      </c>
      <c r="N848" s="51">
        <f t="shared" si="1040"/>
        <v>0</v>
      </c>
      <c r="O848" s="53" t="str">
        <f t="shared" ref="O848" si="1047">+O854</f>
        <v>4-0-3</v>
      </c>
      <c r="P848" s="54">
        <f>+IF(AND(Y848="Domingo",U848=7),_xlfn.XLOOKUP(O848,'Horarios y Sistemas'!C:C,'Horarios y Sistemas'!H:H,0,0,1),0)</f>
        <v>0</v>
      </c>
      <c r="Q848" s="54">
        <f>IF(U848=U849,0,IF(AVERAGEIF(W:W,W848,U:U)=U848,0,_xlfn.XLOOKUP(O848,'Horarios y Sistemas'!C:C,'Horarios y Sistemas'!H:H,0,0,1)-P848))/7*U848</f>
        <v>0</v>
      </c>
      <c r="R848" s="54">
        <f t="shared" si="1042"/>
        <v>0</v>
      </c>
      <c r="S848" s="55" t="str">
        <f t="shared" si="1043"/>
        <v>SEPTIEMBRE</v>
      </c>
      <c r="T848" s="55" t="str">
        <f t="shared" si="1044"/>
        <v>Sem38</v>
      </c>
      <c r="U848" s="56">
        <f t="shared" si="1026"/>
        <v>7</v>
      </c>
      <c r="V848" s="59">
        <v>46279</v>
      </c>
      <c r="W848" s="56">
        <f t="shared" si="1045"/>
        <v>38</v>
      </c>
      <c r="X848" s="56">
        <f t="shared" si="1046"/>
        <v>14</v>
      </c>
      <c r="Y848" s="56" t="s">
        <v>28</v>
      </c>
      <c r="Z848" s="56">
        <v>1</v>
      </c>
      <c r="AA848" s="58">
        <f t="shared" si="1016"/>
        <v>0</v>
      </c>
      <c r="AB848" s="58">
        <f t="shared" si="1016"/>
        <v>0</v>
      </c>
      <c r="AC848" s="58">
        <f t="shared" si="1016"/>
        <v>1</v>
      </c>
      <c r="AD848" s="58">
        <f t="shared" si="1016"/>
        <v>0</v>
      </c>
      <c r="AE848" s="58">
        <f t="shared" si="1016"/>
        <v>0</v>
      </c>
    </row>
    <row r="849" spans="2:34">
      <c r="B849" t="str">
        <f t="shared" si="1033"/>
        <v>Sem3838Marcos Hosdualvi Hernadez Obando</v>
      </c>
      <c r="C849" t="str">
        <f t="shared" si="1034"/>
        <v>SEPTIEMBRESem38</v>
      </c>
      <c r="D849" t="str">
        <f t="shared" si="1035"/>
        <v>SEPTIEMBRESem38Marcos Hosdualvi Hernadez Obando</v>
      </c>
      <c r="E849" t="str">
        <f t="shared" si="1036"/>
        <v>SEPTIEMBRESem3838Marcos Hosdualvi Hernadez Obando</v>
      </c>
      <c r="F849" t="str">
        <f t="shared" si="1037"/>
        <v>Marcos Hosdualvi Hernadez Obando46280</v>
      </c>
      <c r="H849" s="49" t="s">
        <v>190</v>
      </c>
      <c r="I849" s="50" t="str">
        <f>+_xlfn.XLOOKUP($H849&amp;$V849,BASEDATOS!$B:$B,BASEDATOS!F:F,0,0,1)</f>
        <v>DIA</v>
      </c>
      <c r="J849" s="51">
        <f>+_xlfn.XLOOKUP($H849&amp;$V849,BASEDATOS!$B:$B,BASEDATOS!Q:Q,0,0,1)</f>
        <v>0.33333333333333298</v>
      </c>
      <c r="K849" s="51">
        <f>+_xlfn.XLOOKUP($H849&amp;$V849,BASEDATOS!$B:$B,BASEDATOS!R:R,0,0,1)</f>
        <v>0.70833333333333304</v>
      </c>
      <c r="L849" s="51">
        <f t="shared" si="1038"/>
        <v>0.37500000000000006</v>
      </c>
      <c r="M849" s="52" t="str">
        <f t="shared" si="1039"/>
        <v>1:00</v>
      </c>
      <c r="N849" s="51">
        <f t="shared" si="1040"/>
        <v>0.33333333333333337</v>
      </c>
      <c r="O849" s="53" t="str">
        <f t="shared" ref="O849" si="1048">+O854</f>
        <v>4-0-3</v>
      </c>
      <c r="P849" s="54">
        <f>+IF(AND(Y849="Domingo",U849=7),_xlfn.XLOOKUP(O849,'Horarios y Sistemas'!C:C,'Horarios y Sistemas'!H:H,0,0,1),0)</f>
        <v>0</v>
      </c>
      <c r="Q849" s="54">
        <f>IF(U849=U850,0,IF(AVERAGEIF(W:W,W849,U:U)=U849,0,_xlfn.XLOOKUP(O849,'Horarios y Sistemas'!C:C,'Horarios y Sistemas'!H:H,0,0,1)-P849))/7*U849</f>
        <v>0</v>
      </c>
      <c r="R849" s="54">
        <f t="shared" si="1042"/>
        <v>0</v>
      </c>
      <c r="S849" s="55" t="str">
        <f t="shared" si="1043"/>
        <v>SEPTIEMBRE</v>
      </c>
      <c r="T849" s="55" t="str">
        <f t="shared" si="1044"/>
        <v>Sem38</v>
      </c>
      <c r="U849" s="56">
        <f t="shared" si="1026"/>
        <v>7</v>
      </c>
      <c r="V849" s="59">
        <v>46280</v>
      </c>
      <c r="W849" s="56">
        <f t="shared" si="1045"/>
        <v>38</v>
      </c>
      <c r="X849" s="56">
        <f t="shared" si="1046"/>
        <v>15</v>
      </c>
      <c r="Y849" s="56" t="s">
        <v>29</v>
      </c>
      <c r="Z849" s="56">
        <v>2</v>
      </c>
      <c r="AA849" s="58">
        <f t="shared" si="1016"/>
        <v>1</v>
      </c>
      <c r="AB849" s="58">
        <f t="shared" si="1016"/>
        <v>0</v>
      </c>
      <c r="AC849" s="58">
        <f t="shared" si="1016"/>
        <v>0</v>
      </c>
      <c r="AD849" s="58">
        <f t="shared" si="1016"/>
        <v>0</v>
      </c>
      <c r="AE849" s="58">
        <f t="shared" si="1016"/>
        <v>0</v>
      </c>
    </row>
    <row r="850" spans="2:34">
      <c r="B850" t="str">
        <f t="shared" si="1033"/>
        <v>Sem3838Marcos Hosdualvi Hernadez Obando</v>
      </c>
      <c r="C850" t="str">
        <f t="shared" si="1034"/>
        <v>SEPTIEMBRESem38</v>
      </c>
      <c r="D850" t="str">
        <f t="shared" si="1035"/>
        <v>SEPTIEMBRESem38Marcos Hosdualvi Hernadez Obando</v>
      </c>
      <c r="E850" t="str">
        <f t="shared" si="1036"/>
        <v>SEPTIEMBRESem3838Marcos Hosdualvi Hernadez Obando</v>
      </c>
      <c r="F850" t="str">
        <f t="shared" si="1037"/>
        <v>Marcos Hosdualvi Hernadez Obando46281</v>
      </c>
      <c r="H850" s="49" t="s">
        <v>190</v>
      </c>
      <c r="I850" s="50" t="str">
        <f>+_xlfn.XLOOKUP($H850&amp;$V850,BASEDATOS!$B:$B,BASEDATOS!F:F,0,0,1)</f>
        <v>DIA</v>
      </c>
      <c r="J850" s="51">
        <f>+_xlfn.XLOOKUP($H850&amp;$V850,BASEDATOS!$B:$B,BASEDATOS!Q:Q,0,0,1)</f>
        <v>0.33333333333333298</v>
      </c>
      <c r="K850" s="51">
        <f>+_xlfn.XLOOKUP($H850&amp;$V850,BASEDATOS!$B:$B,BASEDATOS!R:R,0,0,1)</f>
        <v>0.70833333333333304</v>
      </c>
      <c r="L850" s="51">
        <f t="shared" si="1038"/>
        <v>0.37500000000000006</v>
      </c>
      <c r="M850" s="52" t="str">
        <f t="shared" si="1039"/>
        <v>1:00</v>
      </c>
      <c r="N850" s="51">
        <f t="shared" si="1040"/>
        <v>0.33333333333333337</v>
      </c>
      <c r="O850" s="53" t="str">
        <f t="shared" ref="O850" si="1049">+O854</f>
        <v>4-0-3</v>
      </c>
      <c r="P850" s="54">
        <f>+IF(AND(Y850="Domingo",U850=7),_xlfn.XLOOKUP(O850,'Horarios y Sistemas'!C:C,'Horarios y Sistemas'!H:H,0,0,1),0)</f>
        <v>0</v>
      </c>
      <c r="Q850" s="54">
        <f>IF(U850=U851,0,IF(AVERAGEIF(W:W,W850,U:U)=U850,0,_xlfn.XLOOKUP(O850,'Horarios y Sistemas'!C:C,'Horarios y Sistemas'!H:H,0,0,1)-P850))/7*U850</f>
        <v>0</v>
      </c>
      <c r="R850" s="54">
        <f t="shared" si="1042"/>
        <v>0</v>
      </c>
      <c r="S850" s="55" t="str">
        <f t="shared" si="1043"/>
        <v>SEPTIEMBRE</v>
      </c>
      <c r="T850" s="55" t="str">
        <f t="shared" si="1044"/>
        <v>Sem38</v>
      </c>
      <c r="U850" s="56">
        <f t="shared" si="1026"/>
        <v>7</v>
      </c>
      <c r="V850" s="59">
        <v>46281</v>
      </c>
      <c r="W850" s="56">
        <f t="shared" si="1045"/>
        <v>38</v>
      </c>
      <c r="X850" s="56">
        <f t="shared" si="1046"/>
        <v>16</v>
      </c>
      <c r="Y850" s="56" t="s">
        <v>30</v>
      </c>
      <c r="Z850" s="56">
        <v>3</v>
      </c>
      <c r="AA850" s="58">
        <f t="shared" si="1016"/>
        <v>1</v>
      </c>
      <c r="AB850" s="58">
        <f t="shared" si="1016"/>
        <v>0</v>
      </c>
      <c r="AC850" s="58">
        <f t="shared" si="1016"/>
        <v>0</v>
      </c>
      <c r="AD850" s="58">
        <f t="shared" si="1016"/>
        <v>0</v>
      </c>
      <c r="AE850" s="58">
        <f t="shared" si="1016"/>
        <v>0</v>
      </c>
    </row>
    <row r="851" spans="2:34">
      <c r="B851" t="str">
        <f t="shared" si="1033"/>
        <v>Sem3838Marcos Hosdualvi Hernadez Obando</v>
      </c>
      <c r="C851" t="str">
        <f t="shared" si="1034"/>
        <v>SEPTIEMBRESem38</v>
      </c>
      <c r="D851" t="str">
        <f t="shared" si="1035"/>
        <v>SEPTIEMBRESem38Marcos Hosdualvi Hernadez Obando</v>
      </c>
      <c r="E851" t="str">
        <f t="shared" si="1036"/>
        <v>SEPTIEMBRESem3838Marcos Hosdualvi Hernadez Obando</v>
      </c>
      <c r="F851" t="str">
        <f t="shared" si="1037"/>
        <v>Marcos Hosdualvi Hernadez Obando46282</v>
      </c>
      <c r="H851" s="49" t="s">
        <v>190</v>
      </c>
      <c r="I851" s="50" t="str">
        <f>+_xlfn.XLOOKUP($H851&amp;$V851,BASEDATOS!$B:$B,BASEDATOS!F:F,0,0,1)</f>
        <v>DIA</v>
      </c>
      <c r="J851" s="51">
        <f>+_xlfn.XLOOKUP($H851&amp;$V851,BASEDATOS!$B:$B,BASEDATOS!Q:Q,0,0,1)</f>
        <v>0.33333333333333298</v>
      </c>
      <c r="K851" s="51">
        <f>+_xlfn.XLOOKUP($H851&amp;$V851,BASEDATOS!$B:$B,BASEDATOS!R:R,0,0,1)</f>
        <v>0.70833333333333304</v>
      </c>
      <c r="L851" s="51">
        <f t="shared" si="1038"/>
        <v>0.37500000000000006</v>
      </c>
      <c r="M851" s="52" t="str">
        <f t="shared" si="1039"/>
        <v>1:00</v>
      </c>
      <c r="N851" s="51">
        <f t="shared" si="1040"/>
        <v>0.33333333333333337</v>
      </c>
      <c r="O851" s="53" t="str">
        <f t="shared" ref="O851" si="1050">+O854</f>
        <v>4-0-3</v>
      </c>
      <c r="P851" s="54">
        <f>+IF(AND(Y851="Domingo",U851=7),_xlfn.XLOOKUP(O851,'Horarios y Sistemas'!C:C,'Horarios y Sistemas'!H:H,0,0,1),0)</f>
        <v>0</v>
      </c>
      <c r="Q851" s="54">
        <f>IF(U851=U852,0,IF(AVERAGEIF(W:W,W851,U:U)=U851,0,_xlfn.XLOOKUP(O851,'Horarios y Sistemas'!C:C,'Horarios y Sistemas'!H:H,0,0,1)-P851))/7*U851</f>
        <v>0</v>
      </c>
      <c r="R851" s="54">
        <f t="shared" si="1042"/>
        <v>0</v>
      </c>
      <c r="S851" s="55" t="str">
        <f t="shared" si="1043"/>
        <v>SEPTIEMBRE</v>
      </c>
      <c r="T851" s="55" t="str">
        <f t="shared" si="1044"/>
        <v>Sem38</v>
      </c>
      <c r="U851" s="56">
        <f t="shared" si="1026"/>
        <v>7</v>
      </c>
      <c r="V851" s="59">
        <v>46282</v>
      </c>
      <c r="W851" s="56">
        <f t="shared" si="1045"/>
        <v>38</v>
      </c>
      <c r="X851" s="56">
        <f t="shared" si="1046"/>
        <v>17</v>
      </c>
      <c r="Y851" s="56" t="s">
        <v>31</v>
      </c>
      <c r="Z851" s="56">
        <v>4</v>
      </c>
      <c r="AA851" s="58">
        <f t="shared" si="1016"/>
        <v>1</v>
      </c>
      <c r="AB851" s="58">
        <f t="shared" si="1016"/>
        <v>0</v>
      </c>
      <c r="AC851" s="58">
        <f t="shared" si="1016"/>
        <v>0</v>
      </c>
      <c r="AD851" s="58">
        <f t="shared" si="1016"/>
        <v>0</v>
      </c>
      <c r="AE851" s="58">
        <f t="shared" si="1016"/>
        <v>0</v>
      </c>
    </row>
    <row r="852" spans="2:34">
      <c r="B852" t="str">
        <f t="shared" si="1033"/>
        <v>Sem3838Marcos Hosdualvi Hernadez Obando</v>
      </c>
      <c r="C852" t="str">
        <f t="shared" si="1034"/>
        <v>SEPTIEMBRESem38</v>
      </c>
      <c r="D852" t="str">
        <f t="shared" si="1035"/>
        <v>SEPTIEMBRESem38Marcos Hosdualvi Hernadez Obando</v>
      </c>
      <c r="E852" t="str">
        <f t="shared" si="1036"/>
        <v>SEPTIEMBRESem3838Marcos Hosdualvi Hernadez Obando</v>
      </c>
      <c r="F852" t="str">
        <f t="shared" si="1037"/>
        <v>Marcos Hosdualvi Hernadez Obando46283</v>
      </c>
      <c r="H852" s="49" t="s">
        <v>190</v>
      </c>
      <c r="I852" s="50" t="str">
        <f>+_xlfn.XLOOKUP($H852&amp;$V852,BASEDATOS!$B:$B,BASEDATOS!F:F,0,0,1)</f>
        <v>DIA</v>
      </c>
      <c r="J852" s="51">
        <f>+_xlfn.XLOOKUP($H852&amp;$V852,BASEDATOS!$B:$B,BASEDATOS!Q:Q,0,0,1)</f>
        <v>0.33333333333333298</v>
      </c>
      <c r="K852" s="51">
        <f>+_xlfn.XLOOKUP($H852&amp;$V852,BASEDATOS!$B:$B,BASEDATOS!R:R,0,0,1)</f>
        <v>0.70833333333333304</v>
      </c>
      <c r="L852" s="51">
        <f t="shared" si="1038"/>
        <v>0.37500000000000006</v>
      </c>
      <c r="M852" s="52" t="str">
        <f t="shared" si="1039"/>
        <v>1:00</v>
      </c>
      <c r="N852" s="51">
        <f t="shared" si="1040"/>
        <v>0.33333333333333337</v>
      </c>
      <c r="O852" s="53" t="str">
        <f t="shared" ref="O852" si="1051">+O854</f>
        <v>4-0-3</v>
      </c>
      <c r="P852" s="54">
        <f>+IF(AND(Y852="Domingo",U852=7),_xlfn.XLOOKUP(O852,'Horarios y Sistemas'!C:C,'Horarios y Sistemas'!H:H,0,0,1),0)</f>
        <v>0</v>
      </c>
      <c r="Q852" s="54">
        <f>IF(U852=U853,0,IF(AVERAGEIF(W:W,W852,U:U)=U852,0,_xlfn.XLOOKUP(O852,'Horarios y Sistemas'!C:C,'Horarios y Sistemas'!H:H,0,0,1)-P852))/7*U852</f>
        <v>0</v>
      </c>
      <c r="R852" s="54">
        <f t="shared" si="1042"/>
        <v>0</v>
      </c>
      <c r="S852" s="55" t="str">
        <f t="shared" si="1043"/>
        <v>SEPTIEMBRE</v>
      </c>
      <c r="T852" s="55" t="str">
        <f t="shared" si="1044"/>
        <v>Sem38</v>
      </c>
      <c r="U852" s="56">
        <f t="shared" si="1026"/>
        <v>7</v>
      </c>
      <c r="V852" s="59">
        <v>46283</v>
      </c>
      <c r="W852" s="56">
        <f t="shared" si="1045"/>
        <v>38</v>
      </c>
      <c r="X852" s="56">
        <f t="shared" si="1046"/>
        <v>18</v>
      </c>
      <c r="Y852" s="56" t="s">
        <v>32</v>
      </c>
      <c r="Z852" s="56">
        <v>5</v>
      </c>
      <c r="AA852" s="58">
        <f t="shared" si="1016"/>
        <v>1</v>
      </c>
      <c r="AB852" s="58">
        <f t="shared" si="1016"/>
        <v>0</v>
      </c>
      <c r="AC852" s="58">
        <f t="shared" si="1016"/>
        <v>0</v>
      </c>
      <c r="AD852" s="58">
        <f t="shared" si="1016"/>
        <v>0</v>
      </c>
      <c r="AE852" s="58">
        <f t="shared" si="1016"/>
        <v>0</v>
      </c>
    </row>
    <row r="853" spans="2:34">
      <c r="B853" t="str">
        <f t="shared" si="1033"/>
        <v>Sem3838Marcos Hosdualvi Hernadez Obando</v>
      </c>
      <c r="C853" t="str">
        <f t="shared" si="1034"/>
        <v>SEPTIEMBRESem38</v>
      </c>
      <c r="D853" t="str">
        <f t="shared" si="1035"/>
        <v>SEPTIEMBRESem38Marcos Hosdualvi Hernadez Obando</v>
      </c>
      <c r="E853" t="str">
        <f t="shared" si="1036"/>
        <v>SEPTIEMBRESem3838Marcos Hosdualvi Hernadez Obando</v>
      </c>
      <c r="F853" t="str">
        <f t="shared" si="1037"/>
        <v>Marcos Hosdualvi Hernadez Obando46284</v>
      </c>
      <c r="H853" s="49" t="s">
        <v>190</v>
      </c>
      <c r="I853" s="50" t="str">
        <f>+_xlfn.XLOOKUP($H853&amp;$V853,BASEDATOS!$B:$B,BASEDATOS!F:F,0,0,1)</f>
        <v>DESCANSO</v>
      </c>
      <c r="J853" s="51">
        <f>+_xlfn.XLOOKUP($H853&amp;$V853,BASEDATOS!$B:$B,BASEDATOS!Q:Q,0,0,1)</f>
        <v>0</v>
      </c>
      <c r="K853" s="51">
        <f>+_xlfn.XLOOKUP($H853&amp;$V853,BASEDATOS!$B:$B,BASEDATOS!R:R,0,0,1)</f>
        <v>0</v>
      </c>
      <c r="L853" s="51">
        <f t="shared" si="1038"/>
        <v>0</v>
      </c>
      <c r="M853" s="52">
        <f t="shared" si="1039"/>
        <v>0</v>
      </c>
      <c r="N853" s="51">
        <f t="shared" si="1040"/>
        <v>0</v>
      </c>
      <c r="O853" s="53" t="str">
        <f t="shared" ref="O853" si="1052">+O854</f>
        <v>4-0-3</v>
      </c>
      <c r="P853" s="54">
        <f>+IF(AND(Y853="Domingo",U853=7),_xlfn.XLOOKUP(O853,'Horarios y Sistemas'!C:C,'Horarios y Sistemas'!H:H,0,0,1),0)</f>
        <v>0</v>
      </c>
      <c r="Q853" s="54">
        <f>IF(U853=U854,0,IF(AVERAGEIF(W:W,W853,U:U)=U853,0,_xlfn.XLOOKUP(O853,'Horarios y Sistemas'!C:C,'Horarios y Sistemas'!H:H,0,0,1)-P853))/7*U853</f>
        <v>0</v>
      </c>
      <c r="R853" s="54">
        <f t="shared" si="1042"/>
        <v>0</v>
      </c>
      <c r="S853" s="55" t="str">
        <f t="shared" si="1043"/>
        <v>SEPTIEMBRE</v>
      </c>
      <c r="T853" s="55" t="str">
        <f t="shared" si="1044"/>
        <v>Sem38</v>
      </c>
      <c r="U853" s="56">
        <f t="shared" si="1026"/>
        <v>7</v>
      </c>
      <c r="V853" s="59">
        <v>46284</v>
      </c>
      <c r="W853" s="56">
        <f t="shared" si="1045"/>
        <v>38</v>
      </c>
      <c r="X853" s="56">
        <f t="shared" si="1046"/>
        <v>19</v>
      </c>
      <c r="Y853" s="56" t="s">
        <v>33</v>
      </c>
      <c r="Z853" s="56">
        <v>6</v>
      </c>
      <c r="AA853" s="58">
        <f t="shared" si="1016"/>
        <v>0</v>
      </c>
      <c r="AB853" s="58">
        <f t="shared" si="1016"/>
        <v>0</v>
      </c>
      <c r="AC853" s="58">
        <f t="shared" si="1016"/>
        <v>1</v>
      </c>
      <c r="AD853" s="58">
        <f t="shared" si="1016"/>
        <v>0</v>
      </c>
      <c r="AE853" s="58">
        <f t="shared" si="1016"/>
        <v>0</v>
      </c>
    </row>
    <row r="854" spans="2:34" s="60" customFormat="1">
      <c r="B854" s="60" t="str">
        <f t="shared" si="1033"/>
        <v>Sem3838Marcos Hosdualvi Hernadez Obando</v>
      </c>
      <c r="C854" s="60" t="str">
        <f t="shared" si="1034"/>
        <v>SEPTIEMBRESem38</v>
      </c>
      <c r="D854" s="60" t="str">
        <f t="shared" si="1035"/>
        <v>SEPTIEMBRESem38Marcos Hosdualvi Hernadez Obando</v>
      </c>
      <c r="E854" s="60" t="str">
        <f t="shared" si="1036"/>
        <v>SEPTIEMBRESem3838Marcos Hosdualvi Hernadez Obando</v>
      </c>
      <c r="F854" s="60" t="str">
        <f t="shared" si="1037"/>
        <v>Marcos Hosdualvi Hernadez Obando46285</v>
      </c>
      <c r="H854" s="61" t="s">
        <v>190</v>
      </c>
      <c r="I854" s="62" t="str">
        <f>+_xlfn.XLOOKUP($H854&amp;$V854,BASEDATOS!$B:$B,BASEDATOS!F:F,0,0,1)</f>
        <v>DESCANSO</v>
      </c>
      <c r="J854" s="63">
        <f>+_xlfn.XLOOKUP($H854&amp;$V854,BASEDATOS!$B:$B,BASEDATOS!Q:Q,0,0,1)</f>
        <v>0</v>
      </c>
      <c r="K854" s="63">
        <f>+_xlfn.XLOOKUP($H854&amp;$V854,BASEDATOS!$B:$B,BASEDATOS!R:R,0,0,1)</f>
        <v>0</v>
      </c>
      <c r="L854" s="63">
        <f t="shared" si="1038"/>
        <v>0</v>
      </c>
      <c r="M854" s="64">
        <f t="shared" si="1039"/>
        <v>0</v>
      </c>
      <c r="N854" s="63">
        <f t="shared" si="1040"/>
        <v>0</v>
      </c>
      <c r="O854" s="65" t="str">
        <f t="shared" ref="O854" si="1053">+IF(Y854="Domingo",SUM(AA848:AA854)&amp;"-"&amp;SUM(AB848:AB854)&amp;"-"&amp;SUM(AC848:AE854),"")</f>
        <v>4-0-3</v>
      </c>
      <c r="P854" s="66">
        <f>+IF(AND(Y854="Domingo",U854=7),_xlfn.XLOOKUP(O854,'Horarios y Sistemas'!C:C,'Horarios y Sistemas'!H:H,0,0,1),0)</f>
        <v>44</v>
      </c>
      <c r="Q854" s="66">
        <f>IF(U854=U855,0,IF(AVERAGEIF(W:W,W854,U:U)=U854,0,_xlfn.XLOOKUP(O854,'Horarios y Sistemas'!C:C,'Horarios y Sistemas'!H:H,0,0,1)-P854))/7*U854</f>
        <v>0</v>
      </c>
      <c r="R854" s="66">
        <f t="shared" si="1042"/>
        <v>44</v>
      </c>
      <c r="S854" s="67" t="str">
        <f t="shared" si="1043"/>
        <v>SEPTIEMBRE</v>
      </c>
      <c r="T854" s="55" t="str">
        <f t="shared" si="1044"/>
        <v>Sem38</v>
      </c>
      <c r="U854" s="68">
        <f t="shared" si="1026"/>
        <v>7</v>
      </c>
      <c r="V854" s="69">
        <v>46285</v>
      </c>
      <c r="W854" s="68">
        <f t="shared" si="1045"/>
        <v>38</v>
      </c>
      <c r="X854" s="68">
        <f t="shared" si="1046"/>
        <v>20</v>
      </c>
      <c r="Y854" s="68" t="s">
        <v>34</v>
      </c>
      <c r="Z854" s="68">
        <v>7</v>
      </c>
      <c r="AA854" s="70">
        <f t="shared" si="1016"/>
        <v>0</v>
      </c>
      <c r="AB854" s="70">
        <f t="shared" si="1016"/>
        <v>0</v>
      </c>
      <c r="AC854" s="70">
        <f t="shared" si="1016"/>
        <v>1</v>
      </c>
      <c r="AD854" s="70">
        <f t="shared" si="1016"/>
        <v>0</v>
      </c>
      <c r="AE854" s="70">
        <f t="shared" si="1016"/>
        <v>0</v>
      </c>
      <c r="AF854" s="71"/>
      <c r="AG854" s="71"/>
      <c r="AH854" s="71"/>
    </row>
    <row r="855" spans="2:34">
      <c r="B855" t="str">
        <f t="shared" si="1033"/>
        <v>Sem3939Marcos Hosdualvi Hernadez Obando</v>
      </c>
      <c r="C855" t="str">
        <f t="shared" si="1034"/>
        <v>SEPTIEMBRESem39</v>
      </c>
      <c r="D855" t="str">
        <f t="shared" si="1035"/>
        <v>SEPTIEMBRESem39Marcos Hosdualvi Hernadez Obando</v>
      </c>
      <c r="E855" t="str">
        <f t="shared" si="1036"/>
        <v>SEPTIEMBRESem3939Marcos Hosdualvi Hernadez Obando</v>
      </c>
      <c r="F855" t="str">
        <f t="shared" si="1037"/>
        <v>Marcos Hosdualvi Hernadez Obando46286</v>
      </c>
      <c r="H855" s="49" t="s">
        <v>190</v>
      </c>
      <c r="I855" s="50" t="str">
        <f>+_xlfn.XLOOKUP($H855&amp;$V855,BASEDATOS!$B:$B,BASEDATOS!F:F,0,0,1)</f>
        <v>DIA</v>
      </c>
      <c r="J855" s="51">
        <f>+_xlfn.XLOOKUP($H855&amp;$V855,BASEDATOS!$B:$B,BASEDATOS!Q:Q,0,0,1)</f>
        <v>0.25</v>
      </c>
      <c r="K855" s="51">
        <f>+_xlfn.XLOOKUP($H855&amp;$V855,BASEDATOS!$B:$B,BASEDATOS!R:R,0,0,1)</f>
        <v>0.75</v>
      </c>
      <c r="L855" s="51">
        <f t="shared" si="1038"/>
        <v>0.5</v>
      </c>
      <c r="M855" s="52" t="str">
        <f t="shared" si="1039"/>
        <v>1:00</v>
      </c>
      <c r="N855" s="51">
        <f t="shared" si="1040"/>
        <v>0.45833333333333331</v>
      </c>
      <c r="O855" s="53" t="str">
        <f t="shared" ref="O855" si="1054">+O861</f>
        <v>4-0-3</v>
      </c>
      <c r="P855" s="54">
        <f>+IF(AND(Y855="Domingo",U855=7),_xlfn.XLOOKUP(O855,'Horarios y Sistemas'!C:C,'Horarios y Sistemas'!H:H,0,0,1),0)</f>
        <v>0</v>
      </c>
      <c r="Q855" s="54">
        <f>IF(U855=U856,0,IF(AVERAGEIF(W:W,W855,U:U)=U855,0,_xlfn.XLOOKUP(O855,'Horarios y Sistemas'!C:C,'Horarios y Sistemas'!H:H,0,0,1)-P855))/7*U855</f>
        <v>0</v>
      </c>
      <c r="R855" s="54">
        <f t="shared" si="1042"/>
        <v>0</v>
      </c>
      <c r="S855" s="55" t="str">
        <f t="shared" si="1043"/>
        <v>SEPTIEMBRE</v>
      </c>
      <c r="T855" s="55" t="str">
        <f t="shared" si="1044"/>
        <v>Sem39</v>
      </c>
      <c r="U855" s="56">
        <f t="shared" si="1026"/>
        <v>7</v>
      </c>
      <c r="V855" s="57">
        <v>46286</v>
      </c>
      <c r="W855" s="56">
        <f t="shared" si="1045"/>
        <v>39</v>
      </c>
      <c r="X855" s="56">
        <f t="shared" si="1046"/>
        <v>21</v>
      </c>
      <c r="Y855" s="56" t="s">
        <v>28</v>
      </c>
      <c r="Z855" s="56">
        <v>1</v>
      </c>
      <c r="AA855" s="58">
        <f t="shared" si="1016"/>
        <v>1</v>
      </c>
      <c r="AB855" s="58">
        <f t="shared" si="1016"/>
        <v>0</v>
      </c>
      <c r="AC855" s="58">
        <f t="shared" si="1016"/>
        <v>0</v>
      </c>
      <c r="AD855" s="58">
        <f t="shared" si="1016"/>
        <v>0</v>
      </c>
      <c r="AE855" s="58">
        <f t="shared" si="1016"/>
        <v>0</v>
      </c>
    </row>
    <row r="856" spans="2:34">
      <c r="B856" t="str">
        <f t="shared" si="1033"/>
        <v>Sem3939Marcos Hosdualvi Hernadez Obando</v>
      </c>
      <c r="C856" t="str">
        <f t="shared" si="1034"/>
        <v>SEPTIEMBRESem39</v>
      </c>
      <c r="D856" t="str">
        <f t="shared" si="1035"/>
        <v>SEPTIEMBRESem39Marcos Hosdualvi Hernadez Obando</v>
      </c>
      <c r="E856" t="str">
        <f t="shared" si="1036"/>
        <v>SEPTIEMBRESem3939Marcos Hosdualvi Hernadez Obando</v>
      </c>
      <c r="F856" t="str">
        <f t="shared" si="1037"/>
        <v>Marcos Hosdualvi Hernadez Obando46287</v>
      </c>
      <c r="H856" s="49" t="s">
        <v>190</v>
      </c>
      <c r="I856" s="50" t="str">
        <f>+_xlfn.XLOOKUP($H856&amp;$V856,BASEDATOS!$B:$B,BASEDATOS!F:F,0,0,1)</f>
        <v>DESCANSO</v>
      </c>
      <c r="J856" s="51">
        <f>+_xlfn.XLOOKUP($H856&amp;$V856,BASEDATOS!$B:$B,BASEDATOS!Q:Q,0,0,1)</f>
        <v>0</v>
      </c>
      <c r="K856" s="51">
        <f>+_xlfn.XLOOKUP($H856&amp;$V856,BASEDATOS!$B:$B,BASEDATOS!R:R,0,0,1)</f>
        <v>0</v>
      </c>
      <c r="L856" s="51">
        <f t="shared" si="1038"/>
        <v>0</v>
      </c>
      <c r="M856" s="52">
        <f t="shared" si="1039"/>
        <v>0</v>
      </c>
      <c r="N856" s="51">
        <f t="shared" si="1040"/>
        <v>0</v>
      </c>
      <c r="O856" s="53" t="str">
        <f t="shared" ref="O856" si="1055">+O861</f>
        <v>4-0-3</v>
      </c>
      <c r="P856" s="54">
        <f>+IF(AND(Y856="Domingo",U856=7),_xlfn.XLOOKUP(O856,'Horarios y Sistemas'!C:C,'Horarios y Sistemas'!H:H,0,0,1),0)</f>
        <v>0</v>
      </c>
      <c r="Q856" s="54">
        <f>IF(U856=U857,0,IF(AVERAGEIF(W:W,W856,U:U)=U856,0,_xlfn.XLOOKUP(O856,'Horarios y Sistemas'!C:C,'Horarios y Sistemas'!H:H,0,0,1)-P856))/7*U856</f>
        <v>0</v>
      </c>
      <c r="R856" s="54">
        <f t="shared" si="1042"/>
        <v>0</v>
      </c>
      <c r="S856" s="55" t="str">
        <f t="shared" si="1043"/>
        <v>SEPTIEMBRE</v>
      </c>
      <c r="T856" s="55" t="str">
        <f t="shared" si="1044"/>
        <v>Sem39</v>
      </c>
      <c r="U856" s="56">
        <f t="shared" si="1026"/>
        <v>7</v>
      </c>
      <c r="V856" s="59">
        <v>46287</v>
      </c>
      <c r="W856" s="56">
        <f t="shared" si="1045"/>
        <v>39</v>
      </c>
      <c r="X856" s="56">
        <f t="shared" si="1046"/>
        <v>22</v>
      </c>
      <c r="Y856" s="56" t="s">
        <v>29</v>
      </c>
      <c r="Z856" s="56">
        <v>2</v>
      </c>
      <c r="AA856" s="58">
        <f t="shared" si="1016"/>
        <v>0</v>
      </c>
      <c r="AB856" s="58">
        <f t="shared" si="1016"/>
        <v>0</v>
      </c>
      <c r="AC856" s="58">
        <f t="shared" si="1016"/>
        <v>1</v>
      </c>
      <c r="AD856" s="58">
        <f t="shared" si="1016"/>
        <v>0</v>
      </c>
      <c r="AE856" s="58">
        <f t="shared" si="1016"/>
        <v>0</v>
      </c>
    </row>
    <row r="857" spans="2:34">
      <c r="B857" t="str">
        <f t="shared" si="1033"/>
        <v>Sem3939Marcos Hosdualvi Hernadez Obando</v>
      </c>
      <c r="C857" t="str">
        <f t="shared" si="1034"/>
        <v>SEPTIEMBRESem39</v>
      </c>
      <c r="D857" t="str">
        <f t="shared" si="1035"/>
        <v>SEPTIEMBRESem39Marcos Hosdualvi Hernadez Obando</v>
      </c>
      <c r="E857" t="str">
        <f t="shared" si="1036"/>
        <v>SEPTIEMBRESem3939Marcos Hosdualvi Hernadez Obando</v>
      </c>
      <c r="F857" t="str">
        <f t="shared" si="1037"/>
        <v>Marcos Hosdualvi Hernadez Obando46288</v>
      </c>
      <c r="H857" s="49" t="s">
        <v>190</v>
      </c>
      <c r="I857" s="50" t="str">
        <f>+_xlfn.XLOOKUP($H857&amp;$V857,BASEDATOS!$B:$B,BASEDATOS!F:F,0,0,1)</f>
        <v>DESCANSO</v>
      </c>
      <c r="J857" s="51">
        <f>+_xlfn.XLOOKUP($H857&amp;$V857,BASEDATOS!$B:$B,BASEDATOS!Q:Q,0,0,1)</f>
        <v>0</v>
      </c>
      <c r="K857" s="51">
        <f>+_xlfn.XLOOKUP($H857&amp;$V857,BASEDATOS!$B:$B,BASEDATOS!R:R,0,0,1)</f>
        <v>0</v>
      </c>
      <c r="L857" s="51">
        <f t="shared" si="1038"/>
        <v>0</v>
      </c>
      <c r="M857" s="52">
        <f t="shared" si="1039"/>
        <v>0</v>
      </c>
      <c r="N857" s="51">
        <f t="shared" si="1040"/>
        <v>0</v>
      </c>
      <c r="O857" s="53" t="str">
        <f t="shared" ref="O857" si="1056">+O861</f>
        <v>4-0-3</v>
      </c>
      <c r="P857" s="54">
        <f>+IF(AND(Y857="Domingo",U857=7),_xlfn.XLOOKUP(O857,'Horarios y Sistemas'!C:C,'Horarios y Sistemas'!H:H,0,0,1),0)</f>
        <v>0</v>
      </c>
      <c r="Q857" s="54">
        <f>IF(U857=U858,0,IF(AVERAGEIF(W:W,W857,U:U)=U857,0,_xlfn.XLOOKUP(O857,'Horarios y Sistemas'!C:C,'Horarios y Sistemas'!H:H,0,0,1)-P857))/7*U857</f>
        <v>0</v>
      </c>
      <c r="R857" s="54">
        <f t="shared" si="1042"/>
        <v>0</v>
      </c>
      <c r="S857" s="55" t="str">
        <f t="shared" si="1043"/>
        <v>SEPTIEMBRE</v>
      </c>
      <c r="T857" s="55" t="str">
        <f t="shared" si="1044"/>
        <v>Sem39</v>
      </c>
      <c r="U857" s="56">
        <f t="shared" si="1026"/>
        <v>7</v>
      </c>
      <c r="V857" s="59">
        <v>46288</v>
      </c>
      <c r="W857" s="56">
        <f t="shared" si="1045"/>
        <v>39</v>
      </c>
      <c r="X857" s="56">
        <f t="shared" si="1046"/>
        <v>23</v>
      </c>
      <c r="Y857" s="56" t="s">
        <v>30</v>
      </c>
      <c r="Z857" s="56">
        <v>3</v>
      </c>
      <c r="AA857" s="58">
        <f t="shared" si="1016"/>
        <v>0</v>
      </c>
      <c r="AB857" s="58">
        <f t="shared" si="1016"/>
        <v>0</v>
      </c>
      <c r="AC857" s="58">
        <f t="shared" si="1016"/>
        <v>1</v>
      </c>
      <c r="AD857" s="58">
        <f t="shared" si="1016"/>
        <v>0</v>
      </c>
      <c r="AE857" s="58">
        <f t="shared" si="1016"/>
        <v>0</v>
      </c>
    </row>
    <row r="858" spans="2:34">
      <c r="B858" t="str">
        <f t="shared" si="1033"/>
        <v>Sem3939Marcos Hosdualvi Hernadez Obando</v>
      </c>
      <c r="C858" t="str">
        <f t="shared" si="1034"/>
        <v>SEPTIEMBRESem39</v>
      </c>
      <c r="D858" t="str">
        <f t="shared" si="1035"/>
        <v>SEPTIEMBRESem39Marcos Hosdualvi Hernadez Obando</v>
      </c>
      <c r="E858" t="str">
        <f t="shared" si="1036"/>
        <v>SEPTIEMBRESem3939Marcos Hosdualvi Hernadez Obando</v>
      </c>
      <c r="F858" t="str">
        <f t="shared" si="1037"/>
        <v>Marcos Hosdualvi Hernadez Obando46289</v>
      </c>
      <c r="H858" s="49" t="s">
        <v>190</v>
      </c>
      <c r="I858" s="50" t="str">
        <f>+_xlfn.XLOOKUP($H858&amp;$V858,BASEDATOS!$B:$B,BASEDATOS!F:F,0,0,1)</f>
        <v>DIA</v>
      </c>
      <c r="J858" s="51">
        <f>+_xlfn.XLOOKUP($H858&amp;$V858,BASEDATOS!$B:$B,BASEDATOS!Q:Q,0,0,1)</f>
        <v>0.33333333333333298</v>
      </c>
      <c r="K858" s="51">
        <f>+_xlfn.XLOOKUP($H858&amp;$V858,BASEDATOS!$B:$B,BASEDATOS!R:R,0,0,1)</f>
        <v>0.70833333333333304</v>
      </c>
      <c r="L858" s="51">
        <f t="shared" si="1038"/>
        <v>0.37500000000000006</v>
      </c>
      <c r="M858" s="52" t="str">
        <f t="shared" si="1039"/>
        <v>1:00</v>
      </c>
      <c r="N858" s="51">
        <f t="shared" si="1040"/>
        <v>0.33333333333333337</v>
      </c>
      <c r="O858" s="53" t="str">
        <f t="shared" ref="O858" si="1057">+O861</f>
        <v>4-0-3</v>
      </c>
      <c r="P858" s="54">
        <f>+IF(AND(Y858="Domingo",U858=7),_xlfn.XLOOKUP(O858,'Horarios y Sistemas'!C:C,'Horarios y Sistemas'!H:H,0,0,1),0)</f>
        <v>0</v>
      </c>
      <c r="Q858" s="54">
        <f>IF(U858=U859,0,IF(AVERAGEIF(W:W,W858,U:U)=U858,0,_xlfn.XLOOKUP(O858,'Horarios y Sistemas'!C:C,'Horarios y Sistemas'!H:H,0,0,1)-P858))/7*U858</f>
        <v>0</v>
      </c>
      <c r="R858" s="54">
        <f t="shared" si="1042"/>
        <v>0</v>
      </c>
      <c r="S858" s="55" t="str">
        <f t="shared" si="1043"/>
        <v>SEPTIEMBRE</v>
      </c>
      <c r="T858" s="55" t="str">
        <f t="shared" si="1044"/>
        <v>Sem39</v>
      </c>
      <c r="U858" s="56">
        <f t="shared" si="1026"/>
        <v>7</v>
      </c>
      <c r="V858" s="59">
        <v>46289</v>
      </c>
      <c r="W858" s="56">
        <f t="shared" si="1045"/>
        <v>39</v>
      </c>
      <c r="X858" s="56">
        <f t="shared" si="1046"/>
        <v>24</v>
      </c>
      <c r="Y858" s="56" t="s">
        <v>31</v>
      </c>
      <c r="Z858" s="56">
        <v>4</v>
      </c>
      <c r="AA858" s="58">
        <f t="shared" si="1016"/>
        <v>1</v>
      </c>
      <c r="AB858" s="58">
        <f t="shared" si="1016"/>
        <v>0</v>
      </c>
      <c r="AC858" s="58">
        <f t="shared" si="1016"/>
        <v>0</v>
      </c>
      <c r="AD858" s="58">
        <f t="shared" si="1016"/>
        <v>0</v>
      </c>
      <c r="AE858" s="58">
        <f t="shared" si="1016"/>
        <v>0</v>
      </c>
    </row>
    <row r="859" spans="2:34">
      <c r="B859" t="str">
        <f t="shared" si="1033"/>
        <v>Sem3939Marcos Hosdualvi Hernadez Obando</v>
      </c>
      <c r="C859" t="str">
        <f t="shared" si="1034"/>
        <v>SEPTIEMBRESem39</v>
      </c>
      <c r="D859" t="str">
        <f t="shared" si="1035"/>
        <v>SEPTIEMBRESem39Marcos Hosdualvi Hernadez Obando</v>
      </c>
      <c r="E859" t="str">
        <f t="shared" si="1036"/>
        <v>SEPTIEMBRESem3939Marcos Hosdualvi Hernadez Obando</v>
      </c>
      <c r="F859" t="str">
        <f t="shared" si="1037"/>
        <v>Marcos Hosdualvi Hernadez Obando46290</v>
      </c>
      <c r="H859" s="49" t="s">
        <v>190</v>
      </c>
      <c r="I859" s="50" t="str">
        <f>+_xlfn.XLOOKUP($H859&amp;$V859,BASEDATOS!$B:$B,BASEDATOS!F:F,0,0,1)</f>
        <v>DIA</v>
      </c>
      <c r="J859" s="51">
        <f>+_xlfn.XLOOKUP($H859&amp;$V859,BASEDATOS!$B:$B,BASEDATOS!Q:Q,0,0,1)</f>
        <v>0.25</v>
      </c>
      <c r="K859" s="51">
        <f>+_xlfn.XLOOKUP($H859&amp;$V859,BASEDATOS!$B:$B,BASEDATOS!R:R,0,0,1)</f>
        <v>0.75</v>
      </c>
      <c r="L859" s="51">
        <f t="shared" si="1038"/>
        <v>0.5</v>
      </c>
      <c r="M859" s="52" t="str">
        <f t="shared" si="1039"/>
        <v>1:00</v>
      </c>
      <c r="N859" s="51">
        <f t="shared" si="1040"/>
        <v>0.45833333333333331</v>
      </c>
      <c r="O859" s="53" t="str">
        <f t="shared" ref="O859" si="1058">+O861</f>
        <v>4-0-3</v>
      </c>
      <c r="P859" s="54">
        <f>+IF(AND(Y859="Domingo",U859=7),_xlfn.XLOOKUP(O859,'Horarios y Sistemas'!C:C,'Horarios y Sistemas'!H:H,0,0,1),0)</f>
        <v>0</v>
      </c>
      <c r="Q859" s="54">
        <f>IF(U859=U860,0,IF(AVERAGEIF(W:W,W859,U:U)=U859,0,_xlfn.XLOOKUP(O859,'Horarios y Sistemas'!C:C,'Horarios y Sistemas'!H:H,0,0,1)-P859))/7*U859</f>
        <v>0</v>
      </c>
      <c r="R859" s="54">
        <f t="shared" si="1042"/>
        <v>0</v>
      </c>
      <c r="S859" s="55" t="str">
        <f t="shared" si="1043"/>
        <v>SEPTIEMBRE</v>
      </c>
      <c r="T859" s="55" t="str">
        <f t="shared" si="1044"/>
        <v>Sem39</v>
      </c>
      <c r="U859" s="56">
        <f t="shared" si="1026"/>
        <v>7</v>
      </c>
      <c r="V859" s="59">
        <v>46290</v>
      </c>
      <c r="W859" s="56">
        <f t="shared" si="1045"/>
        <v>39</v>
      </c>
      <c r="X859" s="56">
        <f t="shared" si="1046"/>
        <v>25</v>
      </c>
      <c r="Y859" s="56" t="s">
        <v>32</v>
      </c>
      <c r="Z859" s="56">
        <v>5</v>
      </c>
      <c r="AA859" s="58">
        <f t="shared" si="1016"/>
        <v>1</v>
      </c>
      <c r="AB859" s="58">
        <f t="shared" si="1016"/>
        <v>0</v>
      </c>
      <c r="AC859" s="58">
        <f t="shared" si="1016"/>
        <v>0</v>
      </c>
      <c r="AD859" s="58">
        <f t="shared" si="1016"/>
        <v>0</v>
      </c>
      <c r="AE859" s="58">
        <f t="shared" si="1016"/>
        <v>0</v>
      </c>
    </row>
    <row r="860" spans="2:34">
      <c r="B860" t="str">
        <f t="shared" si="1033"/>
        <v>Sem3939Marcos Hosdualvi Hernadez Obando</v>
      </c>
      <c r="C860" t="str">
        <f t="shared" si="1034"/>
        <v>SEPTIEMBRESem39</v>
      </c>
      <c r="D860" t="str">
        <f t="shared" si="1035"/>
        <v>SEPTIEMBRESem39Marcos Hosdualvi Hernadez Obando</v>
      </c>
      <c r="E860" t="str">
        <f t="shared" si="1036"/>
        <v>SEPTIEMBRESem3939Marcos Hosdualvi Hernadez Obando</v>
      </c>
      <c r="F860" t="str">
        <f t="shared" si="1037"/>
        <v>Marcos Hosdualvi Hernadez Obando46291</v>
      </c>
      <c r="H860" s="49" t="s">
        <v>190</v>
      </c>
      <c r="I860" s="50" t="str">
        <f>+_xlfn.XLOOKUP($H860&amp;$V860,BASEDATOS!$B:$B,BASEDATOS!F:F,0,0,1)</f>
        <v>DIA</v>
      </c>
      <c r="J860" s="51">
        <f>+_xlfn.XLOOKUP($H860&amp;$V860,BASEDATOS!$B:$B,BASEDATOS!Q:Q,0,0,1)</f>
        <v>0.25</v>
      </c>
      <c r="K860" s="51">
        <f>+_xlfn.XLOOKUP($H860&amp;$V860,BASEDATOS!$B:$B,BASEDATOS!R:R,0,0,1)</f>
        <v>0.75</v>
      </c>
      <c r="L860" s="51">
        <f t="shared" si="1038"/>
        <v>0.5</v>
      </c>
      <c r="M860" s="52" t="str">
        <f t="shared" si="1039"/>
        <v>1:00</v>
      </c>
      <c r="N860" s="51">
        <f t="shared" si="1040"/>
        <v>0.45833333333333331</v>
      </c>
      <c r="O860" s="53" t="str">
        <f t="shared" ref="O860" si="1059">+O861</f>
        <v>4-0-3</v>
      </c>
      <c r="P860" s="54">
        <f>+IF(AND(Y860="Domingo",U860=7),_xlfn.XLOOKUP(O860,'Horarios y Sistemas'!C:C,'Horarios y Sistemas'!H:H,0,0,1),0)</f>
        <v>0</v>
      </c>
      <c r="Q860" s="54">
        <f>IF(U860=U861,0,IF(AVERAGEIF(W:W,W860,U:U)=U860,0,_xlfn.XLOOKUP(O860,'Horarios y Sistemas'!C:C,'Horarios y Sistemas'!H:H,0,0,1)-P860))/7*U860</f>
        <v>0</v>
      </c>
      <c r="R860" s="54">
        <f t="shared" si="1042"/>
        <v>0</v>
      </c>
      <c r="S860" s="55" t="str">
        <f t="shared" si="1043"/>
        <v>SEPTIEMBRE</v>
      </c>
      <c r="T860" s="55" t="str">
        <f t="shared" si="1044"/>
        <v>Sem39</v>
      </c>
      <c r="U860" s="56">
        <f t="shared" si="1026"/>
        <v>7</v>
      </c>
      <c r="V860" s="59">
        <v>46291</v>
      </c>
      <c r="W860" s="56">
        <f t="shared" si="1045"/>
        <v>39</v>
      </c>
      <c r="X860" s="56">
        <f t="shared" si="1046"/>
        <v>26</v>
      </c>
      <c r="Y860" s="56" t="s">
        <v>33</v>
      </c>
      <c r="Z860" s="56">
        <v>6</v>
      </c>
      <c r="AA860" s="58">
        <f t="shared" si="1016"/>
        <v>1</v>
      </c>
      <c r="AB860" s="58">
        <f t="shared" si="1016"/>
        <v>0</v>
      </c>
      <c r="AC860" s="58">
        <f t="shared" si="1016"/>
        <v>0</v>
      </c>
      <c r="AD860" s="58">
        <f t="shared" si="1016"/>
        <v>0</v>
      </c>
      <c r="AE860" s="58">
        <f t="shared" si="1016"/>
        <v>0</v>
      </c>
    </row>
    <row r="861" spans="2:34" s="60" customFormat="1">
      <c r="B861" s="60" t="str">
        <f t="shared" si="1033"/>
        <v>Sem3939Marcos Hosdualvi Hernadez Obando</v>
      </c>
      <c r="C861" s="60" t="str">
        <f t="shared" si="1034"/>
        <v>SEPTIEMBRESem39</v>
      </c>
      <c r="D861" s="60" t="str">
        <f t="shared" si="1035"/>
        <v>SEPTIEMBRESem39Marcos Hosdualvi Hernadez Obando</v>
      </c>
      <c r="E861" s="60" t="str">
        <f t="shared" si="1036"/>
        <v>SEPTIEMBRESem3939Marcos Hosdualvi Hernadez Obando</v>
      </c>
      <c r="F861" s="60" t="str">
        <f t="shared" si="1037"/>
        <v>Marcos Hosdualvi Hernadez Obando46292</v>
      </c>
      <c r="H861" s="61" t="s">
        <v>190</v>
      </c>
      <c r="I861" s="62" t="str">
        <f>+_xlfn.XLOOKUP($H861&amp;$V861,BASEDATOS!$B:$B,BASEDATOS!F:F,0,0,1)</f>
        <v>DESCANSO</v>
      </c>
      <c r="J861" s="63">
        <f>+_xlfn.XLOOKUP($H861&amp;$V861,BASEDATOS!$B:$B,BASEDATOS!Q:Q,0,0,1)</f>
        <v>0</v>
      </c>
      <c r="K861" s="63">
        <f>+_xlfn.XLOOKUP($H861&amp;$V861,BASEDATOS!$B:$B,BASEDATOS!R:R,0,0,1)</f>
        <v>0</v>
      </c>
      <c r="L861" s="63">
        <f t="shared" si="1038"/>
        <v>0</v>
      </c>
      <c r="M861" s="64">
        <f t="shared" si="1039"/>
        <v>0</v>
      </c>
      <c r="N861" s="63">
        <f t="shared" si="1040"/>
        <v>0</v>
      </c>
      <c r="O861" s="65" t="str">
        <f t="shared" ref="O861" si="1060">+IF(Y861="Domingo",SUM(AA855:AA861)&amp;"-"&amp;SUM(AB855:AB861)&amp;"-"&amp;SUM(AC855:AE861),"")</f>
        <v>4-0-3</v>
      </c>
      <c r="P861" s="66">
        <f>+IF(AND(Y861="Domingo",U861=7),_xlfn.XLOOKUP(O861,'Horarios y Sistemas'!C:C,'Horarios y Sistemas'!H:H,0,0,1),0)</f>
        <v>44</v>
      </c>
      <c r="Q861" s="66">
        <f>IF(U861=U862,0,IF(AVERAGEIF(W:W,W861,U:U)=U861,0,_xlfn.XLOOKUP(O861,'Horarios y Sistemas'!C:C,'Horarios y Sistemas'!H:H,0,0,1)-P861))/7*U861</f>
        <v>0</v>
      </c>
      <c r="R861" s="66">
        <f t="shared" si="1042"/>
        <v>44</v>
      </c>
      <c r="S861" s="67" t="str">
        <f t="shared" si="1043"/>
        <v>SEPTIEMBRE</v>
      </c>
      <c r="T861" s="55" t="str">
        <f t="shared" si="1044"/>
        <v>Sem39</v>
      </c>
      <c r="U861" s="68">
        <f t="shared" si="1026"/>
        <v>7</v>
      </c>
      <c r="V861" s="69">
        <v>46292</v>
      </c>
      <c r="W861" s="68">
        <f t="shared" si="1045"/>
        <v>39</v>
      </c>
      <c r="X861" s="68">
        <f t="shared" si="1046"/>
        <v>27</v>
      </c>
      <c r="Y861" s="68" t="s">
        <v>34</v>
      </c>
      <c r="Z861" s="68">
        <v>7</v>
      </c>
      <c r="AA861" s="70">
        <f t="shared" si="1016"/>
        <v>0</v>
      </c>
      <c r="AB861" s="70">
        <f t="shared" si="1016"/>
        <v>0</v>
      </c>
      <c r="AC861" s="70">
        <f t="shared" si="1016"/>
        <v>1</v>
      </c>
      <c r="AD861" s="70">
        <f t="shared" si="1016"/>
        <v>0</v>
      </c>
      <c r="AE861" s="70">
        <f t="shared" si="1016"/>
        <v>0</v>
      </c>
      <c r="AF861" s="71"/>
      <c r="AG861" s="71"/>
      <c r="AH861" s="71"/>
    </row>
    <row r="862" spans="2:34">
      <c r="B862" t="str">
        <f t="shared" si="1033"/>
        <v>Sem4040Marcos Hosdualvi Hernadez Obando</v>
      </c>
      <c r="C862" t="str">
        <f t="shared" si="1034"/>
        <v>SEPTIEMBRESem40</v>
      </c>
      <c r="D862" t="str">
        <f t="shared" si="1035"/>
        <v>SEPTIEMBRESem40Marcos Hosdualvi Hernadez Obando</v>
      </c>
      <c r="E862" t="str">
        <f t="shared" si="1036"/>
        <v>SEPTIEMBRESem4040Marcos Hosdualvi Hernadez Obando</v>
      </c>
      <c r="F862" t="str">
        <f t="shared" si="1037"/>
        <v>Marcos Hosdualvi Hernadez Obando46293</v>
      </c>
      <c r="H862" s="49" t="s">
        <v>190</v>
      </c>
      <c r="I862" s="50" t="str">
        <f>+_xlfn.XLOOKUP($H862&amp;$V862,BASEDATOS!$B:$B,BASEDATOS!F:F,0,0,1)</f>
        <v>NOCHE</v>
      </c>
      <c r="J862" s="51">
        <f>+_xlfn.XLOOKUP($H862&amp;$V862,BASEDATOS!$B:$B,BASEDATOS!Q:Q,0,0,1)</f>
        <v>0.75</v>
      </c>
      <c r="K862" s="51">
        <f>+_xlfn.XLOOKUP($H862&amp;$V862,BASEDATOS!$B:$B,BASEDATOS!R:R,0,0,1)</f>
        <v>0.25</v>
      </c>
      <c r="L862" s="51">
        <f t="shared" si="1038"/>
        <v>0.5</v>
      </c>
      <c r="M862" s="52" t="str">
        <f t="shared" si="1039"/>
        <v>1:00</v>
      </c>
      <c r="N862" s="51">
        <f t="shared" si="1040"/>
        <v>0.45833333333333331</v>
      </c>
      <c r="O862" s="53" t="str">
        <f t="shared" ref="O862" si="1061">+O868</f>
        <v>0-5-2</v>
      </c>
      <c r="P862" s="54">
        <f>+IF(AND(Y862="Domingo",U862=7),_xlfn.XLOOKUP(O862,'Horarios y Sistemas'!C:C,'Horarios y Sistemas'!H:H,0,0,1),0)</f>
        <v>0</v>
      </c>
      <c r="Q862" s="54">
        <f>IF(U862=U863,0,IF(AVERAGEIF(W:W,W862,U:U)=U862,0,_xlfn.XLOOKUP(O862,'Horarios y Sistemas'!C:C,'Horarios y Sistemas'!H:H,0,0,1)-P862))/7*U862</f>
        <v>0</v>
      </c>
      <c r="R862" s="54">
        <f t="shared" si="1042"/>
        <v>0</v>
      </c>
      <c r="S862" s="55" t="str">
        <f t="shared" si="1043"/>
        <v>SEPTIEMBRE</v>
      </c>
      <c r="T862" s="55" t="str">
        <f t="shared" si="1044"/>
        <v>Sem40</v>
      </c>
      <c r="U862" s="56">
        <f t="shared" si="1026"/>
        <v>7</v>
      </c>
      <c r="V862" s="59">
        <v>46293</v>
      </c>
      <c r="W862" s="56">
        <f t="shared" si="1045"/>
        <v>40</v>
      </c>
      <c r="X862" s="56">
        <f t="shared" si="1046"/>
        <v>28</v>
      </c>
      <c r="Y862" s="56" t="s">
        <v>28</v>
      </c>
      <c r="Z862" s="56">
        <v>1</v>
      </c>
      <c r="AA862" s="58">
        <f t="shared" si="1016"/>
        <v>0</v>
      </c>
      <c r="AB862" s="58">
        <f t="shared" si="1016"/>
        <v>1</v>
      </c>
      <c r="AC862" s="58">
        <f t="shared" si="1016"/>
        <v>0</v>
      </c>
      <c r="AD862" s="58">
        <f t="shared" si="1016"/>
        <v>0</v>
      </c>
      <c r="AE862" s="58">
        <f t="shared" si="1016"/>
        <v>0</v>
      </c>
    </row>
    <row r="863" spans="2:34">
      <c r="B863" t="str">
        <f t="shared" si="1033"/>
        <v>Sem4040Marcos Hosdualvi Hernadez Obando</v>
      </c>
      <c r="C863" t="str">
        <f t="shared" si="1034"/>
        <v>SEPTIEMBRESem40</v>
      </c>
      <c r="D863" t="str">
        <f t="shared" si="1035"/>
        <v>SEPTIEMBRESem40Marcos Hosdualvi Hernadez Obando</v>
      </c>
      <c r="E863" t="str">
        <f t="shared" si="1036"/>
        <v>SEPTIEMBRESem4040Marcos Hosdualvi Hernadez Obando</v>
      </c>
      <c r="F863" t="str">
        <f t="shared" si="1037"/>
        <v>Marcos Hosdualvi Hernadez Obando46294</v>
      </c>
      <c r="H863" s="49" t="s">
        <v>190</v>
      </c>
      <c r="I863" s="50" t="str">
        <f>+_xlfn.XLOOKUP($H863&amp;$V863,BASEDATOS!$B:$B,BASEDATOS!F:F,0,0,1)</f>
        <v>NOCHE</v>
      </c>
      <c r="J863" s="51">
        <f>+_xlfn.XLOOKUP($H863&amp;$V863,BASEDATOS!$B:$B,BASEDATOS!Q:Q,0,0,1)</f>
        <v>0.75</v>
      </c>
      <c r="K863" s="51">
        <f>+_xlfn.XLOOKUP($H863&amp;$V863,BASEDATOS!$B:$B,BASEDATOS!R:R,0,0,1)</f>
        <v>0.25</v>
      </c>
      <c r="L863" s="51">
        <f t="shared" si="1038"/>
        <v>0.5</v>
      </c>
      <c r="M863" s="52" t="str">
        <f t="shared" si="1039"/>
        <v>1:00</v>
      </c>
      <c r="N863" s="51">
        <f t="shared" si="1040"/>
        <v>0.45833333333333331</v>
      </c>
      <c r="O863" s="53" t="str">
        <f t="shared" ref="O863" si="1062">+O868</f>
        <v>0-5-2</v>
      </c>
      <c r="P863" s="54">
        <f>+IF(AND(Y863="Domingo",U863=7),_xlfn.XLOOKUP(O863,'Horarios y Sistemas'!C:C,'Horarios y Sistemas'!H:H,0,0,1),0)</f>
        <v>0</v>
      </c>
      <c r="Q863" s="54">
        <f>IF(U863=U864,0,IF(AVERAGEIF(W:W,W863,U:U)=U863,0,_xlfn.XLOOKUP(O863,'Horarios y Sistemas'!C:C,'Horarios y Sistemas'!H:H,0,0,1)-P863))/7*U863</f>
        <v>0</v>
      </c>
      <c r="R863" s="54">
        <f t="shared" si="1042"/>
        <v>0</v>
      </c>
      <c r="S863" s="55" t="str">
        <f t="shared" si="1043"/>
        <v>SEPTIEMBRE</v>
      </c>
      <c r="T863" s="55" t="str">
        <f t="shared" si="1044"/>
        <v>Sem40</v>
      </c>
      <c r="U863" s="56">
        <f t="shared" si="1026"/>
        <v>7</v>
      </c>
      <c r="V863" s="59">
        <v>46294</v>
      </c>
      <c r="W863" s="56">
        <f t="shared" si="1045"/>
        <v>40</v>
      </c>
      <c r="X863" s="56">
        <f t="shared" si="1046"/>
        <v>29</v>
      </c>
      <c r="Y863" s="56" t="s">
        <v>29</v>
      </c>
      <c r="Z863" s="56">
        <v>2</v>
      </c>
      <c r="AA863" s="58">
        <f t="shared" si="1016"/>
        <v>0</v>
      </c>
      <c r="AB863" s="58">
        <f t="shared" si="1016"/>
        <v>1</v>
      </c>
      <c r="AC863" s="58">
        <f t="shared" si="1016"/>
        <v>0</v>
      </c>
      <c r="AD863" s="58">
        <f t="shared" si="1016"/>
        <v>0</v>
      </c>
      <c r="AE863" s="58">
        <f t="shared" si="1016"/>
        <v>0</v>
      </c>
    </row>
    <row r="864" spans="2:34">
      <c r="B864" t="str">
        <f t="shared" si="1033"/>
        <v>Sem4040Marcos Hosdualvi Hernadez Obando</v>
      </c>
      <c r="C864" t="str">
        <f t="shared" si="1034"/>
        <v>SEPTIEMBRESem40</v>
      </c>
      <c r="D864" t="str">
        <f t="shared" si="1035"/>
        <v>SEPTIEMBRESem40Marcos Hosdualvi Hernadez Obando</v>
      </c>
      <c r="E864" t="str">
        <f t="shared" si="1036"/>
        <v>SEPTIEMBRESem4040Marcos Hosdualvi Hernadez Obando</v>
      </c>
      <c r="F864" t="str">
        <f t="shared" si="1037"/>
        <v>Marcos Hosdualvi Hernadez Obando46295</v>
      </c>
      <c r="H864" s="49" t="s">
        <v>190</v>
      </c>
      <c r="I864" s="50" t="str">
        <f>+_xlfn.XLOOKUP($H864&amp;$V864,BASEDATOS!$B:$B,BASEDATOS!F:F,0,0,1)</f>
        <v>NOCHE</v>
      </c>
      <c r="J864" s="51">
        <f>+_xlfn.XLOOKUP($H864&amp;$V864,BASEDATOS!$B:$B,BASEDATOS!Q:Q,0,0,1)</f>
        <v>0.75</v>
      </c>
      <c r="K864" s="51">
        <f>+_xlfn.XLOOKUP($H864&amp;$V864,BASEDATOS!$B:$B,BASEDATOS!R:R,0,0,1)</f>
        <v>0.25</v>
      </c>
      <c r="L864" s="51">
        <f t="shared" si="1038"/>
        <v>0.5</v>
      </c>
      <c r="M864" s="52" t="str">
        <f t="shared" si="1039"/>
        <v>1:00</v>
      </c>
      <c r="N864" s="51">
        <f t="shared" si="1040"/>
        <v>0.45833333333333331</v>
      </c>
      <c r="O864" s="53" t="str">
        <f t="shared" ref="O864" si="1063">+O868</f>
        <v>0-5-2</v>
      </c>
      <c r="P864" s="54">
        <f>+IF(AND(Y864="Domingo",U864=7),_xlfn.XLOOKUP(O864,'Horarios y Sistemas'!C:C,'Horarios y Sistemas'!H:H,0,0,1),0)</f>
        <v>0</v>
      </c>
      <c r="Q864" s="54">
        <f>IF(U864=U865,0,IF(AVERAGEIF(W:W,W864,U:U)=U864,0,_xlfn.XLOOKUP(O864,'Horarios y Sistemas'!C:C,'Horarios y Sistemas'!H:H,0,0,1)-P864))/7*U864</f>
        <v>0</v>
      </c>
      <c r="R864" s="54">
        <f t="shared" si="1042"/>
        <v>0</v>
      </c>
      <c r="S864" s="55" t="str">
        <f t="shared" si="1043"/>
        <v>SEPTIEMBRE</v>
      </c>
      <c r="T864" s="55" t="str">
        <f t="shared" si="1044"/>
        <v>Sem40</v>
      </c>
      <c r="U864" s="56">
        <f t="shared" si="1026"/>
        <v>7</v>
      </c>
      <c r="V864" s="59">
        <v>46295</v>
      </c>
      <c r="W864" s="56">
        <f t="shared" si="1045"/>
        <v>40</v>
      </c>
      <c r="X864" s="56">
        <f t="shared" si="1046"/>
        <v>30</v>
      </c>
      <c r="Y864" s="56" t="s">
        <v>30</v>
      </c>
      <c r="Z864" s="56">
        <v>3</v>
      </c>
      <c r="AA864" s="58">
        <f t="shared" si="1016"/>
        <v>0</v>
      </c>
      <c r="AB864" s="58">
        <f t="shared" si="1016"/>
        <v>1</v>
      </c>
      <c r="AC864" s="58">
        <f t="shared" si="1016"/>
        <v>0</v>
      </c>
      <c r="AD864" s="58">
        <f t="shared" si="1016"/>
        <v>0</v>
      </c>
      <c r="AE864" s="58">
        <f t="shared" si="1016"/>
        <v>0</v>
      </c>
    </row>
    <row r="865" spans="2:34">
      <c r="B865" t="str">
        <f t="shared" si="1033"/>
        <v>Sem4040Marcos Hosdualvi Hernadez Obando</v>
      </c>
      <c r="C865" t="str">
        <f t="shared" si="1034"/>
        <v>OCTUBRESem40</v>
      </c>
      <c r="D865" t="str">
        <f t="shared" si="1035"/>
        <v>OCTUBRESem40Marcos Hosdualvi Hernadez Obando</v>
      </c>
      <c r="E865" t="str">
        <f t="shared" si="1036"/>
        <v>OCTUBRESem4040Marcos Hosdualvi Hernadez Obando</v>
      </c>
      <c r="F865" t="str">
        <f t="shared" si="1037"/>
        <v>Marcos Hosdualvi Hernadez Obando46296</v>
      </c>
      <c r="H865" s="49" t="s">
        <v>190</v>
      </c>
      <c r="I865" s="50" t="str">
        <f>+_xlfn.XLOOKUP($H865&amp;$V865,BASEDATOS!$B:$B,BASEDATOS!F:F,0,0,1)</f>
        <v>NOCHE</v>
      </c>
      <c r="J865" s="51">
        <f>+_xlfn.XLOOKUP($H865&amp;$V865,BASEDATOS!$B:$B,BASEDATOS!Q:Q,0,0,1)</f>
        <v>0.75</v>
      </c>
      <c r="K865" s="51">
        <f>+_xlfn.XLOOKUP($H865&amp;$V865,BASEDATOS!$B:$B,BASEDATOS!R:R,0,0,1)</f>
        <v>0.25</v>
      </c>
      <c r="L865" s="51">
        <f t="shared" si="1038"/>
        <v>0.5</v>
      </c>
      <c r="M865" s="52" t="str">
        <f t="shared" si="1039"/>
        <v>1:00</v>
      </c>
      <c r="N865" s="51">
        <f t="shared" si="1040"/>
        <v>0.45833333333333331</v>
      </c>
      <c r="O865" s="53" t="str">
        <f t="shared" ref="O865" si="1064">+O868</f>
        <v>0-5-2</v>
      </c>
      <c r="P865" s="54">
        <f>+IF(AND(Y865="Domingo",U865=7),_xlfn.XLOOKUP(O865,'Horarios y Sistemas'!C:C,'Horarios y Sistemas'!H:H,0,0,1),0)</f>
        <v>0</v>
      </c>
      <c r="Q865" s="54">
        <f>IF(U865=U866,0,IF(AVERAGEIF(W:W,W865,U:U)=U865,0,_xlfn.XLOOKUP(O865,'Horarios y Sistemas'!C:C,'Horarios y Sistemas'!H:H,0,0,1)-P865))/7*U865</f>
        <v>0</v>
      </c>
      <c r="R865" s="54">
        <f t="shared" si="1042"/>
        <v>0</v>
      </c>
      <c r="S865" s="55" t="str">
        <f t="shared" si="1043"/>
        <v>OCTUBRE</v>
      </c>
      <c r="T865" s="55" t="str">
        <f t="shared" si="1044"/>
        <v>Sem40</v>
      </c>
      <c r="U865" s="56">
        <f t="shared" si="1026"/>
        <v>7</v>
      </c>
      <c r="V865" s="59">
        <v>46296</v>
      </c>
      <c r="W865" s="56">
        <f t="shared" si="1045"/>
        <v>40</v>
      </c>
      <c r="X865" s="56">
        <f t="shared" si="1046"/>
        <v>1</v>
      </c>
      <c r="Y865" s="56" t="s">
        <v>31</v>
      </c>
      <c r="Z865" s="56">
        <v>4</v>
      </c>
      <c r="AA865" s="58">
        <f t="shared" si="1016"/>
        <v>0</v>
      </c>
      <c r="AB865" s="58">
        <f t="shared" si="1016"/>
        <v>1</v>
      </c>
      <c r="AC865" s="58">
        <f t="shared" si="1016"/>
        <v>0</v>
      </c>
      <c r="AD865" s="58">
        <f t="shared" si="1016"/>
        <v>0</v>
      </c>
      <c r="AE865" s="58">
        <f t="shared" si="1016"/>
        <v>0</v>
      </c>
    </row>
    <row r="866" spans="2:34">
      <c r="B866" t="str">
        <f t="shared" si="1033"/>
        <v>Sem4040Marcos Hosdualvi Hernadez Obando</v>
      </c>
      <c r="C866" t="str">
        <f t="shared" si="1034"/>
        <v>OCTUBRESem40</v>
      </c>
      <c r="D866" t="str">
        <f t="shared" si="1035"/>
        <v>OCTUBRESem40Marcos Hosdualvi Hernadez Obando</v>
      </c>
      <c r="E866" t="str">
        <f t="shared" si="1036"/>
        <v>OCTUBRESem4040Marcos Hosdualvi Hernadez Obando</v>
      </c>
      <c r="F866" t="str">
        <f t="shared" si="1037"/>
        <v>Marcos Hosdualvi Hernadez Obando46297</v>
      </c>
      <c r="H866" s="49" t="s">
        <v>190</v>
      </c>
      <c r="I866" s="50" t="str">
        <f>+_xlfn.XLOOKUP($H866&amp;$V866,BASEDATOS!$B:$B,BASEDATOS!F:F,0,0,1)</f>
        <v>NOCHE</v>
      </c>
      <c r="J866" s="51">
        <f>+_xlfn.XLOOKUP($H866&amp;$V866,BASEDATOS!$B:$B,BASEDATOS!Q:Q,0,0,1)</f>
        <v>0.75</v>
      </c>
      <c r="K866" s="51">
        <f>+_xlfn.XLOOKUP($H866&amp;$V866,BASEDATOS!$B:$B,BASEDATOS!R:R,0,0,1)</f>
        <v>0.25</v>
      </c>
      <c r="L866" s="51">
        <f t="shared" si="1038"/>
        <v>0.5</v>
      </c>
      <c r="M866" s="52" t="str">
        <f t="shared" si="1039"/>
        <v>1:00</v>
      </c>
      <c r="N866" s="51">
        <f t="shared" si="1040"/>
        <v>0.45833333333333331</v>
      </c>
      <c r="O866" s="53" t="str">
        <f t="shared" ref="O866" si="1065">+O868</f>
        <v>0-5-2</v>
      </c>
      <c r="P866" s="54">
        <f>+IF(AND(Y866="Domingo",U866=7),_xlfn.XLOOKUP(O866,'Horarios y Sistemas'!C:C,'Horarios y Sistemas'!H:H,0,0,1),0)</f>
        <v>0</v>
      </c>
      <c r="Q866" s="54">
        <f>IF(U866=U867,0,IF(AVERAGEIF(W:W,W866,U:U)=U866,0,_xlfn.XLOOKUP(O866,'Horarios y Sistemas'!C:C,'Horarios y Sistemas'!H:H,0,0,1)-P866))/7*U866</f>
        <v>0</v>
      </c>
      <c r="R866" s="54">
        <f t="shared" si="1042"/>
        <v>0</v>
      </c>
      <c r="S866" s="55" t="str">
        <f t="shared" si="1043"/>
        <v>OCTUBRE</v>
      </c>
      <c r="T866" s="55" t="str">
        <f t="shared" si="1044"/>
        <v>Sem40</v>
      </c>
      <c r="U866" s="56">
        <f t="shared" si="1026"/>
        <v>7</v>
      </c>
      <c r="V866" s="59">
        <v>46297</v>
      </c>
      <c r="W866" s="56">
        <f t="shared" si="1045"/>
        <v>40</v>
      </c>
      <c r="X866" s="56">
        <f t="shared" si="1046"/>
        <v>2</v>
      </c>
      <c r="Y866" s="56" t="s">
        <v>32</v>
      </c>
      <c r="Z866" s="56">
        <v>5</v>
      </c>
      <c r="AA866" s="58">
        <f t="shared" si="1016"/>
        <v>0</v>
      </c>
      <c r="AB866" s="58">
        <f t="shared" si="1016"/>
        <v>1</v>
      </c>
      <c r="AC866" s="58">
        <f t="shared" si="1016"/>
        <v>0</v>
      </c>
      <c r="AD866" s="58">
        <f t="shared" si="1016"/>
        <v>0</v>
      </c>
      <c r="AE866" s="58">
        <f t="shared" si="1016"/>
        <v>0</v>
      </c>
    </row>
    <row r="867" spans="2:34">
      <c r="B867" t="str">
        <f t="shared" si="1033"/>
        <v>Sem4040Marcos Hosdualvi Hernadez Obando</v>
      </c>
      <c r="C867" t="str">
        <f t="shared" si="1034"/>
        <v>OCTUBRESem40</v>
      </c>
      <c r="D867" t="str">
        <f t="shared" si="1035"/>
        <v>OCTUBRESem40Marcos Hosdualvi Hernadez Obando</v>
      </c>
      <c r="E867" t="str">
        <f t="shared" si="1036"/>
        <v>OCTUBRESem4040Marcos Hosdualvi Hernadez Obando</v>
      </c>
      <c r="F867" t="str">
        <f t="shared" si="1037"/>
        <v>Marcos Hosdualvi Hernadez Obando46298</v>
      </c>
      <c r="H867" s="49" t="s">
        <v>190</v>
      </c>
      <c r="I867" s="50" t="str">
        <f>+_xlfn.XLOOKUP($H867&amp;$V867,BASEDATOS!$B:$B,BASEDATOS!F:F,0,0,1)</f>
        <v>DESCANSO</v>
      </c>
      <c r="J867" s="51">
        <f>+_xlfn.XLOOKUP($H867&amp;$V867,BASEDATOS!$B:$B,BASEDATOS!Q:Q,0,0,1)</f>
        <v>0</v>
      </c>
      <c r="K867" s="51">
        <f>+_xlfn.XLOOKUP($H867&amp;$V867,BASEDATOS!$B:$B,BASEDATOS!R:R,0,0,1)</f>
        <v>0</v>
      </c>
      <c r="L867" s="51">
        <f t="shared" si="1038"/>
        <v>0</v>
      </c>
      <c r="M867" s="52">
        <f t="shared" si="1039"/>
        <v>0</v>
      </c>
      <c r="N867" s="51">
        <f t="shared" si="1040"/>
        <v>0</v>
      </c>
      <c r="O867" s="53" t="str">
        <f t="shared" ref="O867" si="1066">+O868</f>
        <v>0-5-2</v>
      </c>
      <c r="P867" s="54">
        <f>+IF(AND(Y867="Domingo",U867=7),_xlfn.XLOOKUP(O867,'Horarios y Sistemas'!C:C,'Horarios y Sistemas'!H:H,0,0,1),0)</f>
        <v>0</v>
      </c>
      <c r="Q867" s="54">
        <f>IF(U867=U868,0,IF(AVERAGEIF(W:W,W867,U:U)=U867,0,_xlfn.XLOOKUP(O867,'Horarios y Sistemas'!C:C,'Horarios y Sistemas'!H:H,0,0,1)-P867))/7*U867</f>
        <v>0</v>
      </c>
      <c r="R867" s="54">
        <f t="shared" si="1042"/>
        <v>0</v>
      </c>
      <c r="S867" s="55" t="str">
        <f t="shared" si="1043"/>
        <v>OCTUBRE</v>
      </c>
      <c r="T867" s="55" t="str">
        <f t="shared" si="1044"/>
        <v>Sem40</v>
      </c>
      <c r="U867" s="56">
        <f t="shared" si="1026"/>
        <v>7</v>
      </c>
      <c r="V867" s="59">
        <v>46298</v>
      </c>
      <c r="W867" s="56">
        <f t="shared" si="1045"/>
        <v>40</v>
      </c>
      <c r="X867" s="56">
        <f t="shared" si="1046"/>
        <v>3</v>
      </c>
      <c r="Y867" s="56" t="s">
        <v>33</v>
      </c>
      <c r="Z867" s="56">
        <v>6</v>
      </c>
      <c r="AA867" s="58">
        <f t="shared" si="1016"/>
        <v>0</v>
      </c>
      <c r="AB867" s="58">
        <f t="shared" si="1016"/>
        <v>0</v>
      </c>
      <c r="AC867" s="58">
        <f t="shared" si="1016"/>
        <v>1</v>
      </c>
      <c r="AD867" s="58">
        <f t="shared" si="1016"/>
        <v>0</v>
      </c>
      <c r="AE867" s="58">
        <f t="shared" si="1016"/>
        <v>0</v>
      </c>
    </row>
    <row r="868" spans="2:34" s="60" customFormat="1">
      <c r="B868" s="60" t="str">
        <f t="shared" si="1033"/>
        <v>Sem4040Marcos Hosdualvi Hernadez Obando</v>
      </c>
      <c r="C868" s="60" t="str">
        <f t="shared" si="1034"/>
        <v>OCTUBRESem40</v>
      </c>
      <c r="D868" s="60" t="str">
        <f t="shared" si="1035"/>
        <v>OCTUBRESem40Marcos Hosdualvi Hernadez Obando</v>
      </c>
      <c r="E868" s="60" t="str">
        <f t="shared" si="1036"/>
        <v>OCTUBRESem4040Marcos Hosdualvi Hernadez Obando</v>
      </c>
      <c r="F868" s="60" t="str">
        <f t="shared" si="1037"/>
        <v>Marcos Hosdualvi Hernadez Obando46299</v>
      </c>
      <c r="H868" s="61" t="s">
        <v>190</v>
      </c>
      <c r="I868" s="62" t="str">
        <f>+_xlfn.XLOOKUP($H868&amp;$V868,BASEDATOS!$B:$B,BASEDATOS!F:F,0,0,1)</f>
        <v>DESCANSO</v>
      </c>
      <c r="J868" s="63">
        <f>+_xlfn.XLOOKUP($H868&amp;$V868,BASEDATOS!$B:$B,BASEDATOS!Q:Q,0,0,1)</f>
        <v>0</v>
      </c>
      <c r="K868" s="63">
        <f>+_xlfn.XLOOKUP($H868&amp;$V868,BASEDATOS!$B:$B,BASEDATOS!R:R,0,0,1)</f>
        <v>0</v>
      </c>
      <c r="L868" s="63">
        <f t="shared" si="1038"/>
        <v>0</v>
      </c>
      <c r="M868" s="64">
        <f t="shared" si="1039"/>
        <v>0</v>
      </c>
      <c r="N868" s="63">
        <f t="shared" si="1040"/>
        <v>0</v>
      </c>
      <c r="O868" s="65" t="str">
        <f t="shared" ref="O868" si="1067">+IF(Y868="Domingo",SUM(AA862:AA868)&amp;"-"&amp;SUM(AB862:AB868)&amp;"-"&amp;SUM(AC862:AE868),"")</f>
        <v>0-5-2</v>
      </c>
      <c r="P868" s="66">
        <f>+IF(AND(Y868="Domingo",U868=7),_xlfn.XLOOKUP(O868,'Horarios y Sistemas'!C:C,'Horarios y Sistemas'!H:H,0,0,1),0)</f>
        <v>36</v>
      </c>
      <c r="Q868" s="66">
        <f>IF(U868=U869,0,IF(AVERAGEIF(W:W,W868,U:U)=U868,0,_xlfn.XLOOKUP(O868,'Horarios y Sistemas'!C:C,'Horarios y Sistemas'!H:H,0,0,1)-P868))/7*U868</f>
        <v>0</v>
      </c>
      <c r="R868" s="66">
        <f t="shared" si="1042"/>
        <v>36</v>
      </c>
      <c r="S868" s="67" t="str">
        <f t="shared" si="1043"/>
        <v>OCTUBRE</v>
      </c>
      <c r="T868" s="55" t="str">
        <f t="shared" si="1044"/>
        <v>Sem40</v>
      </c>
      <c r="U868" s="68">
        <f t="shared" si="1026"/>
        <v>7</v>
      </c>
      <c r="V868" s="69">
        <v>46299</v>
      </c>
      <c r="W868" s="68">
        <f t="shared" si="1045"/>
        <v>40</v>
      </c>
      <c r="X868" s="68">
        <f t="shared" si="1046"/>
        <v>4</v>
      </c>
      <c r="Y868" s="68" t="s">
        <v>34</v>
      </c>
      <c r="Z868" s="68">
        <v>7</v>
      </c>
      <c r="AA868" s="70">
        <f t="shared" si="1016"/>
        <v>0</v>
      </c>
      <c r="AB868" s="70">
        <f t="shared" si="1016"/>
        <v>0</v>
      </c>
      <c r="AC868" s="70">
        <f t="shared" si="1016"/>
        <v>1</v>
      </c>
      <c r="AD868" s="70">
        <f t="shared" si="1016"/>
        <v>0</v>
      </c>
      <c r="AE868" s="70">
        <f t="shared" si="1016"/>
        <v>0</v>
      </c>
      <c r="AF868" s="71"/>
      <c r="AG868" s="71"/>
      <c r="AH868" s="71"/>
    </row>
    <row r="869" spans="2:34">
      <c r="B869" t="str">
        <f t="shared" si="1033"/>
        <v>Sem3838Marvin Alexander Flores Fuentes</v>
      </c>
      <c r="C869" t="str">
        <f t="shared" si="1034"/>
        <v>SEPTIEMBRESem38</v>
      </c>
      <c r="D869" t="str">
        <f t="shared" si="1035"/>
        <v>SEPTIEMBRESem38Marvin Alexander Flores Fuentes</v>
      </c>
      <c r="E869" t="str">
        <f t="shared" si="1036"/>
        <v>SEPTIEMBRESem3838Marvin Alexander Flores Fuentes</v>
      </c>
      <c r="F869" t="str">
        <f t="shared" si="1037"/>
        <v>Marvin Alexander Flores Fuentes46279</v>
      </c>
      <c r="H869" s="49" t="s">
        <v>192</v>
      </c>
      <c r="I869" s="50" t="str">
        <f>+_xlfn.XLOOKUP($H869&amp;$V869,BASEDATOS!$B:$B,BASEDATOS!F:F,0,0,1)</f>
        <v>DESCANSO</v>
      </c>
      <c r="J869" s="51">
        <f>+_xlfn.XLOOKUP($H869&amp;$V869,BASEDATOS!$B:$B,BASEDATOS!Q:Q,0,0,1)</f>
        <v>0</v>
      </c>
      <c r="K869" s="51">
        <f>+_xlfn.XLOOKUP($H869&amp;$V869,BASEDATOS!$B:$B,BASEDATOS!R:R,0,0,1)</f>
        <v>0</v>
      </c>
      <c r="L869" s="51">
        <f t="shared" si="1038"/>
        <v>0</v>
      </c>
      <c r="M869" s="52">
        <f t="shared" si="1039"/>
        <v>0</v>
      </c>
      <c r="N869" s="51">
        <f t="shared" si="1040"/>
        <v>0</v>
      </c>
      <c r="O869" s="53" t="str">
        <f t="shared" ref="O869" si="1068">+O875</f>
        <v>5-0-2</v>
      </c>
      <c r="P869" s="54">
        <f>+IF(AND(Y869="Domingo",U869=7),_xlfn.XLOOKUP(O869,'Horarios y Sistemas'!C:C,'Horarios y Sistemas'!H:H,0,0,1),0)</f>
        <v>0</v>
      </c>
      <c r="Q869" s="54">
        <f>IF(U869=U870,0,IF(AVERAGEIF(W:W,W869,U:U)=U869,0,_xlfn.XLOOKUP(O869,'Horarios y Sistemas'!C:C,'Horarios y Sistemas'!H:H,0,0,1)-P869))/7*U869</f>
        <v>0</v>
      </c>
      <c r="R869" s="54">
        <f t="shared" si="1042"/>
        <v>0</v>
      </c>
      <c r="S869" s="55" t="str">
        <f t="shared" si="1043"/>
        <v>SEPTIEMBRE</v>
      </c>
      <c r="T869" s="55" t="str">
        <f t="shared" si="1044"/>
        <v>Sem38</v>
      </c>
      <c r="U869" s="56">
        <f t="shared" si="1026"/>
        <v>7</v>
      </c>
      <c r="V869" s="59">
        <v>46279</v>
      </c>
      <c r="W869" s="56">
        <f t="shared" si="1045"/>
        <v>38</v>
      </c>
      <c r="X869" s="56">
        <f t="shared" si="1046"/>
        <v>14</v>
      </c>
      <c r="Y869" s="56" t="s">
        <v>28</v>
      </c>
      <c r="Z869" s="56">
        <v>1</v>
      </c>
      <c r="AA869" s="58">
        <f t="shared" si="1016"/>
        <v>0</v>
      </c>
      <c r="AB869" s="58">
        <f t="shared" si="1016"/>
        <v>0</v>
      </c>
      <c r="AC869" s="58">
        <f t="shared" si="1016"/>
        <v>1</v>
      </c>
      <c r="AD869" s="58">
        <f t="shared" si="1016"/>
        <v>0</v>
      </c>
      <c r="AE869" s="58">
        <f t="shared" si="1016"/>
        <v>0</v>
      </c>
    </row>
    <row r="870" spans="2:34">
      <c r="B870" t="str">
        <f t="shared" si="1033"/>
        <v>Sem3838Marvin Alexander Flores Fuentes</v>
      </c>
      <c r="C870" t="str">
        <f t="shared" si="1034"/>
        <v>SEPTIEMBRESem38</v>
      </c>
      <c r="D870" t="str">
        <f t="shared" si="1035"/>
        <v>SEPTIEMBRESem38Marvin Alexander Flores Fuentes</v>
      </c>
      <c r="E870" t="str">
        <f t="shared" si="1036"/>
        <v>SEPTIEMBRESem3838Marvin Alexander Flores Fuentes</v>
      </c>
      <c r="F870" t="str">
        <f t="shared" si="1037"/>
        <v>Marvin Alexander Flores Fuentes46280</v>
      </c>
      <c r="H870" s="49" t="s">
        <v>192</v>
      </c>
      <c r="I870" s="50" t="str">
        <f>+_xlfn.XLOOKUP($H870&amp;$V870,BASEDATOS!$B:$B,BASEDATOS!F:F,0,0,1)</f>
        <v>DIA</v>
      </c>
      <c r="J870" s="51">
        <f>+_xlfn.XLOOKUP($H870&amp;$V870,BASEDATOS!$B:$B,BASEDATOS!Q:Q,0,0,1)</f>
        <v>0.33333333333333298</v>
      </c>
      <c r="K870" s="51">
        <f>+_xlfn.XLOOKUP($H870&amp;$V870,BASEDATOS!$B:$B,BASEDATOS!R:R,0,0,1)</f>
        <v>0.70833333333333304</v>
      </c>
      <c r="L870" s="51">
        <f t="shared" si="1038"/>
        <v>0.37500000000000006</v>
      </c>
      <c r="M870" s="52" t="str">
        <f t="shared" si="1039"/>
        <v>1:00</v>
      </c>
      <c r="N870" s="51">
        <f t="shared" si="1040"/>
        <v>0.33333333333333337</v>
      </c>
      <c r="O870" s="53" t="str">
        <f t="shared" ref="O870" si="1069">+O875</f>
        <v>5-0-2</v>
      </c>
      <c r="P870" s="54">
        <f>+IF(AND(Y870="Domingo",U870=7),_xlfn.XLOOKUP(O870,'Horarios y Sistemas'!C:C,'Horarios y Sistemas'!H:H,0,0,1),0)</f>
        <v>0</v>
      </c>
      <c r="Q870" s="54">
        <f>IF(U870=U871,0,IF(AVERAGEIF(W:W,W870,U:U)=U870,0,_xlfn.XLOOKUP(O870,'Horarios y Sistemas'!C:C,'Horarios y Sistemas'!H:H,0,0,1)-P870))/7*U870</f>
        <v>0</v>
      </c>
      <c r="R870" s="54">
        <f t="shared" si="1042"/>
        <v>0</v>
      </c>
      <c r="S870" s="55" t="str">
        <f t="shared" si="1043"/>
        <v>SEPTIEMBRE</v>
      </c>
      <c r="T870" s="55" t="str">
        <f t="shared" si="1044"/>
        <v>Sem38</v>
      </c>
      <c r="U870" s="56">
        <f t="shared" si="1026"/>
        <v>7</v>
      </c>
      <c r="V870" s="59">
        <v>46280</v>
      </c>
      <c r="W870" s="56">
        <f t="shared" si="1045"/>
        <v>38</v>
      </c>
      <c r="X870" s="56">
        <f t="shared" si="1046"/>
        <v>15</v>
      </c>
      <c r="Y870" s="56" t="s">
        <v>29</v>
      </c>
      <c r="Z870" s="56">
        <v>2</v>
      </c>
      <c r="AA870" s="58">
        <f t="shared" si="1016"/>
        <v>1</v>
      </c>
      <c r="AB870" s="58">
        <f t="shared" si="1016"/>
        <v>0</v>
      </c>
      <c r="AC870" s="58">
        <f t="shared" si="1016"/>
        <v>0</v>
      </c>
      <c r="AD870" s="58">
        <f t="shared" si="1016"/>
        <v>0</v>
      </c>
      <c r="AE870" s="58">
        <f t="shared" si="1016"/>
        <v>0</v>
      </c>
    </row>
    <row r="871" spans="2:34">
      <c r="B871" t="str">
        <f t="shared" si="1033"/>
        <v>Sem3838Marvin Alexander Flores Fuentes</v>
      </c>
      <c r="C871" t="str">
        <f t="shared" si="1034"/>
        <v>SEPTIEMBRESem38</v>
      </c>
      <c r="D871" t="str">
        <f t="shared" si="1035"/>
        <v>SEPTIEMBRESem38Marvin Alexander Flores Fuentes</v>
      </c>
      <c r="E871" t="str">
        <f t="shared" si="1036"/>
        <v>SEPTIEMBRESem3838Marvin Alexander Flores Fuentes</v>
      </c>
      <c r="F871" t="str">
        <f t="shared" si="1037"/>
        <v>Marvin Alexander Flores Fuentes46281</v>
      </c>
      <c r="H871" s="49" t="s">
        <v>192</v>
      </c>
      <c r="I871" s="50" t="str">
        <f>+_xlfn.XLOOKUP($H871&amp;$V871,BASEDATOS!$B:$B,BASEDATOS!F:F,0,0,1)</f>
        <v>DIA</v>
      </c>
      <c r="J871" s="51">
        <f>+_xlfn.XLOOKUP($H871&amp;$V871,BASEDATOS!$B:$B,BASEDATOS!Q:Q,0,0,1)</f>
        <v>0.25</v>
      </c>
      <c r="K871" s="51">
        <f>+_xlfn.XLOOKUP($H871&amp;$V871,BASEDATOS!$B:$B,BASEDATOS!R:R,0,0,1)</f>
        <v>0.75</v>
      </c>
      <c r="L871" s="51">
        <f t="shared" si="1038"/>
        <v>0.5</v>
      </c>
      <c r="M871" s="52" t="str">
        <f t="shared" si="1039"/>
        <v>1:00</v>
      </c>
      <c r="N871" s="51">
        <f t="shared" si="1040"/>
        <v>0.45833333333333331</v>
      </c>
      <c r="O871" s="53" t="str">
        <f t="shared" ref="O871" si="1070">+O875</f>
        <v>5-0-2</v>
      </c>
      <c r="P871" s="54">
        <f>+IF(AND(Y871="Domingo",U871=7),_xlfn.XLOOKUP(O871,'Horarios y Sistemas'!C:C,'Horarios y Sistemas'!H:H,0,0,1),0)</f>
        <v>0</v>
      </c>
      <c r="Q871" s="54">
        <f>IF(U871=U872,0,IF(AVERAGEIF(W:W,W871,U:U)=U871,0,_xlfn.XLOOKUP(O871,'Horarios y Sistemas'!C:C,'Horarios y Sistemas'!H:H,0,0,1)-P871))/7*U871</f>
        <v>0</v>
      </c>
      <c r="R871" s="54">
        <f t="shared" si="1042"/>
        <v>0</v>
      </c>
      <c r="S871" s="55" t="str">
        <f t="shared" si="1043"/>
        <v>SEPTIEMBRE</v>
      </c>
      <c r="T871" s="55" t="str">
        <f t="shared" si="1044"/>
        <v>Sem38</v>
      </c>
      <c r="U871" s="56">
        <f t="shared" si="1026"/>
        <v>7</v>
      </c>
      <c r="V871" s="59">
        <v>46281</v>
      </c>
      <c r="W871" s="56">
        <f t="shared" si="1045"/>
        <v>38</v>
      </c>
      <c r="X871" s="56">
        <f t="shared" si="1046"/>
        <v>16</v>
      </c>
      <c r="Y871" s="56" t="s">
        <v>30</v>
      </c>
      <c r="Z871" s="56">
        <v>3</v>
      </c>
      <c r="AA871" s="58">
        <f t="shared" si="1016"/>
        <v>1</v>
      </c>
      <c r="AB871" s="58">
        <f t="shared" si="1016"/>
        <v>0</v>
      </c>
      <c r="AC871" s="58">
        <f t="shared" si="1016"/>
        <v>0</v>
      </c>
      <c r="AD871" s="58">
        <f t="shared" si="1016"/>
        <v>0</v>
      </c>
      <c r="AE871" s="58">
        <f t="shared" si="1016"/>
        <v>0</v>
      </c>
    </row>
    <row r="872" spans="2:34">
      <c r="B872" t="str">
        <f t="shared" si="1033"/>
        <v>Sem3838Marvin Alexander Flores Fuentes</v>
      </c>
      <c r="C872" t="str">
        <f t="shared" si="1034"/>
        <v>SEPTIEMBRESem38</v>
      </c>
      <c r="D872" t="str">
        <f t="shared" si="1035"/>
        <v>SEPTIEMBRESem38Marvin Alexander Flores Fuentes</v>
      </c>
      <c r="E872" t="str">
        <f t="shared" si="1036"/>
        <v>SEPTIEMBRESem3838Marvin Alexander Flores Fuentes</v>
      </c>
      <c r="F872" t="str">
        <f t="shared" si="1037"/>
        <v>Marvin Alexander Flores Fuentes46282</v>
      </c>
      <c r="H872" s="49" t="s">
        <v>192</v>
      </c>
      <c r="I872" s="50" t="str">
        <f>+_xlfn.XLOOKUP($H872&amp;$V872,BASEDATOS!$B:$B,BASEDATOS!F:F,0,0,1)</f>
        <v>DIA</v>
      </c>
      <c r="J872" s="51">
        <f>+_xlfn.XLOOKUP($H872&amp;$V872,BASEDATOS!$B:$B,BASEDATOS!Q:Q,0,0,1)</f>
        <v>0.25</v>
      </c>
      <c r="K872" s="51">
        <f>+_xlfn.XLOOKUP($H872&amp;$V872,BASEDATOS!$B:$B,BASEDATOS!R:R,0,0,1)</f>
        <v>0.75</v>
      </c>
      <c r="L872" s="51">
        <f t="shared" si="1038"/>
        <v>0.5</v>
      </c>
      <c r="M872" s="52" t="str">
        <f t="shared" si="1039"/>
        <v>1:00</v>
      </c>
      <c r="N872" s="51">
        <f t="shared" si="1040"/>
        <v>0.45833333333333331</v>
      </c>
      <c r="O872" s="53" t="str">
        <f t="shared" ref="O872" si="1071">+O875</f>
        <v>5-0-2</v>
      </c>
      <c r="P872" s="54">
        <f>+IF(AND(Y872="Domingo",U872=7),_xlfn.XLOOKUP(O872,'Horarios y Sistemas'!C:C,'Horarios y Sistemas'!H:H,0,0,1),0)</f>
        <v>0</v>
      </c>
      <c r="Q872" s="54">
        <f>IF(U872=U873,0,IF(AVERAGEIF(W:W,W872,U:U)=U872,0,_xlfn.XLOOKUP(O872,'Horarios y Sistemas'!C:C,'Horarios y Sistemas'!H:H,0,0,1)-P872))/7*U872</f>
        <v>0</v>
      </c>
      <c r="R872" s="54">
        <f t="shared" si="1042"/>
        <v>0</v>
      </c>
      <c r="S872" s="55" t="str">
        <f t="shared" si="1043"/>
        <v>SEPTIEMBRE</v>
      </c>
      <c r="T872" s="55" t="str">
        <f t="shared" si="1044"/>
        <v>Sem38</v>
      </c>
      <c r="U872" s="56">
        <f t="shared" si="1026"/>
        <v>7</v>
      </c>
      <c r="V872" s="59">
        <v>46282</v>
      </c>
      <c r="W872" s="56">
        <f t="shared" si="1045"/>
        <v>38</v>
      </c>
      <c r="X872" s="56">
        <f t="shared" si="1046"/>
        <v>17</v>
      </c>
      <c r="Y872" s="56" t="s">
        <v>31</v>
      </c>
      <c r="Z872" s="56">
        <v>4</v>
      </c>
      <c r="AA872" s="58">
        <f t="shared" si="1016"/>
        <v>1</v>
      </c>
      <c r="AB872" s="58">
        <f t="shared" si="1016"/>
        <v>0</v>
      </c>
      <c r="AC872" s="58">
        <f t="shared" si="1016"/>
        <v>0</v>
      </c>
      <c r="AD872" s="58">
        <f t="shared" si="1016"/>
        <v>0</v>
      </c>
      <c r="AE872" s="58">
        <f t="shared" si="1016"/>
        <v>0</v>
      </c>
    </row>
    <row r="873" spans="2:34">
      <c r="B873" t="str">
        <f t="shared" si="1033"/>
        <v>Sem3838Marvin Alexander Flores Fuentes</v>
      </c>
      <c r="C873" t="str">
        <f t="shared" si="1034"/>
        <v>SEPTIEMBRESem38</v>
      </c>
      <c r="D873" t="str">
        <f t="shared" si="1035"/>
        <v>SEPTIEMBRESem38Marvin Alexander Flores Fuentes</v>
      </c>
      <c r="E873" t="str">
        <f t="shared" si="1036"/>
        <v>SEPTIEMBRESem3838Marvin Alexander Flores Fuentes</v>
      </c>
      <c r="F873" t="str">
        <f t="shared" si="1037"/>
        <v>Marvin Alexander Flores Fuentes46283</v>
      </c>
      <c r="H873" s="49" t="s">
        <v>192</v>
      </c>
      <c r="I873" s="50" t="str">
        <f>+_xlfn.XLOOKUP($H873&amp;$V873,BASEDATOS!$B:$B,BASEDATOS!F:F,0,0,1)</f>
        <v>DIA</v>
      </c>
      <c r="J873" s="51">
        <f>+_xlfn.XLOOKUP($H873&amp;$V873,BASEDATOS!$B:$B,BASEDATOS!Q:Q,0,0,1)</f>
        <v>0.25</v>
      </c>
      <c r="K873" s="51">
        <f>+_xlfn.XLOOKUP($H873&amp;$V873,BASEDATOS!$B:$B,BASEDATOS!R:R,0,0,1)</f>
        <v>0.75</v>
      </c>
      <c r="L873" s="51">
        <f t="shared" si="1038"/>
        <v>0.5</v>
      </c>
      <c r="M873" s="52" t="str">
        <f t="shared" si="1039"/>
        <v>1:00</v>
      </c>
      <c r="N873" s="51">
        <f t="shared" si="1040"/>
        <v>0.45833333333333331</v>
      </c>
      <c r="O873" s="53" t="str">
        <f t="shared" ref="O873" si="1072">+O875</f>
        <v>5-0-2</v>
      </c>
      <c r="P873" s="54">
        <f>+IF(AND(Y873="Domingo",U873=7),_xlfn.XLOOKUP(O873,'Horarios y Sistemas'!C:C,'Horarios y Sistemas'!H:H,0,0,1),0)</f>
        <v>0</v>
      </c>
      <c r="Q873" s="54">
        <f>IF(U873=U874,0,IF(AVERAGEIF(W:W,W873,U:U)=U873,0,_xlfn.XLOOKUP(O873,'Horarios y Sistemas'!C:C,'Horarios y Sistemas'!H:H,0,0,1)-P873))/7*U873</f>
        <v>0</v>
      </c>
      <c r="R873" s="54">
        <f t="shared" si="1042"/>
        <v>0</v>
      </c>
      <c r="S873" s="55" t="str">
        <f t="shared" si="1043"/>
        <v>SEPTIEMBRE</v>
      </c>
      <c r="T873" s="55" t="str">
        <f t="shared" si="1044"/>
        <v>Sem38</v>
      </c>
      <c r="U873" s="56">
        <f t="shared" si="1026"/>
        <v>7</v>
      </c>
      <c r="V873" s="59">
        <v>46283</v>
      </c>
      <c r="W873" s="56">
        <f t="shared" si="1045"/>
        <v>38</v>
      </c>
      <c r="X873" s="56">
        <f t="shared" si="1046"/>
        <v>18</v>
      </c>
      <c r="Y873" s="56" t="s">
        <v>32</v>
      </c>
      <c r="Z873" s="56">
        <v>5</v>
      </c>
      <c r="AA873" s="58">
        <f t="shared" si="1016"/>
        <v>1</v>
      </c>
      <c r="AB873" s="58">
        <f t="shared" si="1016"/>
        <v>0</v>
      </c>
      <c r="AC873" s="58">
        <f t="shared" si="1016"/>
        <v>0</v>
      </c>
      <c r="AD873" s="58">
        <f t="shared" si="1016"/>
        <v>0</v>
      </c>
      <c r="AE873" s="58">
        <f t="shared" si="1016"/>
        <v>0</v>
      </c>
    </row>
    <row r="874" spans="2:34">
      <c r="B874" t="str">
        <f t="shared" si="1033"/>
        <v>Sem3838Marvin Alexander Flores Fuentes</v>
      </c>
      <c r="C874" t="str">
        <f t="shared" si="1034"/>
        <v>SEPTIEMBRESem38</v>
      </c>
      <c r="D874" t="str">
        <f t="shared" si="1035"/>
        <v>SEPTIEMBRESem38Marvin Alexander Flores Fuentes</v>
      </c>
      <c r="E874" t="str">
        <f t="shared" si="1036"/>
        <v>SEPTIEMBRESem3838Marvin Alexander Flores Fuentes</v>
      </c>
      <c r="F874" t="str">
        <f t="shared" si="1037"/>
        <v>Marvin Alexander Flores Fuentes46284</v>
      </c>
      <c r="H874" s="49" t="s">
        <v>192</v>
      </c>
      <c r="I874" s="50" t="str">
        <f>+_xlfn.XLOOKUP($H874&amp;$V874,BASEDATOS!$B:$B,BASEDATOS!F:F,0,0,1)</f>
        <v>DIA</v>
      </c>
      <c r="J874" s="51">
        <f>+_xlfn.XLOOKUP($H874&amp;$V874,BASEDATOS!$B:$B,BASEDATOS!Q:Q,0,0,1)</f>
        <v>0.25</v>
      </c>
      <c r="K874" s="51">
        <f>+_xlfn.XLOOKUP($H874&amp;$V874,BASEDATOS!$B:$B,BASEDATOS!R:R,0,0,1)</f>
        <v>0.75</v>
      </c>
      <c r="L874" s="51">
        <f t="shared" si="1038"/>
        <v>0.5</v>
      </c>
      <c r="M874" s="52" t="str">
        <f t="shared" si="1039"/>
        <v>1:00</v>
      </c>
      <c r="N874" s="51">
        <f t="shared" si="1040"/>
        <v>0.45833333333333331</v>
      </c>
      <c r="O874" s="53" t="str">
        <f t="shared" ref="O874" si="1073">+O875</f>
        <v>5-0-2</v>
      </c>
      <c r="P874" s="54">
        <f>+IF(AND(Y874="Domingo",U874=7),_xlfn.XLOOKUP(O874,'Horarios y Sistemas'!C:C,'Horarios y Sistemas'!H:H,0,0,1),0)</f>
        <v>0</v>
      </c>
      <c r="Q874" s="54">
        <f>IF(U874=U875,0,IF(AVERAGEIF(W:W,W874,U:U)=U874,0,_xlfn.XLOOKUP(O874,'Horarios y Sistemas'!C:C,'Horarios y Sistemas'!H:H,0,0,1)-P874))/7*U874</f>
        <v>0</v>
      </c>
      <c r="R874" s="54">
        <f t="shared" si="1042"/>
        <v>0</v>
      </c>
      <c r="S874" s="55" t="str">
        <f t="shared" si="1043"/>
        <v>SEPTIEMBRE</v>
      </c>
      <c r="T874" s="55" t="str">
        <f t="shared" si="1044"/>
        <v>Sem38</v>
      </c>
      <c r="U874" s="56">
        <f t="shared" si="1026"/>
        <v>7</v>
      </c>
      <c r="V874" s="59">
        <v>46284</v>
      </c>
      <c r="W874" s="56">
        <f t="shared" si="1045"/>
        <v>38</v>
      </c>
      <c r="X874" s="56">
        <f t="shared" si="1046"/>
        <v>19</v>
      </c>
      <c r="Y874" s="56" t="s">
        <v>33</v>
      </c>
      <c r="Z874" s="56">
        <v>6</v>
      </c>
      <c r="AA874" s="58">
        <f t="shared" si="1016"/>
        <v>1</v>
      </c>
      <c r="AB874" s="58">
        <f t="shared" si="1016"/>
        <v>0</v>
      </c>
      <c r="AC874" s="58">
        <f t="shared" si="1016"/>
        <v>0</v>
      </c>
      <c r="AD874" s="58">
        <f t="shared" si="1016"/>
        <v>0</v>
      </c>
      <c r="AE874" s="58">
        <f t="shared" si="1016"/>
        <v>0</v>
      </c>
    </row>
    <row r="875" spans="2:34" s="60" customFormat="1">
      <c r="B875" s="60" t="str">
        <f t="shared" si="1033"/>
        <v>Sem3838Marvin Alexander Flores Fuentes</v>
      </c>
      <c r="C875" s="60" t="str">
        <f t="shared" si="1034"/>
        <v>SEPTIEMBRESem38</v>
      </c>
      <c r="D875" s="60" t="str">
        <f t="shared" si="1035"/>
        <v>SEPTIEMBRESem38Marvin Alexander Flores Fuentes</v>
      </c>
      <c r="E875" s="60" t="str">
        <f t="shared" si="1036"/>
        <v>SEPTIEMBRESem3838Marvin Alexander Flores Fuentes</v>
      </c>
      <c r="F875" s="60" t="str">
        <f t="shared" si="1037"/>
        <v>Marvin Alexander Flores Fuentes46285</v>
      </c>
      <c r="H875" s="61" t="s">
        <v>192</v>
      </c>
      <c r="I875" s="62" t="str">
        <f>+_xlfn.XLOOKUP($H875&amp;$V875,BASEDATOS!$B:$B,BASEDATOS!F:F,0,0,1)</f>
        <v>DESCANSO</v>
      </c>
      <c r="J875" s="63">
        <f>+_xlfn.XLOOKUP($H875&amp;$V875,BASEDATOS!$B:$B,BASEDATOS!Q:Q,0,0,1)</f>
        <v>0</v>
      </c>
      <c r="K875" s="63">
        <f>+_xlfn.XLOOKUP($H875&amp;$V875,BASEDATOS!$B:$B,BASEDATOS!R:R,0,0,1)</f>
        <v>0</v>
      </c>
      <c r="L875" s="63">
        <f t="shared" si="1038"/>
        <v>0</v>
      </c>
      <c r="M875" s="64">
        <f t="shared" si="1039"/>
        <v>0</v>
      </c>
      <c r="N875" s="63">
        <f t="shared" si="1040"/>
        <v>0</v>
      </c>
      <c r="O875" s="65" t="str">
        <f t="shared" ref="O875" si="1074">+IF(Y875="Domingo",SUM(AA869:AA875)&amp;"-"&amp;SUM(AB869:AB875)&amp;"-"&amp;SUM(AC869:AE875),"")</f>
        <v>5-0-2</v>
      </c>
      <c r="P875" s="66">
        <f>+IF(AND(Y875="Domingo",U875=7),_xlfn.XLOOKUP(O875,'Horarios y Sistemas'!C:C,'Horarios y Sistemas'!H:H,0,0,1),0)</f>
        <v>44</v>
      </c>
      <c r="Q875" s="66">
        <f>IF(U875=U876,0,IF(AVERAGEIF(W:W,W875,U:U)=U875,0,_xlfn.XLOOKUP(O875,'Horarios y Sistemas'!C:C,'Horarios y Sistemas'!H:H,0,0,1)-P875))/7*U875</f>
        <v>0</v>
      </c>
      <c r="R875" s="66">
        <f t="shared" si="1042"/>
        <v>44</v>
      </c>
      <c r="S875" s="67" t="str">
        <f t="shared" si="1043"/>
        <v>SEPTIEMBRE</v>
      </c>
      <c r="T875" s="55" t="str">
        <f t="shared" si="1044"/>
        <v>Sem38</v>
      </c>
      <c r="U875" s="68">
        <f t="shared" si="1026"/>
        <v>7</v>
      </c>
      <c r="V875" s="69">
        <v>46285</v>
      </c>
      <c r="W875" s="68">
        <f t="shared" si="1045"/>
        <v>38</v>
      </c>
      <c r="X875" s="68">
        <f t="shared" si="1046"/>
        <v>20</v>
      </c>
      <c r="Y875" s="68" t="s">
        <v>34</v>
      </c>
      <c r="Z875" s="68">
        <v>7</v>
      </c>
      <c r="AA875" s="70">
        <f t="shared" si="1016"/>
        <v>0</v>
      </c>
      <c r="AB875" s="70">
        <f t="shared" si="1016"/>
        <v>0</v>
      </c>
      <c r="AC875" s="70">
        <f t="shared" si="1016"/>
        <v>1</v>
      </c>
      <c r="AD875" s="70">
        <f t="shared" si="1016"/>
        <v>0</v>
      </c>
      <c r="AE875" s="70">
        <f t="shared" si="1016"/>
        <v>0</v>
      </c>
      <c r="AF875" s="71"/>
      <c r="AG875" s="71"/>
      <c r="AH875" s="71"/>
    </row>
    <row r="876" spans="2:34">
      <c r="B876" t="str">
        <f t="shared" si="1033"/>
        <v>Sem3939Marvin Alexander Flores Fuentes</v>
      </c>
      <c r="C876" t="str">
        <f t="shared" si="1034"/>
        <v>SEPTIEMBRESem39</v>
      </c>
      <c r="D876" t="str">
        <f t="shared" si="1035"/>
        <v>SEPTIEMBRESem39Marvin Alexander Flores Fuentes</v>
      </c>
      <c r="E876" t="str">
        <f t="shared" si="1036"/>
        <v>SEPTIEMBRESem3939Marvin Alexander Flores Fuentes</v>
      </c>
      <c r="F876" t="str">
        <f t="shared" si="1037"/>
        <v>Marvin Alexander Flores Fuentes46286</v>
      </c>
      <c r="H876" s="49" t="s">
        <v>192</v>
      </c>
      <c r="I876" s="50" t="str">
        <f>+_xlfn.XLOOKUP($H876&amp;$V876,BASEDATOS!$B:$B,BASEDATOS!F:F,0,0,1)</f>
        <v>DESCANSO</v>
      </c>
      <c r="J876" s="51">
        <f>+_xlfn.XLOOKUP($H876&amp;$V876,BASEDATOS!$B:$B,BASEDATOS!Q:Q,0,0,1)</f>
        <v>0</v>
      </c>
      <c r="K876" s="51">
        <f>+_xlfn.XLOOKUP($H876&amp;$V876,BASEDATOS!$B:$B,BASEDATOS!R:R,0,0,1)</f>
        <v>0</v>
      </c>
      <c r="L876" s="51">
        <f t="shared" si="1038"/>
        <v>0</v>
      </c>
      <c r="M876" s="52">
        <f t="shared" si="1039"/>
        <v>0</v>
      </c>
      <c r="N876" s="51">
        <f t="shared" si="1040"/>
        <v>0</v>
      </c>
      <c r="O876" s="53" t="str">
        <f t="shared" ref="O876" si="1075">+O882</f>
        <v>0-3-4</v>
      </c>
      <c r="P876" s="54">
        <f>+IF(AND(Y876="Domingo",U876=7),_xlfn.XLOOKUP(O876,'Horarios y Sistemas'!C:C,'Horarios y Sistemas'!H:H,0,0,1),0)</f>
        <v>0</v>
      </c>
      <c r="Q876" s="54">
        <f>IF(U876=U877,0,IF(AVERAGEIF(W:W,W876,U:U)=U876,0,_xlfn.XLOOKUP(O876,'Horarios y Sistemas'!C:C,'Horarios y Sistemas'!H:H,0,0,1)-P876))/7*U876</f>
        <v>0</v>
      </c>
      <c r="R876" s="54">
        <f t="shared" si="1042"/>
        <v>0</v>
      </c>
      <c r="S876" s="55" t="str">
        <f t="shared" si="1043"/>
        <v>SEPTIEMBRE</v>
      </c>
      <c r="T876" s="55" t="str">
        <f t="shared" si="1044"/>
        <v>Sem39</v>
      </c>
      <c r="U876" s="56">
        <f t="shared" si="1026"/>
        <v>7</v>
      </c>
      <c r="V876" s="57">
        <v>46286</v>
      </c>
      <c r="W876" s="56">
        <f t="shared" si="1045"/>
        <v>39</v>
      </c>
      <c r="X876" s="56">
        <f t="shared" si="1046"/>
        <v>21</v>
      </c>
      <c r="Y876" s="56" t="s">
        <v>28</v>
      </c>
      <c r="Z876" s="56">
        <v>1</v>
      </c>
      <c r="AA876" s="58">
        <f t="shared" si="1016"/>
        <v>0</v>
      </c>
      <c r="AB876" s="58">
        <f t="shared" si="1016"/>
        <v>0</v>
      </c>
      <c r="AC876" s="58">
        <f t="shared" si="1016"/>
        <v>1</v>
      </c>
      <c r="AD876" s="58">
        <f t="shared" si="1016"/>
        <v>0</v>
      </c>
      <c r="AE876" s="58">
        <f t="shared" si="1016"/>
        <v>0</v>
      </c>
    </row>
    <row r="877" spans="2:34">
      <c r="B877" t="str">
        <f t="shared" si="1033"/>
        <v>Sem3939Marvin Alexander Flores Fuentes</v>
      </c>
      <c r="C877" t="str">
        <f t="shared" si="1034"/>
        <v>SEPTIEMBRESem39</v>
      </c>
      <c r="D877" t="str">
        <f t="shared" si="1035"/>
        <v>SEPTIEMBRESem39Marvin Alexander Flores Fuentes</v>
      </c>
      <c r="E877" t="str">
        <f t="shared" si="1036"/>
        <v>SEPTIEMBRESem3939Marvin Alexander Flores Fuentes</v>
      </c>
      <c r="F877" t="str">
        <f t="shared" si="1037"/>
        <v>Marvin Alexander Flores Fuentes46287</v>
      </c>
      <c r="H877" s="49" t="s">
        <v>192</v>
      </c>
      <c r="I877" s="50" t="str">
        <f>+_xlfn.XLOOKUP($H877&amp;$V877,BASEDATOS!$B:$B,BASEDATOS!F:F,0,0,1)</f>
        <v>DESCANSO</v>
      </c>
      <c r="J877" s="51">
        <f>+_xlfn.XLOOKUP($H877&amp;$V877,BASEDATOS!$B:$B,BASEDATOS!Q:Q,0,0,1)</f>
        <v>0</v>
      </c>
      <c r="K877" s="51">
        <f>+_xlfn.XLOOKUP($H877&amp;$V877,BASEDATOS!$B:$B,BASEDATOS!R:R,0,0,1)</f>
        <v>0</v>
      </c>
      <c r="L877" s="51">
        <f t="shared" si="1038"/>
        <v>0</v>
      </c>
      <c r="M877" s="52">
        <f t="shared" si="1039"/>
        <v>0</v>
      </c>
      <c r="N877" s="51">
        <f t="shared" si="1040"/>
        <v>0</v>
      </c>
      <c r="O877" s="53" t="str">
        <f t="shared" ref="O877" si="1076">+O882</f>
        <v>0-3-4</v>
      </c>
      <c r="P877" s="54">
        <f>+IF(AND(Y877="Domingo",U877=7),_xlfn.XLOOKUP(O877,'Horarios y Sistemas'!C:C,'Horarios y Sistemas'!H:H,0,0,1),0)</f>
        <v>0</v>
      </c>
      <c r="Q877" s="54">
        <f>IF(U877=U878,0,IF(AVERAGEIF(W:W,W877,U:U)=U877,0,_xlfn.XLOOKUP(O877,'Horarios y Sistemas'!C:C,'Horarios y Sistemas'!H:H,0,0,1)-P877))/7*U877</f>
        <v>0</v>
      </c>
      <c r="R877" s="54">
        <f t="shared" si="1042"/>
        <v>0</v>
      </c>
      <c r="S877" s="55" t="str">
        <f t="shared" si="1043"/>
        <v>SEPTIEMBRE</v>
      </c>
      <c r="T877" s="55" t="str">
        <f t="shared" si="1044"/>
        <v>Sem39</v>
      </c>
      <c r="U877" s="56">
        <f t="shared" si="1026"/>
        <v>7</v>
      </c>
      <c r="V877" s="59">
        <v>46287</v>
      </c>
      <c r="W877" s="56">
        <f t="shared" si="1045"/>
        <v>39</v>
      </c>
      <c r="X877" s="56">
        <f t="shared" si="1046"/>
        <v>22</v>
      </c>
      <c r="Y877" s="56" t="s">
        <v>29</v>
      </c>
      <c r="Z877" s="56">
        <v>2</v>
      </c>
      <c r="AA877" s="58">
        <f t="shared" si="1016"/>
        <v>0</v>
      </c>
      <c r="AB877" s="58">
        <f t="shared" si="1016"/>
        <v>0</v>
      </c>
      <c r="AC877" s="58">
        <f t="shared" si="1016"/>
        <v>1</v>
      </c>
      <c r="AD877" s="58">
        <f t="shared" si="1016"/>
        <v>0</v>
      </c>
      <c r="AE877" s="58">
        <f t="shared" si="1016"/>
        <v>0</v>
      </c>
    </row>
    <row r="878" spans="2:34">
      <c r="B878" t="str">
        <f t="shared" si="1033"/>
        <v>Sem3939Marvin Alexander Flores Fuentes</v>
      </c>
      <c r="C878" t="str">
        <f t="shared" si="1034"/>
        <v>SEPTIEMBRESem39</v>
      </c>
      <c r="D878" t="str">
        <f t="shared" si="1035"/>
        <v>SEPTIEMBRESem39Marvin Alexander Flores Fuentes</v>
      </c>
      <c r="E878" t="str">
        <f t="shared" si="1036"/>
        <v>SEPTIEMBRESem3939Marvin Alexander Flores Fuentes</v>
      </c>
      <c r="F878" t="str">
        <f t="shared" si="1037"/>
        <v>Marvin Alexander Flores Fuentes46288</v>
      </c>
      <c r="H878" s="49" t="s">
        <v>192</v>
      </c>
      <c r="I878" s="50" t="str">
        <f>+_xlfn.XLOOKUP($H878&amp;$V878,BASEDATOS!$B:$B,BASEDATOS!F:F,0,0,1)</f>
        <v>DESCANSO</v>
      </c>
      <c r="J878" s="51">
        <f>+_xlfn.XLOOKUP($H878&amp;$V878,BASEDATOS!$B:$B,BASEDATOS!Q:Q,0,0,1)</f>
        <v>0</v>
      </c>
      <c r="K878" s="51">
        <f>+_xlfn.XLOOKUP($H878&amp;$V878,BASEDATOS!$B:$B,BASEDATOS!R:R,0,0,1)</f>
        <v>0</v>
      </c>
      <c r="L878" s="51">
        <f t="shared" si="1038"/>
        <v>0</v>
      </c>
      <c r="M878" s="52">
        <f t="shared" si="1039"/>
        <v>0</v>
      </c>
      <c r="N878" s="51">
        <f t="shared" si="1040"/>
        <v>0</v>
      </c>
      <c r="O878" s="53" t="str">
        <f t="shared" ref="O878" si="1077">+O882</f>
        <v>0-3-4</v>
      </c>
      <c r="P878" s="54">
        <f>+IF(AND(Y878="Domingo",U878=7),_xlfn.XLOOKUP(O878,'Horarios y Sistemas'!C:C,'Horarios y Sistemas'!H:H,0,0,1),0)</f>
        <v>0</v>
      </c>
      <c r="Q878" s="54">
        <f>IF(U878=U879,0,IF(AVERAGEIF(W:W,W878,U:U)=U878,0,_xlfn.XLOOKUP(O878,'Horarios y Sistemas'!C:C,'Horarios y Sistemas'!H:H,0,0,1)-P878))/7*U878</f>
        <v>0</v>
      </c>
      <c r="R878" s="54">
        <f t="shared" si="1042"/>
        <v>0</v>
      </c>
      <c r="S878" s="55" t="str">
        <f t="shared" si="1043"/>
        <v>SEPTIEMBRE</v>
      </c>
      <c r="T878" s="55" t="str">
        <f t="shared" si="1044"/>
        <v>Sem39</v>
      </c>
      <c r="U878" s="56">
        <f t="shared" si="1026"/>
        <v>7</v>
      </c>
      <c r="V878" s="59">
        <v>46288</v>
      </c>
      <c r="W878" s="56">
        <f t="shared" si="1045"/>
        <v>39</v>
      </c>
      <c r="X878" s="56">
        <f t="shared" si="1046"/>
        <v>23</v>
      </c>
      <c r="Y878" s="56" t="s">
        <v>30</v>
      </c>
      <c r="Z878" s="56">
        <v>3</v>
      </c>
      <c r="AA878" s="58">
        <f t="shared" si="1016"/>
        <v>0</v>
      </c>
      <c r="AB878" s="58">
        <f t="shared" si="1016"/>
        <v>0</v>
      </c>
      <c r="AC878" s="58">
        <f t="shared" si="1016"/>
        <v>1</v>
      </c>
      <c r="AD878" s="58">
        <f t="shared" si="1016"/>
        <v>0</v>
      </c>
      <c r="AE878" s="58">
        <f t="shared" si="1016"/>
        <v>0</v>
      </c>
    </row>
    <row r="879" spans="2:34">
      <c r="B879" t="str">
        <f t="shared" si="1033"/>
        <v>Sem3939Marvin Alexander Flores Fuentes</v>
      </c>
      <c r="C879" t="str">
        <f t="shared" si="1034"/>
        <v>SEPTIEMBRESem39</v>
      </c>
      <c r="D879" t="str">
        <f t="shared" si="1035"/>
        <v>SEPTIEMBRESem39Marvin Alexander Flores Fuentes</v>
      </c>
      <c r="E879" t="str">
        <f t="shared" si="1036"/>
        <v>SEPTIEMBRESem3939Marvin Alexander Flores Fuentes</v>
      </c>
      <c r="F879" t="str">
        <f t="shared" si="1037"/>
        <v>Marvin Alexander Flores Fuentes46289</v>
      </c>
      <c r="H879" s="49" t="s">
        <v>192</v>
      </c>
      <c r="I879" s="50" t="str">
        <f>+_xlfn.XLOOKUP($H879&amp;$V879,BASEDATOS!$B:$B,BASEDATOS!F:F,0,0,1)</f>
        <v>NOCHE</v>
      </c>
      <c r="J879" s="51">
        <f>+_xlfn.XLOOKUP($H879&amp;$V879,BASEDATOS!$B:$B,BASEDATOS!Q:Q,0,0,1)</f>
        <v>0.75</v>
      </c>
      <c r="K879" s="51">
        <f>+_xlfn.XLOOKUP($H879&amp;$V879,BASEDATOS!$B:$B,BASEDATOS!R:R,0,0,1)</f>
        <v>0.25</v>
      </c>
      <c r="L879" s="51">
        <f t="shared" si="1038"/>
        <v>0.5</v>
      </c>
      <c r="M879" s="52" t="str">
        <f t="shared" si="1039"/>
        <v>1:00</v>
      </c>
      <c r="N879" s="51">
        <f t="shared" si="1040"/>
        <v>0.45833333333333331</v>
      </c>
      <c r="O879" s="53" t="str">
        <f t="shared" ref="O879" si="1078">+O882</f>
        <v>0-3-4</v>
      </c>
      <c r="P879" s="54">
        <f>+IF(AND(Y879="Domingo",U879=7),_xlfn.XLOOKUP(O879,'Horarios y Sistemas'!C:C,'Horarios y Sistemas'!H:H,0,0,1),0)</f>
        <v>0</v>
      </c>
      <c r="Q879" s="54">
        <f>IF(U879=U880,0,IF(AVERAGEIF(W:W,W879,U:U)=U879,0,_xlfn.XLOOKUP(O879,'Horarios y Sistemas'!C:C,'Horarios y Sistemas'!H:H,0,0,1)-P879))/7*U879</f>
        <v>0</v>
      </c>
      <c r="R879" s="54">
        <f t="shared" si="1042"/>
        <v>0</v>
      </c>
      <c r="S879" s="55" t="str">
        <f t="shared" si="1043"/>
        <v>SEPTIEMBRE</v>
      </c>
      <c r="T879" s="55" t="str">
        <f t="shared" si="1044"/>
        <v>Sem39</v>
      </c>
      <c r="U879" s="56">
        <f t="shared" si="1026"/>
        <v>7</v>
      </c>
      <c r="V879" s="59">
        <v>46289</v>
      </c>
      <c r="W879" s="56">
        <f t="shared" si="1045"/>
        <v>39</v>
      </c>
      <c r="X879" s="56">
        <f t="shared" si="1046"/>
        <v>24</v>
      </c>
      <c r="Y879" s="56" t="s">
        <v>31</v>
      </c>
      <c r="Z879" s="56">
        <v>4</v>
      </c>
      <c r="AA879" s="58">
        <f t="shared" si="1016"/>
        <v>0</v>
      </c>
      <c r="AB879" s="58">
        <f t="shared" si="1016"/>
        <v>1</v>
      </c>
      <c r="AC879" s="58">
        <f t="shared" si="1016"/>
        <v>0</v>
      </c>
      <c r="AD879" s="58">
        <f t="shared" si="1016"/>
        <v>0</v>
      </c>
      <c r="AE879" s="58">
        <f t="shared" si="1016"/>
        <v>0</v>
      </c>
    </row>
    <row r="880" spans="2:34">
      <c r="B880" t="str">
        <f t="shared" si="1033"/>
        <v>Sem3939Marvin Alexander Flores Fuentes</v>
      </c>
      <c r="C880" t="str">
        <f t="shared" si="1034"/>
        <v>SEPTIEMBRESem39</v>
      </c>
      <c r="D880" t="str">
        <f t="shared" si="1035"/>
        <v>SEPTIEMBRESem39Marvin Alexander Flores Fuentes</v>
      </c>
      <c r="E880" t="str">
        <f t="shared" si="1036"/>
        <v>SEPTIEMBRESem3939Marvin Alexander Flores Fuentes</v>
      </c>
      <c r="F880" t="str">
        <f t="shared" si="1037"/>
        <v>Marvin Alexander Flores Fuentes46290</v>
      </c>
      <c r="H880" s="49" t="s">
        <v>192</v>
      </c>
      <c r="I880" s="50" t="str">
        <f>+_xlfn.XLOOKUP($H880&amp;$V880,BASEDATOS!$B:$B,BASEDATOS!F:F,0,0,1)</f>
        <v>NOCHE</v>
      </c>
      <c r="J880" s="51">
        <f>+_xlfn.XLOOKUP($H880&amp;$V880,BASEDATOS!$B:$B,BASEDATOS!Q:Q,0,0,1)</f>
        <v>0.75</v>
      </c>
      <c r="K880" s="51">
        <f>+_xlfn.XLOOKUP($H880&amp;$V880,BASEDATOS!$B:$B,BASEDATOS!R:R,0,0,1)</f>
        <v>0.25</v>
      </c>
      <c r="L880" s="51">
        <f t="shared" si="1038"/>
        <v>0.5</v>
      </c>
      <c r="M880" s="52" t="str">
        <f t="shared" si="1039"/>
        <v>1:00</v>
      </c>
      <c r="N880" s="51">
        <f t="shared" si="1040"/>
        <v>0.45833333333333331</v>
      </c>
      <c r="O880" s="53" t="str">
        <f t="shared" ref="O880" si="1079">+O882</f>
        <v>0-3-4</v>
      </c>
      <c r="P880" s="54">
        <f>+IF(AND(Y880="Domingo",U880=7),_xlfn.XLOOKUP(O880,'Horarios y Sistemas'!C:C,'Horarios y Sistemas'!H:H,0,0,1),0)</f>
        <v>0</v>
      </c>
      <c r="Q880" s="54">
        <f>IF(U880=U881,0,IF(AVERAGEIF(W:W,W880,U:U)=U880,0,_xlfn.XLOOKUP(O880,'Horarios y Sistemas'!C:C,'Horarios y Sistemas'!H:H,0,0,1)-P880))/7*U880</f>
        <v>0</v>
      </c>
      <c r="R880" s="54">
        <f t="shared" si="1042"/>
        <v>0</v>
      </c>
      <c r="S880" s="55" t="str">
        <f t="shared" si="1043"/>
        <v>SEPTIEMBRE</v>
      </c>
      <c r="T880" s="55" t="str">
        <f t="shared" si="1044"/>
        <v>Sem39</v>
      </c>
      <c r="U880" s="56">
        <f t="shared" si="1026"/>
        <v>7</v>
      </c>
      <c r="V880" s="59">
        <v>46290</v>
      </c>
      <c r="W880" s="56">
        <f t="shared" si="1045"/>
        <v>39</v>
      </c>
      <c r="X880" s="56">
        <f t="shared" si="1046"/>
        <v>25</v>
      </c>
      <c r="Y880" s="56" t="s">
        <v>32</v>
      </c>
      <c r="Z880" s="56">
        <v>5</v>
      </c>
      <c r="AA880" s="58">
        <f t="shared" si="1016"/>
        <v>0</v>
      </c>
      <c r="AB880" s="58">
        <f t="shared" si="1016"/>
        <v>1</v>
      </c>
      <c r="AC880" s="58">
        <f t="shared" si="1016"/>
        <v>0</v>
      </c>
      <c r="AD880" s="58">
        <f t="shared" si="1016"/>
        <v>0</v>
      </c>
      <c r="AE880" s="58">
        <f t="shared" si="1016"/>
        <v>0</v>
      </c>
    </row>
    <row r="881" spans="2:34">
      <c r="B881" t="str">
        <f t="shared" si="1033"/>
        <v>Sem3939Marvin Alexander Flores Fuentes</v>
      </c>
      <c r="C881" t="str">
        <f t="shared" si="1034"/>
        <v>SEPTIEMBRESem39</v>
      </c>
      <c r="D881" t="str">
        <f t="shared" si="1035"/>
        <v>SEPTIEMBRESem39Marvin Alexander Flores Fuentes</v>
      </c>
      <c r="E881" t="str">
        <f t="shared" si="1036"/>
        <v>SEPTIEMBRESem3939Marvin Alexander Flores Fuentes</v>
      </c>
      <c r="F881" t="str">
        <f t="shared" si="1037"/>
        <v>Marvin Alexander Flores Fuentes46291</v>
      </c>
      <c r="H881" s="49" t="s">
        <v>192</v>
      </c>
      <c r="I881" s="50" t="str">
        <f>+_xlfn.XLOOKUP($H881&amp;$V881,BASEDATOS!$B:$B,BASEDATOS!F:F,0,0,1)</f>
        <v>NOCHE</v>
      </c>
      <c r="J881" s="51">
        <f>+_xlfn.XLOOKUP($H881&amp;$V881,BASEDATOS!$B:$B,BASEDATOS!Q:Q,0,0,1)</f>
        <v>0.75</v>
      </c>
      <c r="K881" s="51">
        <f>+_xlfn.XLOOKUP($H881&amp;$V881,BASEDATOS!$B:$B,BASEDATOS!R:R,0,0,1)</f>
        <v>0.25</v>
      </c>
      <c r="L881" s="51">
        <f t="shared" si="1038"/>
        <v>0.5</v>
      </c>
      <c r="M881" s="52" t="str">
        <f t="shared" si="1039"/>
        <v>1:00</v>
      </c>
      <c r="N881" s="51">
        <f t="shared" si="1040"/>
        <v>0.45833333333333331</v>
      </c>
      <c r="O881" s="53" t="str">
        <f t="shared" ref="O881" si="1080">+O882</f>
        <v>0-3-4</v>
      </c>
      <c r="P881" s="54">
        <f>+IF(AND(Y881="Domingo",U881=7),_xlfn.XLOOKUP(O881,'Horarios y Sistemas'!C:C,'Horarios y Sistemas'!H:H,0,0,1),0)</f>
        <v>0</v>
      </c>
      <c r="Q881" s="54">
        <f>IF(U881=U882,0,IF(AVERAGEIF(W:W,W881,U:U)=U881,0,_xlfn.XLOOKUP(O881,'Horarios y Sistemas'!C:C,'Horarios y Sistemas'!H:H,0,0,1)-P881))/7*U881</f>
        <v>0</v>
      </c>
      <c r="R881" s="54">
        <f t="shared" si="1042"/>
        <v>0</v>
      </c>
      <c r="S881" s="55" t="str">
        <f t="shared" si="1043"/>
        <v>SEPTIEMBRE</v>
      </c>
      <c r="T881" s="55" t="str">
        <f t="shared" si="1044"/>
        <v>Sem39</v>
      </c>
      <c r="U881" s="56">
        <f t="shared" si="1026"/>
        <v>7</v>
      </c>
      <c r="V881" s="59">
        <v>46291</v>
      </c>
      <c r="W881" s="56">
        <f t="shared" si="1045"/>
        <v>39</v>
      </c>
      <c r="X881" s="56">
        <f t="shared" si="1046"/>
        <v>26</v>
      </c>
      <c r="Y881" s="56" t="s">
        <v>33</v>
      </c>
      <c r="Z881" s="56">
        <v>6</v>
      </c>
      <c r="AA881" s="58">
        <f t="shared" si="1016"/>
        <v>0</v>
      </c>
      <c r="AB881" s="58">
        <f t="shared" si="1016"/>
        <v>1</v>
      </c>
      <c r="AC881" s="58">
        <f t="shared" si="1016"/>
        <v>0</v>
      </c>
      <c r="AD881" s="58">
        <f t="shared" si="1016"/>
        <v>0</v>
      </c>
      <c r="AE881" s="58">
        <f t="shared" si="1016"/>
        <v>0</v>
      </c>
    </row>
    <row r="882" spans="2:34" s="60" customFormat="1">
      <c r="B882" s="60" t="str">
        <f t="shared" si="1033"/>
        <v>Sem3939Marvin Alexander Flores Fuentes</v>
      </c>
      <c r="C882" s="60" t="str">
        <f t="shared" si="1034"/>
        <v>SEPTIEMBRESem39</v>
      </c>
      <c r="D882" s="60" t="str">
        <f t="shared" si="1035"/>
        <v>SEPTIEMBRESem39Marvin Alexander Flores Fuentes</v>
      </c>
      <c r="E882" s="60" t="str">
        <f t="shared" si="1036"/>
        <v>SEPTIEMBRESem3939Marvin Alexander Flores Fuentes</v>
      </c>
      <c r="F882" s="60" t="str">
        <f t="shared" si="1037"/>
        <v>Marvin Alexander Flores Fuentes46292</v>
      </c>
      <c r="H882" s="61" t="s">
        <v>192</v>
      </c>
      <c r="I882" s="62" t="str">
        <f>+_xlfn.XLOOKUP($H882&amp;$V882,BASEDATOS!$B:$B,BASEDATOS!F:F,0,0,1)</f>
        <v>DESCANSO</v>
      </c>
      <c r="J882" s="63">
        <f>+_xlfn.XLOOKUP($H882&amp;$V882,BASEDATOS!$B:$B,BASEDATOS!Q:Q,0,0,1)</f>
        <v>0</v>
      </c>
      <c r="K882" s="63">
        <f>+_xlfn.XLOOKUP($H882&amp;$V882,BASEDATOS!$B:$B,BASEDATOS!R:R,0,0,1)</f>
        <v>0</v>
      </c>
      <c r="L882" s="63">
        <f t="shared" si="1038"/>
        <v>0</v>
      </c>
      <c r="M882" s="64">
        <f t="shared" si="1039"/>
        <v>0</v>
      </c>
      <c r="N882" s="63">
        <f t="shared" si="1040"/>
        <v>0</v>
      </c>
      <c r="O882" s="65" t="str">
        <f t="shared" ref="O882" si="1081">+IF(Y882="Domingo",SUM(AA876:AA882)&amp;"-"&amp;SUM(AB876:AB882)&amp;"-"&amp;SUM(AC876:AE882),"")</f>
        <v>0-3-4</v>
      </c>
      <c r="P882" s="66">
        <f>+IF(AND(Y882="Domingo",U882=7),_xlfn.XLOOKUP(O882,'Horarios y Sistemas'!C:C,'Horarios y Sistemas'!H:H,0,0,1),0)</f>
        <v>36</v>
      </c>
      <c r="Q882" s="66">
        <f>IF(U882=U883,0,IF(AVERAGEIF(W:W,W882,U:U)=U882,0,_xlfn.XLOOKUP(O882,'Horarios y Sistemas'!C:C,'Horarios y Sistemas'!H:H,0,0,1)-P882))/7*U882</f>
        <v>0</v>
      </c>
      <c r="R882" s="66">
        <f t="shared" si="1042"/>
        <v>36</v>
      </c>
      <c r="S882" s="67" t="str">
        <f t="shared" si="1043"/>
        <v>SEPTIEMBRE</v>
      </c>
      <c r="T882" s="55" t="str">
        <f t="shared" si="1044"/>
        <v>Sem39</v>
      </c>
      <c r="U882" s="68">
        <f t="shared" si="1026"/>
        <v>7</v>
      </c>
      <c r="V882" s="69">
        <v>46292</v>
      </c>
      <c r="W882" s="68">
        <f t="shared" si="1045"/>
        <v>39</v>
      </c>
      <c r="X882" s="68">
        <f t="shared" si="1046"/>
        <v>27</v>
      </c>
      <c r="Y882" s="68" t="s">
        <v>34</v>
      </c>
      <c r="Z882" s="68">
        <v>7</v>
      </c>
      <c r="AA882" s="70">
        <f t="shared" ref="AA882:AE932" si="1082">+IF($I882=AA$7,1,0)</f>
        <v>0</v>
      </c>
      <c r="AB882" s="70">
        <f t="shared" si="1082"/>
        <v>0</v>
      </c>
      <c r="AC882" s="70">
        <f t="shared" si="1082"/>
        <v>1</v>
      </c>
      <c r="AD882" s="70">
        <f t="shared" si="1082"/>
        <v>0</v>
      </c>
      <c r="AE882" s="70">
        <f t="shared" si="1082"/>
        <v>0</v>
      </c>
      <c r="AF882" s="71"/>
      <c r="AG882" s="71"/>
      <c r="AH882" s="71"/>
    </row>
    <row r="883" spans="2:34">
      <c r="B883" t="str">
        <f t="shared" si="1033"/>
        <v>Sem4040Marvin Alexander Flores Fuentes</v>
      </c>
      <c r="C883" t="str">
        <f t="shared" si="1034"/>
        <v>SEPTIEMBRESem40</v>
      </c>
      <c r="D883" t="str">
        <f t="shared" si="1035"/>
        <v>SEPTIEMBRESem40Marvin Alexander Flores Fuentes</v>
      </c>
      <c r="E883" t="str">
        <f t="shared" si="1036"/>
        <v>SEPTIEMBRESem4040Marvin Alexander Flores Fuentes</v>
      </c>
      <c r="F883" t="str">
        <f t="shared" si="1037"/>
        <v>Marvin Alexander Flores Fuentes46293</v>
      </c>
      <c r="H883" s="49" t="s">
        <v>192</v>
      </c>
      <c r="I883" s="50" t="str">
        <f>+_xlfn.XLOOKUP($H883&amp;$V883,BASEDATOS!$B:$B,BASEDATOS!F:F,0,0,1)</f>
        <v>DIA</v>
      </c>
      <c r="J883" s="51">
        <f>+_xlfn.XLOOKUP($H883&amp;$V883,BASEDATOS!$B:$B,BASEDATOS!Q:Q,0,0,1)</f>
        <v>0.25</v>
      </c>
      <c r="K883" s="51">
        <f>+_xlfn.XLOOKUP($H883&amp;$V883,BASEDATOS!$B:$B,BASEDATOS!R:R,0,0,1)</f>
        <v>0.75</v>
      </c>
      <c r="L883" s="51">
        <f t="shared" si="1038"/>
        <v>0.5</v>
      </c>
      <c r="M883" s="52" t="str">
        <f t="shared" si="1039"/>
        <v>1:00</v>
      </c>
      <c r="N883" s="51">
        <f t="shared" si="1040"/>
        <v>0.45833333333333331</v>
      </c>
      <c r="O883" s="53" t="str">
        <f t="shared" ref="O883" si="1083">+O889</f>
        <v>6-0-1</v>
      </c>
      <c r="P883" s="54">
        <f>+IF(AND(Y883="Domingo",U883=7),_xlfn.XLOOKUP(O883,'Horarios y Sistemas'!C:C,'Horarios y Sistemas'!H:H,0,0,1),0)</f>
        <v>0</v>
      </c>
      <c r="Q883" s="54">
        <f>IF(U883=U884,0,IF(AVERAGEIF(W:W,W883,U:U)=U883,0,_xlfn.XLOOKUP(O883,'Horarios y Sistemas'!C:C,'Horarios y Sistemas'!H:H,0,0,1)-P883))/7*U883</f>
        <v>0</v>
      </c>
      <c r="R883" s="54">
        <f t="shared" si="1042"/>
        <v>0</v>
      </c>
      <c r="S883" s="55" t="str">
        <f t="shared" si="1043"/>
        <v>SEPTIEMBRE</v>
      </c>
      <c r="T883" s="55" t="str">
        <f t="shared" si="1044"/>
        <v>Sem40</v>
      </c>
      <c r="U883" s="56">
        <f t="shared" si="1026"/>
        <v>7</v>
      </c>
      <c r="V883" s="59">
        <v>46293</v>
      </c>
      <c r="W883" s="56">
        <f t="shared" si="1045"/>
        <v>40</v>
      </c>
      <c r="X883" s="56">
        <f t="shared" si="1046"/>
        <v>28</v>
      </c>
      <c r="Y883" s="56" t="s">
        <v>28</v>
      </c>
      <c r="Z883" s="56">
        <v>1</v>
      </c>
      <c r="AA883" s="58">
        <f t="shared" si="1082"/>
        <v>1</v>
      </c>
      <c r="AB883" s="58">
        <f t="shared" si="1082"/>
        <v>0</v>
      </c>
      <c r="AC883" s="58">
        <f t="shared" si="1082"/>
        <v>0</v>
      </c>
      <c r="AD883" s="58">
        <f t="shared" si="1082"/>
        <v>0</v>
      </c>
      <c r="AE883" s="58">
        <f t="shared" si="1082"/>
        <v>0</v>
      </c>
    </row>
    <row r="884" spans="2:34">
      <c r="B884" t="str">
        <f t="shared" si="1033"/>
        <v>Sem4040Marvin Alexander Flores Fuentes</v>
      </c>
      <c r="C884" t="str">
        <f t="shared" si="1034"/>
        <v>SEPTIEMBRESem40</v>
      </c>
      <c r="D884" t="str">
        <f t="shared" si="1035"/>
        <v>SEPTIEMBRESem40Marvin Alexander Flores Fuentes</v>
      </c>
      <c r="E884" t="str">
        <f t="shared" si="1036"/>
        <v>SEPTIEMBRESem4040Marvin Alexander Flores Fuentes</v>
      </c>
      <c r="F884" t="str">
        <f t="shared" si="1037"/>
        <v>Marvin Alexander Flores Fuentes46294</v>
      </c>
      <c r="H884" s="49" t="s">
        <v>192</v>
      </c>
      <c r="I884" s="50" t="str">
        <f>+_xlfn.XLOOKUP($H884&amp;$V884,BASEDATOS!$B:$B,BASEDATOS!F:F,0,0,1)</f>
        <v>DIA</v>
      </c>
      <c r="J884" s="51">
        <f>+_xlfn.XLOOKUP($H884&amp;$V884,BASEDATOS!$B:$B,BASEDATOS!Q:Q,0,0,1)</f>
        <v>0.25</v>
      </c>
      <c r="K884" s="51">
        <f>+_xlfn.XLOOKUP($H884&amp;$V884,BASEDATOS!$B:$B,BASEDATOS!R:R,0,0,1)</f>
        <v>0.75</v>
      </c>
      <c r="L884" s="51">
        <f t="shared" si="1038"/>
        <v>0.5</v>
      </c>
      <c r="M884" s="52" t="str">
        <f t="shared" si="1039"/>
        <v>1:00</v>
      </c>
      <c r="N884" s="51">
        <f t="shared" si="1040"/>
        <v>0.45833333333333331</v>
      </c>
      <c r="O884" s="53" t="str">
        <f t="shared" ref="O884" si="1084">+O889</f>
        <v>6-0-1</v>
      </c>
      <c r="P884" s="54">
        <f>+IF(AND(Y884="Domingo",U884=7),_xlfn.XLOOKUP(O884,'Horarios y Sistemas'!C:C,'Horarios y Sistemas'!H:H,0,0,1),0)</f>
        <v>0</v>
      </c>
      <c r="Q884" s="54">
        <f>IF(U884=U885,0,IF(AVERAGEIF(W:W,W884,U:U)=U884,0,_xlfn.XLOOKUP(O884,'Horarios y Sistemas'!C:C,'Horarios y Sistemas'!H:H,0,0,1)-P884))/7*U884</f>
        <v>0</v>
      </c>
      <c r="R884" s="54">
        <f t="shared" si="1042"/>
        <v>0</v>
      </c>
      <c r="S884" s="55" t="str">
        <f t="shared" si="1043"/>
        <v>SEPTIEMBRE</v>
      </c>
      <c r="T884" s="55" t="str">
        <f t="shared" si="1044"/>
        <v>Sem40</v>
      </c>
      <c r="U884" s="56">
        <f t="shared" si="1026"/>
        <v>7</v>
      </c>
      <c r="V884" s="59">
        <v>46294</v>
      </c>
      <c r="W884" s="56">
        <f t="shared" si="1045"/>
        <v>40</v>
      </c>
      <c r="X884" s="56">
        <f t="shared" si="1046"/>
        <v>29</v>
      </c>
      <c r="Y884" s="56" t="s">
        <v>29</v>
      </c>
      <c r="Z884" s="56">
        <v>2</v>
      </c>
      <c r="AA884" s="58">
        <f t="shared" si="1082"/>
        <v>1</v>
      </c>
      <c r="AB884" s="58">
        <f t="shared" si="1082"/>
        <v>0</v>
      </c>
      <c r="AC884" s="58">
        <f t="shared" si="1082"/>
        <v>0</v>
      </c>
      <c r="AD884" s="58">
        <f t="shared" si="1082"/>
        <v>0</v>
      </c>
      <c r="AE884" s="58">
        <f t="shared" si="1082"/>
        <v>0</v>
      </c>
    </row>
    <row r="885" spans="2:34">
      <c r="B885" t="str">
        <f t="shared" si="1033"/>
        <v>Sem4040Marvin Alexander Flores Fuentes</v>
      </c>
      <c r="C885" t="str">
        <f t="shared" si="1034"/>
        <v>SEPTIEMBRESem40</v>
      </c>
      <c r="D885" t="str">
        <f t="shared" si="1035"/>
        <v>SEPTIEMBRESem40Marvin Alexander Flores Fuentes</v>
      </c>
      <c r="E885" t="str">
        <f t="shared" si="1036"/>
        <v>SEPTIEMBRESem4040Marvin Alexander Flores Fuentes</v>
      </c>
      <c r="F885" t="str">
        <f t="shared" si="1037"/>
        <v>Marvin Alexander Flores Fuentes46295</v>
      </c>
      <c r="H885" s="49" t="s">
        <v>192</v>
      </c>
      <c r="I885" s="50" t="str">
        <f>+_xlfn.XLOOKUP($H885&amp;$V885,BASEDATOS!$B:$B,BASEDATOS!F:F,0,0,1)</f>
        <v>DIA</v>
      </c>
      <c r="J885" s="51">
        <f>+_xlfn.XLOOKUP($H885&amp;$V885,BASEDATOS!$B:$B,BASEDATOS!Q:Q,0,0,1)</f>
        <v>0.25</v>
      </c>
      <c r="K885" s="51">
        <f>+_xlfn.XLOOKUP($H885&amp;$V885,BASEDATOS!$B:$B,BASEDATOS!R:R,0,0,1)</f>
        <v>0.75</v>
      </c>
      <c r="L885" s="51">
        <f t="shared" si="1038"/>
        <v>0.5</v>
      </c>
      <c r="M885" s="52" t="str">
        <f t="shared" si="1039"/>
        <v>1:00</v>
      </c>
      <c r="N885" s="51">
        <f t="shared" si="1040"/>
        <v>0.45833333333333331</v>
      </c>
      <c r="O885" s="53" t="str">
        <f t="shared" ref="O885" si="1085">+O889</f>
        <v>6-0-1</v>
      </c>
      <c r="P885" s="54">
        <f>+IF(AND(Y885="Domingo",U885=7),_xlfn.XLOOKUP(O885,'Horarios y Sistemas'!C:C,'Horarios y Sistemas'!H:H,0,0,1),0)</f>
        <v>0</v>
      </c>
      <c r="Q885" s="54">
        <f>IF(U885=U886,0,IF(AVERAGEIF(W:W,W885,U:U)=U885,0,_xlfn.XLOOKUP(O885,'Horarios y Sistemas'!C:C,'Horarios y Sistemas'!H:H,0,0,1)-P885))/7*U885</f>
        <v>0</v>
      </c>
      <c r="R885" s="54">
        <f t="shared" si="1042"/>
        <v>0</v>
      </c>
      <c r="S885" s="55" t="str">
        <f t="shared" si="1043"/>
        <v>SEPTIEMBRE</v>
      </c>
      <c r="T885" s="55" t="str">
        <f t="shared" si="1044"/>
        <v>Sem40</v>
      </c>
      <c r="U885" s="56">
        <f t="shared" si="1026"/>
        <v>7</v>
      </c>
      <c r="V885" s="59">
        <v>46295</v>
      </c>
      <c r="W885" s="56">
        <f t="shared" si="1045"/>
        <v>40</v>
      </c>
      <c r="X885" s="56">
        <f t="shared" si="1046"/>
        <v>30</v>
      </c>
      <c r="Y885" s="56" t="s">
        <v>30</v>
      </c>
      <c r="Z885" s="56">
        <v>3</v>
      </c>
      <c r="AA885" s="58">
        <f t="shared" si="1082"/>
        <v>1</v>
      </c>
      <c r="AB885" s="58">
        <f t="shared" si="1082"/>
        <v>0</v>
      </c>
      <c r="AC885" s="58">
        <f t="shared" si="1082"/>
        <v>0</v>
      </c>
      <c r="AD885" s="58">
        <f t="shared" si="1082"/>
        <v>0</v>
      </c>
      <c r="AE885" s="58">
        <f t="shared" si="1082"/>
        <v>0</v>
      </c>
    </row>
    <row r="886" spans="2:34">
      <c r="B886" t="str">
        <f t="shared" si="1033"/>
        <v>Sem4040Marvin Alexander Flores Fuentes</v>
      </c>
      <c r="C886" t="str">
        <f t="shared" si="1034"/>
        <v>OCTUBRESem40</v>
      </c>
      <c r="D886" t="str">
        <f t="shared" si="1035"/>
        <v>OCTUBRESem40Marvin Alexander Flores Fuentes</v>
      </c>
      <c r="E886" t="str">
        <f t="shared" si="1036"/>
        <v>OCTUBRESem4040Marvin Alexander Flores Fuentes</v>
      </c>
      <c r="F886" t="str">
        <f t="shared" si="1037"/>
        <v>Marvin Alexander Flores Fuentes46296</v>
      </c>
      <c r="H886" s="49" t="s">
        <v>192</v>
      </c>
      <c r="I886" s="50" t="str">
        <f>+_xlfn.XLOOKUP($H886&amp;$V886,BASEDATOS!$B:$B,BASEDATOS!F:F,0,0,1)</f>
        <v>DIA</v>
      </c>
      <c r="J886" s="51">
        <f>+_xlfn.XLOOKUP($H886&amp;$V886,BASEDATOS!$B:$B,BASEDATOS!Q:Q,0,0,1)</f>
        <v>0.33333333333333298</v>
      </c>
      <c r="K886" s="51">
        <f>+_xlfn.XLOOKUP($H886&amp;$V886,BASEDATOS!$B:$B,BASEDATOS!R:R,0,0,1)</f>
        <v>0.70833333333333304</v>
      </c>
      <c r="L886" s="51">
        <f t="shared" si="1038"/>
        <v>0.37500000000000006</v>
      </c>
      <c r="M886" s="52" t="str">
        <f t="shared" si="1039"/>
        <v>1:00</v>
      </c>
      <c r="N886" s="51">
        <f t="shared" si="1040"/>
        <v>0.33333333333333337</v>
      </c>
      <c r="O886" s="53" t="str">
        <f t="shared" ref="O886" si="1086">+O889</f>
        <v>6-0-1</v>
      </c>
      <c r="P886" s="54">
        <f>+IF(AND(Y886="Domingo",U886=7),_xlfn.XLOOKUP(O886,'Horarios y Sistemas'!C:C,'Horarios y Sistemas'!H:H,0,0,1),0)</f>
        <v>0</v>
      </c>
      <c r="Q886" s="54">
        <f>IF(U886=U887,0,IF(AVERAGEIF(W:W,W886,U:U)=U886,0,_xlfn.XLOOKUP(O886,'Horarios y Sistemas'!C:C,'Horarios y Sistemas'!H:H,0,0,1)-P886))/7*U886</f>
        <v>0</v>
      </c>
      <c r="R886" s="54">
        <f t="shared" si="1042"/>
        <v>0</v>
      </c>
      <c r="S886" s="55" t="str">
        <f t="shared" si="1043"/>
        <v>OCTUBRE</v>
      </c>
      <c r="T886" s="55" t="str">
        <f t="shared" si="1044"/>
        <v>Sem40</v>
      </c>
      <c r="U886" s="56">
        <f t="shared" si="1026"/>
        <v>7</v>
      </c>
      <c r="V886" s="59">
        <v>46296</v>
      </c>
      <c r="W886" s="56">
        <f t="shared" si="1045"/>
        <v>40</v>
      </c>
      <c r="X886" s="56">
        <f t="shared" si="1046"/>
        <v>1</v>
      </c>
      <c r="Y886" s="56" t="s">
        <v>31</v>
      </c>
      <c r="Z886" s="56">
        <v>4</v>
      </c>
      <c r="AA886" s="58">
        <f t="shared" si="1082"/>
        <v>1</v>
      </c>
      <c r="AB886" s="58">
        <f t="shared" si="1082"/>
        <v>0</v>
      </c>
      <c r="AC886" s="58">
        <f t="shared" si="1082"/>
        <v>0</v>
      </c>
      <c r="AD886" s="58">
        <f t="shared" si="1082"/>
        <v>0</v>
      </c>
      <c r="AE886" s="58">
        <f t="shared" si="1082"/>
        <v>0</v>
      </c>
    </row>
    <row r="887" spans="2:34">
      <c r="B887" t="str">
        <f t="shared" si="1033"/>
        <v>Sem4040Marvin Alexander Flores Fuentes</v>
      </c>
      <c r="C887" t="str">
        <f t="shared" si="1034"/>
        <v>OCTUBRESem40</v>
      </c>
      <c r="D887" t="str">
        <f t="shared" si="1035"/>
        <v>OCTUBRESem40Marvin Alexander Flores Fuentes</v>
      </c>
      <c r="E887" t="str">
        <f t="shared" si="1036"/>
        <v>OCTUBRESem4040Marvin Alexander Flores Fuentes</v>
      </c>
      <c r="F887" t="str">
        <f t="shared" si="1037"/>
        <v>Marvin Alexander Flores Fuentes46297</v>
      </c>
      <c r="H887" s="49" t="s">
        <v>192</v>
      </c>
      <c r="I887" s="50" t="str">
        <f>+_xlfn.XLOOKUP($H887&amp;$V887,BASEDATOS!$B:$B,BASEDATOS!F:F,0,0,1)</f>
        <v>DIA</v>
      </c>
      <c r="J887" s="51">
        <f>+_xlfn.XLOOKUP($H887&amp;$V887,BASEDATOS!$B:$B,BASEDATOS!Q:Q,0,0,1)</f>
        <v>0.33333333333333298</v>
      </c>
      <c r="K887" s="51">
        <f>+_xlfn.XLOOKUP($H887&amp;$V887,BASEDATOS!$B:$B,BASEDATOS!R:R,0,0,1)</f>
        <v>0.70833333333333304</v>
      </c>
      <c r="L887" s="51">
        <f t="shared" si="1038"/>
        <v>0.37500000000000006</v>
      </c>
      <c r="M887" s="52" t="str">
        <f t="shared" si="1039"/>
        <v>1:00</v>
      </c>
      <c r="N887" s="51">
        <f t="shared" si="1040"/>
        <v>0.33333333333333337</v>
      </c>
      <c r="O887" s="53" t="str">
        <f t="shared" ref="O887" si="1087">+O889</f>
        <v>6-0-1</v>
      </c>
      <c r="P887" s="54">
        <f>+IF(AND(Y887="Domingo",U887=7),_xlfn.XLOOKUP(O887,'Horarios y Sistemas'!C:C,'Horarios y Sistemas'!H:H,0,0,1),0)</f>
        <v>0</v>
      </c>
      <c r="Q887" s="54">
        <f>IF(U887=U888,0,IF(AVERAGEIF(W:W,W887,U:U)=U887,0,_xlfn.XLOOKUP(O887,'Horarios y Sistemas'!C:C,'Horarios y Sistemas'!H:H,0,0,1)-P887))/7*U887</f>
        <v>0</v>
      </c>
      <c r="R887" s="54">
        <f t="shared" si="1042"/>
        <v>0</v>
      </c>
      <c r="S887" s="55" t="str">
        <f t="shared" si="1043"/>
        <v>OCTUBRE</v>
      </c>
      <c r="T887" s="55" t="str">
        <f t="shared" si="1044"/>
        <v>Sem40</v>
      </c>
      <c r="U887" s="56">
        <f t="shared" si="1026"/>
        <v>7</v>
      </c>
      <c r="V887" s="59">
        <v>46297</v>
      </c>
      <c r="W887" s="56">
        <f t="shared" si="1045"/>
        <v>40</v>
      </c>
      <c r="X887" s="56">
        <f t="shared" si="1046"/>
        <v>2</v>
      </c>
      <c r="Y887" s="56" t="s">
        <v>32</v>
      </c>
      <c r="Z887" s="56">
        <v>5</v>
      </c>
      <c r="AA887" s="58">
        <f t="shared" si="1082"/>
        <v>1</v>
      </c>
      <c r="AB887" s="58">
        <f t="shared" si="1082"/>
        <v>0</v>
      </c>
      <c r="AC887" s="58">
        <f t="shared" si="1082"/>
        <v>0</v>
      </c>
      <c r="AD887" s="58">
        <f t="shared" si="1082"/>
        <v>0</v>
      </c>
      <c r="AE887" s="58">
        <f t="shared" si="1082"/>
        <v>0</v>
      </c>
    </row>
    <row r="888" spans="2:34">
      <c r="B888" t="str">
        <f t="shared" si="1033"/>
        <v>Sem4040Marvin Alexander Flores Fuentes</v>
      </c>
      <c r="C888" t="str">
        <f t="shared" si="1034"/>
        <v>OCTUBRESem40</v>
      </c>
      <c r="D888" t="str">
        <f t="shared" si="1035"/>
        <v>OCTUBRESem40Marvin Alexander Flores Fuentes</v>
      </c>
      <c r="E888" t="str">
        <f t="shared" si="1036"/>
        <v>OCTUBRESem4040Marvin Alexander Flores Fuentes</v>
      </c>
      <c r="F888" t="str">
        <f t="shared" si="1037"/>
        <v>Marvin Alexander Flores Fuentes46298</v>
      </c>
      <c r="H888" s="49" t="s">
        <v>192</v>
      </c>
      <c r="I888" s="50" t="str">
        <f>+_xlfn.XLOOKUP($H888&amp;$V888,BASEDATOS!$B:$B,BASEDATOS!F:F,0,0,1)</f>
        <v>DIA</v>
      </c>
      <c r="J888" s="51">
        <f>+_xlfn.XLOOKUP($H888&amp;$V888,BASEDATOS!$B:$B,BASEDATOS!Q:Q,0,0,1)</f>
        <v>0.33333333333333298</v>
      </c>
      <c r="K888" s="51">
        <f>+_xlfn.XLOOKUP($H888&amp;$V888,BASEDATOS!$B:$B,BASEDATOS!R:R,0,0,1)</f>
        <v>0.70833333333333304</v>
      </c>
      <c r="L888" s="51">
        <f t="shared" si="1038"/>
        <v>0.37500000000000006</v>
      </c>
      <c r="M888" s="52" t="str">
        <f t="shared" si="1039"/>
        <v>1:00</v>
      </c>
      <c r="N888" s="51">
        <f t="shared" si="1040"/>
        <v>0.33333333333333337</v>
      </c>
      <c r="O888" s="53" t="str">
        <f t="shared" ref="O888" si="1088">+O889</f>
        <v>6-0-1</v>
      </c>
      <c r="P888" s="54">
        <f>+IF(AND(Y888="Domingo",U888=7),_xlfn.XLOOKUP(O888,'Horarios y Sistemas'!C:C,'Horarios y Sistemas'!H:H,0,0,1),0)</f>
        <v>0</v>
      </c>
      <c r="Q888" s="54">
        <f>IF(U888=U889,0,IF(AVERAGEIF(W:W,W888,U:U)=U888,0,_xlfn.XLOOKUP(O888,'Horarios y Sistemas'!C:C,'Horarios y Sistemas'!H:H,0,0,1)-P888))/7*U888</f>
        <v>0</v>
      </c>
      <c r="R888" s="54">
        <f t="shared" si="1042"/>
        <v>0</v>
      </c>
      <c r="S888" s="55" t="str">
        <f t="shared" si="1043"/>
        <v>OCTUBRE</v>
      </c>
      <c r="T888" s="55" t="str">
        <f t="shared" si="1044"/>
        <v>Sem40</v>
      </c>
      <c r="U888" s="56">
        <f t="shared" si="1026"/>
        <v>7</v>
      </c>
      <c r="V888" s="59">
        <v>46298</v>
      </c>
      <c r="W888" s="56">
        <f t="shared" si="1045"/>
        <v>40</v>
      </c>
      <c r="X888" s="56">
        <f t="shared" si="1046"/>
        <v>3</v>
      </c>
      <c r="Y888" s="56" t="s">
        <v>33</v>
      </c>
      <c r="Z888" s="56">
        <v>6</v>
      </c>
      <c r="AA888" s="58">
        <f t="shared" si="1082"/>
        <v>1</v>
      </c>
      <c r="AB888" s="58">
        <f t="shared" si="1082"/>
        <v>0</v>
      </c>
      <c r="AC888" s="58">
        <f t="shared" si="1082"/>
        <v>0</v>
      </c>
      <c r="AD888" s="58">
        <f t="shared" si="1082"/>
        <v>0</v>
      </c>
      <c r="AE888" s="58">
        <f t="shared" si="1082"/>
        <v>0</v>
      </c>
    </row>
    <row r="889" spans="2:34" s="60" customFormat="1">
      <c r="B889" s="60" t="str">
        <f t="shared" si="1033"/>
        <v>Sem4040Marvin Alexander Flores Fuentes</v>
      </c>
      <c r="C889" s="60" t="str">
        <f t="shared" si="1034"/>
        <v>OCTUBRESem40</v>
      </c>
      <c r="D889" s="60" t="str">
        <f t="shared" si="1035"/>
        <v>OCTUBRESem40Marvin Alexander Flores Fuentes</v>
      </c>
      <c r="E889" s="60" t="str">
        <f t="shared" si="1036"/>
        <v>OCTUBRESem4040Marvin Alexander Flores Fuentes</v>
      </c>
      <c r="F889" s="60" t="str">
        <f t="shared" si="1037"/>
        <v>Marvin Alexander Flores Fuentes46299</v>
      </c>
      <c r="H889" s="61" t="s">
        <v>192</v>
      </c>
      <c r="I889" s="62" t="str">
        <f>+_xlfn.XLOOKUP($H889&amp;$V889,BASEDATOS!$B:$B,BASEDATOS!F:F,0,0,1)</f>
        <v>DESCANSO</v>
      </c>
      <c r="J889" s="63">
        <f>+_xlfn.XLOOKUP($H889&amp;$V889,BASEDATOS!$B:$B,BASEDATOS!Q:Q,0,0,1)</f>
        <v>0</v>
      </c>
      <c r="K889" s="63">
        <f>+_xlfn.XLOOKUP($H889&amp;$V889,BASEDATOS!$B:$B,BASEDATOS!R:R,0,0,1)</f>
        <v>0</v>
      </c>
      <c r="L889" s="63">
        <f t="shared" si="1038"/>
        <v>0</v>
      </c>
      <c r="M889" s="64">
        <f t="shared" si="1039"/>
        <v>0</v>
      </c>
      <c r="N889" s="63">
        <f t="shared" si="1040"/>
        <v>0</v>
      </c>
      <c r="O889" s="65" t="str">
        <f t="shared" ref="O889" si="1089">+IF(Y889="Domingo",SUM(AA883:AA889)&amp;"-"&amp;SUM(AB883:AB889)&amp;"-"&amp;SUM(AC883:AE889),"")</f>
        <v>6-0-1</v>
      </c>
      <c r="P889" s="66">
        <f>+IF(AND(Y889="Domingo",U889=7),_xlfn.XLOOKUP(O889,'Horarios y Sistemas'!C:C,'Horarios y Sistemas'!H:H,0,0,1),0)</f>
        <v>44</v>
      </c>
      <c r="Q889" s="66">
        <f>IF(U889=U890,0,IF(AVERAGEIF(W:W,W889,U:U)=U889,0,_xlfn.XLOOKUP(O889,'Horarios y Sistemas'!C:C,'Horarios y Sistemas'!H:H,0,0,1)-P889))/7*U889</f>
        <v>0</v>
      </c>
      <c r="R889" s="66">
        <f t="shared" si="1042"/>
        <v>44</v>
      </c>
      <c r="S889" s="67" t="str">
        <f t="shared" si="1043"/>
        <v>OCTUBRE</v>
      </c>
      <c r="T889" s="55" t="str">
        <f t="shared" si="1044"/>
        <v>Sem40</v>
      </c>
      <c r="U889" s="68">
        <f t="shared" si="1026"/>
        <v>7</v>
      </c>
      <c r="V889" s="69">
        <v>46299</v>
      </c>
      <c r="W889" s="68">
        <f t="shared" si="1045"/>
        <v>40</v>
      </c>
      <c r="X889" s="68">
        <f t="shared" si="1046"/>
        <v>4</v>
      </c>
      <c r="Y889" s="68" t="s">
        <v>34</v>
      </c>
      <c r="Z889" s="68">
        <v>7</v>
      </c>
      <c r="AA889" s="70">
        <f t="shared" si="1082"/>
        <v>0</v>
      </c>
      <c r="AB889" s="70">
        <f t="shared" si="1082"/>
        <v>0</v>
      </c>
      <c r="AC889" s="70">
        <f t="shared" si="1082"/>
        <v>1</v>
      </c>
      <c r="AD889" s="70">
        <f t="shared" si="1082"/>
        <v>0</v>
      </c>
      <c r="AE889" s="70">
        <f t="shared" si="1082"/>
        <v>0</v>
      </c>
      <c r="AF889" s="71"/>
      <c r="AG889" s="71"/>
      <c r="AH889" s="71"/>
    </row>
    <row r="890" spans="2:34">
      <c r="B890" t="str">
        <f t="shared" si="1033"/>
        <v>Sem3838OSCAR GERARDO ASTURIAS RUIZ</v>
      </c>
      <c r="C890" t="str">
        <f t="shared" si="1034"/>
        <v>SEPTIEMBRESem38</v>
      </c>
      <c r="D890" t="str">
        <f t="shared" si="1035"/>
        <v>SEPTIEMBRESem38OSCAR GERARDO ASTURIAS RUIZ</v>
      </c>
      <c r="E890" t="str">
        <f t="shared" si="1036"/>
        <v>SEPTIEMBRESem3838OSCAR GERARDO ASTURIAS RUIZ</v>
      </c>
      <c r="F890" t="str">
        <f t="shared" si="1037"/>
        <v>OSCAR GERARDO ASTURIAS RUIZ46279</v>
      </c>
      <c r="H890" s="49" t="s">
        <v>230</v>
      </c>
      <c r="I890" s="50" t="str">
        <f>+_xlfn.XLOOKUP($H890&amp;$V890,BASEDATOS!$B:$B,BASEDATOS!F:F,0,0,1)</f>
        <v>DESCANSO</v>
      </c>
      <c r="J890" s="51">
        <f>+_xlfn.XLOOKUP($H890&amp;$V890,BASEDATOS!$B:$B,BASEDATOS!Q:Q,0,0,1)</f>
        <v>0</v>
      </c>
      <c r="K890" s="51">
        <f>+_xlfn.XLOOKUP($H890&amp;$V890,BASEDATOS!$B:$B,BASEDATOS!R:R,0,0,1)</f>
        <v>0</v>
      </c>
      <c r="L890" s="51">
        <f t="shared" si="1038"/>
        <v>0</v>
      </c>
      <c r="M890" s="52">
        <f t="shared" si="1039"/>
        <v>0</v>
      </c>
      <c r="N890" s="51">
        <f t="shared" si="1040"/>
        <v>0</v>
      </c>
      <c r="O890" s="53" t="str">
        <f t="shared" ref="O890" si="1090">+O896</f>
        <v>2-2-3</v>
      </c>
      <c r="P890" s="54">
        <f>+IF(AND(Y890="Domingo",U890=7),_xlfn.XLOOKUP(O890,'Horarios y Sistemas'!C:C,'Horarios y Sistemas'!H:H,0,0,1),0)</f>
        <v>0</v>
      </c>
      <c r="Q890" s="54">
        <f>IF(U890=U891,0,IF(AVERAGEIF(W:W,W890,U:U)=U890,0,_xlfn.XLOOKUP(O890,'Horarios y Sistemas'!C:C,'Horarios y Sistemas'!H:H,0,0,1)-P890))/7*U890</f>
        <v>0</v>
      </c>
      <c r="R890" s="54">
        <f t="shared" si="1042"/>
        <v>0</v>
      </c>
      <c r="S890" s="55" t="str">
        <f t="shared" si="1043"/>
        <v>SEPTIEMBRE</v>
      </c>
      <c r="T890" s="55" t="str">
        <f t="shared" si="1044"/>
        <v>Sem38</v>
      </c>
      <c r="U890" s="56">
        <f t="shared" si="1026"/>
        <v>7</v>
      </c>
      <c r="V890" s="59">
        <v>46279</v>
      </c>
      <c r="W890" s="56">
        <f t="shared" si="1045"/>
        <v>38</v>
      </c>
      <c r="X890" s="56">
        <f t="shared" si="1046"/>
        <v>14</v>
      </c>
      <c r="Y890" s="56" t="s">
        <v>28</v>
      </c>
      <c r="Z890" s="56">
        <v>1</v>
      </c>
      <c r="AA890" s="58">
        <f t="shared" si="1082"/>
        <v>0</v>
      </c>
      <c r="AB890" s="58">
        <f t="shared" si="1082"/>
        <v>0</v>
      </c>
      <c r="AC890" s="58">
        <f t="shared" si="1082"/>
        <v>1</v>
      </c>
      <c r="AD890" s="58">
        <f t="shared" si="1082"/>
        <v>0</v>
      </c>
      <c r="AE890" s="58">
        <f t="shared" si="1082"/>
        <v>0</v>
      </c>
    </row>
    <row r="891" spans="2:34">
      <c r="B891" t="str">
        <f t="shared" si="1033"/>
        <v>Sem3838OSCAR GERARDO ASTURIAS RUIZ</v>
      </c>
      <c r="C891" t="str">
        <f t="shared" si="1034"/>
        <v>SEPTIEMBRESem38</v>
      </c>
      <c r="D891" t="str">
        <f t="shared" si="1035"/>
        <v>SEPTIEMBRESem38OSCAR GERARDO ASTURIAS RUIZ</v>
      </c>
      <c r="E891" t="str">
        <f t="shared" si="1036"/>
        <v>SEPTIEMBRESem3838OSCAR GERARDO ASTURIAS RUIZ</v>
      </c>
      <c r="F891" t="str">
        <f t="shared" si="1037"/>
        <v>OSCAR GERARDO ASTURIAS RUIZ46280</v>
      </c>
      <c r="H891" s="49" t="s">
        <v>230</v>
      </c>
      <c r="I891" s="50" t="str">
        <f>+_xlfn.XLOOKUP($H891&amp;$V891,BASEDATOS!$B:$B,BASEDATOS!F:F,0,0,1)</f>
        <v>DIA</v>
      </c>
      <c r="J891" s="51">
        <f>+_xlfn.XLOOKUP($H891&amp;$V891,BASEDATOS!$B:$B,BASEDATOS!Q:Q,0,0,1)</f>
        <v>0.33333333333333298</v>
      </c>
      <c r="K891" s="51">
        <f>+_xlfn.XLOOKUP($H891&amp;$V891,BASEDATOS!$B:$B,BASEDATOS!R:R,0,0,1)</f>
        <v>0.70833333333333304</v>
      </c>
      <c r="L891" s="51">
        <f t="shared" si="1038"/>
        <v>0.37500000000000006</v>
      </c>
      <c r="M891" s="52" t="str">
        <f t="shared" si="1039"/>
        <v>1:00</v>
      </c>
      <c r="N891" s="51">
        <f t="shared" si="1040"/>
        <v>0.33333333333333337</v>
      </c>
      <c r="O891" s="53" t="str">
        <f t="shared" ref="O891" si="1091">+O896</f>
        <v>2-2-3</v>
      </c>
      <c r="P891" s="54">
        <f>+IF(AND(Y891="Domingo",U891=7),_xlfn.XLOOKUP(O891,'Horarios y Sistemas'!C:C,'Horarios y Sistemas'!H:H,0,0,1),0)</f>
        <v>0</v>
      </c>
      <c r="Q891" s="54">
        <f>IF(U891=U892,0,IF(AVERAGEIF(W:W,W891,U:U)=U891,0,_xlfn.XLOOKUP(O891,'Horarios y Sistemas'!C:C,'Horarios y Sistemas'!H:H,0,0,1)-P891))/7*U891</f>
        <v>0</v>
      </c>
      <c r="R891" s="54">
        <f t="shared" si="1042"/>
        <v>0</v>
      </c>
      <c r="S891" s="55" t="str">
        <f t="shared" si="1043"/>
        <v>SEPTIEMBRE</v>
      </c>
      <c r="T891" s="55" t="str">
        <f t="shared" si="1044"/>
        <v>Sem38</v>
      </c>
      <c r="U891" s="56">
        <f t="shared" si="1026"/>
        <v>7</v>
      </c>
      <c r="V891" s="59">
        <v>46280</v>
      </c>
      <c r="W891" s="56">
        <f t="shared" si="1045"/>
        <v>38</v>
      </c>
      <c r="X891" s="56">
        <f t="shared" si="1046"/>
        <v>15</v>
      </c>
      <c r="Y891" s="56" t="s">
        <v>29</v>
      </c>
      <c r="Z891" s="56">
        <v>2</v>
      </c>
      <c r="AA891" s="58">
        <f t="shared" si="1082"/>
        <v>1</v>
      </c>
      <c r="AB891" s="58">
        <f t="shared" si="1082"/>
        <v>0</v>
      </c>
      <c r="AC891" s="58">
        <f t="shared" si="1082"/>
        <v>0</v>
      </c>
      <c r="AD891" s="58">
        <f t="shared" si="1082"/>
        <v>0</v>
      </c>
      <c r="AE891" s="58">
        <f t="shared" si="1082"/>
        <v>0</v>
      </c>
    </row>
    <row r="892" spans="2:34">
      <c r="B892" t="str">
        <f t="shared" si="1033"/>
        <v>Sem3838OSCAR GERARDO ASTURIAS RUIZ</v>
      </c>
      <c r="C892" t="str">
        <f t="shared" si="1034"/>
        <v>SEPTIEMBRESem38</v>
      </c>
      <c r="D892" t="str">
        <f t="shared" si="1035"/>
        <v>SEPTIEMBRESem38OSCAR GERARDO ASTURIAS RUIZ</v>
      </c>
      <c r="E892" t="str">
        <f t="shared" si="1036"/>
        <v>SEPTIEMBRESem3838OSCAR GERARDO ASTURIAS RUIZ</v>
      </c>
      <c r="F892" t="str">
        <f t="shared" si="1037"/>
        <v>OSCAR GERARDO ASTURIAS RUIZ46281</v>
      </c>
      <c r="H892" s="49" t="s">
        <v>230</v>
      </c>
      <c r="I892" s="50" t="str">
        <f>+_xlfn.XLOOKUP($H892&amp;$V892,BASEDATOS!$B:$B,BASEDATOS!F:F,0,0,1)</f>
        <v>NOCHE</v>
      </c>
      <c r="J892" s="51">
        <f>+_xlfn.XLOOKUP($H892&amp;$V892,BASEDATOS!$B:$B,BASEDATOS!Q:Q,0,0,1)</f>
        <v>0.79166666666666696</v>
      </c>
      <c r="K892" s="51">
        <f>+_xlfn.XLOOKUP($H892&amp;$V892,BASEDATOS!$B:$B,BASEDATOS!R:R,0,0,1)</f>
        <v>0.20833333333333301</v>
      </c>
      <c r="L892" s="51">
        <f t="shared" si="1038"/>
        <v>0.41666666666666607</v>
      </c>
      <c r="M892" s="52" t="str">
        <f t="shared" si="1039"/>
        <v>1:00</v>
      </c>
      <c r="N892" s="51">
        <f t="shared" si="1040"/>
        <v>0.37499999999999939</v>
      </c>
      <c r="O892" s="53" t="str">
        <f t="shared" ref="O892" si="1092">+O896</f>
        <v>2-2-3</v>
      </c>
      <c r="P892" s="54">
        <f>+IF(AND(Y892="Domingo",U892=7),_xlfn.XLOOKUP(O892,'Horarios y Sistemas'!C:C,'Horarios y Sistemas'!H:H,0,0,1),0)</f>
        <v>0</v>
      </c>
      <c r="Q892" s="54">
        <f>IF(U892=U893,0,IF(AVERAGEIF(W:W,W892,U:U)=U892,0,_xlfn.XLOOKUP(O892,'Horarios y Sistemas'!C:C,'Horarios y Sistemas'!H:H,0,0,1)-P892))/7*U892</f>
        <v>0</v>
      </c>
      <c r="R892" s="54">
        <f t="shared" si="1042"/>
        <v>0</v>
      </c>
      <c r="S892" s="55" t="str">
        <f t="shared" si="1043"/>
        <v>SEPTIEMBRE</v>
      </c>
      <c r="T892" s="55" t="str">
        <f t="shared" si="1044"/>
        <v>Sem38</v>
      </c>
      <c r="U892" s="56">
        <f t="shared" si="1026"/>
        <v>7</v>
      </c>
      <c r="V892" s="59">
        <v>46281</v>
      </c>
      <c r="W892" s="56">
        <f t="shared" si="1045"/>
        <v>38</v>
      </c>
      <c r="X892" s="56">
        <f t="shared" si="1046"/>
        <v>16</v>
      </c>
      <c r="Y892" s="56" t="s">
        <v>30</v>
      </c>
      <c r="Z892" s="56">
        <v>3</v>
      </c>
      <c r="AA892" s="58">
        <f t="shared" si="1082"/>
        <v>0</v>
      </c>
      <c r="AB892" s="58">
        <f t="shared" si="1082"/>
        <v>1</v>
      </c>
      <c r="AC892" s="58">
        <f t="shared" si="1082"/>
        <v>0</v>
      </c>
      <c r="AD892" s="58">
        <f t="shared" si="1082"/>
        <v>0</v>
      </c>
      <c r="AE892" s="58">
        <f t="shared" si="1082"/>
        <v>0</v>
      </c>
    </row>
    <row r="893" spans="2:34">
      <c r="B893" t="str">
        <f t="shared" si="1033"/>
        <v>Sem3838OSCAR GERARDO ASTURIAS RUIZ</v>
      </c>
      <c r="C893" t="str">
        <f t="shared" si="1034"/>
        <v>SEPTIEMBRESem38</v>
      </c>
      <c r="D893" t="str">
        <f t="shared" si="1035"/>
        <v>SEPTIEMBRESem38OSCAR GERARDO ASTURIAS RUIZ</v>
      </c>
      <c r="E893" t="str">
        <f t="shared" si="1036"/>
        <v>SEPTIEMBRESem3838OSCAR GERARDO ASTURIAS RUIZ</v>
      </c>
      <c r="F893" t="str">
        <f t="shared" si="1037"/>
        <v>OSCAR GERARDO ASTURIAS RUIZ46282</v>
      </c>
      <c r="H893" s="49" t="s">
        <v>230</v>
      </c>
      <c r="I893" s="50" t="str">
        <f>+_xlfn.XLOOKUP($H893&amp;$V893,BASEDATOS!$B:$B,BASEDATOS!F:F,0,0,1)</f>
        <v>NOCHE</v>
      </c>
      <c r="J893" s="51">
        <f>+_xlfn.XLOOKUP($H893&amp;$V893,BASEDATOS!$B:$B,BASEDATOS!Q:Q,0,0,1)</f>
        <v>0.79166666666666696</v>
      </c>
      <c r="K893" s="51">
        <f>+_xlfn.XLOOKUP($H893&amp;$V893,BASEDATOS!$B:$B,BASEDATOS!R:R,0,0,1)</f>
        <v>0.20833333333333301</v>
      </c>
      <c r="L893" s="51">
        <f t="shared" si="1038"/>
        <v>0.41666666666666607</v>
      </c>
      <c r="M893" s="52" t="str">
        <f t="shared" si="1039"/>
        <v>1:00</v>
      </c>
      <c r="N893" s="51">
        <f t="shared" si="1040"/>
        <v>0.37499999999999939</v>
      </c>
      <c r="O893" s="53" t="str">
        <f t="shared" ref="O893" si="1093">+O896</f>
        <v>2-2-3</v>
      </c>
      <c r="P893" s="54">
        <f>+IF(AND(Y893="Domingo",U893=7),_xlfn.XLOOKUP(O893,'Horarios y Sistemas'!C:C,'Horarios y Sistemas'!H:H,0,0,1),0)</f>
        <v>0</v>
      </c>
      <c r="Q893" s="54">
        <f>IF(U893=U894,0,IF(AVERAGEIF(W:W,W893,U:U)=U893,0,_xlfn.XLOOKUP(O893,'Horarios y Sistemas'!C:C,'Horarios y Sistemas'!H:H,0,0,1)-P893))/7*U893</f>
        <v>0</v>
      </c>
      <c r="R893" s="54">
        <f t="shared" si="1042"/>
        <v>0</v>
      </c>
      <c r="S893" s="55" t="str">
        <f t="shared" si="1043"/>
        <v>SEPTIEMBRE</v>
      </c>
      <c r="T893" s="55" t="str">
        <f t="shared" si="1044"/>
        <v>Sem38</v>
      </c>
      <c r="U893" s="56">
        <f t="shared" si="1026"/>
        <v>7</v>
      </c>
      <c r="V893" s="59">
        <v>46282</v>
      </c>
      <c r="W893" s="56">
        <f t="shared" si="1045"/>
        <v>38</v>
      </c>
      <c r="X893" s="56">
        <f t="shared" si="1046"/>
        <v>17</v>
      </c>
      <c r="Y893" s="56" t="s">
        <v>31</v>
      </c>
      <c r="Z893" s="56">
        <v>4</v>
      </c>
      <c r="AA893" s="58">
        <f t="shared" si="1082"/>
        <v>0</v>
      </c>
      <c r="AB893" s="58">
        <f t="shared" si="1082"/>
        <v>1</v>
      </c>
      <c r="AC893" s="58">
        <f t="shared" si="1082"/>
        <v>0</v>
      </c>
      <c r="AD893" s="58">
        <f t="shared" si="1082"/>
        <v>0</v>
      </c>
      <c r="AE893" s="58">
        <f t="shared" si="1082"/>
        <v>0</v>
      </c>
    </row>
    <row r="894" spans="2:34">
      <c r="B894" t="str">
        <f t="shared" si="1033"/>
        <v>Sem3838OSCAR GERARDO ASTURIAS RUIZ</v>
      </c>
      <c r="C894" t="str">
        <f t="shared" si="1034"/>
        <v>SEPTIEMBRESem38</v>
      </c>
      <c r="D894" t="str">
        <f t="shared" si="1035"/>
        <v>SEPTIEMBRESem38OSCAR GERARDO ASTURIAS RUIZ</v>
      </c>
      <c r="E894" t="str">
        <f t="shared" si="1036"/>
        <v>SEPTIEMBRESem3838OSCAR GERARDO ASTURIAS RUIZ</v>
      </c>
      <c r="F894" t="str">
        <f t="shared" si="1037"/>
        <v>OSCAR GERARDO ASTURIAS RUIZ46283</v>
      </c>
      <c r="H894" s="49" t="s">
        <v>230</v>
      </c>
      <c r="I894" s="50" t="str">
        <f>+_xlfn.XLOOKUP($H894&amp;$V894,BASEDATOS!$B:$B,BASEDATOS!F:F,0,0,1)</f>
        <v>DESCANSO</v>
      </c>
      <c r="J894" s="51">
        <f>+_xlfn.XLOOKUP($H894&amp;$V894,BASEDATOS!$B:$B,BASEDATOS!Q:Q,0,0,1)</f>
        <v>0</v>
      </c>
      <c r="K894" s="51">
        <f>+_xlfn.XLOOKUP($H894&amp;$V894,BASEDATOS!$B:$B,BASEDATOS!R:R,0,0,1)</f>
        <v>0</v>
      </c>
      <c r="L894" s="51">
        <f t="shared" si="1038"/>
        <v>0</v>
      </c>
      <c r="M894" s="52">
        <f t="shared" si="1039"/>
        <v>0</v>
      </c>
      <c r="N894" s="51">
        <f t="shared" si="1040"/>
        <v>0</v>
      </c>
      <c r="O894" s="53" t="str">
        <f t="shared" ref="O894" si="1094">+O896</f>
        <v>2-2-3</v>
      </c>
      <c r="P894" s="54">
        <f>+IF(AND(Y894="Domingo",U894=7),_xlfn.XLOOKUP(O894,'Horarios y Sistemas'!C:C,'Horarios y Sistemas'!H:H,0,0,1),0)</f>
        <v>0</v>
      </c>
      <c r="Q894" s="54">
        <f>IF(U894=U895,0,IF(AVERAGEIF(W:W,W894,U:U)=U894,0,_xlfn.XLOOKUP(O894,'Horarios y Sistemas'!C:C,'Horarios y Sistemas'!H:H,0,0,1)-P894))/7*U894</f>
        <v>0</v>
      </c>
      <c r="R894" s="54">
        <f t="shared" si="1042"/>
        <v>0</v>
      </c>
      <c r="S894" s="55" t="str">
        <f t="shared" si="1043"/>
        <v>SEPTIEMBRE</v>
      </c>
      <c r="T894" s="55" t="str">
        <f t="shared" si="1044"/>
        <v>Sem38</v>
      </c>
      <c r="U894" s="56">
        <f t="shared" si="1026"/>
        <v>7</v>
      </c>
      <c r="V894" s="59">
        <v>46283</v>
      </c>
      <c r="W894" s="56">
        <f t="shared" si="1045"/>
        <v>38</v>
      </c>
      <c r="X894" s="56">
        <f t="shared" si="1046"/>
        <v>18</v>
      </c>
      <c r="Y894" s="56" t="s">
        <v>32</v>
      </c>
      <c r="Z894" s="56">
        <v>5</v>
      </c>
      <c r="AA894" s="58">
        <f t="shared" si="1082"/>
        <v>0</v>
      </c>
      <c r="AB894" s="58">
        <f t="shared" si="1082"/>
        <v>0</v>
      </c>
      <c r="AC894" s="58">
        <f t="shared" si="1082"/>
        <v>1</v>
      </c>
      <c r="AD894" s="58">
        <f t="shared" si="1082"/>
        <v>0</v>
      </c>
      <c r="AE894" s="58">
        <f t="shared" si="1082"/>
        <v>0</v>
      </c>
    </row>
    <row r="895" spans="2:34">
      <c r="B895" t="str">
        <f t="shared" si="1033"/>
        <v>Sem3838OSCAR GERARDO ASTURIAS RUIZ</v>
      </c>
      <c r="C895" t="str">
        <f t="shared" si="1034"/>
        <v>SEPTIEMBRESem38</v>
      </c>
      <c r="D895" t="str">
        <f t="shared" si="1035"/>
        <v>SEPTIEMBRESem38OSCAR GERARDO ASTURIAS RUIZ</v>
      </c>
      <c r="E895" t="str">
        <f t="shared" si="1036"/>
        <v>SEPTIEMBRESem3838OSCAR GERARDO ASTURIAS RUIZ</v>
      </c>
      <c r="F895" t="str">
        <f t="shared" si="1037"/>
        <v>OSCAR GERARDO ASTURIAS RUIZ46284</v>
      </c>
      <c r="H895" s="49" t="s">
        <v>230</v>
      </c>
      <c r="I895" s="50" t="str">
        <f>+_xlfn.XLOOKUP($H895&amp;$V895,BASEDATOS!$B:$B,BASEDATOS!F:F,0,0,1)</f>
        <v>DIA</v>
      </c>
      <c r="J895" s="51">
        <f>+_xlfn.XLOOKUP($H895&amp;$V895,BASEDATOS!$B:$B,BASEDATOS!Q:Q,0,0,1)</f>
        <v>0.29166666666666702</v>
      </c>
      <c r="K895" s="51">
        <f>+_xlfn.XLOOKUP($H895&amp;$V895,BASEDATOS!$B:$B,BASEDATOS!R:R,0,0,1)</f>
        <v>0.5</v>
      </c>
      <c r="L895" s="51">
        <f t="shared" si="1038"/>
        <v>0.20833333333333298</v>
      </c>
      <c r="M895" s="52" t="str">
        <f t="shared" si="1039"/>
        <v>1:00</v>
      </c>
      <c r="N895" s="51">
        <f t="shared" si="1040"/>
        <v>0.16666666666666632</v>
      </c>
      <c r="O895" s="53" t="str">
        <f t="shared" ref="O895" si="1095">+O896</f>
        <v>2-2-3</v>
      </c>
      <c r="P895" s="54">
        <f>+IF(AND(Y895="Domingo",U895=7),_xlfn.XLOOKUP(O895,'Horarios y Sistemas'!C:C,'Horarios y Sistemas'!H:H,0,0,1),0)</f>
        <v>0</v>
      </c>
      <c r="Q895" s="54">
        <f>IF(U895=U896,0,IF(AVERAGEIF(W:W,W895,U:U)=U895,0,_xlfn.XLOOKUP(O895,'Horarios y Sistemas'!C:C,'Horarios y Sistemas'!H:H,0,0,1)-P895))/7*U895</f>
        <v>0</v>
      </c>
      <c r="R895" s="54">
        <f t="shared" si="1042"/>
        <v>0</v>
      </c>
      <c r="S895" s="55" t="str">
        <f t="shared" si="1043"/>
        <v>SEPTIEMBRE</v>
      </c>
      <c r="T895" s="55" t="str">
        <f t="shared" si="1044"/>
        <v>Sem38</v>
      </c>
      <c r="U895" s="56">
        <f t="shared" si="1026"/>
        <v>7</v>
      </c>
      <c r="V895" s="59">
        <v>46284</v>
      </c>
      <c r="W895" s="56">
        <f t="shared" si="1045"/>
        <v>38</v>
      </c>
      <c r="X895" s="56">
        <f t="shared" si="1046"/>
        <v>19</v>
      </c>
      <c r="Y895" s="56" t="s">
        <v>33</v>
      </c>
      <c r="Z895" s="56">
        <v>6</v>
      </c>
      <c r="AA895" s="58">
        <f t="shared" si="1082"/>
        <v>1</v>
      </c>
      <c r="AB895" s="58">
        <f t="shared" si="1082"/>
        <v>0</v>
      </c>
      <c r="AC895" s="58">
        <f t="shared" si="1082"/>
        <v>0</v>
      </c>
      <c r="AD895" s="58">
        <f t="shared" si="1082"/>
        <v>0</v>
      </c>
      <c r="AE895" s="58">
        <f t="shared" si="1082"/>
        <v>0</v>
      </c>
    </row>
    <row r="896" spans="2:34">
      <c r="B896" s="60" t="str">
        <f t="shared" si="1033"/>
        <v>Sem3838OSCAR GERARDO ASTURIAS RUIZ</v>
      </c>
      <c r="C896" s="60" t="str">
        <f t="shared" si="1034"/>
        <v>SEPTIEMBRESem38</v>
      </c>
      <c r="D896" s="60" t="str">
        <f t="shared" si="1035"/>
        <v>SEPTIEMBRESem38OSCAR GERARDO ASTURIAS RUIZ</v>
      </c>
      <c r="E896" s="60" t="str">
        <f t="shared" si="1036"/>
        <v>SEPTIEMBRESem3838OSCAR GERARDO ASTURIAS RUIZ</v>
      </c>
      <c r="F896" s="60" t="str">
        <f t="shared" si="1037"/>
        <v>OSCAR GERARDO ASTURIAS RUIZ46285</v>
      </c>
      <c r="G896" s="60"/>
      <c r="H896" s="61" t="s">
        <v>230</v>
      </c>
      <c r="I896" s="62" t="str">
        <f>+_xlfn.XLOOKUP($H896&amp;$V896,BASEDATOS!$B:$B,BASEDATOS!F:F,0,0,1)</f>
        <v>DESCANSO</v>
      </c>
      <c r="J896" s="63">
        <f>+_xlfn.XLOOKUP($H896&amp;$V896,BASEDATOS!$B:$B,BASEDATOS!Q:Q,0,0,1)</f>
        <v>0</v>
      </c>
      <c r="K896" s="63">
        <f>+_xlfn.XLOOKUP($H896&amp;$V896,BASEDATOS!$B:$B,BASEDATOS!R:R,0,0,1)</f>
        <v>0</v>
      </c>
      <c r="L896" s="63">
        <f t="shared" si="1038"/>
        <v>0</v>
      </c>
      <c r="M896" s="64">
        <f t="shared" si="1039"/>
        <v>0</v>
      </c>
      <c r="N896" s="63">
        <f t="shared" si="1040"/>
        <v>0</v>
      </c>
      <c r="O896" s="65" t="str">
        <f t="shared" ref="O896" si="1096">+IF(Y896="Domingo",SUM(AA890:AA896)&amp;"-"&amp;SUM(AB890:AB896)&amp;"-"&amp;SUM(AC890:AE896),"")</f>
        <v>2-2-3</v>
      </c>
      <c r="P896" s="66">
        <f>+IF(AND(Y896="Domingo",U896=7),_xlfn.XLOOKUP(O896,'Horarios y Sistemas'!C:C,'Horarios y Sistemas'!H:H,0,0,1),0)</f>
        <v>40</v>
      </c>
      <c r="Q896" s="66">
        <f>IF(U896=U897,0,IF(AVERAGEIF(W:W,W896,U:U)=U896,0,_xlfn.XLOOKUP(O896,'Horarios y Sistemas'!C:C,'Horarios y Sistemas'!H:H,0,0,1)-P896))/7*U896</f>
        <v>0</v>
      </c>
      <c r="R896" s="66">
        <f t="shared" si="1042"/>
        <v>40</v>
      </c>
      <c r="S896" s="67" t="str">
        <f t="shared" si="1043"/>
        <v>SEPTIEMBRE</v>
      </c>
      <c r="T896" s="55" t="str">
        <f t="shared" si="1044"/>
        <v>Sem38</v>
      </c>
      <c r="U896" s="68">
        <f t="shared" si="1026"/>
        <v>7</v>
      </c>
      <c r="V896" s="69">
        <v>46285</v>
      </c>
      <c r="W896" s="68">
        <f t="shared" si="1045"/>
        <v>38</v>
      </c>
      <c r="X896" s="68">
        <f t="shared" si="1046"/>
        <v>20</v>
      </c>
      <c r="Y896" s="68" t="s">
        <v>34</v>
      </c>
      <c r="Z896" s="68">
        <v>7</v>
      </c>
      <c r="AA896" s="70">
        <f t="shared" si="1082"/>
        <v>0</v>
      </c>
      <c r="AB896" s="70">
        <f t="shared" si="1082"/>
        <v>0</v>
      </c>
      <c r="AC896" s="70">
        <f t="shared" si="1082"/>
        <v>1</v>
      </c>
      <c r="AD896" s="70">
        <f t="shared" si="1082"/>
        <v>0</v>
      </c>
      <c r="AE896" s="70">
        <f t="shared" si="1082"/>
        <v>0</v>
      </c>
    </row>
    <row r="897" spans="2:31">
      <c r="B897" t="str">
        <f t="shared" si="1033"/>
        <v>Sem3939OSCAR GERARDO ASTURIAS RUIZ</v>
      </c>
      <c r="C897" t="str">
        <f t="shared" si="1034"/>
        <v>SEPTIEMBRESem39</v>
      </c>
      <c r="D897" t="str">
        <f t="shared" si="1035"/>
        <v>SEPTIEMBRESem39OSCAR GERARDO ASTURIAS RUIZ</v>
      </c>
      <c r="E897" t="str">
        <f t="shared" si="1036"/>
        <v>SEPTIEMBRESem3939OSCAR GERARDO ASTURIAS RUIZ</v>
      </c>
      <c r="F897" t="str">
        <f t="shared" si="1037"/>
        <v>OSCAR GERARDO ASTURIAS RUIZ46286</v>
      </c>
      <c r="H897" s="49" t="s">
        <v>230</v>
      </c>
      <c r="I897" s="50" t="str">
        <f>+_xlfn.XLOOKUP($H897&amp;$V897,BASEDATOS!$B:$B,BASEDATOS!F:F,0,0,1)</f>
        <v>DIA</v>
      </c>
      <c r="J897" s="51">
        <f>+_xlfn.XLOOKUP($H897&amp;$V897,BASEDATOS!$B:$B,BASEDATOS!Q:Q,0,0,1)</f>
        <v>0.29166666666666702</v>
      </c>
      <c r="K897" s="51">
        <f>+_xlfn.XLOOKUP($H897&amp;$V897,BASEDATOS!$B:$B,BASEDATOS!R:R,0,0,1)</f>
        <v>0.66666666666666696</v>
      </c>
      <c r="L897" s="51">
        <f t="shared" si="1038"/>
        <v>0.37499999999999994</v>
      </c>
      <c r="M897" s="52" t="str">
        <f t="shared" si="1039"/>
        <v>1:00</v>
      </c>
      <c r="N897" s="51">
        <f t="shared" si="1040"/>
        <v>0.33333333333333326</v>
      </c>
      <c r="O897" s="53" t="str">
        <f t="shared" ref="O897" si="1097">+O903</f>
        <v>6-0-1</v>
      </c>
      <c r="P897" s="54">
        <f>+IF(AND(Y897="Domingo",U897=7),_xlfn.XLOOKUP(O897,'Horarios y Sistemas'!C:C,'Horarios y Sistemas'!H:H,0,0,1),0)</f>
        <v>0</v>
      </c>
      <c r="Q897" s="54">
        <f>IF(U897=U898,0,IF(AVERAGEIF(W:W,W897,U:U)=U897,0,_xlfn.XLOOKUP(O897,'Horarios y Sistemas'!C:C,'Horarios y Sistemas'!H:H,0,0,1)-P897))/7*U897</f>
        <v>0</v>
      </c>
      <c r="R897" s="54">
        <f t="shared" si="1042"/>
        <v>0</v>
      </c>
      <c r="S897" s="55" t="str">
        <f t="shared" si="1043"/>
        <v>SEPTIEMBRE</v>
      </c>
      <c r="T897" s="55" t="str">
        <f t="shared" si="1044"/>
        <v>Sem39</v>
      </c>
      <c r="U897" s="56">
        <f t="shared" si="1026"/>
        <v>7</v>
      </c>
      <c r="V897" s="57">
        <v>46286</v>
      </c>
      <c r="W897" s="56">
        <f t="shared" si="1045"/>
        <v>39</v>
      </c>
      <c r="X897" s="56">
        <f t="shared" si="1046"/>
        <v>21</v>
      </c>
      <c r="Y897" s="56" t="s">
        <v>28</v>
      </c>
      <c r="Z897" s="56">
        <v>1</v>
      </c>
      <c r="AA897" s="58">
        <f t="shared" si="1082"/>
        <v>1</v>
      </c>
      <c r="AB897" s="58">
        <f t="shared" si="1082"/>
        <v>0</v>
      </c>
      <c r="AC897" s="58">
        <f t="shared" si="1082"/>
        <v>0</v>
      </c>
      <c r="AD897" s="58">
        <f t="shared" si="1082"/>
        <v>0</v>
      </c>
      <c r="AE897" s="58">
        <f t="shared" si="1082"/>
        <v>0</v>
      </c>
    </row>
    <row r="898" spans="2:31">
      <c r="B898" t="str">
        <f t="shared" si="1033"/>
        <v>Sem3939OSCAR GERARDO ASTURIAS RUIZ</v>
      </c>
      <c r="C898" t="str">
        <f t="shared" si="1034"/>
        <v>SEPTIEMBRESem39</v>
      </c>
      <c r="D898" t="str">
        <f t="shared" si="1035"/>
        <v>SEPTIEMBRESem39OSCAR GERARDO ASTURIAS RUIZ</v>
      </c>
      <c r="E898" t="str">
        <f t="shared" si="1036"/>
        <v>SEPTIEMBRESem3939OSCAR GERARDO ASTURIAS RUIZ</v>
      </c>
      <c r="F898" t="str">
        <f t="shared" si="1037"/>
        <v>OSCAR GERARDO ASTURIAS RUIZ46287</v>
      </c>
      <c r="H898" s="49" t="s">
        <v>230</v>
      </c>
      <c r="I898" s="50" t="str">
        <f>+_xlfn.XLOOKUP($H898&amp;$V898,BASEDATOS!$B:$B,BASEDATOS!F:F,0,0,1)</f>
        <v>DIA</v>
      </c>
      <c r="J898" s="51">
        <f>+_xlfn.XLOOKUP($H898&amp;$V898,BASEDATOS!$B:$B,BASEDATOS!Q:Q,0,0,1)</f>
        <v>0.29166666666666702</v>
      </c>
      <c r="K898" s="51">
        <f>+_xlfn.XLOOKUP($H898&amp;$V898,BASEDATOS!$B:$B,BASEDATOS!R:R,0,0,1)</f>
        <v>0.66666666666666696</v>
      </c>
      <c r="L898" s="51">
        <f t="shared" si="1038"/>
        <v>0.37499999999999994</v>
      </c>
      <c r="M898" s="52" t="str">
        <f t="shared" si="1039"/>
        <v>1:00</v>
      </c>
      <c r="N898" s="51">
        <f t="shared" si="1040"/>
        <v>0.33333333333333326</v>
      </c>
      <c r="O898" s="53" t="str">
        <f t="shared" ref="O898" si="1098">+O903</f>
        <v>6-0-1</v>
      </c>
      <c r="P898" s="54">
        <f>+IF(AND(Y898="Domingo",U898=7),_xlfn.XLOOKUP(O898,'Horarios y Sistemas'!C:C,'Horarios y Sistemas'!H:H,0,0,1),0)</f>
        <v>0</v>
      </c>
      <c r="Q898" s="54">
        <f>IF(U898=U899,0,IF(AVERAGEIF(W:W,W898,U:U)=U898,0,_xlfn.XLOOKUP(O898,'Horarios y Sistemas'!C:C,'Horarios y Sistemas'!H:H,0,0,1)-P898))/7*U898</f>
        <v>0</v>
      </c>
      <c r="R898" s="54">
        <f t="shared" si="1042"/>
        <v>0</v>
      </c>
      <c r="S898" s="55" t="str">
        <f t="shared" si="1043"/>
        <v>SEPTIEMBRE</v>
      </c>
      <c r="T898" s="55" t="str">
        <f t="shared" si="1044"/>
        <v>Sem39</v>
      </c>
      <c r="U898" s="56">
        <f t="shared" si="1026"/>
        <v>7</v>
      </c>
      <c r="V898" s="59">
        <v>46287</v>
      </c>
      <c r="W898" s="56">
        <f t="shared" si="1045"/>
        <v>39</v>
      </c>
      <c r="X898" s="56">
        <f t="shared" si="1046"/>
        <v>22</v>
      </c>
      <c r="Y898" s="56" t="s">
        <v>29</v>
      </c>
      <c r="Z898" s="56">
        <v>2</v>
      </c>
      <c r="AA898" s="58">
        <f t="shared" si="1082"/>
        <v>1</v>
      </c>
      <c r="AB898" s="58">
        <f t="shared" si="1082"/>
        <v>0</v>
      </c>
      <c r="AC898" s="58">
        <f t="shared" si="1082"/>
        <v>0</v>
      </c>
      <c r="AD898" s="58">
        <f t="shared" si="1082"/>
        <v>0</v>
      </c>
      <c r="AE898" s="58">
        <f t="shared" si="1082"/>
        <v>0</v>
      </c>
    </row>
    <row r="899" spans="2:31">
      <c r="B899" t="str">
        <f t="shared" si="1033"/>
        <v>Sem3939OSCAR GERARDO ASTURIAS RUIZ</v>
      </c>
      <c r="C899" t="str">
        <f t="shared" si="1034"/>
        <v>SEPTIEMBRESem39</v>
      </c>
      <c r="D899" t="str">
        <f t="shared" si="1035"/>
        <v>SEPTIEMBRESem39OSCAR GERARDO ASTURIAS RUIZ</v>
      </c>
      <c r="E899" t="str">
        <f t="shared" si="1036"/>
        <v>SEPTIEMBRESem3939OSCAR GERARDO ASTURIAS RUIZ</v>
      </c>
      <c r="F899" t="str">
        <f t="shared" si="1037"/>
        <v>OSCAR GERARDO ASTURIAS RUIZ46288</v>
      </c>
      <c r="H899" s="49" t="s">
        <v>230</v>
      </c>
      <c r="I899" s="50" t="str">
        <f>+_xlfn.XLOOKUP($H899&amp;$V899,BASEDATOS!$B:$B,BASEDATOS!F:F,0,0,1)</f>
        <v>DIA</v>
      </c>
      <c r="J899" s="51">
        <f>+_xlfn.XLOOKUP($H899&amp;$V899,BASEDATOS!$B:$B,BASEDATOS!Q:Q,0,0,1)</f>
        <v>0.29166666666666702</v>
      </c>
      <c r="K899" s="51">
        <f>+_xlfn.XLOOKUP($H899&amp;$V899,BASEDATOS!$B:$B,BASEDATOS!R:R,0,0,1)</f>
        <v>0.66666666666666696</v>
      </c>
      <c r="L899" s="51">
        <f t="shared" si="1038"/>
        <v>0.37499999999999994</v>
      </c>
      <c r="M899" s="52" t="str">
        <f t="shared" si="1039"/>
        <v>1:00</v>
      </c>
      <c r="N899" s="51">
        <f t="shared" si="1040"/>
        <v>0.33333333333333326</v>
      </c>
      <c r="O899" s="53" t="str">
        <f t="shared" ref="O899" si="1099">+O903</f>
        <v>6-0-1</v>
      </c>
      <c r="P899" s="54">
        <f>+IF(AND(Y899="Domingo",U899=7),_xlfn.XLOOKUP(O899,'Horarios y Sistemas'!C:C,'Horarios y Sistemas'!H:H,0,0,1),0)</f>
        <v>0</v>
      </c>
      <c r="Q899" s="54">
        <f>IF(U899=U900,0,IF(AVERAGEIF(W:W,W899,U:U)=U899,0,_xlfn.XLOOKUP(O899,'Horarios y Sistemas'!C:C,'Horarios y Sistemas'!H:H,0,0,1)-P899))/7*U899</f>
        <v>0</v>
      </c>
      <c r="R899" s="54">
        <f t="shared" si="1042"/>
        <v>0</v>
      </c>
      <c r="S899" s="55" t="str">
        <f t="shared" si="1043"/>
        <v>SEPTIEMBRE</v>
      </c>
      <c r="T899" s="55" t="str">
        <f t="shared" si="1044"/>
        <v>Sem39</v>
      </c>
      <c r="U899" s="56">
        <f t="shared" si="1026"/>
        <v>7</v>
      </c>
      <c r="V899" s="59">
        <v>46288</v>
      </c>
      <c r="W899" s="56">
        <f t="shared" si="1045"/>
        <v>39</v>
      </c>
      <c r="X899" s="56">
        <f t="shared" si="1046"/>
        <v>23</v>
      </c>
      <c r="Y899" s="56" t="s">
        <v>30</v>
      </c>
      <c r="Z899" s="56">
        <v>3</v>
      </c>
      <c r="AA899" s="58">
        <f t="shared" si="1082"/>
        <v>1</v>
      </c>
      <c r="AB899" s="58">
        <f t="shared" si="1082"/>
        <v>0</v>
      </c>
      <c r="AC899" s="58">
        <f t="shared" si="1082"/>
        <v>0</v>
      </c>
      <c r="AD899" s="58">
        <f t="shared" si="1082"/>
        <v>0</v>
      </c>
      <c r="AE899" s="58">
        <f t="shared" si="1082"/>
        <v>0</v>
      </c>
    </row>
    <row r="900" spans="2:31">
      <c r="B900" t="str">
        <f t="shared" si="1033"/>
        <v>Sem3939OSCAR GERARDO ASTURIAS RUIZ</v>
      </c>
      <c r="C900" t="str">
        <f t="shared" si="1034"/>
        <v>SEPTIEMBRESem39</v>
      </c>
      <c r="D900" t="str">
        <f t="shared" si="1035"/>
        <v>SEPTIEMBRESem39OSCAR GERARDO ASTURIAS RUIZ</v>
      </c>
      <c r="E900" t="str">
        <f t="shared" si="1036"/>
        <v>SEPTIEMBRESem3939OSCAR GERARDO ASTURIAS RUIZ</v>
      </c>
      <c r="F900" t="str">
        <f t="shared" si="1037"/>
        <v>OSCAR GERARDO ASTURIAS RUIZ46289</v>
      </c>
      <c r="H900" s="49" t="s">
        <v>230</v>
      </c>
      <c r="I900" s="50" t="str">
        <f>+_xlfn.XLOOKUP($H900&amp;$V900,BASEDATOS!$B:$B,BASEDATOS!F:F,0,0,1)</f>
        <v>DIA</v>
      </c>
      <c r="J900" s="51">
        <f>+_xlfn.XLOOKUP($H900&amp;$V900,BASEDATOS!$B:$B,BASEDATOS!Q:Q,0,0,1)</f>
        <v>0.375</v>
      </c>
      <c r="K900" s="51">
        <f>+_xlfn.XLOOKUP($H900&amp;$V900,BASEDATOS!$B:$B,BASEDATOS!R:R,0,0,1)</f>
        <v>0.75</v>
      </c>
      <c r="L900" s="51">
        <f t="shared" si="1038"/>
        <v>0.375</v>
      </c>
      <c r="M900" s="52" t="str">
        <f t="shared" si="1039"/>
        <v>1:00</v>
      </c>
      <c r="N900" s="51">
        <f t="shared" si="1040"/>
        <v>0.33333333333333331</v>
      </c>
      <c r="O900" s="53" t="str">
        <f t="shared" ref="O900" si="1100">+O903</f>
        <v>6-0-1</v>
      </c>
      <c r="P900" s="54">
        <f>+IF(AND(Y900="Domingo",U900=7),_xlfn.XLOOKUP(O900,'Horarios y Sistemas'!C:C,'Horarios y Sistemas'!H:H,0,0,1),0)</f>
        <v>0</v>
      </c>
      <c r="Q900" s="54">
        <f>IF(U900=U901,0,IF(AVERAGEIF(W:W,W900,U:U)=U900,0,_xlfn.XLOOKUP(O900,'Horarios y Sistemas'!C:C,'Horarios y Sistemas'!H:H,0,0,1)-P900))/7*U900</f>
        <v>0</v>
      </c>
      <c r="R900" s="54">
        <f t="shared" si="1042"/>
        <v>0</v>
      </c>
      <c r="S900" s="55" t="str">
        <f t="shared" si="1043"/>
        <v>SEPTIEMBRE</v>
      </c>
      <c r="T900" s="55" t="str">
        <f t="shared" si="1044"/>
        <v>Sem39</v>
      </c>
      <c r="U900" s="56">
        <f t="shared" si="1026"/>
        <v>7</v>
      </c>
      <c r="V900" s="59">
        <v>46289</v>
      </c>
      <c r="W900" s="56">
        <f t="shared" si="1045"/>
        <v>39</v>
      </c>
      <c r="X900" s="56">
        <f t="shared" si="1046"/>
        <v>24</v>
      </c>
      <c r="Y900" s="56" t="s">
        <v>31</v>
      </c>
      <c r="Z900" s="56">
        <v>4</v>
      </c>
      <c r="AA900" s="58">
        <f t="shared" si="1082"/>
        <v>1</v>
      </c>
      <c r="AB900" s="58">
        <f t="shared" si="1082"/>
        <v>0</v>
      </c>
      <c r="AC900" s="58">
        <f t="shared" si="1082"/>
        <v>0</v>
      </c>
      <c r="AD900" s="58">
        <f t="shared" si="1082"/>
        <v>0</v>
      </c>
      <c r="AE900" s="58">
        <f t="shared" si="1082"/>
        <v>0</v>
      </c>
    </row>
    <row r="901" spans="2:31">
      <c r="B901" t="str">
        <f t="shared" si="1033"/>
        <v>Sem3939OSCAR GERARDO ASTURIAS RUIZ</v>
      </c>
      <c r="C901" t="str">
        <f t="shared" si="1034"/>
        <v>SEPTIEMBRESem39</v>
      </c>
      <c r="D901" t="str">
        <f t="shared" si="1035"/>
        <v>SEPTIEMBRESem39OSCAR GERARDO ASTURIAS RUIZ</v>
      </c>
      <c r="E901" t="str">
        <f t="shared" si="1036"/>
        <v>SEPTIEMBRESem3939OSCAR GERARDO ASTURIAS RUIZ</v>
      </c>
      <c r="F901" t="str">
        <f t="shared" si="1037"/>
        <v>OSCAR GERARDO ASTURIAS RUIZ46290</v>
      </c>
      <c r="H901" s="49" t="s">
        <v>230</v>
      </c>
      <c r="I901" s="50" t="str">
        <f>+_xlfn.XLOOKUP($H901&amp;$V901,BASEDATOS!$B:$B,BASEDATOS!F:F,0,0,1)</f>
        <v>DIA</v>
      </c>
      <c r="J901" s="51">
        <f>+_xlfn.XLOOKUP($H901&amp;$V901,BASEDATOS!$B:$B,BASEDATOS!Q:Q,0,0,1)</f>
        <v>0.29166666666666702</v>
      </c>
      <c r="K901" s="51">
        <f>+_xlfn.XLOOKUP($H901&amp;$V901,BASEDATOS!$B:$B,BASEDATOS!R:R,0,0,1)</f>
        <v>0.66666666666666696</v>
      </c>
      <c r="L901" s="51">
        <f t="shared" si="1038"/>
        <v>0.37499999999999994</v>
      </c>
      <c r="M901" s="52" t="str">
        <f t="shared" si="1039"/>
        <v>1:00</v>
      </c>
      <c r="N901" s="51">
        <f t="shared" si="1040"/>
        <v>0.33333333333333326</v>
      </c>
      <c r="O901" s="53" t="str">
        <f t="shared" ref="O901" si="1101">+O903</f>
        <v>6-0-1</v>
      </c>
      <c r="P901" s="54">
        <f>+IF(AND(Y901="Domingo",U901=7),_xlfn.XLOOKUP(O901,'Horarios y Sistemas'!C:C,'Horarios y Sistemas'!H:H,0,0,1),0)</f>
        <v>0</v>
      </c>
      <c r="Q901" s="54">
        <f>IF(U901=U902,0,IF(AVERAGEIF(W:W,W901,U:U)=U901,0,_xlfn.XLOOKUP(O901,'Horarios y Sistemas'!C:C,'Horarios y Sistemas'!H:H,0,0,1)-P901))/7*U901</f>
        <v>0</v>
      </c>
      <c r="R901" s="54">
        <f t="shared" si="1042"/>
        <v>0</v>
      </c>
      <c r="S901" s="55" t="str">
        <f t="shared" si="1043"/>
        <v>SEPTIEMBRE</v>
      </c>
      <c r="T901" s="55" t="str">
        <f t="shared" si="1044"/>
        <v>Sem39</v>
      </c>
      <c r="U901" s="56">
        <f t="shared" si="1026"/>
        <v>7</v>
      </c>
      <c r="V901" s="59">
        <v>46290</v>
      </c>
      <c r="W901" s="56">
        <f t="shared" si="1045"/>
        <v>39</v>
      </c>
      <c r="X901" s="56">
        <f t="shared" si="1046"/>
        <v>25</v>
      </c>
      <c r="Y901" s="56" t="s">
        <v>32</v>
      </c>
      <c r="Z901" s="56">
        <v>5</v>
      </c>
      <c r="AA901" s="58">
        <f t="shared" si="1082"/>
        <v>1</v>
      </c>
      <c r="AB901" s="58">
        <f t="shared" si="1082"/>
        <v>0</v>
      </c>
      <c r="AC901" s="58">
        <f t="shared" si="1082"/>
        <v>0</v>
      </c>
      <c r="AD901" s="58">
        <f t="shared" si="1082"/>
        <v>0</v>
      </c>
      <c r="AE901" s="58">
        <f t="shared" si="1082"/>
        <v>0</v>
      </c>
    </row>
    <row r="902" spans="2:31">
      <c r="B902" t="str">
        <f t="shared" si="1033"/>
        <v>Sem3939OSCAR GERARDO ASTURIAS RUIZ</v>
      </c>
      <c r="C902" t="str">
        <f t="shared" si="1034"/>
        <v>SEPTIEMBRESem39</v>
      </c>
      <c r="D902" t="str">
        <f t="shared" si="1035"/>
        <v>SEPTIEMBRESem39OSCAR GERARDO ASTURIAS RUIZ</v>
      </c>
      <c r="E902" t="str">
        <f t="shared" si="1036"/>
        <v>SEPTIEMBRESem3939OSCAR GERARDO ASTURIAS RUIZ</v>
      </c>
      <c r="F902" t="str">
        <f t="shared" si="1037"/>
        <v>OSCAR GERARDO ASTURIAS RUIZ46291</v>
      </c>
      <c r="H902" s="49" t="s">
        <v>230</v>
      </c>
      <c r="I902" s="50" t="str">
        <f>+_xlfn.XLOOKUP($H902&amp;$V902,BASEDATOS!$B:$B,BASEDATOS!F:F,0,0,1)</f>
        <v>DIA</v>
      </c>
      <c r="J902" s="51">
        <f>+_xlfn.XLOOKUP($H902&amp;$V902,BASEDATOS!$B:$B,BASEDATOS!Q:Q,0,0,1)</f>
        <v>0.29166666666666702</v>
      </c>
      <c r="K902" s="51">
        <f>+_xlfn.XLOOKUP($H902&amp;$V902,BASEDATOS!$B:$B,BASEDATOS!R:R,0,0,1)</f>
        <v>0.5</v>
      </c>
      <c r="L902" s="51">
        <f t="shared" si="1038"/>
        <v>0.20833333333333298</v>
      </c>
      <c r="M902" s="52" t="str">
        <f t="shared" si="1039"/>
        <v>1:00</v>
      </c>
      <c r="N902" s="51">
        <f t="shared" si="1040"/>
        <v>0.16666666666666632</v>
      </c>
      <c r="O902" s="53" t="str">
        <f t="shared" ref="O902" si="1102">+O903</f>
        <v>6-0-1</v>
      </c>
      <c r="P902" s="54">
        <f>+IF(AND(Y902="Domingo",U902=7),_xlfn.XLOOKUP(O902,'Horarios y Sistemas'!C:C,'Horarios y Sistemas'!H:H,0,0,1),0)</f>
        <v>0</v>
      </c>
      <c r="Q902" s="54">
        <f>IF(U902=U903,0,IF(AVERAGEIF(W:W,W902,U:U)=U902,0,_xlfn.XLOOKUP(O902,'Horarios y Sistemas'!C:C,'Horarios y Sistemas'!H:H,0,0,1)-P902))/7*U902</f>
        <v>0</v>
      </c>
      <c r="R902" s="54">
        <f t="shared" si="1042"/>
        <v>0</v>
      </c>
      <c r="S902" s="55" t="str">
        <f t="shared" si="1043"/>
        <v>SEPTIEMBRE</v>
      </c>
      <c r="T902" s="55" t="str">
        <f t="shared" si="1044"/>
        <v>Sem39</v>
      </c>
      <c r="U902" s="56">
        <f t="shared" si="1026"/>
        <v>7</v>
      </c>
      <c r="V902" s="59">
        <v>46291</v>
      </c>
      <c r="W902" s="56">
        <f t="shared" si="1045"/>
        <v>39</v>
      </c>
      <c r="X902" s="56">
        <f t="shared" si="1046"/>
        <v>26</v>
      </c>
      <c r="Y902" s="56" t="s">
        <v>33</v>
      </c>
      <c r="Z902" s="56">
        <v>6</v>
      </c>
      <c r="AA902" s="58">
        <f t="shared" si="1082"/>
        <v>1</v>
      </c>
      <c r="AB902" s="58">
        <f t="shared" si="1082"/>
        <v>0</v>
      </c>
      <c r="AC902" s="58">
        <f t="shared" si="1082"/>
        <v>0</v>
      </c>
      <c r="AD902" s="58">
        <f t="shared" si="1082"/>
        <v>0</v>
      </c>
      <c r="AE902" s="58">
        <f t="shared" si="1082"/>
        <v>0</v>
      </c>
    </row>
    <row r="903" spans="2:31">
      <c r="B903" s="60" t="str">
        <f t="shared" si="1033"/>
        <v>Sem3939OSCAR GERARDO ASTURIAS RUIZ</v>
      </c>
      <c r="C903" s="60" t="str">
        <f t="shared" si="1034"/>
        <v>SEPTIEMBRESem39</v>
      </c>
      <c r="D903" s="60" t="str">
        <f t="shared" si="1035"/>
        <v>SEPTIEMBRESem39OSCAR GERARDO ASTURIAS RUIZ</v>
      </c>
      <c r="E903" s="60" t="str">
        <f t="shared" si="1036"/>
        <v>SEPTIEMBRESem3939OSCAR GERARDO ASTURIAS RUIZ</v>
      </c>
      <c r="F903" s="60" t="str">
        <f t="shared" si="1037"/>
        <v>OSCAR GERARDO ASTURIAS RUIZ46292</v>
      </c>
      <c r="G903" s="60"/>
      <c r="H903" s="61" t="s">
        <v>230</v>
      </c>
      <c r="I903" s="62" t="str">
        <f>+_xlfn.XLOOKUP($H903&amp;$V903,BASEDATOS!$B:$B,BASEDATOS!F:F,0,0,1)</f>
        <v>DESCANSO</v>
      </c>
      <c r="J903" s="63">
        <f>+_xlfn.XLOOKUP($H903&amp;$V903,BASEDATOS!$B:$B,BASEDATOS!Q:Q,0,0,1)</f>
        <v>0</v>
      </c>
      <c r="K903" s="63">
        <f>+_xlfn.XLOOKUP($H903&amp;$V903,BASEDATOS!$B:$B,BASEDATOS!R:R,0,0,1)</f>
        <v>0</v>
      </c>
      <c r="L903" s="63">
        <f t="shared" si="1038"/>
        <v>0</v>
      </c>
      <c r="M903" s="64">
        <f t="shared" si="1039"/>
        <v>0</v>
      </c>
      <c r="N903" s="63">
        <f t="shared" si="1040"/>
        <v>0</v>
      </c>
      <c r="O903" s="65" t="str">
        <f t="shared" ref="O903" si="1103">+IF(Y903="Domingo",SUM(AA897:AA903)&amp;"-"&amp;SUM(AB897:AB903)&amp;"-"&amp;SUM(AC897:AE903),"")</f>
        <v>6-0-1</v>
      </c>
      <c r="P903" s="66">
        <f>+IF(AND(Y903="Domingo",U903=7),_xlfn.XLOOKUP(O903,'Horarios y Sistemas'!C:C,'Horarios y Sistemas'!H:H,0,0,1),0)</f>
        <v>44</v>
      </c>
      <c r="Q903" s="66">
        <f>IF(U903=U904,0,IF(AVERAGEIF(W:W,W903,U:U)=U903,0,_xlfn.XLOOKUP(O903,'Horarios y Sistemas'!C:C,'Horarios y Sistemas'!H:H,0,0,1)-P903))/7*U903</f>
        <v>0</v>
      </c>
      <c r="R903" s="66">
        <f t="shared" si="1042"/>
        <v>44</v>
      </c>
      <c r="S903" s="67" t="str">
        <f t="shared" si="1043"/>
        <v>SEPTIEMBRE</v>
      </c>
      <c r="T903" s="55" t="str">
        <f t="shared" si="1044"/>
        <v>Sem39</v>
      </c>
      <c r="U903" s="68">
        <f t="shared" si="1026"/>
        <v>7</v>
      </c>
      <c r="V903" s="69">
        <v>46292</v>
      </c>
      <c r="W903" s="68">
        <f t="shared" si="1045"/>
        <v>39</v>
      </c>
      <c r="X903" s="68">
        <f t="shared" si="1046"/>
        <v>27</v>
      </c>
      <c r="Y903" s="68" t="s">
        <v>34</v>
      </c>
      <c r="Z903" s="68">
        <v>7</v>
      </c>
      <c r="AA903" s="70">
        <f t="shared" si="1082"/>
        <v>0</v>
      </c>
      <c r="AB903" s="70">
        <f t="shared" si="1082"/>
        <v>0</v>
      </c>
      <c r="AC903" s="70">
        <f t="shared" si="1082"/>
        <v>1</v>
      </c>
      <c r="AD903" s="70">
        <f t="shared" si="1082"/>
        <v>0</v>
      </c>
      <c r="AE903" s="70">
        <f t="shared" si="1082"/>
        <v>0</v>
      </c>
    </row>
    <row r="904" spans="2:31">
      <c r="B904" t="str">
        <f t="shared" si="1033"/>
        <v>Sem4040OSCAR GERARDO ASTURIAS RUIZ</v>
      </c>
      <c r="C904" t="str">
        <f t="shared" si="1034"/>
        <v>SEPTIEMBRESem40</v>
      </c>
      <c r="D904" t="str">
        <f t="shared" si="1035"/>
        <v>SEPTIEMBRESem40OSCAR GERARDO ASTURIAS RUIZ</v>
      </c>
      <c r="E904" t="str">
        <f t="shared" si="1036"/>
        <v>SEPTIEMBRESem4040OSCAR GERARDO ASTURIAS RUIZ</v>
      </c>
      <c r="F904" t="str">
        <f t="shared" si="1037"/>
        <v>OSCAR GERARDO ASTURIAS RUIZ46293</v>
      </c>
      <c r="H904" s="49" t="s">
        <v>230</v>
      </c>
      <c r="I904" s="50" t="str">
        <f>+_xlfn.XLOOKUP($H904&amp;$V904,BASEDATOS!$B:$B,BASEDATOS!F:F,0,0,1)</f>
        <v>NOCHE</v>
      </c>
      <c r="J904" s="51">
        <f>+_xlfn.XLOOKUP($H904&amp;$V904,BASEDATOS!$B:$B,BASEDATOS!Q:Q,0,0,1)</f>
        <v>0.79166666666666696</v>
      </c>
      <c r="K904" s="51">
        <f>+_xlfn.XLOOKUP($H904&amp;$V904,BASEDATOS!$B:$B,BASEDATOS!R:R,0,0,1)</f>
        <v>0.20833333333333301</v>
      </c>
      <c r="L904" s="51">
        <f t="shared" si="1038"/>
        <v>0.41666666666666607</v>
      </c>
      <c r="M904" s="52" t="str">
        <f t="shared" si="1039"/>
        <v>1:00</v>
      </c>
      <c r="N904" s="51">
        <f t="shared" si="1040"/>
        <v>0.37499999999999939</v>
      </c>
      <c r="O904" s="53" t="str">
        <f t="shared" ref="O904" si="1104">+O910</f>
        <v>1-4-2</v>
      </c>
      <c r="P904" s="54">
        <f>+IF(AND(Y904="Domingo",U904=7),_xlfn.XLOOKUP(O904,'Horarios y Sistemas'!C:C,'Horarios y Sistemas'!H:H,0,0,1),0)</f>
        <v>0</v>
      </c>
      <c r="Q904" s="54">
        <f>IF(U904=U905,0,IF(AVERAGEIF(W:W,W904,U:U)=U904,0,_xlfn.XLOOKUP(O904,'Horarios y Sistemas'!C:C,'Horarios y Sistemas'!H:H,0,0,1)-P904))/7*U904</f>
        <v>0</v>
      </c>
      <c r="R904" s="54">
        <f t="shared" si="1042"/>
        <v>0</v>
      </c>
      <c r="S904" s="55" t="str">
        <f t="shared" si="1043"/>
        <v>SEPTIEMBRE</v>
      </c>
      <c r="T904" s="55" t="str">
        <f t="shared" si="1044"/>
        <v>Sem40</v>
      </c>
      <c r="U904" s="56">
        <f t="shared" ref="U904:U967" si="1105">+COUNTIF(B:B,B904)</f>
        <v>7</v>
      </c>
      <c r="V904" s="59">
        <v>46293</v>
      </c>
      <c r="W904" s="56">
        <f t="shared" si="1045"/>
        <v>40</v>
      </c>
      <c r="X904" s="56">
        <f t="shared" si="1046"/>
        <v>28</v>
      </c>
      <c r="Y904" s="56" t="s">
        <v>28</v>
      </c>
      <c r="Z904" s="56">
        <v>1</v>
      </c>
      <c r="AA904" s="58">
        <f t="shared" si="1082"/>
        <v>0</v>
      </c>
      <c r="AB904" s="58">
        <f t="shared" si="1082"/>
        <v>1</v>
      </c>
      <c r="AC904" s="58">
        <f t="shared" si="1082"/>
        <v>0</v>
      </c>
      <c r="AD904" s="58">
        <f t="shared" si="1082"/>
        <v>0</v>
      </c>
      <c r="AE904" s="58">
        <f t="shared" si="1082"/>
        <v>0</v>
      </c>
    </row>
    <row r="905" spans="2:31">
      <c r="B905" t="str">
        <f t="shared" si="1033"/>
        <v>Sem4040OSCAR GERARDO ASTURIAS RUIZ</v>
      </c>
      <c r="C905" t="str">
        <f t="shared" si="1034"/>
        <v>SEPTIEMBRESem40</v>
      </c>
      <c r="D905" t="str">
        <f t="shared" si="1035"/>
        <v>SEPTIEMBRESem40OSCAR GERARDO ASTURIAS RUIZ</v>
      </c>
      <c r="E905" t="str">
        <f t="shared" si="1036"/>
        <v>SEPTIEMBRESem4040OSCAR GERARDO ASTURIAS RUIZ</v>
      </c>
      <c r="F905" t="str">
        <f t="shared" si="1037"/>
        <v>OSCAR GERARDO ASTURIAS RUIZ46294</v>
      </c>
      <c r="H905" s="49" t="s">
        <v>230</v>
      </c>
      <c r="I905" s="50" t="str">
        <f>+_xlfn.XLOOKUP($H905&amp;$V905,BASEDATOS!$B:$B,BASEDATOS!F:F,0,0,1)</f>
        <v>DIA</v>
      </c>
      <c r="J905" s="51">
        <f>+_xlfn.XLOOKUP($H905&amp;$V905,BASEDATOS!$B:$B,BASEDATOS!Q:Q,0,0,1)</f>
        <v>0.33333333333333298</v>
      </c>
      <c r="K905" s="51">
        <f>+_xlfn.XLOOKUP($H905&amp;$V905,BASEDATOS!$B:$B,BASEDATOS!R:R,0,0,1)</f>
        <v>0.70833333333333304</v>
      </c>
      <c r="L905" s="51">
        <f t="shared" si="1038"/>
        <v>0.37500000000000006</v>
      </c>
      <c r="M905" s="52" t="str">
        <f t="shared" si="1039"/>
        <v>1:00</v>
      </c>
      <c r="N905" s="51">
        <f t="shared" si="1040"/>
        <v>0.33333333333333337</v>
      </c>
      <c r="O905" s="53" t="str">
        <f t="shared" ref="O905" si="1106">+O910</f>
        <v>1-4-2</v>
      </c>
      <c r="P905" s="54">
        <f>+IF(AND(Y905="Domingo",U905=7),_xlfn.XLOOKUP(O905,'Horarios y Sistemas'!C:C,'Horarios y Sistemas'!H:H,0,0,1),0)</f>
        <v>0</v>
      </c>
      <c r="Q905" s="54">
        <f>IF(U905=U906,0,IF(AVERAGEIF(W:W,W905,U:U)=U905,0,_xlfn.XLOOKUP(O905,'Horarios y Sistemas'!C:C,'Horarios y Sistemas'!H:H,0,0,1)-P905))/7*U905</f>
        <v>0</v>
      </c>
      <c r="R905" s="54">
        <f t="shared" si="1042"/>
        <v>0</v>
      </c>
      <c r="S905" s="55" t="str">
        <f t="shared" si="1043"/>
        <v>SEPTIEMBRE</v>
      </c>
      <c r="T905" s="55" t="str">
        <f t="shared" si="1044"/>
        <v>Sem40</v>
      </c>
      <c r="U905" s="56">
        <f t="shared" si="1105"/>
        <v>7</v>
      </c>
      <c r="V905" s="59">
        <v>46294</v>
      </c>
      <c r="W905" s="56">
        <f t="shared" si="1045"/>
        <v>40</v>
      </c>
      <c r="X905" s="56">
        <f t="shared" si="1046"/>
        <v>29</v>
      </c>
      <c r="Y905" s="56" t="s">
        <v>29</v>
      </c>
      <c r="Z905" s="56">
        <v>2</v>
      </c>
      <c r="AA905" s="58">
        <f t="shared" si="1082"/>
        <v>1</v>
      </c>
      <c r="AB905" s="58">
        <f t="shared" si="1082"/>
        <v>0</v>
      </c>
      <c r="AC905" s="58">
        <f t="shared" si="1082"/>
        <v>0</v>
      </c>
      <c r="AD905" s="58">
        <f t="shared" si="1082"/>
        <v>0</v>
      </c>
      <c r="AE905" s="58">
        <f t="shared" si="1082"/>
        <v>0</v>
      </c>
    </row>
    <row r="906" spans="2:31">
      <c r="B906" t="str">
        <f t="shared" si="1033"/>
        <v>Sem4040OSCAR GERARDO ASTURIAS RUIZ</v>
      </c>
      <c r="C906" t="str">
        <f t="shared" si="1034"/>
        <v>SEPTIEMBRESem40</v>
      </c>
      <c r="D906" t="str">
        <f t="shared" si="1035"/>
        <v>SEPTIEMBRESem40OSCAR GERARDO ASTURIAS RUIZ</v>
      </c>
      <c r="E906" t="str">
        <f t="shared" si="1036"/>
        <v>SEPTIEMBRESem4040OSCAR GERARDO ASTURIAS RUIZ</v>
      </c>
      <c r="F906" t="str">
        <f t="shared" si="1037"/>
        <v>OSCAR GERARDO ASTURIAS RUIZ46295</v>
      </c>
      <c r="H906" s="49" t="s">
        <v>230</v>
      </c>
      <c r="I906" s="50" t="str">
        <f>+_xlfn.XLOOKUP($H906&amp;$V906,BASEDATOS!$B:$B,BASEDATOS!F:F,0,0,1)</f>
        <v>NOCHE</v>
      </c>
      <c r="J906" s="51">
        <f>+_xlfn.XLOOKUP($H906&amp;$V906,BASEDATOS!$B:$B,BASEDATOS!Q:Q,0,0,1)</f>
        <v>0.79166666666666696</v>
      </c>
      <c r="K906" s="51">
        <f>+_xlfn.XLOOKUP($H906&amp;$V906,BASEDATOS!$B:$B,BASEDATOS!R:R,0,0,1)</f>
        <v>0.20833333333333301</v>
      </c>
      <c r="L906" s="51">
        <f t="shared" si="1038"/>
        <v>0.41666666666666607</v>
      </c>
      <c r="M906" s="52" t="str">
        <f t="shared" si="1039"/>
        <v>1:00</v>
      </c>
      <c r="N906" s="51">
        <f t="shared" si="1040"/>
        <v>0.37499999999999939</v>
      </c>
      <c r="O906" s="53" t="str">
        <f t="shared" ref="O906" si="1107">+O910</f>
        <v>1-4-2</v>
      </c>
      <c r="P906" s="54">
        <f>+IF(AND(Y906="Domingo",U906=7),_xlfn.XLOOKUP(O906,'Horarios y Sistemas'!C:C,'Horarios y Sistemas'!H:H,0,0,1),0)</f>
        <v>0</v>
      </c>
      <c r="Q906" s="54">
        <f>IF(U906=U907,0,IF(AVERAGEIF(W:W,W906,U:U)=U906,0,_xlfn.XLOOKUP(O906,'Horarios y Sistemas'!C:C,'Horarios y Sistemas'!H:H,0,0,1)-P906))/7*U906</f>
        <v>0</v>
      </c>
      <c r="R906" s="54">
        <f t="shared" si="1042"/>
        <v>0</v>
      </c>
      <c r="S906" s="55" t="str">
        <f t="shared" si="1043"/>
        <v>SEPTIEMBRE</v>
      </c>
      <c r="T906" s="55" t="str">
        <f t="shared" si="1044"/>
        <v>Sem40</v>
      </c>
      <c r="U906" s="56">
        <f t="shared" si="1105"/>
        <v>7</v>
      </c>
      <c r="V906" s="59">
        <v>46295</v>
      </c>
      <c r="W906" s="56">
        <f t="shared" si="1045"/>
        <v>40</v>
      </c>
      <c r="X906" s="56">
        <f t="shared" si="1046"/>
        <v>30</v>
      </c>
      <c r="Y906" s="56" t="s">
        <v>30</v>
      </c>
      <c r="Z906" s="56">
        <v>3</v>
      </c>
      <c r="AA906" s="58">
        <f t="shared" si="1082"/>
        <v>0</v>
      </c>
      <c r="AB906" s="58">
        <f t="shared" si="1082"/>
        <v>1</v>
      </c>
      <c r="AC906" s="58">
        <f t="shared" si="1082"/>
        <v>0</v>
      </c>
      <c r="AD906" s="58">
        <f t="shared" si="1082"/>
        <v>0</v>
      </c>
      <c r="AE906" s="58">
        <f t="shared" si="1082"/>
        <v>0</v>
      </c>
    </row>
    <row r="907" spans="2:31">
      <c r="B907" t="str">
        <f t="shared" si="1033"/>
        <v>Sem4040OSCAR GERARDO ASTURIAS RUIZ</v>
      </c>
      <c r="C907" t="str">
        <f t="shared" si="1034"/>
        <v>OCTUBRESem40</v>
      </c>
      <c r="D907" t="str">
        <f t="shared" si="1035"/>
        <v>OCTUBRESem40OSCAR GERARDO ASTURIAS RUIZ</v>
      </c>
      <c r="E907" t="str">
        <f t="shared" si="1036"/>
        <v>OCTUBRESem4040OSCAR GERARDO ASTURIAS RUIZ</v>
      </c>
      <c r="F907" t="str">
        <f t="shared" si="1037"/>
        <v>OSCAR GERARDO ASTURIAS RUIZ46296</v>
      </c>
      <c r="H907" s="49" t="s">
        <v>230</v>
      </c>
      <c r="I907" s="50" t="str">
        <f>+_xlfn.XLOOKUP($H907&amp;$V907,BASEDATOS!$B:$B,BASEDATOS!F:F,0,0,1)</f>
        <v>NOCHE</v>
      </c>
      <c r="J907" s="51">
        <f>+_xlfn.XLOOKUP($H907&amp;$V907,BASEDATOS!$B:$B,BASEDATOS!Q:Q,0,0,1)</f>
        <v>0.79166666666666696</v>
      </c>
      <c r="K907" s="51">
        <f>+_xlfn.XLOOKUP($H907&amp;$V907,BASEDATOS!$B:$B,BASEDATOS!R:R,0,0,1)</f>
        <v>0.20833333333333301</v>
      </c>
      <c r="L907" s="51">
        <f t="shared" si="1038"/>
        <v>0.41666666666666607</v>
      </c>
      <c r="M907" s="52" t="str">
        <f t="shared" si="1039"/>
        <v>1:00</v>
      </c>
      <c r="N907" s="51">
        <f t="shared" si="1040"/>
        <v>0.37499999999999939</v>
      </c>
      <c r="O907" s="53" t="str">
        <f t="shared" ref="O907" si="1108">+O910</f>
        <v>1-4-2</v>
      </c>
      <c r="P907" s="54">
        <f>+IF(AND(Y907="Domingo",U907=7),_xlfn.XLOOKUP(O907,'Horarios y Sistemas'!C:C,'Horarios y Sistemas'!H:H,0,0,1),0)</f>
        <v>0</v>
      </c>
      <c r="Q907" s="54">
        <f>IF(U907=U908,0,IF(AVERAGEIF(W:W,W907,U:U)=U907,0,_xlfn.XLOOKUP(O907,'Horarios y Sistemas'!C:C,'Horarios y Sistemas'!H:H,0,0,1)-P907))/7*U907</f>
        <v>0</v>
      </c>
      <c r="R907" s="54">
        <f t="shared" si="1042"/>
        <v>0</v>
      </c>
      <c r="S907" s="55" t="str">
        <f t="shared" si="1043"/>
        <v>OCTUBRE</v>
      </c>
      <c r="T907" s="55" t="str">
        <f t="shared" si="1044"/>
        <v>Sem40</v>
      </c>
      <c r="U907" s="56">
        <f t="shared" si="1105"/>
        <v>7</v>
      </c>
      <c r="V907" s="59">
        <v>46296</v>
      </c>
      <c r="W907" s="56">
        <f t="shared" si="1045"/>
        <v>40</v>
      </c>
      <c r="X907" s="56">
        <f t="shared" si="1046"/>
        <v>1</v>
      </c>
      <c r="Y907" s="56" t="s">
        <v>31</v>
      </c>
      <c r="Z907" s="56">
        <v>4</v>
      </c>
      <c r="AA907" s="58">
        <f t="shared" si="1082"/>
        <v>0</v>
      </c>
      <c r="AB907" s="58">
        <f t="shared" si="1082"/>
        <v>1</v>
      </c>
      <c r="AC907" s="58">
        <f t="shared" si="1082"/>
        <v>0</v>
      </c>
      <c r="AD907" s="58">
        <f t="shared" si="1082"/>
        <v>0</v>
      </c>
      <c r="AE907" s="58">
        <f t="shared" si="1082"/>
        <v>0</v>
      </c>
    </row>
    <row r="908" spans="2:31">
      <c r="B908" t="str">
        <f t="shared" si="1033"/>
        <v>Sem4040OSCAR GERARDO ASTURIAS RUIZ</v>
      </c>
      <c r="C908" t="str">
        <f t="shared" si="1034"/>
        <v>OCTUBRESem40</v>
      </c>
      <c r="D908" t="str">
        <f t="shared" si="1035"/>
        <v>OCTUBRESem40OSCAR GERARDO ASTURIAS RUIZ</v>
      </c>
      <c r="E908" t="str">
        <f t="shared" si="1036"/>
        <v>OCTUBRESem4040OSCAR GERARDO ASTURIAS RUIZ</v>
      </c>
      <c r="F908" t="str">
        <f t="shared" si="1037"/>
        <v>OSCAR GERARDO ASTURIAS RUIZ46297</v>
      </c>
      <c r="H908" s="49" t="s">
        <v>230</v>
      </c>
      <c r="I908" s="50" t="str">
        <f>+_xlfn.XLOOKUP($H908&amp;$V908,BASEDATOS!$B:$B,BASEDATOS!F:F,0,0,1)</f>
        <v>NOCHE</v>
      </c>
      <c r="J908" s="51">
        <f>+_xlfn.XLOOKUP($H908&amp;$V908,BASEDATOS!$B:$B,BASEDATOS!Q:Q,0,0,1)</f>
        <v>0.79166666666666696</v>
      </c>
      <c r="K908" s="51">
        <f>+_xlfn.XLOOKUP($H908&amp;$V908,BASEDATOS!$B:$B,BASEDATOS!R:R,0,0,1)</f>
        <v>0.20833333333333301</v>
      </c>
      <c r="L908" s="51">
        <f t="shared" si="1038"/>
        <v>0.41666666666666607</v>
      </c>
      <c r="M908" s="52" t="str">
        <f t="shared" si="1039"/>
        <v>1:00</v>
      </c>
      <c r="N908" s="51">
        <f t="shared" si="1040"/>
        <v>0.37499999999999939</v>
      </c>
      <c r="O908" s="53" t="str">
        <f t="shared" ref="O908" si="1109">+O910</f>
        <v>1-4-2</v>
      </c>
      <c r="P908" s="54">
        <f>+IF(AND(Y908="Domingo",U908=7),_xlfn.XLOOKUP(O908,'Horarios y Sistemas'!C:C,'Horarios y Sistemas'!H:H,0,0,1),0)</f>
        <v>0</v>
      </c>
      <c r="Q908" s="54">
        <f>IF(U908=U909,0,IF(AVERAGEIF(W:W,W908,U:U)=U908,0,_xlfn.XLOOKUP(O908,'Horarios y Sistemas'!C:C,'Horarios y Sistemas'!H:H,0,0,1)-P908))/7*U908</f>
        <v>0</v>
      </c>
      <c r="R908" s="54">
        <f t="shared" si="1042"/>
        <v>0</v>
      </c>
      <c r="S908" s="55" t="str">
        <f t="shared" si="1043"/>
        <v>OCTUBRE</v>
      </c>
      <c r="T908" s="55" t="str">
        <f t="shared" si="1044"/>
        <v>Sem40</v>
      </c>
      <c r="U908" s="56">
        <f t="shared" si="1105"/>
        <v>7</v>
      </c>
      <c r="V908" s="59">
        <v>46297</v>
      </c>
      <c r="W908" s="56">
        <f t="shared" si="1045"/>
        <v>40</v>
      </c>
      <c r="X908" s="56">
        <f t="shared" si="1046"/>
        <v>2</v>
      </c>
      <c r="Y908" s="56" t="s">
        <v>32</v>
      </c>
      <c r="Z908" s="56">
        <v>5</v>
      </c>
      <c r="AA908" s="58">
        <f t="shared" si="1082"/>
        <v>0</v>
      </c>
      <c r="AB908" s="58">
        <f t="shared" si="1082"/>
        <v>1</v>
      </c>
      <c r="AC908" s="58">
        <f t="shared" si="1082"/>
        <v>0</v>
      </c>
      <c r="AD908" s="58">
        <f t="shared" si="1082"/>
        <v>0</v>
      </c>
      <c r="AE908" s="58">
        <f t="shared" si="1082"/>
        <v>0</v>
      </c>
    </row>
    <row r="909" spans="2:31">
      <c r="B909" t="str">
        <f t="shared" si="1033"/>
        <v>Sem4040OSCAR GERARDO ASTURIAS RUIZ</v>
      </c>
      <c r="C909" t="str">
        <f t="shared" si="1034"/>
        <v>OCTUBRESem40</v>
      </c>
      <c r="D909" t="str">
        <f t="shared" si="1035"/>
        <v>OCTUBRESem40OSCAR GERARDO ASTURIAS RUIZ</v>
      </c>
      <c r="E909" t="str">
        <f t="shared" si="1036"/>
        <v>OCTUBRESem4040OSCAR GERARDO ASTURIAS RUIZ</v>
      </c>
      <c r="F909" t="str">
        <f t="shared" si="1037"/>
        <v>OSCAR GERARDO ASTURIAS RUIZ46298</v>
      </c>
      <c r="H909" s="49" t="s">
        <v>230</v>
      </c>
      <c r="I909" s="50" t="str">
        <f>+_xlfn.XLOOKUP($H909&amp;$V909,BASEDATOS!$B:$B,BASEDATOS!F:F,0,0,1)</f>
        <v>DESCANSO</v>
      </c>
      <c r="J909" s="51">
        <f>+_xlfn.XLOOKUP($H909&amp;$V909,BASEDATOS!$B:$B,BASEDATOS!Q:Q,0,0,1)</f>
        <v>0</v>
      </c>
      <c r="K909" s="51">
        <f>+_xlfn.XLOOKUP($H909&amp;$V909,BASEDATOS!$B:$B,BASEDATOS!R:R,0,0,1)</f>
        <v>0</v>
      </c>
      <c r="L909" s="51">
        <f t="shared" si="1038"/>
        <v>0</v>
      </c>
      <c r="M909" s="52">
        <f t="shared" si="1039"/>
        <v>0</v>
      </c>
      <c r="N909" s="51">
        <f t="shared" si="1040"/>
        <v>0</v>
      </c>
      <c r="O909" s="53" t="str">
        <f t="shared" ref="O909" si="1110">+O910</f>
        <v>1-4-2</v>
      </c>
      <c r="P909" s="54">
        <f>+IF(AND(Y909="Domingo",U909=7),_xlfn.XLOOKUP(O909,'Horarios y Sistemas'!C:C,'Horarios y Sistemas'!H:H,0,0,1),0)</f>
        <v>0</v>
      </c>
      <c r="Q909" s="54">
        <f>IF(U909=U910,0,IF(AVERAGEIF(W:W,W909,U:U)=U909,0,_xlfn.XLOOKUP(O909,'Horarios y Sistemas'!C:C,'Horarios y Sistemas'!H:H,0,0,1)-P909))/7*U909</f>
        <v>0</v>
      </c>
      <c r="R909" s="54">
        <f t="shared" si="1042"/>
        <v>0</v>
      </c>
      <c r="S909" s="55" t="str">
        <f t="shared" si="1043"/>
        <v>OCTUBRE</v>
      </c>
      <c r="T909" s="55" t="str">
        <f t="shared" si="1044"/>
        <v>Sem40</v>
      </c>
      <c r="U909" s="56">
        <f t="shared" si="1105"/>
        <v>7</v>
      </c>
      <c r="V909" s="59">
        <v>46298</v>
      </c>
      <c r="W909" s="56">
        <f t="shared" si="1045"/>
        <v>40</v>
      </c>
      <c r="X909" s="56">
        <f t="shared" si="1046"/>
        <v>3</v>
      </c>
      <c r="Y909" s="56" t="s">
        <v>33</v>
      </c>
      <c r="Z909" s="56">
        <v>6</v>
      </c>
      <c r="AA909" s="58">
        <f t="shared" si="1082"/>
        <v>0</v>
      </c>
      <c r="AB909" s="58">
        <f t="shared" si="1082"/>
        <v>0</v>
      </c>
      <c r="AC909" s="58">
        <f t="shared" si="1082"/>
        <v>1</v>
      </c>
      <c r="AD909" s="58">
        <f t="shared" si="1082"/>
        <v>0</v>
      </c>
      <c r="AE909" s="58">
        <f t="shared" si="1082"/>
        <v>0</v>
      </c>
    </row>
    <row r="910" spans="2:31">
      <c r="B910" s="60" t="str">
        <f t="shared" si="1033"/>
        <v>Sem4040OSCAR GERARDO ASTURIAS RUIZ</v>
      </c>
      <c r="C910" s="60" t="str">
        <f t="shared" si="1034"/>
        <v>OCTUBRESem40</v>
      </c>
      <c r="D910" s="60" t="str">
        <f t="shared" si="1035"/>
        <v>OCTUBRESem40OSCAR GERARDO ASTURIAS RUIZ</v>
      </c>
      <c r="E910" s="60" t="str">
        <f t="shared" si="1036"/>
        <v>OCTUBRESem4040OSCAR GERARDO ASTURIAS RUIZ</v>
      </c>
      <c r="F910" s="60" t="str">
        <f t="shared" si="1037"/>
        <v>OSCAR GERARDO ASTURIAS RUIZ46299</v>
      </c>
      <c r="G910" s="60"/>
      <c r="H910" s="61" t="s">
        <v>230</v>
      </c>
      <c r="I910" s="62" t="str">
        <f>+_xlfn.XLOOKUP($H910&amp;$V910,BASEDATOS!$B:$B,BASEDATOS!F:F,0,0,1)</f>
        <v>DESCANSO</v>
      </c>
      <c r="J910" s="63">
        <f>+_xlfn.XLOOKUP($H910&amp;$V910,BASEDATOS!$B:$B,BASEDATOS!Q:Q,0,0,1)</f>
        <v>0</v>
      </c>
      <c r="K910" s="63">
        <f>+_xlfn.XLOOKUP($H910&amp;$V910,BASEDATOS!$B:$B,BASEDATOS!R:R,0,0,1)</f>
        <v>0</v>
      </c>
      <c r="L910" s="63">
        <f t="shared" si="1038"/>
        <v>0</v>
      </c>
      <c r="M910" s="64">
        <f t="shared" si="1039"/>
        <v>0</v>
      </c>
      <c r="N910" s="63">
        <f t="shared" si="1040"/>
        <v>0</v>
      </c>
      <c r="O910" s="65" t="str">
        <f t="shared" ref="O910" si="1111">+IF(Y910="Domingo",SUM(AA904:AA910)&amp;"-"&amp;SUM(AB904:AB910)&amp;"-"&amp;SUM(AC904:AE910),"")</f>
        <v>1-4-2</v>
      </c>
      <c r="P910" s="66">
        <f>+IF(AND(Y910="Domingo",U910=7),_xlfn.XLOOKUP(O910,'Horarios y Sistemas'!C:C,'Horarios y Sistemas'!H:H,0,0,1),0)</f>
        <v>37.6</v>
      </c>
      <c r="Q910" s="66">
        <f>IF(U910=U911,0,IF(AVERAGEIF(W:W,W910,U:U)=U910,0,_xlfn.XLOOKUP(O910,'Horarios y Sistemas'!C:C,'Horarios y Sistemas'!H:H,0,0,1)-P910))/7*U910</f>
        <v>0</v>
      </c>
      <c r="R910" s="66">
        <f t="shared" si="1042"/>
        <v>37.6</v>
      </c>
      <c r="S910" s="67" t="str">
        <f t="shared" si="1043"/>
        <v>OCTUBRE</v>
      </c>
      <c r="T910" s="55" t="str">
        <f t="shared" si="1044"/>
        <v>Sem40</v>
      </c>
      <c r="U910" s="68">
        <f t="shared" si="1105"/>
        <v>7</v>
      </c>
      <c r="V910" s="69">
        <v>46299</v>
      </c>
      <c r="W910" s="68">
        <f t="shared" si="1045"/>
        <v>40</v>
      </c>
      <c r="X910" s="68">
        <f t="shared" si="1046"/>
        <v>4</v>
      </c>
      <c r="Y910" s="68" t="s">
        <v>34</v>
      </c>
      <c r="Z910" s="68">
        <v>7</v>
      </c>
      <c r="AA910" s="70">
        <f t="shared" si="1082"/>
        <v>0</v>
      </c>
      <c r="AB910" s="70">
        <f t="shared" si="1082"/>
        <v>0</v>
      </c>
      <c r="AC910" s="70">
        <f t="shared" si="1082"/>
        <v>1</v>
      </c>
      <c r="AD910" s="70">
        <f t="shared" si="1082"/>
        <v>0</v>
      </c>
      <c r="AE910" s="70">
        <f t="shared" si="1082"/>
        <v>0</v>
      </c>
    </row>
    <row r="911" spans="2:31">
      <c r="B911" t="str">
        <f t="shared" ref="B911:B974" si="1112">+T911&amp;W911&amp;H911</f>
        <v>Sem3838RIXTUN MELGAR CARLOS LEONEL</v>
      </c>
      <c r="C911" t="str">
        <f t="shared" ref="C911:C974" si="1113">+S911&amp;T911</f>
        <v>SEPTIEMBRESem38</v>
      </c>
      <c r="D911" t="str">
        <f t="shared" ref="D911:D974" si="1114">+S911&amp;T911&amp;H911</f>
        <v>SEPTIEMBRESem38RIXTUN MELGAR CARLOS LEONEL</v>
      </c>
      <c r="E911" t="str">
        <f t="shared" ref="E911:E974" si="1115">+S911&amp;T911&amp;W911&amp;H911</f>
        <v>SEPTIEMBRESem3838RIXTUN MELGAR CARLOS LEONEL</v>
      </c>
      <c r="F911" t="str">
        <f t="shared" ref="F911:F974" si="1116">+H911&amp;V911</f>
        <v>RIXTUN MELGAR CARLOS LEONEL46279</v>
      </c>
      <c r="H911" s="49" t="s">
        <v>5</v>
      </c>
      <c r="I911" s="50" t="str">
        <f>+_xlfn.XLOOKUP($H911&amp;$V911,BASEDATOS!$B:$B,BASEDATOS!F:F,0,0,1)</f>
        <v>DESCANSO</v>
      </c>
      <c r="J911" s="51">
        <f>+_xlfn.XLOOKUP($H911&amp;$V911,BASEDATOS!$B:$B,BASEDATOS!Q:Q,0,0,1)</f>
        <v>0</v>
      </c>
      <c r="K911" s="51">
        <f>+_xlfn.XLOOKUP($H911&amp;$V911,BASEDATOS!$B:$B,BASEDATOS!R:R,0,0,1)</f>
        <v>0</v>
      </c>
      <c r="L911" s="51">
        <f t="shared" ref="L911:L974" si="1117">+IF(OR(J911="Descanso",J911="AUSENTE",J911="ASUETO"),0,MOD(K911-J911,1))</f>
        <v>0</v>
      </c>
      <c r="M911" s="52">
        <f t="shared" ref="M911:M974" si="1118">+IF(OR(I911="DIA",I911="NOCHE",I911="MIXTO"),"1:00",0)</f>
        <v>0</v>
      </c>
      <c r="N911" s="51">
        <f t="shared" ref="N911:N974" si="1119">+IF(I911="ASUETO-D",8/24,IF(I911="ASUETO-N",6/24,MOD(L911-M911,1)))</f>
        <v>0</v>
      </c>
      <c r="O911" s="53" t="str">
        <f t="shared" ref="O911" si="1120">+O917</f>
        <v>5-0-2</v>
      </c>
      <c r="P911" s="54">
        <f>+IF(AND(Y911="Domingo",U911=7),_xlfn.XLOOKUP(O911,'Horarios y Sistemas'!C:C,'Horarios y Sistemas'!H:H,0,0,1),0)</f>
        <v>0</v>
      </c>
      <c r="Q911" s="54">
        <f>IF(U911=U912,0,IF(AVERAGEIF(W:W,W911,U:U)=U911,0,_xlfn.XLOOKUP(O911,'Horarios y Sistemas'!C:C,'Horarios y Sistemas'!H:H,0,0,1)-P911))/7*U911</f>
        <v>0</v>
      </c>
      <c r="R911" s="54">
        <f t="shared" ref="R911:R974" si="1121">+IF(Y911="Domingo",SUM(P905:Q911),0)</f>
        <v>0</v>
      </c>
      <c r="S911" s="55" t="str">
        <f t="shared" ref="S911:S974" si="1122">+UPPER(TEXT(V911,"MMMMMMMM"))</f>
        <v>SEPTIEMBRE</v>
      </c>
      <c r="T911" s="55" t="str">
        <f t="shared" ref="T911:T974" si="1123">+"Sem"&amp;W911</f>
        <v>Sem38</v>
      </c>
      <c r="U911" s="56">
        <f t="shared" si="1105"/>
        <v>7</v>
      </c>
      <c r="V911" s="59">
        <v>46279</v>
      </c>
      <c r="W911" s="56">
        <f t="shared" ref="W911:W974" si="1124">+_xlfn.ISOWEEKNUM(V911)</f>
        <v>38</v>
      </c>
      <c r="X911" s="56">
        <f t="shared" ref="X911:X974" si="1125">+DAY(V911)</f>
        <v>14</v>
      </c>
      <c r="Y911" s="56" t="s">
        <v>28</v>
      </c>
      <c r="Z911" s="56">
        <v>1</v>
      </c>
      <c r="AA911" s="58">
        <f t="shared" si="1082"/>
        <v>0</v>
      </c>
      <c r="AB911" s="58">
        <f t="shared" si="1082"/>
        <v>0</v>
      </c>
      <c r="AC911" s="58">
        <f t="shared" si="1082"/>
        <v>1</v>
      </c>
      <c r="AD911" s="58">
        <f t="shared" si="1082"/>
        <v>0</v>
      </c>
      <c r="AE911" s="58">
        <f t="shared" si="1082"/>
        <v>0</v>
      </c>
    </row>
    <row r="912" spans="2:31">
      <c r="B912" t="str">
        <f t="shared" si="1112"/>
        <v>Sem3838RIXTUN MELGAR CARLOS LEONEL</v>
      </c>
      <c r="C912" t="str">
        <f t="shared" si="1113"/>
        <v>SEPTIEMBRESem38</v>
      </c>
      <c r="D912" t="str">
        <f t="shared" si="1114"/>
        <v>SEPTIEMBRESem38RIXTUN MELGAR CARLOS LEONEL</v>
      </c>
      <c r="E912" t="str">
        <f t="shared" si="1115"/>
        <v>SEPTIEMBRESem3838RIXTUN MELGAR CARLOS LEONEL</v>
      </c>
      <c r="F912" t="str">
        <f t="shared" si="1116"/>
        <v>RIXTUN MELGAR CARLOS LEONEL46280</v>
      </c>
      <c r="H912" s="49" t="s">
        <v>5</v>
      </c>
      <c r="I912" s="50" t="str">
        <f>+_xlfn.XLOOKUP($H912&amp;$V912,BASEDATOS!$B:$B,BASEDATOS!F:F,0,0,1)</f>
        <v>DIA</v>
      </c>
      <c r="J912" s="51">
        <f>+_xlfn.XLOOKUP($H912&amp;$V912,BASEDATOS!$B:$B,BASEDATOS!Q:Q,0,0,1)</f>
        <v>0.33333333333333298</v>
      </c>
      <c r="K912" s="51">
        <f>+_xlfn.XLOOKUP($H912&amp;$V912,BASEDATOS!$B:$B,BASEDATOS!R:R,0,0,1)</f>
        <v>0.70833333333333304</v>
      </c>
      <c r="L912" s="51">
        <f t="shared" si="1117"/>
        <v>0.37500000000000006</v>
      </c>
      <c r="M912" s="52" t="str">
        <f t="shared" si="1118"/>
        <v>1:00</v>
      </c>
      <c r="N912" s="51">
        <f t="shared" si="1119"/>
        <v>0.33333333333333337</v>
      </c>
      <c r="O912" s="53" t="str">
        <f t="shared" ref="O912" si="1126">+O917</f>
        <v>5-0-2</v>
      </c>
      <c r="P912" s="54">
        <f>+IF(AND(Y912="Domingo",U912=7),_xlfn.XLOOKUP(O912,'Horarios y Sistemas'!C:C,'Horarios y Sistemas'!H:H,0,0,1),0)</f>
        <v>0</v>
      </c>
      <c r="Q912" s="54">
        <f>IF(U912=U913,0,IF(AVERAGEIF(W:W,W912,U:U)=U912,0,_xlfn.XLOOKUP(O912,'Horarios y Sistemas'!C:C,'Horarios y Sistemas'!H:H,0,0,1)-P912))/7*U912</f>
        <v>0</v>
      </c>
      <c r="R912" s="54">
        <f t="shared" si="1121"/>
        <v>0</v>
      </c>
      <c r="S912" s="55" t="str">
        <f t="shared" si="1122"/>
        <v>SEPTIEMBRE</v>
      </c>
      <c r="T912" s="55" t="str">
        <f t="shared" si="1123"/>
        <v>Sem38</v>
      </c>
      <c r="U912" s="56">
        <f t="shared" si="1105"/>
        <v>7</v>
      </c>
      <c r="V912" s="59">
        <v>46280</v>
      </c>
      <c r="W912" s="56">
        <f t="shared" si="1124"/>
        <v>38</v>
      </c>
      <c r="X912" s="56">
        <f t="shared" si="1125"/>
        <v>15</v>
      </c>
      <c r="Y912" s="56" t="s">
        <v>29</v>
      </c>
      <c r="Z912" s="56">
        <v>2</v>
      </c>
      <c r="AA912" s="58">
        <f t="shared" si="1082"/>
        <v>1</v>
      </c>
      <c r="AB912" s="58">
        <f t="shared" si="1082"/>
        <v>0</v>
      </c>
      <c r="AC912" s="58">
        <f t="shared" si="1082"/>
        <v>0</v>
      </c>
      <c r="AD912" s="58">
        <f t="shared" si="1082"/>
        <v>0</v>
      </c>
      <c r="AE912" s="58">
        <f t="shared" si="1082"/>
        <v>0</v>
      </c>
    </row>
    <row r="913" spans="2:31">
      <c r="B913" t="str">
        <f t="shared" si="1112"/>
        <v>Sem3838RIXTUN MELGAR CARLOS LEONEL</v>
      </c>
      <c r="C913" t="str">
        <f t="shared" si="1113"/>
        <v>SEPTIEMBRESem38</v>
      </c>
      <c r="D913" t="str">
        <f t="shared" si="1114"/>
        <v>SEPTIEMBRESem38RIXTUN MELGAR CARLOS LEONEL</v>
      </c>
      <c r="E913" t="str">
        <f t="shared" si="1115"/>
        <v>SEPTIEMBRESem3838RIXTUN MELGAR CARLOS LEONEL</v>
      </c>
      <c r="F913" t="str">
        <f t="shared" si="1116"/>
        <v>RIXTUN MELGAR CARLOS LEONEL46281</v>
      </c>
      <c r="H913" s="49" t="s">
        <v>5</v>
      </c>
      <c r="I913" s="50" t="str">
        <f>+_xlfn.XLOOKUP($H913&amp;$V913,BASEDATOS!$B:$B,BASEDATOS!F:F,0,0,1)</f>
        <v>DIA</v>
      </c>
      <c r="J913" s="51">
        <f>+_xlfn.XLOOKUP($H913&amp;$V913,BASEDATOS!$B:$B,BASEDATOS!Q:Q,0,0,1)</f>
        <v>0.22916666666666699</v>
      </c>
      <c r="K913" s="51">
        <f>+_xlfn.XLOOKUP($H913&amp;$V913,BASEDATOS!$B:$B,BASEDATOS!R:R,0,0,1)</f>
        <v>0.6875</v>
      </c>
      <c r="L913" s="51">
        <f t="shared" si="1117"/>
        <v>0.45833333333333304</v>
      </c>
      <c r="M913" s="52" t="str">
        <f t="shared" si="1118"/>
        <v>1:00</v>
      </c>
      <c r="N913" s="51">
        <f t="shared" si="1119"/>
        <v>0.41666666666666635</v>
      </c>
      <c r="O913" s="53" t="str">
        <f t="shared" ref="O913" si="1127">+O917</f>
        <v>5-0-2</v>
      </c>
      <c r="P913" s="54">
        <f>+IF(AND(Y913="Domingo",U913=7),_xlfn.XLOOKUP(O913,'Horarios y Sistemas'!C:C,'Horarios y Sistemas'!H:H,0,0,1),0)</f>
        <v>0</v>
      </c>
      <c r="Q913" s="54">
        <f>IF(U913=U914,0,IF(AVERAGEIF(W:W,W913,U:U)=U913,0,_xlfn.XLOOKUP(O913,'Horarios y Sistemas'!C:C,'Horarios y Sistemas'!H:H,0,0,1)-P913))/7*U913</f>
        <v>0</v>
      </c>
      <c r="R913" s="54">
        <f t="shared" si="1121"/>
        <v>0</v>
      </c>
      <c r="S913" s="55" t="str">
        <f t="shared" si="1122"/>
        <v>SEPTIEMBRE</v>
      </c>
      <c r="T913" s="55" t="str">
        <f t="shared" si="1123"/>
        <v>Sem38</v>
      </c>
      <c r="U913" s="56">
        <f t="shared" si="1105"/>
        <v>7</v>
      </c>
      <c r="V913" s="59">
        <v>46281</v>
      </c>
      <c r="W913" s="56">
        <f t="shared" si="1124"/>
        <v>38</v>
      </c>
      <c r="X913" s="56">
        <f t="shared" si="1125"/>
        <v>16</v>
      </c>
      <c r="Y913" s="56" t="s">
        <v>30</v>
      </c>
      <c r="Z913" s="56">
        <v>3</v>
      </c>
      <c r="AA913" s="58">
        <f t="shared" si="1082"/>
        <v>1</v>
      </c>
      <c r="AB913" s="58">
        <f t="shared" si="1082"/>
        <v>0</v>
      </c>
      <c r="AC913" s="58">
        <f t="shared" si="1082"/>
        <v>0</v>
      </c>
      <c r="AD913" s="58">
        <f t="shared" si="1082"/>
        <v>0</v>
      </c>
      <c r="AE913" s="58">
        <f t="shared" si="1082"/>
        <v>0</v>
      </c>
    </row>
    <row r="914" spans="2:31">
      <c r="B914" t="str">
        <f t="shared" si="1112"/>
        <v>Sem3838RIXTUN MELGAR CARLOS LEONEL</v>
      </c>
      <c r="C914" t="str">
        <f t="shared" si="1113"/>
        <v>SEPTIEMBRESem38</v>
      </c>
      <c r="D914" t="str">
        <f t="shared" si="1114"/>
        <v>SEPTIEMBRESem38RIXTUN MELGAR CARLOS LEONEL</v>
      </c>
      <c r="E914" t="str">
        <f t="shared" si="1115"/>
        <v>SEPTIEMBRESem3838RIXTUN MELGAR CARLOS LEONEL</v>
      </c>
      <c r="F914" t="str">
        <f t="shared" si="1116"/>
        <v>RIXTUN MELGAR CARLOS LEONEL46282</v>
      </c>
      <c r="H914" s="49" t="s">
        <v>5</v>
      </c>
      <c r="I914" s="50" t="str">
        <f>+_xlfn.XLOOKUP($H914&amp;$V914,BASEDATOS!$B:$B,BASEDATOS!F:F,0,0,1)</f>
        <v>DIA</v>
      </c>
      <c r="J914" s="51">
        <f>+_xlfn.XLOOKUP($H914&amp;$V914,BASEDATOS!$B:$B,BASEDATOS!Q:Q,0,0,1)</f>
        <v>0.25</v>
      </c>
      <c r="K914" s="51">
        <f>+_xlfn.XLOOKUP($H914&amp;$V914,BASEDATOS!$B:$B,BASEDATOS!R:R,0,0,1)</f>
        <v>0.70833333333333304</v>
      </c>
      <c r="L914" s="51">
        <f t="shared" si="1117"/>
        <v>0.45833333333333304</v>
      </c>
      <c r="M914" s="52" t="str">
        <f t="shared" si="1118"/>
        <v>1:00</v>
      </c>
      <c r="N914" s="51">
        <f t="shared" si="1119"/>
        <v>0.41666666666666635</v>
      </c>
      <c r="O914" s="53" t="str">
        <f t="shared" ref="O914" si="1128">+O917</f>
        <v>5-0-2</v>
      </c>
      <c r="P914" s="54">
        <f>+IF(AND(Y914="Domingo",U914=7),_xlfn.XLOOKUP(O914,'Horarios y Sistemas'!C:C,'Horarios y Sistemas'!H:H,0,0,1),0)</f>
        <v>0</v>
      </c>
      <c r="Q914" s="54">
        <f>IF(U914=U915,0,IF(AVERAGEIF(W:W,W914,U:U)=U914,0,_xlfn.XLOOKUP(O914,'Horarios y Sistemas'!C:C,'Horarios y Sistemas'!H:H,0,0,1)-P914))/7*U914</f>
        <v>0</v>
      </c>
      <c r="R914" s="54">
        <f t="shared" si="1121"/>
        <v>0</v>
      </c>
      <c r="S914" s="55" t="str">
        <f t="shared" si="1122"/>
        <v>SEPTIEMBRE</v>
      </c>
      <c r="T914" s="55" t="str">
        <f t="shared" si="1123"/>
        <v>Sem38</v>
      </c>
      <c r="U914" s="56">
        <f t="shared" si="1105"/>
        <v>7</v>
      </c>
      <c r="V914" s="59">
        <v>46282</v>
      </c>
      <c r="W914" s="56">
        <f t="shared" si="1124"/>
        <v>38</v>
      </c>
      <c r="X914" s="56">
        <f t="shared" si="1125"/>
        <v>17</v>
      </c>
      <c r="Y914" s="56" t="s">
        <v>31</v>
      </c>
      <c r="Z914" s="56">
        <v>4</v>
      </c>
      <c r="AA914" s="58">
        <f t="shared" si="1082"/>
        <v>1</v>
      </c>
      <c r="AB914" s="58">
        <f t="shared" si="1082"/>
        <v>0</v>
      </c>
      <c r="AC914" s="58">
        <f t="shared" si="1082"/>
        <v>0</v>
      </c>
      <c r="AD914" s="58">
        <f t="shared" si="1082"/>
        <v>0</v>
      </c>
      <c r="AE914" s="58">
        <f t="shared" si="1082"/>
        <v>0</v>
      </c>
    </row>
    <row r="915" spans="2:31">
      <c r="B915" t="str">
        <f t="shared" si="1112"/>
        <v>Sem3838RIXTUN MELGAR CARLOS LEONEL</v>
      </c>
      <c r="C915" t="str">
        <f t="shared" si="1113"/>
        <v>SEPTIEMBRESem38</v>
      </c>
      <c r="D915" t="str">
        <f t="shared" si="1114"/>
        <v>SEPTIEMBRESem38RIXTUN MELGAR CARLOS LEONEL</v>
      </c>
      <c r="E915" t="str">
        <f t="shared" si="1115"/>
        <v>SEPTIEMBRESem3838RIXTUN MELGAR CARLOS LEONEL</v>
      </c>
      <c r="F915" t="str">
        <f t="shared" si="1116"/>
        <v>RIXTUN MELGAR CARLOS LEONEL46283</v>
      </c>
      <c r="H915" s="49" t="s">
        <v>5</v>
      </c>
      <c r="I915" s="50" t="str">
        <f>+_xlfn.XLOOKUP($H915&amp;$V915,BASEDATOS!$B:$B,BASEDATOS!F:F,0,0,1)</f>
        <v>DIA</v>
      </c>
      <c r="J915" s="51">
        <f>+_xlfn.XLOOKUP($H915&amp;$V915,BASEDATOS!$B:$B,BASEDATOS!Q:Q,0,0,1)</f>
        <v>0.25</v>
      </c>
      <c r="K915" s="51">
        <f>+_xlfn.XLOOKUP($H915&amp;$V915,BASEDATOS!$B:$B,BASEDATOS!R:R,0,0,1)</f>
        <v>0.70833333333333304</v>
      </c>
      <c r="L915" s="51">
        <f t="shared" si="1117"/>
        <v>0.45833333333333304</v>
      </c>
      <c r="M915" s="52" t="str">
        <f t="shared" si="1118"/>
        <v>1:00</v>
      </c>
      <c r="N915" s="51">
        <f t="shared" si="1119"/>
        <v>0.41666666666666635</v>
      </c>
      <c r="O915" s="53" t="str">
        <f t="shared" ref="O915" si="1129">+O917</f>
        <v>5-0-2</v>
      </c>
      <c r="P915" s="54">
        <f>+IF(AND(Y915="Domingo",U915=7),_xlfn.XLOOKUP(O915,'Horarios y Sistemas'!C:C,'Horarios y Sistemas'!H:H,0,0,1),0)</f>
        <v>0</v>
      </c>
      <c r="Q915" s="54">
        <f>IF(U915=U916,0,IF(AVERAGEIF(W:W,W915,U:U)=U915,0,_xlfn.XLOOKUP(O915,'Horarios y Sistemas'!C:C,'Horarios y Sistemas'!H:H,0,0,1)-P915))/7*U915</f>
        <v>0</v>
      </c>
      <c r="R915" s="54">
        <f t="shared" si="1121"/>
        <v>0</v>
      </c>
      <c r="S915" s="55" t="str">
        <f t="shared" si="1122"/>
        <v>SEPTIEMBRE</v>
      </c>
      <c r="T915" s="55" t="str">
        <f t="shared" si="1123"/>
        <v>Sem38</v>
      </c>
      <c r="U915" s="56">
        <f t="shared" si="1105"/>
        <v>7</v>
      </c>
      <c r="V915" s="59">
        <v>46283</v>
      </c>
      <c r="W915" s="56">
        <f t="shared" si="1124"/>
        <v>38</v>
      </c>
      <c r="X915" s="56">
        <f t="shared" si="1125"/>
        <v>18</v>
      </c>
      <c r="Y915" s="56" t="s">
        <v>32</v>
      </c>
      <c r="Z915" s="56">
        <v>5</v>
      </c>
      <c r="AA915" s="58">
        <f t="shared" si="1082"/>
        <v>1</v>
      </c>
      <c r="AB915" s="58">
        <f t="shared" si="1082"/>
        <v>0</v>
      </c>
      <c r="AC915" s="58">
        <f t="shared" si="1082"/>
        <v>0</v>
      </c>
      <c r="AD915" s="58">
        <f t="shared" si="1082"/>
        <v>0</v>
      </c>
      <c r="AE915" s="58">
        <f t="shared" si="1082"/>
        <v>0</v>
      </c>
    </row>
    <row r="916" spans="2:31">
      <c r="B916" t="str">
        <f t="shared" si="1112"/>
        <v>Sem3838RIXTUN MELGAR CARLOS LEONEL</v>
      </c>
      <c r="C916" t="str">
        <f t="shared" si="1113"/>
        <v>SEPTIEMBRESem38</v>
      </c>
      <c r="D916" t="str">
        <f t="shared" si="1114"/>
        <v>SEPTIEMBRESem38RIXTUN MELGAR CARLOS LEONEL</v>
      </c>
      <c r="E916" t="str">
        <f t="shared" si="1115"/>
        <v>SEPTIEMBRESem3838RIXTUN MELGAR CARLOS LEONEL</v>
      </c>
      <c r="F916" t="str">
        <f t="shared" si="1116"/>
        <v>RIXTUN MELGAR CARLOS LEONEL46284</v>
      </c>
      <c r="H916" s="49" t="s">
        <v>5</v>
      </c>
      <c r="I916" s="50" t="str">
        <f>+_xlfn.XLOOKUP($H916&amp;$V916,BASEDATOS!$B:$B,BASEDATOS!F:F,0,0,1)</f>
        <v>DIA</v>
      </c>
      <c r="J916" s="51">
        <f>+_xlfn.XLOOKUP($H916&amp;$V916,BASEDATOS!$B:$B,BASEDATOS!Q:Q,0,0,1)</f>
        <v>0.25</v>
      </c>
      <c r="K916" s="51">
        <f>+_xlfn.XLOOKUP($H916&amp;$V916,BASEDATOS!$B:$B,BASEDATOS!R:R,0,0,1)</f>
        <v>0.58333333333333304</v>
      </c>
      <c r="L916" s="51">
        <f t="shared" si="1117"/>
        <v>0.33333333333333304</v>
      </c>
      <c r="M916" s="52" t="str">
        <f t="shared" si="1118"/>
        <v>1:00</v>
      </c>
      <c r="N916" s="51">
        <f t="shared" si="1119"/>
        <v>0.29166666666666635</v>
      </c>
      <c r="O916" s="53" t="str">
        <f t="shared" ref="O916" si="1130">+O917</f>
        <v>5-0-2</v>
      </c>
      <c r="P916" s="54">
        <f>+IF(AND(Y916="Domingo",U916=7),_xlfn.XLOOKUP(O916,'Horarios y Sistemas'!C:C,'Horarios y Sistemas'!H:H,0,0,1),0)</f>
        <v>0</v>
      </c>
      <c r="Q916" s="54">
        <f>IF(U916=U917,0,IF(AVERAGEIF(W:W,W916,U:U)=U916,0,_xlfn.XLOOKUP(O916,'Horarios y Sistemas'!C:C,'Horarios y Sistemas'!H:H,0,0,1)-P916))/7*U916</f>
        <v>0</v>
      </c>
      <c r="R916" s="54">
        <f t="shared" si="1121"/>
        <v>0</v>
      </c>
      <c r="S916" s="55" t="str">
        <f t="shared" si="1122"/>
        <v>SEPTIEMBRE</v>
      </c>
      <c r="T916" s="55" t="str">
        <f t="shared" si="1123"/>
        <v>Sem38</v>
      </c>
      <c r="U916" s="56">
        <f t="shared" si="1105"/>
        <v>7</v>
      </c>
      <c r="V916" s="59">
        <v>46284</v>
      </c>
      <c r="W916" s="56">
        <f t="shared" si="1124"/>
        <v>38</v>
      </c>
      <c r="X916" s="56">
        <f t="shared" si="1125"/>
        <v>19</v>
      </c>
      <c r="Y916" s="56" t="s">
        <v>33</v>
      </c>
      <c r="Z916" s="56">
        <v>6</v>
      </c>
      <c r="AA916" s="58">
        <f t="shared" si="1082"/>
        <v>1</v>
      </c>
      <c r="AB916" s="58">
        <f t="shared" si="1082"/>
        <v>0</v>
      </c>
      <c r="AC916" s="58">
        <f t="shared" si="1082"/>
        <v>0</v>
      </c>
      <c r="AD916" s="58">
        <f t="shared" si="1082"/>
        <v>0</v>
      </c>
      <c r="AE916" s="58">
        <f t="shared" si="1082"/>
        <v>0</v>
      </c>
    </row>
    <row r="917" spans="2:31">
      <c r="B917" s="60" t="str">
        <f t="shared" si="1112"/>
        <v>Sem3838RIXTUN MELGAR CARLOS LEONEL</v>
      </c>
      <c r="C917" s="60" t="str">
        <f t="shared" si="1113"/>
        <v>SEPTIEMBRESem38</v>
      </c>
      <c r="D917" s="60" t="str">
        <f t="shared" si="1114"/>
        <v>SEPTIEMBRESem38RIXTUN MELGAR CARLOS LEONEL</v>
      </c>
      <c r="E917" s="60" t="str">
        <f t="shared" si="1115"/>
        <v>SEPTIEMBRESem3838RIXTUN MELGAR CARLOS LEONEL</v>
      </c>
      <c r="F917" s="60" t="str">
        <f t="shared" si="1116"/>
        <v>RIXTUN MELGAR CARLOS LEONEL46285</v>
      </c>
      <c r="G917" s="60"/>
      <c r="H917" s="61" t="s">
        <v>5</v>
      </c>
      <c r="I917" s="62" t="str">
        <f>+_xlfn.XLOOKUP($H917&amp;$V917,BASEDATOS!$B:$B,BASEDATOS!F:F,0,0,1)</f>
        <v>DESCANSO</v>
      </c>
      <c r="J917" s="63">
        <f>+_xlfn.XLOOKUP($H917&amp;$V917,BASEDATOS!$B:$B,BASEDATOS!Q:Q,0,0,1)</f>
        <v>0</v>
      </c>
      <c r="K917" s="63">
        <f>+_xlfn.XLOOKUP($H917&amp;$V917,BASEDATOS!$B:$B,BASEDATOS!R:R,0,0,1)</f>
        <v>0</v>
      </c>
      <c r="L917" s="63">
        <f t="shared" si="1117"/>
        <v>0</v>
      </c>
      <c r="M917" s="64">
        <f t="shared" si="1118"/>
        <v>0</v>
      </c>
      <c r="N917" s="63">
        <f t="shared" si="1119"/>
        <v>0</v>
      </c>
      <c r="O917" s="65" t="str">
        <f t="shared" ref="O917" si="1131">+IF(Y917="Domingo",SUM(AA911:AA917)&amp;"-"&amp;SUM(AB911:AB917)&amp;"-"&amp;SUM(AC911:AE917),"")</f>
        <v>5-0-2</v>
      </c>
      <c r="P917" s="66">
        <f>+IF(AND(Y917="Domingo",U917=7),_xlfn.XLOOKUP(O917,'Horarios y Sistemas'!C:C,'Horarios y Sistemas'!H:H,0,0,1),0)</f>
        <v>44</v>
      </c>
      <c r="Q917" s="66">
        <f>IF(U917=U918,0,IF(AVERAGEIF(W:W,W917,U:U)=U917,0,_xlfn.XLOOKUP(O917,'Horarios y Sistemas'!C:C,'Horarios y Sistemas'!H:H,0,0,1)-P917))/7*U917</f>
        <v>0</v>
      </c>
      <c r="R917" s="66">
        <f t="shared" si="1121"/>
        <v>44</v>
      </c>
      <c r="S917" s="67" t="str">
        <f t="shared" si="1122"/>
        <v>SEPTIEMBRE</v>
      </c>
      <c r="T917" s="55" t="str">
        <f t="shared" si="1123"/>
        <v>Sem38</v>
      </c>
      <c r="U917" s="68">
        <f t="shared" si="1105"/>
        <v>7</v>
      </c>
      <c r="V917" s="69">
        <v>46285</v>
      </c>
      <c r="W917" s="68">
        <f t="shared" si="1124"/>
        <v>38</v>
      </c>
      <c r="X917" s="68">
        <f t="shared" si="1125"/>
        <v>20</v>
      </c>
      <c r="Y917" s="68" t="s">
        <v>34</v>
      </c>
      <c r="Z917" s="68">
        <v>7</v>
      </c>
      <c r="AA917" s="70">
        <f t="shared" si="1082"/>
        <v>0</v>
      </c>
      <c r="AB917" s="70">
        <f t="shared" si="1082"/>
        <v>0</v>
      </c>
      <c r="AC917" s="70">
        <f t="shared" si="1082"/>
        <v>1</v>
      </c>
      <c r="AD917" s="70">
        <f t="shared" si="1082"/>
        <v>0</v>
      </c>
      <c r="AE917" s="70">
        <f t="shared" si="1082"/>
        <v>0</v>
      </c>
    </row>
    <row r="918" spans="2:31">
      <c r="B918" t="str">
        <f t="shared" si="1112"/>
        <v>Sem3939RIXTUN MELGAR CARLOS LEONEL</v>
      </c>
      <c r="C918" t="str">
        <f t="shared" si="1113"/>
        <v>SEPTIEMBRESem39</v>
      </c>
      <c r="D918" t="str">
        <f t="shared" si="1114"/>
        <v>SEPTIEMBRESem39RIXTUN MELGAR CARLOS LEONEL</v>
      </c>
      <c r="E918" t="str">
        <f t="shared" si="1115"/>
        <v>SEPTIEMBRESem3939RIXTUN MELGAR CARLOS LEONEL</v>
      </c>
      <c r="F918" t="str">
        <f t="shared" si="1116"/>
        <v>RIXTUN MELGAR CARLOS LEONEL46286</v>
      </c>
      <c r="H918" s="49" t="s">
        <v>5</v>
      </c>
      <c r="I918" s="50" t="str">
        <f>+_xlfn.XLOOKUP($H918&amp;$V918,BASEDATOS!$B:$B,BASEDATOS!F:F,0,0,1)</f>
        <v>NOCHE</v>
      </c>
      <c r="J918" s="51">
        <f>+_xlfn.XLOOKUP($H918&amp;$V918,BASEDATOS!$B:$B,BASEDATOS!Q:Q,0,0,1)</f>
        <v>0.75</v>
      </c>
      <c r="K918" s="51">
        <f>+_xlfn.XLOOKUP($H918&amp;$V918,BASEDATOS!$B:$B,BASEDATOS!R:R,0,0,1)</f>
        <v>0.16666666666666699</v>
      </c>
      <c r="L918" s="51">
        <f t="shared" si="1117"/>
        <v>0.41666666666666696</v>
      </c>
      <c r="M918" s="52" t="str">
        <f t="shared" si="1118"/>
        <v>1:00</v>
      </c>
      <c r="N918" s="51">
        <f t="shared" si="1119"/>
        <v>0.37500000000000028</v>
      </c>
      <c r="O918" s="53" t="str">
        <f t="shared" ref="O918" si="1132">+O924</f>
        <v>0-5-2</v>
      </c>
      <c r="P918" s="54">
        <f>+IF(AND(Y918="Domingo",U918=7),_xlfn.XLOOKUP(O918,'Horarios y Sistemas'!C:C,'Horarios y Sistemas'!H:H,0,0,1),0)</f>
        <v>0</v>
      </c>
      <c r="Q918" s="54">
        <f>IF(U918=U919,0,IF(AVERAGEIF(W:W,W918,U:U)=U918,0,_xlfn.XLOOKUP(O918,'Horarios y Sistemas'!C:C,'Horarios y Sistemas'!H:H,0,0,1)-P918))/7*U918</f>
        <v>0</v>
      </c>
      <c r="R918" s="54">
        <f t="shared" si="1121"/>
        <v>0</v>
      </c>
      <c r="S918" s="55" t="str">
        <f t="shared" si="1122"/>
        <v>SEPTIEMBRE</v>
      </c>
      <c r="T918" s="55" t="str">
        <f t="shared" si="1123"/>
        <v>Sem39</v>
      </c>
      <c r="U918" s="56">
        <f t="shared" si="1105"/>
        <v>7</v>
      </c>
      <c r="V918" s="57">
        <v>46286</v>
      </c>
      <c r="W918" s="56">
        <f t="shared" si="1124"/>
        <v>39</v>
      </c>
      <c r="X918" s="56">
        <f t="shared" si="1125"/>
        <v>21</v>
      </c>
      <c r="Y918" s="56" t="s">
        <v>28</v>
      </c>
      <c r="Z918" s="56">
        <v>1</v>
      </c>
      <c r="AA918" s="58">
        <f t="shared" si="1082"/>
        <v>0</v>
      </c>
      <c r="AB918" s="58">
        <f t="shared" si="1082"/>
        <v>1</v>
      </c>
      <c r="AC918" s="58">
        <f t="shared" si="1082"/>
        <v>0</v>
      </c>
      <c r="AD918" s="58">
        <f t="shared" si="1082"/>
        <v>0</v>
      </c>
      <c r="AE918" s="58">
        <f t="shared" si="1082"/>
        <v>0</v>
      </c>
    </row>
    <row r="919" spans="2:31">
      <c r="B919" t="str">
        <f t="shared" si="1112"/>
        <v>Sem3939RIXTUN MELGAR CARLOS LEONEL</v>
      </c>
      <c r="C919" t="str">
        <f t="shared" si="1113"/>
        <v>SEPTIEMBRESem39</v>
      </c>
      <c r="D919" t="str">
        <f t="shared" si="1114"/>
        <v>SEPTIEMBRESem39RIXTUN MELGAR CARLOS LEONEL</v>
      </c>
      <c r="E919" t="str">
        <f t="shared" si="1115"/>
        <v>SEPTIEMBRESem3939RIXTUN MELGAR CARLOS LEONEL</v>
      </c>
      <c r="F919" t="str">
        <f t="shared" si="1116"/>
        <v>RIXTUN MELGAR CARLOS LEONEL46287</v>
      </c>
      <c r="H919" s="49" t="s">
        <v>5</v>
      </c>
      <c r="I919" s="50" t="str">
        <f>+_xlfn.XLOOKUP($H919&amp;$V919,BASEDATOS!$B:$B,BASEDATOS!F:F,0,0,1)</f>
        <v>NOCHE</v>
      </c>
      <c r="J919" s="51">
        <f>+_xlfn.XLOOKUP($H919&amp;$V919,BASEDATOS!$B:$B,BASEDATOS!Q:Q,0,0,1)</f>
        <v>0.75</v>
      </c>
      <c r="K919" s="51">
        <f>+_xlfn.XLOOKUP($H919&amp;$V919,BASEDATOS!$B:$B,BASEDATOS!R:R,0,0,1)</f>
        <v>0.16666666666666699</v>
      </c>
      <c r="L919" s="51">
        <f t="shared" si="1117"/>
        <v>0.41666666666666696</v>
      </c>
      <c r="M919" s="52" t="str">
        <f t="shared" si="1118"/>
        <v>1:00</v>
      </c>
      <c r="N919" s="51">
        <f t="shared" si="1119"/>
        <v>0.37500000000000028</v>
      </c>
      <c r="O919" s="53" t="str">
        <f t="shared" ref="O919" si="1133">+O924</f>
        <v>0-5-2</v>
      </c>
      <c r="P919" s="54">
        <f>+IF(AND(Y919="Domingo",U919=7),_xlfn.XLOOKUP(O919,'Horarios y Sistemas'!C:C,'Horarios y Sistemas'!H:H,0,0,1),0)</f>
        <v>0</v>
      </c>
      <c r="Q919" s="54">
        <f>IF(U919=U920,0,IF(AVERAGEIF(W:W,W919,U:U)=U919,0,_xlfn.XLOOKUP(O919,'Horarios y Sistemas'!C:C,'Horarios y Sistemas'!H:H,0,0,1)-P919))/7*U919</f>
        <v>0</v>
      </c>
      <c r="R919" s="54">
        <f t="shared" si="1121"/>
        <v>0</v>
      </c>
      <c r="S919" s="55" t="str">
        <f t="shared" si="1122"/>
        <v>SEPTIEMBRE</v>
      </c>
      <c r="T919" s="55" t="str">
        <f t="shared" si="1123"/>
        <v>Sem39</v>
      </c>
      <c r="U919" s="56">
        <f t="shared" si="1105"/>
        <v>7</v>
      </c>
      <c r="V919" s="59">
        <v>46287</v>
      </c>
      <c r="W919" s="56">
        <f t="shared" si="1124"/>
        <v>39</v>
      </c>
      <c r="X919" s="56">
        <f t="shared" si="1125"/>
        <v>22</v>
      </c>
      <c r="Y919" s="56" t="s">
        <v>29</v>
      </c>
      <c r="Z919" s="56">
        <v>2</v>
      </c>
      <c r="AA919" s="58">
        <f t="shared" si="1082"/>
        <v>0</v>
      </c>
      <c r="AB919" s="58">
        <f t="shared" si="1082"/>
        <v>1</v>
      </c>
      <c r="AC919" s="58">
        <f t="shared" si="1082"/>
        <v>0</v>
      </c>
      <c r="AD919" s="58">
        <f t="shared" si="1082"/>
        <v>0</v>
      </c>
      <c r="AE919" s="58">
        <f t="shared" si="1082"/>
        <v>0</v>
      </c>
    </row>
    <row r="920" spans="2:31">
      <c r="B920" t="str">
        <f t="shared" si="1112"/>
        <v>Sem3939RIXTUN MELGAR CARLOS LEONEL</v>
      </c>
      <c r="C920" t="str">
        <f t="shared" si="1113"/>
        <v>SEPTIEMBRESem39</v>
      </c>
      <c r="D920" t="str">
        <f t="shared" si="1114"/>
        <v>SEPTIEMBRESem39RIXTUN MELGAR CARLOS LEONEL</v>
      </c>
      <c r="E920" t="str">
        <f t="shared" si="1115"/>
        <v>SEPTIEMBRESem3939RIXTUN MELGAR CARLOS LEONEL</v>
      </c>
      <c r="F920" t="str">
        <f t="shared" si="1116"/>
        <v>RIXTUN MELGAR CARLOS LEONEL46288</v>
      </c>
      <c r="H920" s="49" t="s">
        <v>5</v>
      </c>
      <c r="I920" s="50" t="str">
        <f>+_xlfn.XLOOKUP($H920&amp;$V920,BASEDATOS!$B:$B,BASEDATOS!F:F,0,0,1)</f>
        <v>NOCHE</v>
      </c>
      <c r="J920" s="51">
        <f>+_xlfn.XLOOKUP($H920&amp;$V920,BASEDATOS!$B:$B,BASEDATOS!Q:Q,0,0,1)</f>
        <v>0.75</v>
      </c>
      <c r="K920" s="51">
        <f>+_xlfn.XLOOKUP($H920&amp;$V920,BASEDATOS!$B:$B,BASEDATOS!R:R,0,0,1)</f>
        <v>0.16666666666666699</v>
      </c>
      <c r="L920" s="51">
        <f t="shared" si="1117"/>
        <v>0.41666666666666696</v>
      </c>
      <c r="M920" s="52" t="str">
        <f t="shared" si="1118"/>
        <v>1:00</v>
      </c>
      <c r="N920" s="51">
        <f t="shared" si="1119"/>
        <v>0.37500000000000028</v>
      </c>
      <c r="O920" s="53" t="str">
        <f t="shared" ref="O920" si="1134">+O924</f>
        <v>0-5-2</v>
      </c>
      <c r="P920" s="54">
        <f>+IF(AND(Y920="Domingo",U920=7),_xlfn.XLOOKUP(O920,'Horarios y Sistemas'!C:C,'Horarios y Sistemas'!H:H,0,0,1),0)</f>
        <v>0</v>
      </c>
      <c r="Q920" s="54">
        <f>IF(U920=U921,0,IF(AVERAGEIF(W:W,W920,U:U)=U920,0,_xlfn.XLOOKUP(O920,'Horarios y Sistemas'!C:C,'Horarios y Sistemas'!H:H,0,0,1)-P920))/7*U920</f>
        <v>0</v>
      </c>
      <c r="R920" s="54">
        <f t="shared" si="1121"/>
        <v>0</v>
      </c>
      <c r="S920" s="55" t="str">
        <f t="shared" si="1122"/>
        <v>SEPTIEMBRE</v>
      </c>
      <c r="T920" s="55" t="str">
        <f t="shared" si="1123"/>
        <v>Sem39</v>
      </c>
      <c r="U920" s="56">
        <f t="shared" si="1105"/>
        <v>7</v>
      </c>
      <c r="V920" s="59">
        <v>46288</v>
      </c>
      <c r="W920" s="56">
        <f t="shared" si="1124"/>
        <v>39</v>
      </c>
      <c r="X920" s="56">
        <f t="shared" si="1125"/>
        <v>23</v>
      </c>
      <c r="Y920" s="56" t="s">
        <v>30</v>
      </c>
      <c r="Z920" s="56">
        <v>3</v>
      </c>
      <c r="AA920" s="58">
        <f t="shared" si="1082"/>
        <v>0</v>
      </c>
      <c r="AB920" s="58">
        <f t="shared" si="1082"/>
        <v>1</v>
      </c>
      <c r="AC920" s="58">
        <f t="shared" si="1082"/>
        <v>0</v>
      </c>
      <c r="AD920" s="58">
        <f t="shared" si="1082"/>
        <v>0</v>
      </c>
      <c r="AE920" s="58">
        <f t="shared" si="1082"/>
        <v>0</v>
      </c>
    </row>
    <row r="921" spans="2:31">
      <c r="B921" t="str">
        <f t="shared" si="1112"/>
        <v>Sem3939RIXTUN MELGAR CARLOS LEONEL</v>
      </c>
      <c r="C921" t="str">
        <f t="shared" si="1113"/>
        <v>SEPTIEMBRESem39</v>
      </c>
      <c r="D921" t="str">
        <f t="shared" si="1114"/>
        <v>SEPTIEMBRESem39RIXTUN MELGAR CARLOS LEONEL</v>
      </c>
      <c r="E921" t="str">
        <f t="shared" si="1115"/>
        <v>SEPTIEMBRESem3939RIXTUN MELGAR CARLOS LEONEL</v>
      </c>
      <c r="F921" t="str">
        <f t="shared" si="1116"/>
        <v>RIXTUN MELGAR CARLOS LEONEL46289</v>
      </c>
      <c r="H921" s="49" t="s">
        <v>5</v>
      </c>
      <c r="I921" s="50" t="str">
        <f>+_xlfn.XLOOKUP($H921&amp;$V921,BASEDATOS!$B:$B,BASEDATOS!F:F,0,0,1)</f>
        <v>NOCHE</v>
      </c>
      <c r="J921" s="51">
        <f>+_xlfn.XLOOKUP($H921&amp;$V921,BASEDATOS!$B:$B,BASEDATOS!Q:Q,0,0,1)</f>
        <v>0.75</v>
      </c>
      <c r="K921" s="51">
        <f>+_xlfn.XLOOKUP($H921&amp;$V921,BASEDATOS!$B:$B,BASEDATOS!R:R,0,0,1)</f>
        <v>0.16666666666666699</v>
      </c>
      <c r="L921" s="51">
        <f t="shared" si="1117"/>
        <v>0.41666666666666696</v>
      </c>
      <c r="M921" s="52" t="str">
        <f t="shared" si="1118"/>
        <v>1:00</v>
      </c>
      <c r="N921" s="51">
        <f t="shared" si="1119"/>
        <v>0.37500000000000028</v>
      </c>
      <c r="O921" s="53" t="str">
        <f t="shared" ref="O921" si="1135">+O924</f>
        <v>0-5-2</v>
      </c>
      <c r="P921" s="54">
        <f>+IF(AND(Y921="Domingo",U921=7),_xlfn.XLOOKUP(O921,'Horarios y Sistemas'!C:C,'Horarios y Sistemas'!H:H,0,0,1),0)</f>
        <v>0</v>
      </c>
      <c r="Q921" s="54">
        <f>IF(U921=U922,0,IF(AVERAGEIF(W:W,W921,U:U)=U921,0,_xlfn.XLOOKUP(O921,'Horarios y Sistemas'!C:C,'Horarios y Sistemas'!H:H,0,0,1)-P921))/7*U921</f>
        <v>0</v>
      </c>
      <c r="R921" s="54">
        <f t="shared" si="1121"/>
        <v>0</v>
      </c>
      <c r="S921" s="55" t="str">
        <f t="shared" si="1122"/>
        <v>SEPTIEMBRE</v>
      </c>
      <c r="T921" s="55" t="str">
        <f t="shared" si="1123"/>
        <v>Sem39</v>
      </c>
      <c r="U921" s="56">
        <f t="shared" si="1105"/>
        <v>7</v>
      </c>
      <c r="V921" s="59">
        <v>46289</v>
      </c>
      <c r="W921" s="56">
        <f t="shared" si="1124"/>
        <v>39</v>
      </c>
      <c r="X921" s="56">
        <f t="shared" si="1125"/>
        <v>24</v>
      </c>
      <c r="Y921" s="56" t="s">
        <v>31</v>
      </c>
      <c r="Z921" s="56">
        <v>4</v>
      </c>
      <c r="AA921" s="58">
        <f t="shared" si="1082"/>
        <v>0</v>
      </c>
      <c r="AB921" s="58">
        <f t="shared" si="1082"/>
        <v>1</v>
      </c>
      <c r="AC921" s="58">
        <f t="shared" si="1082"/>
        <v>0</v>
      </c>
      <c r="AD921" s="58">
        <f t="shared" si="1082"/>
        <v>0</v>
      </c>
      <c r="AE921" s="58">
        <f t="shared" si="1082"/>
        <v>0</v>
      </c>
    </row>
    <row r="922" spans="2:31">
      <c r="B922" t="str">
        <f t="shared" si="1112"/>
        <v>Sem3939RIXTUN MELGAR CARLOS LEONEL</v>
      </c>
      <c r="C922" t="str">
        <f t="shared" si="1113"/>
        <v>SEPTIEMBRESem39</v>
      </c>
      <c r="D922" t="str">
        <f t="shared" si="1114"/>
        <v>SEPTIEMBRESem39RIXTUN MELGAR CARLOS LEONEL</v>
      </c>
      <c r="E922" t="str">
        <f t="shared" si="1115"/>
        <v>SEPTIEMBRESem3939RIXTUN MELGAR CARLOS LEONEL</v>
      </c>
      <c r="F922" t="str">
        <f t="shared" si="1116"/>
        <v>RIXTUN MELGAR CARLOS LEONEL46290</v>
      </c>
      <c r="H922" s="49" t="s">
        <v>5</v>
      </c>
      <c r="I922" s="50" t="str">
        <f>+_xlfn.XLOOKUP($H922&amp;$V922,BASEDATOS!$B:$B,BASEDATOS!F:F,0,0,1)</f>
        <v>NOCHE</v>
      </c>
      <c r="J922" s="51">
        <f>+_xlfn.XLOOKUP($H922&amp;$V922,BASEDATOS!$B:$B,BASEDATOS!Q:Q,0,0,1)</f>
        <v>0.75</v>
      </c>
      <c r="K922" s="51">
        <f>+_xlfn.XLOOKUP($H922&amp;$V922,BASEDATOS!$B:$B,BASEDATOS!R:R,0,0,1)</f>
        <v>0.16666666666666699</v>
      </c>
      <c r="L922" s="51">
        <f t="shared" si="1117"/>
        <v>0.41666666666666696</v>
      </c>
      <c r="M922" s="52" t="str">
        <f t="shared" si="1118"/>
        <v>1:00</v>
      </c>
      <c r="N922" s="51">
        <f t="shared" si="1119"/>
        <v>0.37500000000000028</v>
      </c>
      <c r="O922" s="53" t="str">
        <f t="shared" ref="O922" si="1136">+O924</f>
        <v>0-5-2</v>
      </c>
      <c r="P922" s="54">
        <f>+IF(AND(Y922="Domingo",U922=7),_xlfn.XLOOKUP(O922,'Horarios y Sistemas'!C:C,'Horarios y Sistemas'!H:H,0,0,1),0)</f>
        <v>0</v>
      </c>
      <c r="Q922" s="54">
        <f>IF(U922=U923,0,IF(AVERAGEIF(W:W,W922,U:U)=U922,0,_xlfn.XLOOKUP(O922,'Horarios y Sistemas'!C:C,'Horarios y Sistemas'!H:H,0,0,1)-P922))/7*U922</f>
        <v>0</v>
      </c>
      <c r="R922" s="54">
        <f t="shared" si="1121"/>
        <v>0</v>
      </c>
      <c r="S922" s="55" t="str">
        <f t="shared" si="1122"/>
        <v>SEPTIEMBRE</v>
      </c>
      <c r="T922" s="55" t="str">
        <f t="shared" si="1123"/>
        <v>Sem39</v>
      </c>
      <c r="U922" s="56">
        <f t="shared" si="1105"/>
        <v>7</v>
      </c>
      <c r="V922" s="59">
        <v>46290</v>
      </c>
      <c r="W922" s="56">
        <f t="shared" si="1124"/>
        <v>39</v>
      </c>
      <c r="X922" s="56">
        <f t="shared" si="1125"/>
        <v>25</v>
      </c>
      <c r="Y922" s="56" t="s">
        <v>32</v>
      </c>
      <c r="Z922" s="56">
        <v>5</v>
      </c>
      <c r="AA922" s="58">
        <f t="shared" si="1082"/>
        <v>0</v>
      </c>
      <c r="AB922" s="58">
        <f t="shared" si="1082"/>
        <v>1</v>
      </c>
      <c r="AC922" s="58">
        <f t="shared" si="1082"/>
        <v>0</v>
      </c>
      <c r="AD922" s="58">
        <f t="shared" si="1082"/>
        <v>0</v>
      </c>
      <c r="AE922" s="58">
        <f t="shared" si="1082"/>
        <v>0</v>
      </c>
    </row>
    <row r="923" spans="2:31">
      <c r="B923" t="str">
        <f t="shared" si="1112"/>
        <v>Sem3939RIXTUN MELGAR CARLOS LEONEL</v>
      </c>
      <c r="C923" t="str">
        <f t="shared" si="1113"/>
        <v>SEPTIEMBRESem39</v>
      </c>
      <c r="D923" t="str">
        <f t="shared" si="1114"/>
        <v>SEPTIEMBRESem39RIXTUN MELGAR CARLOS LEONEL</v>
      </c>
      <c r="E923" t="str">
        <f t="shared" si="1115"/>
        <v>SEPTIEMBRESem3939RIXTUN MELGAR CARLOS LEONEL</v>
      </c>
      <c r="F923" t="str">
        <f t="shared" si="1116"/>
        <v>RIXTUN MELGAR CARLOS LEONEL46291</v>
      </c>
      <c r="H923" s="49" t="s">
        <v>5</v>
      </c>
      <c r="I923" s="50" t="str">
        <f>+_xlfn.XLOOKUP($H923&amp;$V923,BASEDATOS!$B:$B,BASEDATOS!F:F,0,0,1)</f>
        <v>DESCANSO</v>
      </c>
      <c r="J923" s="51">
        <f>+_xlfn.XLOOKUP($H923&amp;$V923,BASEDATOS!$B:$B,BASEDATOS!Q:Q,0,0,1)</f>
        <v>0</v>
      </c>
      <c r="K923" s="51">
        <f>+_xlfn.XLOOKUP($H923&amp;$V923,BASEDATOS!$B:$B,BASEDATOS!R:R,0,0,1)</f>
        <v>0</v>
      </c>
      <c r="L923" s="51">
        <f t="shared" si="1117"/>
        <v>0</v>
      </c>
      <c r="M923" s="52">
        <f t="shared" si="1118"/>
        <v>0</v>
      </c>
      <c r="N923" s="51">
        <f t="shared" si="1119"/>
        <v>0</v>
      </c>
      <c r="O923" s="53" t="str">
        <f t="shared" ref="O923" si="1137">+O924</f>
        <v>0-5-2</v>
      </c>
      <c r="P923" s="54">
        <f>+IF(AND(Y923="Domingo",U923=7),_xlfn.XLOOKUP(O923,'Horarios y Sistemas'!C:C,'Horarios y Sistemas'!H:H,0,0,1),0)</f>
        <v>0</v>
      </c>
      <c r="Q923" s="54">
        <f>IF(U923=U924,0,IF(AVERAGEIF(W:W,W923,U:U)=U923,0,_xlfn.XLOOKUP(O923,'Horarios y Sistemas'!C:C,'Horarios y Sistemas'!H:H,0,0,1)-P923))/7*U923</f>
        <v>0</v>
      </c>
      <c r="R923" s="54">
        <f t="shared" si="1121"/>
        <v>0</v>
      </c>
      <c r="S923" s="55" t="str">
        <f t="shared" si="1122"/>
        <v>SEPTIEMBRE</v>
      </c>
      <c r="T923" s="55" t="str">
        <f t="shared" si="1123"/>
        <v>Sem39</v>
      </c>
      <c r="U923" s="56">
        <f t="shared" si="1105"/>
        <v>7</v>
      </c>
      <c r="V923" s="59">
        <v>46291</v>
      </c>
      <c r="W923" s="56">
        <f t="shared" si="1124"/>
        <v>39</v>
      </c>
      <c r="X923" s="56">
        <f t="shared" si="1125"/>
        <v>26</v>
      </c>
      <c r="Y923" s="56" t="s">
        <v>33</v>
      </c>
      <c r="Z923" s="56">
        <v>6</v>
      </c>
      <c r="AA923" s="58">
        <f t="shared" si="1082"/>
        <v>0</v>
      </c>
      <c r="AB923" s="58">
        <f t="shared" si="1082"/>
        <v>0</v>
      </c>
      <c r="AC923" s="58">
        <f t="shared" si="1082"/>
        <v>1</v>
      </c>
      <c r="AD923" s="58">
        <f t="shared" si="1082"/>
        <v>0</v>
      </c>
      <c r="AE923" s="58">
        <f t="shared" si="1082"/>
        <v>0</v>
      </c>
    </row>
    <row r="924" spans="2:31">
      <c r="B924" s="60" t="str">
        <f t="shared" si="1112"/>
        <v>Sem3939RIXTUN MELGAR CARLOS LEONEL</v>
      </c>
      <c r="C924" s="60" t="str">
        <f t="shared" si="1113"/>
        <v>SEPTIEMBRESem39</v>
      </c>
      <c r="D924" s="60" t="str">
        <f t="shared" si="1114"/>
        <v>SEPTIEMBRESem39RIXTUN MELGAR CARLOS LEONEL</v>
      </c>
      <c r="E924" s="60" t="str">
        <f t="shared" si="1115"/>
        <v>SEPTIEMBRESem3939RIXTUN MELGAR CARLOS LEONEL</v>
      </c>
      <c r="F924" s="60" t="str">
        <f t="shared" si="1116"/>
        <v>RIXTUN MELGAR CARLOS LEONEL46292</v>
      </c>
      <c r="G924" s="60"/>
      <c r="H924" s="61" t="s">
        <v>5</v>
      </c>
      <c r="I924" s="62" t="str">
        <f>+_xlfn.XLOOKUP($H924&amp;$V924,BASEDATOS!$B:$B,BASEDATOS!F:F,0,0,1)</f>
        <v>DESCANSO</v>
      </c>
      <c r="J924" s="63">
        <f>+_xlfn.XLOOKUP($H924&amp;$V924,BASEDATOS!$B:$B,BASEDATOS!Q:Q,0,0,1)</f>
        <v>0</v>
      </c>
      <c r="K924" s="63">
        <f>+_xlfn.XLOOKUP($H924&amp;$V924,BASEDATOS!$B:$B,BASEDATOS!R:R,0,0,1)</f>
        <v>0</v>
      </c>
      <c r="L924" s="63">
        <f t="shared" si="1117"/>
        <v>0</v>
      </c>
      <c r="M924" s="64">
        <f t="shared" si="1118"/>
        <v>0</v>
      </c>
      <c r="N924" s="63">
        <f t="shared" si="1119"/>
        <v>0</v>
      </c>
      <c r="O924" s="65" t="str">
        <f t="shared" ref="O924" si="1138">+IF(Y924="Domingo",SUM(AA918:AA924)&amp;"-"&amp;SUM(AB918:AB924)&amp;"-"&amp;SUM(AC918:AE924),"")</f>
        <v>0-5-2</v>
      </c>
      <c r="P924" s="66">
        <f>+IF(AND(Y924="Domingo",U924=7),_xlfn.XLOOKUP(O924,'Horarios y Sistemas'!C:C,'Horarios y Sistemas'!H:H,0,0,1),0)</f>
        <v>36</v>
      </c>
      <c r="Q924" s="66">
        <f>IF(U924=U925,0,IF(AVERAGEIF(W:W,W924,U:U)=U924,0,_xlfn.XLOOKUP(O924,'Horarios y Sistemas'!C:C,'Horarios y Sistemas'!H:H,0,0,1)-P924))/7*U924</f>
        <v>0</v>
      </c>
      <c r="R924" s="66">
        <f t="shared" si="1121"/>
        <v>36</v>
      </c>
      <c r="S924" s="67" t="str">
        <f t="shared" si="1122"/>
        <v>SEPTIEMBRE</v>
      </c>
      <c r="T924" s="55" t="str">
        <f t="shared" si="1123"/>
        <v>Sem39</v>
      </c>
      <c r="U924" s="68">
        <f t="shared" si="1105"/>
        <v>7</v>
      </c>
      <c r="V924" s="69">
        <v>46292</v>
      </c>
      <c r="W924" s="68">
        <f t="shared" si="1124"/>
        <v>39</v>
      </c>
      <c r="X924" s="68">
        <f t="shared" si="1125"/>
        <v>27</v>
      </c>
      <c r="Y924" s="68" t="s">
        <v>34</v>
      </c>
      <c r="Z924" s="68">
        <v>7</v>
      </c>
      <c r="AA924" s="70">
        <f t="shared" si="1082"/>
        <v>0</v>
      </c>
      <c r="AB924" s="70">
        <f t="shared" si="1082"/>
        <v>0</v>
      </c>
      <c r="AC924" s="70">
        <f t="shared" si="1082"/>
        <v>1</v>
      </c>
      <c r="AD924" s="70">
        <f t="shared" si="1082"/>
        <v>0</v>
      </c>
      <c r="AE924" s="70">
        <f t="shared" si="1082"/>
        <v>0</v>
      </c>
    </row>
    <row r="925" spans="2:31">
      <c r="B925" t="str">
        <f t="shared" si="1112"/>
        <v>Sem4040RIXTUN MELGAR CARLOS LEONEL</v>
      </c>
      <c r="C925" t="str">
        <f t="shared" si="1113"/>
        <v>SEPTIEMBRESem40</v>
      </c>
      <c r="D925" t="str">
        <f t="shared" si="1114"/>
        <v>SEPTIEMBRESem40RIXTUN MELGAR CARLOS LEONEL</v>
      </c>
      <c r="E925" t="str">
        <f t="shared" si="1115"/>
        <v>SEPTIEMBRESem4040RIXTUN MELGAR CARLOS LEONEL</v>
      </c>
      <c r="F925" t="str">
        <f t="shared" si="1116"/>
        <v>RIXTUN MELGAR CARLOS LEONEL46293</v>
      </c>
      <c r="H925" s="49" t="s">
        <v>5</v>
      </c>
      <c r="I925" s="50" t="str">
        <f>+_xlfn.XLOOKUP($H925&amp;$V925,BASEDATOS!$B:$B,BASEDATOS!F:F,0,0,1)</f>
        <v>DIA</v>
      </c>
      <c r="J925" s="51">
        <f>+_xlfn.XLOOKUP($H925&amp;$V925,BASEDATOS!$B:$B,BASEDATOS!Q:Q,0,0,1)</f>
        <v>0.22916666666666699</v>
      </c>
      <c r="K925" s="51">
        <f>+_xlfn.XLOOKUP($H925&amp;$V925,BASEDATOS!$B:$B,BASEDATOS!R:R,0,0,1)</f>
        <v>0.6875</v>
      </c>
      <c r="L925" s="51">
        <f t="shared" si="1117"/>
        <v>0.45833333333333304</v>
      </c>
      <c r="M925" s="52" t="str">
        <f t="shared" si="1118"/>
        <v>1:00</v>
      </c>
      <c r="N925" s="51">
        <f t="shared" si="1119"/>
        <v>0.41666666666666635</v>
      </c>
      <c r="O925" s="53" t="str">
        <f t="shared" ref="O925" si="1139">+O931</f>
        <v>6-0-1</v>
      </c>
      <c r="P925" s="54">
        <f>+IF(AND(Y925="Domingo",U925=7),_xlfn.XLOOKUP(O925,'Horarios y Sistemas'!C:C,'Horarios y Sistemas'!H:H,0,0,1),0)</f>
        <v>0</v>
      </c>
      <c r="Q925" s="54">
        <f>IF(U925=U926,0,IF(AVERAGEIF(W:W,W925,U:U)=U925,0,_xlfn.XLOOKUP(O925,'Horarios y Sistemas'!C:C,'Horarios y Sistemas'!H:H,0,0,1)-P925))/7*U925</f>
        <v>0</v>
      </c>
      <c r="R925" s="54">
        <f t="shared" si="1121"/>
        <v>0</v>
      </c>
      <c r="S925" s="55" t="str">
        <f t="shared" si="1122"/>
        <v>SEPTIEMBRE</v>
      </c>
      <c r="T925" s="55" t="str">
        <f t="shared" si="1123"/>
        <v>Sem40</v>
      </c>
      <c r="U925" s="56">
        <f t="shared" si="1105"/>
        <v>7</v>
      </c>
      <c r="V925" s="59">
        <v>46293</v>
      </c>
      <c r="W925" s="56">
        <f t="shared" si="1124"/>
        <v>40</v>
      </c>
      <c r="X925" s="56">
        <f t="shared" si="1125"/>
        <v>28</v>
      </c>
      <c r="Y925" s="56" t="s">
        <v>28</v>
      </c>
      <c r="Z925" s="56">
        <v>1</v>
      </c>
      <c r="AA925" s="58">
        <f t="shared" si="1082"/>
        <v>1</v>
      </c>
      <c r="AB925" s="58">
        <f t="shared" si="1082"/>
        <v>0</v>
      </c>
      <c r="AC925" s="58">
        <f t="shared" si="1082"/>
        <v>0</v>
      </c>
      <c r="AD925" s="58">
        <f t="shared" si="1082"/>
        <v>0</v>
      </c>
      <c r="AE925" s="58">
        <f t="shared" si="1082"/>
        <v>0</v>
      </c>
    </row>
    <row r="926" spans="2:31">
      <c r="B926" t="str">
        <f t="shared" si="1112"/>
        <v>Sem4040RIXTUN MELGAR CARLOS LEONEL</v>
      </c>
      <c r="C926" t="str">
        <f t="shared" si="1113"/>
        <v>SEPTIEMBRESem40</v>
      </c>
      <c r="D926" t="str">
        <f t="shared" si="1114"/>
        <v>SEPTIEMBRESem40RIXTUN MELGAR CARLOS LEONEL</v>
      </c>
      <c r="E926" t="str">
        <f t="shared" si="1115"/>
        <v>SEPTIEMBRESem4040RIXTUN MELGAR CARLOS LEONEL</v>
      </c>
      <c r="F926" t="str">
        <f t="shared" si="1116"/>
        <v>RIXTUN MELGAR CARLOS LEONEL46294</v>
      </c>
      <c r="H926" s="49" t="s">
        <v>5</v>
      </c>
      <c r="I926" s="50" t="str">
        <f>+_xlfn.XLOOKUP($H926&amp;$V926,BASEDATOS!$B:$B,BASEDATOS!F:F,0,0,1)</f>
        <v>DIA</v>
      </c>
      <c r="J926" s="51">
        <f>+_xlfn.XLOOKUP($H926&amp;$V926,BASEDATOS!$B:$B,BASEDATOS!Q:Q,0,0,1)</f>
        <v>0.25</v>
      </c>
      <c r="K926" s="51">
        <f>+_xlfn.XLOOKUP($H926&amp;$V926,BASEDATOS!$B:$B,BASEDATOS!R:R,0,0,1)</f>
        <v>0.70833333333333304</v>
      </c>
      <c r="L926" s="51">
        <f t="shared" si="1117"/>
        <v>0.45833333333333304</v>
      </c>
      <c r="M926" s="52" t="str">
        <f t="shared" si="1118"/>
        <v>1:00</v>
      </c>
      <c r="N926" s="51">
        <f t="shared" si="1119"/>
        <v>0.41666666666666635</v>
      </c>
      <c r="O926" s="53" t="str">
        <f t="shared" ref="O926" si="1140">+O931</f>
        <v>6-0-1</v>
      </c>
      <c r="P926" s="54">
        <f>+IF(AND(Y926="Domingo",U926=7),_xlfn.XLOOKUP(O926,'Horarios y Sistemas'!C:C,'Horarios y Sistemas'!H:H,0,0,1),0)</f>
        <v>0</v>
      </c>
      <c r="Q926" s="54">
        <f>IF(U926=U927,0,IF(AVERAGEIF(W:W,W926,U:U)=U926,0,_xlfn.XLOOKUP(O926,'Horarios y Sistemas'!C:C,'Horarios y Sistemas'!H:H,0,0,1)-P926))/7*U926</f>
        <v>0</v>
      </c>
      <c r="R926" s="54">
        <f t="shared" si="1121"/>
        <v>0</v>
      </c>
      <c r="S926" s="55" t="str">
        <f t="shared" si="1122"/>
        <v>SEPTIEMBRE</v>
      </c>
      <c r="T926" s="55" t="str">
        <f t="shared" si="1123"/>
        <v>Sem40</v>
      </c>
      <c r="U926" s="56">
        <f t="shared" si="1105"/>
        <v>7</v>
      </c>
      <c r="V926" s="59">
        <v>46294</v>
      </c>
      <c r="W926" s="56">
        <f t="shared" si="1124"/>
        <v>40</v>
      </c>
      <c r="X926" s="56">
        <f t="shared" si="1125"/>
        <v>29</v>
      </c>
      <c r="Y926" s="56" t="s">
        <v>29</v>
      </c>
      <c r="Z926" s="56">
        <v>2</v>
      </c>
      <c r="AA926" s="58">
        <f t="shared" si="1082"/>
        <v>1</v>
      </c>
      <c r="AB926" s="58">
        <f t="shared" si="1082"/>
        <v>0</v>
      </c>
      <c r="AC926" s="58">
        <f t="shared" si="1082"/>
        <v>0</v>
      </c>
      <c r="AD926" s="58">
        <f t="shared" si="1082"/>
        <v>0</v>
      </c>
      <c r="AE926" s="58">
        <f t="shared" si="1082"/>
        <v>0</v>
      </c>
    </row>
    <row r="927" spans="2:31">
      <c r="B927" t="str">
        <f t="shared" si="1112"/>
        <v>Sem4040RIXTUN MELGAR CARLOS LEONEL</v>
      </c>
      <c r="C927" t="str">
        <f t="shared" si="1113"/>
        <v>SEPTIEMBRESem40</v>
      </c>
      <c r="D927" t="str">
        <f t="shared" si="1114"/>
        <v>SEPTIEMBRESem40RIXTUN MELGAR CARLOS LEONEL</v>
      </c>
      <c r="E927" t="str">
        <f t="shared" si="1115"/>
        <v>SEPTIEMBRESem4040RIXTUN MELGAR CARLOS LEONEL</v>
      </c>
      <c r="F927" t="str">
        <f t="shared" si="1116"/>
        <v>RIXTUN MELGAR CARLOS LEONEL46295</v>
      </c>
      <c r="H927" s="49" t="s">
        <v>5</v>
      </c>
      <c r="I927" s="50" t="str">
        <f>+_xlfn.XLOOKUP($H927&amp;$V927,BASEDATOS!$B:$B,BASEDATOS!F:F,0,0,1)</f>
        <v>DIA</v>
      </c>
      <c r="J927" s="51">
        <f>+_xlfn.XLOOKUP($H927&amp;$V927,BASEDATOS!$B:$B,BASEDATOS!Q:Q,0,0,1)</f>
        <v>0.25</v>
      </c>
      <c r="K927" s="51">
        <f>+_xlfn.XLOOKUP($H927&amp;$V927,BASEDATOS!$B:$B,BASEDATOS!R:R,0,0,1)</f>
        <v>0.70833333333333304</v>
      </c>
      <c r="L927" s="51">
        <f t="shared" si="1117"/>
        <v>0.45833333333333304</v>
      </c>
      <c r="M927" s="52" t="str">
        <f t="shared" si="1118"/>
        <v>1:00</v>
      </c>
      <c r="N927" s="51">
        <f t="shared" si="1119"/>
        <v>0.41666666666666635</v>
      </c>
      <c r="O927" s="53" t="str">
        <f t="shared" ref="O927" si="1141">+O931</f>
        <v>6-0-1</v>
      </c>
      <c r="P927" s="54">
        <f>+IF(AND(Y927="Domingo",U927=7),_xlfn.XLOOKUP(O927,'Horarios y Sistemas'!C:C,'Horarios y Sistemas'!H:H,0,0,1),0)</f>
        <v>0</v>
      </c>
      <c r="Q927" s="54">
        <f>IF(U927=U928,0,IF(AVERAGEIF(W:W,W927,U:U)=U927,0,_xlfn.XLOOKUP(O927,'Horarios y Sistemas'!C:C,'Horarios y Sistemas'!H:H,0,0,1)-P927))/7*U927</f>
        <v>0</v>
      </c>
      <c r="R927" s="54">
        <f t="shared" si="1121"/>
        <v>0</v>
      </c>
      <c r="S927" s="55" t="str">
        <f t="shared" si="1122"/>
        <v>SEPTIEMBRE</v>
      </c>
      <c r="T927" s="55" t="str">
        <f t="shared" si="1123"/>
        <v>Sem40</v>
      </c>
      <c r="U927" s="56">
        <f t="shared" si="1105"/>
        <v>7</v>
      </c>
      <c r="V927" s="59">
        <v>46295</v>
      </c>
      <c r="W927" s="56">
        <f t="shared" si="1124"/>
        <v>40</v>
      </c>
      <c r="X927" s="56">
        <f t="shared" si="1125"/>
        <v>30</v>
      </c>
      <c r="Y927" s="56" t="s">
        <v>30</v>
      </c>
      <c r="Z927" s="56">
        <v>3</v>
      </c>
      <c r="AA927" s="58">
        <f t="shared" si="1082"/>
        <v>1</v>
      </c>
      <c r="AB927" s="58">
        <f t="shared" si="1082"/>
        <v>0</v>
      </c>
      <c r="AC927" s="58">
        <f t="shared" si="1082"/>
        <v>0</v>
      </c>
      <c r="AD927" s="58">
        <f t="shared" si="1082"/>
        <v>0</v>
      </c>
      <c r="AE927" s="58">
        <f t="shared" si="1082"/>
        <v>0</v>
      </c>
    </row>
    <row r="928" spans="2:31">
      <c r="B928" t="str">
        <f t="shared" si="1112"/>
        <v>Sem4040RIXTUN MELGAR CARLOS LEONEL</v>
      </c>
      <c r="C928" t="str">
        <f t="shared" si="1113"/>
        <v>OCTUBRESem40</v>
      </c>
      <c r="D928" t="str">
        <f t="shared" si="1114"/>
        <v>OCTUBRESem40RIXTUN MELGAR CARLOS LEONEL</v>
      </c>
      <c r="E928" t="str">
        <f t="shared" si="1115"/>
        <v>OCTUBRESem4040RIXTUN MELGAR CARLOS LEONEL</v>
      </c>
      <c r="F928" t="str">
        <f t="shared" si="1116"/>
        <v>RIXTUN MELGAR CARLOS LEONEL46296</v>
      </c>
      <c r="H928" s="49" t="s">
        <v>5</v>
      </c>
      <c r="I928" s="50" t="str">
        <f>+_xlfn.XLOOKUP($H928&amp;$V928,BASEDATOS!$B:$B,BASEDATOS!F:F,0,0,1)</f>
        <v>DIA</v>
      </c>
      <c r="J928" s="51">
        <f>+_xlfn.XLOOKUP($H928&amp;$V928,BASEDATOS!$B:$B,BASEDATOS!Q:Q,0,0,1)</f>
        <v>0.25</v>
      </c>
      <c r="K928" s="51">
        <f>+_xlfn.XLOOKUP($H928&amp;$V928,BASEDATOS!$B:$B,BASEDATOS!R:R,0,0,1)</f>
        <v>0.70833333333333304</v>
      </c>
      <c r="L928" s="51">
        <f t="shared" si="1117"/>
        <v>0.45833333333333304</v>
      </c>
      <c r="M928" s="52" t="str">
        <f t="shared" si="1118"/>
        <v>1:00</v>
      </c>
      <c r="N928" s="51">
        <f t="shared" si="1119"/>
        <v>0.41666666666666635</v>
      </c>
      <c r="O928" s="53" t="str">
        <f t="shared" ref="O928" si="1142">+O931</f>
        <v>6-0-1</v>
      </c>
      <c r="P928" s="54">
        <f>+IF(AND(Y928="Domingo",U928=7),_xlfn.XLOOKUP(O928,'Horarios y Sistemas'!C:C,'Horarios y Sistemas'!H:H,0,0,1),0)</f>
        <v>0</v>
      </c>
      <c r="Q928" s="54">
        <f>IF(U928=U929,0,IF(AVERAGEIF(W:W,W928,U:U)=U928,0,_xlfn.XLOOKUP(O928,'Horarios y Sistemas'!C:C,'Horarios y Sistemas'!H:H,0,0,1)-P928))/7*U928</f>
        <v>0</v>
      </c>
      <c r="R928" s="54">
        <f t="shared" si="1121"/>
        <v>0</v>
      </c>
      <c r="S928" s="55" t="str">
        <f t="shared" si="1122"/>
        <v>OCTUBRE</v>
      </c>
      <c r="T928" s="55" t="str">
        <f t="shared" si="1123"/>
        <v>Sem40</v>
      </c>
      <c r="U928" s="56">
        <f t="shared" si="1105"/>
        <v>7</v>
      </c>
      <c r="V928" s="59">
        <v>46296</v>
      </c>
      <c r="W928" s="56">
        <f t="shared" si="1124"/>
        <v>40</v>
      </c>
      <c r="X928" s="56">
        <f t="shared" si="1125"/>
        <v>1</v>
      </c>
      <c r="Y928" s="56" t="s">
        <v>31</v>
      </c>
      <c r="Z928" s="56">
        <v>4</v>
      </c>
      <c r="AA928" s="58">
        <f t="shared" si="1082"/>
        <v>1</v>
      </c>
      <c r="AB928" s="58">
        <f t="shared" si="1082"/>
        <v>0</v>
      </c>
      <c r="AC928" s="58">
        <f t="shared" si="1082"/>
        <v>0</v>
      </c>
      <c r="AD928" s="58">
        <f t="shared" si="1082"/>
        <v>0</v>
      </c>
      <c r="AE928" s="58">
        <f t="shared" si="1082"/>
        <v>0</v>
      </c>
    </row>
    <row r="929" spans="2:31">
      <c r="B929" t="str">
        <f t="shared" si="1112"/>
        <v>Sem4040RIXTUN MELGAR CARLOS LEONEL</v>
      </c>
      <c r="C929" t="str">
        <f t="shared" si="1113"/>
        <v>OCTUBRESem40</v>
      </c>
      <c r="D929" t="str">
        <f t="shared" si="1114"/>
        <v>OCTUBRESem40RIXTUN MELGAR CARLOS LEONEL</v>
      </c>
      <c r="E929" t="str">
        <f t="shared" si="1115"/>
        <v>OCTUBRESem4040RIXTUN MELGAR CARLOS LEONEL</v>
      </c>
      <c r="F929" t="str">
        <f t="shared" si="1116"/>
        <v>RIXTUN MELGAR CARLOS LEONEL46297</v>
      </c>
      <c r="H929" s="49" t="s">
        <v>5</v>
      </c>
      <c r="I929" s="50" t="str">
        <f>+_xlfn.XLOOKUP($H929&amp;$V929,BASEDATOS!$B:$B,BASEDATOS!F:F,0,0,1)</f>
        <v>DIA</v>
      </c>
      <c r="J929" s="51">
        <f>+_xlfn.XLOOKUP($H929&amp;$V929,BASEDATOS!$B:$B,BASEDATOS!Q:Q,0,0,1)</f>
        <v>0.25</v>
      </c>
      <c r="K929" s="51">
        <f>+_xlfn.XLOOKUP($H929&amp;$V929,BASEDATOS!$B:$B,BASEDATOS!R:R,0,0,1)</f>
        <v>0.70833333333333304</v>
      </c>
      <c r="L929" s="51">
        <f t="shared" si="1117"/>
        <v>0.45833333333333304</v>
      </c>
      <c r="M929" s="52" t="str">
        <f t="shared" si="1118"/>
        <v>1:00</v>
      </c>
      <c r="N929" s="51">
        <f t="shared" si="1119"/>
        <v>0.41666666666666635</v>
      </c>
      <c r="O929" s="53" t="str">
        <f t="shared" ref="O929" si="1143">+O931</f>
        <v>6-0-1</v>
      </c>
      <c r="P929" s="54">
        <f>+IF(AND(Y929="Domingo",U929=7),_xlfn.XLOOKUP(O929,'Horarios y Sistemas'!C:C,'Horarios y Sistemas'!H:H,0,0,1),0)</f>
        <v>0</v>
      </c>
      <c r="Q929" s="54">
        <f>IF(U929=U930,0,IF(AVERAGEIF(W:W,W929,U:U)=U929,0,_xlfn.XLOOKUP(O929,'Horarios y Sistemas'!C:C,'Horarios y Sistemas'!H:H,0,0,1)-P929))/7*U929</f>
        <v>0</v>
      </c>
      <c r="R929" s="54">
        <f t="shared" si="1121"/>
        <v>0</v>
      </c>
      <c r="S929" s="55" t="str">
        <f t="shared" si="1122"/>
        <v>OCTUBRE</v>
      </c>
      <c r="T929" s="55" t="str">
        <f t="shared" si="1123"/>
        <v>Sem40</v>
      </c>
      <c r="U929" s="56">
        <f t="shared" si="1105"/>
        <v>7</v>
      </c>
      <c r="V929" s="59">
        <v>46297</v>
      </c>
      <c r="W929" s="56">
        <f t="shared" si="1124"/>
        <v>40</v>
      </c>
      <c r="X929" s="56">
        <f t="shared" si="1125"/>
        <v>2</v>
      </c>
      <c r="Y929" s="56" t="s">
        <v>32</v>
      </c>
      <c r="Z929" s="56">
        <v>5</v>
      </c>
      <c r="AA929" s="58">
        <f t="shared" si="1082"/>
        <v>1</v>
      </c>
      <c r="AB929" s="58">
        <f t="shared" si="1082"/>
        <v>0</v>
      </c>
      <c r="AC929" s="58">
        <f t="shared" si="1082"/>
        <v>0</v>
      </c>
      <c r="AD929" s="58">
        <f t="shared" si="1082"/>
        <v>0</v>
      </c>
      <c r="AE929" s="58">
        <f t="shared" si="1082"/>
        <v>0</v>
      </c>
    </row>
    <row r="930" spans="2:31">
      <c r="B930" t="str">
        <f t="shared" si="1112"/>
        <v>Sem4040RIXTUN MELGAR CARLOS LEONEL</v>
      </c>
      <c r="C930" t="str">
        <f t="shared" si="1113"/>
        <v>OCTUBRESem40</v>
      </c>
      <c r="D930" t="str">
        <f t="shared" si="1114"/>
        <v>OCTUBRESem40RIXTUN MELGAR CARLOS LEONEL</v>
      </c>
      <c r="E930" t="str">
        <f t="shared" si="1115"/>
        <v>OCTUBRESem4040RIXTUN MELGAR CARLOS LEONEL</v>
      </c>
      <c r="F930" t="str">
        <f t="shared" si="1116"/>
        <v>RIXTUN MELGAR CARLOS LEONEL46298</v>
      </c>
      <c r="H930" s="49" t="s">
        <v>5</v>
      </c>
      <c r="I930" s="50" t="str">
        <f>+_xlfn.XLOOKUP($H930&amp;$V930,BASEDATOS!$B:$B,BASEDATOS!F:F,0,0,1)</f>
        <v>DIA</v>
      </c>
      <c r="J930" s="51">
        <f>+_xlfn.XLOOKUP($H930&amp;$V930,BASEDATOS!$B:$B,BASEDATOS!Q:Q,0,0,1)</f>
        <v>0.25</v>
      </c>
      <c r="K930" s="51">
        <f>+_xlfn.XLOOKUP($H930&amp;$V930,BASEDATOS!$B:$B,BASEDATOS!R:R,0,0,1)</f>
        <v>0.54166666666666696</v>
      </c>
      <c r="L930" s="51">
        <f t="shared" si="1117"/>
        <v>0.29166666666666696</v>
      </c>
      <c r="M930" s="52" t="str">
        <f t="shared" si="1118"/>
        <v>1:00</v>
      </c>
      <c r="N930" s="51">
        <f t="shared" si="1119"/>
        <v>0.25000000000000028</v>
      </c>
      <c r="O930" s="53" t="str">
        <f t="shared" ref="O930" si="1144">+O931</f>
        <v>6-0-1</v>
      </c>
      <c r="P930" s="54">
        <f>+IF(AND(Y930="Domingo",U930=7),_xlfn.XLOOKUP(O930,'Horarios y Sistemas'!C:C,'Horarios y Sistemas'!H:H,0,0,1),0)</f>
        <v>0</v>
      </c>
      <c r="Q930" s="54">
        <f>IF(U930=U931,0,IF(AVERAGEIF(W:W,W930,U:U)=U930,0,_xlfn.XLOOKUP(O930,'Horarios y Sistemas'!C:C,'Horarios y Sistemas'!H:H,0,0,1)-P930))/7*U930</f>
        <v>0</v>
      </c>
      <c r="R930" s="54">
        <f t="shared" si="1121"/>
        <v>0</v>
      </c>
      <c r="S930" s="55" t="str">
        <f t="shared" si="1122"/>
        <v>OCTUBRE</v>
      </c>
      <c r="T930" s="55" t="str">
        <f t="shared" si="1123"/>
        <v>Sem40</v>
      </c>
      <c r="U930" s="56">
        <f t="shared" si="1105"/>
        <v>7</v>
      </c>
      <c r="V930" s="59">
        <v>46298</v>
      </c>
      <c r="W930" s="56">
        <f t="shared" si="1124"/>
        <v>40</v>
      </c>
      <c r="X930" s="56">
        <f t="shared" si="1125"/>
        <v>3</v>
      </c>
      <c r="Y930" s="56" t="s">
        <v>33</v>
      </c>
      <c r="Z930" s="56">
        <v>6</v>
      </c>
      <c r="AA930" s="58">
        <f t="shared" si="1082"/>
        <v>1</v>
      </c>
      <c r="AB930" s="58">
        <f t="shared" si="1082"/>
        <v>0</v>
      </c>
      <c r="AC930" s="58">
        <f t="shared" si="1082"/>
        <v>0</v>
      </c>
      <c r="AD930" s="58">
        <f t="shared" si="1082"/>
        <v>0</v>
      </c>
      <c r="AE930" s="58">
        <f t="shared" si="1082"/>
        <v>0</v>
      </c>
    </row>
    <row r="931" spans="2:31">
      <c r="B931" s="60" t="str">
        <f t="shared" si="1112"/>
        <v>Sem4040RIXTUN MELGAR CARLOS LEONEL</v>
      </c>
      <c r="C931" s="60" t="str">
        <f t="shared" si="1113"/>
        <v>OCTUBRESem40</v>
      </c>
      <c r="D931" s="60" t="str">
        <f t="shared" si="1114"/>
        <v>OCTUBRESem40RIXTUN MELGAR CARLOS LEONEL</v>
      </c>
      <c r="E931" s="60" t="str">
        <f t="shared" si="1115"/>
        <v>OCTUBRESem4040RIXTUN MELGAR CARLOS LEONEL</v>
      </c>
      <c r="F931" s="60" t="str">
        <f t="shared" si="1116"/>
        <v>RIXTUN MELGAR CARLOS LEONEL46299</v>
      </c>
      <c r="G931" s="60"/>
      <c r="H931" s="61" t="s">
        <v>5</v>
      </c>
      <c r="I931" s="62" t="str">
        <f>+_xlfn.XLOOKUP($H931&amp;$V931,BASEDATOS!$B:$B,BASEDATOS!F:F,0,0,1)</f>
        <v>DESCANSO</v>
      </c>
      <c r="J931" s="63">
        <f>+_xlfn.XLOOKUP($H931&amp;$V931,BASEDATOS!$B:$B,BASEDATOS!Q:Q,0,0,1)</f>
        <v>0</v>
      </c>
      <c r="K931" s="63">
        <f>+_xlfn.XLOOKUP($H931&amp;$V931,BASEDATOS!$B:$B,BASEDATOS!R:R,0,0,1)</f>
        <v>0</v>
      </c>
      <c r="L931" s="63">
        <f t="shared" si="1117"/>
        <v>0</v>
      </c>
      <c r="M931" s="64">
        <f t="shared" si="1118"/>
        <v>0</v>
      </c>
      <c r="N931" s="63">
        <f t="shared" si="1119"/>
        <v>0</v>
      </c>
      <c r="O931" s="65" t="str">
        <f t="shared" ref="O931" si="1145">+IF(Y931="Domingo",SUM(AA925:AA931)&amp;"-"&amp;SUM(AB925:AB931)&amp;"-"&amp;SUM(AC925:AE931),"")</f>
        <v>6-0-1</v>
      </c>
      <c r="P931" s="66">
        <f>+IF(AND(Y931="Domingo",U931=7),_xlfn.XLOOKUP(O931,'Horarios y Sistemas'!C:C,'Horarios y Sistemas'!H:H,0,0,1),0)</f>
        <v>44</v>
      </c>
      <c r="Q931" s="66">
        <f>IF(U931=U932,0,IF(AVERAGEIF(W:W,W931,U:U)=U931,0,_xlfn.XLOOKUP(O931,'Horarios y Sistemas'!C:C,'Horarios y Sistemas'!H:H,0,0,1)-P931))/7*U931</f>
        <v>0</v>
      </c>
      <c r="R931" s="66">
        <f t="shared" si="1121"/>
        <v>44</v>
      </c>
      <c r="S931" s="67" t="str">
        <f t="shared" si="1122"/>
        <v>OCTUBRE</v>
      </c>
      <c r="T931" s="55" t="str">
        <f t="shared" si="1123"/>
        <v>Sem40</v>
      </c>
      <c r="U931" s="68">
        <f t="shared" si="1105"/>
        <v>7</v>
      </c>
      <c r="V931" s="69">
        <v>46299</v>
      </c>
      <c r="W931" s="68">
        <f t="shared" si="1124"/>
        <v>40</v>
      </c>
      <c r="X931" s="68">
        <f t="shared" si="1125"/>
        <v>4</v>
      </c>
      <c r="Y931" s="68" t="s">
        <v>34</v>
      </c>
      <c r="Z931" s="68">
        <v>7</v>
      </c>
      <c r="AA931" s="70">
        <f t="shared" si="1082"/>
        <v>0</v>
      </c>
      <c r="AB931" s="70">
        <f t="shared" si="1082"/>
        <v>0</v>
      </c>
      <c r="AC931" s="70">
        <f t="shared" si="1082"/>
        <v>1</v>
      </c>
      <c r="AD931" s="70">
        <f t="shared" si="1082"/>
        <v>0</v>
      </c>
      <c r="AE931" s="70">
        <f t="shared" si="1082"/>
        <v>0</v>
      </c>
    </row>
    <row r="932" spans="2:31">
      <c r="B932" t="str">
        <f t="shared" si="1112"/>
        <v>Sem3838ROGER EVENOR ALONZO DIAZ</v>
      </c>
      <c r="C932" t="str">
        <f t="shared" si="1113"/>
        <v>SEPTIEMBRESem38</v>
      </c>
      <c r="D932" t="str">
        <f t="shared" si="1114"/>
        <v>SEPTIEMBRESem38ROGER EVENOR ALONZO DIAZ</v>
      </c>
      <c r="E932" t="str">
        <f t="shared" si="1115"/>
        <v>SEPTIEMBRESem3838ROGER EVENOR ALONZO DIAZ</v>
      </c>
      <c r="F932" t="str">
        <f t="shared" si="1116"/>
        <v>ROGER EVENOR ALONZO DIAZ46279</v>
      </c>
      <c r="H932" s="49" t="s">
        <v>256</v>
      </c>
      <c r="I932" s="50" t="str">
        <f>+_xlfn.XLOOKUP($H932&amp;$V932,BASEDATOS!$B:$B,BASEDATOS!F:F,0,0,1)</f>
        <v>DIA</v>
      </c>
      <c r="J932" s="51">
        <f>+_xlfn.XLOOKUP($H932&amp;$V932,BASEDATOS!$B:$B,BASEDATOS!Q:Q,0,0,1)</f>
        <v>0.29166666666666702</v>
      </c>
      <c r="K932" s="51">
        <f>+_xlfn.XLOOKUP($H932&amp;$V932,BASEDATOS!$B:$B,BASEDATOS!R:R,0,0,1)</f>
        <v>0.66666666666666696</v>
      </c>
      <c r="L932" s="51">
        <f t="shared" si="1117"/>
        <v>0.37499999999999994</v>
      </c>
      <c r="M932" s="52" t="str">
        <f t="shared" si="1118"/>
        <v>1:00</v>
      </c>
      <c r="N932" s="51">
        <f t="shared" si="1119"/>
        <v>0.33333333333333326</v>
      </c>
      <c r="O932" s="53" t="str">
        <f t="shared" ref="O932" si="1146">+O938</f>
        <v>5-1-1</v>
      </c>
      <c r="P932" s="54">
        <f>+IF(AND(Y932="Domingo",U932=7),_xlfn.XLOOKUP(O932,'Horarios y Sistemas'!C:C,'Horarios y Sistemas'!H:H,0,0,1),0)</f>
        <v>0</v>
      </c>
      <c r="Q932" s="54">
        <f>IF(U932=U933,0,IF(AVERAGEIF(W:W,W932,U:U)=U932,0,_xlfn.XLOOKUP(O932,'Horarios y Sistemas'!C:C,'Horarios y Sistemas'!H:H,0,0,1)-P932))/7*U932</f>
        <v>0</v>
      </c>
      <c r="R932" s="54">
        <f t="shared" si="1121"/>
        <v>0</v>
      </c>
      <c r="S932" s="55" t="str">
        <f t="shared" si="1122"/>
        <v>SEPTIEMBRE</v>
      </c>
      <c r="T932" s="55" t="str">
        <f t="shared" si="1123"/>
        <v>Sem38</v>
      </c>
      <c r="U932" s="56">
        <f t="shared" si="1105"/>
        <v>7</v>
      </c>
      <c r="V932" s="59">
        <v>46279</v>
      </c>
      <c r="W932" s="56">
        <f t="shared" si="1124"/>
        <v>38</v>
      </c>
      <c r="X932" s="56">
        <f t="shared" si="1125"/>
        <v>14</v>
      </c>
      <c r="Y932" s="56" t="s">
        <v>28</v>
      </c>
      <c r="Z932" s="56">
        <v>1</v>
      </c>
      <c r="AA932" s="58">
        <f t="shared" si="1082"/>
        <v>1</v>
      </c>
      <c r="AB932" s="58">
        <f t="shared" si="1082"/>
        <v>0</v>
      </c>
      <c r="AC932" s="58">
        <f t="shared" si="1082"/>
        <v>0</v>
      </c>
      <c r="AD932" s="58">
        <f t="shared" si="1082"/>
        <v>0</v>
      </c>
      <c r="AE932" s="58">
        <f t="shared" si="1082"/>
        <v>0</v>
      </c>
    </row>
    <row r="933" spans="2:31">
      <c r="B933" t="str">
        <f t="shared" si="1112"/>
        <v>Sem3838ROGER EVENOR ALONZO DIAZ</v>
      </c>
      <c r="C933" t="str">
        <f t="shared" si="1113"/>
        <v>SEPTIEMBRESem38</v>
      </c>
      <c r="D933" t="str">
        <f t="shared" si="1114"/>
        <v>SEPTIEMBRESem38ROGER EVENOR ALONZO DIAZ</v>
      </c>
      <c r="E933" t="str">
        <f t="shared" si="1115"/>
        <v>SEPTIEMBRESem3838ROGER EVENOR ALONZO DIAZ</v>
      </c>
      <c r="F933" t="str">
        <f t="shared" si="1116"/>
        <v>ROGER EVENOR ALONZO DIAZ46280</v>
      </c>
      <c r="H933" s="49" t="s">
        <v>256</v>
      </c>
      <c r="I933" s="50" t="str">
        <f>+_xlfn.XLOOKUP($H933&amp;$V933,BASEDATOS!$B:$B,BASEDATOS!F:F,0,0,1)</f>
        <v>DIA</v>
      </c>
      <c r="J933" s="51">
        <f>+_xlfn.XLOOKUP($H933&amp;$V933,BASEDATOS!$B:$B,BASEDATOS!Q:Q,0,0,1)</f>
        <v>0.29166666666666702</v>
      </c>
      <c r="K933" s="51">
        <f>+_xlfn.XLOOKUP($H933&amp;$V933,BASEDATOS!$B:$B,BASEDATOS!R:R,0,0,1)</f>
        <v>0.66666666666666696</v>
      </c>
      <c r="L933" s="51">
        <f t="shared" si="1117"/>
        <v>0.37499999999999994</v>
      </c>
      <c r="M933" s="52" t="str">
        <f t="shared" si="1118"/>
        <v>1:00</v>
      </c>
      <c r="N933" s="51">
        <f t="shared" si="1119"/>
        <v>0.33333333333333326</v>
      </c>
      <c r="O933" s="53" t="str">
        <f t="shared" ref="O933" si="1147">+O938</f>
        <v>5-1-1</v>
      </c>
      <c r="P933" s="54">
        <f>+IF(AND(Y933="Domingo",U933=7),_xlfn.XLOOKUP(O933,'Horarios y Sistemas'!C:C,'Horarios y Sistemas'!H:H,0,0,1),0)</f>
        <v>0</v>
      </c>
      <c r="Q933" s="54">
        <f>IF(U933=U934,0,IF(AVERAGEIF(W:W,W933,U:U)=U933,0,_xlfn.XLOOKUP(O933,'Horarios y Sistemas'!C:C,'Horarios y Sistemas'!H:H,0,0,1)-P933))/7*U933</f>
        <v>0</v>
      </c>
      <c r="R933" s="54">
        <f t="shared" si="1121"/>
        <v>0</v>
      </c>
      <c r="S933" s="55" t="str">
        <f t="shared" si="1122"/>
        <v>SEPTIEMBRE</v>
      </c>
      <c r="T933" s="55" t="str">
        <f t="shared" si="1123"/>
        <v>Sem38</v>
      </c>
      <c r="U933" s="56">
        <f t="shared" si="1105"/>
        <v>7</v>
      </c>
      <c r="V933" s="59">
        <v>46280</v>
      </c>
      <c r="W933" s="56">
        <f t="shared" si="1124"/>
        <v>38</v>
      </c>
      <c r="X933" s="56">
        <f t="shared" si="1125"/>
        <v>15</v>
      </c>
      <c r="Y933" s="56" t="s">
        <v>29</v>
      </c>
      <c r="Z933" s="56">
        <v>2</v>
      </c>
      <c r="AA933" s="58">
        <f t="shared" ref="AA933:AE983" si="1148">+IF($I933=AA$7,1,0)</f>
        <v>1</v>
      </c>
      <c r="AB933" s="58">
        <f t="shared" si="1148"/>
        <v>0</v>
      </c>
      <c r="AC933" s="58">
        <f t="shared" si="1148"/>
        <v>0</v>
      </c>
      <c r="AD933" s="58">
        <f t="shared" si="1148"/>
        <v>0</v>
      </c>
      <c r="AE933" s="58">
        <f t="shared" si="1148"/>
        <v>0</v>
      </c>
    </row>
    <row r="934" spans="2:31">
      <c r="B934" t="str">
        <f t="shared" si="1112"/>
        <v>Sem3838ROGER EVENOR ALONZO DIAZ</v>
      </c>
      <c r="C934" t="str">
        <f t="shared" si="1113"/>
        <v>SEPTIEMBRESem38</v>
      </c>
      <c r="D934" t="str">
        <f t="shared" si="1114"/>
        <v>SEPTIEMBRESem38ROGER EVENOR ALONZO DIAZ</v>
      </c>
      <c r="E934" t="str">
        <f t="shared" si="1115"/>
        <v>SEPTIEMBRESem3838ROGER EVENOR ALONZO DIAZ</v>
      </c>
      <c r="F934" t="str">
        <f t="shared" si="1116"/>
        <v>ROGER EVENOR ALONZO DIAZ46281</v>
      </c>
      <c r="H934" s="49" t="s">
        <v>256</v>
      </c>
      <c r="I934" s="50" t="str">
        <f>+_xlfn.XLOOKUP($H934&amp;$V934,BASEDATOS!$B:$B,BASEDATOS!F:F,0,0,1)</f>
        <v>DIA</v>
      </c>
      <c r="J934" s="51">
        <f>+_xlfn.XLOOKUP($H934&amp;$V934,BASEDATOS!$B:$B,BASEDATOS!Q:Q,0,0,1)</f>
        <v>0.29166666666666702</v>
      </c>
      <c r="K934" s="51">
        <f>+_xlfn.XLOOKUP($H934&amp;$V934,BASEDATOS!$B:$B,BASEDATOS!R:R,0,0,1)</f>
        <v>0.66666666666666696</v>
      </c>
      <c r="L934" s="51">
        <f t="shared" si="1117"/>
        <v>0.37499999999999994</v>
      </c>
      <c r="M934" s="52" t="str">
        <f t="shared" si="1118"/>
        <v>1:00</v>
      </c>
      <c r="N934" s="51">
        <f t="shared" si="1119"/>
        <v>0.33333333333333326</v>
      </c>
      <c r="O934" s="53" t="str">
        <f t="shared" ref="O934" si="1149">+O938</f>
        <v>5-1-1</v>
      </c>
      <c r="P934" s="54">
        <f>+IF(AND(Y934="Domingo",U934=7),_xlfn.XLOOKUP(O934,'Horarios y Sistemas'!C:C,'Horarios y Sistemas'!H:H,0,0,1),0)</f>
        <v>0</v>
      </c>
      <c r="Q934" s="54">
        <f>IF(U934=U935,0,IF(AVERAGEIF(W:W,W934,U:U)=U934,0,_xlfn.XLOOKUP(O934,'Horarios y Sistemas'!C:C,'Horarios y Sistemas'!H:H,0,0,1)-P934))/7*U934</f>
        <v>0</v>
      </c>
      <c r="R934" s="54">
        <f t="shared" si="1121"/>
        <v>0</v>
      </c>
      <c r="S934" s="55" t="str">
        <f t="shared" si="1122"/>
        <v>SEPTIEMBRE</v>
      </c>
      <c r="T934" s="55" t="str">
        <f t="shared" si="1123"/>
        <v>Sem38</v>
      </c>
      <c r="U934" s="56">
        <f t="shared" si="1105"/>
        <v>7</v>
      </c>
      <c r="V934" s="59">
        <v>46281</v>
      </c>
      <c r="W934" s="56">
        <f t="shared" si="1124"/>
        <v>38</v>
      </c>
      <c r="X934" s="56">
        <f t="shared" si="1125"/>
        <v>16</v>
      </c>
      <c r="Y934" s="56" t="s">
        <v>30</v>
      </c>
      <c r="Z934" s="56">
        <v>3</v>
      </c>
      <c r="AA934" s="58">
        <f t="shared" si="1148"/>
        <v>1</v>
      </c>
      <c r="AB934" s="58">
        <f t="shared" si="1148"/>
        <v>0</v>
      </c>
      <c r="AC934" s="58">
        <f t="shared" si="1148"/>
        <v>0</v>
      </c>
      <c r="AD934" s="58">
        <f t="shared" si="1148"/>
        <v>0</v>
      </c>
      <c r="AE934" s="58">
        <f t="shared" si="1148"/>
        <v>0</v>
      </c>
    </row>
    <row r="935" spans="2:31">
      <c r="B935" t="str">
        <f t="shared" si="1112"/>
        <v>Sem3838ROGER EVENOR ALONZO DIAZ</v>
      </c>
      <c r="C935" t="str">
        <f t="shared" si="1113"/>
        <v>SEPTIEMBRESem38</v>
      </c>
      <c r="D935" t="str">
        <f t="shared" si="1114"/>
        <v>SEPTIEMBRESem38ROGER EVENOR ALONZO DIAZ</v>
      </c>
      <c r="E935" t="str">
        <f t="shared" si="1115"/>
        <v>SEPTIEMBRESem3838ROGER EVENOR ALONZO DIAZ</v>
      </c>
      <c r="F935" t="str">
        <f t="shared" si="1116"/>
        <v>ROGER EVENOR ALONZO DIAZ46282</v>
      </c>
      <c r="H935" s="49" t="s">
        <v>256</v>
      </c>
      <c r="I935" s="50" t="str">
        <f>+_xlfn.XLOOKUP($H935&amp;$V935,BASEDATOS!$B:$B,BASEDATOS!F:F,0,0,1)</f>
        <v>DIA</v>
      </c>
      <c r="J935" s="51">
        <f>+_xlfn.XLOOKUP($H935&amp;$V935,BASEDATOS!$B:$B,BASEDATOS!Q:Q,0,0,1)</f>
        <v>0.29166666666666702</v>
      </c>
      <c r="K935" s="51">
        <f>+_xlfn.XLOOKUP($H935&amp;$V935,BASEDATOS!$B:$B,BASEDATOS!R:R,0,0,1)</f>
        <v>0.66666666666666696</v>
      </c>
      <c r="L935" s="51">
        <f t="shared" si="1117"/>
        <v>0.37499999999999994</v>
      </c>
      <c r="M935" s="52" t="str">
        <f t="shared" si="1118"/>
        <v>1:00</v>
      </c>
      <c r="N935" s="51">
        <f t="shared" si="1119"/>
        <v>0.33333333333333326</v>
      </c>
      <c r="O935" s="53" t="str">
        <f t="shared" ref="O935" si="1150">+O938</f>
        <v>5-1-1</v>
      </c>
      <c r="P935" s="54">
        <f>+IF(AND(Y935="Domingo",U935=7),_xlfn.XLOOKUP(O935,'Horarios y Sistemas'!C:C,'Horarios y Sistemas'!H:H,0,0,1),0)</f>
        <v>0</v>
      </c>
      <c r="Q935" s="54">
        <f>IF(U935=U936,0,IF(AVERAGEIF(W:W,W935,U:U)=U935,0,_xlfn.XLOOKUP(O935,'Horarios y Sistemas'!C:C,'Horarios y Sistemas'!H:H,0,0,1)-P935))/7*U935</f>
        <v>0</v>
      </c>
      <c r="R935" s="54">
        <f t="shared" si="1121"/>
        <v>0</v>
      </c>
      <c r="S935" s="55" t="str">
        <f t="shared" si="1122"/>
        <v>SEPTIEMBRE</v>
      </c>
      <c r="T935" s="55" t="str">
        <f t="shared" si="1123"/>
        <v>Sem38</v>
      </c>
      <c r="U935" s="56">
        <f t="shared" si="1105"/>
        <v>7</v>
      </c>
      <c r="V935" s="59">
        <v>46282</v>
      </c>
      <c r="W935" s="56">
        <f t="shared" si="1124"/>
        <v>38</v>
      </c>
      <c r="X935" s="56">
        <f t="shared" si="1125"/>
        <v>17</v>
      </c>
      <c r="Y935" s="56" t="s">
        <v>31</v>
      </c>
      <c r="Z935" s="56">
        <v>4</v>
      </c>
      <c r="AA935" s="58">
        <f t="shared" si="1148"/>
        <v>1</v>
      </c>
      <c r="AB935" s="58">
        <f t="shared" si="1148"/>
        <v>0</v>
      </c>
      <c r="AC935" s="58">
        <f t="shared" si="1148"/>
        <v>0</v>
      </c>
      <c r="AD935" s="58">
        <f t="shared" si="1148"/>
        <v>0</v>
      </c>
      <c r="AE935" s="58">
        <f t="shared" si="1148"/>
        <v>0</v>
      </c>
    </row>
    <row r="936" spans="2:31">
      <c r="B936" t="str">
        <f t="shared" si="1112"/>
        <v>Sem3838ROGER EVENOR ALONZO DIAZ</v>
      </c>
      <c r="C936" t="str">
        <f t="shared" si="1113"/>
        <v>SEPTIEMBRESem38</v>
      </c>
      <c r="D936" t="str">
        <f t="shared" si="1114"/>
        <v>SEPTIEMBRESem38ROGER EVENOR ALONZO DIAZ</v>
      </c>
      <c r="E936" t="str">
        <f t="shared" si="1115"/>
        <v>SEPTIEMBRESem3838ROGER EVENOR ALONZO DIAZ</v>
      </c>
      <c r="F936" t="str">
        <f t="shared" si="1116"/>
        <v>ROGER EVENOR ALONZO DIAZ46283</v>
      </c>
      <c r="H936" s="49" t="s">
        <v>256</v>
      </c>
      <c r="I936" s="50" t="str">
        <f>+_xlfn.XLOOKUP($H936&amp;$V936,BASEDATOS!$B:$B,BASEDATOS!F:F,0,0,1)</f>
        <v>DIA</v>
      </c>
      <c r="J936" s="51">
        <f>+_xlfn.XLOOKUP($H936&amp;$V936,BASEDATOS!$B:$B,BASEDATOS!Q:Q,0,0,1)</f>
        <v>0.29166666666666702</v>
      </c>
      <c r="K936" s="51">
        <f>+_xlfn.XLOOKUP($H936&amp;$V936,BASEDATOS!$B:$B,BASEDATOS!R:R,0,0,1)</f>
        <v>0.66666666666666696</v>
      </c>
      <c r="L936" s="51">
        <f t="shared" si="1117"/>
        <v>0.37499999999999994</v>
      </c>
      <c r="M936" s="52" t="str">
        <f t="shared" si="1118"/>
        <v>1:00</v>
      </c>
      <c r="N936" s="51">
        <f t="shared" si="1119"/>
        <v>0.33333333333333326</v>
      </c>
      <c r="O936" s="53" t="str">
        <f t="shared" ref="O936" si="1151">+O938</f>
        <v>5-1-1</v>
      </c>
      <c r="P936" s="54">
        <f>+IF(AND(Y936="Domingo",U936=7),_xlfn.XLOOKUP(O936,'Horarios y Sistemas'!C:C,'Horarios y Sistemas'!H:H,0,0,1),0)</f>
        <v>0</v>
      </c>
      <c r="Q936" s="54">
        <f>IF(U936=U937,0,IF(AVERAGEIF(W:W,W936,U:U)=U936,0,_xlfn.XLOOKUP(O936,'Horarios y Sistemas'!C:C,'Horarios y Sistemas'!H:H,0,0,1)-P936))/7*U936</f>
        <v>0</v>
      </c>
      <c r="R936" s="54">
        <f t="shared" si="1121"/>
        <v>0</v>
      </c>
      <c r="S936" s="55" t="str">
        <f t="shared" si="1122"/>
        <v>SEPTIEMBRE</v>
      </c>
      <c r="T936" s="55" t="str">
        <f t="shared" si="1123"/>
        <v>Sem38</v>
      </c>
      <c r="U936" s="56">
        <f t="shared" si="1105"/>
        <v>7</v>
      </c>
      <c r="V936" s="59">
        <v>46283</v>
      </c>
      <c r="W936" s="56">
        <f t="shared" si="1124"/>
        <v>38</v>
      </c>
      <c r="X936" s="56">
        <f t="shared" si="1125"/>
        <v>18</v>
      </c>
      <c r="Y936" s="56" t="s">
        <v>32</v>
      </c>
      <c r="Z936" s="56">
        <v>5</v>
      </c>
      <c r="AA936" s="58">
        <f t="shared" si="1148"/>
        <v>1</v>
      </c>
      <c r="AB936" s="58">
        <f t="shared" si="1148"/>
        <v>0</v>
      </c>
      <c r="AC936" s="58">
        <f t="shared" si="1148"/>
        <v>0</v>
      </c>
      <c r="AD936" s="58">
        <f t="shared" si="1148"/>
        <v>0</v>
      </c>
      <c r="AE936" s="58">
        <f t="shared" si="1148"/>
        <v>0</v>
      </c>
    </row>
    <row r="937" spans="2:31">
      <c r="B937" t="str">
        <f t="shared" si="1112"/>
        <v>Sem3838ROGER EVENOR ALONZO DIAZ</v>
      </c>
      <c r="C937" t="str">
        <f t="shared" si="1113"/>
        <v>SEPTIEMBRESem38</v>
      </c>
      <c r="D937" t="str">
        <f t="shared" si="1114"/>
        <v>SEPTIEMBRESem38ROGER EVENOR ALONZO DIAZ</v>
      </c>
      <c r="E937" t="str">
        <f t="shared" si="1115"/>
        <v>SEPTIEMBRESem3838ROGER EVENOR ALONZO DIAZ</v>
      </c>
      <c r="F937" t="str">
        <f t="shared" si="1116"/>
        <v>ROGER EVENOR ALONZO DIAZ46284</v>
      </c>
      <c r="H937" s="49" t="s">
        <v>256</v>
      </c>
      <c r="I937" s="50" t="str">
        <f>+_xlfn.XLOOKUP($H937&amp;$V937,BASEDATOS!$B:$B,BASEDATOS!F:F,0,0,1)</f>
        <v>NOCHE</v>
      </c>
      <c r="J937" s="51">
        <f>+_xlfn.XLOOKUP($H937&amp;$V937,BASEDATOS!$B:$B,BASEDATOS!Q:Q,0,0,1)</f>
        <v>0.29166666666666702</v>
      </c>
      <c r="K937" s="51">
        <f>+_xlfn.XLOOKUP($H937&amp;$V937,BASEDATOS!$B:$B,BASEDATOS!R:R,0,0,1)</f>
        <v>0.45833333333333298</v>
      </c>
      <c r="L937" s="51">
        <f t="shared" si="1117"/>
        <v>0.16666666666666596</v>
      </c>
      <c r="M937" s="52" t="str">
        <f t="shared" si="1118"/>
        <v>1:00</v>
      </c>
      <c r="N937" s="51">
        <f t="shared" si="1119"/>
        <v>0.12499999999999931</v>
      </c>
      <c r="O937" s="53" t="str">
        <f t="shared" ref="O937" si="1152">+O938</f>
        <v>5-1-1</v>
      </c>
      <c r="P937" s="54">
        <f>+IF(AND(Y937="Domingo",U937=7),_xlfn.XLOOKUP(O937,'Horarios y Sistemas'!C:C,'Horarios y Sistemas'!H:H,0,0,1),0)</f>
        <v>0</v>
      </c>
      <c r="Q937" s="54">
        <f>IF(U937=U938,0,IF(AVERAGEIF(W:W,W937,U:U)=U937,0,_xlfn.XLOOKUP(O937,'Horarios y Sistemas'!C:C,'Horarios y Sistemas'!H:H,0,0,1)-P937))/7*U937</f>
        <v>0</v>
      </c>
      <c r="R937" s="54">
        <f t="shared" si="1121"/>
        <v>0</v>
      </c>
      <c r="S937" s="55" t="str">
        <f t="shared" si="1122"/>
        <v>SEPTIEMBRE</v>
      </c>
      <c r="T937" s="55" t="str">
        <f t="shared" si="1123"/>
        <v>Sem38</v>
      </c>
      <c r="U937" s="56">
        <f t="shared" si="1105"/>
        <v>7</v>
      </c>
      <c r="V937" s="59">
        <v>46284</v>
      </c>
      <c r="W937" s="56">
        <f t="shared" si="1124"/>
        <v>38</v>
      </c>
      <c r="X937" s="56">
        <f t="shared" si="1125"/>
        <v>19</v>
      </c>
      <c r="Y937" s="56" t="s">
        <v>33</v>
      </c>
      <c r="Z937" s="56">
        <v>6</v>
      </c>
      <c r="AA937" s="58">
        <f t="shared" si="1148"/>
        <v>0</v>
      </c>
      <c r="AB937" s="58">
        <f t="shared" si="1148"/>
        <v>1</v>
      </c>
      <c r="AC937" s="58">
        <f t="shared" si="1148"/>
        <v>0</v>
      </c>
      <c r="AD937" s="58">
        <f t="shared" si="1148"/>
        <v>0</v>
      </c>
      <c r="AE937" s="58">
        <f t="shared" si="1148"/>
        <v>0</v>
      </c>
    </row>
    <row r="938" spans="2:31">
      <c r="B938" s="60" t="str">
        <f t="shared" si="1112"/>
        <v>Sem3838ROGER EVENOR ALONZO DIAZ</v>
      </c>
      <c r="C938" s="60" t="str">
        <f t="shared" si="1113"/>
        <v>SEPTIEMBRESem38</v>
      </c>
      <c r="D938" s="60" t="str">
        <f t="shared" si="1114"/>
        <v>SEPTIEMBRESem38ROGER EVENOR ALONZO DIAZ</v>
      </c>
      <c r="E938" s="60" t="str">
        <f t="shared" si="1115"/>
        <v>SEPTIEMBRESem3838ROGER EVENOR ALONZO DIAZ</v>
      </c>
      <c r="F938" s="60" t="str">
        <f t="shared" si="1116"/>
        <v>ROGER EVENOR ALONZO DIAZ46285</v>
      </c>
      <c r="G938" s="60"/>
      <c r="H938" s="61" t="s">
        <v>256</v>
      </c>
      <c r="I938" s="62" t="str">
        <f>+_xlfn.XLOOKUP($H938&amp;$V938,BASEDATOS!$B:$B,BASEDATOS!F:F,0,0,1)</f>
        <v>DESCANSO</v>
      </c>
      <c r="J938" s="63">
        <f>+_xlfn.XLOOKUP($H938&amp;$V938,BASEDATOS!$B:$B,BASEDATOS!Q:Q,0,0,1)</f>
        <v>0</v>
      </c>
      <c r="K938" s="63">
        <f>+_xlfn.XLOOKUP($H938&amp;$V938,BASEDATOS!$B:$B,BASEDATOS!R:R,0,0,1)</f>
        <v>0</v>
      </c>
      <c r="L938" s="63">
        <f t="shared" si="1117"/>
        <v>0</v>
      </c>
      <c r="M938" s="64">
        <f t="shared" si="1118"/>
        <v>0</v>
      </c>
      <c r="N938" s="63">
        <f t="shared" si="1119"/>
        <v>0</v>
      </c>
      <c r="O938" s="65" t="str">
        <f t="shared" ref="O938" si="1153">+IF(Y938="Domingo",SUM(AA932:AA938)&amp;"-"&amp;SUM(AB932:AB938)&amp;"-"&amp;SUM(AC932:AE938),"")</f>
        <v>5-1-1</v>
      </c>
      <c r="P938" s="66">
        <f>+IF(AND(Y938="Domingo",U938=7),_xlfn.XLOOKUP(O938,'Horarios y Sistemas'!C:C,'Horarios y Sistemas'!H:H,0,0,1),0)</f>
        <v>42.666666666666671</v>
      </c>
      <c r="Q938" s="66">
        <f>IF(U938=U939,0,IF(AVERAGEIF(W:W,W938,U:U)=U938,0,_xlfn.XLOOKUP(O938,'Horarios y Sistemas'!C:C,'Horarios y Sistemas'!H:H,0,0,1)-P938))/7*U938</f>
        <v>0</v>
      </c>
      <c r="R938" s="66">
        <f t="shared" si="1121"/>
        <v>42.666666666666671</v>
      </c>
      <c r="S938" s="67" t="str">
        <f t="shared" si="1122"/>
        <v>SEPTIEMBRE</v>
      </c>
      <c r="T938" s="55" t="str">
        <f t="shared" si="1123"/>
        <v>Sem38</v>
      </c>
      <c r="U938" s="68">
        <f t="shared" si="1105"/>
        <v>7</v>
      </c>
      <c r="V938" s="69">
        <v>46285</v>
      </c>
      <c r="W938" s="68">
        <f t="shared" si="1124"/>
        <v>38</v>
      </c>
      <c r="X938" s="68">
        <f t="shared" si="1125"/>
        <v>20</v>
      </c>
      <c r="Y938" s="68" t="s">
        <v>34</v>
      </c>
      <c r="Z938" s="68">
        <v>7</v>
      </c>
      <c r="AA938" s="70">
        <f t="shared" si="1148"/>
        <v>0</v>
      </c>
      <c r="AB938" s="70">
        <f t="shared" si="1148"/>
        <v>0</v>
      </c>
      <c r="AC938" s="70">
        <f t="shared" si="1148"/>
        <v>1</v>
      </c>
      <c r="AD938" s="70">
        <f t="shared" si="1148"/>
        <v>0</v>
      </c>
      <c r="AE938" s="70">
        <f t="shared" si="1148"/>
        <v>0</v>
      </c>
    </row>
    <row r="939" spans="2:31">
      <c r="B939" t="str">
        <f t="shared" si="1112"/>
        <v>Sem3939ROGER EVENOR ALONZO DIAZ</v>
      </c>
      <c r="C939" t="str">
        <f t="shared" si="1113"/>
        <v>SEPTIEMBRESem39</v>
      </c>
      <c r="D939" t="str">
        <f t="shared" si="1114"/>
        <v>SEPTIEMBRESem39ROGER EVENOR ALONZO DIAZ</v>
      </c>
      <c r="E939" t="str">
        <f t="shared" si="1115"/>
        <v>SEPTIEMBRESem3939ROGER EVENOR ALONZO DIAZ</v>
      </c>
      <c r="F939" t="str">
        <f t="shared" si="1116"/>
        <v>ROGER EVENOR ALONZO DIAZ46286</v>
      </c>
      <c r="H939" s="49" t="s">
        <v>256</v>
      </c>
      <c r="I939" s="50" t="str">
        <f>+_xlfn.XLOOKUP($H939&amp;$V939,BASEDATOS!$B:$B,BASEDATOS!F:F,0,0,1)</f>
        <v>DIA</v>
      </c>
      <c r="J939" s="51">
        <f>+_xlfn.XLOOKUP($H939&amp;$V939,BASEDATOS!$B:$B,BASEDATOS!Q:Q,0,0,1)</f>
        <v>0.29166666666666702</v>
      </c>
      <c r="K939" s="51">
        <f>+_xlfn.XLOOKUP($H939&amp;$V939,BASEDATOS!$B:$B,BASEDATOS!R:R,0,0,1)</f>
        <v>0.66666666666666696</v>
      </c>
      <c r="L939" s="51">
        <f t="shared" si="1117"/>
        <v>0.37499999999999994</v>
      </c>
      <c r="M939" s="52" t="str">
        <f t="shared" si="1118"/>
        <v>1:00</v>
      </c>
      <c r="N939" s="51">
        <f t="shared" si="1119"/>
        <v>0.33333333333333326</v>
      </c>
      <c r="O939" s="53" t="str">
        <f t="shared" ref="O939" si="1154">+O945</f>
        <v>5-1-1</v>
      </c>
      <c r="P939" s="54">
        <f>+IF(AND(Y939="Domingo",U939=7),_xlfn.XLOOKUP(O939,'Horarios y Sistemas'!C:C,'Horarios y Sistemas'!H:H,0,0,1),0)</f>
        <v>0</v>
      </c>
      <c r="Q939" s="54">
        <f>IF(U939=U940,0,IF(AVERAGEIF(W:W,W939,U:U)=U939,0,_xlfn.XLOOKUP(O939,'Horarios y Sistemas'!C:C,'Horarios y Sistemas'!H:H,0,0,1)-P939))/7*U939</f>
        <v>0</v>
      </c>
      <c r="R939" s="54">
        <f t="shared" si="1121"/>
        <v>0</v>
      </c>
      <c r="S939" s="55" t="str">
        <f t="shared" si="1122"/>
        <v>SEPTIEMBRE</v>
      </c>
      <c r="T939" s="55" t="str">
        <f t="shared" si="1123"/>
        <v>Sem39</v>
      </c>
      <c r="U939" s="56">
        <f t="shared" si="1105"/>
        <v>7</v>
      </c>
      <c r="V939" s="57">
        <v>46286</v>
      </c>
      <c r="W939" s="56">
        <f t="shared" si="1124"/>
        <v>39</v>
      </c>
      <c r="X939" s="56">
        <f t="shared" si="1125"/>
        <v>21</v>
      </c>
      <c r="Y939" s="56" t="s">
        <v>28</v>
      </c>
      <c r="Z939" s="56">
        <v>1</v>
      </c>
      <c r="AA939" s="58">
        <f t="shared" si="1148"/>
        <v>1</v>
      </c>
      <c r="AB939" s="58">
        <f t="shared" si="1148"/>
        <v>0</v>
      </c>
      <c r="AC939" s="58">
        <f t="shared" si="1148"/>
        <v>0</v>
      </c>
      <c r="AD939" s="58">
        <f t="shared" si="1148"/>
        <v>0</v>
      </c>
      <c r="AE939" s="58">
        <f t="shared" si="1148"/>
        <v>0</v>
      </c>
    </row>
    <row r="940" spans="2:31">
      <c r="B940" t="str">
        <f t="shared" si="1112"/>
        <v>Sem3939ROGER EVENOR ALONZO DIAZ</v>
      </c>
      <c r="C940" t="str">
        <f t="shared" si="1113"/>
        <v>SEPTIEMBRESem39</v>
      </c>
      <c r="D940" t="str">
        <f t="shared" si="1114"/>
        <v>SEPTIEMBRESem39ROGER EVENOR ALONZO DIAZ</v>
      </c>
      <c r="E940" t="str">
        <f t="shared" si="1115"/>
        <v>SEPTIEMBRESem3939ROGER EVENOR ALONZO DIAZ</v>
      </c>
      <c r="F940" t="str">
        <f t="shared" si="1116"/>
        <v>ROGER EVENOR ALONZO DIAZ46287</v>
      </c>
      <c r="H940" s="49" t="s">
        <v>256</v>
      </c>
      <c r="I940" s="50" t="str">
        <f>+_xlfn.XLOOKUP($H940&amp;$V940,BASEDATOS!$B:$B,BASEDATOS!F:F,0,0,1)</f>
        <v>DIA</v>
      </c>
      <c r="J940" s="51">
        <f>+_xlfn.XLOOKUP($H940&amp;$V940,BASEDATOS!$B:$B,BASEDATOS!Q:Q,0,0,1)</f>
        <v>0.29166666666666702</v>
      </c>
      <c r="K940" s="51">
        <f>+_xlfn.XLOOKUP($H940&amp;$V940,BASEDATOS!$B:$B,BASEDATOS!R:R,0,0,1)</f>
        <v>0.66666666666666696</v>
      </c>
      <c r="L940" s="51">
        <f t="shared" si="1117"/>
        <v>0.37499999999999994</v>
      </c>
      <c r="M940" s="52" t="str">
        <f t="shared" si="1118"/>
        <v>1:00</v>
      </c>
      <c r="N940" s="51">
        <f t="shared" si="1119"/>
        <v>0.33333333333333326</v>
      </c>
      <c r="O940" s="53" t="str">
        <f t="shared" ref="O940" si="1155">+O945</f>
        <v>5-1-1</v>
      </c>
      <c r="P940" s="54">
        <f>+IF(AND(Y940="Domingo",U940=7),_xlfn.XLOOKUP(O940,'Horarios y Sistemas'!C:C,'Horarios y Sistemas'!H:H,0,0,1),0)</f>
        <v>0</v>
      </c>
      <c r="Q940" s="54">
        <f>IF(U940=U941,0,IF(AVERAGEIF(W:W,W940,U:U)=U940,0,_xlfn.XLOOKUP(O940,'Horarios y Sistemas'!C:C,'Horarios y Sistemas'!H:H,0,0,1)-P940))/7*U940</f>
        <v>0</v>
      </c>
      <c r="R940" s="54">
        <f t="shared" si="1121"/>
        <v>0</v>
      </c>
      <c r="S940" s="55" t="str">
        <f t="shared" si="1122"/>
        <v>SEPTIEMBRE</v>
      </c>
      <c r="T940" s="55" t="str">
        <f t="shared" si="1123"/>
        <v>Sem39</v>
      </c>
      <c r="U940" s="56">
        <f t="shared" si="1105"/>
        <v>7</v>
      </c>
      <c r="V940" s="59">
        <v>46287</v>
      </c>
      <c r="W940" s="56">
        <f t="shared" si="1124"/>
        <v>39</v>
      </c>
      <c r="X940" s="56">
        <f t="shared" si="1125"/>
        <v>22</v>
      </c>
      <c r="Y940" s="56" t="s">
        <v>29</v>
      </c>
      <c r="Z940" s="56">
        <v>2</v>
      </c>
      <c r="AA940" s="58">
        <f t="shared" si="1148"/>
        <v>1</v>
      </c>
      <c r="AB940" s="58">
        <f t="shared" si="1148"/>
        <v>0</v>
      </c>
      <c r="AC940" s="58">
        <f t="shared" si="1148"/>
        <v>0</v>
      </c>
      <c r="AD940" s="58">
        <f t="shared" si="1148"/>
        <v>0</v>
      </c>
      <c r="AE940" s="58">
        <f t="shared" si="1148"/>
        <v>0</v>
      </c>
    </row>
    <row r="941" spans="2:31">
      <c r="B941" t="str">
        <f t="shared" si="1112"/>
        <v>Sem3939ROGER EVENOR ALONZO DIAZ</v>
      </c>
      <c r="C941" t="str">
        <f t="shared" si="1113"/>
        <v>SEPTIEMBRESem39</v>
      </c>
      <c r="D941" t="str">
        <f t="shared" si="1114"/>
        <v>SEPTIEMBRESem39ROGER EVENOR ALONZO DIAZ</v>
      </c>
      <c r="E941" t="str">
        <f t="shared" si="1115"/>
        <v>SEPTIEMBRESem3939ROGER EVENOR ALONZO DIAZ</v>
      </c>
      <c r="F941" t="str">
        <f t="shared" si="1116"/>
        <v>ROGER EVENOR ALONZO DIAZ46288</v>
      </c>
      <c r="H941" s="49" t="s">
        <v>256</v>
      </c>
      <c r="I941" s="50" t="str">
        <f>+_xlfn.XLOOKUP($H941&amp;$V941,BASEDATOS!$B:$B,BASEDATOS!F:F,0,0,1)</f>
        <v>DIA</v>
      </c>
      <c r="J941" s="51">
        <f>+_xlfn.XLOOKUP($H941&amp;$V941,BASEDATOS!$B:$B,BASEDATOS!Q:Q,0,0,1)</f>
        <v>0.29166666666666702</v>
      </c>
      <c r="K941" s="51">
        <f>+_xlfn.XLOOKUP($H941&amp;$V941,BASEDATOS!$B:$B,BASEDATOS!R:R,0,0,1)</f>
        <v>0.66666666666666696</v>
      </c>
      <c r="L941" s="51">
        <f t="shared" si="1117"/>
        <v>0.37499999999999994</v>
      </c>
      <c r="M941" s="52" t="str">
        <f t="shared" si="1118"/>
        <v>1:00</v>
      </c>
      <c r="N941" s="51">
        <f t="shared" si="1119"/>
        <v>0.33333333333333326</v>
      </c>
      <c r="O941" s="53" t="str">
        <f t="shared" ref="O941" si="1156">+O945</f>
        <v>5-1-1</v>
      </c>
      <c r="P941" s="54">
        <f>+IF(AND(Y941="Domingo",U941=7),_xlfn.XLOOKUP(O941,'Horarios y Sistemas'!C:C,'Horarios y Sistemas'!H:H,0,0,1),0)</f>
        <v>0</v>
      </c>
      <c r="Q941" s="54">
        <f>IF(U941=U942,0,IF(AVERAGEIF(W:W,W941,U:U)=U941,0,_xlfn.XLOOKUP(O941,'Horarios y Sistemas'!C:C,'Horarios y Sistemas'!H:H,0,0,1)-P941))/7*U941</f>
        <v>0</v>
      </c>
      <c r="R941" s="54">
        <f t="shared" si="1121"/>
        <v>0</v>
      </c>
      <c r="S941" s="55" t="str">
        <f t="shared" si="1122"/>
        <v>SEPTIEMBRE</v>
      </c>
      <c r="T941" s="55" t="str">
        <f t="shared" si="1123"/>
        <v>Sem39</v>
      </c>
      <c r="U941" s="56">
        <f t="shared" si="1105"/>
        <v>7</v>
      </c>
      <c r="V941" s="59">
        <v>46288</v>
      </c>
      <c r="W941" s="56">
        <f t="shared" si="1124"/>
        <v>39</v>
      </c>
      <c r="X941" s="56">
        <f t="shared" si="1125"/>
        <v>23</v>
      </c>
      <c r="Y941" s="56" t="s">
        <v>30</v>
      </c>
      <c r="Z941" s="56">
        <v>3</v>
      </c>
      <c r="AA941" s="58">
        <f t="shared" si="1148"/>
        <v>1</v>
      </c>
      <c r="AB941" s="58">
        <f t="shared" si="1148"/>
        <v>0</v>
      </c>
      <c r="AC941" s="58">
        <f t="shared" si="1148"/>
        <v>0</v>
      </c>
      <c r="AD941" s="58">
        <f t="shared" si="1148"/>
        <v>0</v>
      </c>
      <c r="AE941" s="58">
        <f t="shared" si="1148"/>
        <v>0</v>
      </c>
    </row>
    <row r="942" spans="2:31">
      <c r="B942" t="str">
        <f t="shared" si="1112"/>
        <v>Sem3939ROGER EVENOR ALONZO DIAZ</v>
      </c>
      <c r="C942" t="str">
        <f t="shared" si="1113"/>
        <v>SEPTIEMBRESem39</v>
      </c>
      <c r="D942" t="str">
        <f t="shared" si="1114"/>
        <v>SEPTIEMBRESem39ROGER EVENOR ALONZO DIAZ</v>
      </c>
      <c r="E942" t="str">
        <f t="shared" si="1115"/>
        <v>SEPTIEMBRESem3939ROGER EVENOR ALONZO DIAZ</v>
      </c>
      <c r="F942" t="str">
        <f t="shared" si="1116"/>
        <v>ROGER EVENOR ALONZO DIAZ46289</v>
      </c>
      <c r="H942" s="49" t="s">
        <v>256</v>
      </c>
      <c r="I942" s="50" t="str">
        <f>+_xlfn.XLOOKUP($H942&amp;$V942,BASEDATOS!$B:$B,BASEDATOS!F:F,0,0,1)</f>
        <v>DIA</v>
      </c>
      <c r="J942" s="51">
        <f>+_xlfn.XLOOKUP($H942&amp;$V942,BASEDATOS!$B:$B,BASEDATOS!Q:Q,0,0,1)</f>
        <v>0.29166666666666702</v>
      </c>
      <c r="K942" s="51">
        <f>+_xlfn.XLOOKUP($H942&amp;$V942,BASEDATOS!$B:$B,BASEDATOS!R:R,0,0,1)</f>
        <v>0.66666666666666696</v>
      </c>
      <c r="L942" s="51">
        <f t="shared" si="1117"/>
        <v>0.37499999999999994</v>
      </c>
      <c r="M942" s="52" t="str">
        <f t="shared" si="1118"/>
        <v>1:00</v>
      </c>
      <c r="N942" s="51">
        <f t="shared" si="1119"/>
        <v>0.33333333333333326</v>
      </c>
      <c r="O942" s="53" t="str">
        <f t="shared" ref="O942" si="1157">+O945</f>
        <v>5-1-1</v>
      </c>
      <c r="P942" s="54">
        <f>+IF(AND(Y942="Domingo",U942=7),_xlfn.XLOOKUP(O942,'Horarios y Sistemas'!C:C,'Horarios y Sistemas'!H:H,0,0,1),0)</f>
        <v>0</v>
      </c>
      <c r="Q942" s="54">
        <f>IF(U942=U943,0,IF(AVERAGEIF(W:W,W942,U:U)=U942,0,_xlfn.XLOOKUP(O942,'Horarios y Sistemas'!C:C,'Horarios y Sistemas'!H:H,0,0,1)-P942))/7*U942</f>
        <v>0</v>
      </c>
      <c r="R942" s="54">
        <f t="shared" si="1121"/>
        <v>0</v>
      </c>
      <c r="S942" s="55" t="str">
        <f t="shared" si="1122"/>
        <v>SEPTIEMBRE</v>
      </c>
      <c r="T942" s="55" t="str">
        <f t="shared" si="1123"/>
        <v>Sem39</v>
      </c>
      <c r="U942" s="56">
        <f t="shared" si="1105"/>
        <v>7</v>
      </c>
      <c r="V942" s="59">
        <v>46289</v>
      </c>
      <c r="W942" s="56">
        <f t="shared" si="1124"/>
        <v>39</v>
      </c>
      <c r="X942" s="56">
        <f t="shared" si="1125"/>
        <v>24</v>
      </c>
      <c r="Y942" s="56" t="s">
        <v>31</v>
      </c>
      <c r="Z942" s="56">
        <v>4</v>
      </c>
      <c r="AA942" s="58">
        <f t="shared" si="1148"/>
        <v>1</v>
      </c>
      <c r="AB942" s="58">
        <f t="shared" si="1148"/>
        <v>0</v>
      </c>
      <c r="AC942" s="58">
        <f t="shared" si="1148"/>
        <v>0</v>
      </c>
      <c r="AD942" s="58">
        <f t="shared" si="1148"/>
        <v>0</v>
      </c>
      <c r="AE942" s="58">
        <f t="shared" si="1148"/>
        <v>0</v>
      </c>
    </row>
    <row r="943" spans="2:31">
      <c r="B943" t="str">
        <f t="shared" si="1112"/>
        <v>Sem3939ROGER EVENOR ALONZO DIAZ</v>
      </c>
      <c r="C943" t="str">
        <f t="shared" si="1113"/>
        <v>SEPTIEMBRESem39</v>
      </c>
      <c r="D943" t="str">
        <f t="shared" si="1114"/>
        <v>SEPTIEMBRESem39ROGER EVENOR ALONZO DIAZ</v>
      </c>
      <c r="E943" t="str">
        <f t="shared" si="1115"/>
        <v>SEPTIEMBRESem3939ROGER EVENOR ALONZO DIAZ</v>
      </c>
      <c r="F943" t="str">
        <f t="shared" si="1116"/>
        <v>ROGER EVENOR ALONZO DIAZ46290</v>
      </c>
      <c r="H943" s="49" t="s">
        <v>256</v>
      </c>
      <c r="I943" s="50" t="str">
        <f>+_xlfn.XLOOKUP($H943&amp;$V943,BASEDATOS!$B:$B,BASEDATOS!F:F,0,0,1)</f>
        <v>DIA</v>
      </c>
      <c r="J943" s="51">
        <f>+_xlfn.XLOOKUP($H943&amp;$V943,BASEDATOS!$B:$B,BASEDATOS!Q:Q,0,0,1)</f>
        <v>0.29166666666666702</v>
      </c>
      <c r="K943" s="51">
        <f>+_xlfn.XLOOKUP($H943&amp;$V943,BASEDATOS!$B:$B,BASEDATOS!R:R,0,0,1)</f>
        <v>0.66666666666666696</v>
      </c>
      <c r="L943" s="51">
        <f t="shared" si="1117"/>
        <v>0.37499999999999994</v>
      </c>
      <c r="M943" s="52" t="str">
        <f t="shared" si="1118"/>
        <v>1:00</v>
      </c>
      <c r="N943" s="51">
        <f t="shared" si="1119"/>
        <v>0.33333333333333326</v>
      </c>
      <c r="O943" s="53" t="str">
        <f t="shared" ref="O943" si="1158">+O945</f>
        <v>5-1-1</v>
      </c>
      <c r="P943" s="54">
        <f>+IF(AND(Y943="Domingo",U943=7),_xlfn.XLOOKUP(O943,'Horarios y Sistemas'!C:C,'Horarios y Sistemas'!H:H,0,0,1),0)</f>
        <v>0</v>
      </c>
      <c r="Q943" s="54">
        <f>IF(U943=U944,0,IF(AVERAGEIF(W:W,W943,U:U)=U943,0,_xlfn.XLOOKUP(O943,'Horarios y Sistemas'!C:C,'Horarios y Sistemas'!H:H,0,0,1)-P943))/7*U943</f>
        <v>0</v>
      </c>
      <c r="R943" s="54">
        <f t="shared" si="1121"/>
        <v>0</v>
      </c>
      <c r="S943" s="55" t="str">
        <f t="shared" si="1122"/>
        <v>SEPTIEMBRE</v>
      </c>
      <c r="T943" s="55" t="str">
        <f t="shared" si="1123"/>
        <v>Sem39</v>
      </c>
      <c r="U943" s="56">
        <f t="shared" si="1105"/>
        <v>7</v>
      </c>
      <c r="V943" s="59">
        <v>46290</v>
      </c>
      <c r="W943" s="56">
        <f t="shared" si="1124"/>
        <v>39</v>
      </c>
      <c r="X943" s="56">
        <f t="shared" si="1125"/>
        <v>25</v>
      </c>
      <c r="Y943" s="56" t="s">
        <v>32</v>
      </c>
      <c r="Z943" s="56">
        <v>5</v>
      </c>
      <c r="AA943" s="58">
        <f t="shared" si="1148"/>
        <v>1</v>
      </c>
      <c r="AB943" s="58">
        <f t="shared" si="1148"/>
        <v>0</v>
      </c>
      <c r="AC943" s="58">
        <f t="shared" si="1148"/>
        <v>0</v>
      </c>
      <c r="AD943" s="58">
        <f t="shared" si="1148"/>
        <v>0</v>
      </c>
      <c r="AE943" s="58">
        <f t="shared" si="1148"/>
        <v>0</v>
      </c>
    </row>
    <row r="944" spans="2:31">
      <c r="B944" t="str">
        <f t="shared" si="1112"/>
        <v>Sem3939ROGER EVENOR ALONZO DIAZ</v>
      </c>
      <c r="C944" t="str">
        <f t="shared" si="1113"/>
        <v>SEPTIEMBRESem39</v>
      </c>
      <c r="D944" t="str">
        <f t="shared" si="1114"/>
        <v>SEPTIEMBRESem39ROGER EVENOR ALONZO DIAZ</v>
      </c>
      <c r="E944" t="str">
        <f t="shared" si="1115"/>
        <v>SEPTIEMBRESem3939ROGER EVENOR ALONZO DIAZ</v>
      </c>
      <c r="F944" t="str">
        <f t="shared" si="1116"/>
        <v>ROGER EVENOR ALONZO DIAZ46291</v>
      </c>
      <c r="H944" s="49" t="s">
        <v>256</v>
      </c>
      <c r="I944" s="50" t="str">
        <f>+_xlfn.XLOOKUP($H944&amp;$V944,BASEDATOS!$B:$B,BASEDATOS!F:F,0,0,1)</f>
        <v>NOCHE</v>
      </c>
      <c r="J944" s="51">
        <f>+_xlfn.XLOOKUP($H944&amp;$V944,BASEDATOS!$B:$B,BASEDATOS!Q:Q,0,0,1)</f>
        <v>0.29166666666666702</v>
      </c>
      <c r="K944" s="51">
        <f>+_xlfn.XLOOKUP($H944&amp;$V944,BASEDATOS!$B:$B,BASEDATOS!R:R,0,0,1)</f>
        <v>0.45833333333333298</v>
      </c>
      <c r="L944" s="51">
        <f t="shared" si="1117"/>
        <v>0.16666666666666596</v>
      </c>
      <c r="M944" s="52" t="str">
        <f t="shared" si="1118"/>
        <v>1:00</v>
      </c>
      <c r="N944" s="51">
        <f t="shared" si="1119"/>
        <v>0.12499999999999931</v>
      </c>
      <c r="O944" s="53" t="str">
        <f t="shared" ref="O944" si="1159">+O945</f>
        <v>5-1-1</v>
      </c>
      <c r="P944" s="54">
        <f>+IF(AND(Y944="Domingo",U944=7),_xlfn.XLOOKUP(O944,'Horarios y Sistemas'!C:C,'Horarios y Sistemas'!H:H,0,0,1),0)</f>
        <v>0</v>
      </c>
      <c r="Q944" s="54">
        <f>IF(U944=U945,0,IF(AVERAGEIF(W:W,W944,U:U)=U944,0,_xlfn.XLOOKUP(O944,'Horarios y Sistemas'!C:C,'Horarios y Sistemas'!H:H,0,0,1)-P944))/7*U944</f>
        <v>0</v>
      </c>
      <c r="R944" s="54">
        <f t="shared" si="1121"/>
        <v>0</v>
      </c>
      <c r="S944" s="55" t="str">
        <f t="shared" si="1122"/>
        <v>SEPTIEMBRE</v>
      </c>
      <c r="T944" s="55" t="str">
        <f t="shared" si="1123"/>
        <v>Sem39</v>
      </c>
      <c r="U944" s="56">
        <f t="shared" si="1105"/>
        <v>7</v>
      </c>
      <c r="V944" s="59">
        <v>46291</v>
      </c>
      <c r="W944" s="56">
        <f t="shared" si="1124"/>
        <v>39</v>
      </c>
      <c r="X944" s="56">
        <f t="shared" si="1125"/>
        <v>26</v>
      </c>
      <c r="Y944" s="56" t="s">
        <v>33</v>
      </c>
      <c r="Z944" s="56">
        <v>6</v>
      </c>
      <c r="AA944" s="58">
        <f t="shared" si="1148"/>
        <v>0</v>
      </c>
      <c r="AB944" s="58">
        <f t="shared" si="1148"/>
        <v>1</v>
      </c>
      <c r="AC944" s="58">
        <f t="shared" si="1148"/>
        <v>0</v>
      </c>
      <c r="AD944" s="58">
        <f t="shared" si="1148"/>
        <v>0</v>
      </c>
      <c r="AE944" s="58">
        <f t="shared" si="1148"/>
        <v>0</v>
      </c>
    </row>
    <row r="945" spans="2:31">
      <c r="B945" s="60" t="str">
        <f t="shared" si="1112"/>
        <v>Sem3939ROGER EVENOR ALONZO DIAZ</v>
      </c>
      <c r="C945" s="60" t="str">
        <f t="shared" si="1113"/>
        <v>SEPTIEMBRESem39</v>
      </c>
      <c r="D945" s="60" t="str">
        <f t="shared" si="1114"/>
        <v>SEPTIEMBRESem39ROGER EVENOR ALONZO DIAZ</v>
      </c>
      <c r="E945" s="60" t="str">
        <f t="shared" si="1115"/>
        <v>SEPTIEMBRESem3939ROGER EVENOR ALONZO DIAZ</v>
      </c>
      <c r="F945" s="60" t="str">
        <f t="shared" si="1116"/>
        <v>ROGER EVENOR ALONZO DIAZ46292</v>
      </c>
      <c r="G945" s="60"/>
      <c r="H945" s="61" t="s">
        <v>256</v>
      </c>
      <c r="I945" s="62" t="str">
        <f>+_xlfn.XLOOKUP($H945&amp;$V945,BASEDATOS!$B:$B,BASEDATOS!F:F,0,0,1)</f>
        <v>DESCANSO</v>
      </c>
      <c r="J945" s="63">
        <f>+_xlfn.XLOOKUP($H945&amp;$V945,BASEDATOS!$B:$B,BASEDATOS!Q:Q,0,0,1)</f>
        <v>0</v>
      </c>
      <c r="K945" s="63">
        <f>+_xlfn.XLOOKUP($H945&amp;$V945,BASEDATOS!$B:$B,BASEDATOS!R:R,0,0,1)</f>
        <v>0</v>
      </c>
      <c r="L945" s="63">
        <f t="shared" si="1117"/>
        <v>0</v>
      </c>
      <c r="M945" s="64">
        <f t="shared" si="1118"/>
        <v>0</v>
      </c>
      <c r="N945" s="63">
        <f t="shared" si="1119"/>
        <v>0</v>
      </c>
      <c r="O945" s="65" t="str">
        <f t="shared" ref="O945" si="1160">+IF(Y945="Domingo",SUM(AA939:AA945)&amp;"-"&amp;SUM(AB939:AB945)&amp;"-"&amp;SUM(AC939:AE945),"")</f>
        <v>5-1-1</v>
      </c>
      <c r="P945" s="66">
        <f>+IF(AND(Y945="Domingo",U945=7),_xlfn.XLOOKUP(O945,'Horarios y Sistemas'!C:C,'Horarios y Sistemas'!H:H,0,0,1),0)</f>
        <v>42.666666666666671</v>
      </c>
      <c r="Q945" s="66">
        <f>IF(U945=U946,0,IF(AVERAGEIF(W:W,W945,U:U)=U945,0,_xlfn.XLOOKUP(O945,'Horarios y Sistemas'!C:C,'Horarios y Sistemas'!H:H,0,0,1)-P945))/7*U945</f>
        <v>0</v>
      </c>
      <c r="R945" s="66">
        <f t="shared" si="1121"/>
        <v>42.666666666666671</v>
      </c>
      <c r="S945" s="67" t="str">
        <f t="shared" si="1122"/>
        <v>SEPTIEMBRE</v>
      </c>
      <c r="T945" s="55" t="str">
        <f t="shared" si="1123"/>
        <v>Sem39</v>
      </c>
      <c r="U945" s="68">
        <f t="shared" si="1105"/>
        <v>7</v>
      </c>
      <c r="V945" s="69">
        <v>46292</v>
      </c>
      <c r="W945" s="68">
        <f t="shared" si="1124"/>
        <v>39</v>
      </c>
      <c r="X945" s="68">
        <f t="shared" si="1125"/>
        <v>27</v>
      </c>
      <c r="Y945" s="68" t="s">
        <v>34</v>
      </c>
      <c r="Z945" s="68">
        <v>7</v>
      </c>
      <c r="AA945" s="70">
        <f t="shared" si="1148"/>
        <v>0</v>
      </c>
      <c r="AB945" s="70">
        <f t="shared" si="1148"/>
        <v>0</v>
      </c>
      <c r="AC945" s="70">
        <f t="shared" si="1148"/>
        <v>1</v>
      </c>
      <c r="AD945" s="70">
        <f t="shared" si="1148"/>
        <v>0</v>
      </c>
      <c r="AE945" s="70">
        <f t="shared" si="1148"/>
        <v>0</v>
      </c>
    </row>
    <row r="946" spans="2:31">
      <c r="B946" t="str">
        <f t="shared" si="1112"/>
        <v>Sem4040ROGER EVENOR ALONZO DIAZ</v>
      </c>
      <c r="C946" t="str">
        <f t="shared" si="1113"/>
        <v>SEPTIEMBRESem40</v>
      </c>
      <c r="D946" t="str">
        <f t="shared" si="1114"/>
        <v>SEPTIEMBRESem40ROGER EVENOR ALONZO DIAZ</v>
      </c>
      <c r="E946" t="str">
        <f t="shared" si="1115"/>
        <v>SEPTIEMBRESem4040ROGER EVENOR ALONZO DIAZ</v>
      </c>
      <c r="F946" t="str">
        <f t="shared" si="1116"/>
        <v>ROGER EVENOR ALONZO DIAZ46293</v>
      </c>
      <c r="H946" s="49" t="s">
        <v>256</v>
      </c>
      <c r="I946" s="50" t="str">
        <f>+_xlfn.XLOOKUP($H946&amp;$V946,BASEDATOS!$B:$B,BASEDATOS!F:F,0,0,1)</f>
        <v>DIA</v>
      </c>
      <c r="J946" s="51">
        <f>+_xlfn.XLOOKUP($H946&amp;$V946,BASEDATOS!$B:$B,BASEDATOS!Q:Q,0,0,1)</f>
        <v>0.29166666666666702</v>
      </c>
      <c r="K946" s="51">
        <f>+_xlfn.XLOOKUP($H946&amp;$V946,BASEDATOS!$B:$B,BASEDATOS!R:R,0,0,1)</f>
        <v>0.66666666666666696</v>
      </c>
      <c r="L946" s="51">
        <f t="shared" si="1117"/>
        <v>0.37499999999999994</v>
      </c>
      <c r="M946" s="52" t="str">
        <f t="shared" si="1118"/>
        <v>1:00</v>
      </c>
      <c r="N946" s="51">
        <f t="shared" si="1119"/>
        <v>0.33333333333333326</v>
      </c>
      <c r="O946" s="53" t="str">
        <f t="shared" ref="O946" si="1161">+O952</f>
        <v>5-1-1</v>
      </c>
      <c r="P946" s="54">
        <f>+IF(AND(Y946="Domingo",U946=7),_xlfn.XLOOKUP(O946,'Horarios y Sistemas'!C:C,'Horarios y Sistemas'!H:H,0,0,1),0)</f>
        <v>0</v>
      </c>
      <c r="Q946" s="54">
        <f>IF(U946=U947,0,IF(AVERAGEIF(W:W,W946,U:U)=U946,0,_xlfn.XLOOKUP(O946,'Horarios y Sistemas'!C:C,'Horarios y Sistemas'!H:H,0,0,1)-P946))/7*U946</f>
        <v>0</v>
      </c>
      <c r="R946" s="54">
        <f t="shared" si="1121"/>
        <v>0</v>
      </c>
      <c r="S946" s="55" t="str">
        <f t="shared" si="1122"/>
        <v>SEPTIEMBRE</v>
      </c>
      <c r="T946" s="55" t="str">
        <f t="shared" si="1123"/>
        <v>Sem40</v>
      </c>
      <c r="U946" s="56">
        <f t="shared" si="1105"/>
        <v>7</v>
      </c>
      <c r="V946" s="59">
        <v>46293</v>
      </c>
      <c r="W946" s="56">
        <f t="shared" si="1124"/>
        <v>40</v>
      </c>
      <c r="X946" s="56">
        <f t="shared" si="1125"/>
        <v>28</v>
      </c>
      <c r="Y946" s="56" t="s">
        <v>28</v>
      </c>
      <c r="Z946" s="56">
        <v>1</v>
      </c>
      <c r="AA946" s="58">
        <f t="shared" si="1148"/>
        <v>1</v>
      </c>
      <c r="AB946" s="58">
        <f t="shared" si="1148"/>
        <v>0</v>
      </c>
      <c r="AC946" s="58">
        <f t="shared" si="1148"/>
        <v>0</v>
      </c>
      <c r="AD946" s="58">
        <f t="shared" si="1148"/>
        <v>0</v>
      </c>
      <c r="AE946" s="58">
        <f t="shared" si="1148"/>
        <v>0</v>
      </c>
    </row>
    <row r="947" spans="2:31">
      <c r="B947" t="str">
        <f t="shared" si="1112"/>
        <v>Sem4040ROGER EVENOR ALONZO DIAZ</v>
      </c>
      <c r="C947" t="str">
        <f t="shared" si="1113"/>
        <v>SEPTIEMBRESem40</v>
      </c>
      <c r="D947" t="str">
        <f t="shared" si="1114"/>
        <v>SEPTIEMBRESem40ROGER EVENOR ALONZO DIAZ</v>
      </c>
      <c r="E947" t="str">
        <f t="shared" si="1115"/>
        <v>SEPTIEMBRESem4040ROGER EVENOR ALONZO DIAZ</v>
      </c>
      <c r="F947" t="str">
        <f t="shared" si="1116"/>
        <v>ROGER EVENOR ALONZO DIAZ46294</v>
      </c>
      <c r="H947" s="49" t="s">
        <v>256</v>
      </c>
      <c r="I947" s="50" t="str">
        <f>+_xlfn.XLOOKUP($H947&amp;$V947,BASEDATOS!$B:$B,BASEDATOS!F:F,0,0,1)</f>
        <v>DIA</v>
      </c>
      <c r="J947" s="51">
        <f>+_xlfn.XLOOKUP($H947&amp;$V947,BASEDATOS!$B:$B,BASEDATOS!Q:Q,0,0,1)</f>
        <v>0.29166666666666702</v>
      </c>
      <c r="K947" s="51">
        <f>+_xlfn.XLOOKUP($H947&amp;$V947,BASEDATOS!$B:$B,BASEDATOS!R:R,0,0,1)</f>
        <v>0.66666666666666696</v>
      </c>
      <c r="L947" s="51">
        <f t="shared" si="1117"/>
        <v>0.37499999999999994</v>
      </c>
      <c r="M947" s="52" t="str">
        <f t="shared" si="1118"/>
        <v>1:00</v>
      </c>
      <c r="N947" s="51">
        <f t="shared" si="1119"/>
        <v>0.33333333333333326</v>
      </c>
      <c r="O947" s="53" t="str">
        <f t="shared" ref="O947" si="1162">+O952</f>
        <v>5-1-1</v>
      </c>
      <c r="P947" s="54">
        <f>+IF(AND(Y947="Domingo",U947=7),_xlfn.XLOOKUP(O947,'Horarios y Sistemas'!C:C,'Horarios y Sistemas'!H:H,0,0,1),0)</f>
        <v>0</v>
      </c>
      <c r="Q947" s="54">
        <f>IF(U947=U948,0,IF(AVERAGEIF(W:W,W947,U:U)=U947,0,_xlfn.XLOOKUP(O947,'Horarios y Sistemas'!C:C,'Horarios y Sistemas'!H:H,0,0,1)-P947))/7*U947</f>
        <v>0</v>
      </c>
      <c r="R947" s="54">
        <f t="shared" si="1121"/>
        <v>0</v>
      </c>
      <c r="S947" s="55" t="str">
        <f t="shared" si="1122"/>
        <v>SEPTIEMBRE</v>
      </c>
      <c r="T947" s="55" t="str">
        <f t="shared" si="1123"/>
        <v>Sem40</v>
      </c>
      <c r="U947" s="56">
        <f t="shared" si="1105"/>
        <v>7</v>
      </c>
      <c r="V947" s="59">
        <v>46294</v>
      </c>
      <c r="W947" s="56">
        <f t="shared" si="1124"/>
        <v>40</v>
      </c>
      <c r="X947" s="56">
        <f t="shared" si="1125"/>
        <v>29</v>
      </c>
      <c r="Y947" s="56" t="s">
        <v>29</v>
      </c>
      <c r="Z947" s="56">
        <v>2</v>
      </c>
      <c r="AA947" s="58">
        <f t="shared" si="1148"/>
        <v>1</v>
      </c>
      <c r="AB947" s="58">
        <f t="shared" si="1148"/>
        <v>0</v>
      </c>
      <c r="AC947" s="58">
        <f t="shared" si="1148"/>
        <v>0</v>
      </c>
      <c r="AD947" s="58">
        <f t="shared" si="1148"/>
        <v>0</v>
      </c>
      <c r="AE947" s="58">
        <f t="shared" si="1148"/>
        <v>0</v>
      </c>
    </row>
    <row r="948" spans="2:31">
      <c r="B948" t="str">
        <f t="shared" si="1112"/>
        <v>Sem4040ROGER EVENOR ALONZO DIAZ</v>
      </c>
      <c r="C948" t="str">
        <f t="shared" si="1113"/>
        <v>SEPTIEMBRESem40</v>
      </c>
      <c r="D948" t="str">
        <f t="shared" si="1114"/>
        <v>SEPTIEMBRESem40ROGER EVENOR ALONZO DIAZ</v>
      </c>
      <c r="E948" t="str">
        <f t="shared" si="1115"/>
        <v>SEPTIEMBRESem4040ROGER EVENOR ALONZO DIAZ</v>
      </c>
      <c r="F948" t="str">
        <f t="shared" si="1116"/>
        <v>ROGER EVENOR ALONZO DIAZ46295</v>
      </c>
      <c r="H948" s="49" t="s">
        <v>256</v>
      </c>
      <c r="I948" s="50" t="str">
        <f>+_xlfn.XLOOKUP($H948&amp;$V948,BASEDATOS!$B:$B,BASEDATOS!F:F,0,0,1)</f>
        <v>DIA</v>
      </c>
      <c r="J948" s="51">
        <f>+_xlfn.XLOOKUP($H948&amp;$V948,BASEDATOS!$B:$B,BASEDATOS!Q:Q,0,0,1)</f>
        <v>0.29166666666666702</v>
      </c>
      <c r="K948" s="51">
        <f>+_xlfn.XLOOKUP($H948&amp;$V948,BASEDATOS!$B:$B,BASEDATOS!R:R,0,0,1)</f>
        <v>0.66666666666666696</v>
      </c>
      <c r="L948" s="51">
        <f t="shared" si="1117"/>
        <v>0.37499999999999994</v>
      </c>
      <c r="M948" s="52" t="str">
        <f t="shared" si="1118"/>
        <v>1:00</v>
      </c>
      <c r="N948" s="51">
        <f t="shared" si="1119"/>
        <v>0.33333333333333326</v>
      </c>
      <c r="O948" s="53" t="str">
        <f t="shared" ref="O948" si="1163">+O952</f>
        <v>5-1-1</v>
      </c>
      <c r="P948" s="54">
        <f>+IF(AND(Y948="Domingo",U948=7),_xlfn.XLOOKUP(O948,'Horarios y Sistemas'!C:C,'Horarios y Sistemas'!H:H,0,0,1),0)</f>
        <v>0</v>
      </c>
      <c r="Q948" s="54">
        <f>IF(U948=U949,0,IF(AVERAGEIF(W:W,W948,U:U)=U948,0,_xlfn.XLOOKUP(O948,'Horarios y Sistemas'!C:C,'Horarios y Sistemas'!H:H,0,0,1)-P948))/7*U948</f>
        <v>0</v>
      </c>
      <c r="R948" s="54">
        <f t="shared" si="1121"/>
        <v>0</v>
      </c>
      <c r="S948" s="55" t="str">
        <f t="shared" si="1122"/>
        <v>SEPTIEMBRE</v>
      </c>
      <c r="T948" s="55" t="str">
        <f t="shared" si="1123"/>
        <v>Sem40</v>
      </c>
      <c r="U948" s="56">
        <f t="shared" si="1105"/>
        <v>7</v>
      </c>
      <c r="V948" s="59">
        <v>46295</v>
      </c>
      <c r="W948" s="56">
        <f t="shared" si="1124"/>
        <v>40</v>
      </c>
      <c r="X948" s="56">
        <f t="shared" si="1125"/>
        <v>30</v>
      </c>
      <c r="Y948" s="56" t="s">
        <v>30</v>
      </c>
      <c r="Z948" s="56">
        <v>3</v>
      </c>
      <c r="AA948" s="58">
        <f t="shared" si="1148"/>
        <v>1</v>
      </c>
      <c r="AB948" s="58">
        <f t="shared" si="1148"/>
        <v>0</v>
      </c>
      <c r="AC948" s="58">
        <f t="shared" si="1148"/>
        <v>0</v>
      </c>
      <c r="AD948" s="58">
        <f t="shared" si="1148"/>
        <v>0</v>
      </c>
      <c r="AE948" s="58">
        <f t="shared" si="1148"/>
        <v>0</v>
      </c>
    </row>
    <row r="949" spans="2:31">
      <c r="B949" t="str">
        <f t="shared" si="1112"/>
        <v>Sem4040ROGER EVENOR ALONZO DIAZ</v>
      </c>
      <c r="C949" t="str">
        <f t="shared" si="1113"/>
        <v>OCTUBRESem40</v>
      </c>
      <c r="D949" t="str">
        <f t="shared" si="1114"/>
        <v>OCTUBRESem40ROGER EVENOR ALONZO DIAZ</v>
      </c>
      <c r="E949" t="str">
        <f t="shared" si="1115"/>
        <v>OCTUBRESem4040ROGER EVENOR ALONZO DIAZ</v>
      </c>
      <c r="F949" t="str">
        <f t="shared" si="1116"/>
        <v>ROGER EVENOR ALONZO DIAZ46296</v>
      </c>
      <c r="H949" s="49" t="s">
        <v>256</v>
      </c>
      <c r="I949" s="50" t="str">
        <f>+_xlfn.XLOOKUP($H949&amp;$V949,BASEDATOS!$B:$B,BASEDATOS!F:F,0,0,1)</f>
        <v>DIA</v>
      </c>
      <c r="J949" s="51">
        <f>+_xlfn.XLOOKUP($H949&amp;$V949,BASEDATOS!$B:$B,BASEDATOS!Q:Q,0,0,1)</f>
        <v>0.29166666666666702</v>
      </c>
      <c r="K949" s="51">
        <f>+_xlfn.XLOOKUP($H949&amp;$V949,BASEDATOS!$B:$B,BASEDATOS!R:R,0,0,1)</f>
        <v>0.66666666666666696</v>
      </c>
      <c r="L949" s="51">
        <f t="shared" si="1117"/>
        <v>0.37499999999999994</v>
      </c>
      <c r="M949" s="52" t="str">
        <f t="shared" si="1118"/>
        <v>1:00</v>
      </c>
      <c r="N949" s="51">
        <f t="shared" si="1119"/>
        <v>0.33333333333333326</v>
      </c>
      <c r="O949" s="53" t="str">
        <f t="shared" ref="O949" si="1164">+O952</f>
        <v>5-1-1</v>
      </c>
      <c r="P949" s="54">
        <f>+IF(AND(Y949="Domingo",U949=7),_xlfn.XLOOKUP(O949,'Horarios y Sistemas'!C:C,'Horarios y Sistemas'!H:H,0,0,1),0)</f>
        <v>0</v>
      </c>
      <c r="Q949" s="54">
        <f>IF(U949=U950,0,IF(AVERAGEIF(W:W,W949,U:U)=U949,0,_xlfn.XLOOKUP(O949,'Horarios y Sistemas'!C:C,'Horarios y Sistemas'!H:H,0,0,1)-P949))/7*U949</f>
        <v>0</v>
      </c>
      <c r="R949" s="54">
        <f t="shared" si="1121"/>
        <v>0</v>
      </c>
      <c r="S949" s="55" t="str">
        <f t="shared" si="1122"/>
        <v>OCTUBRE</v>
      </c>
      <c r="T949" s="55" t="str">
        <f t="shared" si="1123"/>
        <v>Sem40</v>
      </c>
      <c r="U949" s="56">
        <f t="shared" si="1105"/>
        <v>7</v>
      </c>
      <c r="V949" s="59">
        <v>46296</v>
      </c>
      <c r="W949" s="56">
        <f t="shared" si="1124"/>
        <v>40</v>
      </c>
      <c r="X949" s="56">
        <f t="shared" si="1125"/>
        <v>1</v>
      </c>
      <c r="Y949" s="56" t="s">
        <v>31</v>
      </c>
      <c r="Z949" s="56">
        <v>4</v>
      </c>
      <c r="AA949" s="58">
        <f t="shared" si="1148"/>
        <v>1</v>
      </c>
      <c r="AB949" s="58">
        <f t="shared" si="1148"/>
        <v>0</v>
      </c>
      <c r="AC949" s="58">
        <f t="shared" si="1148"/>
        <v>0</v>
      </c>
      <c r="AD949" s="58">
        <f t="shared" si="1148"/>
        <v>0</v>
      </c>
      <c r="AE949" s="58">
        <f t="shared" si="1148"/>
        <v>0</v>
      </c>
    </row>
    <row r="950" spans="2:31">
      <c r="B950" t="str">
        <f t="shared" si="1112"/>
        <v>Sem4040ROGER EVENOR ALONZO DIAZ</v>
      </c>
      <c r="C950" t="str">
        <f t="shared" si="1113"/>
        <v>OCTUBRESem40</v>
      </c>
      <c r="D950" t="str">
        <f t="shared" si="1114"/>
        <v>OCTUBRESem40ROGER EVENOR ALONZO DIAZ</v>
      </c>
      <c r="E950" t="str">
        <f t="shared" si="1115"/>
        <v>OCTUBRESem4040ROGER EVENOR ALONZO DIAZ</v>
      </c>
      <c r="F950" t="str">
        <f t="shared" si="1116"/>
        <v>ROGER EVENOR ALONZO DIAZ46297</v>
      </c>
      <c r="H950" s="49" t="s">
        <v>256</v>
      </c>
      <c r="I950" s="50" t="str">
        <f>+_xlfn.XLOOKUP($H950&amp;$V950,BASEDATOS!$B:$B,BASEDATOS!F:F,0,0,1)</f>
        <v>DIA</v>
      </c>
      <c r="J950" s="51">
        <f>+_xlfn.XLOOKUP($H950&amp;$V950,BASEDATOS!$B:$B,BASEDATOS!Q:Q,0,0,1)</f>
        <v>0.29166666666666702</v>
      </c>
      <c r="K950" s="51">
        <f>+_xlfn.XLOOKUP($H950&amp;$V950,BASEDATOS!$B:$B,BASEDATOS!R:R,0,0,1)</f>
        <v>0.66666666666666696</v>
      </c>
      <c r="L950" s="51">
        <f t="shared" si="1117"/>
        <v>0.37499999999999994</v>
      </c>
      <c r="M950" s="52" t="str">
        <f t="shared" si="1118"/>
        <v>1:00</v>
      </c>
      <c r="N950" s="51">
        <f t="shared" si="1119"/>
        <v>0.33333333333333326</v>
      </c>
      <c r="O950" s="53" t="str">
        <f t="shared" ref="O950" si="1165">+O952</f>
        <v>5-1-1</v>
      </c>
      <c r="P950" s="54">
        <f>+IF(AND(Y950="Domingo",U950=7),_xlfn.XLOOKUP(O950,'Horarios y Sistemas'!C:C,'Horarios y Sistemas'!H:H,0,0,1),0)</f>
        <v>0</v>
      </c>
      <c r="Q950" s="54">
        <f>IF(U950=U951,0,IF(AVERAGEIF(W:W,W950,U:U)=U950,0,_xlfn.XLOOKUP(O950,'Horarios y Sistemas'!C:C,'Horarios y Sistemas'!H:H,0,0,1)-P950))/7*U950</f>
        <v>0</v>
      </c>
      <c r="R950" s="54">
        <f t="shared" si="1121"/>
        <v>0</v>
      </c>
      <c r="S950" s="55" t="str">
        <f t="shared" si="1122"/>
        <v>OCTUBRE</v>
      </c>
      <c r="T950" s="55" t="str">
        <f t="shared" si="1123"/>
        <v>Sem40</v>
      </c>
      <c r="U950" s="56">
        <f t="shared" si="1105"/>
        <v>7</v>
      </c>
      <c r="V950" s="59">
        <v>46297</v>
      </c>
      <c r="W950" s="56">
        <f t="shared" si="1124"/>
        <v>40</v>
      </c>
      <c r="X950" s="56">
        <f t="shared" si="1125"/>
        <v>2</v>
      </c>
      <c r="Y950" s="56" t="s">
        <v>32</v>
      </c>
      <c r="Z950" s="56">
        <v>5</v>
      </c>
      <c r="AA950" s="58">
        <f t="shared" si="1148"/>
        <v>1</v>
      </c>
      <c r="AB950" s="58">
        <f t="shared" si="1148"/>
        <v>0</v>
      </c>
      <c r="AC950" s="58">
        <f t="shared" si="1148"/>
        <v>0</v>
      </c>
      <c r="AD950" s="58">
        <f t="shared" si="1148"/>
        <v>0</v>
      </c>
      <c r="AE950" s="58">
        <f t="shared" si="1148"/>
        <v>0</v>
      </c>
    </row>
    <row r="951" spans="2:31">
      <c r="B951" t="str">
        <f t="shared" si="1112"/>
        <v>Sem4040ROGER EVENOR ALONZO DIAZ</v>
      </c>
      <c r="C951" t="str">
        <f t="shared" si="1113"/>
        <v>OCTUBRESem40</v>
      </c>
      <c r="D951" t="str">
        <f t="shared" si="1114"/>
        <v>OCTUBRESem40ROGER EVENOR ALONZO DIAZ</v>
      </c>
      <c r="E951" t="str">
        <f t="shared" si="1115"/>
        <v>OCTUBRESem4040ROGER EVENOR ALONZO DIAZ</v>
      </c>
      <c r="F951" t="str">
        <f t="shared" si="1116"/>
        <v>ROGER EVENOR ALONZO DIAZ46298</v>
      </c>
      <c r="H951" s="49" t="s">
        <v>256</v>
      </c>
      <c r="I951" s="50" t="str">
        <f>+_xlfn.XLOOKUP($H951&amp;$V951,BASEDATOS!$B:$B,BASEDATOS!F:F,0,0,1)</f>
        <v>NOCHE</v>
      </c>
      <c r="J951" s="51">
        <f>+_xlfn.XLOOKUP($H951&amp;$V951,BASEDATOS!$B:$B,BASEDATOS!Q:Q,0,0,1)</f>
        <v>0.29166666666666702</v>
      </c>
      <c r="K951" s="51">
        <f>+_xlfn.XLOOKUP($H951&amp;$V951,BASEDATOS!$B:$B,BASEDATOS!R:R,0,0,1)</f>
        <v>0.45833333333333298</v>
      </c>
      <c r="L951" s="51">
        <f t="shared" si="1117"/>
        <v>0.16666666666666596</v>
      </c>
      <c r="M951" s="52" t="str">
        <f t="shared" si="1118"/>
        <v>1:00</v>
      </c>
      <c r="N951" s="51">
        <f t="shared" si="1119"/>
        <v>0.12499999999999931</v>
      </c>
      <c r="O951" s="53" t="str">
        <f t="shared" ref="O951" si="1166">+O952</f>
        <v>5-1-1</v>
      </c>
      <c r="P951" s="54">
        <f>+IF(AND(Y951="Domingo",U951=7),_xlfn.XLOOKUP(O951,'Horarios y Sistemas'!C:C,'Horarios y Sistemas'!H:H,0,0,1),0)</f>
        <v>0</v>
      </c>
      <c r="Q951" s="54">
        <f>IF(U951=U952,0,IF(AVERAGEIF(W:W,W951,U:U)=U951,0,_xlfn.XLOOKUP(O951,'Horarios y Sistemas'!C:C,'Horarios y Sistemas'!H:H,0,0,1)-P951))/7*U951</f>
        <v>0</v>
      </c>
      <c r="R951" s="54">
        <f t="shared" si="1121"/>
        <v>0</v>
      </c>
      <c r="S951" s="55" t="str">
        <f t="shared" si="1122"/>
        <v>OCTUBRE</v>
      </c>
      <c r="T951" s="55" t="str">
        <f t="shared" si="1123"/>
        <v>Sem40</v>
      </c>
      <c r="U951" s="56">
        <f t="shared" si="1105"/>
        <v>7</v>
      </c>
      <c r="V951" s="59">
        <v>46298</v>
      </c>
      <c r="W951" s="56">
        <f t="shared" si="1124"/>
        <v>40</v>
      </c>
      <c r="X951" s="56">
        <f t="shared" si="1125"/>
        <v>3</v>
      </c>
      <c r="Y951" s="56" t="s">
        <v>33</v>
      </c>
      <c r="Z951" s="56">
        <v>6</v>
      </c>
      <c r="AA951" s="58">
        <f t="shared" si="1148"/>
        <v>0</v>
      </c>
      <c r="AB951" s="58">
        <f t="shared" si="1148"/>
        <v>1</v>
      </c>
      <c r="AC951" s="58">
        <f t="shared" si="1148"/>
        <v>0</v>
      </c>
      <c r="AD951" s="58">
        <f t="shared" si="1148"/>
        <v>0</v>
      </c>
      <c r="AE951" s="58">
        <f t="shared" si="1148"/>
        <v>0</v>
      </c>
    </row>
    <row r="952" spans="2:31">
      <c r="B952" s="60" t="str">
        <f t="shared" si="1112"/>
        <v>Sem4040ROGER EVENOR ALONZO DIAZ</v>
      </c>
      <c r="C952" s="60" t="str">
        <f t="shared" si="1113"/>
        <v>OCTUBRESem40</v>
      </c>
      <c r="D952" s="60" t="str">
        <f t="shared" si="1114"/>
        <v>OCTUBRESem40ROGER EVENOR ALONZO DIAZ</v>
      </c>
      <c r="E952" s="60" t="str">
        <f t="shared" si="1115"/>
        <v>OCTUBRESem4040ROGER EVENOR ALONZO DIAZ</v>
      </c>
      <c r="F952" s="60" t="str">
        <f t="shared" si="1116"/>
        <v>ROGER EVENOR ALONZO DIAZ46299</v>
      </c>
      <c r="G952" s="60"/>
      <c r="H952" s="61" t="s">
        <v>256</v>
      </c>
      <c r="I952" s="62" t="str">
        <f>+_xlfn.XLOOKUP($H952&amp;$V952,BASEDATOS!$B:$B,BASEDATOS!F:F,0,0,1)</f>
        <v>DESCANSO</v>
      </c>
      <c r="J952" s="63">
        <f>+_xlfn.XLOOKUP($H952&amp;$V952,BASEDATOS!$B:$B,BASEDATOS!Q:Q,0,0,1)</f>
        <v>0</v>
      </c>
      <c r="K952" s="63">
        <f>+_xlfn.XLOOKUP($H952&amp;$V952,BASEDATOS!$B:$B,BASEDATOS!R:R,0,0,1)</f>
        <v>0</v>
      </c>
      <c r="L952" s="63">
        <f t="shared" si="1117"/>
        <v>0</v>
      </c>
      <c r="M952" s="64">
        <f t="shared" si="1118"/>
        <v>0</v>
      </c>
      <c r="N952" s="63">
        <f t="shared" si="1119"/>
        <v>0</v>
      </c>
      <c r="O952" s="65" t="str">
        <f t="shared" ref="O952" si="1167">+IF(Y952="Domingo",SUM(AA946:AA952)&amp;"-"&amp;SUM(AB946:AB952)&amp;"-"&amp;SUM(AC946:AE952),"")</f>
        <v>5-1-1</v>
      </c>
      <c r="P952" s="66">
        <f>+IF(AND(Y952="Domingo",U952=7),_xlfn.XLOOKUP(O952,'Horarios y Sistemas'!C:C,'Horarios y Sistemas'!H:H,0,0,1),0)</f>
        <v>42.666666666666671</v>
      </c>
      <c r="Q952" s="66">
        <f>IF(U952=U953,0,IF(AVERAGEIF(W:W,W952,U:U)=U952,0,_xlfn.XLOOKUP(O952,'Horarios y Sistemas'!C:C,'Horarios y Sistemas'!H:H,0,0,1)-P952))/7*U952</f>
        <v>0</v>
      </c>
      <c r="R952" s="66">
        <f t="shared" si="1121"/>
        <v>42.666666666666671</v>
      </c>
      <c r="S952" s="67" t="str">
        <f t="shared" si="1122"/>
        <v>OCTUBRE</v>
      </c>
      <c r="T952" s="55" t="str">
        <f t="shared" si="1123"/>
        <v>Sem40</v>
      </c>
      <c r="U952" s="68">
        <f t="shared" si="1105"/>
        <v>7</v>
      </c>
      <c r="V952" s="69">
        <v>46299</v>
      </c>
      <c r="W952" s="68">
        <f t="shared" si="1124"/>
        <v>40</v>
      </c>
      <c r="X952" s="68">
        <f t="shared" si="1125"/>
        <v>4</v>
      </c>
      <c r="Y952" s="68" t="s">
        <v>34</v>
      </c>
      <c r="Z952" s="68">
        <v>7</v>
      </c>
      <c r="AA952" s="70">
        <f t="shared" si="1148"/>
        <v>0</v>
      </c>
      <c r="AB952" s="70">
        <f t="shared" si="1148"/>
        <v>0</v>
      </c>
      <c r="AC952" s="70">
        <f t="shared" si="1148"/>
        <v>1</v>
      </c>
      <c r="AD952" s="70">
        <f t="shared" si="1148"/>
        <v>0</v>
      </c>
      <c r="AE952" s="70">
        <f t="shared" si="1148"/>
        <v>0</v>
      </c>
    </row>
    <row r="953" spans="2:31">
      <c r="B953" t="str">
        <f t="shared" si="1112"/>
        <v>Sem3838RUBEN DARIO RAXON SOTO</v>
      </c>
      <c r="C953" t="str">
        <f t="shared" si="1113"/>
        <v>SEPTIEMBRESem38</v>
      </c>
      <c r="D953" t="str">
        <f t="shared" si="1114"/>
        <v>SEPTIEMBRESem38RUBEN DARIO RAXON SOTO</v>
      </c>
      <c r="E953" t="str">
        <f t="shared" si="1115"/>
        <v>SEPTIEMBRESem3838RUBEN DARIO RAXON SOTO</v>
      </c>
      <c r="F953" t="str">
        <f t="shared" si="1116"/>
        <v>RUBEN DARIO RAXON SOTO46279</v>
      </c>
      <c r="H953" s="49" t="s">
        <v>7</v>
      </c>
      <c r="I953" s="50" t="str">
        <f>+_xlfn.XLOOKUP($H953&amp;$V953,BASEDATOS!$B:$B,BASEDATOS!F:F,0,0,1)</f>
        <v>DESCANSO</v>
      </c>
      <c r="J953" s="51">
        <f>+_xlfn.XLOOKUP($H953&amp;$V953,BASEDATOS!$B:$B,BASEDATOS!Q:Q,0,0,1)</f>
        <v>0</v>
      </c>
      <c r="K953" s="51">
        <f>+_xlfn.XLOOKUP($H953&amp;$V953,BASEDATOS!$B:$B,BASEDATOS!R:R,0,0,1)</f>
        <v>0</v>
      </c>
      <c r="L953" s="51">
        <f t="shared" si="1117"/>
        <v>0</v>
      </c>
      <c r="M953" s="52">
        <f t="shared" si="1118"/>
        <v>0</v>
      </c>
      <c r="N953" s="51">
        <f t="shared" si="1119"/>
        <v>0</v>
      </c>
      <c r="O953" s="53" t="str">
        <f t="shared" ref="O953" si="1168">+O959</f>
        <v>2-2-3</v>
      </c>
      <c r="P953" s="54">
        <f>+IF(AND(Y953="Domingo",U953=7),_xlfn.XLOOKUP(O953,'Horarios y Sistemas'!C:C,'Horarios y Sistemas'!H:H,0,0,1),0)</f>
        <v>0</v>
      </c>
      <c r="Q953" s="54">
        <f>IF(U953=U954,0,IF(AVERAGEIF(W:W,W953,U:U)=U953,0,_xlfn.XLOOKUP(O953,'Horarios y Sistemas'!C:C,'Horarios y Sistemas'!H:H,0,0,1)-P953))/7*U953</f>
        <v>0</v>
      </c>
      <c r="R953" s="54">
        <f t="shared" si="1121"/>
        <v>0</v>
      </c>
      <c r="S953" s="55" t="str">
        <f t="shared" si="1122"/>
        <v>SEPTIEMBRE</v>
      </c>
      <c r="T953" s="55" t="str">
        <f t="shared" si="1123"/>
        <v>Sem38</v>
      </c>
      <c r="U953" s="56">
        <f t="shared" si="1105"/>
        <v>7</v>
      </c>
      <c r="V953" s="59">
        <v>46279</v>
      </c>
      <c r="W953" s="56">
        <f t="shared" si="1124"/>
        <v>38</v>
      </c>
      <c r="X953" s="56">
        <f t="shared" si="1125"/>
        <v>14</v>
      </c>
      <c r="Y953" s="56" t="s">
        <v>28</v>
      </c>
      <c r="Z953" s="56">
        <v>1</v>
      </c>
      <c r="AA953" s="58">
        <f t="shared" si="1148"/>
        <v>0</v>
      </c>
      <c r="AB953" s="58">
        <f t="shared" si="1148"/>
        <v>0</v>
      </c>
      <c r="AC953" s="58">
        <f t="shared" si="1148"/>
        <v>1</v>
      </c>
      <c r="AD953" s="58">
        <f t="shared" si="1148"/>
        <v>0</v>
      </c>
      <c r="AE953" s="58">
        <f t="shared" si="1148"/>
        <v>0</v>
      </c>
    </row>
    <row r="954" spans="2:31">
      <c r="B954" t="str">
        <f t="shared" si="1112"/>
        <v>Sem3838RUBEN DARIO RAXON SOTO</v>
      </c>
      <c r="C954" t="str">
        <f t="shared" si="1113"/>
        <v>SEPTIEMBRESem38</v>
      </c>
      <c r="D954" t="str">
        <f t="shared" si="1114"/>
        <v>SEPTIEMBRESem38RUBEN DARIO RAXON SOTO</v>
      </c>
      <c r="E954" t="str">
        <f t="shared" si="1115"/>
        <v>SEPTIEMBRESem3838RUBEN DARIO RAXON SOTO</v>
      </c>
      <c r="F954" t="str">
        <f t="shared" si="1116"/>
        <v>RUBEN DARIO RAXON SOTO46280</v>
      </c>
      <c r="H954" s="49" t="s">
        <v>7</v>
      </c>
      <c r="I954" s="50" t="str">
        <f>+_xlfn.XLOOKUP($H954&amp;$V954,BASEDATOS!$B:$B,BASEDATOS!F:F,0,0,1)</f>
        <v>DIA</v>
      </c>
      <c r="J954" s="51">
        <f>+_xlfn.XLOOKUP($H954&amp;$V954,BASEDATOS!$B:$B,BASEDATOS!Q:Q,0,0,1)</f>
        <v>0.33333333333333298</v>
      </c>
      <c r="K954" s="51">
        <f>+_xlfn.XLOOKUP($H954&amp;$V954,BASEDATOS!$B:$B,BASEDATOS!R:R,0,0,1)</f>
        <v>0.70833333333333304</v>
      </c>
      <c r="L954" s="51">
        <f t="shared" si="1117"/>
        <v>0.37500000000000006</v>
      </c>
      <c r="M954" s="52" t="str">
        <f t="shared" si="1118"/>
        <v>1:00</v>
      </c>
      <c r="N954" s="51">
        <f t="shared" si="1119"/>
        <v>0.33333333333333337</v>
      </c>
      <c r="O954" s="53" t="str">
        <f t="shared" ref="O954" si="1169">+O959</f>
        <v>2-2-3</v>
      </c>
      <c r="P954" s="54">
        <f>+IF(AND(Y954="Domingo",U954=7),_xlfn.XLOOKUP(O954,'Horarios y Sistemas'!C:C,'Horarios y Sistemas'!H:H,0,0,1),0)</f>
        <v>0</v>
      </c>
      <c r="Q954" s="54">
        <f>IF(U954=U955,0,IF(AVERAGEIF(W:W,W954,U:U)=U954,0,_xlfn.XLOOKUP(O954,'Horarios y Sistemas'!C:C,'Horarios y Sistemas'!H:H,0,0,1)-P954))/7*U954</f>
        <v>0</v>
      </c>
      <c r="R954" s="54">
        <f t="shared" si="1121"/>
        <v>0</v>
      </c>
      <c r="S954" s="55" t="str">
        <f t="shared" si="1122"/>
        <v>SEPTIEMBRE</v>
      </c>
      <c r="T954" s="55" t="str">
        <f t="shared" si="1123"/>
        <v>Sem38</v>
      </c>
      <c r="U954" s="56">
        <f t="shared" si="1105"/>
        <v>7</v>
      </c>
      <c r="V954" s="59">
        <v>46280</v>
      </c>
      <c r="W954" s="56">
        <f t="shared" si="1124"/>
        <v>38</v>
      </c>
      <c r="X954" s="56">
        <f t="shared" si="1125"/>
        <v>15</v>
      </c>
      <c r="Y954" s="56" t="s">
        <v>29</v>
      </c>
      <c r="Z954" s="56">
        <v>2</v>
      </c>
      <c r="AA954" s="58">
        <f t="shared" si="1148"/>
        <v>1</v>
      </c>
      <c r="AB954" s="58">
        <f t="shared" si="1148"/>
        <v>0</v>
      </c>
      <c r="AC954" s="58">
        <f t="shared" si="1148"/>
        <v>0</v>
      </c>
      <c r="AD954" s="58">
        <f t="shared" si="1148"/>
        <v>0</v>
      </c>
      <c r="AE954" s="58">
        <f t="shared" si="1148"/>
        <v>0</v>
      </c>
    </row>
    <row r="955" spans="2:31">
      <c r="B955" t="str">
        <f t="shared" si="1112"/>
        <v>Sem3838RUBEN DARIO RAXON SOTO</v>
      </c>
      <c r="C955" t="str">
        <f t="shared" si="1113"/>
        <v>SEPTIEMBRESem38</v>
      </c>
      <c r="D955" t="str">
        <f t="shared" si="1114"/>
        <v>SEPTIEMBRESem38RUBEN DARIO RAXON SOTO</v>
      </c>
      <c r="E955" t="str">
        <f t="shared" si="1115"/>
        <v>SEPTIEMBRESem3838RUBEN DARIO RAXON SOTO</v>
      </c>
      <c r="F955" t="str">
        <f t="shared" si="1116"/>
        <v>RUBEN DARIO RAXON SOTO46281</v>
      </c>
      <c r="H955" s="49" t="s">
        <v>7</v>
      </c>
      <c r="I955" s="50" t="str">
        <f>+_xlfn.XLOOKUP($H955&amp;$V955,BASEDATOS!$B:$B,BASEDATOS!F:F,0,0,1)</f>
        <v>DIA</v>
      </c>
      <c r="J955" s="51">
        <f>+_xlfn.XLOOKUP($H955&amp;$V955,BASEDATOS!$B:$B,BASEDATOS!Q:Q,0,0,1)</f>
        <v>0.33333333333333298</v>
      </c>
      <c r="K955" s="51">
        <f>+_xlfn.XLOOKUP($H955&amp;$V955,BASEDATOS!$B:$B,BASEDATOS!R:R,0,0,1)</f>
        <v>0.70833333333333304</v>
      </c>
      <c r="L955" s="51">
        <f t="shared" si="1117"/>
        <v>0.37500000000000006</v>
      </c>
      <c r="M955" s="52" t="str">
        <f t="shared" si="1118"/>
        <v>1:00</v>
      </c>
      <c r="N955" s="51">
        <f t="shared" si="1119"/>
        <v>0.33333333333333337</v>
      </c>
      <c r="O955" s="53" t="str">
        <f t="shared" ref="O955" si="1170">+O959</f>
        <v>2-2-3</v>
      </c>
      <c r="P955" s="54">
        <f>+IF(AND(Y955="Domingo",U955=7),_xlfn.XLOOKUP(O955,'Horarios y Sistemas'!C:C,'Horarios y Sistemas'!H:H,0,0,1),0)</f>
        <v>0</v>
      </c>
      <c r="Q955" s="54">
        <f>IF(U955=U956,0,IF(AVERAGEIF(W:W,W955,U:U)=U955,0,_xlfn.XLOOKUP(O955,'Horarios y Sistemas'!C:C,'Horarios y Sistemas'!H:H,0,0,1)-P955))/7*U955</f>
        <v>0</v>
      </c>
      <c r="R955" s="54">
        <f t="shared" si="1121"/>
        <v>0</v>
      </c>
      <c r="S955" s="55" t="str">
        <f t="shared" si="1122"/>
        <v>SEPTIEMBRE</v>
      </c>
      <c r="T955" s="55" t="str">
        <f t="shared" si="1123"/>
        <v>Sem38</v>
      </c>
      <c r="U955" s="56">
        <f t="shared" si="1105"/>
        <v>7</v>
      </c>
      <c r="V955" s="59">
        <v>46281</v>
      </c>
      <c r="W955" s="56">
        <f t="shared" si="1124"/>
        <v>38</v>
      </c>
      <c r="X955" s="56">
        <f t="shared" si="1125"/>
        <v>16</v>
      </c>
      <c r="Y955" s="56" t="s">
        <v>30</v>
      </c>
      <c r="Z955" s="56">
        <v>3</v>
      </c>
      <c r="AA955" s="58">
        <f t="shared" si="1148"/>
        <v>1</v>
      </c>
      <c r="AB955" s="58">
        <f t="shared" si="1148"/>
        <v>0</v>
      </c>
      <c r="AC955" s="58">
        <f t="shared" si="1148"/>
        <v>0</v>
      </c>
      <c r="AD955" s="58">
        <f t="shared" si="1148"/>
        <v>0</v>
      </c>
      <c r="AE955" s="58">
        <f t="shared" si="1148"/>
        <v>0</v>
      </c>
    </row>
    <row r="956" spans="2:31">
      <c r="B956" t="str">
        <f t="shared" si="1112"/>
        <v>Sem3838RUBEN DARIO RAXON SOTO</v>
      </c>
      <c r="C956" t="str">
        <f t="shared" si="1113"/>
        <v>SEPTIEMBRESem38</v>
      </c>
      <c r="D956" t="str">
        <f t="shared" si="1114"/>
        <v>SEPTIEMBRESem38RUBEN DARIO RAXON SOTO</v>
      </c>
      <c r="E956" t="str">
        <f t="shared" si="1115"/>
        <v>SEPTIEMBRESem3838RUBEN DARIO RAXON SOTO</v>
      </c>
      <c r="F956" t="str">
        <f t="shared" si="1116"/>
        <v>RUBEN DARIO RAXON SOTO46282</v>
      </c>
      <c r="H956" s="49" t="s">
        <v>7</v>
      </c>
      <c r="I956" s="50" t="str">
        <f>+_xlfn.XLOOKUP($H956&amp;$V956,BASEDATOS!$B:$B,BASEDATOS!F:F,0,0,1)</f>
        <v>NOCHE</v>
      </c>
      <c r="J956" s="51">
        <f>+_xlfn.XLOOKUP($H956&amp;$V956,BASEDATOS!$B:$B,BASEDATOS!Q:Q,0,0,1)</f>
        <v>0.73958333333333304</v>
      </c>
      <c r="K956" s="51">
        <f>+_xlfn.XLOOKUP($H956&amp;$V956,BASEDATOS!$B:$B,BASEDATOS!R:R,0,0,1)</f>
        <v>0.25</v>
      </c>
      <c r="L956" s="51">
        <f t="shared" si="1117"/>
        <v>0.51041666666666696</v>
      </c>
      <c r="M956" s="52" t="str">
        <f t="shared" si="1118"/>
        <v>1:00</v>
      </c>
      <c r="N956" s="51">
        <f t="shared" si="1119"/>
        <v>0.46875000000000028</v>
      </c>
      <c r="O956" s="53" t="str">
        <f t="shared" ref="O956" si="1171">+O959</f>
        <v>2-2-3</v>
      </c>
      <c r="P956" s="54">
        <f>+IF(AND(Y956="Domingo",U956=7),_xlfn.XLOOKUP(O956,'Horarios y Sistemas'!C:C,'Horarios y Sistemas'!H:H,0,0,1),0)</f>
        <v>0</v>
      </c>
      <c r="Q956" s="54">
        <f>IF(U956=U957,0,IF(AVERAGEIF(W:W,W956,U:U)=U956,0,_xlfn.XLOOKUP(O956,'Horarios y Sistemas'!C:C,'Horarios y Sistemas'!H:H,0,0,1)-P956))/7*U956</f>
        <v>0</v>
      </c>
      <c r="R956" s="54">
        <f t="shared" si="1121"/>
        <v>0</v>
      </c>
      <c r="S956" s="55" t="str">
        <f t="shared" si="1122"/>
        <v>SEPTIEMBRE</v>
      </c>
      <c r="T956" s="55" t="str">
        <f t="shared" si="1123"/>
        <v>Sem38</v>
      </c>
      <c r="U956" s="56">
        <f t="shared" si="1105"/>
        <v>7</v>
      </c>
      <c r="V956" s="59">
        <v>46282</v>
      </c>
      <c r="W956" s="56">
        <f t="shared" si="1124"/>
        <v>38</v>
      </c>
      <c r="X956" s="56">
        <f t="shared" si="1125"/>
        <v>17</v>
      </c>
      <c r="Y956" s="56" t="s">
        <v>31</v>
      </c>
      <c r="Z956" s="56">
        <v>4</v>
      </c>
      <c r="AA956" s="58">
        <f t="shared" si="1148"/>
        <v>0</v>
      </c>
      <c r="AB956" s="58">
        <f t="shared" si="1148"/>
        <v>1</v>
      </c>
      <c r="AC956" s="58">
        <f t="shared" si="1148"/>
        <v>0</v>
      </c>
      <c r="AD956" s="58">
        <f t="shared" si="1148"/>
        <v>0</v>
      </c>
      <c r="AE956" s="58">
        <f t="shared" si="1148"/>
        <v>0</v>
      </c>
    </row>
    <row r="957" spans="2:31">
      <c r="B957" t="str">
        <f t="shared" si="1112"/>
        <v>Sem3838RUBEN DARIO RAXON SOTO</v>
      </c>
      <c r="C957" t="str">
        <f t="shared" si="1113"/>
        <v>SEPTIEMBRESem38</v>
      </c>
      <c r="D957" t="str">
        <f t="shared" si="1114"/>
        <v>SEPTIEMBRESem38RUBEN DARIO RAXON SOTO</v>
      </c>
      <c r="E957" t="str">
        <f t="shared" si="1115"/>
        <v>SEPTIEMBRESem3838RUBEN DARIO RAXON SOTO</v>
      </c>
      <c r="F957" t="str">
        <f t="shared" si="1116"/>
        <v>RUBEN DARIO RAXON SOTO46283</v>
      </c>
      <c r="H957" s="49" t="s">
        <v>7</v>
      </c>
      <c r="I957" s="50" t="str">
        <f>+_xlfn.XLOOKUP($H957&amp;$V957,BASEDATOS!$B:$B,BASEDATOS!F:F,0,0,1)</f>
        <v>NOCHE</v>
      </c>
      <c r="J957" s="51">
        <f>+_xlfn.XLOOKUP($H957&amp;$V957,BASEDATOS!$B:$B,BASEDATOS!Q:Q,0,0,1)</f>
        <v>0.73958333333333304</v>
      </c>
      <c r="K957" s="51">
        <f>+_xlfn.XLOOKUP($H957&amp;$V957,BASEDATOS!$B:$B,BASEDATOS!R:R,0,0,1)</f>
        <v>0.25</v>
      </c>
      <c r="L957" s="51">
        <f t="shared" si="1117"/>
        <v>0.51041666666666696</v>
      </c>
      <c r="M957" s="52" t="str">
        <f t="shared" si="1118"/>
        <v>1:00</v>
      </c>
      <c r="N957" s="51">
        <f t="shared" si="1119"/>
        <v>0.46875000000000028</v>
      </c>
      <c r="O957" s="53" t="str">
        <f t="shared" ref="O957" si="1172">+O959</f>
        <v>2-2-3</v>
      </c>
      <c r="P957" s="54">
        <f>+IF(AND(Y957="Domingo",U957=7),_xlfn.XLOOKUP(O957,'Horarios y Sistemas'!C:C,'Horarios y Sistemas'!H:H,0,0,1),0)</f>
        <v>0</v>
      </c>
      <c r="Q957" s="54">
        <f>IF(U957=U958,0,IF(AVERAGEIF(W:W,W957,U:U)=U957,0,_xlfn.XLOOKUP(O957,'Horarios y Sistemas'!C:C,'Horarios y Sistemas'!H:H,0,0,1)-P957))/7*U957</f>
        <v>0</v>
      </c>
      <c r="R957" s="54">
        <f t="shared" si="1121"/>
        <v>0</v>
      </c>
      <c r="S957" s="55" t="str">
        <f t="shared" si="1122"/>
        <v>SEPTIEMBRE</v>
      </c>
      <c r="T957" s="55" t="str">
        <f t="shared" si="1123"/>
        <v>Sem38</v>
      </c>
      <c r="U957" s="56">
        <f t="shared" si="1105"/>
        <v>7</v>
      </c>
      <c r="V957" s="59">
        <v>46283</v>
      </c>
      <c r="W957" s="56">
        <f t="shared" si="1124"/>
        <v>38</v>
      </c>
      <c r="X957" s="56">
        <f t="shared" si="1125"/>
        <v>18</v>
      </c>
      <c r="Y957" s="56" t="s">
        <v>32</v>
      </c>
      <c r="Z957" s="56">
        <v>5</v>
      </c>
      <c r="AA957" s="58">
        <f t="shared" si="1148"/>
        <v>0</v>
      </c>
      <c r="AB957" s="58">
        <f t="shared" si="1148"/>
        <v>1</v>
      </c>
      <c r="AC957" s="58">
        <f t="shared" si="1148"/>
        <v>0</v>
      </c>
      <c r="AD957" s="58">
        <f t="shared" si="1148"/>
        <v>0</v>
      </c>
      <c r="AE957" s="58">
        <f t="shared" si="1148"/>
        <v>0</v>
      </c>
    </row>
    <row r="958" spans="2:31">
      <c r="B958" t="str">
        <f t="shared" si="1112"/>
        <v>Sem3838RUBEN DARIO RAXON SOTO</v>
      </c>
      <c r="C958" t="str">
        <f t="shared" si="1113"/>
        <v>SEPTIEMBRESem38</v>
      </c>
      <c r="D958" t="str">
        <f t="shared" si="1114"/>
        <v>SEPTIEMBRESem38RUBEN DARIO RAXON SOTO</v>
      </c>
      <c r="E958" t="str">
        <f t="shared" si="1115"/>
        <v>SEPTIEMBRESem3838RUBEN DARIO RAXON SOTO</v>
      </c>
      <c r="F958" t="str">
        <f t="shared" si="1116"/>
        <v>RUBEN DARIO RAXON SOTO46284</v>
      </c>
      <c r="H958" s="49" t="s">
        <v>7</v>
      </c>
      <c r="I958" s="50" t="str">
        <f>+_xlfn.XLOOKUP($H958&amp;$V958,BASEDATOS!$B:$B,BASEDATOS!F:F,0,0,1)</f>
        <v>DESCANSO</v>
      </c>
      <c r="J958" s="51">
        <f>+_xlfn.XLOOKUP($H958&amp;$V958,BASEDATOS!$B:$B,BASEDATOS!Q:Q,0,0,1)</f>
        <v>0</v>
      </c>
      <c r="K958" s="51">
        <f>+_xlfn.XLOOKUP($H958&amp;$V958,BASEDATOS!$B:$B,BASEDATOS!R:R,0,0,1)</f>
        <v>0</v>
      </c>
      <c r="L958" s="51">
        <f t="shared" si="1117"/>
        <v>0</v>
      </c>
      <c r="M958" s="52">
        <f t="shared" si="1118"/>
        <v>0</v>
      </c>
      <c r="N958" s="51">
        <f t="shared" si="1119"/>
        <v>0</v>
      </c>
      <c r="O958" s="53" t="str">
        <f t="shared" ref="O958" si="1173">+O959</f>
        <v>2-2-3</v>
      </c>
      <c r="P958" s="54">
        <f>+IF(AND(Y958="Domingo",U958=7),_xlfn.XLOOKUP(O958,'Horarios y Sistemas'!C:C,'Horarios y Sistemas'!H:H,0,0,1),0)</f>
        <v>0</v>
      </c>
      <c r="Q958" s="54">
        <f>IF(U958=U959,0,IF(AVERAGEIF(W:W,W958,U:U)=U958,0,_xlfn.XLOOKUP(O958,'Horarios y Sistemas'!C:C,'Horarios y Sistemas'!H:H,0,0,1)-P958))/7*U958</f>
        <v>0</v>
      </c>
      <c r="R958" s="54">
        <f t="shared" si="1121"/>
        <v>0</v>
      </c>
      <c r="S958" s="55" t="str">
        <f t="shared" si="1122"/>
        <v>SEPTIEMBRE</v>
      </c>
      <c r="T958" s="55" t="str">
        <f t="shared" si="1123"/>
        <v>Sem38</v>
      </c>
      <c r="U958" s="56">
        <f t="shared" si="1105"/>
        <v>7</v>
      </c>
      <c r="V958" s="59">
        <v>46284</v>
      </c>
      <c r="W958" s="56">
        <f t="shared" si="1124"/>
        <v>38</v>
      </c>
      <c r="X958" s="56">
        <f t="shared" si="1125"/>
        <v>19</v>
      </c>
      <c r="Y958" s="56" t="s">
        <v>33</v>
      </c>
      <c r="Z958" s="56">
        <v>6</v>
      </c>
      <c r="AA958" s="58">
        <f t="shared" si="1148"/>
        <v>0</v>
      </c>
      <c r="AB958" s="58">
        <f t="shared" si="1148"/>
        <v>0</v>
      </c>
      <c r="AC958" s="58">
        <f t="shared" si="1148"/>
        <v>1</v>
      </c>
      <c r="AD958" s="58">
        <f t="shared" si="1148"/>
        <v>0</v>
      </c>
      <c r="AE958" s="58">
        <f t="shared" si="1148"/>
        <v>0</v>
      </c>
    </row>
    <row r="959" spans="2:31">
      <c r="B959" s="60" t="str">
        <f t="shared" si="1112"/>
        <v>Sem3838RUBEN DARIO RAXON SOTO</v>
      </c>
      <c r="C959" s="60" t="str">
        <f t="shared" si="1113"/>
        <v>SEPTIEMBRESem38</v>
      </c>
      <c r="D959" s="60" t="str">
        <f t="shared" si="1114"/>
        <v>SEPTIEMBRESem38RUBEN DARIO RAXON SOTO</v>
      </c>
      <c r="E959" s="60" t="str">
        <f t="shared" si="1115"/>
        <v>SEPTIEMBRESem3838RUBEN DARIO RAXON SOTO</v>
      </c>
      <c r="F959" s="60" t="str">
        <f t="shared" si="1116"/>
        <v>RUBEN DARIO RAXON SOTO46285</v>
      </c>
      <c r="G959" s="60"/>
      <c r="H959" s="61" t="s">
        <v>7</v>
      </c>
      <c r="I959" s="62" t="str">
        <f>+_xlfn.XLOOKUP($H959&amp;$V959,BASEDATOS!$B:$B,BASEDATOS!F:F,0,0,1)</f>
        <v>DESCANSO</v>
      </c>
      <c r="J959" s="63">
        <f>+_xlfn.XLOOKUP($H959&amp;$V959,BASEDATOS!$B:$B,BASEDATOS!Q:Q,0,0,1)</f>
        <v>0</v>
      </c>
      <c r="K959" s="63">
        <f>+_xlfn.XLOOKUP($H959&amp;$V959,BASEDATOS!$B:$B,BASEDATOS!R:R,0,0,1)</f>
        <v>0</v>
      </c>
      <c r="L959" s="63">
        <f t="shared" si="1117"/>
        <v>0</v>
      </c>
      <c r="M959" s="64">
        <f t="shared" si="1118"/>
        <v>0</v>
      </c>
      <c r="N959" s="63">
        <f t="shared" si="1119"/>
        <v>0</v>
      </c>
      <c r="O959" s="65" t="str">
        <f t="shared" ref="O959" si="1174">+IF(Y959="Domingo",SUM(AA953:AA959)&amp;"-"&amp;SUM(AB953:AB959)&amp;"-"&amp;SUM(AC953:AE959),"")</f>
        <v>2-2-3</v>
      </c>
      <c r="P959" s="66">
        <f>+IF(AND(Y959="Domingo",U959=7),_xlfn.XLOOKUP(O959,'Horarios y Sistemas'!C:C,'Horarios y Sistemas'!H:H,0,0,1),0)</f>
        <v>40</v>
      </c>
      <c r="Q959" s="66">
        <f>IF(U959=U960,0,IF(AVERAGEIF(W:W,W959,U:U)=U959,0,_xlfn.XLOOKUP(O959,'Horarios y Sistemas'!C:C,'Horarios y Sistemas'!H:H,0,0,1)-P959))/7*U959</f>
        <v>0</v>
      </c>
      <c r="R959" s="66">
        <f t="shared" si="1121"/>
        <v>40</v>
      </c>
      <c r="S959" s="67" t="str">
        <f t="shared" si="1122"/>
        <v>SEPTIEMBRE</v>
      </c>
      <c r="T959" s="55" t="str">
        <f t="shared" si="1123"/>
        <v>Sem38</v>
      </c>
      <c r="U959" s="68">
        <f t="shared" si="1105"/>
        <v>7</v>
      </c>
      <c r="V959" s="69">
        <v>46285</v>
      </c>
      <c r="W959" s="68">
        <f t="shared" si="1124"/>
        <v>38</v>
      </c>
      <c r="X959" s="68">
        <f t="shared" si="1125"/>
        <v>20</v>
      </c>
      <c r="Y959" s="68" t="s">
        <v>34</v>
      </c>
      <c r="Z959" s="68">
        <v>7</v>
      </c>
      <c r="AA959" s="70">
        <f t="shared" si="1148"/>
        <v>0</v>
      </c>
      <c r="AB959" s="70">
        <f t="shared" si="1148"/>
        <v>0</v>
      </c>
      <c r="AC959" s="70">
        <f t="shared" si="1148"/>
        <v>1</v>
      </c>
      <c r="AD959" s="70">
        <f t="shared" si="1148"/>
        <v>0</v>
      </c>
      <c r="AE959" s="70">
        <f t="shared" si="1148"/>
        <v>0</v>
      </c>
    </row>
    <row r="960" spans="2:31">
      <c r="B960" t="str">
        <f t="shared" si="1112"/>
        <v>Sem3939RUBEN DARIO RAXON SOTO</v>
      </c>
      <c r="C960" t="str">
        <f t="shared" si="1113"/>
        <v>SEPTIEMBRESem39</v>
      </c>
      <c r="D960" t="str">
        <f t="shared" si="1114"/>
        <v>SEPTIEMBRESem39RUBEN DARIO RAXON SOTO</v>
      </c>
      <c r="E960" t="str">
        <f t="shared" si="1115"/>
        <v>SEPTIEMBRESem3939RUBEN DARIO RAXON SOTO</v>
      </c>
      <c r="F960" t="str">
        <f t="shared" si="1116"/>
        <v>RUBEN DARIO RAXON SOTO46286</v>
      </c>
      <c r="H960" s="49" t="s">
        <v>7</v>
      </c>
      <c r="I960" s="50" t="str">
        <f>+_xlfn.XLOOKUP($H960&amp;$V960,BASEDATOS!$B:$B,BASEDATOS!F:F,0,0,1)</f>
        <v>DIA</v>
      </c>
      <c r="J960" s="51">
        <f>+_xlfn.XLOOKUP($H960&amp;$V960,BASEDATOS!$B:$B,BASEDATOS!Q:Q,0,0,1)</f>
        <v>0.23958333333333301</v>
      </c>
      <c r="K960" s="51">
        <f>+_xlfn.XLOOKUP($H960&amp;$V960,BASEDATOS!$B:$B,BASEDATOS!R:R,0,0,1)</f>
        <v>0.75</v>
      </c>
      <c r="L960" s="51">
        <f t="shared" si="1117"/>
        <v>0.51041666666666696</v>
      </c>
      <c r="M960" s="52" t="str">
        <f t="shared" si="1118"/>
        <v>1:00</v>
      </c>
      <c r="N960" s="51">
        <f t="shared" si="1119"/>
        <v>0.46875000000000028</v>
      </c>
      <c r="O960" s="53" t="str">
        <f t="shared" ref="O960" si="1175">+O966</f>
        <v>6-0-1</v>
      </c>
      <c r="P960" s="54">
        <f>+IF(AND(Y960="Domingo",U960=7),_xlfn.XLOOKUP(O960,'Horarios y Sistemas'!C:C,'Horarios y Sistemas'!H:H,0,0,1),0)</f>
        <v>0</v>
      </c>
      <c r="Q960" s="54">
        <f>IF(U960=U961,0,IF(AVERAGEIF(W:W,W960,U:U)=U960,0,_xlfn.XLOOKUP(O960,'Horarios y Sistemas'!C:C,'Horarios y Sistemas'!H:H,0,0,1)-P960))/7*U960</f>
        <v>0</v>
      </c>
      <c r="R960" s="54">
        <f t="shared" si="1121"/>
        <v>0</v>
      </c>
      <c r="S960" s="55" t="str">
        <f t="shared" si="1122"/>
        <v>SEPTIEMBRE</v>
      </c>
      <c r="T960" s="55" t="str">
        <f t="shared" si="1123"/>
        <v>Sem39</v>
      </c>
      <c r="U960" s="56">
        <f t="shared" si="1105"/>
        <v>7</v>
      </c>
      <c r="V960" s="57">
        <v>46286</v>
      </c>
      <c r="W960" s="56">
        <f t="shared" si="1124"/>
        <v>39</v>
      </c>
      <c r="X960" s="56">
        <f t="shared" si="1125"/>
        <v>21</v>
      </c>
      <c r="Y960" s="56" t="s">
        <v>28</v>
      </c>
      <c r="Z960" s="56">
        <v>1</v>
      </c>
      <c r="AA960" s="58">
        <f t="shared" si="1148"/>
        <v>1</v>
      </c>
      <c r="AB960" s="58">
        <f t="shared" si="1148"/>
        <v>0</v>
      </c>
      <c r="AC960" s="58">
        <f t="shared" si="1148"/>
        <v>0</v>
      </c>
      <c r="AD960" s="58">
        <f t="shared" si="1148"/>
        <v>0</v>
      </c>
      <c r="AE960" s="58">
        <f t="shared" si="1148"/>
        <v>0</v>
      </c>
    </row>
    <row r="961" spans="2:31">
      <c r="B961" t="str">
        <f t="shared" si="1112"/>
        <v>Sem3939RUBEN DARIO RAXON SOTO</v>
      </c>
      <c r="C961" t="str">
        <f t="shared" si="1113"/>
        <v>SEPTIEMBRESem39</v>
      </c>
      <c r="D961" t="str">
        <f t="shared" si="1114"/>
        <v>SEPTIEMBRESem39RUBEN DARIO RAXON SOTO</v>
      </c>
      <c r="E961" t="str">
        <f t="shared" si="1115"/>
        <v>SEPTIEMBRESem3939RUBEN DARIO RAXON SOTO</v>
      </c>
      <c r="F961" t="str">
        <f t="shared" si="1116"/>
        <v>RUBEN DARIO RAXON SOTO46287</v>
      </c>
      <c r="H961" s="49" t="s">
        <v>7</v>
      </c>
      <c r="I961" s="50" t="str">
        <f>+_xlfn.XLOOKUP($H961&amp;$V961,BASEDATOS!$B:$B,BASEDATOS!F:F,0,0,1)</f>
        <v>DIA</v>
      </c>
      <c r="J961" s="51">
        <f>+_xlfn.XLOOKUP($H961&amp;$V961,BASEDATOS!$B:$B,BASEDATOS!Q:Q,0,0,1)</f>
        <v>0.23958333333333301</v>
      </c>
      <c r="K961" s="51">
        <f>+_xlfn.XLOOKUP($H961&amp;$V961,BASEDATOS!$B:$B,BASEDATOS!R:R,0,0,1)</f>
        <v>0.75</v>
      </c>
      <c r="L961" s="51">
        <f t="shared" si="1117"/>
        <v>0.51041666666666696</v>
      </c>
      <c r="M961" s="52" t="str">
        <f t="shared" si="1118"/>
        <v>1:00</v>
      </c>
      <c r="N961" s="51">
        <f t="shared" si="1119"/>
        <v>0.46875000000000028</v>
      </c>
      <c r="O961" s="53" t="str">
        <f t="shared" ref="O961" si="1176">+O966</f>
        <v>6-0-1</v>
      </c>
      <c r="P961" s="54">
        <f>+IF(AND(Y961="Domingo",U961=7),_xlfn.XLOOKUP(O961,'Horarios y Sistemas'!C:C,'Horarios y Sistemas'!H:H,0,0,1),0)</f>
        <v>0</v>
      </c>
      <c r="Q961" s="54">
        <f>IF(U961=U962,0,IF(AVERAGEIF(W:W,W961,U:U)=U961,0,_xlfn.XLOOKUP(O961,'Horarios y Sistemas'!C:C,'Horarios y Sistemas'!H:H,0,0,1)-P961))/7*U961</f>
        <v>0</v>
      </c>
      <c r="R961" s="54">
        <f t="shared" si="1121"/>
        <v>0</v>
      </c>
      <c r="S961" s="55" t="str">
        <f t="shared" si="1122"/>
        <v>SEPTIEMBRE</v>
      </c>
      <c r="T961" s="55" t="str">
        <f t="shared" si="1123"/>
        <v>Sem39</v>
      </c>
      <c r="U961" s="56">
        <f t="shared" si="1105"/>
        <v>7</v>
      </c>
      <c r="V961" s="59">
        <v>46287</v>
      </c>
      <c r="W961" s="56">
        <f t="shared" si="1124"/>
        <v>39</v>
      </c>
      <c r="X961" s="56">
        <f t="shared" si="1125"/>
        <v>22</v>
      </c>
      <c r="Y961" s="56" t="s">
        <v>29</v>
      </c>
      <c r="Z961" s="56">
        <v>2</v>
      </c>
      <c r="AA961" s="58">
        <f t="shared" si="1148"/>
        <v>1</v>
      </c>
      <c r="AB961" s="58">
        <f t="shared" si="1148"/>
        <v>0</v>
      </c>
      <c r="AC961" s="58">
        <f t="shared" si="1148"/>
        <v>0</v>
      </c>
      <c r="AD961" s="58">
        <f t="shared" si="1148"/>
        <v>0</v>
      </c>
      <c r="AE961" s="58">
        <f t="shared" si="1148"/>
        <v>0</v>
      </c>
    </row>
    <row r="962" spans="2:31">
      <c r="B962" t="str">
        <f t="shared" si="1112"/>
        <v>Sem3939RUBEN DARIO RAXON SOTO</v>
      </c>
      <c r="C962" t="str">
        <f t="shared" si="1113"/>
        <v>SEPTIEMBRESem39</v>
      </c>
      <c r="D962" t="str">
        <f t="shared" si="1114"/>
        <v>SEPTIEMBRESem39RUBEN DARIO RAXON SOTO</v>
      </c>
      <c r="E962" t="str">
        <f t="shared" si="1115"/>
        <v>SEPTIEMBRESem3939RUBEN DARIO RAXON SOTO</v>
      </c>
      <c r="F962" t="str">
        <f t="shared" si="1116"/>
        <v>RUBEN DARIO RAXON SOTO46288</v>
      </c>
      <c r="H962" s="49" t="s">
        <v>7</v>
      </c>
      <c r="I962" s="50" t="str">
        <f>+_xlfn.XLOOKUP($H962&amp;$V962,BASEDATOS!$B:$B,BASEDATOS!F:F,0,0,1)</f>
        <v>DIA</v>
      </c>
      <c r="J962" s="51">
        <f>+_xlfn.XLOOKUP($H962&amp;$V962,BASEDATOS!$B:$B,BASEDATOS!Q:Q,0,0,1)</f>
        <v>0.23958333333333301</v>
      </c>
      <c r="K962" s="51">
        <f>+_xlfn.XLOOKUP($H962&amp;$V962,BASEDATOS!$B:$B,BASEDATOS!R:R,0,0,1)</f>
        <v>0.75</v>
      </c>
      <c r="L962" s="51">
        <f t="shared" si="1117"/>
        <v>0.51041666666666696</v>
      </c>
      <c r="M962" s="52" t="str">
        <f t="shared" si="1118"/>
        <v>1:00</v>
      </c>
      <c r="N962" s="51">
        <f t="shared" si="1119"/>
        <v>0.46875000000000028</v>
      </c>
      <c r="O962" s="53" t="str">
        <f t="shared" ref="O962" si="1177">+O966</f>
        <v>6-0-1</v>
      </c>
      <c r="P962" s="54">
        <f>+IF(AND(Y962="Domingo",U962=7),_xlfn.XLOOKUP(O962,'Horarios y Sistemas'!C:C,'Horarios y Sistemas'!H:H,0,0,1),0)</f>
        <v>0</v>
      </c>
      <c r="Q962" s="54">
        <f>IF(U962=U963,0,IF(AVERAGEIF(W:W,W962,U:U)=U962,0,_xlfn.XLOOKUP(O962,'Horarios y Sistemas'!C:C,'Horarios y Sistemas'!H:H,0,0,1)-P962))/7*U962</f>
        <v>0</v>
      </c>
      <c r="R962" s="54">
        <f t="shared" si="1121"/>
        <v>0</v>
      </c>
      <c r="S962" s="55" t="str">
        <f t="shared" si="1122"/>
        <v>SEPTIEMBRE</v>
      </c>
      <c r="T962" s="55" t="str">
        <f t="shared" si="1123"/>
        <v>Sem39</v>
      </c>
      <c r="U962" s="56">
        <f t="shared" si="1105"/>
        <v>7</v>
      </c>
      <c r="V962" s="59">
        <v>46288</v>
      </c>
      <c r="W962" s="56">
        <f t="shared" si="1124"/>
        <v>39</v>
      </c>
      <c r="X962" s="56">
        <f t="shared" si="1125"/>
        <v>23</v>
      </c>
      <c r="Y962" s="56" t="s">
        <v>30</v>
      </c>
      <c r="Z962" s="56">
        <v>3</v>
      </c>
      <c r="AA962" s="58">
        <f t="shared" si="1148"/>
        <v>1</v>
      </c>
      <c r="AB962" s="58">
        <f t="shared" si="1148"/>
        <v>0</v>
      </c>
      <c r="AC962" s="58">
        <f t="shared" si="1148"/>
        <v>0</v>
      </c>
      <c r="AD962" s="58">
        <f t="shared" si="1148"/>
        <v>0</v>
      </c>
      <c r="AE962" s="58">
        <f t="shared" si="1148"/>
        <v>0</v>
      </c>
    </row>
    <row r="963" spans="2:31">
      <c r="B963" t="str">
        <f t="shared" si="1112"/>
        <v>Sem3939RUBEN DARIO RAXON SOTO</v>
      </c>
      <c r="C963" t="str">
        <f t="shared" si="1113"/>
        <v>SEPTIEMBRESem39</v>
      </c>
      <c r="D963" t="str">
        <f t="shared" si="1114"/>
        <v>SEPTIEMBRESem39RUBEN DARIO RAXON SOTO</v>
      </c>
      <c r="E963" t="str">
        <f t="shared" si="1115"/>
        <v>SEPTIEMBRESem3939RUBEN DARIO RAXON SOTO</v>
      </c>
      <c r="F963" t="str">
        <f t="shared" si="1116"/>
        <v>RUBEN DARIO RAXON SOTO46289</v>
      </c>
      <c r="H963" s="49" t="s">
        <v>7</v>
      </c>
      <c r="I963" s="50" t="str">
        <f>+_xlfn.XLOOKUP($H963&amp;$V963,BASEDATOS!$B:$B,BASEDATOS!F:F,0,0,1)</f>
        <v>DIA</v>
      </c>
      <c r="J963" s="51">
        <f>+_xlfn.XLOOKUP($H963&amp;$V963,BASEDATOS!$B:$B,BASEDATOS!Q:Q,0,0,1)</f>
        <v>0.23958333333333301</v>
      </c>
      <c r="K963" s="51">
        <f>+_xlfn.XLOOKUP($H963&amp;$V963,BASEDATOS!$B:$B,BASEDATOS!R:R,0,0,1)</f>
        <v>0.75</v>
      </c>
      <c r="L963" s="51">
        <f t="shared" si="1117"/>
        <v>0.51041666666666696</v>
      </c>
      <c r="M963" s="52" t="str">
        <f t="shared" si="1118"/>
        <v>1:00</v>
      </c>
      <c r="N963" s="51">
        <f t="shared" si="1119"/>
        <v>0.46875000000000028</v>
      </c>
      <c r="O963" s="53" t="str">
        <f t="shared" ref="O963" si="1178">+O966</f>
        <v>6-0-1</v>
      </c>
      <c r="P963" s="54">
        <f>+IF(AND(Y963="Domingo",U963=7),_xlfn.XLOOKUP(O963,'Horarios y Sistemas'!C:C,'Horarios y Sistemas'!H:H,0,0,1),0)</f>
        <v>0</v>
      </c>
      <c r="Q963" s="54">
        <f>IF(U963=U964,0,IF(AVERAGEIF(W:W,W963,U:U)=U963,0,_xlfn.XLOOKUP(O963,'Horarios y Sistemas'!C:C,'Horarios y Sistemas'!H:H,0,0,1)-P963))/7*U963</f>
        <v>0</v>
      </c>
      <c r="R963" s="54">
        <f t="shared" si="1121"/>
        <v>0</v>
      </c>
      <c r="S963" s="55" t="str">
        <f t="shared" si="1122"/>
        <v>SEPTIEMBRE</v>
      </c>
      <c r="T963" s="55" t="str">
        <f t="shared" si="1123"/>
        <v>Sem39</v>
      </c>
      <c r="U963" s="56">
        <f t="shared" si="1105"/>
        <v>7</v>
      </c>
      <c r="V963" s="59">
        <v>46289</v>
      </c>
      <c r="W963" s="56">
        <f t="shared" si="1124"/>
        <v>39</v>
      </c>
      <c r="X963" s="56">
        <f t="shared" si="1125"/>
        <v>24</v>
      </c>
      <c r="Y963" s="56" t="s">
        <v>31</v>
      </c>
      <c r="Z963" s="56">
        <v>4</v>
      </c>
      <c r="AA963" s="58">
        <f t="shared" si="1148"/>
        <v>1</v>
      </c>
      <c r="AB963" s="58">
        <f t="shared" si="1148"/>
        <v>0</v>
      </c>
      <c r="AC963" s="58">
        <f t="shared" si="1148"/>
        <v>0</v>
      </c>
      <c r="AD963" s="58">
        <f t="shared" si="1148"/>
        <v>0</v>
      </c>
      <c r="AE963" s="58">
        <f t="shared" si="1148"/>
        <v>0</v>
      </c>
    </row>
    <row r="964" spans="2:31">
      <c r="B964" t="str">
        <f t="shared" si="1112"/>
        <v>Sem3939RUBEN DARIO RAXON SOTO</v>
      </c>
      <c r="C964" t="str">
        <f t="shared" si="1113"/>
        <v>SEPTIEMBRESem39</v>
      </c>
      <c r="D964" t="str">
        <f t="shared" si="1114"/>
        <v>SEPTIEMBRESem39RUBEN DARIO RAXON SOTO</v>
      </c>
      <c r="E964" t="str">
        <f t="shared" si="1115"/>
        <v>SEPTIEMBRESem3939RUBEN DARIO RAXON SOTO</v>
      </c>
      <c r="F964" t="str">
        <f t="shared" si="1116"/>
        <v>RUBEN DARIO RAXON SOTO46290</v>
      </c>
      <c r="H964" s="49" t="s">
        <v>7</v>
      </c>
      <c r="I964" s="50" t="str">
        <f>+_xlfn.XLOOKUP($H964&amp;$V964,BASEDATOS!$B:$B,BASEDATOS!F:F,0,0,1)</f>
        <v>DIA</v>
      </c>
      <c r="J964" s="51">
        <f>+_xlfn.XLOOKUP($H964&amp;$V964,BASEDATOS!$B:$B,BASEDATOS!Q:Q,0,0,1)</f>
        <v>0.23958333333333301</v>
      </c>
      <c r="K964" s="51">
        <f>+_xlfn.XLOOKUP($H964&amp;$V964,BASEDATOS!$B:$B,BASEDATOS!R:R,0,0,1)</f>
        <v>0.75</v>
      </c>
      <c r="L964" s="51">
        <f t="shared" si="1117"/>
        <v>0.51041666666666696</v>
      </c>
      <c r="M964" s="52" t="str">
        <f t="shared" si="1118"/>
        <v>1:00</v>
      </c>
      <c r="N964" s="51">
        <f t="shared" si="1119"/>
        <v>0.46875000000000028</v>
      </c>
      <c r="O964" s="53" t="str">
        <f t="shared" ref="O964" si="1179">+O966</f>
        <v>6-0-1</v>
      </c>
      <c r="P964" s="54">
        <f>+IF(AND(Y964="Domingo",U964=7),_xlfn.XLOOKUP(O964,'Horarios y Sistemas'!C:C,'Horarios y Sistemas'!H:H,0,0,1),0)</f>
        <v>0</v>
      </c>
      <c r="Q964" s="54">
        <f>IF(U964=U965,0,IF(AVERAGEIF(W:W,W964,U:U)=U964,0,_xlfn.XLOOKUP(O964,'Horarios y Sistemas'!C:C,'Horarios y Sistemas'!H:H,0,0,1)-P964))/7*U964</f>
        <v>0</v>
      </c>
      <c r="R964" s="54">
        <f t="shared" si="1121"/>
        <v>0</v>
      </c>
      <c r="S964" s="55" t="str">
        <f t="shared" si="1122"/>
        <v>SEPTIEMBRE</v>
      </c>
      <c r="T964" s="55" t="str">
        <f t="shared" si="1123"/>
        <v>Sem39</v>
      </c>
      <c r="U964" s="56">
        <f t="shared" si="1105"/>
        <v>7</v>
      </c>
      <c r="V964" s="59">
        <v>46290</v>
      </c>
      <c r="W964" s="56">
        <f t="shared" si="1124"/>
        <v>39</v>
      </c>
      <c r="X964" s="56">
        <f t="shared" si="1125"/>
        <v>25</v>
      </c>
      <c r="Y964" s="56" t="s">
        <v>32</v>
      </c>
      <c r="Z964" s="56">
        <v>5</v>
      </c>
      <c r="AA964" s="58">
        <f t="shared" si="1148"/>
        <v>1</v>
      </c>
      <c r="AB964" s="58">
        <f t="shared" si="1148"/>
        <v>0</v>
      </c>
      <c r="AC964" s="58">
        <f t="shared" si="1148"/>
        <v>0</v>
      </c>
      <c r="AD964" s="58">
        <f t="shared" si="1148"/>
        <v>0</v>
      </c>
      <c r="AE964" s="58">
        <f t="shared" si="1148"/>
        <v>0</v>
      </c>
    </row>
    <row r="965" spans="2:31">
      <c r="B965" t="str">
        <f t="shared" si="1112"/>
        <v>Sem3939RUBEN DARIO RAXON SOTO</v>
      </c>
      <c r="C965" t="str">
        <f t="shared" si="1113"/>
        <v>SEPTIEMBRESem39</v>
      </c>
      <c r="D965" t="str">
        <f t="shared" si="1114"/>
        <v>SEPTIEMBRESem39RUBEN DARIO RAXON SOTO</v>
      </c>
      <c r="E965" t="str">
        <f t="shared" si="1115"/>
        <v>SEPTIEMBRESem3939RUBEN DARIO RAXON SOTO</v>
      </c>
      <c r="F965" t="str">
        <f t="shared" si="1116"/>
        <v>RUBEN DARIO RAXON SOTO46291</v>
      </c>
      <c r="H965" s="49" t="s">
        <v>7</v>
      </c>
      <c r="I965" s="50" t="str">
        <f>+_xlfn.XLOOKUP($H965&amp;$V965,BASEDATOS!$B:$B,BASEDATOS!F:F,0,0,1)</f>
        <v>DIA</v>
      </c>
      <c r="J965" s="51">
        <f>+_xlfn.XLOOKUP($H965&amp;$V965,BASEDATOS!$B:$B,BASEDATOS!Q:Q,0,0,1)</f>
        <v>0.23958333333333301</v>
      </c>
      <c r="K965" s="51">
        <f>+_xlfn.XLOOKUP($H965&amp;$V965,BASEDATOS!$B:$B,BASEDATOS!R:R,0,0,1)</f>
        <v>0.58333333333333304</v>
      </c>
      <c r="L965" s="51">
        <f t="shared" si="1117"/>
        <v>0.34375</v>
      </c>
      <c r="M965" s="52" t="str">
        <f t="shared" si="1118"/>
        <v>1:00</v>
      </c>
      <c r="N965" s="51">
        <f t="shared" si="1119"/>
        <v>0.30208333333333331</v>
      </c>
      <c r="O965" s="53" t="str">
        <f t="shared" ref="O965" si="1180">+O966</f>
        <v>6-0-1</v>
      </c>
      <c r="P965" s="54">
        <f>+IF(AND(Y965="Domingo",U965=7),_xlfn.XLOOKUP(O965,'Horarios y Sistemas'!C:C,'Horarios y Sistemas'!H:H,0,0,1),0)</f>
        <v>0</v>
      </c>
      <c r="Q965" s="54">
        <f>IF(U965=U966,0,IF(AVERAGEIF(W:W,W965,U:U)=U965,0,_xlfn.XLOOKUP(O965,'Horarios y Sistemas'!C:C,'Horarios y Sistemas'!H:H,0,0,1)-P965))/7*U965</f>
        <v>0</v>
      </c>
      <c r="R965" s="54">
        <f t="shared" si="1121"/>
        <v>0</v>
      </c>
      <c r="S965" s="55" t="str">
        <f t="shared" si="1122"/>
        <v>SEPTIEMBRE</v>
      </c>
      <c r="T965" s="55" t="str">
        <f t="shared" si="1123"/>
        <v>Sem39</v>
      </c>
      <c r="U965" s="56">
        <f t="shared" si="1105"/>
        <v>7</v>
      </c>
      <c r="V965" s="59">
        <v>46291</v>
      </c>
      <c r="W965" s="56">
        <f t="shared" si="1124"/>
        <v>39</v>
      </c>
      <c r="X965" s="56">
        <f t="shared" si="1125"/>
        <v>26</v>
      </c>
      <c r="Y965" s="56" t="s">
        <v>33</v>
      </c>
      <c r="Z965" s="56">
        <v>6</v>
      </c>
      <c r="AA965" s="58">
        <f t="shared" si="1148"/>
        <v>1</v>
      </c>
      <c r="AB965" s="58">
        <f t="shared" si="1148"/>
        <v>0</v>
      </c>
      <c r="AC965" s="58">
        <f t="shared" si="1148"/>
        <v>0</v>
      </c>
      <c r="AD965" s="58">
        <f t="shared" si="1148"/>
        <v>0</v>
      </c>
      <c r="AE965" s="58">
        <f t="shared" si="1148"/>
        <v>0</v>
      </c>
    </row>
    <row r="966" spans="2:31">
      <c r="B966" s="60" t="str">
        <f t="shared" si="1112"/>
        <v>Sem3939RUBEN DARIO RAXON SOTO</v>
      </c>
      <c r="C966" s="60" t="str">
        <f t="shared" si="1113"/>
        <v>SEPTIEMBRESem39</v>
      </c>
      <c r="D966" s="60" t="str">
        <f t="shared" si="1114"/>
        <v>SEPTIEMBRESem39RUBEN DARIO RAXON SOTO</v>
      </c>
      <c r="E966" s="60" t="str">
        <f t="shared" si="1115"/>
        <v>SEPTIEMBRESem3939RUBEN DARIO RAXON SOTO</v>
      </c>
      <c r="F966" s="60" t="str">
        <f t="shared" si="1116"/>
        <v>RUBEN DARIO RAXON SOTO46292</v>
      </c>
      <c r="G966" s="60"/>
      <c r="H966" s="61" t="s">
        <v>7</v>
      </c>
      <c r="I966" s="62" t="str">
        <f>+_xlfn.XLOOKUP($H966&amp;$V966,BASEDATOS!$B:$B,BASEDATOS!F:F,0,0,1)</f>
        <v>DESCANSO</v>
      </c>
      <c r="J966" s="63">
        <f>+_xlfn.XLOOKUP($H966&amp;$V966,BASEDATOS!$B:$B,BASEDATOS!Q:Q,0,0,1)</f>
        <v>0</v>
      </c>
      <c r="K966" s="63">
        <f>+_xlfn.XLOOKUP($H966&amp;$V966,BASEDATOS!$B:$B,BASEDATOS!R:R,0,0,1)</f>
        <v>0</v>
      </c>
      <c r="L966" s="63">
        <f t="shared" si="1117"/>
        <v>0</v>
      </c>
      <c r="M966" s="64">
        <f t="shared" si="1118"/>
        <v>0</v>
      </c>
      <c r="N966" s="63">
        <f t="shared" si="1119"/>
        <v>0</v>
      </c>
      <c r="O966" s="65" t="str">
        <f t="shared" ref="O966" si="1181">+IF(Y966="Domingo",SUM(AA960:AA966)&amp;"-"&amp;SUM(AB960:AB966)&amp;"-"&amp;SUM(AC960:AE966),"")</f>
        <v>6-0-1</v>
      </c>
      <c r="P966" s="66">
        <f>+IF(AND(Y966="Domingo",U966=7),_xlfn.XLOOKUP(O966,'Horarios y Sistemas'!C:C,'Horarios y Sistemas'!H:H,0,0,1),0)</f>
        <v>44</v>
      </c>
      <c r="Q966" s="66">
        <f>IF(U966=U967,0,IF(AVERAGEIF(W:W,W966,U:U)=U966,0,_xlfn.XLOOKUP(O966,'Horarios y Sistemas'!C:C,'Horarios y Sistemas'!H:H,0,0,1)-P966))/7*U966</f>
        <v>0</v>
      </c>
      <c r="R966" s="66">
        <f t="shared" si="1121"/>
        <v>44</v>
      </c>
      <c r="S966" s="67" t="str">
        <f t="shared" si="1122"/>
        <v>SEPTIEMBRE</v>
      </c>
      <c r="T966" s="55" t="str">
        <f t="shared" si="1123"/>
        <v>Sem39</v>
      </c>
      <c r="U966" s="68">
        <f t="shared" si="1105"/>
        <v>7</v>
      </c>
      <c r="V966" s="69">
        <v>46292</v>
      </c>
      <c r="W966" s="68">
        <f t="shared" si="1124"/>
        <v>39</v>
      </c>
      <c r="X966" s="68">
        <f t="shared" si="1125"/>
        <v>27</v>
      </c>
      <c r="Y966" s="68" t="s">
        <v>34</v>
      </c>
      <c r="Z966" s="68">
        <v>7</v>
      </c>
      <c r="AA966" s="70">
        <f t="shared" si="1148"/>
        <v>0</v>
      </c>
      <c r="AB966" s="70">
        <f t="shared" si="1148"/>
        <v>0</v>
      </c>
      <c r="AC966" s="70">
        <f t="shared" si="1148"/>
        <v>1</v>
      </c>
      <c r="AD966" s="70">
        <f t="shared" si="1148"/>
        <v>0</v>
      </c>
      <c r="AE966" s="70">
        <f t="shared" si="1148"/>
        <v>0</v>
      </c>
    </row>
    <row r="967" spans="2:31">
      <c r="B967" t="str">
        <f t="shared" si="1112"/>
        <v>Sem4040RUBEN DARIO RAXON SOTO</v>
      </c>
      <c r="C967" t="str">
        <f t="shared" si="1113"/>
        <v>SEPTIEMBRESem40</v>
      </c>
      <c r="D967" t="str">
        <f t="shared" si="1114"/>
        <v>SEPTIEMBRESem40RUBEN DARIO RAXON SOTO</v>
      </c>
      <c r="E967" t="str">
        <f t="shared" si="1115"/>
        <v>SEPTIEMBRESem4040RUBEN DARIO RAXON SOTO</v>
      </c>
      <c r="F967" t="str">
        <f t="shared" si="1116"/>
        <v>RUBEN DARIO RAXON SOTO46293</v>
      </c>
      <c r="H967" s="49" t="s">
        <v>7</v>
      </c>
      <c r="I967" s="50" t="str">
        <f>+_xlfn.XLOOKUP($H967&amp;$V967,BASEDATOS!$B:$B,BASEDATOS!F:F,0,0,1)</f>
        <v>NOCHE</v>
      </c>
      <c r="J967" s="51">
        <f>+_xlfn.XLOOKUP($H967&amp;$V967,BASEDATOS!$B:$B,BASEDATOS!Q:Q,0,0,1)</f>
        <v>0.73958333333333304</v>
      </c>
      <c r="K967" s="51">
        <f>+_xlfn.XLOOKUP($H967&amp;$V967,BASEDATOS!$B:$B,BASEDATOS!R:R,0,0,1)</f>
        <v>0.25</v>
      </c>
      <c r="L967" s="51">
        <f t="shared" si="1117"/>
        <v>0.51041666666666696</v>
      </c>
      <c r="M967" s="52" t="str">
        <f t="shared" si="1118"/>
        <v>1:00</v>
      </c>
      <c r="N967" s="51">
        <f t="shared" si="1119"/>
        <v>0.46875000000000028</v>
      </c>
      <c r="O967" s="53" t="str">
        <f t="shared" ref="O967" si="1182">+O973</f>
        <v>0-5-2</v>
      </c>
      <c r="P967" s="54">
        <f>+IF(AND(Y967="Domingo",U967=7),_xlfn.XLOOKUP(O967,'Horarios y Sistemas'!C:C,'Horarios y Sistemas'!H:H,0,0,1),0)</f>
        <v>0</v>
      </c>
      <c r="Q967" s="54">
        <f>IF(U967=U968,0,IF(AVERAGEIF(W:W,W967,U:U)=U967,0,_xlfn.XLOOKUP(O967,'Horarios y Sistemas'!C:C,'Horarios y Sistemas'!H:H,0,0,1)-P967))/7*U967</f>
        <v>0</v>
      </c>
      <c r="R967" s="54">
        <f t="shared" si="1121"/>
        <v>0</v>
      </c>
      <c r="S967" s="55" t="str">
        <f t="shared" si="1122"/>
        <v>SEPTIEMBRE</v>
      </c>
      <c r="T967" s="55" t="str">
        <f t="shared" si="1123"/>
        <v>Sem40</v>
      </c>
      <c r="U967" s="56">
        <f t="shared" si="1105"/>
        <v>7</v>
      </c>
      <c r="V967" s="59">
        <v>46293</v>
      </c>
      <c r="W967" s="56">
        <f t="shared" si="1124"/>
        <v>40</v>
      </c>
      <c r="X967" s="56">
        <f t="shared" si="1125"/>
        <v>28</v>
      </c>
      <c r="Y967" s="56" t="s">
        <v>28</v>
      </c>
      <c r="Z967" s="56">
        <v>1</v>
      </c>
      <c r="AA967" s="58">
        <f t="shared" si="1148"/>
        <v>0</v>
      </c>
      <c r="AB967" s="58">
        <f t="shared" si="1148"/>
        <v>1</v>
      </c>
      <c r="AC967" s="58">
        <f t="shared" si="1148"/>
        <v>0</v>
      </c>
      <c r="AD967" s="58">
        <f t="shared" si="1148"/>
        <v>0</v>
      </c>
      <c r="AE967" s="58">
        <f t="shared" si="1148"/>
        <v>0</v>
      </c>
    </row>
    <row r="968" spans="2:31">
      <c r="B968" t="str">
        <f t="shared" si="1112"/>
        <v>Sem4040RUBEN DARIO RAXON SOTO</v>
      </c>
      <c r="C968" t="str">
        <f t="shared" si="1113"/>
        <v>SEPTIEMBRESem40</v>
      </c>
      <c r="D968" t="str">
        <f t="shared" si="1114"/>
        <v>SEPTIEMBRESem40RUBEN DARIO RAXON SOTO</v>
      </c>
      <c r="E968" t="str">
        <f t="shared" si="1115"/>
        <v>SEPTIEMBRESem4040RUBEN DARIO RAXON SOTO</v>
      </c>
      <c r="F968" t="str">
        <f t="shared" si="1116"/>
        <v>RUBEN DARIO RAXON SOTO46294</v>
      </c>
      <c r="H968" s="49" t="s">
        <v>7</v>
      </c>
      <c r="I968" s="50" t="str">
        <f>+_xlfn.XLOOKUP($H968&amp;$V968,BASEDATOS!$B:$B,BASEDATOS!F:F,0,0,1)</f>
        <v>NOCHE</v>
      </c>
      <c r="J968" s="51">
        <f>+_xlfn.XLOOKUP($H968&amp;$V968,BASEDATOS!$B:$B,BASEDATOS!Q:Q,0,0,1)</f>
        <v>0.73958333333333304</v>
      </c>
      <c r="K968" s="51">
        <f>+_xlfn.XLOOKUP($H968&amp;$V968,BASEDATOS!$B:$B,BASEDATOS!R:R,0,0,1)</f>
        <v>0.25</v>
      </c>
      <c r="L968" s="51">
        <f t="shared" si="1117"/>
        <v>0.51041666666666696</v>
      </c>
      <c r="M968" s="52" t="str">
        <f t="shared" si="1118"/>
        <v>1:00</v>
      </c>
      <c r="N968" s="51">
        <f t="shared" si="1119"/>
        <v>0.46875000000000028</v>
      </c>
      <c r="O968" s="53" t="str">
        <f t="shared" ref="O968" si="1183">+O973</f>
        <v>0-5-2</v>
      </c>
      <c r="P968" s="54">
        <f>+IF(AND(Y968="Domingo",U968=7),_xlfn.XLOOKUP(O968,'Horarios y Sistemas'!C:C,'Horarios y Sistemas'!H:H,0,0,1),0)</f>
        <v>0</v>
      </c>
      <c r="Q968" s="54">
        <f>IF(U968=U969,0,IF(AVERAGEIF(W:W,W968,U:U)=U968,0,_xlfn.XLOOKUP(O968,'Horarios y Sistemas'!C:C,'Horarios y Sistemas'!H:H,0,0,1)-P968))/7*U968</f>
        <v>0</v>
      </c>
      <c r="R968" s="54">
        <f t="shared" si="1121"/>
        <v>0</v>
      </c>
      <c r="S968" s="55" t="str">
        <f t="shared" si="1122"/>
        <v>SEPTIEMBRE</v>
      </c>
      <c r="T968" s="55" t="str">
        <f t="shared" si="1123"/>
        <v>Sem40</v>
      </c>
      <c r="U968" s="56">
        <f t="shared" ref="U968:U1031" si="1184">+COUNTIF(B:B,B968)</f>
        <v>7</v>
      </c>
      <c r="V968" s="59">
        <v>46294</v>
      </c>
      <c r="W968" s="56">
        <f t="shared" si="1124"/>
        <v>40</v>
      </c>
      <c r="X968" s="56">
        <f t="shared" si="1125"/>
        <v>29</v>
      </c>
      <c r="Y968" s="56" t="s">
        <v>29</v>
      </c>
      <c r="Z968" s="56">
        <v>2</v>
      </c>
      <c r="AA968" s="58">
        <f t="shared" si="1148"/>
        <v>0</v>
      </c>
      <c r="AB968" s="58">
        <f t="shared" si="1148"/>
        <v>1</v>
      </c>
      <c r="AC968" s="58">
        <f t="shared" si="1148"/>
        <v>0</v>
      </c>
      <c r="AD968" s="58">
        <f t="shared" si="1148"/>
        <v>0</v>
      </c>
      <c r="AE968" s="58">
        <f t="shared" si="1148"/>
        <v>0</v>
      </c>
    </row>
    <row r="969" spans="2:31">
      <c r="B969" t="str">
        <f t="shared" si="1112"/>
        <v>Sem4040RUBEN DARIO RAXON SOTO</v>
      </c>
      <c r="C969" t="str">
        <f t="shared" si="1113"/>
        <v>SEPTIEMBRESem40</v>
      </c>
      <c r="D969" t="str">
        <f t="shared" si="1114"/>
        <v>SEPTIEMBRESem40RUBEN DARIO RAXON SOTO</v>
      </c>
      <c r="E969" t="str">
        <f t="shared" si="1115"/>
        <v>SEPTIEMBRESem4040RUBEN DARIO RAXON SOTO</v>
      </c>
      <c r="F969" t="str">
        <f t="shared" si="1116"/>
        <v>RUBEN DARIO RAXON SOTO46295</v>
      </c>
      <c r="H969" s="49" t="s">
        <v>7</v>
      </c>
      <c r="I969" s="50" t="str">
        <f>+_xlfn.XLOOKUP($H969&amp;$V969,BASEDATOS!$B:$B,BASEDATOS!F:F,0,0,1)</f>
        <v>NOCHE</v>
      </c>
      <c r="J969" s="51">
        <f>+_xlfn.XLOOKUP($H969&amp;$V969,BASEDATOS!$B:$B,BASEDATOS!Q:Q,0,0,1)</f>
        <v>0.73958333333333304</v>
      </c>
      <c r="K969" s="51">
        <f>+_xlfn.XLOOKUP($H969&amp;$V969,BASEDATOS!$B:$B,BASEDATOS!R:R,0,0,1)</f>
        <v>0.25</v>
      </c>
      <c r="L969" s="51">
        <f t="shared" si="1117"/>
        <v>0.51041666666666696</v>
      </c>
      <c r="M969" s="52" t="str">
        <f t="shared" si="1118"/>
        <v>1:00</v>
      </c>
      <c r="N969" s="51">
        <f t="shared" si="1119"/>
        <v>0.46875000000000028</v>
      </c>
      <c r="O969" s="53" t="str">
        <f t="shared" ref="O969" si="1185">+O973</f>
        <v>0-5-2</v>
      </c>
      <c r="P969" s="54">
        <f>+IF(AND(Y969="Domingo",U969=7),_xlfn.XLOOKUP(O969,'Horarios y Sistemas'!C:C,'Horarios y Sistemas'!H:H,0,0,1),0)</f>
        <v>0</v>
      </c>
      <c r="Q969" s="54">
        <f>IF(U969=U970,0,IF(AVERAGEIF(W:W,W969,U:U)=U969,0,_xlfn.XLOOKUP(O969,'Horarios y Sistemas'!C:C,'Horarios y Sistemas'!H:H,0,0,1)-P969))/7*U969</f>
        <v>0</v>
      </c>
      <c r="R969" s="54">
        <f t="shared" si="1121"/>
        <v>0</v>
      </c>
      <c r="S969" s="55" t="str">
        <f t="shared" si="1122"/>
        <v>SEPTIEMBRE</v>
      </c>
      <c r="T969" s="55" t="str">
        <f t="shared" si="1123"/>
        <v>Sem40</v>
      </c>
      <c r="U969" s="56">
        <f t="shared" si="1184"/>
        <v>7</v>
      </c>
      <c r="V969" s="59">
        <v>46295</v>
      </c>
      <c r="W969" s="56">
        <f t="shared" si="1124"/>
        <v>40</v>
      </c>
      <c r="X969" s="56">
        <f t="shared" si="1125"/>
        <v>30</v>
      </c>
      <c r="Y969" s="56" t="s">
        <v>30</v>
      </c>
      <c r="Z969" s="56">
        <v>3</v>
      </c>
      <c r="AA969" s="58">
        <f t="shared" si="1148"/>
        <v>0</v>
      </c>
      <c r="AB969" s="58">
        <f t="shared" si="1148"/>
        <v>1</v>
      </c>
      <c r="AC969" s="58">
        <f t="shared" si="1148"/>
        <v>0</v>
      </c>
      <c r="AD969" s="58">
        <f t="shared" si="1148"/>
        <v>0</v>
      </c>
      <c r="AE969" s="58">
        <f t="shared" si="1148"/>
        <v>0</v>
      </c>
    </row>
    <row r="970" spans="2:31">
      <c r="B970" t="str">
        <f t="shared" si="1112"/>
        <v>Sem4040RUBEN DARIO RAXON SOTO</v>
      </c>
      <c r="C970" t="str">
        <f t="shared" si="1113"/>
        <v>OCTUBRESem40</v>
      </c>
      <c r="D970" t="str">
        <f t="shared" si="1114"/>
        <v>OCTUBRESem40RUBEN DARIO RAXON SOTO</v>
      </c>
      <c r="E970" t="str">
        <f t="shared" si="1115"/>
        <v>OCTUBRESem4040RUBEN DARIO RAXON SOTO</v>
      </c>
      <c r="F970" t="str">
        <f t="shared" si="1116"/>
        <v>RUBEN DARIO RAXON SOTO46296</v>
      </c>
      <c r="H970" s="49" t="s">
        <v>7</v>
      </c>
      <c r="I970" s="50" t="str">
        <f>+_xlfn.XLOOKUP($H970&amp;$V970,BASEDATOS!$B:$B,BASEDATOS!F:F,0,0,1)</f>
        <v>NOCHE</v>
      </c>
      <c r="J970" s="51">
        <f>+_xlfn.XLOOKUP($H970&amp;$V970,BASEDATOS!$B:$B,BASEDATOS!Q:Q,0,0,1)</f>
        <v>0.73958333333333304</v>
      </c>
      <c r="K970" s="51">
        <f>+_xlfn.XLOOKUP($H970&amp;$V970,BASEDATOS!$B:$B,BASEDATOS!R:R,0,0,1)</f>
        <v>0.25</v>
      </c>
      <c r="L970" s="51">
        <f t="shared" si="1117"/>
        <v>0.51041666666666696</v>
      </c>
      <c r="M970" s="52" t="str">
        <f t="shared" si="1118"/>
        <v>1:00</v>
      </c>
      <c r="N970" s="51">
        <f t="shared" si="1119"/>
        <v>0.46875000000000028</v>
      </c>
      <c r="O970" s="53" t="str">
        <f t="shared" ref="O970" si="1186">+O973</f>
        <v>0-5-2</v>
      </c>
      <c r="P970" s="54">
        <f>+IF(AND(Y970="Domingo",U970=7),_xlfn.XLOOKUP(O970,'Horarios y Sistemas'!C:C,'Horarios y Sistemas'!H:H,0,0,1),0)</f>
        <v>0</v>
      </c>
      <c r="Q970" s="54">
        <f>IF(U970=U971,0,IF(AVERAGEIF(W:W,W970,U:U)=U970,0,_xlfn.XLOOKUP(O970,'Horarios y Sistemas'!C:C,'Horarios y Sistemas'!H:H,0,0,1)-P970))/7*U970</f>
        <v>0</v>
      </c>
      <c r="R970" s="54">
        <f t="shared" si="1121"/>
        <v>0</v>
      </c>
      <c r="S970" s="55" t="str">
        <f t="shared" si="1122"/>
        <v>OCTUBRE</v>
      </c>
      <c r="T970" s="55" t="str">
        <f t="shared" si="1123"/>
        <v>Sem40</v>
      </c>
      <c r="U970" s="56">
        <f t="shared" si="1184"/>
        <v>7</v>
      </c>
      <c r="V970" s="59">
        <v>46296</v>
      </c>
      <c r="W970" s="56">
        <f t="shared" si="1124"/>
        <v>40</v>
      </c>
      <c r="X970" s="56">
        <f t="shared" si="1125"/>
        <v>1</v>
      </c>
      <c r="Y970" s="56" t="s">
        <v>31</v>
      </c>
      <c r="Z970" s="56">
        <v>4</v>
      </c>
      <c r="AA970" s="58">
        <f t="shared" si="1148"/>
        <v>0</v>
      </c>
      <c r="AB970" s="58">
        <f t="shared" si="1148"/>
        <v>1</v>
      </c>
      <c r="AC970" s="58">
        <f t="shared" si="1148"/>
        <v>0</v>
      </c>
      <c r="AD970" s="58">
        <f t="shared" si="1148"/>
        <v>0</v>
      </c>
      <c r="AE970" s="58">
        <f t="shared" si="1148"/>
        <v>0</v>
      </c>
    </row>
    <row r="971" spans="2:31">
      <c r="B971" t="str">
        <f t="shared" si="1112"/>
        <v>Sem4040RUBEN DARIO RAXON SOTO</v>
      </c>
      <c r="C971" t="str">
        <f t="shared" si="1113"/>
        <v>OCTUBRESem40</v>
      </c>
      <c r="D971" t="str">
        <f t="shared" si="1114"/>
        <v>OCTUBRESem40RUBEN DARIO RAXON SOTO</v>
      </c>
      <c r="E971" t="str">
        <f t="shared" si="1115"/>
        <v>OCTUBRESem4040RUBEN DARIO RAXON SOTO</v>
      </c>
      <c r="F971" t="str">
        <f t="shared" si="1116"/>
        <v>RUBEN DARIO RAXON SOTO46297</v>
      </c>
      <c r="H971" s="49" t="s">
        <v>7</v>
      </c>
      <c r="I971" s="50" t="str">
        <f>+_xlfn.XLOOKUP($H971&amp;$V971,BASEDATOS!$B:$B,BASEDATOS!F:F,0,0,1)</f>
        <v>NOCHE</v>
      </c>
      <c r="J971" s="51">
        <f>+_xlfn.XLOOKUP($H971&amp;$V971,BASEDATOS!$B:$B,BASEDATOS!Q:Q,0,0,1)</f>
        <v>0.73958333333333304</v>
      </c>
      <c r="K971" s="51">
        <f>+_xlfn.XLOOKUP($H971&amp;$V971,BASEDATOS!$B:$B,BASEDATOS!R:R,0,0,1)</f>
        <v>0.25</v>
      </c>
      <c r="L971" s="51">
        <f t="shared" si="1117"/>
        <v>0.51041666666666696</v>
      </c>
      <c r="M971" s="52" t="str">
        <f t="shared" si="1118"/>
        <v>1:00</v>
      </c>
      <c r="N971" s="51">
        <f t="shared" si="1119"/>
        <v>0.46875000000000028</v>
      </c>
      <c r="O971" s="53" t="str">
        <f t="shared" ref="O971" si="1187">+O973</f>
        <v>0-5-2</v>
      </c>
      <c r="P971" s="54">
        <f>+IF(AND(Y971="Domingo",U971=7),_xlfn.XLOOKUP(O971,'Horarios y Sistemas'!C:C,'Horarios y Sistemas'!H:H,0,0,1),0)</f>
        <v>0</v>
      </c>
      <c r="Q971" s="54">
        <f>IF(U971=U972,0,IF(AVERAGEIF(W:W,W971,U:U)=U971,0,_xlfn.XLOOKUP(O971,'Horarios y Sistemas'!C:C,'Horarios y Sistemas'!H:H,0,0,1)-P971))/7*U971</f>
        <v>0</v>
      </c>
      <c r="R971" s="54">
        <f t="shared" si="1121"/>
        <v>0</v>
      </c>
      <c r="S971" s="55" t="str">
        <f t="shared" si="1122"/>
        <v>OCTUBRE</v>
      </c>
      <c r="T971" s="55" t="str">
        <f t="shared" si="1123"/>
        <v>Sem40</v>
      </c>
      <c r="U971" s="56">
        <f t="shared" si="1184"/>
        <v>7</v>
      </c>
      <c r="V971" s="59">
        <v>46297</v>
      </c>
      <c r="W971" s="56">
        <f t="shared" si="1124"/>
        <v>40</v>
      </c>
      <c r="X971" s="56">
        <f t="shared" si="1125"/>
        <v>2</v>
      </c>
      <c r="Y971" s="56" t="s">
        <v>32</v>
      </c>
      <c r="Z971" s="56">
        <v>5</v>
      </c>
      <c r="AA971" s="58">
        <f t="shared" si="1148"/>
        <v>0</v>
      </c>
      <c r="AB971" s="58">
        <f t="shared" si="1148"/>
        <v>1</v>
      </c>
      <c r="AC971" s="58">
        <f t="shared" si="1148"/>
        <v>0</v>
      </c>
      <c r="AD971" s="58">
        <f t="shared" si="1148"/>
        <v>0</v>
      </c>
      <c r="AE971" s="58">
        <f t="shared" si="1148"/>
        <v>0</v>
      </c>
    </row>
    <row r="972" spans="2:31">
      <c r="B972" t="str">
        <f t="shared" si="1112"/>
        <v>Sem4040RUBEN DARIO RAXON SOTO</v>
      </c>
      <c r="C972" t="str">
        <f t="shared" si="1113"/>
        <v>OCTUBRESem40</v>
      </c>
      <c r="D972" t="str">
        <f t="shared" si="1114"/>
        <v>OCTUBRESem40RUBEN DARIO RAXON SOTO</v>
      </c>
      <c r="E972" t="str">
        <f t="shared" si="1115"/>
        <v>OCTUBRESem4040RUBEN DARIO RAXON SOTO</v>
      </c>
      <c r="F972" t="str">
        <f t="shared" si="1116"/>
        <v>RUBEN DARIO RAXON SOTO46298</v>
      </c>
      <c r="H972" s="49" t="s">
        <v>7</v>
      </c>
      <c r="I972" s="50" t="str">
        <f>+_xlfn.XLOOKUP($H972&amp;$V972,BASEDATOS!$B:$B,BASEDATOS!F:F,0,0,1)</f>
        <v>DESCANSO</v>
      </c>
      <c r="J972" s="51">
        <f>+_xlfn.XLOOKUP($H972&amp;$V972,BASEDATOS!$B:$B,BASEDATOS!Q:Q,0,0,1)</f>
        <v>0</v>
      </c>
      <c r="K972" s="51">
        <f>+_xlfn.XLOOKUP($H972&amp;$V972,BASEDATOS!$B:$B,BASEDATOS!R:R,0,0,1)</f>
        <v>0</v>
      </c>
      <c r="L972" s="51">
        <f t="shared" si="1117"/>
        <v>0</v>
      </c>
      <c r="M972" s="52">
        <f t="shared" si="1118"/>
        <v>0</v>
      </c>
      <c r="N972" s="51">
        <f t="shared" si="1119"/>
        <v>0</v>
      </c>
      <c r="O972" s="53" t="str">
        <f t="shared" ref="O972" si="1188">+O973</f>
        <v>0-5-2</v>
      </c>
      <c r="P972" s="54">
        <f>+IF(AND(Y972="Domingo",U972=7),_xlfn.XLOOKUP(O972,'Horarios y Sistemas'!C:C,'Horarios y Sistemas'!H:H,0,0,1),0)</f>
        <v>0</v>
      </c>
      <c r="Q972" s="54">
        <f>IF(U972=U973,0,IF(AVERAGEIF(W:W,W972,U:U)=U972,0,_xlfn.XLOOKUP(O972,'Horarios y Sistemas'!C:C,'Horarios y Sistemas'!H:H,0,0,1)-P972))/7*U972</f>
        <v>0</v>
      </c>
      <c r="R972" s="54">
        <f t="shared" si="1121"/>
        <v>0</v>
      </c>
      <c r="S972" s="55" t="str">
        <f t="shared" si="1122"/>
        <v>OCTUBRE</v>
      </c>
      <c r="T972" s="55" t="str">
        <f t="shared" si="1123"/>
        <v>Sem40</v>
      </c>
      <c r="U972" s="56">
        <f t="shared" si="1184"/>
        <v>7</v>
      </c>
      <c r="V972" s="59">
        <v>46298</v>
      </c>
      <c r="W972" s="56">
        <f t="shared" si="1124"/>
        <v>40</v>
      </c>
      <c r="X972" s="56">
        <f t="shared" si="1125"/>
        <v>3</v>
      </c>
      <c r="Y972" s="56" t="s">
        <v>33</v>
      </c>
      <c r="Z972" s="56">
        <v>6</v>
      </c>
      <c r="AA972" s="58">
        <f t="shared" si="1148"/>
        <v>0</v>
      </c>
      <c r="AB972" s="58">
        <f t="shared" si="1148"/>
        <v>0</v>
      </c>
      <c r="AC972" s="58">
        <f t="shared" si="1148"/>
        <v>1</v>
      </c>
      <c r="AD972" s="58">
        <f t="shared" si="1148"/>
        <v>0</v>
      </c>
      <c r="AE972" s="58">
        <f t="shared" si="1148"/>
        <v>0</v>
      </c>
    </row>
    <row r="973" spans="2:31">
      <c r="B973" s="60" t="str">
        <f t="shared" si="1112"/>
        <v>Sem4040RUBEN DARIO RAXON SOTO</v>
      </c>
      <c r="C973" s="60" t="str">
        <f t="shared" si="1113"/>
        <v>OCTUBRESem40</v>
      </c>
      <c r="D973" s="60" t="str">
        <f t="shared" si="1114"/>
        <v>OCTUBRESem40RUBEN DARIO RAXON SOTO</v>
      </c>
      <c r="E973" s="60" t="str">
        <f t="shared" si="1115"/>
        <v>OCTUBRESem4040RUBEN DARIO RAXON SOTO</v>
      </c>
      <c r="F973" s="60" t="str">
        <f t="shared" si="1116"/>
        <v>RUBEN DARIO RAXON SOTO46299</v>
      </c>
      <c r="G973" s="60"/>
      <c r="H973" s="61" t="s">
        <v>7</v>
      </c>
      <c r="I973" s="62" t="str">
        <f>+_xlfn.XLOOKUP($H973&amp;$V973,BASEDATOS!$B:$B,BASEDATOS!F:F,0,0,1)</f>
        <v>DESCANSO</v>
      </c>
      <c r="J973" s="63">
        <f>+_xlfn.XLOOKUP($H973&amp;$V973,BASEDATOS!$B:$B,BASEDATOS!Q:Q,0,0,1)</f>
        <v>0</v>
      </c>
      <c r="K973" s="63">
        <f>+_xlfn.XLOOKUP($H973&amp;$V973,BASEDATOS!$B:$B,BASEDATOS!R:R,0,0,1)</f>
        <v>0</v>
      </c>
      <c r="L973" s="63">
        <f t="shared" si="1117"/>
        <v>0</v>
      </c>
      <c r="M973" s="64">
        <f t="shared" si="1118"/>
        <v>0</v>
      </c>
      <c r="N973" s="63">
        <f t="shared" si="1119"/>
        <v>0</v>
      </c>
      <c r="O973" s="65" t="str">
        <f t="shared" ref="O973" si="1189">+IF(Y973="Domingo",SUM(AA967:AA973)&amp;"-"&amp;SUM(AB967:AB973)&amp;"-"&amp;SUM(AC967:AE973),"")</f>
        <v>0-5-2</v>
      </c>
      <c r="P973" s="66">
        <f>+IF(AND(Y973="Domingo",U973=7),_xlfn.XLOOKUP(O973,'Horarios y Sistemas'!C:C,'Horarios y Sistemas'!H:H,0,0,1),0)</f>
        <v>36</v>
      </c>
      <c r="Q973" s="66">
        <f>IF(U973=U974,0,IF(AVERAGEIF(W:W,W973,U:U)=U973,0,_xlfn.XLOOKUP(O973,'Horarios y Sistemas'!C:C,'Horarios y Sistemas'!H:H,0,0,1)-P973))/7*U973</f>
        <v>0</v>
      </c>
      <c r="R973" s="66">
        <f t="shared" si="1121"/>
        <v>36</v>
      </c>
      <c r="S973" s="67" t="str">
        <f t="shared" si="1122"/>
        <v>OCTUBRE</v>
      </c>
      <c r="T973" s="55" t="str">
        <f t="shared" si="1123"/>
        <v>Sem40</v>
      </c>
      <c r="U973" s="68">
        <f t="shared" si="1184"/>
        <v>7</v>
      </c>
      <c r="V973" s="69">
        <v>46299</v>
      </c>
      <c r="W973" s="68">
        <f t="shared" si="1124"/>
        <v>40</v>
      </c>
      <c r="X973" s="68">
        <f t="shared" si="1125"/>
        <v>4</v>
      </c>
      <c r="Y973" s="68" t="s">
        <v>34</v>
      </c>
      <c r="Z973" s="68">
        <v>7</v>
      </c>
      <c r="AA973" s="70">
        <f t="shared" si="1148"/>
        <v>0</v>
      </c>
      <c r="AB973" s="70">
        <f t="shared" si="1148"/>
        <v>0</v>
      </c>
      <c r="AC973" s="70">
        <f t="shared" si="1148"/>
        <v>1</v>
      </c>
      <c r="AD973" s="70">
        <f t="shared" si="1148"/>
        <v>0</v>
      </c>
      <c r="AE973" s="70">
        <f t="shared" si="1148"/>
        <v>0</v>
      </c>
    </row>
    <row r="974" spans="2:31">
      <c r="B974" t="str">
        <f t="shared" si="1112"/>
        <v>Sem3838RUDY ALEXANDER RODRIGUEZ ORTEGA</v>
      </c>
      <c r="C974" t="str">
        <f t="shared" si="1113"/>
        <v>SEPTIEMBRESem38</v>
      </c>
      <c r="D974" t="str">
        <f t="shared" si="1114"/>
        <v>SEPTIEMBRESem38RUDY ALEXANDER RODRIGUEZ ORTEGA</v>
      </c>
      <c r="E974" t="str">
        <f t="shared" si="1115"/>
        <v>SEPTIEMBRESem3838RUDY ALEXANDER RODRIGUEZ ORTEGA</v>
      </c>
      <c r="F974" t="str">
        <f t="shared" si="1116"/>
        <v>RUDY ALEXANDER RODRIGUEZ ORTEGA46279</v>
      </c>
      <c r="H974" s="49" t="s">
        <v>16</v>
      </c>
      <c r="I974" s="50" t="str">
        <f>+_xlfn.XLOOKUP($H974&amp;$V974,BASEDATOS!$B:$B,BASEDATOS!F:F,0,0,1)</f>
        <v>DESCANSO</v>
      </c>
      <c r="J974" s="51">
        <f>+_xlfn.XLOOKUP($H974&amp;$V974,BASEDATOS!$B:$B,BASEDATOS!Q:Q,0,0,1)</f>
        <v>0</v>
      </c>
      <c r="K974" s="51">
        <f>+_xlfn.XLOOKUP($H974&amp;$V974,BASEDATOS!$B:$B,BASEDATOS!R:R,0,0,1)</f>
        <v>0</v>
      </c>
      <c r="L974" s="51">
        <f t="shared" si="1117"/>
        <v>0</v>
      </c>
      <c r="M974" s="52">
        <f t="shared" si="1118"/>
        <v>0</v>
      </c>
      <c r="N974" s="51">
        <f t="shared" si="1119"/>
        <v>0</v>
      </c>
      <c r="O974" s="53" t="str">
        <f t="shared" ref="O974" si="1190">+O980</f>
        <v>2-2-3</v>
      </c>
      <c r="P974" s="54">
        <f>+IF(AND(Y974="Domingo",U974=7),_xlfn.XLOOKUP(O974,'Horarios y Sistemas'!C:C,'Horarios y Sistemas'!H:H,0,0,1),0)</f>
        <v>0</v>
      </c>
      <c r="Q974" s="54">
        <f>IF(U974=U975,0,IF(AVERAGEIF(W:W,W974,U:U)=U974,0,_xlfn.XLOOKUP(O974,'Horarios y Sistemas'!C:C,'Horarios y Sistemas'!H:H,0,0,1)-P974))/7*U974</f>
        <v>0</v>
      </c>
      <c r="R974" s="54">
        <f t="shared" si="1121"/>
        <v>0</v>
      </c>
      <c r="S974" s="55" t="str">
        <f t="shared" si="1122"/>
        <v>SEPTIEMBRE</v>
      </c>
      <c r="T974" s="55" t="str">
        <f t="shared" si="1123"/>
        <v>Sem38</v>
      </c>
      <c r="U974" s="56">
        <f t="shared" si="1184"/>
        <v>7</v>
      </c>
      <c r="V974" s="59">
        <v>46279</v>
      </c>
      <c r="W974" s="56">
        <f t="shared" si="1124"/>
        <v>38</v>
      </c>
      <c r="X974" s="56">
        <f t="shared" si="1125"/>
        <v>14</v>
      </c>
      <c r="Y974" s="56" t="s">
        <v>28</v>
      </c>
      <c r="Z974" s="56">
        <v>1</v>
      </c>
      <c r="AA974" s="58">
        <f t="shared" si="1148"/>
        <v>0</v>
      </c>
      <c r="AB974" s="58">
        <f t="shared" si="1148"/>
        <v>0</v>
      </c>
      <c r="AC974" s="58">
        <f t="shared" si="1148"/>
        <v>1</v>
      </c>
      <c r="AD974" s="58">
        <f t="shared" si="1148"/>
        <v>0</v>
      </c>
      <c r="AE974" s="58">
        <f t="shared" si="1148"/>
        <v>0</v>
      </c>
    </row>
    <row r="975" spans="2:31">
      <c r="B975" t="str">
        <f t="shared" ref="B975:B1038" si="1191">+T975&amp;W975&amp;H975</f>
        <v>Sem3838RUDY ALEXANDER RODRIGUEZ ORTEGA</v>
      </c>
      <c r="C975" t="str">
        <f t="shared" ref="C975:C1038" si="1192">+S975&amp;T975</f>
        <v>SEPTIEMBRESem38</v>
      </c>
      <c r="D975" t="str">
        <f t="shared" ref="D975:D1038" si="1193">+S975&amp;T975&amp;H975</f>
        <v>SEPTIEMBRESem38RUDY ALEXANDER RODRIGUEZ ORTEGA</v>
      </c>
      <c r="E975" t="str">
        <f t="shared" ref="E975:E1038" si="1194">+S975&amp;T975&amp;W975&amp;H975</f>
        <v>SEPTIEMBRESem3838RUDY ALEXANDER RODRIGUEZ ORTEGA</v>
      </c>
      <c r="F975" t="str">
        <f t="shared" ref="F975:F1038" si="1195">+H975&amp;V975</f>
        <v>RUDY ALEXANDER RODRIGUEZ ORTEGA46280</v>
      </c>
      <c r="H975" s="49" t="s">
        <v>16</v>
      </c>
      <c r="I975" s="50" t="str">
        <f>+_xlfn.XLOOKUP($H975&amp;$V975,BASEDATOS!$B:$B,BASEDATOS!F:F,0,0,1)</f>
        <v>DIA</v>
      </c>
      <c r="J975" s="51">
        <f>+_xlfn.XLOOKUP($H975&amp;$V975,BASEDATOS!$B:$B,BASEDATOS!Q:Q,0,0,1)</f>
        <v>0.33333333333333298</v>
      </c>
      <c r="K975" s="51">
        <f>+_xlfn.XLOOKUP($H975&amp;$V975,BASEDATOS!$B:$B,BASEDATOS!R:R,0,0,1)</f>
        <v>0.70833333333333304</v>
      </c>
      <c r="L975" s="51">
        <f t="shared" ref="L975:L1038" si="1196">+IF(OR(J975="Descanso",J975="AUSENTE",J975="ASUETO"),0,MOD(K975-J975,1))</f>
        <v>0.37500000000000006</v>
      </c>
      <c r="M975" s="52" t="str">
        <f t="shared" ref="M975:M1038" si="1197">+IF(OR(I975="DIA",I975="NOCHE",I975="MIXTO"),"1:00",0)</f>
        <v>1:00</v>
      </c>
      <c r="N975" s="51">
        <f t="shared" ref="N975:N1038" si="1198">+IF(I975="ASUETO-D",8/24,IF(I975="ASUETO-N",6/24,MOD(L975-M975,1)))</f>
        <v>0.33333333333333337</v>
      </c>
      <c r="O975" s="53" t="str">
        <f t="shared" ref="O975" si="1199">+O980</f>
        <v>2-2-3</v>
      </c>
      <c r="P975" s="54">
        <f>+IF(AND(Y975="Domingo",U975=7),_xlfn.XLOOKUP(O975,'Horarios y Sistemas'!C:C,'Horarios y Sistemas'!H:H,0,0,1),0)</f>
        <v>0</v>
      </c>
      <c r="Q975" s="54">
        <f>IF(U975=U976,0,IF(AVERAGEIF(W:W,W975,U:U)=U975,0,_xlfn.XLOOKUP(O975,'Horarios y Sistemas'!C:C,'Horarios y Sistemas'!H:H,0,0,1)-P975))/7*U975</f>
        <v>0</v>
      </c>
      <c r="R975" s="54">
        <f t="shared" ref="R975:R1038" si="1200">+IF(Y975="Domingo",SUM(P969:Q975),0)</f>
        <v>0</v>
      </c>
      <c r="S975" s="55" t="str">
        <f t="shared" ref="S975:S1038" si="1201">+UPPER(TEXT(V975,"MMMMMMMM"))</f>
        <v>SEPTIEMBRE</v>
      </c>
      <c r="T975" s="55" t="str">
        <f t="shared" ref="T975:T1038" si="1202">+"Sem"&amp;W975</f>
        <v>Sem38</v>
      </c>
      <c r="U975" s="56">
        <f t="shared" si="1184"/>
        <v>7</v>
      </c>
      <c r="V975" s="59">
        <v>46280</v>
      </c>
      <c r="W975" s="56">
        <f t="shared" ref="W975:W1038" si="1203">+_xlfn.ISOWEEKNUM(V975)</f>
        <v>38</v>
      </c>
      <c r="X975" s="56">
        <f t="shared" ref="X975:X1038" si="1204">+DAY(V975)</f>
        <v>15</v>
      </c>
      <c r="Y975" s="56" t="s">
        <v>29</v>
      </c>
      <c r="Z975" s="56">
        <v>2</v>
      </c>
      <c r="AA975" s="58">
        <f t="shared" si="1148"/>
        <v>1</v>
      </c>
      <c r="AB975" s="58">
        <f t="shared" si="1148"/>
        <v>0</v>
      </c>
      <c r="AC975" s="58">
        <f t="shared" si="1148"/>
        <v>0</v>
      </c>
      <c r="AD975" s="58">
        <f t="shared" si="1148"/>
        <v>0</v>
      </c>
      <c r="AE975" s="58">
        <f t="shared" si="1148"/>
        <v>0</v>
      </c>
    </row>
    <row r="976" spans="2:31">
      <c r="B976" t="str">
        <f t="shared" si="1191"/>
        <v>Sem3838RUDY ALEXANDER RODRIGUEZ ORTEGA</v>
      </c>
      <c r="C976" t="str">
        <f t="shared" si="1192"/>
        <v>SEPTIEMBRESem38</v>
      </c>
      <c r="D976" t="str">
        <f t="shared" si="1193"/>
        <v>SEPTIEMBRESem38RUDY ALEXANDER RODRIGUEZ ORTEGA</v>
      </c>
      <c r="E976" t="str">
        <f t="shared" si="1194"/>
        <v>SEPTIEMBRESem3838RUDY ALEXANDER RODRIGUEZ ORTEGA</v>
      </c>
      <c r="F976" t="str">
        <f t="shared" si="1195"/>
        <v>RUDY ALEXANDER RODRIGUEZ ORTEGA46281</v>
      </c>
      <c r="H976" s="49" t="s">
        <v>16</v>
      </c>
      <c r="I976" s="50" t="str">
        <f>+_xlfn.XLOOKUP($H976&amp;$V976,BASEDATOS!$B:$B,BASEDATOS!F:F,0,0,1)</f>
        <v>NOCHE</v>
      </c>
      <c r="J976" s="51">
        <f>+_xlfn.XLOOKUP($H976&amp;$V976,BASEDATOS!$B:$B,BASEDATOS!Q:Q,0,0,1)</f>
        <v>0.79166666666666696</v>
      </c>
      <c r="K976" s="51">
        <f>+_xlfn.XLOOKUP($H976&amp;$V976,BASEDATOS!$B:$B,BASEDATOS!R:R,0,0,1)</f>
        <v>0.20833333333333301</v>
      </c>
      <c r="L976" s="51">
        <f t="shared" si="1196"/>
        <v>0.41666666666666607</v>
      </c>
      <c r="M976" s="52" t="str">
        <f t="shared" si="1197"/>
        <v>1:00</v>
      </c>
      <c r="N976" s="51">
        <f t="shared" si="1198"/>
        <v>0.37499999999999939</v>
      </c>
      <c r="O976" s="53" t="str">
        <f t="shared" ref="O976" si="1205">+O980</f>
        <v>2-2-3</v>
      </c>
      <c r="P976" s="54">
        <f>+IF(AND(Y976="Domingo",U976=7),_xlfn.XLOOKUP(O976,'Horarios y Sistemas'!C:C,'Horarios y Sistemas'!H:H,0,0,1),0)</f>
        <v>0</v>
      </c>
      <c r="Q976" s="54">
        <f>IF(U976=U977,0,IF(AVERAGEIF(W:W,W976,U:U)=U976,0,_xlfn.XLOOKUP(O976,'Horarios y Sistemas'!C:C,'Horarios y Sistemas'!H:H,0,0,1)-P976))/7*U976</f>
        <v>0</v>
      </c>
      <c r="R976" s="54">
        <f t="shared" si="1200"/>
        <v>0</v>
      </c>
      <c r="S976" s="55" t="str">
        <f t="shared" si="1201"/>
        <v>SEPTIEMBRE</v>
      </c>
      <c r="T976" s="55" t="str">
        <f t="shared" si="1202"/>
        <v>Sem38</v>
      </c>
      <c r="U976" s="56">
        <f t="shared" si="1184"/>
        <v>7</v>
      </c>
      <c r="V976" s="59">
        <v>46281</v>
      </c>
      <c r="W976" s="56">
        <f t="shared" si="1203"/>
        <v>38</v>
      </c>
      <c r="X976" s="56">
        <f t="shared" si="1204"/>
        <v>16</v>
      </c>
      <c r="Y976" s="56" t="s">
        <v>30</v>
      </c>
      <c r="Z976" s="56">
        <v>3</v>
      </c>
      <c r="AA976" s="58">
        <f t="shared" si="1148"/>
        <v>0</v>
      </c>
      <c r="AB976" s="58">
        <f t="shared" si="1148"/>
        <v>1</v>
      </c>
      <c r="AC976" s="58">
        <f t="shared" si="1148"/>
        <v>0</v>
      </c>
      <c r="AD976" s="58">
        <f t="shared" si="1148"/>
        <v>0</v>
      </c>
      <c r="AE976" s="58">
        <f t="shared" si="1148"/>
        <v>0</v>
      </c>
    </row>
    <row r="977" spans="2:31">
      <c r="B977" t="str">
        <f t="shared" si="1191"/>
        <v>Sem3838RUDY ALEXANDER RODRIGUEZ ORTEGA</v>
      </c>
      <c r="C977" t="str">
        <f t="shared" si="1192"/>
        <v>SEPTIEMBRESem38</v>
      </c>
      <c r="D977" t="str">
        <f t="shared" si="1193"/>
        <v>SEPTIEMBRESem38RUDY ALEXANDER RODRIGUEZ ORTEGA</v>
      </c>
      <c r="E977" t="str">
        <f t="shared" si="1194"/>
        <v>SEPTIEMBRESem3838RUDY ALEXANDER RODRIGUEZ ORTEGA</v>
      </c>
      <c r="F977" t="str">
        <f t="shared" si="1195"/>
        <v>RUDY ALEXANDER RODRIGUEZ ORTEGA46282</v>
      </c>
      <c r="H977" s="49" t="s">
        <v>16</v>
      </c>
      <c r="I977" s="50" t="str">
        <f>+_xlfn.XLOOKUP($H977&amp;$V977,BASEDATOS!$B:$B,BASEDATOS!F:F,0,0,1)</f>
        <v>NOCHE</v>
      </c>
      <c r="J977" s="51">
        <f>+_xlfn.XLOOKUP($H977&amp;$V977,BASEDATOS!$B:$B,BASEDATOS!Q:Q,0,0,1)</f>
        <v>0.79166666666666696</v>
      </c>
      <c r="K977" s="51">
        <f>+_xlfn.XLOOKUP($H977&amp;$V977,BASEDATOS!$B:$B,BASEDATOS!R:R,0,0,1)</f>
        <v>0.20833333333333301</v>
      </c>
      <c r="L977" s="51">
        <f t="shared" si="1196"/>
        <v>0.41666666666666607</v>
      </c>
      <c r="M977" s="52" t="str">
        <f t="shared" si="1197"/>
        <v>1:00</v>
      </c>
      <c r="N977" s="51">
        <f t="shared" si="1198"/>
        <v>0.37499999999999939</v>
      </c>
      <c r="O977" s="53" t="str">
        <f t="shared" ref="O977" si="1206">+O980</f>
        <v>2-2-3</v>
      </c>
      <c r="P977" s="54">
        <f>+IF(AND(Y977="Domingo",U977=7),_xlfn.XLOOKUP(O977,'Horarios y Sistemas'!C:C,'Horarios y Sistemas'!H:H,0,0,1),0)</f>
        <v>0</v>
      </c>
      <c r="Q977" s="54">
        <f>IF(U977=U978,0,IF(AVERAGEIF(W:W,W977,U:U)=U977,0,_xlfn.XLOOKUP(O977,'Horarios y Sistemas'!C:C,'Horarios y Sistemas'!H:H,0,0,1)-P977))/7*U977</f>
        <v>0</v>
      </c>
      <c r="R977" s="54">
        <f t="shared" si="1200"/>
        <v>0</v>
      </c>
      <c r="S977" s="55" t="str">
        <f t="shared" si="1201"/>
        <v>SEPTIEMBRE</v>
      </c>
      <c r="T977" s="55" t="str">
        <f t="shared" si="1202"/>
        <v>Sem38</v>
      </c>
      <c r="U977" s="56">
        <f t="shared" si="1184"/>
        <v>7</v>
      </c>
      <c r="V977" s="59">
        <v>46282</v>
      </c>
      <c r="W977" s="56">
        <f t="shared" si="1203"/>
        <v>38</v>
      </c>
      <c r="X977" s="56">
        <f t="shared" si="1204"/>
        <v>17</v>
      </c>
      <c r="Y977" s="56" t="s">
        <v>31</v>
      </c>
      <c r="Z977" s="56">
        <v>4</v>
      </c>
      <c r="AA977" s="58">
        <f t="shared" si="1148"/>
        <v>0</v>
      </c>
      <c r="AB977" s="58">
        <f t="shared" si="1148"/>
        <v>1</v>
      </c>
      <c r="AC977" s="58">
        <f t="shared" si="1148"/>
        <v>0</v>
      </c>
      <c r="AD977" s="58">
        <f t="shared" si="1148"/>
        <v>0</v>
      </c>
      <c r="AE977" s="58">
        <f t="shared" si="1148"/>
        <v>0</v>
      </c>
    </row>
    <row r="978" spans="2:31">
      <c r="B978" t="str">
        <f t="shared" si="1191"/>
        <v>Sem3838RUDY ALEXANDER RODRIGUEZ ORTEGA</v>
      </c>
      <c r="C978" t="str">
        <f t="shared" si="1192"/>
        <v>SEPTIEMBRESem38</v>
      </c>
      <c r="D978" t="str">
        <f t="shared" si="1193"/>
        <v>SEPTIEMBRESem38RUDY ALEXANDER RODRIGUEZ ORTEGA</v>
      </c>
      <c r="E978" t="str">
        <f t="shared" si="1194"/>
        <v>SEPTIEMBRESem3838RUDY ALEXANDER RODRIGUEZ ORTEGA</v>
      </c>
      <c r="F978" t="str">
        <f t="shared" si="1195"/>
        <v>RUDY ALEXANDER RODRIGUEZ ORTEGA46283</v>
      </c>
      <c r="H978" s="49" t="s">
        <v>16</v>
      </c>
      <c r="I978" s="50" t="str">
        <f>+_xlfn.XLOOKUP($H978&amp;$V978,BASEDATOS!$B:$B,BASEDATOS!F:F,0,0,1)</f>
        <v>DESCANSO</v>
      </c>
      <c r="J978" s="51">
        <f>+_xlfn.XLOOKUP($H978&amp;$V978,BASEDATOS!$B:$B,BASEDATOS!Q:Q,0,0,1)</f>
        <v>0</v>
      </c>
      <c r="K978" s="51">
        <f>+_xlfn.XLOOKUP($H978&amp;$V978,BASEDATOS!$B:$B,BASEDATOS!R:R,0,0,1)</f>
        <v>0</v>
      </c>
      <c r="L978" s="51">
        <f t="shared" si="1196"/>
        <v>0</v>
      </c>
      <c r="M978" s="52">
        <f t="shared" si="1197"/>
        <v>0</v>
      </c>
      <c r="N978" s="51">
        <f t="shared" si="1198"/>
        <v>0</v>
      </c>
      <c r="O978" s="53" t="str">
        <f t="shared" ref="O978" si="1207">+O980</f>
        <v>2-2-3</v>
      </c>
      <c r="P978" s="54">
        <f>+IF(AND(Y978="Domingo",U978=7),_xlfn.XLOOKUP(O978,'Horarios y Sistemas'!C:C,'Horarios y Sistemas'!H:H,0,0,1),0)</f>
        <v>0</v>
      </c>
      <c r="Q978" s="54">
        <f>IF(U978=U979,0,IF(AVERAGEIF(W:W,W978,U:U)=U978,0,_xlfn.XLOOKUP(O978,'Horarios y Sistemas'!C:C,'Horarios y Sistemas'!H:H,0,0,1)-P978))/7*U978</f>
        <v>0</v>
      </c>
      <c r="R978" s="54">
        <f t="shared" si="1200"/>
        <v>0</v>
      </c>
      <c r="S978" s="55" t="str">
        <f t="shared" si="1201"/>
        <v>SEPTIEMBRE</v>
      </c>
      <c r="T978" s="55" t="str">
        <f t="shared" si="1202"/>
        <v>Sem38</v>
      </c>
      <c r="U978" s="56">
        <f t="shared" si="1184"/>
        <v>7</v>
      </c>
      <c r="V978" s="59">
        <v>46283</v>
      </c>
      <c r="W978" s="56">
        <f t="shared" si="1203"/>
        <v>38</v>
      </c>
      <c r="X978" s="56">
        <f t="shared" si="1204"/>
        <v>18</v>
      </c>
      <c r="Y978" s="56" t="s">
        <v>32</v>
      </c>
      <c r="Z978" s="56">
        <v>5</v>
      </c>
      <c r="AA978" s="58">
        <f t="shared" si="1148"/>
        <v>0</v>
      </c>
      <c r="AB978" s="58">
        <f t="shared" si="1148"/>
        <v>0</v>
      </c>
      <c r="AC978" s="58">
        <f t="shared" si="1148"/>
        <v>1</v>
      </c>
      <c r="AD978" s="58">
        <f t="shared" si="1148"/>
        <v>0</v>
      </c>
      <c r="AE978" s="58">
        <f t="shared" si="1148"/>
        <v>0</v>
      </c>
    </row>
    <row r="979" spans="2:31">
      <c r="B979" t="str">
        <f t="shared" si="1191"/>
        <v>Sem3838RUDY ALEXANDER RODRIGUEZ ORTEGA</v>
      </c>
      <c r="C979" t="str">
        <f t="shared" si="1192"/>
        <v>SEPTIEMBRESem38</v>
      </c>
      <c r="D979" t="str">
        <f t="shared" si="1193"/>
        <v>SEPTIEMBRESem38RUDY ALEXANDER RODRIGUEZ ORTEGA</v>
      </c>
      <c r="E979" t="str">
        <f t="shared" si="1194"/>
        <v>SEPTIEMBRESem3838RUDY ALEXANDER RODRIGUEZ ORTEGA</v>
      </c>
      <c r="F979" t="str">
        <f t="shared" si="1195"/>
        <v>RUDY ALEXANDER RODRIGUEZ ORTEGA46284</v>
      </c>
      <c r="H979" s="49" t="s">
        <v>16</v>
      </c>
      <c r="I979" s="50" t="str">
        <f>+_xlfn.XLOOKUP($H979&amp;$V979,BASEDATOS!$B:$B,BASEDATOS!F:F,0,0,1)</f>
        <v>DIA</v>
      </c>
      <c r="J979" s="51">
        <f>+_xlfn.XLOOKUP($H979&amp;$V979,BASEDATOS!$B:$B,BASEDATOS!Q:Q,0,0,1)</f>
        <v>0.29166666666666702</v>
      </c>
      <c r="K979" s="51">
        <f>+_xlfn.XLOOKUP($H979&amp;$V979,BASEDATOS!$B:$B,BASEDATOS!R:R,0,0,1)</f>
        <v>0.5</v>
      </c>
      <c r="L979" s="51">
        <f t="shared" si="1196"/>
        <v>0.20833333333333298</v>
      </c>
      <c r="M979" s="52" t="str">
        <f t="shared" si="1197"/>
        <v>1:00</v>
      </c>
      <c r="N979" s="51">
        <f t="shared" si="1198"/>
        <v>0.16666666666666632</v>
      </c>
      <c r="O979" s="53" t="str">
        <f t="shared" ref="O979" si="1208">+O980</f>
        <v>2-2-3</v>
      </c>
      <c r="P979" s="54">
        <f>+IF(AND(Y979="Domingo",U979=7),_xlfn.XLOOKUP(O979,'Horarios y Sistemas'!C:C,'Horarios y Sistemas'!H:H,0,0,1),0)</f>
        <v>0</v>
      </c>
      <c r="Q979" s="54">
        <f>IF(U979=U980,0,IF(AVERAGEIF(W:W,W979,U:U)=U979,0,_xlfn.XLOOKUP(O979,'Horarios y Sistemas'!C:C,'Horarios y Sistemas'!H:H,0,0,1)-P979))/7*U979</f>
        <v>0</v>
      </c>
      <c r="R979" s="54">
        <f t="shared" si="1200"/>
        <v>0</v>
      </c>
      <c r="S979" s="55" t="str">
        <f t="shared" si="1201"/>
        <v>SEPTIEMBRE</v>
      </c>
      <c r="T979" s="55" t="str">
        <f t="shared" si="1202"/>
        <v>Sem38</v>
      </c>
      <c r="U979" s="56">
        <f t="shared" si="1184"/>
        <v>7</v>
      </c>
      <c r="V979" s="59">
        <v>46284</v>
      </c>
      <c r="W979" s="56">
        <f t="shared" si="1203"/>
        <v>38</v>
      </c>
      <c r="X979" s="56">
        <f t="shared" si="1204"/>
        <v>19</v>
      </c>
      <c r="Y979" s="56" t="s">
        <v>33</v>
      </c>
      <c r="Z979" s="56">
        <v>6</v>
      </c>
      <c r="AA979" s="58">
        <f t="shared" si="1148"/>
        <v>1</v>
      </c>
      <c r="AB979" s="58">
        <f t="shared" si="1148"/>
        <v>0</v>
      </c>
      <c r="AC979" s="58">
        <f t="shared" si="1148"/>
        <v>0</v>
      </c>
      <c r="AD979" s="58">
        <f t="shared" si="1148"/>
        <v>0</v>
      </c>
      <c r="AE979" s="58">
        <f t="shared" si="1148"/>
        <v>0</v>
      </c>
    </row>
    <row r="980" spans="2:31">
      <c r="B980" s="60" t="str">
        <f t="shared" si="1191"/>
        <v>Sem3838RUDY ALEXANDER RODRIGUEZ ORTEGA</v>
      </c>
      <c r="C980" s="60" t="str">
        <f t="shared" si="1192"/>
        <v>SEPTIEMBRESem38</v>
      </c>
      <c r="D980" s="60" t="str">
        <f t="shared" si="1193"/>
        <v>SEPTIEMBRESem38RUDY ALEXANDER RODRIGUEZ ORTEGA</v>
      </c>
      <c r="E980" s="60" t="str">
        <f t="shared" si="1194"/>
        <v>SEPTIEMBRESem3838RUDY ALEXANDER RODRIGUEZ ORTEGA</v>
      </c>
      <c r="F980" s="60" t="str">
        <f t="shared" si="1195"/>
        <v>RUDY ALEXANDER RODRIGUEZ ORTEGA46285</v>
      </c>
      <c r="G980" s="60"/>
      <c r="H980" s="61" t="s">
        <v>16</v>
      </c>
      <c r="I980" s="62" t="str">
        <f>+_xlfn.XLOOKUP($H980&amp;$V980,BASEDATOS!$B:$B,BASEDATOS!F:F,0,0,1)</f>
        <v>DESCANSO</v>
      </c>
      <c r="J980" s="63">
        <f>+_xlfn.XLOOKUP($H980&amp;$V980,BASEDATOS!$B:$B,BASEDATOS!Q:Q,0,0,1)</f>
        <v>0</v>
      </c>
      <c r="K980" s="63">
        <f>+_xlfn.XLOOKUP($H980&amp;$V980,BASEDATOS!$B:$B,BASEDATOS!R:R,0,0,1)</f>
        <v>0</v>
      </c>
      <c r="L980" s="63">
        <f t="shared" si="1196"/>
        <v>0</v>
      </c>
      <c r="M980" s="64">
        <f t="shared" si="1197"/>
        <v>0</v>
      </c>
      <c r="N980" s="63">
        <f t="shared" si="1198"/>
        <v>0</v>
      </c>
      <c r="O980" s="65" t="str">
        <f t="shared" ref="O980" si="1209">+IF(Y980="Domingo",SUM(AA974:AA980)&amp;"-"&amp;SUM(AB974:AB980)&amp;"-"&amp;SUM(AC974:AE980),"")</f>
        <v>2-2-3</v>
      </c>
      <c r="P980" s="66">
        <f>+IF(AND(Y980="Domingo",U980=7),_xlfn.XLOOKUP(O980,'Horarios y Sistemas'!C:C,'Horarios y Sistemas'!H:H,0,0,1),0)</f>
        <v>40</v>
      </c>
      <c r="Q980" s="66">
        <f>IF(U980=U981,0,IF(AVERAGEIF(W:W,W980,U:U)=U980,0,_xlfn.XLOOKUP(O980,'Horarios y Sistemas'!C:C,'Horarios y Sistemas'!H:H,0,0,1)-P980))/7*U980</f>
        <v>0</v>
      </c>
      <c r="R980" s="66">
        <f t="shared" si="1200"/>
        <v>40</v>
      </c>
      <c r="S980" s="67" t="str">
        <f t="shared" si="1201"/>
        <v>SEPTIEMBRE</v>
      </c>
      <c r="T980" s="55" t="str">
        <f t="shared" si="1202"/>
        <v>Sem38</v>
      </c>
      <c r="U980" s="68">
        <f t="shared" si="1184"/>
        <v>7</v>
      </c>
      <c r="V980" s="69">
        <v>46285</v>
      </c>
      <c r="W980" s="68">
        <f t="shared" si="1203"/>
        <v>38</v>
      </c>
      <c r="X980" s="68">
        <f t="shared" si="1204"/>
        <v>20</v>
      </c>
      <c r="Y980" s="68" t="s">
        <v>34</v>
      </c>
      <c r="Z980" s="68">
        <v>7</v>
      </c>
      <c r="AA980" s="70">
        <f t="shared" si="1148"/>
        <v>0</v>
      </c>
      <c r="AB980" s="70">
        <f t="shared" si="1148"/>
        <v>0</v>
      </c>
      <c r="AC980" s="70">
        <f t="shared" si="1148"/>
        <v>1</v>
      </c>
      <c r="AD980" s="70">
        <f t="shared" si="1148"/>
        <v>0</v>
      </c>
      <c r="AE980" s="70">
        <f t="shared" si="1148"/>
        <v>0</v>
      </c>
    </row>
    <row r="981" spans="2:31">
      <c r="B981" t="str">
        <f t="shared" si="1191"/>
        <v>Sem3939RUDY ALEXANDER RODRIGUEZ ORTEGA</v>
      </c>
      <c r="C981" t="str">
        <f t="shared" si="1192"/>
        <v>SEPTIEMBRESem39</v>
      </c>
      <c r="D981" t="str">
        <f t="shared" si="1193"/>
        <v>SEPTIEMBRESem39RUDY ALEXANDER RODRIGUEZ ORTEGA</v>
      </c>
      <c r="E981" t="str">
        <f t="shared" si="1194"/>
        <v>SEPTIEMBRESem3939RUDY ALEXANDER RODRIGUEZ ORTEGA</v>
      </c>
      <c r="F981" t="str">
        <f t="shared" si="1195"/>
        <v>RUDY ALEXANDER RODRIGUEZ ORTEGA46286</v>
      </c>
      <c r="H981" s="49" t="s">
        <v>16</v>
      </c>
      <c r="I981" s="50" t="str">
        <f>+_xlfn.XLOOKUP($H981&amp;$V981,BASEDATOS!$B:$B,BASEDATOS!F:F,0,0,1)</f>
        <v>DIA</v>
      </c>
      <c r="J981" s="51">
        <f>+_xlfn.XLOOKUP($H981&amp;$V981,BASEDATOS!$B:$B,BASEDATOS!Q:Q,0,0,1)</f>
        <v>0.29166666666666702</v>
      </c>
      <c r="K981" s="51">
        <f>+_xlfn.XLOOKUP($H981&amp;$V981,BASEDATOS!$B:$B,BASEDATOS!R:R,0,0,1)</f>
        <v>0.75</v>
      </c>
      <c r="L981" s="51">
        <f t="shared" si="1196"/>
        <v>0.45833333333333298</v>
      </c>
      <c r="M981" s="52" t="str">
        <f t="shared" si="1197"/>
        <v>1:00</v>
      </c>
      <c r="N981" s="51">
        <f t="shared" si="1198"/>
        <v>0.4166666666666663</v>
      </c>
      <c r="O981" s="53" t="str">
        <f t="shared" ref="O981" si="1210">+O987</f>
        <v>6-0-1</v>
      </c>
      <c r="P981" s="54">
        <f>+IF(AND(Y981="Domingo",U981=7),_xlfn.XLOOKUP(O981,'Horarios y Sistemas'!C:C,'Horarios y Sistemas'!H:H,0,0,1),0)</f>
        <v>0</v>
      </c>
      <c r="Q981" s="54">
        <f>IF(U981=U982,0,IF(AVERAGEIF(W:W,W981,U:U)=U981,0,_xlfn.XLOOKUP(O981,'Horarios y Sistemas'!C:C,'Horarios y Sistemas'!H:H,0,0,1)-P981))/7*U981</f>
        <v>0</v>
      </c>
      <c r="R981" s="54">
        <f t="shared" si="1200"/>
        <v>0</v>
      </c>
      <c r="S981" s="55" t="str">
        <f t="shared" si="1201"/>
        <v>SEPTIEMBRE</v>
      </c>
      <c r="T981" s="55" t="str">
        <f t="shared" si="1202"/>
        <v>Sem39</v>
      </c>
      <c r="U981" s="56">
        <f t="shared" si="1184"/>
        <v>7</v>
      </c>
      <c r="V981" s="57">
        <v>46286</v>
      </c>
      <c r="W981" s="56">
        <f t="shared" si="1203"/>
        <v>39</v>
      </c>
      <c r="X981" s="56">
        <f t="shared" si="1204"/>
        <v>21</v>
      </c>
      <c r="Y981" s="56" t="s">
        <v>28</v>
      </c>
      <c r="Z981" s="56">
        <v>1</v>
      </c>
      <c r="AA981" s="58">
        <f t="shared" si="1148"/>
        <v>1</v>
      </c>
      <c r="AB981" s="58">
        <f t="shared" si="1148"/>
        <v>0</v>
      </c>
      <c r="AC981" s="58">
        <f t="shared" si="1148"/>
        <v>0</v>
      </c>
      <c r="AD981" s="58">
        <f t="shared" si="1148"/>
        <v>0</v>
      </c>
      <c r="AE981" s="58">
        <f t="shared" si="1148"/>
        <v>0</v>
      </c>
    </row>
    <row r="982" spans="2:31">
      <c r="B982" t="str">
        <f t="shared" si="1191"/>
        <v>Sem3939RUDY ALEXANDER RODRIGUEZ ORTEGA</v>
      </c>
      <c r="C982" t="str">
        <f t="shared" si="1192"/>
        <v>SEPTIEMBRESem39</v>
      </c>
      <c r="D982" t="str">
        <f t="shared" si="1193"/>
        <v>SEPTIEMBRESem39RUDY ALEXANDER RODRIGUEZ ORTEGA</v>
      </c>
      <c r="E982" t="str">
        <f t="shared" si="1194"/>
        <v>SEPTIEMBRESem3939RUDY ALEXANDER RODRIGUEZ ORTEGA</v>
      </c>
      <c r="F982" t="str">
        <f t="shared" si="1195"/>
        <v>RUDY ALEXANDER RODRIGUEZ ORTEGA46287</v>
      </c>
      <c r="H982" s="49" t="s">
        <v>16</v>
      </c>
      <c r="I982" s="50" t="str">
        <f>+_xlfn.XLOOKUP($H982&amp;$V982,BASEDATOS!$B:$B,BASEDATOS!F:F,0,0,1)</f>
        <v>DIA</v>
      </c>
      <c r="J982" s="51">
        <f>+_xlfn.XLOOKUP($H982&amp;$V982,BASEDATOS!$B:$B,BASEDATOS!Q:Q,0,0,1)</f>
        <v>0.29166666666666702</v>
      </c>
      <c r="K982" s="51">
        <f>+_xlfn.XLOOKUP($H982&amp;$V982,BASEDATOS!$B:$B,BASEDATOS!R:R,0,0,1)</f>
        <v>0.75</v>
      </c>
      <c r="L982" s="51">
        <f t="shared" si="1196"/>
        <v>0.45833333333333298</v>
      </c>
      <c r="M982" s="52" t="str">
        <f t="shared" si="1197"/>
        <v>1:00</v>
      </c>
      <c r="N982" s="51">
        <f t="shared" si="1198"/>
        <v>0.4166666666666663</v>
      </c>
      <c r="O982" s="53" t="str">
        <f t="shared" ref="O982" si="1211">+O987</f>
        <v>6-0-1</v>
      </c>
      <c r="P982" s="54">
        <f>+IF(AND(Y982="Domingo",U982=7),_xlfn.XLOOKUP(O982,'Horarios y Sistemas'!C:C,'Horarios y Sistemas'!H:H,0,0,1),0)</f>
        <v>0</v>
      </c>
      <c r="Q982" s="54">
        <f>IF(U982=U983,0,IF(AVERAGEIF(W:W,W982,U:U)=U982,0,_xlfn.XLOOKUP(O982,'Horarios y Sistemas'!C:C,'Horarios y Sistemas'!H:H,0,0,1)-P982))/7*U982</f>
        <v>0</v>
      </c>
      <c r="R982" s="54">
        <f t="shared" si="1200"/>
        <v>0</v>
      </c>
      <c r="S982" s="55" t="str">
        <f t="shared" si="1201"/>
        <v>SEPTIEMBRE</v>
      </c>
      <c r="T982" s="55" t="str">
        <f t="shared" si="1202"/>
        <v>Sem39</v>
      </c>
      <c r="U982" s="56">
        <f t="shared" si="1184"/>
        <v>7</v>
      </c>
      <c r="V982" s="59">
        <v>46287</v>
      </c>
      <c r="W982" s="56">
        <f t="shared" si="1203"/>
        <v>39</v>
      </c>
      <c r="X982" s="56">
        <f t="shared" si="1204"/>
        <v>22</v>
      </c>
      <c r="Y982" s="56" t="s">
        <v>29</v>
      </c>
      <c r="Z982" s="56">
        <v>2</v>
      </c>
      <c r="AA982" s="58">
        <f t="shared" si="1148"/>
        <v>1</v>
      </c>
      <c r="AB982" s="58">
        <f t="shared" si="1148"/>
        <v>0</v>
      </c>
      <c r="AC982" s="58">
        <f t="shared" si="1148"/>
        <v>0</v>
      </c>
      <c r="AD982" s="58">
        <f t="shared" si="1148"/>
        <v>0</v>
      </c>
      <c r="AE982" s="58">
        <f t="shared" si="1148"/>
        <v>0</v>
      </c>
    </row>
    <row r="983" spans="2:31">
      <c r="B983" t="str">
        <f t="shared" si="1191"/>
        <v>Sem3939RUDY ALEXANDER RODRIGUEZ ORTEGA</v>
      </c>
      <c r="C983" t="str">
        <f t="shared" si="1192"/>
        <v>SEPTIEMBRESem39</v>
      </c>
      <c r="D983" t="str">
        <f t="shared" si="1193"/>
        <v>SEPTIEMBRESem39RUDY ALEXANDER RODRIGUEZ ORTEGA</v>
      </c>
      <c r="E983" t="str">
        <f t="shared" si="1194"/>
        <v>SEPTIEMBRESem3939RUDY ALEXANDER RODRIGUEZ ORTEGA</v>
      </c>
      <c r="F983" t="str">
        <f t="shared" si="1195"/>
        <v>RUDY ALEXANDER RODRIGUEZ ORTEGA46288</v>
      </c>
      <c r="H983" s="49" t="s">
        <v>16</v>
      </c>
      <c r="I983" s="50" t="str">
        <f>+_xlfn.XLOOKUP($H983&amp;$V983,BASEDATOS!$B:$B,BASEDATOS!F:F,0,0,1)</f>
        <v>DIA</v>
      </c>
      <c r="J983" s="51">
        <f>+_xlfn.XLOOKUP($H983&amp;$V983,BASEDATOS!$B:$B,BASEDATOS!Q:Q,0,0,1)</f>
        <v>0.29166666666666702</v>
      </c>
      <c r="K983" s="51">
        <f>+_xlfn.XLOOKUP($H983&amp;$V983,BASEDATOS!$B:$B,BASEDATOS!R:R,0,0,1)</f>
        <v>0.75</v>
      </c>
      <c r="L983" s="51">
        <f t="shared" si="1196"/>
        <v>0.45833333333333298</v>
      </c>
      <c r="M983" s="52" t="str">
        <f t="shared" si="1197"/>
        <v>1:00</v>
      </c>
      <c r="N983" s="51">
        <f t="shared" si="1198"/>
        <v>0.4166666666666663</v>
      </c>
      <c r="O983" s="53" t="str">
        <f t="shared" ref="O983" si="1212">+O987</f>
        <v>6-0-1</v>
      </c>
      <c r="P983" s="54">
        <f>+IF(AND(Y983="Domingo",U983=7),_xlfn.XLOOKUP(O983,'Horarios y Sistemas'!C:C,'Horarios y Sistemas'!H:H,0,0,1),0)</f>
        <v>0</v>
      </c>
      <c r="Q983" s="54">
        <f>IF(U983=U984,0,IF(AVERAGEIF(W:W,W983,U:U)=U983,0,_xlfn.XLOOKUP(O983,'Horarios y Sistemas'!C:C,'Horarios y Sistemas'!H:H,0,0,1)-P983))/7*U983</f>
        <v>0</v>
      </c>
      <c r="R983" s="54">
        <f t="shared" si="1200"/>
        <v>0</v>
      </c>
      <c r="S983" s="55" t="str">
        <f t="shared" si="1201"/>
        <v>SEPTIEMBRE</v>
      </c>
      <c r="T983" s="55" t="str">
        <f t="shared" si="1202"/>
        <v>Sem39</v>
      </c>
      <c r="U983" s="56">
        <f t="shared" si="1184"/>
        <v>7</v>
      </c>
      <c r="V983" s="59">
        <v>46288</v>
      </c>
      <c r="W983" s="56">
        <f t="shared" si="1203"/>
        <v>39</v>
      </c>
      <c r="X983" s="56">
        <f t="shared" si="1204"/>
        <v>23</v>
      </c>
      <c r="Y983" s="56" t="s">
        <v>30</v>
      </c>
      <c r="Z983" s="56">
        <v>3</v>
      </c>
      <c r="AA983" s="58">
        <f t="shared" si="1148"/>
        <v>1</v>
      </c>
      <c r="AB983" s="58">
        <f t="shared" si="1148"/>
        <v>0</v>
      </c>
      <c r="AC983" s="58">
        <f t="shared" si="1148"/>
        <v>0</v>
      </c>
      <c r="AD983" s="58">
        <f t="shared" si="1148"/>
        <v>0</v>
      </c>
      <c r="AE983" s="58">
        <f t="shared" si="1148"/>
        <v>0</v>
      </c>
    </row>
    <row r="984" spans="2:31">
      <c r="B984" t="str">
        <f t="shared" si="1191"/>
        <v>Sem3939RUDY ALEXANDER RODRIGUEZ ORTEGA</v>
      </c>
      <c r="C984" t="str">
        <f t="shared" si="1192"/>
        <v>SEPTIEMBRESem39</v>
      </c>
      <c r="D984" t="str">
        <f t="shared" si="1193"/>
        <v>SEPTIEMBRESem39RUDY ALEXANDER RODRIGUEZ ORTEGA</v>
      </c>
      <c r="E984" t="str">
        <f t="shared" si="1194"/>
        <v>SEPTIEMBRESem3939RUDY ALEXANDER RODRIGUEZ ORTEGA</v>
      </c>
      <c r="F984" t="str">
        <f t="shared" si="1195"/>
        <v>RUDY ALEXANDER RODRIGUEZ ORTEGA46289</v>
      </c>
      <c r="H984" s="49" t="s">
        <v>16</v>
      </c>
      <c r="I984" s="50" t="str">
        <f>+_xlfn.XLOOKUP($H984&amp;$V984,BASEDATOS!$B:$B,BASEDATOS!F:F,0,0,1)</f>
        <v>DIA</v>
      </c>
      <c r="J984" s="51">
        <f>+_xlfn.XLOOKUP($H984&amp;$V984,BASEDATOS!$B:$B,BASEDATOS!Q:Q,0,0,1)</f>
        <v>0.29166666666666702</v>
      </c>
      <c r="K984" s="51">
        <f>+_xlfn.XLOOKUP($H984&amp;$V984,BASEDATOS!$B:$B,BASEDATOS!R:R,0,0,1)</f>
        <v>0.75</v>
      </c>
      <c r="L984" s="51">
        <f t="shared" si="1196"/>
        <v>0.45833333333333298</v>
      </c>
      <c r="M984" s="52" t="str">
        <f t="shared" si="1197"/>
        <v>1:00</v>
      </c>
      <c r="N984" s="51">
        <f t="shared" si="1198"/>
        <v>0.4166666666666663</v>
      </c>
      <c r="O984" s="53" t="str">
        <f t="shared" ref="O984" si="1213">+O987</f>
        <v>6-0-1</v>
      </c>
      <c r="P984" s="54">
        <f>+IF(AND(Y984="Domingo",U984=7),_xlfn.XLOOKUP(O984,'Horarios y Sistemas'!C:C,'Horarios y Sistemas'!H:H,0,0,1),0)</f>
        <v>0</v>
      </c>
      <c r="Q984" s="54">
        <f>IF(U984=U985,0,IF(AVERAGEIF(W:W,W984,U:U)=U984,0,_xlfn.XLOOKUP(O984,'Horarios y Sistemas'!C:C,'Horarios y Sistemas'!H:H,0,0,1)-P984))/7*U984</f>
        <v>0</v>
      </c>
      <c r="R984" s="54">
        <f t="shared" si="1200"/>
        <v>0</v>
      </c>
      <c r="S984" s="55" t="str">
        <f t="shared" si="1201"/>
        <v>SEPTIEMBRE</v>
      </c>
      <c r="T984" s="55" t="str">
        <f t="shared" si="1202"/>
        <v>Sem39</v>
      </c>
      <c r="U984" s="56">
        <f t="shared" si="1184"/>
        <v>7</v>
      </c>
      <c r="V984" s="59">
        <v>46289</v>
      </c>
      <c r="W984" s="56">
        <f t="shared" si="1203"/>
        <v>39</v>
      </c>
      <c r="X984" s="56">
        <f t="shared" si="1204"/>
        <v>24</v>
      </c>
      <c r="Y984" s="56" t="s">
        <v>31</v>
      </c>
      <c r="Z984" s="56">
        <v>4</v>
      </c>
      <c r="AA984" s="58">
        <f t="shared" ref="AA984:AE1034" si="1214">+IF($I984=AA$7,1,0)</f>
        <v>1</v>
      </c>
      <c r="AB984" s="58">
        <f t="shared" si="1214"/>
        <v>0</v>
      </c>
      <c r="AC984" s="58">
        <f t="shared" si="1214"/>
        <v>0</v>
      </c>
      <c r="AD984" s="58">
        <f t="shared" si="1214"/>
        <v>0</v>
      </c>
      <c r="AE984" s="58">
        <f t="shared" si="1214"/>
        <v>0</v>
      </c>
    </row>
    <row r="985" spans="2:31">
      <c r="B985" t="str">
        <f t="shared" si="1191"/>
        <v>Sem3939RUDY ALEXANDER RODRIGUEZ ORTEGA</v>
      </c>
      <c r="C985" t="str">
        <f t="shared" si="1192"/>
        <v>SEPTIEMBRESem39</v>
      </c>
      <c r="D985" t="str">
        <f t="shared" si="1193"/>
        <v>SEPTIEMBRESem39RUDY ALEXANDER RODRIGUEZ ORTEGA</v>
      </c>
      <c r="E985" t="str">
        <f t="shared" si="1194"/>
        <v>SEPTIEMBRESem3939RUDY ALEXANDER RODRIGUEZ ORTEGA</v>
      </c>
      <c r="F985" t="str">
        <f t="shared" si="1195"/>
        <v>RUDY ALEXANDER RODRIGUEZ ORTEGA46290</v>
      </c>
      <c r="H985" s="49" t="s">
        <v>16</v>
      </c>
      <c r="I985" s="50" t="str">
        <f>+_xlfn.XLOOKUP($H985&amp;$V985,BASEDATOS!$B:$B,BASEDATOS!F:F,0,0,1)</f>
        <v>DIA</v>
      </c>
      <c r="J985" s="51">
        <f>+_xlfn.XLOOKUP($H985&amp;$V985,BASEDATOS!$B:$B,BASEDATOS!Q:Q,0,0,1)</f>
        <v>0.29166666666666702</v>
      </c>
      <c r="K985" s="51">
        <f>+_xlfn.XLOOKUP($H985&amp;$V985,BASEDATOS!$B:$B,BASEDATOS!R:R,0,0,1)</f>
        <v>0.75</v>
      </c>
      <c r="L985" s="51">
        <f t="shared" si="1196"/>
        <v>0.45833333333333298</v>
      </c>
      <c r="M985" s="52" t="str">
        <f t="shared" si="1197"/>
        <v>1:00</v>
      </c>
      <c r="N985" s="51">
        <f t="shared" si="1198"/>
        <v>0.4166666666666663</v>
      </c>
      <c r="O985" s="53" t="str">
        <f t="shared" ref="O985" si="1215">+O987</f>
        <v>6-0-1</v>
      </c>
      <c r="P985" s="54">
        <f>+IF(AND(Y985="Domingo",U985=7),_xlfn.XLOOKUP(O985,'Horarios y Sistemas'!C:C,'Horarios y Sistemas'!H:H,0,0,1),0)</f>
        <v>0</v>
      </c>
      <c r="Q985" s="54">
        <f>IF(U985=U986,0,IF(AVERAGEIF(W:W,W985,U:U)=U985,0,_xlfn.XLOOKUP(O985,'Horarios y Sistemas'!C:C,'Horarios y Sistemas'!H:H,0,0,1)-P985))/7*U985</f>
        <v>0</v>
      </c>
      <c r="R985" s="54">
        <f t="shared" si="1200"/>
        <v>0</v>
      </c>
      <c r="S985" s="55" t="str">
        <f t="shared" si="1201"/>
        <v>SEPTIEMBRE</v>
      </c>
      <c r="T985" s="55" t="str">
        <f t="shared" si="1202"/>
        <v>Sem39</v>
      </c>
      <c r="U985" s="56">
        <f t="shared" si="1184"/>
        <v>7</v>
      </c>
      <c r="V985" s="59">
        <v>46290</v>
      </c>
      <c r="W985" s="56">
        <f t="shared" si="1203"/>
        <v>39</v>
      </c>
      <c r="X985" s="56">
        <f t="shared" si="1204"/>
        <v>25</v>
      </c>
      <c r="Y985" s="56" t="s">
        <v>32</v>
      </c>
      <c r="Z985" s="56">
        <v>5</v>
      </c>
      <c r="AA985" s="58">
        <f t="shared" si="1214"/>
        <v>1</v>
      </c>
      <c r="AB985" s="58">
        <f t="shared" si="1214"/>
        <v>0</v>
      </c>
      <c r="AC985" s="58">
        <f t="shared" si="1214"/>
        <v>0</v>
      </c>
      <c r="AD985" s="58">
        <f t="shared" si="1214"/>
        <v>0</v>
      </c>
      <c r="AE985" s="58">
        <f t="shared" si="1214"/>
        <v>0</v>
      </c>
    </row>
    <row r="986" spans="2:31">
      <c r="B986" t="str">
        <f t="shared" si="1191"/>
        <v>Sem3939RUDY ALEXANDER RODRIGUEZ ORTEGA</v>
      </c>
      <c r="C986" t="str">
        <f t="shared" si="1192"/>
        <v>SEPTIEMBRESem39</v>
      </c>
      <c r="D986" t="str">
        <f t="shared" si="1193"/>
        <v>SEPTIEMBRESem39RUDY ALEXANDER RODRIGUEZ ORTEGA</v>
      </c>
      <c r="E986" t="str">
        <f t="shared" si="1194"/>
        <v>SEPTIEMBRESem3939RUDY ALEXANDER RODRIGUEZ ORTEGA</v>
      </c>
      <c r="F986" t="str">
        <f t="shared" si="1195"/>
        <v>RUDY ALEXANDER RODRIGUEZ ORTEGA46291</v>
      </c>
      <c r="H986" s="49" t="s">
        <v>16</v>
      </c>
      <c r="I986" s="50" t="str">
        <f>+_xlfn.XLOOKUP($H986&amp;$V986,BASEDATOS!$B:$B,BASEDATOS!F:F,0,0,1)</f>
        <v>DIA</v>
      </c>
      <c r="J986" s="51">
        <f>+_xlfn.XLOOKUP($H986&amp;$V986,BASEDATOS!$B:$B,BASEDATOS!Q:Q,0,0,1)</f>
        <v>0.29166666666666702</v>
      </c>
      <c r="K986" s="51">
        <f>+_xlfn.XLOOKUP($H986&amp;$V986,BASEDATOS!$B:$B,BASEDATOS!R:R,0,0,1)</f>
        <v>0.58333333333333304</v>
      </c>
      <c r="L986" s="51">
        <f t="shared" si="1196"/>
        <v>0.29166666666666602</v>
      </c>
      <c r="M986" s="52" t="str">
        <f t="shared" si="1197"/>
        <v>1:00</v>
      </c>
      <c r="N986" s="51">
        <f t="shared" si="1198"/>
        <v>0.24999999999999936</v>
      </c>
      <c r="O986" s="53" t="str">
        <f t="shared" ref="O986" si="1216">+O987</f>
        <v>6-0-1</v>
      </c>
      <c r="P986" s="54">
        <f>+IF(AND(Y986="Domingo",U986=7),_xlfn.XLOOKUP(O986,'Horarios y Sistemas'!C:C,'Horarios y Sistemas'!H:H,0,0,1),0)</f>
        <v>0</v>
      </c>
      <c r="Q986" s="54">
        <f>IF(U986=U987,0,IF(AVERAGEIF(W:W,W986,U:U)=U986,0,_xlfn.XLOOKUP(O986,'Horarios y Sistemas'!C:C,'Horarios y Sistemas'!H:H,0,0,1)-P986))/7*U986</f>
        <v>0</v>
      </c>
      <c r="R986" s="54">
        <f t="shared" si="1200"/>
        <v>0</v>
      </c>
      <c r="S986" s="55" t="str">
        <f t="shared" si="1201"/>
        <v>SEPTIEMBRE</v>
      </c>
      <c r="T986" s="55" t="str">
        <f t="shared" si="1202"/>
        <v>Sem39</v>
      </c>
      <c r="U986" s="56">
        <f t="shared" si="1184"/>
        <v>7</v>
      </c>
      <c r="V986" s="59">
        <v>46291</v>
      </c>
      <c r="W986" s="56">
        <f t="shared" si="1203"/>
        <v>39</v>
      </c>
      <c r="X986" s="56">
        <f t="shared" si="1204"/>
        <v>26</v>
      </c>
      <c r="Y986" s="56" t="s">
        <v>33</v>
      </c>
      <c r="Z986" s="56">
        <v>6</v>
      </c>
      <c r="AA986" s="58">
        <f t="shared" si="1214"/>
        <v>1</v>
      </c>
      <c r="AB986" s="58">
        <f t="shared" si="1214"/>
        <v>0</v>
      </c>
      <c r="AC986" s="58">
        <f t="shared" si="1214"/>
        <v>0</v>
      </c>
      <c r="AD986" s="58">
        <f t="shared" si="1214"/>
        <v>0</v>
      </c>
      <c r="AE986" s="58">
        <f t="shared" si="1214"/>
        <v>0</v>
      </c>
    </row>
    <row r="987" spans="2:31">
      <c r="B987" s="60" t="str">
        <f t="shared" si="1191"/>
        <v>Sem3939RUDY ALEXANDER RODRIGUEZ ORTEGA</v>
      </c>
      <c r="C987" s="60" t="str">
        <f t="shared" si="1192"/>
        <v>SEPTIEMBRESem39</v>
      </c>
      <c r="D987" s="60" t="str">
        <f t="shared" si="1193"/>
        <v>SEPTIEMBRESem39RUDY ALEXANDER RODRIGUEZ ORTEGA</v>
      </c>
      <c r="E987" s="60" t="str">
        <f t="shared" si="1194"/>
        <v>SEPTIEMBRESem3939RUDY ALEXANDER RODRIGUEZ ORTEGA</v>
      </c>
      <c r="F987" s="60" t="str">
        <f t="shared" si="1195"/>
        <v>RUDY ALEXANDER RODRIGUEZ ORTEGA46292</v>
      </c>
      <c r="G987" s="60"/>
      <c r="H987" s="61" t="s">
        <v>16</v>
      </c>
      <c r="I987" s="62" t="str">
        <f>+_xlfn.XLOOKUP($H987&amp;$V987,BASEDATOS!$B:$B,BASEDATOS!F:F,0,0,1)</f>
        <v>DESCANSO</v>
      </c>
      <c r="J987" s="63">
        <f>+_xlfn.XLOOKUP($H987&amp;$V987,BASEDATOS!$B:$B,BASEDATOS!Q:Q,0,0,1)</f>
        <v>0</v>
      </c>
      <c r="K987" s="63">
        <f>+_xlfn.XLOOKUP($H987&amp;$V987,BASEDATOS!$B:$B,BASEDATOS!R:R,0,0,1)</f>
        <v>0</v>
      </c>
      <c r="L987" s="63">
        <f t="shared" si="1196"/>
        <v>0</v>
      </c>
      <c r="M987" s="64">
        <f t="shared" si="1197"/>
        <v>0</v>
      </c>
      <c r="N987" s="63">
        <f t="shared" si="1198"/>
        <v>0</v>
      </c>
      <c r="O987" s="65" t="str">
        <f t="shared" ref="O987" si="1217">+IF(Y987="Domingo",SUM(AA981:AA987)&amp;"-"&amp;SUM(AB981:AB987)&amp;"-"&amp;SUM(AC981:AE987),"")</f>
        <v>6-0-1</v>
      </c>
      <c r="P987" s="66">
        <f>+IF(AND(Y987="Domingo",U987=7),_xlfn.XLOOKUP(O987,'Horarios y Sistemas'!C:C,'Horarios y Sistemas'!H:H,0,0,1),0)</f>
        <v>44</v>
      </c>
      <c r="Q987" s="66">
        <f>IF(U987=U988,0,IF(AVERAGEIF(W:W,W987,U:U)=U987,0,_xlfn.XLOOKUP(O987,'Horarios y Sistemas'!C:C,'Horarios y Sistemas'!H:H,0,0,1)-P987))/7*U987</f>
        <v>0</v>
      </c>
      <c r="R987" s="66">
        <f t="shared" si="1200"/>
        <v>44</v>
      </c>
      <c r="S987" s="67" t="str">
        <f t="shared" si="1201"/>
        <v>SEPTIEMBRE</v>
      </c>
      <c r="T987" s="55" t="str">
        <f t="shared" si="1202"/>
        <v>Sem39</v>
      </c>
      <c r="U987" s="68">
        <f t="shared" si="1184"/>
        <v>7</v>
      </c>
      <c r="V987" s="69">
        <v>46292</v>
      </c>
      <c r="W987" s="68">
        <f t="shared" si="1203"/>
        <v>39</v>
      </c>
      <c r="X987" s="68">
        <f t="shared" si="1204"/>
        <v>27</v>
      </c>
      <c r="Y987" s="68" t="s">
        <v>34</v>
      </c>
      <c r="Z987" s="68">
        <v>7</v>
      </c>
      <c r="AA987" s="70">
        <f t="shared" si="1214"/>
        <v>0</v>
      </c>
      <c r="AB987" s="70">
        <f t="shared" si="1214"/>
        <v>0</v>
      </c>
      <c r="AC987" s="70">
        <f t="shared" si="1214"/>
        <v>1</v>
      </c>
      <c r="AD987" s="70">
        <f t="shared" si="1214"/>
        <v>0</v>
      </c>
      <c r="AE987" s="70">
        <f t="shared" si="1214"/>
        <v>0</v>
      </c>
    </row>
    <row r="988" spans="2:31">
      <c r="B988" t="str">
        <f t="shared" si="1191"/>
        <v>Sem4040RUDY ALEXANDER RODRIGUEZ ORTEGA</v>
      </c>
      <c r="C988" t="str">
        <f t="shared" si="1192"/>
        <v>SEPTIEMBRESem40</v>
      </c>
      <c r="D988" t="str">
        <f t="shared" si="1193"/>
        <v>SEPTIEMBRESem40RUDY ALEXANDER RODRIGUEZ ORTEGA</v>
      </c>
      <c r="E988" t="str">
        <f t="shared" si="1194"/>
        <v>SEPTIEMBRESem4040RUDY ALEXANDER RODRIGUEZ ORTEGA</v>
      </c>
      <c r="F988" t="str">
        <f t="shared" si="1195"/>
        <v>RUDY ALEXANDER RODRIGUEZ ORTEGA46293</v>
      </c>
      <c r="H988" s="49" t="s">
        <v>16</v>
      </c>
      <c r="I988" s="50" t="str">
        <f>+_xlfn.XLOOKUP($H988&amp;$V988,BASEDATOS!$B:$B,BASEDATOS!F:F,0,0,1)</f>
        <v>DIA</v>
      </c>
      <c r="J988" s="51">
        <f>+_xlfn.XLOOKUP($H988&amp;$V988,BASEDATOS!$B:$B,BASEDATOS!Q:Q,0,0,1)</f>
        <v>0.29166666666666702</v>
      </c>
      <c r="K988" s="51">
        <f>+_xlfn.XLOOKUP($H988&amp;$V988,BASEDATOS!$B:$B,BASEDATOS!R:R,0,0,1)</f>
        <v>0.66666666666666696</v>
      </c>
      <c r="L988" s="51">
        <f t="shared" si="1196"/>
        <v>0.37499999999999994</v>
      </c>
      <c r="M988" s="52" t="str">
        <f t="shared" si="1197"/>
        <v>1:00</v>
      </c>
      <c r="N988" s="51">
        <f t="shared" si="1198"/>
        <v>0.33333333333333326</v>
      </c>
      <c r="O988" s="53" t="str">
        <f t="shared" ref="O988" si="1218">+O994</f>
        <v>6-0-1</v>
      </c>
      <c r="P988" s="54">
        <f>+IF(AND(Y988="Domingo",U988=7),_xlfn.XLOOKUP(O988,'Horarios y Sistemas'!C:C,'Horarios y Sistemas'!H:H,0,0,1),0)</f>
        <v>0</v>
      </c>
      <c r="Q988" s="54">
        <f>IF(U988=U989,0,IF(AVERAGEIF(W:W,W988,U:U)=U988,0,_xlfn.XLOOKUP(O988,'Horarios y Sistemas'!C:C,'Horarios y Sistemas'!H:H,0,0,1)-P988))/7*U988</f>
        <v>0</v>
      </c>
      <c r="R988" s="54">
        <f t="shared" si="1200"/>
        <v>0</v>
      </c>
      <c r="S988" s="55" t="str">
        <f t="shared" si="1201"/>
        <v>SEPTIEMBRE</v>
      </c>
      <c r="T988" s="55" t="str">
        <f t="shared" si="1202"/>
        <v>Sem40</v>
      </c>
      <c r="U988" s="56">
        <f t="shared" si="1184"/>
        <v>7</v>
      </c>
      <c r="V988" s="59">
        <v>46293</v>
      </c>
      <c r="W988" s="56">
        <f t="shared" si="1203"/>
        <v>40</v>
      </c>
      <c r="X988" s="56">
        <f t="shared" si="1204"/>
        <v>28</v>
      </c>
      <c r="Y988" s="56" t="s">
        <v>28</v>
      </c>
      <c r="Z988" s="56">
        <v>1</v>
      </c>
      <c r="AA988" s="58">
        <f t="shared" si="1214"/>
        <v>1</v>
      </c>
      <c r="AB988" s="58">
        <f t="shared" si="1214"/>
        <v>0</v>
      </c>
      <c r="AC988" s="58">
        <f t="shared" si="1214"/>
        <v>0</v>
      </c>
      <c r="AD988" s="58">
        <f t="shared" si="1214"/>
        <v>0</v>
      </c>
      <c r="AE988" s="58">
        <f t="shared" si="1214"/>
        <v>0</v>
      </c>
    </row>
    <row r="989" spans="2:31">
      <c r="B989" t="str">
        <f t="shared" si="1191"/>
        <v>Sem4040RUDY ALEXANDER RODRIGUEZ ORTEGA</v>
      </c>
      <c r="C989" t="str">
        <f t="shared" si="1192"/>
        <v>SEPTIEMBRESem40</v>
      </c>
      <c r="D989" t="str">
        <f t="shared" si="1193"/>
        <v>SEPTIEMBRESem40RUDY ALEXANDER RODRIGUEZ ORTEGA</v>
      </c>
      <c r="E989" t="str">
        <f t="shared" si="1194"/>
        <v>SEPTIEMBRESem4040RUDY ALEXANDER RODRIGUEZ ORTEGA</v>
      </c>
      <c r="F989" t="str">
        <f t="shared" si="1195"/>
        <v>RUDY ALEXANDER RODRIGUEZ ORTEGA46294</v>
      </c>
      <c r="H989" s="49" t="s">
        <v>16</v>
      </c>
      <c r="I989" s="50" t="str">
        <f>+_xlfn.XLOOKUP($H989&amp;$V989,BASEDATOS!$B:$B,BASEDATOS!F:F,0,0,1)</f>
        <v>DIA</v>
      </c>
      <c r="J989" s="51">
        <f>+_xlfn.XLOOKUP($H989&amp;$V989,BASEDATOS!$B:$B,BASEDATOS!Q:Q,0,0,1)</f>
        <v>0.29166666666666702</v>
      </c>
      <c r="K989" s="51">
        <f>+_xlfn.XLOOKUP($H989&amp;$V989,BASEDATOS!$B:$B,BASEDATOS!R:R,0,0,1)</f>
        <v>0.66666666666666696</v>
      </c>
      <c r="L989" s="51">
        <f t="shared" si="1196"/>
        <v>0.37499999999999994</v>
      </c>
      <c r="M989" s="52" t="str">
        <f t="shared" si="1197"/>
        <v>1:00</v>
      </c>
      <c r="N989" s="51">
        <f t="shared" si="1198"/>
        <v>0.33333333333333326</v>
      </c>
      <c r="O989" s="53" t="str">
        <f t="shared" ref="O989" si="1219">+O994</f>
        <v>6-0-1</v>
      </c>
      <c r="P989" s="54">
        <f>+IF(AND(Y989="Domingo",U989=7),_xlfn.XLOOKUP(O989,'Horarios y Sistemas'!C:C,'Horarios y Sistemas'!H:H,0,0,1),0)</f>
        <v>0</v>
      </c>
      <c r="Q989" s="54">
        <f>IF(U989=U990,0,IF(AVERAGEIF(W:W,W989,U:U)=U989,0,_xlfn.XLOOKUP(O989,'Horarios y Sistemas'!C:C,'Horarios y Sistemas'!H:H,0,0,1)-P989))/7*U989</f>
        <v>0</v>
      </c>
      <c r="R989" s="54">
        <f t="shared" si="1200"/>
        <v>0</v>
      </c>
      <c r="S989" s="55" t="str">
        <f t="shared" si="1201"/>
        <v>SEPTIEMBRE</v>
      </c>
      <c r="T989" s="55" t="str">
        <f t="shared" si="1202"/>
        <v>Sem40</v>
      </c>
      <c r="U989" s="56">
        <f t="shared" si="1184"/>
        <v>7</v>
      </c>
      <c r="V989" s="59">
        <v>46294</v>
      </c>
      <c r="W989" s="56">
        <f t="shared" si="1203"/>
        <v>40</v>
      </c>
      <c r="X989" s="56">
        <f t="shared" si="1204"/>
        <v>29</v>
      </c>
      <c r="Y989" s="56" t="s">
        <v>29</v>
      </c>
      <c r="Z989" s="56">
        <v>2</v>
      </c>
      <c r="AA989" s="58">
        <f t="shared" si="1214"/>
        <v>1</v>
      </c>
      <c r="AB989" s="58">
        <f t="shared" si="1214"/>
        <v>0</v>
      </c>
      <c r="AC989" s="58">
        <f t="shared" si="1214"/>
        <v>0</v>
      </c>
      <c r="AD989" s="58">
        <f t="shared" si="1214"/>
        <v>0</v>
      </c>
      <c r="AE989" s="58">
        <f t="shared" si="1214"/>
        <v>0</v>
      </c>
    </row>
    <row r="990" spans="2:31">
      <c r="B990" t="str">
        <f t="shared" si="1191"/>
        <v>Sem4040RUDY ALEXANDER RODRIGUEZ ORTEGA</v>
      </c>
      <c r="C990" t="str">
        <f t="shared" si="1192"/>
        <v>SEPTIEMBRESem40</v>
      </c>
      <c r="D990" t="str">
        <f t="shared" si="1193"/>
        <v>SEPTIEMBRESem40RUDY ALEXANDER RODRIGUEZ ORTEGA</v>
      </c>
      <c r="E990" t="str">
        <f t="shared" si="1194"/>
        <v>SEPTIEMBRESem4040RUDY ALEXANDER RODRIGUEZ ORTEGA</v>
      </c>
      <c r="F990" t="str">
        <f t="shared" si="1195"/>
        <v>RUDY ALEXANDER RODRIGUEZ ORTEGA46295</v>
      </c>
      <c r="H990" s="49" t="s">
        <v>16</v>
      </c>
      <c r="I990" s="50" t="str">
        <f>+_xlfn.XLOOKUP($H990&amp;$V990,BASEDATOS!$B:$B,BASEDATOS!F:F,0,0,1)</f>
        <v>DIA</v>
      </c>
      <c r="J990" s="51">
        <f>+_xlfn.XLOOKUP($H990&amp;$V990,BASEDATOS!$B:$B,BASEDATOS!Q:Q,0,0,1)</f>
        <v>0.29166666666666702</v>
      </c>
      <c r="K990" s="51">
        <f>+_xlfn.XLOOKUP($H990&amp;$V990,BASEDATOS!$B:$B,BASEDATOS!R:R,0,0,1)</f>
        <v>0.66666666666666696</v>
      </c>
      <c r="L990" s="51">
        <f t="shared" si="1196"/>
        <v>0.37499999999999994</v>
      </c>
      <c r="M990" s="52" t="str">
        <f t="shared" si="1197"/>
        <v>1:00</v>
      </c>
      <c r="N990" s="51">
        <f t="shared" si="1198"/>
        <v>0.33333333333333326</v>
      </c>
      <c r="O990" s="53" t="str">
        <f t="shared" ref="O990" si="1220">+O994</f>
        <v>6-0-1</v>
      </c>
      <c r="P990" s="54">
        <f>+IF(AND(Y990="Domingo",U990=7),_xlfn.XLOOKUP(O990,'Horarios y Sistemas'!C:C,'Horarios y Sistemas'!H:H,0,0,1),0)</f>
        <v>0</v>
      </c>
      <c r="Q990" s="54">
        <f>IF(U990=U991,0,IF(AVERAGEIF(W:W,W990,U:U)=U990,0,_xlfn.XLOOKUP(O990,'Horarios y Sistemas'!C:C,'Horarios y Sistemas'!H:H,0,0,1)-P990))/7*U990</f>
        <v>0</v>
      </c>
      <c r="R990" s="54">
        <f t="shared" si="1200"/>
        <v>0</v>
      </c>
      <c r="S990" s="55" t="str">
        <f t="shared" si="1201"/>
        <v>SEPTIEMBRE</v>
      </c>
      <c r="T990" s="55" t="str">
        <f t="shared" si="1202"/>
        <v>Sem40</v>
      </c>
      <c r="U990" s="56">
        <f t="shared" si="1184"/>
        <v>7</v>
      </c>
      <c r="V990" s="59">
        <v>46295</v>
      </c>
      <c r="W990" s="56">
        <f t="shared" si="1203"/>
        <v>40</v>
      </c>
      <c r="X990" s="56">
        <f t="shared" si="1204"/>
        <v>30</v>
      </c>
      <c r="Y990" s="56" t="s">
        <v>30</v>
      </c>
      <c r="Z990" s="56">
        <v>3</v>
      </c>
      <c r="AA990" s="58">
        <f t="shared" si="1214"/>
        <v>1</v>
      </c>
      <c r="AB990" s="58">
        <f t="shared" si="1214"/>
        <v>0</v>
      </c>
      <c r="AC990" s="58">
        <f t="shared" si="1214"/>
        <v>0</v>
      </c>
      <c r="AD990" s="58">
        <f t="shared" si="1214"/>
        <v>0</v>
      </c>
      <c r="AE990" s="58">
        <f t="shared" si="1214"/>
        <v>0</v>
      </c>
    </row>
    <row r="991" spans="2:31">
      <c r="B991" t="str">
        <f t="shared" si="1191"/>
        <v>Sem4040RUDY ALEXANDER RODRIGUEZ ORTEGA</v>
      </c>
      <c r="C991" t="str">
        <f t="shared" si="1192"/>
        <v>OCTUBRESem40</v>
      </c>
      <c r="D991" t="str">
        <f t="shared" si="1193"/>
        <v>OCTUBRESem40RUDY ALEXANDER RODRIGUEZ ORTEGA</v>
      </c>
      <c r="E991" t="str">
        <f t="shared" si="1194"/>
        <v>OCTUBRESem4040RUDY ALEXANDER RODRIGUEZ ORTEGA</v>
      </c>
      <c r="F991" t="str">
        <f t="shared" si="1195"/>
        <v>RUDY ALEXANDER RODRIGUEZ ORTEGA46296</v>
      </c>
      <c r="H991" s="49" t="s">
        <v>16</v>
      </c>
      <c r="I991" s="50" t="str">
        <f>+_xlfn.XLOOKUP($H991&amp;$V991,BASEDATOS!$B:$B,BASEDATOS!F:F,0,0,1)</f>
        <v>DIA</v>
      </c>
      <c r="J991" s="51">
        <f>+_xlfn.XLOOKUP($H991&amp;$V991,BASEDATOS!$B:$B,BASEDATOS!Q:Q,0,0,1)</f>
        <v>0.29166666666666702</v>
      </c>
      <c r="K991" s="51">
        <f>+_xlfn.XLOOKUP($H991&amp;$V991,BASEDATOS!$B:$B,BASEDATOS!R:R,0,0,1)</f>
        <v>0.66666666666666696</v>
      </c>
      <c r="L991" s="51">
        <f t="shared" si="1196"/>
        <v>0.37499999999999994</v>
      </c>
      <c r="M991" s="52" t="str">
        <f t="shared" si="1197"/>
        <v>1:00</v>
      </c>
      <c r="N991" s="51">
        <f t="shared" si="1198"/>
        <v>0.33333333333333326</v>
      </c>
      <c r="O991" s="53" t="str">
        <f t="shared" ref="O991" si="1221">+O994</f>
        <v>6-0-1</v>
      </c>
      <c r="P991" s="54">
        <f>+IF(AND(Y991="Domingo",U991=7),_xlfn.XLOOKUP(O991,'Horarios y Sistemas'!C:C,'Horarios y Sistemas'!H:H,0,0,1),0)</f>
        <v>0</v>
      </c>
      <c r="Q991" s="54">
        <f>IF(U991=U992,0,IF(AVERAGEIF(W:W,W991,U:U)=U991,0,_xlfn.XLOOKUP(O991,'Horarios y Sistemas'!C:C,'Horarios y Sistemas'!H:H,0,0,1)-P991))/7*U991</f>
        <v>0</v>
      </c>
      <c r="R991" s="54">
        <f t="shared" si="1200"/>
        <v>0</v>
      </c>
      <c r="S991" s="55" t="str">
        <f t="shared" si="1201"/>
        <v>OCTUBRE</v>
      </c>
      <c r="T991" s="55" t="str">
        <f t="shared" si="1202"/>
        <v>Sem40</v>
      </c>
      <c r="U991" s="56">
        <f t="shared" si="1184"/>
        <v>7</v>
      </c>
      <c r="V991" s="59">
        <v>46296</v>
      </c>
      <c r="W991" s="56">
        <f t="shared" si="1203"/>
        <v>40</v>
      </c>
      <c r="X991" s="56">
        <f t="shared" si="1204"/>
        <v>1</v>
      </c>
      <c r="Y991" s="56" t="s">
        <v>31</v>
      </c>
      <c r="Z991" s="56">
        <v>4</v>
      </c>
      <c r="AA991" s="58">
        <f t="shared" si="1214"/>
        <v>1</v>
      </c>
      <c r="AB991" s="58">
        <f t="shared" si="1214"/>
        <v>0</v>
      </c>
      <c r="AC991" s="58">
        <f t="shared" si="1214"/>
        <v>0</v>
      </c>
      <c r="AD991" s="58">
        <f t="shared" si="1214"/>
        <v>0</v>
      </c>
      <c r="AE991" s="58">
        <f t="shared" si="1214"/>
        <v>0</v>
      </c>
    </row>
    <row r="992" spans="2:31">
      <c r="B992" t="str">
        <f t="shared" si="1191"/>
        <v>Sem4040RUDY ALEXANDER RODRIGUEZ ORTEGA</v>
      </c>
      <c r="C992" t="str">
        <f t="shared" si="1192"/>
        <v>OCTUBRESem40</v>
      </c>
      <c r="D992" t="str">
        <f t="shared" si="1193"/>
        <v>OCTUBRESem40RUDY ALEXANDER RODRIGUEZ ORTEGA</v>
      </c>
      <c r="E992" t="str">
        <f t="shared" si="1194"/>
        <v>OCTUBRESem4040RUDY ALEXANDER RODRIGUEZ ORTEGA</v>
      </c>
      <c r="F992" t="str">
        <f t="shared" si="1195"/>
        <v>RUDY ALEXANDER RODRIGUEZ ORTEGA46297</v>
      </c>
      <c r="H992" s="49" t="s">
        <v>16</v>
      </c>
      <c r="I992" s="50" t="str">
        <f>+_xlfn.XLOOKUP($H992&amp;$V992,BASEDATOS!$B:$B,BASEDATOS!F:F,0,0,1)</f>
        <v>DIA</v>
      </c>
      <c r="J992" s="51">
        <f>+_xlfn.XLOOKUP($H992&amp;$V992,BASEDATOS!$B:$B,BASEDATOS!Q:Q,0,0,1)</f>
        <v>0.29166666666666702</v>
      </c>
      <c r="K992" s="51">
        <f>+_xlfn.XLOOKUP($H992&amp;$V992,BASEDATOS!$B:$B,BASEDATOS!R:R,0,0,1)</f>
        <v>0.66666666666666696</v>
      </c>
      <c r="L992" s="51">
        <f t="shared" si="1196"/>
        <v>0.37499999999999994</v>
      </c>
      <c r="M992" s="52" t="str">
        <f t="shared" si="1197"/>
        <v>1:00</v>
      </c>
      <c r="N992" s="51">
        <f t="shared" si="1198"/>
        <v>0.33333333333333326</v>
      </c>
      <c r="O992" s="53" t="str">
        <f t="shared" ref="O992" si="1222">+O994</f>
        <v>6-0-1</v>
      </c>
      <c r="P992" s="54">
        <f>+IF(AND(Y992="Domingo",U992=7),_xlfn.XLOOKUP(O992,'Horarios y Sistemas'!C:C,'Horarios y Sistemas'!H:H,0,0,1),0)</f>
        <v>0</v>
      </c>
      <c r="Q992" s="54">
        <f>IF(U992=U993,0,IF(AVERAGEIF(W:W,W992,U:U)=U992,0,_xlfn.XLOOKUP(O992,'Horarios y Sistemas'!C:C,'Horarios y Sistemas'!H:H,0,0,1)-P992))/7*U992</f>
        <v>0</v>
      </c>
      <c r="R992" s="54">
        <f t="shared" si="1200"/>
        <v>0</v>
      </c>
      <c r="S992" s="55" t="str">
        <f t="shared" si="1201"/>
        <v>OCTUBRE</v>
      </c>
      <c r="T992" s="55" t="str">
        <f t="shared" si="1202"/>
        <v>Sem40</v>
      </c>
      <c r="U992" s="56">
        <f t="shared" si="1184"/>
        <v>7</v>
      </c>
      <c r="V992" s="59">
        <v>46297</v>
      </c>
      <c r="W992" s="56">
        <f t="shared" si="1203"/>
        <v>40</v>
      </c>
      <c r="X992" s="56">
        <f t="shared" si="1204"/>
        <v>2</v>
      </c>
      <c r="Y992" s="56" t="s">
        <v>32</v>
      </c>
      <c r="Z992" s="56">
        <v>5</v>
      </c>
      <c r="AA992" s="58">
        <f t="shared" si="1214"/>
        <v>1</v>
      </c>
      <c r="AB992" s="58">
        <f t="shared" si="1214"/>
        <v>0</v>
      </c>
      <c r="AC992" s="58">
        <f t="shared" si="1214"/>
        <v>0</v>
      </c>
      <c r="AD992" s="58">
        <f t="shared" si="1214"/>
        <v>0</v>
      </c>
      <c r="AE992" s="58">
        <f t="shared" si="1214"/>
        <v>0</v>
      </c>
    </row>
    <row r="993" spans="2:31">
      <c r="B993" t="str">
        <f t="shared" si="1191"/>
        <v>Sem4040RUDY ALEXANDER RODRIGUEZ ORTEGA</v>
      </c>
      <c r="C993" t="str">
        <f t="shared" si="1192"/>
        <v>OCTUBRESem40</v>
      </c>
      <c r="D993" t="str">
        <f t="shared" si="1193"/>
        <v>OCTUBRESem40RUDY ALEXANDER RODRIGUEZ ORTEGA</v>
      </c>
      <c r="E993" t="str">
        <f t="shared" si="1194"/>
        <v>OCTUBRESem4040RUDY ALEXANDER RODRIGUEZ ORTEGA</v>
      </c>
      <c r="F993" t="str">
        <f t="shared" si="1195"/>
        <v>RUDY ALEXANDER RODRIGUEZ ORTEGA46298</v>
      </c>
      <c r="H993" s="49" t="s">
        <v>16</v>
      </c>
      <c r="I993" s="50" t="str">
        <f>+_xlfn.XLOOKUP($H993&amp;$V993,BASEDATOS!$B:$B,BASEDATOS!F:F,0,0,1)</f>
        <v>DIA</v>
      </c>
      <c r="J993" s="51">
        <f>+_xlfn.XLOOKUP($H993&amp;$V993,BASEDATOS!$B:$B,BASEDATOS!Q:Q,0,0,1)</f>
        <v>0.29166666666666702</v>
      </c>
      <c r="K993" s="51">
        <f>+_xlfn.XLOOKUP($H993&amp;$V993,BASEDATOS!$B:$B,BASEDATOS!R:R,0,0,1)</f>
        <v>0.5</v>
      </c>
      <c r="L993" s="51">
        <f t="shared" si="1196"/>
        <v>0.20833333333333298</v>
      </c>
      <c r="M993" s="52" t="str">
        <f t="shared" si="1197"/>
        <v>1:00</v>
      </c>
      <c r="N993" s="51">
        <f t="shared" si="1198"/>
        <v>0.16666666666666632</v>
      </c>
      <c r="O993" s="53" t="str">
        <f t="shared" ref="O993" si="1223">+O994</f>
        <v>6-0-1</v>
      </c>
      <c r="P993" s="54">
        <f>+IF(AND(Y993="Domingo",U993=7),_xlfn.XLOOKUP(O993,'Horarios y Sistemas'!C:C,'Horarios y Sistemas'!H:H,0,0,1),0)</f>
        <v>0</v>
      </c>
      <c r="Q993" s="54">
        <f>IF(U993=U994,0,IF(AVERAGEIF(W:W,W993,U:U)=U993,0,_xlfn.XLOOKUP(O993,'Horarios y Sistemas'!C:C,'Horarios y Sistemas'!H:H,0,0,1)-P993))/7*U993</f>
        <v>0</v>
      </c>
      <c r="R993" s="54">
        <f t="shared" si="1200"/>
        <v>0</v>
      </c>
      <c r="S993" s="55" t="str">
        <f t="shared" si="1201"/>
        <v>OCTUBRE</v>
      </c>
      <c r="T993" s="55" t="str">
        <f t="shared" si="1202"/>
        <v>Sem40</v>
      </c>
      <c r="U993" s="56">
        <f t="shared" si="1184"/>
        <v>7</v>
      </c>
      <c r="V993" s="59">
        <v>46298</v>
      </c>
      <c r="W993" s="56">
        <f t="shared" si="1203"/>
        <v>40</v>
      </c>
      <c r="X993" s="56">
        <f t="shared" si="1204"/>
        <v>3</v>
      </c>
      <c r="Y993" s="56" t="s">
        <v>33</v>
      </c>
      <c r="Z993" s="56">
        <v>6</v>
      </c>
      <c r="AA993" s="58">
        <f t="shared" si="1214"/>
        <v>1</v>
      </c>
      <c r="AB993" s="58">
        <f t="shared" si="1214"/>
        <v>0</v>
      </c>
      <c r="AC993" s="58">
        <f t="shared" si="1214"/>
        <v>0</v>
      </c>
      <c r="AD993" s="58">
        <f t="shared" si="1214"/>
        <v>0</v>
      </c>
      <c r="AE993" s="58">
        <f t="shared" si="1214"/>
        <v>0</v>
      </c>
    </row>
    <row r="994" spans="2:31">
      <c r="B994" s="60" t="str">
        <f t="shared" si="1191"/>
        <v>Sem4040RUDY ALEXANDER RODRIGUEZ ORTEGA</v>
      </c>
      <c r="C994" s="60" t="str">
        <f t="shared" si="1192"/>
        <v>OCTUBRESem40</v>
      </c>
      <c r="D994" s="60" t="str">
        <f t="shared" si="1193"/>
        <v>OCTUBRESem40RUDY ALEXANDER RODRIGUEZ ORTEGA</v>
      </c>
      <c r="E994" s="60" t="str">
        <f t="shared" si="1194"/>
        <v>OCTUBRESem4040RUDY ALEXANDER RODRIGUEZ ORTEGA</v>
      </c>
      <c r="F994" s="60" t="str">
        <f t="shared" si="1195"/>
        <v>RUDY ALEXANDER RODRIGUEZ ORTEGA46299</v>
      </c>
      <c r="G994" s="60"/>
      <c r="H994" s="61" t="s">
        <v>16</v>
      </c>
      <c r="I994" s="62" t="str">
        <f>+_xlfn.XLOOKUP($H994&amp;$V994,BASEDATOS!$B:$B,BASEDATOS!F:F,0,0,1)</f>
        <v>DESCANSO</v>
      </c>
      <c r="J994" s="63">
        <f>+_xlfn.XLOOKUP($H994&amp;$V994,BASEDATOS!$B:$B,BASEDATOS!Q:Q,0,0,1)</f>
        <v>0</v>
      </c>
      <c r="K994" s="63">
        <f>+_xlfn.XLOOKUP($H994&amp;$V994,BASEDATOS!$B:$B,BASEDATOS!R:R,0,0,1)</f>
        <v>0</v>
      </c>
      <c r="L994" s="63">
        <f t="shared" si="1196"/>
        <v>0</v>
      </c>
      <c r="M994" s="64">
        <f t="shared" si="1197"/>
        <v>0</v>
      </c>
      <c r="N994" s="63">
        <f t="shared" si="1198"/>
        <v>0</v>
      </c>
      <c r="O994" s="65" t="str">
        <f t="shared" ref="O994" si="1224">+IF(Y994="Domingo",SUM(AA988:AA994)&amp;"-"&amp;SUM(AB988:AB994)&amp;"-"&amp;SUM(AC988:AE994),"")</f>
        <v>6-0-1</v>
      </c>
      <c r="P994" s="66">
        <f>+IF(AND(Y994="Domingo",U994=7),_xlfn.XLOOKUP(O994,'Horarios y Sistemas'!C:C,'Horarios y Sistemas'!H:H,0,0,1),0)</f>
        <v>44</v>
      </c>
      <c r="Q994" s="66">
        <f>IF(U994=U995,0,IF(AVERAGEIF(W:W,W994,U:U)=U994,0,_xlfn.XLOOKUP(O994,'Horarios y Sistemas'!C:C,'Horarios y Sistemas'!H:H,0,0,1)-P994))/7*U994</f>
        <v>0</v>
      </c>
      <c r="R994" s="66">
        <f t="shared" si="1200"/>
        <v>44</v>
      </c>
      <c r="S994" s="67" t="str">
        <f t="shared" si="1201"/>
        <v>OCTUBRE</v>
      </c>
      <c r="T994" s="55" t="str">
        <f t="shared" si="1202"/>
        <v>Sem40</v>
      </c>
      <c r="U994" s="68">
        <f t="shared" si="1184"/>
        <v>7</v>
      </c>
      <c r="V994" s="69">
        <v>46299</v>
      </c>
      <c r="W994" s="68">
        <f t="shared" si="1203"/>
        <v>40</v>
      </c>
      <c r="X994" s="68">
        <f t="shared" si="1204"/>
        <v>4</v>
      </c>
      <c r="Y994" s="68" t="s">
        <v>34</v>
      </c>
      <c r="Z994" s="68">
        <v>7</v>
      </c>
      <c r="AA994" s="70">
        <f t="shared" si="1214"/>
        <v>0</v>
      </c>
      <c r="AB994" s="70">
        <f t="shared" si="1214"/>
        <v>0</v>
      </c>
      <c r="AC994" s="70">
        <f t="shared" si="1214"/>
        <v>1</v>
      </c>
      <c r="AD994" s="70">
        <f t="shared" si="1214"/>
        <v>0</v>
      </c>
      <c r="AE994" s="70">
        <f t="shared" si="1214"/>
        <v>0</v>
      </c>
    </row>
    <row r="995" spans="2:31">
      <c r="B995" t="str">
        <f t="shared" si="1191"/>
        <v>Sem3838RUIZ GARCIA  CARLOS RENE</v>
      </c>
      <c r="C995" t="str">
        <f t="shared" si="1192"/>
        <v>SEPTIEMBRESem38</v>
      </c>
      <c r="D995" t="str">
        <f t="shared" si="1193"/>
        <v>SEPTIEMBRESem38RUIZ GARCIA  CARLOS RENE</v>
      </c>
      <c r="E995" t="str">
        <f t="shared" si="1194"/>
        <v>SEPTIEMBRESem3838RUIZ GARCIA  CARLOS RENE</v>
      </c>
      <c r="F995" t="str">
        <f t="shared" si="1195"/>
        <v>RUIZ GARCIA  CARLOS RENE46279</v>
      </c>
      <c r="H995" s="49" t="s">
        <v>140</v>
      </c>
      <c r="I995" s="50" t="str">
        <f>+_xlfn.XLOOKUP($H995&amp;$V995,BASEDATOS!$B:$B,BASEDATOS!F:F,0,0,1)</f>
        <v>DESCANSO</v>
      </c>
      <c r="J995" s="51">
        <f>+_xlfn.XLOOKUP($H995&amp;$V995,BASEDATOS!$B:$B,BASEDATOS!Q:Q,0,0,1)</f>
        <v>0</v>
      </c>
      <c r="K995" s="51">
        <f>+_xlfn.XLOOKUP($H995&amp;$V995,BASEDATOS!$B:$B,BASEDATOS!R:R,0,0,1)</f>
        <v>0</v>
      </c>
      <c r="L995" s="51">
        <f t="shared" si="1196"/>
        <v>0</v>
      </c>
      <c r="M995" s="52">
        <f t="shared" si="1197"/>
        <v>0</v>
      </c>
      <c r="N995" s="51">
        <f t="shared" si="1198"/>
        <v>0</v>
      </c>
      <c r="O995" s="53" t="str">
        <f t="shared" ref="O995" si="1225">+O1001</f>
        <v>4-0-3</v>
      </c>
      <c r="P995" s="54">
        <f>+IF(AND(Y995="Domingo",U995=7),_xlfn.XLOOKUP(O995,'Horarios y Sistemas'!C:C,'Horarios y Sistemas'!H:H,0,0,1),0)</f>
        <v>0</v>
      </c>
      <c r="Q995" s="54">
        <f>IF(U995=U996,0,IF(AVERAGEIF(W:W,W995,U:U)=U995,0,_xlfn.XLOOKUP(O995,'Horarios y Sistemas'!C:C,'Horarios y Sistemas'!H:H,0,0,1)-P995))/7*U995</f>
        <v>0</v>
      </c>
      <c r="R995" s="54">
        <f t="shared" si="1200"/>
        <v>0</v>
      </c>
      <c r="S995" s="55" t="str">
        <f t="shared" si="1201"/>
        <v>SEPTIEMBRE</v>
      </c>
      <c r="T995" s="55" t="str">
        <f t="shared" si="1202"/>
        <v>Sem38</v>
      </c>
      <c r="U995" s="56">
        <f t="shared" si="1184"/>
        <v>7</v>
      </c>
      <c r="V995" s="59">
        <v>46279</v>
      </c>
      <c r="W995" s="56">
        <f t="shared" si="1203"/>
        <v>38</v>
      </c>
      <c r="X995" s="56">
        <f t="shared" si="1204"/>
        <v>14</v>
      </c>
      <c r="Y995" s="56" t="s">
        <v>28</v>
      </c>
      <c r="Z995" s="56">
        <v>1</v>
      </c>
      <c r="AA995" s="58">
        <f t="shared" si="1214"/>
        <v>0</v>
      </c>
      <c r="AB995" s="58">
        <f t="shared" si="1214"/>
        <v>0</v>
      </c>
      <c r="AC995" s="58">
        <f t="shared" si="1214"/>
        <v>1</v>
      </c>
      <c r="AD995" s="58">
        <f t="shared" si="1214"/>
        <v>0</v>
      </c>
      <c r="AE995" s="58">
        <f t="shared" si="1214"/>
        <v>0</v>
      </c>
    </row>
    <row r="996" spans="2:31">
      <c r="B996" t="str">
        <f t="shared" si="1191"/>
        <v>Sem3838RUIZ GARCIA  CARLOS RENE</v>
      </c>
      <c r="C996" t="str">
        <f t="shared" si="1192"/>
        <v>SEPTIEMBRESem38</v>
      </c>
      <c r="D996" t="str">
        <f t="shared" si="1193"/>
        <v>SEPTIEMBRESem38RUIZ GARCIA  CARLOS RENE</v>
      </c>
      <c r="E996" t="str">
        <f t="shared" si="1194"/>
        <v>SEPTIEMBRESem3838RUIZ GARCIA  CARLOS RENE</v>
      </c>
      <c r="F996" t="str">
        <f t="shared" si="1195"/>
        <v>RUIZ GARCIA  CARLOS RENE46280</v>
      </c>
      <c r="H996" s="49" t="s">
        <v>140</v>
      </c>
      <c r="I996" s="50" t="str">
        <f>+_xlfn.XLOOKUP($H996&amp;$V996,BASEDATOS!$B:$B,BASEDATOS!F:F,0,0,1)</f>
        <v>DIA</v>
      </c>
      <c r="J996" s="51">
        <f>+_xlfn.XLOOKUP($H996&amp;$V996,BASEDATOS!$B:$B,BASEDATOS!Q:Q,0,0,1)</f>
        <v>0.33333333333333298</v>
      </c>
      <c r="K996" s="51">
        <f>+_xlfn.XLOOKUP($H996&amp;$V996,BASEDATOS!$B:$B,BASEDATOS!R:R,0,0,1)</f>
        <v>0.70833333333333304</v>
      </c>
      <c r="L996" s="51">
        <f t="shared" si="1196"/>
        <v>0.37500000000000006</v>
      </c>
      <c r="M996" s="52" t="str">
        <f t="shared" si="1197"/>
        <v>1:00</v>
      </c>
      <c r="N996" s="51">
        <f t="shared" si="1198"/>
        <v>0.33333333333333337</v>
      </c>
      <c r="O996" s="53" t="str">
        <f t="shared" ref="O996" si="1226">+O1001</f>
        <v>4-0-3</v>
      </c>
      <c r="P996" s="54">
        <f>+IF(AND(Y996="Domingo",U996=7),_xlfn.XLOOKUP(O996,'Horarios y Sistemas'!C:C,'Horarios y Sistemas'!H:H,0,0,1),0)</f>
        <v>0</v>
      </c>
      <c r="Q996" s="54">
        <f>IF(U996=U997,0,IF(AVERAGEIF(W:W,W996,U:U)=U996,0,_xlfn.XLOOKUP(O996,'Horarios y Sistemas'!C:C,'Horarios y Sistemas'!H:H,0,0,1)-P996))/7*U996</f>
        <v>0</v>
      </c>
      <c r="R996" s="54">
        <f t="shared" si="1200"/>
        <v>0</v>
      </c>
      <c r="S996" s="55" t="str">
        <f t="shared" si="1201"/>
        <v>SEPTIEMBRE</v>
      </c>
      <c r="T996" s="55" t="str">
        <f t="shared" si="1202"/>
        <v>Sem38</v>
      </c>
      <c r="U996" s="56">
        <f t="shared" si="1184"/>
        <v>7</v>
      </c>
      <c r="V996" s="59">
        <v>46280</v>
      </c>
      <c r="W996" s="56">
        <f t="shared" si="1203"/>
        <v>38</v>
      </c>
      <c r="X996" s="56">
        <f t="shared" si="1204"/>
        <v>15</v>
      </c>
      <c r="Y996" s="56" t="s">
        <v>29</v>
      </c>
      <c r="Z996" s="56">
        <v>2</v>
      </c>
      <c r="AA996" s="58">
        <f t="shared" si="1214"/>
        <v>1</v>
      </c>
      <c r="AB996" s="58">
        <f t="shared" si="1214"/>
        <v>0</v>
      </c>
      <c r="AC996" s="58">
        <f t="shared" si="1214"/>
        <v>0</v>
      </c>
      <c r="AD996" s="58">
        <f t="shared" si="1214"/>
        <v>0</v>
      </c>
      <c r="AE996" s="58">
        <f t="shared" si="1214"/>
        <v>0</v>
      </c>
    </row>
    <row r="997" spans="2:31">
      <c r="B997" t="str">
        <f t="shared" si="1191"/>
        <v>Sem3838RUIZ GARCIA  CARLOS RENE</v>
      </c>
      <c r="C997" t="str">
        <f t="shared" si="1192"/>
        <v>SEPTIEMBRESem38</v>
      </c>
      <c r="D997" t="str">
        <f t="shared" si="1193"/>
        <v>SEPTIEMBRESem38RUIZ GARCIA  CARLOS RENE</v>
      </c>
      <c r="E997" t="str">
        <f t="shared" si="1194"/>
        <v>SEPTIEMBRESem3838RUIZ GARCIA  CARLOS RENE</v>
      </c>
      <c r="F997" t="str">
        <f t="shared" si="1195"/>
        <v>RUIZ GARCIA  CARLOS RENE46281</v>
      </c>
      <c r="H997" s="49" t="s">
        <v>140</v>
      </c>
      <c r="I997" s="50" t="str">
        <f>+_xlfn.XLOOKUP($H997&amp;$V997,BASEDATOS!$B:$B,BASEDATOS!F:F,0,0,1)</f>
        <v>DIA</v>
      </c>
      <c r="J997" s="51">
        <f>+_xlfn.XLOOKUP($H997&amp;$V997,BASEDATOS!$B:$B,BASEDATOS!Q:Q,0,0,1)</f>
        <v>0.33333333333333298</v>
      </c>
      <c r="K997" s="51">
        <f>+_xlfn.XLOOKUP($H997&amp;$V997,BASEDATOS!$B:$B,BASEDATOS!R:R,0,0,1)</f>
        <v>0.70833333333333304</v>
      </c>
      <c r="L997" s="51">
        <f t="shared" si="1196"/>
        <v>0.37500000000000006</v>
      </c>
      <c r="M997" s="52" t="str">
        <f t="shared" si="1197"/>
        <v>1:00</v>
      </c>
      <c r="N997" s="51">
        <f t="shared" si="1198"/>
        <v>0.33333333333333337</v>
      </c>
      <c r="O997" s="53" t="str">
        <f t="shared" ref="O997" si="1227">+O1001</f>
        <v>4-0-3</v>
      </c>
      <c r="P997" s="54">
        <f>+IF(AND(Y997="Domingo",U997=7),_xlfn.XLOOKUP(O997,'Horarios y Sistemas'!C:C,'Horarios y Sistemas'!H:H,0,0,1),0)</f>
        <v>0</v>
      </c>
      <c r="Q997" s="54">
        <f>IF(U997=U998,0,IF(AVERAGEIF(W:W,W997,U:U)=U997,0,_xlfn.XLOOKUP(O997,'Horarios y Sistemas'!C:C,'Horarios y Sistemas'!H:H,0,0,1)-P997))/7*U997</f>
        <v>0</v>
      </c>
      <c r="R997" s="54">
        <f t="shared" si="1200"/>
        <v>0</v>
      </c>
      <c r="S997" s="55" t="str">
        <f t="shared" si="1201"/>
        <v>SEPTIEMBRE</v>
      </c>
      <c r="T997" s="55" t="str">
        <f t="shared" si="1202"/>
        <v>Sem38</v>
      </c>
      <c r="U997" s="56">
        <f t="shared" si="1184"/>
        <v>7</v>
      </c>
      <c r="V997" s="59">
        <v>46281</v>
      </c>
      <c r="W997" s="56">
        <f t="shared" si="1203"/>
        <v>38</v>
      </c>
      <c r="X997" s="56">
        <f t="shared" si="1204"/>
        <v>16</v>
      </c>
      <c r="Y997" s="56" t="s">
        <v>30</v>
      </c>
      <c r="Z997" s="56">
        <v>3</v>
      </c>
      <c r="AA997" s="58">
        <f t="shared" si="1214"/>
        <v>1</v>
      </c>
      <c r="AB997" s="58">
        <f t="shared" si="1214"/>
        <v>0</v>
      </c>
      <c r="AC997" s="58">
        <f t="shared" si="1214"/>
        <v>0</v>
      </c>
      <c r="AD997" s="58">
        <f t="shared" si="1214"/>
        <v>0</v>
      </c>
      <c r="AE997" s="58">
        <f t="shared" si="1214"/>
        <v>0</v>
      </c>
    </row>
    <row r="998" spans="2:31">
      <c r="B998" t="str">
        <f t="shared" si="1191"/>
        <v>Sem3838RUIZ GARCIA  CARLOS RENE</v>
      </c>
      <c r="C998" t="str">
        <f t="shared" si="1192"/>
        <v>SEPTIEMBRESem38</v>
      </c>
      <c r="D998" t="str">
        <f t="shared" si="1193"/>
        <v>SEPTIEMBRESem38RUIZ GARCIA  CARLOS RENE</v>
      </c>
      <c r="E998" t="str">
        <f t="shared" si="1194"/>
        <v>SEPTIEMBRESem3838RUIZ GARCIA  CARLOS RENE</v>
      </c>
      <c r="F998" t="str">
        <f t="shared" si="1195"/>
        <v>RUIZ GARCIA  CARLOS RENE46282</v>
      </c>
      <c r="H998" s="49" t="s">
        <v>140</v>
      </c>
      <c r="I998" s="50" t="str">
        <f>+_xlfn.XLOOKUP($H998&amp;$V998,BASEDATOS!$B:$B,BASEDATOS!F:F,0,0,1)</f>
        <v>DIA</v>
      </c>
      <c r="J998" s="51">
        <f>+_xlfn.XLOOKUP($H998&amp;$V998,BASEDATOS!$B:$B,BASEDATOS!Q:Q,0,0,1)</f>
        <v>0.23958333333333301</v>
      </c>
      <c r="K998" s="51">
        <f>+_xlfn.XLOOKUP($H998&amp;$V998,BASEDATOS!$B:$B,BASEDATOS!R:R,0,0,1)</f>
        <v>0.75</v>
      </c>
      <c r="L998" s="51">
        <f t="shared" si="1196"/>
        <v>0.51041666666666696</v>
      </c>
      <c r="M998" s="52" t="str">
        <f t="shared" si="1197"/>
        <v>1:00</v>
      </c>
      <c r="N998" s="51">
        <f t="shared" si="1198"/>
        <v>0.46875000000000028</v>
      </c>
      <c r="O998" s="53" t="str">
        <f t="shared" ref="O998" si="1228">+O1001</f>
        <v>4-0-3</v>
      </c>
      <c r="P998" s="54">
        <f>+IF(AND(Y998="Domingo",U998=7),_xlfn.XLOOKUP(O998,'Horarios y Sistemas'!C:C,'Horarios y Sistemas'!H:H,0,0,1),0)</f>
        <v>0</v>
      </c>
      <c r="Q998" s="54">
        <f>IF(U998=U999,0,IF(AVERAGEIF(W:W,W998,U:U)=U998,0,_xlfn.XLOOKUP(O998,'Horarios y Sistemas'!C:C,'Horarios y Sistemas'!H:H,0,0,1)-P998))/7*U998</f>
        <v>0</v>
      </c>
      <c r="R998" s="54">
        <f t="shared" si="1200"/>
        <v>0</v>
      </c>
      <c r="S998" s="55" t="str">
        <f t="shared" si="1201"/>
        <v>SEPTIEMBRE</v>
      </c>
      <c r="T998" s="55" t="str">
        <f t="shared" si="1202"/>
        <v>Sem38</v>
      </c>
      <c r="U998" s="56">
        <f t="shared" si="1184"/>
        <v>7</v>
      </c>
      <c r="V998" s="59">
        <v>46282</v>
      </c>
      <c r="W998" s="56">
        <f t="shared" si="1203"/>
        <v>38</v>
      </c>
      <c r="X998" s="56">
        <f t="shared" si="1204"/>
        <v>17</v>
      </c>
      <c r="Y998" s="56" t="s">
        <v>31</v>
      </c>
      <c r="Z998" s="56">
        <v>4</v>
      </c>
      <c r="AA998" s="58">
        <f t="shared" si="1214"/>
        <v>1</v>
      </c>
      <c r="AB998" s="58">
        <f t="shared" si="1214"/>
        <v>0</v>
      </c>
      <c r="AC998" s="58">
        <f t="shared" si="1214"/>
        <v>0</v>
      </c>
      <c r="AD998" s="58">
        <f t="shared" si="1214"/>
        <v>0</v>
      </c>
      <c r="AE998" s="58">
        <f t="shared" si="1214"/>
        <v>0</v>
      </c>
    </row>
    <row r="999" spans="2:31">
      <c r="B999" t="str">
        <f t="shared" si="1191"/>
        <v>Sem3838RUIZ GARCIA  CARLOS RENE</v>
      </c>
      <c r="C999" t="str">
        <f t="shared" si="1192"/>
        <v>SEPTIEMBRESem38</v>
      </c>
      <c r="D999" t="str">
        <f t="shared" si="1193"/>
        <v>SEPTIEMBRESem38RUIZ GARCIA  CARLOS RENE</v>
      </c>
      <c r="E999" t="str">
        <f t="shared" si="1194"/>
        <v>SEPTIEMBRESem3838RUIZ GARCIA  CARLOS RENE</v>
      </c>
      <c r="F999" t="str">
        <f t="shared" si="1195"/>
        <v>RUIZ GARCIA  CARLOS RENE46283</v>
      </c>
      <c r="H999" s="49" t="s">
        <v>140</v>
      </c>
      <c r="I999" s="50" t="str">
        <f>+_xlfn.XLOOKUP($H999&amp;$V999,BASEDATOS!$B:$B,BASEDATOS!F:F,0,0,1)</f>
        <v>DIA</v>
      </c>
      <c r="J999" s="51">
        <f>+_xlfn.XLOOKUP($H999&amp;$V999,BASEDATOS!$B:$B,BASEDATOS!Q:Q,0,0,1)</f>
        <v>0.23958333333333301</v>
      </c>
      <c r="K999" s="51">
        <f>+_xlfn.XLOOKUP($H999&amp;$V999,BASEDATOS!$B:$B,BASEDATOS!R:R,0,0,1)</f>
        <v>0.75</v>
      </c>
      <c r="L999" s="51">
        <f t="shared" si="1196"/>
        <v>0.51041666666666696</v>
      </c>
      <c r="M999" s="52" t="str">
        <f t="shared" si="1197"/>
        <v>1:00</v>
      </c>
      <c r="N999" s="51">
        <f t="shared" si="1198"/>
        <v>0.46875000000000028</v>
      </c>
      <c r="O999" s="53" t="str">
        <f t="shared" ref="O999" si="1229">+O1001</f>
        <v>4-0-3</v>
      </c>
      <c r="P999" s="54">
        <f>+IF(AND(Y999="Domingo",U999=7),_xlfn.XLOOKUP(O999,'Horarios y Sistemas'!C:C,'Horarios y Sistemas'!H:H,0,0,1),0)</f>
        <v>0</v>
      </c>
      <c r="Q999" s="54">
        <f>IF(U999=U1000,0,IF(AVERAGEIF(W:W,W999,U:U)=U999,0,_xlfn.XLOOKUP(O999,'Horarios y Sistemas'!C:C,'Horarios y Sistemas'!H:H,0,0,1)-P999))/7*U999</f>
        <v>0</v>
      </c>
      <c r="R999" s="54">
        <f t="shared" si="1200"/>
        <v>0</v>
      </c>
      <c r="S999" s="55" t="str">
        <f t="shared" si="1201"/>
        <v>SEPTIEMBRE</v>
      </c>
      <c r="T999" s="55" t="str">
        <f t="shared" si="1202"/>
        <v>Sem38</v>
      </c>
      <c r="U999" s="56">
        <f t="shared" si="1184"/>
        <v>7</v>
      </c>
      <c r="V999" s="59">
        <v>46283</v>
      </c>
      <c r="W999" s="56">
        <f t="shared" si="1203"/>
        <v>38</v>
      </c>
      <c r="X999" s="56">
        <f t="shared" si="1204"/>
        <v>18</v>
      </c>
      <c r="Y999" s="56" t="s">
        <v>32</v>
      </c>
      <c r="Z999" s="56">
        <v>5</v>
      </c>
      <c r="AA999" s="58">
        <f t="shared" si="1214"/>
        <v>1</v>
      </c>
      <c r="AB999" s="58">
        <f t="shared" si="1214"/>
        <v>0</v>
      </c>
      <c r="AC999" s="58">
        <f t="shared" si="1214"/>
        <v>0</v>
      </c>
      <c r="AD999" s="58">
        <f t="shared" si="1214"/>
        <v>0</v>
      </c>
      <c r="AE999" s="58">
        <f t="shared" si="1214"/>
        <v>0</v>
      </c>
    </row>
    <row r="1000" spans="2:31">
      <c r="B1000" t="str">
        <f t="shared" si="1191"/>
        <v>Sem3838RUIZ GARCIA  CARLOS RENE</v>
      </c>
      <c r="C1000" t="str">
        <f t="shared" si="1192"/>
        <v>SEPTIEMBRESem38</v>
      </c>
      <c r="D1000" t="str">
        <f t="shared" si="1193"/>
        <v>SEPTIEMBRESem38RUIZ GARCIA  CARLOS RENE</v>
      </c>
      <c r="E1000" t="str">
        <f t="shared" si="1194"/>
        <v>SEPTIEMBRESem3838RUIZ GARCIA  CARLOS RENE</v>
      </c>
      <c r="F1000" t="str">
        <f t="shared" si="1195"/>
        <v>RUIZ GARCIA  CARLOS RENE46284</v>
      </c>
      <c r="H1000" s="49" t="s">
        <v>140</v>
      </c>
      <c r="I1000" s="50" t="str">
        <f>+_xlfn.XLOOKUP($H1000&amp;$V1000,BASEDATOS!$B:$B,BASEDATOS!F:F,0,0,1)</f>
        <v>DESCANSO</v>
      </c>
      <c r="J1000" s="51">
        <f>+_xlfn.XLOOKUP($H1000&amp;$V1000,BASEDATOS!$B:$B,BASEDATOS!Q:Q,0,0,1)</f>
        <v>0</v>
      </c>
      <c r="K1000" s="51">
        <f>+_xlfn.XLOOKUP($H1000&amp;$V1000,BASEDATOS!$B:$B,BASEDATOS!R:R,0,0,1)</f>
        <v>0</v>
      </c>
      <c r="L1000" s="51">
        <f t="shared" si="1196"/>
        <v>0</v>
      </c>
      <c r="M1000" s="52">
        <f t="shared" si="1197"/>
        <v>0</v>
      </c>
      <c r="N1000" s="51">
        <f t="shared" si="1198"/>
        <v>0</v>
      </c>
      <c r="O1000" s="53" t="str">
        <f t="shared" ref="O1000" si="1230">+O1001</f>
        <v>4-0-3</v>
      </c>
      <c r="P1000" s="54">
        <f>+IF(AND(Y1000="Domingo",U1000=7),_xlfn.XLOOKUP(O1000,'Horarios y Sistemas'!C:C,'Horarios y Sistemas'!H:H,0,0,1),0)</f>
        <v>0</v>
      </c>
      <c r="Q1000" s="54">
        <f>IF(U1000=U1001,0,IF(AVERAGEIF(W:W,W1000,U:U)=U1000,0,_xlfn.XLOOKUP(O1000,'Horarios y Sistemas'!C:C,'Horarios y Sistemas'!H:H,0,0,1)-P1000))/7*U1000</f>
        <v>0</v>
      </c>
      <c r="R1000" s="54">
        <f t="shared" si="1200"/>
        <v>0</v>
      </c>
      <c r="S1000" s="55" t="str">
        <f t="shared" si="1201"/>
        <v>SEPTIEMBRE</v>
      </c>
      <c r="T1000" s="55" t="str">
        <f t="shared" si="1202"/>
        <v>Sem38</v>
      </c>
      <c r="U1000" s="56">
        <f t="shared" si="1184"/>
        <v>7</v>
      </c>
      <c r="V1000" s="59">
        <v>46284</v>
      </c>
      <c r="W1000" s="56">
        <f t="shared" si="1203"/>
        <v>38</v>
      </c>
      <c r="X1000" s="56">
        <f t="shared" si="1204"/>
        <v>19</v>
      </c>
      <c r="Y1000" s="56" t="s">
        <v>33</v>
      </c>
      <c r="Z1000" s="56">
        <v>6</v>
      </c>
      <c r="AA1000" s="58">
        <f t="shared" si="1214"/>
        <v>0</v>
      </c>
      <c r="AB1000" s="58">
        <f t="shared" si="1214"/>
        <v>0</v>
      </c>
      <c r="AC1000" s="58">
        <f t="shared" si="1214"/>
        <v>1</v>
      </c>
      <c r="AD1000" s="58">
        <f t="shared" si="1214"/>
        <v>0</v>
      </c>
      <c r="AE1000" s="58">
        <f t="shared" si="1214"/>
        <v>0</v>
      </c>
    </row>
    <row r="1001" spans="2:31">
      <c r="B1001" s="60" t="str">
        <f t="shared" si="1191"/>
        <v>Sem3838RUIZ GARCIA  CARLOS RENE</v>
      </c>
      <c r="C1001" s="60" t="str">
        <f t="shared" si="1192"/>
        <v>SEPTIEMBRESem38</v>
      </c>
      <c r="D1001" s="60" t="str">
        <f t="shared" si="1193"/>
        <v>SEPTIEMBRESem38RUIZ GARCIA  CARLOS RENE</v>
      </c>
      <c r="E1001" s="60" t="str">
        <f t="shared" si="1194"/>
        <v>SEPTIEMBRESem3838RUIZ GARCIA  CARLOS RENE</v>
      </c>
      <c r="F1001" s="60" t="str">
        <f t="shared" si="1195"/>
        <v>RUIZ GARCIA  CARLOS RENE46285</v>
      </c>
      <c r="G1001" s="60"/>
      <c r="H1001" s="61" t="s">
        <v>140</v>
      </c>
      <c r="I1001" s="62" t="str">
        <f>+_xlfn.XLOOKUP($H1001&amp;$V1001,BASEDATOS!$B:$B,BASEDATOS!F:F,0,0,1)</f>
        <v>DESCANSO</v>
      </c>
      <c r="J1001" s="63">
        <f>+_xlfn.XLOOKUP($H1001&amp;$V1001,BASEDATOS!$B:$B,BASEDATOS!Q:Q,0,0,1)</f>
        <v>0</v>
      </c>
      <c r="K1001" s="63">
        <f>+_xlfn.XLOOKUP($H1001&amp;$V1001,BASEDATOS!$B:$B,BASEDATOS!R:R,0,0,1)</f>
        <v>0</v>
      </c>
      <c r="L1001" s="63">
        <f t="shared" si="1196"/>
        <v>0</v>
      </c>
      <c r="M1001" s="64">
        <f t="shared" si="1197"/>
        <v>0</v>
      </c>
      <c r="N1001" s="63">
        <f t="shared" si="1198"/>
        <v>0</v>
      </c>
      <c r="O1001" s="65" t="str">
        <f t="shared" ref="O1001" si="1231">+IF(Y1001="Domingo",SUM(AA995:AA1001)&amp;"-"&amp;SUM(AB995:AB1001)&amp;"-"&amp;SUM(AC995:AE1001),"")</f>
        <v>4-0-3</v>
      </c>
      <c r="P1001" s="66">
        <f>+IF(AND(Y1001="Domingo",U1001=7),_xlfn.XLOOKUP(O1001,'Horarios y Sistemas'!C:C,'Horarios y Sistemas'!H:H,0,0,1),0)</f>
        <v>44</v>
      </c>
      <c r="Q1001" s="66">
        <f>IF(U1001=U1002,0,IF(AVERAGEIF(W:W,W1001,U:U)=U1001,0,_xlfn.XLOOKUP(O1001,'Horarios y Sistemas'!C:C,'Horarios y Sistemas'!H:H,0,0,1)-P1001))/7*U1001</f>
        <v>0</v>
      </c>
      <c r="R1001" s="66">
        <f t="shared" si="1200"/>
        <v>44</v>
      </c>
      <c r="S1001" s="67" t="str">
        <f t="shared" si="1201"/>
        <v>SEPTIEMBRE</v>
      </c>
      <c r="T1001" s="55" t="str">
        <f t="shared" si="1202"/>
        <v>Sem38</v>
      </c>
      <c r="U1001" s="68">
        <f t="shared" si="1184"/>
        <v>7</v>
      </c>
      <c r="V1001" s="69">
        <v>46285</v>
      </c>
      <c r="W1001" s="68">
        <f t="shared" si="1203"/>
        <v>38</v>
      </c>
      <c r="X1001" s="68">
        <f t="shared" si="1204"/>
        <v>20</v>
      </c>
      <c r="Y1001" s="68" t="s">
        <v>34</v>
      </c>
      <c r="Z1001" s="68">
        <v>7</v>
      </c>
      <c r="AA1001" s="70">
        <f t="shared" si="1214"/>
        <v>0</v>
      </c>
      <c r="AB1001" s="70">
        <f t="shared" si="1214"/>
        <v>0</v>
      </c>
      <c r="AC1001" s="70">
        <f t="shared" si="1214"/>
        <v>1</v>
      </c>
      <c r="AD1001" s="70">
        <f t="shared" si="1214"/>
        <v>0</v>
      </c>
      <c r="AE1001" s="70">
        <f t="shared" si="1214"/>
        <v>0</v>
      </c>
    </row>
    <row r="1002" spans="2:31">
      <c r="B1002" t="str">
        <f t="shared" si="1191"/>
        <v>Sem3939RUIZ GARCIA  CARLOS RENE</v>
      </c>
      <c r="C1002" t="str">
        <f t="shared" si="1192"/>
        <v>SEPTIEMBRESem39</v>
      </c>
      <c r="D1002" t="str">
        <f t="shared" si="1193"/>
        <v>SEPTIEMBRESem39RUIZ GARCIA  CARLOS RENE</v>
      </c>
      <c r="E1002" t="str">
        <f t="shared" si="1194"/>
        <v>SEPTIEMBRESem3939RUIZ GARCIA  CARLOS RENE</v>
      </c>
      <c r="F1002" t="str">
        <f t="shared" si="1195"/>
        <v>RUIZ GARCIA  CARLOS RENE46286</v>
      </c>
      <c r="H1002" s="49" t="s">
        <v>140</v>
      </c>
      <c r="I1002" s="50" t="str">
        <f>+_xlfn.XLOOKUP($H1002&amp;$V1002,BASEDATOS!$B:$B,BASEDATOS!F:F,0,0,1)</f>
        <v>DIA</v>
      </c>
      <c r="J1002" s="51">
        <f>+_xlfn.XLOOKUP($H1002&amp;$V1002,BASEDATOS!$B:$B,BASEDATOS!Q:Q,0,0,1)</f>
        <v>0.23958333333333301</v>
      </c>
      <c r="K1002" s="51">
        <f>+_xlfn.XLOOKUP($H1002&amp;$V1002,BASEDATOS!$B:$B,BASEDATOS!R:R,0,0,1)</f>
        <v>0.75</v>
      </c>
      <c r="L1002" s="51">
        <f t="shared" si="1196"/>
        <v>0.51041666666666696</v>
      </c>
      <c r="M1002" s="52" t="str">
        <f t="shared" si="1197"/>
        <v>1:00</v>
      </c>
      <c r="N1002" s="51">
        <f t="shared" si="1198"/>
        <v>0.46875000000000028</v>
      </c>
      <c r="O1002" s="53" t="str">
        <f t="shared" ref="O1002" si="1232">+O1008</f>
        <v>6-0-1</v>
      </c>
      <c r="P1002" s="54">
        <f>+IF(AND(Y1002="Domingo",U1002=7),_xlfn.XLOOKUP(O1002,'Horarios y Sistemas'!C:C,'Horarios y Sistemas'!H:H,0,0,1),0)</f>
        <v>0</v>
      </c>
      <c r="Q1002" s="54">
        <f>IF(U1002=U1003,0,IF(AVERAGEIF(W:W,W1002,U:U)=U1002,0,_xlfn.XLOOKUP(O1002,'Horarios y Sistemas'!C:C,'Horarios y Sistemas'!H:H,0,0,1)-P1002))/7*U1002</f>
        <v>0</v>
      </c>
      <c r="R1002" s="54">
        <f t="shared" si="1200"/>
        <v>0</v>
      </c>
      <c r="S1002" s="55" t="str">
        <f t="shared" si="1201"/>
        <v>SEPTIEMBRE</v>
      </c>
      <c r="T1002" s="55" t="str">
        <f t="shared" si="1202"/>
        <v>Sem39</v>
      </c>
      <c r="U1002" s="56">
        <f t="shared" si="1184"/>
        <v>7</v>
      </c>
      <c r="V1002" s="57">
        <v>46286</v>
      </c>
      <c r="W1002" s="56">
        <f t="shared" si="1203"/>
        <v>39</v>
      </c>
      <c r="X1002" s="56">
        <f t="shared" si="1204"/>
        <v>21</v>
      </c>
      <c r="Y1002" s="56" t="s">
        <v>28</v>
      </c>
      <c r="Z1002" s="56">
        <v>1</v>
      </c>
      <c r="AA1002" s="58">
        <f t="shared" si="1214"/>
        <v>1</v>
      </c>
      <c r="AB1002" s="58">
        <f t="shared" si="1214"/>
        <v>0</v>
      </c>
      <c r="AC1002" s="58">
        <f t="shared" si="1214"/>
        <v>0</v>
      </c>
      <c r="AD1002" s="58">
        <f t="shared" si="1214"/>
        <v>0</v>
      </c>
      <c r="AE1002" s="58">
        <f t="shared" si="1214"/>
        <v>0</v>
      </c>
    </row>
    <row r="1003" spans="2:31">
      <c r="B1003" t="str">
        <f t="shared" si="1191"/>
        <v>Sem3939RUIZ GARCIA  CARLOS RENE</v>
      </c>
      <c r="C1003" t="str">
        <f t="shared" si="1192"/>
        <v>SEPTIEMBRESem39</v>
      </c>
      <c r="D1003" t="str">
        <f t="shared" si="1193"/>
        <v>SEPTIEMBRESem39RUIZ GARCIA  CARLOS RENE</v>
      </c>
      <c r="E1003" t="str">
        <f t="shared" si="1194"/>
        <v>SEPTIEMBRESem3939RUIZ GARCIA  CARLOS RENE</v>
      </c>
      <c r="F1003" t="str">
        <f t="shared" si="1195"/>
        <v>RUIZ GARCIA  CARLOS RENE46287</v>
      </c>
      <c r="H1003" s="49" t="s">
        <v>140</v>
      </c>
      <c r="I1003" s="50" t="str">
        <f>+_xlfn.XLOOKUP($H1003&amp;$V1003,BASEDATOS!$B:$B,BASEDATOS!F:F,0,0,1)</f>
        <v>DIA</v>
      </c>
      <c r="J1003" s="51">
        <f>+_xlfn.XLOOKUP($H1003&amp;$V1003,BASEDATOS!$B:$B,BASEDATOS!Q:Q,0,0,1)</f>
        <v>0.23958333333333301</v>
      </c>
      <c r="K1003" s="51">
        <f>+_xlfn.XLOOKUP($H1003&amp;$V1003,BASEDATOS!$B:$B,BASEDATOS!R:R,0,0,1)</f>
        <v>0.75</v>
      </c>
      <c r="L1003" s="51">
        <f t="shared" si="1196"/>
        <v>0.51041666666666696</v>
      </c>
      <c r="M1003" s="52" t="str">
        <f t="shared" si="1197"/>
        <v>1:00</v>
      </c>
      <c r="N1003" s="51">
        <f t="shared" si="1198"/>
        <v>0.46875000000000028</v>
      </c>
      <c r="O1003" s="53" t="str">
        <f t="shared" ref="O1003" si="1233">+O1008</f>
        <v>6-0-1</v>
      </c>
      <c r="P1003" s="54">
        <f>+IF(AND(Y1003="Domingo",U1003=7),_xlfn.XLOOKUP(O1003,'Horarios y Sistemas'!C:C,'Horarios y Sistemas'!H:H,0,0,1),0)</f>
        <v>0</v>
      </c>
      <c r="Q1003" s="54">
        <f>IF(U1003=U1004,0,IF(AVERAGEIF(W:W,W1003,U:U)=U1003,0,_xlfn.XLOOKUP(O1003,'Horarios y Sistemas'!C:C,'Horarios y Sistemas'!H:H,0,0,1)-P1003))/7*U1003</f>
        <v>0</v>
      </c>
      <c r="R1003" s="54">
        <f t="shared" si="1200"/>
        <v>0</v>
      </c>
      <c r="S1003" s="55" t="str">
        <f t="shared" si="1201"/>
        <v>SEPTIEMBRE</v>
      </c>
      <c r="T1003" s="55" t="str">
        <f t="shared" si="1202"/>
        <v>Sem39</v>
      </c>
      <c r="U1003" s="56">
        <f t="shared" si="1184"/>
        <v>7</v>
      </c>
      <c r="V1003" s="59">
        <v>46287</v>
      </c>
      <c r="W1003" s="56">
        <f t="shared" si="1203"/>
        <v>39</v>
      </c>
      <c r="X1003" s="56">
        <f t="shared" si="1204"/>
        <v>22</v>
      </c>
      <c r="Y1003" s="56" t="s">
        <v>29</v>
      </c>
      <c r="Z1003" s="56">
        <v>2</v>
      </c>
      <c r="AA1003" s="58">
        <f t="shared" si="1214"/>
        <v>1</v>
      </c>
      <c r="AB1003" s="58">
        <f t="shared" si="1214"/>
        <v>0</v>
      </c>
      <c r="AC1003" s="58">
        <f t="shared" si="1214"/>
        <v>0</v>
      </c>
      <c r="AD1003" s="58">
        <f t="shared" si="1214"/>
        <v>0</v>
      </c>
      <c r="AE1003" s="58">
        <f t="shared" si="1214"/>
        <v>0</v>
      </c>
    </row>
    <row r="1004" spans="2:31">
      <c r="B1004" t="str">
        <f t="shared" si="1191"/>
        <v>Sem3939RUIZ GARCIA  CARLOS RENE</v>
      </c>
      <c r="C1004" t="str">
        <f t="shared" si="1192"/>
        <v>SEPTIEMBRESem39</v>
      </c>
      <c r="D1004" t="str">
        <f t="shared" si="1193"/>
        <v>SEPTIEMBRESem39RUIZ GARCIA  CARLOS RENE</v>
      </c>
      <c r="E1004" t="str">
        <f t="shared" si="1194"/>
        <v>SEPTIEMBRESem3939RUIZ GARCIA  CARLOS RENE</v>
      </c>
      <c r="F1004" t="str">
        <f t="shared" si="1195"/>
        <v>RUIZ GARCIA  CARLOS RENE46288</v>
      </c>
      <c r="H1004" s="49" t="s">
        <v>140</v>
      </c>
      <c r="I1004" s="50" t="str">
        <f>+_xlfn.XLOOKUP($H1004&amp;$V1004,BASEDATOS!$B:$B,BASEDATOS!F:F,0,0,1)</f>
        <v>DIA</v>
      </c>
      <c r="J1004" s="51">
        <f>+_xlfn.XLOOKUP($H1004&amp;$V1004,BASEDATOS!$B:$B,BASEDATOS!Q:Q,0,0,1)</f>
        <v>0.23958333333333301</v>
      </c>
      <c r="K1004" s="51">
        <f>+_xlfn.XLOOKUP($H1004&amp;$V1004,BASEDATOS!$B:$B,BASEDATOS!R:R,0,0,1)</f>
        <v>0.75</v>
      </c>
      <c r="L1004" s="51">
        <f t="shared" si="1196"/>
        <v>0.51041666666666696</v>
      </c>
      <c r="M1004" s="52" t="str">
        <f t="shared" si="1197"/>
        <v>1:00</v>
      </c>
      <c r="N1004" s="51">
        <f t="shared" si="1198"/>
        <v>0.46875000000000028</v>
      </c>
      <c r="O1004" s="53" t="str">
        <f t="shared" ref="O1004" si="1234">+O1008</f>
        <v>6-0-1</v>
      </c>
      <c r="P1004" s="54">
        <f>+IF(AND(Y1004="Domingo",U1004=7),_xlfn.XLOOKUP(O1004,'Horarios y Sistemas'!C:C,'Horarios y Sistemas'!H:H,0,0,1),0)</f>
        <v>0</v>
      </c>
      <c r="Q1004" s="54">
        <f>IF(U1004=U1005,0,IF(AVERAGEIF(W:W,W1004,U:U)=U1004,0,_xlfn.XLOOKUP(O1004,'Horarios y Sistemas'!C:C,'Horarios y Sistemas'!H:H,0,0,1)-P1004))/7*U1004</f>
        <v>0</v>
      </c>
      <c r="R1004" s="54">
        <f t="shared" si="1200"/>
        <v>0</v>
      </c>
      <c r="S1004" s="55" t="str">
        <f t="shared" si="1201"/>
        <v>SEPTIEMBRE</v>
      </c>
      <c r="T1004" s="55" t="str">
        <f t="shared" si="1202"/>
        <v>Sem39</v>
      </c>
      <c r="U1004" s="56">
        <f t="shared" si="1184"/>
        <v>7</v>
      </c>
      <c r="V1004" s="59">
        <v>46288</v>
      </c>
      <c r="W1004" s="56">
        <f t="shared" si="1203"/>
        <v>39</v>
      </c>
      <c r="X1004" s="56">
        <f t="shared" si="1204"/>
        <v>23</v>
      </c>
      <c r="Y1004" s="56" t="s">
        <v>30</v>
      </c>
      <c r="Z1004" s="56">
        <v>3</v>
      </c>
      <c r="AA1004" s="58">
        <f t="shared" si="1214"/>
        <v>1</v>
      </c>
      <c r="AB1004" s="58">
        <f t="shared" si="1214"/>
        <v>0</v>
      </c>
      <c r="AC1004" s="58">
        <f t="shared" si="1214"/>
        <v>0</v>
      </c>
      <c r="AD1004" s="58">
        <f t="shared" si="1214"/>
        <v>0</v>
      </c>
      <c r="AE1004" s="58">
        <f t="shared" si="1214"/>
        <v>0</v>
      </c>
    </row>
    <row r="1005" spans="2:31">
      <c r="B1005" t="str">
        <f t="shared" si="1191"/>
        <v>Sem3939RUIZ GARCIA  CARLOS RENE</v>
      </c>
      <c r="C1005" t="str">
        <f t="shared" si="1192"/>
        <v>SEPTIEMBRESem39</v>
      </c>
      <c r="D1005" t="str">
        <f t="shared" si="1193"/>
        <v>SEPTIEMBRESem39RUIZ GARCIA  CARLOS RENE</v>
      </c>
      <c r="E1005" t="str">
        <f t="shared" si="1194"/>
        <v>SEPTIEMBRESem3939RUIZ GARCIA  CARLOS RENE</v>
      </c>
      <c r="F1005" t="str">
        <f t="shared" si="1195"/>
        <v>RUIZ GARCIA  CARLOS RENE46289</v>
      </c>
      <c r="H1005" s="49" t="s">
        <v>140</v>
      </c>
      <c r="I1005" s="50" t="str">
        <f>+_xlfn.XLOOKUP($H1005&amp;$V1005,BASEDATOS!$B:$B,BASEDATOS!F:F,0,0,1)</f>
        <v>DIA</v>
      </c>
      <c r="J1005" s="51">
        <f>+_xlfn.XLOOKUP($H1005&amp;$V1005,BASEDATOS!$B:$B,BASEDATOS!Q:Q,0,0,1)</f>
        <v>0.23958333333333301</v>
      </c>
      <c r="K1005" s="51">
        <f>+_xlfn.XLOOKUP($H1005&amp;$V1005,BASEDATOS!$B:$B,BASEDATOS!R:R,0,0,1)</f>
        <v>0.75</v>
      </c>
      <c r="L1005" s="51">
        <f t="shared" si="1196"/>
        <v>0.51041666666666696</v>
      </c>
      <c r="M1005" s="52" t="str">
        <f t="shared" si="1197"/>
        <v>1:00</v>
      </c>
      <c r="N1005" s="51">
        <f t="shared" si="1198"/>
        <v>0.46875000000000028</v>
      </c>
      <c r="O1005" s="53" t="str">
        <f t="shared" ref="O1005" si="1235">+O1008</f>
        <v>6-0-1</v>
      </c>
      <c r="P1005" s="54">
        <f>+IF(AND(Y1005="Domingo",U1005=7),_xlfn.XLOOKUP(O1005,'Horarios y Sistemas'!C:C,'Horarios y Sistemas'!H:H,0,0,1),0)</f>
        <v>0</v>
      </c>
      <c r="Q1005" s="54">
        <f>IF(U1005=U1006,0,IF(AVERAGEIF(W:W,W1005,U:U)=U1005,0,_xlfn.XLOOKUP(O1005,'Horarios y Sistemas'!C:C,'Horarios y Sistemas'!H:H,0,0,1)-P1005))/7*U1005</f>
        <v>0</v>
      </c>
      <c r="R1005" s="54">
        <f t="shared" si="1200"/>
        <v>0</v>
      </c>
      <c r="S1005" s="55" t="str">
        <f t="shared" si="1201"/>
        <v>SEPTIEMBRE</v>
      </c>
      <c r="T1005" s="55" t="str">
        <f t="shared" si="1202"/>
        <v>Sem39</v>
      </c>
      <c r="U1005" s="56">
        <f t="shared" si="1184"/>
        <v>7</v>
      </c>
      <c r="V1005" s="59">
        <v>46289</v>
      </c>
      <c r="W1005" s="56">
        <f t="shared" si="1203"/>
        <v>39</v>
      </c>
      <c r="X1005" s="56">
        <f t="shared" si="1204"/>
        <v>24</v>
      </c>
      <c r="Y1005" s="56" t="s">
        <v>31</v>
      </c>
      <c r="Z1005" s="56">
        <v>4</v>
      </c>
      <c r="AA1005" s="58">
        <f t="shared" si="1214"/>
        <v>1</v>
      </c>
      <c r="AB1005" s="58">
        <f t="shared" si="1214"/>
        <v>0</v>
      </c>
      <c r="AC1005" s="58">
        <f t="shared" si="1214"/>
        <v>0</v>
      </c>
      <c r="AD1005" s="58">
        <f t="shared" si="1214"/>
        <v>0</v>
      </c>
      <c r="AE1005" s="58">
        <f t="shared" si="1214"/>
        <v>0</v>
      </c>
    </row>
    <row r="1006" spans="2:31">
      <c r="B1006" t="str">
        <f t="shared" si="1191"/>
        <v>Sem3939RUIZ GARCIA  CARLOS RENE</v>
      </c>
      <c r="C1006" t="str">
        <f t="shared" si="1192"/>
        <v>SEPTIEMBRESem39</v>
      </c>
      <c r="D1006" t="str">
        <f t="shared" si="1193"/>
        <v>SEPTIEMBRESem39RUIZ GARCIA  CARLOS RENE</v>
      </c>
      <c r="E1006" t="str">
        <f t="shared" si="1194"/>
        <v>SEPTIEMBRESem3939RUIZ GARCIA  CARLOS RENE</v>
      </c>
      <c r="F1006" t="str">
        <f t="shared" si="1195"/>
        <v>RUIZ GARCIA  CARLOS RENE46290</v>
      </c>
      <c r="H1006" s="49" t="s">
        <v>140</v>
      </c>
      <c r="I1006" s="50" t="str">
        <f>+_xlfn.XLOOKUP($H1006&amp;$V1006,BASEDATOS!$B:$B,BASEDATOS!F:F,0,0,1)</f>
        <v>DIA</v>
      </c>
      <c r="J1006" s="51">
        <f>+_xlfn.XLOOKUP($H1006&amp;$V1006,BASEDATOS!$B:$B,BASEDATOS!Q:Q,0,0,1)</f>
        <v>0.23958333333333301</v>
      </c>
      <c r="K1006" s="51">
        <f>+_xlfn.XLOOKUP($H1006&amp;$V1006,BASEDATOS!$B:$B,BASEDATOS!R:R,0,0,1)</f>
        <v>0.75</v>
      </c>
      <c r="L1006" s="51">
        <f t="shared" si="1196"/>
        <v>0.51041666666666696</v>
      </c>
      <c r="M1006" s="52" t="str">
        <f t="shared" si="1197"/>
        <v>1:00</v>
      </c>
      <c r="N1006" s="51">
        <f t="shared" si="1198"/>
        <v>0.46875000000000028</v>
      </c>
      <c r="O1006" s="53" t="str">
        <f t="shared" ref="O1006" si="1236">+O1008</f>
        <v>6-0-1</v>
      </c>
      <c r="P1006" s="54">
        <f>+IF(AND(Y1006="Domingo",U1006=7),_xlfn.XLOOKUP(O1006,'Horarios y Sistemas'!C:C,'Horarios y Sistemas'!H:H,0,0,1),0)</f>
        <v>0</v>
      </c>
      <c r="Q1006" s="54">
        <f>IF(U1006=U1007,0,IF(AVERAGEIF(W:W,W1006,U:U)=U1006,0,_xlfn.XLOOKUP(O1006,'Horarios y Sistemas'!C:C,'Horarios y Sistemas'!H:H,0,0,1)-P1006))/7*U1006</f>
        <v>0</v>
      </c>
      <c r="R1006" s="54">
        <f t="shared" si="1200"/>
        <v>0</v>
      </c>
      <c r="S1006" s="55" t="str">
        <f t="shared" si="1201"/>
        <v>SEPTIEMBRE</v>
      </c>
      <c r="T1006" s="55" t="str">
        <f t="shared" si="1202"/>
        <v>Sem39</v>
      </c>
      <c r="U1006" s="56">
        <f t="shared" si="1184"/>
        <v>7</v>
      </c>
      <c r="V1006" s="59">
        <v>46290</v>
      </c>
      <c r="W1006" s="56">
        <f t="shared" si="1203"/>
        <v>39</v>
      </c>
      <c r="X1006" s="56">
        <f t="shared" si="1204"/>
        <v>25</v>
      </c>
      <c r="Y1006" s="56" t="s">
        <v>32</v>
      </c>
      <c r="Z1006" s="56">
        <v>5</v>
      </c>
      <c r="AA1006" s="58">
        <f t="shared" si="1214"/>
        <v>1</v>
      </c>
      <c r="AB1006" s="58">
        <f t="shared" si="1214"/>
        <v>0</v>
      </c>
      <c r="AC1006" s="58">
        <f t="shared" si="1214"/>
        <v>0</v>
      </c>
      <c r="AD1006" s="58">
        <f t="shared" si="1214"/>
        <v>0</v>
      </c>
      <c r="AE1006" s="58">
        <f t="shared" si="1214"/>
        <v>0</v>
      </c>
    </row>
    <row r="1007" spans="2:31">
      <c r="B1007" t="str">
        <f t="shared" si="1191"/>
        <v>Sem3939RUIZ GARCIA  CARLOS RENE</v>
      </c>
      <c r="C1007" t="str">
        <f t="shared" si="1192"/>
        <v>SEPTIEMBRESem39</v>
      </c>
      <c r="D1007" t="str">
        <f t="shared" si="1193"/>
        <v>SEPTIEMBRESem39RUIZ GARCIA  CARLOS RENE</v>
      </c>
      <c r="E1007" t="str">
        <f t="shared" si="1194"/>
        <v>SEPTIEMBRESem3939RUIZ GARCIA  CARLOS RENE</v>
      </c>
      <c r="F1007" t="str">
        <f t="shared" si="1195"/>
        <v>RUIZ GARCIA  CARLOS RENE46291</v>
      </c>
      <c r="H1007" s="49" t="s">
        <v>140</v>
      </c>
      <c r="I1007" s="50" t="str">
        <f>+_xlfn.XLOOKUP($H1007&amp;$V1007,BASEDATOS!$B:$B,BASEDATOS!F:F,0,0,1)</f>
        <v>DIA</v>
      </c>
      <c r="J1007" s="51">
        <f>+_xlfn.XLOOKUP($H1007&amp;$V1007,BASEDATOS!$B:$B,BASEDATOS!Q:Q,0,0,1)</f>
        <v>0.23958333333333301</v>
      </c>
      <c r="K1007" s="51">
        <f>+_xlfn.XLOOKUP($H1007&amp;$V1007,BASEDATOS!$B:$B,BASEDATOS!R:R,0,0,1)</f>
        <v>0.58333333333333304</v>
      </c>
      <c r="L1007" s="51">
        <f t="shared" si="1196"/>
        <v>0.34375</v>
      </c>
      <c r="M1007" s="52" t="str">
        <f t="shared" si="1197"/>
        <v>1:00</v>
      </c>
      <c r="N1007" s="51">
        <f t="shared" si="1198"/>
        <v>0.30208333333333331</v>
      </c>
      <c r="O1007" s="53" t="str">
        <f t="shared" ref="O1007" si="1237">+O1008</f>
        <v>6-0-1</v>
      </c>
      <c r="P1007" s="54">
        <f>+IF(AND(Y1007="Domingo",U1007=7),_xlfn.XLOOKUP(O1007,'Horarios y Sistemas'!C:C,'Horarios y Sistemas'!H:H,0,0,1),0)</f>
        <v>0</v>
      </c>
      <c r="Q1007" s="54">
        <f>IF(U1007=U1008,0,IF(AVERAGEIF(W:W,W1007,U:U)=U1007,0,_xlfn.XLOOKUP(O1007,'Horarios y Sistemas'!C:C,'Horarios y Sistemas'!H:H,0,0,1)-P1007))/7*U1007</f>
        <v>0</v>
      </c>
      <c r="R1007" s="54">
        <f t="shared" si="1200"/>
        <v>0</v>
      </c>
      <c r="S1007" s="55" t="str">
        <f t="shared" si="1201"/>
        <v>SEPTIEMBRE</v>
      </c>
      <c r="T1007" s="55" t="str">
        <f t="shared" si="1202"/>
        <v>Sem39</v>
      </c>
      <c r="U1007" s="56">
        <f t="shared" si="1184"/>
        <v>7</v>
      </c>
      <c r="V1007" s="59">
        <v>46291</v>
      </c>
      <c r="W1007" s="56">
        <f t="shared" si="1203"/>
        <v>39</v>
      </c>
      <c r="X1007" s="56">
        <f t="shared" si="1204"/>
        <v>26</v>
      </c>
      <c r="Y1007" s="56" t="s">
        <v>33</v>
      </c>
      <c r="Z1007" s="56">
        <v>6</v>
      </c>
      <c r="AA1007" s="58">
        <f t="shared" si="1214"/>
        <v>1</v>
      </c>
      <c r="AB1007" s="58">
        <f t="shared" si="1214"/>
        <v>0</v>
      </c>
      <c r="AC1007" s="58">
        <f t="shared" si="1214"/>
        <v>0</v>
      </c>
      <c r="AD1007" s="58">
        <f t="shared" si="1214"/>
        <v>0</v>
      </c>
      <c r="AE1007" s="58">
        <f t="shared" si="1214"/>
        <v>0</v>
      </c>
    </row>
    <row r="1008" spans="2:31">
      <c r="B1008" s="60" t="str">
        <f t="shared" si="1191"/>
        <v>Sem3939RUIZ GARCIA  CARLOS RENE</v>
      </c>
      <c r="C1008" s="60" t="str">
        <f t="shared" si="1192"/>
        <v>SEPTIEMBRESem39</v>
      </c>
      <c r="D1008" s="60" t="str">
        <f t="shared" si="1193"/>
        <v>SEPTIEMBRESem39RUIZ GARCIA  CARLOS RENE</v>
      </c>
      <c r="E1008" s="60" t="str">
        <f t="shared" si="1194"/>
        <v>SEPTIEMBRESem3939RUIZ GARCIA  CARLOS RENE</v>
      </c>
      <c r="F1008" s="60" t="str">
        <f t="shared" si="1195"/>
        <v>RUIZ GARCIA  CARLOS RENE46292</v>
      </c>
      <c r="G1008" s="60"/>
      <c r="H1008" s="61" t="s">
        <v>140</v>
      </c>
      <c r="I1008" s="62" t="str">
        <f>+_xlfn.XLOOKUP($H1008&amp;$V1008,BASEDATOS!$B:$B,BASEDATOS!F:F,0,0,1)</f>
        <v>DESCANSO</v>
      </c>
      <c r="J1008" s="63">
        <f>+_xlfn.XLOOKUP($H1008&amp;$V1008,BASEDATOS!$B:$B,BASEDATOS!Q:Q,0,0,1)</f>
        <v>0</v>
      </c>
      <c r="K1008" s="63">
        <f>+_xlfn.XLOOKUP($H1008&amp;$V1008,BASEDATOS!$B:$B,BASEDATOS!R:R,0,0,1)</f>
        <v>0</v>
      </c>
      <c r="L1008" s="63">
        <f t="shared" si="1196"/>
        <v>0</v>
      </c>
      <c r="M1008" s="64">
        <f t="shared" si="1197"/>
        <v>0</v>
      </c>
      <c r="N1008" s="63">
        <f t="shared" si="1198"/>
        <v>0</v>
      </c>
      <c r="O1008" s="65" t="str">
        <f t="shared" ref="O1008" si="1238">+IF(Y1008="Domingo",SUM(AA1002:AA1008)&amp;"-"&amp;SUM(AB1002:AB1008)&amp;"-"&amp;SUM(AC1002:AE1008),"")</f>
        <v>6-0-1</v>
      </c>
      <c r="P1008" s="66">
        <f>+IF(AND(Y1008="Domingo",U1008=7),_xlfn.XLOOKUP(O1008,'Horarios y Sistemas'!C:C,'Horarios y Sistemas'!H:H,0,0,1),0)</f>
        <v>44</v>
      </c>
      <c r="Q1008" s="66">
        <f>IF(U1008=U1009,0,IF(AVERAGEIF(W:W,W1008,U:U)=U1008,0,_xlfn.XLOOKUP(O1008,'Horarios y Sistemas'!C:C,'Horarios y Sistemas'!H:H,0,0,1)-P1008))/7*U1008</f>
        <v>0</v>
      </c>
      <c r="R1008" s="66">
        <f t="shared" si="1200"/>
        <v>44</v>
      </c>
      <c r="S1008" s="67" t="str">
        <f t="shared" si="1201"/>
        <v>SEPTIEMBRE</v>
      </c>
      <c r="T1008" s="55" t="str">
        <f t="shared" si="1202"/>
        <v>Sem39</v>
      </c>
      <c r="U1008" s="68">
        <f t="shared" si="1184"/>
        <v>7</v>
      </c>
      <c r="V1008" s="69">
        <v>46292</v>
      </c>
      <c r="W1008" s="68">
        <f t="shared" si="1203"/>
        <v>39</v>
      </c>
      <c r="X1008" s="68">
        <f t="shared" si="1204"/>
        <v>27</v>
      </c>
      <c r="Y1008" s="68" t="s">
        <v>34</v>
      </c>
      <c r="Z1008" s="68">
        <v>7</v>
      </c>
      <c r="AA1008" s="70">
        <f t="shared" si="1214"/>
        <v>0</v>
      </c>
      <c r="AB1008" s="70">
        <f t="shared" si="1214"/>
        <v>0</v>
      </c>
      <c r="AC1008" s="70">
        <f t="shared" si="1214"/>
        <v>1</v>
      </c>
      <c r="AD1008" s="70">
        <f t="shared" si="1214"/>
        <v>0</v>
      </c>
      <c r="AE1008" s="70">
        <f t="shared" si="1214"/>
        <v>0</v>
      </c>
    </row>
    <row r="1009" spans="2:31">
      <c r="B1009" t="str">
        <f t="shared" si="1191"/>
        <v>Sem4040RUIZ GARCIA  CARLOS RENE</v>
      </c>
      <c r="C1009" t="str">
        <f t="shared" si="1192"/>
        <v>SEPTIEMBRESem40</v>
      </c>
      <c r="D1009" t="str">
        <f t="shared" si="1193"/>
        <v>SEPTIEMBRESem40RUIZ GARCIA  CARLOS RENE</v>
      </c>
      <c r="E1009" t="str">
        <f t="shared" si="1194"/>
        <v>SEPTIEMBRESem4040RUIZ GARCIA  CARLOS RENE</v>
      </c>
      <c r="F1009" t="str">
        <f t="shared" si="1195"/>
        <v>RUIZ GARCIA  CARLOS RENE46293</v>
      </c>
      <c r="H1009" s="49" t="s">
        <v>140</v>
      </c>
      <c r="I1009" s="50" t="str">
        <f>+_xlfn.XLOOKUP($H1009&amp;$V1009,BASEDATOS!$B:$B,BASEDATOS!F:F,0,0,1)</f>
        <v>NOCHE</v>
      </c>
      <c r="J1009" s="51">
        <f>+_xlfn.XLOOKUP($H1009&amp;$V1009,BASEDATOS!$B:$B,BASEDATOS!Q:Q,0,0,1)</f>
        <v>0.73958333333333304</v>
      </c>
      <c r="K1009" s="51">
        <f>+_xlfn.XLOOKUP($H1009&amp;$V1009,BASEDATOS!$B:$B,BASEDATOS!R:R,0,0,1)</f>
        <v>0.25</v>
      </c>
      <c r="L1009" s="51">
        <f t="shared" si="1196"/>
        <v>0.51041666666666696</v>
      </c>
      <c r="M1009" s="52" t="str">
        <f t="shared" si="1197"/>
        <v>1:00</v>
      </c>
      <c r="N1009" s="51">
        <f t="shared" si="1198"/>
        <v>0.46875000000000028</v>
      </c>
      <c r="O1009" s="53" t="str">
        <f t="shared" ref="O1009" si="1239">+O1015</f>
        <v>0-5-2</v>
      </c>
      <c r="P1009" s="54">
        <f>+IF(AND(Y1009="Domingo",U1009=7),_xlfn.XLOOKUP(O1009,'Horarios y Sistemas'!C:C,'Horarios y Sistemas'!H:H,0,0,1),0)</f>
        <v>0</v>
      </c>
      <c r="Q1009" s="54">
        <f>IF(U1009=U1010,0,IF(AVERAGEIF(W:W,W1009,U:U)=U1009,0,_xlfn.XLOOKUP(O1009,'Horarios y Sistemas'!C:C,'Horarios y Sistemas'!H:H,0,0,1)-P1009))/7*U1009</f>
        <v>0</v>
      </c>
      <c r="R1009" s="54">
        <f t="shared" si="1200"/>
        <v>0</v>
      </c>
      <c r="S1009" s="55" t="str">
        <f t="shared" si="1201"/>
        <v>SEPTIEMBRE</v>
      </c>
      <c r="T1009" s="55" t="str">
        <f t="shared" si="1202"/>
        <v>Sem40</v>
      </c>
      <c r="U1009" s="56">
        <f t="shared" si="1184"/>
        <v>7</v>
      </c>
      <c r="V1009" s="59">
        <v>46293</v>
      </c>
      <c r="W1009" s="56">
        <f t="shared" si="1203"/>
        <v>40</v>
      </c>
      <c r="X1009" s="56">
        <f t="shared" si="1204"/>
        <v>28</v>
      </c>
      <c r="Y1009" s="56" t="s">
        <v>28</v>
      </c>
      <c r="Z1009" s="56">
        <v>1</v>
      </c>
      <c r="AA1009" s="58">
        <f t="shared" si="1214"/>
        <v>0</v>
      </c>
      <c r="AB1009" s="58">
        <f t="shared" si="1214"/>
        <v>1</v>
      </c>
      <c r="AC1009" s="58">
        <f t="shared" si="1214"/>
        <v>0</v>
      </c>
      <c r="AD1009" s="58">
        <f t="shared" si="1214"/>
        <v>0</v>
      </c>
      <c r="AE1009" s="58">
        <f t="shared" si="1214"/>
        <v>0</v>
      </c>
    </row>
    <row r="1010" spans="2:31">
      <c r="B1010" t="str">
        <f t="shared" si="1191"/>
        <v>Sem4040RUIZ GARCIA  CARLOS RENE</v>
      </c>
      <c r="C1010" t="str">
        <f t="shared" si="1192"/>
        <v>SEPTIEMBRESem40</v>
      </c>
      <c r="D1010" t="str">
        <f t="shared" si="1193"/>
        <v>SEPTIEMBRESem40RUIZ GARCIA  CARLOS RENE</v>
      </c>
      <c r="E1010" t="str">
        <f t="shared" si="1194"/>
        <v>SEPTIEMBRESem4040RUIZ GARCIA  CARLOS RENE</v>
      </c>
      <c r="F1010" t="str">
        <f t="shared" si="1195"/>
        <v>RUIZ GARCIA  CARLOS RENE46294</v>
      </c>
      <c r="H1010" s="49" t="s">
        <v>140</v>
      </c>
      <c r="I1010" s="50" t="str">
        <f>+_xlfn.XLOOKUP($H1010&amp;$V1010,BASEDATOS!$B:$B,BASEDATOS!F:F,0,0,1)</f>
        <v>NOCHE</v>
      </c>
      <c r="J1010" s="51">
        <f>+_xlfn.XLOOKUP($H1010&amp;$V1010,BASEDATOS!$B:$B,BASEDATOS!Q:Q,0,0,1)</f>
        <v>0.73958333333333304</v>
      </c>
      <c r="K1010" s="51">
        <f>+_xlfn.XLOOKUP($H1010&amp;$V1010,BASEDATOS!$B:$B,BASEDATOS!R:R,0,0,1)</f>
        <v>0.25</v>
      </c>
      <c r="L1010" s="51">
        <f t="shared" si="1196"/>
        <v>0.51041666666666696</v>
      </c>
      <c r="M1010" s="52" t="str">
        <f t="shared" si="1197"/>
        <v>1:00</v>
      </c>
      <c r="N1010" s="51">
        <f t="shared" si="1198"/>
        <v>0.46875000000000028</v>
      </c>
      <c r="O1010" s="53" t="str">
        <f t="shared" ref="O1010" si="1240">+O1015</f>
        <v>0-5-2</v>
      </c>
      <c r="P1010" s="54">
        <f>+IF(AND(Y1010="Domingo",U1010=7),_xlfn.XLOOKUP(O1010,'Horarios y Sistemas'!C:C,'Horarios y Sistemas'!H:H,0,0,1),0)</f>
        <v>0</v>
      </c>
      <c r="Q1010" s="54">
        <f>IF(U1010=U1011,0,IF(AVERAGEIF(W:W,W1010,U:U)=U1010,0,_xlfn.XLOOKUP(O1010,'Horarios y Sistemas'!C:C,'Horarios y Sistemas'!H:H,0,0,1)-P1010))/7*U1010</f>
        <v>0</v>
      </c>
      <c r="R1010" s="54">
        <f t="shared" si="1200"/>
        <v>0</v>
      </c>
      <c r="S1010" s="55" t="str">
        <f t="shared" si="1201"/>
        <v>SEPTIEMBRE</v>
      </c>
      <c r="T1010" s="55" t="str">
        <f t="shared" si="1202"/>
        <v>Sem40</v>
      </c>
      <c r="U1010" s="56">
        <f t="shared" si="1184"/>
        <v>7</v>
      </c>
      <c r="V1010" s="59">
        <v>46294</v>
      </c>
      <c r="W1010" s="56">
        <f t="shared" si="1203"/>
        <v>40</v>
      </c>
      <c r="X1010" s="56">
        <f t="shared" si="1204"/>
        <v>29</v>
      </c>
      <c r="Y1010" s="56" t="s">
        <v>29</v>
      </c>
      <c r="Z1010" s="56">
        <v>2</v>
      </c>
      <c r="AA1010" s="58">
        <f t="shared" si="1214"/>
        <v>0</v>
      </c>
      <c r="AB1010" s="58">
        <f t="shared" si="1214"/>
        <v>1</v>
      </c>
      <c r="AC1010" s="58">
        <f t="shared" si="1214"/>
        <v>0</v>
      </c>
      <c r="AD1010" s="58">
        <f t="shared" si="1214"/>
        <v>0</v>
      </c>
      <c r="AE1010" s="58">
        <f t="shared" si="1214"/>
        <v>0</v>
      </c>
    </row>
    <row r="1011" spans="2:31">
      <c r="B1011" t="str">
        <f t="shared" si="1191"/>
        <v>Sem4040RUIZ GARCIA  CARLOS RENE</v>
      </c>
      <c r="C1011" t="str">
        <f t="shared" si="1192"/>
        <v>SEPTIEMBRESem40</v>
      </c>
      <c r="D1011" t="str">
        <f t="shared" si="1193"/>
        <v>SEPTIEMBRESem40RUIZ GARCIA  CARLOS RENE</v>
      </c>
      <c r="E1011" t="str">
        <f t="shared" si="1194"/>
        <v>SEPTIEMBRESem4040RUIZ GARCIA  CARLOS RENE</v>
      </c>
      <c r="F1011" t="str">
        <f t="shared" si="1195"/>
        <v>RUIZ GARCIA  CARLOS RENE46295</v>
      </c>
      <c r="H1011" s="49" t="s">
        <v>140</v>
      </c>
      <c r="I1011" s="50" t="str">
        <f>+_xlfn.XLOOKUP($H1011&amp;$V1011,BASEDATOS!$B:$B,BASEDATOS!F:F,0,0,1)</f>
        <v>NOCHE</v>
      </c>
      <c r="J1011" s="51">
        <f>+_xlfn.XLOOKUP($H1011&amp;$V1011,BASEDATOS!$B:$B,BASEDATOS!Q:Q,0,0,1)</f>
        <v>0.73958333333333304</v>
      </c>
      <c r="K1011" s="51">
        <f>+_xlfn.XLOOKUP($H1011&amp;$V1011,BASEDATOS!$B:$B,BASEDATOS!R:R,0,0,1)</f>
        <v>0.25</v>
      </c>
      <c r="L1011" s="51">
        <f t="shared" si="1196"/>
        <v>0.51041666666666696</v>
      </c>
      <c r="M1011" s="52" t="str">
        <f t="shared" si="1197"/>
        <v>1:00</v>
      </c>
      <c r="N1011" s="51">
        <f t="shared" si="1198"/>
        <v>0.46875000000000028</v>
      </c>
      <c r="O1011" s="53" t="str">
        <f t="shared" ref="O1011" si="1241">+O1015</f>
        <v>0-5-2</v>
      </c>
      <c r="P1011" s="54">
        <f>+IF(AND(Y1011="Domingo",U1011=7),_xlfn.XLOOKUP(O1011,'Horarios y Sistemas'!C:C,'Horarios y Sistemas'!H:H,0,0,1),0)</f>
        <v>0</v>
      </c>
      <c r="Q1011" s="54">
        <f>IF(U1011=U1012,0,IF(AVERAGEIF(W:W,W1011,U:U)=U1011,0,_xlfn.XLOOKUP(O1011,'Horarios y Sistemas'!C:C,'Horarios y Sistemas'!H:H,0,0,1)-P1011))/7*U1011</f>
        <v>0</v>
      </c>
      <c r="R1011" s="54">
        <f t="shared" si="1200"/>
        <v>0</v>
      </c>
      <c r="S1011" s="55" t="str">
        <f t="shared" si="1201"/>
        <v>SEPTIEMBRE</v>
      </c>
      <c r="T1011" s="55" t="str">
        <f t="shared" si="1202"/>
        <v>Sem40</v>
      </c>
      <c r="U1011" s="56">
        <f t="shared" si="1184"/>
        <v>7</v>
      </c>
      <c r="V1011" s="59">
        <v>46295</v>
      </c>
      <c r="W1011" s="56">
        <f t="shared" si="1203"/>
        <v>40</v>
      </c>
      <c r="X1011" s="56">
        <f t="shared" si="1204"/>
        <v>30</v>
      </c>
      <c r="Y1011" s="56" t="s">
        <v>30</v>
      </c>
      <c r="Z1011" s="56">
        <v>3</v>
      </c>
      <c r="AA1011" s="58">
        <f t="shared" si="1214"/>
        <v>0</v>
      </c>
      <c r="AB1011" s="58">
        <f t="shared" si="1214"/>
        <v>1</v>
      </c>
      <c r="AC1011" s="58">
        <f t="shared" si="1214"/>
        <v>0</v>
      </c>
      <c r="AD1011" s="58">
        <f t="shared" si="1214"/>
        <v>0</v>
      </c>
      <c r="AE1011" s="58">
        <f t="shared" si="1214"/>
        <v>0</v>
      </c>
    </row>
    <row r="1012" spans="2:31">
      <c r="B1012" t="str">
        <f t="shared" si="1191"/>
        <v>Sem4040RUIZ GARCIA  CARLOS RENE</v>
      </c>
      <c r="C1012" t="str">
        <f t="shared" si="1192"/>
        <v>OCTUBRESem40</v>
      </c>
      <c r="D1012" t="str">
        <f t="shared" si="1193"/>
        <v>OCTUBRESem40RUIZ GARCIA  CARLOS RENE</v>
      </c>
      <c r="E1012" t="str">
        <f t="shared" si="1194"/>
        <v>OCTUBRESem4040RUIZ GARCIA  CARLOS RENE</v>
      </c>
      <c r="F1012" t="str">
        <f t="shared" si="1195"/>
        <v>RUIZ GARCIA  CARLOS RENE46296</v>
      </c>
      <c r="H1012" s="49" t="s">
        <v>140</v>
      </c>
      <c r="I1012" s="50" t="str">
        <f>+_xlfn.XLOOKUP($H1012&amp;$V1012,BASEDATOS!$B:$B,BASEDATOS!F:F,0,0,1)</f>
        <v>NOCHE</v>
      </c>
      <c r="J1012" s="51">
        <f>+_xlfn.XLOOKUP($H1012&amp;$V1012,BASEDATOS!$B:$B,BASEDATOS!Q:Q,0,0,1)</f>
        <v>0.73958333333333304</v>
      </c>
      <c r="K1012" s="51">
        <f>+_xlfn.XLOOKUP($H1012&amp;$V1012,BASEDATOS!$B:$B,BASEDATOS!R:R,0,0,1)</f>
        <v>0.25</v>
      </c>
      <c r="L1012" s="51">
        <f t="shared" si="1196"/>
        <v>0.51041666666666696</v>
      </c>
      <c r="M1012" s="52" t="str">
        <f t="shared" si="1197"/>
        <v>1:00</v>
      </c>
      <c r="N1012" s="51">
        <f t="shared" si="1198"/>
        <v>0.46875000000000028</v>
      </c>
      <c r="O1012" s="53" t="str">
        <f t="shared" ref="O1012" si="1242">+O1015</f>
        <v>0-5-2</v>
      </c>
      <c r="P1012" s="54">
        <f>+IF(AND(Y1012="Domingo",U1012=7),_xlfn.XLOOKUP(O1012,'Horarios y Sistemas'!C:C,'Horarios y Sistemas'!H:H,0,0,1),0)</f>
        <v>0</v>
      </c>
      <c r="Q1012" s="54">
        <f>IF(U1012=U1013,0,IF(AVERAGEIF(W:W,W1012,U:U)=U1012,0,_xlfn.XLOOKUP(O1012,'Horarios y Sistemas'!C:C,'Horarios y Sistemas'!H:H,0,0,1)-P1012))/7*U1012</f>
        <v>0</v>
      </c>
      <c r="R1012" s="54">
        <f t="shared" si="1200"/>
        <v>0</v>
      </c>
      <c r="S1012" s="55" t="str">
        <f t="shared" si="1201"/>
        <v>OCTUBRE</v>
      </c>
      <c r="T1012" s="55" t="str">
        <f t="shared" si="1202"/>
        <v>Sem40</v>
      </c>
      <c r="U1012" s="56">
        <f t="shared" si="1184"/>
        <v>7</v>
      </c>
      <c r="V1012" s="59">
        <v>46296</v>
      </c>
      <c r="W1012" s="56">
        <f t="shared" si="1203"/>
        <v>40</v>
      </c>
      <c r="X1012" s="56">
        <f t="shared" si="1204"/>
        <v>1</v>
      </c>
      <c r="Y1012" s="56" t="s">
        <v>31</v>
      </c>
      <c r="Z1012" s="56">
        <v>4</v>
      </c>
      <c r="AA1012" s="58">
        <f t="shared" si="1214"/>
        <v>0</v>
      </c>
      <c r="AB1012" s="58">
        <f t="shared" si="1214"/>
        <v>1</v>
      </c>
      <c r="AC1012" s="58">
        <f t="shared" si="1214"/>
        <v>0</v>
      </c>
      <c r="AD1012" s="58">
        <f t="shared" si="1214"/>
        <v>0</v>
      </c>
      <c r="AE1012" s="58">
        <f t="shared" si="1214"/>
        <v>0</v>
      </c>
    </row>
    <row r="1013" spans="2:31">
      <c r="B1013" t="str">
        <f t="shared" si="1191"/>
        <v>Sem4040RUIZ GARCIA  CARLOS RENE</v>
      </c>
      <c r="C1013" t="str">
        <f t="shared" si="1192"/>
        <v>OCTUBRESem40</v>
      </c>
      <c r="D1013" t="str">
        <f t="shared" si="1193"/>
        <v>OCTUBRESem40RUIZ GARCIA  CARLOS RENE</v>
      </c>
      <c r="E1013" t="str">
        <f t="shared" si="1194"/>
        <v>OCTUBRESem4040RUIZ GARCIA  CARLOS RENE</v>
      </c>
      <c r="F1013" t="str">
        <f t="shared" si="1195"/>
        <v>RUIZ GARCIA  CARLOS RENE46297</v>
      </c>
      <c r="H1013" s="49" t="s">
        <v>140</v>
      </c>
      <c r="I1013" s="50" t="str">
        <f>+_xlfn.XLOOKUP($H1013&amp;$V1013,BASEDATOS!$B:$B,BASEDATOS!F:F,0,0,1)</f>
        <v>NOCHE</v>
      </c>
      <c r="J1013" s="51">
        <f>+_xlfn.XLOOKUP($H1013&amp;$V1013,BASEDATOS!$B:$B,BASEDATOS!Q:Q,0,0,1)</f>
        <v>0.73958333333333304</v>
      </c>
      <c r="K1013" s="51">
        <f>+_xlfn.XLOOKUP($H1013&amp;$V1013,BASEDATOS!$B:$B,BASEDATOS!R:R,0,0,1)</f>
        <v>0.25</v>
      </c>
      <c r="L1013" s="51">
        <f t="shared" si="1196"/>
        <v>0.51041666666666696</v>
      </c>
      <c r="M1013" s="52" t="str">
        <f t="shared" si="1197"/>
        <v>1:00</v>
      </c>
      <c r="N1013" s="51">
        <f t="shared" si="1198"/>
        <v>0.46875000000000028</v>
      </c>
      <c r="O1013" s="53" t="str">
        <f t="shared" ref="O1013" si="1243">+O1015</f>
        <v>0-5-2</v>
      </c>
      <c r="P1013" s="54">
        <f>+IF(AND(Y1013="Domingo",U1013=7),_xlfn.XLOOKUP(O1013,'Horarios y Sistemas'!C:C,'Horarios y Sistemas'!H:H,0,0,1),0)</f>
        <v>0</v>
      </c>
      <c r="Q1013" s="54">
        <f>IF(U1013=U1014,0,IF(AVERAGEIF(W:W,W1013,U:U)=U1013,0,_xlfn.XLOOKUP(O1013,'Horarios y Sistemas'!C:C,'Horarios y Sistemas'!H:H,0,0,1)-P1013))/7*U1013</f>
        <v>0</v>
      </c>
      <c r="R1013" s="54">
        <f t="shared" si="1200"/>
        <v>0</v>
      </c>
      <c r="S1013" s="55" t="str">
        <f t="shared" si="1201"/>
        <v>OCTUBRE</v>
      </c>
      <c r="T1013" s="55" t="str">
        <f t="shared" si="1202"/>
        <v>Sem40</v>
      </c>
      <c r="U1013" s="56">
        <f t="shared" si="1184"/>
        <v>7</v>
      </c>
      <c r="V1013" s="59">
        <v>46297</v>
      </c>
      <c r="W1013" s="56">
        <f t="shared" si="1203"/>
        <v>40</v>
      </c>
      <c r="X1013" s="56">
        <f t="shared" si="1204"/>
        <v>2</v>
      </c>
      <c r="Y1013" s="56" t="s">
        <v>32</v>
      </c>
      <c r="Z1013" s="56">
        <v>5</v>
      </c>
      <c r="AA1013" s="58">
        <f t="shared" si="1214"/>
        <v>0</v>
      </c>
      <c r="AB1013" s="58">
        <f t="shared" si="1214"/>
        <v>1</v>
      </c>
      <c r="AC1013" s="58">
        <f t="shared" si="1214"/>
        <v>0</v>
      </c>
      <c r="AD1013" s="58">
        <f t="shared" si="1214"/>
        <v>0</v>
      </c>
      <c r="AE1013" s="58">
        <f t="shared" si="1214"/>
        <v>0</v>
      </c>
    </row>
    <row r="1014" spans="2:31">
      <c r="B1014" t="str">
        <f t="shared" si="1191"/>
        <v>Sem4040RUIZ GARCIA  CARLOS RENE</v>
      </c>
      <c r="C1014" t="str">
        <f t="shared" si="1192"/>
        <v>OCTUBRESem40</v>
      </c>
      <c r="D1014" t="str">
        <f t="shared" si="1193"/>
        <v>OCTUBRESem40RUIZ GARCIA  CARLOS RENE</v>
      </c>
      <c r="E1014" t="str">
        <f t="shared" si="1194"/>
        <v>OCTUBRESem4040RUIZ GARCIA  CARLOS RENE</v>
      </c>
      <c r="F1014" t="str">
        <f t="shared" si="1195"/>
        <v>RUIZ GARCIA  CARLOS RENE46298</v>
      </c>
      <c r="H1014" s="49" t="s">
        <v>140</v>
      </c>
      <c r="I1014" s="50" t="str">
        <f>+_xlfn.XLOOKUP($H1014&amp;$V1014,BASEDATOS!$B:$B,BASEDATOS!F:F,0,0,1)</f>
        <v>DESCANSO</v>
      </c>
      <c r="J1014" s="51">
        <f>+_xlfn.XLOOKUP($H1014&amp;$V1014,BASEDATOS!$B:$B,BASEDATOS!Q:Q,0,0,1)</f>
        <v>0</v>
      </c>
      <c r="K1014" s="51">
        <f>+_xlfn.XLOOKUP($H1014&amp;$V1014,BASEDATOS!$B:$B,BASEDATOS!R:R,0,0,1)</f>
        <v>0</v>
      </c>
      <c r="L1014" s="51">
        <f t="shared" si="1196"/>
        <v>0</v>
      </c>
      <c r="M1014" s="52">
        <f t="shared" si="1197"/>
        <v>0</v>
      </c>
      <c r="N1014" s="51">
        <f t="shared" si="1198"/>
        <v>0</v>
      </c>
      <c r="O1014" s="53" t="str">
        <f t="shared" ref="O1014" si="1244">+O1015</f>
        <v>0-5-2</v>
      </c>
      <c r="P1014" s="54">
        <f>+IF(AND(Y1014="Domingo",U1014=7),_xlfn.XLOOKUP(O1014,'Horarios y Sistemas'!C:C,'Horarios y Sistemas'!H:H,0,0,1),0)</f>
        <v>0</v>
      </c>
      <c r="Q1014" s="54">
        <f>IF(U1014=U1015,0,IF(AVERAGEIF(W:W,W1014,U:U)=U1014,0,_xlfn.XLOOKUP(O1014,'Horarios y Sistemas'!C:C,'Horarios y Sistemas'!H:H,0,0,1)-P1014))/7*U1014</f>
        <v>0</v>
      </c>
      <c r="R1014" s="54">
        <f t="shared" si="1200"/>
        <v>0</v>
      </c>
      <c r="S1014" s="55" t="str">
        <f t="shared" si="1201"/>
        <v>OCTUBRE</v>
      </c>
      <c r="T1014" s="55" t="str">
        <f t="shared" si="1202"/>
        <v>Sem40</v>
      </c>
      <c r="U1014" s="56">
        <f t="shared" si="1184"/>
        <v>7</v>
      </c>
      <c r="V1014" s="59">
        <v>46298</v>
      </c>
      <c r="W1014" s="56">
        <f t="shared" si="1203"/>
        <v>40</v>
      </c>
      <c r="X1014" s="56">
        <f t="shared" si="1204"/>
        <v>3</v>
      </c>
      <c r="Y1014" s="56" t="s">
        <v>33</v>
      </c>
      <c r="Z1014" s="56">
        <v>6</v>
      </c>
      <c r="AA1014" s="58">
        <f t="shared" si="1214"/>
        <v>0</v>
      </c>
      <c r="AB1014" s="58">
        <f t="shared" si="1214"/>
        <v>0</v>
      </c>
      <c r="AC1014" s="58">
        <f t="shared" si="1214"/>
        <v>1</v>
      </c>
      <c r="AD1014" s="58">
        <f t="shared" si="1214"/>
        <v>0</v>
      </c>
      <c r="AE1014" s="58">
        <f t="shared" si="1214"/>
        <v>0</v>
      </c>
    </row>
    <row r="1015" spans="2:31">
      <c r="B1015" s="60" t="str">
        <f t="shared" si="1191"/>
        <v>Sem4040RUIZ GARCIA  CARLOS RENE</v>
      </c>
      <c r="C1015" s="60" t="str">
        <f t="shared" si="1192"/>
        <v>OCTUBRESem40</v>
      </c>
      <c r="D1015" s="60" t="str">
        <f t="shared" si="1193"/>
        <v>OCTUBRESem40RUIZ GARCIA  CARLOS RENE</v>
      </c>
      <c r="E1015" s="60" t="str">
        <f t="shared" si="1194"/>
        <v>OCTUBRESem4040RUIZ GARCIA  CARLOS RENE</v>
      </c>
      <c r="F1015" s="60" t="str">
        <f t="shared" si="1195"/>
        <v>RUIZ GARCIA  CARLOS RENE46299</v>
      </c>
      <c r="G1015" s="60"/>
      <c r="H1015" s="61" t="s">
        <v>140</v>
      </c>
      <c r="I1015" s="62" t="str">
        <f>+_xlfn.XLOOKUP($H1015&amp;$V1015,BASEDATOS!$B:$B,BASEDATOS!F:F,0,0,1)</f>
        <v>DESCANSO</v>
      </c>
      <c r="J1015" s="63">
        <f>+_xlfn.XLOOKUP($H1015&amp;$V1015,BASEDATOS!$B:$B,BASEDATOS!Q:Q,0,0,1)</f>
        <v>0</v>
      </c>
      <c r="K1015" s="63">
        <f>+_xlfn.XLOOKUP($H1015&amp;$V1015,BASEDATOS!$B:$B,BASEDATOS!R:R,0,0,1)</f>
        <v>0</v>
      </c>
      <c r="L1015" s="63">
        <f t="shared" si="1196"/>
        <v>0</v>
      </c>
      <c r="M1015" s="64">
        <f t="shared" si="1197"/>
        <v>0</v>
      </c>
      <c r="N1015" s="63">
        <f t="shared" si="1198"/>
        <v>0</v>
      </c>
      <c r="O1015" s="65" t="str">
        <f t="shared" ref="O1015" si="1245">+IF(Y1015="Domingo",SUM(AA1009:AA1015)&amp;"-"&amp;SUM(AB1009:AB1015)&amp;"-"&amp;SUM(AC1009:AE1015),"")</f>
        <v>0-5-2</v>
      </c>
      <c r="P1015" s="66">
        <f>+IF(AND(Y1015="Domingo",U1015=7),_xlfn.XLOOKUP(O1015,'Horarios y Sistemas'!C:C,'Horarios y Sistemas'!H:H,0,0,1),0)</f>
        <v>36</v>
      </c>
      <c r="Q1015" s="66">
        <f>IF(U1015=U1016,0,IF(AVERAGEIF(W:W,W1015,U:U)=U1015,0,_xlfn.XLOOKUP(O1015,'Horarios y Sistemas'!C:C,'Horarios y Sistemas'!H:H,0,0,1)-P1015))/7*U1015</f>
        <v>0</v>
      </c>
      <c r="R1015" s="66">
        <f t="shared" si="1200"/>
        <v>36</v>
      </c>
      <c r="S1015" s="67" t="str">
        <f t="shared" si="1201"/>
        <v>OCTUBRE</v>
      </c>
      <c r="T1015" s="55" t="str">
        <f t="shared" si="1202"/>
        <v>Sem40</v>
      </c>
      <c r="U1015" s="68">
        <f t="shared" si="1184"/>
        <v>7</v>
      </c>
      <c r="V1015" s="69">
        <v>46299</v>
      </c>
      <c r="W1015" s="68">
        <f t="shared" si="1203"/>
        <v>40</v>
      </c>
      <c r="X1015" s="68">
        <f t="shared" si="1204"/>
        <v>4</v>
      </c>
      <c r="Y1015" s="68" t="s">
        <v>34</v>
      </c>
      <c r="Z1015" s="68">
        <v>7</v>
      </c>
      <c r="AA1015" s="70">
        <f t="shared" si="1214"/>
        <v>0</v>
      </c>
      <c r="AB1015" s="70">
        <f t="shared" si="1214"/>
        <v>0</v>
      </c>
      <c r="AC1015" s="70">
        <f t="shared" si="1214"/>
        <v>1</v>
      </c>
      <c r="AD1015" s="70">
        <f t="shared" si="1214"/>
        <v>0</v>
      </c>
      <c r="AE1015" s="70">
        <f t="shared" si="1214"/>
        <v>0</v>
      </c>
    </row>
    <row r="1016" spans="2:31">
      <c r="B1016" t="str">
        <f t="shared" si="1191"/>
        <v>Sem3838Roberto Misael Aceituno</v>
      </c>
      <c r="C1016" t="str">
        <f t="shared" si="1192"/>
        <v>SEPTIEMBRESem38</v>
      </c>
      <c r="D1016" t="str">
        <f t="shared" si="1193"/>
        <v>SEPTIEMBRESem38Roberto Misael Aceituno</v>
      </c>
      <c r="E1016" t="str">
        <f t="shared" si="1194"/>
        <v>SEPTIEMBRESem3838Roberto Misael Aceituno</v>
      </c>
      <c r="F1016" t="str">
        <f t="shared" si="1195"/>
        <v>Roberto Misael Aceituno46279</v>
      </c>
      <c r="H1016" s="49" t="s">
        <v>231</v>
      </c>
      <c r="I1016" s="50" t="str">
        <f>+_xlfn.XLOOKUP($H1016&amp;$V1016,BASEDATOS!$B:$B,BASEDATOS!F:F,0,0,1)</f>
        <v>DESCANSO</v>
      </c>
      <c r="J1016" s="51">
        <f>+_xlfn.XLOOKUP($H1016&amp;$V1016,BASEDATOS!$B:$B,BASEDATOS!Q:Q,0,0,1)</f>
        <v>0</v>
      </c>
      <c r="K1016" s="51">
        <f>+_xlfn.XLOOKUP($H1016&amp;$V1016,BASEDATOS!$B:$B,BASEDATOS!R:R,0,0,1)</f>
        <v>0</v>
      </c>
      <c r="L1016" s="51">
        <f t="shared" si="1196"/>
        <v>0</v>
      </c>
      <c r="M1016" s="52">
        <f t="shared" si="1197"/>
        <v>0</v>
      </c>
      <c r="N1016" s="51">
        <f t="shared" si="1198"/>
        <v>0</v>
      </c>
      <c r="O1016" s="53" t="str">
        <f t="shared" ref="O1016" si="1246">+O1022</f>
        <v>1-4-2</v>
      </c>
      <c r="P1016" s="54">
        <f>+IF(AND(Y1016="Domingo",U1016=7),_xlfn.XLOOKUP(O1016,'Horarios y Sistemas'!C:C,'Horarios y Sistemas'!H:H,0,0,1),0)</f>
        <v>0</v>
      </c>
      <c r="Q1016" s="54">
        <f>IF(U1016=U1017,0,IF(AVERAGEIF(W:W,W1016,U:U)=U1016,0,_xlfn.XLOOKUP(O1016,'Horarios y Sistemas'!C:C,'Horarios y Sistemas'!H:H,0,0,1)-P1016))/7*U1016</f>
        <v>0</v>
      </c>
      <c r="R1016" s="54">
        <f t="shared" si="1200"/>
        <v>0</v>
      </c>
      <c r="S1016" s="55" t="str">
        <f t="shared" si="1201"/>
        <v>SEPTIEMBRE</v>
      </c>
      <c r="T1016" s="55" t="str">
        <f t="shared" si="1202"/>
        <v>Sem38</v>
      </c>
      <c r="U1016" s="56">
        <f t="shared" si="1184"/>
        <v>7</v>
      </c>
      <c r="V1016" s="59">
        <v>46279</v>
      </c>
      <c r="W1016" s="56">
        <f t="shared" si="1203"/>
        <v>38</v>
      </c>
      <c r="X1016" s="56">
        <f t="shared" si="1204"/>
        <v>14</v>
      </c>
      <c r="Y1016" s="56" t="s">
        <v>28</v>
      </c>
      <c r="Z1016" s="56">
        <v>1</v>
      </c>
      <c r="AA1016" s="58">
        <f t="shared" si="1214"/>
        <v>0</v>
      </c>
      <c r="AB1016" s="58">
        <f t="shared" si="1214"/>
        <v>0</v>
      </c>
      <c r="AC1016" s="58">
        <f t="shared" si="1214"/>
        <v>1</v>
      </c>
      <c r="AD1016" s="58">
        <f t="shared" si="1214"/>
        <v>0</v>
      </c>
      <c r="AE1016" s="58">
        <f t="shared" si="1214"/>
        <v>0</v>
      </c>
    </row>
    <row r="1017" spans="2:31">
      <c r="B1017" t="str">
        <f t="shared" si="1191"/>
        <v>Sem3838Roberto Misael Aceituno</v>
      </c>
      <c r="C1017" t="str">
        <f t="shared" si="1192"/>
        <v>SEPTIEMBRESem38</v>
      </c>
      <c r="D1017" t="str">
        <f t="shared" si="1193"/>
        <v>SEPTIEMBRESem38Roberto Misael Aceituno</v>
      </c>
      <c r="E1017" t="str">
        <f t="shared" si="1194"/>
        <v>SEPTIEMBRESem3838Roberto Misael Aceituno</v>
      </c>
      <c r="F1017" t="str">
        <f t="shared" si="1195"/>
        <v>Roberto Misael Aceituno46280</v>
      </c>
      <c r="H1017" s="49" t="s">
        <v>231</v>
      </c>
      <c r="I1017" s="50" t="str">
        <f>+_xlfn.XLOOKUP($H1017&amp;$V1017,BASEDATOS!$B:$B,BASEDATOS!F:F,0,0,1)</f>
        <v>DIA</v>
      </c>
      <c r="J1017" s="51">
        <f>+_xlfn.XLOOKUP($H1017&amp;$V1017,BASEDATOS!$B:$B,BASEDATOS!Q:Q,0,0,1)</f>
        <v>0.33333333333333298</v>
      </c>
      <c r="K1017" s="51">
        <f>+_xlfn.XLOOKUP($H1017&amp;$V1017,BASEDATOS!$B:$B,BASEDATOS!R:R,0,0,1)</f>
        <v>0.70833333333333304</v>
      </c>
      <c r="L1017" s="51">
        <f t="shared" si="1196"/>
        <v>0.37500000000000006</v>
      </c>
      <c r="M1017" s="52" t="str">
        <f t="shared" si="1197"/>
        <v>1:00</v>
      </c>
      <c r="N1017" s="51">
        <f t="shared" si="1198"/>
        <v>0.33333333333333337</v>
      </c>
      <c r="O1017" s="53" t="str">
        <f t="shared" ref="O1017" si="1247">+O1022</f>
        <v>1-4-2</v>
      </c>
      <c r="P1017" s="54">
        <f>+IF(AND(Y1017="Domingo",U1017=7),_xlfn.XLOOKUP(O1017,'Horarios y Sistemas'!C:C,'Horarios y Sistemas'!H:H,0,0,1),0)</f>
        <v>0</v>
      </c>
      <c r="Q1017" s="54">
        <f>IF(U1017=U1018,0,IF(AVERAGEIF(W:W,W1017,U:U)=U1017,0,_xlfn.XLOOKUP(O1017,'Horarios y Sistemas'!C:C,'Horarios y Sistemas'!H:H,0,0,1)-P1017))/7*U1017</f>
        <v>0</v>
      </c>
      <c r="R1017" s="54">
        <f t="shared" si="1200"/>
        <v>0</v>
      </c>
      <c r="S1017" s="55" t="str">
        <f t="shared" si="1201"/>
        <v>SEPTIEMBRE</v>
      </c>
      <c r="T1017" s="55" t="str">
        <f t="shared" si="1202"/>
        <v>Sem38</v>
      </c>
      <c r="U1017" s="56">
        <f t="shared" si="1184"/>
        <v>7</v>
      </c>
      <c r="V1017" s="59">
        <v>46280</v>
      </c>
      <c r="W1017" s="56">
        <f t="shared" si="1203"/>
        <v>38</v>
      </c>
      <c r="X1017" s="56">
        <f t="shared" si="1204"/>
        <v>15</v>
      </c>
      <c r="Y1017" s="56" t="s">
        <v>29</v>
      </c>
      <c r="Z1017" s="56">
        <v>2</v>
      </c>
      <c r="AA1017" s="58">
        <f t="shared" si="1214"/>
        <v>1</v>
      </c>
      <c r="AB1017" s="58">
        <f t="shared" si="1214"/>
        <v>0</v>
      </c>
      <c r="AC1017" s="58">
        <f t="shared" si="1214"/>
        <v>0</v>
      </c>
      <c r="AD1017" s="58">
        <f t="shared" si="1214"/>
        <v>0</v>
      </c>
      <c r="AE1017" s="58">
        <f t="shared" si="1214"/>
        <v>0</v>
      </c>
    </row>
    <row r="1018" spans="2:31">
      <c r="B1018" t="str">
        <f t="shared" si="1191"/>
        <v>Sem3838Roberto Misael Aceituno</v>
      </c>
      <c r="C1018" t="str">
        <f t="shared" si="1192"/>
        <v>SEPTIEMBRESem38</v>
      </c>
      <c r="D1018" t="str">
        <f t="shared" si="1193"/>
        <v>SEPTIEMBRESem38Roberto Misael Aceituno</v>
      </c>
      <c r="E1018" t="str">
        <f t="shared" si="1194"/>
        <v>SEPTIEMBRESem3838Roberto Misael Aceituno</v>
      </c>
      <c r="F1018" t="str">
        <f t="shared" si="1195"/>
        <v>Roberto Misael Aceituno46281</v>
      </c>
      <c r="H1018" s="49" t="s">
        <v>231</v>
      </c>
      <c r="I1018" s="50" t="str">
        <f>+_xlfn.XLOOKUP($H1018&amp;$V1018,BASEDATOS!$B:$B,BASEDATOS!F:F,0,0,1)</f>
        <v>NOCHE</v>
      </c>
      <c r="J1018" s="51">
        <f>+_xlfn.XLOOKUP($H1018&amp;$V1018,BASEDATOS!$B:$B,BASEDATOS!Q:Q,0,0,1)</f>
        <v>0.75</v>
      </c>
      <c r="K1018" s="51">
        <f>+_xlfn.XLOOKUP($H1018&amp;$V1018,BASEDATOS!$B:$B,BASEDATOS!R:R,0,0,1)</f>
        <v>0.25</v>
      </c>
      <c r="L1018" s="51">
        <f t="shared" si="1196"/>
        <v>0.5</v>
      </c>
      <c r="M1018" s="52" t="str">
        <f t="shared" si="1197"/>
        <v>1:00</v>
      </c>
      <c r="N1018" s="51">
        <f t="shared" si="1198"/>
        <v>0.45833333333333331</v>
      </c>
      <c r="O1018" s="53" t="str">
        <f t="shared" ref="O1018" si="1248">+O1022</f>
        <v>1-4-2</v>
      </c>
      <c r="P1018" s="54">
        <f>+IF(AND(Y1018="Domingo",U1018=7),_xlfn.XLOOKUP(O1018,'Horarios y Sistemas'!C:C,'Horarios y Sistemas'!H:H,0,0,1),0)</f>
        <v>0</v>
      </c>
      <c r="Q1018" s="54">
        <f>IF(U1018=U1019,0,IF(AVERAGEIF(W:W,W1018,U:U)=U1018,0,_xlfn.XLOOKUP(O1018,'Horarios y Sistemas'!C:C,'Horarios y Sistemas'!H:H,0,0,1)-P1018))/7*U1018</f>
        <v>0</v>
      </c>
      <c r="R1018" s="54">
        <f t="shared" si="1200"/>
        <v>0</v>
      </c>
      <c r="S1018" s="55" t="str">
        <f t="shared" si="1201"/>
        <v>SEPTIEMBRE</v>
      </c>
      <c r="T1018" s="55" t="str">
        <f t="shared" si="1202"/>
        <v>Sem38</v>
      </c>
      <c r="U1018" s="56">
        <f t="shared" si="1184"/>
        <v>7</v>
      </c>
      <c r="V1018" s="59">
        <v>46281</v>
      </c>
      <c r="W1018" s="56">
        <f t="shared" si="1203"/>
        <v>38</v>
      </c>
      <c r="X1018" s="56">
        <f t="shared" si="1204"/>
        <v>16</v>
      </c>
      <c r="Y1018" s="56" t="s">
        <v>30</v>
      </c>
      <c r="Z1018" s="56">
        <v>3</v>
      </c>
      <c r="AA1018" s="58">
        <f t="shared" si="1214"/>
        <v>0</v>
      </c>
      <c r="AB1018" s="58">
        <f t="shared" si="1214"/>
        <v>1</v>
      </c>
      <c r="AC1018" s="58">
        <f t="shared" si="1214"/>
        <v>0</v>
      </c>
      <c r="AD1018" s="58">
        <f t="shared" si="1214"/>
        <v>0</v>
      </c>
      <c r="AE1018" s="58">
        <f t="shared" si="1214"/>
        <v>0</v>
      </c>
    </row>
    <row r="1019" spans="2:31">
      <c r="B1019" t="str">
        <f t="shared" si="1191"/>
        <v>Sem3838Roberto Misael Aceituno</v>
      </c>
      <c r="C1019" t="str">
        <f t="shared" si="1192"/>
        <v>SEPTIEMBRESem38</v>
      </c>
      <c r="D1019" t="str">
        <f t="shared" si="1193"/>
        <v>SEPTIEMBRESem38Roberto Misael Aceituno</v>
      </c>
      <c r="E1019" t="str">
        <f t="shared" si="1194"/>
        <v>SEPTIEMBRESem3838Roberto Misael Aceituno</v>
      </c>
      <c r="F1019" t="str">
        <f t="shared" si="1195"/>
        <v>Roberto Misael Aceituno46282</v>
      </c>
      <c r="H1019" s="49" t="s">
        <v>231</v>
      </c>
      <c r="I1019" s="50" t="str">
        <f>+_xlfn.XLOOKUP($H1019&amp;$V1019,BASEDATOS!$B:$B,BASEDATOS!F:F,0,0,1)</f>
        <v>NOCHE</v>
      </c>
      <c r="J1019" s="51">
        <f>+_xlfn.XLOOKUP($H1019&amp;$V1019,BASEDATOS!$B:$B,BASEDATOS!Q:Q,0,0,1)</f>
        <v>0.75</v>
      </c>
      <c r="K1019" s="51">
        <f>+_xlfn.XLOOKUP($H1019&amp;$V1019,BASEDATOS!$B:$B,BASEDATOS!R:R,0,0,1)</f>
        <v>0.25</v>
      </c>
      <c r="L1019" s="51">
        <f t="shared" si="1196"/>
        <v>0.5</v>
      </c>
      <c r="M1019" s="52" t="str">
        <f t="shared" si="1197"/>
        <v>1:00</v>
      </c>
      <c r="N1019" s="51">
        <f t="shared" si="1198"/>
        <v>0.45833333333333331</v>
      </c>
      <c r="O1019" s="53" t="str">
        <f t="shared" ref="O1019" si="1249">+O1022</f>
        <v>1-4-2</v>
      </c>
      <c r="P1019" s="54">
        <f>+IF(AND(Y1019="Domingo",U1019=7),_xlfn.XLOOKUP(O1019,'Horarios y Sistemas'!C:C,'Horarios y Sistemas'!H:H,0,0,1),0)</f>
        <v>0</v>
      </c>
      <c r="Q1019" s="54">
        <f>IF(U1019=U1020,0,IF(AVERAGEIF(W:W,W1019,U:U)=U1019,0,_xlfn.XLOOKUP(O1019,'Horarios y Sistemas'!C:C,'Horarios y Sistemas'!H:H,0,0,1)-P1019))/7*U1019</f>
        <v>0</v>
      </c>
      <c r="R1019" s="54">
        <f t="shared" si="1200"/>
        <v>0</v>
      </c>
      <c r="S1019" s="55" t="str">
        <f t="shared" si="1201"/>
        <v>SEPTIEMBRE</v>
      </c>
      <c r="T1019" s="55" t="str">
        <f t="shared" si="1202"/>
        <v>Sem38</v>
      </c>
      <c r="U1019" s="56">
        <f t="shared" si="1184"/>
        <v>7</v>
      </c>
      <c r="V1019" s="59">
        <v>46282</v>
      </c>
      <c r="W1019" s="56">
        <f t="shared" si="1203"/>
        <v>38</v>
      </c>
      <c r="X1019" s="56">
        <f t="shared" si="1204"/>
        <v>17</v>
      </c>
      <c r="Y1019" s="56" t="s">
        <v>31</v>
      </c>
      <c r="Z1019" s="56">
        <v>4</v>
      </c>
      <c r="AA1019" s="58">
        <f t="shared" si="1214"/>
        <v>0</v>
      </c>
      <c r="AB1019" s="58">
        <f t="shared" si="1214"/>
        <v>1</v>
      </c>
      <c r="AC1019" s="58">
        <f t="shared" si="1214"/>
        <v>0</v>
      </c>
      <c r="AD1019" s="58">
        <f t="shared" si="1214"/>
        <v>0</v>
      </c>
      <c r="AE1019" s="58">
        <f t="shared" si="1214"/>
        <v>0</v>
      </c>
    </row>
    <row r="1020" spans="2:31">
      <c r="B1020" t="str">
        <f t="shared" si="1191"/>
        <v>Sem3838Roberto Misael Aceituno</v>
      </c>
      <c r="C1020" t="str">
        <f t="shared" si="1192"/>
        <v>SEPTIEMBRESem38</v>
      </c>
      <c r="D1020" t="str">
        <f t="shared" si="1193"/>
        <v>SEPTIEMBRESem38Roberto Misael Aceituno</v>
      </c>
      <c r="E1020" t="str">
        <f t="shared" si="1194"/>
        <v>SEPTIEMBRESem3838Roberto Misael Aceituno</v>
      </c>
      <c r="F1020" t="str">
        <f t="shared" si="1195"/>
        <v>Roberto Misael Aceituno46283</v>
      </c>
      <c r="H1020" s="49" t="s">
        <v>231</v>
      </c>
      <c r="I1020" s="50" t="str">
        <f>+_xlfn.XLOOKUP($H1020&amp;$V1020,BASEDATOS!$B:$B,BASEDATOS!F:F,0,0,1)</f>
        <v>NOCHE</v>
      </c>
      <c r="J1020" s="51">
        <f>+_xlfn.XLOOKUP($H1020&amp;$V1020,BASEDATOS!$B:$B,BASEDATOS!Q:Q,0,0,1)</f>
        <v>0.75</v>
      </c>
      <c r="K1020" s="51">
        <f>+_xlfn.XLOOKUP($H1020&amp;$V1020,BASEDATOS!$B:$B,BASEDATOS!R:R,0,0,1)</f>
        <v>0.25</v>
      </c>
      <c r="L1020" s="51">
        <f t="shared" si="1196"/>
        <v>0.5</v>
      </c>
      <c r="M1020" s="52" t="str">
        <f t="shared" si="1197"/>
        <v>1:00</v>
      </c>
      <c r="N1020" s="51">
        <f t="shared" si="1198"/>
        <v>0.45833333333333331</v>
      </c>
      <c r="O1020" s="53" t="str">
        <f t="shared" ref="O1020" si="1250">+O1022</f>
        <v>1-4-2</v>
      </c>
      <c r="P1020" s="54">
        <f>+IF(AND(Y1020="Domingo",U1020=7),_xlfn.XLOOKUP(O1020,'Horarios y Sistemas'!C:C,'Horarios y Sistemas'!H:H,0,0,1),0)</f>
        <v>0</v>
      </c>
      <c r="Q1020" s="54">
        <f>IF(U1020=U1021,0,IF(AVERAGEIF(W:W,W1020,U:U)=U1020,0,_xlfn.XLOOKUP(O1020,'Horarios y Sistemas'!C:C,'Horarios y Sistemas'!H:H,0,0,1)-P1020))/7*U1020</f>
        <v>0</v>
      </c>
      <c r="R1020" s="54">
        <f t="shared" si="1200"/>
        <v>0</v>
      </c>
      <c r="S1020" s="55" t="str">
        <f t="shared" si="1201"/>
        <v>SEPTIEMBRE</v>
      </c>
      <c r="T1020" s="55" t="str">
        <f t="shared" si="1202"/>
        <v>Sem38</v>
      </c>
      <c r="U1020" s="56">
        <f t="shared" si="1184"/>
        <v>7</v>
      </c>
      <c r="V1020" s="59">
        <v>46283</v>
      </c>
      <c r="W1020" s="56">
        <f t="shared" si="1203"/>
        <v>38</v>
      </c>
      <c r="X1020" s="56">
        <f t="shared" si="1204"/>
        <v>18</v>
      </c>
      <c r="Y1020" s="56" t="s">
        <v>32</v>
      </c>
      <c r="Z1020" s="56">
        <v>5</v>
      </c>
      <c r="AA1020" s="58">
        <f t="shared" si="1214"/>
        <v>0</v>
      </c>
      <c r="AB1020" s="58">
        <f t="shared" si="1214"/>
        <v>1</v>
      </c>
      <c r="AC1020" s="58">
        <f t="shared" si="1214"/>
        <v>0</v>
      </c>
      <c r="AD1020" s="58">
        <f t="shared" si="1214"/>
        <v>0</v>
      </c>
      <c r="AE1020" s="58">
        <f t="shared" si="1214"/>
        <v>0</v>
      </c>
    </row>
    <row r="1021" spans="2:31">
      <c r="B1021" t="str">
        <f t="shared" si="1191"/>
        <v>Sem3838Roberto Misael Aceituno</v>
      </c>
      <c r="C1021" t="str">
        <f t="shared" si="1192"/>
        <v>SEPTIEMBRESem38</v>
      </c>
      <c r="D1021" t="str">
        <f t="shared" si="1193"/>
        <v>SEPTIEMBRESem38Roberto Misael Aceituno</v>
      </c>
      <c r="E1021" t="str">
        <f t="shared" si="1194"/>
        <v>SEPTIEMBRESem3838Roberto Misael Aceituno</v>
      </c>
      <c r="F1021" t="str">
        <f t="shared" si="1195"/>
        <v>Roberto Misael Aceituno46284</v>
      </c>
      <c r="H1021" s="49" t="s">
        <v>231</v>
      </c>
      <c r="I1021" s="50" t="str">
        <f>+_xlfn.XLOOKUP($H1021&amp;$V1021,BASEDATOS!$B:$B,BASEDATOS!F:F,0,0,1)</f>
        <v>NOCHE</v>
      </c>
      <c r="J1021" s="51">
        <f>+_xlfn.XLOOKUP($H1021&amp;$V1021,BASEDATOS!$B:$B,BASEDATOS!Q:Q,0,0,1)</f>
        <v>0.75</v>
      </c>
      <c r="K1021" s="51">
        <f>+_xlfn.XLOOKUP($H1021&amp;$V1021,BASEDATOS!$B:$B,BASEDATOS!R:R,0,0,1)</f>
        <v>0.25</v>
      </c>
      <c r="L1021" s="51">
        <f t="shared" si="1196"/>
        <v>0.5</v>
      </c>
      <c r="M1021" s="52" t="str">
        <f t="shared" si="1197"/>
        <v>1:00</v>
      </c>
      <c r="N1021" s="51">
        <f t="shared" si="1198"/>
        <v>0.45833333333333331</v>
      </c>
      <c r="O1021" s="53" t="str">
        <f t="shared" ref="O1021" si="1251">+O1022</f>
        <v>1-4-2</v>
      </c>
      <c r="P1021" s="54">
        <f>+IF(AND(Y1021="Domingo",U1021=7),_xlfn.XLOOKUP(O1021,'Horarios y Sistemas'!C:C,'Horarios y Sistemas'!H:H,0,0,1),0)</f>
        <v>0</v>
      </c>
      <c r="Q1021" s="54">
        <f>IF(U1021=U1022,0,IF(AVERAGEIF(W:W,W1021,U:U)=U1021,0,_xlfn.XLOOKUP(O1021,'Horarios y Sistemas'!C:C,'Horarios y Sistemas'!H:H,0,0,1)-P1021))/7*U1021</f>
        <v>0</v>
      </c>
      <c r="R1021" s="54">
        <f t="shared" si="1200"/>
        <v>0</v>
      </c>
      <c r="S1021" s="55" t="str">
        <f t="shared" si="1201"/>
        <v>SEPTIEMBRE</v>
      </c>
      <c r="T1021" s="55" t="str">
        <f t="shared" si="1202"/>
        <v>Sem38</v>
      </c>
      <c r="U1021" s="56">
        <f t="shared" si="1184"/>
        <v>7</v>
      </c>
      <c r="V1021" s="59">
        <v>46284</v>
      </c>
      <c r="W1021" s="56">
        <f t="shared" si="1203"/>
        <v>38</v>
      </c>
      <c r="X1021" s="56">
        <f t="shared" si="1204"/>
        <v>19</v>
      </c>
      <c r="Y1021" s="56" t="s">
        <v>33</v>
      </c>
      <c r="Z1021" s="56">
        <v>6</v>
      </c>
      <c r="AA1021" s="58">
        <f t="shared" si="1214"/>
        <v>0</v>
      </c>
      <c r="AB1021" s="58">
        <f t="shared" si="1214"/>
        <v>1</v>
      </c>
      <c r="AC1021" s="58">
        <f t="shared" si="1214"/>
        <v>0</v>
      </c>
      <c r="AD1021" s="58">
        <f t="shared" si="1214"/>
        <v>0</v>
      </c>
      <c r="AE1021" s="58">
        <f t="shared" si="1214"/>
        <v>0</v>
      </c>
    </row>
    <row r="1022" spans="2:31">
      <c r="B1022" s="60" t="str">
        <f t="shared" si="1191"/>
        <v>Sem3838Roberto Misael Aceituno</v>
      </c>
      <c r="C1022" s="60" t="str">
        <f t="shared" si="1192"/>
        <v>SEPTIEMBRESem38</v>
      </c>
      <c r="D1022" s="60" t="str">
        <f t="shared" si="1193"/>
        <v>SEPTIEMBRESem38Roberto Misael Aceituno</v>
      </c>
      <c r="E1022" s="60" t="str">
        <f t="shared" si="1194"/>
        <v>SEPTIEMBRESem3838Roberto Misael Aceituno</v>
      </c>
      <c r="F1022" s="60" t="str">
        <f t="shared" si="1195"/>
        <v>Roberto Misael Aceituno46285</v>
      </c>
      <c r="G1022" s="60"/>
      <c r="H1022" s="61" t="s">
        <v>231</v>
      </c>
      <c r="I1022" s="62" t="str">
        <f>+_xlfn.XLOOKUP($H1022&amp;$V1022,BASEDATOS!$B:$B,BASEDATOS!F:F,0,0,1)</f>
        <v>DESCANSO</v>
      </c>
      <c r="J1022" s="63">
        <f>+_xlfn.XLOOKUP($H1022&amp;$V1022,BASEDATOS!$B:$B,BASEDATOS!Q:Q,0,0,1)</f>
        <v>0</v>
      </c>
      <c r="K1022" s="63">
        <f>+_xlfn.XLOOKUP($H1022&amp;$V1022,BASEDATOS!$B:$B,BASEDATOS!R:R,0,0,1)</f>
        <v>0</v>
      </c>
      <c r="L1022" s="63">
        <f t="shared" si="1196"/>
        <v>0</v>
      </c>
      <c r="M1022" s="64">
        <f t="shared" si="1197"/>
        <v>0</v>
      </c>
      <c r="N1022" s="63">
        <f t="shared" si="1198"/>
        <v>0</v>
      </c>
      <c r="O1022" s="65" t="str">
        <f t="shared" ref="O1022" si="1252">+IF(Y1022="Domingo",SUM(AA1016:AA1022)&amp;"-"&amp;SUM(AB1016:AB1022)&amp;"-"&amp;SUM(AC1016:AE1022),"")</f>
        <v>1-4-2</v>
      </c>
      <c r="P1022" s="66">
        <f>+IF(AND(Y1022="Domingo",U1022=7),_xlfn.XLOOKUP(O1022,'Horarios y Sistemas'!C:C,'Horarios y Sistemas'!H:H,0,0,1),0)</f>
        <v>37.6</v>
      </c>
      <c r="Q1022" s="66">
        <f>IF(U1022=U1023,0,IF(AVERAGEIF(W:W,W1022,U:U)=U1022,0,_xlfn.XLOOKUP(O1022,'Horarios y Sistemas'!C:C,'Horarios y Sistemas'!H:H,0,0,1)-P1022))/7*U1022</f>
        <v>0</v>
      </c>
      <c r="R1022" s="66">
        <f t="shared" si="1200"/>
        <v>37.6</v>
      </c>
      <c r="S1022" s="67" t="str">
        <f t="shared" si="1201"/>
        <v>SEPTIEMBRE</v>
      </c>
      <c r="T1022" s="55" t="str">
        <f t="shared" si="1202"/>
        <v>Sem38</v>
      </c>
      <c r="U1022" s="68">
        <f t="shared" si="1184"/>
        <v>7</v>
      </c>
      <c r="V1022" s="69">
        <v>46285</v>
      </c>
      <c r="W1022" s="68">
        <f t="shared" si="1203"/>
        <v>38</v>
      </c>
      <c r="X1022" s="68">
        <f t="shared" si="1204"/>
        <v>20</v>
      </c>
      <c r="Y1022" s="68" t="s">
        <v>34</v>
      </c>
      <c r="Z1022" s="68">
        <v>7</v>
      </c>
      <c r="AA1022" s="70">
        <f t="shared" si="1214"/>
        <v>0</v>
      </c>
      <c r="AB1022" s="70">
        <f t="shared" si="1214"/>
        <v>0</v>
      </c>
      <c r="AC1022" s="70">
        <f t="shared" si="1214"/>
        <v>1</v>
      </c>
      <c r="AD1022" s="70">
        <f t="shared" si="1214"/>
        <v>0</v>
      </c>
      <c r="AE1022" s="70">
        <f t="shared" si="1214"/>
        <v>0</v>
      </c>
    </row>
    <row r="1023" spans="2:31">
      <c r="B1023" t="str">
        <f t="shared" si="1191"/>
        <v>Sem3939Roberto Misael Aceituno</v>
      </c>
      <c r="C1023" t="str">
        <f t="shared" si="1192"/>
        <v>SEPTIEMBRESem39</v>
      </c>
      <c r="D1023" t="str">
        <f t="shared" si="1193"/>
        <v>SEPTIEMBRESem39Roberto Misael Aceituno</v>
      </c>
      <c r="E1023" t="str">
        <f t="shared" si="1194"/>
        <v>SEPTIEMBRESem3939Roberto Misael Aceituno</v>
      </c>
      <c r="F1023" t="str">
        <f t="shared" si="1195"/>
        <v>Roberto Misael Aceituno46286</v>
      </c>
      <c r="H1023" s="49" t="s">
        <v>231</v>
      </c>
      <c r="I1023" s="50" t="str">
        <f>+_xlfn.XLOOKUP($H1023&amp;$V1023,BASEDATOS!$B:$B,BASEDATOS!F:F,0,0,1)</f>
        <v>DIA</v>
      </c>
      <c r="J1023" s="51">
        <f>+_xlfn.XLOOKUP($H1023&amp;$V1023,BASEDATOS!$B:$B,BASEDATOS!Q:Q,0,0,1)</f>
        <v>0.29166666666666702</v>
      </c>
      <c r="K1023" s="51">
        <f>+_xlfn.XLOOKUP($H1023&amp;$V1023,BASEDATOS!$B:$B,BASEDATOS!R:R,0,0,1)</f>
        <v>0.70833333333333304</v>
      </c>
      <c r="L1023" s="51">
        <f t="shared" si="1196"/>
        <v>0.41666666666666602</v>
      </c>
      <c r="M1023" s="52" t="str">
        <f t="shared" si="1197"/>
        <v>1:00</v>
      </c>
      <c r="N1023" s="51">
        <f t="shared" si="1198"/>
        <v>0.37499999999999933</v>
      </c>
      <c r="O1023" s="53" t="str">
        <f t="shared" ref="O1023" si="1253">+O1029</f>
        <v>5-0-2</v>
      </c>
      <c r="P1023" s="54">
        <f>+IF(AND(Y1023="Domingo",U1023=7),_xlfn.XLOOKUP(O1023,'Horarios y Sistemas'!C:C,'Horarios y Sistemas'!H:H,0,0,1),0)</f>
        <v>0</v>
      </c>
      <c r="Q1023" s="54">
        <f>IF(U1023=U1024,0,IF(AVERAGEIF(W:W,W1023,U:U)=U1023,0,_xlfn.XLOOKUP(O1023,'Horarios y Sistemas'!C:C,'Horarios y Sistemas'!H:H,0,0,1)-P1023))/7*U1023</f>
        <v>0</v>
      </c>
      <c r="R1023" s="54">
        <f t="shared" si="1200"/>
        <v>0</v>
      </c>
      <c r="S1023" s="55" t="str">
        <f t="shared" si="1201"/>
        <v>SEPTIEMBRE</v>
      </c>
      <c r="T1023" s="55" t="str">
        <f t="shared" si="1202"/>
        <v>Sem39</v>
      </c>
      <c r="U1023" s="56">
        <f t="shared" si="1184"/>
        <v>7</v>
      </c>
      <c r="V1023" s="57">
        <v>46286</v>
      </c>
      <c r="W1023" s="56">
        <f t="shared" si="1203"/>
        <v>39</v>
      </c>
      <c r="X1023" s="56">
        <f t="shared" si="1204"/>
        <v>21</v>
      </c>
      <c r="Y1023" s="56" t="s">
        <v>28</v>
      </c>
      <c r="Z1023" s="56">
        <v>1</v>
      </c>
      <c r="AA1023" s="58">
        <f t="shared" si="1214"/>
        <v>1</v>
      </c>
      <c r="AB1023" s="58">
        <f t="shared" si="1214"/>
        <v>0</v>
      </c>
      <c r="AC1023" s="58">
        <f t="shared" si="1214"/>
        <v>0</v>
      </c>
      <c r="AD1023" s="58">
        <f t="shared" si="1214"/>
        <v>0</v>
      </c>
      <c r="AE1023" s="58">
        <f t="shared" si="1214"/>
        <v>0</v>
      </c>
    </row>
    <row r="1024" spans="2:31">
      <c r="B1024" t="str">
        <f t="shared" si="1191"/>
        <v>Sem3939Roberto Misael Aceituno</v>
      </c>
      <c r="C1024" t="str">
        <f t="shared" si="1192"/>
        <v>SEPTIEMBRESem39</v>
      </c>
      <c r="D1024" t="str">
        <f t="shared" si="1193"/>
        <v>SEPTIEMBRESem39Roberto Misael Aceituno</v>
      </c>
      <c r="E1024" t="str">
        <f t="shared" si="1194"/>
        <v>SEPTIEMBRESem3939Roberto Misael Aceituno</v>
      </c>
      <c r="F1024" t="str">
        <f t="shared" si="1195"/>
        <v>Roberto Misael Aceituno46287</v>
      </c>
      <c r="H1024" s="49" t="s">
        <v>231</v>
      </c>
      <c r="I1024" s="50" t="str">
        <f>+_xlfn.XLOOKUP($H1024&amp;$V1024,BASEDATOS!$B:$B,BASEDATOS!F:F,0,0,1)</f>
        <v>DIA</v>
      </c>
      <c r="J1024" s="51">
        <f>+_xlfn.XLOOKUP($H1024&amp;$V1024,BASEDATOS!$B:$B,BASEDATOS!Q:Q,0,0,1)</f>
        <v>0.29166666666666702</v>
      </c>
      <c r="K1024" s="51">
        <f>+_xlfn.XLOOKUP($H1024&amp;$V1024,BASEDATOS!$B:$B,BASEDATOS!R:R,0,0,1)</f>
        <v>0.70833333333333304</v>
      </c>
      <c r="L1024" s="51">
        <f t="shared" si="1196"/>
        <v>0.41666666666666602</v>
      </c>
      <c r="M1024" s="52" t="str">
        <f t="shared" si="1197"/>
        <v>1:00</v>
      </c>
      <c r="N1024" s="51">
        <f t="shared" si="1198"/>
        <v>0.37499999999999933</v>
      </c>
      <c r="O1024" s="53" t="str">
        <f t="shared" ref="O1024" si="1254">+O1029</f>
        <v>5-0-2</v>
      </c>
      <c r="P1024" s="54">
        <f>+IF(AND(Y1024="Domingo",U1024=7),_xlfn.XLOOKUP(O1024,'Horarios y Sistemas'!C:C,'Horarios y Sistemas'!H:H,0,0,1),0)</f>
        <v>0</v>
      </c>
      <c r="Q1024" s="54">
        <f>IF(U1024=U1025,0,IF(AVERAGEIF(W:W,W1024,U:U)=U1024,0,_xlfn.XLOOKUP(O1024,'Horarios y Sistemas'!C:C,'Horarios y Sistemas'!H:H,0,0,1)-P1024))/7*U1024</f>
        <v>0</v>
      </c>
      <c r="R1024" s="54">
        <f t="shared" si="1200"/>
        <v>0</v>
      </c>
      <c r="S1024" s="55" t="str">
        <f t="shared" si="1201"/>
        <v>SEPTIEMBRE</v>
      </c>
      <c r="T1024" s="55" t="str">
        <f t="shared" si="1202"/>
        <v>Sem39</v>
      </c>
      <c r="U1024" s="56">
        <f t="shared" si="1184"/>
        <v>7</v>
      </c>
      <c r="V1024" s="59">
        <v>46287</v>
      </c>
      <c r="W1024" s="56">
        <f t="shared" si="1203"/>
        <v>39</v>
      </c>
      <c r="X1024" s="56">
        <f t="shared" si="1204"/>
        <v>22</v>
      </c>
      <c r="Y1024" s="56" t="s">
        <v>29</v>
      </c>
      <c r="Z1024" s="56">
        <v>2</v>
      </c>
      <c r="AA1024" s="58">
        <f t="shared" si="1214"/>
        <v>1</v>
      </c>
      <c r="AB1024" s="58">
        <f t="shared" si="1214"/>
        <v>0</v>
      </c>
      <c r="AC1024" s="58">
        <f t="shared" si="1214"/>
        <v>0</v>
      </c>
      <c r="AD1024" s="58">
        <f t="shared" si="1214"/>
        <v>0</v>
      </c>
      <c r="AE1024" s="58">
        <f t="shared" si="1214"/>
        <v>0</v>
      </c>
    </row>
    <row r="1025" spans="2:31">
      <c r="B1025" t="str">
        <f t="shared" si="1191"/>
        <v>Sem3939Roberto Misael Aceituno</v>
      </c>
      <c r="C1025" t="str">
        <f t="shared" si="1192"/>
        <v>SEPTIEMBRESem39</v>
      </c>
      <c r="D1025" t="str">
        <f t="shared" si="1193"/>
        <v>SEPTIEMBRESem39Roberto Misael Aceituno</v>
      </c>
      <c r="E1025" t="str">
        <f t="shared" si="1194"/>
        <v>SEPTIEMBRESem3939Roberto Misael Aceituno</v>
      </c>
      <c r="F1025" t="str">
        <f t="shared" si="1195"/>
        <v>Roberto Misael Aceituno46288</v>
      </c>
      <c r="H1025" s="49" t="s">
        <v>231</v>
      </c>
      <c r="I1025" s="50" t="str">
        <f>+_xlfn.XLOOKUP($H1025&amp;$V1025,BASEDATOS!$B:$B,BASEDATOS!F:F,0,0,1)</f>
        <v>DIA</v>
      </c>
      <c r="J1025" s="51">
        <f>+_xlfn.XLOOKUP($H1025&amp;$V1025,BASEDATOS!$B:$B,BASEDATOS!Q:Q,0,0,1)</f>
        <v>0.29166666666666702</v>
      </c>
      <c r="K1025" s="51">
        <f>+_xlfn.XLOOKUP($H1025&amp;$V1025,BASEDATOS!$B:$B,BASEDATOS!R:R,0,0,1)</f>
        <v>0.70833333333333304</v>
      </c>
      <c r="L1025" s="51">
        <f t="shared" si="1196"/>
        <v>0.41666666666666602</v>
      </c>
      <c r="M1025" s="52" t="str">
        <f t="shared" si="1197"/>
        <v>1:00</v>
      </c>
      <c r="N1025" s="51">
        <f t="shared" si="1198"/>
        <v>0.37499999999999933</v>
      </c>
      <c r="O1025" s="53" t="str">
        <f t="shared" ref="O1025" si="1255">+O1029</f>
        <v>5-0-2</v>
      </c>
      <c r="P1025" s="54">
        <f>+IF(AND(Y1025="Domingo",U1025=7),_xlfn.XLOOKUP(O1025,'Horarios y Sistemas'!C:C,'Horarios y Sistemas'!H:H,0,0,1),0)</f>
        <v>0</v>
      </c>
      <c r="Q1025" s="54">
        <f>IF(U1025=U1026,0,IF(AVERAGEIF(W:W,W1025,U:U)=U1025,0,_xlfn.XLOOKUP(O1025,'Horarios y Sistemas'!C:C,'Horarios y Sistemas'!H:H,0,0,1)-P1025))/7*U1025</f>
        <v>0</v>
      </c>
      <c r="R1025" s="54">
        <f t="shared" si="1200"/>
        <v>0</v>
      </c>
      <c r="S1025" s="55" t="str">
        <f t="shared" si="1201"/>
        <v>SEPTIEMBRE</v>
      </c>
      <c r="T1025" s="55" t="str">
        <f t="shared" si="1202"/>
        <v>Sem39</v>
      </c>
      <c r="U1025" s="56">
        <f t="shared" si="1184"/>
        <v>7</v>
      </c>
      <c r="V1025" s="59">
        <v>46288</v>
      </c>
      <c r="W1025" s="56">
        <f t="shared" si="1203"/>
        <v>39</v>
      </c>
      <c r="X1025" s="56">
        <f t="shared" si="1204"/>
        <v>23</v>
      </c>
      <c r="Y1025" s="56" t="s">
        <v>30</v>
      </c>
      <c r="Z1025" s="56">
        <v>3</v>
      </c>
      <c r="AA1025" s="58">
        <f t="shared" si="1214"/>
        <v>1</v>
      </c>
      <c r="AB1025" s="58">
        <f t="shared" si="1214"/>
        <v>0</v>
      </c>
      <c r="AC1025" s="58">
        <f t="shared" si="1214"/>
        <v>0</v>
      </c>
      <c r="AD1025" s="58">
        <f t="shared" si="1214"/>
        <v>0</v>
      </c>
      <c r="AE1025" s="58">
        <f t="shared" si="1214"/>
        <v>0</v>
      </c>
    </row>
    <row r="1026" spans="2:31">
      <c r="B1026" t="str">
        <f t="shared" si="1191"/>
        <v>Sem3939Roberto Misael Aceituno</v>
      </c>
      <c r="C1026" t="str">
        <f t="shared" si="1192"/>
        <v>SEPTIEMBRESem39</v>
      </c>
      <c r="D1026" t="str">
        <f t="shared" si="1193"/>
        <v>SEPTIEMBRESem39Roberto Misael Aceituno</v>
      </c>
      <c r="E1026" t="str">
        <f t="shared" si="1194"/>
        <v>SEPTIEMBRESem3939Roberto Misael Aceituno</v>
      </c>
      <c r="F1026" t="str">
        <f t="shared" si="1195"/>
        <v>Roberto Misael Aceituno46289</v>
      </c>
      <c r="H1026" s="49" t="s">
        <v>231</v>
      </c>
      <c r="I1026" s="50" t="str">
        <f>+_xlfn.XLOOKUP($H1026&amp;$V1026,BASEDATOS!$B:$B,BASEDATOS!F:F,0,0,1)</f>
        <v>DIA</v>
      </c>
      <c r="J1026" s="51">
        <f>+_xlfn.XLOOKUP($H1026&amp;$V1026,BASEDATOS!$B:$B,BASEDATOS!Q:Q,0,0,1)</f>
        <v>0.29166666666666702</v>
      </c>
      <c r="K1026" s="51">
        <f>+_xlfn.XLOOKUP($H1026&amp;$V1026,BASEDATOS!$B:$B,BASEDATOS!R:R,0,0,1)</f>
        <v>0.70833333333333304</v>
      </c>
      <c r="L1026" s="51">
        <f t="shared" si="1196"/>
        <v>0.41666666666666602</v>
      </c>
      <c r="M1026" s="52" t="str">
        <f t="shared" si="1197"/>
        <v>1:00</v>
      </c>
      <c r="N1026" s="51">
        <f t="shared" si="1198"/>
        <v>0.37499999999999933</v>
      </c>
      <c r="O1026" s="53" t="str">
        <f t="shared" ref="O1026" si="1256">+O1029</f>
        <v>5-0-2</v>
      </c>
      <c r="P1026" s="54">
        <f>+IF(AND(Y1026="Domingo",U1026=7),_xlfn.XLOOKUP(O1026,'Horarios y Sistemas'!C:C,'Horarios y Sistemas'!H:H,0,0,1),0)</f>
        <v>0</v>
      </c>
      <c r="Q1026" s="54">
        <f>IF(U1026=U1027,0,IF(AVERAGEIF(W:W,W1026,U:U)=U1026,0,_xlfn.XLOOKUP(O1026,'Horarios y Sistemas'!C:C,'Horarios y Sistemas'!H:H,0,0,1)-P1026))/7*U1026</f>
        <v>0</v>
      </c>
      <c r="R1026" s="54">
        <f t="shared" si="1200"/>
        <v>0</v>
      </c>
      <c r="S1026" s="55" t="str">
        <f t="shared" si="1201"/>
        <v>SEPTIEMBRE</v>
      </c>
      <c r="T1026" s="55" t="str">
        <f t="shared" si="1202"/>
        <v>Sem39</v>
      </c>
      <c r="U1026" s="56">
        <f t="shared" si="1184"/>
        <v>7</v>
      </c>
      <c r="V1026" s="59">
        <v>46289</v>
      </c>
      <c r="W1026" s="56">
        <f t="shared" si="1203"/>
        <v>39</v>
      </c>
      <c r="X1026" s="56">
        <f t="shared" si="1204"/>
        <v>24</v>
      </c>
      <c r="Y1026" s="56" t="s">
        <v>31</v>
      </c>
      <c r="Z1026" s="56">
        <v>4</v>
      </c>
      <c r="AA1026" s="58">
        <f t="shared" si="1214"/>
        <v>1</v>
      </c>
      <c r="AB1026" s="58">
        <f t="shared" si="1214"/>
        <v>0</v>
      </c>
      <c r="AC1026" s="58">
        <f t="shared" si="1214"/>
        <v>0</v>
      </c>
      <c r="AD1026" s="58">
        <f t="shared" si="1214"/>
        <v>0</v>
      </c>
      <c r="AE1026" s="58">
        <f t="shared" si="1214"/>
        <v>0</v>
      </c>
    </row>
    <row r="1027" spans="2:31">
      <c r="B1027" t="str">
        <f t="shared" si="1191"/>
        <v>Sem3939Roberto Misael Aceituno</v>
      </c>
      <c r="C1027" t="str">
        <f t="shared" si="1192"/>
        <v>SEPTIEMBRESem39</v>
      </c>
      <c r="D1027" t="str">
        <f t="shared" si="1193"/>
        <v>SEPTIEMBRESem39Roberto Misael Aceituno</v>
      </c>
      <c r="E1027" t="str">
        <f t="shared" si="1194"/>
        <v>SEPTIEMBRESem3939Roberto Misael Aceituno</v>
      </c>
      <c r="F1027" t="str">
        <f t="shared" si="1195"/>
        <v>Roberto Misael Aceituno46290</v>
      </c>
      <c r="H1027" s="49" t="s">
        <v>231</v>
      </c>
      <c r="I1027" s="50" t="str">
        <f>+_xlfn.XLOOKUP($H1027&amp;$V1027,BASEDATOS!$B:$B,BASEDATOS!F:F,0,0,1)</f>
        <v>DIA</v>
      </c>
      <c r="J1027" s="51">
        <f>+_xlfn.XLOOKUP($H1027&amp;$V1027,BASEDATOS!$B:$B,BASEDATOS!Q:Q,0,0,1)</f>
        <v>0.29166666666666702</v>
      </c>
      <c r="K1027" s="51">
        <f>+_xlfn.XLOOKUP($H1027&amp;$V1027,BASEDATOS!$B:$B,BASEDATOS!R:R,0,0,1)</f>
        <v>0.66666666666666696</v>
      </c>
      <c r="L1027" s="51">
        <f t="shared" si="1196"/>
        <v>0.37499999999999994</v>
      </c>
      <c r="M1027" s="52" t="str">
        <f t="shared" si="1197"/>
        <v>1:00</v>
      </c>
      <c r="N1027" s="51">
        <f t="shared" si="1198"/>
        <v>0.33333333333333326</v>
      </c>
      <c r="O1027" s="53" t="str">
        <f t="shared" ref="O1027" si="1257">+O1029</f>
        <v>5-0-2</v>
      </c>
      <c r="P1027" s="54">
        <f>+IF(AND(Y1027="Domingo",U1027=7),_xlfn.XLOOKUP(O1027,'Horarios y Sistemas'!C:C,'Horarios y Sistemas'!H:H,0,0,1),0)</f>
        <v>0</v>
      </c>
      <c r="Q1027" s="54">
        <f>IF(U1027=U1028,0,IF(AVERAGEIF(W:W,W1027,U:U)=U1027,0,_xlfn.XLOOKUP(O1027,'Horarios y Sistemas'!C:C,'Horarios y Sistemas'!H:H,0,0,1)-P1027))/7*U1027</f>
        <v>0</v>
      </c>
      <c r="R1027" s="54">
        <f t="shared" si="1200"/>
        <v>0</v>
      </c>
      <c r="S1027" s="55" t="str">
        <f t="shared" si="1201"/>
        <v>SEPTIEMBRE</v>
      </c>
      <c r="T1027" s="55" t="str">
        <f t="shared" si="1202"/>
        <v>Sem39</v>
      </c>
      <c r="U1027" s="56">
        <f t="shared" si="1184"/>
        <v>7</v>
      </c>
      <c r="V1027" s="59">
        <v>46290</v>
      </c>
      <c r="W1027" s="56">
        <f t="shared" si="1203"/>
        <v>39</v>
      </c>
      <c r="X1027" s="56">
        <f t="shared" si="1204"/>
        <v>25</v>
      </c>
      <c r="Y1027" s="56" t="s">
        <v>32</v>
      </c>
      <c r="Z1027" s="56">
        <v>5</v>
      </c>
      <c r="AA1027" s="58">
        <f t="shared" si="1214"/>
        <v>1</v>
      </c>
      <c r="AB1027" s="58">
        <f t="shared" si="1214"/>
        <v>0</v>
      </c>
      <c r="AC1027" s="58">
        <f t="shared" si="1214"/>
        <v>0</v>
      </c>
      <c r="AD1027" s="58">
        <f t="shared" si="1214"/>
        <v>0</v>
      </c>
      <c r="AE1027" s="58">
        <f t="shared" si="1214"/>
        <v>0</v>
      </c>
    </row>
    <row r="1028" spans="2:31">
      <c r="B1028" t="str">
        <f t="shared" si="1191"/>
        <v>Sem3939Roberto Misael Aceituno</v>
      </c>
      <c r="C1028" t="str">
        <f t="shared" si="1192"/>
        <v>SEPTIEMBRESem39</v>
      </c>
      <c r="D1028" t="str">
        <f t="shared" si="1193"/>
        <v>SEPTIEMBRESem39Roberto Misael Aceituno</v>
      </c>
      <c r="E1028" t="str">
        <f t="shared" si="1194"/>
        <v>SEPTIEMBRESem3939Roberto Misael Aceituno</v>
      </c>
      <c r="F1028" t="str">
        <f t="shared" si="1195"/>
        <v>Roberto Misael Aceituno46291</v>
      </c>
      <c r="H1028" s="49" t="s">
        <v>231</v>
      </c>
      <c r="I1028" s="50" t="str">
        <f>+_xlfn.XLOOKUP($H1028&amp;$V1028,BASEDATOS!$B:$B,BASEDATOS!F:F,0,0,1)</f>
        <v>DESCANSO</v>
      </c>
      <c r="J1028" s="51">
        <f>+_xlfn.XLOOKUP($H1028&amp;$V1028,BASEDATOS!$B:$B,BASEDATOS!Q:Q,0,0,1)</f>
        <v>0</v>
      </c>
      <c r="K1028" s="51">
        <f>+_xlfn.XLOOKUP($H1028&amp;$V1028,BASEDATOS!$B:$B,BASEDATOS!R:R,0,0,1)</f>
        <v>0</v>
      </c>
      <c r="L1028" s="51">
        <f t="shared" si="1196"/>
        <v>0</v>
      </c>
      <c r="M1028" s="52">
        <f t="shared" si="1197"/>
        <v>0</v>
      </c>
      <c r="N1028" s="51">
        <f t="shared" si="1198"/>
        <v>0</v>
      </c>
      <c r="O1028" s="53" t="str">
        <f t="shared" ref="O1028" si="1258">+O1029</f>
        <v>5-0-2</v>
      </c>
      <c r="P1028" s="54">
        <f>+IF(AND(Y1028="Domingo",U1028=7),_xlfn.XLOOKUP(O1028,'Horarios y Sistemas'!C:C,'Horarios y Sistemas'!H:H,0,0,1),0)</f>
        <v>0</v>
      </c>
      <c r="Q1028" s="54">
        <f>IF(U1028=U1029,0,IF(AVERAGEIF(W:W,W1028,U:U)=U1028,0,_xlfn.XLOOKUP(O1028,'Horarios y Sistemas'!C:C,'Horarios y Sistemas'!H:H,0,0,1)-P1028))/7*U1028</f>
        <v>0</v>
      </c>
      <c r="R1028" s="54">
        <f t="shared" si="1200"/>
        <v>0</v>
      </c>
      <c r="S1028" s="55" t="str">
        <f t="shared" si="1201"/>
        <v>SEPTIEMBRE</v>
      </c>
      <c r="T1028" s="55" t="str">
        <f t="shared" si="1202"/>
        <v>Sem39</v>
      </c>
      <c r="U1028" s="56">
        <f t="shared" si="1184"/>
        <v>7</v>
      </c>
      <c r="V1028" s="59">
        <v>46291</v>
      </c>
      <c r="W1028" s="56">
        <f t="shared" si="1203"/>
        <v>39</v>
      </c>
      <c r="X1028" s="56">
        <f t="shared" si="1204"/>
        <v>26</v>
      </c>
      <c r="Y1028" s="56" t="s">
        <v>33</v>
      </c>
      <c r="Z1028" s="56">
        <v>6</v>
      </c>
      <c r="AA1028" s="58">
        <f t="shared" si="1214"/>
        <v>0</v>
      </c>
      <c r="AB1028" s="58">
        <f t="shared" si="1214"/>
        <v>0</v>
      </c>
      <c r="AC1028" s="58">
        <f t="shared" si="1214"/>
        <v>1</v>
      </c>
      <c r="AD1028" s="58">
        <f t="shared" si="1214"/>
        <v>0</v>
      </c>
      <c r="AE1028" s="58">
        <f t="shared" si="1214"/>
        <v>0</v>
      </c>
    </row>
    <row r="1029" spans="2:31">
      <c r="B1029" s="60" t="str">
        <f t="shared" si="1191"/>
        <v>Sem3939Roberto Misael Aceituno</v>
      </c>
      <c r="C1029" s="60" t="str">
        <f t="shared" si="1192"/>
        <v>SEPTIEMBRESem39</v>
      </c>
      <c r="D1029" s="60" t="str">
        <f t="shared" si="1193"/>
        <v>SEPTIEMBRESem39Roberto Misael Aceituno</v>
      </c>
      <c r="E1029" s="60" t="str">
        <f t="shared" si="1194"/>
        <v>SEPTIEMBRESem3939Roberto Misael Aceituno</v>
      </c>
      <c r="F1029" s="60" t="str">
        <f t="shared" si="1195"/>
        <v>Roberto Misael Aceituno46292</v>
      </c>
      <c r="G1029" s="60"/>
      <c r="H1029" s="61" t="s">
        <v>231</v>
      </c>
      <c r="I1029" s="62" t="str">
        <f>+_xlfn.XLOOKUP($H1029&amp;$V1029,BASEDATOS!$B:$B,BASEDATOS!F:F,0,0,1)</f>
        <v>DESCANSO</v>
      </c>
      <c r="J1029" s="63">
        <f>+_xlfn.XLOOKUP($H1029&amp;$V1029,BASEDATOS!$B:$B,BASEDATOS!Q:Q,0,0,1)</f>
        <v>0</v>
      </c>
      <c r="K1029" s="63">
        <f>+_xlfn.XLOOKUP($H1029&amp;$V1029,BASEDATOS!$B:$B,BASEDATOS!R:R,0,0,1)</f>
        <v>0</v>
      </c>
      <c r="L1029" s="63">
        <f t="shared" si="1196"/>
        <v>0</v>
      </c>
      <c r="M1029" s="64">
        <f t="shared" si="1197"/>
        <v>0</v>
      </c>
      <c r="N1029" s="63">
        <f t="shared" si="1198"/>
        <v>0</v>
      </c>
      <c r="O1029" s="65" t="str">
        <f t="shared" ref="O1029" si="1259">+IF(Y1029="Domingo",SUM(AA1023:AA1029)&amp;"-"&amp;SUM(AB1023:AB1029)&amp;"-"&amp;SUM(AC1023:AE1029),"")</f>
        <v>5-0-2</v>
      </c>
      <c r="P1029" s="66">
        <f>+IF(AND(Y1029="Domingo",U1029=7),_xlfn.XLOOKUP(O1029,'Horarios y Sistemas'!C:C,'Horarios y Sistemas'!H:H,0,0,1),0)</f>
        <v>44</v>
      </c>
      <c r="Q1029" s="66">
        <f>IF(U1029=U1030,0,IF(AVERAGEIF(W:W,W1029,U:U)=U1029,0,_xlfn.XLOOKUP(O1029,'Horarios y Sistemas'!C:C,'Horarios y Sistemas'!H:H,0,0,1)-P1029))/7*U1029</f>
        <v>0</v>
      </c>
      <c r="R1029" s="66">
        <f t="shared" si="1200"/>
        <v>44</v>
      </c>
      <c r="S1029" s="67" t="str">
        <f t="shared" si="1201"/>
        <v>SEPTIEMBRE</v>
      </c>
      <c r="T1029" s="55" t="str">
        <f t="shared" si="1202"/>
        <v>Sem39</v>
      </c>
      <c r="U1029" s="68">
        <f t="shared" si="1184"/>
        <v>7</v>
      </c>
      <c r="V1029" s="69">
        <v>46292</v>
      </c>
      <c r="W1029" s="68">
        <f t="shared" si="1203"/>
        <v>39</v>
      </c>
      <c r="X1029" s="68">
        <f t="shared" si="1204"/>
        <v>27</v>
      </c>
      <c r="Y1029" s="68" t="s">
        <v>34</v>
      </c>
      <c r="Z1029" s="68">
        <v>7</v>
      </c>
      <c r="AA1029" s="70">
        <f t="shared" si="1214"/>
        <v>0</v>
      </c>
      <c r="AB1029" s="70">
        <f t="shared" si="1214"/>
        <v>0</v>
      </c>
      <c r="AC1029" s="70">
        <f t="shared" si="1214"/>
        <v>1</v>
      </c>
      <c r="AD1029" s="70">
        <f t="shared" si="1214"/>
        <v>0</v>
      </c>
      <c r="AE1029" s="70">
        <f t="shared" si="1214"/>
        <v>0</v>
      </c>
    </row>
    <row r="1030" spans="2:31">
      <c r="B1030" t="str">
        <f t="shared" si="1191"/>
        <v>Sem4040Roberto Misael Aceituno</v>
      </c>
      <c r="C1030" t="str">
        <f t="shared" si="1192"/>
        <v>SEPTIEMBRESem40</v>
      </c>
      <c r="D1030" t="str">
        <f t="shared" si="1193"/>
        <v>SEPTIEMBRESem40Roberto Misael Aceituno</v>
      </c>
      <c r="E1030" t="str">
        <f t="shared" si="1194"/>
        <v>SEPTIEMBRESem4040Roberto Misael Aceituno</v>
      </c>
      <c r="F1030" t="str">
        <f t="shared" si="1195"/>
        <v>Roberto Misael Aceituno46293</v>
      </c>
      <c r="H1030" s="49" t="s">
        <v>231</v>
      </c>
      <c r="I1030" s="50" t="str">
        <f>+_xlfn.XLOOKUP($H1030&amp;$V1030,BASEDATOS!$B:$B,BASEDATOS!F:F,0,0,1)</f>
        <v>NOCHE</v>
      </c>
      <c r="J1030" s="51">
        <f>+_xlfn.XLOOKUP($H1030&amp;$V1030,BASEDATOS!$B:$B,BASEDATOS!Q:Q,0,0,1)</f>
        <v>0.75</v>
      </c>
      <c r="K1030" s="51">
        <f>+_xlfn.XLOOKUP($H1030&amp;$V1030,BASEDATOS!$B:$B,BASEDATOS!R:R,0,0,1)</f>
        <v>0.25</v>
      </c>
      <c r="L1030" s="51">
        <f t="shared" si="1196"/>
        <v>0.5</v>
      </c>
      <c r="M1030" s="52" t="str">
        <f t="shared" si="1197"/>
        <v>1:00</v>
      </c>
      <c r="N1030" s="51">
        <f t="shared" si="1198"/>
        <v>0.45833333333333331</v>
      </c>
      <c r="O1030" s="53" t="str">
        <f t="shared" ref="O1030" si="1260">+O1036</f>
        <v>0-5-2</v>
      </c>
      <c r="P1030" s="54">
        <f>+IF(AND(Y1030="Domingo",U1030=7),_xlfn.XLOOKUP(O1030,'Horarios y Sistemas'!C:C,'Horarios y Sistemas'!H:H,0,0,1),0)</f>
        <v>0</v>
      </c>
      <c r="Q1030" s="54">
        <f>IF(U1030=U1031,0,IF(AVERAGEIF(W:W,W1030,U:U)=U1030,0,_xlfn.XLOOKUP(O1030,'Horarios y Sistemas'!C:C,'Horarios y Sistemas'!H:H,0,0,1)-P1030))/7*U1030</f>
        <v>0</v>
      </c>
      <c r="R1030" s="54">
        <f t="shared" si="1200"/>
        <v>0</v>
      </c>
      <c r="S1030" s="55" t="str">
        <f t="shared" si="1201"/>
        <v>SEPTIEMBRE</v>
      </c>
      <c r="T1030" s="55" t="str">
        <f t="shared" si="1202"/>
        <v>Sem40</v>
      </c>
      <c r="U1030" s="56">
        <f t="shared" si="1184"/>
        <v>7</v>
      </c>
      <c r="V1030" s="59">
        <v>46293</v>
      </c>
      <c r="W1030" s="56">
        <f t="shared" si="1203"/>
        <v>40</v>
      </c>
      <c r="X1030" s="56">
        <f t="shared" si="1204"/>
        <v>28</v>
      </c>
      <c r="Y1030" s="56" t="s">
        <v>28</v>
      </c>
      <c r="Z1030" s="56">
        <v>1</v>
      </c>
      <c r="AA1030" s="58">
        <f t="shared" si="1214"/>
        <v>0</v>
      </c>
      <c r="AB1030" s="58">
        <f t="shared" si="1214"/>
        <v>1</v>
      </c>
      <c r="AC1030" s="58">
        <f t="shared" si="1214"/>
        <v>0</v>
      </c>
      <c r="AD1030" s="58">
        <f t="shared" si="1214"/>
        <v>0</v>
      </c>
      <c r="AE1030" s="58">
        <f t="shared" si="1214"/>
        <v>0</v>
      </c>
    </row>
    <row r="1031" spans="2:31">
      <c r="B1031" t="str">
        <f t="shared" si="1191"/>
        <v>Sem4040Roberto Misael Aceituno</v>
      </c>
      <c r="C1031" t="str">
        <f t="shared" si="1192"/>
        <v>SEPTIEMBRESem40</v>
      </c>
      <c r="D1031" t="str">
        <f t="shared" si="1193"/>
        <v>SEPTIEMBRESem40Roberto Misael Aceituno</v>
      </c>
      <c r="E1031" t="str">
        <f t="shared" si="1194"/>
        <v>SEPTIEMBRESem4040Roberto Misael Aceituno</v>
      </c>
      <c r="F1031" t="str">
        <f t="shared" si="1195"/>
        <v>Roberto Misael Aceituno46294</v>
      </c>
      <c r="H1031" s="49" t="s">
        <v>231</v>
      </c>
      <c r="I1031" s="50" t="str">
        <f>+_xlfn.XLOOKUP($H1031&amp;$V1031,BASEDATOS!$B:$B,BASEDATOS!F:F,0,0,1)</f>
        <v>NOCHE</v>
      </c>
      <c r="J1031" s="51">
        <f>+_xlfn.XLOOKUP($H1031&amp;$V1031,BASEDATOS!$B:$B,BASEDATOS!Q:Q,0,0,1)</f>
        <v>0.75</v>
      </c>
      <c r="K1031" s="51">
        <f>+_xlfn.XLOOKUP($H1031&amp;$V1031,BASEDATOS!$B:$B,BASEDATOS!R:R,0,0,1)</f>
        <v>0.25</v>
      </c>
      <c r="L1031" s="51">
        <f t="shared" si="1196"/>
        <v>0.5</v>
      </c>
      <c r="M1031" s="52" t="str">
        <f t="shared" si="1197"/>
        <v>1:00</v>
      </c>
      <c r="N1031" s="51">
        <f t="shared" si="1198"/>
        <v>0.45833333333333331</v>
      </c>
      <c r="O1031" s="53" t="str">
        <f t="shared" ref="O1031" si="1261">+O1036</f>
        <v>0-5-2</v>
      </c>
      <c r="P1031" s="54">
        <f>+IF(AND(Y1031="Domingo",U1031=7),_xlfn.XLOOKUP(O1031,'Horarios y Sistemas'!C:C,'Horarios y Sistemas'!H:H,0,0,1),0)</f>
        <v>0</v>
      </c>
      <c r="Q1031" s="54">
        <f>IF(U1031=U1032,0,IF(AVERAGEIF(W:W,W1031,U:U)=U1031,0,_xlfn.XLOOKUP(O1031,'Horarios y Sistemas'!C:C,'Horarios y Sistemas'!H:H,0,0,1)-P1031))/7*U1031</f>
        <v>0</v>
      </c>
      <c r="R1031" s="54">
        <f t="shared" si="1200"/>
        <v>0</v>
      </c>
      <c r="S1031" s="55" t="str">
        <f t="shared" si="1201"/>
        <v>SEPTIEMBRE</v>
      </c>
      <c r="T1031" s="55" t="str">
        <f t="shared" si="1202"/>
        <v>Sem40</v>
      </c>
      <c r="U1031" s="56">
        <f t="shared" si="1184"/>
        <v>7</v>
      </c>
      <c r="V1031" s="59">
        <v>46294</v>
      </c>
      <c r="W1031" s="56">
        <f t="shared" si="1203"/>
        <v>40</v>
      </c>
      <c r="X1031" s="56">
        <f t="shared" si="1204"/>
        <v>29</v>
      </c>
      <c r="Y1031" s="56" t="s">
        <v>29</v>
      </c>
      <c r="Z1031" s="56">
        <v>2</v>
      </c>
      <c r="AA1031" s="58">
        <f t="shared" si="1214"/>
        <v>0</v>
      </c>
      <c r="AB1031" s="58">
        <f t="shared" si="1214"/>
        <v>1</v>
      </c>
      <c r="AC1031" s="58">
        <f t="shared" si="1214"/>
        <v>0</v>
      </c>
      <c r="AD1031" s="58">
        <f t="shared" si="1214"/>
        <v>0</v>
      </c>
      <c r="AE1031" s="58">
        <f t="shared" si="1214"/>
        <v>0</v>
      </c>
    </row>
    <row r="1032" spans="2:31">
      <c r="B1032" t="str">
        <f t="shared" si="1191"/>
        <v>Sem4040Roberto Misael Aceituno</v>
      </c>
      <c r="C1032" t="str">
        <f t="shared" si="1192"/>
        <v>SEPTIEMBRESem40</v>
      </c>
      <c r="D1032" t="str">
        <f t="shared" si="1193"/>
        <v>SEPTIEMBRESem40Roberto Misael Aceituno</v>
      </c>
      <c r="E1032" t="str">
        <f t="shared" si="1194"/>
        <v>SEPTIEMBRESem4040Roberto Misael Aceituno</v>
      </c>
      <c r="F1032" t="str">
        <f t="shared" si="1195"/>
        <v>Roberto Misael Aceituno46295</v>
      </c>
      <c r="H1032" s="49" t="s">
        <v>231</v>
      </c>
      <c r="I1032" s="50" t="str">
        <f>+_xlfn.XLOOKUP($H1032&amp;$V1032,BASEDATOS!$B:$B,BASEDATOS!F:F,0,0,1)</f>
        <v>NOCHE</v>
      </c>
      <c r="J1032" s="51">
        <f>+_xlfn.XLOOKUP($H1032&amp;$V1032,BASEDATOS!$B:$B,BASEDATOS!Q:Q,0,0,1)</f>
        <v>0.75</v>
      </c>
      <c r="K1032" s="51">
        <f>+_xlfn.XLOOKUP($H1032&amp;$V1032,BASEDATOS!$B:$B,BASEDATOS!R:R,0,0,1)</f>
        <v>0.25</v>
      </c>
      <c r="L1032" s="51">
        <f t="shared" si="1196"/>
        <v>0.5</v>
      </c>
      <c r="M1032" s="52" t="str">
        <f t="shared" si="1197"/>
        <v>1:00</v>
      </c>
      <c r="N1032" s="51">
        <f t="shared" si="1198"/>
        <v>0.45833333333333331</v>
      </c>
      <c r="O1032" s="53" t="str">
        <f t="shared" ref="O1032" si="1262">+O1036</f>
        <v>0-5-2</v>
      </c>
      <c r="P1032" s="54">
        <f>+IF(AND(Y1032="Domingo",U1032=7),_xlfn.XLOOKUP(O1032,'Horarios y Sistemas'!C:C,'Horarios y Sistemas'!H:H,0,0,1),0)</f>
        <v>0</v>
      </c>
      <c r="Q1032" s="54">
        <f>IF(U1032=U1033,0,IF(AVERAGEIF(W:W,W1032,U:U)=U1032,0,_xlfn.XLOOKUP(O1032,'Horarios y Sistemas'!C:C,'Horarios y Sistemas'!H:H,0,0,1)-P1032))/7*U1032</f>
        <v>0</v>
      </c>
      <c r="R1032" s="54">
        <f t="shared" si="1200"/>
        <v>0</v>
      </c>
      <c r="S1032" s="55" t="str">
        <f t="shared" si="1201"/>
        <v>SEPTIEMBRE</v>
      </c>
      <c r="T1032" s="55" t="str">
        <f t="shared" si="1202"/>
        <v>Sem40</v>
      </c>
      <c r="U1032" s="56">
        <f t="shared" ref="U1032:U1095" si="1263">+COUNTIF(B:B,B1032)</f>
        <v>7</v>
      </c>
      <c r="V1032" s="59">
        <v>46295</v>
      </c>
      <c r="W1032" s="56">
        <f t="shared" si="1203"/>
        <v>40</v>
      </c>
      <c r="X1032" s="56">
        <f t="shared" si="1204"/>
        <v>30</v>
      </c>
      <c r="Y1032" s="56" t="s">
        <v>30</v>
      </c>
      <c r="Z1032" s="56">
        <v>3</v>
      </c>
      <c r="AA1032" s="58">
        <f t="shared" si="1214"/>
        <v>0</v>
      </c>
      <c r="AB1032" s="58">
        <f t="shared" si="1214"/>
        <v>1</v>
      </c>
      <c r="AC1032" s="58">
        <f t="shared" si="1214"/>
        <v>0</v>
      </c>
      <c r="AD1032" s="58">
        <f t="shared" si="1214"/>
        <v>0</v>
      </c>
      <c r="AE1032" s="58">
        <f t="shared" si="1214"/>
        <v>0</v>
      </c>
    </row>
    <row r="1033" spans="2:31">
      <c r="B1033" t="str">
        <f t="shared" si="1191"/>
        <v>Sem4040Roberto Misael Aceituno</v>
      </c>
      <c r="C1033" t="str">
        <f t="shared" si="1192"/>
        <v>OCTUBRESem40</v>
      </c>
      <c r="D1033" t="str">
        <f t="shared" si="1193"/>
        <v>OCTUBRESem40Roberto Misael Aceituno</v>
      </c>
      <c r="E1033" t="str">
        <f t="shared" si="1194"/>
        <v>OCTUBRESem4040Roberto Misael Aceituno</v>
      </c>
      <c r="F1033" t="str">
        <f t="shared" si="1195"/>
        <v>Roberto Misael Aceituno46296</v>
      </c>
      <c r="H1033" s="49" t="s">
        <v>231</v>
      </c>
      <c r="I1033" s="50" t="str">
        <f>+_xlfn.XLOOKUP($H1033&amp;$V1033,BASEDATOS!$B:$B,BASEDATOS!F:F,0,0,1)</f>
        <v>NOCHE</v>
      </c>
      <c r="J1033" s="51">
        <f>+_xlfn.XLOOKUP($H1033&amp;$V1033,BASEDATOS!$B:$B,BASEDATOS!Q:Q,0,0,1)</f>
        <v>0.75</v>
      </c>
      <c r="K1033" s="51">
        <f>+_xlfn.XLOOKUP($H1033&amp;$V1033,BASEDATOS!$B:$B,BASEDATOS!R:R,0,0,1)</f>
        <v>0.25</v>
      </c>
      <c r="L1033" s="51">
        <f t="shared" si="1196"/>
        <v>0.5</v>
      </c>
      <c r="M1033" s="52" t="str">
        <f t="shared" si="1197"/>
        <v>1:00</v>
      </c>
      <c r="N1033" s="51">
        <f t="shared" si="1198"/>
        <v>0.45833333333333331</v>
      </c>
      <c r="O1033" s="53" t="str">
        <f t="shared" ref="O1033" si="1264">+O1036</f>
        <v>0-5-2</v>
      </c>
      <c r="P1033" s="54">
        <f>+IF(AND(Y1033="Domingo",U1033=7),_xlfn.XLOOKUP(O1033,'Horarios y Sistemas'!C:C,'Horarios y Sistemas'!H:H,0,0,1),0)</f>
        <v>0</v>
      </c>
      <c r="Q1033" s="54">
        <f>IF(U1033=U1034,0,IF(AVERAGEIF(W:W,W1033,U:U)=U1033,0,_xlfn.XLOOKUP(O1033,'Horarios y Sistemas'!C:C,'Horarios y Sistemas'!H:H,0,0,1)-P1033))/7*U1033</f>
        <v>0</v>
      </c>
      <c r="R1033" s="54">
        <f t="shared" si="1200"/>
        <v>0</v>
      </c>
      <c r="S1033" s="55" t="str">
        <f t="shared" si="1201"/>
        <v>OCTUBRE</v>
      </c>
      <c r="T1033" s="55" t="str">
        <f t="shared" si="1202"/>
        <v>Sem40</v>
      </c>
      <c r="U1033" s="56">
        <f t="shared" si="1263"/>
        <v>7</v>
      </c>
      <c r="V1033" s="59">
        <v>46296</v>
      </c>
      <c r="W1033" s="56">
        <f t="shared" si="1203"/>
        <v>40</v>
      </c>
      <c r="X1033" s="56">
        <f t="shared" si="1204"/>
        <v>1</v>
      </c>
      <c r="Y1033" s="56" t="s">
        <v>31</v>
      </c>
      <c r="Z1033" s="56">
        <v>4</v>
      </c>
      <c r="AA1033" s="58">
        <f t="shared" si="1214"/>
        <v>0</v>
      </c>
      <c r="AB1033" s="58">
        <f t="shared" si="1214"/>
        <v>1</v>
      </c>
      <c r="AC1033" s="58">
        <f t="shared" si="1214"/>
        <v>0</v>
      </c>
      <c r="AD1033" s="58">
        <f t="shared" si="1214"/>
        <v>0</v>
      </c>
      <c r="AE1033" s="58">
        <f t="shared" si="1214"/>
        <v>0</v>
      </c>
    </row>
    <row r="1034" spans="2:31">
      <c r="B1034" t="str">
        <f t="shared" si="1191"/>
        <v>Sem4040Roberto Misael Aceituno</v>
      </c>
      <c r="C1034" t="str">
        <f t="shared" si="1192"/>
        <v>OCTUBRESem40</v>
      </c>
      <c r="D1034" t="str">
        <f t="shared" si="1193"/>
        <v>OCTUBRESem40Roberto Misael Aceituno</v>
      </c>
      <c r="E1034" t="str">
        <f t="shared" si="1194"/>
        <v>OCTUBRESem4040Roberto Misael Aceituno</v>
      </c>
      <c r="F1034" t="str">
        <f t="shared" si="1195"/>
        <v>Roberto Misael Aceituno46297</v>
      </c>
      <c r="H1034" s="49" t="s">
        <v>231</v>
      </c>
      <c r="I1034" s="50" t="str">
        <f>+_xlfn.XLOOKUP($H1034&amp;$V1034,BASEDATOS!$B:$B,BASEDATOS!F:F,0,0,1)</f>
        <v>NOCHE</v>
      </c>
      <c r="J1034" s="51">
        <f>+_xlfn.XLOOKUP($H1034&amp;$V1034,BASEDATOS!$B:$B,BASEDATOS!Q:Q,0,0,1)</f>
        <v>0.75</v>
      </c>
      <c r="K1034" s="51">
        <f>+_xlfn.XLOOKUP($H1034&amp;$V1034,BASEDATOS!$B:$B,BASEDATOS!R:R,0,0,1)</f>
        <v>0.25</v>
      </c>
      <c r="L1034" s="51">
        <f t="shared" si="1196"/>
        <v>0.5</v>
      </c>
      <c r="M1034" s="52" t="str">
        <f t="shared" si="1197"/>
        <v>1:00</v>
      </c>
      <c r="N1034" s="51">
        <f t="shared" si="1198"/>
        <v>0.45833333333333331</v>
      </c>
      <c r="O1034" s="53" t="str">
        <f t="shared" ref="O1034" si="1265">+O1036</f>
        <v>0-5-2</v>
      </c>
      <c r="P1034" s="54">
        <f>+IF(AND(Y1034="Domingo",U1034=7),_xlfn.XLOOKUP(O1034,'Horarios y Sistemas'!C:C,'Horarios y Sistemas'!H:H,0,0,1),0)</f>
        <v>0</v>
      </c>
      <c r="Q1034" s="54">
        <f>IF(U1034=U1035,0,IF(AVERAGEIF(W:W,W1034,U:U)=U1034,0,_xlfn.XLOOKUP(O1034,'Horarios y Sistemas'!C:C,'Horarios y Sistemas'!H:H,0,0,1)-P1034))/7*U1034</f>
        <v>0</v>
      </c>
      <c r="R1034" s="54">
        <f t="shared" si="1200"/>
        <v>0</v>
      </c>
      <c r="S1034" s="55" t="str">
        <f t="shared" si="1201"/>
        <v>OCTUBRE</v>
      </c>
      <c r="T1034" s="55" t="str">
        <f t="shared" si="1202"/>
        <v>Sem40</v>
      </c>
      <c r="U1034" s="56">
        <f t="shared" si="1263"/>
        <v>7</v>
      </c>
      <c r="V1034" s="59">
        <v>46297</v>
      </c>
      <c r="W1034" s="56">
        <f t="shared" si="1203"/>
        <v>40</v>
      </c>
      <c r="X1034" s="56">
        <f t="shared" si="1204"/>
        <v>2</v>
      </c>
      <c r="Y1034" s="56" t="s">
        <v>32</v>
      </c>
      <c r="Z1034" s="56">
        <v>5</v>
      </c>
      <c r="AA1034" s="58">
        <f t="shared" si="1214"/>
        <v>0</v>
      </c>
      <c r="AB1034" s="58">
        <f t="shared" si="1214"/>
        <v>1</v>
      </c>
      <c r="AC1034" s="58">
        <f t="shared" si="1214"/>
        <v>0</v>
      </c>
      <c r="AD1034" s="58">
        <f t="shared" si="1214"/>
        <v>0</v>
      </c>
      <c r="AE1034" s="58">
        <f t="shared" si="1214"/>
        <v>0</v>
      </c>
    </row>
    <row r="1035" spans="2:31">
      <c r="B1035" t="str">
        <f t="shared" si="1191"/>
        <v>Sem4040Roberto Misael Aceituno</v>
      </c>
      <c r="C1035" t="str">
        <f t="shared" si="1192"/>
        <v>OCTUBRESem40</v>
      </c>
      <c r="D1035" t="str">
        <f t="shared" si="1193"/>
        <v>OCTUBRESem40Roberto Misael Aceituno</v>
      </c>
      <c r="E1035" t="str">
        <f t="shared" si="1194"/>
        <v>OCTUBRESem4040Roberto Misael Aceituno</v>
      </c>
      <c r="F1035" t="str">
        <f t="shared" si="1195"/>
        <v>Roberto Misael Aceituno46298</v>
      </c>
      <c r="H1035" s="49" t="s">
        <v>231</v>
      </c>
      <c r="I1035" s="50" t="str">
        <f>+_xlfn.XLOOKUP($H1035&amp;$V1035,BASEDATOS!$B:$B,BASEDATOS!F:F,0,0,1)</f>
        <v>DESCANSO</v>
      </c>
      <c r="J1035" s="51">
        <f>+_xlfn.XLOOKUP($H1035&amp;$V1035,BASEDATOS!$B:$B,BASEDATOS!Q:Q,0,0,1)</f>
        <v>0</v>
      </c>
      <c r="K1035" s="51">
        <f>+_xlfn.XLOOKUP($H1035&amp;$V1035,BASEDATOS!$B:$B,BASEDATOS!R:R,0,0,1)</f>
        <v>0</v>
      </c>
      <c r="L1035" s="51">
        <f t="shared" si="1196"/>
        <v>0</v>
      </c>
      <c r="M1035" s="52">
        <f t="shared" si="1197"/>
        <v>0</v>
      </c>
      <c r="N1035" s="51">
        <f t="shared" si="1198"/>
        <v>0</v>
      </c>
      <c r="O1035" s="53" t="str">
        <f t="shared" ref="O1035" si="1266">+O1036</f>
        <v>0-5-2</v>
      </c>
      <c r="P1035" s="54">
        <f>+IF(AND(Y1035="Domingo",U1035=7),_xlfn.XLOOKUP(O1035,'Horarios y Sistemas'!C:C,'Horarios y Sistemas'!H:H,0,0,1),0)</f>
        <v>0</v>
      </c>
      <c r="Q1035" s="54">
        <f>IF(U1035=U1036,0,IF(AVERAGEIF(W:W,W1035,U:U)=U1035,0,_xlfn.XLOOKUP(O1035,'Horarios y Sistemas'!C:C,'Horarios y Sistemas'!H:H,0,0,1)-P1035))/7*U1035</f>
        <v>0</v>
      </c>
      <c r="R1035" s="54">
        <f t="shared" si="1200"/>
        <v>0</v>
      </c>
      <c r="S1035" s="55" t="str">
        <f t="shared" si="1201"/>
        <v>OCTUBRE</v>
      </c>
      <c r="T1035" s="55" t="str">
        <f t="shared" si="1202"/>
        <v>Sem40</v>
      </c>
      <c r="U1035" s="56">
        <f t="shared" si="1263"/>
        <v>7</v>
      </c>
      <c r="V1035" s="59">
        <v>46298</v>
      </c>
      <c r="W1035" s="56">
        <f t="shared" si="1203"/>
        <v>40</v>
      </c>
      <c r="X1035" s="56">
        <f t="shared" si="1204"/>
        <v>3</v>
      </c>
      <c r="Y1035" s="56" t="s">
        <v>33</v>
      </c>
      <c r="Z1035" s="56">
        <v>6</v>
      </c>
      <c r="AA1035" s="58">
        <f t="shared" ref="AA1035:AE1085" si="1267">+IF($I1035=AA$7,1,0)</f>
        <v>0</v>
      </c>
      <c r="AB1035" s="58">
        <f t="shared" si="1267"/>
        <v>0</v>
      </c>
      <c r="AC1035" s="58">
        <f t="shared" si="1267"/>
        <v>1</v>
      </c>
      <c r="AD1035" s="58">
        <f t="shared" si="1267"/>
        <v>0</v>
      </c>
      <c r="AE1035" s="58">
        <f t="shared" si="1267"/>
        <v>0</v>
      </c>
    </row>
    <row r="1036" spans="2:31">
      <c r="B1036" s="60" t="str">
        <f t="shared" si="1191"/>
        <v>Sem4040Roberto Misael Aceituno</v>
      </c>
      <c r="C1036" s="60" t="str">
        <f t="shared" si="1192"/>
        <v>OCTUBRESem40</v>
      </c>
      <c r="D1036" s="60" t="str">
        <f t="shared" si="1193"/>
        <v>OCTUBRESem40Roberto Misael Aceituno</v>
      </c>
      <c r="E1036" s="60" t="str">
        <f t="shared" si="1194"/>
        <v>OCTUBRESem4040Roberto Misael Aceituno</v>
      </c>
      <c r="F1036" s="60" t="str">
        <f t="shared" si="1195"/>
        <v>Roberto Misael Aceituno46299</v>
      </c>
      <c r="G1036" s="60"/>
      <c r="H1036" s="61" t="s">
        <v>231</v>
      </c>
      <c r="I1036" s="62" t="str">
        <f>+_xlfn.XLOOKUP($H1036&amp;$V1036,BASEDATOS!$B:$B,BASEDATOS!F:F,0,0,1)</f>
        <v>DESCANSO</v>
      </c>
      <c r="J1036" s="63">
        <f>+_xlfn.XLOOKUP($H1036&amp;$V1036,BASEDATOS!$B:$B,BASEDATOS!Q:Q,0,0,1)</f>
        <v>0</v>
      </c>
      <c r="K1036" s="63">
        <f>+_xlfn.XLOOKUP($H1036&amp;$V1036,BASEDATOS!$B:$B,BASEDATOS!R:R,0,0,1)</f>
        <v>0</v>
      </c>
      <c r="L1036" s="63">
        <f t="shared" si="1196"/>
        <v>0</v>
      </c>
      <c r="M1036" s="64">
        <f t="shared" si="1197"/>
        <v>0</v>
      </c>
      <c r="N1036" s="63">
        <f t="shared" si="1198"/>
        <v>0</v>
      </c>
      <c r="O1036" s="65" t="str">
        <f t="shared" ref="O1036" si="1268">+IF(Y1036="Domingo",SUM(AA1030:AA1036)&amp;"-"&amp;SUM(AB1030:AB1036)&amp;"-"&amp;SUM(AC1030:AE1036),"")</f>
        <v>0-5-2</v>
      </c>
      <c r="P1036" s="66">
        <f>+IF(AND(Y1036="Domingo",U1036=7),_xlfn.XLOOKUP(O1036,'Horarios y Sistemas'!C:C,'Horarios y Sistemas'!H:H,0,0,1),0)</f>
        <v>36</v>
      </c>
      <c r="Q1036" s="66">
        <f>IF(U1036=U1037,0,IF(AVERAGEIF(W:W,W1036,U:U)=U1036,0,_xlfn.XLOOKUP(O1036,'Horarios y Sistemas'!C:C,'Horarios y Sistemas'!H:H,0,0,1)-P1036))/7*U1036</f>
        <v>0</v>
      </c>
      <c r="R1036" s="66">
        <f t="shared" si="1200"/>
        <v>36</v>
      </c>
      <c r="S1036" s="67" t="str">
        <f t="shared" si="1201"/>
        <v>OCTUBRE</v>
      </c>
      <c r="T1036" s="55" t="str">
        <f t="shared" si="1202"/>
        <v>Sem40</v>
      </c>
      <c r="U1036" s="68">
        <f t="shared" si="1263"/>
        <v>7</v>
      </c>
      <c r="V1036" s="69">
        <v>46299</v>
      </c>
      <c r="W1036" s="68">
        <f t="shared" si="1203"/>
        <v>40</v>
      </c>
      <c r="X1036" s="68">
        <f t="shared" si="1204"/>
        <v>4</v>
      </c>
      <c r="Y1036" s="68" t="s">
        <v>34</v>
      </c>
      <c r="Z1036" s="68">
        <v>7</v>
      </c>
      <c r="AA1036" s="70">
        <f t="shared" si="1267"/>
        <v>0</v>
      </c>
      <c r="AB1036" s="70">
        <f t="shared" si="1267"/>
        <v>0</v>
      </c>
      <c r="AC1036" s="70">
        <f t="shared" si="1267"/>
        <v>1</v>
      </c>
      <c r="AD1036" s="70">
        <f t="shared" si="1267"/>
        <v>0</v>
      </c>
      <c r="AE1036" s="70">
        <f t="shared" si="1267"/>
        <v>0</v>
      </c>
    </row>
    <row r="1037" spans="2:31">
      <c r="B1037" t="str">
        <f t="shared" si="1191"/>
        <v>Sem3838SARA ABIGAIL CHACÓN PARADA</v>
      </c>
      <c r="C1037" t="str">
        <f t="shared" si="1192"/>
        <v>SEPTIEMBRESem38</v>
      </c>
      <c r="D1037" t="str">
        <f t="shared" si="1193"/>
        <v>SEPTIEMBRESem38SARA ABIGAIL CHACÓN PARADA</v>
      </c>
      <c r="E1037" t="str">
        <f t="shared" si="1194"/>
        <v>SEPTIEMBRESem3838SARA ABIGAIL CHACÓN PARADA</v>
      </c>
      <c r="F1037" t="str">
        <f t="shared" si="1195"/>
        <v>SARA ABIGAIL CHACÓN PARADA46279</v>
      </c>
      <c r="H1037" s="49" t="s">
        <v>267</v>
      </c>
      <c r="I1037" s="50" t="str">
        <f>+_xlfn.XLOOKUP($H1037&amp;$V1037,BASEDATOS!$B:$B,BASEDATOS!F:F,0,0,1)</f>
        <v>DESCANSO</v>
      </c>
      <c r="J1037" s="51">
        <f>+_xlfn.XLOOKUP($H1037&amp;$V1037,BASEDATOS!$B:$B,BASEDATOS!Q:Q,0,0,1)</f>
        <v>0</v>
      </c>
      <c r="K1037" s="51">
        <f>+_xlfn.XLOOKUP($H1037&amp;$V1037,BASEDATOS!$B:$B,BASEDATOS!R:R,0,0,1)</f>
        <v>0</v>
      </c>
      <c r="L1037" s="51">
        <f t="shared" si="1196"/>
        <v>0</v>
      </c>
      <c r="M1037" s="52">
        <f t="shared" si="1197"/>
        <v>0</v>
      </c>
      <c r="N1037" s="51">
        <f t="shared" si="1198"/>
        <v>0</v>
      </c>
      <c r="O1037" s="53" t="str">
        <f t="shared" ref="O1037" si="1269">+O1043</f>
        <v>5-0-2</v>
      </c>
      <c r="P1037" s="54">
        <f>+IF(AND(Y1037="Domingo",U1037=7),_xlfn.XLOOKUP(O1037,'Horarios y Sistemas'!C:C,'Horarios y Sistemas'!H:H,0,0,1),0)</f>
        <v>0</v>
      </c>
      <c r="Q1037" s="54">
        <f>IF(U1037=U1038,0,IF(AVERAGEIF(W:W,W1037,U:U)=U1037,0,_xlfn.XLOOKUP(O1037,'Horarios y Sistemas'!C:C,'Horarios y Sistemas'!H:H,0,0,1)-P1037))/7*U1037</f>
        <v>0</v>
      </c>
      <c r="R1037" s="54">
        <f t="shared" si="1200"/>
        <v>0</v>
      </c>
      <c r="S1037" s="55" t="str">
        <f t="shared" si="1201"/>
        <v>SEPTIEMBRE</v>
      </c>
      <c r="T1037" s="55" t="str">
        <f t="shared" si="1202"/>
        <v>Sem38</v>
      </c>
      <c r="U1037" s="56">
        <f t="shared" si="1263"/>
        <v>7</v>
      </c>
      <c r="V1037" s="59">
        <v>46279</v>
      </c>
      <c r="W1037" s="56">
        <f t="shared" si="1203"/>
        <v>38</v>
      </c>
      <c r="X1037" s="56">
        <f t="shared" si="1204"/>
        <v>14</v>
      </c>
      <c r="Y1037" s="56" t="s">
        <v>28</v>
      </c>
      <c r="Z1037" s="56">
        <v>1</v>
      </c>
      <c r="AA1037" s="58">
        <f t="shared" si="1267"/>
        <v>0</v>
      </c>
      <c r="AB1037" s="58">
        <f t="shared" si="1267"/>
        <v>0</v>
      </c>
      <c r="AC1037" s="58">
        <f t="shared" si="1267"/>
        <v>1</v>
      </c>
      <c r="AD1037" s="58">
        <f t="shared" si="1267"/>
        <v>0</v>
      </c>
      <c r="AE1037" s="58">
        <f t="shared" si="1267"/>
        <v>0</v>
      </c>
    </row>
    <row r="1038" spans="2:31">
      <c r="B1038" t="str">
        <f t="shared" si="1191"/>
        <v>Sem3838SARA ABIGAIL CHACÓN PARADA</v>
      </c>
      <c r="C1038" t="str">
        <f t="shared" si="1192"/>
        <v>SEPTIEMBRESem38</v>
      </c>
      <c r="D1038" t="str">
        <f t="shared" si="1193"/>
        <v>SEPTIEMBRESem38SARA ABIGAIL CHACÓN PARADA</v>
      </c>
      <c r="E1038" t="str">
        <f t="shared" si="1194"/>
        <v>SEPTIEMBRESem3838SARA ABIGAIL CHACÓN PARADA</v>
      </c>
      <c r="F1038" t="str">
        <f t="shared" si="1195"/>
        <v>SARA ABIGAIL CHACÓN PARADA46280</v>
      </c>
      <c r="H1038" s="49" t="s">
        <v>267</v>
      </c>
      <c r="I1038" s="50" t="str">
        <f>+_xlfn.XLOOKUP($H1038&amp;$V1038,BASEDATOS!$B:$B,BASEDATOS!F:F,0,0,1)</f>
        <v>DIA</v>
      </c>
      <c r="J1038" s="51">
        <f>+_xlfn.XLOOKUP($H1038&amp;$V1038,BASEDATOS!$B:$B,BASEDATOS!Q:Q,0,0,1)</f>
        <v>0.33333333333333298</v>
      </c>
      <c r="K1038" s="51">
        <f>+_xlfn.XLOOKUP($H1038&amp;$V1038,BASEDATOS!$B:$B,BASEDATOS!R:R,0,0,1)</f>
        <v>0.70833333333333304</v>
      </c>
      <c r="L1038" s="51">
        <f t="shared" si="1196"/>
        <v>0.37500000000000006</v>
      </c>
      <c r="M1038" s="52" t="str">
        <f t="shared" si="1197"/>
        <v>1:00</v>
      </c>
      <c r="N1038" s="51">
        <f t="shared" si="1198"/>
        <v>0.33333333333333337</v>
      </c>
      <c r="O1038" s="53" t="str">
        <f t="shared" ref="O1038" si="1270">+O1043</f>
        <v>5-0-2</v>
      </c>
      <c r="P1038" s="54">
        <f>+IF(AND(Y1038="Domingo",U1038=7),_xlfn.XLOOKUP(O1038,'Horarios y Sistemas'!C:C,'Horarios y Sistemas'!H:H,0,0,1),0)</f>
        <v>0</v>
      </c>
      <c r="Q1038" s="54">
        <f>IF(U1038=U1039,0,IF(AVERAGEIF(W:W,W1038,U:U)=U1038,0,_xlfn.XLOOKUP(O1038,'Horarios y Sistemas'!C:C,'Horarios y Sistemas'!H:H,0,0,1)-P1038))/7*U1038</f>
        <v>0</v>
      </c>
      <c r="R1038" s="54">
        <f t="shared" si="1200"/>
        <v>0</v>
      </c>
      <c r="S1038" s="55" t="str">
        <f t="shared" si="1201"/>
        <v>SEPTIEMBRE</v>
      </c>
      <c r="T1038" s="55" t="str">
        <f t="shared" si="1202"/>
        <v>Sem38</v>
      </c>
      <c r="U1038" s="56">
        <f t="shared" si="1263"/>
        <v>7</v>
      </c>
      <c r="V1038" s="59">
        <v>46280</v>
      </c>
      <c r="W1038" s="56">
        <f t="shared" si="1203"/>
        <v>38</v>
      </c>
      <c r="X1038" s="56">
        <f t="shared" si="1204"/>
        <v>15</v>
      </c>
      <c r="Y1038" s="56" t="s">
        <v>29</v>
      </c>
      <c r="Z1038" s="56">
        <v>2</v>
      </c>
      <c r="AA1038" s="58">
        <f t="shared" si="1267"/>
        <v>1</v>
      </c>
      <c r="AB1038" s="58">
        <f t="shared" si="1267"/>
        <v>0</v>
      </c>
      <c r="AC1038" s="58">
        <f t="shared" si="1267"/>
        <v>0</v>
      </c>
      <c r="AD1038" s="58">
        <f t="shared" si="1267"/>
        <v>0</v>
      </c>
      <c r="AE1038" s="58">
        <f t="shared" si="1267"/>
        <v>0</v>
      </c>
    </row>
    <row r="1039" spans="2:31">
      <c r="B1039" t="str">
        <f t="shared" ref="B1039:B1102" si="1271">+T1039&amp;W1039&amp;H1039</f>
        <v>Sem3838SARA ABIGAIL CHACÓN PARADA</v>
      </c>
      <c r="C1039" t="str">
        <f t="shared" ref="C1039:C1102" si="1272">+S1039&amp;T1039</f>
        <v>SEPTIEMBRESem38</v>
      </c>
      <c r="D1039" t="str">
        <f t="shared" ref="D1039:D1102" si="1273">+S1039&amp;T1039&amp;H1039</f>
        <v>SEPTIEMBRESem38SARA ABIGAIL CHACÓN PARADA</v>
      </c>
      <c r="E1039" t="str">
        <f t="shared" ref="E1039:E1102" si="1274">+S1039&amp;T1039&amp;W1039&amp;H1039</f>
        <v>SEPTIEMBRESem3838SARA ABIGAIL CHACÓN PARADA</v>
      </c>
      <c r="F1039" t="str">
        <f t="shared" ref="F1039:F1102" si="1275">+H1039&amp;V1039</f>
        <v>SARA ABIGAIL CHACÓN PARADA46281</v>
      </c>
      <c r="H1039" s="49" t="s">
        <v>267</v>
      </c>
      <c r="I1039" s="50" t="str">
        <f>+_xlfn.XLOOKUP($H1039&amp;$V1039,BASEDATOS!$B:$B,BASEDATOS!F:F,0,0,1)</f>
        <v>DIA</v>
      </c>
      <c r="J1039" s="51">
        <f>+_xlfn.XLOOKUP($H1039&amp;$V1039,BASEDATOS!$B:$B,BASEDATOS!Q:Q,0,0,1)</f>
        <v>0.29166666666666702</v>
      </c>
      <c r="K1039" s="51">
        <f>+_xlfn.XLOOKUP($H1039&amp;$V1039,BASEDATOS!$B:$B,BASEDATOS!R:R,0,0,1)</f>
        <v>0.66666666666666696</v>
      </c>
      <c r="L1039" s="51">
        <f t="shared" ref="L1039:L1102" si="1276">+IF(OR(J1039="Descanso",J1039="AUSENTE",J1039="ASUETO"),0,MOD(K1039-J1039,1))</f>
        <v>0.37499999999999994</v>
      </c>
      <c r="M1039" s="52" t="str">
        <f t="shared" ref="M1039:M1102" si="1277">+IF(OR(I1039="DIA",I1039="NOCHE",I1039="MIXTO"),"1:00",0)</f>
        <v>1:00</v>
      </c>
      <c r="N1039" s="51">
        <f t="shared" ref="N1039:N1102" si="1278">+IF(I1039="ASUETO-D",8/24,IF(I1039="ASUETO-N",6/24,MOD(L1039-M1039,1)))</f>
        <v>0.33333333333333326</v>
      </c>
      <c r="O1039" s="53" t="str">
        <f t="shared" ref="O1039" si="1279">+O1043</f>
        <v>5-0-2</v>
      </c>
      <c r="P1039" s="54">
        <f>+IF(AND(Y1039="Domingo",U1039=7),_xlfn.XLOOKUP(O1039,'Horarios y Sistemas'!C:C,'Horarios y Sistemas'!H:H,0,0,1),0)</f>
        <v>0</v>
      </c>
      <c r="Q1039" s="54">
        <f>IF(U1039=U1040,0,IF(AVERAGEIF(W:W,W1039,U:U)=U1039,0,_xlfn.XLOOKUP(O1039,'Horarios y Sistemas'!C:C,'Horarios y Sistemas'!H:H,0,0,1)-P1039))/7*U1039</f>
        <v>0</v>
      </c>
      <c r="R1039" s="54">
        <f t="shared" ref="R1039:R1102" si="1280">+IF(Y1039="Domingo",SUM(P1033:Q1039),0)</f>
        <v>0</v>
      </c>
      <c r="S1039" s="55" t="str">
        <f t="shared" ref="S1039:S1102" si="1281">+UPPER(TEXT(V1039,"MMMMMMMM"))</f>
        <v>SEPTIEMBRE</v>
      </c>
      <c r="T1039" s="55" t="str">
        <f t="shared" ref="T1039:T1102" si="1282">+"Sem"&amp;W1039</f>
        <v>Sem38</v>
      </c>
      <c r="U1039" s="56">
        <f t="shared" si="1263"/>
        <v>7</v>
      </c>
      <c r="V1039" s="59">
        <v>46281</v>
      </c>
      <c r="W1039" s="56">
        <f t="shared" ref="W1039:W1102" si="1283">+_xlfn.ISOWEEKNUM(V1039)</f>
        <v>38</v>
      </c>
      <c r="X1039" s="56">
        <f t="shared" ref="X1039:X1102" si="1284">+DAY(V1039)</f>
        <v>16</v>
      </c>
      <c r="Y1039" s="56" t="s">
        <v>30</v>
      </c>
      <c r="Z1039" s="56">
        <v>3</v>
      </c>
      <c r="AA1039" s="58">
        <f t="shared" si="1267"/>
        <v>1</v>
      </c>
      <c r="AB1039" s="58">
        <f t="shared" si="1267"/>
        <v>0</v>
      </c>
      <c r="AC1039" s="58">
        <f t="shared" si="1267"/>
        <v>0</v>
      </c>
      <c r="AD1039" s="58">
        <f t="shared" si="1267"/>
        <v>0</v>
      </c>
      <c r="AE1039" s="58">
        <f t="shared" si="1267"/>
        <v>0</v>
      </c>
    </row>
    <row r="1040" spans="2:31">
      <c r="B1040" t="str">
        <f t="shared" si="1271"/>
        <v>Sem3838SARA ABIGAIL CHACÓN PARADA</v>
      </c>
      <c r="C1040" t="str">
        <f t="shared" si="1272"/>
        <v>SEPTIEMBRESem38</v>
      </c>
      <c r="D1040" t="str">
        <f t="shared" si="1273"/>
        <v>SEPTIEMBRESem38SARA ABIGAIL CHACÓN PARADA</v>
      </c>
      <c r="E1040" t="str">
        <f t="shared" si="1274"/>
        <v>SEPTIEMBRESem3838SARA ABIGAIL CHACÓN PARADA</v>
      </c>
      <c r="F1040" t="str">
        <f t="shared" si="1275"/>
        <v>SARA ABIGAIL CHACÓN PARADA46282</v>
      </c>
      <c r="H1040" s="49" t="s">
        <v>267</v>
      </c>
      <c r="I1040" s="50" t="str">
        <f>+_xlfn.XLOOKUP($H1040&amp;$V1040,BASEDATOS!$B:$B,BASEDATOS!F:F,0,0,1)</f>
        <v>DIA</v>
      </c>
      <c r="J1040" s="51">
        <f>+_xlfn.XLOOKUP($H1040&amp;$V1040,BASEDATOS!$B:$B,BASEDATOS!Q:Q,0,0,1)</f>
        <v>0.375</v>
      </c>
      <c r="K1040" s="51">
        <f>+_xlfn.XLOOKUP($H1040&amp;$V1040,BASEDATOS!$B:$B,BASEDATOS!R:R,0,0,1)</f>
        <v>0.75</v>
      </c>
      <c r="L1040" s="51">
        <f t="shared" si="1276"/>
        <v>0.375</v>
      </c>
      <c r="M1040" s="52" t="str">
        <f t="shared" si="1277"/>
        <v>1:00</v>
      </c>
      <c r="N1040" s="51">
        <f t="shared" si="1278"/>
        <v>0.33333333333333331</v>
      </c>
      <c r="O1040" s="53" t="str">
        <f t="shared" ref="O1040" si="1285">+O1043</f>
        <v>5-0-2</v>
      </c>
      <c r="P1040" s="54">
        <f>+IF(AND(Y1040="Domingo",U1040=7),_xlfn.XLOOKUP(O1040,'Horarios y Sistemas'!C:C,'Horarios y Sistemas'!H:H,0,0,1),0)</f>
        <v>0</v>
      </c>
      <c r="Q1040" s="54">
        <f>IF(U1040=U1041,0,IF(AVERAGEIF(W:W,W1040,U:U)=U1040,0,_xlfn.XLOOKUP(O1040,'Horarios y Sistemas'!C:C,'Horarios y Sistemas'!H:H,0,0,1)-P1040))/7*U1040</f>
        <v>0</v>
      </c>
      <c r="R1040" s="54">
        <f t="shared" si="1280"/>
        <v>0</v>
      </c>
      <c r="S1040" s="55" t="str">
        <f t="shared" si="1281"/>
        <v>SEPTIEMBRE</v>
      </c>
      <c r="T1040" s="55" t="str">
        <f t="shared" si="1282"/>
        <v>Sem38</v>
      </c>
      <c r="U1040" s="56">
        <f t="shared" si="1263"/>
        <v>7</v>
      </c>
      <c r="V1040" s="59">
        <v>46282</v>
      </c>
      <c r="W1040" s="56">
        <f t="shared" si="1283"/>
        <v>38</v>
      </c>
      <c r="X1040" s="56">
        <f t="shared" si="1284"/>
        <v>17</v>
      </c>
      <c r="Y1040" s="56" t="s">
        <v>31</v>
      </c>
      <c r="Z1040" s="56">
        <v>4</v>
      </c>
      <c r="AA1040" s="58">
        <f t="shared" si="1267"/>
        <v>1</v>
      </c>
      <c r="AB1040" s="58">
        <f t="shared" si="1267"/>
        <v>0</v>
      </c>
      <c r="AC1040" s="58">
        <f t="shared" si="1267"/>
        <v>0</v>
      </c>
      <c r="AD1040" s="58">
        <f t="shared" si="1267"/>
        <v>0</v>
      </c>
      <c r="AE1040" s="58">
        <f t="shared" si="1267"/>
        <v>0</v>
      </c>
    </row>
    <row r="1041" spans="2:31">
      <c r="B1041" t="str">
        <f t="shared" si="1271"/>
        <v>Sem3838SARA ABIGAIL CHACÓN PARADA</v>
      </c>
      <c r="C1041" t="str">
        <f t="shared" si="1272"/>
        <v>SEPTIEMBRESem38</v>
      </c>
      <c r="D1041" t="str">
        <f t="shared" si="1273"/>
        <v>SEPTIEMBRESem38SARA ABIGAIL CHACÓN PARADA</v>
      </c>
      <c r="E1041" t="str">
        <f t="shared" si="1274"/>
        <v>SEPTIEMBRESem3838SARA ABIGAIL CHACÓN PARADA</v>
      </c>
      <c r="F1041" t="str">
        <f t="shared" si="1275"/>
        <v>SARA ABIGAIL CHACÓN PARADA46283</v>
      </c>
      <c r="H1041" s="49" t="s">
        <v>267</v>
      </c>
      <c r="I1041" s="50" t="str">
        <f>+_xlfn.XLOOKUP($H1041&amp;$V1041,BASEDATOS!$B:$B,BASEDATOS!F:F,0,0,1)</f>
        <v>DIA</v>
      </c>
      <c r="J1041" s="51">
        <f>+_xlfn.XLOOKUP($H1041&amp;$V1041,BASEDATOS!$B:$B,BASEDATOS!Q:Q,0,0,1)</f>
        <v>0.29166666666666702</v>
      </c>
      <c r="K1041" s="51">
        <f>+_xlfn.XLOOKUP($H1041&amp;$V1041,BASEDATOS!$B:$B,BASEDATOS!R:R,0,0,1)</f>
        <v>0.66666666666666696</v>
      </c>
      <c r="L1041" s="51">
        <f t="shared" si="1276"/>
        <v>0.37499999999999994</v>
      </c>
      <c r="M1041" s="52" t="str">
        <f t="shared" si="1277"/>
        <v>1:00</v>
      </c>
      <c r="N1041" s="51">
        <f t="shared" si="1278"/>
        <v>0.33333333333333326</v>
      </c>
      <c r="O1041" s="53" t="str">
        <f t="shared" ref="O1041" si="1286">+O1043</f>
        <v>5-0-2</v>
      </c>
      <c r="P1041" s="54">
        <f>+IF(AND(Y1041="Domingo",U1041=7),_xlfn.XLOOKUP(O1041,'Horarios y Sistemas'!C:C,'Horarios y Sistemas'!H:H,0,0,1),0)</f>
        <v>0</v>
      </c>
      <c r="Q1041" s="54">
        <f>IF(U1041=U1042,0,IF(AVERAGEIF(W:W,W1041,U:U)=U1041,0,_xlfn.XLOOKUP(O1041,'Horarios y Sistemas'!C:C,'Horarios y Sistemas'!H:H,0,0,1)-P1041))/7*U1041</f>
        <v>0</v>
      </c>
      <c r="R1041" s="54">
        <f t="shared" si="1280"/>
        <v>0</v>
      </c>
      <c r="S1041" s="55" t="str">
        <f t="shared" si="1281"/>
        <v>SEPTIEMBRE</v>
      </c>
      <c r="T1041" s="55" t="str">
        <f t="shared" si="1282"/>
        <v>Sem38</v>
      </c>
      <c r="U1041" s="56">
        <f t="shared" si="1263"/>
        <v>7</v>
      </c>
      <c r="V1041" s="59">
        <v>46283</v>
      </c>
      <c r="W1041" s="56">
        <f t="shared" si="1283"/>
        <v>38</v>
      </c>
      <c r="X1041" s="56">
        <f t="shared" si="1284"/>
        <v>18</v>
      </c>
      <c r="Y1041" s="56" t="s">
        <v>32</v>
      </c>
      <c r="Z1041" s="56">
        <v>5</v>
      </c>
      <c r="AA1041" s="58">
        <f t="shared" si="1267"/>
        <v>1</v>
      </c>
      <c r="AB1041" s="58">
        <f t="shared" si="1267"/>
        <v>0</v>
      </c>
      <c r="AC1041" s="58">
        <f t="shared" si="1267"/>
        <v>0</v>
      </c>
      <c r="AD1041" s="58">
        <f t="shared" si="1267"/>
        <v>0</v>
      </c>
      <c r="AE1041" s="58">
        <f t="shared" si="1267"/>
        <v>0</v>
      </c>
    </row>
    <row r="1042" spans="2:31">
      <c r="B1042" t="str">
        <f t="shared" si="1271"/>
        <v>Sem3838SARA ABIGAIL CHACÓN PARADA</v>
      </c>
      <c r="C1042" t="str">
        <f t="shared" si="1272"/>
        <v>SEPTIEMBRESem38</v>
      </c>
      <c r="D1042" t="str">
        <f t="shared" si="1273"/>
        <v>SEPTIEMBRESem38SARA ABIGAIL CHACÓN PARADA</v>
      </c>
      <c r="E1042" t="str">
        <f t="shared" si="1274"/>
        <v>SEPTIEMBRESem3838SARA ABIGAIL CHACÓN PARADA</v>
      </c>
      <c r="F1042" t="str">
        <f t="shared" si="1275"/>
        <v>SARA ABIGAIL CHACÓN PARADA46284</v>
      </c>
      <c r="H1042" s="49" t="s">
        <v>267</v>
      </c>
      <c r="I1042" s="50" t="str">
        <f>+_xlfn.XLOOKUP($H1042&amp;$V1042,BASEDATOS!$B:$B,BASEDATOS!F:F,0,0,1)</f>
        <v>DIA</v>
      </c>
      <c r="J1042" s="51">
        <f>+_xlfn.XLOOKUP($H1042&amp;$V1042,BASEDATOS!$B:$B,BASEDATOS!Q:Q,0,0,1)</f>
        <v>0.29166666666666702</v>
      </c>
      <c r="K1042" s="51">
        <f>+_xlfn.XLOOKUP($H1042&amp;$V1042,BASEDATOS!$B:$B,BASEDATOS!R:R,0,0,1)</f>
        <v>0.5</v>
      </c>
      <c r="L1042" s="51">
        <f t="shared" si="1276"/>
        <v>0.20833333333333298</v>
      </c>
      <c r="M1042" s="52" t="str">
        <f t="shared" si="1277"/>
        <v>1:00</v>
      </c>
      <c r="N1042" s="51">
        <f t="shared" si="1278"/>
        <v>0.16666666666666632</v>
      </c>
      <c r="O1042" s="53" t="str">
        <f t="shared" ref="O1042" si="1287">+O1043</f>
        <v>5-0-2</v>
      </c>
      <c r="P1042" s="54">
        <f>+IF(AND(Y1042="Domingo",U1042=7),_xlfn.XLOOKUP(O1042,'Horarios y Sistemas'!C:C,'Horarios y Sistemas'!H:H,0,0,1),0)</f>
        <v>0</v>
      </c>
      <c r="Q1042" s="54">
        <f>IF(U1042=U1043,0,IF(AVERAGEIF(W:W,W1042,U:U)=U1042,0,_xlfn.XLOOKUP(O1042,'Horarios y Sistemas'!C:C,'Horarios y Sistemas'!H:H,0,0,1)-P1042))/7*U1042</f>
        <v>0</v>
      </c>
      <c r="R1042" s="54">
        <f t="shared" si="1280"/>
        <v>0</v>
      </c>
      <c r="S1042" s="55" t="str">
        <f t="shared" si="1281"/>
        <v>SEPTIEMBRE</v>
      </c>
      <c r="T1042" s="55" t="str">
        <f t="shared" si="1282"/>
        <v>Sem38</v>
      </c>
      <c r="U1042" s="56">
        <f t="shared" si="1263"/>
        <v>7</v>
      </c>
      <c r="V1042" s="59">
        <v>46284</v>
      </c>
      <c r="W1042" s="56">
        <f t="shared" si="1283"/>
        <v>38</v>
      </c>
      <c r="X1042" s="56">
        <f t="shared" si="1284"/>
        <v>19</v>
      </c>
      <c r="Y1042" s="56" t="s">
        <v>33</v>
      </c>
      <c r="Z1042" s="56">
        <v>6</v>
      </c>
      <c r="AA1042" s="58">
        <f t="shared" si="1267"/>
        <v>1</v>
      </c>
      <c r="AB1042" s="58">
        <f t="shared" si="1267"/>
        <v>0</v>
      </c>
      <c r="AC1042" s="58">
        <f t="shared" si="1267"/>
        <v>0</v>
      </c>
      <c r="AD1042" s="58">
        <f t="shared" si="1267"/>
        <v>0</v>
      </c>
      <c r="AE1042" s="58">
        <f t="shared" si="1267"/>
        <v>0</v>
      </c>
    </row>
    <row r="1043" spans="2:31">
      <c r="B1043" s="60" t="str">
        <f t="shared" si="1271"/>
        <v>Sem3838SARA ABIGAIL CHACÓN PARADA</v>
      </c>
      <c r="C1043" s="60" t="str">
        <f t="shared" si="1272"/>
        <v>SEPTIEMBRESem38</v>
      </c>
      <c r="D1043" s="60" t="str">
        <f t="shared" si="1273"/>
        <v>SEPTIEMBRESem38SARA ABIGAIL CHACÓN PARADA</v>
      </c>
      <c r="E1043" s="60" t="str">
        <f t="shared" si="1274"/>
        <v>SEPTIEMBRESem3838SARA ABIGAIL CHACÓN PARADA</v>
      </c>
      <c r="F1043" s="60" t="str">
        <f t="shared" si="1275"/>
        <v>SARA ABIGAIL CHACÓN PARADA46285</v>
      </c>
      <c r="G1043" s="60"/>
      <c r="H1043" s="61" t="s">
        <v>267</v>
      </c>
      <c r="I1043" s="62" t="str">
        <f>+_xlfn.XLOOKUP($H1043&amp;$V1043,BASEDATOS!$B:$B,BASEDATOS!F:F,0,0,1)</f>
        <v>DESCANSO</v>
      </c>
      <c r="J1043" s="63">
        <f>+_xlfn.XLOOKUP($H1043&amp;$V1043,BASEDATOS!$B:$B,BASEDATOS!Q:Q,0,0,1)</f>
        <v>0</v>
      </c>
      <c r="K1043" s="63">
        <f>+_xlfn.XLOOKUP($H1043&amp;$V1043,BASEDATOS!$B:$B,BASEDATOS!R:R,0,0,1)</f>
        <v>0</v>
      </c>
      <c r="L1043" s="63">
        <f t="shared" si="1276"/>
        <v>0</v>
      </c>
      <c r="M1043" s="64">
        <f t="shared" si="1277"/>
        <v>0</v>
      </c>
      <c r="N1043" s="63">
        <f t="shared" si="1278"/>
        <v>0</v>
      </c>
      <c r="O1043" s="65" t="str">
        <f t="shared" ref="O1043" si="1288">+IF(Y1043="Domingo",SUM(AA1037:AA1043)&amp;"-"&amp;SUM(AB1037:AB1043)&amp;"-"&amp;SUM(AC1037:AE1043),"")</f>
        <v>5-0-2</v>
      </c>
      <c r="P1043" s="66">
        <f>+IF(AND(Y1043="Domingo",U1043=7),_xlfn.XLOOKUP(O1043,'Horarios y Sistemas'!C:C,'Horarios y Sistemas'!H:H,0,0,1),0)</f>
        <v>44</v>
      </c>
      <c r="Q1043" s="66">
        <f>IF(U1043=U1044,0,IF(AVERAGEIF(W:W,W1043,U:U)=U1043,0,_xlfn.XLOOKUP(O1043,'Horarios y Sistemas'!C:C,'Horarios y Sistemas'!H:H,0,0,1)-P1043))/7*U1043</f>
        <v>0</v>
      </c>
      <c r="R1043" s="66">
        <f t="shared" si="1280"/>
        <v>44</v>
      </c>
      <c r="S1043" s="67" t="str">
        <f t="shared" si="1281"/>
        <v>SEPTIEMBRE</v>
      </c>
      <c r="T1043" s="55" t="str">
        <f t="shared" si="1282"/>
        <v>Sem38</v>
      </c>
      <c r="U1043" s="68">
        <f t="shared" si="1263"/>
        <v>7</v>
      </c>
      <c r="V1043" s="69">
        <v>46285</v>
      </c>
      <c r="W1043" s="68">
        <f t="shared" si="1283"/>
        <v>38</v>
      </c>
      <c r="X1043" s="68">
        <f t="shared" si="1284"/>
        <v>20</v>
      </c>
      <c r="Y1043" s="68" t="s">
        <v>34</v>
      </c>
      <c r="Z1043" s="68">
        <v>7</v>
      </c>
      <c r="AA1043" s="70">
        <f t="shared" si="1267"/>
        <v>0</v>
      </c>
      <c r="AB1043" s="70">
        <f t="shared" si="1267"/>
        <v>0</v>
      </c>
      <c r="AC1043" s="70">
        <f t="shared" si="1267"/>
        <v>1</v>
      </c>
      <c r="AD1043" s="70">
        <f t="shared" si="1267"/>
        <v>0</v>
      </c>
      <c r="AE1043" s="70">
        <f t="shared" si="1267"/>
        <v>0</v>
      </c>
    </row>
    <row r="1044" spans="2:31">
      <c r="B1044" t="str">
        <f t="shared" si="1271"/>
        <v>Sem3939SARA ABIGAIL CHACÓN PARADA</v>
      </c>
      <c r="C1044" t="str">
        <f t="shared" si="1272"/>
        <v>SEPTIEMBRESem39</v>
      </c>
      <c r="D1044" t="str">
        <f t="shared" si="1273"/>
        <v>SEPTIEMBRESem39SARA ABIGAIL CHACÓN PARADA</v>
      </c>
      <c r="E1044" t="str">
        <f t="shared" si="1274"/>
        <v>SEPTIEMBRESem3939SARA ABIGAIL CHACÓN PARADA</v>
      </c>
      <c r="F1044" t="str">
        <f t="shared" si="1275"/>
        <v>SARA ABIGAIL CHACÓN PARADA46286</v>
      </c>
      <c r="H1044" s="49" t="s">
        <v>267</v>
      </c>
      <c r="I1044" s="50" t="str">
        <f>+_xlfn.XLOOKUP($H1044&amp;$V1044,BASEDATOS!$B:$B,BASEDATOS!F:F,0,0,1)</f>
        <v>DIA</v>
      </c>
      <c r="J1044" s="51">
        <f>+_xlfn.XLOOKUP($H1044&amp;$V1044,BASEDATOS!$B:$B,BASEDATOS!Q:Q,0,0,1)</f>
        <v>0.29166666666666702</v>
      </c>
      <c r="K1044" s="51">
        <f>+_xlfn.XLOOKUP($H1044&amp;$V1044,BASEDATOS!$B:$B,BASEDATOS!R:R,0,0,1)</f>
        <v>0.66666666666666696</v>
      </c>
      <c r="L1044" s="51">
        <f t="shared" si="1276"/>
        <v>0.37499999999999994</v>
      </c>
      <c r="M1044" s="52" t="str">
        <f t="shared" si="1277"/>
        <v>1:00</v>
      </c>
      <c r="N1044" s="51">
        <f t="shared" si="1278"/>
        <v>0.33333333333333326</v>
      </c>
      <c r="O1044" s="53" t="str">
        <f t="shared" ref="O1044" si="1289">+O1050</f>
        <v>6-0-1</v>
      </c>
      <c r="P1044" s="54">
        <f>+IF(AND(Y1044="Domingo",U1044=7),_xlfn.XLOOKUP(O1044,'Horarios y Sistemas'!C:C,'Horarios y Sistemas'!H:H,0,0,1),0)</f>
        <v>0</v>
      </c>
      <c r="Q1044" s="54">
        <f>IF(U1044=U1045,0,IF(AVERAGEIF(W:W,W1044,U:U)=U1044,0,_xlfn.XLOOKUP(O1044,'Horarios y Sistemas'!C:C,'Horarios y Sistemas'!H:H,0,0,1)-P1044))/7*U1044</f>
        <v>0</v>
      </c>
      <c r="R1044" s="54">
        <f t="shared" si="1280"/>
        <v>0</v>
      </c>
      <c r="S1044" s="55" t="str">
        <f t="shared" si="1281"/>
        <v>SEPTIEMBRE</v>
      </c>
      <c r="T1044" s="55" t="str">
        <f t="shared" si="1282"/>
        <v>Sem39</v>
      </c>
      <c r="U1044" s="56">
        <f t="shared" si="1263"/>
        <v>7</v>
      </c>
      <c r="V1044" s="57">
        <v>46286</v>
      </c>
      <c r="W1044" s="56">
        <f t="shared" si="1283"/>
        <v>39</v>
      </c>
      <c r="X1044" s="56">
        <f t="shared" si="1284"/>
        <v>21</v>
      </c>
      <c r="Y1044" s="56" t="s">
        <v>28</v>
      </c>
      <c r="Z1044" s="56">
        <v>1</v>
      </c>
      <c r="AA1044" s="58">
        <f t="shared" si="1267"/>
        <v>1</v>
      </c>
      <c r="AB1044" s="58">
        <f t="shared" si="1267"/>
        <v>0</v>
      </c>
      <c r="AC1044" s="58">
        <f t="shared" si="1267"/>
        <v>0</v>
      </c>
      <c r="AD1044" s="58">
        <f t="shared" si="1267"/>
        <v>0</v>
      </c>
      <c r="AE1044" s="58">
        <f t="shared" si="1267"/>
        <v>0</v>
      </c>
    </row>
    <row r="1045" spans="2:31">
      <c r="B1045" t="str">
        <f t="shared" si="1271"/>
        <v>Sem3939SARA ABIGAIL CHACÓN PARADA</v>
      </c>
      <c r="C1045" t="str">
        <f t="shared" si="1272"/>
        <v>SEPTIEMBRESem39</v>
      </c>
      <c r="D1045" t="str">
        <f t="shared" si="1273"/>
        <v>SEPTIEMBRESem39SARA ABIGAIL CHACÓN PARADA</v>
      </c>
      <c r="E1045" t="str">
        <f t="shared" si="1274"/>
        <v>SEPTIEMBRESem3939SARA ABIGAIL CHACÓN PARADA</v>
      </c>
      <c r="F1045" t="str">
        <f t="shared" si="1275"/>
        <v>SARA ABIGAIL CHACÓN PARADA46287</v>
      </c>
      <c r="H1045" s="49" t="s">
        <v>267</v>
      </c>
      <c r="I1045" s="50" t="str">
        <f>+_xlfn.XLOOKUP($H1045&amp;$V1045,BASEDATOS!$B:$B,BASEDATOS!F:F,0,0,1)</f>
        <v>DIA</v>
      </c>
      <c r="J1045" s="51">
        <f>+_xlfn.XLOOKUP($H1045&amp;$V1045,BASEDATOS!$B:$B,BASEDATOS!Q:Q,0,0,1)</f>
        <v>0.29166666666666702</v>
      </c>
      <c r="K1045" s="51">
        <f>+_xlfn.XLOOKUP($H1045&amp;$V1045,BASEDATOS!$B:$B,BASEDATOS!R:R,0,0,1)</f>
        <v>0.66666666666666696</v>
      </c>
      <c r="L1045" s="51">
        <f t="shared" si="1276"/>
        <v>0.37499999999999994</v>
      </c>
      <c r="M1045" s="52" t="str">
        <f t="shared" si="1277"/>
        <v>1:00</v>
      </c>
      <c r="N1045" s="51">
        <f t="shared" si="1278"/>
        <v>0.33333333333333326</v>
      </c>
      <c r="O1045" s="53" t="str">
        <f t="shared" ref="O1045" si="1290">+O1050</f>
        <v>6-0-1</v>
      </c>
      <c r="P1045" s="54">
        <f>+IF(AND(Y1045="Domingo",U1045=7),_xlfn.XLOOKUP(O1045,'Horarios y Sistemas'!C:C,'Horarios y Sistemas'!H:H,0,0,1),0)</f>
        <v>0</v>
      </c>
      <c r="Q1045" s="54">
        <f>IF(U1045=U1046,0,IF(AVERAGEIF(W:W,W1045,U:U)=U1045,0,_xlfn.XLOOKUP(O1045,'Horarios y Sistemas'!C:C,'Horarios y Sistemas'!H:H,0,0,1)-P1045))/7*U1045</f>
        <v>0</v>
      </c>
      <c r="R1045" s="54">
        <f t="shared" si="1280"/>
        <v>0</v>
      </c>
      <c r="S1045" s="55" t="str">
        <f t="shared" si="1281"/>
        <v>SEPTIEMBRE</v>
      </c>
      <c r="T1045" s="55" t="str">
        <f t="shared" si="1282"/>
        <v>Sem39</v>
      </c>
      <c r="U1045" s="56">
        <f t="shared" si="1263"/>
        <v>7</v>
      </c>
      <c r="V1045" s="59">
        <v>46287</v>
      </c>
      <c r="W1045" s="56">
        <f t="shared" si="1283"/>
        <v>39</v>
      </c>
      <c r="X1045" s="56">
        <f t="shared" si="1284"/>
        <v>22</v>
      </c>
      <c r="Y1045" s="56" t="s">
        <v>29</v>
      </c>
      <c r="Z1045" s="56">
        <v>2</v>
      </c>
      <c r="AA1045" s="58">
        <f t="shared" si="1267"/>
        <v>1</v>
      </c>
      <c r="AB1045" s="58">
        <f t="shared" si="1267"/>
        <v>0</v>
      </c>
      <c r="AC1045" s="58">
        <f t="shared" si="1267"/>
        <v>0</v>
      </c>
      <c r="AD1045" s="58">
        <f t="shared" si="1267"/>
        <v>0</v>
      </c>
      <c r="AE1045" s="58">
        <f t="shared" si="1267"/>
        <v>0</v>
      </c>
    </row>
    <row r="1046" spans="2:31">
      <c r="B1046" t="str">
        <f t="shared" si="1271"/>
        <v>Sem3939SARA ABIGAIL CHACÓN PARADA</v>
      </c>
      <c r="C1046" t="str">
        <f t="shared" si="1272"/>
        <v>SEPTIEMBRESem39</v>
      </c>
      <c r="D1046" t="str">
        <f t="shared" si="1273"/>
        <v>SEPTIEMBRESem39SARA ABIGAIL CHACÓN PARADA</v>
      </c>
      <c r="E1046" t="str">
        <f t="shared" si="1274"/>
        <v>SEPTIEMBRESem3939SARA ABIGAIL CHACÓN PARADA</v>
      </c>
      <c r="F1046" t="str">
        <f t="shared" si="1275"/>
        <v>SARA ABIGAIL CHACÓN PARADA46288</v>
      </c>
      <c r="H1046" s="49" t="s">
        <v>267</v>
      </c>
      <c r="I1046" s="50" t="str">
        <f>+_xlfn.XLOOKUP($H1046&amp;$V1046,BASEDATOS!$B:$B,BASEDATOS!F:F,0,0,1)</f>
        <v>DIA</v>
      </c>
      <c r="J1046" s="51">
        <f>+_xlfn.XLOOKUP($H1046&amp;$V1046,BASEDATOS!$B:$B,BASEDATOS!Q:Q,0,0,1)</f>
        <v>0.29166666666666702</v>
      </c>
      <c r="K1046" s="51">
        <f>+_xlfn.XLOOKUP($H1046&amp;$V1046,BASEDATOS!$B:$B,BASEDATOS!R:R,0,0,1)</f>
        <v>0.66666666666666696</v>
      </c>
      <c r="L1046" s="51">
        <f t="shared" si="1276"/>
        <v>0.37499999999999994</v>
      </c>
      <c r="M1046" s="52" t="str">
        <f t="shared" si="1277"/>
        <v>1:00</v>
      </c>
      <c r="N1046" s="51">
        <f t="shared" si="1278"/>
        <v>0.33333333333333326</v>
      </c>
      <c r="O1046" s="53" t="str">
        <f t="shared" ref="O1046" si="1291">+O1050</f>
        <v>6-0-1</v>
      </c>
      <c r="P1046" s="54">
        <f>+IF(AND(Y1046="Domingo",U1046=7),_xlfn.XLOOKUP(O1046,'Horarios y Sistemas'!C:C,'Horarios y Sistemas'!H:H,0,0,1),0)</f>
        <v>0</v>
      </c>
      <c r="Q1046" s="54">
        <f>IF(U1046=U1047,0,IF(AVERAGEIF(W:W,W1046,U:U)=U1046,0,_xlfn.XLOOKUP(O1046,'Horarios y Sistemas'!C:C,'Horarios y Sistemas'!H:H,0,0,1)-P1046))/7*U1046</f>
        <v>0</v>
      </c>
      <c r="R1046" s="54">
        <f t="shared" si="1280"/>
        <v>0</v>
      </c>
      <c r="S1046" s="55" t="str">
        <f t="shared" si="1281"/>
        <v>SEPTIEMBRE</v>
      </c>
      <c r="T1046" s="55" t="str">
        <f t="shared" si="1282"/>
        <v>Sem39</v>
      </c>
      <c r="U1046" s="56">
        <f t="shared" si="1263"/>
        <v>7</v>
      </c>
      <c r="V1046" s="59">
        <v>46288</v>
      </c>
      <c r="W1046" s="56">
        <f t="shared" si="1283"/>
        <v>39</v>
      </c>
      <c r="X1046" s="56">
        <f t="shared" si="1284"/>
        <v>23</v>
      </c>
      <c r="Y1046" s="56" t="s">
        <v>30</v>
      </c>
      <c r="Z1046" s="56">
        <v>3</v>
      </c>
      <c r="AA1046" s="58">
        <f t="shared" si="1267"/>
        <v>1</v>
      </c>
      <c r="AB1046" s="58">
        <f t="shared" si="1267"/>
        <v>0</v>
      </c>
      <c r="AC1046" s="58">
        <f t="shared" si="1267"/>
        <v>0</v>
      </c>
      <c r="AD1046" s="58">
        <f t="shared" si="1267"/>
        <v>0</v>
      </c>
      <c r="AE1046" s="58">
        <f t="shared" si="1267"/>
        <v>0</v>
      </c>
    </row>
    <row r="1047" spans="2:31">
      <c r="B1047" t="str">
        <f t="shared" si="1271"/>
        <v>Sem3939SARA ABIGAIL CHACÓN PARADA</v>
      </c>
      <c r="C1047" t="str">
        <f t="shared" si="1272"/>
        <v>SEPTIEMBRESem39</v>
      </c>
      <c r="D1047" t="str">
        <f t="shared" si="1273"/>
        <v>SEPTIEMBRESem39SARA ABIGAIL CHACÓN PARADA</v>
      </c>
      <c r="E1047" t="str">
        <f t="shared" si="1274"/>
        <v>SEPTIEMBRESem3939SARA ABIGAIL CHACÓN PARADA</v>
      </c>
      <c r="F1047" t="str">
        <f t="shared" si="1275"/>
        <v>SARA ABIGAIL CHACÓN PARADA46289</v>
      </c>
      <c r="H1047" s="49" t="s">
        <v>267</v>
      </c>
      <c r="I1047" s="50" t="str">
        <f>+_xlfn.XLOOKUP($H1047&amp;$V1047,BASEDATOS!$B:$B,BASEDATOS!F:F,0,0,1)</f>
        <v>DIA</v>
      </c>
      <c r="J1047" s="51">
        <f>+_xlfn.XLOOKUP($H1047&amp;$V1047,BASEDATOS!$B:$B,BASEDATOS!Q:Q,0,0,1)</f>
        <v>0.375</v>
      </c>
      <c r="K1047" s="51">
        <f>+_xlfn.XLOOKUP($H1047&amp;$V1047,BASEDATOS!$B:$B,BASEDATOS!R:R,0,0,1)</f>
        <v>0.75</v>
      </c>
      <c r="L1047" s="51">
        <f t="shared" si="1276"/>
        <v>0.375</v>
      </c>
      <c r="M1047" s="52" t="str">
        <f t="shared" si="1277"/>
        <v>1:00</v>
      </c>
      <c r="N1047" s="51">
        <f t="shared" si="1278"/>
        <v>0.33333333333333331</v>
      </c>
      <c r="O1047" s="53" t="str">
        <f t="shared" ref="O1047" si="1292">+O1050</f>
        <v>6-0-1</v>
      </c>
      <c r="P1047" s="54">
        <f>+IF(AND(Y1047="Domingo",U1047=7),_xlfn.XLOOKUP(O1047,'Horarios y Sistemas'!C:C,'Horarios y Sistemas'!H:H,0,0,1),0)</f>
        <v>0</v>
      </c>
      <c r="Q1047" s="54">
        <f>IF(U1047=U1048,0,IF(AVERAGEIF(W:W,W1047,U:U)=U1047,0,_xlfn.XLOOKUP(O1047,'Horarios y Sistemas'!C:C,'Horarios y Sistemas'!H:H,0,0,1)-P1047))/7*U1047</f>
        <v>0</v>
      </c>
      <c r="R1047" s="54">
        <f t="shared" si="1280"/>
        <v>0</v>
      </c>
      <c r="S1047" s="55" t="str">
        <f t="shared" si="1281"/>
        <v>SEPTIEMBRE</v>
      </c>
      <c r="T1047" s="55" t="str">
        <f t="shared" si="1282"/>
        <v>Sem39</v>
      </c>
      <c r="U1047" s="56">
        <f t="shared" si="1263"/>
        <v>7</v>
      </c>
      <c r="V1047" s="59">
        <v>46289</v>
      </c>
      <c r="W1047" s="56">
        <f t="shared" si="1283"/>
        <v>39</v>
      </c>
      <c r="X1047" s="56">
        <f t="shared" si="1284"/>
        <v>24</v>
      </c>
      <c r="Y1047" s="56" t="s">
        <v>31</v>
      </c>
      <c r="Z1047" s="56">
        <v>4</v>
      </c>
      <c r="AA1047" s="58">
        <f t="shared" si="1267"/>
        <v>1</v>
      </c>
      <c r="AB1047" s="58">
        <f t="shared" si="1267"/>
        <v>0</v>
      </c>
      <c r="AC1047" s="58">
        <f t="shared" si="1267"/>
        <v>0</v>
      </c>
      <c r="AD1047" s="58">
        <f t="shared" si="1267"/>
        <v>0</v>
      </c>
      <c r="AE1047" s="58">
        <f t="shared" si="1267"/>
        <v>0</v>
      </c>
    </row>
    <row r="1048" spans="2:31">
      <c r="B1048" t="str">
        <f t="shared" si="1271"/>
        <v>Sem3939SARA ABIGAIL CHACÓN PARADA</v>
      </c>
      <c r="C1048" t="str">
        <f t="shared" si="1272"/>
        <v>SEPTIEMBRESem39</v>
      </c>
      <c r="D1048" t="str">
        <f t="shared" si="1273"/>
        <v>SEPTIEMBRESem39SARA ABIGAIL CHACÓN PARADA</v>
      </c>
      <c r="E1048" t="str">
        <f t="shared" si="1274"/>
        <v>SEPTIEMBRESem3939SARA ABIGAIL CHACÓN PARADA</v>
      </c>
      <c r="F1048" t="str">
        <f t="shared" si="1275"/>
        <v>SARA ABIGAIL CHACÓN PARADA46290</v>
      </c>
      <c r="H1048" s="49" t="s">
        <v>267</v>
      </c>
      <c r="I1048" s="50" t="str">
        <f>+_xlfn.XLOOKUP($H1048&amp;$V1048,BASEDATOS!$B:$B,BASEDATOS!F:F,0,0,1)</f>
        <v>DIA</v>
      </c>
      <c r="J1048" s="51">
        <f>+_xlfn.XLOOKUP($H1048&amp;$V1048,BASEDATOS!$B:$B,BASEDATOS!Q:Q,0,0,1)</f>
        <v>0.33333333333333298</v>
      </c>
      <c r="K1048" s="51">
        <f>+_xlfn.XLOOKUP($H1048&amp;$V1048,BASEDATOS!$B:$B,BASEDATOS!R:R,0,0,1)</f>
        <v>0.70833333333333304</v>
      </c>
      <c r="L1048" s="51">
        <f t="shared" si="1276"/>
        <v>0.37500000000000006</v>
      </c>
      <c r="M1048" s="52" t="str">
        <f t="shared" si="1277"/>
        <v>1:00</v>
      </c>
      <c r="N1048" s="51">
        <f t="shared" si="1278"/>
        <v>0.33333333333333337</v>
      </c>
      <c r="O1048" s="53" t="str">
        <f t="shared" ref="O1048" si="1293">+O1050</f>
        <v>6-0-1</v>
      </c>
      <c r="P1048" s="54">
        <f>+IF(AND(Y1048="Domingo",U1048=7),_xlfn.XLOOKUP(O1048,'Horarios y Sistemas'!C:C,'Horarios y Sistemas'!H:H,0,0,1),0)</f>
        <v>0</v>
      </c>
      <c r="Q1048" s="54">
        <f>IF(U1048=U1049,0,IF(AVERAGEIF(W:W,W1048,U:U)=U1048,0,_xlfn.XLOOKUP(O1048,'Horarios y Sistemas'!C:C,'Horarios y Sistemas'!H:H,0,0,1)-P1048))/7*U1048</f>
        <v>0</v>
      </c>
      <c r="R1048" s="54">
        <f t="shared" si="1280"/>
        <v>0</v>
      </c>
      <c r="S1048" s="55" t="str">
        <f t="shared" si="1281"/>
        <v>SEPTIEMBRE</v>
      </c>
      <c r="T1048" s="55" t="str">
        <f t="shared" si="1282"/>
        <v>Sem39</v>
      </c>
      <c r="U1048" s="56">
        <f t="shared" si="1263"/>
        <v>7</v>
      </c>
      <c r="V1048" s="59">
        <v>46290</v>
      </c>
      <c r="W1048" s="56">
        <f t="shared" si="1283"/>
        <v>39</v>
      </c>
      <c r="X1048" s="56">
        <f t="shared" si="1284"/>
        <v>25</v>
      </c>
      <c r="Y1048" s="56" t="s">
        <v>32</v>
      </c>
      <c r="Z1048" s="56">
        <v>5</v>
      </c>
      <c r="AA1048" s="58">
        <f t="shared" si="1267"/>
        <v>1</v>
      </c>
      <c r="AB1048" s="58">
        <f t="shared" si="1267"/>
        <v>0</v>
      </c>
      <c r="AC1048" s="58">
        <f t="shared" si="1267"/>
        <v>0</v>
      </c>
      <c r="AD1048" s="58">
        <f t="shared" si="1267"/>
        <v>0</v>
      </c>
      <c r="AE1048" s="58">
        <f t="shared" si="1267"/>
        <v>0</v>
      </c>
    </row>
    <row r="1049" spans="2:31">
      <c r="B1049" t="str">
        <f t="shared" si="1271"/>
        <v>Sem3939SARA ABIGAIL CHACÓN PARADA</v>
      </c>
      <c r="C1049" t="str">
        <f t="shared" si="1272"/>
        <v>SEPTIEMBRESem39</v>
      </c>
      <c r="D1049" t="str">
        <f t="shared" si="1273"/>
        <v>SEPTIEMBRESem39SARA ABIGAIL CHACÓN PARADA</v>
      </c>
      <c r="E1049" t="str">
        <f t="shared" si="1274"/>
        <v>SEPTIEMBRESem3939SARA ABIGAIL CHACÓN PARADA</v>
      </c>
      <c r="F1049" t="str">
        <f t="shared" si="1275"/>
        <v>SARA ABIGAIL CHACÓN PARADA46291</v>
      </c>
      <c r="H1049" s="49" t="s">
        <v>267</v>
      </c>
      <c r="I1049" s="50" t="str">
        <f>+_xlfn.XLOOKUP($H1049&amp;$V1049,BASEDATOS!$B:$B,BASEDATOS!F:F,0,0,1)</f>
        <v>DIA</v>
      </c>
      <c r="J1049" s="51">
        <f>+_xlfn.XLOOKUP($H1049&amp;$V1049,BASEDATOS!$B:$B,BASEDATOS!Q:Q,0,0,1)</f>
        <v>0.29166666666666702</v>
      </c>
      <c r="K1049" s="51">
        <f>+_xlfn.XLOOKUP($H1049&amp;$V1049,BASEDATOS!$B:$B,BASEDATOS!R:R,0,0,1)</f>
        <v>0.5</v>
      </c>
      <c r="L1049" s="51">
        <f t="shared" si="1276"/>
        <v>0.20833333333333298</v>
      </c>
      <c r="M1049" s="52" t="str">
        <f t="shared" si="1277"/>
        <v>1:00</v>
      </c>
      <c r="N1049" s="51">
        <f t="shared" si="1278"/>
        <v>0.16666666666666632</v>
      </c>
      <c r="O1049" s="53" t="str">
        <f t="shared" ref="O1049" si="1294">+O1050</f>
        <v>6-0-1</v>
      </c>
      <c r="P1049" s="54">
        <f>+IF(AND(Y1049="Domingo",U1049=7),_xlfn.XLOOKUP(O1049,'Horarios y Sistemas'!C:C,'Horarios y Sistemas'!H:H,0,0,1),0)</f>
        <v>0</v>
      </c>
      <c r="Q1049" s="54">
        <f>IF(U1049=U1050,0,IF(AVERAGEIF(W:W,W1049,U:U)=U1049,0,_xlfn.XLOOKUP(O1049,'Horarios y Sistemas'!C:C,'Horarios y Sistemas'!H:H,0,0,1)-P1049))/7*U1049</f>
        <v>0</v>
      </c>
      <c r="R1049" s="54">
        <f t="shared" si="1280"/>
        <v>0</v>
      </c>
      <c r="S1049" s="55" t="str">
        <f t="shared" si="1281"/>
        <v>SEPTIEMBRE</v>
      </c>
      <c r="T1049" s="55" t="str">
        <f t="shared" si="1282"/>
        <v>Sem39</v>
      </c>
      <c r="U1049" s="56">
        <f t="shared" si="1263"/>
        <v>7</v>
      </c>
      <c r="V1049" s="59">
        <v>46291</v>
      </c>
      <c r="W1049" s="56">
        <f t="shared" si="1283"/>
        <v>39</v>
      </c>
      <c r="X1049" s="56">
        <f t="shared" si="1284"/>
        <v>26</v>
      </c>
      <c r="Y1049" s="56" t="s">
        <v>33</v>
      </c>
      <c r="Z1049" s="56">
        <v>6</v>
      </c>
      <c r="AA1049" s="58">
        <f t="shared" si="1267"/>
        <v>1</v>
      </c>
      <c r="AB1049" s="58">
        <f t="shared" si="1267"/>
        <v>0</v>
      </c>
      <c r="AC1049" s="58">
        <f t="shared" si="1267"/>
        <v>0</v>
      </c>
      <c r="AD1049" s="58">
        <f t="shared" si="1267"/>
        <v>0</v>
      </c>
      <c r="AE1049" s="58">
        <f t="shared" si="1267"/>
        <v>0</v>
      </c>
    </row>
    <row r="1050" spans="2:31">
      <c r="B1050" s="60" t="str">
        <f t="shared" si="1271"/>
        <v>Sem3939SARA ABIGAIL CHACÓN PARADA</v>
      </c>
      <c r="C1050" s="60" t="str">
        <f t="shared" si="1272"/>
        <v>SEPTIEMBRESem39</v>
      </c>
      <c r="D1050" s="60" t="str">
        <f t="shared" si="1273"/>
        <v>SEPTIEMBRESem39SARA ABIGAIL CHACÓN PARADA</v>
      </c>
      <c r="E1050" s="60" t="str">
        <f t="shared" si="1274"/>
        <v>SEPTIEMBRESem3939SARA ABIGAIL CHACÓN PARADA</v>
      </c>
      <c r="F1050" s="60" t="str">
        <f t="shared" si="1275"/>
        <v>SARA ABIGAIL CHACÓN PARADA46292</v>
      </c>
      <c r="G1050" s="60"/>
      <c r="H1050" s="61" t="s">
        <v>267</v>
      </c>
      <c r="I1050" s="62" t="str">
        <f>+_xlfn.XLOOKUP($H1050&amp;$V1050,BASEDATOS!$B:$B,BASEDATOS!F:F,0,0,1)</f>
        <v>DESCANSO</v>
      </c>
      <c r="J1050" s="63">
        <f>+_xlfn.XLOOKUP($H1050&amp;$V1050,BASEDATOS!$B:$B,BASEDATOS!Q:Q,0,0,1)</f>
        <v>0</v>
      </c>
      <c r="K1050" s="63">
        <f>+_xlfn.XLOOKUP($H1050&amp;$V1050,BASEDATOS!$B:$B,BASEDATOS!R:R,0,0,1)</f>
        <v>0</v>
      </c>
      <c r="L1050" s="63">
        <f t="shared" si="1276"/>
        <v>0</v>
      </c>
      <c r="M1050" s="64">
        <f t="shared" si="1277"/>
        <v>0</v>
      </c>
      <c r="N1050" s="63">
        <f t="shared" si="1278"/>
        <v>0</v>
      </c>
      <c r="O1050" s="65" t="str">
        <f t="shared" ref="O1050" si="1295">+IF(Y1050="Domingo",SUM(AA1044:AA1050)&amp;"-"&amp;SUM(AB1044:AB1050)&amp;"-"&amp;SUM(AC1044:AE1050),"")</f>
        <v>6-0-1</v>
      </c>
      <c r="P1050" s="66">
        <f>+IF(AND(Y1050="Domingo",U1050=7),_xlfn.XLOOKUP(O1050,'Horarios y Sistemas'!C:C,'Horarios y Sistemas'!H:H,0,0,1),0)</f>
        <v>44</v>
      </c>
      <c r="Q1050" s="66">
        <f>IF(U1050=U1051,0,IF(AVERAGEIF(W:W,W1050,U:U)=U1050,0,_xlfn.XLOOKUP(O1050,'Horarios y Sistemas'!C:C,'Horarios y Sistemas'!H:H,0,0,1)-P1050))/7*U1050</f>
        <v>0</v>
      </c>
      <c r="R1050" s="66">
        <f t="shared" si="1280"/>
        <v>44</v>
      </c>
      <c r="S1050" s="67" t="str">
        <f t="shared" si="1281"/>
        <v>SEPTIEMBRE</v>
      </c>
      <c r="T1050" s="55" t="str">
        <f t="shared" si="1282"/>
        <v>Sem39</v>
      </c>
      <c r="U1050" s="68">
        <f t="shared" si="1263"/>
        <v>7</v>
      </c>
      <c r="V1050" s="69">
        <v>46292</v>
      </c>
      <c r="W1050" s="68">
        <f t="shared" si="1283"/>
        <v>39</v>
      </c>
      <c r="X1050" s="68">
        <f t="shared" si="1284"/>
        <v>27</v>
      </c>
      <c r="Y1050" s="68" t="s">
        <v>34</v>
      </c>
      <c r="Z1050" s="68">
        <v>7</v>
      </c>
      <c r="AA1050" s="70">
        <f t="shared" si="1267"/>
        <v>0</v>
      </c>
      <c r="AB1050" s="70">
        <f t="shared" si="1267"/>
        <v>0</v>
      </c>
      <c r="AC1050" s="70">
        <f t="shared" si="1267"/>
        <v>1</v>
      </c>
      <c r="AD1050" s="70">
        <f t="shared" si="1267"/>
        <v>0</v>
      </c>
      <c r="AE1050" s="70">
        <f t="shared" si="1267"/>
        <v>0</v>
      </c>
    </row>
    <row r="1051" spans="2:31">
      <c r="B1051" t="str">
        <f t="shared" si="1271"/>
        <v>Sem4040SARA ABIGAIL CHACÓN PARADA</v>
      </c>
      <c r="C1051" t="str">
        <f t="shared" si="1272"/>
        <v>SEPTIEMBRESem40</v>
      </c>
      <c r="D1051" t="str">
        <f t="shared" si="1273"/>
        <v>SEPTIEMBRESem40SARA ABIGAIL CHACÓN PARADA</v>
      </c>
      <c r="E1051" t="str">
        <f t="shared" si="1274"/>
        <v>SEPTIEMBRESem4040SARA ABIGAIL CHACÓN PARADA</v>
      </c>
      <c r="F1051" t="str">
        <f t="shared" si="1275"/>
        <v>SARA ABIGAIL CHACÓN PARADA46293</v>
      </c>
      <c r="H1051" s="49" t="s">
        <v>267</v>
      </c>
      <c r="I1051" s="50" t="str">
        <f>+_xlfn.XLOOKUP($H1051&amp;$V1051,BASEDATOS!$B:$B,BASEDATOS!F:F,0,0,1)</f>
        <v>DIA</v>
      </c>
      <c r="J1051" s="51">
        <f>+_xlfn.XLOOKUP($H1051&amp;$V1051,BASEDATOS!$B:$B,BASEDATOS!Q:Q,0,0,1)</f>
        <v>0.29166666666666702</v>
      </c>
      <c r="K1051" s="51">
        <f>+_xlfn.XLOOKUP($H1051&amp;$V1051,BASEDATOS!$B:$B,BASEDATOS!R:R,0,0,1)</f>
        <v>0.66666666666666696</v>
      </c>
      <c r="L1051" s="51">
        <f t="shared" si="1276"/>
        <v>0.37499999999999994</v>
      </c>
      <c r="M1051" s="52" t="str">
        <f t="shared" si="1277"/>
        <v>1:00</v>
      </c>
      <c r="N1051" s="51">
        <f t="shared" si="1278"/>
        <v>0.33333333333333326</v>
      </c>
      <c r="O1051" s="53" t="str">
        <f t="shared" ref="O1051" si="1296">+O1057</f>
        <v>6-0-1</v>
      </c>
      <c r="P1051" s="54">
        <f>+IF(AND(Y1051="Domingo",U1051=7),_xlfn.XLOOKUP(O1051,'Horarios y Sistemas'!C:C,'Horarios y Sistemas'!H:H,0,0,1),0)</f>
        <v>0</v>
      </c>
      <c r="Q1051" s="54">
        <f>IF(U1051=U1052,0,IF(AVERAGEIF(W:W,W1051,U:U)=U1051,0,_xlfn.XLOOKUP(O1051,'Horarios y Sistemas'!C:C,'Horarios y Sistemas'!H:H,0,0,1)-P1051))/7*U1051</f>
        <v>0</v>
      </c>
      <c r="R1051" s="54">
        <f t="shared" si="1280"/>
        <v>0</v>
      </c>
      <c r="S1051" s="55" t="str">
        <f t="shared" si="1281"/>
        <v>SEPTIEMBRE</v>
      </c>
      <c r="T1051" s="55" t="str">
        <f t="shared" si="1282"/>
        <v>Sem40</v>
      </c>
      <c r="U1051" s="56">
        <f t="shared" si="1263"/>
        <v>7</v>
      </c>
      <c r="V1051" s="59">
        <v>46293</v>
      </c>
      <c r="W1051" s="56">
        <f t="shared" si="1283"/>
        <v>40</v>
      </c>
      <c r="X1051" s="56">
        <f t="shared" si="1284"/>
        <v>28</v>
      </c>
      <c r="Y1051" s="56" t="s">
        <v>28</v>
      </c>
      <c r="Z1051" s="56">
        <v>1</v>
      </c>
      <c r="AA1051" s="58">
        <f t="shared" si="1267"/>
        <v>1</v>
      </c>
      <c r="AB1051" s="58">
        <f t="shared" si="1267"/>
        <v>0</v>
      </c>
      <c r="AC1051" s="58">
        <f t="shared" si="1267"/>
        <v>0</v>
      </c>
      <c r="AD1051" s="58">
        <f t="shared" si="1267"/>
        <v>0</v>
      </c>
      <c r="AE1051" s="58">
        <f t="shared" si="1267"/>
        <v>0</v>
      </c>
    </row>
    <row r="1052" spans="2:31">
      <c r="B1052" t="str">
        <f t="shared" si="1271"/>
        <v>Sem4040SARA ABIGAIL CHACÓN PARADA</v>
      </c>
      <c r="C1052" t="str">
        <f t="shared" si="1272"/>
        <v>SEPTIEMBRESem40</v>
      </c>
      <c r="D1052" t="str">
        <f t="shared" si="1273"/>
        <v>SEPTIEMBRESem40SARA ABIGAIL CHACÓN PARADA</v>
      </c>
      <c r="E1052" t="str">
        <f t="shared" si="1274"/>
        <v>SEPTIEMBRESem4040SARA ABIGAIL CHACÓN PARADA</v>
      </c>
      <c r="F1052" t="str">
        <f t="shared" si="1275"/>
        <v>SARA ABIGAIL CHACÓN PARADA46294</v>
      </c>
      <c r="H1052" s="49" t="s">
        <v>267</v>
      </c>
      <c r="I1052" s="50" t="str">
        <f>+_xlfn.XLOOKUP($H1052&amp;$V1052,BASEDATOS!$B:$B,BASEDATOS!F:F,0,0,1)</f>
        <v>DIA</v>
      </c>
      <c r="J1052" s="51">
        <f>+_xlfn.XLOOKUP($H1052&amp;$V1052,BASEDATOS!$B:$B,BASEDATOS!Q:Q,0,0,1)</f>
        <v>0.29166666666666702</v>
      </c>
      <c r="K1052" s="51">
        <f>+_xlfn.XLOOKUP($H1052&amp;$V1052,BASEDATOS!$B:$B,BASEDATOS!R:R,0,0,1)</f>
        <v>0.66666666666666696</v>
      </c>
      <c r="L1052" s="51">
        <f t="shared" si="1276"/>
        <v>0.37499999999999994</v>
      </c>
      <c r="M1052" s="52" t="str">
        <f t="shared" si="1277"/>
        <v>1:00</v>
      </c>
      <c r="N1052" s="51">
        <f t="shared" si="1278"/>
        <v>0.33333333333333326</v>
      </c>
      <c r="O1052" s="53" t="str">
        <f t="shared" ref="O1052" si="1297">+O1057</f>
        <v>6-0-1</v>
      </c>
      <c r="P1052" s="54">
        <f>+IF(AND(Y1052="Domingo",U1052=7),_xlfn.XLOOKUP(O1052,'Horarios y Sistemas'!C:C,'Horarios y Sistemas'!H:H,0,0,1),0)</f>
        <v>0</v>
      </c>
      <c r="Q1052" s="54">
        <f>IF(U1052=U1053,0,IF(AVERAGEIF(W:W,W1052,U:U)=U1052,0,_xlfn.XLOOKUP(O1052,'Horarios y Sistemas'!C:C,'Horarios y Sistemas'!H:H,0,0,1)-P1052))/7*U1052</f>
        <v>0</v>
      </c>
      <c r="R1052" s="54">
        <f t="shared" si="1280"/>
        <v>0</v>
      </c>
      <c r="S1052" s="55" t="str">
        <f t="shared" si="1281"/>
        <v>SEPTIEMBRE</v>
      </c>
      <c r="T1052" s="55" t="str">
        <f t="shared" si="1282"/>
        <v>Sem40</v>
      </c>
      <c r="U1052" s="56">
        <f t="shared" si="1263"/>
        <v>7</v>
      </c>
      <c r="V1052" s="59">
        <v>46294</v>
      </c>
      <c r="W1052" s="56">
        <f t="shared" si="1283"/>
        <v>40</v>
      </c>
      <c r="X1052" s="56">
        <f t="shared" si="1284"/>
        <v>29</v>
      </c>
      <c r="Y1052" s="56" t="s">
        <v>29</v>
      </c>
      <c r="Z1052" s="56">
        <v>2</v>
      </c>
      <c r="AA1052" s="58">
        <f t="shared" si="1267"/>
        <v>1</v>
      </c>
      <c r="AB1052" s="58">
        <f t="shared" si="1267"/>
        <v>0</v>
      </c>
      <c r="AC1052" s="58">
        <f t="shared" si="1267"/>
        <v>0</v>
      </c>
      <c r="AD1052" s="58">
        <f t="shared" si="1267"/>
        <v>0</v>
      </c>
      <c r="AE1052" s="58">
        <f t="shared" si="1267"/>
        <v>0</v>
      </c>
    </row>
    <row r="1053" spans="2:31">
      <c r="B1053" t="str">
        <f t="shared" si="1271"/>
        <v>Sem4040SARA ABIGAIL CHACÓN PARADA</v>
      </c>
      <c r="C1053" t="str">
        <f t="shared" si="1272"/>
        <v>SEPTIEMBRESem40</v>
      </c>
      <c r="D1053" t="str">
        <f t="shared" si="1273"/>
        <v>SEPTIEMBRESem40SARA ABIGAIL CHACÓN PARADA</v>
      </c>
      <c r="E1053" t="str">
        <f t="shared" si="1274"/>
        <v>SEPTIEMBRESem4040SARA ABIGAIL CHACÓN PARADA</v>
      </c>
      <c r="F1053" t="str">
        <f t="shared" si="1275"/>
        <v>SARA ABIGAIL CHACÓN PARADA46295</v>
      </c>
      <c r="H1053" s="49" t="s">
        <v>267</v>
      </c>
      <c r="I1053" s="50" t="str">
        <f>+_xlfn.XLOOKUP($H1053&amp;$V1053,BASEDATOS!$B:$B,BASEDATOS!F:F,0,0,1)</f>
        <v>DIA</v>
      </c>
      <c r="J1053" s="51">
        <f>+_xlfn.XLOOKUP($H1053&amp;$V1053,BASEDATOS!$B:$B,BASEDATOS!Q:Q,0,0,1)</f>
        <v>0.29166666666666702</v>
      </c>
      <c r="K1053" s="51">
        <f>+_xlfn.XLOOKUP($H1053&amp;$V1053,BASEDATOS!$B:$B,BASEDATOS!R:R,0,0,1)</f>
        <v>0.66666666666666696</v>
      </c>
      <c r="L1053" s="51">
        <f t="shared" si="1276"/>
        <v>0.37499999999999994</v>
      </c>
      <c r="M1053" s="52" t="str">
        <f t="shared" si="1277"/>
        <v>1:00</v>
      </c>
      <c r="N1053" s="51">
        <f t="shared" si="1278"/>
        <v>0.33333333333333326</v>
      </c>
      <c r="O1053" s="53" t="str">
        <f t="shared" ref="O1053" si="1298">+O1057</f>
        <v>6-0-1</v>
      </c>
      <c r="P1053" s="54">
        <f>+IF(AND(Y1053="Domingo",U1053=7),_xlfn.XLOOKUP(O1053,'Horarios y Sistemas'!C:C,'Horarios y Sistemas'!H:H,0,0,1),0)</f>
        <v>0</v>
      </c>
      <c r="Q1053" s="54">
        <f>IF(U1053=U1054,0,IF(AVERAGEIF(W:W,W1053,U:U)=U1053,0,_xlfn.XLOOKUP(O1053,'Horarios y Sistemas'!C:C,'Horarios y Sistemas'!H:H,0,0,1)-P1053))/7*U1053</f>
        <v>0</v>
      </c>
      <c r="R1053" s="54">
        <f t="shared" si="1280"/>
        <v>0</v>
      </c>
      <c r="S1053" s="55" t="str">
        <f t="shared" si="1281"/>
        <v>SEPTIEMBRE</v>
      </c>
      <c r="T1053" s="55" t="str">
        <f t="shared" si="1282"/>
        <v>Sem40</v>
      </c>
      <c r="U1053" s="56">
        <f t="shared" si="1263"/>
        <v>7</v>
      </c>
      <c r="V1053" s="59">
        <v>46295</v>
      </c>
      <c r="W1053" s="56">
        <f t="shared" si="1283"/>
        <v>40</v>
      </c>
      <c r="X1053" s="56">
        <f t="shared" si="1284"/>
        <v>30</v>
      </c>
      <c r="Y1053" s="56" t="s">
        <v>30</v>
      </c>
      <c r="Z1053" s="56">
        <v>3</v>
      </c>
      <c r="AA1053" s="58">
        <f t="shared" si="1267"/>
        <v>1</v>
      </c>
      <c r="AB1053" s="58">
        <f t="shared" si="1267"/>
        <v>0</v>
      </c>
      <c r="AC1053" s="58">
        <f t="shared" si="1267"/>
        <v>0</v>
      </c>
      <c r="AD1053" s="58">
        <f t="shared" si="1267"/>
        <v>0</v>
      </c>
      <c r="AE1053" s="58">
        <f t="shared" si="1267"/>
        <v>0</v>
      </c>
    </row>
    <row r="1054" spans="2:31">
      <c r="B1054" t="str">
        <f t="shared" si="1271"/>
        <v>Sem4040SARA ABIGAIL CHACÓN PARADA</v>
      </c>
      <c r="C1054" t="str">
        <f t="shared" si="1272"/>
        <v>OCTUBRESem40</v>
      </c>
      <c r="D1054" t="str">
        <f t="shared" si="1273"/>
        <v>OCTUBRESem40SARA ABIGAIL CHACÓN PARADA</v>
      </c>
      <c r="E1054" t="str">
        <f t="shared" si="1274"/>
        <v>OCTUBRESem4040SARA ABIGAIL CHACÓN PARADA</v>
      </c>
      <c r="F1054" t="str">
        <f t="shared" si="1275"/>
        <v>SARA ABIGAIL CHACÓN PARADA46296</v>
      </c>
      <c r="H1054" s="49" t="s">
        <v>267</v>
      </c>
      <c r="I1054" s="50" t="str">
        <f>+_xlfn.XLOOKUP($H1054&amp;$V1054,BASEDATOS!$B:$B,BASEDATOS!F:F,0,0,1)</f>
        <v>DIA</v>
      </c>
      <c r="J1054" s="51">
        <f>+_xlfn.XLOOKUP($H1054&amp;$V1054,BASEDATOS!$B:$B,BASEDATOS!Q:Q,0,0,1)</f>
        <v>0.375</v>
      </c>
      <c r="K1054" s="51">
        <f>+_xlfn.XLOOKUP($H1054&amp;$V1054,BASEDATOS!$B:$B,BASEDATOS!R:R,0,0,1)</f>
        <v>0.75</v>
      </c>
      <c r="L1054" s="51">
        <f t="shared" si="1276"/>
        <v>0.375</v>
      </c>
      <c r="M1054" s="52" t="str">
        <f t="shared" si="1277"/>
        <v>1:00</v>
      </c>
      <c r="N1054" s="51">
        <f t="shared" si="1278"/>
        <v>0.33333333333333331</v>
      </c>
      <c r="O1054" s="53" t="str">
        <f t="shared" ref="O1054" si="1299">+O1057</f>
        <v>6-0-1</v>
      </c>
      <c r="P1054" s="54">
        <f>+IF(AND(Y1054="Domingo",U1054=7),_xlfn.XLOOKUP(O1054,'Horarios y Sistemas'!C:C,'Horarios y Sistemas'!H:H,0,0,1),0)</f>
        <v>0</v>
      </c>
      <c r="Q1054" s="54">
        <f>IF(U1054=U1055,0,IF(AVERAGEIF(W:W,W1054,U:U)=U1054,0,_xlfn.XLOOKUP(O1054,'Horarios y Sistemas'!C:C,'Horarios y Sistemas'!H:H,0,0,1)-P1054))/7*U1054</f>
        <v>0</v>
      </c>
      <c r="R1054" s="54">
        <f t="shared" si="1280"/>
        <v>0</v>
      </c>
      <c r="S1054" s="55" t="str">
        <f t="shared" si="1281"/>
        <v>OCTUBRE</v>
      </c>
      <c r="T1054" s="55" t="str">
        <f t="shared" si="1282"/>
        <v>Sem40</v>
      </c>
      <c r="U1054" s="56">
        <f t="shared" si="1263"/>
        <v>7</v>
      </c>
      <c r="V1054" s="59">
        <v>46296</v>
      </c>
      <c r="W1054" s="56">
        <f t="shared" si="1283"/>
        <v>40</v>
      </c>
      <c r="X1054" s="56">
        <f t="shared" si="1284"/>
        <v>1</v>
      </c>
      <c r="Y1054" s="56" t="s">
        <v>31</v>
      </c>
      <c r="Z1054" s="56">
        <v>4</v>
      </c>
      <c r="AA1054" s="58">
        <f t="shared" si="1267"/>
        <v>1</v>
      </c>
      <c r="AB1054" s="58">
        <f t="shared" si="1267"/>
        <v>0</v>
      </c>
      <c r="AC1054" s="58">
        <f t="shared" si="1267"/>
        <v>0</v>
      </c>
      <c r="AD1054" s="58">
        <f t="shared" si="1267"/>
        <v>0</v>
      </c>
      <c r="AE1054" s="58">
        <f t="shared" si="1267"/>
        <v>0</v>
      </c>
    </row>
    <row r="1055" spans="2:31">
      <c r="B1055" t="str">
        <f t="shared" si="1271"/>
        <v>Sem4040SARA ABIGAIL CHACÓN PARADA</v>
      </c>
      <c r="C1055" t="str">
        <f t="shared" si="1272"/>
        <v>OCTUBRESem40</v>
      </c>
      <c r="D1055" t="str">
        <f t="shared" si="1273"/>
        <v>OCTUBRESem40SARA ABIGAIL CHACÓN PARADA</v>
      </c>
      <c r="E1055" t="str">
        <f t="shared" si="1274"/>
        <v>OCTUBRESem4040SARA ABIGAIL CHACÓN PARADA</v>
      </c>
      <c r="F1055" t="str">
        <f t="shared" si="1275"/>
        <v>SARA ABIGAIL CHACÓN PARADA46297</v>
      </c>
      <c r="H1055" s="49" t="s">
        <v>267</v>
      </c>
      <c r="I1055" s="50" t="str">
        <f>+_xlfn.XLOOKUP($H1055&amp;$V1055,BASEDATOS!$B:$B,BASEDATOS!F:F,0,0,1)</f>
        <v>DIA</v>
      </c>
      <c r="J1055" s="51">
        <f>+_xlfn.XLOOKUP($H1055&amp;$V1055,BASEDATOS!$B:$B,BASEDATOS!Q:Q,0,0,1)</f>
        <v>0.29166666666666702</v>
      </c>
      <c r="K1055" s="51">
        <f>+_xlfn.XLOOKUP($H1055&amp;$V1055,BASEDATOS!$B:$B,BASEDATOS!R:R,0,0,1)</f>
        <v>0.66666666666666696</v>
      </c>
      <c r="L1055" s="51">
        <f t="shared" si="1276"/>
        <v>0.37499999999999994</v>
      </c>
      <c r="M1055" s="52" t="str">
        <f t="shared" si="1277"/>
        <v>1:00</v>
      </c>
      <c r="N1055" s="51">
        <f t="shared" si="1278"/>
        <v>0.33333333333333326</v>
      </c>
      <c r="O1055" s="53" t="str">
        <f t="shared" ref="O1055" si="1300">+O1057</f>
        <v>6-0-1</v>
      </c>
      <c r="P1055" s="54">
        <f>+IF(AND(Y1055="Domingo",U1055=7),_xlfn.XLOOKUP(O1055,'Horarios y Sistemas'!C:C,'Horarios y Sistemas'!H:H,0,0,1),0)</f>
        <v>0</v>
      </c>
      <c r="Q1055" s="54">
        <f>IF(U1055=U1056,0,IF(AVERAGEIF(W:W,W1055,U:U)=U1055,0,_xlfn.XLOOKUP(O1055,'Horarios y Sistemas'!C:C,'Horarios y Sistemas'!H:H,0,0,1)-P1055))/7*U1055</f>
        <v>0</v>
      </c>
      <c r="R1055" s="54">
        <f t="shared" si="1280"/>
        <v>0</v>
      </c>
      <c r="S1055" s="55" t="str">
        <f t="shared" si="1281"/>
        <v>OCTUBRE</v>
      </c>
      <c r="T1055" s="55" t="str">
        <f t="shared" si="1282"/>
        <v>Sem40</v>
      </c>
      <c r="U1055" s="56">
        <f t="shared" si="1263"/>
        <v>7</v>
      </c>
      <c r="V1055" s="59">
        <v>46297</v>
      </c>
      <c r="W1055" s="56">
        <f t="shared" si="1283"/>
        <v>40</v>
      </c>
      <c r="X1055" s="56">
        <f t="shared" si="1284"/>
        <v>2</v>
      </c>
      <c r="Y1055" s="56" t="s">
        <v>32</v>
      </c>
      <c r="Z1055" s="56">
        <v>5</v>
      </c>
      <c r="AA1055" s="58">
        <f t="shared" si="1267"/>
        <v>1</v>
      </c>
      <c r="AB1055" s="58">
        <f t="shared" si="1267"/>
        <v>0</v>
      </c>
      <c r="AC1055" s="58">
        <f t="shared" si="1267"/>
        <v>0</v>
      </c>
      <c r="AD1055" s="58">
        <f t="shared" si="1267"/>
        <v>0</v>
      </c>
      <c r="AE1055" s="58">
        <f t="shared" si="1267"/>
        <v>0</v>
      </c>
    </row>
    <row r="1056" spans="2:31">
      <c r="B1056" t="str">
        <f t="shared" si="1271"/>
        <v>Sem4040SARA ABIGAIL CHACÓN PARADA</v>
      </c>
      <c r="C1056" t="str">
        <f t="shared" si="1272"/>
        <v>OCTUBRESem40</v>
      </c>
      <c r="D1056" t="str">
        <f t="shared" si="1273"/>
        <v>OCTUBRESem40SARA ABIGAIL CHACÓN PARADA</v>
      </c>
      <c r="E1056" t="str">
        <f t="shared" si="1274"/>
        <v>OCTUBRESem4040SARA ABIGAIL CHACÓN PARADA</v>
      </c>
      <c r="F1056" t="str">
        <f t="shared" si="1275"/>
        <v>SARA ABIGAIL CHACÓN PARADA46298</v>
      </c>
      <c r="H1056" s="49" t="s">
        <v>267</v>
      </c>
      <c r="I1056" s="50" t="str">
        <f>+_xlfn.XLOOKUP($H1056&amp;$V1056,BASEDATOS!$B:$B,BASEDATOS!F:F,0,0,1)</f>
        <v>DIA</v>
      </c>
      <c r="J1056" s="51">
        <f>+_xlfn.XLOOKUP($H1056&amp;$V1056,BASEDATOS!$B:$B,BASEDATOS!Q:Q,0,0,1)</f>
        <v>0.29166666666666702</v>
      </c>
      <c r="K1056" s="51">
        <f>+_xlfn.XLOOKUP($H1056&amp;$V1056,BASEDATOS!$B:$B,BASEDATOS!R:R,0,0,1)</f>
        <v>0.5</v>
      </c>
      <c r="L1056" s="51">
        <f t="shared" si="1276"/>
        <v>0.20833333333333298</v>
      </c>
      <c r="M1056" s="52" t="str">
        <f t="shared" si="1277"/>
        <v>1:00</v>
      </c>
      <c r="N1056" s="51">
        <f t="shared" si="1278"/>
        <v>0.16666666666666632</v>
      </c>
      <c r="O1056" s="53" t="str">
        <f t="shared" ref="O1056" si="1301">+O1057</f>
        <v>6-0-1</v>
      </c>
      <c r="P1056" s="54">
        <f>+IF(AND(Y1056="Domingo",U1056=7),_xlfn.XLOOKUP(O1056,'Horarios y Sistemas'!C:C,'Horarios y Sistemas'!H:H,0,0,1),0)</f>
        <v>0</v>
      </c>
      <c r="Q1056" s="54">
        <f>IF(U1056=U1057,0,IF(AVERAGEIF(W:W,W1056,U:U)=U1056,0,_xlfn.XLOOKUP(O1056,'Horarios y Sistemas'!C:C,'Horarios y Sistemas'!H:H,0,0,1)-P1056))/7*U1056</f>
        <v>0</v>
      </c>
      <c r="R1056" s="54">
        <f t="shared" si="1280"/>
        <v>0</v>
      </c>
      <c r="S1056" s="55" t="str">
        <f t="shared" si="1281"/>
        <v>OCTUBRE</v>
      </c>
      <c r="T1056" s="55" t="str">
        <f t="shared" si="1282"/>
        <v>Sem40</v>
      </c>
      <c r="U1056" s="56">
        <f t="shared" si="1263"/>
        <v>7</v>
      </c>
      <c r="V1056" s="59">
        <v>46298</v>
      </c>
      <c r="W1056" s="56">
        <f t="shared" si="1283"/>
        <v>40</v>
      </c>
      <c r="X1056" s="56">
        <f t="shared" si="1284"/>
        <v>3</v>
      </c>
      <c r="Y1056" s="56" t="s">
        <v>33</v>
      </c>
      <c r="Z1056" s="56">
        <v>6</v>
      </c>
      <c r="AA1056" s="58">
        <f t="shared" si="1267"/>
        <v>1</v>
      </c>
      <c r="AB1056" s="58">
        <f t="shared" si="1267"/>
        <v>0</v>
      </c>
      <c r="AC1056" s="58">
        <f t="shared" si="1267"/>
        <v>0</v>
      </c>
      <c r="AD1056" s="58">
        <f t="shared" si="1267"/>
        <v>0</v>
      </c>
      <c r="AE1056" s="58">
        <f t="shared" si="1267"/>
        <v>0</v>
      </c>
    </row>
    <row r="1057" spans="2:31">
      <c r="B1057" s="60" t="str">
        <f t="shared" si="1271"/>
        <v>Sem4040SARA ABIGAIL CHACÓN PARADA</v>
      </c>
      <c r="C1057" s="60" t="str">
        <f t="shared" si="1272"/>
        <v>OCTUBRESem40</v>
      </c>
      <c r="D1057" s="60" t="str">
        <f t="shared" si="1273"/>
        <v>OCTUBRESem40SARA ABIGAIL CHACÓN PARADA</v>
      </c>
      <c r="E1057" s="60" t="str">
        <f t="shared" si="1274"/>
        <v>OCTUBRESem4040SARA ABIGAIL CHACÓN PARADA</v>
      </c>
      <c r="F1057" s="60" t="str">
        <f t="shared" si="1275"/>
        <v>SARA ABIGAIL CHACÓN PARADA46299</v>
      </c>
      <c r="G1057" s="60"/>
      <c r="H1057" s="61" t="s">
        <v>267</v>
      </c>
      <c r="I1057" s="62" t="str">
        <f>+_xlfn.XLOOKUP($H1057&amp;$V1057,BASEDATOS!$B:$B,BASEDATOS!F:F,0,0,1)</f>
        <v>DESCANSO</v>
      </c>
      <c r="J1057" s="63">
        <f>+_xlfn.XLOOKUP($H1057&amp;$V1057,BASEDATOS!$B:$B,BASEDATOS!Q:Q,0,0,1)</f>
        <v>0</v>
      </c>
      <c r="K1057" s="63">
        <f>+_xlfn.XLOOKUP($H1057&amp;$V1057,BASEDATOS!$B:$B,BASEDATOS!R:R,0,0,1)</f>
        <v>0</v>
      </c>
      <c r="L1057" s="63">
        <f t="shared" si="1276"/>
        <v>0</v>
      </c>
      <c r="M1057" s="64">
        <f t="shared" si="1277"/>
        <v>0</v>
      </c>
      <c r="N1057" s="63">
        <f t="shared" si="1278"/>
        <v>0</v>
      </c>
      <c r="O1057" s="65" t="str">
        <f t="shared" ref="O1057" si="1302">+IF(Y1057="Domingo",SUM(AA1051:AA1057)&amp;"-"&amp;SUM(AB1051:AB1057)&amp;"-"&amp;SUM(AC1051:AE1057),"")</f>
        <v>6-0-1</v>
      </c>
      <c r="P1057" s="66">
        <f>+IF(AND(Y1057="Domingo",U1057=7),_xlfn.XLOOKUP(O1057,'Horarios y Sistemas'!C:C,'Horarios y Sistemas'!H:H,0,0,1),0)</f>
        <v>44</v>
      </c>
      <c r="Q1057" s="66">
        <f>IF(U1057=U1058,0,IF(AVERAGEIF(W:W,W1057,U:U)=U1057,0,_xlfn.XLOOKUP(O1057,'Horarios y Sistemas'!C:C,'Horarios y Sistemas'!H:H,0,0,1)-P1057))/7*U1057</f>
        <v>0</v>
      </c>
      <c r="R1057" s="66">
        <f t="shared" si="1280"/>
        <v>44</v>
      </c>
      <c r="S1057" s="67" t="str">
        <f t="shared" si="1281"/>
        <v>OCTUBRE</v>
      </c>
      <c r="T1057" s="55" t="str">
        <f t="shared" si="1282"/>
        <v>Sem40</v>
      </c>
      <c r="U1057" s="68">
        <f t="shared" si="1263"/>
        <v>7</v>
      </c>
      <c r="V1057" s="69">
        <v>46299</v>
      </c>
      <c r="W1057" s="68">
        <f t="shared" si="1283"/>
        <v>40</v>
      </c>
      <c r="X1057" s="68">
        <f t="shared" si="1284"/>
        <v>4</v>
      </c>
      <c r="Y1057" s="68" t="s">
        <v>34</v>
      </c>
      <c r="Z1057" s="68">
        <v>7</v>
      </c>
      <c r="AA1057" s="70">
        <f t="shared" si="1267"/>
        <v>0</v>
      </c>
      <c r="AB1057" s="70">
        <f t="shared" si="1267"/>
        <v>0</v>
      </c>
      <c r="AC1057" s="70">
        <f t="shared" si="1267"/>
        <v>1</v>
      </c>
      <c r="AD1057" s="70">
        <f t="shared" si="1267"/>
        <v>0</v>
      </c>
      <c r="AE1057" s="70">
        <f t="shared" si="1267"/>
        <v>0</v>
      </c>
    </row>
    <row r="1058" spans="2:31">
      <c r="B1058" t="str">
        <f t="shared" si="1271"/>
        <v>Sem3838SAZO DE LA CRUZ SELINA ROSSANA</v>
      </c>
      <c r="C1058" t="str">
        <f t="shared" si="1272"/>
        <v>SEPTIEMBRESem38</v>
      </c>
      <c r="D1058" t="str">
        <f t="shared" si="1273"/>
        <v>SEPTIEMBRESem38SAZO DE LA CRUZ SELINA ROSSANA</v>
      </c>
      <c r="E1058" t="str">
        <f t="shared" si="1274"/>
        <v>SEPTIEMBRESem3838SAZO DE LA CRUZ SELINA ROSSANA</v>
      </c>
      <c r="F1058" t="str">
        <f t="shared" si="1275"/>
        <v>SAZO DE LA CRUZ SELINA ROSSANA46279</v>
      </c>
      <c r="H1058" s="49" t="s">
        <v>1</v>
      </c>
      <c r="I1058" s="50" t="str">
        <f>+_xlfn.XLOOKUP($H1058&amp;$V1058,BASEDATOS!$B:$B,BASEDATOS!F:F,0,0,1)</f>
        <v>DESCANSO</v>
      </c>
      <c r="J1058" s="51">
        <f>+_xlfn.XLOOKUP($H1058&amp;$V1058,BASEDATOS!$B:$B,BASEDATOS!Q:Q,0,0,1)</f>
        <v>0</v>
      </c>
      <c r="K1058" s="51">
        <f>+_xlfn.XLOOKUP($H1058&amp;$V1058,BASEDATOS!$B:$B,BASEDATOS!R:R,0,0,1)</f>
        <v>0</v>
      </c>
      <c r="L1058" s="51">
        <f t="shared" si="1276"/>
        <v>0</v>
      </c>
      <c r="M1058" s="52">
        <f t="shared" si="1277"/>
        <v>0</v>
      </c>
      <c r="N1058" s="51">
        <f t="shared" si="1278"/>
        <v>0</v>
      </c>
      <c r="O1058" s="53" t="str">
        <f t="shared" ref="O1058" si="1303">+O1064</f>
        <v>5-0-2</v>
      </c>
      <c r="P1058" s="54">
        <f>+IF(AND(Y1058="Domingo",U1058=7),_xlfn.XLOOKUP(O1058,'Horarios y Sistemas'!C:C,'Horarios y Sistemas'!H:H,0,0,1),0)</f>
        <v>0</v>
      </c>
      <c r="Q1058" s="54">
        <f>IF(U1058=U1059,0,IF(AVERAGEIF(W:W,W1058,U:U)=U1058,0,_xlfn.XLOOKUP(O1058,'Horarios y Sistemas'!C:C,'Horarios y Sistemas'!H:H,0,0,1)-P1058))/7*U1058</f>
        <v>0</v>
      </c>
      <c r="R1058" s="54">
        <f t="shared" si="1280"/>
        <v>0</v>
      </c>
      <c r="S1058" s="55" t="str">
        <f t="shared" si="1281"/>
        <v>SEPTIEMBRE</v>
      </c>
      <c r="T1058" s="55" t="str">
        <f t="shared" si="1282"/>
        <v>Sem38</v>
      </c>
      <c r="U1058" s="56">
        <f t="shared" si="1263"/>
        <v>7</v>
      </c>
      <c r="V1058" s="59">
        <v>46279</v>
      </c>
      <c r="W1058" s="56">
        <f t="shared" si="1283"/>
        <v>38</v>
      </c>
      <c r="X1058" s="56">
        <f t="shared" si="1284"/>
        <v>14</v>
      </c>
      <c r="Y1058" s="56" t="s">
        <v>28</v>
      </c>
      <c r="Z1058" s="56">
        <v>1</v>
      </c>
      <c r="AA1058" s="58">
        <f t="shared" si="1267"/>
        <v>0</v>
      </c>
      <c r="AB1058" s="58">
        <f t="shared" si="1267"/>
        <v>0</v>
      </c>
      <c r="AC1058" s="58">
        <f t="shared" si="1267"/>
        <v>1</v>
      </c>
      <c r="AD1058" s="58">
        <f t="shared" si="1267"/>
        <v>0</v>
      </c>
      <c r="AE1058" s="58">
        <f t="shared" si="1267"/>
        <v>0</v>
      </c>
    </row>
    <row r="1059" spans="2:31">
      <c r="B1059" t="str">
        <f t="shared" si="1271"/>
        <v>Sem3838SAZO DE LA CRUZ SELINA ROSSANA</v>
      </c>
      <c r="C1059" t="str">
        <f t="shared" si="1272"/>
        <v>SEPTIEMBRESem38</v>
      </c>
      <c r="D1059" t="str">
        <f t="shared" si="1273"/>
        <v>SEPTIEMBRESem38SAZO DE LA CRUZ SELINA ROSSANA</v>
      </c>
      <c r="E1059" t="str">
        <f t="shared" si="1274"/>
        <v>SEPTIEMBRESem3838SAZO DE LA CRUZ SELINA ROSSANA</v>
      </c>
      <c r="F1059" t="str">
        <f t="shared" si="1275"/>
        <v>SAZO DE LA CRUZ SELINA ROSSANA46280</v>
      </c>
      <c r="H1059" s="49" t="s">
        <v>1</v>
      </c>
      <c r="I1059" s="50" t="str">
        <f>+_xlfn.XLOOKUP($H1059&amp;$V1059,BASEDATOS!$B:$B,BASEDATOS!F:F,0,0,1)</f>
        <v>DIA</v>
      </c>
      <c r="J1059" s="51">
        <f>+_xlfn.XLOOKUP($H1059&amp;$V1059,BASEDATOS!$B:$B,BASEDATOS!Q:Q,0,0,1)</f>
        <v>0.33333333333333298</v>
      </c>
      <c r="K1059" s="51">
        <f>+_xlfn.XLOOKUP($H1059&amp;$V1059,BASEDATOS!$B:$B,BASEDATOS!R:R,0,0,1)</f>
        <v>0.70833333333333304</v>
      </c>
      <c r="L1059" s="51">
        <f t="shared" si="1276"/>
        <v>0.37500000000000006</v>
      </c>
      <c r="M1059" s="52" t="str">
        <f t="shared" si="1277"/>
        <v>1:00</v>
      </c>
      <c r="N1059" s="51">
        <f t="shared" si="1278"/>
        <v>0.33333333333333337</v>
      </c>
      <c r="O1059" s="53" t="str">
        <f t="shared" ref="O1059" si="1304">+O1064</f>
        <v>5-0-2</v>
      </c>
      <c r="P1059" s="54">
        <f>+IF(AND(Y1059="Domingo",U1059=7),_xlfn.XLOOKUP(O1059,'Horarios y Sistemas'!C:C,'Horarios y Sistemas'!H:H,0,0,1),0)</f>
        <v>0</v>
      </c>
      <c r="Q1059" s="54">
        <f>IF(U1059=U1060,0,IF(AVERAGEIF(W:W,W1059,U:U)=U1059,0,_xlfn.XLOOKUP(O1059,'Horarios y Sistemas'!C:C,'Horarios y Sistemas'!H:H,0,0,1)-P1059))/7*U1059</f>
        <v>0</v>
      </c>
      <c r="R1059" s="54">
        <f t="shared" si="1280"/>
        <v>0</v>
      </c>
      <c r="S1059" s="55" t="str">
        <f t="shared" si="1281"/>
        <v>SEPTIEMBRE</v>
      </c>
      <c r="T1059" s="55" t="str">
        <f t="shared" si="1282"/>
        <v>Sem38</v>
      </c>
      <c r="U1059" s="56">
        <f t="shared" si="1263"/>
        <v>7</v>
      </c>
      <c r="V1059" s="59">
        <v>46280</v>
      </c>
      <c r="W1059" s="56">
        <f t="shared" si="1283"/>
        <v>38</v>
      </c>
      <c r="X1059" s="56">
        <f t="shared" si="1284"/>
        <v>15</v>
      </c>
      <c r="Y1059" s="56" t="s">
        <v>29</v>
      </c>
      <c r="Z1059" s="56">
        <v>2</v>
      </c>
      <c r="AA1059" s="58">
        <f t="shared" si="1267"/>
        <v>1</v>
      </c>
      <c r="AB1059" s="58">
        <f t="shared" si="1267"/>
        <v>0</v>
      </c>
      <c r="AC1059" s="58">
        <f t="shared" si="1267"/>
        <v>0</v>
      </c>
      <c r="AD1059" s="58">
        <f t="shared" si="1267"/>
        <v>0</v>
      </c>
      <c r="AE1059" s="58">
        <f t="shared" si="1267"/>
        <v>0</v>
      </c>
    </row>
    <row r="1060" spans="2:31">
      <c r="B1060" t="str">
        <f t="shared" si="1271"/>
        <v>Sem3838SAZO DE LA CRUZ SELINA ROSSANA</v>
      </c>
      <c r="C1060" t="str">
        <f t="shared" si="1272"/>
        <v>SEPTIEMBRESem38</v>
      </c>
      <c r="D1060" t="str">
        <f t="shared" si="1273"/>
        <v>SEPTIEMBRESem38SAZO DE LA CRUZ SELINA ROSSANA</v>
      </c>
      <c r="E1060" t="str">
        <f t="shared" si="1274"/>
        <v>SEPTIEMBRESem3838SAZO DE LA CRUZ SELINA ROSSANA</v>
      </c>
      <c r="F1060" t="str">
        <f t="shared" si="1275"/>
        <v>SAZO DE LA CRUZ SELINA ROSSANA46281</v>
      </c>
      <c r="H1060" s="49" t="s">
        <v>1</v>
      </c>
      <c r="I1060" s="50" t="str">
        <f>+_xlfn.XLOOKUP($H1060&amp;$V1060,BASEDATOS!$B:$B,BASEDATOS!F:F,0,0,1)</f>
        <v>DIA</v>
      </c>
      <c r="J1060" s="51">
        <f>+_xlfn.XLOOKUP($H1060&amp;$V1060,BASEDATOS!$B:$B,BASEDATOS!Q:Q,0,0,1)</f>
        <v>0.29166666666666702</v>
      </c>
      <c r="K1060" s="51">
        <f>+_xlfn.XLOOKUP($H1060&amp;$V1060,BASEDATOS!$B:$B,BASEDATOS!R:R,0,0,1)</f>
        <v>0.66666666666666696</v>
      </c>
      <c r="L1060" s="51">
        <f t="shared" si="1276"/>
        <v>0.37499999999999994</v>
      </c>
      <c r="M1060" s="52" t="str">
        <f t="shared" si="1277"/>
        <v>1:00</v>
      </c>
      <c r="N1060" s="51">
        <f t="shared" si="1278"/>
        <v>0.33333333333333326</v>
      </c>
      <c r="O1060" s="53" t="str">
        <f t="shared" ref="O1060" si="1305">+O1064</f>
        <v>5-0-2</v>
      </c>
      <c r="P1060" s="54">
        <f>+IF(AND(Y1060="Domingo",U1060=7),_xlfn.XLOOKUP(O1060,'Horarios y Sistemas'!C:C,'Horarios y Sistemas'!H:H,0,0,1),0)</f>
        <v>0</v>
      </c>
      <c r="Q1060" s="54">
        <f>IF(U1060=U1061,0,IF(AVERAGEIF(W:W,W1060,U:U)=U1060,0,_xlfn.XLOOKUP(O1060,'Horarios y Sistemas'!C:C,'Horarios y Sistemas'!H:H,0,0,1)-P1060))/7*U1060</f>
        <v>0</v>
      </c>
      <c r="R1060" s="54">
        <f t="shared" si="1280"/>
        <v>0</v>
      </c>
      <c r="S1060" s="55" t="str">
        <f t="shared" si="1281"/>
        <v>SEPTIEMBRE</v>
      </c>
      <c r="T1060" s="55" t="str">
        <f t="shared" si="1282"/>
        <v>Sem38</v>
      </c>
      <c r="U1060" s="56">
        <f t="shared" si="1263"/>
        <v>7</v>
      </c>
      <c r="V1060" s="59">
        <v>46281</v>
      </c>
      <c r="W1060" s="56">
        <f t="shared" si="1283"/>
        <v>38</v>
      </c>
      <c r="X1060" s="56">
        <f t="shared" si="1284"/>
        <v>16</v>
      </c>
      <c r="Y1060" s="56" t="s">
        <v>30</v>
      </c>
      <c r="Z1060" s="56">
        <v>3</v>
      </c>
      <c r="AA1060" s="58">
        <f t="shared" si="1267"/>
        <v>1</v>
      </c>
      <c r="AB1060" s="58">
        <f t="shared" si="1267"/>
        <v>0</v>
      </c>
      <c r="AC1060" s="58">
        <f t="shared" si="1267"/>
        <v>0</v>
      </c>
      <c r="AD1060" s="58">
        <f t="shared" si="1267"/>
        <v>0</v>
      </c>
      <c r="AE1060" s="58">
        <f t="shared" si="1267"/>
        <v>0</v>
      </c>
    </row>
    <row r="1061" spans="2:31">
      <c r="B1061" t="str">
        <f t="shared" si="1271"/>
        <v>Sem3838SAZO DE LA CRUZ SELINA ROSSANA</v>
      </c>
      <c r="C1061" t="str">
        <f t="shared" si="1272"/>
        <v>SEPTIEMBRESem38</v>
      </c>
      <c r="D1061" t="str">
        <f t="shared" si="1273"/>
        <v>SEPTIEMBRESem38SAZO DE LA CRUZ SELINA ROSSANA</v>
      </c>
      <c r="E1061" t="str">
        <f t="shared" si="1274"/>
        <v>SEPTIEMBRESem3838SAZO DE LA CRUZ SELINA ROSSANA</v>
      </c>
      <c r="F1061" t="str">
        <f t="shared" si="1275"/>
        <v>SAZO DE LA CRUZ SELINA ROSSANA46282</v>
      </c>
      <c r="H1061" s="49" t="s">
        <v>1</v>
      </c>
      <c r="I1061" s="50" t="str">
        <f>+_xlfn.XLOOKUP($H1061&amp;$V1061,BASEDATOS!$B:$B,BASEDATOS!F:F,0,0,1)</f>
        <v>DIA</v>
      </c>
      <c r="J1061" s="51">
        <f>+_xlfn.XLOOKUP($H1061&amp;$V1061,BASEDATOS!$B:$B,BASEDATOS!Q:Q,0,0,1)</f>
        <v>0.375</v>
      </c>
      <c r="K1061" s="51">
        <f>+_xlfn.XLOOKUP($H1061&amp;$V1061,BASEDATOS!$B:$B,BASEDATOS!R:R,0,0,1)</f>
        <v>0.75</v>
      </c>
      <c r="L1061" s="51">
        <f t="shared" si="1276"/>
        <v>0.375</v>
      </c>
      <c r="M1061" s="52" t="str">
        <f t="shared" si="1277"/>
        <v>1:00</v>
      </c>
      <c r="N1061" s="51">
        <f t="shared" si="1278"/>
        <v>0.33333333333333331</v>
      </c>
      <c r="O1061" s="53" t="str">
        <f t="shared" ref="O1061" si="1306">+O1064</f>
        <v>5-0-2</v>
      </c>
      <c r="P1061" s="54">
        <f>+IF(AND(Y1061="Domingo",U1061=7),_xlfn.XLOOKUP(O1061,'Horarios y Sistemas'!C:C,'Horarios y Sistemas'!H:H,0,0,1),0)</f>
        <v>0</v>
      </c>
      <c r="Q1061" s="54">
        <f>IF(U1061=U1062,0,IF(AVERAGEIF(W:W,W1061,U:U)=U1061,0,_xlfn.XLOOKUP(O1061,'Horarios y Sistemas'!C:C,'Horarios y Sistemas'!H:H,0,0,1)-P1061))/7*U1061</f>
        <v>0</v>
      </c>
      <c r="R1061" s="54">
        <f t="shared" si="1280"/>
        <v>0</v>
      </c>
      <c r="S1061" s="55" t="str">
        <f t="shared" si="1281"/>
        <v>SEPTIEMBRE</v>
      </c>
      <c r="T1061" s="55" t="str">
        <f t="shared" si="1282"/>
        <v>Sem38</v>
      </c>
      <c r="U1061" s="56">
        <f t="shared" si="1263"/>
        <v>7</v>
      </c>
      <c r="V1061" s="59">
        <v>46282</v>
      </c>
      <c r="W1061" s="56">
        <f t="shared" si="1283"/>
        <v>38</v>
      </c>
      <c r="X1061" s="56">
        <f t="shared" si="1284"/>
        <v>17</v>
      </c>
      <c r="Y1061" s="56" t="s">
        <v>31</v>
      </c>
      <c r="Z1061" s="56">
        <v>4</v>
      </c>
      <c r="AA1061" s="58">
        <f t="shared" si="1267"/>
        <v>1</v>
      </c>
      <c r="AB1061" s="58">
        <f t="shared" si="1267"/>
        <v>0</v>
      </c>
      <c r="AC1061" s="58">
        <f t="shared" si="1267"/>
        <v>0</v>
      </c>
      <c r="AD1061" s="58">
        <f t="shared" si="1267"/>
        <v>0</v>
      </c>
      <c r="AE1061" s="58">
        <f t="shared" si="1267"/>
        <v>0</v>
      </c>
    </row>
    <row r="1062" spans="2:31">
      <c r="B1062" t="str">
        <f t="shared" si="1271"/>
        <v>Sem3838SAZO DE LA CRUZ SELINA ROSSANA</v>
      </c>
      <c r="C1062" t="str">
        <f t="shared" si="1272"/>
        <v>SEPTIEMBRESem38</v>
      </c>
      <c r="D1062" t="str">
        <f t="shared" si="1273"/>
        <v>SEPTIEMBRESem38SAZO DE LA CRUZ SELINA ROSSANA</v>
      </c>
      <c r="E1062" t="str">
        <f t="shared" si="1274"/>
        <v>SEPTIEMBRESem3838SAZO DE LA CRUZ SELINA ROSSANA</v>
      </c>
      <c r="F1062" t="str">
        <f t="shared" si="1275"/>
        <v>SAZO DE LA CRUZ SELINA ROSSANA46283</v>
      </c>
      <c r="H1062" s="49" t="s">
        <v>1</v>
      </c>
      <c r="I1062" s="50" t="str">
        <f>+_xlfn.XLOOKUP($H1062&amp;$V1062,BASEDATOS!$B:$B,BASEDATOS!F:F,0,0,1)</f>
        <v>DIA</v>
      </c>
      <c r="J1062" s="51">
        <f>+_xlfn.XLOOKUP($H1062&amp;$V1062,BASEDATOS!$B:$B,BASEDATOS!Q:Q,0,0,1)</f>
        <v>0.29166666666666702</v>
      </c>
      <c r="K1062" s="51">
        <f>+_xlfn.XLOOKUP($H1062&amp;$V1062,BASEDATOS!$B:$B,BASEDATOS!R:R,0,0,1)</f>
        <v>0.66666666666666696</v>
      </c>
      <c r="L1062" s="51">
        <f t="shared" si="1276"/>
        <v>0.37499999999999994</v>
      </c>
      <c r="M1062" s="52" t="str">
        <f t="shared" si="1277"/>
        <v>1:00</v>
      </c>
      <c r="N1062" s="51">
        <f t="shared" si="1278"/>
        <v>0.33333333333333326</v>
      </c>
      <c r="O1062" s="53" t="str">
        <f t="shared" ref="O1062" si="1307">+O1064</f>
        <v>5-0-2</v>
      </c>
      <c r="P1062" s="54">
        <f>+IF(AND(Y1062="Domingo",U1062=7),_xlfn.XLOOKUP(O1062,'Horarios y Sistemas'!C:C,'Horarios y Sistemas'!H:H,0,0,1),0)</f>
        <v>0</v>
      </c>
      <c r="Q1062" s="54">
        <f>IF(U1062=U1063,0,IF(AVERAGEIF(W:W,W1062,U:U)=U1062,0,_xlfn.XLOOKUP(O1062,'Horarios y Sistemas'!C:C,'Horarios y Sistemas'!H:H,0,0,1)-P1062))/7*U1062</f>
        <v>0</v>
      </c>
      <c r="R1062" s="54">
        <f t="shared" si="1280"/>
        <v>0</v>
      </c>
      <c r="S1062" s="55" t="str">
        <f t="shared" si="1281"/>
        <v>SEPTIEMBRE</v>
      </c>
      <c r="T1062" s="55" t="str">
        <f t="shared" si="1282"/>
        <v>Sem38</v>
      </c>
      <c r="U1062" s="56">
        <f t="shared" si="1263"/>
        <v>7</v>
      </c>
      <c r="V1062" s="59">
        <v>46283</v>
      </c>
      <c r="W1062" s="56">
        <f t="shared" si="1283"/>
        <v>38</v>
      </c>
      <c r="X1062" s="56">
        <f t="shared" si="1284"/>
        <v>18</v>
      </c>
      <c r="Y1062" s="56" t="s">
        <v>32</v>
      </c>
      <c r="Z1062" s="56">
        <v>5</v>
      </c>
      <c r="AA1062" s="58">
        <f t="shared" si="1267"/>
        <v>1</v>
      </c>
      <c r="AB1062" s="58">
        <f t="shared" si="1267"/>
        <v>0</v>
      </c>
      <c r="AC1062" s="58">
        <f t="shared" si="1267"/>
        <v>0</v>
      </c>
      <c r="AD1062" s="58">
        <f t="shared" si="1267"/>
        <v>0</v>
      </c>
      <c r="AE1062" s="58">
        <f t="shared" si="1267"/>
        <v>0</v>
      </c>
    </row>
    <row r="1063" spans="2:31">
      <c r="B1063" t="str">
        <f t="shared" si="1271"/>
        <v>Sem3838SAZO DE LA CRUZ SELINA ROSSANA</v>
      </c>
      <c r="C1063" t="str">
        <f t="shared" si="1272"/>
        <v>SEPTIEMBRESem38</v>
      </c>
      <c r="D1063" t="str">
        <f t="shared" si="1273"/>
        <v>SEPTIEMBRESem38SAZO DE LA CRUZ SELINA ROSSANA</v>
      </c>
      <c r="E1063" t="str">
        <f t="shared" si="1274"/>
        <v>SEPTIEMBRESem3838SAZO DE LA CRUZ SELINA ROSSANA</v>
      </c>
      <c r="F1063" t="str">
        <f t="shared" si="1275"/>
        <v>SAZO DE LA CRUZ SELINA ROSSANA46284</v>
      </c>
      <c r="H1063" s="49" t="s">
        <v>1</v>
      </c>
      <c r="I1063" s="50" t="str">
        <f>+_xlfn.XLOOKUP($H1063&amp;$V1063,BASEDATOS!$B:$B,BASEDATOS!F:F,0,0,1)</f>
        <v>DIA</v>
      </c>
      <c r="J1063" s="51">
        <f>+_xlfn.XLOOKUP($H1063&amp;$V1063,BASEDATOS!$B:$B,BASEDATOS!Q:Q,0,0,1)</f>
        <v>0.29166666666666702</v>
      </c>
      <c r="K1063" s="51">
        <f>+_xlfn.XLOOKUP($H1063&amp;$V1063,BASEDATOS!$B:$B,BASEDATOS!R:R,0,0,1)</f>
        <v>0.5</v>
      </c>
      <c r="L1063" s="51">
        <f t="shared" si="1276"/>
        <v>0.20833333333333298</v>
      </c>
      <c r="M1063" s="52" t="str">
        <f t="shared" si="1277"/>
        <v>1:00</v>
      </c>
      <c r="N1063" s="51">
        <f t="shared" si="1278"/>
        <v>0.16666666666666632</v>
      </c>
      <c r="O1063" s="53" t="str">
        <f t="shared" ref="O1063" si="1308">+O1064</f>
        <v>5-0-2</v>
      </c>
      <c r="P1063" s="54">
        <f>+IF(AND(Y1063="Domingo",U1063=7),_xlfn.XLOOKUP(O1063,'Horarios y Sistemas'!C:C,'Horarios y Sistemas'!H:H,0,0,1),0)</f>
        <v>0</v>
      </c>
      <c r="Q1063" s="54">
        <f>IF(U1063=U1064,0,IF(AVERAGEIF(W:W,W1063,U:U)=U1063,0,_xlfn.XLOOKUP(O1063,'Horarios y Sistemas'!C:C,'Horarios y Sistemas'!H:H,0,0,1)-P1063))/7*U1063</f>
        <v>0</v>
      </c>
      <c r="R1063" s="54">
        <f t="shared" si="1280"/>
        <v>0</v>
      </c>
      <c r="S1063" s="55" t="str">
        <f t="shared" si="1281"/>
        <v>SEPTIEMBRE</v>
      </c>
      <c r="T1063" s="55" t="str">
        <f t="shared" si="1282"/>
        <v>Sem38</v>
      </c>
      <c r="U1063" s="56">
        <f t="shared" si="1263"/>
        <v>7</v>
      </c>
      <c r="V1063" s="59">
        <v>46284</v>
      </c>
      <c r="W1063" s="56">
        <f t="shared" si="1283"/>
        <v>38</v>
      </c>
      <c r="X1063" s="56">
        <f t="shared" si="1284"/>
        <v>19</v>
      </c>
      <c r="Y1063" s="56" t="s">
        <v>33</v>
      </c>
      <c r="Z1063" s="56">
        <v>6</v>
      </c>
      <c r="AA1063" s="58">
        <f t="shared" si="1267"/>
        <v>1</v>
      </c>
      <c r="AB1063" s="58">
        <f t="shared" si="1267"/>
        <v>0</v>
      </c>
      <c r="AC1063" s="58">
        <f t="shared" si="1267"/>
        <v>0</v>
      </c>
      <c r="AD1063" s="58">
        <f t="shared" si="1267"/>
        <v>0</v>
      </c>
      <c r="AE1063" s="58">
        <f t="shared" si="1267"/>
        <v>0</v>
      </c>
    </row>
    <row r="1064" spans="2:31">
      <c r="B1064" s="60" t="str">
        <f t="shared" si="1271"/>
        <v>Sem3838SAZO DE LA CRUZ SELINA ROSSANA</v>
      </c>
      <c r="C1064" s="60" t="str">
        <f t="shared" si="1272"/>
        <v>SEPTIEMBRESem38</v>
      </c>
      <c r="D1064" s="60" t="str">
        <f t="shared" si="1273"/>
        <v>SEPTIEMBRESem38SAZO DE LA CRUZ SELINA ROSSANA</v>
      </c>
      <c r="E1064" s="60" t="str">
        <f t="shared" si="1274"/>
        <v>SEPTIEMBRESem3838SAZO DE LA CRUZ SELINA ROSSANA</v>
      </c>
      <c r="F1064" s="60" t="str">
        <f t="shared" si="1275"/>
        <v>SAZO DE LA CRUZ SELINA ROSSANA46285</v>
      </c>
      <c r="G1064" s="60"/>
      <c r="H1064" s="61" t="s">
        <v>1</v>
      </c>
      <c r="I1064" s="62" t="str">
        <f>+_xlfn.XLOOKUP($H1064&amp;$V1064,BASEDATOS!$B:$B,BASEDATOS!F:F,0,0,1)</f>
        <v>DESCANSO</v>
      </c>
      <c r="J1064" s="63">
        <f>+_xlfn.XLOOKUP($H1064&amp;$V1064,BASEDATOS!$B:$B,BASEDATOS!Q:Q,0,0,1)</f>
        <v>0</v>
      </c>
      <c r="K1064" s="63">
        <f>+_xlfn.XLOOKUP($H1064&amp;$V1064,BASEDATOS!$B:$B,BASEDATOS!R:R,0,0,1)</f>
        <v>0</v>
      </c>
      <c r="L1064" s="63">
        <f t="shared" si="1276"/>
        <v>0</v>
      </c>
      <c r="M1064" s="64">
        <f t="shared" si="1277"/>
        <v>0</v>
      </c>
      <c r="N1064" s="63">
        <f t="shared" si="1278"/>
        <v>0</v>
      </c>
      <c r="O1064" s="65" t="str">
        <f t="shared" ref="O1064" si="1309">+IF(Y1064="Domingo",SUM(AA1058:AA1064)&amp;"-"&amp;SUM(AB1058:AB1064)&amp;"-"&amp;SUM(AC1058:AE1064),"")</f>
        <v>5-0-2</v>
      </c>
      <c r="P1064" s="66">
        <f>+IF(AND(Y1064="Domingo",U1064=7),_xlfn.XLOOKUP(O1064,'Horarios y Sistemas'!C:C,'Horarios y Sistemas'!H:H,0,0,1),0)</f>
        <v>44</v>
      </c>
      <c r="Q1064" s="66">
        <f>IF(U1064=U1065,0,IF(AVERAGEIF(W:W,W1064,U:U)=U1064,0,_xlfn.XLOOKUP(O1064,'Horarios y Sistemas'!C:C,'Horarios y Sistemas'!H:H,0,0,1)-P1064))/7*U1064</f>
        <v>0</v>
      </c>
      <c r="R1064" s="66">
        <f t="shared" si="1280"/>
        <v>44</v>
      </c>
      <c r="S1064" s="67" t="str">
        <f t="shared" si="1281"/>
        <v>SEPTIEMBRE</v>
      </c>
      <c r="T1064" s="55" t="str">
        <f t="shared" si="1282"/>
        <v>Sem38</v>
      </c>
      <c r="U1064" s="68">
        <f t="shared" si="1263"/>
        <v>7</v>
      </c>
      <c r="V1064" s="69">
        <v>46285</v>
      </c>
      <c r="W1064" s="68">
        <f t="shared" si="1283"/>
        <v>38</v>
      </c>
      <c r="X1064" s="68">
        <f t="shared" si="1284"/>
        <v>20</v>
      </c>
      <c r="Y1064" s="68" t="s">
        <v>34</v>
      </c>
      <c r="Z1064" s="68">
        <v>7</v>
      </c>
      <c r="AA1064" s="70">
        <f t="shared" si="1267"/>
        <v>0</v>
      </c>
      <c r="AB1064" s="70">
        <f t="shared" si="1267"/>
        <v>0</v>
      </c>
      <c r="AC1064" s="70">
        <f t="shared" si="1267"/>
        <v>1</v>
      </c>
      <c r="AD1064" s="70">
        <f t="shared" si="1267"/>
        <v>0</v>
      </c>
      <c r="AE1064" s="70">
        <f t="shared" si="1267"/>
        <v>0</v>
      </c>
    </row>
    <row r="1065" spans="2:31">
      <c r="B1065" t="str">
        <f t="shared" si="1271"/>
        <v>Sem3939SAZO DE LA CRUZ SELINA ROSSANA</v>
      </c>
      <c r="C1065" t="str">
        <f t="shared" si="1272"/>
        <v>SEPTIEMBRESem39</v>
      </c>
      <c r="D1065" t="str">
        <f t="shared" si="1273"/>
        <v>SEPTIEMBRESem39SAZO DE LA CRUZ SELINA ROSSANA</v>
      </c>
      <c r="E1065" t="str">
        <f t="shared" si="1274"/>
        <v>SEPTIEMBRESem3939SAZO DE LA CRUZ SELINA ROSSANA</v>
      </c>
      <c r="F1065" t="str">
        <f t="shared" si="1275"/>
        <v>SAZO DE LA CRUZ SELINA ROSSANA46286</v>
      </c>
      <c r="H1065" s="49" t="s">
        <v>1</v>
      </c>
      <c r="I1065" s="50" t="str">
        <f>+_xlfn.XLOOKUP($H1065&amp;$V1065,BASEDATOS!$B:$B,BASEDATOS!F:F,0,0,1)</f>
        <v>DIA</v>
      </c>
      <c r="J1065" s="51">
        <f>+_xlfn.XLOOKUP($H1065&amp;$V1065,BASEDATOS!$B:$B,BASEDATOS!Q:Q,0,0,1)</f>
        <v>0.29166666666666702</v>
      </c>
      <c r="K1065" s="51">
        <f>+_xlfn.XLOOKUP($H1065&amp;$V1065,BASEDATOS!$B:$B,BASEDATOS!R:R,0,0,1)</f>
        <v>0.66666666666666696</v>
      </c>
      <c r="L1065" s="51">
        <f t="shared" si="1276"/>
        <v>0.37499999999999994</v>
      </c>
      <c r="M1065" s="52" t="str">
        <f t="shared" si="1277"/>
        <v>1:00</v>
      </c>
      <c r="N1065" s="51">
        <f t="shared" si="1278"/>
        <v>0.33333333333333326</v>
      </c>
      <c r="O1065" s="53" t="str">
        <f t="shared" ref="O1065" si="1310">+O1071</f>
        <v>6-0-1</v>
      </c>
      <c r="P1065" s="54">
        <f>+IF(AND(Y1065="Domingo",U1065=7),_xlfn.XLOOKUP(O1065,'Horarios y Sistemas'!C:C,'Horarios y Sistemas'!H:H,0,0,1),0)</f>
        <v>0</v>
      </c>
      <c r="Q1065" s="54">
        <f>IF(U1065=U1066,0,IF(AVERAGEIF(W:W,W1065,U:U)=U1065,0,_xlfn.XLOOKUP(O1065,'Horarios y Sistemas'!C:C,'Horarios y Sistemas'!H:H,0,0,1)-P1065))/7*U1065</f>
        <v>0</v>
      </c>
      <c r="R1065" s="54">
        <f t="shared" si="1280"/>
        <v>0</v>
      </c>
      <c r="S1065" s="55" t="str">
        <f t="shared" si="1281"/>
        <v>SEPTIEMBRE</v>
      </c>
      <c r="T1065" s="55" t="str">
        <f t="shared" si="1282"/>
        <v>Sem39</v>
      </c>
      <c r="U1065" s="56">
        <f t="shared" si="1263"/>
        <v>7</v>
      </c>
      <c r="V1065" s="57">
        <v>46286</v>
      </c>
      <c r="W1065" s="56">
        <f t="shared" si="1283"/>
        <v>39</v>
      </c>
      <c r="X1065" s="56">
        <f t="shared" si="1284"/>
        <v>21</v>
      </c>
      <c r="Y1065" s="56" t="s">
        <v>28</v>
      </c>
      <c r="Z1065" s="56">
        <v>1</v>
      </c>
      <c r="AA1065" s="58">
        <f t="shared" si="1267"/>
        <v>1</v>
      </c>
      <c r="AB1065" s="58">
        <f t="shared" si="1267"/>
        <v>0</v>
      </c>
      <c r="AC1065" s="58">
        <f t="shared" si="1267"/>
        <v>0</v>
      </c>
      <c r="AD1065" s="58">
        <f t="shared" si="1267"/>
        <v>0</v>
      </c>
      <c r="AE1065" s="58">
        <f t="shared" si="1267"/>
        <v>0</v>
      </c>
    </row>
    <row r="1066" spans="2:31">
      <c r="B1066" t="str">
        <f t="shared" si="1271"/>
        <v>Sem3939SAZO DE LA CRUZ SELINA ROSSANA</v>
      </c>
      <c r="C1066" t="str">
        <f t="shared" si="1272"/>
        <v>SEPTIEMBRESem39</v>
      </c>
      <c r="D1066" t="str">
        <f t="shared" si="1273"/>
        <v>SEPTIEMBRESem39SAZO DE LA CRUZ SELINA ROSSANA</v>
      </c>
      <c r="E1066" t="str">
        <f t="shared" si="1274"/>
        <v>SEPTIEMBRESem3939SAZO DE LA CRUZ SELINA ROSSANA</v>
      </c>
      <c r="F1066" t="str">
        <f t="shared" si="1275"/>
        <v>SAZO DE LA CRUZ SELINA ROSSANA46287</v>
      </c>
      <c r="H1066" s="49" t="s">
        <v>1</v>
      </c>
      <c r="I1066" s="50" t="str">
        <f>+_xlfn.XLOOKUP($H1066&amp;$V1066,BASEDATOS!$B:$B,BASEDATOS!F:F,0,0,1)</f>
        <v>DIA</v>
      </c>
      <c r="J1066" s="51">
        <f>+_xlfn.XLOOKUP($H1066&amp;$V1066,BASEDATOS!$B:$B,BASEDATOS!Q:Q,0,0,1)</f>
        <v>0.29166666666666702</v>
      </c>
      <c r="K1066" s="51">
        <f>+_xlfn.XLOOKUP($H1066&amp;$V1066,BASEDATOS!$B:$B,BASEDATOS!R:R,0,0,1)</f>
        <v>0.66666666666666696</v>
      </c>
      <c r="L1066" s="51">
        <f t="shared" si="1276"/>
        <v>0.37499999999999994</v>
      </c>
      <c r="M1066" s="52" t="str">
        <f t="shared" si="1277"/>
        <v>1:00</v>
      </c>
      <c r="N1066" s="51">
        <f t="shared" si="1278"/>
        <v>0.33333333333333326</v>
      </c>
      <c r="O1066" s="53" t="str">
        <f t="shared" ref="O1066" si="1311">+O1071</f>
        <v>6-0-1</v>
      </c>
      <c r="P1066" s="54">
        <f>+IF(AND(Y1066="Domingo",U1066=7),_xlfn.XLOOKUP(O1066,'Horarios y Sistemas'!C:C,'Horarios y Sistemas'!H:H,0,0,1),0)</f>
        <v>0</v>
      </c>
      <c r="Q1066" s="54">
        <f>IF(U1066=U1067,0,IF(AVERAGEIF(W:W,W1066,U:U)=U1066,0,_xlfn.XLOOKUP(O1066,'Horarios y Sistemas'!C:C,'Horarios y Sistemas'!H:H,0,0,1)-P1066))/7*U1066</f>
        <v>0</v>
      </c>
      <c r="R1066" s="54">
        <f t="shared" si="1280"/>
        <v>0</v>
      </c>
      <c r="S1066" s="55" t="str">
        <f t="shared" si="1281"/>
        <v>SEPTIEMBRE</v>
      </c>
      <c r="T1066" s="55" t="str">
        <f t="shared" si="1282"/>
        <v>Sem39</v>
      </c>
      <c r="U1066" s="56">
        <f t="shared" si="1263"/>
        <v>7</v>
      </c>
      <c r="V1066" s="59">
        <v>46287</v>
      </c>
      <c r="W1066" s="56">
        <f t="shared" si="1283"/>
        <v>39</v>
      </c>
      <c r="X1066" s="56">
        <f t="shared" si="1284"/>
        <v>22</v>
      </c>
      <c r="Y1066" s="56" t="s">
        <v>29</v>
      </c>
      <c r="Z1066" s="56">
        <v>2</v>
      </c>
      <c r="AA1066" s="58">
        <f t="shared" si="1267"/>
        <v>1</v>
      </c>
      <c r="AB1066" s="58">
        <f t="shared" si="1267"/>
        <v>0</v>
      </c>
      <c r="AC1066" s="58">
        <f t="shared" si="1267"/>
        <v>0</v>
      </c>
      <c r="AD1066" s="58">
        <f t="shared" si="1267"/>
        <v>0</v>
      </c>
      <c r="AE1066" s="58">
        <f t="shared" si="1267"/>
        <v>0</v>
      </c>
    </row>
    <row r="1067" spans="2:31">
      <c r="B1067" t="str">
        <f t="shared" si="1271"/>
        <v>Sem3939SAZO DE LA CRUZ SELINA ROSSANA</v>
      </c>
      <c r="C1067" t="str">
        <f t="shared" si="1272"/>
        <v>SEPTIEMBRESem39</v>
      </c>
      <c r="D1067" t="str">
        <f t="shared" si="1273"/>
        <v>SEPTIEMBRESem39SAZO DE LA CRUZ SELINA ROSSANA</v>
      </c>
      <c r="E1067" t="str">
        <f t="shared" si="1274"/>
        <v>SEPTIEMBRESem3939SAZO DE LA CRUZ SELINA ROSSANA</v>
      </c>
      <c r="F1067" t="str">
        <f t="shared" si="1275"/>
        <v>SAZO DE LA CRUZ SELINA ROSSANA46288</v>
      </c>
      <c r="H1067" s="49" t="s">
        <v>1</v>
      </c>
      <c r="I1067" s="50" t="str">
        <f>+_xlfn.XLOOKUP($H1067&amp;$V1067,BASEDATOS!$B:$B,BASEDATOS!F:F,0,0,1)</f>
        <v>DIA</v>
      </c>
      <c r="J1067" s="51">
        <f>+_xlfn.XLOOKUP($H1067&amp;$V1067,BASEDATOS!$B:$B,BASEDATOS!Q:Q,0,0,1)</f>
        <v>0.29166666666666702</v>
      </c>
      <c r="K1067" s="51">
        <f>+_xlfn.XLOOKUP($H1067&amp;$V1067,BASEDATOS!$B:$B,BASEDATOS!R:R,0,0,1)</f>
        <v>0.66666666666666696</v>
      </c>
      <c r="L1067" s="51">
        <f t="shared" si="1276"/>
        <v>0.37499999999999994</v>
      </c>
      <c r="M1067" s="52" t="str">
        <f t="shared" si="1277"/>
        <v>1:00</v>
      </c>
      <c r="N1067" s="51">
        <f t="shared" si="1278"/>
        <v>0.33333333333333326</v>
      </c>
      <c r="O1067" s="53" t="str">
        <f t="shared" ref="O1067" si="1312">+O1071</f>
        <v>6-0-1</v>
      </c>
      <c r="P1067" s="54">
        <f>+IF(AND(Y1067="Domingo",U1067=7),_xlfn.XLOOKUP(O1067,'Horarios y Sistemas'!C:C,'Horarios y Sistemas'!H:H,0,0,1),0)</f>
        <v>0</v>
      </c>
      <c r="Q1067" s="54">
        <f>IF(U1067=U1068,0,IF(AVERAGEIF(W:W,W1067,U:U)=U1067,0,_xlfn.XLOOKUP(O1067,'Horarios y Sistemas'!C:C,'Horarios y Sistemas'!H:H,0,0,1)-P1067))/7*U1067</f>
        <v>0</v>
      </c>
      <c r="R1067" s="54">
        <f t="shared" si="1280"/>
        <v>0</v>
      </c>
      <c r="S1067" s="55" t="str">
        <f t="shared" si="1281"/>
        <v>SEPTIEMBRE</v>
      </c>
      <c r="T1067" s="55" t="str">
        <f t="shared" si="1282"/>
        <v>Sem39</v>
      </c>
      <c r="U1067" s="56">
        <f t="shared" si="1263"/>
        <v>7</v>
      </c>
      <c r="V1067" s="59">
        <v>46288</v>
      </c>
      <c r="W1067" s="56">
        <f t="shared" si="1283"/>
        <v>39</v>
      </c>
      <c r="X1067" s="56">
        <f t="shared" si="1284"/>
        <v>23</v>
      </c>
      <c r="Y1067" s="56" t="s">
        <v>30</v>
      </c>
      <c r="Z1067" s="56">
        <v>3</v>
      </c>
      <c r="AA1067" s="58">
        <f t="shared" si="1267"/>
        <v>1</v>
      </c>
      <c r="AB1067" s="58">
        <f t="shared" si="1267"/>
        <v>0</v>
      </c>
      <c r="AC1067" s="58">
        <f t="shared" si="1267"/>
        <v>0</v>
      </c>
      <c r="AD1067" s="58">
        <f t="shared" si="1267"/>
        <v>0</v>
      </c>
      <c r="AE1067" s="58">
        <f t="shared" si="1267"/>
        <v>0</v>
      </c>
    </row>
    <row r="1068" spans="2:31">
      <c r="B1068" t="str">
        <f t="shared" si="1271"/>
        <v>Sem3939SAZO DE LA CRUZ SELINA ROSSANA</v>
      </c>
      <c r="C1068" t="str">
        <f t="shared" si="1272"/>
        <v>SEPTIEMBRESem39</v>
      </c>
      <c r="D1068" t="str">
        <f t="shared" si="1273"/>
        <v>SEPTIEMBRESem39SAZO DE LA CRUZ SELINA ROSSANA</v>
      </c>
      <c r="E1068" t="str">
        <f t="shared" si="1274"/>
        <v>SEPTIEMBRESem3939SAZO DE LA CRUZ SELINA ROSSANA</v>
      </c>
      <c r="F1068" t="str">
        <f t="shared" si="1275"/>
        <v>SAZO DE LA CRUZ SELINA ROSSANA46289</v>
      </c>
      <c r="H1068" s="49" t="s">
        <v>1</v>
      </c>
      <c r="I1068" s="50" t="str">
        <f>+_xlfn.XLOOKUP($H1068&amp;$V1068,BASEDATOS!$B:$B,BASEDATOS!F:F,0,0,1)</f>
        <v>DIA</v>
      </c>
      <c r="J1068" s="51">
        <f>+_xlfn.XLOOKUP($H1068&amp;$V1068,BASEDATOS!$B:$B,BASEDATOS!Q:Q,0,0,1)</f>
        <v>0.375</v>
      </c>
      <c r="K1068" s="51">
        <f>+_xlfn.XLOOKUP($H1068&amp;$V1068,BASEDATOS!$B:$B,BASEDATOS!R:R,0,0,1)</f>
        <v>0.75</v>
      </c>
      <c r="L1068" s="51">
        <f t="shared" si="1276"/>
        <v>0.375</v>
      </c>
      <c r="M1068" s="52" t="str">
        <f t="shared" si="1277"/>
        <v>1:00</v>
      </c>
      <c r="N1068" s="51">
        <f t="shared" si="1278"/>
        <v>0.33333333333333331</v>
      </c>
      <c r="O1068" s="53" t="str">
        <f t="shared" ref="O1068" si="1313">+O1071</f>
        <v>6-0-1</v>
      </c>
      <c r="P1068" s="54">
        <f>+IF(AND(Y1068="Domingo",U1068=7),_xlfn.XLOOKUP(O1068,'Horarios y Sistemas'!C:C,'Horarios y Sistemas'!H:H,0,0,1),0)</f>
        <v>0</v>
      </c>
      <c r="Q1068" s="54">
        <f>IF(U1068=U1069,0,IF(AVERAGEIF(W:W,W1068,U:U)=U1068,0,_xlfn.XLOOKUP(O1068,'Horarios y Sistemas'!C:C,'Horarios y Sistemas'!H:H,0,0,1)-P1068))/7*U1068</f>
        <v>0</v>
      </c>
      <c r="R1068" s="54">
        <f t="shared" si="1280"/>
        <v>0</v>
      </c>
      <c r="S1068" s="55" t="str">
        <f t="shared" si="1281"/>
        <v>SEPTIEMBRE</v>
      </c>
      <c r="T1068" s="55" t="str">
        <f t="shared" si="1282"/>
        <v>Sem39</v>
      </c>
      <c r="U1068" s="56">
        <f t="shared" si="1263"/>
        <v>7</v>
      </c>
      <c r="V1068" s="59">
        <v>46289</v>
      </c>
      <c r="W1068" s="56">
        <f t="shared" si="1283"/>
        <v>39</v>
      </c>
      <c r="X1068" s="56">
        <f t="shared" si="1284"/>
        <v>24</v>
      </c>
      <c r="Y1068" s="56" t="s">
        <v>31</v>
      </c>
      <c r="Z1068" s="56">
        <v>4</v>
      </c>
      <c r="AA1068" s="58">
        <f t="shared" si="1267"/>
        <v>1</v>
      </c>
      <c r="AB1068" s="58">
        <f t="shared" si="1267"/>
        <v>0</v>
      </c>
      <c r="AC1068" s="58">
        <f t="shared" si="1267"/>
        <v>0</v>
      </c>
      <c r="AD1068" s="58">
        <f t="shared" si="1267"/>
        <v>0</v>
      </c>
      <c r="AE1068" s="58">
        <f t="shared" si="1267"/>
        <v>0</v>
      </c>
    </row>
    <row r="1069" spans="2:31">
      <c r="B1069" t="str">
        <f t="shared" si="1271"/>
        <v>Sem3939SAZO DE LA CRUZ SELINA ROSSANA</v>
      </c>
      <c r="C1069" t="str">
        <f t="shared" si="1272"/>
        <v>SEPTIEMBRESem39</v>
      </c>
      <c r="D1069" t="str">
        <f t="shared" si="1273"/>
        <v>SEPTIEMBRESem39SAZO DE LA CRUZ SELINA ROSSANA</v>
      </c>
      <c r="E1069" t="str">
        <f t="shared" si="1274"/>
        <v>SEPTIEMBRESem3939SAZO DE LA CRUZ SELINA ROSSANA</v>
      </c>
      <c r="F1069" t="str">
        <f t="shared" si="1275"/>
        <v>SAZO DE LA CRUZ SELINA ROSSANA46290</v>
      </c>
      <c r="H1069" s="49" t="s">
        <v>1</v>
      </c>
      <c r="I1069" s="50" t="str">
        <f>+_xlfn.XLOOKUP($H1069&amp;$V1069,BASEDATOS!$B:$B,BASEDATOS!F:F,0,0,1)</f>
        <v>DIA</v>
      </c>
      <c r="J1069" s="51">
        <f>+_xlfn.XLOOKUP($H1069&amp;$V1069,BASEDATOS!$B:$B,BASEDATOS!Q:Q,0,0,1)</f>
        <v>0.29166666666666702</v>
      </c>
      <c r="K1069" s="51">
        <f>+_xlfn.XLOOKUP($H1069&amp;$V1069,BASEDATOS!$B:$B,BASEDATOS!R:R,0,0,1)</f>
        <v>0.66666666666666696</v>
      </c>
      <c r="L1069" s="51">
        <f t="shared" si="1276"/>
        <v>0.37499999999999994</v>
      </c>
      <c r="M1069" s="52" t="str">
        <f t="shared" si="1277"/>
        <v>1:00</v>
      </c>
      <c r="N1069" s="51">
        <f t="shared" si="1278"/>
        <v>0.33333333333333326</v>
      </c>
      <c r="O1069" s="53" t="str">
        <f t="shared" ref="O1069" si="1314">+O1071</f>
        <v>6-0-1</v>
      </c>
      <c r="P1069" s="54">
        <f>+IF(AND(Y1069="Domingo",U1069=7),_xlfn.XLOOKUP(O1069,'Horarios y Sistemas'!C:C,'Horarios y Sistemas'!H:H,0,0,1),0)</f>
        <v>0</v>
      </c>
      <c r="Q1069" s="54">
        <f>IF(U1069=U1070,0,IF(AVERAGEIF(W:W,W1069,U:U)=U1069,0,_xlfn.XLOOKUP(O1069,'Horarios y Sistemas'!C:C,'Horarios y Sistemas'!H:H,0,0,1)-P1069))/7*U1069</f>
        <v>0</v>
      </c>
      <c r="R1069" s="54">
        <f t="shared" si="1280"/>
        <v>0</v>
      </c>
      <c r="S1069" s="55" t="str">
        <f t="shared" si="1281"/>
        <v>SEPTIEMBRE</v>
      </c>
      <c r="T1069" s="55" t="str">
        <f t="shared" si="1282"/>
        <v>Sem39</v>
      </c>
      <c r="U1069" s="56">
        <f t="shared" si="1263"/>
        <v>7</v>
      </c>
      <c r="V1069" s="59">
        <v>46290</v>
      </c>
      <c r="W1069" s="56">
        <f t="shared" si="1283"/>
        <v>39</v>
      </c>
      <c r="X1069" s="56">
        <f t="shared" si="1284"/>
        <v>25</v>
      </c>
      <c r="Y1069" s="56" t="s">
        <v>32</v>
      </c>
      <c r="Z1069" s="56">
        <v>5</v>
      </c>
      <c r="AA1069" s="58">
        <f t="shared" si="1267"/>
        <v>1</v>
      </c>
      <c r="AB1069" s="58">
        <f t="shared" si="1267"/>
        <v>0</v>
      </c>
      <c r="AC1069" s="58">
        <f t="shared" si="1267"/>
        <v>0</v>
      </c>
      <c r="AD1069" s="58">
        <f t="shared" si="1267"/>
        <v>0</v>
      </c>
      <c r="AE1069" s="58">
        <f t="shared" si="1267"/>
        <v>0</v>
      </c>
    </row>
    <row r="1070" spans="2:31">
      <c r="B1070" t="str">
        <f t="shared" si="1271"/>
        <v>Sem3939SAZO DE LA CRUZ SELINA ROSSANA</v>
      </c>
      <c r="C1070" t="str">
        <f t="shared" si="1272"/>
        <v>SEPTIEMBRESem39</v>
      </c>
      <c r="D1070" t="str">
        <f t="shared" si="1273"/>
        <v>SEPTIEMBRESem39SAZO DE LA CRUZ SELINA ROSSANA</v>
      </c>
      <c r="E1070" t="str">
        <f t="shared" si="1274"/>
        <v>SEPTIEMBRESem3939SAZO DE LA CRUZ SELINA ROSSANA</v>
      </c>
      <c r="F1070" t="str">
        <f t="shared" si="1275"/>
        <v>SAZO DE LA CRUZ SELINA ROSSANA46291</v>
      </c>
      <c r="H1070" s="49" t="s">
        <v>1</v>
      </c>
      <c r="I1070" s="50" t="str">
        <f>+_xlfn.XLOOKUP($H1070&amp;$V1070,BASEDATOS!$B:$B,BASEDATOS!F:F,0,0,1)</f>
        <v>DIA</v>
      </c>
      <c r="J1070" s="51">
        <f>+_xlfn.XLOOKUP($H1070&amp;$V1070,BASEDATOS!$B:$B,BASEDATOS!Q:Q,0,0,1)</f>
        <v>0.29166666666666702</v>
      </c>
      <c r="K1070" s="51">
        <f>+_xlfn.XLOOKUP($H1070&amp;$V1070,BASEDATOS!$B:$B,BASEDATOS!R:R,0,0,1)</f>
        <v>0.5</v>
      </c>
      <c r="L1070" s="51">
        <f t="shared" si="1276"/>
        <v>0.20833333333333298</v>
      </c>
      <c r="M1070" s="52" t="str">
        <f t="shared" si="1277"/>
        <v>1:00</v>
      </c>
      <c r="N1070" s="51">
        <f t="shared" si="1278"/>
        <v>0.16666666666666632</v>
      </c>
      <c r="O1070" s="53" t="str">
        <f t="shared" ref="O1070" si="1315">+O1071</f>
        <v>6-0-1</v>
      </c>
      <c r="P1070" s="54">
        <f>+IF(AND(Y1070="Domingo",U1070=7),_xlfn.XLOOKUP(O1070,'Horarios y Sistemas'!C:C,'Horarios y Sistemas'!H:H,0,0,1),0)</f>
        <v>0</v>
      </c>
      <c r="Q1070" s="54">
        <f>IF(U1070=U1071,0,IF(AVERAGEIF(W:W,W1070,U:U)=U1070,0,_xlfn.XLOOKUP(O1070,'Horarios y Sistemas'!C:C,'Horarios y Sistemas'!H:H,0,0,1)-P1070))/7*U1070</f>
        <v>0</v>
      </c>
      <c r="R1070" s="54">
        <f t="shared" si="1280"/>
        <v>0</v>
      </c>
      <c r="S1070" s="55" t="str">
        <f t="shared" si="1281"/>
        <v>SEPTIEMBRE</v>
      </c>
      <c r="T1070" s="55" t="str">
        <f t="shared" si="1282"/>
        <v>Sem39</v>
      </c>
      <c r="U1070" s="56">
        <f t="shared" si="1263"/>
        <v>7</v>
      </c>
      <c r="V1070" s="59">
        <v>46291</v>
      </c>
      <c r="W1070" s="56">
        <f t="shared" si="1283"/>
        <v>39</v>
      </c>
      <c r="X1070" s="56">
        <f t="shared" si="1284"/>
        <v>26</v>
      </c>
      <c r="Y1070" s="56" t="s">
        <v>33</v>
      </c>
      <c r="Z1070" s="56">
        <v>6</v>
      </c>
      <c r="AA1070" s="58">
        <f t="shared" si="1267"/>
        <v>1</v>
      </c>
      <c r="AB1070" s="58">
        <f t="shared" si="1267"/>
        <v>0</v>
      </c>
      <c r="AC1070" s="58">
        <f t="shared" si="1267"/>
        <v>0</v>
      </c>
      <c r="AD1070" s="58">
        <f t="shared" si="1267"/>
        <v>0</v>
      </c>
      <c r="AE1070" s="58">
        <f t="shared" si="1267"/>
        <v>0</v>
      </c>
    </row>
    <row r="1071" spans="2:31">
      <c r="B1071" s="60" t="str">
        <f t="shared" si="1271"/>
        <v>Sem3939SAZO DE LA CRUZ SELINA ROSSANA</v>
      </c>
      <c r="C1071" s="60" t="str">
        <f t="shared" si="1272"/>
        <v>SEPTIEMBRESem39</v>
      </c>
      <c r="D1071" s="60" t="str">
        <f t="shared" si="1273"/>
        <v>SEPTIEMBRESem39SAZO DE LA CRUZ SELINA ROSSANA</v>
      </c>
      <c r="E1071" s="60" t="str">
        <f t="shared" si="1274"/>
        <v>SEPTIEMBRESem3939SAZO DE LA CRUZ SELINA ROSSANA</v>
      </c>
      <c r="F1071" s="60" t="str">
        <f t="shared" si="1275"/>
        <v>SAZO DE LA CRUZ SELINA ROSSANA46292</v>
      </c>
      <c r="G1071" s="60"/>
      <c r="H1071" s="61" t="s">
        <v>1</v>
      </c>
      <c r="I1071" s="62" t="str">
        <f>+_xlfn.XLOOKUP($H1071&amp;$V1071,BASEDATOS!$B:$B,BASEDATOS!F:F,0,0,1)</f>
        <v>DESCANSO</v>
      </c>
      <c r="J1071" s="63">
        <f>+_xlfn.XLOOKUP($H1071&amp;$V1071,BASEDATOS!$B:$B,BASEDATOS!Q:Q,0,0,1)</f>
        <v>0</v>
      </c>
      <c r="K1071" s="63">
        <f>+_xlfn.XLOOKUP($H1071&amp;$V1071,BASEDATOS!$B:$B,BASEDATOS!R:R,0,0,1)</f>
        <v>0</v>
      </c>
      <c r="L1071" s="63">
        <f t="shared" si="1276"/>
        <v>0</v>
      </c>
      <c r="M1071" s="64">
        <f t="shared" si="1277"/>
        <v>0</v>
      </c>
      <c r="N1071" s="63">
        <f t="shared" si="1278"/>
        <v>0</v>
      </c>
      <c r="O1071" s="65" t="str">
        <f t="shared" ref="O1071" si="1316">+IF(Y1071="Domingo",SUM(AA1065:AA1071)&amp;"-"&amp;SUM(AB1065:AB1071)&amp;"-"&amp;SUM(AC1065:AE1071),"")</f>
        <v>6-0-1</v>
      </c>
      <c r="P1071" s="66">
        <f>+IF(AND(Y1071="Domingo",U1071=7),_xlfn.XLOOKUP(O1071,'Horarios y Sistemas'!C:C,'Horarios y Sistemas'!H:H,0,0,1),0)</f>
        <v>44</v>
      </c>
      <c r="Q1071" s="66">
        <f>IF(U1071=U1072,0,IF(AVERAGEIF(W:W,W1071,U:U)=U1071,0,_xlfn.XLOOKUP(O1071,'Horarios y Sistemas'!C:C,'Horarios y Sistemas'!H:H,0,0,1)-P1071))/7*U1071</f>
        <v>0</v>
      </c>
      <c r="R1071" s="66">
        <f t="shared" si="1280"/>
        <v>44</v>
      </c>
      <c r="S1071" s="67" t="str">
        <f t="shared" si="1281"/>
        <v>SEPTIEMBRE</v>
      </c>
      <c r="T1071" s="55" t="str">
        <f t="shared" si="1282"/>
        <v>Sem39</v>
      </c>
      <c r="U1071" s="68">
        <f t="shared" si="1263"/>
        <v>7</v>
      </c>
      <c r="V1071" s="69">
        <v>46292</v>
      </c>
      <c r="W1071" s="68">
        <f t="shared" si="1283"/>
        <v>39</v>
      </c>
      <c r="X1071" s="68">
        <f t="shared" si="1284"/>
        <v>27</v>
      </c>
      <c r="Y1071" s="68" t="s">
        <v>34</v>
      </c>
      <c r="Z1071" s="68">
        <v>7</v>
      </c>
      <c r="AA1071" s="70">
        <f t="shared" si="1267"/>
        <v>0</v>
      </c>
      <c r="AB1071" s="70">
        <f t="shared" si="1267"/>
        <v>0</v>
      </c>
      <c r="AC1071" s="70">
        <f t="shared" si="1267"/>
        <v>1</v>
      </c>
      <c r="AD1071" s="70">
        <f t="shared" si="1267"/>
        <v>0</v>
      </c>
      <c r="AE1071" s="70">
        <f t="shared" si="1267"/>
        <v>0</v>
      </c>
    </row>
    <row r="1072" spans="2:31">
      <c r="B1072" t="str">
        <f t="shared" si="1271"/>
        <v>Sem4040SAZO DE LA CRUZ SELINA ROSSANA</v>
      </c>
      <c r="C1072" t="str">
        <f t="shared" si="1272"/>
        <v>SEPTIEMBRESem40</v>
      </c>
      <c r="D1072" t="str">
        <f t="shared" si="1273"/>
        <v>SEPTIEMBRESem40SAZO DE LA CRUZ SELINA ROSSANA</v>
      </c>
      <c r="E1072" t="str">
        <f t="shared" si="1274"/>
        <v>SEPTIEMBRESem4040SAZO DE LA CRUZ SELINA ROSSANA</v>
      </c>
      <c r="F1072" t="str">
        <f t="shared" si="1275"/>
        <v>SAZO DE LA CRUZ SELINA ROSSANA46293</v>
      </c>
      <c r="H1072" s="49" t="s">
        <v>1</v>
      </c>
      <c r="I1072" s="50" t="str">
        <f>+_xlfn.XLOOKUP($H1072&amp;$V1072,BASEDATOS!$B:$B,BASEDATOS!F:F,0,0,1)</f>
        <v>DIA</v>
      </c>
      <c r="J1072" s="51">
        <f>+_xlfn.XLOOKUP($H1072&amp;$V1072,BASEDATOS!$B:$B,BASEDATOS!Q:Q,0,0,1)</f>
        <v>0.29166666666666702</v>
      </c>
      <c r="K1072" s="51">
        <f>+_xlfn.XLOOKUP($H1072&amp;$V1072,BASEDATOS!$B:$B,BASEDATOS!R:R,0,0,1)</f>
        <v>0.66666666666666696</v>
      </c>
      <c r="L1072" s="51">
        <f t="shared" si="1276"/>
        <v>0.37499999999999994</v>
      </c>
      <c r="M1072" s="52" t="str">
        <f t="shared" si="1277"/>
        <v>1:00</v>
      </c>
      <c r="N1072" s="51">
        <f t="shared" si="1278"/>
        <v>0.33333333333333326</v>
      </c>
      <c r="O1072" s="53" t="str">
        <f t="shared" ref="O1072" si="1317">+O1078</f>
        <v>6-0-1</v>
      </c>
      <c r="P1072" s="54">
        <f>+IF(AND(Y1072="Domingo",U1072=7),_xlfn.XLOOKUP(O1072,'Horarios y Sistemas'!C:C,'Horarios y Sistemas'!H:H,0,0,1),0)</f>
        <v>0</v>
      </c>
      <c r="Q1072" s="54">
        <f>IF(U1072=U1073,0,IF(AVERAGEIF(W:W,W1072,U:U)=U1072,0,_xlfn.XLOOKUP(O1072,'Horarios y Sistemas'!C:C,'Horarios y Sistemas'!H:H,0,0,1)-P1072))/7*U1072</f>
        <v>0</v>
      </c>
      <c r="R1072" s="54">
        <f t="shared" si="1280"/>
        <v>0</v>
      </c>
      <c r="S1072" s="55" t="str">
        <f t="shared" si="1281"/>
        <v>SEPTIEMBRE</v>
      </c>
      <c r="T1072" s="55" t="str">
        <f t="shared" si="1282"/>
        <v>Sem40</v>
      </c>
      <c r="U1072" s="56">
        <f t="shared" si="1263"/>
        <v>7</v>
      </c>
      <c r="V1072" s="59">
        <v>46293</v>
      </c>
      <c r="W1072" s="56">
        <f t="shared" si="1283"/>
        <v>40</v>
      </c>
      <c r="X1072" s="56">
        <f t="shared" si="1284"/>
        <v>28</v>
      </c>
      <c r="Y1072" s="56" t="s">
        <v>28</v>
      </c>
      <c r="Z1072" s="56">
        <v>1</v>
      </c>
      <c r="AA1072" s="58">
        <f t="shared" si="1267"/>
        <v>1</v>
      </c>
      <c r="AB1072" s="58">
        <f t="shared" si="1267"/>
        <v>0</v>
      </c>
      <c r="AC1072" s="58">
        <f t="shared" si="1267"/>
        <v>0</v>
      </c>
      <c r="AD1072" s="58">
        <f t="shared" si="1267"/>
        <v>0</v>
      </c>
      <c r="AE1072" s="58">
        <f t="shared" si="1267"/>
        <v>0</v>
      </c>
    </row>
    <row r="1073" spans="2:31">
      <c r="B1073" t="str">
        <f t="shared" si="1271"/>
        <v>Sem4040SAZO DE LA CRUZ SELINA ROSSANA</v>
      </c>
      <c r="C1073" t="str">
        <f t="shared" si="1272"/>
        <v>SEPTIEMBRESem40</v>
      </c>
      <c r="D1073" t="str">
        <f t="shared" si="1273"/>
        <v>SEPTIEMBRESem40SAZO DE LA CRUZ SELINA ROSSANA</v>
      </c>
      <c r="E1073" t="str">
        <f t="shared" si="1274"/>
        <v>SEPTIEMBRESem4040SAZO DE LA CRUZ SELINA ROSSANA</v>
      </c>
      <c r="F1073" t="str">
        <f t="shared" si="1275"/>
        <v>SAZO DE LA CRUZ SELINA ROSSANA46294</v>
      </c>
      <c r="H1073" s="49" t="s">
        <v>1</v>
      </c>
      <c r="I1073" s="50" t="str">
        <f>+_xlfn.XLOOKUP($H1073&amp;$V1073,BASEDATOS!$B:$B,BASEDATOS!F:F,0,0,1)</f>
        <v>DIA</v>
      </c>
      <c r="J1073" s="51">
        <f>+_xlfn.XLOOKUP($H1073&amp;$V1073,BASEDATOS!$B:$B,BASEDATOS!Q:Q,0,0,1)</f>
        <v>0.29166666666666702</v>
      </c>
      <c r="K1073" s="51">
        <f>+_xlfn.XLOOKUP($H1073&amp;$V1073,BASEDATOS!$B:$B,BASEDATOS!R:R,0,0,1)</f>
        <v>0.66666666666666696</v>
      </c>
      <c r="L1073" s="51">
        <f t="shared" si="1276"/>
        <v>0.37499999999999994</v>
      </c>
      <c r="M1073" s="52" t="str">
        <f t="shared" si="1277"/>
        <v>1:00</v>
      </c>
      <c r="N1073" s="51">
        <f t="shared" si="1278"/>
        <v>0.33333333333333326</v>
      </c>
      <c r="O1073" s="53" t="str">
        <f t="shared" ref="O1073" si="1318">+O1078</f>
        <v>6-0-1</v>
      </c>
      <c r="P1073" s="54">
        <f>+IF(AND(Y1073="Domingo",U1073=7),_xlfn.XLOOKUP(O1073,'Horarios y Sistemas'!C:C,'Horarios y Sistemas'!H:H,0,0,1),0)</f>
        <v>0</v>
      </c>
      <c r="Q1073" s="54">
        <f>IF(U1073=U1074,0,IF(AVERAGEIF(W:W,W1073,U:U)=U1073,0,_xlfn.XLOOKUP(O1073,'Horarios y Sistemas'!C:C,'Horarios y Sistemas'!H:H,0,0,1)-P1073))/7*U1073</f>
        <v>0</v>
      </c>
      <c r="R1073" s="54">
        <f t="shared" si="1280"/>
        <v>0</v>
      </c>
      <c r="S1073" s="55" t="str">
        <f t="shared" si="1281"/>
        <v>SEPTIEMBRE</v>
      </c>
      <c r="T1073" s="55" t="str">
        <f t="shared" si="1282"/>
        <v>Sem40</v>
      </c>
      <c r="U1073" s="56">
        <f t="shared" si="1263"/>
        <v>7</v>
      </c>
      <c r="V1073" s="59">
        <v>46294</v>
      </c>
      <c r="W1073" s="56">
        <f t="shared" si="1283"/>
        <v>40</v>
      </c>
      <c r="X1073" s="56">
        <f t="shared" si="1284"/>
        <v>29</v>
      </c>
      <c r="Y1073" s="56" t="s">
        <v>29</v>
      </c>
      <c r="Z1073" s="56">
        <v>2</v>
      </c>
      <c r="AA1073" s="58">
        <f t="shared" si="1267"/>
        <v>1</v>
      </c>
      <c r="AB1073" s="58">
        <f t="shared" si="1267"/>
        <v>0</v>
      </c>
      <c r="AC1073" s="58">
        <f t="shared" si="1267"/>
        <v>0</v>
      </c>
      <c r="AD1073" s="58">
        <f t="shared" si="1267"/>
        <v>0</v>
      </c>
      <c r="AE1073" s="58">
        <f t="shared" si="1267"/>
        <v>0</v>
      </c>
    </row>
    <row r="1074" spans="2:31">
      <c r="B1074" t="str">
        <f t="shared" si="1271"/>
        <v>Sem4040SAZO DE LA CRUZ SELINA ROSSANA</v>
      </c>
      <c r="C1074" t="str">
        <f t="shared" si="1272"/>
        <v>SEPTIEMBRESem40</v>
      </c>
      <c r="D1074" t="str">
        <f t="shared" si="1273"/>
        <v>SEPTIEMBRESem40SAZO DE LA CRUZ SELINA ROSSANA</v>
      </c>
      <c r="E1074" t="str">
        <f t="shared" si="1274"/>
        <v>SEPTIEMBRESem4040SAZO DE LA CRUZ SELINA ROSSANA</v>
      </c>
      <c r="F1074" t="str">
        <f t="shared" si="1275"/>
        <v>SAZO DE LA CRUZ SELINA ROSSANA46295</v>
      </c>
      <c r="H1074" s="49" t="s">
        <v>1</v>
      </c>
      <c r="I1074" s="50" t="str">
        <f>+_xlfn.XLOOKUP($H1074&amp;$V1074,BASEDATOS!$B:$B,BASEDATOS!F:F,0,0,1)</f>
        <v>DIA</v>
      </c>
      <c r="J1074" s="51">
        <f>+_xlfn.XLOOKUP($H1074&amp;$V1074,BASEDATOS!$B:$B,BASEDATOS!Q:Q,0,0,1)</f>
        <v>0.29166666666666702</v>
      </c>
      <c r="K1074" s="51">
        <f>+_xlfn.XLOOKUP($H1074&amp;$V1074,BASEDATOS!$B:$B,BASEDATOS!R:R,0,0,1)</f>
        <v>0.66666666666666696</v>
      </c>
      <c r="L1074" s="51">
        <f t="shared" si="1276"/>
        <v>0.37499999999999994</v>
      </c>
      <c r="M1074" s="52" t="str">
        <f t="shared" si="1277"/>
        <v>1:00</v>
      </c>
      <c r="N1074" s="51">
        <f t="shared" si="1278"/>
        <v>0.33333333333333326</v>
      </c>
      <c r="O1074" s="53" t="str">
        <f t="shared" ref="O1074" si="1319">+O1078</f>
        <v>6-0-1</v>
      </c>
      <c r="P1074" s="54">
        <f>+IF(AND(Y1074="Domingo",U1074=7),_xlfn.XLOOKUP(O1074,'Horarios y Sistemas'!C:C,'Horarios y Sistemas'!H:H,0,0,1),0)</f>
        <v>0</v>
      </c>
      <c r="Q1074" s="54">
        <f>IF(U1074=U1075,0,IF(AVERAGEIF(W:W,W1074,U:U)=U1074,0,_xlfn.XLOOKUP(O1074,'Horarios y Sistemas'!C:C,'Horarios y Sistemas'!H:H,0,0,1)-P1074))/7*U1074</f>
        <v>0</v>
      </c>
      <c r="R1074" s="54">
        <f t="shared" si="1280"/>
        <v>0</v>
      </c>
      <c r="S1074" s="55" t="str">
        <f t="shared" si="1281"/>
        <v>SEPTIEMBRE</v>
      </c>
      <c r="T1074" s="55" t="str">
        <f t="shared" si="1282"/>
        <v>Sem40</v>
      </c>
      <c r="U1074" s="56">
        <f t="shared" si="1263"/>
        <v>7</v>
      </c>
      <c r="V1074" s="59">
        <v>46295</v>
      </c>
      <c r="W1074" s="56">
        <f t="shared" si="1283"/>
        <v>40</v>
      </c>
      <c r="X1074" s="56">
        <f t="shared" si="1284"/>
        <v>30</v>
      </c>
      <c r="Y1074" s="56" t="s">
        <v>30</v>
      </c>
      <c r="Z1074" s="56">
        <v>3</v>
      </c>
      <c r="AA1074" s="58">
        <f t="shared" si="1267"/>
        <v>1</v>
      </c>
      <c r="AB1074" s="58">
        <f t="shared" si="1267"/>
        <v>0</v>
      </c>
      <c r="AC1074" s="58">
        <f t="shared" si="1267"/>
        <v>0</v>
      </c>
      <c r="AD1074" s="58">
        <f t="shared" si="1267"/>
        <v>0</v>
      </c>
      <c r="AE1074" s="58">
        <f t="shared" si="1267"/>
        <v>0</v>
      </c>
    </row>
    <row r="1075" spans="2:31">
      <c r="B1075" t="str">
        <f t="shared" si="1271"/>
        <v>Sem4040SAZO DE LA CRUZ SELINA ROSSANA</v>
      </c>
      <c r="C1075" t="str">
        <f t="shared" si="1272"/>
        <v>OCTUBRESem40</v>
      </c>
      <c r="D1075" t="str">
        <f t="shared" si="1273"/>
        <v>OCTUBRESem40SAZO DE LA CRUZ SELINA ROSSANA</v>
      </c>
      <c r="E1075" t="str">
        <f t="shared" si="1274"/>
        <v>OCTUBRESem4040SAZO DE LA CRUZ SELINA ROSSANA</v>
      </c>
      <c r="F1075" t="str">
        <f t="shared" si="1275"/>
        <v>SAZO DE LA CRUZ SELINA ROSSANA46296</v>
      </c>
      <c r="H1075" s="49" t="s">
        <v>1</v>
      </c>
      <c r="I1075" s="50" t="str">
        <f>+_xlfn.XLOOKUP($H1075&amp;$V1075,BASEDATOS!$B:$B,BASEDATOS!F:F,0,0,1)</f>
        <v>DIA</v>
      </c>
      <c r="J1075" s="51">
        <f>+_xlfn.XLOOKUP($H1075&amp;$V1075,BASEDATOS!$B:$B,BASEDATOS!Q:Q,0,0,1)</f>
        <v>0.375</v>
      </c>
      <c r="K1075" s="51">
        <f>+_xlfn.XLOOKUP($H1075&amp;$V1075,BASEDATOS!$B:$B,BASEDATOS!R:R,0,0,1)</f>
        <v>0.75</v>
      </c>
      <c r="L1075" s="51">
        <f t="shared" si="1276"/>
        <v>0.375</v>
      </c>
      <c r="M1075" s="52" t="str">
        <f t="shared" si="1277"/>
        <v>1:00</v>
      </c>
      <c r="N1075" s="51">
        <f t="shared" si="1278"/>
        <v>0.33333333333333331</v>
      </c>
      <c r="O1075" s="53" t="str">
        <f t="shared" ref="O1075" si="1320">+O1078</f>
        <v>6-0-1</v>
      </c>
      <c r="P1075" s="54">
        <f>+IF(AND(Y1075="Domingo",U1075=7),_xlfn.XLOOKUP(O1075,'Horarios y Sistemas'!C:C,'Horarios y Sistemas'!H:H,0,0,1),0)</f>
        <v>0</v>
      </c>
      <c r="Q1075" s="54">
        <f>IF(U1075=U1076,0,IF(AVERAGEIF(W:W,W1075,U:U)=U1075,0,_xlfn.XLOOKUP(O1075,'Horarios y Sistemas'!C:C,'Horarios y Sistemas'!H:H,0,0,1)-P1075))/7*U1075</f>
        <v>0</v>
      </c>
      <c r="R1075" s="54">
        <f t="shared" si="1280"/>
        <v>0</v>
      </c>
      <c r="S1075" s="55" t="str">
        <f t="shared" si="1281"/>
        <v>OCTUBRE</v>
      </c>
      <c r="T1075" s="55" t="str">
        <f t="shared" si="1282"/>
        <v>Sem40</v>
      </c>
      <c r="U1075" s="56">
        <f t="shared" si="1263"/>
        <v>7</v>
      </c>
      <c r="V1075" s="59">
        <v>46296</v>
      </c>
      <c r="W1075" s="56">
        <f t="shared" si="1283"/>
        <v>40</v>
      </c>
      <c r="X1075" s="56">
        <f t="shared" si="1284"/>
        <v>1</v>
      </c>
      <c r="Y1075" s="56" t="s">
        <v>31</v>
      </c>
      <c r="Z1075" s="56">
        <v>4</v>
      </c>
      <c r="AA1075" s="58">
        <f t="shared" si="1267"/>
        <v>1</v>
      </c>
      <c r="AB1075" s="58">
        <f t="shared" si="1267"/>
        <v>0</v>
      </c>
      <c r="AC1075" s="58">
        <f t="shared" si="1267"/>
        <v>0</v>
      </c>
      <c r="AD1075" s="58">
        <f t="shared" si="1267"/>
        <v>0</v>
      </c>
      <c r="AE1075" s="58">
        <f t="shared" si="1267"/>
        <v>0</v>
      </c>
    </row>
    <row r="1076" spans="2:31">
      <c r="B1076" t="str">
        <f t="shared" si="1271"/>
        <v>Sem4040SAZO DE LA CRUZ SELINA ROSSANA</v>
      </c>
      <c r="C1076" t="str">
        <f t="shared" si="1272"/>
        <v>OCTUBRESem40</v>
      </c>
      <c r="D1076" t="str">
        <f t="shared" si="1273"/>
        <v>OCTUBRESem40SAZO DE LA CRUZ SELINA ROSSANA</v>
      </c>
      <c r="E1076" t="str">
        <f t="shared" si="1274"/>
        <v>OCTUBRESem4040SAZO DE LA CRUZ SELINA ROSSANA</v>
      </c>
      <c r="F1076" t="str">
        <f t="shared" si="1275"/>
        <v>SAZO DE LA CRUZ SELINA ROSSANA46297</v>
      </c>
      <c r="H1076" s="49" t="s">
        <v>1</v>
      </c>
      <c r="I1076" s="50" t="str">
        <f>+_xlfn.XLOOKUP($H1076&amp;$V1076,BASEDATOS!$B:$B,BASEDATOS!F:F,0,0,1)</f>
        <v>DIA</v>
      </c>
      <c r="J1076" s="51">
        <f>+_xlfn.XLOOKUP($H1076&amp;$V1076,BASEDATOS!$B:$B,BASEDATOS!Q:Q,0,0,1)</f>
        <v>0.29166666666666702</v>
      </c>
      <c r="K1076" s="51">
        <f>+_xlfn.XLOOKUP($H1076&amp;$V1076,BASEDATOS!$B:$B,BASEDATOS!R:R,0,0,1)</f>
        <v>0.66666666666666696</v>
      </c>
      <c r="L1076" s="51">
        <f t="shared" si="1276"/>
        <v>0.37499999999999994</v>
      </c>
      <c r="M1076" s="52" t="str">
        <f t="shared" si="1277"/>
        <v>1:00</v>
      </c>
      <c r="N1076" s="51">
        <f t="shared" si="1278"/>
        <v>0.33333333333333326</v>
      </c>
      <c r="O1076" s="53" t="str">
        <f t="shared" ref="O1076" si="1321">+O1078</f>
        <v>6-0-1</v>
      </c>
      <c r="P1076" s="54">
        <f>+IF(AND(Y1076="Domingo",U1076=7),_xlfn.XLOOKUP(O1076,'Horarios y Sistemas'!C:C,'Horarios y Sistemas'!H:H,0,0,1),0)</f>
        <v>0</v>
      </c>
      <c r="Q1076" s="54">
        <f>IF(U1076=U1077,0,IF(AVERAGEIF(W:W,W1076,U:U)=U1076,0,_xlfn.XLOOKUP(O1076,'Horarios y Sistemas'!C:C,'Horarios y Sistemas'!H:H,0,0,1)-P1076))/7*U1076</f>
        <v>0</v>
      </c>
      <c r="R1076" s="54">
        <f t="shared" si="1280"/>
        <v>0</v>
      </c>
      <c r="S1076" s="55" t="str">
        <f t="shared" si="1281"/>
        <v>OCTUBRE</v>
      </c>
      <c r="T1076" s="55" t="str">
        <f t="shared" si="1282"/>
        <v>Sem40</v>
      </c>
      <c r="U1076" s="56">
        <f t="shared" si="1263"/>
        <v>7</v>
      </c>
      <c r="V1076" s="59">
        <v>46297</v>
      </c>
      <c r="W1076" s="56">
        <f t="shared" si="1283"/>
        <v>40</v>
      </c>
      <c r="X1076" s="56">
        <f t="shared" si="1284"/>
        <v>2</v>
      </c>
      <c r="Y1076" s="56" t="s">
        <v>32</v>
      </c>
      <c r="Z1076" s="56">
        <v>5</v>
      </c>
      <c r="AA1076" s="58">
        <f t="shared" si="1267"/>
        <v>1</v>
      </c>
      <c r="AB1076" s="58">
        <f t="shared" si="1267"/>
        <v>0</v>
      </c>
      <c r="AC1076" s="58">
        <f t="shared" si="1267"/>
        <v>0</v>
      </c>
      <c r="AD1076" s="58">
        <f t="shared" si="1267"/>
        <v>0</v>
      </c>
      <c r="AE1076" s="58">
        <f t="shared" si="1267"/>
        <v>0</v>
      </c>
    </row>
    <row r="1077" spans="2:31">
      <c r="B1077" t="str">
        <f t="shared" si="1271"/>
        <v>Sem4040SAZO DE LA CRUZ SELINA ROSSANA</v>
      </c>
      <c r="C1077" t="str">
        <f t="shared" si="1272"/>
        <v>OCTUBRESem40</v>
      </c>
      <c r="D1077" t="str">
        <f t="shared" si="1273"/>
        <v>OCTUBRESem40SAZO DE LA CRUZ SELINA ROSSANA</v>
      </c>
      <c r="E1077" t="str">
        <f t="shared" si="1274"/>
        <v>OCTUBRESem4040SAZO DE LA CRUZ SELINA ROSSANA</v>
      </c>
      <c r="F1077" t="str">
        <f t="shared" si="1275"/>
        <v>SAZO DE LA CRUZ SELINA ROSSANA46298</v>
      </c>
      <c r="H1077" s="49" t="s">
        <v>1</v>
      </c>
      <c r="I1077" s="50" t="str">
        <f>+_xlfn.XLOOKUP($H1077&amp;$V1077,BASEDATOS!$B:$B,BASEDATOS!F:F,0,0,1)</f>
        <v>DIA</v>
      </c>
      <c r="J1077" s="51">
        <f>+_xlfn.XLOOKUP($H1077&amp;$V1077,BASEDATOS!$B:$B,BASEDATOS!Q:Q,0,0,1)</f>
        <v>0.29166666666666702</v>
      </c>
      <c r="K1077" s="51">
        <f>+_xlfn.XLOOKUP($H1077&amp;$V1077,BASEDATOS!$B:$B,BASEDATOS!R:R,0,0,1)</f>
        <v>0.5</v>
      </c>
      <c r="L1077" s="51">
        <f t="shared" si="1276"/>
        <v>0.20833333333333298</v>
      </c>
      <c r="M1077" s="52" t="str">
        <f t="shared" si="1277"/>
        <v>1:00</v>
      </c>
      <c r="N1077" s="51">
        <f t="shared" si="1278"/>
        <v>0.16666666666666632</v>
      </c>
      <c r="O1077" s="53" t="str">
        <f t="shared" ref="O1077" si="1322">+O1078</f>
        <v>6-0-1</v>
      </c>
      <c r="P1077" s="54">
        <f>+IF(AND(Y1077="Domingo",U1077=7),_xlfn.XLOOKUP(O1077,'Horarios y Sistemas'!C:C,'Horarios y Sistemas'!H:H,0,0,1),0)</f>
        <v>0</v>
      </c>
      <c r="Q1077" s="54">
        <f>IF(U1077=U1078,0,IF(AVERAGEIF(W:W,W1077,U:U)=U1077,0,_xlfn.XLOOKUP(O1077,'Horarios y Sistemas'!C:C,'Horarios y Sistemas'!H:H,0,0,1)-P1077))/7*U1077</f>
        <v>0</v>
      </c>
      <c r="R1077" s="54">
        <f t="shared" si="1280"/>
        <v>0</v>
      </c>
      <c r="S1077" s="55" t="str">
        <f t="shared" si="1281"/>
        <v>OCTUBRE</v>
      </c>
      <c r="T1077" s="55" t="str">
        <f t="shared" si="1282"/>
        <v>Sem40</v>
      </c>
      <c r="U1077" s="56">
        <f t="shared" si="1263"/>
        <v>7</v>
      </c>
      <c r="V1077" s="59">
        <v>46298</v>
      </c>
      <c r="W1077" s="56">
        <f t="shared" si="1283"/>
        <v>40</v>
      </c>
      <c r="X1077" s="56">
        <f t="shared" si="1284"/>
        <v>3</v>
      </c>
      <c r="Y1077" s="56" t="s">
        <v>33</v>
      </c>
      <c r="Z1077" s="56">
        <v>6</v>
      </c>
      <c r="AA1077" s="58">
        <f t="shared" si="1267"/>
        <v>1</v>
      </c>
      <c r="AB1077" s="58">
        <f t="shared" si="1267"/>
        <v>0</v>
      </c>
      <c r="AC1077" s="58">
        <f t="shared" si="1267"/>
        <v>0</v>
      </c>
      <c r="AD1077" s="58">
        <f t="shared" si="1267"/>
        <v>0</v>
      </c>
      <c r="AE1077" s="58">
        <f t="shared" si="1267"/>
        <v>0</v>
      </c>
    </row>
    <row r="1078" spans="2:31">
      <c r="B1078" s="60" t="str">
        <f t="shared" si="1271"/>
        <v>Sem4040SAZO DE LA CRUZ SELINA ROSSANA</v>
      </c>
      <c r="C1078" s="60" t="str">
        <f t="shared" si="1272"/>
        <v>OCTUBRESem40</v>
      </c>
      <c r="D1078" s="60" t="str">
        <f t="shared" si="1273"/>
        <v>OCTUBRESem40SAZO DE LA CRUZ SELINA ROSSANA</v>
      </c>
      <c r="E1078" s="60" t="str">
        <f t="shared" si="1274"/>
        <v>OCTUBRESem4040SAZO DE LA CRUZ SELINA ROSSANA</v>
      </c>
      <c r="F1078" s="60" t="str">
        <f t="shared" si="1275"/>
        <v>SAZO DE LA CRUZ SELINA ROSSANA46299</v>
      </c>
      <c r="G1078" s="60"/>
      <c r="H1078" s="61" t="s">
        <v>1</v>
      </c>
      <c r="I1078" s="62" t="str">
        <f>+_xlfn.XLOOKUP($H1078&amp;$V1078,BASEDATOS!$B:$B,BASEDATOS!F:F,0,0,1)</f>
        <v>DESCANSO</v>
      </c>
      <c r="J1078" s="63">
        <f>+_xlfn.XLOOKUP($H1078&amp;$V1078,BASEDATOS!$B:$B,BASEDATOS!Q:Q,0,0,1)</f>
        <v>0</v>
      </c>
      <c r="K1078" s="63">
        <f>+_xlfn.XLOOKUP($H1078&amp;$V1078,BASEDATOS!$B:$B,BASEDATOS!R:R,0,0,1)</f>
        <v>0</v>
      </c>
      <c r="L1078" s="63">
        <f t="shared" si="1276"/>
        <v>0</v>
      </c>
      <c r="M1078" s="64">
        <f t="shared" si="1277"/>
        <v>0</v>
      </c>
      <c r="N1078" s="63">
        <f t="shared" si="1278"/>
        <v>0</v>
      </c>
      <c r="O1078" s="65" t="str">
        <f t="shared" ref="O1078" si="1323">+IF(Y1078="Domingo",SUM(AA1072:AA1078)&amp;"-"&amp;SUM(AB1072:AB1078)&amp;"-"&amp;SUM(AC1072:AE1078),"")</f>
        <v>6-0-1</v>
      </c>
      <c r="P1078" s="66">
        <f>+IF(AND(Y1078="Domingo",U1078=7),_xlfn.XLOOKUP(O1078,'Horarios y Sistemas'!C:C,'Horarios y Sistemas'!H:H,0,0,1),0)</f>
        <v>44</v>
      </c>
      <c r="Q1078" s="66">
        <f>IF(U1078=U1079,0,IF(AVERAGEIF(W:W,W1078,U:U)=U1078,0,_xlfn.XLOOKUP(O1078,'Horarios y Sistemas'!C:C,'Horarios y Sistemas'!H:H,0,0,1)-P1078))/7*U1078</f>
        <v>0</v>
      </c>
      <c r="R1078" s="66">
        <f t="shared" si="1280"/>
        <v>44</v>
      </c>
      <c r="S1078" s="67" t="str">
        <f t="shared" si="1281"/>
        <v>OCTUBRE</v>
      </c>
      <c r="T1078" s="55" t="str">
        <f t="shared" si="1282"/>
        <v>Sem40</v>
      </c>
      <c r="U1078" s="68">
        <f t="shared" si="1263"/>
        <v>7</v>
      </c>
      <c r="V1078" s="69">
        <v>46299</v>
      </c>
      <c r="W1078" s="68">
        <f t="shared" si="1283"/>
        <v>40</v>
      </c>
      <c r="X1078" s="68">
        <f t="shared" si="1284"/>
        <v>4</v>
      </c>
      <c r="Y1078" s="68" t="s">
        <v>34</v>
      </c>
      <c r="Z1078" s="68">
        <v>7</v>
      </c>
      <c r="AA1078" s="70">
        <f t="shared" si="1267"/>
        <v>0</v>
      </c>
      <c r="AB1078" s="70">
        <f t="shared" si="1267"/>
        <v>0</v>
      </c>
      <c r="AC1078" s="70">
        <f t="shared" si="1267"/>
        <v>1</v>
      </c>
      <c r="AD1078" s="70">
        <f t="shared" si="1267"/>
        <v>0</v>
      </c>
      <c r="AE1078" s="70">
        <f t="shared" si="1267"/>
        <v>0</v>
      </c>
    </row>
    <row r="1079" spans="2:31">
      <c r="B1079" t="str">
        <f t="shared" si="1271"/>
        <v>Sem3838STEFAN GABRIEL ALVARADO DE LA ROSA</v>
      </c>
      <c r="C1079" t="str">
        <f t="shared" si="1272"/>
        <v>SEPTIEMBRESem38</v>
      </c>
      <c r="D1079" t="str">
        <f t="shared" si="1273"/>
        <v>SEPTIEMBRESem38STEFAN GABRIEL ALVARADO DE LA ROSA</v>
      </c>
      <c r="E1079" t="str">
        <f t="shared" si="1274"/>
        <v>SEPTIEMBRESem3838STEFAN GABRIEL ALVARADO DE LA ROSA</v>
      </c>
      <c r="F1079" t="str">
        <f t="shared" si="1275"/>
        <v>STEFAN GABRIEL ALVARADO DE LA ROSA46279</v>
      </c>
      <c r="H1079" s="49" t="s">
        <v>19</v>
      </c>
      <c r="I1079" s="50" t="str">
        <f>+_xlfn.XLOOKUP($H1079&amp;$V1079,BASEDATOS!$B:$B,BASEDATOS!F:F,0,0,1)</f>
        <v>DESCANSO</v>
      </c>
      <c r="J1079" s="51">
        <f>+_xlfn.XLOOKUP($H1079&amp;$V1079,BASEDATOS!$B:$B,BASEDATOS!Q:Q,0,0,1)</f>
        <v>0</v>
      </c>
      <c r="K1079" s="51">
        <f>+_xlfn.XLOOKUP($H1079&amp;$V1079,BASEDATOS!$B:$B,BASEDATOS!R:R,0,0,1)</f>
        <v>0</v>
      </c>
      <c r="L1079" s="51">
        <f t="shared" si="1276"/>
        <v>0</v>
      </c>
      <c r="M1079" s="52">
        <f t="shared" si="1277"/>
        <v>0</v>
      </c>
      <c r="N1079" s="51">
        <f t="shared" si="1278"/>
        <v>0</v>
      </c>
      <c r="O1079" s="53" t="str">
        <f t="shared" ref="O1079" si="1324">+O1085</f>
        <v>5-0-2</v>
      </c>
      <c r="P1079" s="54">
        <f>+IF(AND(Y1079="Domingo",U1079=7),_xlfn.XLOOKUP(O1079,'Horarios y Sistemas'!C:C,'Horarios y Sistemas'!H:H,0,0,1),0)</f>
        <v>0</v>
      </c>
      <c r="Q1079" s="54">
        <f>IF(U1079=U1080,0,IF(AVERAGEIF(W:W,W1079,U:U)=U1079,0,_xlfn.XLOOKUP(O1079,'Horarios y Sistemas'!C:C,'Horarios y Sistemas'!H:H,0,0,1)-P1079))/7*U1079</f>
        <v>0</v>
      </c>
      <c r="R1079" s="54">
        <f t="shared" si="1280"/>
        <v>0</v>
      </c>
      <c r="S1079" s="55" t="str">
        <f t="shared" si="1281"/>
        <v>SEPTIEMBRE</v>
      </c>
      <c r="T1079" s="55" t="str">
        <f t="shared" si="1282"/>
        <v>Sem38</v>
      </c>
      <c r="U1079" s="56">
        <f t="shared" si="1263"/>
        <v>7</v>
      </c>
      <c r="V1079" s="59">
        <v>46279</v>
      </c>
      <c r="W1079" s="56">
        <f t="shared" si="1283"/>
        <v>38</v>
      </c>
      <c r="X1079" s="56">
        <f t="shared" si="1284"/>
        <v>14</v>
      </c>
      <c r="Y1079" s="56" t="s">
        <v>28</v>
      </c>
      <c r="Z1079" s="56">
        <v>1</v>
      </c>
      <c r="AA1079" s="58">
        <f t="shared" si="1267"/>
        <v>0</v>
      </c>
      <c r="AB1079" s="58">
        <f t="shared" si="1267"/>
        <v>0</v>
      </c>
      <c r="AC1079" s="58">
        <f t="shared" si="1267"/>
        <v>1</v>
      </c>
      <c r="AD1079" s="58">
        <f t="shared" si="1267"/>
        <v>0</v>
      </c>
      <c r="AE1079" s="58">
        <f t="shared" si="1267"/>
        <v>0</v>
      </c>
    </row>
    <row r="1080" spans="2:31">
      <c r="B1080" t="str">
        <f t="shared" si="1271"/>
        <v>Sem3838STEFAN GABRIEL ALVARADO DE LA ROSA</v>
      </c>
      <c r="C1080" t="str">
        <f t="shared" si="1272"/>
        <v>SEPTIEMBRESem38</v>
      </c>
      <c r="D1080" t="str">
        <f t="shared" si="1273"/>
        <v>SEPTIEMBRESem38STEFAN GABRIEL ALVARADO DE LA ROSA</v>
      </c>
      <c r="E1080" t="str">
        <f t="shared" si="1274"/>
        <v>SEPTIEMBRESem3838STEFAN GABRIEL ALVARADO DE LA ROSA</v>
      </c>
      <c r="F1080" t="str">
        <f t="shared" si="1275"/>
        <v>STEFAN GABRIEL ALVARADO DE LA ROSA46280</v>
      </c>
      <c r="H1080" s="49" t="s">
        <v>19</v>
      </c>
      <c r="I1080" s="50" t="str">
        <f>+_xlfn.XLOOKUP($H1080&amp;$V1080,BASEDATOS!$B:$B,BASEDATOS!F:F,0,0,1)</f>
        <v>DIA</v>
      </c>
      <c r="J1080" s="51">
        <f>+_xlfn.XLOOKUP($H1080&amp;$V1080,BASEDATOS!$B:$B,BASEDATOS!Q:Q,0,0,1)</f>
        <v>0.33333333333333298</v>
      </c>
      <c r="K1080" s="51">
        <f>+_xlfn.XLOOKUP($H1080&amp;$V1080,BASEDATOS!$B:$B,BASEDATOS!R:R,0,0,1)</f>
        <v>0.70833333333333304</v>
      </c>
      <c r="L1080" s="51">
        <f t="shared" si="1276"/>
        <v>0.37500000000000006</v>
      </c>
      <c r="M1080" s="52" t="str">
        <f t="shared" si="1277"/>
        <v>1:00</v>
      </c>
      <c r="N1080" s="51">
        <f t="shared" si="1278"/>
        <v>0.33333333333333337</v>
      </c>
      <c r="O1080" s="53" t="str">
        <f t="shared" ref="O1080" si="1325">+O1085</f>
        <v>5-0-2</v>
      </c>
      <c r="P1080" s="54">
        <f>+IF(AND(Y1080="Domingo",U1080=7),_xlfn.XLOOKUP(O1080,'Horarios y Sistemas'!C:C,'Horarios y Sistemas'!H:H,0,0,1),0)</f>
        <v>0</v>
      </c>
      <c r="Q1080" s="54">
        <f>IF(U1080=U1081,0,IF(AVERAGEIF(W:W,W1080,U:U)=U1080,0,_xlfn.XLOOKUP(O1080,'Horarios y Sistemas'!C:C,'Horarios y Sistemas'!H:H,0,0,1)-P1080))/7*U1080</f>
        <v>0</v>
      </c>
      <c r="R1080" s="54">
        <f t="shared" si="1280"/>
        <v>0</v>
      </c>
      <c r="S1080" s="55" t="str">
        <f t="shared" si="1281"/>
        <v>SEPTIEMBRE</v>
      </c>
      <c r="T1080" s="55" t="str">
        <f t="shared" si="1282"/>
        <v>Sem38</v>
      </c>
      <c r="U1080" s="56">
        <f t="shared" si="1263"/>
        <v>7</v>
      </c>
      <c r="V1080" s="59">
        <v>46280</v>
      </c>
      <c r="W1080" s="56">
        <f t="shared" si="1283"/>
        <v>38</v>
      </c>
      <c r="X1080" s="56">
        <f t="shared" si="1284"/>
        <v>15</v>
      </c>
      <c r="Y1080" s="56" t="s">
        <v>29</v>
      </c>
      <c r="Z1080" s="56">
        <v>2</v>
      </c>
      <c r="AA1080" s="58">
        <f t="shared" si="1267"/>
        <v>1</v>
      </c>
      <c r="AB1080" s="58">
        <f t="shared" si="1267"/>
        <v>0</v>
      </c>
      <c r="AC1080" s="58">
        <f t="shared" si="1267"/>
        <v>0</v>
      </c>
      <c r="AD1080" s="58">
        <f t="shared" si="1267"/>
        <v>0</v>
      </c>
      <c r="AE1080" s="58">
        <f t="shared" si="1267"/>
        <v>0</v>
      </c>
    </row>
    <row r="1081" spans="2:31">
      <c r="B1081" t="str">
        <f t="shared" si="1271"/>
        <v>Sem3838STEFAN GABRIEL ALVARADO DE LA ROSA</v>
      </c>
      <c r="C1081" t="str">
        <f t="shared" si="1272"/>
        <v>SEPTIEMBRESem38</v>
      </c>
      <c r="D1081" t="str">
        <f t="shared" si="1273"/>
        <v>SEPTIEMBRESem38STEFAN GABRIEL ALVARADO DE LA ROSA</v>
      </c>
      <c r="E1081" t="str">
        <f t="shared" si="1274"/>
        <v>SEPTIEMBRESem3838STEFAN GABRIEL ALVARADO DE LA ROSA</v>
      </c>
      <c r="F1081" t="str">
        <f t="shared" si="1275"/>
        <v>STEFAN GABRIEL ALVARADO DE LA ROSA46281</v>
      </c>
      <c r="H1081" s="49" t="s">
        <v>19</v>
      </c>
      <c r="I1081" s="50" t="str">
        <f>+_xlfn.XLOOKUP($H1081&amp;$V1081,BASEDATOS!$B:$B,BASEDATOS!F:F,0,0,1)</f>
        <v>DIA</v>
      </c>
      <c r="J1081" s="51">
        <f>+_xlfn.XLOOKUP($H1081&amp;$V1081,BASEDATOS!$B:$B,BASEDATOS!Q:Q,0,0,1)</f>
        <v>0.29166666666666702</v>
      </c>
      <c r="K1081" s="51">
        <f>+_xlfn.XLOOKUP($H1081&amp;$V1081,BASEDATOS!$B:$B,BASEDATOS!R:R,0,0,1)</f>
        <v>0.66666666666666696</v>
      </c>
      <c r="L1081" s="51">
        <f t="shared" si="1276"/>
        <v>0.37499999999999994</v>
      </c>
      <c r="M1081" s="52" t="str">
        <f t="shared" si="1277"/>
        <v>1:00</v>
      </c>
      <c r="N1081" s="51">
        <f t="shared" si="1278"/>
        <v>0.33333333333333326</v>
      </c>
      <c r="O1081" s="53" t="str">
        <f t="shared" ref="O1081" si="1326">+O1085</f>
        <v>5-0-2</v>
      </c>
      <c r="P1081" s="54">
        <f>+IF(AND(Y1081="Domingo",U1081=7),_xlfn.XLOOKUP(O1081,'Horarios y Sistemas'!C:C,'Horarios y Sistemas'!H:H,0,0,1),0)</f>
        <v>0</v>
      </c>
      <c r="Q1081" s="54">
        <f>IF(U1081=U1082,0,IF(AVERAGEIF(W:W,W1081,U:U)=U1081,0,_xlfn.XLOOKUP(O1081,'Horarios y Sistemas'!C:C,'Horarios y Sistemas'!H:H,0,0,1)-P1081))/7*U1081</f>
        <v>0</v>
      </c>
      <c r="R1081" s="54">
        <f t="shared" si="1280"/>
        <v>0</v>
      </c>
      <c r="S1081" s="55" t="str">
        <f t="shared" si="1281"/>
        <v>SEPTIEMBRE</v>
      </c>
      <c r="T1081" s="55" t="str">
        <f t="shared" si="1282"/>
        <v>Sem38</v>
      </c>
      <c r="U1081" s="56">
        <f t="shared" si="1263"/>
        <v>7</v>
      </c>
      <c r="V1081" s="59">
        <v>46281</v>
      </c>
      <c r="W1081" s="56">
        <f t="shared" si="1283"/>
        <v>38</v>
      </c>
      <c r="X1081" s="56">
        <f t="shared" si="1284"/>
        <v>16</v>
      </c>
      <c r="Y1081" s="56" t="s">
        <v>30</v>
      </c>
      <c r="Z1081" s="56">
        <v>3</v>
      </c>
      <c r="AA1081" s="58">
        <f t="shared" si="1267"/>
        <v>1</v>
      </c>
      <c r="AB1081" s="58">
        <f t="shared" si="1267"/>
        <v>0</v>
      </c>
      <c r="AC1081" s="58">
        <f t="shared" si="1267"/>
        <v>0</v>
      </c>
      <c r="AD1081" s="58">
        <f t="shared" si="1267"/>
        <v>0</v>
      </c>
      <c r="AE1081" s="58">
        <f t="shared" si="1267"/>
        <v>0</v>
      </c>
    </row>
    <row r="1082" spans="2:31">
      <c r="B1082" t="str">
        <f t="shared" si="1271"/>
        <v>Sem3838STEFAN GABRIEL ALVARADO DE LA ROSA</v>
      </c>
      <c r="C1082" t="str">
        <f t="shared" si="1272"/>
        <v>SEPTIEMBRESem38</v>
      </c>
      <c r="D1082" t="str">
        <f t="shared" si="1273"/>
        <v>SEPTIEMBRESem38STEFAN GABRIEL ALVARADO DE LA ROSA</v>
      </c>
      <c r="E1082" t="str">
        <f t="shared" si="1274"/>
        <v>SEPTIEMBRESem3838STEFAN GABRIEL ALVARADO DE LA ROSA</v>
      </c>
      <c r="F1082" t="str">
        <f t="shared" si="1275"/>
        <v>STEFAN GABRIEL ALVARADO DE LA ROSA46282</v>
      </c>
      <c r="H1082" s="49" t="s">
        <v>19</v>
      </c>
      <c r="I1082" s="50" t="str">
        <f>+_xlfn.XLOOKUP($H1082&amp;$V1082,BASEDATOS!$B:$B,BASEDATOS!F:F,0,0,1)</f>
        <v>DIA</v>
      </c>
      <c r="J1082" s="51">
        <f>+_xlfn.XLOOKUP($H1082&amp;$V1082,BASEDATOS!$B:$B,BASEDATOS!Q:Q,0,0,1)</f>
        <v>0.375</v>
      </c>
      <c r="K1082" s="51">
        <f>+_xlfn.XLOOKUP($H1082&amp;$V1082,BASEDATOS!$B:$B,BASEDATOS!R:R,0,0,1)</f>
        <v>0.75</v>
      </c>
      <c r="L1082" s="51">
        <f t="shared" si="1276"/>
        <v>0.375</v>
      </c>
      <c r="M1082" s="52" t="str">
        <f t="shared" si="1277"/>
        <v>1:00</v>
      </c>
      <c r="N1082" s="51">
        <f t="shared" si="1278"/>
        <v>0.33333333333333331</v>
      </c>
      <c r="O1082" s="53" t="str">
        <f t="shared" ref="O1082" si="1327">+O1085</f>
        <v>5-0-2</v>
      </c>
      <c r="P1082" s="54">
        <f>+IF(AND(Y1082="Domingo",U1082=7),_xlfn.XLOOKUP(O1082,'Horarios y Sistemas'!C:C,'Horarios y Sistemas'!H:H,0,0,1),0)</f>
        <v>0</v>
      </c>
      <c r="Q1082" s="54">
        <f>IF(U1082=U1083,0,IF(AVERAGEIF(W:W,W1082,U:U)=U1082,0,_xlfn.XLOOKUP(O1082,'Horarios y Sistemas'!C:C,'Horarios y Sistemas'!H:H,0,0,1)-P1082))/7*U1082</f>
        <v>0</v>
      </c>
      <c r="R1082" s="54">
        <f t="shared" si="1280"/>
        <v>0</v>
      </c>
      <c r="S1082" s="55" t="str">
        <f t="shared" si="1281"/>
        <v>SEPTIEMBRE</v>
      </c>
      <c r="T1082" s="55" t="str">
        <f t="shared" si="1282"/>
        <v>Sem38</v>
      </c>
      <c r="U1082" s="56">
        <f t="shared" si="1263"/>
        <v>7</v>
      </c>
      <c r="V1082" s="59">
        <v>46282</v>
      </c>
      <c r="W1082" s="56">
        <f t="shared" si="1283"/>
        <v>38</v>
      </c>
      <c r="X1082" s="56">
        <f t="shared" si="1284"/>
        <v>17</v>
      </c>
      <c r="Y1082" s="56" t="s">
        <v>31</v>
      </c>
      <c r="Z1082" s="56">
        <v>4</v>
      </c>
      <c r="AA1082" s="58">
        <f t="shared" si="1267"/>
        <v>1</v>
      </c>
      <c r="AB1082" s="58">
        <f t="shared" si="1267"/>
        <v>0</v>
      </c>
      <c r="AC1082" s="58">
        <f t="shared" si="1267"/>
        <v>0</v>
      </c>
      <c r="AD1082" s="58">
        <f t="shared" si="1267"/>
        <v>0</v>
      </c>
      <c r="AE1082" s="58">
        <f t="shared" si="1267"/>
        <v>0</v>
      </c>
    </row>
    <row r="1083" spans="2:31">
      <c r="B1083" t="str">
        <f t="shared" si="1271"/>
        <v>Sem3838STEFAN GABRIEL ALVARADO DE LA ROSA</v>
      </c>
      <c r="C1083" t="str">
        <f t="shared" si="1272"/>
        <v>SEPTIEMBRESem38</v>
      </c>
      <c r="D1083" t="str">
        <f t="shared" si="1273"/>
        <v>SEPTIEMBRESem38STEFAN GABRIEL ALVARADO DE LA ROSA</v>
      </c>
      <c r="E1083" t="str">
        <f t="shared" si="1274"/>
        <v>SEPTIEMBRESem3838STEFAN GABRIEL ALVARADO DE LA ROSA</v>
      </c>
      <c r="F1083" t="str">
        <f t="shared" si="1275"/>
        <v>STEFAN GABRIEL ALVARADO DE LA ROSA46283</v>
      </c>
      <c r="H1083" s="49" t="s">
        <v>19</v>
      </c>
      <c r="I1083" s="50" t="str">
        <f>+_xlfn.XLOOKUP($H1083&amp;$V1083,BASEDATOS!$B:$B,BASEDATOS!F:F,0,0,1)</f>
        <v>DIA</v>
      </c>
      <c r="J1083" s="51">
        <f>+_xlfn.XLOOKUP($H1083&amp;$V1083,BASEDATOS!$B:$B,BASEDATOS!Q:Q,0,0,1)</f>
        <v>0.29166666666666702</v>
      </c>
      <c r="K1083" s="51">
        <f>+_xlfn.XLOOKUP($H1083&amp;$V1083,BASEDATOS!$B:$B,BASEDATOS!R:R,0,0,1)</f>
        <v>0.66666666666666696</v>
      </c>
      <c r="L1083" s="51">
        <f t="shared" si="1276"/>
        <v>0.37499999999999994</v>
      </c>
      <c r="M1083" s="52" t="str">
        <f t="shared" si="1277"/>
        <v>1:00</v>
      </c>
      <c r="N1083" s="51">
        <f t="shared" si="1278"/>
        <v>0.33333333333333326</v>
      </c>
      <c r="O1083" s="53" t="str">
        <f t="shared" ref="O1083" si="1328">+O1085</f>
        <v>5-0-2</v>
      </c>
      <c r="P1083" s="54">
        <f>+IF(AND(Y1083="Domingo",U1083=7),_xlfn.XLOOKUP(O1083,'Horarios y Sistemas'!C:C,'Horarios y Sistemas'!H:H,0,0,1),0)</f>
        <v>0</v>
      </c>
      <c r="Q1083" s="54">
        <f>IF(U1083=U1084,0,IF(AVERAGEIF(W:W,W1083,U:U)=U1083,0,_xlfn.XLOOKUP(O1083,'Horarios y Sistemas'!C:C,'Horarios y Sistemas'!H:H,0,0,1)-P1083))/7*U1083</f>
        <v>0</v>
      </c>
      <c r="R1083" s="54">
        <f t="shared" si="1280"/>
        <v>0</v>
      </c>
      <c r="S1083" s="55" t="str">
        <f t="shared" si="1281"/>
        <v>SEPTIEMBRE</v>
      </c>
      <c r="T1083" s="55" t="str">
        <f t="shared" si="1282"/>
        <v>Sem38</v>
      </c>
      <c r="U1083" s="56">
        <f t="shared" si="1263"/>
        <v>7</v>
      </c>
      <c r="V1083" s="59">
        <v>46283</v>
      </c>
      <c r="W1083" s="56">
        <f t="shared" si="1283"/>
        <v>38</v>
      </c>
      <c r="X1083" s="56">
        <f t="shared" si="1284"/>
        <v>18</v>
      </c>
      <c r="Y1083" s="56" t="s">
        <v>32</v>
      </c>
      <c r="Z1083" s="56">
        <v>5</v>
      </c>
      <c r="AA1083" s="58">
        <f t="shared" si="1267"/>
        <v>1</v>
      </c>
      <c r="AB1083" s="58">
        <f t="shared" si="1267"/>
        <v>0</v>
      </c>
      <c r="AC1083" s="58">
        <f t="shared" si="1267"/>
        <v>0</v>
      </c>
      <c r="AD1083" s="58">
        <f t="shared" si="1267"/>
        <v>0</v>
      </c>
      <c r="AE1083" s="58">
        <f t="shared" si="1267"/>
        <v>0</v>
      </c>
    </row>
    <row r="1084" spans="2:31">
      <c r="B1084" t="str">
        <f t="shared" si="1271"/>
        <v>Sem3838STEFAN GABRIEL ALVARADO DE LA ROSA</v>
      </c>
      <c r="C1084" t="str">
        <f t="shared" si="1272"/>
        <v>SEPTIEMBRESem38</v>
      </c>
      <c r="D1084" t="str">
        <f t="shared" si="1273"/>
        <v>SEPTIEMBRESem38STEFAN GABRIEL ALVARADO DE LA ROSA</v>
      </c>
      <c r="E1084" t="str">
        <f t="shared" si="1274"/>
        <v>SEPTIEMBRESem3838STEFAN GABRIEL ALVARADO DE LA ROSA</v>
      </c>
      <c r="F1084" t="str">
        <f t="shared" si="1275"/>
        <v>STEFAN GABRIEL ALVARADO DE LA ROSA46284</v>
      </c>
      <c r="H1084" s="49" t="s">
        <v>19</v>
      </c>
      <c r="I1084" s="50" t="str">
        <f>+_xlfn.XLOOKUP($H1084&amp;$V1084,BASEDATOS!$B:$B,BASEDATOS!F:F,0,0,1)</f>
        <v>DIA</v>
      </c>
      <c r="J1084" s="51">
        <f>+_xlfn.XLOOKUP($H1084&amp;$V1084,BASEDATOS!$B:$B,BASEDATOS!Q:Q,0,0,1)</f>
        <v>0.29166666666666702</v>
      </c>
      <c r="K1084" s="51">
        <f>+_xlfn.XLOOKUP($H1084&amp;$V1084,BASEDATOS!$B:$B,BASEDATOS!R:R,0,0,1)</f>
        <v>0.5</v>
      </c>
      <c r="L1084" s="51">
        <f t="shared" si="1276"/>
        <v>0.20833333333333298</v>
      </c>
      <c r="M1084" s="52" t="str">
        <f t="shared" si="1277"/>
        <v>1:00</v>
      </c>
      <c r="N1084" s="51">
        <f t="shared" si="1278"/>
        <v>0.16666666666666632</v>
      </c>
      <c r="O1084" s="53" t="str">
        <f t="shared" ref="O1084" si="1329">+O1085</f>
        <v>5-0-2</v>
      </c>
      <c r="P1084" s="54">
        <f>+IF(AND(Y1084="Domingo",U1084=7),_xlfn.XLOOKUP(O1084,'Horarios y Sistemas'!C:C,'Horarios y Sistemas'!H:H,0,0,1),0)</f>
        <v>0</v>
      </c>
      <c r="Q1084" s="54">
        <f>IF(U1084=U1085,0,IF(AVERAGEIF(W:W,W1084,U:U)=U1084,0,_xlfn.XLOOKUP(O1084,'Horarios y Sistemas'!C:C,'Horarios y Sistemas'!H:H,0,0,1)-P1084))/7*U1084</f>
        <v>0</v>
      </c>
      <c r="R1084" s="54">
        <f t="shared" si="1280"/>
        <v>0</v>
      </c>
      <c r="S1084" s="55" t="str">
        <f t="shared" si="1281"/>
        <v>SEPTIEMBRE</v>
      </c>
      <c r="T1084" s="55" t="str">
        <f t="shared" si="1282"/>
        <v>Sem38</v>
      </c>
      <c r="U1084" s="56">
        <f t="shared" si="1263"/>
        <v>7</v>
      </c>
      <c r="V1084" s="59">
        <v>46284</v>
      </c>
      <c r="W1084" s="56">
        <f t="shared" si="1283"/>
        <v>38</v>
      </c>
      <c r="X1084" s="56">
        <f t="shared" si="1284"/>
        <v>19</v>
      </c>
      <c r="Y1084" s="56" t="s">
        <v>33</v>
      </c>
      <c r="Z1084" s="56">
        <v>6</v>
      </c>
      <c r="AA1084" s="58">
        <f t="shared" si="1267"/>
        <v>1</v>
      </c>
      <c r="AB1084" s="58">
        <f t="shared" si="1267"/>
        <v>0</v>
      </c>
      <c r="AC1084" s="58">
        <f t="shared" si="1267"/>
        <v>0</v>
      </c>
      <c r="AD1084" s="58">
        <f t="shared" si="1267"/>
        <v>0</v>
      </c>
      <c r="AE1084" s="58">
        <f t="shared" si="1267"/>
        <v>0</v>
      </c>
    </row>
    <row r="1085" spans="2:31">
      <c r="B1085" s="60" t="str">
        <f t="shared" si="1271"/>
        <v>Sem3838STEFAN GABRIEL ALVARADO DE LA ROSA</v>
      </c>
      <c r="C1085" s="60" t="str">
        <f t="shared" si="1272"/>
        <v>SEPTIEMBRESem38</v>
      </c>
      <c r="D1085" s="60" t="str">
        <f t="shared" si="1273"/>
        <v>SEPTIEMBRESem38STEFAN GABRIEL ALVARADO DE LA ROSA</v>
      </c>
      <c r="E1085" s="60" t="str">
        <f t="shared" si="1274"/>
        <v>SEPTIEMBRESem3838STEFAN GABRIEL ALVARADO DE LA ROSA</v>
      </c>
      <c r="F1085" s="60" t="str">
        <f t="shared" si="1275"/>
        <v>STEFAN GABRIEL ALVARADO DE LA ROSA46285</v>
      </c>
      <c r="G1085" s="60"/>
      <c r="H1085" s="61" t="s">
        <v>19</v>
      </c>
      <c r="I1085" s="62" t="str">
        <f>+_xlfn.XLOOKUP($H1085&amp;$V1085,BASEDATOS!$B:$B,BASEDATOS!F:F,0,0,1)</f>
        <v>DESCANSO</v>
      </c>
      <c r="J1085" s="63">
        <f>+_xlfn.XLOOKUP($H1085&amp;$V1085,BASEDATOS!$B:$B,BASEDATOS!Q:Q,0,0,1)</f>
        <v>0</v>
      </c>
      <c r="K1085" s="63">
        <f>+_xlfn.XLOOKUP($H1085&amp;$V1085,BASEDATOS!$B:$B,BASEDATOS!R:R,0,0,1)</f>
        <v>0</v>
      </c>
      <c r="L1085" s="63">
        <f t="shared" si="1276"/>
        <v>0</v>
      </c>
      <c r="M1085" s="64">
        <f t="shared" si="1277"/>
        <v>0</v>
      </c>
      <c r="N1085" s="63">
        <f t="shared" si="1278"/>
        <v>0</v>
      </c>
      <c r="O1085" s="65" t="str">
        <f t="shared" ref="O1085" si="1330">+IF(Y1085="Domingo",SUM(AA1079:AA1085)&amp;"-"&amp;SUM(AB1079:AB1085)&amp;"-"&amp;SUM(AC1079:AE1085),"")</f>
        <v>5-0-2</v>
      </c>
      <c r="P1085" s="66">
        <f>+IF(AND(Y1085="Domingo",U1085=7),_xlfn.XLOOKUP(O1085,'Horarios y Sistemas'!C:C,'Horarios y Sistemas'!H:H,0,0,1),0)</f>
        <v>44</v>
      </c>
      <c r="Q1085" s="66">
        <f>IF(U1085=U1086,0,IF(AVERAGEIF(W:W,W1085,U:U)=U1085,0,_xlfn.XLOOKUP(O1085,'Horarios y Sistemas'!C:C,'Horarios y Sistemas'!H:H,0,0,1)-P1085))/7*U1085</f>
        <v>0</v>
      </c>
      <c r="R1085" s="66">
        <f t="shared" si="1280"/>
        <v>44</v>
      </c>
      <c r="S1085" s="67" t="str">
        <f t="shared" si="1281"/>
        <v>SEPTIEMBRE</v>
      </c>
      <c r="T1085" s="55" t="str">
        <f t="shared" si="1282"/>
        <v>Sem38</v>
      </c>
      <c r="U1085" s="68">
        <f t="shared" si="1263"/>
        <v>7</v>
      </c>
      <c r="V1085" s="69">
        <v>46285</v>
      </c>
      <c r="W1085" s="68">
        <f t="shared" si="1283"/>
        <v>38</v>
      </c>
      <c r="X1085" s="68">
        <f t="shared" si="1284"/>
        <v>20</v>
      </c>
      <c r="Y1085" s="68" t="s">
        <v>34</v>
      </c>
      <c r="Z1085" s="68">
        <v>7</v>
      </c>
      <c r="AA1085" s="70">
        <f t="shared" si="1267"/>
        <v>0</v>
      </c>
      <c r="AB1085" s="70">
        <f t="shared" si="1267"/>
        <v>0</v>
      </c>
      <c r="AC1085" s="70">
        <f t="shared" si="1267"/>
        <v>1</v>
      </c>
      <c r="AD1085" s="70">
        <f t="shared" si="1267"/>
        <v>0</v>
      </c>
      <c r="AE1085" s="70">
        <f t="shared" si="1267"/>
        <v>0</v>
      </c>
    </row>
    <row r="1086" spans="2:31">
      <c r="B1086" t="str">
        <f t="shared" si="1271"/>
        <v>Sem3939STEFAN GABRIEL ALVARADO DE LA ROSA</v>
      </c>
      <c r="C1086" t="str">
        <f t="shared" si="1272"/>
        <v>SEPTIEMBRESem39</v>
      </c>
      <c r="D1086" t="str">
        <f t="shared" si="1273"/>
        <v>SEPTIEMBRESem39STEFAN GABRIEL ALVARADO DE LA ROSA</v>
      </c>
      <c r="E1086" t="str">
        <f t="shared" si="1274"/>
        <v>SEPTIEMBRESem3939STEFAN GABRIEL ALVARADO DE LA ROSA</v>
      </c>
      <c r="F1086" t="str">
        <f t="shared" si="1275"/>
        <v>STEFAN GABRIEL ALVARADO DE LA ROSA46286</v>
      </c>
      <c r="H1086" s="49" t="s">
        <v>19</v>
      </c>
      <c r="I1086" s="50" t="str">
        <f>+_xlfn.XLOOKUP($H1086&amp;$V1086,BASEDATOS!$B:$B,BASEDATOS!F:F,0,0,1)</f>
        <v>NOCHE</v>
      </c>
      <c r="J1086" s="51">
        <f>+_xlfn.XLOOKUP($H1086&amp;$V1086,BASEDATOS!$B:$B,BASEDATOS!Q:Q,0,0,1)</f>
        <v>0.79166666666666696</v>
      </c>
      <c r="K1086" s="51">
        <f>+_xlfn.XLOOKUP($H1086&amp;$V1086,BASEDATOS!$B:$B,BASEDATOS!R:R,0,0,1)</f>
        <v>0.20833333333333301</v>
      </c>
      <c r="L1086" s="51">
        <f t="shared" si="1276"/>
        <v>0.41666666666666607</v>
      </c>
      <c r="M1086" s="52" t="str">
        <f t="shared" si="1277"/>
        <v>1:00</v>
      </c>
      <c r="N1086" s="51">
        <f t="shared" si="1278"/>
        <v>0.37499999999999939</v>
      </c>
      <c r="O1086" s="53" t="str">
        <f t="shared" ref="O1086" si="1331">+O1092</f>
        <v>0-5-2</v>
      </c>
      <c r="P1086" s="54">
        <f>+IF(AND(Y1086="Domingo",U1086=7),_xlfn.XLOOKUP(O1086,'Horarios y Sistemas'!C:C,'Horarios y Sistemas'!H:H,0,0,1),0)</f>
        <v>0</v>
      </c>
      <c r="Q1086" s="54">
        <f>IF(U1086=U1087,0,IF(AVERAGEIF(W:W,W1086,U:U)=U1086,0,_xlfn.XLOOKUP(O1086,'Horarios y Sistemas'!C:C,'Horarios y Sistemas'!H:H,0,0,1)-P1086))/7*U1086</f>
        <v>0</v>
      </c>
      <c r="R1086" s="54">
        <f t="shared" si="1280"/>
        <v>0</v>
      </c>
      <c r="S1086" s="55" t="str">
        <f t="shared" si="1281"/>
        <v>SEPTIEMBRE</v>
      </c>
      <c r="T1086" s="55" t="str">
        <f t="shared" si="1282"/>
        <v>Sem39</v>
      </c>
      <c r="U1086" s="56">
        <f t="shared" si="1263"/>
        <v>7</v>
      </c>
      <c r="V1086" s="57">
        <v>46286</v>
      </c>
      <c r="W1086" s="56">
        <f t="shared" si="1283"/>
        <v>39</v>
      </c>
      <c r="X1086" s="56">
        <f t="shared" si="1284"/>
        <v>21</v>
      </c>
      <c r="Y1086" s="56" t="s">
        <v>28</v>
      </c>
      <c r="Z1086" s="56">
        <v>1</v>
      </c>
      <c r="AA1086" s="58">
        <f t="shared" ref="AA1086:AE1136" si="1332">+IF($I1086=AA$7,1,0)</f>
        <v>0</v>
      </c>
      <c r="AB1086" s="58">
        <f t="shared" si="1332"/>
        <v>1</v>
      </c>
      <c r="AC1086" s="58">
        <f t="shared" si="1332"/>
        <v>0</v>
      </c>
      <c r="AD1086" s="58">
        <f t="shared" si="1332"/>
        <v>0</v>
      </c>
      <c r="AE1086" s="58">
        <f t="shared" si="1332"/>
        <v>0</v>
      </c>
    </row>
    <row r="1087" spans="2:31">
      <c r="B1087" t="str">
        <f t="shared" si="1271"/>
        <v>Sem3939STEFAN GABRIEL ALVARADO DE LA ROSA</v>
      </c>
      <c r="C1087" t="str">
        <f t="shared" si="1272"/>
        <v>SEPTIEMBRESem39</v>
      </c>
      <c r="D1087" t="str">
        <f t="shared" si="1273"/>
        <v>SEPTIEMBRESem39STEFAN GABRIEL ALVARADO DE LA ROSA</v>
      </c>
      <c r="E1087" t="str">
        <f t="shared" si="1274"/>
        <v>SEPTIEMBRESem3939STEFAN GABRIEL ALVARADO DE LA ROSA</v>
      </c>
      <c r="F1087" t="str">
        <f t="shared" si="1275"/>
        <v>STEFAN GABRIEL ALVARADO DE LA ROSA46287</v>
      </c>
      <c r="H1087" s="49" t="s">
        <v>19</v>
      </c>
      <c r="I1087" s="50" t="str">
        <f>+_xlfn.XLOOKUP($H1087&amp;$V1087,BASEDATOS!$B:$B,BASEDATOS!F:F,0,0,1)</f>
        <v>NOCHE</v>
      </c>
      <c r="J1087" s="51">
        <f>+_xlfn.XLOOKUP($H1087&amp;$V1087,BASEDATOS!$B:$B,BASEDATOS!Q:Q,0,0,1)</f>
        <v>0.79166666666666696</v>
      </c>
      <c r="K1087" s="51">
        <f>+_xlfn.XLOOKUP($H1087&amp;$V1087,BASEDATOS!$B:$B,BASEDATOS!R:R,0,0,1)</f>
        <v>0.20833333333333301</v>
      </c>
      <c r="L1087" s="51">
        <f t="shared" si="1276"/>
        <v>0.41666666666666607</v>
      </c>
      <c r="M1087" s="52" t="str">
        <f t="shared" si="1277"/>
        <v>1:00</v>
      </c>
      <c r="N1087" s="51">
        <f t="shared" si="1278"/>
        <v>0.37499999999999939</v>
      </c>
      <c r="O1087" s="53" t="str">
        <f t="shared" ref="O1087" si="1333">+O1092</f>
        <v>0-5-2</v>
      </c>
      <c r="P1087" s="54">
        <f>+IF(AND(Y1087="Domingo",U1087=7),_xlfn.XLOOKUP(O1087,'Horarios y Sistemas'!C:C,'Horarios y Sistemas'!H:H,0,0,1),0)</f>
        <v>0</v>
      </c>
      <c r="Q1087" s="54">
        <f>IF(U1087=U1088,0,IF(AVERAGEIF(W:W,W1087,U:U)=U1087,0,_xlfn.XLOOKUP(O1087,'Horarios y Sistemas'!C:C,'Horarios y Sistemas'!H:H,0,0,1)-P1087))/7*U1087</f>
        <v>0</v>
      </c>
      <c r="R1087" s="54">
        <f t="shared" si="1280"/>
        <v>0</v>
      </c>
      <c r="S1087" s="55" t="str">
        <f t="shared" si="1281"/>
        <v>SEPTIEMBRE</v>
      </c>
      <c r="T1087" s="55" t="str">
        <f t="shared" si="1282"/>
        <v>Sem39</v>
      </c>
      <c r="U1087" s="56">
        <f t="shared" si="1263"/>
        <v>7</v>
      </c>
      <c r="V1087" s="59">
        <v>46287</v>
      </c>
      <c r="W1087" s="56">
        <f t="shared" si="1283"/>
        <v>39</v>
      </c>
      <c r="X1087" s="56">
        <f t="shared" si="1284"/>
        <v>22</v>
      </c>
      <c r="Y1087" s="56" t="s">
        <v>29</v>
      </c>
      <c r="Z1087" s="56">
        <v>2</v>
      </c>
      <c r="AA1087" s="58">
        <f t="shared" si="1332"/>
        <v>0</v>
      </c>
      <c r="AB1087" s="58">
        <f t="shared" si="1332"/>
        <v>1</v>
      </c>
      <c r="AC1087" s="58">
        <f t="shared" si="1332"/>
        <v>0</v>
      </c>
      <c r="AD1087" s="58">
        <f t="shared" si="1332"/>
        <v>0</v>
      </c>
      <c r="AE1087" s="58">
        <f t="shared" si="1332"/>
        <v>0</v>
      </c>
    </row>
    <row r="1088" spans="2:31">
      <c r="B1088" t="str">
        <f t="shared" si="1271"/>
        <v>Sem3939STEFAN GABRIEL ALVARADO DE LA ROSA</v>
      </c>
      <c r="C1088" t="str">
        <f t="shared" si="1272"/>
        <v>SEPTIEMBRESem39</v>
      </c>
      <c r="D1088" t="str">
        <f t="shared" si="1273"/>
        <v>SEPTIEMBRESem39STEFAN GABRIEL ALVARADO DE LA ROSA</v>
      </c>
      <c r="E1088" t="str">
        <f t="shared" si="1274"/>
        <v>SEPTIEMBRESem3939STEFAN GABRIEL ALVARADO DE LA ROSA</v>
      </c>
      <c r="F1088" t="str">
        <f t="shared" si="1275"/>
        <v>STEFAN GABRIEL ALVARADO DE LA ROSA46288</v>
      </c>
      <c r="H1088" s="49" t="s">
        <v>19</v>
      </c>
      <c r="I1088" s="50" t="str">
        <f>+_xlfn.XLOOKUP($H1088&amp;$V1088,BASEDATOS!$B:$B,BASEDATOS!F:F,0,0,1)</f>
        <v>NOCHE</v>
      </c>
      <c r="J1088" s="51">
        <f>+_xlfn.XLOOKUP($H1088&amp;$V1088,BASEDATOS!$B:$B,BASEDATOS!Q:Q,0,0,1)</f>
        <v>0.79166666666666696</v>
      </c>
      <c r="K1088" s="51">
        <f>+_xlfn.XLOOKUP($H1088&amp;$V1088,BASEDATOS!$B:$B,BASEDATOS!R:R,0,0,1)</f>
        <v>0.20833333333333301</v>
      </c>
      <c r="L1088" s="51">
        <f t="shared" si="1276"/>
        <v>0.41666666666666607</v>
      </c>
      <c r="M1088" s="52" t="str">
        <f t="shared" si="1277"/>
        <v>1:00</v>
      </c>
      <c r="N1088" s="51">
        <f t="shared" si="1278"/>
        <v>0.37499999999999939</v>
      </c>
      <c r="O1088" s="53" t="str">
        <f t="shared" ref="O1088" si="1334">+O1092</f>
        <v>0-5-2</v>
      </c>
      <c r="P1088" s="54">
        <f>+IF(AND(Y1088="Domingo",U1088=7),_xlfn.XLOOKUP(O1088,'Horarios y Sistemas'!C:C,'Horarios y Sistemas'!H:H,0,0,1),0)</f>
        <v>0</v>
      </c>
      <c r="Q1088" s="54">
        <f>IF(U1088=U1089,0,IF(AVERAGEIF(W:W,W1088,U:U)=U1088,0,_xlfn.XLOOKUP(O1088,'Horarios y Sistemas'!C:C,'Horarios y Sistemas'!H:H,0,0,1)-P1088))/7*U1088</f>
        <v>0</v>
      </c>
      <c r="R1088" s="54">
        <f t="shared" si="1280"/>
        <v>0</v>
      </c>
      <c r="S1088" s="55" t="str">
        <f t="shared" si="1281"/>
        <v>SEPTIEMBRE</v>
      </c>
      <c r="T1088" s="55" t="str">
        <f t="shared" si="1282"/>
        <v>Sem39</v>
      </c>
      <c r="U1088" s="56">
        <f t="shared" si="1263"/>
        <v>7</v>
      </c>
      <c r="V1088" s="59">
        <v>46288</v>
      </c>
      <c r="W1088" s="56">
        <f t="shared" si="1283"/>
        <v>39</v>
      </c>
      <c r="X1088" s="56">
        <f t="shared" si="1284"/>
        <v>23</v>
      </c>
      <c r="Y1088" s="56" t="s">
        <v>30</v>
      </c>
      <c r="Z1088" s="56">
        <v>3</v>
      </c>
      <c r="AA1088" s="58">
        <f t="shared" si="1332"/>
        <v>0</v>
      </c>
      <c r="AB1088" s="58">
        <f t="shared" si="1332"/>
        <v>1</v>
      </c>
      <c r="AC1088" s="58">
        <f t="shared" si="1332"/>
        <v>0</v>
      </c>
      <c r="AD1088" s="58">
        <f t="shared" si="1332"/>
        <v>0</v>
      </c>
      <c r="AE1088" s="58">
        <f t="shared" si="1332"/>
        <v>0</v>
      </c>
    </row>
    <row r="1089" spans="2:31">
      <c r="B1089" t="str">
        <f t="shared" si="1271"/>
        <v>Sem3939STEFAN GABRIEL ALVARADO DE LA ROSA</v>
      </c>
      <c r="C1089" t="str">
        <f t="shared" si="1272"/>
        <v>SEPTIEMBRESem39</v>
      </c>
      <c r="D1089" t="str">
        <f t="shared" si="1273"/>
        <v>SEPTIEMBRESem39STEFAN GABRIEL ALVARADO DE LA ROSA</v>
      </c>
      <c r="E1089" t="str">
        <f t="shared" si="1274"/>
        <v>SEPTIEMBRESem3939STEFAN GABRIEL ALVARADO DE LA ROSA</v>
      </c>
      <c r="F1089" t="str">
        <f t="shared" si="1275"/>
        <v>STEFAN GABRIEL ALVARADO DE LA ROSA46289</v>
      </c>
      <c r="H1089" s="49" t="s">
        <v>19</v>
      </c>
      <c r="I1089" s="50" t="str">
        <f>+_xlfn.XLOOKUP($H1089&amp;$V1089,BASEDATOS!$B:$B,BASEDATOS!F:F,0,0,1)</f>
        <v>NOCHE</v>
      </c>
      <c r="J1089" s="51">
        <f>+_xlfn.XLOOKUP($H1089&amp;$V1089,BASEDATOS!$B:$B,BASEDATOS!Q:Q,0,0,1)</f>
        <v>0.79166666666666696</v>
      </c>
      <c r="K1089" s="51">
        <f>+_xlfn.XLOOKUP($H1089&amp;$V1089,BASEDATOS!$B:$B,BASEDATOS!R:R,0,0,1)</f>
        <v>0.20833333333333301</v>
      </c>
      <c r="L1089" s="51">
        <f t="shared" si="1276"/>
        <v>0.41666666666666607</v>
      </c>
      <c r="M1089" s="52" t="str">
        <f t="shared" si="1277"/>
        <v>1:00</v>
      </c>
      <c r="N1089" s="51">
        <f t="shared" si="1278"/>
        <v>0.37499999999999939</v>
      </c>
      <c r="O1089" s="53" t="str">
        <f t="shared" ref="O1089" si="1335">+O1092</f>
        <v>0-5-2</v>
      </c>
      <c r="P1089" s="54">
        <f>+IF(AND(Y1089="Domingo",U1089=7),_xlfn.XLOOKUP(O1089,'Horarios y Sistemas'!C:C,'Horarios y Sistemas'!H:H,0,0,1),0)</f>
        <v>0</v>
      </c>
      <c r="Q1089" s="54">
        <f>IF(U1089=U1090,0,IF(AVERAGEIF(W:W,W1089,U:U)=U1089,0,_xlfn.XLOOKUP(O1089,'Horarios y Sistemas'!C:C,'Horarios y Sistemas'!H:H,0,0,1)-P1089))/7*U1089</f>
        <v>0</v>
      </c>
      <c r="R1089" s="54">
        <f t="shared" si="1280"/>
        <v>0</v>
      </c>
      <c r="S1089" s="55" t="str">
        <f t="shared" si="1281"/>
        <v>SEPTIEMBRE</v>
      </c>
      <c r="T1089" s="55" t="str">
        <f t="shared" si="1282"/>
        <v>Sem39</v>
      </c>
      <c r="U1089" s="56">
        <f t="shared" si="1263"/>
        <v>7</v>
      </c>
      <c r="V1089" s="59">
        <v>46289</v>
      </c>
      <c r="W1089" s="56">
        <f t="shared" si="1283"/>
        <v>39</v>
      </c>
      <c r="X1089" s="56">
        <f t="shared" si="1284"/>
        <v>24</v>
      </c>
      <c r="Y1089" s="56" t="s">
        <v>31</v>
      </c>
      <c r="Z1089" s="56">
        <v>4</v>
      </c>
      <c r="AA1089" s="58">
        <f t="shared" si="1332"/>
        <v>0</v>
      </c>
      <c r="AB1089" s="58">
        <f t="shared" si="1332"/>
        <v>1</v>
      </c>
      <c r="AC1089" s="58">
        <f t="shared" si="1332"/>
        <v>0</v>
      </c>
      <c r="AD1089" s="58">
        <f t="shared" si="1332"/>
        <v>0</v>
      </c>
      <c r="AE1089" s="58">
        <f t="shared" si="1332"/>
        <v>0</v>
      </c>
    </row>
    <row r="1090" spans="2:31">
      <c r="B1090" t="str">
        <f t="shared" si="1271"/>
        <v>Sem3939STEFAN GABRIEL ALVARADO DE LA ROSA</v>
      </c>
      <c r="C1090" t="str">
        <f t="shared" si="1272"/>
        <v>SEPTIEMBRESem39</v>
      </c>
      <c r="D1090" t="str">
        <f t="shared" si="1273"/>
        <v>SEPTIEMBRESem39STEFAN GABRIEL ALVARADO DE LA ROSA</v>
      </c>
      <c r="E1090" t="str">
        <f t="shared" si="1274"/>
        <v>SEPTIEMBRESem3939STEFAN GABRIEL ALVARADO DE LA ROSA</v>
      </c>
      <c r="F1090" t="str">
        <f t="shared" si="1275"/>
        <v>STEFAN GABRIEL ALVARADO DE LA ROSA46290</v>
      </c>
      <c r="H1090" s="49" t="s">
        <v>19</v>
      </c>
      <c r="I1090" s="50" t="str">
        <f>+_xlfn.XLOOKUP($H1090&amp;$V1090,BASEDATOS!$B:$B,BASEDATOS!F:F,0,0,1)</f>
        <v>NOCHE</v>
      </c>
      <c r="J1090" s="51">
        <f>+_xlfn.XLOOKUP($H1090&amp;$V1090,BASEDATOS!$B:$B,BASEDATOS!Q:Q,0,0,1)</f>
        <v>0.79166666666666696</v>
      </c>
      <c r="K1090" s="51">
        <f>+_xlfn.XLOOKUP($H1090&amp;$V1090,BASEDATOS!$B:$B,BASEDATOS!R:R,0,0,1)</f>
        <v>0.20833333333333301</v>
      </c>
      <c r="L1090" s="51">
        <f t="shared" si="1276"/>
        <v>0.41666666666666607</v>
      </c>
      <c r="M1090" s="52" t="str">
        <f t="shared" si="1277"/>
        <v>1:00</v>
      </c>
      <c r="N1090" s="51">
        <f t="shared" si="1278"/>
        <v>0.37499999999999939</v>
      </c>
      <c r="O1090" s="53" t="str">
        <f t="shared" ref="O1090" si="1336">+O1092</f>
        <v>0-5-2</v>
      </c>
      <c r="P1090" s="54">
        <f>+IF(AND(Y1090="Domingo",U1090=7),_xlfn.XLOOKUP(O1090,'Horarios y Sistemas'!C:C,'Horarios y Sistemas'!H:H,0,0,1),0)</f>
        <v>0</v>
      </c>
      <c r="Q1090" s="54">
        <f>IF(U1090=U1091,0,IF(AVERAGEIF(W:W,W1090,U:U)=U1090,0,_xlfn.XLOOKUP(O1090,'Horarios y Sistemas'!C:C,'Horarios y Sistemas'!H:H,0,0,1)-P1090))/7*U1090</f>
        <v>0</v>
      </c>
      <c r="R1090" s="54">
        <f t="shared" si="1280"/>
        <v>0</v>
      </c>
      <c r="S1090" s="55" t="str">
        <f t="shared" si="1281"/>
        <v>SEPTIEMBRE</v>
      </c>
      <c r="T1090" s="55" t="str">
        <f t="shared" si="1282"/>
        <v>Sem39</v>
      </c>
      <c r="U1090" s="56">
        <f t="shared" si="1263"/>
        <v>7</v>
      </c>
      <c r="V1090" s="59">
        <v>46290</v>
      </c>
      <c r="W1090" s="56">
        <f t="shared" si="1283"/>
        <v>39</v>
      </c>
      <c r="X1090" s="56">
        <f t="shared" si="1284"/>
        <v>25</v>
      </c>
      <c r="Y1090" s="56" t="s">
        <v>32</v>
      </c>
      <c r="Z1090" s="56">
        <v>5</v>
      </c>
      <c r="AA1090" s="58">
        <f t="shared" si="1332"/>
        <v>0</v>
      </c>
      <c r="AB1090" s="58">
        <f t="shared" si="1332"/>
        <v>1</v>
      </c>
      <c r="AC1090" s="58">
        <f t="shared" si="1332"/>
        <v>0</v>
      </c>
      <c r="AD1090" s="58">
        <f t="shared" si="1332"/>
        <v>0</v>
      </c>
      <c r="AE1090" s="58">
        <f t="shared" si="1332"/>
        <v>0</v>
      </c>
    </row>
    <row r="1091" spans="2:31">
      <c r="B1091" t="str">
        <f t="shared" si="1271"/>
        <v>Sem3939STEFAN GABRIEL ALVARADO DE LA ROSA</v>
      </c>
      <c r="C1091" t="str">
        <f t="shared" si="1272"/>
        <v>SEPTIEMBRESem39</v>
      </c>
      <c r="D1091" t="str">
        <f t="shared" si="1273"/>
        <v>SEPTIEMBRESem39STEFAN GABRIEL ALVARADO DE LA ROSA</v>
      </c>
      <c r="E1091" t="str">
        <f t="shared" si="1274"/>
        <v>SEPTIEMBRESem3939STEFAN GABRIEL ALVARADO DE LA ROSA</v>
      </c>
      <c r="F1091" t="str">
        <f t="shared" si="1275"/>
        <v>STEFAN GABRIEL ALVARADO DE LA ROSA46291</v>
      </c>
      <c r="H1091" s="49" t="s">
        <v>19</v>
      </c>
      <c r="I1091" s="50" t="str">
        <f>+_xlfn.XLOOKUP($H1091&amp;$V1091,BASEDATOS!$B:$B,BASEDATOS!F:F,0,0,1)</f>
        <v>DESCANSO</v>
      </c>
      <c r="J1091" s="51">
        <f>+_xlfn.XLOOKUP($H1091&amp;$V1091,BASEDATOS!$B:$B,BASEDATOS!Q:Q,0,0,1)</f>
        <v>0</v>
      </c>
      <c r="K1091" s="51">
        <f>+_xlfn.XLOOKUP($H1091&amp;$V1091,BASEDATOS!$B:$B,BASEDATOS!R:R,0,0,1)</f>
        <v>0</v>
      </c>
      <c r="L1091" s="51">
        <f t="shared" si="1276"/>
        <v>0</v>
      </c>
      <c r="M1091" s="52">
        <f t="shared" si="1277"/>
        <v>0</v>
      </c>
      <c r="N1091" s="51">
        <f t="shared" si="1278"/>
        <v>0</v>
      </c>
      <c r="O1091" s="53" t="str">
        <f t="shared" ref="O1091" si="1337">+O1092</f>
        <v>0-5-2</v>
      </c>
      <c r="P1091" s="54">
        <f>+IF(AND(Y1091="Domingo",U1091=7),_xlfn.XLOOKUP(O1091,'Horarios y Sistemas'!C:C,'Horarios y Sistemas'!H:H,0,0,1),0)</f>
        <v>0</v>
      </c>
      <c r="Q1091" s="54">
        <f>IF(U1091=U1092,0,IF(AVERAGEIF(W:W,W1091,U:U)=U1091,0,_xlfn.XLOOKUP(O1091,'Horarios y Sistemas'!C:C,'Horarios y Sistemas'!H:H,0,0,1)-P1091))/7*U1091</f>
        <v>0</v>
      </c>
      <c r="R1091" s="54">
        <f t="shared" si="1280"/>
        <v>0</v>
      </c>
      <c r="S1091" s="55" t="str">
        <f t="shared" si="1281"/>
        <v>SEPTIEMBRE</v>
      </c>
      <c r="T1091" s="55" t="str">
        <f t="shared" si="1282"/>
        <v>Sem39</v>
      </c>
      <c r="U1091" s="56">
        <f t="shared" si="1263"/>
        <v>7</v>
      </c>
      <c r="V1091" s="59">
        <v>46291</v>
      </c>
      <c r="W1091" s="56">
        <f t="shared" si="1283"/>
        <v>39</v>
      </c>
      <c r="X1091" s="56">
        <f t="shared" si="1284"/>
        <v>26</v>
      </c>
      <c r="Y1091" s="56" t="s">
        <v>33</v>
      </c>
      <c r="Z1091" s="56">
        <v>6</v>
      </c>
      <c r="AA1091" s="58">
        <f t="shared" si="1332"/>
        <v>0</v>
      </c>
      <c r="AB1091" s="58">
        <f t="shared" si="1332"/>
        <v>0</v>
      </c>
      <c r="AC1091" s="58">
        <f t="shared" si="1332"/>
        <v>1</v>
      </c>
      <c r="AD1091" s="58">
        <f t="shared" si="1332"/>
        <v>0</v>
      </c>
      <c r="AE1091" s="58">
        <f t="shared" si="1332"/>
        <v>0</v>
      </c>
    </row>
    <row r="1092" spans="2:31">
      <c r="B1092" s="60" t="str">
        <f t="shared" si="1271"/>
        <v>Sem3939STEFAN GABRIEL ALVARADO DE LA ROSA</v>
      </c>
      <c r="C1092" s="60" t="str">
        <f t="shared" si="1272"/>
        <v>SEPTIEMBRESem39</v>
      </c>
      <c r="D1092" s="60" t="str">
        <f t="shared" si="1273"/>
        <v>SEPTIEMBRESem39STEFAN GABRIEL ALVARADO DE LA ROSA</v>
      </c>
      <c r="E1092" s="60" t="str">
        <f t="shared" si="1274"/>
        <v>SEPTIEMBRESem3939STEFAN GABRIEL ALVARADO DE LA ROSA</v>
      </c>
      <c r="F1092" s="60" t="str">
        <f t="shared" si="1275"/>
        <v>STEFAN GABRIEL ALVARADO DE LA ROSA46292</v>
      </c>
      <c r="G1092" s="60"/>
      <c r="H1092" s="61" t="s">
        <v>19</v>
      </c>
      <c r="I1092" s="62" t="str">
        <f>+_xlfn.XLOOKUP($H1092&amp;$V1092,BASEDATOS!$B:$B,BASEDATOS!F:F,0,0,1)</f>
        <v>DESCANSO</v>
      </c>
      <c r="J1092" s="63">
        <f>+_xlfn.XLOOKUP($H1092&amp;$V1092,BASEDATOS!$B:$B,BASEDATOS!Q:Q,0,0,1)</f>
        <v>0</v>
      </c>
      <c r="K1092" s="63">
        <f>+_xlfn.XLOOKUP($H1092&amp;$V1092,BASEDATOS!$B:$B,BASEDATOS!R:R,0,0,1)</f>
        <v>0</v>
      </c>
      <c r="L1092" s="63">
        <f t="shared" si="1276"/>
        <v>0</v>
      </c>
      <c r="M1092" s="64">
        <f t="shared" si="1277"/>
        <v>0</v>
      </c>
      <c r="N1092" s="63">
        <f t="shared" si="1278"/>
        <v>0</v>
      </c>
      <c r="O1092" s="65" t="str">
        <f t="shared" ref="O1092" si="1338">+IF(Y1092="Domingo",SUM(AA1086:AA1092)&amp;"-"&amp;SUM(AB1086:AB1092)&amp;"-"&amp;SUM(AC1086:AE1092),"")</f>
        <v>0-5-2</v>
      </c>
      <c r="P1092" s="66">
        <f>+IF(AND(Y1092="Domingo",U1092=7),_xlfn.XLOOKUP(O1092,'Horarios y Sistemas'!C:C,'Horarios y Sistemas'!H:H,0,0,1),0)</f>
        <v>36</v>
      </c>
      <c r="Q1092" s="66">
        <f>IF(U1092=U1093,0,IF(AVERAGEIF(W:W,W1092,U:U)=U1092,0,_xlfn.XLOOKUP(O1092,'Horarios y Sistemas'!C:C,'Horarios y Sistemas'!H:H,0,0,1)-P1092))/7*U1092</f>
        <v>0</v>
      </c>
      <c r="R1092" s="66">
        <f t="shared" si="1280"/>
        <v>36</v>
      </c>
      <c r="S1092" s="67" t="str">
        <f t="shared" si="1281"/>
        <v>SEPTIEMBRE</v>
      </c>
      <c r="T1092" s="55" t="str">
        <f t="shared" si="1282"/>
        <v>Sem39</v>
      </c>
      <c r="U1092" s="68">
        <f t="shared" si="1263"/>
        <v>7</v>
      </c>
      <c r="V1092" s="69">
        <v>46292</v>
      </c>
      <c r="W1092" s="68">
        <f t="shared" si="1283"/>
        <v>39</v>
      </c>
      <c r="X1092" s="68">
        <f t="shared" si="1284"/>
        <v>27</v>
      </c>
      <c r="Y1092" s="68" t="s">
        <v>34</v>
      </c>
      <c r="Z1092" s="68">
        <v>7</v>
      </c>
      <c r="AA1092" s="70">
        <f t="shared" si="1332"/>
        <v>0</v>
      </c>
      <c r="AB1092" s="70">
        <f t="shared" si="1332"/>
        <v>0</v>
      </c>
      <c r="AC1092" s="70">
        <f t="shared" si="1332"/>
        <v>1</v>
      </c>
      <c r="AD1092" s="70">
        <f t="shared" si="1332"/>
        <v>0</v>
      </c>
      <c r="AE1092" s="70">
        <f t="shared" si="1332"/>
        <v>0</v>
      </c>
    </row>
    <row r="1093" spans="2:31">
      <c r="B1093" t="str">
        <f t="shared" si="1271"/>
        <v>Sem4040STEFAN GABRIEL ALVARADO DE LA ROSA</v>
      </c>
      <c r="C1093" t="str">
        <f t="shared" si="1272"/>
        <v>SEPTIEMBRESem40</v>
      </c>
      <c r="D1093" t="str">
        <f t="shared" si="1273"/>
        <v>SEPTIEMBRESem40STEFAN GABRIEL ALVARADO DE LA ROSA</v>
      </c>
      <c r="E1093" t="str">
        <f t="shared" si="1274"/>
        <v>SEPTIEMBRESem4040STEFAN GABRIEL ALVARADO DE LA ROSA</v>
      </c>
      <c r="F1093" t="str">
        <f t="shared" si="1275"/>
        <v>STEFAN GABRIEL ALVARADO DE LA ROSA46293</v>
      </c>
      <c r="H1093" s="49" t="s">
        <v>19</v>
      </c>
      <c r="I1093" s="50" t="str">
        <f>+_xlfn.XLOOKUP($H1093&amp;$V1093,BASEDATOS!$B:$B,BASEDATOS!F:F,0,0,1)</f>
        <v>DIA</v>
      </c>
      <c r="J1093" s="51">
        <f>+_xlfn.XLOOKUP($H1093&amp;$V1093,BASEDATOS!$B:$B,BASEDATOS!Q:Q,0,0,1)</f>
        <v>0.29166666666666702</v>
      </c>
      <c r="K1093" s="51">
        <f>+_xlfn.XLOOKUP($H1093&amp;$V1093,BASEDATOS!$B:$B,BASEDATOS!R:R,0,0,1)</f>
        <v>0.66666666666666696</v>
      </c>
      <c r="L1093" s="51">
        <f t="shared" si="1276"/>
        <v>0.37499999999999994</v>
      </c>
      <c r="M1093" s="52" t="str">
        <f t="shared" si="1277"/>
        <v>1:00</v>
      </c>
      <c r="N1093" s="51">
        <f t="shared" si="1278"/>
        <v>0.33333333333333326</v>
      </c>
      <c r="O1093" s="53" t="str">
        <f t="shared" ref="O1093" si="1339">+O1099</f>
        <v>2-3-2</v>
      </c>
      <c r="P1093" s="54">
        <f>+IF(AND(Y1093="Domingo",U1093=7),_xlfn.XLOOKUP(O1093,'Horarios y Sistemas'!C:C,'Horarios y Sistemas'!H:H,0,0,1),0)</f>
        <v>0</v>
      </c>
      <c r="Q1093" s="54">
        <f>IF(U1093=U1094,0,IF(AVERAGEIF(W:W,W1093,U:U)=U1093,0,_xlfn.XLOOKUP(O1093,'Horarios y Sistemas'!C:C,'Horarios y Sistemas'!H:H,0,0,1)-P1093))/7*U1093</f>
        <v>0</v>
      </c>
      <c r="R1093" s="54">
        <f t="shared" si="1280"/>
        <v>0</v>
      </c>
      <c r="S1093" s="55" t="str">
        <f t="shared" si="1281"/>
        <v>SEPTIEMBRE</v>
      </c>
      <c r="T1093" s="55" t="str">
        <f t="shared" si="1282"/>
        <v>Sem40</v>
      </c>
      <c r="U1093" s="56">
        <f t="shared" si="1263"/>
        <v>7</v>
      </c>
      <c r="V1093" s="59">
        <v>46293</v>
      </c>
      <c r="W1093" s="56">
        <f t="shared" si="1283"/>
        <v>40</v>
      </c>
      <c r="X1093" s="56">
        <f t="shared" si="1284"/>
        <v>28</v>
      </c>
      <c r="Y1093" s="56" t="s">
        <v>28</v>
      </c>
      <c r="Z1093" s="56">
        <v>1</v>
      </c>
      <c r="AA1093" s="58">
        <f t="shared" si="1332"/>
        <v>1</v>
      </c>
      <c r="AB1093" s="58">
        <f t="shared" si="1332"/>
        <v>0</v>
      </c>
      <c r="AC1093" s="58">
        <f t="shared" si="1332"/>
        <v>0</v>
      </c>
      <c r="AD1093" s="58">
        <f t="shared" si="1332"/>
        <v>0</v>
      </c>
      <c r="AE1093" s="58">
        <f t="shared" si="1332"/>
        <v>0</v>
      </c>
    </row>
    <row r="1094" spans="2:31">
      <c r="B1094" t="str">
        <f t="shared" si="1271"/>
        <v>Sem4040STEFAN GABRIEL ALVARADO DE LA ROSA</v>
      </c>
      <c r="C1094" t="str">
        <f t="shared" si="1272"/>
        <v>SEPTIEMBRESem40</v>
      </c>
      <c r="D1094" t="str">
        <f t="shared" si="1273"/>
        <v>SEPTIEMBRESem40STEFAN GABRIEL ALVARADO DE LA ROSA</v>
      </c>
      <c r="E1094" t="str">
        <f t="shared" si="1274"/>
        <v>SEPTIEMBRESem4040STEFAN GABRIEL ALVARADO DE LA ROSA</v>
      </c>
      <c r="F1094" t="str">
        <f t="shared" si="1275"/>
        <v>STEFAN GABRIEL ALVARADO DE LA ROSA46294</v>
      </c>
      <c r="H1094" s="49" t="s">
        <v>19</v>
      </c>
      <c r="I1094" s="50" t="str">
        <f>+_xlfn.XLOOKUP($H1094&amp;$V1094,BASEDATOS!$B:$B,BASEDATOS!F:F,0,0,1)</f>
        <v>DIA</v>
      </c>
      <c r="J1094" s="51">
        <f>+_xlfn.XLOOKUP($H1094&amp;$V1094,BASEDATOS!$B:$B,BASEDATOS!Q:Q,0,0,1)</f>
        <v>0.29166666666666702</v>
      </c>
      <c r="K1094" s="51">
        <f>+_xlfn.XLOOKUP($H1094&amp;$V1094,BASEDATOS!$B:$B,BASEDATOS!R:R,0,0,1)</f>
        <v>0.66666666666666696</v>
      </c>
      <c r="L1094" s="51">
        <f t="shared" si="1276"/>
        <v>0.37499999999999994</v>
      </c>
      <c r="M1094" s="52" t="str">
        <f t="shared" si="1277"/>
        <v>1:00</v>
      </c>
      <c r="N1094" s="51">
        <f t="shared" si="1278"/>
        <v>0.33333333333333326</v>
      </c>
      <c r="O1094" s="53" t="str">
        <f t="shared" ref="O1094" si="1340">+O1099</f>
        <v>2-3-2</v>
      </c>
      <c r="P1094" s="54">
        <f>+IF(AND(Y1094="Domingo",U1094=7),_xlfn.XLOOKUP(O1094,'Horarios y Sistemas'!C:C,'Horarios y Sistemas'!H:H,0,0,1),0)</f>
        <v>0</v>
      </c>
      <c r="Q1094" s="54">
        <f>IF(U1094=U1095,0,IF(AVERAGEIF(W:W,W1094,U:U)=U1094,0,_xlfn.XLOOKUP(O1094,'Horarios y Sistemas'!C:C,'Horarios y Sistemas'!H:H,0,0,1)-P1094))/7*U1094</f>
        <v>0</v>
      </c>
      <c r="R1094" s="54">
        <f t="shared" si="1280"/>
        <v>0</v>
      </c>
      <c r="S1094" s="55" t="str">
        <f t="shared" si="1281"/>
        <v>SEPTIEMBRE</v>
      </c>
      <c r="T1094" s="55" t="str">
        <f t="shared" si="1282"/>
        <v>Sem40</v>
      </c>
      <c r="U1094" s="56">
        <f t="shared" si="1263"/>
        <v>7</v>
      </c>
      <c r="V1094" s="59">
        <v>46294</v>
      </c>
      <c r="W1094" s="56">
        <f t="shared" si="1283"/>
        <v>40</v>
      </c>
      <c r="X1094" s="56">
        <f t="shared" si="1284"/>
        <v>29</v>
      </c>
      <c r="Y1094" s="56" t="s">
        <v>29</v>
      </c>
      <c r="Z1094" s="56">
        <v>2</v>
      </c>
      <c r="AA1094" s="58">
        <f t="shared" si="1332"/>
        <v>1</v>
      </c>
      <c r="AB1094" s="58">
        <f t="shared" si="1332"/>
        <v>0</v>
      </c>
      <c r="AC1094" s="58">
        <f t="shared" si="1332"/>
        <v>0</v>
      </c>
      <c r="AD1094" s="58">
        <f t="shared" si="1332"/>
        <v>0</v>
      </c>
      <c r="AE1094" s="58">
        <f t="shared" si="1332"/>
        <v>0</v>
      </c>
    </row>
    <row r="1095" spans="2:31">
      <c r="B1095" t="str">
        <f t="shared" si="1271"/>
        <v>Sem4040STEFAN GABRIEL ALVARADO DE LA ROSA</v>
      </c>
      <c r="C1095" t="str">
        <f t="shared" si="1272"/>
        <v>SEPTIEMBRESem40</v>
      </c>
      <c r="D1095" t="str">
        <f t="shared" si="1273"/>
        <v>SEPTIEMBRESem40STEFAN GABRIEL ALVARADO DE LA ROSA</v>
      </c>
      <c r="E1095" t="str">
        <f t="shared" si="1274"/>
        <v>SEPTIEMBRESem4040STEFAN GABRIEL ALVARADO DE LA ROSA</v>
      </c>
      <c r="F1095" t="str">
        <f t="shared" si="1275"/>
        <v>STEFAN GABRIEL ALVARADO DE LA ROSA46295</v>
      </c>
      <c r="H1095" s="49" t="s">
        <v>19</v>
      </c>
      <c r="I1095" s="50" t="str">
        <f>+_xlfn.XLOOKUP($H1095&amp;$V1095,BASEDATOS!$B:$B,BASEDATOS!F:F,0,0,1)</f>
        <v>NOCHE</v>
      </c>
      <c r="J1095" s="51">
        <f>+_xlfn.XLOOKUP($H1095&amp;$V1095,BASEDATOS!$B:$B,BASEDATOS!Q:Q,0,0,1)</f>
        <v>0.79166666666666696</v>
      </c>
      <c r="K1095" s="51">
        <f>+_xlfn.XLOOKUP($H1095&amp;$V1095,BASEDATOS!$B:$B,BASEDATOS!R:R,0,0,1)</f>
        <v>0.20833333333333301</v>
      </c>
      <c r="L1095" s="51">
        <f t="shared" si="1276"/>
        <v>0.41666666666666607</v>
      </c>
      <c r="M1095" s="52" t="str">
        <f t="shared" si="1277"/>
        <v>1:00</v>
      </c>
      <c r="N1095" s="51">
        <f t="shared" si="1278"/>
        <v>0.37499999999999939</v>
      </c>
      <c r="O1095" s="53" t="str">
        <f t="shared" ref="O1095" si="1341">+O1099</f>
        <v>2-3-2</v>
      </c>
      <c r="P1095" s="54">
        <f>+IF(AND(Y1095="Domingo",U1095=7),_xlfn.XLOOKUP(O1095,'Horarios y Sistemas'!C:C,'Horarios y Sistemas'!H:H,0,0,1),0)</f>
        <v>0</v>
      </c>
      <c r="Q1095" s="54">
        <f>IF(U1095=U1096,0,IF(AVERAGEIF(W:W,W1095,U:U)=U1095,0,_xlfn.XLOOKUP(O1095,'Horarios y Sistemas'!C:C,'Horarios y Sistemas'!H:H,0,0,1)-P1095))/7*U1095</f>
        <v>0</v>
      </c>
      <c r="R1095" s="54">
        <f t="shared" si="1280"/>
        <v>0</v>
      </c>
      <c r="S1095" s="55" t="str">
        <f t="shared" si="1281"/>
        <v>SEPTIEMBRE</v>
      </c>
      <c r="T1095" s="55" t="str">
        <f t="shared" si="1282"/>
        <v>Sem40</v>
      </c>
      <c r="U1095" s="56">
        <f t="shared" si="1263"/>
        <v>7</v>
      </c>
      <c r="V1095" s="59">
        <v>46295</v>
      </c>
      <c r="W1095" s="56">
        <f t="shared" si="1283"/>
        <v>40</v>
      </c>
      <c r="X1095" s="56">
        <f t="shared" si="1284"/>
        <v>30</v>
      </c>
      <c r="Y1095" s="56" t="s">
        <v>30</v>
      </c>
      <c r="Z1095" s="56">
        <v>3</v>
      </c>
      <c r="AA1095" s="58">
        <f t="shared" si="1332"/>
        <v>0</v>
      </c>
      <c r="AB1095" s="58">
        <f t="shared" si="1332"/>
        <v>1</v>
      </c>
      <c r="AC1095" s="58">
        <f t="shared" si="1332"/>
        <v>0</v>
      </c>
      <c r="AD1095" s="58">
        <f t="shared" si="1332"/>
        <v>0</v>
      </c>
      <c r="AE1095" s="58">
        <f t="shared" si="1332"/>
        <v>0</v>
      </c>
    </row>
    <row r="1096" spans="2:31">
      <c r="B1096" t="str">
        <f t="shared" si="1271"/>
        <v>Sem4040STEFAN GABRIEL ALVARADO DE LA ROSA</v>
      </c>
      <c r="C1096" t="str">
        <f t="shared" si="1272"/>
        <v>OCTUBRESem40</v>
      </c>
      <c r="D1096" t="str">
        <f t="shared" si="1273"/>
        <v>OCTUBRESem40STEFAN GABRIEL ALVARADO DE LA ROSA</v>
      </c>
      <c r="E1096" t="str">
        <f t="shared" si="1274"/>
        <v>OCTUBRESem4040STEFAN GABRIEL ALVARADO DE LA ROSA</v>
      </c>
      <c r="F1096" t="str">
        <f t="shared" si="1275"/>
        <v>STEFAN GABRIEL ALVARADO DE LA ROSA46296</v>
      </c>
      <c r="H1096" s="49" t="s">
        <v>19</v>
      </c>
      <c r="I1096" s="50" t="str">
        <f>+_xlfn.XLOOKUP($H1096&amp;$V1096,BASEDATOS!$B:$B,BASEDATOS!F:F,0,0,1)</f>
        <v>NOCHE</v>
      </c>
      <c r="J1096" s="51">
        <f>+_xlfn.XLOOKUP($H1096&amp;$V1096,BASEDATOS!$B:$B,BASEDATOS!Q:Q,0,0,1)</f>
        <v>0.79166666666666696</v>
      </c>
      <c r="K1096" s="51">
        <f>+_xlfn.XLOOKUP($H1096&amp;$V1096,BASEDATOS!$B:$B,BASEDATOS!R:R,0,0,1)</f>
        <v>0.20833333333333301</v>
      </c>
      <c r="L1096" s="51">
        <f t="shared" si="1276"/>
        <v>0.41666666666666607</v>
      </c>
      <c r="M1096" s="52" t="str">
        <f t="shared" si="1277"/>
        <v>1:00</v>
      </c>
      <c r="N1096" s="51">
        <f t="shared" si="1278"/>
        <v>0.37499999999999939</v>
      </c>
      <c r="O1096" s="53" t="str">
        <f t="shared" ref="O1096" si="1342">+O1099</f>
        <v>2-3-2</v>
      </c>
      <c r="P1096" s="54">
        <f>+IF(AND(Y1096="Domingo",U1096=7),_xlfn.XLOOKUP(O1096,'Horarios y Sistemas'!C:C,'Horarios y Sistemas'!H:H,0,0,1),0)</f>
        <v>0</v>
      </c>
      <c r="Q1096" s="54">
        <f>IF(U1096=U1097,0,IF(AVERAGEIF(W:W,W1096,U:U)=U1096,0,_xlfn.XLOOKUP(O1096,'Horarios y Sistemas'!C:C,'Horarios y Sistemas'!H:H,0,0,1)-P1096))/7*U1096</f>
        <v>0</v>
      </c>
      <c r="R1096" s="54">
        <f t="shared" si="1280"/>
        <v>0</v>
      </c>
      <c r="S1096" s="55" t="str">
        <f t="shared" si="1281"/>
        <v>OCTUBRE</v>
      </c>
      <c r="T1096" s="55" t="str">
        <f t="shared" si="1282"/>
        <v>Sem40</v>
      </c>
      <c r="U1096" s="56">
        <f t="shared" ref="U1096:U1159" si="1343">+COUNTIF(B:B,B1096)</f>
        <v>7</v>
      </c>
      <c r="V1096" s="59">
        <v>46296</v>
      </c>
      <c r="W1096" s="56">
        <f t="shared" si="1283"/>
        <v>40</v>
      </c>
      <c r="X1096" s="56">
        <f t="shared" si="1284"/>
        <v>1</v>
      </c>
      <c r="Y1096" s="56" t="s">
        <v>31</v>
      </c>
      <c r="Z1096" s="56">
        <v>4</v>
      </c>
      <c r="AA1096" s="58">
        <f t="shared" si="1332"/>
        <v>0</v>
      </c>
      <c r="AB1096" s="58">
        <f t="shared" si="1332"/>
        <v>1</v>
      </c>
      <c r="AC1096" s="58">
        <f t="shared" si="1332"/>
        <v>0</v>
      </c>
      <c r="AD1096" s="58">
        <f t="shared" si="1332"/>
        <v>0</v>
      </c>
      <c r="AE1096" s="58">
        <f t="shared" si="1332"/>
        <v>0</v>
      </c>
    </row>
    <row r="1097" spans="2:31">
      <c r="B1097" t="str">
        <f t="shared" si="1271"/>
        <v>Sem4040STEFAN GABRIEL ALVARADO DE LA ROSA</v>
      </c>
      <c r="C1097" t="str">
        <f t="shared" si="1272"/>
        <v>OCTUBRESem40</v>
      </c>
      <c r="D1097" t="str">
        <f t="shared" si="1273"/>
        <v>OCTUBRESem40STEFAN GABRIEL ALVARADO DE LA ROSA</v>
      </c>
      <c r="E1097" t="str">
        <f t="shared" si="1274"/>
        <v>OCTUBRESem4040STEFAN GABRIEL ALVARADO DE LA ROSA</v>
      </c>
      <c r="F1097" t="str">
        <f t="shared" si="1275"/>
        <v>STEFAN GABRIEL ALVARADO DE LA ROSA46297</v>
      </c>
      <c r="H1097" s="49" t="s">
        <v>19</v>
      </c>
      <c r="I1097" s="50" t="str">
        <f>+_xlfn.XLOOKUP($H1097&amp;$V1097,BASEDATOS!$B:$B,BASEDATOS!F:F,0,0,1)</f>
        <v>NOCHE</v>
      </c>
      <c r="J1097" s="51">
        <f>+_xlfn.XLOOKUP($H1097&amp;$V1097,BASEDATOS!$B:$B,BASEDATOS!Q:Q,0,0,1)</f>
        <v>0.79166666666666696</v>
      </c>
      <c r="K1097" s="51">
        <f>+_xlfn.XLOOKUP($H1097&amp;$V1097,BASEDATOS!$B:$B,BASEDATOS!R:R,0,0,1)</f>
        <v>0.20833333333333301</v>
      </c>
      <c r="L1097" s="51">
        <f t="shared" si="1276"/>
        <v>0.41666666666666607</v>
      </c>
      <c r="M1097" s="52" t="str">
        <f t="shared" si="1277"/>
        <v>1:00</v>
      </c>
      <c r="N1097" s="51">
        <f t="shared" si="1278"/>
        <v>0.37499999999999939</v>
      </c>
      <c r="O1097" s="53" t="str">
        <f t="shared" ref="O1097" si="1344">+O1099</f>
        <v>2-3-2</v>
      </c>
      <c r="P1097" s="54">
        <f>+IF(AND(Y1097="Domingo",U1097=7),_xlfn.XLOOKUP(O1097,'Horarios y Sistemas'!C:C,'Horarios y Sistemas'!H:H,0,0,1),0)</f>
        <v>0</v>
      </c>
      <c r="Q1097" s="54">
        <f>IF(U1097=U1098,0,IF(AVERAGEIF(W:W,W1097,U:U)=U1097,0,_xlfn.XLOOKUP(O1097,'Horarios y Sistemas'!C:C,'Horarios y Sistemas'!H:H,0,0,1)-P1097))/7*U1097</f>
        <v>0</v>
      </c>
      <c r="R1097" s="54">
        <f t="shared" si="1280"/>
        <v>0</v>
      </c>
      <c r="S1097" s="55" t="str">
        <f t="shared" si="1281"/>
        <v>OCTUBRE</v>
      </c>
      <c r="T1097" s="55" t="str">
        <f t="shared" si="1282"/>
        <v>Sem40</v>
      </c>
      <c r="U1097" s="56">
        <f t="shared" si="1343"/>
        <v>7</v>
      </c>
      <c r="V1097" s="59">
        <v>46297</v>
      </c>
      <c r="W1097" s="56">
        <f t="shared" si="1283"/>
        <v>40</v>
      </c>
      <c r="X1097" s="56">
        <f t="shared" si="1284"/>
        <v>2</v>
      </c>
      <c r="Y1097" s="56" t="s">
        <v>32</v>
      </c>
      <c r="Z1097" s="56">
        <v>5</v>
      </c>
      <c r="AA1097" s="58">
        <f t="shared" si="1332"/>
        <v>0</v>
      </c>
      <c r="AB1097" s="58">
        <f t="shared" si="1332"/>
        <v>1</v>
      </c>
      <c r="AC1097" s="58">
        <f t="shared" si="1332"/>
        <v>0</v>
      </c>
      <c r="AD1097" s="58">
        <f t="shared" si="1332"/>
        <v>0</v>
      </c>
      <c r="AE1097" s="58">
        <f t="shared" si="1332"/>
        <v>0</v>
      </c>
    </row>
    <row r="1098" spans="2:31">
      <c r="B1098" t="str">
        <f t="shared" si="1271"/>
        <v>Sem4040STEFAN GABRIEL ALVARADO DE LA ROSA</v>
      </c>
      <c r="C1098" t="str">
        <f t="shared" si="1272"/>
        <v>OCTUBRESem40</v>
      </c>
      <c r="D1098" t="str">
        <f t="shared" si="1273"/>
        <v>OCTUBRESem40STEFAN GABRIEL ALVARADO DE LA ROSA</v>
      </c>
      <c r="E1098" t="str">
        <f t="shared" si="1274"/>
        <v>OCTUBRESem4040STEFAN GABRIEL ALVARADO DE LA ROSA</v>
      </c>
      <c r="F1098" t="str">
        <f t="shared" si="1275"/>
        <v>STEFAN GABRIEL ALVARADO DE LA ROSA46298</v>
      </c>
      <c r="H1098" s="49" t="s">
        <v>19</v>
      </c>
      <c r="I1098" s="50" t="str">
        <f>+_xlfn.XLOOKUP($H1098&amp;$V1098,BASEDATOS!$B:$B,BASEDATOS!F:F,0,0,1)</f>
        <v>DESCANSO</v>
      </c>
      <c r="J1098" s="51">
        <f>+_xlfn.XLOOKUP($H1098&amp;$V1098,BASEDATOS!$B:$B,BASEDATOS!Q:Q,0,0,1)</f>
        <v>0</v>
      </c>
      <c r="K1098" s="51">
        <f>+_xlfn.XLOOKUP($H1098&amp;$V1098,BASEDATOS!$B:$B,BASEDATOS!R:R,0,0,1)</f>
        <v>0</v>
      </c>
      <c r="L1098" s="51">
        <f t="shared" si="1276"/>
        <v>0</v>
      </c>
      <c r="M1098" s="52">
        <f t="shared" si="1277"/>
        <v>0</v>
      </c>
      <c r="N1098" s="51">
        <f t="shared" si="1278"/>
        <v>0</v>
      </c>
      <c r="O1098" s="53" t="str">
        <f t="shared" ref="O1098" si="1345">+O1099</f>
        <v>2-3-2</v>
      </c>
      <c r="P1098" s="54">
        <f>+IF(AND(Y1098="Domingo",U1098=7),_xlfn.XLOOKUP(O1098,'Horarios y Sistemas'!C:C,'Horarios y Sistemas'!H:H,0,0,1),0)</f>
        <v>0</v>
      </c>
      <c r="Q1098" s="54">
        <f>IF(U1098=U1099,0,IF(AVERAGEIF(W:W,W1098,U:U)=U1098,0,_xlfn.XLOOKUP(O1098,'Horarios y Sistemas'!C:C,'Horarios y Sistemas'!H:H,0,0,1)-P1098))/7*U1098</f>
        <v>0</v>
      </c>
      <c r="R1098" s="54">
        <f t="shared" si="1280"/>
        <v>0</v>
      </c>
      <c r="S1098" s="55" t="str">
        <f t="shared" si="1281"/>
        <v>OCTUBRE</v>
      </c>
      <c r="T1098" s="55" t="str">
        <f t="shared" si="1282"/>
        <v>Sem40</v>
      </c>
      <c r="U1098" s="56">
        <f t="shared" si="1343"/>
        <v>7</v>
      </c>
      <c r="V1098" s="59">
        <v>46298</v>
      </c>
      <c r="W1098" s="56">
        <f t="shared" si="1283"/>
        <v>40</v>
      </c>
      <c r="X1098" s="56">
        <f t="shared" si="1284"/>
        <v>3</v>
      </c>
      <c r="Y1098" s="56" t="s">
        <v>33</v>
      </c>
      <c r="Z1098" s="56">
        <v>6</v>
      </c>
      <c r="AA1098" s="58">
        <f t="shared" si="1332"/>
        <v>0</v>
      </c>
      <c r="AB1098" s="58">
        <f t="shared" si="1332"/>
        <v>0</v>
      </c>
      <c r="AC1098" s="58">
        <f t="shared" si="1332"/>
        <v>1</v>
      </c>
      <c r="AD1098" s="58">
        <f t="shared" si="1332"/>
        <v>0</v>
      </c>
      <c r="AE1098" s="58">
        <f t="shared" si="1332"/>
        <v>0</v>
      </c>
    </row>
    <row r="1099" spans="2:31">
      <c r="B1099" s="60" t="str">
        <f t="shared" si="1271"/>
        <v>Sem4040STEFAN GABRIEL ALVARADO DE LA ROSA</v>
      </c>
      <c r="C1099" s="60" t="str">
        <f t="shared" si="1272"/>
        <v>OCTUBRESem40</v>
      </c>
      <c r="D1099" s="60" t="str">
        <f t="shared" si="1273"/>
        <v>OCTUBRESem40STEFAN GABRIEL ALVARADO DE LA ROSA</v>
      </c>
      <c r="E1099" s="60" t="str">
        <f t="shared" si="1274"/>
        <v>OCTUBRESem4040STEFAN GABRIEL ALVARADO DE LA ROSA</v>
      </c>
      <c r="F1099" s="60" t="str">
        <f t="shared" si="1275"/>
        <v>STEFAN GABRIEL ALVARADO DE LA ROSA46299</v>
      </c>
      <c r="G1099" s="60"/>
      <c r="H1099" s="61" t="s">
        <v>19</v>
      </c>
      <c r="I1099" s="62" t="str">
        <f>+_xlfn.XLOOKUP($H1099&amp;$V1099,BASEDATOS!$B:$B,BASEDATOS!F:F,0,0,1)</f>
        <v>DESCANSO</v>
      </c>
      <c r="J1099" s="63">
        <f>+_xlfn.XLOOKUP($H1099&amp;$V1099,BASEDATOS!$B:$B,BASEDATOS!Q:Q,0,0,1)</f>
        <v>0</v>
      </c>
      <c r="K1099" s="63">
        <f>+_xlfn.XLOOKUP($H1099&amp;$V1099,BASEDATOS!$B:$B,BASEDATOS!R:R,0,0,1)</f>
        <v>0</v>
      </c>
      <c r="L1099" s="63">
        <f t="shared" si="1276"/>
        <v>0</v>
      </c>
      <c r="M1099" s="64">
        <f t="shared" si="1277"/>
        <v>0</v>
      </c>
      <c r="N1099" s="63">
        <f t="shared" si="1278"/>
        <v>0</v>
      </c>
      <c r="O1099" s="65" t="str">
        <f t="shared" ref="O1099" si="1346">+IF(Y1099="Domingo",SUM(AA1093:AA1099)&amp;"-"&amp;SUM(AB1093:AB1099)&amp;"-"&amp;SUM(AC1093:AE1099),"")</f>
        <v>2-3-2</v>
      </c>
      <c r="P1099" s="66">
        <f>+IF(AND(Y1099="Domingo",U1099=7),_xlfn.XLOOKUP(O1099,'Horarios y Sistemas'!C:C,'Horarios y Sistemas'!H:H,0,0,1),0)</f>
        <v>39.200000000000003</v>
      </c>
      <c r="Q1099" s="66">
        <f>IF(U1099=U1100,0,IF(AVERAGEIF(W:W,W1099,U:U)=U1099,0,_xlfn.XLOOKUP(O1099,'Horarios y Sistemas'!C:C,'Horarios y Sistemas'!H:H,0,0,1)-P1099))/7*U1099</f>
        <v>0</v>
      </c>
      <c r="R1099" s="66">
        <f t="shared" si="1280"/>
        <v>39.200000000000003</v>
      </c>
      <c r="S1099" s="67" t="str">
        <f t="shared" si="1281"/>
        <v>OCTUBRE</v>
      </c>
      <c r="T1099" s="55" t="str">
        <f t="shared" si="1282"/>
        <v>Sem40</v>
      </c>
      <c r="U1099" s="68">
        <f t="shared" si="1343"/>
        <v>7</v>
      </c>
      <c r="V1099" s="69">
        <v>46299</v>
      </c>
      <c r="W1099" s="68">
        <f t="shared" si="1283"/>
        <v>40</v>
      </c>
      <c r="X1099" s="68">
        <f t="shared" si="1284"/>
        <v>4</v>
      </c>
      <c r="Y1099" s="68" t="s">
        <v>34</v>
      </c>
      <c r="Z1099" s="68">
        <v>7</v>
      </c>
      <c r="AA1099" s="70">
        <f t="shared" si="1332"/>
        <v>0</v>
      </c>
      <c r="AB1099" s="70">
        <f t="shared" si="1332"/>
        <v>0</v>
      </c>
      <c r="AC1099" s="70">
        <f t="shared" si="1332"/>
        <v>1</v>
      </c>
      <c r="AD1099" s="70">
        <f t="shared" si="1332"/>
        <v>0</v>
      </c>
      <c r="AE1099" s="70">
        <f t="shared" si="1332"/>
        <v>0</v>
      </c>
    </row>
    <row r="1100" spans="2:31">
      <c r="B1100" t="str">
        <f t="shared" si="1271"/>
        <v>Sem3838Sergio Enrique Rodriguez de Paz</v>
      </c>
      <c r="C1100" t="str">
        <f t="shared" si="1272"/>
        <v>SEPTIEMBRESem38</v>
      </c>
      <c r="D1100" t="str">
        <f t="shared" si="1273"/>
        <v>SEPTIEMBRESem38Sergio Enrique Rodriguez de Paz</v>
      </c>
      <c r="E1100" t="str">
        <f t="shared" si="1274"/>
        <v>SEPTIEMBRESem3838Sergio Enrique Rodriguez de Paz</v>
      </c>
      <c r="F1100" t="str">
        <f t="shared" si="1275"/>
        <v>Sergio Enrique Rodriguez de Paz46279</v>
      </c>
      <c r="H1100" s="49" t="s">
        <v>257</v>
      </c>
      <c r="I1100" s="50" t="str">
        <f>+_xlfn.XLOOKUP($H1100&amp;$V1100,BASEDATOS!$B:$B,BASEDATOS!F:F,0,0,1)</f>
        <v>DESCANSO</v>
      </c>
      <c r="J1100" s="51">
        <f>+_xlfn.XLOOKUP($H1100&amp;$V1100,BASEDATOS!$B:$B,BASEDATOS!Q:Q,0,0,1)</f>
        <v>0</v>
      </c>
      <c r="K1100" s="51">
        <f>+_xlfn.XLOOKUP($H1100&amp;$V1100,BASEDATOS!$B:$B,BASEDATOS!R:R,0,0,1)</f>
        <v>0</v>
      </c>
      <c r="L1100" s="51">
        <f t="shared" si="1276"/>
        <v>0</v>
      </c>
      <c r="M1100" s="52">
        <f t="shared" si="1277"/>
        <v>0</v>
      </c>
      <c r="N1100" s="51">
        <f t="shared" si="1278"/>
        <v>0</v>
      </c>
      <c r="O1100" s="53" t="str">
        <f t="shared" ref="O1100" si="1347">+O1106</f>
        <v>5-0-2</v>
      </c>
      <c r="P1100" s="54">
        <f>+IF(AND(Y1100="Domingo",U1100=7),_xlfn.XLOOKUP(O1100,'Horarios y Sistemas'!C:C,'Horarios y Sistemas'!H:H,0,0,1),0)</f>
        <v>0</v>
      </c>
      <c r="Q1100" s="54">
        <f>IF(U1100=U1101,0,IF(AVERAGEIF(W:W,W1100,U:U)=U1100,0,_xlfn.XLOOKUP(O1100,'Horarios y Sistemas'!C:C,'Horarios y Sistemas'!H:H,0,0,1)-P1100))/7*U1100</f>
        <v>0</v>
      </c>
      <c r="R1100" s="54">
        <f t="shared" si="1280"/>
        <v>0</v>
      </c>
      <c r="S1100" s="55" t="str">
        <f t="shared" si="1281"/>
        <v>SEPTIEMBRE</v>
      </c>
      <c r="T1100" s="55" t="str">
        <f t="shared" si="1282"/>
        <v>Sem38</v>
      </c>
      <c r="U1100" s="56">
        <f t="shared" si="1343"/>
        <v>7</v>
      </c>
      <c r="V1100" s="59">
        <v>46279</v>
      </c>
      <c r="W1100" s="56">
        <f t="shared" si="1283"/>
        <v>38</v>
      </c>
      <c r="X1100" s="56">
        <f t="shared" si="1284"/>
        <v>14</v>
      </c>
      <c r="Y1100" s="56" t="s">
        <v>28</v>
      </c>
      <c r="Z1100" s="56">
        <v>1</v>
      </c>
      <c r="AA1100" s="58">
        <f t="shared" si="1332"/>
        <v>0</v>
      </c>
      <c r="AB1100" s="58">
        <f t="shared" si="1332"/>
        <v>0</v>
      </c>
      <c r="AC1100" s="58">
        <f t="shared" si="1332"/>
        <v>1</v>
      </c>
      <c r="AD1100" s="58">
        <f t="shared" si="1332"/>
        <v>0</v>
      </c>
      <c r="AE1100" s="58">
        <f t="shared" si="1332"/>
        <v>0</v>
      </c>
    </row>
    <row r="1101" spans="2:31">
      <c r="B1101" t="str">
        <f t="shared" si="1271"/>
        <v>Sem3838Sergio Enrique Rodriguez de Paz</v>
      </c>
      <c r="C1101" t="str">
        <f t="shared" si="1272"/>
        <v>SEPTIEMBRESem38</v>
      </c>
      <c r="D1101" t="str">
        <f t="shared" si="1273"/>
        <v>SEPTIEMBRESem38Sergio Enrique Rodriguez de Paz</v>
      </c>
      <c r="E1101" t="str">
        <f t="shared" si="1274"/>
        <v>SEPTIEMBRESem3838Sergio Enrique Rodriguez de Paz</v>
      </c>
      <c r="F1101" t="str">
        <f t="shared" si="1275"/>
        <v>Sergio Enrique Rodriguez de Paz46280</v>
      </c>
      <c r="H1101" s="49" t="s">
        <v>257</v>
      </c>
      <c r="I1101" s="50" t="str">
        <f>+_xlfn.XLOOKUP($H1101&amp;$V1101,BASEDATOS!$B:$B,BASEDATOS!F:F,0,0,1)</f>
        <v>DIA</v>
      </c>
      <c r="J1101" s="51">
        <f>+_xlfn.XLOOKUP($H1101&amp;$V1101,BASEDATOS!$B:$B,BASEDATOS!Q:Q,0,0,1)</f>
        <v>0.33333333333333298</v>
      </c>
      <c r="K1101" s="51">
        <f>+_xlfn.XLOOKUP($H1101&amp;$V1101,BASEDATOS!$B:$B,BASEDATOS!R:R,0,0,1)</f>
        <v>0.70833333333333304</v>
      </c>
      <c r="L1101" s="51">
        <f t="shared" si="1276"/>
        <v>0.37500000000000006</v>
      </c>
      <c r="M1101" s="52" t="str">
        <f t="shared" si="1277"/>
        <v>1:00</v>
      </c>
      <c r="N1101" s="51">
        <f t="shared" si="1278"/>
        <v>0.33333333333333337</v>
      </c>
      <c r="O1101" s="53" t="str">
        <f t="shared" ref="O1101" si="1348">+O1106</f>
        <v>5-0-2</v>
      </c>
      <c r="P1101" s="54">
        <f>+IF(AND(Y1101="Domingo",U1101=7),_xlfn.XLOOKUP(O1101,'Horarios y Sistemas'!C:C,'Horarios y Sistemas'!H:H,0,0,1),0)</f>
        <v>0</v>
      </c>
      <c r="Q1101" s="54">
        <f>IF(U1101=U1102,0,IF(AVERAGEIF(W:W,W1101,U:U)=U1101,0,_xlfn.XLOOKUP(O1101,'Horarios y Sistemas'!C:C,'Horarios y Sistemas'!H:H,0,0,1)-P1101))/7*U1101</f>
        <v>0</v>
      </c>
      <c r="R1101" s="54">
        <f t="shared" si="1280"/>
        <v>0</v>
      </c>
      <c r="S1101" s="55" t="str">
        <f t="shared" si="1281"/>
        <v>SEPTIEMBRE</v>
      </c>
      <c r="T1101" s="55" t="str">
        <f t="shared" si="1282"/>
        <v>Sem38</v>
      </c>
      <c r="U1101" s="56">
        <f t="shared" si="1343"/>
        <v>7</v>
      </c>
      <c r="V1101" s="59">
        <v>46280</v>
      </c>
      <c r="W1101" s="56">
        <f t="shared" si="1283"/>
        <v>38</v>
      </c>
      <c r="X1101" s="56">
        <f t="shared" si="1284"/>
        <v>15</v>
      </c>
      <c r="Y1101" s="56" t="s">
        <v>29</v>
      </c>
      <c r="Z1101" s="56">
        <v>2</v>
      </c>
      <c r="AA1101" s="58">
        <f t="shared" si="1332"/>
        <v>1</v>
      </c>
      <c r="AB1101" s="58">
        <f t="shared" si="1332"/>
        <v>0</v>
      </c>
      <c r="AC1101" s="58">
        <f t="shared" si="1332"/>
        <v>0</v>
      </c>
      <c r="AD1101" s="58">
        <f t="shared" si="1332"/>
        <v>0</v>
      </c>
      <c r="AE1101" s="58">
        <f t="shared" si="1332"/>
        <v>0</v>
      </c>
    </row>
    <row r="1102" spans="2:31">
      <c r="B1102" t="str">
        <f t="shared" si="1271"/>
        <v>Sem3838Sergio Enrique Rodriguez de Paz</v>
      </c>
      <c r="C1102" t="str">
        <f t="shared" si="1272"/>
        <v>SEPTIEMBRESem38</v>
      </c>
      <c r="D1102" t="str">
        <f t="shared" si="1273"/>
        <v>SEPTIEMBRESem38Sergio Enrique Rodriguez de Paz</v>
      </c>
      <c r="E1102" t="str">
        <f t="shared" si="1274"/>
        <v>SEPTIEMBRESem3838Sergio Enrique Rodriguez de Paz</v>
      </c>
      <c r="F1102" t="str">
        <f t="shared" si="1275"/>
        <v>Sergio Enrique Rodriguez de Paz46281</v>
      </c>
      <c r="H1102" s="49" t="s">
        <v>257</v>
      </c>
      <c r="I1102" s="50" t="str">
        <f>+_xlfn.XLOOKUP($H1102&amp;$V1102,BASEDATOS!$B:$B,BASEDATOS!F:F,0,0,1)</f>
        <v>DIA</v>
      </c>
      <c r="J1102" s="51">
        <f>+_xlfn.XLOOKUP($H1102&amp;$V1102,BASEDATOS!$B:$B,BASEDATOS!Q:Q,0,0,1)</f>
        <v>0.25</v>
      </c>
      <c r="K1102" s="51">
        <f>+_xlfn.XLOOKUP($H1102&amp;$V1102,BASEDATOS!$B:$B,BASEDATOS!R:R,0,0,1)</f>
        <v>0.75</v>
      </c>
      <c r="L1102" s="51">
        <f t="shared" si="1276"/>
        <v>0.5</v>
      </c>
      <c r="M1102" s="52" t="str">
        <f t="shared" si="1277"/>
        <v>1:00</v>
      </c>
      <c r="N1102" s="51">
        <f t="shared" si="1278"/>
        <v>0.45833333333333331</v>
      </c>
      <c r="O1102" s="53" t="str">
        <f t="shared" ref="O1102" si="1349">+O1106</f>
        <v>5-0-2</v>
      </c>
      <c r="P1102" s="54">
        <f>+IF(AND(Y1102="Domingo",U1102=7),_xlfn.XLOOKUP(O1102,'Horarios y Sistemas'!C:C,'Horarios y Sistemas'!H:H,0,0,1),0)</f>
        <v>0</v>
      </c>
      <c r="Q1102" s="54">
        <f>IF(U1102=U1103,0,IF(AVERAGEIF(W:W,W1102,U:U)=U1102,0,_xlfn.XLOOKUP(O1102,'Horarios y Sistemas'!C:C,'Horarios y Sistemas'!H:H,0,0,1)-P1102))/7*U1102</f>
        <v>0</v>
      </c>
      <c r="R1102" s="54">
        <f t="shared" si="1280"/>
        <v>0</v>
      </c>
      <c r="S1102" s="55" t="str">
        <f t="shared" si="1281"/>
        <v>SEPTIEMBRE</v>
      </c>
      <c r="T1102" s="55" t="str">
        <f t="shared" si="1282"/>
        <v>Sem38</v>
      </c>
      <c r="U1102" s="56">
        <f t="shared" si="1343"/>
        <v>7</v>
      </c>
      <c r="V1102" s="59">
        <v>46281</v>
      </c>
      <c r="W1102" s="56">
        <f t="shared" si="1283"/>
        <v>38</v>
      </c>
      <c r="X1102" s="56">
        <f t="shared" si="1284"/>
        <v>16</v>
      </c>
      <c r="Y1102" s="56" t="s">
        <v>30</v>
      </c>
      <c r="Z1102" s="56">
        <v>3</v>
      </c>
      <c r="AA1102" s="58">
        <f t="shared" si="1332"/>
        <v>1</v>
      </c>
      <c r="AB1102" s="58">
        <f t="shared" si="1332"/>
        <v>0</v>
      </c>
      <c r="AC1102" s="58">
        <f t="shared" si="1332"/>
        <v>0</v>
      </c>
      <c r="AD1102" s="58">
        <f t="shared" si="1332"/>
        <v>0</v>
      </c>
      <c r="AE1102" s="58">
        <f t="shared" si="1332"/>
        <v>0</v>
      </c>
    </row>
    <row r="1103" spans="2:31">
      <c r="B1103" t="str">
        <f t="shared" ref="B1103:B1166" si="1350">+T1103&amp;W1103&amp;H1103</f>
        <v>Sem3838Sergio Enrique Rodriguez de Paz</v>
      </c>
      <c r="C1103" t="str">
        <f t="shared" ref="C1103:C1166" si="1351">+S1103&amp;T1103</f>
        <v>SEPTIEMBRESem38</v>
      </c>
      <c r="D1103" t="str">
        <f t="shared" ref="D1103:D1166" si="1352">+S1103&amp;T1103&amp;H1103</f>
        <v>SEPTIEMBRESem38Sergio Enrique Rodriguez de Paz</v>
      </c>
      <c r="E1103" t="str">
        <f t="shared" ref="E1103:E1166" si="1353">+S1103&amp;T1103&amp;W1103&amp;H1103</f>
        <v>SEPTIEMBRESem3838Sergio Enrique Rodriguez de Paz</v>
      </c>
      <c r="F1103" t="str">
        <f t="shared" ref="F1103:F1166" si="1354">+H1103&amp;V1103</f>
        <v>Sergio Enrique Rodriguez de Paz46282</v>
      </c>
      <c r="H1103" s="49" t="s">
        <v>257</v>
      </c>
      <c r="I1103" s="50" t="str">
        <f>+_xlfn.XLOOKUP($H1103&amp;$V1103,BASEDATOS!$B:$B,BASEDATOS!F:F,0,0,1)</f>
        <v>DIA</v>
      </c>
      <c r="J1103" s="51">
        <f>+_xlfn.XLOOKUP($H1103&amp;$V1103,BASEDATOS!$B:$B,BASEDATOS!Q:Q,0,0,1)</f>
        <v>0.25</v>
      </c>
      <c r="K1103" s="51">
        <f>+_xlfn.XLOOKUP($H1103&amp;$V1103,BASEDATOS!$B:$B,BASEDATOS!R:R,0,0,1)</f>
        <v>0.75</v>
      </c>
      <c r="L1103" s="51">
        <f t="shared" ref="L1103:L1166" si="1355">+IF(OR(J1103="Descanso",J1103="AUSENTE",J1103="ASUETO"),0,MOD(K1103-J1103,1))</f>
        <v>0.5</v>
      </c>
      <c r="M1103" s="52" t="str">
        <f t="shared" ref="M1103:M1166" si="1356">+IF(OR(I1103="DIA",I1103="NOCHE",I1103="MIXTO"),"1:00",0)</f>
        <v>1:00</v>
      </c>
      <c r="N1103" s="51">
        <f t="shared" ref="N1103:N1166" si="1357">+IF(I1103="ASUETO-D",8/24,IF(I1103="ASUETO-N",6/24,MOD(L1103-M1103,1)))</f>
        <v>0.45833333333333331</v>
      </c>
      <c r="O1103" s="53" t="str">
        <f t="shared" ref="O1103" si="1358">+O1106</f>
        <v>5-0-2</v>
      </c>
      <c r="P1103" s="54">
        <f>+IF(AND(Y1103="Domingo",U1103=7),_xlfn.XLOOKUP(O1103,'Horarios y Sistemas'!C:C,'Horarios y Sistemas'!H:H,0,0,1),0)</f>
        <v>0</v>
      </c>
      <c r="Q1103" s="54">
        <f>IF(U1103=U1104,0,IF(AVERAGEIF(W:W,W1103,U:U)=U1103,0,_xlfn.XLOOKUP(O1103,'Horarios y Sistemas'!C:C,'Horarios y Sistemas'!H:H,0,0,1)-P1103))/7*U1103</f>
        <v>0</v>
      </c>
      <c r="R1103" s="54">
        <f t="shared" ref="R1103:R1166" si="1359">+IF(Y1103="Domingo",SUM(P1097:Q1103),0)</f>
        <v>0</v>
      </c>
      <c r="S1103" s="55" t="str">
        <f t="shared" ref="S1103:S1166" si="1360">+UPPER(TEXT(V1103,"MMMMMMMM"))</f>
        <v>SEPTIEMBRE</v>
      </c>
      <c r="T1103" s="55" t="str">
        <f t="shared" ref="T1103:T1166" si="1361">+"Sem"&amp;W1103</f>
        <v>Sem38</v>
      </c>
      <c r="U1103" s="56">
        <f t="shared" si="1343"/>
        <v>7</v>
      </c>
      <c r="V1103" s="59">
        <v>46282</v>
      </c>
      <c r="W1103" s="56">
        <f t="shared" ref="W1103:W1166" si="1362">+_xlfn.ISOWEEKNUM(V1103)</f>
        <v>38</v>
      </c>
      <c r="X1103" s="56">
        <f t="shared" ref="X1103:X1166" si="1363">+DAY(V1103)</f>
        <v>17</v>
      </c>
      <c r="Y1103" s="56" t="s">
        <v>31</v>
      </c>
      <c r="Z1103" s="56">
        <v>4</v>
      </c>
      <c r="AA1103" s="58">
        <f t="shared" si="1332"/>
        <v>1</v>
      </c>
      <c r="AB1103" s="58">
        <f t="shared" si="1332"/>
        <v>0</v>
      </c>
      <c r="AC1103" s="58">
        <f t="shared" si="1332"/>
        <v>0</v>
      </c>
      <c r="AD1103" s="58">
        <f t="shared" si="1332"/>
        <v>0</v>
      </c>
      <c r="AE1103" s="58">
        <f t="shared" si="1332"/>
        <v>0</v>
      </c>
    </row>
    <row r="1104" spans="2:31">
      <c r="B1104" t="str">
        <f t="shared" si="1350"/>
        <v>Sem3838Sergio Enrique Rodriguez de Paz</v>
      </c>
      <c r="C1104" t="str">
        <f t="shared" si="1351"/>
        <v>SEPTIEMBRESem38</v>
      </c>
      <c r="D1104" t="str">
        <f t="shared" si="1352"/>
        <v>SEPTIEMBRESem38Sergio Enrique Rodriguez de Paz</v>
      </c>
      <c r="E1104" t="str">
        <f t="shared" si="1353"/>
        <v>SEPTIEMBRESem3838Sergio Enrique Rodriguez de Paz</v>
      </c>
      <c r="F1104" t="str">
        <f t="shared" si="1354"/>
        <v>Sergio Enrique Rodriguez de Paz46283</v>
      </c>
      <c r="H1104" s="49" t="s">
        <v>257</v>
      </c>
      <c r="I1104" s="50" t="str">
        <f>+_xlfn.XLOOKUP($H1104&amp;$V1104,BASEDATOS!$B:$B,BASEDATOS!F:F,0,0,1)</f>
        <v>DIA</v>
      </c>
      <c r="J1104" s="51">
        <f>+_xlfn.XLOOKUP($H1104&amp;$V1104,BASEDATOS!$B:$B,BASEDATOS!Q:Q,0,0,1)</f>
        <v>0.25</v>
      </c>
      <c r="K1104" s="51">
        <f>+_xlfn.XLOOKUP($H1104&amp;$V1104,BASEDATOS!$B:$B,BASEDATOS!R:R,0,0,1)</f>
        <v>0.75</v>
      </c>
      <c r="L1104" s="51">
        <f t="shared" si="1355"/>
        <v>0.5</v>
      </c>
      <c r="M1104" s="52" t="str">
        <f t="shared" si="1356"/>
        <v>1:00</v>
      </c>
      <c r="N1104" s="51">
        <f t="shared" si="1357"/>
        <v>0.45833333333333331</v>
      </c>
      <c r="O1104" s="53" t="str">
        <f t="shared" ref="O1104" si="1364">+O1106</f>
        <v>5-0-2</v>
      </c>
      <c r="P1104" s="54">
        <f>+IF(AND(Y1104="Domingo",U1104=7),_xlfn.XLOOKUP(O1104,'Horarios y Sistemas'!C:C,'Horarios y Sistemas'!H:H,0,0,1),0)</f>
        <v>0</v>
      </c>
      <c r="Q1104" s="54">
        <f>IF(U1104=U1105,0,IF(AVERAGEIF(W:W,W1104,U:U)=U1104,0,_xlfn.XLOOKUP(O1104,'Horarios y Sistemas'!C:C,'Horarios y Sistemas'!H:H,0,0,1)-P1104))/7*U1104</f>
        <v>0</v>
      </c>
      <c r="R1104" s="54">
        <f t="shared" si="1359"/>
        <v>0</v>
      </c>
      <c r="S1104" s="55" t="str">
        <f t="shared" si="1360"/>
        <v>SEPTIEMBRE</v>
      </c>
      <c r="T1104" s="55" t="str">
        <f t="shared" si="1361"/>
        <v>Sem38</v>
      </c>
      <c r="U1104" s="56">
        <f t="shared" si="1343"/>
        <v>7</v>
      </c>
      <c r="V1104" s="59">
        <v>46283</v>
      </c>
      <c r="W1104" s="56">
        <f t="shared" si="1362"/>
        <v>38</v>
      </c>
      <c r="X1104" s="56">
        <f t="shared" si="1363"/>
        <v>18</v>
      </c>
      <c r="Y1104" s="56" t="s">
        <v>32</v>
      </c>
      <c r="Z1104" s="56">
        <v>5</v>
      </c>
      <c r="AA1104" s="58">
        <f t="shared" si="1332"/>
        <v>1</v>
      </c>
      <c r="AB1104" s="58">
        <f t="shared" si="1332"/>
        <v>0</v>
      </c>
      <c r="AC1104" s="58">
        <f t="shared" si="1332"/>
        <v>0</v>
      </c>
      <c r="AD1104" s="58">
        <f t="shared" si="1332"/>
        <v>0</v>
      </c>
      <c r="AE1104" s="58">
        <f t="shared" si="1332"/>
        <v>0</v>
      </c>
    </row>
    <row r="1105" spans="2:31">
      <c r="B1105" t="str">
        <f t="shared" si="1350"/>
        <v>Sem3838Sergio Enrique Rodriguez de Paz</v>
      </c>
      <c r="C1105" t="str">
        <f t="shared" si="1351"/>
        <v>SEPTIEMBRESem38</v>
      </c>
      <c r="D1105" t="str">
        <f t="shared" si="1352"/>
        <v>SEPTIEMBRESem38Sergio Enrique Rodriguez de Paz</v>
      </c>
      <c r="E1105" t="str">
        <f t="shared" si="1353"/>
        <v>SEPTIEMBRESem3838Sergio Enrique Rodriguez de Paz</v>
      </c>
      <c r="F1105" t="str">
        <f t="shared" si="1354"/>
        <v>Sergio Enrique Rodriguez de Paz46284</v>
      </c>
      <c r="H1105" s="49" t="s">
        <v>257</v>
      </c>
      <c r="I1105" s="50" t="str">
        <f>+_xlfn.XLOOKUP($H1105&amp;$V1105,BASEDATOS!$B:$B,BASEDATOS!F:F,0,0,1)</f>
        <v>DIA</v>
      </c>
      <c r="J1105" s="51">
        <f>+_xlfn.XLOOKUP($H1105&amp;$V1105,BASEDATOS!$B:$B,BASEDATOS!Q:Q,0,0,1)</f>
        <v>0.25</v>
      </c>
      <c r="K1105" s="51">
        <f>+_xlfn.XLOOKUP($H1105&amp;$V1105,BASEDATOS!$B:$B,BASEDATOS!R:R,0,0,1)</f>
        <v>0.58333333333333304</v>
      </c>
      <c r="L1105" s="51">
        <f t="shared" si="1355"/>
        <v>0.33333333333333304</v>
      </c>
      <c r="M1105" s="52" t="str">
        <f t="shared" si="1356"/>
        <v>1:00</v>
      </c>
      <c r="N1105" s="51">
        <f t="shared" si="1357"/>
        <v>0.29166666666666635</v>
      </c>
      <c r="O1105" s="53" t="str">
        <f t="shared" ref="O1105" si="1365">+O1106</f>
        <v>5-0-2</v>
      </c>
      <c r="P1105" s="54">
        <f>+IF(AND(Y1105="Domingo",U1105=7),_xlfn.XLOOKUP(O1105,'Horarios y Sistemas'!C:C,'Horarios y Sistemas'!H:H,0,0,1),0)</f>
        <v>0</v>
      </c>
      <c r="Q1105" s="54">
        <f>IF(U1105=U1106,0,IF(AVERAGEIF(W:W,W1105,U:U)=U1105,0,_xlfn.XLOOKUP(O1105,'Horarios y Sistemas'!C:C,'Horarios y Sistemas'!H:H,0,0,1)-P1105))/7*U1105</f>
        <v>0</v>
      </c>
      <c r="R1105" s="54">
        <f t="shared" si="1359"/>
        <v>0</v>
      </c>
      <c r="S1105" s="55" t="str">
        <f t="shared" si="1360"/>
        <v>SEPTIEMBRE</v>
      </c>
      <c r="T1105" s="55" t="str">
        <f t="shared" si="1361"/>
        <v>Sem38</v>
      </c>
      <c r="U1105" s="56">
        <f t="shared" si="1343"/>
        <v>7</v>
      </c>
      <c r="V1105" s="59">
        <v>46284</v>
      </c>
      <c r="W1105" s="56">
        <f t="shared" si="1362"/>
        <v>38</v>
      </c>
      <c r="X1105" s="56">
        <f t="shared" si="1363"/>
        <v>19</v>
      </c>
      <c r="Y1105" s="56" t="s">
        <v>33</v>
      </c>
      <c r="Z1105" s="56">
        <v>6</v>
      </c>
      <c r="AA1105" s="58">
        <f t="shared" si="1332"/>
        <v>1</v>
      </c>
      <c r="AB1105" s="58">
        <f t="shared" si="1332"/>
        <v>0</v>
      </c>
      <c r="AC1105" s="58">
        <f t="shared" si="1332"/>
        <v>0</v>
      </c>
      <c r="AD1105" s="58">
        <f t="shared" si="1332"/>
        <v>0</v>
      </c>
      <c r="AE1105" s="58">
        <f t="shared" si="1332"/>
        <v>0</v>
      </c>
    </row>
    <row r="1106" spans="2:31">
      <c r="B1106" s="60" t="str">
        <f t="shared" si="1350"/>
        <v>Sem3838Sergio Enrique Rodriguez de Paz</v>
      </c>
      <c r="C1106" s="60" t="str">
        <f t="shared" si="1351"/>
        <v>SEPTIEMBRESem38</v>
      </c>
      <c r="D1106" s="60" t="str">
        <f t="shared" si="1352"/>
        <v>SEPTIEMBRESem38Sergio Enrique Rodriguez de Paz</v>
      </c>
      <c r="E1106" s="60" t="str">
        <f t="shared" si="1353"/>
        <v>SEPTIEMBRESem3838Sergio Enrique Rodriguez de Paz</v>
      </c>
      <c r="F1106" s="60" t="str">
        <f t="shared" si="1354"/>
        <v>Sergio Enrique Rodriguez de Paz46285</v>
      </c>
      <c r="G1106" s="60"/>
      <c r="H1106" s="61" t="s">
        <v>257</v>
      </c>
      <c r="I1106" s="62" t="str">
        <f>+_xlfn.XLOOKUP($H1106&amp;$V1106,BASEDATOS!$B:$B,BASEDATOS!F:F,0,0,1)</f>
        <v>DESCANSO</v>
      </c>
      <c r="J1106" s="63">
        <f>+_xlfn.XLOOKUP($H1106&amp;$V1106,BASEDATOS!$B:$B,BASEDATOS!Q:Q,0,0,1)</f>
        <v>0</v>
      </c>
      <c r="K1106" s="63">
        <f>+_xlfn.XLOOKUP($H1106&amp;$V1106,BASEDATOS!$B:$B,BASEDATOS!R:R,0,0,1)</f>
        <v>0</v>
      </c>
      <c r="L1106" s="63">
        <f t="shared" si="1355"/>
        <v>0</v>
      </c>
      <c r="M1106" s="64">
        <f t="shared" si="1356"/>
        <v>0</v>
      </c>
      <c r="N1106" s="63">
        <f t="shared" si="1357"/>
        <v>0</v>
      </c>
      <c r="O1106" s="65" t="str">
        <f t="shared" ref="O1106" si="1366">+IF(Y1106="Domingo",SUM(AA1100:AA1106)&amp;"-"&amp;SUM(AB1100:AB1106)&amp;"-"&amp;SUM(AC1100:AE1106),"")</f>
        <v>5-0-2</v>
      </c>
      <c r="P1106" s="66">
        <f>+IF(AND(Y1106="Domingo",U1106=7),_xlfn.XLOOKUP(O1106,'Horarios y Sistemas'!C:C,'Horarios y Sistemas'!H:H,0,0,1),0)</f>
        <v>44</v>
      </c>
      <c r="Q1106" s="66">
        <f>IF(U1106=U1107,0,IF(AVERAGEIF(W:W,W1106,U:U)=U1106,0,_xlfn.XLOOKUP(O1106,'Horarios y Sistemas'!C:C,'Horarios y Sistemas'!H:H,0,0,1)-P1106))/7*U1106</f>
        <v>0</v>
      </c>
      <c r="R1106" s="66">
        <f t="shared" si="1359"/>
        <v>44</v>
      </c>
      <c r="S1106" s="67" t="str">
        <f t="shared" si="1360"/>
        <v>SEPTIEMBRE</v>
      </c>
      <c r="T1106" s="55" t="str">
        <f t="shared" si="1361"/>
        <v>Sem38</v>
      </c>
      <c r="U1106" s="68">
        <f t="shared" si="1343"/>
        <v>7</v>
      </c>
      <c r="V1106" s="69">
        <v>46285</v>
      </c>
      <c r="W1106" s="68">
        <f t="shared" si="1362"/>
        <v>38</v>
      </c>
      <c r="X1106" s="68">
        <f t="shared" si="1363"/>
        <v>20</v>
      </c>
      <c r="Y1106" s="68" t="s">
        <v>34</v>
      </c>
      <c r="Z1106" s="68">
        <v>7</v>
      </c>
      <c r="AA1106" s="70">
        <f t="shared" si="1332"/>
        <v>0</v>
      </c>
      <c r="AB1106" s="70">
        <f t="shared" si="1332"/>
        <v>0</v>
      </c>
      <c r="AC1106" s="70">
        <f t="shared" si="1332"/>
        <v>1</v>
      </c>
      <c r="AD1106" s="70">
        <f t="shared" si="1332"/>
        <v>0</v>
      </c>
      <c r="AE1106" s="70">
        <f t="shared" si="1332"/>
        <v>0</v>
      </c>
    </row>
    <row r="1107" spans="2:31">
      <c r="B1107" t="str">
        <f t="shared" si="1350"/>
        <v>Sem3939Sergio Enrique Rodriguez de Paz</v>
      </c>
      <c r="C1107" t="str">
        <f t="shared" si="1351"/>
        <v>SEPTIEMBRESem39</v>
      </c>
      <c r="D1107" t="str">
        <f t="shared" si="1352"/>
        <v>SEPTIEMBRESem39Sergio Enrique Rodriguez de Paz</v>
      </c>
      <c r="E1107" t="str">
        <f t="shared" si="1353"/>
        <v>SEPTIEMBRESem3939Sergio Enrique Rodriguez de Paz</v>
      </c>
      <c r="F1107" t="str">
        <f t="shared" si="1354"/>
        <v>Sergio Enrique Rodriguez de Paz46286</v>
      </c>
      <c r="H1107" s="49" t="s">
        <v>257</v>
      </c>
      <c r="I1107" s="50" t="str">
        <f>+_xlfn.XLOOKUP($H1107&amp;$V1107,BASEDATOS!$B:$B,BASEDATOS!F:F,0,0,1)</f>
        <v>NOCHE</v>
      </c>
      <c r="J1107" s="51">
        <f>+_xlfn.XLOOKUP($H1107&amp;$V1107,BASEDATOS!$B:$B,BASEDATOS!Q:Q,0,0,1)</f>
        <v>0.75</v>
      </c>
      <c r="K1107" s="51">
        <f>+_xlfn.XLOOKUP($H1107&amp;$V1107,BASEDATOS!$B:$B,BASEDATOS!R:R,0,0,1)</f>
        <v>0.25</v>
      </c>
      <c r="L1107" s="51">
        <f t="shared" si="1355"/>
        <v>0.5</v>
      </c>
      <c r="M1107" s="52" t="str">
        <f t="shared" si="1356"/>
        <v>1:00</v>
      </c>
      <c r="N1107" s="51">
        <f t="shared" si="1357"/>
        <v>0.45833333333333331</v>
      </c>
      <c r="O1107" s="53" t="str">
        <f t="shared" ref="O1107" si="1367">+O1113</f>
        <v>0-5-2</v>
      </c>
      <c r="P1107" s="54">
        <f>+IF(AND(Y1107="Domingo",U1107=7),_xlfn.XLOOKUP(O1107,'Horarios y Sistemas'!C:C,'Horarios y Sistemas'!H:H,0,0,1),0)</f>
        <v>0</v>
      </c>
      <c r="Q1107" s="54">
        <f>IF(U1107=U1108,0,IF(AVERAGEIF(W:W,W1107,U:U)=U1107,0,_xlfn.XLOOKUP(O1107,'Horarios y Sistemas'!C:C,'Horarios y Sistemas'!H:H,0,0,1)-P1107))/7*U1107</f>
        <v>0</v>
      </c>
      <c r="R1107" s="54">
        <f t="shared" si="1359"/>
        <v>0</v>
      </c>
      <c r="S1107" s="55" t="str">
        <f t="shared" si="1360"/>
        <v>SEPTIEMBRE</v>
      </c>
      <c r="T1107" s="55" t="str">
        <f t="shared" si="1361"/>
        <v>Sem39</v>
      </c>
      <c r="U1107" s="56">
        <f t="shared" si="1343"/>
        <v>7</v>
      </c>
      <c r="V1107" s="57">
        <v>46286</v>
      </c>
      <c r="W1107" s="56">
        <f t="shared" si="1362"/>
        <v>39</v>
      </c>
      <c r="X1107" s="56">
        <f t="shared" si="1363"/>
        <v>21</v>
      </c>
      <c r="Y1107" s="56" t="s">
        <v>28</v>
      </c>
      <c r="Z1107" s="56">
        <v>1</v>
      </c>
      <c r="AA1107" s="58">
        <f t="shared" si="1332"/>
        <v>0</v>
      </c>
      <c r="AB1107" s="58">
        <f t="shared" si="1332"/>
        <v>1</v>
      </c>
      <c r="AC1107" s="58">
        <f t="shared" si="1332"/>
        <v>0</v>
      </c>
      <c r="AD1107" s="58">
        <f t="shared" si="1332"/>
        <v>0</v>
      </c>
      <c r="AE1107" s="58">
        <f t="shared" si="1332"/>
        <v>0</v>
      </c>
    </row>
    <row r="1108" spans="2:31">
      <c r="B1108" t="str">
        <f t="shared" si="1350"/>
        <v>Sem3939Sergio Enrique Rodriguez de Paz</v>
      </c>
      <c r="C1108" t="str">
        <f t="shared" si="1351"/>
        <v>SEPTIEMBRESem39</v>
      </c>
      <c r="D1108" t="str">
        <f t="shared" si="1352"/>
        <v>SEPTIEMBRESem39Sergio Enrique Rodriguez de Paz</v>
      </c>
      <c r="E1108" t="str">
        <f t="shared" si="1353"/>
        <v>SEPTIEMBRESem3939Sergio Enrique Rodriguez de Paz</v>
      </c>
      <c r="F1108" t="str">
        <f t="shared" si="1354"/>
        <v>Sergio Enrique Rodriguez de Paz46287</v>
      </c>
      <c r="H1108" s="49" t="s">
        <v>257</v>
      </c>
      <c r="I1108" s="50" t="str">
        <f>+_xlfn.XLOOKUP($H1108&amp;$V1108,BASEDATOS!$B:$B,BASEDATOS!F:F,0,0,1)</f>
        <v>NOCHE</v>
      </c>
      <c r="J1108" s="51">
        <f>+_xlfn.XLOOKUP($H1108&amp;$V1108,BASEDATOS!$B:$B,BASEDATOS!Q:Q,0,0,1)</f>
        <v>0.75</v>
      </c>
      <c r="K1108" s="51">
        <f>+_xlfn.XLOOKUP($H1108&amp;$V1108,BASEDATOS!$B:$B,BASEDATOS!R:R,0,0,1)</f>
        <v>0.25</v>
      </c>
      <c r="L1108" s="51">
        <f t="shared" si="1355"/>
        <v>0.5</v>
      </c>
      <c r="M1108" s="52" t="str">
        <f t="shared" si="1356"/>
        <v>1:00</v>
      </c>
      <c r="N1108" s="51">
        <f t="shared" si="1357"/>
        <v>0.45833333333333331</v>
      </c>
      <c r="O1108" s="53" t="str">
        <f t="shared" ref="O1108" si="1368">+O1113</f>
        <v>0-5-2</v>
      </c>
      <c r="P1108" s="54">
        <f>+IF(AND(Y1108="Domingo",U1108=7),_xlfn.XLOOKUP(O1108,'Horarios y Sistemas'!C:C,'Horarios y Sistemas'!H:H,0,0,1),0)</f>
        <v>0</v>
      </c>
      <c r="Q1108" s="54">
        <f>IF(U1108=U1109,0,IF(AVERAGEIF(W:W,W1108,U:U)=U1108,0,_xlfn.XLOOKUP(O1108,'Horarios y Sistemas'!C:C,'Horarios y Sistemas'!H:H,0,0,1)-P1108))/7*U1108</f>
        <v>0</v>
      </c>
      <c r="R1108" s="54">
        <f t="shared" si="1359"/>
        <v>0</v>
      </c>
      <c r="S1108" s="55" t="str">
        <f t="shared" si="1360"/>
        <v>SEPTIEMBRE</v>
      </c>
      <c r="T1108" s="55" t="str">
        <f t="shared" si="1361"/>
        <v>Sem39</v>
      </c>
      <c r="U1108" s="56">
        <f t="shared" si="1343"/>
        <v>7</v>
      </c>
      <c r="V1108" s="59">
        <v>46287</v>
      </c>
      <c r="W1108" s="56">
        <f t="shared" si="1362"/>
        <v>39</v>
      </c>
      <c r="X1108" s="56">
        <f t="shared" si="1363"/>
        <v>22</v>
      </c>
      <c r="Y1108" s="56" t="s">
        <v>29</v>
      </c>
      <c r="Z1108" s="56">
        <v>2</v>
      </c>
      <c r="AA1108" s="58">
        <f t="shared" si="1332"/>
        <v>0</v>
      </c>
      <c r="AB1108" s="58">
        <f t="shared" si="1332"/>
        <v>1</v>
      </c>
      <c r="AC1108" s="58">
        <f t="shared" si="1332"/>
        <v>0</v>
      </c>
      <c r="AD1108" s="58">
        <f t="shared" si="1332"/>
        <v>0</v>
      </c>
      <c r="AE1108" s="58">
        <f t="shared" si="1332"/>
        <v>0</v>
      </c>
    </row>
    <row r="1109" spans="2:31">
      <c r="B1109" t="str">
        <f t="shared" si="1350"/>
        <v>Sem3939Sergio Enrique Rodriguez de Paz</v>
      </c>
      <c r="C1109" t="str">
        <f t="shared" si="1351"/>
        <v>SEPTIEMBRESem39</v>
      </c>
      <c r="D1109" t="str">
        <f t="shared" si="1352"/>
        <v>SEPTIEMBRESem39Sergio Enrique Rodriguez de Paz</v>
      </c>
      <c r="E1109" t="str">
        <f t="shared" si="1353"/>
        <v>SEPTIEMBRESem3939Sergio Enrique Rodriguez de Paz</v>
      </c>
      <c r="F1109" t="str">
        <f t="shared" si="1354"/>
        <v>Sergio Enrique Rodriguez de Paz46288</v>
      </c>
      <c r="H1109" s="49" t="s">
        <v>257</v>
      </c>
      <c r="I1109" s="50" t="str">
        <f>+_xlfn.XLOOKUP($H1109&amp;$V1109,BASEDATOS!$B:$B,BASEDATOS!F:F,0,0,1)</f>
        <v>NOCHE</v>
      </c>
      <c r="J1109" s="51">
        <f>+_xlfn.XLOOKUP($H1109&amp;$V1109,BASEDATOS!$B:$B,BASEDATOS!Q:Q,0,0,1)</f>
        <v>0.75</v>
      </c>
      <c r="K1109" s="51">
        <f>+_xlfn.XLOOKUP($H1109&amp;$V1109,BASEDATOS!$B:$B,BASEDATOS!R:R,0,0,1)</f>
        <v>0.25</v>
      </c>
      <c r="L1109" s="51">
        <f t="shared" si="1355"/>
        <v>0.5</v>
      </c>
      <c r="M1109" s="52" t="str">
        <f t="shared" si="1356"/>
        <v>1:00</v>
      </c>
      <c r="N1109" s="51">
        <f t="shared" si="1357"/>
        <v>0.45833333333333331</v>
      </c>
      <c r="O1109" s="53" t="str">
        <f t="shared" ref="O1109" si="1369">+O1113</f>
        <v>0-5-2</v>
      </c>
      <c r="P1109" s="54">
        <f>+IF(AND(Y1109="Domingo",U1109=7),_xlfn.XLOOKUP(O1109,'Horarios y Sistemas'!C:C,'Horarios y Sistemas'!H:H,0,0,1),0)</f>
        <v>0</v>
      </c>
      <c r="Q1109" s="54">
        <f>IF(U1109=U1110,0,IF(AVERAGEIF(W:W,W1109,U:U)=U1109,0,_xlfn.XLOOKUP(O1109,'Horarios y Sistemas'!C:C,'Horarios y Sistemas'!H:H,0,0,1)-P1109))/7*U1109</f>
        <v>0</v>
      </c>
      <c r="R1109" s="54">
        <f t="shared" si="1359"/>
        <v>0</v>
      </c>
      <c r="S1109" s="55" t="str">
        <f t="shared" si="1360"/>
        <v>SEPTIEMBRE</v>
      </c>
      <c r="T1109" s="55" t="str">
        <f t="shared" si="1361"/>
        <v>Sem39</v>
      </c>
      <c r="U1109" s="56">
        <f t="shared" si="1343"/>
        <v>7</v>
      </c>
      <c r="V1109" s="59">
        <v>46288</v>
      </c>
      <c r="W1109" s="56">
        <f t="shared" si="1362"/>
        <v>39</v>
      </c>
      <c r="X1109" s="56">
        <f t="shared" si="1363"/>
        <v>23</v>
      </c>
      <c r="Y1109" s="56" t="s">
        <v>30</v>
      </c>
      <c r="Z1109" s="56">
        <v>3</v>
      </c>
      <c r="AA1109" s="58">
        <f t="shared" si="1332"/>
        <v>0</v>
      </c>
      <c r="AB1109" s="58">
        <f t="shared" si="1332"/>
        <v>1</v>
      </c>
      <c r="AC1109" s="58">
        <f t="shared" si="1332"/>
        <v>0</v>
      </c>
      <c r="AD1109" s="58">
        <f t="shared" si="1332"/>
        <v>0</v>
      </c>
      <c r="AE1109" s="58">
        <f t="shared" si="1332"/>
        <v>0</v>
      </c>
    </row>
    <row r="1110" spans="2:31">
      <c r="B1110" t="str">
        <f t="shared" si="1350"/>
        <v>Sem3939Sergio Enrique Rodriguez de Paz</v>
      </c>
      <c r="C1110" t="str">
        <f t="shared" si="1351"/>
        <v>SEPTIEMBRESem39</v>
      </c>
      <c r="D1110" t="str">
        <f t="shared" si="1352"/>
        <v>SEPTIEMBRESem39Sergio Enrique Rodriguez de Paz</v>
      </c>
      <c r="E1110" t="str">
        <f t="shared" si="1353"/>
        <v>SEPTIEMBRESem3939Sergio Enrique Rodriguez de Paz</v>
      </c>
      <c r="F1110" t="str">
        <f t="shared" si="1354"/>
        <v>Sergio Enrique Rodriguez de Paz46289</v>
      </c>
      <c r="H1110" s="49" t="s">
        <v>257</v>
      </c>
      <c r="I1110" s="50" t="str">
        <f>+_xlfn.XLOOKUP($H1110&amp;$V1110,BASEDATOS!$B:$B,BASEDATOS!F:F,0,0,1)</f>
        <v>NOCHE</v>
      </c>
      <c r="J1110" s="51">
        <f>+_xlfn.XLOOKUP($H1110&amp;$V1110,BASEDATOS!$B:$B,BASEDATOS!Q:Q,0,0,1)</f>
        <v>0.75</v>
      </c>
      <c r="K1110" s="51">
        <f>+_xlfn.XLOOKUP($H1110&amp;$V1110,BASEDATOS!$B:$B,BASEDATOS!R:R,0,0,1)</f>
        <v>0.25</v>
      </c>
      <c r="L1110" s="51">
        <f t="shared" si="1355"/>
        <v>0.5</v>
      </c>
      <c r="M1110" s="52" t="str">
        <f t="shared" si="1356"/>
        <v>1:00</v>
      </c>
      <c r="N1110" s="51">
        <f t="shared" si="1357"/>
        <v>0.45833333333333331</v>
      </c>
      <c r="O1110" s="53" t="str">
        <f t="shared" ref="O1110" si="1370">+O1113</f>
        <v>0-5-2</v>
      </c>
      <c r="P1110" s="54">
        <f>+IF(AND(Y1110="Domingo",U1110=7),_xlfn.XLOOKUP(O1110,'Horarios y Sistemas'!C:C,'Horarios y Sistemas'!H:H,0,0,1),0)</f>
        <v>0</v>
      </c>
      <c r="Q1110" s="54">
        <f>IF(U1110=U1111,0,IF(AVERAGEIF(W:W,W1110,U:U)=U1110,0,_xlfn.XLOOKUP(O1110,'Horarios y Sistemas'!C:C,'Horarios y Sistemas'!H:H,0,0,1)-P1110))/7*U1110</f>
        <v>0</v>
      </c>
      <c r="R1110" s="54">
        <f t="shared" si="1359"/>
        <v>0</v>
      </c>
      <c r="S1110" s="55" t="str">
        <f t="shared" si="1360"/>
        <v>SEPTIEMBRE</v>
      </c>
      <c r="T1110" s="55" t="str">
        <f t="shared" si="1361"/>
        <v>Sem39</v>
      </c>
      <c r="U1110" s="56">
        <f t="shared" si="1343"/>
        <v>7</v>
      </c>
      <c r="V1110" s="59">
        <v>46289</v>
      </c>
      <c r="W1110" s="56">
        <f t="shared" si="1362"/>
        <v>39</v>
      </c>
      <c r="X1110" s="56">
        <f t="shared" si="1363"/>
        <v>24</v>
      </c>
      <c r="Y1110" s="56" t="s">
        <v>31</v>
      </c>
      <c r="Z1110" s="56">
        <v>4</v>
      </c>
      <c r="AA1110" s="58">
        <f t="shared" si="1332"/>
        <v>0</v>
      </c>
      <c r="AB1110" s="58">
        <f t="shared" si="1332"/>
        <v>1</v>
      </c>
      <c r="AC1110" s="58">
        <f t="shared" si="1332"/>
        <v>0</v>
      </c>
      <c r="AD1110" s="58">
        <f t="shared" si="1332"/>
        <v>0</v>
      </c>
      <c r="AE1110" s="58">
        <f t="shared" si="1332"/>
        <v>0</v>
      </c>
    </row>
    <row r="1111" spans="2:31">
      <c r="B1111" t="str">
        <f t="shared" si="1350"/>
        <v>Sem3939Sergio Enrique Rodriguez de Paz</v>
      </c>
      <c r="C1111" t="str">
        <f t="shared" si="1351"/>
        <v>SEPTIEMBRESem39</v>
      </c>
      <c r="D1111" t="str">
        <f t="shared" si="1352"/>
        <v>SEPTIEMBRESem39Sergio Enrique Rodriguez de Paz</v>
      </c>
      <c r="E1111" t="str">
        <f t="shared" si="1353"/>
        <v>SEPTIEMBRESem3939Sergio Enrique Rodriguez de Paz</v>
      </c>
      <c r="F1111" t="str">
        <f t="shared" si="1354"/>
        <v>Sergio Enrique Rodriguez de Paz46290</v>
      </c>
      <c r="H1111" s="49" t="s">
        <v>257</v>
      </c>
      <c r="I1111" s="50" t="str">
        <f>+_xlfn.XLOOKUP($H1111&amp;$V1111,BASEDATOS!$B:$B,BASEDATOS!F:F,0,0,1)</f>
        <v>NOCHE</v>
      </c>
      <c r="J1111" s="51">
        <f>+_xlfn.XLOOKUP($H1111&amp;$V1111,BASEDATOS!$B:$B,BASEDATOS!Q:Q,0,0,1)</f>
        <v>0.75</v>
      </c>
      <c r="K1111" s="51">
        <f>+_xlfn.XLOOKUP($H1111&amp;$V1111,BASEDATOS!$B:$B,BASEDATOS!R:R,0,0,1)</f>
        <v>0.25</v>
      </c>
      <c r="L1111" s="51">
        <f t="shared" si="1355"/>
        <v>0.5</v>
      </c>
      <c r="M1111" s="52" t="str">
        <f t="shared" si="1356"/>
        <v>1:00</v>
      </c>
      <c r="N1111" s="51">
        <f t="shared" si="1357"/>
        <v>0.45833333333333331</v>
      </c>
      <c r="O1111" s="53" t="str">
        <f t="shared" ref="O1111" si="1371">+O1113</f>
        <v>0-5-2</v>
      </c>
      <c r="P1111" s="54">
        <f>+IF(AND(Y1111="Domingo",U1111=7),_xlfn.XLOOKUP(O1111,'Horarios y Sistemas'!C:C,'Horarios y Sistemas'!H:H,0,0,1),0)</f>
        <v>0</v>
      </c>
      <c r="Q1111" s="54">
        <f>IF(U1111=U1112,0,IF(AVERAGEIF(W:W,W1111,U:U)=U1111,0,_xlfn.XLOOKUP(O1111,'Horarios y Sistemas'!C:C,'Horarios y Sistemas'!H:H,0,0,1)-P1111))/7*U1111</f>
        <v>0</v>
      </c>
      <c r="R1111" s="54">
        <f t="shared" si="1359"/>
        <v>0</v>
      </c>
      <c r="S1111" s="55" t="str">
        <f t="shared" si="1360"/>
        <v>SEPTIEMBRE</v>
      </c>
      <c r="T1111" s="55" t="str">
        <f t="shared" si="1361"/>
        <v>Sem39</v>
      </c>
      <c r="U1111" s="56">
        <f t="shared" si="1343"/>
        <v>7</v>
      </c>
      <c r="V1111" s="59">
        <v>46290</v>
      </c>
      <c r="W1111" s="56">
        <f t="shared" si="1362"/>
        <v>39</v>
      </c>
      <c r="X1111" s="56">
        <f t="shared" si="1363"/>
        <v>25</v>
      </c>
      <c r="Y1111" s="56" t="s">
        <v>32</v>
      </c>
      <c r="Z1111" s="56">
        <v>5</v>
      </c>
      <c r="AA1111" s="58">
        <f t="shared" si="1332"/>
        <v>0</v>
      </c>
      <c r="AB1111" s="58">
        <f t="shared" si="1332"/>
        <v>1</v>
      </c>
      <c r="AC1111" s="58">
        <f t="shared" si="1332"/>
        <v>0</v>
      </c>
      <c r="AD1111" s="58">
        <f t="shared" si="1332"/>
        <v>0</v>
      </c>
      <c r="AE1111" s="58">
        <f t="shared" si="1332"/>
        <v>0</v>
      </c>
    </row>
    <row r="1112" spans="2:31">
      <c r="B1112" t="str">
        <f t="shared" si="1350"/>
        <v>Sem3939Sergio Enrique Rodriguez de Paz</v>
      </c>
      <c r="C1112" t="str">
        <f t="shared" si="1351"/>
        <v>SEPTIEMBRESem39</v>
      </c>
      <c r="D1112" t="str">
        <f t="shared" si="1352"/>
        <v>SEPTIEMBRESem39Sergio Enrique Rodriguez de Paz</v>
      </c>
      <c r="E1112" t="str">
        <f t="shared" si="1353"/>
        <v>SEPTIEMBRESem3939Sergio Enrique Rodriguez de Paz</v>
      </c>
      <c r="F1112" t="str">
        <f t="shared" si="1354"/>
        <v>Sergio Enrique Rodriguez de Paz46291</v>
      </c>
      <c r="H1112" s="49" t="s">
        <v>257</v>
      </c>
      <c r="I1112" s="50" t="str">
        <f>+_xlfn.XLOOKUP($H1112&amp;$V1112,BASEDATOS!$B:$B,BASEDATOS!F:F,0,0,1)</f>
        <v>DESCANSO</v>
      </c>
      <c r="J1112" s="51">
        <f>+_xlfn.XLOOKUP($H1112&amp;$V1112,BASEDATOS!$B:$B,BASEDATOS!Q:Q,0,0,1)</f>
        <v>0</v>
      </c>
      <c r="K1112" s="51">
        <f>+_xlfn.XLOOKUP($H1112&amp;$V1112,BASEDATOS!$B:$B,BASEDATOS!R:R,0,0,1)</f>
        <v>0</v>
      </c>
      <c r="L1112" s="51">
        <f t="shared" si="1355"/>
        <v>0</v>
      </c>
      <c r="M1112" s="52">
        <f t="shared" si="1356"/>
        <v>0</v>
      </c>
      <c r="N1112" s="51">
        <f t="shared" si="1357"/>
        <v>0</v>
      </c>
      <c r="O1112" s="53" t="str">
        <f t="shared" ref="O1112" si="1372">+O1113</f>
        <v>0-5-2</v>
      </c>
      <c r="P1112" s="54">
        <f>+IF(AND(Y1112="Domingo",U1112=7),_xlfn.XLOOKUP(O1112,'Horarios y Sistemas'!C:C,'Horarios y Sistemas'!H:H,0,0,1),0)</f>
        <v>0</v>
      </c>
      <c r="Q1112" s="54">
        <f>IF(U1112=U1113,0,IF(AVERAGEIF(W:W,W1112,U:U)=U1112,0,_xlfn.XLOOKUP(O1112,'Horarios y Sistemas'!C:C,'Horarios y Sistemas'!H:H,0,0,1)-P1112))/7*U1112</f>
        <v>0</v>
      </c>
      <c r="R1112" s="54">
        <f t="shared" si="1359"/>
        <v>0</v>
      </c>
      <c r="S1112" s="55" t="str">
        <f t="shared" si="1360"/>
        <v>SEPTIEMBRE</v>
      </c>
      <c r="T1112" s="55" t="str">
        <f t="shared" si="1361"/>
        <v>Sem39</v>
      </c>
      <c r="U1112" s="56">
        <f t="shared" si="1343"/>
        <v>7</v>
      </c>
      <c r="V1112" s="59">
        <v>46291</v>
      </c>
      <c r="W1112" s="56">
        <f t="shared" si="1362"/>
        <v>39</v>
      </c>
      <c r="X1112" s="56">
        <f t="shared" si="1363"/>
        <v>26</v>
      </c>
      <c r="Y1112" s="56" t="s">
        <v>33</v>
      </c>
      <c r="Z1112" s="56">
        <v>6</v>
      </c>
      <c r="AA1112" s="58">
        <f t="shared" si="1332"/>
        <v>0</v>
      </c>
      <c r="AB1112" s="58">
        <f t="shared" si="1332"/>
        <v>0</v>
      </c>
      <c r="AC1112" s="58">
        <f t="shared" si="1332"/>
        <v>1</v>
      </c>
      <c r="AD1112" s="58">
        <f t="shared" si="1332"/>
        <v>0</v>
      </c>
      <c r="AE1112" s="58">
        <f t="shared" si="1332"/>
        <v>0</v>
      </c>
    </row>
    <row r="1113" spans="2:31">
      <c r="B1113" s="60" t="str">
        <f t="shared" si="1350"/>
        <v>Sem3939Sergio Enrique Rodriguez de Paz</v>
      </c>
      <c r="C1113" s="60" t="str">
        <f t="shared" si="1351"/>
        <v>SEPTIEMBRESem39</v>
      </c>
      <c r="D1113" s="60" t="str">
        <f t="shared" si="1352"/>
        <v>SEPTIEMBRESem39Sergio Enrique Rodriguez de Paz</v>
      </c>
      <c r="E1113" s="60" t="str">
        <f t="shared" si="1353"/>
        <v>SEPTIEMBRESem3939Sergio Enrique Rodriguez de Paz</v>
      </c>
      <c r="F1113" s="60" t="str">
        <f t="shared" si="1354"/>
        <v>Sergio Enrique Rodriguez de Paz46292</v>
      </c>
      <c r="G1113" s="60"/>
      <c r="H1113" s="61" t="s">
        <v>257</v>
      </c>
      <c r="I1113" s="62" t="str">
        <f>+_xlfn.XLOOKUP($H1113&amp;$V1113,BASEDATOS!$B:$B,BASEDATOS!F:F,0,0,1)</f>
        <v>DESCANSO</v>
      </c>
      <c r="J1113" s="63">
        <f>+_xlfn.XLOOKUP($H1113&amp;$V1113,BASEDATOS!$B:$B,BASEDATOS!Q:Q,0,0,1)</f>
        <v>0</v>
      </c>
      <c r="K1113" s="63">
        <f>+_xlfn.XLOOKUP($H1113&amp;$V1113,BASEDATOS!$B:$B,BASEDATOS!R:R,0,0,1)</f>
        <v>0</v>
      </c>
      <c r="L1113" s="63">
        <f t="shared" si="1355"/>
        <v>0</v>
      </c>
      <c r="M1113" s="64">
        <f t="shared" si="1356"/>
        <v>0</v>
      </c>
      <c r="N1113" s="63">
        <f t="shared" si="1357"/>
        <v>0</v>
      </c>
      <c r="O1113" s="65" t="str">
        <f t="shared" ref="O1113" si="1373">+IF(Y1113="Domingo",SUM(AA1107:AA1113)&amp;"-"&amp;SUM(AB1107:AB1113)&amp;"-"&amp;SUM(AC1107:AE1113),"")</f>
        <v>0-5-2</v>
      </c>
      <c r="P1113" s="66">
        <f>+IF(AND(Y1113="Domingo",U1113=7),_xlfn.XLOOKUP(O1113,'Horarios y Sistemas'!C:C,'Horarios y Sistemas'!H:H,0,0,1),0)</f>
        <v>36</v>
      </c>
      <c r="Q1113" s="66">
        <f>IF(U1113=U1114,0,IF(AVERAGEIF(W:W,W1113,U:U)=U1113,0,_xlfn.XLOOKUP(O1113,'Horarios y Sistemas'!C:C,'Horarios y Sistemas'!H:H,0,0,1)-P1113))/7*U1113</f>
        <v>0</v>
      </c>
      <c r="R1113" s="66">
        <f t="shared" si="1359"/>
        <v>36</v>
      </c>
      <c r="S1113" s="67" t="str">
        <f t="shared" si="1360"/>
        <v>SEPTIEMBRE</v>
      </c>
      <c r="T1113" s="55" t="str">
        <f t="shared" si="1361"/>
        <v>Sem39</v>
      </c>
      <c r="U1113" s="68">
        <f t="shared" si="1343"/>
        <v>7</v>
      </c>
      <c r="V1113" s="69">
        <v>46292</v>
      </c>
      <c r="W1113" s="68">
        <f t="shared" si="1362"/>
        <v>39</v>
      </c>
      <c r="X1113" s="68">
        <f t="shared" si="1363"/>
        <v>27</v>
      </c>
      <c r="Y1113" s="68" t="s">
        <v>34</v>
      </c>
      <c r="Z1113" s="68">
        <v>7</v>
      </c>
      <c r="AA1113" s="70">
        <f t="shared" si="1332"/>
        <v>0</v>
      </c>
      <c r="AB1113" s="70">
        <f t="shared" si="1332"/>
        <v>0</v>
      </c>
      <c r="AC1113" s="70">
        <f t="shared" si="1332"/>
        <v>1</v>
      </c>
      <c r="AD1113" s="70">
        <f t="shared" si="1332"/>
        <v>0</v>
      </c>
      <c r="AE1113" s="70">
        <f t="shared" si="1332"/>
        <v>0</v>
      </c>
    </row>
    <row r="1114" spans="2:31">
      <c r="B1114" t="str">
        <f t="shared" si="1350"/>
        <v>Sem4040Sergio Enrique Rodriguez de Paz</v>
      </c>
      <c r="C1114" t="str">
        <f t="shared" si="1351"/>
        <v>SEPTIEMBRESem40</v>
      </c>
      <c r="D1114" t="str">
        <f t="shared" si="1352"/>
        <v>SEPTIEMBRESem40Sergio Enrique Rodriguez de Paz</v>
      </c>
      <c r="E1114" t="str">
        <f t="shared" si="1353"/>
        <v>SEPTIEMBRESem4040Sergio Enrique Rodriguez de Paz</v>
      </c>
      <c r="F1114" t="str">
        <f t="shared" si="1354"/>
        <v>Sergio Enrique Rodriguez de Paz46293</v>
      </c>
      <c r="H1114" s="49" t="s">
        <v>257</v>
      </c>
      <c r="I1114" s="50" t="str">
        <f>+_xlfn.XLOOKUP($H1114&amp;$V1114,BASEDATOS!$B:$B,BASEDATOS!F:F,0,0,1)</f>
        <v>DIA</v>
      </c>
      <c r="J1114" s="51">
        <f>+_xlfn.XLOOKUP($H1114&amp;$V1114,BASEDATOS!$B:$B,BASEDATOS!Q:Q,0,0,1)</f>
        <v>0.25</v>
      </c>
      <c r="K1114" s="51">
        <f>+_xlfn.XLOOKUP($H1114&amp;$V1114,BASEDATOS!$B:$B,BASEDATOS!R:R,0,0,1)</f>
        <v>0.75</v>
      </c>
      <c r="L1114" s="51">
        <f t="shared" si="1355"/>
        <v>0.5</v>
      </c>
      <c r="M1114" s="52" t="str">
        <f t="shared" si="1356"/>
        <v>1:00</v>
      </c>
      <c r="N1114" s="51">
        <f t="shared" si="1357"/>
        <v>0.45833333333333331</v>
      </c>
      <c r="O1114" s="53" t="str">
        <f t="shared" ref="O1114" si="1374">+O1120</f>
        <v>6-0-1</v>
      </c>
      <c r="P1114" s="54">
        <f>+IF(AND(Y1114="Domingo",U1114=7),_xlfn.XLOOKUP(O1114,'Horarios y Sistemas'!C:C,'Horarios y Sistemas'!H:H,0,0,1),0)</f>
        <v>0</v>
      </c>
      <c r="Q1114" s="54">
        <f>IF(U1114=U1115,0,IF(AVERAGEIF(W:W,W1114,U:U)=U1114,0,_xlfn.XLOOKUP(O1114,'Horarios y Sistemas'!C:C,'Horarios y Sistemas'!H:H,0,0,1)-P1114))/7*U1114</f>
        <v>0</v>
      </c>
      <c r="R1114" s="54">
        <f t="shared" si="1359"/>
        <v>0</v>
      </c>
      <c r="S1114" s="55" t="str">
        <f t="shared" si="1360"/>
        <v>SEPTIEMBRE</v>
      </c>
      <c r="T1114" s="55" t="str">
        <f t="shared" si="1361"/>
        <v>Sem40</v>
      </c>
      <c r="U1114" s="56">
        <f t="shared" si="1343"/>
        <v>7</v>
      </c>
      <c r="V1114" s="59">
        <v>46293</v>
      </c>
      <c r="W1114" s="56">
        <f t="shared" si="1362"/>
        <v>40</v>
      </c>
      <c r="X1114" s="56">
        <f t="shared" si="1363"/>
        <v>28</v>
      </c>
      <c r="Y1114" s="56" t="s">
        <v>28</v>
      </c>
      <c r="Z1114" s="56">
        <v>1</v>
      </c>
      <c r="AA1114" s="58">
        <f t="shared" si="1332"/>
        <v>1</v>
      </c>
      <c r="AB1114" s="58">
        <f t="shared" si="1332"/>
        <v>0</v>
      </c>
      <c r="AC1114" s="58">
        <f t="shared" si="1332"/>
        <v>0</v>
      </c>
      <c r="AD1114" s="58">
        <f t="shared" si="1332"/>
        <v>0</v>
      </c>
      <c r="AE1114" s="58">
        <f t="shared" si="1332"/>
        <v>0</v>
      </c>
    </row>
    <row r="1115" spans="2:31">
      <c r="B1115" t="str">
        <f t="shared" si="1350"/>
        <v>Sem4040Sergio Enrique Rodriguez de Paz</v>
      </c>
      <c r="C1115" t="str">
        <f t="shared" si="1351"/>
        <v>SEPTIEMBRESem40</v>
      </c>
      <c r="D1115" t="str">
        <f t="shared" si="1352"/>
        <v>SEPTIEMBRESem40Sergio Enrique Rodriguez de Paz</v>
      </c>
      <c r="E1115" t="str">
        <f t="shared" si="1353"/>
        <v>SEPTIEMBRESem4040Sergio Enrique Rodriguez de Paz</v>
      </c>
      <c r="F1115" t="str">
        <f t="shared" si="1354"/>
        <v>Sergio Enrique Rodriguez de Paz46294</v>
      </c>
      <c r="H1115" s="49" t="s">
        <v>257</v>
      </c>
      <c r="I1115" s="50" t="str">
        <f>+_xlfn.XLOOKUP($H1115&amp;$V1115,BASEDATOS!$B:$B,BASEDATOS!F:F,0,0,1)</f>
        <v>DIA</v>
      </c>
      <c r="J1115" s="51">
        <f>+_xlfn.XLOOKUP($H1115&amp;$V1115,BASEDATOS!$B:$B,BASEDATOS!Q:Q,0,0,1)</f>
        <v>0.25</v>
      </c>
      <c r="K1115" s="51">
        <f>+_xlfn.XLOOKUP($H1115&amp;$V1115,BASEDATOS!$B:$B,BASEDATOS!R:R,0,0,1)</f>
        <v>0.75</v>
      </c>
      <c r="L1115" s="51">
        <f t="shared" si="1355"/>
        <v>0.5</v>
      </c>
      <c r="M1115" s="52" t="str">
        <f t="shared" si="1356"/>
        <v>1:00</v>
      </c>
      <c r="N1115" s="51">
        <f t="shared" si="1357"/>
        <v>0.45833333333333331</v>
      </c>
      <c r="O1115" s="53" t="str">
        <f t="shared" ref="O1115" si="1375">+O1120</f>
        <v>6-0-1</v>
      </c>
      <c r="P1115" s="54">
        <f>+IF(AND(Y1115="Domingo",U1115=7),_xlfn.XLOOKUP(O1115,'Horarios y Sistemas'!C:C,'Horarios y Sistemas'!H:H,0,0,1),0)</f>
        <v>0</v>
      </c>
      <c r="Q1115" s="54">
        <f>IF(U1115=U1116,0,IF(AVERAGEIF(W:W,W1115,U:U)=U1115,0,_xlfn.XLOOKUP(O1115,'Horarios y Sistemas'!C:C,'Horarios y Sistemas'!H:H,0,0,1)-P1115))/7*U1115</f>
        <v>0</v>
      </c>
      <c r="R1115" s="54">
        <f t="shared" si="1359"/>
        <v>0</v>
      </c>
      <c r="S1115" s="55" t="str">
        <f t="shared" si="1360"/>
        <v>SEPTIEMBRE</v>
      </c>
      <c r="T1115" s="55" t="str">
        <f t="shared" si="1361"/>
        <v>Sem40</v>
      </c>
      <c r="U1115" s="56">
        <f t="shared" si="1343"/>
        <v>7</v>
      </c>
      <c r="V1115" s="59">
        <v>46294</v>
      </c>
      <c r="W1115" s="56">
        <f t="shared" si="1362"/>
        <v>40</v>
      </c>
      <c r="X1115" s="56">
        <f t="shared" si="1363"/>
        <v>29</v>
      </c>
      <c r="Y1115" s="56" t="s">
        <v>29</v>
      </c>
      <c r="Z1115" s="56">
        <v>2</v>
      </c>
      <c r="AA1115" s="58">
        <f t="shared" si="1332"/>
        <v>1</v>
      </c>
      <c r="AB1115" s="58">
        <f t="shared" si="1332"/>
        <v>0</v>
      </c>
      <c r="AC1115" s="58">
        <f t="shared" si="1332"/>
        <v>0</v>
      </c>
      <c r="AD1115" s="58">
        <f t="shared" si="1332"/>
        <v>0</v>
      </c>
      <c r="AE1115" s="58">
        <f t="shared" si="1332"/>
        <v>0</v>
      </c>
    </row>
    <row r="1116" spans="2:31">
      <c r="B1116" t="str">
        <f t="shared" si="1350"/>
        <v>Sem4040Sergio Enrique Rodriguez de Paz</v>
      </c>
      <c r="C1116" t="str">
        <f t="shared" si="1351"/>
        <v>SEPTIEMBRESem40</v>
      </c>
      <c r="D1116" t="str">
        <f t="shared" si="1352"/>
        <v>SEPTIEMBRESem40Sergio Enrique Rodriguez de Paz</v>
      </c>
      <c r="E1116" t="str">
        <f t="shared" si="1353"/>
        <v>SEPTIEMBRESem4040Sergio Enrique Rodriguez de Paz</v>
      </c>
      <c r="F1116" t="str">
        <f t="shared" si="1354"/>
        <v>Sergio Enrique Rodriguez de Paz46295</v>
      </c>
      <c r="H1116" s="49" t="s">
        <v>257</v>
      </c>
      <c r="I1116" s="50" t="str">
        <f>+_xlfn.XLOOKUP($H1116&amp;$V1116,BASEDATOS!$B:$B,BASEDATOS!F:F,0,0,1)</f>
        <v>DIA</v>
      </c>
      <c r="J1116" s="51">
        <f>+_xlfn.XLOOKUP($H1116&amp;$V1116,BASEDATOS!$B:$B,BASEDATOS!Q:Q,0,0,1)</f>
        <v>0.25</v>
      </c>
      <c r="K1116" s="51">
        <f>+_xlfn.XLOOKUP($H1116&amp;$V1116,BASEDATOS!$B:$B,BASEDATOS!R:R,0,0,1)</f>
        <v>0.75</v>
      </c>
      <c r="L1116" s="51">
        <f t="shared" si="1355"/>
        <v>0.5</v>
      </c>
      <c r="M1116" s="52" t="str">
        <f t="shared" si="1356"/>
        <v>1:00</v>
      </c>
      <c r="N1116" s="51">
        <f t="shared" si="1357"/>
        <v>0.45833333333333331</v>
      </c>
      <c r="O1116" s="53" t="str">
        <f t="shared" ref="O1116" si="1376">+O1120</f>
        <v>6-0-1</v>
      </c>
      <c r="P1116" s="54">
        <f>+IF(AND(Y1116="Domingo",U1116=7),_xlfn.XLOOKUP(O1116,'Horarios y Sistemas'!C:C,'Horarios y Sistemas'!H:H,0,0,1),0)</f>
        <v>0</v>
      </c>
      <c r="Q1116" s="54">
        <f>IF(U1116=U1117,0,IF(AVERAGEIF(W:W,W1116,U:U)=U1116,0,_xlfn.XLOOKUP(O1116,'Horarios y Sistemas'!C:C,'Horarios y Sistemas'!H:H,0,0,1)-P1116))/7*U1116</f>
        <v>0</v>
      </c>
      <c r="R1116" s="54">
        <f t="shared" si="1359"/>
        <v>0</v>
      </c>
      <c r="S1116" s="55" t="str">
        <f t="shared" si="1360"/>
        <v>SEPTIEMBRE</v>
      </c>
      <c r="T1116" s="55" t="str">
        <f t="shared" si="1361"/>
        <v>Sem40</v>
      </c>
      <c r="U1116" s="56">
        <f t="shared" si="1343"/>
        <v>7</v>
      </c>
      <c r="V1116" s="59">
        <v>46295</v>
      </c>
      <c r="W1116" s="56">
        <f t="shared" si="1362"/>
        <v>40</v>
      </c>
      <c r="X1116" s="56">
        <f t="shared" si="1363"/>
        <v>30</v>
      </c>
      <c r="Y1116" s="56" t="s">
        <v>30</v>
      </c>
      <c r="Z1116" s="56">
        <v>3</v>
      </c>
      <c r="AA1116" s="58">
        <f t="shared" si="1332"/>
        <v>1</v>
      </c>
      <c r="AB1116" s="58">
        <f t="shared" si="1332"/>
        <v>0</v>
      </c>
      <c r="AC1116" s="58">
        <f t="shared" si="1332"/>
        <v>0</v>
      </c>
      <c r="AD1116" s="58">
        <f t="shared" si="1332"/>
        <v>0</v>
      </c>
      <c r="AE1116" s="58">
        <f t="shared" si="1332"/>
        <v>0</v>
      </c>
    </row>
    <row r="1117" spans="2:31">
      <c r="B1117" t="str">
        <f t="shared" si="1350"/>
        <v>Sem4040Sergio Enrique Rodriguez de Paz</v>
      </c>
      <c r="C1117" t="str">
        <f t="shared" si="1351"/>
        <v>OCTUBRESem40</v>
      </c>
      <c r="D1117" t="str">
        <f t="shared" si="1352"/>
        <v>OCTUBRESem40Sergio Enrique Rodriguez de Paz</v>
      </c>
      <c r="E1117" t="str">
        <f t="shared" si="1353"/>
        <v>OCTUBRESem4040Sergio Enrique Rodriguez de Paz</v>
      </c>
      <c r="F1117" t="str">
        <f t="shared" si="1354"/>
        <v>Sergio Enrique Rodriguez de Paz46296</v>
      </c>
      <c r="H1117" s="49" t="s">
        <v>257</v>
      </c>
      <c r="I1117" s="50" t="str">
        <f>+_xlfn.XLOOKUP($H1117&amp;$V1117,BASEDATOS!$B:$B,BASEDATOS!F:F,0,0,1)</f>
        <v>DIA</v>
      </c>
      <c r="J1117" s="51">
        <f>+_xlfn.XLOOKUP($H1117&amp;$V1117,BASEDATOS!$B:$B,BASEDATOS!Q:Q,0,0,1)</f>
        <v>0.25</v>
      </c>
      <c r="K1117" s="51">
        <f>+_xlfn.XLOOKUP($H1117&amp;$V1117,BASEDATOS!$B:$B,BASEDATOS!R:R,0,0,1)</f>
        <v>0.75</v>
      </c>
      <c r="L1117" s="51">
        <f t="shared" si="1355"/>
        <v>0.5</v>
      </c>
      <c r="M1117" s="52" t="str">
        <f t="shared" si="1356"/>
        <v>1:00</v>
      </c>
      <c r="N1117" s="51">
        <f t="shared" si="1357"/>
        <v>0.45833333333333331</v>
      </c>
      <c r="O1117" s="53" t="str">
        <f t="shared" ref="O1117" si="1377">+O1120</f>
        <v>6-0-1</v>
      </c>
      <c r="P1117" s="54">
        <f>+IF(AND(Y1117="Domingo",U1117=7),_xlfn.XLOOKUP(O1117,'Horarios y Sistemas'!C:C,'Horarios y Sistemas'!H:H,0,0,1),0)</f>
        <v>0</v>
      </c>
      <c r="Q1117" s="54">
        <f>IF(U1117=U1118,0,IF(AVERAGEIF(W:W,W1117,U:U)=U1117,0,_xlfn.XLOOKUP(O1117,'Horarios y Sistemas'!C:C,'Horarios y Sistemas'!H:H,0,0,1)-P1117))/7*U1117</f>
        <v>0</v>
      </c>
      <c r="R1117" s="54">
        <f t="shared" si="1359"/>
        <v>0</v>
      </c>
      <c r="S1117" s="55" t="str">
        <f t="shared" si="1360"/>
        <v>OCTUBRE</v>
      </c>
      <c r="T1117" s="55" t="str">
        <f t="shared" si="1361"/>
        <v>Sem40</v>
      </c>
      <c r="U1117" s="56">
        <f t="shared" si="1343"/>
        <v>7</v>
      </c>
      <c r="V1117" s="59">
        <v>46296</v>
      </c>
      <c r="W1117" s="56">
        <f t="shared" si="1362"/>
        <v>40</v>
      </c>
      <c r="X1117" s="56">
        <f t="shared" si="1363"/>
        <v>1</v>
      </c>
      <c r="Y1117" s="56" t="s">
        <v>31</v>
      </c>
      <c r="Z1117" s="56">
        <v>4</v>
      </c>
      <c r="AA1117" s="58">
        <f t="shared" si="1332"/>
        <v>1</v>
      </c>
      <c r="AB1117" s="58">
        <f t="shared" si="1332"/>
        <v>0</v>
      </c>
      <c r="AC1117" s="58">
        <f t="shared" si="1332"/>
        <v>0</v>
      </c>
      <c r="AD1117" s="58">
        <f t="shared" si="1332"/>
        <v>0</v>
      </c>
      <c r="AE1117" s="58">
        <f t="shared" si="1332"/>
        <v>0</v>
      </c>
    </row>
    <row r="1118" spans="2:31">
      <c r="B1118" t="str">
        <f t="shared" si="1350"/>
        <v>Sem4040Sergio Enrique Rodriguez de Paz</v>
      </c>
      <c r="C1118" t="str">
        <f t="shared" si="1351"/>
        <v>OCTUBRESem40</v>
      </c>
      <c r="D1118" t="str">
        <f t="shared" si="1352"/>
        <v>OCTUBRESem40Sergio Enrique Rodriguez de Paz</v>
      </c>
      <c r="E1118" t="str">
        <f t="shared" si="1353"/>
        <v>OCTUBRESem4040Sergio Enrique Rodriguez de Paz</v>
      </c>
      <c r="F1118" t="str">
        <f t="shared" si="1354"/>
        <v>Sergio Enrique Rodriguez de Paz46297</v>
      </c>
      <c r="H1118" s="49" t="s">
        <v>257</v>
      </c>
      <c r="I1118" s="50" t="str">
        <f>+_xlfn.XLOOKUP($H1118&amp;$V1118,BASEDATOS!$B:$B,BASEDATOS!F:F,0,0,1)</f>
        <v>DIA</v>
      </c>
      <c r="J1118" s="51">
        <f>+_xlfn.XLOOKUP($H1118&amp;$V1118,BASEDATOS!$B:$B,BASEDATOS!Q:Q,0,0,1)</f>
        <v>0.25</v>
      </c>
      <c r="K1118" s="51">
        <f>+_xlfn.XLOOKUP($H1118&amp;$V1118,BASEDATOS!$B:$B,BASEDATOS!R:R,0,0,1)</f>
        <v>0.75</v>
      </c>
      <c r="L1118" s="51">
        <f t="shared" si="1355"/>
        <v>0.5</v>
      </c>
      <c r="M1118" s="52" t="str">
        <f t="shared" si="1356"/>
        <v>1:00</v>
      </c>
      <c r="N1118" s="51">
        <f t="shared" si="1357"/>
        <v>0.45833333333333331</v>
      </c>
      <c r="O1118" s="53" t="str">
        <f t="shared" ref="O1118" si="1378">+O1120</f>
        <v>6-0-1</v>
      </c>
      <c r="P1118" s="54">
        <f>+IF(AND(Y1118="Domingo",U1118=7),_xlfn.XLOOKUP(O1118,'Horarios y Sistemas'!C:C,'Horarios y Sistemas'!H:H,0,0,1),0)</f>
        <v>0</v>
      </c>
      <c r="Q1118" s="54">
        <f>IF(U1118=U1119,0,IF(AVERAGEIF(W:W,W1118,U:U)=U1118,0,_xlfn.XLOOKUP(O1118,'Horarios y Sistemas'!C:C,'Horarios y Sistemas'!H:H,0,0,1)-P1118))/7*U1118</f>
        <v>0</v>
      </c>
      <c r="R1118" s="54">
        <f t="shared" si="1359"/>
        <v>0</v>
      </c>
      <c r="S1118" s="55" t="str">
        <f t="shared" si="1360"/>
        <v>OCTUBRE</v>
      </c>
      <c r="T1118" s="55" t="str">
        <f t="shared" si="1361"/>
        <v>Sem40</v>
      </c>
      <c r="U1118" s="56">
        <f t="shared" si="1343"/>
        <v>7</v>
      </c>
      <c r="V1118" s="59">
        <v>46297</v>
      </c>
      <c r="W1118" s="56">
        <f t="shared" si="1362"/>
        <v>40</v>
      </c>
      <c r="X1118" s="56">
        <f t="shared" si="1363"/>
        <v>2</v>
      </c>
      <c r="Y1118" s="56" t="s">
        <v>32</v>
      </c>
      <c r="Z1118" s="56">
        <v>5</v>
      </c>
      <c r="AA1118" s="58">
        <f t="shared" si="1332"/>
        <v>1</v>
      </c>
      <c r="AB1118" s="58">
        <f t="shared" si="1332"/>
        <v>0</v>
      </c>
      <c r="AC1118" s="58">
        <f t="shared" si="1332"/>
        <v>0</v>
      </c>
      <c r="AD1118" s="58">
        <f t="shared" si="1332"/>
        <v>0</v>
      </c>
      <c r="AE1118" s="58">
        <f t="shared" si="1332"/>
        <v>0</v>
      </c>
    </row>
    <row r="1119" spans="2:31">
      <c r="B1119" t="str">
        <f t="shared" si="1350"/>
        <v>Sem4040Sergio Enrique Rodriguez de Paz</v>
      </c>
      <c r="C1119" t="str">
        <f t="shared" si="1351"/>
        <v>OCTUBRESem40</v>
      </c>
      <c r="D1119" t="str">
        <f t="shared" si="1352"/>
        <v>OCTUBRESem40Sergio Enrique Rodriguez de Paz</v>
      </c>
      <c r="E1119" t="str">
        <f t="shared" si="1353"/>
        <v>OCTUBRESem4040Sergio Enrique Rodriguez de Paz</v>
      </c>
      <c r="F1119" t="str">
        <f t="shared" si="1354"/>
        <v>Sergio Enrique Rodriguez de Paz46298</v>
      </c>
      <c r="H1119" s="49" t="s">
        <v>257</v>
      </c>
      <c r="I1119" s="50" t="str">
        <f>+_xlfn.XLOOKUP($H1119&amp;$V1119,BASEDATOS!$B:$B,BASEDATOS!F:F,0,0,1)</f>
        <v>DIA</v>
      </c>
      <c r="J1119" s="51">
        <f>+_xlfn.XLOOKUP($H1119&amp;$V1119,BASEDATOS!$B:$B,BASEDATOS!Q:Q,0,0,1)</f>
        <v>0.25</v>
      </c>
      <c r="K1119" s="51">
        <f>+_xlfn.XLOOKUP($H1119&amp;$V1119,BASEDATOS!$B:$B,BASEDATOS!R:R,0,0,1)</f>
        <v>0.58333333333333304</v>
      </c>
      <c r="L1119" s="51">
        <f t="shared" si="1355"/>
        <v>0.33333333333333304</v>
      </c>
      <c r="M1119" s="52" t="str">
        <f t="shared" si="1356"/>
        <v>1:00</v>
      </c>
      <c r="N1119" s="51">
        <f t="shared" si="1357"/>
        <v>0.29166666666666635</v>
      </c>
      <c r="O1119" s="53" t="str">
        <f t="shared" ref="O1119" si="1379">+O1120</f>
        <v>6-0-1</v>
      </c>
      <c r="P1119" s="54">
        <f>+IF(AND(Y1119="Domingo",U1119=7),_xlfn.XLOOKUP(O1119,'Horarios y Sistemas'!C:C,'Horarios y Sistemas'!H:H,0,0,1),0)</f>
        <v>0</v>
      </c>
      <c r="Q1119" s="54">
        <f>IF(U1119=U1120,0,IF(AVERAGEIF(W:W,W1119,U:U)=U1119,0,_xlfn.XLOOKUP(O1119,'Horarios y Sistemas'!C:C,'Horarios y Sistemas'!H:H,0,0,1)-P1119))/7*U1119</f>
        <v>0</v>
      </c>
      <c r="R1119" s="54">
        <f t="shared" si="1359"/>
        <v>0</v>
      </c>
      <c r="S1119" s="55" t="str">
        <f t="shared" si="1360"/>
        <v>OCTUBRE</v>
      </c>
      <c r="T1119" s="55" t="str">
        <f t="shared" si="1361"/>
        <v>Sem40</v>
      </c>
      <c r="U1119" s="56">
        <f t="shared" si="1343"/>
        <v>7</v>
      </c>
      <c r="V1119" s="59">
        <v>46298</v>
      </c>
      <c r="W1119" s="56">
        <f t="shared" si="1362"/>
        <v>40</v>
      </c>
      <c r="X1119" s="56">
        <f t="shared" si="1363"/>
        <v>3</v>
      </c>
      <c r="Y1119" s="56" t="s">
        <v>33</v>
      </c>
      <c r="Z1119" s="56">
        <v>6</v>
      </c>
      <c r="AA1119" s="58">
        <f t="shared" si="1332"/>
        <v>1</v>
      </c>
      <c r="AB1119" s="58">
        <f t="shared" si="1332"/>
        <v>0</v>
      </c>
      <c r="AC1119" s="58">
        <f t="shared" si="1332"/>
        <v>0</v>
      </c>
      <c r="AD1119" s="58">
        <f t="shared" si="1332"/>
        <v>0</v>
      </c>
      <c r="AE1119" s="58">
        <f t="shared" si="1332"/>
        <v>0</v>
      </c>
    </row>
    <row r="1120" spans="2:31">
      <c r="B1120" s="60" t="str">
        <f t="shared" si="1350"/>
        <v>Sem4040Sergio Enrique Rodriguez de Paz</v>
      </c>
      <c r="C1120" s="60" t="str">
        <f t="shared" si="1351"/>
        <v>OCTUBRESem40</v>
      </c>
      <c r="D1120" s="60" t="str">
        <f t="shared" si="1352"/>
        <v>OCTUBRESem40Sergio Enrique Rodriguez de Paz</v>
      </c>
      <c r="E1120" s="60" t="str">
        <f t="shared" si="1353"/>
        <v>OCTUBRESem4040Sergio Enrique Rodriguez de Paz</v>
      </c>
      <c r="F1120" s="60" t="str">
        <f t="shared" si="1354"/>
        <v>Sergio Enrique Rodriguez de Paz46299</v>
      </c>
      <c r="G1120" s="60"/>
      <c r="H1120" s="61" t="s">
        <v>257</v>
      </c>
      <c r="I1120" s="62" t="str">
        <f>+_xlfn.XLOOKUP($H1120&amp;$V1120,BASEDATOS!$B:$B,BASEDATOS!F:F,0,0,1)</f>
        <v>DESCANSO</v>
      </c>
      <c r="J1120" s="63">
        <f>+_xlfn.XLOOKUP($H1120&amp;$V1120,BASEDATOS!$B:$B,BASEDATOS!Q:Q,0,0,1)</f>
        <v>0</v>
      </c>
      <c r="K1120" s="63">
        <f>+_xlfn.XLOOKUP($H1120&amp;$V1120,BASEDATOS!$B:$B,BASEDATOS!R:R,0,0,1)</f>
        <v>0</v>
      </c>
      <c r="L1120" s="63">
        <f t="shared" si="1355"/>
        <v>0</v>
      </c>
      <c r="M1120" s="64">
        <f t="shared" si="1356"/>
        <v>0</v>
      </c>
      <c r="N1120" s="63">
        <f t="shared" si="1357"/>
        <v>0</v>
      </c>
      <c r="O1120" s="65" t="str">
        <f t="shared" ref="O1120" si="1380">+IF(Y1120="Domingo",SUM(AA1114:AA1120)&amp;"-"&amp;SUM(AB1114:AB1120)&amp;"-"&amp;SUM(AC1114:AE1120),"")</f>
        <v>6-0-1</v>
      </c>
      <c r="P1120" s="66">
        <f>+IF(AND(Y1120="Domingo",U1120=7),_xlfn.XLOOKUP(O1120,'Horarios y Sistemas'!C:C,'Horarios y Sistemas'!H:H,0,0,1),0)</f>
        <v>44</v>
      </c>
      <c r="Q1120" s="66">
        <f>IF(U1120=U1121,0,IF(AVERAGEIF(W:W,W1120,U:U)=U1120,0,_xlfn.XLOOKUP(O1120,'Horarios y Sistemas'!C:C,'Horarios y Sistemas'!H:H,0,0,1)-P1120))/7*U1120</f>
        <v>0</v>
      </c>
      <c r="R1120" s="66">
        <f t="shared" si="1359"/>
        <v>44</v>
      </c>
      <c r="S1120" s="67" t="str">
        <f t="shared" si="1360"/>
        <v>OCTUBRE</v>
      </c>
      <c r="T1120" s="55" t="str">
        <f t="shared" si="1361"/>
        <v>Sem40</v>
      </c>
      <c r="U1120" s="68">
        <f t="shared" si="1343"/>
        <v>7</v>
      </c>
      <c r="V1120" s="69">
        <v>46299</v>
      </c>
      <c r="W1120" s="68">
        <f t="shared" si="1362"/>
        <v>40</v>
      </c>
      <c r="X1120" s="68">
        <f t="shared" si="1363"/>
        <v>4</v>
      </c>
      <c r="Y1120" s="68" t="s">
        <v>34</v>
      </c>
      <c r="Z1120" s="68">
        <v>7</v>
      </c>
      <c r="AA1120" s="70">
        <f t="shared" si="1332"/>
        <v>0</v>
      </c>
      <c r="AB1120" s="70">
        <f t="shared" si="1332"/>
        <v>0</v>
      </c>
      <c r="AC1120" s="70">
        <f t="shared" si="1332"/>
        <v>1</v>
      </c>
      <c r="AD1120" s="70">
        <f t="shared" si="1332"/>
        <v>0</v>
      </c>
      <c r="AE1120" s="70">
        <f t="shared" si="1332"/>
        <v>0</v>
      </c>
    </row>
    <row r="1121" spans="2:31">
      <c r="B1121" t="str">
        <f t="shared" si="1350"/>
        <v>Sem3838Smith Dario Reyes Tintilla</v>
      </c>
      <c r="C1121" t="str">
        <f t="shared" si="1351"/>
        <v>SEPTIEMBRESem38</v>
      </c>
      <c r="D1121" t="str">
        <f t="shared" si="1352"/>
        <v>SEPTIEMBRESem38Smith Dario Reyes Tintilla</v>
      </c>
      <c r="E1121" t="str">
        <f t="shared" si="1353"/>
        <v>SEPTIEMBRESem3838Smith Dario Reyes Tintilla</v>
      </c>
      <c r="F1121" t="str">
        <f t="shared" si="1354"/>
        <v>Smith Dario Reyes Tintilla46279</v>
      </c>
      <c r="H1121" s="49" t="s">
        <v>268</v>
      </c>
      <c r="I1121" s="50" t="str">
        <f>+_xlfn.XLOOKUP($H1121&amp;$V1121,BASEDATOS!$B:$B,BASEDATOS!F:F,0,0,1)</f>
        <v>DESCANSO</v>
      </c>
      <c r="J1121" s="51">
        <f>+_xlfn.XLOOKUP($H1121&amp;$V1121,BASEDATOS!$B:$B,BASEDATOS!Q:Q,0,0,1)</f>
        <v>0</v>
      </c>
      <c r="K1121" s="51">
        <f>+_xlfn.XLOOKUP($H1121&amp;$V1121,BASEDATOS!$B:$B,BASEDATOS!R:R,0,0,1)</f>
        <v>0</v>
      </c>
      <c r="L1121" s="51">
        <f t="shared" si="1355"/>
        <v>0</v>
      </c>
      <c r="M1121" s="52">
        <f t="shared" si="1356"/>
        <v>0</v>
      </c>
      <c r="N1121" s="51">
        <f t="shared" si="1357"/>
        <v>0</v>
      </c>
      <c r="O1121" s="53" t="str">
        <f t="shared" ref="O1121" si="1381">+O1127</f>
        <v>0-0-7</v>
      </c>
      <c r="P1121" s="54">
        <f>+IF(AND(Y1121="Domingo",U1121=7),_xlfn.XLOOKUP(O1121,'Horarios y Sistemas'!C:C,'Horarios y Sistemas'!H:H,0,0,1),0)</f>
        <v>0</v>
      </c>
      <c r="Q1121" s="54">
        <f>IF(U1121=U1122,0,IF(AVERAGEIF(W:W,W1121,U:U)=U1121,0,_xlfn.XLOOKUP(O1121,'Horarios y Sistemas'!C:C,'Horarios y Sistemas'!H:H,0,0,1)-P1121))/7*U1121</f>
        <v>0</v>
      </c>
      <c r="R1121" s="54">
        <f t="shared" si="1359"/>
        <v>0</v>
      </c>
      <c r="S1121" s="55" t="str">
        <f t="shared" si="1360"/>
        <v>SEPTIEMBRE</v>
      </c>
      <c r="T1121" s="55" t="str">
        <f t="shared" si="1361"/>
        <v>Sem38</v>
      </c>
      <c r="U1121" s="56">
        <f t="shared" si="1343"/>
        <v>7</v>
      </c>
      <c r="V1121" s="59">
        <v>46279</v>
      </c>
      <c r="W1121" s="56">
        <f t="shared" si="1362"/>
        <v>38</v>
      </c>
      <c r="X1121" s="56">
        <f t="shared" si="1363"/>
        <v>14</v>
      </c>
      <c r="Y1121" s="56" t="s">
        <v>28</v>
      </c>
      <c r="Z1121" s="56">
        <v>1</v>
      </c>
      <c r="AA1121" s="58">
        <f t="shared" si="1332"/>
        <v>0</v>
      </c>
      <c r="AB1121" s="58">
        <f t="shared" si="1332"/>
        <v>0</v>
      </c>
      <c r="AC1121" s="58">
        <f t="shared" si="1332"/>
        <v>1</v>
      </c>
      <c r="AD1121" s="58">
        <f t="shared" si="1332"/>
        <v>0</v>
      </c>
      <c r="AE1121" s="58">
        <f t="shared" si="1332"/>
        <v>0</v>
      </c>
    </row>
    <row r="1122" spans="2:31">
      <c r="B1122" t="str">
        <f t="shared" si="1350"/>
        <v>Sem3838Smith Dario Reyes Tintilla</v>
      </c>
      <c r="C1122" t="str">
        <f t="shared" si="1351"/>
        <v>SEPTIEMBRESem38</v>
      </c>
      <c r="D1122" t="str">
        <f t="shared" si="1352"/>
        <v>SEPTIEMBRESem38Smith Dario Reyes Tintilla</v>
      </c>
      <c r="E1122" t="str">
        <f t="shared" si="1353"/>
        <v>SEPTIEMBRESem3838Smith Dario Reyes Tintilla</v>
      </c>
      <c r="F1122" t="str">
        <f t="shared" si="1354"/>
        <v>Smith Dario Reyes Tintilla46280</v>
      </c>
      <c r="H1122" s="49" t="s">
        <v>268</v>
      </c>
      <c r="I1122" s="50" t="str">
        <f>+_xlfn.XLOOKUP($H1122&amp;$V1122,BASEDATOS!$B:$B,BASEDATOS!F:F,0,0,1)</f>
        <v>DESCANSO</v>
      </c>
      <c r="J1122" s="51">
        <f>+_xlfn.XLOOKUP($H1122&amp;$V1122,BASEDATOS!$B:$B,BASEDATOS!Q:Q,0,0,1)</f>
        <v>0</v>
      </c>
      <c r="K1122" s="51">
        <f>+_xlfn.XLOOKUP($H1122&amp;$V1122,BASEDATOS!$B:$B,BASEDATOS!R:R,0,0,1)</f>
        <v>0</v>
      </c>
      <c r="L1122" s="51">
        <f t="shared" si="1355"/>
        <v>0</v>
      </c>
      <c r="M1122" s="52">
        <f t="shared" si="1356"/>
        <v>0</v>
      </c>
      <c r="N1122" s="51">
        <f t="shared" si="1357"/>
        <v>0</v>
      </c>
      <c r="O1122" s="53" t="str">
        <f t="shared" ref="O1122" si="1382">+O1127</f>
        <v>0-0-7</v>
      </c>
      <c r="P1122" s="54">
        <f>+IF(AND(Y1122="Domingo",U1122=7),_xlfn.XLOOKUP(O1122,'Horarios y Sistemas'!C:C,'Horarios y Sistemas'!H:H,0,0,1),0)</f>
        <v>0</v>
      </c>
      <c r="Q1122" s="54">
        <f>IF(U1122=U1123,0,IF(AVERAGEIF(W:W,W1122,U:U)=U1122,0,_xlfn.XLOOKUP(O1122,'Horarios y Sistemas'!C:C,'Horarios y Sistemas'!H:H,0,0,1)-P1122))/7*U1122</f>
        <v>0</v>
      </c>
      <c r="R1122" s="54">
        <f t="shared" si="1359"/>
        <v>0</v>
      </c>
      <c r="S1122" s="55" t="str">
        <f t="shared" si="1360"/>
        <v>SEPTIEMBRE</v>
      </c>
      <c r="T1122" s="55" t="str">
        <f t="shared" si="1361"/>
        <v>Sem38</v>
      </c>
      <c r="U1122" s="56">
        <f t="shared" si="1343"/>
        <v>7</v>
      </c>
      <c r="V1122" s="59">
        <v>46280</v>
      </c>
      <c r="W1122" s="56">
        <f t="shared" si="1362"/>
        <v>38</v>
      </c>
      <c r="X1122" s="56">
        <f t="shared" si="1363"/>
        <v>15</v>
      </c>
      <c r="Y1122" s="56" t="s">
        <v>29</v>
      </c>
      <c r="Z1122" s="56">
        <v>2</v>
      </c>
      <c r="AA1122" s="58">
        <f t="shared" si="1332"/>
        <v>0</v>
      </c>
      <c r="AB1122" s="58">
        <f t="shared" si="1332"/>
        <v>0</v>
      </c>
      <c r="AC1122" s="58">
        <f t="shared" si="1332"/>
        <v>1</v>
      </c>
      <c r="AD1122" s="58">
        <f t="shared" si="1332"/>
        <v>0</v>
      </c>
      <c r="AE1122" s="58">
        <f t="shared" si="1332"/>
        <v>0</v>
      </c>
    </row>
    <row r="1123" spans="2:31">
      <c r="B1123" t="str">
        <f t="shared" si="1350"/>
        <v>Sem3838Smith Dario Reyes Tintilla</v>
      </c>
      <c r="C1123" t="str">
        <f t="shared" si="1351"/>
        <v>SEPTIEMBRESem38</v>
      </c>
      <c r="D1123" t="str">
        <f t="shared" si="1352"/>
        <v>SEPTIEMBRESem38Smith Dario Reyes Tintilla</v>
      </c>
      <c r="E1123" t="str">
        <f t="shared" si="1353"/>
        <v>SEPTIEMBRESem3838Smith Dario Reyes Tintilla</v>
      </c>
      <c r="F1123" t="str">
        <f t="shared" si="1354"/>
        <v>Smith Dario Reyes Tintilla46281</v>
      </c>
      <c r="H1123" s="49" t="s">
        <v>268</v>
      </c>
      <c r="I1123" s="50" t="str">
        <f>+_xlfn.XLOOKUP($H1123&amp;$V1123,BASEDATOS!$B:$B,BASEDATOS!F:F,0,0,1)</f>
        <v>DESCANSO</v>
      </c>
      <c r="J1123" s="51">
        <f>+_xlfn.XLOOKUP($H1123&amp;$V1123,BASEDATOS!$B:$B,BASEDATOS!Q:Q,0,0,1)</f>
        <v>0</v>
      </c>
      <c r="K1123" s="51">
        <f>+_xlfn.XLOOKUP($H1123&amp;$V1123,BASEDATOS!$B:$B,BASEDATOS!R:R,0,0,1)</f>
        <v>0</v>
      </c>
      <c r="L1123" s="51">
        <f t="shared" si="1355"/>
        <v>0</v>
      </c>
      <c r="M1123" s="52">
        <f t="shared" si="1356"/>
        <v>0</v>
      </c>
      <c r="N1123" s="51">
        <f t="shared" si="1357"/>
        <v>0</v>
      </c>
      <c r="O1123" s="53" t="str">
        <f t="shared" ref="O1123" si="1383">+O1127</f>
        <v>0-0-7</v>
      </c>
      <c r="P1123" s="54">
        <f>+IF(AND(Y1123="Domingo",U1123=7),_xlfn.XLOOKUP(O1123,'Horarios y Sistemas'!C:C,'Horarios y Sistemas'!H:H,0,0,1),0)</f>
        <v>0</v>
      </c>
      <c r="Q1123" s="54">
        <f>IF(U1123=U1124,0,IF(AVERAGEIF(W:W,W1123,U:U)=U1123,0,_xlfn.XLOOKUP(O1123,'Horarios y Sistemas'!C:C,'Horarios y Sistemas'!H:H,0,0,1)-P1123))/7*U1123</f>
        <v>0</v>
      </c>
      <c r="R1123" s="54">
        <f t="shared" si="1359"/>
        <v>0</v>
      </c>
      <c r="S1123" s="55" t="str">
        <f t="shared" si="1360"/>
        <v>SEPTIEMBRE</v>
      </c>
      <c r="T1123" s="55" t="str">
        <f t="shared" si="1361"/>
        <v>Sem38</v>
      </c>
      <c r="U1123" s="56">
        <f t="shared" si="1343"/>
        <v>7</v>
      </c>
      <c r="V1123" s="59">
        <v>46281</v>
      </c>
      <c r="W1123" s="56">
        <f t="shared" si="1362"/>
        <v>38</v>
      </c>
      <c r="X1123" s="56">
        <f t="shared" si="1363"/>
        <v>16</v>
      </c>
      <c r="Y1123" s="56" t="s">
        <v>30</v>
      </c>
      <c r="Z1123" s="56">
        <v>3</v>
      </c>
      <c r="AA1123" s="58">
        <f t="shared" si="1332"/>
        <v>0</v>
      </c>
      <c r="AB1123" s="58">
        <f t="shared" si="1332"/>
        <v>0</v>
      </c>
      <c r="AC1123" s="58">
        <f t="shared" si="1332"/>
        <v>1</v>
      </c>
      <c r="AD1123" s="58">
        <f t="shared" si="1332"/>
        <v>0</v>
      </c>
      <c r="AE1123" s="58">
        <f t="shared" si="1332"/>
        <v>0</v>
      </c>
    </row>
    <row r="1124" spans="2:31">
      <c r="B1124" t="str">
        <f t="shared" si="1350"/>
        <v>Sem3838Smith Dario Reyes Tintilla</v>
      </c>
      <c r="C1124" t="str">
        <f t="shared" si="1351"/>
        <v>SEPTIEMBRESem38</v>
      </c>
      <c r="D1124" t="str">
        <f t="shared" si="1352"/>
        <v>SEPTIEMBRESem38Smith Dario Reyes Tintilla</v>
      </c>
      <c r="E1124" t="str">
        <f t="shared" si="1353"/>
        <v>SEPTIEMBRESem3838Smith Dario Reyes Tintilla</v>
      </c>
      <c r="F1124" t="str">
        <f t="shared" si="1354"/>
        <v>Smith Dario Reyes Tintilla46282</v>
      </c>
      <c r="H1124" s="49" t="s">
        <v>268</v>
      </c>
      <c r="I1124" s="50" t="str">
        <f>+_xlfn.XLOOKUP($H1124&amp;$V1124,BASEDATOS!$B:$B,BASEDATOS!F:F,0,0,1)</f>
        <v>DESCANSO</v>
      </c>
      <c r="J1124" s="51">
        <f>+_xlfn.XLOOKUP($H1124&amp;$V1124,BASEDATOS!$B:$B,BASEDATOS!Q:Q,0,0,1)</f>
        <v>0</v>
      </c>
      <c r="K1124" s="51">
        <f>+_xlfn.XLOOKUP($H1124&amp;$V1124,BASEDATOS!$B:$B,BASEDATOS!R:R,0,0,1)</f>
        <v>0</v>
      </c>
      <c r="L1124" s="51">
        <f t="shared" si="1355"/>
        <v>0</v>
      </c>
      <c r="M1124" s="52">
        <f t="shared" si="1356"/>
        <v>0</v>
      </c>
      <c r="N1124" s="51">
        <f t="shared" si="1357"/>
        <v>0</v>
      </c>
      <c r="O1124" s="53" t="str">
        <f t="shared" ref="O1124" si="1384">+O1127</f>
        <v>0-0-7</v>
      </c>
      <c r="P1124" s="54">
        <f>+IF(AND(Y1124="Domingo",U1124=7),_xlfn.XLOOKUP(O1124,'Horarios y Sistemas'!C:C,'Horarios y Sistemas'!H:H,0,0,1),0)</f>
        <v>0</v>
      </c>
      <c r="Q1124" s="54">
        <f>IF(U1124=U1125,0,IF(AVERAGEIF(W:W,W1124,U:U)=U1124,0,_xlfn.XLOOKUP(O1124,'Horarios y Sistemas'!C:C,'Horarios y Sistemas'!H:H,0,0,1)-P1124))/7*U1124</f>
        <v>0</v>
      </c>
      <c r="R1124" s="54">
        <f t="shared" si="1359"/>
        <v>0</v>
      </c>
      <c r="S1124" s="55" t="str">
        <f t="shared" si="1360"/>
        <v>SEPTIEMBRE</v>
      </c>
      <c r="T1124" s="55" t="str">
        <f t="shared" si="1361"/>
        <v>Sem38</v>
      </c>
      <c r="U1124" s="56">
        <f t="shared" si="1343"/>
        <v>7</v>
      </c>
      <c r="V1124" s="59">
        <v>46282</v>
      </c>
      <c r="W1124" s="56">
        <f t="shared" si="1362"/>
        <v>38</v>
      </c>
      <c r="X1124" s="56">
        <f t="shared" si="1363"/>
        <v>17</v>
      </c>
      <c r="Y1124" s="56" t="s">
        <v>31</v>
      </c>
      <c r="Z1124" s="56">
        <v>4</v>
      </c>
      <c r="AA1124" s="58">
        <f t="shared" si="1332"/>
        <v>0</v>
      </c>
      <c r="AB1124" s="58">
        <f t="shared" si="1332"/>
        <v>0</v>
      </c>
      <c r="AC1124" s="58">
        <f t="shared" si="1332"/>
        <v>1</v>
      </c>
      <c r="AD1124" s="58">
        <f t="shared" si="1332"/>
        <v>0</v>
      </c>
      <c r="AE1124" s="58">
        <f t="shared" si="1332"/>
        <v>0</v>
      </c>
    </row>
    <row r="1125" spans="2:31">
      <c r="B1125" t="str">
        <f t="shared" si="1350"/>
        <v>Sem3838Smith Dario Reyes Tintilla</v>
      </c>
      <c r="C1125" t="str">
        <f t="shared" si="1351"/>
        <v>SEPTIEMBRESem38</v>
      </c>
      <c r="D1125" t="str">
        <f t="shared" si="1352"/>
        <v>SEPTIEMBRESem38Smith Dario Reyes Tintilla</v>
      </c>
      <c r="E1125" t="str">
        <f t="shared" si="1353"/>
        <v>SEPTIEMBRESem3838Smith Dario Reyes Tintilla</v>
      </c>
      <c r="F1125" t="str">
        <f t="shared" si="1354"/>
        <v>Smith Dario Reyes Tintilla46283</v>
      </c>
      <c r="H1125" s="49" t="s">
        <v>268</v>
      </c>
      <c r="I1125" s="50" t="str">
        <f>+_xlfn.XLOOKUP($H1125&amp;$V1125,BASEDATOS!$B:$B,BASEDATOS!F:F,0,0,1)</f>
        <v>DESCANSO</v>
      </c>
      <c r="J1125" s="51">
        <f>+_xlfn.XLOOKUP($H1125&amp;$V1125,BASEDATOS!$B:$B,BASEDATOS!Q:Q,0,0,1)</f>
        <v>0</v>
      </c>
      <c r="K1125" s="51">
        <f>+_xlfn.XLOOKUP($H1125&amp;$V1125,BASEDATOS!$B:$B,BASEDATOS!R:R,0,0,1)</f>
        <v>0</v>
      </c>
      <c r="L1125" s="51">
        <f t="shared" si="1355"/>
        <v>0</v>
      </c>
      <c r="M1125" s="52">
        <f t="shared" si="1356"/>
        <v>0</v>
      </c>
      <c r="N1125" s="51">
        <f t="shared" si="1357"/>
        <v>0</v>
      </c>
      <c r="O1125" s="53" t="str">
        <f t="shared" ref="O1125" si="1385">+O1127</f>
        <v>0-0-7</v>
      </c>
      <c r="P1125" s="54">
        <f>+IF(AND(Y1125="Domingo",U1125=7),_xlfn.XLOOKUP(O1125,'Horarios y Sistemas'!C:C,'Horarios y Sistemas'!H:H,0,0,1),0)</f>
        <v>0</v>
      </c>
      <c r="Q1125" s="54">
        <f>IF(U1125=U1126,0,IF(AVERAGEIF(W:W,W1125,U:U)=U1125,0,_xlfn.XLOOKUP(O1125,'Horarios y Sistemas'!C:C,'Horarios y Sistemas'!H:H,0,0,1)-P1125))/7*U1125</f>
        <v>0</v>
      </c>
      <c r="R1125" s="54">
        <f t="shared" si="1359"/>
        <v>0</v>
      </c>
      <c r="S1125" s="55" t="str">
        <f t="shared" si="1360"/>
        <v>SEPTIEMBRE</v>
      </c>
      <c r="T1125" s="55" t="str">
        <f t="shared" si="1361"/>
        <v>Sem38</v>
      </c>
      <c r="U1125" s="56">
        <f t="shared" si="1343"/>
        <v>7</v>
      </c>
      <c r="V1125" s="59">
        <v>46283</v>
      </c>
      <c r="W1125" s="56">
        <f t="shared" si="1362"/>
        <v>38</v>
      </c>
      <c r="X1125" s="56">
        <f t="shared" si="1363"/>
        <v>18</v>
      </c>
      <c r="Y1125" s="56" t="s">
        <v>32</v>
      </c>
      <c r="Z1125" s="56">
        <v>5</v>
      </c>
      <c r="AA1125" s="58">
        <f t="shared" si="1332"/>
        <v>0</v>
      </c>
      <c r="AB1125" s="58">
        <f t="shared" si="1332"/>
        <v>0</v>
      </c>
      <c r="AC1125" s="58">
        <f t="shared" si="1332"/>
        <v>1</v>
      </c>
      <c r="AD1125" s="58">
        <f t="shared" si="1332"/>
        <v>0</v>
      </c>
      <c r="AE1125" s="58">
        <f t="shared" si="1332"/>
        <v>0</v>
      </c>
    </row>
    <row r="1126" spans="2:31">
      <c r="B1126" t="str">
        <f t="shared" si="1350"/>
        <v>Sem3838Smith Dario Reyes Tintilla</v>
      </c>
      <c r="C1126" t="str">
        <f t="shared" si="1351"/>
        <v>SEPTIEMBRESem38</v>
      </c>
      <c r="D1126" t="str">
        <f t="shared" si="1352"/>
        <v>SEPTIEMBRESem38Smith Dario Reyes Tintilla</v>
      </c>
      <c r="E1126" t="str">
        <f t="shared" si="1353"/>
        <v>SEPTIEMBRESem3838Smith Dario Reyes Tintilla</v>
      </c>
      <c r="F1126" t="str">
        <f t="shared" si="1354"/>
        <v>Smith Dario Reyes Tintilla46284</v>
      </c>
      <c r="H1126" s="49" t="s">
        <v>268</v>
      </c>
      <c r="I1126" s="50" t="str">
        <f>+_xlfn.XLOOKUP($H1126&amp;$V1126,BASEDATOS!$B:$B,BASEDATOS!F:F,0,0,1)</f>
        <v>DESCANSO</v>
      </c>
      <c r="J1126" s="51">
        <f>+_xlfn.XLOOKUP($H1126&amp;$V1126,BASEDATOS!$B:$B,BASEDATOS!Q:Q,0,0,1)</f>
        <v>0</v>
      </c>
      <c r="K1126" s="51">
        <f>+_xlfn.XLOOKUP($H1126&amp;$V1126,BASEDATOS!$B:$B,BASEDATOS!R:R,0,0,1)</f>
        <v>0</v>
      </c>
      <c r="L1126" s="51">
        <f t="shared" si="1355"/>
        <v>0</v>
      </c>
      <c r="M1126" s="52">
        <f t="shared" si="1356"/>
        <v>0</v>
      </c>
      <c r="N1126" s="51">
        <f t="shared" si="1357"/>
        <v>0</v>
      </c>
      <c r="O1126" s="53" t="str">
        <f t="shared" ref="O1126" si="1386">+O1127</f>
        <v>0-0-7</v>
      </c>
      <c r="P1126" s="54">
        <f>+IF(AND(Y1126="Domingo",U1126=7),_xlfn.XLOOKUP(O1126,'Horarios y Sistemas'!C:C,'Horarios y Sistemas'!H:H,0,0,1),0)</f>
        <v>0</v>
      </c>
      <c r="Q1126" s="54">
        <f>IF(U1126=U1127,0,IF(AVERAGEIF(W:W,W1126,U:U)=U1126,0,_xlfn.XLOOKUP(O1126,'Horarios y Sistemas'!C:C,'Horarios y Sistemas'!H:H,0,0,1)-P1126))/7*U1126</f>
        <v>0</v>
      </c>
      <c r="R1126" s="54">
        <f t="shared" si="1359"/>
        <v>0</v>
      </c>
      <c r="S1126" s="55" t="str">
        <f t="shared" si="1360"/>
        <v>SEPTIEMBRE</v>
      </c>
      <c r="T1126" s="55" t="str">
        <f t="shared" si="1361"/>
        <v>Sem38</v>
      </c>
      <c r="U1126" s="56">
        <f t="shared" si="1343"/>
        <v>7</v>
      </c>
      <c r="V1126" s="59">
        <v>46284</v>
      </c>
      <c r="W1126" s="56">
        <f t="shared" si="1362"/>
        <v>38</v>
      </c>
      <c r="X1126" s="56">
        <f t="shared" si="1363"/>
        <v>19</v>
      </c>
      <c r="Y1126" s="56" t="s">
        <v>33</v>
      </c>
      <c r="Z1126" s="56">
        <v>6</v>
      </c>
      <c r="AA1126" s="58">
        <f t="shared" si="1332"/>
        <v>0</v>
      </c>
      <c r="AB1126" s="58">
        <f t="shared" si="1332"/>
        <v>0</v>
      </c>
      <c r="AC1126" s="58">
        <f t="shared" si="1332"/>
        <v>1</v>
      </c>
      <c r="AD1126" s="58">
        <f t="shared" si="1332"/>
        <v>0</v>
      </c>
      <c r="AE1126" s="58">
        <f t="shared" si="1332"/>
        <v>0</v>
      </c>
    </row>
    <row r="1127" spans="2:31">
      <c r="B1127" s="60" t="str">
        <f t="shared" si="1350"/>
        <v>Sem3838Smith Dario Reyes Tintilla</v>
      </c>
      <c r="C1127" s="60" t="str">
        <f t="shared" si="1351"/>
        <v>SEPTIEMBRESem38</v>
      </c>
      <c r="D1127" s="60" t="str">
        <f t="shared" si="1352"/>
        <v>SEPTIEMBRESem38Smith Dario Reyes Tintilla</v>
      </c>
      <c r="E1127" s="60" t="str">
        <f t="shared" si="1353"/>
        <v>SEPTIEMBRESem3838Smith Dario Reyes Tintilla</v>
      </c>
      <c r="F1127" s="60" t="str">
        <f t="shared" si="1354"/>
        <v>Smith Dario Reyes Tintilla46285</v>
      </c>
      <c r="G1127" s="60"/>
      <c r="H1127" s="61" t="s">
        <v>268</v>
      </c>
      <c r="I1127" s="62" t="str">
        <f>+_xlfn.XLOOKUP($H1127&amp;$V1127,BASEDATOS!$B:$B,BASEDATOS!F:F,0,0,1)</f>
        <v>DESCANSO</v>
      </c>
      <c r="J1127" s="63">
        <f>+_xlfn.XLOOKUP($H1127&amp;$V1127,BASEDATOS!$B:$B,BASEDATOS!Q:Q,0,0,1)</f>
        <v>0</v>
      </c>
      <c r="K1127" s="63">
        <f>+_xlfn.XLOOKUP($H1127&amp;$V1127,BASEDATOS!$B:$B,BASEDATOS!R:R,0,0,1)</f>
        <v>0</v>
      </c>
      <c r="L1127" s="63">
        <f t="shared" si="1355"/>
        <v>0</v>
      </c>
      <c r="M1127" s="64">
        <f t="shared" si="1356"/>
        <v>0</v>
      </c>
      <c r="N1127" s="63">
        <f t="shared" si="1357"/>
        <v>0</v>
      </c>
      <c r="O1127" s="65" t="str">
        <f t="shared" ref="O1127" si="1387">+IF(Y1127="Domingo",SUM(AA1121:AA1127)&amp;"-"&amp;SUM(AB1121:AB1127)&amp;"-"&amp;SUM(AC1121:AE1127),"")</f>
        <v>0-0-7</v>
      </c>
      <c r="P1127" s="66">
        <f>+IF(AND(Y1127="Domingo",U1127=7),_xlfn.XLOOKUP(O1127,'Horarios y Sistemas'!C:C,'Horarios y Sistemas'!H:H,0,0,1),0)</f>
        <v>0</v>
      </c>
      <c r="Q1127" s="66">
        <f>IF(U1127=U1128,0,IF(AVERAGEIF(W:W,W1127,U:U)=U1127,0,_xlfn.XLOOKUP(O1127,'Horarios y Sistemas'!C:C,'Horarios y Sistemas'!H:H,0,0,1)-P1127))/7*U1127</f>
        <v>0</v>
      </c>
      <c r="R1127" s="66">
        <f t="shared" si="1359"/>
        <v>0</v>
      </c>
      <c r="S1127" s="67" t="str">
        <f t="shared" si="1360"/>
        <v>SEPTIEMBRE</v>
      </c>
      <c r="T1127" s="55" t="str">
        <f t="shared" si="1361"/>
        <v>Sem38</v>
      </c>
      <c r="U1127" s="68">
        <f t="shared" si="1343"/>
        <v>7</v>
      </c>
      <c r="V1127" s="69">
        <v>46285</v>
      </c>
      <c r="W1127" s="68">
        <f t="shared" si="1362"/>
        <v>38</v>
      </c>
      <c r="X1127" s="68">
        <f t="shared" si="1363"/>
        <v>20</v>
      </c>
      <c r="Y1127" s="68" t="s">
        <v>34</v>
      </c>
      <c r="Z1127" s="68">
        <v>7</v>
      </c>
      <c r="AA1127" s="70">
        <f t="shared" si="1332"/>
        <v>0</v>
      </c>
      <c r="AB1127" s="70">
        <f t="shared" si="1332"/>
        <v>0</v>
      </c>
      <c r="AC1127" s="70">
        <f t="shared" si="1332"/>
        <v>1</v>
      </c>
      <c r="AD1127" s="70">
        <f t="shared" si="1332"/>
        <v>0</v>
      </c>
      <c r="AE1127" s="70">
        <f t="shared" si="1332"/>
        <v>0</v>
      </c>
    </row>
    <row r="1128" spans="2:31">
      <c r="B1128" t="str">
        <f t="shared" si="1350"/>
        <v>Sem3939Smith Dario Reyes Tintilla</v>
      </c>
      <c r="C1128" t="str">
        <f t="shared" si="1351"/>
        <v>SEPTIEMBRESem39</v>
      </c>
      <c r="D1128" t="str">
        <f t="shared" si="1352"/>
        <v>SEPTIEMBRESem39Smith Dario Reyes Tintilla</v>
      </c>
      <c r="E1128" t="str">
        <f t="shared" si="1353"/>
        <v>SEPTIEMBRESem3939Smith Dario Reyes Tintilla</v>
      </c>
      <c r="F1128" t="str">
        <f t="shared" si="1354"/>
        <v>Smith Dario Reyes Tintilla46286</v>
      </c>
      <c r="H1128" s="49" t="s">
        <v>268</v>
      </c>
      <c r="I1128" s="50" t="str">
        <f>+_xlfn.XLOOKUP($H1128&amp;$V1128,BASEDATOS!$B:$B,BASEDATOS!F:F,0,0,1)</f>
        <v>DESCANSO</v>
      </c>
      <c r="J1128" s="51">
        <f>+_xlfn.XLOOKUP($H1128&amp;$V1128,BASEDATOS!$B:$B,BASEDATOS!Q:Q,0,0,1)</f>
        <v>0</v>
      </c>
      <c r="K1128" s="51">
        <f>+_xlfn.XLOOKUP($H1128&amp;$V1128,BASEDATOS!$B:$B,BASEDATOS!R:R,0,0,1)</f>
        <v>0</v>
      </c>
      <c r="L1128" s="51">
        <f t="shared" si="1355"/>
        <v>0</v>
      </c>
      <c r="M1128" s="52">
        <f t="shared" si="1356"/>
        <v>0</v>
      </c>
      <c r="N1128" s="51">
        <f t="shared" si="1357"/>
        <v>0</v>
      </c>
      <c r="O1128" s="53" t="str">
        <f t="shared" ref="O1128" si="1388">+O1134</f>
        <v>0-0-7</v>
      </c>
      <c r="P1128" s="54">
        <f>+IF(AND(Y1128="Domingo",U1128=7),_xlfn.XLOOKUP(O1128,'Horarios y Sistemas'!C:C,'Horarios y Sistemas'!H:H,0,0,1),0)</f>
        <v>0</v>
      </c>
      <c r="Q1128" s="54">
        <f>IF(U1128=U1129,0,IF(AVERAGEIF(W:W,W1128,U:U)=U1128,0,_xlfn.XLOOKUP(O1128,'Horarios y Sistemas'!C:C,'Horarios y Sistemas'!H:H,0,0,1)-P1128))/7*U1128</f>
        <v>0</v>
      </c>
      <c r="R1128" s="54">
        <f t="shared" si="1359"/>
        <v>0</v>
      </c>
      <c r="S1128" s="55" t="str">
        <f t="shared" si="1360"/>
        <v>SEPTIEMBRE</v>
      </c>
      <c r="T1128" s="55" t="str">
        <f t="shared" si="1361"/>
        <v>Sem39</v>
      </c>
      <c r="U1128" s="56">
        <f t="shared" si="1343"/>
        <v>7</v>
      </c>
      <c r="V1128" s="57">
        <v>46286</v>
      </c>
      <c r="W1128" s="56">
        <f t="shared" si="1362"/>
        <v>39</v>
      </c>
      <c r="X1128" s="56">
        <f t="shared" si="1363"/>
        <v>21</v>
      </c>
      <c r="Y1128" s="56" t="s">
        <v>28</v>
      </c>
      <c r="Z1128" s="56">
        <v>1</v>
      </c>
      <c r="AA1128" s="58">
        <f t="shared" si="1332"/>
        <v>0</v>
      </c>
      <c r="AB1128" s="58">
        <f t="shared" si="1332"/>
        <v>0</v>
      </c>
      <c r="AC1128" s="58">
        <f t="shared" si="1332"/>
        <v>1</v>
      </c>
      <c r="AD1128" s="58">
        <f t="shared" si="1332"/>
        <v>0</v>
      </c>
      <c r="AE1128" s="58">
        <f t="shared" si="1332"/>
        <v>0</v>
      </c>
    </row>
    <row r="1129" spans="2:31">
      <c r="B1129" t="str">
        <f t="shared" si="1350"/>
        <v>Sem3939Smith Dario Reyes Tintilla</v>
      </c>
      <c r="C1129" t="str">
        <f t="shared" si="1351"/>
        <v>SEPTIEMBRESem39</v>
      </c>
      <c r="D1129" t="str">
        <f t="shared" si="1352"/>
        <v>SEPTIEMBRESem39Smith Dario Reyes Tintilla</v>
      </c>
      <c r="E1129" t="str">
        <f t="shared" si="1353"/>
        <v>SEPTIEMBRESem3939Smith Dario Reyes Tintilla</v>
      </c>
      <c r="F1129" t="str">
        <f t="shared" si="1354"/>
        <v>Smith Dario Reyes Tintilla46287</v>
      </c>
      <c r="H1129" s="49" t="s">
        <v>268</v>
      </c>
      <c r="I1129" s="50" t="str">
        <f>+_xlfn.XLOOKUP($H1129&amp;$V1129,BASEDATOS!$B:$B,BASEDATOS!F:F,0,0,1)</f>
        <v>DESCANSO</v>
      </c>
      <c r="J1129" s="51">
        <f>+_xlfn.XLOOKUP($H1129&amp;$V1129,BASEDATOS!$B:$B,BASEDATOS!Q:Q,0,0,1)</f>
        <v>0</v>
      </c>
      <c r="K1129" s="51">
        <f>+_xlfn.XLOOKUP($H1129&amp;$V1129,BASEDATOS!$B:$B,BASEDATOS!R:R,0,0,1)</f>
        <v>0</v>
      </c>
      <c r="L1129" s="51">
        <f t="shared" si="1355"/>
        <v>0</v>
      </c>
      <c r="M1129" s="52">
        <f t="shared" si="1356"/>
        <v>0</v>
      </c>
      <c r="N1129" s="51">
        <f t="shared" si="1357"/>
        <v>0</v>
      </c>
      <c r="O1129" s="53" t="str">
        <f t="shared" ref="O1129" si="1389">+O1134</f>
        <v>0-0-7</v>
      </c>
      <c r="P1129" s="54">
        <f>+IF(AND(Y1129="Domingo",U1129=7),_xlfn.XLOOKUP(O1129,'Horarios y Sistemas'!C:C,'Horarios y Sistemas'!H:H,0,0,1),0)</f>
        <v>0</v>
      </c>
      <c r="Q1129" s="54">
        <f>IF(U1129=U1130,0,IF(AVERAGEIF(W:W,W1129,U:U)=U1129,0,_xlfn.XLOOKUP(O1129,'Horarios y Sistemas'!C:C,'Horarios y Sistemas'!H:H,0,0,1)-P1129))/7*U1129</f>
        <v>0</v>
      </c>
      <c r="R1129" s="54">
        <f t="shared" si="1359"/>
        <v>0</v>
      </c>
      <c r="S1129" s="55" t="str">
        <f t="shared" si="1360"/>
        <v>SEPTIEMBRE</v>
      </c>
      <c r="T1129" s="55" t="str">
        <f t="shared" si="1361"/>
        <v>Sem39</v>
      </c>
      <c r="U1129" s="56">
        <f t="shared" si="1343"/>
        <v>7</v>
      </c>
      <c r="V1129" s="59">
        <v>46287</v>
      </c>
      <c r="W1129" s="56">
        <f t="shared" si="1362"/>
        <v>39</v>
      </c>
      <c r="X1129" s="56">
        <f t="shared" si="1363"/>
        <v>22</v>
      </c>
      <c r="Y1129" s="56" t="s">
        <v>29</v>
      </c>
      <c r="Z1129" s="56">
        <v>2</v>
      </c>
      <c r="AA1129" s="58">
        <f t="shared" si="1332"/>
        <v>0</v>
      </c>
      <c r="AB1129" s="58">
        <f t="shared" si="1332"/>
        <v>0</v>
      </c>
      <c r="AC1129" s="58">
        <f t="shared" si="1332"/>
        <v>1</v>
      </c>
      <c r="AD1129" s="58">
        <f t="shared" si="1332"/>
        <v>0</v>
      </c>
      <c r="AE1129" s="58">
        <f t="shared" si="1332"/>
        <v>0</v>
      </c>
    </row>
    <row r="1130" spans="2:31">
      <c r="B1130" t="str">
        <f t="shared" si="1350"/>
        <v>Sem3939Smith Dario Reyes Tintilla</v>
      </c>
      <c r="C1130" t="str">
        <f t="shared" si="1351"/>
        <v>SEPTIEMBRESem39</v>
      </c>
      <c r="D1130" t="str">
        <f t="shared" si="1352"/>
        <v>SEPTIEMBRESem39Smith Dario Reyes Tintilla</v>
      </c>
      <c r="E1130" t="str">
        <f t="shared" si="1353"/>
        <v>SEPTIEMBRESem3939Smith Dario Reyes Tintilla</v>
      </c>
      <c r="F1130" t="str">
        <f t="shared" si="1354"/>
        <v>Smith Dario Reyes Tintilla46288</v>
      </c>
      <c r="H1130" s="49" t="s">
        <v>268</v>
      </c>
      <c r="I1130" s="50" t="str">
        <f>+_xlfn.XLOOKUP($H1130&amp;$V1130,BASEDATOS!$B:$B,BASEDATOS!F:F,0,0,1)</f>
        <v>DESCANSO</v>
      </c>
      <c r="J1130" s="51">
        <f>+_xlfn.XLOOKUP($H1130&amp;$V1130,BASEDATOS!$B:$B,BASEDATOS!Q:Q,0,0,1)</f>
        <v>0</v>
      </c>
      <c r="K1130" s="51">
        <f>+_xlfn.XLOOKUP($H1130&amp;$V1130,BASEDATOS!$B:$B,BASEDATOS!R:R,0,0,1)</f>
        <v>0</v>
      </c>
      <c r="L1130" s="51">
        <f t="shared" si="1355"/>
        <v>0</v>
      </c>
      <c r="M1130" s="52">
        <f t="shared" si="1356"/>
        <v>0</v>
      </c>
      <c r="N1130" s="51">
        <f t="shared" si="1357"/>
        <v>0</v>
      </c>
      <c r="O1130" s="53" t="str">
        <f t="shared" ref="O1130" si="1390">+O1134</f>
        <v>0-0-7</v>
      </c>
      <c r="P1130" s="54">
        <f>+IF(AND(Y1130="Domingo",U1130=7),_xlfn.XLOOKUP(O1130,'Horarios y Sistemas'!C:C,'Horarios y Sistemas'!H:H,0,0,1),0)</f>
        <v>0</v>
      </c>
      <c r="Q1130" s="54">
        <f>IF(U1130=U1131,0,IF(AVERAGEIF(W:W,W1130,U:U)=U1130,0,_xlfn.XLOOKUP(O1130,'Horarios y Sistemas'!C:C,'Horarios y Sistemas'!H:H,0,0,1)-P1130))/7*U1130</f>
        <v>0</v>
      </c>
      <c r="R1130" s="54">
        <f t="shared" si="1359"/>
        <v>0</v>
      </c>
      <c r="S1130" s="55" t="str">
        <f t="shared" si="1360"/>
        <v>SEPTIEMBRE</v>
      </c>
      <c r="T1130" s="55" t="str">
        <f t="shared" si="1361"/>
        <v>Sem39</v>
      </c>
      <c r="U1130" s="56">
        <f t="shared" si="1343"/>
        <v>7</v>
      </c>
      <c r="V1130" s="59">
        <v>46288</v>
      </c>
      <c r="W1130" s="56">
        <f t="shared" si="1362"/>
        <v>39</v>
      </c>
      <c r="X1130" s="56">
        <f t="shared" si="1363"/>
        <v>23</v>
      </c>
      <c r="Y1130" s="56" t="s">
        <v>30</v>
      </c>
      <c r="Z1130" s="56">
        <v>3</v>
      </c>
      <c r="AA1130" s="58">
        <f t="shared" si="1332"/>
        <v>0</v>
      </c>
      <c r="AB1130" s="58">
        <f t="shared" si="1332"/>
        <v>0</v>
      </c>
      <c r="AC1130" s="58">
        <f t="shared" si="1332"/>
        <v>1</v>
      </c>
      <c r="AD1130" s="58">
        <f t="shared" si="1332"/>
        <v>0</v>
      </c>
      <c r="AE1130" s="58">
        <f t="shared" si="1332"/>
        <v>0</v>
      </c>
    </row>
    <row r="1131" spans="2:31">
      <c r="B1131" t="str">
        <f t="shared" si="1350"/>
        <v>Sem3939Smith Dario Reyes Tintilla</v>
      </c>
      <c r="C1131" t="str">
        <f t="shared" si="1351"/>
        <v>SEPTIEMBRESem39</v>
      </c>
      <c r="D1131" t="str">
        <f t="shared" si="1352"/>
        <v>SEPTIEMBRESem39Smith Dario Reyes Tintilla</v>
      </c>
      <c r="E1131" t="str">
        <f t="shared" si="1353"/>
        <v>SEPTIEMBRESem3939Smith Dario Reyes Tintilla</v>
      </c>
      <c r="F1131" t="str">
        <f t="shared" si="1354"/>
        <v>Smith Dario Reyes Tintilla46289</v>
      </c>
      <c r="H1131" s="49" t="s">
        <v>268</v>
      </c>
      <c r="I1131" s="50" t="str">
        <f>+_xlfn.XLOOKUP($H1131&amp;$V1131,BASEDATOS!$B:$B,BASEDATOS!F:F,0,0,1)</f>
        <v>DESCANSO</v>
      </c>
      <c r="J1131" s="51">
        <f>+_xlfn.XLOOKUP($H1131&amp;$V1131,BASEDATOS!$B:$B,BASEDATOS!Q:Q,0,0,1)</f>
        <v>0</v>
      </c>
      <c r="K1131" s="51">
        <f>+_xlfn.XLOOKUP($H1131&amp;$V1131,BASEDATOS!$B:$B,BASEDATOS!R:R,0,0,1)</f>
        <v>0</v>
      </c>
      <c r="L1131" s="51">
        <f t="shared" si="1355"/>
        <v>0</v>
      </c>
      <c r="M1131" s="52">
        <f t="shared" si="1356"/>
        <v>0</v>
      </c>
      <c r="N1131" s="51">
        <f t="shared" si="1357"/>
        <v>0</v>
      </c>
      <c r="O1131" s="53" t="str">
        <f t="shared" ref="O1131" si="1391">+O1134</f>
        <v>0-0-7</v>
      </c>
      <c r="P1131" s="54">
        <f>+IF(AND(Y1131="Domingo",U1131=7),_xlfn.XLOOKUP(O1131,'Horarios y Sistemas'!C:C,'Horarios y Sistemas'!H:H,0,0,1),0)</f>
        <v>0</v>
      </c>
      <c r="Q1131" s="54">
        <f>IF(U1131=U1132,0,IF(AVERAGEIF(W:W,W1131,U:U)=U1131,0,_xlfn.XLOOKUP(O1131,'Horarios y Sistemas'!C:C,'Horarios y Sistemas'!H:H,0,0,1)-P1131))/7*U1131</f>
        <v>0</v>
      </c>
      <c r="R1131" s="54">
        <f t="shared" si="1359"/>
        <v>0</v>
      </c>
      <c r="S1131" s="55" t="str">
        <f t="shared" si="1360"/>
        <v>SEPTIEMBRE</v>
      </c>
      <c r="T1131" s="55" t="str">
        <f t="shared" si="1361"/>
        <v>Sem39</v>
      </c>
      <c r="U1131" s="56">
        <f t="shared" si="1343"/>
        <v>7</v>
      </c>
      <c r="V1131" s="59">
        <v>46289</v>
      </c>
      <c r="W1131" s="56">
        <f t="shared" si="1362"/>
        <v>39</v>
      </c>
      <c r="X1131" s="56">
        <f t="shared" si="1363"/>
        <v>24</v>
      </c>
      <c r="Y1131" s="56" t="s">
        <v>31</v>
      </c>
      <c r="Z1131" s="56">
        <v>4</v>
      </c>
      <c r="AA1131" s="58">
        <f t="shared" si="1332"/>
        <v>0</v>
      </c>
      <c r="AB1131" s="58">
        <f t="shared" si="1332"/>
        <v>0</v>
      </c>
      <c r="AC1131" s="58">
        <f t="shared" si="1332"/>
        <v>1</v>
      </c>
      <c r="AD1131" s="58">
        <f t="shared" si="1332"/>
        <v>0</v>
      </c>
      <c r="AE1131" s="58">
        <f t="shared" si="1332"/>
        <v>0</v>
      </c>
    </row>
    <row r="1132" spans="2:31">
      <c r="B1132" t="str">
        <f t="shared" si="1350"/>
        <v>Sem3939Smith Dario Reyes Tintilla</v>
      </c>
      <c r="C1132" t="str">
        <f t="shared" si="1351"/>
        <v>SEPTIEMBRESem39</v>
      </c>
      <c r="D1132" t="str">
        <f t="shared" si="1352"/>
        <v>SEPTIEMBRESem39Smith Dario Reyes Tintilla</v>
      </c>
      <c r="E1132" t="str">
        <f t="shared" si="1353"/>
        <v>SEPTIEMBRESem3939Smith Dario Reyes Tintilla</v>
      </c>
      <c r="F1132" t="str">
        <f t="shared" si="1354"/>
        <v>Smith Dario Reyes Tintilla46290</v>
      </c>
      <c r="H1132" s="49" t="s">
        <v>268</v>
      </c>
      <c r="I1132" s="50" t="str">
        <f>+_xlfn.XLOOKUP($H1132&amp;$V1132,BASEDATOS!$B:$B,BASEDATOS!F:F,0,0,1)</f>
        <v>DESCANSO</v>
      </c>
      <c r="J1132" s="51">
        <f>+_xlfn.XLOOKUP($H1132&amp;$V1132,BASEDATOS!$B:$B,BASEDATOS!Q:Q,0,0,1)</f>
        <v>0</v>
      </c>
      <c r="K1132" s="51">
        <f>+_xlfn.XLOOKUP($H1132&amp;$V1132,BASEDATOS!$B:$B,BASEDATOS!R:R,0,0,1)</f>
        <v>0</v>
      </c>
      <c r="L1132" s="51">
        <f t="shared" si="1355"/>
        <v>0</v>
      </c>
      <c r="M1132" s="52">
        <f t="shared" si="1356"/>
        <v>0</v>
      </c>
      <c r="N1132" s="51">
        <f t="shared" si="1357"/>
        <v>0</v>
      </c>
      <c r="O1132" s="53" t="str">
        <f t="shared" ref="O1132" si="1392">+O1134</f>
        <v>0-0-7</v>
      </c>
      <c r="P1132" s="54">
        <f>+IF(AND(Y1132="Domingo",U1132=7),_xlfn.XLOOKUP(O1132,'Horarios y Sistemas'!C:C,'Horarios y Sistemas'!H:H,0,0,1),0)</f>
        <v>0</v>
      </c>
      <c r="Q1132" s="54">
        <f>IF(U1132=U1133,0,IF(AVERAGEIF(W:W,W1132,U:U)=U1132,0,_xlfn.XLOOKUP(O1132,'Horarios y Sistemas'!C:C,'Horarios y Sistemas'!H:H,0,0,1)-P1132))/7*U1132</f>
        <v>0</v>
      </c>
      <c r="R1132" s="54">
        <f t="shared" si="1359"/>
        <v>0</v>
      </c>
      <c r="S1132" s="55" t="str">
        <f t="shared" si="1360"/>
        <v>SEPTIEMBRE</v>
      </c>
      <c r="T1132" s="55" t="str">
        <f t="shared" si="1361"/>
        <v>Sem39</v>
      </c>
      <c r="U1132" s="56">
        <f t="shared" si="1343"/>
        <v>7</v>
      </c>
      <c r="V1132" s="59">
        <v>46290</v>
      </c>
      <c r="W1132" s="56">
        <f t="shared" si="1362"/>
        <v>39</v>
      </c>
      <c r="X1132" s="56">
        <f t="shared" si="1363"/>
        <v>25</v>
      </c>
      <c r="Y1132" s="56" t="s">
        <v>32</v>
      </c>
      <c r="Z1132" s="56">
        <v>5</v>
      </c>
      <c r="AA1132" s="58">
        <f t="shared" si="1332"/>
        <v>0</v>
      </c>
      <c r="AB1132" s="58">
        <f t="shared" si="1332"/>
        <v>0</v>
      </c>
      <c r="AC1132" s="58">
        <f t="shared" si="1332"/>
        <v>1</v>
      </c>
      <c r="AD1132" s="58">
        <f t="shared" si="1332"/>
        <v>0</v>
      </c>
      <c r="AE1132" s="58">
        <f t="shared" si="1332"/>
        <v>0</v>
      </c>
    </row>
    <row r="1133" spans="2:31">
      <c r="B1133" t="str">
        <f t="shared" si="1350"/>
        <v>Sem3939Smith Dario Reyes Tintilla</v>
      </c>
      <c r="C1133" t="str">
        <f t="shared" si="1351"/>
        <v>SEPTIEMBRESem39</v>
      </c>
      <c r="D1133" t="str">
        <f t="shared" si="1352"/>
        <v>SEPTIEMBRESem39Smith Dario Reyes Tintilla</v>
      </c>
      <c r="E1133" t="str">
        <f t="shared" si="1353"/>
        <v>SEPTIEMBRESem3939Smith Dario Reyes Tintilla</v>
      </c>
      <c r="F1133" t="str">
        <f t="shared" si="1354"/>
        <v>Smith Dario Reyes Tintilla46291</v>
      </c>
      <c r="H1133" s="49" t="s">
        <v>268</v>
      </c>
      <c r="I1133" s="50" t="str">
        <f>+_xlfn.XLOOKUP($H1133&amp;$V1133,BASEDATOS!$B:$B,BASEDATOS!F:F,0,0,1)</f>
        <v>DESCANSO</v>
      </c>
      <c r="J1133" s="51">
        <f>+_xlfn.XLOOKUP($H1133&amp;$V1133,BASEDATOS!$B:$B,BASEDATOS!Q:Q,0,0,1)</f>
        <v>0</v>
      </c>
      <c r="K1133" s="51">
        <f>+_xlfn.XLOOKUP($H1133&amp;$V1133,BASEDATOS!$B:$B,BASEDATOS!R:R,0,0,1)</f>
        <v>0</v>
      </c>
      <c r="L1133" s="51">
        <f t="shared" si="1355"/>
        <v>0</v>
      </c>
      <c r="M1133" s="52">
        <f t="shared" si="1356"/>
        <v>0</v>
      </c>
      <c r="N1133" s="51">
        <f t="shared" si="1357"/>
        <v>0</v>
      </c>
      <c r="O1133" s="53" t="str">
        <f t="shared" ref="O1133" si="1393">+O1134</f>
        <v>0-0-7</v>
      </c>
      <c r="P1133" s="54">
        <f>+IF(AND(Y1133="Domingo",U1133=7),_xlfn.XLOOKUP(O1133,'Horarios y Sistemas'!C:C,'Horarios y Sistemas'!H:H,0,0,1),0)</f>
        <v>0</v>
      </c>
      <c r="Q1133" s="54">
        <f>IF(U1133=U1134,0,IF(AVERAGEIF(W:W,W1133,U:U)=U1133,0,_xlfn.XLOOKUP(O1133,'Horarios y Sistemas'!C:C,'Horarios y Sistemas'!H:H,0,0,1)-P1133))/7*U1133</f>
        <v>0</v>
      </c>
      <c r="R1133" s="54">
        <f t="shared" si="1359"/>
        <v>0</v>
      </c>
      <c r="S1133" s="55" t="str">
        <f t="shared" si="1360"/>
        <v>SEPTIEMBRE</v>
      </c>
      <c r="T1133" s="55" t="str">
        <f t="shared" si="1361"/>
        <v>Sem39</v>
      </c>
      <c r="U1133" s="56">
        <f t="shared" si="1343"/>
        <v>7</v>
      </c>
      <c r="V1133" s="59">
        <v>46291</v>
      </c>
      <c r="W1133" s="56">
        <f t="shared" si="1362"/>
        <v>39</v>
      </c>
      <c r="X1133" s="56">
        <f t="shared" si="1363"/>
        <v>26</v>
      </c>
      <c r="Y1133" s="56" t="s">
        <v>33</v>
      </c>
      <c r="Z1133" s="56">
        <v>6</v>
      </c>
      <c r="AA1133" s="58">
        <f t="shared" si="1332"/>
        <v>0</v>
      </c>
      <c r="AB1133" s="58">
        <f t="shared" si="1332"/>
        <v>0</v>
      </c>
      <c r="AC1133" s="58">
        <f t="shared" si="1332"/>
        <v>1</v>
      </c>
      <c r="AD1133" s="58">
        <f t="shared" si="1332"/>
        <v>0</v>
      </c>
      <c r="AE1133" s="58">
        <f t="shared" si="1332"/>
        <v>0</v>
      </c>
    </row>
    <row r="1134" spans="2:31">
      <c r="B1134" s="60" t="str">
        <f t="shared" si="1350"/>
        <v>Sem3939Smith Dario Reyes Tintilla</v>
      </c>
      <c r="C1134" s="60" t="str">
        <f t="shared" si="1351"/>
        <v>SEPTIEMBRESem39</v>
      </c>
      <c r="D1134" s="60" t="str">
        <f t="shared" si="1352"/>
        <v>SEPTIEMBRESem39Smith Dario Reyes Tintilla</v>
      </c>
      <c r="E1134" s="60" t="str">
        <f t="shared" si="1353"/>
        <v>SEPTIEMBRESem3939Smith Dario Reyes Tintilla</v>
      </c>
      <c r="F1134" s="60" t="str">
        <f t="shared" si="1354"/>
        <v>Smith Dario Reyes Tintilla46292</v>
      </c>
      <c r="G1134" s="60"/>
      <c r="H1134" s="61" t="s">
        <v>268</v>
      </c>
      <c r="I1134" s="62" t="str">
        <f>+_xlfn.XLOOKUP($H1134&amp;$V1134,BASEDATOS!$B:$B,BASEDATOS!F:F,0,0,1)</f>
        <v>DESCANSO</v>
      </c>
      <c r="J1134" s="63">
        <f>+_xlfn.XLOOKUP($H1134&amp;$V1134,BASEDATOS!$B:$B,BASEDATOS!Q:Q,0,0,1)</f>
        <v>0</v>
      </c>
      <c r="K1134" s="63">
        <f>+_xlfn.XLOOKUP($H1134&amp;$V1134,BASEDATOS!$B:$B,BASEDATOS!R:R,0,0,1)</f>
        <v>0</v>
      </c>
      <c r="L1134" s="63">
        <f t="shared" si="1355"/>
        <v>0</v>
      </c>
      <c r="M1134" s="64">
        <f t="shared" si="1356"/>
        <v>0</v>
      </c>
      <c r="N1134" s="63">
        <f t="shared" si="1357"/>
        <v>0</v>
      </c>
      <c r="O1134" s="65" t="str">
        <f t="shared" ref="O1134" si="1394">+IF(Y1134="Domingo",SUM(AA1128:AA1134)&amp;"-"&amp;SUM(AB1128:AB1134)&amp;"-"&amp;SUM(AC1128:AE1134),"")</f>
        <v>0-0-7</v>
      </c>
      <c r="P1134" s="66">
        <f>+IF(AND(Y1134="Domingo",U1134=7),_xlfn.XLOOKUP(O1134,'Horarios y Sistemas'!C:C,'Horarios y Sistemas'!H:H,0,0,1),0)</f>
        <v>0</v>
      </c>
      <c r="Q1134" s="66">
        <f>IF(U1134=U1135,0,IF(AVERAGEIF(W:W,W1134,U:U)=U1134,0,_xlfn.XLOOKUP(O1134,'Horarios y Sistemas'!C:C,'Horarios y Sistemas'!H:H,0,0,1)-P1134))/7*U1134</f>
        <v>0</v>
      </c>
      <c r="R1134" s="66">
        <f t="shared" si="1359"/>
        <v>0</v>
      </c>
      <c r="S1134" s="67" t="str">
        <f t="shared" si="1360"/>
        <v>SEPTIEMBRE</v>
      </c>
      <c r="T1134" s="55" t="str">
        <f t="shared" si="1361"/>
        <v>Sem39</v>
      </c>
      <c r="U1134" s="68">
        <f t="shared" si="1343"/>
        <v>7</v>
      </c>
      <c r="V1134" s="69">
        <v>46292</v>
      </c>
      <c r="W1134" s="68">
        <f t="shared" si="1362"/>
        <v>39</v>
      </c>
      <c r="X1134" s="68">
        <f t="shared" si="1363"/>
        <v>27</v>
      </c>
      <c r="Y1134" s="68" t="s">
        <v>34</v>
      </c>
      <c r="Z1134" s="68">
        <v>7</v>
      </c>
      <c r="AA1134" s="70">
        <f t="shared" si="1332"/>
        <v>0</v>
      </c>
      <c r="AB1134" s="70">
        <f t="shared" si="1332"/>
        <v>0</v>
      </c>
      <c r="AC1134" s="70">
        <f t="shared" si="1332"/>
        <v>1</v>
      </c>
      <c r="AD1134" s="70">
        <f t="shared" si="1332"/>
        <v>0</v>
      </c>
      <c r="AE1134" s="70">
        <f t="shared" si="1332"/>
        <v>0</v>
      </c>
    </row>
    <row r="1135" spans="2:31">
      <c r="B1135" t="str">
        <f t="shared" si="1350"/>
        <v>Sem4040Smith Dario Reyes Tintilla</v>
      </c>
      <c r="C1135" t="str">
        <f t="shared" si="1351"/>
        <v>SEPTIEMBRESem40</v>
      </c>
      <c r="D1135" t="str">
        <f t="shared" si="1352"/>
        <v>SEPTIEMBRESem40Smith Dario Reyes Tintilla</v>
      </c>
      <c r="E1135" t="str">
        <f t="shared" si="1353"/>
        <v>SEPTIEMBRESem4040Smith Dario Reyes Tintilla</v>
      </c>
      <c r="F1135" t="str">
        <f t="shared" si="1354"/>
        <v>Smith Dario Reyes Tintilla46293</v>
      </c>
      <c r="H1135" s="49" t="s">
        <v>268</v>
      </c>
      <c r="I1135" s="50" t="str">
        <f>+_xlfn.XLOOKUP($H1135&amp;$V1135,BASEDATOS!$B:$B,BASEDATOS!F:F,0,0,1)</f>
        <v>DIA</v>
      </c>
      <c r="J1135" s="51">
        <f>+_xlfn.XLOOKUP($H1135&amp;$V1135,BASEDATOS!$B:$B,BASEDATOS!Q:Q,0,0,1)</f>
        <v>0.33333333333333298</v>
      </c>
      <c r="K1135" s="51">
        <f>+_xlfn.XLOOKUP($H1135&amp;$V1135,BASEDATOS!$B:$B,BASEDATOS!R:R,0,0,1)</f>
        <v>0.70833333333333304</v>
      </c>
      <c r="L1135" s="51">
        <f t="shared" si="1355"/>
        <v>0.37500000000000006</v>
      </c>
      <c r="M1135" s="52" t="str">
        <f t="shared" si="1356"/>
        <v>1:00</v>
      </c>
      <c r="N1135" s="51">
        <f t="shared" si="1357"/>
        <v>0.33333333333333337</v>
      </c>
      <c r="O1135" s="53" t="str">
        <f t="shared" ref="O1135" si="1395">+O1141</f>
        <v>6-0-1</v>
      </c>
      <c r="P1135" s="54">
        <f>+IF(AND(Y1135="Domingo",U1135=7),_xlfn.XLOOKUP(O1135,'Horarios y Sistemas'!C:C,'Horarios y Sistemas'!H:H,0,0,1),0)</f>
        <v>0</v>
      </c>
      <c r="Q1135" s="54">
        <f>IF(U1135=U1136,0,IF(AVERAGEIF(W:W,W1135,U:U)=U1135,0,_xlfn.XLOOKUP(O1135,'Horarios y Sistemas'!C:C,'Horarios y Sistemas'!H:H,0,0,1)-P1135))/7*U1135</f>
        <v>0</v>
      </c>
      <c r="R1135" s="54">
        <f t="shared" si="1359"/>
        <v>0</v>
      </c>
      <c r="S1135" s="55" t="str">
        <f t="shared" si="1360"/>
        <v>SEPTIEMBRE</v>
      </c>
      <c r="T1135" s="55" t="str">
        <f t="shared" si="1361"/>
        <v>Sem40</v>
      </c>
      <c r="U1135" s="56">
        <f t="shared" si="1343"/>
        <v>7</v>
      </c>
      <c r="V1135" s="59">
        <v>46293</v>
      </c>
      <c r="W1135" s="56">
        <f t="shared" si="1362"/>
        <v>40</v>
      </c>
      <c r="X1135" s="56">
        <f t="shared" si="1363"/>
        <v>28</v>
      </c>
      <c r="Y1135" s="56" t="s">
        <v>28</v>
      </c>
      <c r="Z1135" s="56">
        <v>1</v>
      </c>
      <c r="AA1135" s="58">
        <f t="shared" si="1332"/>
        <v>1</v>
      </c>
      <c r="AB1135" s="58">
        <f t="shared" si="1332"/>
        <v>0</v>
      </c>
      <c r="AC1135" s="58">
        <f t="shared" si="1332"/>
        <v>0</v>
      </c>
      <c r="AD1135" s="58">
        <f t="shared" si="1332"/>
        <v>0</v>
      </c>
      <c r="AE1135" s="58">
        <f t="shared" si="1332"/>
        <v>0</v>
      </c>
    </row>
    <row r="1136" spans="2:31">
      <c r="B1136" t="str">
        <f t="shared" si="1350"/>
        <v>Sem4040Smith Dario Reyes Tintilla</v>
      </c>
      <c r="C1136" t="str">
        <f t="shared" si="1351"/>
        <v>SEPTIEMBRESem40</v>
      </c>
      <c r="D1136" t="str">
        <f t="shared" si="1352"/>
        <v>SEPTIEMBRESem40Smith Dario Reyes Tintilla</v>
      </c>
      <c r="E1136" t="str">
        <f t="shared" si="1353"/>
        <v>SEPTIEMBRESem4040Smith Dario Reyes Tintilla</v>
      </c>
      <c r="F1136" t="str">
        <f t="shared" si="1354"/>
        <v>Smith Dario Reyes Tintilla46294</v>
      </c>
      <c r="H1136" s="49" t="s">
        <v>268</v>
      </c>
      <c r="I1136" s="50" t="str">
        <f>+_xlfn.XLOOKUP($H1136&amp;$V1136,BASEDATOS!$B:$B,BASEDATOS!F:F,0,0,1)</f>
        <v>DIA</v>
      </c>
      <c r="J1136" s="51">
        <f>+_xlfn.XLOOKUP($H1136&amp;$V1136,BASEDATOS!$B:$B,BASEDATOS!Q:Q,0,0,1)</f>
        <v>0.33333333333333298</v>
      </c>
      <c r="K1136" s="51">
        <f>+_xlfn.XLOOKUP($H1136&amp;$V1136,BASEDATOS!$B:$B,BASEDATOS!R:R,0,0,1)</f>
        <v>0.70833333333333304</v>
      </c>
      <c r="L1136" s="51">
        <f t="shared" si="1355"/>
        <v>0.37500000000000006</v>
      </c>
      <c r="M1136" s="52" t="str">
        <f t="shared" si="1356"/>
        <v>1:00</v>
      </c>
      <c r="N1136" s="51">
        <f t="shared" si="1357"/>
        <v>0.33333333333333337</v>
      </c>
      <c r="O1136" s="53" t="str">
        <f t="shared" ref="O1136" si="1396">+O1141</f>
        <v>6-0-1</v>
      </c>
      <c r="P1136" s="54">
        <f>+IF(AND(Y1136="Domingo",U1136=7),_xlfn.XLOOKUP(O1136,'Horarios y Sistemas'!C:C,'Horarios y Sistemas'!H:H,0,0,1),0)</f>
        <v>0</v>
      </c>
      <c r="Q1136" s="54">
        <f>IF(U1136=U1137,0,IF(AVERAGEIF(W:W,W1136,U:U)=U1136,0,_xlfn.XLOOKUP(O1136,'Horarios y Sistemas'!C:C,'Horarios y Sistemas'!H:H,0,0,1)-P1136))/7*U1136</f>
        <v>0</v>
      </c>
      <c r="R1136" s="54">
        <f t="shared" si="1359"/>
        <v>0</v>
      </c>
      <c r="S1136" s="55" t="str">
        <f t="shared" si="1360"/>
        <v>SEPTIEMBRE</v>
      </c>
      <c r="T1136" s="55" t="str">
        <f t="shared" si="1361"/>
        <v>Sem40</v>
      </c>
      <c r="U1136" s="56">
        <f t="shared" si="1343"/>
        <v>7</v>
      </c>
      <c r="V1136" s="59">
        <v>46294</v>
      </c>
      <c r="W1136" s="56">
        <f t="shared" si="1362"/>
        <v>40</v>
      </c>
      <c r="X1136" s="56">
        <f t="shared" si="1363"/>
        <v>29</v>
      </c>
      <c r="Y1136" s="56" t="s">
        <v>29</v>
      </c>
      <c r="Z1136" s="56">
        <v>2</v>
      </c>
      <c r="AA1136" s="58">
        <f t="shared" si="1332"/>
        <v>1</v>
      </c>
      <c r="AB1136" s="58">
        <f t="shared" si="1332"/>
        <v>0</v>
      </c>
      <c r="AC1136" s="58">
        <f t="shared" si="1332"/>
        <v>0</v>
      </c>
      <c r="AD1136" s="58">
        <f t="shared" si="1332"/>
        <v>0</v>
      </c>
      <c r="AE1136" s="58">
        <f t="shared" si="1332"/>
        <v>0</v>
      </c>
    </row>
    <row r="1137" spans="2:31">
      <c r="B1137" t="str">
        <f t="shared" si="1350"/>
        <v>Sem4040Smith Dario Reyes Tintilla</v>
      </c>
      <c r="C1137" t="str">
        <f t="shared" si="1351"/>
        <v>SEPTIEMBRESem40</v>
      </c>
      <c r="D1137" t="str">
        <f t="shared" si="1352"/>
        <v>SEPTIEMBRESem40Smith Dario Reyes Tintilla</v>
      </c>
      <c r="E1137" t="str">
        <f t="shared" si="1353"/>
        <v>SEPTIEMBRESem4040Smith Dario Reyes Tintilla</v>
      </c>
      <c r="F1137" t="str">
        <f t="shared" si="1354"/>
        <v>Smith Dario Reyes Tintilla46295</v>
      </c>
      <c r="H1137" s="49" t="s">
        <v>268</v>
      </c>
      <c r="I1137" s="50" t="str">
        <f>+_xlfn.XLOOKUP($H1137&amp;$V1137,BASEDATOS!$B:$B,BASEDATOS!F:F,0,0,1)</f>
        <v>DIA</v>
      </c>
      <c r="J1137" s="51">
        <f>+_xlfn.XLOOKUP($H1137&amp;$V1137,BASEDATOS!$B:$B,BASEDATOS!Q:Q,0,0,1)</f>
        <v>0.33333333333333298</v>
      </c>
      <c r="K1137" s="51">
        <f>+_xlfn.XLOOKUP($H1137&amp;$V1137,BASEDATOS!$B:$B,BASEDATOS!R:R,0,0,1)</f>
        <v>0.70833333333333304</v>
      </c>
      <c r="L1137" s="51">
        <f t="shared" si="1355"/>
        <v>0.37500000000000006</v>
      </c>
      <c r="M1137" s="52" t="str">
        <f t="shared" si="1356"/>
        <v>1:00</v>
      </c>
      <c r="N1137" s="51">
        <f t="shared" si="1357"/>
        <v>0.33333333333333337</v>
      </c>
      <c r="O1137" s="53" t="str">
        <f t="shared" ref="O1137" si="1397">+O1141</f>
        <v>6-0-1</v>
      </c>
      <c r="P1137" s="54">
        <f>+IF(AND(Y1137="Domingo",U1137=7),_xlfn.XLOOKUP(O1137,'Horarios y Sistemas'!C:C,'Horarios y Sistemas'!H:H,0,0,1),0)</f>
        <v>0</v>
      </c>
      <c r="Q1137" s="54">
        <f>IF(U1137=U1138,0,IF(AVERAGEIF(W:W,W1137,U:U)=U1137,0,_xlfn.XLOOKUP(O1137,'Horarios y Sistemas'!C:C,'Horarios y Sistemas'!H:H,0,0,1)-P1137))/7*U1137</f>
        <v>0</v>
      </c>
      <c r="R1137" s="54">
        <f t="shared" si="1359"/>
        <v>0</v>
      </c>
      <c r="S1137" s="55" t="str">
        <f t="shared" si="1360"/>
        <v>SEPTIEMBRE</v>
      </c>
      <c r="T1137" s="55" t="str">
        <f t="shared" si="1361"/>
        <v>Sem40</v>
      </c>
      <c r="U1137" s="56">
        <f t="shared" si="1343"/>
        <v>7</v>
      </c>
      <c r="V1137" s="59">
        <v>46295</v>
      </c>
      <c r="W1137" s="56">
        <f t="shared" si="1362"/>
        <v>40</v>
      </c>
      <c r="X1137" s="56">
        <f t="shared" si="1363"/>
        <v>30</v>
      </c>
      <c r="Y1137" s="56" t="s">
        <v>30</v>
      </c>
      <c r="Z1137" s="56">
        <v>3</v>
      </c>
      <c r="AA1137" s="58">
        <f t="shared" ref="AA1137:AE1187" si="1398">+IF($I1137=AA$7,1,0)</f>
        <v>1</v>
      </c>
      <c r="AB1137" s="58">
        <f t="shared" si="1398"/>
        <v>0</v>
      </c>
      <c r="AC1137" s="58">
        <f t="shared" si="1398"/>
        <v>0</v>
      </c>
      <c r="AD1137" s="58">
        <f t="shared" si="1398"/>
        <v>0</v>
      </c>
      <c r="AE1137" s="58">
        <f t="shared" si="1398"/>
        <v>0</v>
      </c>
    </row>
    <row r="1138" spans="2:31">
      <c r="B1138" t="str">
        <f t="shared" si="1350"/>
        <v>Sem4040Smith Dario Reyes Tintilla</v>
      </c>
      <c r="C1138" t="str">
        <f t="shared" si="1351"/>
        <v>OCTUBRESem40</v>
      </c>
      <c r="D1138" t="str">
        <f t="shared" si="1352"/>
        <v>OCTUBRESem40Smith Dario Reyes Tintilla</v>
      </c>
      <c r="E1138" t="str">
        <f t="shared" si="1353"/>
        <v>OCTUBRESem4040Smith Dario Reyes Tintilla</v>
      </c>
      <c r="F1138" t="str">
        <f t="shared" si="1354"/>
        <v>Smith Dario Reyes Tintilla46296</v>
      </c>
      <c r="H1138" s="49" t="s">
        <v>268</v>
      </c>
      <c r="I1138" s="50" t="str">
        <f>+_xlfn.XLOOKUP($H1138&amp;$V1138,BASEDATOS!$B:$B,BASEDATOS!F:F,0,0,1)</f>
        <v>DIA</v>
      </c>
      <c r="J1138" s="51">
        <f>+_xlfn.XLOOKUP($H1138&amp;$V1138,BASEDATOS!$B:$B,BASEDATOS!Q:Q,0,0,1)</f>
        <v>0.33333333333333298</v>
      </c>
      <c r="K1138" s="51">
        <f>+_xlfn.XLOOKUP($H1138&amp;$V1138,BASEDATOS!$B:$B,BASEDATOS!R:R,0,0,1)</f>
        <v>0.70833333333333304</v>
      </c>
      <c r="L1138" s="51">
        <f t="shared" si="1355"/>
        <v>0.37500000000000006</v>
      </c>
      <c r="M1138" s="52" t="str">
        <f t="shared" si="1356"/>
        <v>1:00</v>
      </c>
      <c r="N1138" s="51">
        <f t="shared" si="1357"/>
        <v>0.33333333333333337</v>
      </c>
      <c r="O1138" s="53" t="str">
        <f t="shared" ref="O1138" si="1399">+O1141</f>
        <v>6-0-1</v>
      </c>
      <c r="P1138" s="54">
        <f>+IF(AND(Y1138="Domingo",U1138=7),_xlfn.XLOOKUP(O1138,'Horarios y Sistemas'!C:C,'Horarios y Sistemas'!H:H,0,0,1),0)</f>
        <v>0</v>
      </c>
      <c r="Q1138" s="54">
        <f>IF(U1138=U1139,0,IF(AVERAGEIF(W:W,W1138,U:U)=U1138,0,_xlfn.XLOOKUP(O1138,'Horarios y Sistemas'!C:C,'Horarios y Sistemas'!H:H,0,0,1)-P1138))/7*U1138</f>
        <v>0</v>
      </c>
      <c r="R1138" s="54">
        <f t="shared" si="1359"/>
        <v>0</v>
      </c>
      <c r="S1138" s="55" t="str">
        <f t="shared" si="1360"/>
        <v>OCTUBRE</v>
      </c>
      <c r="T1138" s="55" t="str">
        <f t="shared" si="1361"/>
        <v>Sem40</v>
      </c>
      <c r="U1138" s="56">
        <f t="shared" si="1343"/>
        <v>7</v>
      </c>
      <c r="V1138" s="59">
        <v>46296</v>
      </c>
      <c r="W1138" s="56">
        <f t="shared" si="1362"/>
        <v>40</v>
      </c>
      <c r="X1138" s="56">
        <f t="shared" si="1363"/>
        <v>1</v>
      </c>
      <c r="Y1138" s="56" t="s">
        <v>31</v>
      </c>
      <c r="Z1138" s="56">
        <v>4</v>
      </c>
      <c r="AA1138" s="58">
        <f t="shared" si="1398"/>
        <v>1</v>
      </c>
      <c r="AB1138" s="58">
        <f t="shared" si="1398"/>
        <v>0</v>
      </c>
      <c r="AC1138" s="58">
        <f t="shared" si="1398"/>
        <v>0</v>
      </c>
      <c r="AD1138" s="58">
        <f t="shared" si="1398"/>
        <v>0</v>
      </c>
      <c r="AE1138" s="58">
        <f t="shared" si="1398"/>
        <v>0</v>
      </c>
    </row>
    <row r="1139" spans="2:31">
      <c r="B1139" t="str">
        <f t="shared" si="1350"/>
        <v>Sem4040Smith Dario Reyes Tintilla</v>
      </c>
      <c r="C1139" t="str">
        <f t="shared" si="1351"/>
        <v>OCTUBRESem40</v>
      </c>
      <c r="D1139" t="str">
        <f t="shared" si="1352"/>
        <v>OCTUBRESem40Smith Dario Reyes Tintilla</v>
      </c>
      <c r="E1139" t="str">
        <f t="shared" si="1353"/>
        <v>OCTUBRESem4040Smith Dario Reyes Tintilla</v>
      </c>
      <c r="F1139" t="str">
        <f t="shared" si="1354"/>
        <v>Smith Dario Reyes Tintilla46297</v>
      </c>
      <c r="H1139" s="49" t="s">
        <v>268</v>
      </c>
      <c r="I1139" s="50" t="str">
        <f>+_xlfn.XLOOKUP($H1139&amp;$V1139,BASEDATOS!$B:$B,BASEDATOS!F:F,0,0,1)</f>
        <v>DIA</v>
      </c>
      <c r="J1139" s="51">
        <f>+_xlfn.XLOOKUP($H1139&amp;$V1139,BASEDATOS!$B:$B,BASEDATOS!Q:Q,0,0,1)</f>
        <v>0.33333333333333298</v>
      </c>
      <c r="K1139" s="51">
        <f>+_xlfn.XLOOKUP($H1139&amp;$V1139,BASEDATOS!$B:$B,BASEDATOS!R:R,0,0,1)</f>
        <v>0.70833333333333304</v>
      </c>
      <c r="L1139" s="51">
        <f t="shared" si="1355"/>
        <v>0.37500000000000006</v>
      </c>
      <c r="M1139" s="52" t="str">
        <f t="shared" si="1356"/>
        <v>1:00</v>
      </c>
      <c r="N1139" s="51">
        <f t="shared" si="1357"/>
        <v>0.33333333333333337</v>
      </c>
      <c r="O1139" s="53" t="str">
        <f t="shared" ref="O1139" si="1400">+O1141</f>
        <v>6-0-1</v>
      </c>
      <c r="P1139" s="54">
        <f>+IF(AND(Y1139="Domingo",U1139=7),_xlfn.XLOOKUP(O1139,'Horarios y Sistemas'!C:C,'Horarios y Sistemas'!H:H,0,0,1),0)</f>
        <v>0</v>
      </c>
      <c r="Q1139" s="54">
        <f>IF(U1139=U1140,0,IF(AVERAGEIF(W:W,W1139,U:U)=U1139,0,_xlfn.XLOOKUP(O1139,'Horarios y Sistemas'!C:C,'Horarios y Sistemas'!H:H,0,0,1)-P1139))/7*U1139</f>
        <v>0</v>
      </c>
      <c r="R1139" s="54">
        <f t="shared" si="1359"/>
        <v>0</v>
      </c>
      <c r="S1139" s="55" t="str">
        <f t="shared" si="1360"/>
        <v>OCTUBRE</v>
      </c>
      <c r="T1139" s="55" t="str">
        <f t="shared" si="1361"/>
        <v>Sem40</v>
      </c>
      <c r="U1139" s="56">
        <f t="shared" si="1343"/>
        <v>7</v>
      </c>
      <c r="V1139" s="59">
        <v>46297</v>
      </c>
      <c r="W1139" s="56">
        <f t="shared" si="1362"/>
        <v>40</v>
      </c>
      <c r="X1139" s="56">
        <f t="shared" si="1363"/>
        <v>2</v>
      </c>
      <c r="Y1139" s="56" t="s">
        <v>32</v>
      </c>
      <c r="Z1139" s="56">
        <v>5</v>
      </c>
      <c r="AA1139" s="58">
        <f t="shared" si="1398"/>
        <v>1</v>
      </c>
      <c r="AB1139" s="58">
        <f t="shared" si="1398"/>
        <v>0</v>
      </c>
      <c r="AC1139" s="58">
        <f t="shared" si="1398"/>
        <v>0</v>
      </c>
      <c r="AD1139" s="58">
        <f t="shared" si="1398"/>
        <v>0</v>
      </c>
      <c r="AE1139" s="58">
        <f t="shared" si="1398"/>
        <v>0</v>
      </c>
    </row>
    <row r="1140" spans="2:31">
      <c r="B1140" t="str">
        <f t="shared" si="1350"/>
        <v>Sem4040Smith Dario Reyes Tintilla</v>
      </c>
      <c r="C1140" t="str">
        <f t="shared" si="1351"/>
        <v>OCTUBRESem40</v>
      </c>
      <c r="D1140" t="str">
        <f t="shared" si="1352"/>
        <v>OCTUBRESem40Smith Dario Reyes Tintilla</v>
      </c>
      <c r="E1140" t="str">
        <f t="shared" si="1353"/>
        <v>OCTUBRESem4040Smith Dario Reyes Tintilla</v>
      </c>
      <c r="F1140" t="str">
        <f t="shared" si="1354"/>
        <v>Smith Dario Reyes Tintilla46298</v>
      </c>
      <c r="H1140" s="49" t="s">
        <v>268</v>
      </c>
      <c r="I1140" s="50" t="str">
        <f>+_xlfn.XLOOKUP($H1140&amp;$V1140,BASEDATOS!$B:$B,BASEDATOS!F:F,0,0,1)</f>
        <v>DIA</v>
      </c>
      <c r="J1140" s="51">
        <f>+_xlfn.XLOOKUP($H1140&amp;$V1140,BASEDATOS!$B:$B,BASEDATOS!Q:Q,0,0,1)</f>
        <v>0.33333333333333298</v>
      </c>
      <c r="K1140" s="51">
        <f>+_xlfn.XLOOKUP($H1140&amp;$V1140,BASEDATOS!$B:$B,BASEDATOS!R:R,0,0,1)</f>
        <v>0.5</v>
      </c>
      <c r="L1140" s="51">
        <f t="shared" si="1355"/>
        <v>0.16666666666666702</v>
      </c>
      <c r="M1140" s="52" t="str">
        <f t="shared" si="1356"/>
        <v>1:00</v>
      </c>
      <c r="N1140" s="51">
        <f t="shared" si="1357"/>
        <v>0.12500000000000036</v>
      </c>
      <c r="O1140" s="53" t="str">
        <f t="shared" ref="O1140" si="1401">+O1141</f>
        <v>6-0-1</v>
      </c>
      <c r="P1140" s="54">
        <f>+IF(AND(Y1140="Domingo",U1140=7),_xlfn.XLOOKUP(O1140,'Horarios y Sistemas'!C:C,'Horarios y Sistemas'!H:H,0,0,1),0)</f>
        <v>0</v>
      </c>
      <c r="Q1140" s="54">
        <f>IF(U1140=U1141,0,IF(AVERAGEIF(W:W,W1140,U:U)=U1140,0,_xlfn.XLOOKUP(O1140,'Horarios y Sistemas'!C:C,'Horarios y Sistemas'!H:H,0,0,1)-P1140))/7*U1140</f>
        <v>0</v>
      </c>
      <c r="R1140" s="54">
        <f t="shared" si="1359"/>
        <v>0</v>
      </c>
      <c r="S1140" s="55" t="str">
        <f t="shared" si="1360"/>
        <v>OCTUBRE</v>
      </c>
      <c r="T1140" s="55" t="str">
        <f t="shared" si="1361"/>
        <v>Sem40</v>
      </c>
      <c r="U1140" s="56">
        <f t="shared" si="1343"/>
        <v>7</v>
      </c>
      <c r="V1140" s="59">
        <v>46298</v>
      </c>
      <c r="W1140" s="56">
        <f t="shared" si="1362"/>
        <v>40</v>
      </c>
      <c r="X1140" s="56">
        <f t="shared" si="1363"/>
        <v>3</v>
      </c>
      <c r="Y1140" s="56" t="s">
        <v>33</v>
      </c>
      <c r="Z1140" s="56">
        <v>6</v>
      </c>
      <c r="AA1140" s="58">
        <f t="shared" si="1398"/>
        <v>1</v>
      </c>
      <c r="AB1140" s="58">
        <f t="shared" si="1398"/>
        <v>0</v>
      </c>
      <c r="AC1140" s="58">
        <f t="shared" si="1398"/>
        <v>0</v>
      </c>
      <c r="AD1140" s="58">
        <f t="shared" si="1398"/>
        <v>0</v>
      </c>
      <c r="AE1140" s="58">
        <f t="shared" si="1398"/>
        <v>0</v>
      </c>
    </row>
    <row r="1141" spans="2:31">
      <c r="B1141" s="60" t="str">
        <f t="shared" si="1350"/>
        <v>Sem4040Smith Dario Reyes Tintilla</v>
      </c>
      <c r="C1141" s="60" t="str">
        <f t="shared" si="1351"/>
        <v>OCTUBRESem40</v>
      </c>
      <c r="D1141" s="60" t="str">
        <f t="shared" si="1352"/>
        <v>OCTUBRESem40Smith Dario Reyes Tintilla</v>
      </c>
      <c r="E1141" s="60" t="str">
        <f t="shared" si="1353"/>
        <v>OCTUBRESem4040Smith Dario Reyes Tintilla</v>
      </c>
      <c r="F1141" s="60" t="str">
        <f t="shared" si="1354"/>
        <v>Smith Dario Reyes Tintilla46299</v>
      </c>
      <c r="G1141" s="60"/>
      <c r="H1141" s="61" t="s">
        <v>268</v>
      </c>
      <c r="I1141" s="62" t="str">
        <f>+_xlfn.XLOOKUP($H1141&amp;$V1141,BASEDATOS!$B:$B,BASEDATOS!F:F,0,0,1)</f>
        <v>DESCANSO</v>
      </c>
      <c r="J1141" s="63">
        <f>+_xlfn.XLOOKUP($H1141&amp;$V1141,BASEDATOS!$B:$B,BASEDATOS!Q:Q,0,0,1)</f>
        <v>0</v>
      </c>
      <c r="K1141" s="63">
        <f>+_xlfn.XLOOKUP($H1141&amp;$V1141,BASEDATOS!$B:$B,BASEDATOS!R:R,0,0,1)</f>
        <v>0</v>
      </c>
      <c r="L1141" s="63">
        <f t="shared" si="1355"/>
        <v>0</v>
      </c>
      <c r="M1141" s="64">
        <f t="shared" si="1356"/>
        <v>0</v>
      </c>
      <c r="N1141" s="63">
        <f t="shared" si="1357"/>
        <v>0</v>
      </c>
      <c r="O1141" s="65" t="str">
        <f t="shared" ref="O1141" si="1402">+IF(Y1141="Domingo",SUM(AA1135:AA1141)&amp;"-"&amp;SUM(AB1135:AB1141)&amp;"-"&amp;SUM(AC1135:AE1141),"")</f>
        <v>6-0-1</v>
      </c>
      <c r="P1141" s="66">
        <f>+IF(AND(Y1141="Domingo",U1141=7),_xlfn.XLOOKUP(O1141,'Horarios y Sistemas'!C:C,'Horarios y Sistemas'!H:H,0,0,1),0)</f>
        <v>44</v>
      </c>
      <c r="Q1141" s="66">
        <f>IF(U1141=U1142,0,IF(AVERAGEIF(W:W,W1141,U:U)=U1141,0,_xlfn.XLOOKUP(O1141,'Horarios y Sistemas'!C:C,'Horarios y Sistemas'!H:H,0,0,1)-P1141))/7*U1141</f>
        <v>0</v>
      </c>
      <c r="R1141" s="66">
        <f t="shared" si="1359"/>
        <v>44</v>
      </c>
      <c r="S1141" s="67" t="str">
        <f t="shared" si="1360"/>
        <v>OCTUBRE</v>
      </c>
      <c r="T1141" s="55" t="str">
        <f t="shared" si="1361"/>
        <v>Sem40</v>
      </c>
      <c r="U1141" s="68">
        <f t="shared" si="1343"/>
        <v>7</v>
      </c>
      <c r="V1141" s="69">
        <v>46299</v>
      </c>
      <c r="W1141" s="68">
        <f t="shared" si="1362"/>
        <v>40</v>
      </c>
      <c r="X1141" s="68">
        <f t="shared" si="1363"/>
        <v>4</v>
      </c>
      <c r="Y1141" s="68" t="s">
        <v>34</v>
      </c>
      <c r="Z1141" s="68">
        <v>7</v>
      </c>
      <c r="AA1141" s="70">
        <f t="shared" si="1398"/>
        <v>0</v>
      </c>
      <c r="AB1141" s="70">
        <f t="shared" si="1398"/>
        <v>0</v>
      </c>
      <c r="AC1141" s="70">
        <f t="shared" si="1398"/>
        <v>1</v>
      </c>
      <c r="AD1141" s="70">
        <f t="shared" si="1398"/>
        <v>0</v>
      </c>
      <c r="AE1141" s="70">
        <f t="shared" si="1398"/>
        <v>0</v>
      </c>
    </row>
    <row r="1142" spans="2:31">
      <c r="B1142" t="str">
        <f t="shared" si="1350"/>
        <v>Sem3838WINDER ALEXANDER BOLVITO ESTRADA</v>
      </c>
      <c r="C1142" t="str">
        <f t="shared" si="1351"/>
        <v>SEPTIEMBRESem38</v>
      </c>
      <c r="D1142" t="str">
        <f t="shared" si="1352"/>
        <v>SEPTIEMBRESem38WINDER ALEXANDER BOLVITO ESTRADA</v>
      </c>
      <c r="E1142" t="str">
        <f t="shared" si="1353"/>
        <v>SEPTIEMBRESem3838WINDER ALEXANDER BOLVITO ESTRADA</v>
      </c>
      <c r="F1142" t="str">
        <f t="shared" si="1354"/>
        <v>WINDER ALEXANDER BOLVITO ESTRADA46279</v>
      </c>
      <c r="H1142" s="49" t="s">
        <v>252</v>
      </c>
      <c r="I1142" s="50" t="str">
        <f>+_xlfn.XLOOKUP($H1142&amp;$V1142,BASEDATOS!$B:$B,BASEDATOS!F:F,0,0,1)</f>
        <v>DESCANSO</v>
      </c>
      <c r="J1142" s="51">
        <f>+_xlfn.XLOOKUP($H1142&amp;$V1142,BASEDATOS!$B:$B,BASEDATOS!Q:Q,0,0,1)</f>
        <v>0</v>
      </c>
      <c r="K1142" s="51">
        <f>+_xlfn.XLOOKUP($H1142&amp;$V1142,BASEDATOS!$B:$B,BASEDATOS!R:R,0,0,1)</f>
        <v>0</v>
      </c>
      <c r="L1142" s="51">
        <f t="shared" si="1355"/>
        <v>0</v>
      </c>
      <c r="M1142" s="52">
        <f t="shared" si="1356"/>
        <v>0</v>
      </c>
      <c r="N1142" s="51">
        <f t="shared" si="1357"/>
        <v>0</v>
      </c>
      <c r="O1142" s="53" t="str">
        <f t="shared" ref="O1142" si="1403">+O1148</f>
        <v>5-0-2</v>
      </c>
      <c r="P1142" s="54">
        <f>+IF(AND(Y1142="Domingo",U1142=7),_xlfn.XLOOKUP(O1142,'Horarios y Sistemas'!C:C,'Horarios y Sistemas'!H:H,0,0,1),0)</f>
        <v>0</v>
      </c>
      <c r="Q1142" s="54">
        <f>IF(U1142=U1143,0,IF(AVERAGEIF(W:W,W1142,U:U)=U1142,0,_xlfn.XLOOKUP(O1142,'Horarios y Sistemas'!C:C,'Horarios y Sistemas'!H:H,0,0,1)-P1142))/7*U1142</f>
        <v>0</v>
      </c>
      <c r="R1142" s="54">
        <f t="shared" si="1359"/>
        <v>0</v>
      </c>
      <c r="S1142" s="55" t="str">
        <f t="shared" si="1360"/>
        <v>SEPTIEMBRE</v>
      </c>
      <c r="T1142" s="55" t="str">
        <f t="shared" si="1361"/>
        <v>Sem38</v>
      </c>
      <c r="U1142" s="56">
        <f t="shared" si="1343"/>
        <v>7</v>
      </c>
      <c r="V1142" s="59">
        <v>46279</v>
      </c>
      <c r="W1142" s="56">
        <f t="shared" si="1362"/>
        <v>38</v>
      </c>
      <c r="X1142" s="56">
        <f t="shared" si="1363"/>
        <v>14</v>
      </c>
      <c r="Y1142" s="56" t="s">
        <v>28</v>
      </c>
      <c r="Z1142" s="56">
        <v>1</v>
      </c>
      <c r="AA1142" s="58">
        <f t="shared" si="1398"/>
        <v>0</v>
      </c>
      <c r="AB1142" s="58">
        <f t="shared" si="1398"/>
        <v>0</v>
      </c>
      <c r="AC1142" s="58">
        <f t="shared" si="1398"/>
        <v>1</v>
      </c>
      <c r="AD1142" s="58">
        <f t="shared" si="1398"/>
        <v>0</v>
      </c>
      <c r="AE1142" s="58">
        <f t="shared" si="1398"/>
        <v>0</v>
      </c>
    </row>
    <row r="1143" spans="2:31">
      <c r="B1143" t="str">
        <f t="shared" si="1350"/>
        <v>Sem3838WINDER ALEXANDER BOLVITO ESTRADA</v>
      </c>
      <c r="C1143" t="str">
        <f t="shared" si="1351"/>
        <v>SEPTIEMBRESem38</v>
      </c>
      <c r="D1143" t="str">
        <f t="shared" si="1352"/>
        <v>SEPTIEMBRESem38WINDER ALEXANDER BOLVITO ESTRADA</v>
      </c>
      <c r="E1143" t="str">
        <f t="shared" si="1353"/>
        <v>SEPTIEMBRESem3838WINDER ALEXANDER BOLVITO ESTRADA</v>
      </c>
      <c r="F1143" t="str">
        <f t="shared" si="1354"/>
        <v>WINDER ALEXANDER BOLVITO ESTRADA46280</v>
      </c>
      <c r="H1143" s="49" t="s">
        <v>252</v>
      </c>
      <c r="I1143" s="50" t="str">
        <f>+_xlfn.XLOOKUP($H1143&amp;$V1143,BASEDATOS!$B:$B,BASEDATOS!F:F,0,0,1)</f>
        <v>DIA</v>
      </c>
      <c r="J1143" s="51">
        <f>+_xlfn.XLOOKUP($H1143&amp;$V1143,BASEDATOS!$B:$B,BASEDATOS!Q:Q,0,0,1)</f>
        <v>0.33333333333333298</v>
      </c>
      <c r="K1143" s="51">
        <f>+_xlfn.XLOOKUP($H1143&amp;$V1143,BASEDATOS!$B:$B,BASEDATOS!R:R,0,0,1)</f>
        <v>0.70833333333333304</v>
      </c>
      <c r="L1143" s="51">
        <f t="shared" si="1355"/>
        <v>0.37500000000000006</v>
      </c>
      <c r="M1143" s="52" t="str">
        <f t="shared" si="1356"/>
        <v>1:00</v>
      </c>
      <c r="N1143" s="51">
        <f t="shared" si="1357"/>
        <v>0.33333333333333337</v>
      </c>
      <c r="O1143" s="53" t="str">
        <f t="shared" ref="O1143" si="1404">+O1148</f>
        <v>5-0-2</v>
      </c>
      <c r="P1143" s="54">
        <f>+IF(AND(Y1143="Domingo",U1143=7),_xlfn.XLOOKUP(O1143,'Horarios y Sistemas'!C:C,'Horarios y Sistemas'!H:H,0,0,1),0)</f>
        <v>0</v>
      </c>
      <c r="Q1143" s="54">
        <f>IF(U1143=U1144,0,IF(AVERAGEIF(W:W,W1143,U:U)=U1143,0,_xlfn.XLOOKUP(O1143,'Horarios y Sistemas'!C:C,'Horarios y Sistemas'!H:H,0,0,1)-P1143))/7*U1143</f>
        <v>0</v>
      </c>
      <c r="R1143" s="54">
        <f t="shared" si="1359"/>
        <v>0</v>
      </c>
      <c r="S1143" s="55" t="str">
        <f t="shared" si="1360"/>
        <v>SEPTIEMBRE</v>
      </c>
      <c r="T1143" s="55" t="str">
        <f t="shared" si="1361"/>
        <v>Sem38</v>
      </c>
      <c r="U1143" s="56">
        <f t="shared" si="1343"/>
        <v>7</v>
      </c>
      <c r="V1143" s="59">
        <v>46280</v>
      </c>
      <c r="W1143" s="56">
        <f t="shared" si="1362"/>
        <v>38</v>
      </c>
      <c r="X1143" s="56">
        <f t="shared" si="1363"/>
        <v>15</v>
      </c>
      <c r="Y1143" s="56" t="s">
        <v>29</v>
      </c>
      <c r="Z1143" s="56">
        <v>2</v>
      </c>
      <c r="AA1143" s="58">
        <f t="shared" si="1398"/>
        <v>1</v>
      </c>
      <c r="AB1143" s="58">
        <f t="shared" si="1398"/>
        <v>0</v>
      </c>
      <c r="AC1143" s="58">
        <f t="shared" si="1398"/>
        <v>0</v>
      </c>
      <c r="AD1143" s="58">
        <f t="shared" si="1398"/>
        <v>0</v>
      </c>
      <c r="AE1143" s="58">
        <f t="shared" si="1398"/>
        <v>0</v>
      </c>
    </row>
    <row r="1144" spans="2:31">
      <c r="B1144" t="str">
        <f t="shared" si="1350"/>
        <v>Sem3838WINDER ALEXANDER BOLVITO ESTRADA</v>
      </c>
      <c r="C1144" t="str">
        <f t="shared" si="1351"/>
        <v>SEPTIEMBRESem38</v>
      </c>
      <c r="D1144" t="str">
        <f t="shared" si="1352"/>
        <v>SEPTIEMBRESem38WINDER ALEXANDER BOLVITO ESTRADA</v>
      </c>
      <c r="E1144" t="str">
        <f t="shared" si="1353"/>
        <v>SEPTIEMBRESem3838WINDER ALEXANDER BOLVITO ESTRADA</v>
      </c>
      <c r="F1144" t="str">
        <f t="shared" si="1354"/>
        <v>WINDER ALEXANDER BOLVITO ESTRADA46281</v>
      </c>
      <c r="H1144" s="49" t="s">
        <v>252</v>
      </c>
      <c r="I1144" s="50" t="str">
        <f>+_xlfn.XLOOKUP($H1144&amp;$V1144,BASEDATOS!$B:$B,BASEDATOS!F:F,0,0,1)</f>
        <v>DIA</v>
      </c>
      <c r="J1144" s="51">
        <f>+_xlfn.XLOOKUP($H1144&amp;$V1144,BASEDATOS!$B:$B,BASEDATOS!Q:Q,0,0,1)</f>
        <v>0.33333333333333298</v>
      </c>
      <c r="K1144" s="51">
        <f>+_xlfn.XLOOKUP($H1144&amp;$V1144,BASEDATOS!$B:$B,BASEDATOS!R:R,0,0,1)</f>
        <v>0.5</v>
      </c>
      <c r="L1144" s="51">
        <f t="shared" si="1355"/>
        <v>0.16666666666666702</v>
      </c>
      <c r="M1144" s="52" t="str">
        <f t="shared" si="1356"/>
        <v>1:00</v>
      </c>
      <c r="N1144" s="51">
        <f t="shared" si="1357"/>
        <v>0.12500000000000036</v>
      </c>
      <c r="O1144" s="53" t="str">
        <f t="shared" ref="O1144" si="1405">+O1148</f>
        <v>5-0-2</v>
      </c>
      <c r="P1144" s="54">
        <f>+IF(AND(Y1144="Domingo",U1144=7),_xlfn.XLOOKUP(O1144,'Horarios y Sistemas'!C:C,'Horarios y Sistemas'!H:H,0,0,1),0)</f>
        <v>0</v>
      </c>
      <c r="Q1144" s="54">
        <f>IF(U1144=U1145,0,IF(AVERAGEIF(W:W,W1144,U:U)=U1144,0,_xlfn.XLOOKUP(O1144,'Horarios y Sistemas'!C:C,'Horarios y Sistemas'!H:H,0,0,1)-P1144))/7*U1144</f>
        <v>0</v>
      </c>
      <c r="R1144" s="54">
        <f t="shared" si="1359"/>
        <v>0</v>
      </c>
      <c r="S1144" s="55" t="str">
        <f t="shared" si="1360"/>
        <v>SEPTIEMBRE</v>
      </c>
      <c r="T1144" s="55" t="str">
        <f t="shared" si="1361"/>
        <v>Sem38</v>
      </c>
      <c r="U1144" s="56">
        <f t="shared" si="1343"/>
        <v>7</v>
      </c>
      <c r="V1144" s="59">
        <v>46281</v>
      </c>
      <c r="W1144" s="56">
        <f t="shared" si="1362"/>
        <v>38</v>
      </c>
      <c r="X1144" s="56">
        <f t="shared" si="1363"/>
        <v>16</v>
      </c>
      <c r="Y1144" s="56" t="s">
        <v>30</v>
      </c>
      <c r="Z1144" s="56">
        <v>3</v>
      </c>
      <c r="AA1144" s="58">
        <f t="shared" si="1398"/>
        <v>1</v>
      </c>
      <c r="AB1144" s="58">
        <f t="shared" si="1398"/>
        <v>0</v>
      </c>
      <c r="AC1144" s="58">
        <f t="shared" si="1398"/>
        <v>0</v>
      </c>
      <c r="AD1144" s="58">
        <f t="shared" si="1398"/>
        <v>0</v>
      </c>
      <c r="AE1144" s="58">
        <f t="shared" si="1398"/>
        <v>0</v>
      </c>
    </row>
    <row r="1145" spans="2:31">
      <c r="B1145" t="str">
        <f t="shared" si="1350"/>
        <v>Sem3838WINDER ALEXANDER BOLVITO ESTRADA</v>
      </c>
      <c r="C1145" t="str">
        <f t="shared" si="1351"/>
        <v>SEPTIEMBRESem38</v>
      </c>
      <c r="D1145" t="str">
        <f t="shared" si="1352"/>
        <v>SEPTIEMBRESem38WINDER ALEXANDER BOLVITO ESTRADA</v>
      </c>
      <c r="E1145" t="str">
        <f t="shared" si="1353"/>
        <v>SEPTIEMBRESem3838WINDER ALEXANDER BOLVITO ESTRADA</v>
      </c>
      <c r="F1145" t="str">
        <f t="shared" si="1354"/>
        <v>WINDER ALEXANDER BOLVITO ESTRADA46282</v>
      </c>
      <c r="H1145" s="49" t="s">
        <v>252</v>
      </c>
      <c r="I1145" s="50" t="str">
        <f>+_xlfn.XLOOKUP($H1145&amp;$V1145,BASEDATOS!$B:$B,BASEDATOS!F:F,0,0,1)</f>
        <v>DIA</v>
      </c>
      <c r="J1145" s="51">
        <f>+_xlfn.XLOOKUP($H1145&amp;$V1145,BASEDATOS!$B:$B,BASEDATOS!Q:Q,0,0,1)</f>
        <v>0.29166666666666702</v>
      </c>
      <c r="K1145" s="51">
        <f>+_xlfn.XLOOKUP($H1145&amp;$V1145,BASEDATOS!$B:$B,BASEDATOS!R:R,0,0,1)</f>
        <v>0.70833333333333304</v>
      </c>
      <c r="L1145" s="51">
        <f t="shared" si="1355"/>
        <v>0.41666666666666602</v>
      </c>
      <c r="M1145" s="52" t="str">
        <f t="shared" si="1356"/>
        <v>1:00</v>
      </c>
      <c r="N1145" s="51">
        <f t="shared" si="1357"/>
        <v>0.37499999999999933</v>
      </c>
      <c r="O1145" s="53" t="str">
        <f t="shared" ref="O1145" si="1406">+O1148</f>
        <v>5-0-2</v>
      </c>
      <c r="P1145" s="54">
        <f>+IF(AND(Y1145="Domingo",U1145=7),_xlfn.XLOOKUP(O1145,'Horarios y Sistemas'!C:C,'Horarios y Sistemas'!H:H,0,0,1),0)</f>
        <v>0</v>
      </c>
      <c r="Q1145" s="54">
        <f>IF(U1145=U1146,0,IF(AVERAGEIF(W:W,W1145,U:U)=U1145,0,_xlfn.XLOOKUP(O1145,'Horarios y Sistemas'!C:C,'Horarios y Sistemas'!H:H,0,0,1)-P1145))/7*U1145</f>
        <v>0</v>
      </c>
      <c r="R1145" s="54">
        <f t="shared" si="1359"/>
        <v>0</v>
      </c>
      <c r="S1145" s="55" t="str">
        <f t="shared" si="1360"/>
        <v>SEPTIEMBRE</v>
      </c>
      <c r="T1145" s="55" t="str">
        <f t="shared" si="1361"/>
        <v>Sem38</v>
      </c>
      <c r="U1145" s="56">
        <f t="shared" si="1343"/>
        <v>7</v>
      </c>
      <c r="V1145" s="59">
        <v>46282</v>
      </c>
      <c r="W1145" s="56">
        <f t="shared" si="1362"/>
        <v>38</v>
      </c>
      <c r="X1145" s="56">
        <f t="shared" si="1363"/>
        <v>17</v>
      </c>
      <c r="Y1145" s="56" t="s">
        <v>31</v>
      </c>
      <c r="Z1145" s="56">
        <v>4</v>
      </c>
      <c r="AA1145" s="58">
        <f t="shared" si="1398"/>
        <v>1</v>
      </c>
      <c r="AB1145" s="58">
        <f t="shared" si="1398"/>
        <v>0</v>
      </c>
      <c r="AC1145" s="58">
        <f t="shared" si="1398"/>
        <v>0</v>
      </c>
      <c r="AD1145" s="58">
        <f t="shared" si="1398"/>
        <v>0</v>
      </c>
      <c r="AE1145" s="58">
        <f t="shared" si="1398"/>
        <v>0</v>
      </c>
    </row>
    <row r="1146" spans="2:31">
      <c r="B1146" t="str">
        <f t="shared" si="1350"/>
        <v>Sem3838WINDER ALEXANDER BOLVITO ESTRADA</v>
      </c>
      <c r="C1146" t="str">
        <f t="shared" si="1351"/>
        <v>SEPTIEMBRESem38</v>
      </c>
      <c r="D1146" t="str">
        <f t="shared" si="1352"/>
        <v>SEPTIEMBRESem38WINDER ALEXANDER BOLVITO ESTRADA</v>
      </c>
      <c r="E1146" t="str">
        <f t="shared" si="1353"/>
        <v>SEPTIEMBRESem3838WINDER ALEXANDER BOLVITO ESTRADA</v>
      </c>
      <c r="F1146" t="str">
        <f t="shared" si="1354"/>
        <v>WINDER ALEXANDER BOLVITO ESTRADA46283</v>
      </c>
      <c r="H1146" s="49" t="s">
        <v>252</v>
      </c>
      <c r="I1146" s="50" t="str">
        <f>+_xlfn.XLOOKUP($H1146&amp;$V1146,BASEDATOS!$B:$B,BASEDATOS!F:F,0,0,1)</f>
        <v>DIA</v>
      </c>
      <c r="J1146" s="51">
        <f>+_xlfn.XLOOKUP($H1146&amp;$V1146,BASEDATOS!$B:$B,BASEDATOS!Q:Q,0,0,1)</f>
        <v>0.29166666666666702</v>
      </c>
      <c r="K1146" s="51">
        <f>+_xlfn.XLOOKUP($H1146&amp;$V1146,BASEDATOS!$B:$B,BASEDATOS!R:R,0,0,1)</f>
        <v>0.70833333333333304</v>
      </c>
      <c r="L1146" s="51">
        <f t="shared" si="1355"/>
        <v>0.41666666666666602</v>
      </c>
      <c r="M1146" s="52" t="str">
        <f t="shared" si="1356"/>
        <v>1:00</v>
      </c>
      <c r="N1146" s="51">
        <f t="shared" si="1357"/>
        <v>0.37499999999999933</v>
      </c>
      <c r="O1146" s="53" t="str">
        <f t="shared" ref="O1146" si="1407">+O1148</f>
        <v>5-0-2</v>
      </c>
      <c r="P1146" s="54">
        <f>+IF(AND(Y1146="Domingo",U1146=7),_xlfn.XLOOKUP(O1146,'Horarios y Sistemas'!C:C,'Horarios y Sistemas'!H:H,0,0,1),0)</f>
        <v>0</v>
      </c>
      <c r="Q1146" s="54">
        <f>IF(U1146=U1147,0,IF(AVERAGEIF(W:W,W1146,U:U)=U1146,0,_xlfn.XLOOKUP(O1146,'Horarios y Sistemas'!C:C,'Horarios y Sistemas'!H:H,0,0,1)-P1146))/7*U1146</f>
        <v>0</v>
      </c>
      <c r="R1146" s="54">
        <f t="shared" si="1359"/>
        <v>0</v>
      </c>
      <c r="S1146" s="55" t="str">
        <f t="shared" si="1360"/>
        <v>SEPTIEMBRE</v>
      </c>
      <c r="T1146" s="55" t="str">
        <f t="shared" si="1361"/>
        <v>Sem38</v>
      </c>
      <c r="U1146" s="56">
        <f t="shared" si="1343"/>
        <v>7</v>
      </c>
      <c r="V1146" s="59">
        <v>46283</v>
      </c>
      <c r="W1146" s="56">
        <f t="shared" si="1362"/>
        <v>38</v>
      </c>
      <c r="X1146" s="56">
        <f t="shared" si="1363"/>
        <v>18</v>
      </c>
      <c r="Y1146" s="56" t="s">
        <v>32</v>
      </c>
      <c r="Z1146" s="56">
        <v>5</v>
      </c>
      <c r="AA1146" s="58">
        <f t="shared" si="1398"/>
        <v>1</v>
      </c>
      <c r="AB1146" s="58">
        <f t="shared" si="1398"/>
        <v>0</v>
      </c>
      <c r="AC1146" s="58">
        <f t="shared" si="1398"/>
        <v>0</v>
      </c>
      <c r="AD1146" s="58">
        <f t="shared" si="1398"/>
        <v>0</v>
      </c>
      <c r="AE1146" s="58">
        <f t="shared" si="1398"/>
        <v>0</v>
      </c>
    </row>
    <row r="1147" spans="2:31">
      <c r="B1147" t="str">
        <f t="shared" si="1350"/>
        <v>Sem3838WINDER ALEXANDER BOLVITO ESTRADA</v>
      </c>
      <c r="C1147" t="str">
        <f t="shared" si="1351"/>
        <v>SEPTIEMBRESem38</v>
      </c>
      <c r="D1147" t="str">
        <f t="shared" si="1352"/>
        <v>SEPTIEMBRESem38WINDER ALEXANDER BOLVITO ESTRADA</v>
      </c>
      <c r="E1147" t="str">
        <f t="shared" si="1353"/>
        <v>SEPTIEMBRESem3838WINDER ALEXANDER BOLVITO ESTRADA</v>
      </c>
      <c r="F1147" t="str">
        <f t="shared" si="1354"/>
        <v>WINDER ALEXANDER BOLVITO ESTRADA46284</v>
      </c>
      <c r="H1147" s="49" t="s">
        <v>252</v>
      </c>
      <c r="I1147" s="50" t="str">
        <f>+_xlfn.XLOOKUP($H1147&amp;$V1147,BASEDATOS!$B:$B,BASEDATOS!F:F,0,0,1)</f>
        <v>DIA</v>
      </c>
      <c r="J1147" s="51">
        <f>+_xlfn.XLOOKUP($H1147&amp;$V1147,BASEDATOS!$B:$B,BASEDATOS!Q:Q,0,0,1)</f>
        <v>0.29166666666666702</v>
      </c>
      <c r="K1147" s="51">
        <f>+_xlfn.XLOOKUP($H1147&amp;$V1147,BASEDATOS!$B:$B,BASEDATOS!R:R,0,0,1)</f>
        <v>0.58333333333333304</v>
      </c>
      <c r="L1147" s="51">
        <f t="shared" si="1355"/>
        <v>0.29166666666666602</v>
      </c>
      <c r="M1147" s="52" t="str">
        <f t="shared" si="1356"/>
        <v>1:00</v>
      </c>
      <c r="N1147" s="51">
        <f t="shared" si="1357"/>
        <v>0.24999999999999936</v>
      </c>
      <c r="O1147" s="53" t="str">
        <f t="shared" ref="O1147" si="1408">+O1148</f>
        <v>5-0-2</v>
      </c>
      <c r="P1147" s="54">
        <f>+IF(AND(Y1147="Domingo",U1147=7),_xlfn.XLOOKUP(O1147,'Horarios y Sistemas'!C:C,'Horarios y Sistemas'!H:H,0,0,1),0)</f>
        <v>0</v>
      </c>
      <c r="Q1147" s="54">
        <f>IF(U1147=U1148,0,IF(AVERAGEIF(W:W,W1147,U:U)=U1147,0,_xlfn.XLOOKUP(O1147,'Horarios y Sistemas'!C:C,'Horarios y Sistemas'!H:H,0,0,1)-P1147))/7*U1147</f>
        <v>0</v>
      </c>
      <c r="R1147" s="54">
        <f t="shared" si="1359"/>
        <v>0</v>
      </c>
      <c r="S1147" s="55" t="str">
        <f t="shared" si="1360"/>
        <v>SEPTIEMBRE</v>
      </c>
      <c r="T1147" s="55" t="str">
        <f t="shared" si="1361"/>
        <v>Sem38</v>
      </c>
      <c r="U1147" s="56">
        <f t="shared" si="1343"/>
        <v>7</v>
      </c>
      <c r="V1147" s="59">
        <v>46284</v>
      </c>
      <c r="W1147" s="56">
        <f t="shared" si="1362"/>
        <v>38</v>
      </c>
      <c r="X1147" s="56">
        <f t="shared" si="1363"/>
        <v>19</v>
      </c>
      <c r="Y1147" s="56" t="s">
        <v>33</v>
      </c>
      <c r="Z1147" s="56">
        <v>6</v>
      </c>
      <c r="AA1147" s="58">
        <f t="shared" si="1398"/>
        <v>1</v>
      </c>
      <c r="AB1147" s="58">
        <f t="shared" si="1398"/>
        <v>0</v>
      </c>
      <c r="AC1147" s="58">
        <f t="shared" si="1398"/>
        <v>0</v>
      </c>
      <c r="AD1147" s="58">
        <f t="shared" si="1398"/>
        <v>0</v>
      </c>
      <c r="AE1147" s="58">
        <f t="shared" si="1398"/>
        <v>0</v>
      </c>
    </row>
    <row r="1148" spans="2:31">
      <c r="B1148" s="60" t="str">
        <f t="shared" si="1350"/>
        <v>Sem3838WINDER ALEXANDER BOLVITO ESTRADA</v>
      </c>
      <c r="C1148" s="60" t="str">
        <f t="shared" si="1351"/>
        <v>SEPTIEMBRESem38</v>
      </c>
      <c r="D1148" s="60" t="str">
        <f t="shared" si="1352"/>
        <v>SEPTIEMBRESem38WINDER ALEXANDER BOLVITO ESTRADA</v>
      </c>
      <c r="E1148" s="60" t="str">
        <f t="shared" si="1353"/>
        <v>SEPTIEMBRESem3838WINDER ALEXANDER BOLVITO ESTRADA</v>
      </c>
      <c r="F1148" s="60" t="str">
        <f t="shared" si="1354"/>
        <v>WINDER ALEXANDER BOLVITO ESTRADA46285</v>
      </c>
      <c r="G1148" s="60"/>
      <c r="H1148" s="61" t="s">
        <v>252</v>
      </c>
      <c r="I1148" s="62" t="str">
        <f>+_xlfn.XLOOKUP($H1148&amp;$V1148,BASEDATOS!$B:$B,BASEDATOS!F:F,0,0,1)</f>
        <v>DESCANSO</v>
      </c>
      <c r="J1148" s="63">
        <f>+_xlfn.XLOOKUP($H1148&amp;$V1148,BASEDATOS!$B:$B,BASEDATOS!Q:Q,0,0,1)</f>
        <v>0</v>
      </c>
      <c r="K1148" s="63">
        <f>+_xlfn.XLOOKUP($H1148&amp;$V1148,BASEDATOS!$B:$B,BASEDATOS!R:R,0,0,1)</f>
        <v>0</v>
      </c>
      <c r="L1148" s="63">
        <f t="shared" si="1355"/>
        <v>0</v>
      </c>
      <c r="M1148" s="64">
        <f t="shared" si="1356"/>
        <v>0</v>
      </c>
      <c r="N1148" s="63">
        <f t="shared" si="1357"/>
        <v>0</v>
      </c>
      <c r="O1148" s="65" t="str">
        <f t="shared" ref="O1148" si="1409">+IF(Y1148="Domingo",SUM(AA1142:AA1148)&amp;"-"&amp;SUM(AB1142:AB1148)&amp;"-"&amp;SUM(AC1142:AE1148),"")</f>
        <v>5-0-2</v>
      </c>
      <c r="P1148" s="66">
        <f>+IF(AND(Y1148="Domingo",U1148=7),_xlfn.XLOOKUP(O1148,'Horarios y Sistemas'!C:C,'Horarios y Sistemas'!H:H,0,0,1),0)</f>
        <v>44</v>
      </c>
      <c r="Q1148" s="66">
        <f>IF(U1148=U1149,0,IF(AVERAGEIF(W:W,W1148,U:U)=U1148,0,_xlfn.XLOOKUP(O1148,'Horarios y Sistemas'!C:C,'Horarios y Sistemas'!H:H,0,0,1)-P1148))/7*U1148</f>
        <v>0</v>
      </c>
      <c r="R1148" s="66">
        <f t="shared" si="1359"/>
        <v>44</v>
      </c>
      <c r="S1148" s="67" t="str">
        <f t="shared" si="1360"/>
        <v>SEPTIEMBRE</v>
      </c>
      <c r="T1148" s="55" t="str">
        <f t="shared" si="1361"/>
        <v>Sem38</v>
      </c>
      <c r="U1148" s="68">
        <f t="shared" si="1343"/>
        <v>7</v>
      </c>
      <c r="V1148" s="69">
        <v>46285</v>
      </c>
      <c r="W1148" s="68">
        <f t="shared" si="1362"/>
        <v>38</v>
      </c>
      <c r="X1148" s="68">
        <f t="shared" si="1363"/>
        <v>20</v>
      </c>
      <c r="Y1148" s="68" t="s">
        <v>34</v>
      </c>
      <c r="Z1148" s="68">
        <v>7</v>
      </c>
      <c r="AA1148" s="70">
        <f t="shared" si="1398"/>
        <v>0</v>
      </c>
      <c r="AB1148" s="70">
        <f t="shared" si="1398"/>
        <v>0</v>
      </c>
      <c r="AC1148" s="70">
        <f t="shared" si="1398"/>
        <v>1</v>
      </c>
      <c r="AD1148" s="70">
        <f t="shared" si="1398"/>
        <v>0</v>
      </c>
      <c r="AE1148" s="70">
        <f t="shared" si="1398"/>
        <v>0</v>
      </c>
    </row>
    <row r="1149" spans="2:31">
      <c r="B1149" t="str">
        <f t="shared" si="1350"/>
        <v>Sem3939WINDER ALEXANDER BOLVITO ESTRADA</v>
      </c>
      <c r="C1149" t="str">
        <f t="shared" si="1351"/>
        <v>SEPTIEMBRESem39</v>
      </c>
      <c r="D1149" t="str">
        <f t="shared" si="1352"/>
        <v>SEPTIEMBRESem39WINDER ALEXANDER BOLVITO ESTRADA</v>
      </c>
      <c r="E1149" t="str">
        <f t="shared" si="1353"/>
        <v>SEPTIEMBRESem3939WINDER ALEXANDER BOLVITO ESTRADA</v>
      </c>
      <c r="F1149" t="str">
        <f t="shared" si="1354"/>
        <v>WINDER ALEXANDER BOLVITO ESTRADA46286</v>
      </c>
      <c r="H1149" s="49" t="s">
        <v>252</v>
      </c>
      <c r="I1149" s="50" t="str">
        <f>+_xlfn.XLOOKUP($H1149&amp;$V1149,BASEDATOS!$B:$B,BASEDATOS!F:F,0,0,1)</f>
        <v>DIA</v>
      </c>
      <c r="J1149" s="51">
        <f>+_xlfn.XLOOKUP($H1149&amp;$V1149,BASEDATOS!$B:$B,BASEDATOS!Q:Q,0,0,1)</f>
        <v>0.29166666666666702</v>
      </c>
      <c r="K1149" s="51">
        <f>+_xlfn.XLOOKUP($H1149&amp;$V1149,BASEDATOS!$B:$B,BASEDATOS!R:R,0,0,1)</f>
        <v>0.70833333333333304</v>
      </c>
      <c r="L1149" s="51">
        <f t="shared" si="1355"/>
        <v>0.41666666666666602</v>
      </c>
      <c r="M1149" s="52" t="str">
        <f t="shared" si="1356"/>
        <v>1:00</v>
      </c>
      <c r="N1149" s="51">
        <f t="shared" si="1357"/>
        <v>0.37499999999999933</v>
      </c>
      <c r="O1149" s="53" t="str">
        <f t="shared" ref="O1149" si="1410">+O1155</f>
        <v>6-0-1</v>
      </c>
      <c r="P1149" s="54">
        <f>+IF(AND(Y1149="Domingo",U1149=7),_xlfn.XLOOKUP(O1149,'Horarios y Sistemas'!C:C,'Horarios y Sistemas'!H:H,0,0,1),0)</f>
        <v>0</v>
      </c>
      <c r="Q1149" s="54">
        <f>IF(U1149=U1150,0,IF(AVERAGEIF(W:W,W1149,U:U)=U1149,0,_xlfn.XLOOKUP(O1149,'Horarios y Sistemas'!C:C,'Horarios y Sistemas'!H:H,0,0,1)-P1149))/7*U1149</f>
        <v>0</v>
      </c>
      <c r="R1149" s="54">
        <f t="shared" si="1359"/>
        <v>0</v>
      </c>
      <c r="S1149" s="55" t="str">
        <f t="shared" si="1360"/>
        <v>SEPTIEMBRE</v>
      </c>
      <c r="T1149" s="55" t="str">
        <f t="shared" si="1361"/>
        <v>Sem39</v>
      </c>
      <c r="U1149" s="56">
        <f t="shared" si="1343"/>
        <v>7</v>
      </c>
      <c r="V1149" s="57">
        <v>46286</v>
      </c>
      <c r="W1149" s="56">
        <f t="shared" si="1362"/>
        <v>39</v>
      </c>
      <c r="X1149" s="56">
        <f t="shared" si="1363"/>
        <v>21</v>
      </c>
      <c r="Y1149" s="56" t="s">
        <v>28</v>
      </c>
      <c r="Z1149" s="56">
        <v>1</v>
      </c>
      <c r="AA1149" s="58">
        <f t="shared" si="1398"/>
        <v>1</v>
      </c>
      <c r="AB1149" s="58">
        <f t="shared" si="1398"/>
        <v>0</v>
      </c>
      <c r="AC1149" s="58">
        <f t="shared" si="1398"/>
        <v>0</v>
      </c>
      <c r="AD1149" s="58">
        <f t="shared" si="1398"/>
        <v>0</v>
      </c>
      <c r="AE1149" s="58">
        <f t="shared" si="1398"/>
        <v>0</v>
      </c>
    </row>
    <row r="1150" spans="2:31">
      <c r="B1150" t="str">
        <f t="shared" si="1350"/>
        <v>Sem3939WINDER ALEXANDER BOLVITO ESTRADA</v>
      </c>
      <c r="C1150" t="str">
        <f t="shared" si="1351"/>
        <v>SEPTIEMBRESem39</v>
      </c>
      <c r="D1150" t="str">
        <f t="shared" si="1352"/>
        <v>SEPTIEMBRESem39WINDER ALEXANDER BOLVITO ESTRADA</v>
      </c>
      <c r="E1150" t="str">
        <f t="shared" si="1353"/>
        <v>SEPTIEMBRESem3939WINDER ALEXANDER BOLVITO ESTRADA</v>
      </c>
      <c r="F1150" t="str">
        <f t="shared" si="1354"/>
        <v>WINDER ALEXANDER BOLVITO ESTRADA46287</v>
      </c>
      <c r="H1150" s="49" t="s">
        <v>252</v>
      </c>
      <c r="I1150" s="50" t="str">
        <f>+_xlfn.XLOOKUP($H1150&amp;$V1150,BASEDATOS!$B:$B,BASEDATOS!F:F,0,0,1)</f>
        <v>DIA</v>
      </c>
      <c r="J1150" s="51">
        <f>+_xlfn.XLOOKUP($H1150&amp;$V1150,BASEDATOS!$B:$B,BASEDATOS!Q:Q,0,0,1)</f>
        <v>0.29166666666666702</v>
      </c>
      <c r="K1150" s="51">
        <f>+_xlfn.XLOOKUP($H1150&amp;$V1150,BASEDATOS!$B:$B,BASEDATOS!R:R,0,0,1)</f>
        <v>0.70833333333333304</v>
      </c>
      <c r="L1150" s="51">
        <f t="shared" si="1355"/>
        <v>0.41666666666666602</v>
      </c>
      <c r="M1150" s="52" t="str">
        <f t="shared" si="1356"/>
        <v>1:00</v>
      </c>
      <c r="N1150" s="51">
        <f t="shared" si="1357"/>
        <v>0.37499999999999933</v>
      </c>
      <c r="O1150" s="53" t="str">
        <f t="shared" ref="O1150" si="1411">+O1155</f>
        <v>6-0-1</v>
      </c>
      <c r="P1150" s="54">
        <f>+IF(AND(Y1150="Domingo",U1150=7),_xlfn.XLOOKUP(O1150,'Horarios y Sistemas'!C:C,'Horarios y Sistemas'!H:H,0,0,1),0)</f>
        <v>0</v>
      </c>
      <c r="Q1150" s="54">
        <f>IF(U1150=U1151,0,IF(AVERAGEIF(W:W,W1150,U:U)=U1150,0,_xlfn.XLOOKUP(O1150,'Horarios y Sistemas'!C:C,'Horarios y Sistemas'!H:H,0,0,1)-P1150))/7*U1150</f>
        <v>0</v>
      </c>
      <c r="R1150" s="54">
        <f t="shared" si="1359"/>
        <v>0</v>
      </c>
      <c r="S1150" s="55" t="str">
        <f t="shared" si="1360"/>
        <v>SEPTIEMBRE</v>
      </c>
      <c r="T1150" s="55" t="str">
        <f t="shared" si="1361"/>
        <v>Sem39</v>
      </c>
      <c r="U1150" s="56">
        <f t="shared" si="1343"/>
        <v>7</v>
      </c>
      <c r="V1150" s="59">
        <v>46287</v>
      </c>
      <c r="W1150" s="56">
        <f t="shared" si="1362"/>
        <v>39</v>
      </c>
      <c r="X1150" s="56">
        <f t="shared" si="1363"/>
        <v>22</v>
      </c>
      <c r="Y1150" s="56" t="s">
        <v>29</v>
      </c>
      <c r="Z1150" s="56">
        <v>2</v>
      </c>
      <c r="AA1150" s="58">
        <f t="shared" si="1398"/>
        <v>1</v>
      </c>
      <c r="AB1150" s="58">
        <f t="shared" si="1398"/>
        <v>0</v>
      </c>
      <c r="AC1150" s="58">
        <f t="shared" si="1398"/>
        <v>0</v>
      </c>
      <c r="AD1150" s="58">
        <f t="shared" si="1398"/>
        <v>0</v>
      </c>
      <c r="AE1150" s="58">
        <f t="shared" si="1398"/>
        <v>0</v>
      </c>
    </row>
    <row r="1151" spans="2:31">
      <c r="B1151" t="str">
        <f t="shared" si="1350"/>
        <v>Sem3939WINDER ALEXANDER BOLVITO ESTRADA</v>
      </c>
      <c r="C1151" t="str">
        <f t="shared" si="1351"/>
        <v>SEPTIEMBRESem39</v>
      </c>
      <c r="D1151" t="str">
        <f t="shared" si="1352"/>
        <v>SEPTIEMBRESem39WINDER ALEXANDER BOLVITO ESTRADA</v>
      </c>
      <c r="E1151" t="str">
        <f t="shared" si="1353"/>
        <v>SEPTIEMBRESem3939WINDER ALEXANDER BOLVITO ESTRADA</v>
      </c>
      <c r="F1151" t="str">
        <f t="shared" si="1354"/>
        <v>WINDER ALEXANDER BOLVITO ESTRADA46288</v>
      </c>
      <c r="H1151" s="49" t="s">
        <v>252</v>
      </c>
      <c r="I1151" s="50" t="str">
        <f>+_xlfn.XLOOKUP($H1151&amp;$V1151,BASEDATOS!$B:$B,BASEDATOS!F:F,0,0,1)</f>
        <v>DIA</v>
      </c>
      <c r="J1151" s="51">
        <f>+_xlfn.XLOOKUP($H1151&amp;$V1151,BASEDATOS!$B:$B,BASEDATOS!Q:Q,0,0,1)</f>
        <v>0.29166666666666702</v>
      </c>
      <c r="K1151" s="51">
        <f>+_xlfn.XLOOKUP($H1151&amp;$V1151,BASEDATOS!$B:$B,BASEDATOS!R:R,0,0,1)</f>
        <v>0.70833333333333304</v>
      </c>
      <c r="L1151" s="51">
        <f t="shared" si="1355"/>
        <v>0.41666666666666602</v>
      </c>
      <c r="M1151" s="52" t="str">
        <f t="shared" si="1356"/>
        <v>1:00</v>
      </c>
      <c r="N1151" s="51">
        <f t="shared" si="1357"/>
        <v>0.37499999999999933</v>
      </c>
      <c r="O1151" s="53" t="str">
        <f t="shared" ref="O1151" si="1412">+O1155</f>
        <v>6-0-1</v>
      </c>
      <c r="P1151" s="54">
        <f>+IF(AND(Y1151="Domingo",U1151=7),_xlfn.XLOOKUP(O1151,'Horarios y Sistemas'!C:C,'Horarios y Sistemas'!H:H,0,0,1),0)</f>
        <v>0</v>
      </c>
      <c r="Q1151" s="54">
        <f>IF(U1151=U1152,0,IF(AVERAGEIF(W:W,W1151,U:U)=U1151,0,_xlfn.XLOOKUP(O1151,'Horarios y Sistemas'!C:C,'Horarios y Sistemas'!H:H,0,0,1)-P1151))/7*U1151</f>
        <v>0</v>
      </c>
      <c r="R1151" s="54">
        <f t="shared" si="1359"/>
        <v>0</v>
      </c>
      <c r="S1151" s="55" t="str">
        <f t="shared" si="1360"/>
        <v>SEPTIEMBRE</v>
      </c>
      <c r="T1151" s="55" t="str">
        <f t="shared" si="1361"/>
        <v>Sem39</v>
      </c>
      <c r="U1151" s="56">
        <f t="shared" si="1343"/>
        <v>7</v>
      </c>
      <c r="V1151" s="59">
        <v>46288</v>
      </c>
      <c r="W1151" s="56">
        <f t="shared" si="1362"/>
        <v>39</v>
      </c>
      <c r="X1151" s="56">
        <f t="shared" si="1363"/>
        <v>23</v>
      </c>
      <c r="Y1151" s="56" t="s">
        <v>30</v>
      </c>
      <c r="Z1151" s="56">
        <v>3</v>
      </c>
      <c r="AA1151" s="58">
        <f t="shared" si="1398"/>
        <v>1</v>
      </c>
      <c r="AB1151" s="58">
        <f t="shared" si="1398"/>
        <v>0</v>
      </c>
      <c r="AC1151" s="58">
        <f t="shared" si="1398"/>
        <v>0</v>
      </c>
      <c r="AD1151" s="58">
        <f t="shared" si="1398"/>
        <v>0</v>
      </c>
      <c r="AE1151" s="58">
        <f t="shared" si="1398"/>
        <v>0</v>
      </c>
    </row>
    <row r="1152" spans="2:31">
      <c r="B1152" t="str">
        <f t="shared" si="1350"/>
        <v>Sem3939WINDER ALEXANDER BOLVITO ESTRADA</v>
      </c>
      <c r="C1152" t="str">
        <f t="shared" si="1351"/>
        <v>SEPTIEMBRESem39</v>
      </c>
      <c r="D1152" t="str">
        <f t="shared" si="1352"/>
        <v>SEPTIEMBRESem39WINDER ALEXANDER BOLVITO ESTRADA</v>
      </c>
      <c r="E1152" t="str">
        <f t="shared" si="1353"/>
        <v>SEPTIEMBRESem3939WINDER ALEXANDER BOLVITO ESTRADA</v>
      </c>
      <c r="F1152" t="str">
        <f t="shared" si="1354"/>
        <v>WINDER ALEXANDER BOLVITO ESTRADA46289</v>
      </c>
      <c r="H1152" s="49" t="s">
        <v>252</v>
      </c>
      <c r="I1152" s="50" t="str">
        <f>+_xlfn.XLOOKUP($H1152&amp;$V1152,BASEDATOS!$B:$B,BASEDATOS!F:F,0,0,1)</f>
        <v>DIA</v>
      </c>
      <c r="J1152" s="51">
        <f>+_xlfn.XLOOKUP($H1152&amp;$V1152,BASEDATOS!$B:$B,BASEDATOS!Q:Q,0,0,1)</f>
        <v>0.29166666666666702</v>
      </c>
      <c r="K1152" s="51">
        <f>+_xlfn.XLOOKUP($H1152&amp;$V1152,BASEDATOS!$B:$B,BASEDATOS!R:R,0,0,1)</f>
        <v>0.70833333333333304</v>
      </c>
      <c r="L1152" s="51">
        <f t="shared" si="1355"/>
        <v>0.41666666666666602</v>
      </c>
      <c r="M1152" s="52" t="str">
        <f t="shared" si="1356"/>
        <v>1:00</v>
      </c>
      <c r="N1152" s="51">
        <f t="shared" si="1357"/>
        <v>0.37499999999999933</v>
      </c>
      <c r="O1152" s="53" t="str">
        <f t="shared" ref="O1152" si="1413">+O1155</f>
        <v>6-0-1</v>
      </c>
      <c r="P1152" s="54">
        <f>+IF(AND(Y1152="Domingo",U1152=7),_xlfn.XLOOKUP(O1152,'Horarios y Sistemas'!C:C,'Horarios y Sistemas'!H:H,0,0,1),0)</f>
        <v>0</v>
      </c>
      <c r="Q1152" s="54">
        <f>IF(U1152=U1153,0,IF(AVERAGEIF(W:W,W1152,U:U)=U1152,0,_xlfn.XLOOKUP(O1152,'Horarios y Sistemas'!C:C,'Horarios y Sistemas'!H:H,0,0,1)-P1152))/7*U1152</f>
        <v>0</v>
      </c>
      <c r="R1152" s="54">
        <f t="shared" si="1359"/>
        <v>0</v>
      </c>
      <c r="S1152" s="55" t="str">
        <f t="shared" si="1360"/>
        <v>SEPTIEMBRE</v>
      </c>
      <c r="T1152" s="55" t="str">
        <f t="shared" si="1361"/>
        <v>Sem39</v>
      </c>
      <c r="U1152" s="56">
        <f t="shared" si="1343"/>
        <v>7</v>
      </c>
      <c r="V1152" s="59">
        <v>46289</v>
      </c>
      <c r="W1152" s="56">
        <f t="shared" si="1362"/>
        <v>39</v>
      </c>
      <c r="X1152" s="56">
        <f t="shared" si="1363"/>
        <v>24</v>
      </c>
      <c r="Y1152" s="56" t="s">
        <v>31</v>
      </c>
      <c r="Z1152" s="56">
        <v>4</v>
      </c>
      <c r="AA1152" s="58">
        <f t="shared" si="1398"/>
        <v>1</v>
      </c>
      <c r="AB1152" s="58">
        <f t="shared" si="1398"/>
        <v>0</v>
      </c>
      <c r="AC1152" s="58">
        <f t="shared" si="1398"/>
        <v>0</v>
      </c>
      <c r="AD1152" s="58">
        <f t="shared" si="1398"/>
        <v>0</v>
      </c>
      <c r="AE1152" s="58">
        <f t="shared" si="1398"/>
        <v>0</v>
      </c>
    </row>
    <row r="1153" spans="2:31">
      <c r="B1153" t="str">
        <f t="shared" si="1350"/>
        <v>Sem3939WINDER ALEXANDER BOLVITO ESTRADA</v>
      </c>
      <c r="C1153" t="str">
        <f t="shared" si="1351"/>
        <v>SEPTIEMBRESem39</v>
      </c>
      <c r="D1153" t="str">
        <f t="shared" si="1352"/>
        <v>SEPTIEMBRESem39WINDER ALEXANDER BOLVITO ESTRADA</v>
      </c>
      <c r="E1153" t="str">
        <f t="shared" si="1353"/>
        <v>SEPTIEMBRESem3939WINDER ALEXANDER BOLVITO ESTRADA</v>
      </c>
      <c r="F1153" t="str">
        <f t="shared" si="1354"/>
        <v>WINDER ALEXANDER BOLVITO ESTRADA46290</v>
      </c>
      <c r="H1153" s="49" t="s">
        <v>252</v>
      </c>
      <c r="I1153" s="50" t="str">
        <f>+_xlfn.XLOOKUP($H1153&amp;$V1153,BASEDATOS!$B:$B,BASEDATOS!F:F,0,0,1)</f>
        <v>DIA</v>
      </c>
      <c r="J1153" s="51">
        <f>+_xlfn.XLOOKUP($H1153&amp;$V1153,BASEDATOS!$B:$B,BASEDATOS!Q:Q,0,0,1)</f>
        <v>0.29166666666666702</v>
      </c>
      <c r="K1153" s="51">
        <f>+_xlfn.XLOOKUP($H1153&amp;$V1153,BASEDATOS!$B:$B,BASEDATOS!R:R,0,0,1)</f>
        <v>0.70833333333333304</v>
      </c>
      <c r="L1153" s="51">
        <f t="shared" si="1355"/>
        <v>0.41666666666666602</v>
      </c>
      <c r="M1153" s="52" t="str">
        <f t="shared" si="1356"/>
        <v>1:00</v>
      </c>
      <c r="N1153" s="51">
        <f t="shared" si="1357"/>
        <v>0.37499999999999933</v>
      </c>
      <c r="O1153" s="53" t="str">
        <f t="shared" ref="O1153" si="1414">+O1155</f>
        <v>6-0-1</v>
      </c>
      <c r="P1153" s="54">
        <f>+IF(AND(Y1153="Domingo",U1153=7),_xlfn.XLOOKUP(O1153,'Horarios y Sistemas'!C:C,'Horarios y Sistemas'!H:H,0,0,1),0)</f>
        <v>0</v>
      </c>
      <c r="Q1153" s="54">
        <f>IF(U1153=U1154,0,IF(AVERAGEIF(W:W,W1153,U:U)=U1153,0,_xlfn.XLOOKUP(O1153,'Horarios y Sistemas'!C:C,'Horarios y Sistemas'!H:H,0,0,1)-P1153))/7*U1153</f>
        <v>0</v>
      </c>
      <c r="R1153" s="54">
        <f t="shared" si="1359"/>
        <v>0</v>
      </c>
      <c r="S1153" s="55" t="str">
        <f t="shared" si="1360"/>
        <v>SEPTIEMBRE</v>
      </c>
      <c r="T1153" s="55" t="str">
        <f t="shared" si="1361"/>
        <v>Sem39</v>
      </c>
      <c r="U1153" s="56">
        <f t="shared" si="1343"/>
        <v>7</v>
      </c>
      <c r="V1153" s="59">
        <v>46290</v>
      </c>
      <c r="W1153" s="56">
        <f t="shared" si="1362"/>
        <v>39</v>
      </c>
      <c r="X1153" s="56">
        <f t="shared" si="1363"/>
        <v>25</v>
      </c>
      <c r="Y1153" s="56" t="s">
        <v>32</v>
      </c>
      <c r="Z1153" s="56">
        <v>5</v>
      </c>
      <c r="AA1153" s="58">
        <f t="shared" si="1398"/>
        <v>1</v>
      </c>
      <c r="AB1153" s="58">
        <f t="shared" si="1398"/>
        <v>0</v>
      </c>
      <c r="AC1153" s="58">
        <f t="shared" si="1398"/>
        <v>0</v>
      </c>
      <c r="AD1153" s="58">
        <f t="shared" si="1398"/>
        <v>0</v>
      </c>
      <c r="AE1153" s="58">
        <f t="shared" si="1398"/>
        <v>0</v>
      </c>
    </row>
    <row r="1154" spans="2:31">
      <c r="B1154" t="str">
        <f t="shared" si="1350"/>
        <v>Sem3939WINDER ALEXANDER BOLVITO ESTRADA</v>
      </c>
      <c r="C1154" t="str">
        <f t="shared" si="1351"/>
        <v>SEPTIEMBRESem39</v>
      </c>
      <c r="D1154" t="str">
        <f t="shared" si="1352"/>
        <v>SEPTIEMBRESem39WINDER ALEXANDER BOLVITO ESTRADA</v>
      </c>
      <c r="E1154" t="str">
        <f t="shared" si="1353"/>
        <v>SEPTIEMBRESem3939WINDER ALEXANDER BOLVITO ESTRADA</v>
      </c>
      <c r="F1154" t="str">
        <f t="shared" si="1354"/>
        <v>WINDER ALEXANDER BOLVITO ESTRADA46291</v>
      </c>
      <c r="H1154" s="49" t="s">
        <v>252</v>
      </c>
      <c r="I1154" s="50" t="str">
        <f>+_xlfn.XLOOKUP($H1154&amp;$V1154,BASEDATOS!$B:$B,BASEDATOS!F:F,0,0,1)</f>
        <v>DIA</v>
      </c>
      <c r="J1154" s="51">
        <f>+_xlfn.XLOOKUP($H1154&amp;$V1154,BASEDATOS!$B:$B,BASEDATOS!Q:Q,0,0,1)</f>
        <v>0.33333333333333298</v>
      </c>
      <c r="K1154" s="51">
        <f>+_xlfn.XLOOKUP($H1154&amp;$V1154,BASEDATOS!$B:$B,BASEDATOS!R:R,0,0,1)</f>
        <v>0.5</v>
      </c>
      <c r="L1154" s="51">
        <f t="shared" si="1355"/>
        <v>0.16666666666666702</v>
      </c>
      <c r="M1154" s="52" t="str">
        <f t="shared" si="1356"/>
        <v>1:00</v>
      </c>
      <c r="N1154" s="51">
        <f t="shared" si="1357"/>
        <v>0.12500000000000036</v>
      </c>
      <c r="O1154" s="53" t="str">
        <f t="shared" ref="O1154" si="1415">+O1155</f>
        <v>6-0-1</v>
      </c>
      <c r="P1154" s="54">
        <f>+IF(AND(Y1154="Domingo",U1154=7),_xlfn.XLOOKUP(O1154,'Horarios y Sistemas'!C:C,'Horarios y Sistemas'!H:H,0,0,1),0)</f>
        <v>0</v>
      </c>
      <c r="Q1154" s="54">
        <f>IF(U1154=U1155,0,IF(AVERAGEIF(W:W,W1154,U:U)=U1154,0,_xlfn.XLOOKUP(O1154,'Horarios y Sistemas'!C:C,'Horarios y Sistemas'!H:H,0,0,1)-P1154))/7*U1154</f>
        <v>0</v>
      </c>
      <c r="R1154" s="54">
        <f t="shared" si="1359"/>
        <v>0</v>
      </c>
      <c r="S1154" s="55" t="str">
        <f t="shared" si="1360"/>
        <v>SEPTIEMBRE</v>
      </c>
      <c r="T1154" s="55" t="str">
        <f t="shared" si="1361"/>
        <v>Sem39</v>
      </c>
      <c r="U1154" s="56">
        <f t="shared" si="1343"/>
        <v>7</v>
      </c>
      <c r="V1154" s="59">
        <v>46291</v>
      </c>
      <c r="W1154" s="56">
        <f t="shared" si="1362"/>
        <v>39</v>
      </c>
      <c r="X1154" s="56">
        <f t="shared" si="1363"/>
        <v>26</v>
      </c>
      <c r="Y1154" s="56" t="s">
        <v>33</v>
      </c>
      <c r="Z1154" s="56">
        <v>6</v>
      </c>
      <c r="AA1154" s="58">
        <f t="shared" si="1398"/>
        <v>1</v>
      </c>
      <c r="AB1154" s="58">
        <f t="shared" si="1398"/>
        <v>0</v>
      </c>
      <c r="AC1154" s="58">
        <f t="shared" si="1398"/>
        <v>0</v>
      </c>
      <c r="AD1154" s="58">
        <f t="shared" si="1398"/>
        <v>0</v>
      </c>
      <c r="AE1154" s="58">
        <f t="shared" si="1398"/>
        <v>0</v>
      </c>
    </row>
    <row r="1155" spans="2:31">
      <c r="B1155" s="60" t="str">
        <f t="shared" si="1350"/>
        <v>Sem3939WINDER ALEXANDER BOLVITO ESTRADA</v>
      </c>
      <c r="C1155" s="60" t="str">
        <f t="shared" si="1351"/>
        <v>SEPTIEMBRESem39</v>
      </c>
      <c r="D1155" s="60" t="str">
        <f t="shared" si="1352"/>
        <v>SEPTIEMBRESem39WINDER ALEXANDER BOLVITO ESTRADA</v>
      </c>
      <c r="E1155" s="60" t="str">
        <f t="shared" si="1353"/>
        <v>SEPTIEMBRESem3939WINDER ALEXANDER BOLVITO ESTRADA</v>
      </c>
      <c r="F1155" s="60" t="str">
        <f t="shared" si="1354"/>
        <v>WINDER ALEXANDER BOLVITO ESTRADA46292</v>
      </c>
      <c r="G1155" s="60"/>
      <c r="H1155" s="61" t="s">
        <v>252</v>
      </c>
      <c r="I1155" s="62" t="str">
        <f>+_xlfn.XLOOKUP($H1155&amp;$V1155,BASEDATOS!$B:$B,BASEDATOS!F:F,0,0,1)</f>
        <v>DESCANSO</v>
      </c>
      <c r="J1155" s="63">
        <f>+_xlfn.XLOOKUP($H1155&amp;$V1155,BASEDATOS!$B:$B,BASEDATOS!Q:Q,0,0,1)</f>
        <v>0</v>
      </c>
      <c r="K1155" s="63">
        <f>+_xlfn.XLOOKUP($H1155&amp;$V1155,BASEDATOS!$B:$B,BASEDATOS!R:R,0,0,1)</f>
        <v>0</v>
      </c>
      <c r="L1155" s="63">
        <f t="shared" si="1355"/>
        <v>0</v>
      </c>
      <c r="M1155" s="64">
        <f t="shared" si="1356"/>
        <v>0</v>
      </c>
      <c r="N1155" s="63">
        <f t="shared" si="1357"/>
        <v>0</v>
      </c>
      <c r="O1155" s="65" t="str">
        <f t="shared" ref="O1155" si="1416">+IF(Y1155="Domingo",SUM(AA1149:AA1155)&amp;"-"&amp;SUM(AB1149:AB1155)&amp;"-"&amp;SUM(AC1149:AE1155),"")</f>
        <v>6-0-1</v>
      </c>
      <c r="P1155" s="66">
        <f>+IF(AND(Y1155="Domingo",U1155=7),_xlfn.XLOOKUP(O1155,'Horarios y Sistemas'!C:C,'Horarios y Sistemas'!H:H,0,0,1),0)</f>
        <v>44</v>
      </c>
      <c r="Q1155" s="66">
        <f>IF(U1155=U1156,0,IF(AVERAGEIF(W:W,W1155,U:U)=U1155,0,_xlfn.XLOOKUP(O1155,'Horarios y Sistemas'!C:C,'Horarios y Sistemas'!H:H,0,0,1)-P1155))/7*U1155</f>
        <v>0</v>
      </c>
      <c r="R1155" s="66">
        <f t="shared" si="1359"/>
        <v>44</v>
      </c>
      <c r="S1155" s="67" t="str">
        <f t="shared" si="1360"/>
        <v>SEPTIEMBRE</v>
      </c>
      <c r="T1155" s="55" t="str">
        <f t="shared" si="1361"/>
        <v>Sem39</v>
      </c>
      <c r="U1155" s="68">
        <f t="shared" si="1343"/>
        <v>7</v>
      </c>
      <c r="V1155" s="69">
        <v>46292</v>
      </c>
      <c r="W1155" s="68">
        <f t="shared" si="1362"/>
        <v>39</v>
      </c>
      <c r="X1155" s="68">
        <f t="shared" si="1363"/>
        <v>27</v>
      </c>
      <c r="Y1155" s="68" t="s">
        <v>34</v>
      </c>
      <c r="Z1155" s="68">
        <v>7</v>
      </c>
      <c r="AA1155" s="70">
        <f t="shared" si="1398"/>
        <v>0</v>
      </c>
      <c r="AB1155" s="70">
        <f t="shared" si="1398"/>
        <v>0</v>
      </c>
      <c r="AC1155" s="70">
        <f t="shared" si="1398"/>
        <v>1</v>
      </c>
      <c r="AD1155" s="70">
        <f t="shared" si="1398"/>
        <v>0</v>
      </c>
      <c r="AE1155" s="70">
        <f t="shared" si="1398"/>
        <v>0</v>
      </c>
    </row>
    <row r="1156" spans="2:31">
      <c r="B1156" t="str">
        <f t="shared" si="1350"/>
        <v>Sem4040WINDER ALEXANDER BOLVITO ESTRADA</v>
      </c>
      <c r="C1156" t="str">
        <f t="shared" si="1351"/>
        <v>SEPTIEMBRESem40</v>
      </c>
      <c r="D1156" t="str">
        <f t="shared" si="1352"/>
        <v>SEPTIEMBRESem40WINDER ALEXANDER BOLVITO ESTRADA</v>
      </c>
      <c r="E1156" t="str">
        <f t="shared" si="1353"/>
        <v>SEPTIEMBRESem4040WINDER ALEXANDER BOLVITO ESTRADA</v>
      </c>
      <c r="F1156" t="str">
        <f t="shared" si="1354"/>
        <v>WINDER ALEXANDER BOLVITO ESTRADA46293</v>
      </c>
      <c r="H1156" s="49" t="s">
        <v>252</v>
      </c>
      <c r="I1156" s="50" t="str">
        <f>+_xlfn.XLOOKUP($H1156&amp;$V1156,BASEDATOS!$B:$B,BASEDATOS!F:F,0,0,1)</f>
        <v>DIA</v>
      </c>
      <c r="J1156" s="51">
        <f>+_xlfn.XLOOKUP($H1156&amp;$V1156,BASEDATOS!$B:$B,BASEDATOS!Q:Q,0,0,1)</f>
        <v>0.29166666666666702</v>
      </c>
      <c r="K1156" s="51">
        <f>+_xlfn.XLOOKUP($H1156&amp;$V1156,BASEDATOS!$B:$B,BASEDATOS!R:R,0,0,1)</f>
        <v>0.70833333333333304</v>
      </c>
      <c r="L1156" s="51">
        <f t="shared" si="1355"/>
        <v>0.41666666666666602</v>
      </c>
      <c r="M1156" s="52" t="str">
        <f t="shared" si="1356"/>
        <v>1:00</v>
      </c>
      <c r="N1156" s="51">
        <f t="shared" si="1357"/>
        <v>0.37499999999999933</v>
      </c>
      <c r="O1156" s="53" t="str">
        <f t="shared" ref="O1156" si="1417">+O1162</f>
        <v>6-0-1</v>
      </c>
      <c r="P1156" s="54">
        <f>+IF(AND(Y1156="Domingo",U1156=7),_xlfn.XLOOKUP(O1156,'Horarios y Sistemas'!C:C,'Horarios y Sistemas'!H:H,0,0,1),0)</f>
        <v>0</v>
      </c>
      <c r="Q1156" s="54">
        <f>IF(U1156=U1157,0,IF(AVERAGEIF(W:W,W1156,U:U)=U1156,0,_xlfn.XLOOKUP(O1156,'Horarios y Sistemas'!C:C,'Horarios y Sistemas'!H:H,0,0,1)-P1156))/7*U1156</f>
        <v>0</v>
      </c>
      <c r="R1156" s="54">
        <f t="shared" si="1359"/>
        <v>0</v>
      </c>
      <c r="S1156" s="55" t="str">
        <f t="shared" si="1360"/>
        <v>SEPTIEMBRE</v>
      </c>
      <c r="T1156" s="55" t="str">
        <f t="shared" si="1361"/>
        <v>Sem40</v>
      </c>
      <c r="U1156" s="56">
        <f t="shared" si="1343"/>
        <v>7</v>
      </c>
      <c r="V1156" s="59">
        <v>46293</v>
      </c>
      <c r="W1156" s="56">
        <f t="shared" si="1362"/>
        <v>40</v>
      </c>
      <c r="X1156" s="56">
        <f t="shared" si="1363"/>
        <v>28</v>
      </c>
      <c r="Y1156" s="56" t="s">
        <v>28</v>
      </c>
      <c r="Z1156" s="56">
        <v>1</v>
      </c>
      <c r="AA1156" s="58">
        <f t="shared" si="1398"/>
        <v>1</v>
      </c>
      <c r="AB1156" s="58">
        <f t="shared" si="1398"/>
        <v>0</v>
      </c>
      <c r="AC1156" s="58">
        <f t="shared" si="1398"/>
        <v>0</v>
      </c>
      <c r="AD1156" s="58">
        <f t="shared" si="1398"/>
        <v>0</v>
      </c>
      <c r="AE1156" s="58">
        <f t="shared" si="1398"/>
        <v>0</v>
      </c>
    </row>
    <row r="1157" spans="2:31">
      <c r="B1157" t="str">
        <f t="shared" si="1350"/>
        <v>Sem4040WINDER ALEXANDER BOLVITO ESTRADA</v>
      </c>
      <c r="C1157" t="str">
        <f t="shared" si="1351"/>
        <v>SEPTIEMBRESem40</v>
      </c>
      <c r="D1157" t="str">
        <f t="shared" si="1352"/>
        <v>SEPTIEMBRESem40WINDER ALEXANDER BOLVITO ESTRADA</v>
      </c>
      <c r="E1157" t="str">
        <f t="shared" si="1353"/>
        <v>SEPTIEMBRESem4040WINDER ALEXANDER BOLVITO ESTRADA</v>
      </c>
      <c r="F1157" t="str">
        <f t="shared" si="1354"/>
        <v>WINDER ALEXANDER BOLVITO ESTRADA46294</v>
      </c>
      <c r="H1157" s="49" t="s">
        <v>252</v>
      </c>
      <c r="I1157" s="50" t="str">
        <f>+_xlfn.XLOOKUP($H1157&amp;$V1157,BASEDATOS!$B:$B,BASEDATOS!F:F,0,0,1)</f>
        <v>DIA</v>
      </c>
      <c r="J1157" s="51">
        <f>+_xlfn.XLOOKUP($H1157&amp;$V1157,BASEDATOS!$B:$B,BASEDATOS!Q:Q,0,0,1)</f>
        <v>0.29166666666666702</v>
      </c>
      <c r="K1157" s="51">
        <f>+_xlfn.XLOOKUP($H1157&amp;$V1157,BASEDATOS!$B:$B,BASEDATOS!R:R,0,0,1)</f>
        <v>0.70833333333333304</v>
      </c>
      <c r="L1157" s="51">
        <f t="shared" si="1355"/>
        <v>0.41666666666666602</v>
      </c>
      <c r="M1157" s="52" t="str">
        <f t="shared" si="1356"/>
        <v>1:00</v>
      </c>
      <c r="N1157" s="51">
        <f t="shared" si="1357"/>
        <v>0.37499999999999933</v>
      </c>
      <c r="O1157" s="53" t="str">
        <f t="shared" ref="O1157" si="1418">+O1162</f>
        <v>6-0-1</v>
      </c>
      <c r="P1157" s="54">
        <f>+IF(AND(Y1157="Domingo",U1157=7),_xlfn.XLOOKUP(O1157,'Horarios y Sistemas'!C:C,'Horarios y Sistemas'!H:H,0,0,1),0)</f>
        <v>0</v>
      </c>
      <c r="Q1157" s="54">
        <f>IF(U1157=U1158,0,IF(AVERAGEIF(W:W,W1157,U:U)=U1157,0,_xlfn.XLOOKUP(O1157,'Horarios y Sistemas'!C:C,'Horarios y Sistemas'!H:H,0,0,1)-P1157))/7*U1157</f>
        <v>0</v>
      </c>
      <c r="R1157" s="54">
        <f t="shared" si="1359"/>
        <v>0</v>
      </c>
      <c r="S1157" s="55" t="str">
        <f t="shared" si="1360"/>
        <v>SEPTIEMBRE</v>
      </c>
      <c r="T1157" s="55" t="str">
        <f t="shared" si="1361"/>
        <v>Sem40</v>
      </c>
      <c r="U1157" s="56">
        <f t="shared" si="1343"/>
        <v>7</v>
      </c>
      <c r="V1157" s="59">
        <v>46294</v>
      </c>
      <c r="W1157" s="56">
        <f t="shared" si="1362"/>
        <v>40</v>
      </c>
      <c r="X1157" s="56">
        <f t="shared" si="1363"/>
        <v>29</v>
      </c>
      <c r="Y1157" s="56" t="s">
        <v>29</v>
      </c>
      <c r="Z1157" s="56">
        <v>2</v>
      </c>
      <c r="AA1157" s="58">
        <f t="shared" si="1398"/>
        <v>1</v>
      </c>
      <c r="AB1157" s="58">
        <f t="shared" si="1398"/>
        <v>0</v>
      </c>
      <c r="AC1157" s="58">
        <f t="shared" si="1398"/>
        <v>0</v>
      </c>
      <c r="AD1157" s="58">
        <f t="shared" si="1398"/>
        <v>0</v>
      </c>
      <c r="AE1157" s="58">
        <f t="shared" si="1398"/>
        <v>0</v>
      </c>
    </row>
    <row r="1158" spans="2:31">
      <c r="B1158" t="str">
        <f t="shared" si="1350"/>
        <v>Sem4040WINDER ALEXANDER BOLVITO ESTRADA</v>
      </c>
      <c r="C1158" t="str">
        <f t="shared" si="1351"/>
        <v>SEPTIEMBRESem40</v>
      </c>
      <c r="D1158" t="str">
        <f t="shared" si="1352"/>
        <v>SEPTIEMBRESem40WINDER ALEXANDER BOLVITO ESTRADA</v>
      </c>
      <c r="E1158" t="str">
        <f t="shared" si="1353"/>
        <v>SEPTIEMBRESem4040WINDER ALEXANDER BOLVITO ESTRADA</v>
      </c>
      <c r="F1158" t="str">
        <f t="shared" si="1354"/>
        <v>WINDER ALEXANDER BOLVITO ESTRADA46295</v>
      </c>
      <c r="H1158" s="49" t="s">
        <v>252</v>
      </c>
      <c r="I1158" s="50" t="str">
        <f>+_xlfn.XLOOKUP($H1158&amp;$V1158,BASEDATOS!$B:$B,BASEDATOS!F:F,0,0,1)</f>
        <v>DIA</v>
      </c>
      <c r="J1158" s="51">
        <f>+_xlfn.XLOOKUP($H1158&amp;$V1158,BASEDATOS!$B:$B,BASEDATOS!Q:Q,0,0,1)</f>
        <v>0.29166666666666702</v>
      </c>
      <c r="K1158" s="51">
        <f>+_xlfn.XLOOKUP($H1158&amp;$V1158,BASEDATOS!$B:$B,BASEDATOS!R:R,0,0,1)</f>
        <v>0.70833333333333304</v>
      </c>
      <c r="L1158" s="51">
        <f t="shared" si="1355"/>
        <v>0.41666666666666602</v>
      </c>
      <c r="M1158" s="52" t="str">
        <f t="shared" si="1356"/>
        <v>1:00</v>
      </c>
      <c r="N1158" s="51">
        <f t="shared" si="1357"/>
        <v>0.37499999999999933</v>
      </c>
      <c r="O1158" s="53" t="str">
        <f t="shared" ref="O1158" si="1419">+O1162</f>
        <v>6-0-1</v>
      </c>
      <c r="P1158" s="54">
        <f>+IF(AND(Y1158="Domingo",U1158=7),_xlfn.XLOOKUP(O1158,'Horarios y Sistemas'!C:C,'Horarios y Sistemas'!H:H,0,0,1),0)</f>
        <v>0</v>
      </c>
      <c r="Q1158" s="54">
        <f>IF(U1158=U1159,0,IF(AVERAGEIF(W:W,W1158,U:U)=U1158,0,_xlfn.XLOOKUP(O1158,'Horarios y Sistemas'!C:C,'Horarios y Sistemas'!H:H,0,0,1)-P1158))/7*U1158</f>
        <v>0</v>
      </c>
      <c r="R1158" s="54">
        <f t="shared" si="1359"/>
        <v>0</v>
      </c>
      <c r="S1158" s="55" t="str">
        <f t="shared" si="1360"/>
        <v>SEPTIEMBRE</v>
      </c>
      <c r="T1158" s="55" t="str">
        <f t="shared" si="1361"/>
        <v>Sem40</v>
      </c>
      <c r="U1158" s="56">
        <f t="shared" si="1343"/>
        <v>7</v>
      </c>
      <c r="V1158" s="59">
        <v>46295</v>
      </c>
      <c r="W1158" s="56">
        <f t="shared" si="1362"/>
        <v>40</v>
      </c>
      <c r="X1158" s="56">
        <f t="shared" si="1363"/>
        <v>30</v>
      </c>
      <c r="Y1158" s="56" t="s">
        <v>30</v>
      </c>
      <c r="Z1158" s="56">
        <v>3</v>
      </c>
      <c r="AA1158" s="58">
        <f t="shared" si="1398"/>
        <v>1</v>
      </c>
      <c r="AB1158" s="58">
        <f t="shared" si="1398"/>
        <v>0</v>
      </c>
      <c r="AC1158" s="58">
        <f t="shared" si="1398"/>
        <v>0</v>
      </c>
      <c r="AD1158" s="58">
        <f t="shared" si="1398"/>
        <v>0</v>
      </c>
      <c r="AE1158" s="58">
        <f t="shared" si="1398"/>
        <v>0</v>
      </c>
    </row>
    <row r="1159" spans="2:31">
      <c r="B1159" t="str">
        <f t="shared" si="1350"/>
        <v>Sem4040WINDER ALEXANDER BOLVITO ESTRADA</v>
      </c>
      <c r="C1159" t="str">
        <f t="shared" si="1351"/>
        <v>OCTUBRESem40</v>
      </c>
      <c r="D1159" t="str">
        <f t="shared" si="1352"/>
        <v>OCTUBRESem40WINDER ALEXANDER BOLVITO ESTRADA</v>
      </c>
      <c r="E1159" t="str">
        <f t="shared" si="1353"/>
        <v>OCTUBRESem4040WINDER ALEXANDER BOLVITO ESTRADA</v>
      </c>
      <c r="F1159" t="str">
        <f t="shared" si="1354"/>
        <v>WINDER ALEXANDER BOLVITO ESTRADA46296</v>
      </c>
      <c r="H1159" s="49" t="s">
        <v>252</v>
      </c>
      <c r="I1159" s="50" t="str">
        <f>+_xlfn.XLOOKUP($H1159&amp;$V1159,BASEDATOS!$B:$B,BASEDATOS!F:F,0,0,1)</f>
        <v>DIA</v>
      </c>
      <c r="J1159" s="51">
        <f>+_xlfn.XLOOKUP($H1159&amp;$V1159,BASEDATOS!$B:$B,BASEDATOS!Q:Q,0,0,1)</f>
        <v>0.29166666666666702</v>
      </c>
      <c r="K1159" s="51">
        <f>+_xlfn.XLOOKUP($H1159&amp;$V1159,BASEDATOS!$B:$B,BASEDATOS!R:R,0,0,1)</f>
        <v>0.70833333333333304</v>
      </c>
      <c r="L1159" s="51">
        <f t="shared" si="1355"/>
        <v>0.41666666666666602</v>
      </c>
      <c r="M1159" s="52" t="str">
        <f t="shared" si="1356"/>
        <v>1:00</v>
      </c>
      <c r="N1159" s="51">
        <f t="shared" si="1357"/>
        <v>0.37499999999999933</v>
      </c>
      <c r="O1159" s="53" t="str">
        <f t="shared" ref="O1159" si="1420">+O1162</f>
        <v>6-0-1</v>
      </c>
      <c r="P1159" s="54">
        <f>+IF(AND(Y1159="Domingo",U1159=7),_xlfn.XLOOKUP(O1159,'Horarios y Sistemas'!C:C,'Horarios y Sistemas'!H:H,0,0,1),0)</f>
        <v>0</v>
      </c>
      <c r="Q1159" s="54">
        <f>IF(U1159=U1160,0,IF(AVERAGEIF(W:W,W1159,U:U)=U1159,0,_xlfn.XLOOKUP(O1159,'Horarios y Sistemas'!C:C,'Horarios y Sistemas'!H:H,0,0,1)-P1159))/7*U1159</f>
        <v>0</v>
      </c>
      <c r="R1159" s="54">
        <f t="shared" si="1359"/>
        <v>0</v>
      </c>
      <c r="S1159" s="55" t="str">
        <f t="shared" si="1360"/>
        <v>OCTUBRE</v>
      </c>
      <c r="T1159" s="55" t="str">
        <f t="shared" si="1361"/>
        <v>Sem40</v>
      </c>
      <c r="U1159" s="56">
        <f t="shared" si="1343"/>
        <v>7</v>
      </c>
      <c r="V1159" s="59">
        <v>46296</v>
      </c>
      <c r="W1159" s="56">
        <f t="shared" si="1362"/>
        <v>40</v>
      </c>
      <c r="X1159" s="56">
        <f t="shared" si="1363"/>
        <v>1</v>
      </c>
      <c r="Y1159" s="56" t="s">
        <v>31</v>
      </c>
      <c r="Z1159" s="56">
        <v>4</v>
      </c>
      <c r="AA1159" s="58">
        <f t="shared" si="1398"/>
        <v>1</v>
      </c>
      <c r="AB1159" s="58">
        <f t="shared" si="1398"/>
        <v>0</v>
      </c>
      <c r="AC1159" s="58">
        <f t="shared" si="1398"/>
        <v>0</v>
      </c>
      <c r="AD1159" s="58">
        <f t="shared" si="1398"/>
        <v>0</v>
      </c>
      <c r="AE1159" s="58">
        <f t="shared" si="1398"/>
        <v>0</v>
      </c>
    </row>
    <row r="1160" spans="2:31">
      <c r="B1160" t="str">
        <f t="shared" si="1350"/>
        <v>Sem4040WINDER ALEXANDER BOLVITO ESTRADA</v>
      </c>
      <c r="C1160" t="str">
        <f t="shared" si="1351"/>
        <v>OCTUBRESem40</v>
      </c>
      <c r="D1160" t="str">
        <f t="shared" si="1352"/>
        <v>OCTUBRESem40WINDER ALEXANDER BOLVITO ESTRADA</v>
      </c>
      <c r="E1160" t="str">
        <f t="shared" si="1353"/>
        <v>OCTUBRESem4040WINDER ALEXANDER BOLVITO ESTRADA</v>
      </c>
      <c r="F1160" t="str">
        <f t="shared" si="1354"/>
        <v>WINDER ALEXANDER BOLVITO ESTRADA46297</v>
      </c>
      <c r="H1160" s="49" t="s">
        <v>252</v>
      </c>
      <c r="I1160" s="50" t="str">
        <f>+_xlfn.XLOOKUP($H1160&amp;$V1160,BASEDATOS!$B:$B,BASEDATOS!F:F,0,0,1)</f>
        <v>DIA</v>
      </c>
      <c r="J1160" s="51">
        <f>+_xlfn.XLOOKUP($H1160&amp;$V1160,BASEDATOS!$B:$B,BASEDATOS!Q:Q,0,0,1)</f>
        <v>0.29166666666666702</v>
      </c>
      <c r="K1160" s="51">
        <f>+_xlfn.XLOOKUP($H1160&amp;$V1160,BASEDATOS!$B:$B,BASEDATOS!R:R,0,0,1)</f>
        <v>0.70833333333333304</v>
      </c>
      <c r="L1160" s="51">
        <f t="shared" si="1355"/>
        <v>0.41666666666666602</v>
      </c>
      <c r="M1160" s="52" t="str">
        <f t="shared" si="1356"/>
        <v>1:00</v>
      </c>
      <c r="N1160" s="51">
        <f t="shared" si="1357"/>
        <v>0.37499999999999933</v>
      </c>
      <c r="O1160" s="53" t="str">
        <f t="shared" ref="O1160" si="1421">+O1162</f>
        <v>6-0-1</v>
      </c>
      <c r="P1160" s="54">
        <f>+IF(AND(Y1160="Domingo",U1160=7),_xlfn.XLOOKUP(O1160,'Horarios y Sistemas'!C:C,'Horarios y Sistemas'!H:H,0,0,1),0)</f>
        <v>0</v>
      </c>
      <c r="Q1160" s="54">
        <f>IF(U1160=U1161,0,IF(AVERAGEIF(W:W,W1160,U:U)=U1160,0,_xlfn.XLOOKUP(O1160,'Horarios y Sistemas'!C:C,'Horarios y Sistemas'!H:H,0,0,1)-P1160))/7*U1160</f>
        <v>0</v>
      </c>
      <c r="R1160" s="54">
        <f t="shared" si="1359"/>
        <v>0</v>
      </c>
      <c r="S1160" s="55" t="str">
        <f t="shared" si="1360"/>
        <v>OCTUBRE</v>
      </c>
      <c r="T1160" s="55" t="str">
        <f t="shared" si="1361"/>
        <v>Sem40</v>
      </c>
      <c r="U1160" s="56">
        <f t="shared" ref="U1160:U1223" si="1422">+COUNTIF(B:B,B1160)</f>
        <v>7</v>
      </c>
      <c r="V1160" s="59">
        <v>46297</v>
      </c>
      <c r="W1160" s="56">
        <f t="shared" si="1362"/>
        <v>40</v>
      </c>
      <c r="X1160" s="56">
        <f t="shared" si="1363"/>
        <v>2</v>
      </c>
      <c r="Y1160" s="56" t="s">
        <v>32</v>
      </c>
      <c r="Z1160" s="56">
        <v>5</v>
      </c>
      <c r="AA1160" s="58">
        <f t="shared" si="1398"/>
        <v>1</v>
      </c>
      <c r="AB1160" s="58">
        <f t="shared" si="1398"/>
        <v>0</v>
      </c>
      <c r="AC1160" s="58">
        <f t="shared" si="1398"/>
        <v>0</v>
      </c>
      <c r="AD1160" s="58">
        <f t="shared" si="1398"/>
        <v>0</v>
      </c>
      <c r="AE1160" s="58">
        <f t="shared" si="1398"/>
        <v>0</v>
      </c>
    </row>
    <row r="1161" spans="2:31">
      <c r="B1161" t="str">
        <f t="shared" si="1350"/>
        <v>Sem4040WINDER ALEXANDER BOLVITO ESTRADA</v>
      </c>
      <c r="C1161" t="str">
        <f t="shared" si="1351"/>
        <v>OCTUBRESem40</v>
      </c>
      <c r="D1161" t="str">
        <f t="shared" si="1352"/>
        <v>OCTUBRESem40WINDER ALEXANDER BOLVITO ESTRADA</v>
      </c>
      <c r="E1161" t="str">
        <f t="shared" si="1353"/>
        <v>OCTUBRESem4040WINDER ALEXANDER BOLVITO ESTRADA</v>
      </c>
      <c r="F1161" t="str">
        <f t="shared" si="1354"/>
        <v>WINDER ALEXANDER BOLVITO ESTRADA46298</v>
      </c>
      <c r="H1161" s="49" t="s">
        <v>252</v>
      </c>
      <c r="I1161" s="50" t="str">
        <f>+_xlfn.XLOOKUP($H1161&amp;$V1161,BASEDATOS!$B:$B,BASEDATOS!F:F,0,0,1)</f>
        <v>DIA</v>
      </c>
      <c r="J1161" s="51">
        <f>+_xlfn.XLOOKUP($H1161&amp;$V1161,BASEDATOS!$B:$B,BASEDATOS!Q:Q,0,0,1)</f>
        <v>0.33333333333333298</v>
      </c>
      <c r="K1161" s="51">
        <f>+_xlfn.XLOOKUP($H1161&amp;$V1161,BASEDATOS!$B:$B,BASEDATOS!R:R,0,0,1)</f>
        <v>0.5</v>
      </c>
      <c r="L1161" s="51">
        <f t="shared" si="1355"/>
        <v>0.16666666666666702</v>
      </c>
      <c r="M1161" s="52" t="str">
        <f t="shared" si="1356"/>
        <v>1:00</v>
      </c>
      <c r="N1161" s="51">
        <f t="shared" si="1357"/>
        <v>0.12500000000000036</v>
      </c>
      <c r="O1161" s="53" t="str">
        <f t="shared" ref="O1161" si="1423">+O1162</f>
        <v>6-0-1</v>
      </c>
      <c r="P1161" s="54">
        <f>+IF(AND(Y1161="Domingo",U1161=7),_xlfn.XLOOKUP(O1161,'Horarios y Sistemas'!C:C,'Horarios y Sistemas'!H:H,0,0,1),0)</f>
        <v>0</v>
      </c>
      <c r="Q1161" s="54">
        <f>IF(U1161=U1162,0,IF(AVERAGEIF(W:W,W1161,U:U)=U1161,0,_xlfn.XLOOKUP(O1161,'Horarios y Sistemas'!C:C,'Horarios y Sistemas'!H:H,0,0,1)-P1161))/7*U1161</f>
        <v>0</v>
      </c>
      <c r="R1161" s="54">
        <f t="shared" si="1359"/>
        <v>0</v>
      </c>
      <c r="S1161" s="55" t="str">
        <f t="shared" si="1360"/>
        <v>OCTUBRE</v>
      </c>
      <c r="T1161" s="55" t="str">
        <f t="shared" si="1361"/>
        <v>Sem40</v>
      </c>
      <c r="U1161" s="56">
        <f t="shared" si="1422"/>
        <v>7</v>
      </c>
      <c r="V1161" s="59">
        <v>46298</v>
      </c>
      <c r="W1161" s="56">
        <f t="shared" si="1362"/>
        <v>40</v>
      </c>
      <c r="X1161" s="56">
        <f t="shared" si="1363"/>
        <v>3</v>
      </c>
      <c r="Y1161" s="56" t="s">
        <v>33</v>
      </c>
      <c r="Z1161" s="56">
        <v>6</v>
      </c>
      <c r="AA1161" s="58">
        <f t="shared" si="1398"/>
        <v>1</v>
      </c>
      <c r="AB1161" s="58">
        <f t="shared" si="1398"/>
        <v>0</v>
      </c>
      <c r="AC1161" s="58">
        <f t="shared" si="1398"/>
        <v>0</v>
      </c>
      <c r="AD1161" s="58">
        <f t="shared" si="1398"/>
        <v>0</v>
      </c>
      <c r="AE1161" s="58">
        <f t="shared" si="1398"/>
        <v>0</v>
      </c>
    </row>
    <row r="1162" spans="2:31">
      <c r="B1162" s="60" t="str">
        <f t="shared" si="1350"/>
        <v>Sem4040WINDER ALEXANDER BOLVITO ESTRADA</v>
      </c>
      <c r="C1162" s="60" t="str">
        <f t="shared" si="1351"/>
        <v>OCTUBRESem40</v>
      </c>
      <c r="D1162" s="60" t="str">
        <f t="shared" si="1352"/>
        <v>OCTUBRESem40WINDER ALEXANDER BOLVITO ESTRADA</v>
      </c>
      <c r="E1162" s="60" t="str">
        <f t="shared" si="1353"/>
        <v>OCTUBRESem4040WINDER ALEXANDER BOLVITO ESTRADA</v>
      </c>
      <c r="F1162" s="60" t="str">
        <f t="shared" si="1354"/>
        <v>WINDER ALEXANDER BOLVITO ESTRADA46299</v>
      </c>
      <c r="G1162" s="60"/>
      <c r="H1162" s="61" t="s">
        <v>252</v>
      </c>
      <c r="I1162" s="62" t="str">
        <f>+_xlfn.XLOOKUP($H1162&amp;$V1162,BASEDATOS!$B:$B,BASEDATOS!F:F,0,0,1)</f>
        <v>DESCANSO</v>
      </c>
      <c r="J1162" s="63">
        <f>+_xlfn.XLOOKUP($H1162&amp;$V1162,BASEDATOS!$B:$B,BASEDATOS!Q:Q,0,0,1)</f>
        <v>0</v>
      </c>
      <c r="K1162" s="63">
        <f>+_xlfn.XLOOKUP($H1162&amp;$V1162,BASEDATOS!$B:$B,BASEDATOS!R:R,0,0,1)</f>
        <v>0</v>
      </c>
      <c r="L1162" s="63">
        <f t="shared" si="1355"/>
        <v>0</v>
      </c>
      <c r="M1162" s="64">
        <f t="shared" si="1356"/>
        <v>0</v>
      </c>
      <c r="N1162" s="63">
        <f t="shared" si="1357"/>
        <v>0</v>
      </c>
      <c r="O1162" s="65" t="str">
        <f t="shared" ref="O1162" si="1424">+IF(Y1162="Domingo",SUM(AA1156:AA1162)&amp;"-"&amp;SUM(AB1156:AB1162)&amp;"-"&amp;SUM(AC1156:AE1162),"")</f>
        <v>6-0-1</v>
      </c>
      <c r="P1162" s="66">
        <f>+IF(AND(Y1162="Domingo",U1162=7),_xlfn.XLOOKUP(O1162,'Horarios y Sistemas'!C:C,'Horarios y Sistemas'!H:H,0,0,1),0)</f>
        <v>44</v>
      </c>
      <c r="Q1162" s="66">
        <f>IF(U1162=U1163,0,IF(AVERAGEIF(W:W,W1162,U:U)=U1162,0,_xlfn.XLOOKUP(O1162,'Horarios y Sistemas'!C:C,'Horarios y Sistemas'!H:H,0,0,1)-P1162))/7*U1162</f>
        <v>0</v>
      </c>
      <c r="R1162" s="66">
        <f t="shared" si="1359"/>
        <v>44</v>
      </c>
      <c r="S1162" s="67" t="str">
        <f t="shared" si="1360"/>
        <v>OCTUBRE</v>
      </c>
      <c r="T1162" s="55" t="str">
        <f t="shared" si="1361"/>
        <v>Sem40</v>
      </c>
      <c r="U1162" s="68">
        <f t="shared" si="1422"/>
        <v>7</v>
      </c>
      <c r="V1162" s="69">
        <v>46299</v>
      </c>
      <c r="W1162" s="68">
        <f t="shared" si="1362"/>
        <v>40</v>
      </c>
      <c r="X1162" s="68">
        <f t="shared" si="1363"/>
        <v>4</v>
      </c>
      <c r="Y1162" s="68" t="s">
        <v>34</v>
      </c>
      <c r="Z1162" s="68">
        <v>7</v>
      </c>
      <c r="AA1162" s="70">
        <f t="shared" si="1398"/>
        <v>0</v>
      </c>
      <c r="AB1162" s="70">
        <f t="shared" si="1398"/>
        <v>0</v>
      </c>
      <c r="AC1162" s="70">
        <f t="shared" si="1398"/>
        <v>1</v>
      </c>
      <c r="AD1162" s="70">
        <f t="shared" si="1398"/>
        <v>0</v>
      </c>
      <c r="AE1162" s="70">
        <f t="shared" si="1398"/>
        <v>0</v>
      </c>
    </row>
    <row r="1163" spans="2:31">
      <c r="B1163" t="str">
        <f t="shared" si="1350"/>
        <v>Sem3838Wilber Alexader Jimenez Luna</v>
      </c>
      <c r="C1163" t="str">
        <f t="shared" si="1351"/>
        <v>SEPTIEMBRESem38</v>
      </c>
      <c r="D1163" t="str">
        <f t="shared" si="1352"/>
        <v>SEPTIEMBRESem38Wilber Alexader Jimenez Luna</v>
      </c>
      <c r="E1163" t="str">
        <f t="shared" si="1353"/>
        <v>SEPTIEMBRESem3838Wilber Alexader Jimenez Luna</v>
      </c>
      <c r="F1163" t="str">
        <f t="shared" si="1354"/>
        <v>Wilber Alexader Jimenez Luna46279</v>
      </c>
      <c r="H1163" s="49" t="s">
        <v>232</v>
      </c>
      <c r="I1163" s="50" t="str">
        <f>+_xlfn.XLOOKUP($H1163&amp;$V1163,BASEDATOS!$B:$B,BASEDATOS!F:F,0,0,1)</f>
        <v>DESCANSO</v>
      </c>
      <c r="J1163" s="51">
        <f>+_xlfn.XLOOKUP($H1163&amp;$V1163,BASEDATOS!$B:$B,BASEDATOS!Q:Q,0,0,1)</f>
        <v>0</v>
      </c>
      <c r="K1163" s="51">
        <f>+_xlfn.XLOOKUP($H1163&amp;$V1163,BASEDATOS!$B:$B,BASEDATOS!R:R,0,0,1)</f>
        <v>0</v>
      </c>
      <c r="L1163" s="51">
        <f t="shared" si="1355"/>
        <v>0</v>
      </c>
      <c r="M1163" s="52">
        <f t="shared" si="1356"/>
        <v>0</v>
      </c>
      <c r="N1163" s="51">
        <f t="shared" si="1357"/>
        <v>0</v>
      </c>
      <c r="O1163" s="53" t="str">
        <f t="shared" ref="O1163" si="1425">+O1169</f>
        <v>5-0-2</v>
      </c>
      <c r="P1163" s="54">
        <f>+IF(AND(Y1163="Domingo",U1163=7),_xlfn.XLOOKUP(O1163,'Horarios y Sistemas'!C:C,'Horarios y Sistemas'!H:H,0,0,1),0)</f>
        <v>0</v>
      </c>
      <c r="Q1163" s="54">
        <f>IF(U1163=U1164,0,IF(AVERAGEIF(W:W,W1163,U:U)=U1163,0,_xlfn.XLOOKUP(O1163,'Horarios y Sistemas'!C:C,'Horarios y Sistemas'!H:H,0,0,1)-P1163))/7*U1163</f>
        <v>0</v>
      </c>
      <c r="R1163" s="54">
        <f t="shared" si="1359"/>
        <v>0</v>
      </c>
      <c r="S1163" s="55" t="str">
        <f t="shared" si="1360"/>
        <v>SEPTIEMBRE</v>
      </c>
      <c r="T1163" s="55" t="str">
        <f t="shared" si="1361"/>
        <v>Sem38</v>
      </c>
      <c r="U1163" s="56">
        <f t="shared" si="1422"/>
        <v>7</v>
      </c>
      <c r="V1163" s="59">
        <v>46279</v>
      </c>
      <c r="W1163" s="56">
        <f t="shared" si="1362"/>
        <v>38</v>
      </c>
      <c r="X1163" s="56">
        <f t="shared" si="1363"/>
        <v>14</v>
      </c>
      <c r="Y1163" s="56" t="s">
        <v>28</v>
      </c>
      <c r="Z1163" s="56">
        <v>1</v>
      </c>
      <c r="AA1163" s="58">
        <f t="shared" si="1398"/>
        <v>0</v>
      </c>
      <c r="AB1163" s="58">
        <f t="shared" si="1398"/>
        <v>0</v>
      </c>
      <c r="AC1163" s="58">
        <f t="shared" si="1398"/>
        <v>1</v>
      </c>
      <c r="AD1163" s="58">
        <f t="shared" si="1398"/>
        <v>0</v>
      </c>
      <c r="AE1163" s="58">
        <f t="shared" si="1398"/>
        <v>0</v>
      </c>
    </row>
    <row r="1164" spans="2:31">
      <c r="B1164" t="str">
        <f t="shared" si="1350"/>
        <v>Sem3838Wilber Alexader Jimenez Luna</v>
      </c>
      <c r="C1164" t="str">
        <f t="shared" si="1351"/>
        <v>SEPTIEMBRESem38</v>
      </c>
      <c r="D1164" t="str">
        <f t="shared" si="1352"/>
        <v>SEPTIEMBRESem38Wilber Alexader Jimenez Luna</v>
      </c>
      <c r="E1164" t="str">
        <f t="shared" si="1353"/>
        <v>SEPTIEMBRESem3838Wilber Alexader Jimenez Luna</v>
      </c>
      <c r="F1164" t="str">
        <f t="shared" si="1354"/>
        <v>Wilber Alexader Jimenez Luna46280</v>
      </c>
      <c r="H1164" s="49" t="s">
        <v>232</v>
      </c>
      <c r="I1164" s="50" t="str">
        <f>+_xlfn.XLOOKUP($H1164&amp;$V1164,BASEDATOS!$B:$B,BASEDATOS!F:F,0,0,1)</f>
        <v>DIA</v>
      </c>
      <c r="J1164" s="51">
        <f>+_xlfn.XLOOKUP($H1164&amp;$V1164,BASEDATOS!$B:$B,BASEDATOS!Q:Q,0,0,1)</f>
        <v>0.33333333333333298</v>
      </c>
      <c r="K1164" s="51">
        <f>+_xlfn.XLOOKUP($H1164&amp;$V1164,BASEDATOS!$B:$B,BASEDATOS!R:R,0,0,1)</f>
        <v>0.70833333333333304</v>
      </c>
      <c r="L1164" s="51">
        <f t="shared" si="1355"/>
        <v>0.37500000000000006</v>
      </c>
      <c r="M1164" s="52" t="str">
        <f t="shared" si="1356"/>
        <v>1:00</v>
      </c>
      <c r="N1164" s="51">
        <f t="shared" si="1357"/>
        <v>0.33333333333333337</v>
      </c>
      <c r="O1164" s="53" t="str">
        <f t="shared" ref="O1164" si="1426">+O1169</f>
        <v>5-0-2</v>
      </c>
      <c r="P1164" s="54">
        <f>+IF(AND(Y1164="Domingo",U1164=7),_xlfn.XLOOKUP(O1164,'Horarios y Sistemas'!C:C,'Horarios y Sistemas'!H:H,0,0,1),0)</f>
        <v>0</v>
      </c>
      <c r="Q1164" s="54">
        <f>IF(U1164=U1165,0,IF(AVERAGEIF(W:W,W1164,U:U)=U1164,0,_xlfn.XLOOKUP(O1164,'Horarios y Sistemas'!C:C,'Horarios y Sistemas'!H:H,0,0,1)-P1164))/7*U1164</f>
        <v>0</v>
      </c>
      <c r="R1164" s="54">
        <f t="shared" si="1359"/>
        <v>0</v>
      </c>
      <c r="S1164" s="55" t="str">
        <f t="shared" si="1360"/>
        <v>SEPTIEMBRE</v>
      </c>
      <c r="T1164" s="55" t="str">
        <f t="shared" si="1361"/>
        <v>Sem38</v>
      </c>
      <c r="U1164" s="56">
        <f t="shared" si="1422"/>
        <v>7</v>
      </c>
      <c r="V1164" s="59">
        <v>46280</v>
      </c>
      <c r="W1164" s="56">
        <f t="shared" si="1362"/>
        <v>38</v>
      </c>
      <c r="X1164" s="56">
        <f t="shared" si="1363"/>
        <v>15</v>
      </c>
      <c r="Y1164" s="56" t="s">
        <v>29</v>
      </c>
      <c r="Z1164" s="56">
        <v>2</v>
      </c>
      <c r="AA1164" s="58">
        <f t="shared" si="1398"/>
        <v>1</v>
      </c>
      <c r="AB1164" s="58">
        <f t="shared" si="1398"/>
        <v>0</v>
      </c>
      <c r="AC1164" s="58">
        <f t="shared" si="1398"/>
        <v>0</v>
      </c>
      <c r="AD1164" s="58">
        <f t="shared" si="1398"/>
        <v>0</v>
      </c>
      <c r="AE1164" s="58">
        <f t="shared" si="1398"/>
        <v>0</v>
      </c>
    </row>
    <row r="1165" spans="2:31">
      <c r="B1165" t="str">
        <f t="shared" si="1350"/>
        <v>Sem3838Wilber Alexader Jimenez Luna</v>
      </c>
      <c r="C1165" t="str">
        <f t="shared" si="1351"/>
        <v>SEPTIEMBRESem38</v>
      </c>
      <c r="D1165" t="str">
        <f t="shared" si="1352"/>
        <v>SEPTIEMBRESem38Wilber Alexader Jimenez Luna</v>
      </c>
      <c r="E1165" t="str">
        <f t="shared" si="1353"/>
        <v>SEPTIEMBRESem3838Wilber Alexader Jimenez Luna</v>
      </c>
      <c r="F1165" t="str">
        <f t="shared" si="1354"/>
        <v>Wilber Alexader Jimenez Luna46281</v>
      </c>
      <c r="H1165" s="49" t="s">
        <v>232</v>
      </c>
      <c r="I1165" s="50" t="str">
        <f>+_xlfn.XLOOKUP($H1165&amp;$V1165,BASEDATOS!$B:$B,BASEDATOS!F:F,0,0,1)</f>
        <v>DIA</v>
      </c>
      <c r="J1165" s="51">
        <f>+_xlfn.XLOOKUP($H1165&amp;$V1165,BASEDATOS!$B:$B,BASEDATOS!Q:Q,0,0,1)</f>
        <v>0.25</v>
      </c>
      <c r="K1165" s="51">
        <f>+_xlfn.XLOOKUP($H1165&amp;$V1165,BASEDATOS!$B:$B,BASEDATOS!R:R,0,0,1)</f>
        <v>0.75</v>
      </c>
      <c r="L1165" s="51">
        <f t="shared" si="1355"/>
        <v>0.5</v>
      </c>
      <c r="M1165" s="52" t="str">
        <f t="shared" si="1356"/>
        <v>1:00</v>
      </c>
      <c r="N1165" s="51">
        <f t="shared" si="1357"/>
        <v>0.45833333333333331</v>
      </c>
      <c r="O1165" s="53" t="str">
        <f t="shared" ref="O1165" si="1427">+O1169</f>
        <v>5-0-2</v>
      </c>
      <c r="P1165" s="54">
        <f>+IF(AND(Y1165="Domingo",U1165=7),_xlfn.XLOOKUP(O1165,'Horarios y Sistemas'!C:C,'Horarios y Sistemas'!H:H,0,0,1),0)</f>
        <v>0</v>
      </c>
      <c r="Q1165" s="54">
        <f>IF(U1165=U1166,0,IF(AVERAGEIF(W:W,W1165,U:U)=U1165,0,_xlfn.XLOOKUP(O1165,'Horarios y Sistemas'!C:C,'Horarios y Sistemas'!H:H,0,0,1)-P1165))/7*U1165</f>
        <v>0</v>
      </c>
      <c r="R1165" s="54">
        <f t="shared" si="1359"/>
        <v>0</v>
      </c>
      <c r="S1165" s="55" t="str">
        <f t="shared" si="1360"/>
        <v>SEPTIEMBRE</v>
      </c>
      <c r="T1165" s="55" t="str">
        <f t="shared" si="1361"/>
        <v>Sem38</v>
      </c>
      <c r="U1165" s="56">
        <f t="shared" si="1422"/>
        <v>7</v>
      </c>
      <c r="V1165" s="59">
        <v>46281</v>
      </c>
      <c r="W1165" s="56">
        <f t="shared" si="1362"/>
        <v>38</v>
      </c>
      <c r="X1165" s="56">
        <f t="shared" si="1363"/>
        <v>16</v>
      </c>
      <c r="Y1165" s="56" t="s">
        <v>30</v>
      </c>
      <c r="Z1165" s="56">
        <v>3</v>
      </c>
      <c r="AA1165" s="58">
        <f t="shared" si="1398"/>
        <v>1</v>
      </c>
      <c r="AB1165" s="58">
        <f t="shared" si="1398"/>
        <v>0</v>
      </c>
      <c r="AC1165" s="58">
        <f t="shared" si="1398"/>
        <v>0</v>
      </c>
      <c r="AD1165" s="58">
        <f t="shared" si="1398"/>
        <v>0</v>
      </c>
      <c r="AE1165" s="58">
        <f t="shared" si="1398"/>
        <v>0</v>
      </c>
    </row>
    <row r="1166" spans="2:31">
      <c r="B1166" t="str">
        <f t="shared" si="1350"/>
        <v>Sem3838Wilber Alexader Jimenez Luna</v>
      </c>
      <c r="C1166" t="str">
        <f t="shared" si="1351"/>
        <v>SEPTIEMBRESem38</v>
      </c>
      <c r="D1166" t="str">
        <f t="shared" si="1352"/>
        <v>SEPTIEMBRESem38Wilber Alexader Jimenez Luna</v>
      </c>
      <c r="E1166" t="str">
        <f t="shared" si="1353"/>
        <v>SEPTIEMBRESem3838Wilber Alexader Jimenez Luna</v>
      </c>
      <c r="F1166" t="str">
        <f t="shared" si="1354"/>
        <v>Wilber Alexader Jimenez Luna46282</v>
      </c>
      <c r="H1166" s="49" t="s">
        <v>232</v>
      </c>
      <c r="I1166" s="50" t="str">
        <f>+_xlfn.XLOOKUP($H1166&amp;$V1166,BASEDATOS!$B:$B,BASEDATOS!F:F,0,0,1)</f>
        <v>DIA</v>
      </c>
      <c r="J1166" s="51">
        <f>+_xlfn.XLOOKUP($H1166&amp;$V1166,BASEDATOS!$B:$B,BASEDATOS!Q:Q,0,0,1)</f>
        <v>0.29166666666666702</v>
      </c>
      <c r="K1166" s="51">
        <f>+_xlfn.XLOOKUP($H1166&amp;$V1166,BASEDATOS!$B:$B,BASEDATOS!R:R,0,0,1)</f>
        <v>0.75</v>
      </c>
      <c r="L1166" s="51">
        <f t="shared" si="1355"/>
        <v>0.45833333333333298</v>
      </c>
      <c r="M1166" s="52" t="str">
        <f t="shared" si="1356"/>
        <v>1:00</v>
      </c>
      <c r="N1166" s="51">
        <f t="shared" si="1357"/>
        <v>0.4166666666666663</v>
      </c>
      <c r="O1166" s="53" t="str">
        <f t="shared" ref="O1166" si="1428">+O1169</f>
        <v>5-0-2</v>
      </c>
      <c r="P1166" s="54">
        <f>+IF(AND(Y1166="Domingo",U1166=7),_xlfn.XLOOKUP(O1166,'Horarios y Sistemas'!C:C,'Horarios y Sistemas'!H:H,0,0,1),0)</f>
        <v>0</v>
      </c>
      <c r="Q1166" s="54">
        <f>IF(U1166=U1167,0,IF(AVERAGEIF(W:W,W1166,U:U)=U1166,0,_xlfn.XLOOKUP(O1166,'Horarios y Sistemas'!C:C,'Horarios y Sistemas'!H:H,0,0,1)-P1166))/7*U1166</f>
        <v>0</v>
      </c>
      <c r="R1166" s="54">
        <f t="shared" si="1359"/>
        <v>0</v>
      </c>
      <c r="S1166" s="55" t="str">
        <f t="shared" si="1360"/>
        <v>SEPTIEMBRE</v>
      </c>
      <c r="T1166" s="55" t="str">
        <f t="shared" si="1361"/>
        <v>Sem38</v>
      </c>
      <c r="U1166" s="56">
        <f t="shared" si="1422"/>
        <v>7</v>
      </c>
      <c r="V1166" s="59">
        <v>46282</v>
      </c>
      <c r="W1166" s="56">
        <f t="shared" si="1362"/>
        <v>38</v>
      </c>
      <c r="X1166" s="56">
        <f t="shared" si="1363"/>
        <v>17</v>
      </c>
      <c r="Y1166" s="56" t="s">
        <v>31</v>
      </c>
      <c r="Z1166" s="56">
        <v>4</v>
      </c>
      <c r="AA1166" s="58">
        <f t="shared" si="1398"/>
        <v>1</v>
      </c>
      <c r="AB1166" s="58">
        <f t="shared" si="1398"/>
        <v>0</v>
      </c>
      <c r="AC1166" s="58">
        <f t="shared" si="1398"/>
        <v>0</v>
      </c>
      <c r="AD1166" s="58">
        <f t="shared" si="1398"/>
        <v>0</v>
      </c>
      <c r="AE1166" s="58">
        <f t="shared" si="1398"/>
        <v>0</v>
      </c>
    </row>
    <row r="1167" spans="2:31">
      <c r="B1167" t="str">
        <f t="shared" ref="B1167:B1230" si="1429">+T1167&amp;W1167&amp;H1167</f>
        <v>Sem3838Wilber Alexader Jimenez Luna</v>
      </c>
      <c r="C1167" t="str">
        <f t="shared" ref="C1167:C1230" si="1430">+S1167&amp;T1167</f>
        <v>SEPTIEMBRESem38</v>
      </c>
      <c r="D1167" t="str">
        <f t="shared" ref="D1167:D1230" si="1431">+S1167&amp;T1167&amp;H1167</f>
        <v>SEPTIEMBRESem38Wilber Alexader Jimenez Luna</v>
      </c>
      <c r="E1167" t="str">
        <f t="shared" ref="E1167:E1230" si="1432">+S1167&amp;T1167&amp;W1167&amp;H1167</f>
        <v>SEPTIEMBRESem3838Wilber Alexader Jimenez Luna</v>
      </c>
      <c r="F1167" t="str">
        <f t="shared" ref="F1167:F1230" si="1433">+H1167&amp;V1167</f>
        <v>Wilber Alexader Jimenez Luna46283</v>
      </c>
      <c r="H1167" s="49" t="s">
        <v>232</v>
      </c>
      <c r="I1167" s="50" t="str">
        <f>+_xlfn.XLOOKUP($H1167&amp;$V1167,BASEDATOS!$B:$B,BASEDATOS!F:F,0,0,1)</f>
        <v>DIA</v>
      </c>
      <c r="J1167" s="51">
        <f>+_xlfn.XLOOKUP($H1167&amp;$V1167,BASEDATOS!$B:$B,BASEDATOS!Q:Q,0,0,1)</f>
        <v>0.33333333333333298</v>
      </c>
      <c r="K1167" s="51">
        <f>+_xlfn.XLOOKUP($H1167&amp;$V1167,BASEDATOS!$B:$B,BASEDATOS!R:R,0,0,1)</f>
        <v>0.70833333333333304</v>
      </c>
      <c r="L1167" s="51">
        <f t="shared" ref="L1167:L1230" si="1434">+IF(OR(J1167="Descanso",J1167="AUSENTE",J1167="ASUETO"),0,MOD(K1167-J1167,1))</f>
        <v>0.37500000000000006</v>
      </c>
      <c r="M1167" s="52" t="str">
        <f t="shared" ref="M1167:M1230" si="1435">+IF(OR(I1167="DIA",I1167="NOCHE",I1167="MIXTO"),"1:00",0)</f>
        <v>1:00</v>
      </c>
      <c r="N1167" s="51">
        <f t="shared" ref="N1167:N1230" si="1436">+IF(I1167="ASUETO-D",8/24,IF(I1167="ASUETO-N",6/24,MOD(L1167-M1167,1)))</f>
        <v>0.33333333333333337</v>
      </c>
      <c r="O1167" s="53" t="str">
        <f t="shared" ref="O1167" si="1437">+O1169</f>
        <v>5-0-2</v>
      </c>
      <c r="P1167" s="54">
        <f>+IF(AND(Y1167="Domingo",U1167=7),_xlfn.XLOOKUP(O1167,'Horarios y Sistemas'!C:C,'Horarios y Sistemas'!H:H,0,0,1),0)</f>
        <v>0</v>
      </c>
      <c r="Q1167" s="54">
        <f>IF(U1167=U1168,0,IF(AVERAGEIF(W:W,W1167,U:U)=U1167,0,_xlfn.XLOOKUP(O1167,'Horarios y Sistemas'!C:C,'Horarios y Sistemas'!H:H,0,0,1)-P1167))/7*U1167</f>
        <v>0</v>
      </c>
      <c r="R1167" s="54">
        <f t="shared" ref="R1167:R1230" si="1438">+IF(Y1167="Domingo",SUM(P1161:Q1167),0)</f>
        <v>0</v>
      </c>
      <c r="S1167" s="55" t="str">
        <f t="shared" ref="S1167:S1230" si="1439">+UPPER(TEXT(V1167,"MMMMMMMM"))</f>
        <v>SEPTIEMBRE</v>
      </c>
      <c r="T1167" s="55" t="str">
        <f t="shared" ref="T1167:T1230" si="1440">+"Sem"&amp;W1167</f>
        <v>Sem38</v>
      </c>
      <c r="U1167" s="56">
        <f t="shared" si="1422"/>
        <v>7</v>
      </c>
      <c r="V1167" s="59">
        <v>46283</v>
      </c>
      <c r="W1167" s="56">
        <f t="shared" ref="W1167:W1230" si="1441">+_xlfn.ISOWEEKNUM(V1167)</f>
        <v>38</v>
      </c>
      <c r="X1167" s="56">
        <f t="shared" ref="X1167:X1230" si="1442">+DAY(V1167)</f>
        <v>18</v>
      </c>
      <c r="Y1167" s="56" t="s">
        <v>32</v>
      </c>
      <c r="Z1167" s="56">
        <v>5</v>
      </c>
      <c r="AA1167" s="58">
        <f t="shared" si="1398"/>
        <v>1</v>
      </c>
      <c r="AB1167" s="58">
        <f t="shared" si="1398"/>
        <v>0</v>
      </c>
      <c r="AC1167" s="58">
        <f t="shared" si="1398"/>
        <v>0</v>
      </c>
      <c r="AD1167" s="58">
        <f t="shared" si="1398"/>
        <v>0</v>
      </c>
      <c r="AE1167" s="58">
        <f t="shared" si="1398"/>
        <v>0</v>
      </c>
    </row>
    <row r="1168" spans="2:31">
      <c r="B1168" t="str">
        <f t="shared" si="1429"/>
        <v>Sem3838Wilber Alexader Jimenez Luna</v>
      </c>
      <c r="C1168" t="str">
        <f t="shared" si="1430"/>
        <v>SEPTIEMBRESem38</v>
      </c>
      <c r="D1168" t="str">
        <f t="shared" si="1431"/>
        <v>SEPTIEMBRESem38Wilber Alexader Jimenez Luna</v>
      </c>
      <c r="E1168" t="str">
        <f t="shared" si="1432"/>
        <v>SEPTIEMBRESem3838Wilber Alexader Jimenez Luna</v>
      </c>
      <c r="F1168" t="str">
        <f t="shared" si="1433"/>
        <v>Wilber Alexader Jimenez Luna46284</v>
      </c>
      <c r="H1168" s="49" t="s">
        <v>232</v>
      </c>
      <c r="I1168" s="50" t="str">
        <f>+_xlfn.XLOOKUP($H1168&amp;$V1168,BASEDATOS!$B:$B,BASEDATOS!F:F,0,0,1)</f>
        <v>DIA</v>
      </c>
      <c r="J1168" s="51">
        <f>+_xlfn.XLOOKUP($H1168&amp;$V1168,BASEDATOS!$B:$B,BASEDATOS!Q:Q,0,0,1)</f>
        <v>0.25</v>
      </c>
      <c r="K1168" s="51">
        <f>+_xlfn.XLOOKUP($H1168&amp;$V1168,BASEDATOS!$B:$B,BASEDATOS!R:R,0,0,1)</f>
        <v>0.75</v>
      </c>
      <c r="L1168" s="51">
        <f t="shared" si="1434"/>
        <v>0.5</v>
      </c>
      <c r="M1168" s="52" t="str">
        <f t="shared" si="1435"/>
        <v>1:00</v>
      </c>
      <c r="N1168" s="51">
        <f t="shared" si="1436"/>
        <v>0.45833333333333331</v>
      </c>
      <c r="O1168" s="53" t="str">
        <f t="shared" ref="O1168" si="1443">+O1169</f>
        <v>5-0-2</v>
      </c>
      <c r="P1168" s="54">
        <f>+IF(AND(Y1168="Domingo",U1168=7),_xlfn.XLOOKUP(O1168,'Horarios y Sistemas'!C:C,'Horarios y Sistemas'!H:H,0,0,1),0)</f>
        <v>0</v>
      </c>
      <c r="Q1168" s="54">
        <f>IF(U1168=U1169,0,IF(AVERAGEIF(W:W,W1168,U:U)=U1168,0,_xlfn.XLOOKUP(O1168,'Horarios y Sistemas'!C:C,'Horarios y Sistemas'!H:H,0,0,1)-P1168))/7*U1168</f>
        <v>0</v>
      </c>
      <c r="R1168" s="54">
        <f t="shared" si="1438"/>
        <v>0</v>
      </c>
      <c r="S1168" s="55" t="str">
        <f t="shared" si="1439"/>
        <v>SEPTIEMBRE</v>
      </c>
      <c r="T1168" s="55" t="str">
        <f t="shared" si="1440"/>
        <v>Sem38</v>
      </c>
      <c r="U1168" s="56">
        <f t="shared" si="1422"/>
        <v>7</v>
      </c>
      <c r="V1168" s="59">
        <v>46284</v>
      </c>
      <c r="W1168" s="56">
        <f t="shared" si="1441"/>
        <v>38</v>
      </c>
      <c r="X1168" s="56">
        <f t="shared" si="1442"/>
        <v>19</v>
      </c>
      <c r="Y1168" s="56" t="s">
        <v>33</v>
      </c>
      <c r="Z1168" s="56">
        <v>6</v>
      </c>
      <c r="AA1168" s="58">
        <f t="shared" si="1398"/>
        <v>1</v>
      </c>
      <c r="AB1168" s="58">
        <f t="shared" si="1398"/>
        <v>0</v>
      </c>
      <c r="AC1168" s="58">
        <f t="shared" si="1398"/>
        <v>0</v>
      </c>
      <c r="AD1168" s="58">
        <f t="shared" si="1398"/>
        <v>0</v>
      </c>
      <c r="AE1168" s="58">
        <f t="shared" si="1398"/>
        <v>0</v>
      </c>
    </row>
    <row r="1169" spans="2:31">
      <c r="B1169" s="60" t="str">
        <f t="shared" si="1429"/>
        <v>Sem3838Wilber Alexader Jimenez Luna</v>
      </c>
      <c r="C1169" s="60" t="str">
        <f t="shared" si="1430"/>
        <v>SEPTIEMBRESem38</v>
      </c>
      <c r="D1169" s="60" t="str">
        <f t="shared" si="1431"/>
        <v>SEPTIEMBRESem38Wilber Alexader Jimenez Luna</v>
      </c>
      <c r="E1169" s="60" t="str">
        <f t="shared" si="1432"/>
        <v>SEPTIEMBRESem3838Wilber Alexader Jimenez Luna</v>
      </c>
      <c r="F1169" s="60" t="str">
        <f t="shared" si="1433"/>
        <v>Wilber Alexader Jimenez Luna46285</v>
      </c>
      <c r="G1169" s="60"/>
      <c r="H1169" s="61" t="s">
        <v>232</v>
      </c>
      <c r="I1169" s="62" t="str">
        <f>+_xlfn.XLOOKUP($H1169&amp;$V1169,BASEDATOS!$B:$B,BASEDATOS!F:F,0,0,1)</f>
        <v>DESCANSO</v>
      </c>
      <c r="J1169" s="63">
        <f>+_xlfn.XLOOKUP($H1169&amp;$V1169,BASEDATOS!$B:$B,BASEDATOS!Q:Q,0,0,1)</f>
        <v>0</v>
      </c>
      <c r="K1169" s="63">
        <f>+_xlfn.XLOOKUP($H1169&amp;$V1169,BASEDATOS!$B:$B,BASEDATOS!R:R,0,0,1)</f>
        <v>0</v>
      </c>
      <c r="L1169" s="63">
        <f t="shared" si="1434"/>
        <v>0</v>
      </c>
      <c r="M1169" s="64">
        <f t="shared" si="1435"/>
        <v>0</v>
      </c>
      <c r="N1169" s="63">
        <f t="shared" si="1436"/>
        <v>0</v>
      </c>
      <c r="O1169" s="65" t="str">
        <f t="shared" ref="O1169" si="1444">+IF(Y1169="Domingo",SUM(AA1163:AA1169)&amp;"-"&amp;SUM(AB1163:AB1169)&amp;"-"&amp;SUM(AC1163:AE1169),"")</f>
        <v>5-0-2</v>
      </c>
      <c r="P1169" s="66">
        <f>+IF(AND(Y1169="Domingo",U1169=7),_xlfn.XLOOKUP(O1169,'Horarios y Sistemas'!C:C,'Horarios y Sistemas'!H:H,0,0,1),0)</f>
        <v>44</v>
      </c>
      <c r="Q1169" s="66">
        <f>IF(U1169=U1170,0,IF(AVERAGEIF(W:W,W1169,U:U)=U1169,0,_xlfn.XLOOKUP(O1169,'Horarios y Sistemas'!C:C,'Horarios y Sistemas'!H:H,0,0,1)-P1169))/7*U1169</f>
        <v>0</v>
      </c>
      <c r="R1169" s="66">
        <f t="shared" si="1438"/>
        <v>44</v>
      </c>
      <c r="S1169" s="67" t="str">
        <f t="shared" si="1439"/>
        <v>SEPTIEMBRE</v>
      </c>
      <c r="T1169" s="55" t="str">
        <f t="shared" si="1440"/>
        <v>Sem38</v>
      </c>
      <c r="U1169" s="68">
        <f t="shared" si="1422"/>
        <v>7</v>
      </c>
      <c r="V1169" s="69">
        <v>46285</v>
      </c>
      <c r="W1169" s="68">
        <f t="shared" si="1441"/>
        <v>38</v>
      </c>
      <c r="X1169" s="68">
        <f t="shared" si="1442"/>
        <v>20</v>
      </c>
      <c r="Y1169" s="68" t="s">
        <v>34</v>
      </c>
      <c r="Z1169" s="68">
        <v>7</v>
      </c>
      <c r="AA1169" s="70">
        <f t="shared" si="1398"/>
        <v>0</v>
      </c>
      <c r="AB1169" s="70">
        <f t="shared" si="1398"/>
        <v>0</v>
      </c>
      <c r="AC1169" s="70">
        <f t="shared" si="1398"/>
        <v>1</v>
      </c>
      <c r="AD1169" s="70">
        <f t="shared" si="1398"/>
        <v>0</v>
      </c>
      <c r="AE1169" s="70">
        <f t="shared" si="1398"/>
        <v>0</v>
      </c>
    </row>
    <row r="1170" spans="2:31">
      <c r="B1170" t="str">
        <f t="shared" si="1429"/>
        <v>Sem3939Wilber Alexader Jimenez Luna</v>
      </c>
      <c r="C1170" t="str">
        <f t="shared" si="1430"/>
        <v>SEPTIEMBRESem39</v>
      </c>
      <c r="D1170" t="str">
        <f t="shared" si="1431"/>
        <v>SEPTIEMBRESem39Wilber Alexader Jimenez Luna</v>
      </c>
      <c r="E1170" t="str">
        <f t="shared" si="1432"/>
        <v>SEPTIEMBRESem3939Wilber Alexader Jimenez Luna</v>
      </c>
      <c r="F1170" t="str">
        <f t="shared" si="1433"/>
        <v>Wilber Alexader Jimenez Luna46286</v>
      </c>
      <c r="H1170" s="49" t="s">
        <v>232</v>
      </c>
      <c r="I1170" s="50" t="str">
        <f>+_xlfn.XLOOKUP($H1170&amp;$V1170,BASEDATOS!$B:$B,BASEDATOS!F:F,0,0,1)</f>
        <v>DESCANSO</v>
      </c>
      <c r="J1170" s="51">
        <f>+_xlfn.XLOOKUP($H1170&amp;$V1170,BASEDATOS!$B:$B,BASEDATOS!Q:Q,0,0,1)</f>
        <v>0</v>
      </c>
      <c r="K1170" s="51">
        <f>+_xlfn.XLOOKUP($H1170&amp;$V1170,BASEDATOS!$B:$B,BASEDATOS!R:R,0,0,1)</f>
        <v>0</v>
      </c>
      <c r="L1170" s="51">
        <f t="shared" si="1434"/>
        <v>0</v>
      </c>
      <c r="M1170" s="52">
        <f t="shared" si="1435"/>
        <v>0</v>
      </c>
      <c r="N1170" s="51">
        <f t="shared" si="1436"/>
        <v>0</v>
      </c>
      <c r="O1170" s="53" t="str">
        <f t="shared" ref="O1170" si="1445">+O1176</f>
        <v>0-3-4</v>
      </c>
      <c r="P1170" s="54">
        <f>+IF(AND(Y1170="Domingo",U1170=7),_xlfn.XLOOKUP(O1170,'Horarios y Sistemas'!C:C,'Horarios y Sistemas'!H:H,0,0,1),0)</f>
        <v>0</v>
      </c>
      <c r="Q1170" s="54">
        <f>IF(U1170=U1171,0,IF(AVERAGEIF(W:W,W1170,U:U)=U1170,0,_xlfn.XLOOKUP(O1170,'Horarios y Sistemas'!C:C,'Horarios y Sistemas'!H:H,0,0,1)-P1170))/7*U1170</f>
        <v>0</v>
      </c>
      <c r="R1170" s="54">
        <f t="shared" si="1438"/>
        <v>0</v>
      </c>
      <c r="S1170" s="55" t="str">
        <f t="shared" si="1439"/>
        <v>SEPTIEMBRE</v>
      </c>
      <c r="T1170" s="55" t="str">
        <f t="shared" si="1440"/>
        <v>Sem39</v>
      </c>
      <c r="U1170" s="56">
        <f t="shared" si="1422"/>
        <v>7</v>
      </c>
      <c r="V1170" s="57">
        <v>46286</v>
      </c>
      <c r="W1170" s="56">
        <f t="shared" si="1441"/>
        <v>39</v>
      </c>
      <c r="X1170" s="56">
        <f t="shared" si="1442"/>
        <v>21</v>
      </c>
      <c r="Y1170" s="56" t="s">
        <v>28</v>
      </c>
      <c r="Z1170" s="56">
        <v>1</v>
      </c>
      <c r="AA1170" s="58">
        <f t="shared" si="1398"/>
        <v>0</v>
      </c>
      <c r="AB1170" s="58">
        <f t="shared" si="1398"/>
        <v>0</v>
      </c>
      <c r="AC1170" s="58">
        <f t="shared" si="1398"/>
        <v>1</v>
      </c>
      <c r="AD1170" s="58">
        <f t="shared" si="1398"/>
        <v>0</v>
      </c>
      <c r="AE1170" s="58">
        <f t="shared" si="1398"/>
        <v>0</v>
      </c>
    </row>
    <row r="1171" spans="2:31">
      <c r="B1171" t="str">
        <f t="shared" si="1429"/>
        <v>Sem3939Wilber Alexader Jimenez Luna</v>
      </c>
      <c r="C1171" t="str">
        <f t="shared" si="1430"/>
        <v>SEPTIEMBRESem39</v>
      </c>
      <c r="D1171" t="str">
        <f t="shared" si="1431"/>
        <v>SEPTIEMBRESem39Wilber Alexader Jimenez Luna</v>
      </c>
      <c r="E1171" t="str">
        <f t="shared" si="1432"/>
        <v>SEPTIEMBRESem3939Wilber Alexader Jimenez Luna</v>
      </c>
      <c r="F1171" t="str">
        <f t="shared" si="1433"/>
        <v>Wilber Alexader Jimenez Luna46287</v>
      </c>
      <c r="H1171" s="49" t="s">
        <v>232</v>
      </c>
      <c r="I1171" s="50" t="str">
        <f>+_xlfn.XLOOKUP($H1171&amp;$V1171,BASEDATOS!$B:$B,BASEDATOS!F:F,0,0,1)</f>
        <v>DESCANSO</v>
      </c>
      <c r="J1171" s="51">
        <f>+_xlfn.XLOOKUP($H1171&amp;$V1171,BASEDATOS!$B:$B,BASEDATOS!Q:Q,0,0,1)</f>
        <v>0</v>
      </c>
      <c r="K1171" s="51">
        <f>+_xlfn.XLOOKUP($H1171&amp;$V1171,BASEDATOS!$B:$B,BASEDATOS!R:R,0,0,1)</f>
        <v>0</v>
      </c>
      <c r="L1171" s="51">
        <f t="shared" si="1434"/>
        <v>0</v>
      </c>
      <c r="M1171" s="52">
        <f t="shared" si="1435"/>
        <v>0</v>
      </c>
      <c r="N1171" s="51">
        <f t="shared" si="1436"/>
        <v>0</v>
      </c>
      <c r="O1171" s="53" t="str">
        <f t="shared" ref="O1171" si="1446">+O1176</f>
        <v>0-3-4</v>
      </c>
      <c r="P1171" s="54">
        <f>+IF(AND(Y1171="Domingo",U1171=7),_xlfn.XLOOKUP(O1171,'Horarios y Sistemas'!C:C,'Horarios y Sistemas'!H:H,0,0,1),0)</f>
        <v>0</v>
      </c>
      <c r="Q1171" s="54">
        <f>IF(U1171=U1172,0,IF(AVERAGEIF(W:W,W1171,U:U)=U1171,0,_xlfn.XLOOKUP(O1171,'Horarios y Sistemas'!C:C,'Horarios y Sistemas'!H:H,0,0,1)-P1171))/7*U1171</f>
        <v>0</v>
      </c>
      <c r="R1171" s="54">
        <f t="shared" si="1438"/>
        <v>0</v>
      </c>
      <c r="S1171" s="55" t="str">
        <f t="shared" si="1439"/>
        <v>SEPTIEMBRE</v>
      </c>
      <c r="T1171" s="55" t="str">
        <f t="shared" si="1440"/>
        <v>Sem39</v>
      </c>
      <c r="U1171" s="56">
        <f t="shared" si="1422"/>
        <v>7</v>
      </c>
      <c r="V1171" s="59">
        <v>46287</v>
      </c>
      <c r="W1171" s="56">
        <f t="shared" si="1441"/>
        <v>39</v>
      </c>
      <c r="X1171" s="56">
        <f t="shared" si="1442"/>
        <v>22</v>
      </c>
      <c r="Y1171" s="56" t="s">
        <v>29</v>
      </c>
      <c r="Z1171" s="56">
        <v>2</v>
      </c>
      <c r="AA1171" s="58">
        <f t="shared" si="1398"/>
        <v>0</v>
      </c>
      <c r="AB1171" s="58">
        <f t="shared" si="1398"/>
        <v>0</v>
      </c>
      <c r="AC1171" s="58">
        <f t="shared" si="1398"/>
        <v>1</v>
      </c>
      <c r="AD1171" s="58">
        <f t="shared" si="1398"/>
        <v>0</v>
      </c>
      <c r="AE1171" s="58">
        <f t="shared" si="1398"/>
        <v>0</v>
      </c>
    </row>
    <row r="1172" spans="2:31">
      <c r="B1172" t="str">
        <f t="shared" si="1429"/>
        <v>Sem3939Wilber Alexader Jimenez Luna</v>
      </c>
      <c r="C1172" t="str">
        <f t="shared" si="1430"/>
        <v>SEPTIEMBRESem39</v>
      </c>
      <c r="D1172" t="str">
        <f t="shared" si="1431"/>
        <v>SEPTIEMBRESem39Wilber Alexader Jimenez Luna</v>
      </c>
      <c r="E1172" t="str">
        <f t="shared" si="1432"/>
        <v>SEPTIEMBRESem3939Wilber Alexader Jimenez Luna</v>
      </c>
      <c r="F1172" t="str">
        <f t="shared" si="1433"/>
        <v>Wilber Alexader Jimenez Luna46288</v>
      </c>
      <c r="H1172" s="49" t="s">
        <v>232</v>
      </c>
      <c r="I1172" s="50" t="str">
        <f>+_xlfn.XLOOKUP($H1172&amp;$V1172,BASEDATOS!$B:$B,BASEDATOS!F:F,0,0,1)</f>
        <v>DESCANSO</v>
      </c>
      <c r="J1172" s="51">
        <f>+_xlfn.XLOOKUP($H1172&amp;$V1172,BASEDATOS!$B:$B,BASEDATOS!Q:Q,0,0,1)</f>
        <v>0</v>
      </c>
      <c r="K1172" s="51">
        <f>+_xlfn.XLOOKUP($H1172&amp;$V1172,BASEDATOS!$B:$B,BASEDATOS!R:R,0,0,1)</f>
        <v>0</v>
      </c>
      <c r="L1172" s="51">
        <f t="shared" si="1434"/>
        <v>0</v>
      </c>
      <c r="M1172" s="52">
        <f t="shared" si="1435"/>
        <v>0</v>
      </c>
      <c r="N1172" s="51">
        <f t="shared" si="1436"/>
        <v>0</v>
      </c>
      <c r="O1172" s="53" t="str">
        <f t="shared" ref="O1172" si="1447">+O1176</f>
        <v>0-3-4</v>
      </c>
      <c r="P1172" s="54">
        <f>+IF(AND(Y1172="Domingo",U1172=7),_xlfn.XLOOKUP(O1172,'Horarios y Sistemas'!C:C,'Horarios y Sistemas'!H:H,0,0,1),0)</f>
        <v>0</v>
      </c>
      <c r="Q1172" s="54">
        <f>IF(U1172=U1173,0,IF(AVERAGEIF(W:W,W1172,U:U)=U1172,0,_xlfn.XLOOKUP(O1172,'Horarios y Sistemas'!C:C,'Horarios y Sistemas'!H:H,0,0,1)-P1172))/7*U1172</f>
        <v>0</v>
      </c>
      <c r="R1172" s="54">
        <f t="shared" si="1438"/>
        <v>0</v>
      </c>
      <c r="S1172" s="55" t="str">
        <f t="shared" si="1439"/>
        <v>SEPTIEMBRE</v>
      </c>
      <c r="T1172" s="55" t="str">
        <f t="shared" si="1440"/>
        <v>Sem39</v>
      </c>
      <c r="U1172" s="56">
        <f t="shared" si="1422"/>
        <v>7</v>
      </c>
      <c r="V1172" s="59">
        <v>46288</v>
      </c>
      <c r="W1172" s="56">
        <f t="shared" si="1441"/>
        <v>39</v>
      </c>
      <c r="X1172" s="56">
        <f t="shared" si="1442"/>
        <v>23</v>
      </c>
      <c r="Y1172" s="56" t="s">
        <v>30</v>
      </c>
      <c r="Z1172" s="56">
        <v>3</v>
      </c>
      <c r="AA1172" s="58">
        <f t="shared" si="1398"/>
        <v>0</v>
      </c>
      <c r="AB1172" s="58">
        <f t="shared" si="1398"/>
        <v>0</v>
      </c>
      <c r="AC1172" s="58">
        <f t="shared" si="1398"/>
        <v>1</v>
      </c>
      <c r="AD1172" s="58">
        <f t="shared" si="1398"/>
        <v>0</v>
      </c>
      <c r="AE1172" s="58">
        <f t="shared" si="1398"/>
        <v>0</v>
      </c>
    </row>
    <row r="1173" spans="2:31">
      <c r="B1173" t="str">
        <f t="shared" si="1429"/>
        <v>Sem3939Wilber Alexader Jimenez Luna</v>
      </c>
      <c r="C1173" t="str">
        <f t="shared" si="1430"/>
        <v>SEPTIEMBRESem39</v>
      </c>
      <c r="D1173" t="str">
        <f t="shared" si="1431"/>
        <v>SEPTIEMBRESem39Wilber Alexader Jimenez Luna</v>
      </c>
      <c r="E1173" t="str">
        <f t="shared" si="1432"/>
        <v>SEPTIEMBRESem3939Wilber Alexader Jimenez Luna</v>
      </c>
      <c r="F1173" t="str">
        <f t="shared" si="1433"/>
        <v>Wilber Alexader Jimenez Luna46289</v>
      </c>
      <c r="H1173" s="49" t="s">
        <v>232</v>
      </c>
      <c r="I1173" s="50" t="str">
        <f>+_xlfn.XLOOKUP($H1173&amp;$V1173,BASEDATOS!$B:$B,BASEDATOS!F:F,0,0,1)</f>
        <v>NOCHE</v>
      </c>
      <c r="J1173" s="51">
        <f>+_xlfn.XLOOKUP($H1173&amp;$V1173,BASEDATOS!$B:$B,BASEDATOS!Q:Q,0,0,1)</f>
        <v>0.75</v>
      </c>
      <c r="K1173" s="51">
        <f>+_xlfn.XLOOKUP($H1173&amp;$V1173,BASEDATOS!$B:$B,BASEDATOS!R:R,0,0,1)</f>
        <v>0.25</v>
      </c>
      <c r="L1173" s="51">
        <f t="shared" si="1434"/>
        <v>0.5</v>
      </c>
      <c r="M1173" s="52" t="str">
        <f t="shared" si="1435"/>
        <v>1:00</v>
      </c>
      <c r="N1173" s="51">
        <f t="shared" si="1436"/>
        <v>0.45833333333333331</v>
      </c>
      <c r="O1173" s="53" t="str">
        <f t="shared" ref="O1173" si="1448">+O1176</f>
        <v>0-3-4</v>
      </c>
      <c r="P1173" s="54">
        <f>+IF(AND(Y1173="Domingo",U1173=7),_xlfn.XLOOKUP(O1173,'Horarios y Sistemas'!C:C,'Horarios y Sistemas'!H:H,0,0,1),0)</f>
        <v>0</v>
      </c>
      <c r="Q1173" s="54">
        <f>IF(U1173=U1174,0,IF(AVERAGEIF(W:W,W1173,U:U)=U1173,0,_xlfn.XLOOKUP(O1173,'Horarios y Sistemas'!C:C,'Horarios y Sistemas'!H:H,0,0,1)-P1173))/7*U1173</f>
        <v>0</v>
      </c>
      <c r="R1173" s="54">
        <f t="shared" si="1438"/>
        <v>0</v>
      </c>
      <c r="S1173" s="55" t="str">
        <f t="shared" si="1439"/>
        <v>SEPTIEMBRE</v>
      </c>
      <c r="T1173" s="55" t="str">
        <f t="shared" si="1440"/>
        <v>Sem39</v>
      </c>
      <c r="U1173" s="56">
        <f t="shared" si="1422"/>
        <v>7</v>
      </c>
      <c r="V1173" s="59">
        <v>46289</v>
      </c>
      <c r="W1173" s="56">
        <f t="shared" si="1441"/>
        <v>39</v>
      </c>
      <c r="X1173" s="56">
        <f t="shared" si="1442"/>
        <v>24</v>
      </c>
      <c r="Y1173" s="56" t="s">
        <v>31</v>
      </c>
      <c r="Z1173" s="56">
        <v>4</v>
      </c>
      <c r="AA1173" s="58">
        <f t="shared" si="1398"/>
        <v>0</v>
      </c>
      <c r="AB1173" s="58">
        <f t="shared" si="1398"/>
        <v>1</v>
      </c>
      <c r="AC1173" s="58">
        <f t="shared" si="1398"/>
        <v>0</v>
      </c>
      <c r="AD1173" s="58">
        <f t="shared" si="1398"/>
        <v>0</v>
      </c>
      <c r="AE1173" s="58">
        <f t="shared" si="1398"/>
        <v>0</v>
      </c>
    </row>
    <row r="1174" spans="2:31">
      <c r="B1174" t="str">
        <f t="shared" si="1429"/>
        <v>Sem3939Wilber Alexader Jimenez Luna</v>
      </c>
      <c r="C1174" t="str">
        <f t="shared" si="1430"/>
        <v>SEPTIEMBRESem39</v>
      </c>
      <c r="D1174" t="str">
        <f t="shared" si="1431"/>
        <v>SEPTIEMBRESem39Wilber Alexader Jimenez Luna</v>
      </c>
      <c r="E1174" t="str">
        <f t="shared" si="1432"/>
        <v>SEPTIEMBRESem3939Wilber Alexader Jimenez Luna</v>
      </c>
      <c r="F1174" t="str">
        <f t="shared" si="1433"/>
        <v>Wilber Alexader Jimenez Luna46290</v>
      </c>
      <c r="H1174" s="49" t="s">
        <v>232</v>
      </c>
      <c r="I1174" s="50" t="str">
        <f>+_xlfn.XLOOKUP($H1174&amp;$V1174,BASEDATOS!$B:$B,BASEDATOS!F:F,0,0,1)</f>
        <v>NOCHE</v>
      </c>
      <c r="J1174" s="51">
        <f>+_xlfn.XLOOKUP($H1174&amp;$V1174,BASEDATOS!$B:$B,BASEDATOS!Q:Q,0,0,1)</f>
        <v>0.75</v>
      </c>
      <c r="K1174" s="51">
        <f>+_xlfn.XLOOKUP($H1174&amp;$V1174,BASEDATOS!$B:$B,BASEDATOS!R:R,0,0,1)</f>
        <v>0.25</v>
      </c>
      <c r="L1174" s="51">
        <f t="shared" si="1434"/>
        <v>0.5</v>
      </c>
      <c r="M1174" s="52" t="str">
        <f t="shared" si="1435"/>
        <v>1:00</v>
      </c>
      <c r="N1174" s="51">
        <f t="shared" si="1436"/>
        <v>0.45833333333333331</v>
      </c>
      <c r="O1174" s="53" t="str">
        <f t="shared" ref="O1174" si="1449">+O1176</f>
        <v>0-3-4</v>
      </c>
      <c r="P1174" s="54">
        <f>+IF(AND(Y1174="Domingo",U1174=7),_xlfn.XLOOKUP(O1174,'Horarios y Sistemas'!C:C,'Horarios y Sistemas'!H:H,0,0,1),0)</f>
        <v>0</v>
      </c>
      <c r="Q1174" s="54">
        <f>IF(U1174=U1175,0,IF(AVERAGEIF(W:W,W1174,U:U)=U1174,0,_xlfn.XLOOKUP(O1174,'Horarios y Sistemas'!C:C,'Horarios y Sistemas'!H:H,0,0,1)-P1174))/7*U1174</f>
        <v>0</v>
      </c>
      <c r="R1174" s="54">
        <f t="shared" si="1438"/>
        <v>0</v>
      </c>
      <c r="S1174" s="55" t="str">
        <f t="shared" si="1439"/>
        <v>SEPTIEMBRE</v>
      </c>
      <c r="T1174" s="55" t="str">
        <f t="shared" si="1440"/>
        <v>Sem39</v>
      </c>
      <c r="U1174" s="56">
        <f t="shared" si="1422"/>
        <v>7</v>
      </c>
      <c r="V1174" s="59">
        <v>46290</v>
      </c>
      <c r="W1174" s="56">
        <f t="shared" si="1441"/>
        <v>39</v>
      </c>
      <c r="X1174" s="56">
        <f t="shared" si="1442"/>
        <v>25</v>
      </c>
      <c r="Y1174" s="56" t="s">
        <v>32</v>
      </c>
      <c r="Z1174" s="56">
        <v>5</v>
      </c>
      <c r="AA1174" s="58">
        <f t="shared" si="1398"/>
        <v>0</v>
      </c>
      <c r="AB1174" s="58">
        <f t="shared" si="1398"/>
        <v>1</v>
      </c>
      <c r="AC1174" s="58">
        <f t="shared" si="1398"/>
        <v>0</v>
      </c>
      <c r="AD1174" s="58">
        <f t="shared" si="1398"/>
        <v>0</v>
      </c>
      <c r="AE1174" s="58">
        <f t="shared" si="1398"/>
        <v>0</v>
      </c>
    </row>
    <row r="1175" spans="2:31">
      <c r="B1175" t="str">
        <f t="shared" si="1429"/>
        <v>Sem3939Wilber Alexader Jimenez Luna</v>
      </c>
      <c r="C1175" t="str">
        <f t="shared" si="1430"/>
        <v>SEPTIEMBRESem39</v>
      </c>
      <c r="D1175" t="str">
        <f t="shared" si="1431"/>
        <v>SEPTIEMBRESem39Wilber Alexader Jimenez Luna</v>
      </c>
      <c r="E1175" t="str">
        <f t="shared" si="1432"/>
        <v>SEPTIEMBRESem3939Wilber Alexader Jimenez Luna</v>
      </c>
      <c r="F1175" t="str">
        <f t="shared" si="1433"/>
        <v>Wilber Alexader Jimenez Luna46291</v>
      </c>
      <c r="H1175" s="49" t="s">
        <v>232</v>
      </c>
      <c r="I1175" s="50" t="str">
        <f>+_xlfn.XLOOKUP($H1175&amp;$V1175,BASEDATOS!$B:$B,BASEDATOS!F:F,0,0,1)</f>
        <v>NOCHE</v>
      </c>
      <c r="J1175" s="51">
        <f>+_xlfn.XLOOKUP($H1175&amp;$V1175,BASEDATOS!$B:$B,BASEDATOS!Q:Q,0,0,1)</f>
        <v>0.75</v>
      </c>
      <c r="K1175" s="51">
        <f>+_xlfn.XLOOKUP($H1175&amp;$V1175,BASEDATOS!$B:$B,BASEDATOS!R:R,0,0,1)</f>
        <v>0.25</v>
      </c>
      <c r="L1175" s="51">
        <f t="shared" si="1434"/>
        <v>0.5</v>
      </c>
      <c r="M1175" s="52" t="str">
        <f t="shared" si="1435"/>
        <v>1:00</v>
      </c>
      <c r="N1175" s="51">
        <f t="shared" si="1436"/>
        <v>0.45833333333333331</v>
      </c>
      <c r="O1175" s="53" t="str">
        <f t="shared" ref="O1175" si="1450">+O1176</f>
        <v>0-3-4</v>
      </c>
      <c r="P1175" s="54">
        <f>+IF(AND(Y1175="Domingo",U1175=7),_xlfn.XLOOKUP(O1175,'Horarios y Sistemas'!C:C,'Horarios y Sistemas'!H:H,0,0,1),0)</f>
        <v>0</v>
      </c>
      <c r="Q1175" s="54">
        <f>IF(U1175=U1176,0,IF(AVERAGEIF(W:W,W1175,U:U)=U1175,0,_xlfn.XLOOKUP(O1175,'Horarios y Sistemas'!C:C,'Horarios y Sistemas'!H:H,0,0,1)-P1175))/7*U1175</f>
        <v>0</v>
      </c>
      <c r="R1175" s="54">
        <f t="shared" si="1438"/>
        <v>0</v>
      </c>
      <c r="S1175" s="55" t="str">
        <f t="shared" si="1439"/>
        <v>SEPTIEMBRE</v>
      </c>
      <c r="T1175" s="55" t="str">
        <f t="shared" si="1440"/>
        <v>Sem39</v>
      </c>
      <c r="U1175" s="56">
        <f t="shared" si="1422"/>
        <v>7</v>
      </c>
      <c r="V1175" s="59">
        <v>46291</v>
      </c>
      <c r="W1175" s="56">
        <f t="shared" si="1441"/>
        <v>39</v>
      </c>
      <c r="X1175" s="56">
        <f t="shared" si="1442"/>
        <v>26</v>
      </c>
      <c r="Y1175" s="56" t="s">
        <v>33</v>
      </c>
      <c r="Z1175" s="56">
        <v>6</v>
      </c>
      <c r="AA1175" s="58">
        <f t="shared" si="1398"/>
        <v>0</v>
      </c>
      <c r="AB1175" s="58">
        <f t="shared" si="1398"/>
        <v>1</v>
      </c>
      <c r="AC1175" s="58">
        <f t="shared" si="1398"/>
        <v>0</v>
      </c>
      <c r="AD1175" s="58">
        <f t="shared" si="1398"/>
        <v>0</v>
      </c>
      <c r="AE1175" s="58">
        <f t="shared" si="1398"/>
        <v>0</v>
      </c>
    </row>
    <row r="1176" spans="2:31">
      <c r="B1176" s="60" t="str">
        <f t="shared" si="1429"/>
        <v>Sem3939Wilber Alexader Jimenez Luna</v>
      </c>
      <c r="C1176" s="60" t="str">
        <f t="shared" si="1430"/>
        <v>SEPTIEMBRESem39</v>
      </c>
      <c r="D1176" s="60" t="str">
        <f t="shared" si="1431"/>
        <v>SEPTIEMBRESem39Wilber Alexader Jimenez Luna</v>
      </c>
      <c r="E1176" s="60" t="str">
        <f t="shared" si="1432"/>
        <v>SEPTIEMBRESem3939Wilber Alexader Jimenez Luna</v>
      </c>
      <c r="F1176" s="60" t="str">
        <f t="shared" si="1433"/>
        <v>Wilber Alexader Jimenez Luna46292</v>
      </c>
      <c r="G1176" s="60"/>
      <c r="H1176" s="61" t="s">
        <v>232</v>
      </c>
      <c r="I1176" s="62" t="str">
        <f>+_xlfn.XLOOKUP($H1176&amp;$V1176,BASEDATOS!$B:$B,BASEDATOS!F:F,0,0,1)</f>
        <v>DESCANSO</v>
      </c>
      <c r="J1176" s="63">
        <f>+_xlfn.XLOOKUP($H1176&amp;$V1176,BASEDATOS!$B:$B,BASEDATOS!Q:Q,0,0,1)</f>
        <v>0</v>
      </c>
      <c r="K1176" s="63">
        <f>+_xlfn.XLOOKUP($H1176&amp;$V1176,BASEDATOS!$B:$B,BASEDATOS!R:R,0,0,1)</f>
        <v>0</v>
      </c>
      <c r="L1176" s="63">
        <f t="shared" si="1434"/>
        <v>0</v>
      </c>
      <c r="M1176" s="64">
        <f t="shared" si="1435"/>
        <v>0</v>
      </c>
      <c r="N1176" s="63">
        <f t="shared" si="1436"/>
        <v>0</v>
      </c>
      <c r="O1176" s="65" t="str">
        <f t="shared" ref="O1176" si="1451">+IF(Y1176="Domingo",SUM(AA1170:AA1176)&amp;"-"&amp;SUM(AB1170:AB1176)&amp;"-"&amp;SUM(AC1170:AE1176),"")</f>
        <v>0-3-4</v>
      </c>
      <c r="P1176" s="66">
        <f>+IF(AND(Y1176="Domingo",U1176=7),_xlfn.XLOOKUP(O1176,'Horarios y Sistemas'!C:C,'Horarios y Sistemas'!H:H,0,0,1),0)</f>
        <v>36</v>
      </c>
      <c r="Q1176" s="66">
        <f>IF(U1176=U1177,0,IF(AVERAGEIF(W:W,W1176,U:U)=U1176,0,_xlfn.XLOOKUP(O1176,'Horarios y Sistemas'!C:C,'Horarios y Sistemas'!H:H,0,0,1)-P1176))/7*U1176</f>
        <v>0</v>
      </c>
      <c r="R1176" s="66">
        <f t="shared" si="1438"/>
        <v>36</v>
      </c>
      <c r="S1176" s="67" t="str">
        <f t="shared" si="1439"/>
        <v>SEPTIEMBRE</v>
      </c>
      <c r="T1176" s="55" t="str">
        <f t="shared" si="1440"/>
        <v>Sem39</v>
      </c>
      <c r="U1176" s="68">
        <f t="shared" si="1422"/>
        <v>7</v>
      </c>
      <c r="V1176" s="69">
        <v>46292</v>
      </c>
      <c r="W1176" s="68">
        <f t="shared" si="1441"/>
        <v>39</v>
      </c>
      <c r="X1176" s="68">
        <f t="shared" si="1442"/>
        <v>27</v>
      </c>
      <c r="Y1176" s="68" t="s">
        <v>34</v>
      </c>
      <c r="Z1176" s="68">
        <v>7</v>
      </c>
      <c r="AA1176" s="70">
        <f t="shared" si="1398"/>
        <v>0</v>
      </c>
      <c r="AB1176" s="70">
        <f t="shared" si="1398"/>
        <v>0</v>
      </c>
      <c r="AC1176" s="70">
        <f t="shared" si="1398"/>
        <v>1</v>
      </c>
      <c r="AD1176" s="70">
        <f t="shared" si="1398"/>
        <v>0</v>
      </c>
      <c r="AE1176" s="70">
        <f t="shared" si="1398"/>
        <v>0</v>
      </c>
    </row>
    <row r="1177" spans="2:31">
      <c r="B1177" t="str">
        <f t="shared" si="1429"/>
        <v>Sem4040Wilber Alexader Jimenez Luna</v>
      </c>
      <c r="C1177" t="str">
        <f t="shared" si="1430"/>
        <v>SEPTIEMBRESem40</v>
      </c>
      <c r="D1177" t="str">
        <f t="shared" si="1431"/>
        <v>SEPTIEMBRESem40Wilber Alexader Jimenez Luna</v>
      </c>
      <c r="E1177" t="str">
        <f t="shared" si="1432"/>
        <v>SEPTIEMBRESem4040Wilber Alexader Jimenez Luna</v>
      </c>
      <c r="F1177" t="str">
        <f t="shared" si="1433"/>
        <v>Wilber Alexader Jimenez Luna46293</v>
      </c>
      <c r="H1177" s="49" t="s">
        <v>232</v>
      </c>
      <c r="I1177" s="50" t="str">
        <f>+_xlfn.XLOOKUP($H1177&amp;$V1177,BASEDATOS!$B:$B,BASEDATOS!F:F,0,0,1)</f>
        <v>DIA</v>
      </c>
      <c r="J1177" s="51">
        <f>+_xlfn.XLOOKUP($H1177&amp;$V1177,BASEDATOS!$B:$B,BASEDATOS!Q:Q,0,0,1)</f>
        <v>0.25</v>
      </c>
      <c r="K1177" s="51">
        <f>+_xlfn.XLOOKUP($H1177&amp;$V1177,BASEDATOS!$B:$B,BASEDATOS!R:R,0,0,1)</f>
        <v>0.75</v>
      </c>
      <c r="L1177" s="51">
        <f t="shared" si="1434"/>
        <v>0.5</v>
      </c>
      <c r="M1177" s="52" t="str">
        <f t="shared" si="1435"/>
        <v>1:00</v>
      </c>
      <c r="N1177" s="51">
        <f t="shared" si="1436"/>
        <v>0.45833333333333331</v>
      </c>
      <c r="O1177" s="53" t="str">
        <f t="shared" ref="O1177" si="1452">+O1183</f>
        <v>6-0-1</v>
      </c>
      <c r="P1177" s="54">
        <f>+IF(AND(Y1177="Domingo",U1177=7),_xlfn.XLOOKUP(O1177,'Horarios y Sistemas'!C:C,'Horarios y Sistemas'!H:H,0,0,1),0)</f>
        <v>0</v>
      </c>
      <c r="Q1177" s="54">
        <f>IF(U1177=U1178,0,IF(AVERAGEIF(W:W,W1177,U:U)=U1177,0,_xlfn.XLOOKUP(O1177,'Horarios y Sistemas'!C:C,'Horarios y Sistemas'!H:H,0,0,1)-P1177))/7*U1177</f>
        <v>0</v>
      </c>
      <c r="R1177" s="54">
        <f t="shared" si="1438"/>
        <v>0</v>
      </c>
      <c r="S1177" s="55" t="str">
        <f t="shared" si="1439"/>
        <v>SEPTIEMBRE</v>
      </c>
      <c r="T1177" s="55" t="str">
        <f t="shared" si="1440"/>
        <v>Sem40</v>
      </c>
      <c r="U1177" s="56">
        <f t="shared" si="1422"/>
        <v>7</v>
      </c>
      <c r="V1177" s="59">
        <v>46293</v>
      </c>
      <c r="W1177" s="56">
        <f t="shared" si="1441"/>
        <v>40</v>
      </c>
      <c r="X1177" s="56">
        <f t="shared" si="1442"/>
        <v>28</v>
      </c>
      <c r="Y1177" s="56" t="s">
        <v>28</v>
      </c>
      <c r="Z1177" s="56">
        <v>1</v>
      </c>
      <c r="AA1177" s="58">
        <f t="shared" si="1398"/>
        <v>1</v>
      </c>
      <c r="AB1177" s="58">
        <f t="shared" si="1398"/>
        <v>0</v>
      </c>
      <c r="AC1177" s="58">
        <f t="shared" si="1398"/>
        <v>0</v>
      </c>
      <c r="AD1177" s="58">
        <f t="shared" si="1398"/>
        <v>0</v>
      </c>
      <c r="AE1177" s="58">
        <f t="shared" si="1398"/>
        <v>0</v>
      </c>
    </row>
    <row r="1178" spans="2:31">
      <c r="B1178" t="str">
        <f t="shared" si="1429"/>
        <v>Sem4040Wilber Alexader Jimenez Luna</v>
      </c>
      <c r="C1178" t="str">
        <f t="shared" si="1430"/>
        <v>SEPTIEMBRESem40</v>
      </c>
      <c r="D1178" t="str">
        <f t="shared" si="1431"/>
        <v>SEPTIEMBRESem40Wilber Alexader Jimenez Luna</v>
      </c>
      <c r="E1178" t="str">
        <f t="shared" si="1432"/>
        <v>SEPTIEMBRESem4040Wilber Alexader Jimenez Luna</v>
      </c>
      <c r="F1178" t="str">
        <f t="shared" si="1433"/>
        <v>Wilber Alexader Jimenez Luna46294</v>
      </c>
      <c r="H1178" s="49" t="s">
        <v>232</v>
      </c>
      <c r="I1178" s="50" t="str">
        <f>+_xlfn.XLOOKUP($H1178&amp;$V1178,BASEDATOS!$B:$B,BASEDATOS!F:F,0,0,1)</f>
        <v>DIA</v>
      </c>
      <c r="J1178" s="51">
        <f>+_xlfn.XLOOKUP($H1178&amp;$V1178,BASEDATOS!$B:$B,BASEDATOS!Q:Q,0,0,1)</f>
        <v>0.33333333333333298</v>
      </c>
      <c r="K1178" s="51">
        <f>+_xlfn.XLOOKUP($H1178&amp;$V1178,BASEDATOS!$B:$B,BASEDATOS!R:R,0,0,1)</f>
        <v>0.75</v>
      </c>
      <c r="L1178" s="51">
        <f t="shared" si="1434"/>
        <v>0.41666666666666702</v>
      </c>
      <c r="M1178" s="52" t="str">
        <f t="shared" si="1435"/>
        <v>1:00</v>
      </c>
      <c r="N1178" s="51">
        <f t="shared" si="1436"/>
        <v>0.37500000000000033</v>
      </c>
      <c r="O1178" s="53" t="str">
        <f t="shared" ref="O1178" si="1453">+O1183</f>
        <v>6-0-1</v>
      </c>
      <c r="P1178" s="54">
        <f>+IF(AND(Y1178="Domingo",U1178=7),_xlfn.XLOOKUP(O1178,'Horarios y Sistemas'!C:C,'Horarios y Sistemas'!H:H,0,0,1),0)</f>
        <v>0</v>
      </c>
      <c r="Q1178" s="54">
        <f>IF(U1178=U1179,0,IF(AVERAGEIF(W:W,W1178,U:U)=U1178,0,_xlfn.XLOOKUP(O1178,'Horarios y Sistemas'!C:C,'Horarios y Sistemas'!H:H,0,0,1)-P1178))/7*U1178</f>
        <v>0</v>
      </c>
      <c r="R1178" s="54">
        <f t="shared" si="1438"/>
        <v>0</v>
      </c>
      <c r="S1178" s="55" t="str">
        <f t="shared" si="1439"/>
        <v>SEPTIEMBRE</v>
      </c>
      <c r="T1178" s="55" t="str">
        <f t="shared" si="1440"/>
        <v>Sem40</v>
      </c>
      <c r="U1178" s="56">
        <f t="shared" si="1422"/>
        <v>7</v>
      </c>
      <c r="V1178" s="59">
        <v>46294</v>
      </c>
      <c r="W1178" s="56">
        <f t="shared" si="1441"/>
        <v>40</v>
      </c>
      <c r="X1178" s="56">
        <f t="shared" si="1442"/>
        <v>29</v>
      </c>
      <c r="Y1178" s="56" t="s">
        <v>29</v>
      </c>
      <c r="Z1178" s="56">
        <v>2</v>
      </c>
      <c r="AA1178" s="58">
        <f t="shared" si="1398"/>
        <v>1</v>
      </c>
      <c r="AB1178" s="58">
        <f t="shared" si="1398"/>
        <v>0</v>
      </c>
      <c r="AC1178" s="58">
        <f t="shared" si="1398"/>
        <v>0</v>
      </c>
      <c r="AD1178" s="58">
        <f t="shared" si="1398"/>
        <v>0</v>
      </c>
      <c r="AE1178" s="58">
        <f t="shared" si="1398"/>
        <v>0</v>
      </c>
    </row>
    <row r="1179" spans="2:31">
      <c r="B1179" t="str">
        <f t="shared" si="1429"/>
        <v>Sem4040Wilber Alexader Jimenez Luna</v>
      </c>
      <c r="C1179" t="str">
        <f t="shared" si="1430"/>
        <v>SEPTIEMBRESem40</v>
      </c>
      <c r="D1179" t="str">
        <f t="shared" si="1431"/>
        <v>SEPTIEMBRESem40Wilber Alexader Jimenez Luna</v>
      </c>
      <c r="E1179" t="str">
        <f t="shared" si="1432"/>
        <v>SEPTIEMBRESem4040Wilber Alexader Jimenez Luna</v>
      </c>
      <c r="F1179" t="str">
        <f t="shared" si="1433"/>
        <v>Wilber Alexader Jimenez Luna46295</v>
      </c>
      <c r="H1179" s="49" t="s">
        <v>232</v>
      </c>
      <c r="I1179" s="50" t="str">
        <f>+_xlfn.XLOOKUP($H1179&amp;$V1179,BASEDATOS!$B:$B,BASEDATOS!F:F,0,0,1)</f>
        <v>DIA</v>
      </c>
      <c r="J1179" s="51">
        <f>+_xlfn.XLOOKUP($H1179&amp;$V1179,BASEDATOS!$B:$B,BASEDATOS!Q:Q,0,0,1)</f>
        <v>0.25</v>
      </c>
      <c r="K1179" s="51">
        <f>+_xlfn.XLOOKUP($H1179&amp;$V1179,BASEDATOS!$B:$B,BASEDATOS!R:R,0,0,1)</f>
        <v>0.75</v>
      </c>
      <c r="L1179" s="51">
        <f t="shared" si="1434"/>
        <v>0.5</v>
      </c>
      <c r="M1179" s="52" t="str">
        <f t="shared" si="1435"/>
        <v>1:00</v>
      </c>
      <c r="N1179" s="51">
        <f t="shared" si="1436"/>
        <v>0.45833333333333331</v>
      </c>
      <c r="O1179" s="53" t="str">
        <f t="shared" ref="O1179" si="1454">+O1183</f>
        <v>6-0-1</v>
      </c>
      <c r="P1179" s="54">
        <f>+IF(AND(Y1179="Domingo",U1179=7),_xlfn.XLOOKUP(O1179,'Horarios y Sistemas'!C:C,'Horarios y Sistemas'!H:H,0,0,1),0)</f>
        <v>0</v>
      </c>
      <c r="Q1179" s="54">
        <f>IF(U1179=U1180,0,IF(AVERAGEIF(W:W,W1179,U:U)=U1179,0,_xlfn.XLOOKUP(O1179,'Horarios y Sistemas'!C:C,'Horarios y Sistemas'!H:H,0,0,1)-P1179))/7*U1179</f>
        <v>0</v>
      </c>
      <c r="R1179" s="54">
        <f t="shared" si="1438"/>
        <v>0</v>
      </c>
      <c r="S1179" s="55" t="str">
        <f t="shared" si="1439"/>
        <v>SEPTIEMBRE</v>
      </c>
      <c r="T1179" s="55" t="str">
        <f t="shared" si="1440"/>
        <v>Sem40</v>
      </c>
      <c r="U1179" s="56">
        <f t="shared" si="1422"/>
        <v>7</v>
      </c>
      <c r="V1179" s="59">
        <v>46295</v>
      </c>
      <c r="W1179" s="56">
        <f t="shared" si="1441"/>
        <v>40</v>
      </c>
      <c r="X1179" s="56">
        <f t="shared" si="1442"/>
        <v>30</v>
      </c>
      <c r="Y1179" s="56" t="s">
        <v>30</v>
      </c>
      <c r="Z1179" s="56">
        <v>3</v>
      </c>
      <c r="AA1179" s="58">
        <f t="shared" si="1398"/>
        <v>1</v>
      </c>
      <c r="AB1179" s="58">
        <f t="shared" si="1398"/>
        <v>0</v>
      </c>
      <c r="AC1179" s="58">
        <f t="shared" si="1398"/>
        <v>0</v>
      </c>
      <c r="AD1179" s="58">
        <f t="shared" si="1398"/>
        <v>0</v>
      </c>
      <c r="AE1179" s="58">
        <f t="shared" si="1398"/>
        <v>0</v>
      </c>
    </row>
    <row r="1180" spans="2:31">
      <c r="B1180" t="str">
        <f t="shared" si="1429"/>
        <v>Sem4040Wilber Alexader Jimenez Luna</v>
      </c>
      <c r="C1180" t="str">
        <f t="shared" si="1430"/>
        <v>OCTUBRESem40</v>
      </c>
      <c r="D1180" t="str">
        <f t="shared" si="1431"/>
        <v>OCTUBRESem40Wilber Alexader Jimenez Luna</v>
      </c>
      <c r="E1180" t="str">
        <f t="shared" si="1432"/>
        <v>OCTUBRESem4040Wilber Alexader Jimenez Luna</v>
      </c>
      <c r="F1180" t="str">
        <f t="shared" si="1433"/>
        <v>Wilber Alexader Jimenez Luna46296</v>
      </c>
      <c r="H1180" s="49" t="s">
        <v>232</v>
      </c>
      <c r="I1180" s="50" t="str">
        <f>+_xlfn.XLOOKUP($H1180&amp;$V1180,BASEDATOS!$B:$B,BASEDATOS!F:F,0,0,1)</f>
        <v>DIA</v>
      </c>
      <c r="J1180" s="51">
        <f>+_xlfn.XLOOKUP($H1180&amp;$V1180,BASEDATOS!$B:$B,BASEDATOS!Q:Q,0,0,1)</f>
        <v>0.25</v>
      </c>
      <c r="K1180" s="51">
        <f>+_xlfn.XLOOKUP($H1180&amp;$V1180,BASEDATOS!$B:$B,BASEDATOS!R:R,0,0,1)</f>
        <v>0.75</v>
      </c>
      <c r="L1180" s="51">
        <f t="shared" si="1434"/>
        <v>0.5</v>
      </c>
      <c r="M1180" s="52" t="str">
        <f t="shared" si="1435"/>
        <v>1:00</v>
      </c>
      <c r="N1180" s="51">
        <f t="shared" si="1436"/>
        <v>0.45833333333333331</v>
      </c>
      <c r="O1180" s="53" t="str">
        <f t="shared" ref="O1180" si="1455">+O1183</f>
        <v>6-0-1</v>
      </c>
      <c r="P1180" s="54">
        <f>+IF(AND(Y1180="Domingo",U1180=7),_xlfn.XLOOKUP(O1180,'Horarios y Sistemas'!C:C,'Horarios y Sistemas'!H:H,0,0,1),0)</f>
        <v>0</v>
      </c>
      <c r="Q1180" s="54">
        <f>IF(U1180=U1181,0,IF(AVERAGEIF(W:W,W1180,U:U)=U1180,0,_xlfn.XLOOKUP(O1180,'Horarios y Sistemas'!C:C,'Horarios y Sistemas'!H:H,0,0,1)-P1180))/7*U1180</f>
        <v>0</v>
      </c>
      <c r="R1180" s="54">
        <f t="shared" si="1438"/>
        <v>0</v>
      </c>
      <c r="S1180" s="55" t="str">
        <f t="shared" si="1439"/>
        <v>OCTUBRE</v>
      </c>
      <c r="T1180" s="55" t="str">
        <f t="shared" si="1440"/>
        <v>Sem40</v>
      </c>
      <c r="U1180" s="56">
        <f t="shared" si="1422"/>
        <v>7</v>
      </c>
      <c r="V1180" s="59">
        <v>46296</v>
      </c>
      <c r="W1180" s="56">
        <f t="shared" si="1441"/>
        <v>40</v>
      </c>
      <c r="X1180" s="56">
        <f t="shared" si="1442"/>
        <v>1</v>
      </c>
      <c r="Y1180" s="56" t="s">
        <v>31</v>
      </c>
      <c r="Z1180" s="56">
        <v>4</v>
      </c>
      <c r="AA1180" s="58">
        <f t="shared" si="1398"/>
        <v>1</v>
      </c>
      <c r="AB1180" s="58">
        <f t="shared" si="1398"/>
        <v>0</v>
      </c>
      <c r="AC1180" s="58">
        <f t="shared" si="1398"/>
        <v>0</v>
      </c>
      <c r="AD1180" s="58">
        <f t="shared" si="1398"/>
        <v>0</v>
      </c>
      <c r="AE1180" s="58">
        <f t="shared" si="1398"/>
        <v>0</v>
      </c>
    </row>
    <row r="1181" spans="2:31">
      <c r="B1181" t="str">
        <f t="shared" si="1429"/>
        <v>Sem4040Wilber Alexader Jimenez Luna</v>
      </c>
      <c r="C1181" t="str">
        <f t="shared" si="1430"/>
        <v>OCTUBRESem40</v>
      </c>
      <c r="D1181" t="str">
        <f t="shared" si="1431"/>
        <v>OCTUBRESem40Wilber Alexader Jimenez Luna</v>
      </c>
      <c r="E1181" t="str">
        <f t="shared" si="1432"/>
        <v>OCTUBRESem4040Wilber Alexader Jimenez Luna</v>
      </c>
      <c r="F1181" t="str">
        <f t="shared" si="1433"/>
        <v>Wilber Alexader Jimenez Luna46297</v>
      </c>
      <c r="H1181" s="49" t="s">
        <v>232</v>
      </c>
      <c r="I1181" s="50" t="str">
        <f>+_xlfn.XLOOKUP($H1181&amp;$V1181,BASEDATOS!$B:$B,BASEDATOS!F:F,0,0,1)</f>
        <v>DIA</v>
      </c>
      <c r="J1181" s="51">
        <f>+_xlfn.XLOOKUP($H1181&amp;$V1181,BASEDATOS!$B:$B,BASEDATOS!Q:Q,0,0,1)</f>
        <v>0.25</v>
      </c>
      <c r="K1181" s="51">
        <f>+_xlfn.XLOOKUP($H1181&amp;$V1181,BASEDATOS!$B:$B,BASEDATOS!R:R,0,0,1)</f>
        <v>0.75</v>
      </c>
      <c r="L1181" s="51">
        <f t="shared" si="1434"/>
        <v>0.5</v>
      </c>
      <c r="M1181" s="52" t="str">
        <f t="shared" si="1435"/>
        <v>1:00</v>
      </c>
      <c r="N1181" s="51">
        <f t="shared" si="1436"/>
        <v>0.45833333333333331</v>
      </c>
      <c r="O1181" s="53" t="str">
        <f t="shared" ref="O1181" si="1456">+O1183</f>
        <v>6-0-1</v>
      </c>
      <c r="P1181" s="54">
        <f>+IF(AND(Y1181="Domingo",U1181=7),_xlfn.XLOOKUP(O1181,'Horarios y Sistemas'!C:C,'Horarios y Sistemas'!H:H,0,0,1),0)</f>
        <v>0</v>
      </c>
      <c r="Q1181" s="54">
        <f>IF(U1181=U1182,0,IF(AVERAGEIF(W:W,W1181,U:U)=U1181,0,_xlfn.XLOOKUP(O1181,'Horarios y Sistemas'!C:C,'Horarios y Sistemas'!H:H,0,0,1)-P1181))/7*U1181</f>
        <v>0</v>
      </c>
      <c r="R1181" s="54">
        <f t="shared" si="1438"/>
        <v>0</v>
      </c>
      <c r="S1181" s="55" t="str">
        <f t="shared" si="1439"/>
        <v>OCTUBRE</v>
      </c>
      <c r="T1181" s="55" t="str">
        <f t="shared" si="1440"/>
        <v>Sem40</v>
      </c>
      <c r="U1181" s="56">
        <f t="shared" si="1422"/>
        <v>7</v>
      </c>
      <c r="V1181" s="59">
        <v>46297</v>
      </c>
      <c r="W1181" s="56">
        <f t="shared" si="1441"/>
        <v>40</v>
      </c>
      <c r="X1181" s="56">
        <f t="shared" si="1442"/>
        <v>2</v>
      </c>
      <c r="Y1181" s="56" t="s">
        <v>32</v>
      </c>
      <c r="Z1181" s="56">
        <v>5</v>
      </c>
      <c r="AA1181" s="58">
        <f t="shared" si="1398"/>
        <v>1</v>
      </c>
      <c r="AB1181" s="58">
        <f t="shared" si="1398"/>
        <v>0</v>
      </c>
      <c r="AC1181" s="58">
        <f t="shared" si="1398"/>
        <v>0</v>
      </c>
      <c r="AD1181" s="58">
        <f t="shared" si="1398"/>
        <v>0</v>
      </c>
      <c r="AE1181" s="58">
        <f t="shared" si="1398"/>
        <v>0</v>
      </c>
    </row>
    <row r="1182" spans="2:31">
      <c r="B1182" t="str">
        <f t="shared" si="1429"/>
        <v>Sem4040Wilber Alexader Jimenez Luna</v>
      </c>
      <c r="C1182" t="str">
        <f t="shared" si="1430"/>
        <v>OCTUBRESem40</v>
      </c>
      <c r="D1182" t="str">
        <f t="shared" si="1431"/>
        <v>OCTUBRESem40Wilber Alexader Jimenez Luna</v>
      </c>
      <c r="E1182" t="str">
        <f t="shared" si="1432"/>
        <v>OCTUBRESem4040Wilber Alexader Jimenez Luna</v>
      </c>
      <c r="F1182" t="str">
        <f t="shared" si="1433"/>
        <v>Wilber Alexader Jimenez Luna46298</v>
      </c>
      <c r="H1182" s="49" t="s">
        <v>232</v>
      </c>
      <c r="I1182" s="50" t="str">
        <f>+_xlfn.XLOOKUP($H1182&amp;$V1182,BASEDATOS!$B:$B,BASEDATOS!F:F,0,0,1)</f>
        <v>DIA</v>
      </c>
      <c r="J1182" s="51">
        <f>+_xlfn.XLOOKUP($H1182&amp;$V1182,BASEDATOS!$B:$B,BASEDATOS!Q:Q,0,0,1)</f>
        <v>0.29166666666666702</v>
      </c>
      <c r="K1182" s="51">
        <f>+_xlfn.XLOOKUP($H1182&amp;$V1182,BASEDATOS!$B:$B,BASEDATOS!R:R,0,0,1)</f>
        <v>0.75</v>
      </c>
      <c r="L1182" s="51">
        <f t="shared" si="1434"/>
        <v>0.45833333333333298</v>
      </c>
      <c r="M1182" s="52" t="str">
        <f t="shared" si="1435"/>
        <v>1:00</v>
      </c>
      <c r="N1182" s="51">
        <f t="shared" si="1436"/>
        <v>0.4166666666666663</v>
      </c>
      <c r="O1182" s="53" t="str">
        <f t="shared" ref="O1182" si="1457">+O1183</f>
        <v>6-0-1</v>
      </c>
      <c r="P1182" s="54">
        <f>+IF(AND(Y1182="Domingo",U1182=7),_xlfn.XLOOKUP(O1182,'Horarios y Sistemas'!C:C,'Horarios y Sistemas'!H:H,0,0,1),0)</f>
        <v>0</v>
      </c>
      <c r="Q1182" s="54">
        <f>IF(U1182=U1183,0,IF(AVERAGEIF(W:W,W1182,U:U)=U1182,0,_xlfn.XLOOKUP(O1182,'Horarios y Sistemas'!C:C,'Horarios y Sistemas'!H:H,0,0,1)-P1182))/7*U1182</f>
        <v>0</v>
      </c>
      <c r="R1182" s="54">
        <f t="shared" si="1438"/>
        <v>0</v>
      </c>
      <c r="S1182" s="55" t="str">
        <f t="shared" si="1439"/>
        <v>OCTUBRE</v>
      </c>
      <c r="T1182" s="55" t="str">
        <f t="shared" si="1440"/>
        <v>Sem40</v>
      </c>
      <c r="U1182" s="56">
        <f t="shared" si="1422"/>
        <v>7</v>
      </c>
      <c r="V1182" s="59">
        <v>46298</v>
      </c>
      <c r="W1182" s="56">
        <f t="shared" si="1441"/>
        <v>40</v>
      </c>
      <c r="X1182" s="56">
        <f t="shared" si="1442"/>
        <v>3</v>
      </c>
      <c r="Y1182" s="56" t="s">
        <v>33</v>
      </c>
      <c r="Z1182" s="56">
        <v>6</v>
      </c>
      <c r="AA1182" s="58">
        <f t="shared" si="1398"/>
        <v>1</v>
      </c>
      <c r="AB1182" s="58">
        <f t="shared" si="1398"/>
        <v>0</v>
      </c>
      <c r="AC1182" s="58">
        <f t="shared" si="1398"/>
        <v>0</v>
      </c>
      <c r="AD1182" s="58">
        <f t="shared" si="1398"/>
        <v>0</v>
      </c>
      <c r="AE1182" s="58">
        <f t="shared" si="1398"/>
        <v>0</v>
      </c>
    </row>
    <row r="1183" spans="2:31">
      <c r="B1183" s="60" t="str">
        <f t="shared" si="1429"/>
        <v>Sem4040Wilber Alexader Jimenez Luna</v>
      </c>
      <c r="C1183" s="60" t="str">
        <f t="shared" si="1430"/>
        <v>OCTUBRESem40</v>
      </c>
      <c r="D1183" s="60" t="str">
        <f t="shared" si="1431"/>
        <v>OCTUBRESem40Wilber Alexader Jimenez Luna</v>
      </c>
      <c r="E1183" s="60" t="str">
        <f t="shared" si="1432"/>
        <v>OCTUBRESem4040Wilber Alexader Jimenez Luna</v>
      </c>
      <c r="F1183" s="60" t="str">
        <f t="shared" si="1433"/>
        <v>Wilber Alexader Jimenez Luna46299</v>
      </c>
      <c r="G1183" s="60"/>
      <c r="H1183" s="61" t="s">
        <v>232</v>
      </c>
      <c r="I1183" s="62" t="str">
        <f>+_xlfn.XLOOKUP($H1183&amp;$V1183,BASEDATOS!$B:$B,BASEDATOS!F:F,0,0,1)</f>
        <v>DESCANSO</v>
      </c>
      <c r="J1183" s="63">
        <f>+_xlfn.XLOOKUP($H1183&amp;$V1183,BASEDATOS!$B:$B,BASEDATOS!Q:Q,0,0,1)</f>
        <v>0</v>
      </c>
      <c r="K1183" s="63">
        <f>+_xlfn.XLOOKUP($H1183&amp;$V1183,BASEDATOS!$B:$B,BASEDATOS!R:R,0,0,1)</f>
        <v>0</v>
      </c>
      <c r="L1183" s="63">
        <f t="shared" si="1434"/>
        <v>0</v>
      </c>
      <c r="M1183" s="64">
        <f t="shared" si="1435"/>
        <v>0</v>
      </c>
      <c r="N1183" s="63">
        <f t="shared" si="1436"/>
        <v>0</v>
      </c>
      <c r="O1183" s="65" t="str">
        <f t="shared" ref="O1183" si="1458">+IF(Y1183="Domingo",SUM(AA1177:AA1183)&amp;"-"&amp;SUM(AB1177:AB1183)&amp;"-"&amp;SUM(AC1177:AE1183),"")</f>
        <v>6-0-1</v>
      </c>
      <c r="P1183" s="66">
        <f>+IF(AND(Y1183="Domingo",U1183=7),_xlfn.XLOOKUP(O1183,'Horarios y Sistemas'!C:C,'Horarios y Sistemas'!H:H,0,0,1),0)</f>
        <v>44</v>
      </c>
      <c r="Q1183" s="66">
        <f>IF(U1183=U1184,0,IF(AVERAGEIF(W:W,W1183,U:U)=U1183,0,_xlfn.XLOOKUP(O1183,'Horarios y Sistemas'!C:C,'Horarios y Sistemas'!H:H,0,0,1)-P1183))/7*U1183</f>
        <v>0</v>
      </c>
      <c r="R1183" s="66">
        <f t="shared" si="1438"/>
        <v>44</v>
      </c>
      <c r="S1183" s="67" t="str">
        <f t="shared" si="1439"/>
        <v>OCTUBRE</v>
      </c>
      <c r="T1183" s="55" t="str">
        <f t="shared" si="1440"/>
        <v>Sem40</v>
      </c>
      <c r="U1183" s="68">
        <f t="shared" si="1422"/>
        <v>7</v>
      </c>
      <c r="V1183" s="69">
        <v>46299</v>
      </c>
      <c r="W1183" s="68">
        <f t="shared" si="1441"/>
        <v>40</v>
      </c>
      <c r="X1183" s="68">
        <f t="shared" si="1442"/>
        <v>4</v>
      </c>
      <c r="Y1183" s="68" t="s">
        <v>34</v>
      </c>
      <c r="Z1183" s="68">
        <v>7</v>
      </c>
      <c r="AA1183" s="70">
        <f t="shared" si="1398"/>
        <v>0</v>
      </c>
      <c r="AB1183" s="70">
        <f t="shared" si="1398"/>
        <v>0</v>
      </c>
      <c r="AC1183" s="70">
        <f t="shared" si="1398"/>
        <v>1</v>
      </c>
      <c r="AD1183" s="70">
        <f t="shared" si="1398"/>
        <v>0</v>
      </c>
      <c r="AE1183" s="70">
        <f t="shared" si="1398"/>
        <v>0</v>
      </c>
    </row>
    <row r="1184" spans="2:31">
      <c r="B1184" t="str">
        <f t="shared" si="1429"/>
        <v>Sem3838YORMAN ALEJANDRO PEREZ CHAJON</v>
      </c>
      <c r="C1184" t="str">
        <f t="shared" si="1430"/>
        <v>SEPTIEMBRESem38</v>
      </c>
      <c r="D1184" t="str">
        <f t="shared" si="1431"/>
        <v>SEPTIEMBRESem38YORMAN ALEJANDRO PEREZ CHAJON</v>
      </c>
      <c r="E1184" t="str">
        <f t="shared" si="1432"/>
        <v>SEPTIEMBRESem3838YORMAN ALEJANDRO PEREZ CHAJON</v>
      </c>
      <c r="F1184" t="str">
        <f t="shared" si="1433"/>
        <v>YORMAN ALEJANDRO PEREZ CHAJON46279</v>
      </c>
      <c r="H1184" s="49" t="s">
        <v>13</v>
      </c>
      <c r="I1184" s="50" t="str">
        <f>+_xlfn.XLOOKUP($H1184&amp;$V1184,BASEDATOS!$B:$B,BASEDATOS!F:F,0,0,1)</f>
        <v>DESCANSO</v>
      </c>
      <c r="J1184" s="51">
        <f>+_xlfn.XLOOKUP($H1184&amp;$V1184,BASEDATOS!$B:$B,BASEDATOS!Q:Q,0,0,1)</f>
        <v>0</v>
      </c>
      <c r="K1184" s="51">
        <f>+_xlfn.XLOOKUP($H1184&amp;$V1184,BASEDATOS!$B:$B,BASEDATOS!R:R,0,0,1)</f>
        <v>0</v>
      </c>
      <c r="L1184" s="51">
        <f t="shared" si="1434"/>
        <v>0</v>
      </c>
      <c r="M1184" s="52">
        <f t="shared" si="1435"/>
        <v>0</v>
      </c>
      <c r="N1184" s="51">
        <f t="shared" si="1436"/>
        <v>0</v>
      </c>
      <c r="O1184" s="53" t="str">
        <f t="shared" ref="O1184" si="1459">+O1190</f>
        <v>5-0-2</v>
      </c>
      <c r="P1184" s="54">
        <f>+IF(AND(Y1184="Domingo",U1184=7),_xlfn.XLOOKUP(O1184,'Horarios y Sistemas'!C:C,'Horarios y Sistemas'!H:H,0,0,1),0)</f>
        <v>0</v>
      </c>
      <c r="Q1184" s="54">
        <f>IF(U1184=U1185,0,IF(AVERAGEIF(W:W,W1184,U:U)=U1184,0,_xlfn.XLOOKUP(O1184,'Horarios y Sistemas'!C:C,'Horarios y Sistemas'!H:H,0,0,1)-P1184))/7*U1184</f>
        <v>0</v>
      </c>
      <c r="R1184" s="54">
        <f t="shared" si="1438"/>
        <v>0</v>
      </c>
      <c r="S1184" s="55" t="str">
        <f t="shared" si="1439"/>
        <v>SEPTIEMBRE</v>
      </c>
      <c r="T1184" s="55" t="str">
        <f t="shared" si="1440"/>
        <v>Sem38</v>
      </c>
      <c r="U1184" s="56">
        <f t="shared" si="1422"/>
        <v>7</v>
      </c>
      <c r="V1184" s="59">
        <v>46279</v>
      </c>
      <c r="W1184" s="56">
        <f t="shared" si="1441"/>
        <v>38</v>
      </c>
      <c r="X1184" s="56">
        <f t="shared" si="1442"/>
        <v>14</v>
      </c>
      <c r="Y1184" s="56" t="s">
        <v>28</v>
      </c>
      <c r="Z1184" s="56">
        <v>1</v>
      </c>
      <c r="AA1184" s="58">
        <f t="shared" si="1398"/>
        <v>0</v>
      </c>
      <c r="AB1184" s="58">
        <f t="shared" si="1398"/>
        <v>0</v>
      </c>
      <c r="AC1184" s="58">
        <f t="shared" si="1398"/>
        <v>1</v>
      </c>
      <c r="AD1184" s="58">
        <f t="shared" si="1398"/>
        <v>0</v>
      </c>
      <c r="AE1184" s="58">
        <f t="shared" si="1398"/>
        <v>0</v>
      </c>
    </row>
    <row r="1185" spans="2:31">
      <c r="B1185" t="str">
        <f t="shared" si="1429"/>
        <v>Sem3838YORMAN ALEJANDRO PEREZ CHAJON</v>
      </c>
      <c r="C1185" t="str">
        <f t="shared" si="1430"/>
        <v>SEPTIEMBRESem38</v>
      </c>
      <c r="D1185" t="str">
        <f t="shared" si="1431"/>
        <v>SEPTIEMBRESem38YORMAN ALEJANDRO PEREZ CHAJON</v>
      </c>
      <c r="E1185" t="str">
        <f t="shared" si="1432"/>
        <v>SEPTIEMBRESem3838YORMAN ALEJANDRO PEREZ CHAJON</v>
      </c>
      <c r="F1185" t="str">
        <f t="shared" si="1433"/>
        <v>YORMAN ALEJANDRO PEREZ CHAJON46280</v>
      </c>
      <c r="H1185" s="49" t="s">
        <v>13</v>
      </c>
      <c r="I1185" s="50" t="str">
        <f>+_xlfn.XLOOKUP($H1185&amp;$V1185,BASEDATOS!$B:$B,BASEDATOS!F:F,0,0,1)</f>
        <v>DIA</v>
      </c>
      <c r="J1185" s="51">
        <f>+_xlfn.XLOOKUP($H1185&amp;$V1185,BASEDATOS!$B:$B,BASEDATOS!Q:Q,0,0,1)</f>
        <v>0.33333333333333298</v>
      </c>
      <c r="K1185" s="51">
        <f>+_xlfn.XLOOKUP($H1185&amp;$V1185,BASEDATOS!$B:$B,BASEDATOS!R:R,0,0,1)</f>
        <v>0.70833333333333304</v>
      </c>
      <c r="L1185" s="51">
        <f t="shared" si="1434"/>
        <v>0.37500000000000006</v>
      </c>
      <c r="M1185" s="52" t="str">
        <f t="shared" si="1435"/>
        <v>1:00</v>
      </c>
      <c r="N1185" s="51">
        <f t="shared" si="1436"/>
        <v>0.33333333333333337</v>
      </c>
      <c r="O1185" s="53" t="str">
        <f t="shared" ref="O1185" si="1460">+O1190</f>
        <v>5-0-2</v>
      </c>
      <c r="P1185" s="54">
        <f>+IF(AND(Y1185="Domingo",U1185=7),_xlfn.XLOOKUP(O1185,'Horarios y Sistemas'!C:C,'Horarios y Sistemas'!H:H,0,0,1),0)</f>
        <v>0</v>
      </c>
      <c r="Q1185" s="54">
        <f>IF(U1185=U1186,0,IF(AVERAGEIF(W:W,W1185,U:U)=U1185,0,_xlfn.XLOOKUP(O1185,'Horarios y Sistemas'!C:C,'Horarios y Sistemas'!H:H,0,0,1)-P1185))/7*U1185</f>
        <v>0</v>
      </c>
      <c r="R1185" s="54">
        <f t="shared" si="1438"/>
        <v>0</v>
      </c>
      <c r="S1185" s="55" t="str">
        <f t="shared" si="1439"/>
        <v>SEPTIEMBRE</v>
      </c>
      <c r="T1185" s="55" t="str">
        <f t="shared" si="1440"/>
        <v>Sem38</v>
      </c>
      <c r="U1185" s="56">
        <f t="shared" si="1422"/>
        <v>7</v>
      </c>
      <c r="V1185" s="59">
        <v>46280</v>
      </c>
      <c r="W1185" s="56">
        <f t="shared" si="1441"/>
        <v>38</v>
      </c>
      <c r="X1185" s="56">
        <f t="shared" si="1442"/>
        <v>15</v>
      </c>
      <c r="Y1185" s="56" t="s">
        <v>29</v>
      </c>
      <c r="Z1185" s="56">
        <v>2</v>
      </c>
      <c r="AA1185" s="58">
        <f t="shared" si="1398"/>
        <v>1</v>
      </c>
      <c r="AB1185" s="58">
        <f t="shared" si="1398"/>
        <v>0</v>
      </c>
      <c r="AC1185" s="58">
        <f t="shared" si="1398"/>
        <v>0</v>
      </c>
      <c r="AD1185" s="58">
        <f t="shared" si="1398"/>
        <v>0</v>
      </c>
      <c r="AE1185" s="58">
        <f t="shared" si="1398"/>
        <v>0</v>
      </c>
    </row>
    <row r="1186" spans="2:31">
      <c r="B1186" t="str">
        <f t="shared" si="1429"/>
        <v>Sem3838YORMAN ALEJANDRO PEREZ CHAJON</v>
      </c>
      <c r="C1186" t="str">
        <f t="shared" si="1430"/>
        <v>SEPTIEMBRESem38</v>
      </c>
      <c r="D1186" t="str">
        <f t="shared" si="1431"/>
        <v>SEPTIEMBRESem38YORMAN ALEJANDRO PEREZ CHAJON</v>
      </c>
      <c r="E1186" t="str">
        <f t="shared" si="1432"/>
        <v>SEPTIEMBRESem3838YORMAN ALEJANDRO PEREZ CHAJON</v>
      </c>
      <c r="F1186" t="str">
        <f t="shared" si="1433"/>
        <v>YORMAN ALEJANDRO PEREZ CHAJON46281</v>
      </c>
      <c r="H1186" s="49" t="s">
        <v>13</v>
      </c>
      <c r="I1186" s="50" t="str">
        <f>+_xlfn.XLOOKUP($H1186&amp;$V1186,BASEDATOS!$B:$B,BASEDATOS!F:F,0,0,1)</f>
        <v>DIA</v>
      </c>
      <c r="J1186" s="51">
        <f>+_xlfn.XLOOKUP($H1186&amp;$V1186,BASEDATOS!$B:$B,BASEDATOS!Q:Q,0,0,1)</f>
        <v>0.29166666666666702</v>
      </c>
      <c r="K1186" s="51">
        <f>+_xlfn.XLOOKUP($H1186&amp;$V1186,BASEDATOS!$B:$B,BASEDATOS!R:R,0,0,1)</f>
        <v>0.66666666666666696</v>
      </c>
      <c r="L1186" s="51">
        <f t="shared" si="1434"/>
        <v>0.37499999999999994</v>
      </c>
      <c r="M1186" s="52" t="str">
        <f t="shared" si="1435"/>
        <v>1:00</v>
      </c>
      <c r="N1186" s="51">
        <f t="shared" si="1436"/>
        <v>0.33333333333333326</v>
      </c>
      <c r="O1186" s="53" t="str">
        <f t="shared" ref="O1186" si="1461">+O1190</f>
        <v>5-0-2</v>
      </c>
      <c r="P1186" s="54">
        <f>+IF(AND(Y1186="Domingo",U1186=7),_xlfn.XLOOKUP(O1186,'Horarios y Sistemas'!C:C,'Horarios y Sistemas'!H:H,0,0,1),0)</f>
        <v>0</v>
      </c>
      <c r="Q1186" s="54">
        <f>IF(U1186=U1187,0,IF(AVERAGEIF(W:W,W1186,U:U)=U1186,0,_xlfn.XLOOKUP(O1186,'Horarios y Sistemas'!C:C,'Horarios y Sistemas'!H:H,0,0,1)-P1186))/7*U1186</f>
        <v>0</v>
      </c>
      <c r="R1186" s="54">
        <f t="shared" si="1438"/>
        <v>0</v>
      </c>
      <c r="S1186" s="55" t="str">
        <f t="shared" si="1439"/>
        <v>SEPTIEMBRE</v>
      </c>
      <c r="T1186" s="55" t="str">
        <f t="shared" si="1440"/>
        <v>Sem38</v>
      </c>
      <c r="U1186" s="56">
        <f t="shared" si="1422"/>
        <v>7</v>
      </c>
      <c r="V1186" s="59">
        <v>46281</v>
      </c>
      <c r="W1186" s="56">
        <f t="shared" si="1441"/>
        <v>38</v>
      </c>
      <c r="X1186" s="56">
        <f t="shared" si="1442"/>
        <v>16</v>
      </c>
      <c r="Y1186" s="56" t="s">
        <v>30</v>
      </c>
      <c r="Z1186" s="56">
        <v>3</v>
      </c>
      <c r="AA1186" s="58">
        <f t="shared" si="1398"/>
        <v>1</v>
      </c>
      <c r="AB1186" s="58">
        <f t="shared" si="1398"/>
        <v>0</v>
      </c>
      <c r="AC1186" s="58">
        <f t="shared" si="1398"/>
        <v>0</v>
      </c>
      <c r="AD1186" s="58">
        <f t="shared" si="1398"/>
        <v>0</v>
      </c>
      <c r="AE1186" s="58">
        <f t="shared" si="1398"/>
        <v>0</v>
      </c>
    </row>
    <row r="1187" spans="2:31">
      <c r="B1187" t="str">
        <f t="shared" si="1429"/>
        <v>Sem3838YORMAN ALEJANDRO PEREZ CHAJON</v>
      </c>
      <c r="C1187" t="str">
        <f t="shared" si="1430"/>
        <v>SEPTIEMBRESem38</v>
      </c>
      <c r="D1187" t="str">
        <f t="shared" si="1431"/>
        <v>SEPTIEMBRESem38YORMAN ALEJANDRO PEREZ CHAJON</v>
      </c>
      <c r="E1187" t="str">
        <f t="shared" si="1432"/>
        <v>SEPTIEMBRESem3838YORMAN ALEJANDRO PEREZ CHAJON</v>
      </c>
      <c r="F1187" t="str">
        <f t="shared" si="1433"/>
        <v>YORMAN ALEJANDRO PEREZ CHAJON46282</v>
      </c>
      <c r="H1187" s="49" t="s">
        <v>13</v>
      </c>
      <c r="I1187" s="50" t="str">
        <f>+_xlfn.XLOOKUP($H1187&amp;$V1187,BASEDATOS!$B:$B,BASEDATOS!F:F,0,0,1)</f>
        <v>DIA</v>
      </c>
      <c r="J1187" s="51">
        <f>+_xlfn.XLOOKUP($H1187&amp;$V1187,BASEDATOS!$B:$B,BASEDATOS!Q:Q,0,0,1)</f>
        <v>0.375</v>
      </c>
      <c r="K1187" s="51">
        <f>+_xlfn.XLOOKUP($H1187&amp;$V1187,BASEDATOS!$B:$B,BASEDATOS!R:R,0,0,1)</f>
        <v>0.75</v>
      </c>
      <c r="L1187" s="51">
        <f t="shared" si="1434"/>
        <v>0.375</v>
      </c>
      <c r="M1187" s="52" t="str">
        <f t="shared" si="1435"/>
        <v>1:00</v>
      </c>
      <c r="N1187" s="51">
        <f t="shared" si="1436"/>
        <v>0.33333333333333331</v>
      </c>
      <c r="O1187" s="53" t="str">
        <f t="shared" ref="O1187" si="1462">+O1190</f>
        <v>5-0-2</v>
      </c>
      <c r="P1187" s="54">
        <f>+IF(AND(Y1187="Domingo",U1187=7),_xlfn.XLOOKUP(O1187,'Horarios y Sistemas'!C:C,'Horarios y Sistemas'!H:H,0,0,1),0)</f>
        <v>0</v>
      </c>
      <c r="Q1187" s="54">
        <f>IF(U1187=U1188,0,IF(AVERAGEIF(W:W,W1187,U:U)=U1187,0,_xlfn.XLOOKUP(O1187,'Horarios y Sistemas'!C:C,'Horarios y Sistemas'!H:H,0,0,1)-P1187))/7*U1187</f>
        <v>0</v>
      </c>
      <c r="R1187" s="54">
        <f t="shared" si="1438"/>
        <v>0</v>
      </c>
      <c r="S1187" s="55" t="str">
        <f t="shared" si="1439"/>
        <v>SEPTIEMBRE</v>
      </c>
      <c r="T1187" s="55" t="str">
        <f t="shared" si="1440"/>
        <v>Sem38</v>
      </c>
      <c r="U1187" s="56">
        <f t="shared" si="1422"/>
        <v>7</v>
      </c>
      <c r="V1187" s="59">
        <v>46282</v>
      </c>
      <c r="W1187" s="56">
        <f t="shared" si="1441"/>
        <v>38</v>
      </c>
      <c r="X1187" s="56">
        <f t="shared" si="1442"/>
        <v>17</v>
      </c>
      <c r="Y1187" s="56" t="s">
        <v>31</v>
      </c>
      <c r="Z1187" s="56">
        <v>4</v>
      </c>
      <c r="AA1187" s="58">
        <f t="shared" si="1398"/>
        <v>1</v>
      </c>
      <c r="AB1187" s="58">
        <f t="shared" si="1398"/>
        <v>0</v>
      </c>
      <c r="AC1187" s="58">
        <f t="shared" si="1398"/>
        <v>0</v>
      </c>
      <c r="AD1187" s="58">
        <f t="shared" si="1398"/>
        <v>0</v>
      </c>
      <c r="AE1187" s="58">
        <f t="shared" si="1398"/>
        <v>0</v>
      </c>
    </row>
    <row r="1188" spans="2:31">
      <c r="B1188" t="str">
        <f t="shared" si="1429"/>
        <v>Sem3838YORMAN ALEJANDRO PEREZ CHAJON</v>
      </c>
      <c r="C1188" t="str">
        <f t="shared" si="1430"/>
        <v>SEPTIEMBRESem38</v>
      </c>
      <c r="D1188" t="str">
        <f t="shared" si="1431"/>
        <v>SEPTIEMBRESem38YORMAN ALEJANDRO PEREZ CHAJON</v>
      </c>
      <c r="E1188" t="str">
        <f t="shared" si="1432"/>
        <v>SEPTIEMBRESem3838YORMAN ALEJANDRO PEREZ CHAJON</v>
      </c>
      <c r="F1188" t="str">
        <f t="shared" si="1433"/>
        <v>YORMAN ALEJANDRO PEREZ CHAJON46283</v>
      </c>
      <c r="H1188" s="49" t="s">
        <v>13</v>
      </c>
      <c r="I1188" s="50" t="str">
        <f>+_xlfn.XLOOKUP($H1188&amp;$V1188,BASEDATOS!$B:$B,BASEDATOS!F:F,0,0,1)</f>
        <v>DIA</v>
      </c>
      <c r="J1188" s="51">
        <f>+_xlfn.XLOOKUP($H1188&amp;$V1188,BASEDATOS!$B:$B,BASEDATOS!Q:Q,0,0,1)</f>
        <v>0.29166666666666702</v>
      </c>
      <c r="K1188" s="51">
        <f>+_xlfn.XLOOKUP($H1188&amp;$V1188,BASEDATOS!$B:$B,BASEDATOS!R:R,0,0,1)</f>
        <v>0.66666666666666696</v>
      </c>
      <c r="L1188" s="51">
        <f t="shared" si="1434"/>
        <v>0.37499999999999994</v>
      </c>
      <c r="M1188" s="52" t="str">
        <f t="shared" si="1435"/>
        <v>1:00</v>
      </c>
      <c r="N1188" s="51">
        <f t="shared" si="1436"/>
        <v>0.33333333333333326</v>
      </c>
      <c r="O1188" s="53" t="str">
        <f t="shared" ref="O1188" si="1463">+O1190</f>
        <v>5-0-2</v>
      </c>
      <c r="P1188" s="54">
        <f>+IF(AND(Y1188="Domingo",U1188=7),_xlfn.XLOOKUP(O1188,'Horarios y Sistemas'!C:C,'Horarios y Sistemas'!H:H,0,0,1),0)</f>
        <v>0</v>
      </c>
      <c r="Q1188" s="54">
        <f>IF(U1188=U1189,0,IF(AVERAGEIF(W:W,W1188,U:U)=U1188,0,_xlfn.XLOOKUP(O1188,'Horarios y Sistemas'!C:C,'Horarios y Sistemas'!H:H,0,0,1)-P1188))/7*U1188</f>
        <v>0</v>
      </c>
      <c r="R1188" s="54">
        <f t="shared" si="1438"/>
        <v>0</v>
      </c>
      <c r="S1188" s="55" t="str">
        <f t="shared" si="1439"/>
        <v>SEPTIEMBRE</v>
      </c>
      <c r="T1188" s="55" t="str">
        <f t="shared" si="1440"/>
        <v>Sem38</v>
      </c>
      <c r="U1188" s="56">
        <f t="shared" si="1422"/>
        <v>7</v>
      </c>
      <c r="V1188" s="59">
        <v>46283</v>
      </c>
      <c r="W1188" s="56">
        <f t="shared" si="1441"/>
        <v>38</v>
      </c>
      <c r="X1188" s="56">
        <f t="shared" si="1442"/>
        <v>18</v>
      </c>
      <c r="Y1188" s="56" t="s">
        <v>32</v>
      </c>
      <c r="Z1188" s="56">
        <v>5</v>
      </c>
      <c r="AA1188" s="58">
        <f t="shared" ref="AA1188:AE1238" si="1464">+IF($I1188=AA$7,1,0)</f>
        <v>1</v>
      </c>
      <c r="AB1188" s="58">
        <f t="shared" si="1464"/>
        <v>0</v>
      </c>
      <c r="AC1188" s="58">
        <f t="shared" si="1464"/>
        <v>0</v>
      </c>
      <c r="AD1188" s="58">
        <f t="shared" si="1464"/>
        <v>0</v>
      </c>
      <c r="AE1188" s="58">
        <f t="shared" si="1464"/>
        <v>0</v>
      </c>
    </row>
    <row r="1189" spans="2:31">
      <c r="B1189" t="str">
        <f t="shared" si="1429"/>
        <v>Sem3838YORMAN ALEJANDRO PEREZ CHAJON</v>
      </c>
      <c r="C1189" t="str">
        <f t="shared" si="1430"/>
        <v>SEPTIEMBRESem38</v>
      </c>
      <c r="D1189" t="str">
        <f t="shared" si="1431"/>
        <v>SEPTIEMBRESem38YORMAN ALEJANDRO PEREZ CHAJON</v>
      </c>
      <c r="E1189" t="str">
        <f t="shared" si="1432"/>
        <v>SEPTIEMBRESem3838YORMAN ALEJANDRO PEREZ CHAJON</v>
      </c>
      <c r="F1189" t="str">
        <f t="shared" si="1433"/>
        <v>YORMAN ALEJANDRO PEREZ CHAJON46284</v>
      </c>
      <c r="H1189" s="49" t="s">
        <v>13</v>
      </c>
      <c r="I1189" s="50" t="str">
        <f>+_xlfn.XLOOKUP($H1189&amp;$V1189,BASEDATOS!$B:$B,BASEDATOS!F:F,0,0,1)</f>
        <v>DIA</v>
      </c>
      <c r="J1189" s="51">
        <f>+_xlfn.XLOOKUP($H1189&amp;$V1189,BASEDATOS!$B:$B,BASEDATOS!Q:Q,0,0,1)</f>
        <v>0.29166666666666702</v>
      </c>
      <c r="K1189" s="51">
        <f>+_xlfn.XLOOKUP($H1189&amp;$V1189,BASEDATOS!$B:$B,BASEDATOS!R:R,0,0,1)</f>
        <v>0.5</v>
      </c>
      <c r="L1189" s="51">
        <f t="shared" si="1434"/>
        <v>0.20833333333333298</v>
      </c>
      <c r="M1189" s="52" t="str">
        <f t="shared" si="1435"/>
        <v>1:00</v>
      </c>
      <c r="N1189" s="51">
        <f t="shared" si="1436"/>
        <v>0.16666666666666632</v>
      </c>
      <c r="O1189" s="53" t="str">
        <f t="shared" ref="O1189" si="1465">+O1190</f>
        <v>5-0-2</v>
      </c>
      <c r="P1189" s="54">
        <f>+IF(AND(Y1189="Domingo",U1189=7),_xlfn.XLOOKUP(O1189,'Horarios y Sistemas'!C:C,'Horarios y Sistemas'!H:H,0,0,1),0)</f>
        <v>0</v>
      </c>
      <c r="Q1189" s="54">
        <f>IF(U1189=U1190,0,IF(AVERAGEIF(W:W,W1189,U:U)=U1189,0,_xlfn.XLOOKUP(O1189,'Horarios y Sistemas'!C:C,'Horarios y Sistemas'!H:H,0,0,1)-P1189))/7*U1189</f>
        <v>0</v>
      </c>
      <c r="R1189" s="54">
        <f t="shared" si="1438"/>
        <v>0</v>
      </c>
      <c r="S1189" s="55" t="str">
        <f t="shared" si="1439"/>
        <v>SEPTIEMBRE</v>
      </c>
      <c r="T1189" s="55" t="str">
        <f t="shared" si="1440"/>
        <v>Sem38</v>
      </c>
      <c r="U1189" s="56">
        <f t="shared" si="1422"/>
        <v>7</v>
      </c>
      <c r="V1189" s="59">
        <v>46284</v>
      </c>
      <c r="W1189" s="56">
        <f t="shared" si="1441"/>
        <v>38</v>
      </c>
      <c r="X1189" s="56">
        <f t="shared" si="1442"/>
        <v>19</v>
      </c>
      <c r="Y1189" s="56" t="s">
        <v>33</v>
      </c>
      <c r="Z1189" s="56">
        <v>6</v>
      </c>
      <c r="AA1189" s="58">
        <f t="shared" si="1464"/>
        <v>1</v>
      </c>
      <c r="AB1189" s="58">
        <f t="shared" si="1464"/>
        <v>0</v>
      </c>
      <c r="AC1189" s="58">
        <f t="shared" si="1464"/>
        <v>0</v>
      </c>
      <c r="AD1189" s="58">
        <f t="shared" si="1464"/>
        <v>0</v>
      </c>
      <c r="AE1189" s="58">
        <f t="shared" si="1464"/>
        <v>0</v>
      </c>
    </row>
    <row r="1190" spans="2:31">
      <c r="B1190" s="60" t="str">
        <f t="shared" si="1429"/>
        <v>Sem3838YORMAN ALEJANDRO PEREZ CHAJON</v>
      </c>
      <c r="C1190" s="60" t="str">
        <f t="shared" si="1430"/>
        <v>SEPTIEMBRESem38</v>
      </c>
      <c r="D1190" s="60" t="str">
        <f t="shared" si="1431"/>
        <v>SEPTIEMBRESem38YORMAN ALEJANDRO PEREZ CHAJON</v>
      </c>
      <c r="E1190" s="60" t="str">
        <f t="shared" si="1432"/>
        <v>SEPTIEMBRESem3838YORMAN ALEJANDRO PEREZ CHAJON</v>
      </c>
      <c r="F1190" s="60" t="str">
        <f t="shared" si="1433"/>
        <v>YORMAN ALEJANDRO PEREZ CHAJON46285</v>
      </c>
      <c r="G1190" s="60"/>
      <c r="H1190" s="61" t="s">
        <v>13</v>
      </c>
      <c r="I1190" s="62" t="str">
        <f>+_xlfn.XLOOKUP($H1190&amp;$V1190,BASEDATOS!$B:$B,BASEDATOS!F:F,0,0,1)</f>
        <v>DESCANSO</v>
      </c>
      <c r="J1190" s="63">
        <f>+_xlfn.XLOOKUP($H1190&amp;$V1190,BASEDATOS!$B:$B,BASEDATOS!Q:Q,0,0,1)</f>
        <v>0</v>
      </c>
      <c r="K1190" s="63">
        <f>+_xlfn.XLOOKUP($H1190&amp;$V1190,BASEDATOS!$B:$B,BASEDATOS!R:R,0,0,1)</f>
        <v>0</v>
      </c>
      <c r="L1190" s="63">
        <f t="shared" si="1434"/>
        <v>0</v>
      </c>
      <c r="M1190" s="64">
        <f t="shared" si="1435"/>
        <v>0</v>
      </c>
      <c r="N1190" s="63">
        <f t="shared" si="1436"/>
        <v>0</v>
      </c>
      <c r="O1190" s="65" t="str">
        <f t="shared" ref="O1190" si="1466">+IF(Y1190="Domingo",SUM(AA1184:AA1190)&amp;"-"&amp;SUM(AB1184:AB1190)&amp;"-"&amp;SUM(AC1184:AE1190),"")</f>
        <v>5-0-2</v>
      </c>
      <c r="P1190" s="66">
        <f>+IF(AND(Y1190="Domingo",U1190=7),_xlfn.XLOOKUP(O1190,'Horarios y Sistemas'!C:C,'Horarios y Sistemas'!H:H,0,0,1),0)</f>
        <v>44</v>
      </c>
      <c r="Q1190" s="66">
        <f>IF(U1190=U1191,0,IF(AVERAGEIF(W:W,W1190,U:U)=U1190,0,_xlfn.XLOOKUP(O1190,'Horarios y Sistemas'!C:C,'Horarios y Sistemas'!H:H,0,0,1)-P1190))/7*U1190</f>
        <v>0</v>
      </c>
      <c r="R1190" s="66">
        <f t="shared" si="1438"/>
        <v>44</v>
      </c>
      <c r="S1190" s="67" t="str">
        <f t="shared" si="1439"/>
        <v>SEPTIEMBRE</v>
      </c>
      <c r="T1190" s="55" t="str">
        <f t="shared" si="1440"/>
        <v>Sem38</v>
      </c>
      <c r="U1190" s="68">
        <f t="shared" si="1422"/>
        <v>7</v>
      </c>
      <c r="V1190" s="69">
        <v>46285</v>
      </c>
      <c r="W1190" s="68">
        <f t="shared" si="1441"/>
        <v>38</v>
      </c>
      <c r="X1190" s="68">
        <f t="shared" si="1442"/>
        <v>20</v>
      </c>
      <c r="Y1190" s="68" t="s">
        <v>34</v>
      </c>
      <c r="Z1190" s="68">
        <v>7</v>
      </c>
      <c r="AA1190" s="70">
        <f t="shared" si="1464"/>
        <v>0</v>
      </c>
      <c r="AB1190" s="70">
        <f t="shared" si="1464"/>
        <v>0</v>
      </c>
      <c r="AC1190" s="70">
        <f t="shared" si="1464"/>
        <v>1</v>
      </c>
      <c r="AD1190" s="70">
        <f t="shared" si="1464"/>
        <v>0</v>
      </c>
      <c r="AE1190" s="70">
        <f t="shared" si="1464"/>
        <v>0</v>
      </c>
    </row>
    <row r="1191" spans="2:31">
      <c r="B1191" t="str">
        <f t="shared" si="1429"/>
        <v>Sem3939YORMAN ALEJANDRO PEREZ CHAJON</v>
      </c>
      <c r="C1191" t="str">
        <f t="shared" si="1430"/>
        <v>SEPTIEMBRESem39</v>
      </c>
      <c r="D1191" t="str">
        <f t="shared" si="1431"/>
        <v>SEPTIEMBRESem39YORMAN ALEJANDRO PEREZ CHAJON</v>
      </c>
      <c r="E1191" t="str">
        <f t="shared" si="1432"/>
        <v>SEPTIEMBRESem3939YORMAN ALEJANDRO PEREZ CHAJON</v>
      </c>
      <c r="F1191" t="str">
        <f t="shared" si="1433"/>
        <v>YORMAN ALEJANDRO PEREZ CHAJON46286</v>
      </c>
      <c r="H1191" s="49" t="s">
        <v>13</v>
      </c>
      <c r="I1191" s="50" t="str">
        <f>+_xlfn.XLOOKUP($H1191&amp;$V1191,BASEDATOS!$B:$B,BASEDATOS!F:F,0,0,1)</f>
        <v>NOCHE</v>
      </c>
      <c r="J1191" s="51">
        <f>+_xlfn.XLOOKUP($H1191&amp;$V1191,BASEDATOS!$B:$B,BASEDATOS!Q:Q,0,0,1)</f>
        <v>0.79166666666666696</v>
      </c>
      <c r="K1191" s="51">
        <f>+_xlfn.XLOOKUP($H1191&amp;$V1191,BASEDATOS!$B:$B,BASEDATOS!R:R,0,0,1)</f>
        <v>0.20833333333333301</v>
      </c>
      <c r="L1191" s="51">
        <f t="shared" si="1434"/>
        <v>0.41666666666666607</v>
      </c>
      <c r="M1191" s="52" t="str">
        <f t="shared" si="1435"/>
        <v>1:00</v>
      </c>
      <c r="N1191" s="51">
        <f t="shared" si="1436"/>
        <v>0.37499999999999939</v>
      </c>
      <c r="O1191" s="53" t="str">
        <f t="shared" ref="O1191" si="1467">+O1197</f>
        <v>0-5-2</v>
      </c>
      <c r="P1191" s="54">
        <f>+IF(AND(Y1191="Domingo",U1191=7),_xlfn.XLOOKUP(O1191,'Horarios y Sistemas'!C:C,'Horarios y Sistemas'!H:H,0,0,1),0)</f>
        <v>0</v>
      </c>
      <c r="Q1191" s="54">
        <f>IF(U1191=U1192,0,IF(AVERAGEIF(W:W,W1191,U:U)=U1191,0,_xlfn.XLOOKUP(O1191,'Horarios y Sistemas'!C:C,'Horarios y Sistemas'!H:H,0,0,1)-P1191))/7*U1191</f>
        <v>0</v>
      </c>
      <c r="R1191" s="54">
        <f t="shared" si="1438"/>
        <v>0</v>
      </c>
      <c r="S1191" s="55" t="str">
        <f t="shared" si="1439"/>
        <v>SEPTIEMBRE</v>
      </c>
      <c r="T1191" s="55" t="str">
        <f t="shared" si="1440"/>
        <v>Sem39</v>
      </c>
      <c r="U1191" s="56">
        <f t="shared" si="1422"/>
        <v>7</v>
      </c>
      <c r="V1191" s="57">
        <v>46286</v>
      </c>
      <c r="W1191" s="56">
        <f t="shared" si="1441"/>
        <v>39</v>
      </c>
      <c r="X1191" s="56">
        <f t="shared" si="1442"/>
        <v>21</v>
      </c>
      <c r="Y1191" s="56" t="s">
        <v>28</v>
      </c>
      <c r="Z1191" s="56">
        <v>1</v>
      </c>
      <c r="AA1191" s="58">
        <f t="shared" si="1464"/>
        <v>0</v>
      </c>
      <c r="AB1191" s="58">
        <f t="shared" si="1464"/>
        <v>1</v>
      </c>
      <c r="AC1191" s="58">
        <f t="shared" si="1464"/>
        <v>0</v>
      </c>
      <c r="AD1191" s="58">
        <f t="shared" si="1464"/>
        <v>0</v>
      </c>
      <c r="AE1191" s="58">
        <f t="shared" si="1464"/>
        <v>0</v>
      </c>
    </row>
    <row r="1192" spans="2:31">
      <c r="B1192" t="str">
        <f t="shared" si="1429"/>
        <v>Sem3939YORMAN ALEJANDRO PEREZ CHAJON</v>
      </c>
      <c r="C1192" t="str">
        <f t="shared" si="1430"/>
        <v>SEPTIEMBRESem39</v>
      </c>
      <c r="D1192" t="str">
        <f t="shared" si="1431"/>
        <v>SEPTIEMBRESem39YORMAN ALEJANDRO PEREZ CHAJON</v>
      </c>
      <c r="E1192" t="str">
        <f t="shared" si="1432"/>
        <v>SEPTIEMBRESem3939YORMAN ALEJANDRO PEREZ CHAJON</v>
      </c>
      <c r="F1192" t="str">
        <f t="shared" si="1433"/>
        <v>YORMAN ALEJANDRO PEREZ CHAJON46287</v>
      </c>
      <c r="H1192" s="49" t="s">
        <v>13</v>
      </c>
      <c r="I1192" s="50" t="str">
        <f>+_xlfn.XLOOKUP($H1192&amp;$V1192,BASEDATOS!$B:$B,BASEDATOS!F:F,0,0,1)</f>
        <v>NOCHE</v>
      </c>
      <c r="J1192" s="51">
        <f>+_xlfn.XLOOKUP($H1192&amp;$V1192,BASEDATOS!$B:$B,BASEDATOS!Q:Q,0,0,1)</f>
        <v>0.79166666666666696</v>
      </c>
      <c r="K1192" s="51">
        <f>+_xlfn.XLOOKUP($H1192&amp;$V1192,BASEDATOS!$B:$B,BASEDATOS!R:R,0,0,1)</f>
        <v>0.20833333333333301</v>
      </c>
      <c r="L1192" s="51">
        <f t="shared" si="1434"/>
        <v>0.41666666666666607</v>
      </c>
      <c r="M1192" s="52" t="str">
        <f t="shared" si="1435"/>
        <v>1:00</v>
      </c>
      <c r="N1192" s="51">
        <f t="shared" si="1436"/>
        <v>0.37499999999999939</v>
      </c>
      <c r="O1192" s="53" t="str">
        <f t="shared" ref="O1192" si="1468">+O1197</f>
        <v>0-5-2</v>
      </c>
      <c r="P1192" s="54">
        <f>+IF(AND(Y1192="Domingo",U1192=7),_xlfn.XLOOKUP(O1192,'Horarios y Sistemas'!C:C,'Horarios y Sistemas'!H:H,0,0,1),0)</f>
        <v>0</v>
      </c>
      <c r="Q1192" s="54">
        <f>IF(U1192=U1193,0,IF(AVERAGEIF(W:W,W1192,U:U)=U1192,0,_xlfn.XLOOKUP(O1192,'Horarios y Sistemas'!C:C,'Horarios y Sistemas'!H:H,0,0,1)-P1192))/7*U1192</f>
        <v>0</v>
      </c>
      <c r="R1192" s="54">
        <f t="shared" si="1438"/>
        <v>0</v>
      </c>
      <c r="S1192" s="55" t="str">
        <f t="shared" si="1439"/>
        <v>SEPTIEMBRE</v>
      </c>
      <c r="T1192" s="55" t="str">
        <f t="shared" si="1440"/>
        <v>Sem39</v>
      </c>
      <c r="U1192" s="56">
        <f t="shared" si="1422"/>
        <v>7</v>
      </c>
      <c r="V1192" s="59">
        <v>46287</v>
      </c>
      <c r="W1192" s="56">
        <f t="shared" si="1441"/>
        <v>39</v>
      </c>
      <c r="X1192" s="56">
        <f t="shared" si="1442"/>
        <v>22</v>
      </c>
      <c r="Y1192" s="56" t="s">
        <v>29</v>
      </c>
      <c r="Z1192" s="56">
        <v>2</v>
      </c>
      <c r="AA1192" s="58">
        <f t="shared" si="1464"/>
        <v>0</v>
      </c>
      <c r="AB1192" s="58">
        <f t="shared" si="1464"/>
        <v>1</v>
      </c>
      <c r="AC1192" s="58">
        <f t="shared" si="1464"/>
        <v>0</v>
      </c>
      <c r="AD1192" s="58">
        <f t="shared" si="1464"/>
        <v>0</v>
      </c>
      <c r="AE1192" s="58">
        <f t="shared" si="1464"/>
        <v>0</v>
      </c>
    </row>
    <row r="1193" spans="2:31">
      <c r="B1193" t="str">
        <f t="shared" si="1429"/>
        <v>Sem3939YORMAN ALEJANDRO PEREZ CHAJON</v>
      </c>
      <c r="C1193" t="str">
        <f t="shared" si="1430"/>
        <v>SEPTIEMBRESem39</v>
      </c>
      <c r="D1193" t="str">
        <f t="shared" si="1431"/>
        <v>SEPTIEMBRESem39YORMAN ALEJANDRO PEREZ CHAJON</v>
      </c>
      <c r="E1193" t="str">
        <f t="shared" si="1432"/>
        <v>SEPTIEMBRESem3939YORMAN ALEJANDRO PEREZ CHAJON</v>
      </c>
      <c r="F1193" t="str">
        <f t="shared" si="1433"/>
        <v>YORMAN ALEJANDRO PEREZ CHAJON46288</v>
      </c>
      <c r="H1193" s="49" t="s">
        <v>13</v>
      </c>
      <c r="I1193" s="50" t="str">
        <f>+_xlfn.XLOOKUP($H1193&amp;$V1193,BASEDATOS!$B:$B,BASEDATOS!F:F,0,0,1)</f>
        <v>NOCHE</v>
      </c>
      <c r="J1193" s="51">
        <f>+_xlfn.XLOOKUP($H1193&amp;$V1193,BASEDATOS!$B:$B,BASEDATOS!Q:Q,0,0,1)</f>
        <v>0.79166666666666696</v>
      </c>
      <c r="K1193" s="51">
        <f>+_xlfn.XLOOKUP($H1193&amp;$V1193,BASEDATOS!$B:$B,BASEDATOS!R:R,0,0,1)</f>
        <v>0.20833333333333301</v>
      </c>
      <c r="L1193" s="51">
        <f t="shared" si="1434"/>
        <v>0.41666666666666607</v>
      </c>
      <c r="M1193" s="52" t="str">
        <f t="shared" si="1435"/>
        <v>1:00</v>
      </c>
      <c r="N1193" s="51">
        <f t="shared" si="1436"/>
        <v>0.37499999999999939</v>
      </c>
      <c r="O1193" s="53" t="str">
        <f t="shared" ref="O1193" si="1469">+O1197</f>
        <v>0-5-2</v>
      </c>
      <c r="P1193" s="54">
        <f>+IF(AND(Y1193="Domingo",U1193=7),_xlfn.XLOOKUP(O1193,'Horarios y Sistemas'!C:C,'Horarios y Sistemas'!H:H,0,0,1),0)</f>
        <v>0</v>
      </c>
      <c r="Q1193" s="54">
        <f>IF(U1193=U1194,0,IF(AVERAGEIF(W:W,W1193,U:U)=U1193,0,_xlfn.XLOOKUP(O1193,'Horarios y Sistemas'!C:C,'Horarios y Sistemas'!H:H,0,0,1)-P1193))/7*U1193</f>
        <v>0</v>
      </c>
      <c r="R1193" s="54">
        <f t="shared" si="1438"/>
        <v>0</v>
      </c>
      <c r="S1193" s="55" t="str">
        <f t="shared" si="1439"/>
        <v>SEPTIEMBRE</v>
      </c>
      <c r="T1193" s="55" t="str">
        <f t="shared" si="1440"/>
        <v>Sem39</v>
      </c>
      <c r="U1193" s="56">
        <f t="shared" si="1422"/>
        <v>7</v>
      </c>
      <c r="V1193" s="59">
        <v>46288</v>
      </c>
      <c r="W1193" s="56">
        <f t="shared" si="1441"/>
        <v>39</v>
      </c>
      <c r="X1193" s="56">
        <f t="shared" si="1442"/>
        <v>23</v>
      </c>
      <c r="Y1193" s="56" t="s">
        <v>30</v>
      </c>
      <c r="Z1193" s="56">
        <v>3</v>
      </c>
      <c r="AA1193" s="58">
        <f t="shared" si="1464"/>
        <v>0</v>
      </c>
      <c r="AB1193" s="58">
        <f t="shared" si="1464"/>
        <v>1</v>
      </c>
      <c r="AC1193" s="58">
        <f t="shared" si="1464"/>
        <v>0</v>
      </c>
      <c r="AD1193" s="58">
        <f t="shared" si="1464"/>
        <v>0</v>
      </c>
      <c r="AE1193" s="58">
        <f t="shared" si="1464"/>
        <v>0</v>
      </c>
    </row>
    <row r="1194" spans="2:31">
      <c r="B1194" t="str">
        <f t="shared" si="1429"/>
        <v>Sem3939YORMAN ALEJANDRO PEREZ CHAJON</v>
      </c>
      <c r="C1194" t="str">
        <f t="shared" si="1430"/>
        <v>SEPTIEMBRESem39</v>
      </c>
      <c r="D1194" t="str">
        <f t="shared" si="1431"/>
        <v>SEPTIEMBRESem39YORMAN ALEJANDRO PEREZ CHAJON</v>
      </c>
      <c r="E1194" t="str">
        <f t="shared" si="1432"/>
        <v>SEPTIEMBRESem3939YORMAN ALEJANDRO PEREZ CHAJON</v>
      </c>
      <c r="F1194" t="str">
        <f t="shared" si="1433"/>
        <v>YORMAN ALEJANDRO PEREZ CHAJON46289</v>
      </c>
      <c r="H1194" s="49" t="s">
        <v>13</v>
      </c>
      <c r="I1194" s="50" t="str">
        <f>+_xlfn.XLOOKUP($H1194&amp;$V1194,BASEDATOS!$B:$B,BASEDATOS!F:F,0,0,1)</f>
        <v>NOCHE</v>
      </c>
      <c r="J1194" s="51">
        <f>+_xlfn.XLOOKUP($H1194&amp;$V1194,BASEDATOS!$B:$B,BASEDATOS!Q:Q,0,0,1)</f>
        <v>0.79166666666666696</v>
      </c>
      <c r="K1194" s="51">
        <f>+_xlfn.XLOOKUP($H1194&amp;$V1194,BASEDATOS!$B:$B,BASEDATOS!R:R,0,0,1)</f>
        <v>0.20833333333333301</v>
      </c>
      <c r="L1194" s="51">
        <f t="shared" si="1434"/>
        <v>0.41666666666666607</v>
      </c>
      <c r="M1194" s="52" t="str">
        <f t="shared" si="1435"/>
        <v>1:00</v>
      </c>
      <c r="N1194" s="51">
        <f t="shared" si="1436"/>
        <v>0.37499999999999939</v>
      </c>
      <c r="O1194" s="53" t="str">
        <f t="shared" ref="O1194" si="1470">+O1197</f>
        <v>0-5-2</v>
      </c>
      <c r="P1194" s="54">
        <f>+IF(AND(Y1194="Domingo",U1194=7),_xlfn.XLOOKUP(O1194,'Horarios y Sistemas'!C:C,'Horarios y Sistemas'!H:H,0,0,1),0)</f>
        <v>0</v>
      </c>
      <c r="Q1194" s="54">
        <f>IF(U1194=U1195,0,IF(AVERAGEIF(W:W,W1194,U:U)=U1194,0,_xlfn.XLOOKUP(O1194,'Horarios y Sistemas'!C:C,'Horarios y Sistemas'!H:H,0,0,1)-P1194))/7*U1194</f>
        <v>0</v>
      </c>
      <c r="R1194" s="54">
        <f t="shared" si="1438"/>
        <v>0</v>
      </c>
      <c r="S1194" s="55" t="str">
        <f t="shared" si="1439"/>
        <v>SEPTIEMBRE</v>
      </c>
      <c r="T1194" s="55" t="str">
        <f t="shared" si="1440"/>
        <v>Sem39</v>
      </c>
      <c r="U1194" s="56">
        <f t="shared" si="1422"/>
        <v>7</v>
      </c>
      <c r="V1194" s="59">
        <v>46289</v>
      </c>
      <c r="W1194" s="56">
        <f t="shared" si="1441"/>
        <v>39</v>
      </c>
      <c r="X1194" s="56">
        <f t="shared" si="1442"/>
        <v>24</v>
      </c>
      <c r="Y1194" s="56" t="s">
        <v>31</v>
      </c>
      <c r="Z1194" s="56">
        <v>4</v>
      </c>
      <c r="AA1194" s="58">
        <f t="shared" si="1464"/>
        <v>0</v>
      </c>
      <c r="AB1194" s="58">
        <f t="shared" si="1464"/>
        <v>1</v>
      </c>
      <c r="AC1194" s="58">
        <f t="shared" si="1464"/>
        <v>0</v>
      </c>
      <c r="AD1194" s="58">
        <f t="shared" si="1464"/>
        <v>0</v>
      </c>
      <c r="AE1194" s="58">
        <f t="shared" si="1464"/>
        <v>0</v>
      </c>
    </row>
    <row r="1195" spans="2:31">
      <c r="B1195" t="str">
        <f t="shared" si="1429"/>
        <v>Sem3939YORMAN ALEJANDRO PEREZ CHAJON</v>
      </c>
      <c r="C1195" t="str">
        <f t="shared" si="1430"/>
        <v>SEPTIEMBRESem39</v>
      </c>
      <c r="D1195" t="str">
        <f t="shared" si="1431"/>
        <v>SEPTIEMBRESem39YORMAN ALEJANDRO PEREZ CHAJON</v>
      </c>
      <c r="E1195" t="str">
        <f t="shared" si="1432"/>
        <v>SEPTIEMBRESem3939YORMAN ALEJANDRO PEREZ CHAJON</v>
      </c>
      <c r="F1195" t="str">
        <f t="shared" si="1433"/>
        <v>YORMAN ALEJANDRO PEREZ CHAJON46290</v>
      </c>
      <c r="H1195" s="49" t="s">
        <v>13</v>
      </c>
      <c r="I1195" s="50" t="str">
        <f>+_xlfn.XLOOKUP($H1195&amp;$V1195,BASEDATOS!$B:$B,BASEDATOS!F:F,0,0,1)</f>
        <v>NOCHE</v>
      </c>
      <c r="J1195" s="51">
        <f>+_xlfn.XLOOKUP($H1195&amp;$V1195,BASEDATOS!$B:$B,BASEDATOS!Q:Q,0,0,1)</f>
        <v>0.79166666666666696</v>
      </c>
      <c r="K1195" s="51">
        <f>+_xlfn.XLOOKUP($H1195&amp;$V1195,BASEDATOS!$B:$B,BASEDATOS!R:R,0,0,1)</f>
        <v>0.20833333333333301</v>
      </c>
      <c r="L1195" s="51">
        <f t="shared" si="1434"/>
        <v>0.41666666666666607</v>
      </c>
      <c r="M1195" s="52" t="str">
        <f t="shared" si="1435"/>
        <v>1:00</v>
      </c>
      <c r="N1195" s="51">
        <f t="shared" si="1436"/>
        <v>0.37499999999999939</v>
      </c>
      <c r="O1195" s="53" t="str">
        <f t="shared" ref="O1195" si="1471">+O1197</f>
        <v>0-5-2</v>
      </c>
      <c r="P1195" s="54">
        <f>+IF(AND(Y1195="Domingo",U1195=7),_xlfn.XLOOKUP(O1195,'Horarios y Sistemas'!C:C,'Horarios y Sistemas'!H:H,0,0,1),0)</f>
        <v>0</v>
      </c>
      <c r="Q1195" s="54">
        <f>IF(U1195=U1196,0,IF(AVERAGEIF(W:W,W1195,U:U)=U1195,0,_xlfn.XLOOKUP(O1195,'Horarios y Sistemas'!C:C,'Horarios y Sistemas'!H:H,0,0,1)-P1195))/7*U1195</f>
        <v>0</v>
      </c>
      <c r="R1195" s="54">
        <f t="shared" si="1438"/>
        <v>0</v>
      </c>
      <c r="S1195" s="55" t="str">
        <f t="shared" si="1439"/>
        <v>SEPTIEMBRE</v>
      </c>
      <c r="T1195" s="55" t="str">
        <f t="shared" si="1440"/>
        <v>Sem39</v>
      </c>
      <c r="U1195" s="56">
        <f t="shared" si="1422"/>
        <v>7</v>
      </c>
      <c r="V1195" s="59">
        <v>46290</v>
      </c>
      <c r="W1195" s="56">
        <f t="shared" si="1441"/>
        <v>39</v>
      </c>
      <c r="X1195" s="56">
        <f t="shared" si="1442"/>
        <v>25</v>
      </c>
      <c r="Y1195" s="56" t="s">
        <v>32</v>
      </c>
      <c r="Z1195" s="56">
        <v>5</v>
      </c>
      <c r="AA1195" s="58">
        <f t="shared" si="1464"/>
        <v>0</v>
      </c>
      <c r="AB1195" s="58">
        <f t="shared" si="1464"/>
        <v>1</v>
      </c>
      <c r="AC1195" s="58">
        <f t="shared" si="1464"/>
        <v>0</v>
      </c>
      <c r="AD1195" s="58">
        <f t="shared" si="1464"/>
        <v>0</v>
      </c>
      <c r="AE1195" s="58">
        <f t="shared" si="1464"/>
        <v>0</v>
      </c>
    </row>
    <row r="1196" spans="2:31">
      <c r="B1196" t="str">
        <f t="shared" si="1429"/>
        <v>Sem3939YORMAN ALEJANDRO PEREZ CHAJON</v>
      </c>
      <c r="C1196" t="str">
        <f t="shared" si="1430"/>
        <v>SEPTIEMBRESem39</v>
      </c>
      <c r="D1196" t="str">
        <f t="shared" si="1431"/>
        <v>SEPTIEMBRESem39YORMAN ALEJANDRO PEREZ CHAJON</v>
      </c>
      <c r="E1196" t="str">
        <f t="shared" si="1432"/>
        <v>SEPTIEMBRESem3939YORMAN ALEJANDRO PEREZ CHAJON</v>
      </c>
      <c r="F1196" t="str">
        <f t="shared" si="1433"/>
        <v>YORMAN ALEJANDRO PEREZ CHAJON46291</v>
      </c>
      <c r="H1196" s="49" t="s">
        <v>13</v>
      </c>
      <c r="I1196" s="50" t="str">
        <f>+_xlfn.XLOOKUP($H1196&amp;$V1196,BASEDATOS!$B:$B,BASEDATOS!F:F,0,0,1)</f>
        <v>DESCANSO</v>
      </c>
      <c r="J1196" s="51">
        <f>+_xlfn.XLOOKUP($H1196&amp;$V1196,BASEDATOS!$B:$B,BASEDATOS!Q:Q,0,0,1)</f>
        <v>0</v>
      </c>
      <c r="K1196" s="51">
        <f>+_xlfn.XLOOKUP($H1196&amp;$V1196,BASEDATOS!$B:$B,BASEDATOS!R:R,0,0,1)</f>
        <v>0</v>
      </c>
      <c r="L1196" s="51">
        <f t="shared" si="1434"/>
        <v>0</v>
      </c>
      <c r="M1196" s="52">
        <f t="shared" si="1435"/>
        <v>0</v>
      </c>
      <c r="N1196" s="51">
        <f t="shared" si="1436"/>
        <v>0</v>
      </c>
      <c r="O1196" s="53" t="str">
        <f t="shared" ref="O1196" si="1472">+O1197</f>
        <v>0-5-2</v>
      </c>
      <c r="P1196" s="54">
        <f>+IF(AND(Y1196="Domingo",U1196=7),_xlfn.XLOOKUP(O1196,'Horarios y Sistemas'!C:C,'Horarios y Sistemas'!H:H,0,0,1),0)</f>
        <v>0</v>
      </c>
      <c r="Q1196" s="54">
        <f>IF(U1196=U1197,0,IF(AVERAGEIF(W:W,W1196,U:U)=U1196,0,_xlfn.XLOOKUP(O1196,'Horarios y Sistemas'!C:C,'Horarios y Sistemas'!H:H,0,0,1)-P1196))/7*U1196</f>
        <v>0</v>
      </c>
      <c r="R1196" s="54">
        <f t="shared" si="1438"/>
        <v>0</v>
      </c>
      <c r="S1196" s="55" t="str">
        <f t="shared" si="1439"/>
        <v>SEPTIEMBRE</v>
      </c>
      <c r="T1196" s="55" t="str">
        <f t="shared" si="1440"/>
        <v>Sem39</v>
      </c>
      <c r="U1196" s="56">
        <f t="shared" si="1422"/>
        <v>7</v>
      </c>
      <c r="V1196" s="59">
        <v>46291</v>
      </c>
      <c r="W1196" s="56">
        <f t="shared" si="1441"/>
        <v>39</v>
      </c>
      <c r="X1196" s="56">
        <f t="shared" si="1442"/>
        <v>26</v>
      </c>
      <c r="Y1196" s="56" t="s">
        <v>33</v>
      </c>
      <c r="Z1196" s="56">
        <v>6</v>
      </c>
      <c r="AA1196" s="58">
        <f t="shared" si="1464"/>
        <v>0</v>
      </c>
      <c r="AB1196" s="58">
        <f t="shared" si="1464"/>
        <v>0</v>
      </c>
      <c r="AC1196" s="58">
        <f t="shared" si="1464"/>
        <v>1</v>
      </c>
      <c r="AD1196" s="58">
        <f t="shared" si="1464"/>
        <v>0</v>
      </c>
      <c r="AE1196" s="58">
        <f t="shared" si="1464"/>
        <v>0</v>
      </c>
    </row>
    <row r="1197" spans="2:31">
      <c r="B1197" s="60" t="str">
        <f t="shared" si="1429"/>
        <v>Sem3939YORMAN ALEJANDRO PEREZ CHAJON</v>
      </c>
      <c r="C1197" s="60" t="str">
        <f t="shared" si="1430"/>
        <v>SEPTIEMBRESem39</v>
      </c>
      <c r="D1197" s="60" t="str">
        <f t="shared" si="1431"/>
        <v>SEPTIEMBRESem39YORMAN ALEJANDRO PEREZ CHAJON</v>
      </c>
      <c r="E1197" s="60" t="str">
        <f t="shared" si="1432"/>
        <v>SEPTIEMBRESem3939YORMAN ALEJANDRO PEREZ CHAJON</v>
      </c>
      <c r="F1197" s="60" t="str">
        <f t="shared" si="1433"/>
        <v>YORMAN ALEJANDRO PEREZ CHAJON46292</v>
      </c>
      <c r="G1197" s="60"/>
      <c r="H1197" s="61" t="s">
        <v>13</v>
      </c>
      <c r="I1197" s="62" t="str">
        <f>+_xlfn.XLOOKUP($H1197&amp;$V1197,BASEDATOS!$B:$B,BASEDATOS!F:F,0,0,1)</f>
        <v>DESCANSO</v>
      </c>
      <c r="J1197" s="63">
        <f>+_xlfn.XLOOKUP($H1197&amp;$V1197,BASEDATOS!$B:$B,BASEDATOS!Q:Q,0,0,1)</f>
        <v>0</v>
      </c>
      <c r="K1197" s="63">
        <f>+_xlfn.XLOOKUP($H1197&amp;$V1197,BASEDATOS!$B:$B,BASEDATOS!R:R,0,0,1)</f>
        <v>0</v>
      </c>
      <c r="L1197" s="63">
        <f t="shared" si="1434"/>
        <v>0</v>
      </c>
      <c r="M1197" s="64">
        <f t="shared" si="1435"/>
        <v>0</v>
      </c>
      <c r="N1197" s="63">
        <f t="shared" si="1436"/>
        <v>0</v>
      </c>
      <c r="O1197" s="65" t="str">
        <f t="shared" ref="O1197" si="1473">+IF(Y1197="Domingo",SUM(AA1191:AA1197)&amp;"-"&amp;SUM(AB1191:AB1197)&amp;"-"&amp;SUM(AC1191:AE1197),"")</f>
        <v>0-5-2</v>
      </c>
      <c r="P1197" s="66">
        <f>+IF(AND(Y1197="Domingo",U1197=7),_xlfn.XLOOKUP(O1197,'Horarios y Sistemas'!C:C,'Horarios y Sistemas'!H:H,0,0,1),0)</f>
        <v>36</v>
      </c>
      <c r="Q1197" s="66">
        <f>IF(U1197=U1198,0,IF(AVERAGEIF(W:W,W1197,U:U)=U1197,0,_xlfn.XLOOKUP(O1197,'Horarios y Sistemas'!C:C,'Horarios y Sistemas'!H:H,0,0,1)-P1197))/7*U1197</f>
        <v>0</v>
      </c>
      <c r="R1197" s="66">
        <f t="shared" si="1438"/>
        <v>36</v>
      </c>
      <c r="S1197" s="67" t="str">
        <f t="shared" si="1439"/>
        <v>SEPTIEMBRE</v>
      </c>
      <c r="T1197" s="55" t="str">
        <f t="shared" si="1440"/>
        <v>Sem39</v>
      </c>
      <c r="U1197" s="68">
        <f t="shared" si="1422"/>
        <v>7</v>
      </c>
      <c r="V1197" s="69">
        <v>46292</v>
      </c>
      <c r="W1197" s="68">
        <f t="shared" si="1441"/>
        <v>39</v>
      </c>
      <c r="X1197" s="68">
        <f t="shared" si="1442"/>
        <v>27</v>
      </c>
      <c r="Y1197" s="68" t="s">
        <v>34</v>
      </c>
      <c r="Z1197" s="68">
        <v>7</v>
      </c>
      <c r="AA1197" s="70">
        <f t="shared" si="1464"/>
        <v>0</v>
      </c>
      <c r="AB1197" s="70">
        <f t="shared" si="1464"/>
        <v>0</v>
      </c>
      <c r="AC1197" s="70">
        <f t="shared" si="1464"/>
        <v>1</v>
      </c>
      <c r="AD1197" s="70">
        <f t="shared" si="1464"/>
        <v>0</v>
      </c>
      <c r="AE1197" s="70">
        <f t="shared" si="1464"/>
        <v>0</v>
      </c>
    </row>
    <row r="1198" spans="2:31">
      <c r="B1198" t="str">
        <f t="shared" si="1429"/>
        <v>Sem4040YORMAN ALEJANDRO PEREZ CHAJON</v>
      </c>
      <c r="C1198" t="str">
        <f t="shared" si="1430"/>
        <v>SEPTIEMBRESem40</v>
      </c>
      <c r="D1198" t="str">
        <f t="shared" si="1431"/>
        <v>SEPTIEMBRESem40YORMAN ALEJANDRO PEREZ CHAJON</v>
      </c>
      <c r="E1198" t="str">
        <f t="shared" si="1432"/>
        <v>SEPTIEMBRESem4040YORMAN ALEJANDRO PEREZ CHAJON</v>
      </c>
      <c r="F1198" t="str">
        <f t="shared" si="1433"/>
        <v>YORMAN ALEJANDRO PEREZ CHAJON46293</v>
      </c>
      <c r="H1198" s="49" t="s">
        <v>13</v>
      </c>
      <c r="I1198" s="50" t="str">
        <f>+_xlfn.XLOOKUP($H1198&amp;$V1198,BASEDATOS!$B:$B,BASEDATOS!F:F,0,0,1)</f>
        <v>DIA</v>
      </c>
      <c r="J1198" s="51">
        <f>+_xlfn.XLOOKUP($H1198&amp;$V1198,BASEDATOS!$B:$B,BASEDATOS!Q:Q,0,0,1)</f>
        <v>0.29166666666666702</v>
      </c>
      <c r="K1198" s="51">
        <f>+_xlfn.XLOOKUP($H1198&amp;$V1198,BASEDATOS!$B:$B,BASEDATOS!R:R,0,0,1)</f>
        <v>0.66666666666666696</v>
      </c>
      <c r="L1198" s="51">
        <f t="shared" si="1434"/>
        <v>0.37499999999999994</v>
      </c>
      <c r="M1198" s="52" t="str">
        <f t="shared" si="1435"/>
        <v>1:00</v>
      </c>
      <c r="N1198" s="51">
        <f t="shared" si="1436"/>
        <v>0.33333333333333326</v>
      </c>
      <c r="O1198" s="53" t="str">
        <f t="shared" ref="O1198" si="1474">+O1204</f>
        <v>6-0-1</v>
      </c>
      <c r="P1198" s="54">
        <f>+IF(AND(Y1198="Domingo",U1198=7),_xlfn.XLOOKUP(O1198,'Horarios y Sistemas'!C:C,'Horarios y Sistemas'!H:H,0,0,1),0)</f>
        <v>0</v>
      </c>
      <c r="Q1198" s="54">
        <f>IF(U1198=U1199,0,IF(AVERAGEIF(W:W,W1198,U:U)=U1198,0,_xlfn.XLOOKUP(O1198,'Horarios y Sistemas'!C:C,'Horarios y Sistemas'!H:H,0,0,1)-P1198))/7*U1198</f>
        <v>0</v>
      </c>
      <c r="R1198" s="54">
        <f t="shared" si="1438"/>
        <v>0</v>
      </c>
      <c r="S1198" s="55" t="str">
        <f t="shared" si="1439"/>
        <v>SEPTIEMBRE</v>
      </c>
      <c r="T1198" s="55" t="str">
        <f t="shared" si="1440"/>
        <v>Sem40</v>
      </c>
      <c r="U1198" s="56">
        <f t="shared" si="1422"/>
        <v>7</v>
      </c>
      <c r="V1198" s="59">
        <v>46293</v>
      </c>
      <c r="W1198" s="56">
        <f t="shared" si="1441"/>
        <v>40</v>
      </c>
      <c r="X1198" s="56">
        <f t="shared" si="1442"/>
        <v>28</v>
      </c>
      <c r="Y1198" s="56" t="s">
        <v>28</v>
      </c>
      <c r="Z1198" s="56">
        <v>1</v>
      </c>
      <c r="AA1198" s="58">
        <f t="shared" si="1464"/>
        <v>1</v>
      </c>
      <c r="AB1198" s="58">
        <f t="shared" si="1464"/>
        <v>0</v>
      </c>
      <c r="AC1198" s="58">
        <f t="shared" si="1464"/>
        <v>0</v>
      </c>
      <c r="AD1198" s="58">
        <f t="shared" si="1464"/>
        <v>0</v>
      </c>
      <c r="AE1198" s="58">
        <f t="shared" si="1464"/>
        <v>0</v>
      </c>
    </row>
    <row r="1199" spans="2:31">
      <c r="B1199" t="str">
        <f t="shared" si="1429"/>
        <v>Sem4040YORMAN ALEJANDRO PEREZ CHAJON</v>
      </c>
      <c r="C1199" t="str">
        <f t="shared" si="1430"/>
        <v>SEPTIEMBRESem40</v>
      </c>
      <c r="D1199" t="str">
        <f t="shared" si="1431"/>
        <v>SEPTIEMBRESem40YORMAN ALEJANDRO PEREZ CHAJON</v>
      </c>
      <c r="E1199" t="str">
        <f t="shared" si="1432"/>
        <v>SEPTIEMBRESem4040YORMAN ALEJANDRO PEREZ CHAJON</v>
      </c>
      <c r="F1199" t="str">
        <f t="shared" si="1433"/>
        <v>YORMAN ALEJANDRO PEREZ CHAJON46294</v>
      </c>
      <c r="H1199" s="49" t="s">
        <v>13</v>
      </c>
      <c r="I1199" s="50" t="str">
        <f>+_xlfn.XLOOKUP($H1199&amp;$V1199,BASEDATOS!$B:$B,BASEDATOS!F:F,0,0,1)</f>
        <v>DIA</v>
      </c>
      <c r="J1199" s="51">
        <f>+_xlfn.XLOOKUP($H1199&amp;$V1199,BASEDATOS!$B:$B,BASEDATOS!Q:Q,0,0,1)</f>
        <v>0.29166666666666702</v>
      </c>
      <c r="K1199" s="51">
        <f>+_xlfn.XLOOKUP($H1199&amp;$V1199,BASEDATOS!$B:$B,BASEDATOS!R:R,0,0,1)</f>
        <v>0.66666666666666696</v>
      </c>
      <c r="L1199" s="51">
        <f t="shared" si="1434"/>
        <v>0.37499999999999994</v>
      </c>
      <c r="M1199" s="52" t="str">
        <f t="shared" si="1435"/>
        <v>1:00</v>
      </c>
      <c r="N1199" s="51">
        <f t="shared" si="1436"/>
        <v>0.33333333333333326</v>
      </c>
      <c r="O1199" s="53" t="str">
        <f t="shared" ref="O1199" si="1475">+O1204</f>
        <v>6-0-1</v>
      </c>
      <c r="P1199" s="54">
        <f>+IF(AND(Y1199="Domingo",U1199=7),_xlfn.XLOOKUP(O1199,'Horarios y Sistemas'!C:C,'Horarios y Sistemas'!H:H,0,0,1),0)</f>
        <v>0</v>
      </c>
      <c r="Q1199" s="54">
        <f>IF(U1199=U1200,0,IF(AVERAGEIF(W:W,W1199,U:U)=U1199,0,_xlfn.XLOOKUP(O1199,'Horarios y Sistemas'!C:C,'Horarios y Sistemas'!H:H,0,0,1)-P1199))/7*U1199</f>
        <v>0</v>
      </c>
      <c r="R1199" s="54">
        <f t="shared" si="1438"/>
        <v>0</v>
      </c>
      <c r="S1199" s="55" t="str">
        <f t="shared" si="1439"/>
        <v>SEPTIEMBRE</v>
      </c>
      <c r="T1199" s="55" t="str">
        <f t="shared" si="1440"/>
        <v>Sem40</v>
      </c>
      <c r="U1199" s="56">
        <f t="shared" si="1422"/>
        <v>7</v>
      </c>
      <c r="V1199" s="59">
        <v>46294</v>
      </c>
      <c r="W1199" s="56">
        <f t="shared" si="1441"/>
        <v>40</v>
      </c>
      <c r="X1199" s="56">
        <f t="shared" si="1442"/>
        <v>29</v>
      </c>
      <c r="Y1199" s="56" t="s">
        <v>29</v>
      </c>
      <c r="Z1199" s="56">
        <v>2</v>
      </c>
      <c r="AA1199" s="58">
        <f t="shared" si="1464"/>
        <v>1</v>
      </c>
      <c r="AB1199" s="58">
        <f t="shared" si="1464"/>
        <v>0</v>
      </c>
      <c r="AC1199" s="58">
        <f t="shared" si="1464"/>
        <v>0</v>
      </c>
      <c r="AD1199" s="58">
        <f t="shared" si="1464"/>
        <v>0</v>
      </c>
      <c r="AE1199" s="58">
        <f t="shared" si="1464"/>
        <v>0</v>
      </c>
    </row>
    <row r="1200" spans="2:31">
      <c r="B1200" t="str">
        <f t="shared" si="1429"/>
        <v>Sem4040YORMAN ALEJANDRO PEREZ CHAJON</v>
      </c>
      <c r="C1200" t="str">
        <f t="shared" si="1430"/>
        <v>SEPTIEMBRESem40</v>
      </c>
      <c r="D1200" t="str">
        <f t="shared" si="1431"/>
        <v>SEPTIEMBRESem40YORMAN ALEJANDRO PEREZ CHAJON</v>
      </c>
      <c r="E1200" t="str">
        <f t="shared" si="1432"/>
        <v>SEPTIEMBRESem4040YORMAN ALEJANDRO PEREZ CHAJON</v>
      </c>
      <c r="F1200" t="str">
        <f t="shared" si="1433"/>
        <v>YORMAN ALEJANDRO PEREZ CHAJON46295</v>
      </c>
      <c r="H1200" s="49" t="s">
        <v>13</v>
      </c>
      <c r="I1200" s="50" t="str">
        <f>+_xlfn.XLOOKUP($H1200&amp;$V1200,BASEDATOS!$B:$B,BASEDATOS!F:F,0,0,1)</f>
        <v>DIA</v>
      </c>
      <c r="J1200" s="51">
        <f>+_xlfn.XLOOKUP($H1200&amp;$V1200,BASEDATOS!$B:$B,BASEDATOS!Q:Q,0,0,1)</f>
        <v>0.29166666666666702</v>
      </c>
      <c r="K1200" s="51">
        <f>+_xlfn.XLOOKUP($H1200&amp;$V1200,BASEDATOS!$B:$B,BASEDATOS!R:R,0,0,1)</f>
        <v>0.66666666666666696</v>
      </c>
      <c r="L1200" s="51">
        <f t="shared" si="1434"/>
        <v>0.37499999999999994</v>
      </c>
      <c r="M1200" s="52" t="str">
        <f t="shared" si="1435"/>
        <v>1:00</v>
      </c>
      <c r="N1200" s="51">
        <f t="shared" si="1436"/>
        <v>0.33333333333333326</v>
      </c>
      <c r="O1200" s="53" t="str">
        <f t="shared" ref="O1200" si="1476">+O1204</f>
        <v>6-0-1</v>
      </c>
      <c r="P1200" s="54">
        <f>+IF(AND(Y1200="Domingo",U1200=7),_xlfn.XLOOKUP(O1200,'Horarios y Sistemas'!C:C,'Horarios y Sistemas'!H:H,0,0,1),0)</f>
        <v>0</v>
      </c>
      <c r="Q1200" s="54">
        <f>IF(U1200=U1201,0,IF(AVERAGEIF(W:W,W1200,U:U)=U1200,0,_xlfn.XLOOKUP(O1200,'Horarios y Sistemas'!C:C,'Horarios y Sistemas'!H:H,0,0,1)-P1200))/7*U1200</f>
        <v>0</v>
      </c>
      <c r="R1200" s="54">
        <f t="shared" si="1438"/>
        <v>0</v>
      </c>
      <c r="S1200" s="55" t="str">
        <f t="shared" si="1439"/>
        <v>SEPTIEMBRE</v>
      </c>
      <c r="T1200" s="55" t="str">
        <f t="shared" si="1440"/>
        <v>Sem40</v>
      </c>
      <c r="U1200" s="56">
        <f t="shared" si="1422"/>
        <v>7</v>
      </c>
      <c r="V1200" s="59">
        <v>46295</v>
      </c>
      <c r="W1200" s="56">
        <f t="shared" si="1441"/>
        <v>40</v>
      </c>
      <c r="X1200" s="56">
        <f t="shared" si="1442"/>
        <v>30</v>
      </c>
      <c r="Y1200" s="56" t="s">
        <v>30</v>
      </c>
      <c r="Z1200" s="56">
        <v>3</v>
      </c>
      <c r="AA1200" s="58">
        <f t="shared" si="1464"/>
        <v>1</v>
      </c>
      <c r="AB1200" s="58">
        <f t="shared" si="1464"/>
        <v>0</v>
      </c>
      <c r="AC1200" s="58">
        <f t="shared" si="1464"/>
        <v>0</v>
      </c>
      <c r="AD1200" s="58">
        <f t="shared" si="1464"/>
        <v>0</v>
      </c>
      <c r="AE1200" s="58">
        <f t="shared" si="1464"/>
        <v>0</v>
      </c>
    </row>
    <row r="1201" spans="2:31">
      <c r="B1201" t="str">
        <f t="shared" si="1429"/>
        <v>Sem4040YORMAN ALEJANDRO PEREZ CHAJON</v>
      </c>
      <c r="C1201" t="str">
        <f t="shared" si="1430"/>
        <v>OCTUBRESem40</v>
      </c>
      <c r="D1201" t="str">
        <f t="shared" si="1431"/>
        <v>OCTUBRESem40YORMAN ALEJANDRO PEREZ CHAJON</v>
      </c>
      <c r="E1201" t="str">
        <f t="shared" si="1432"/>
        <v>OCTUBRESem4040YORMAN ALEJANDRO PEREZ CHAJON</v>
      </c>
      <c r="F1201" t="str">
        <f t="shared" si="1433"/>
        <v>YORMAN ALEJANDRO PEREZ CHAJON46296</v>
      </c>
      <c r="H1201" s="49" t="s">
        <v>13</v>
      </c>
      <c r="I1201" s="50" t="str">
        <f>+_xlfn.XLOOKUP($H1201&amp;$V1201,BASEDATOS!$B:$B,BASEDATOS!F:F,0,0,1)</f>
        <v>DIA</v>
      </c>
      <c r="J1201" s="51">
        <f>+_xlfn.XLOOKUP($H1201&amp;$V1201,BASEDATOS!$B:$B,BASEDATOS!Q:Q,0,0,1)</f>
        <v>0.375</v>
      </c>
      <c r="K1201" s="51">
        <f>+_xlfn.XLOOKUP($H1201&amp;$V1201,BASEDATOS!$B:$B,BASEDATOS!R:R,0,0,1)</f>
        <v>0.75</v>
      </c>
      <c r="L1201" s="51">
        <f t="shared" si="1434"/>
        <v>0.375</v>
      </c>
      <c r="M1201" s="52" t="str">
        <f t="shared" si="1435"/>
        <v>1:00</v>
      </c>
      <c r="N1201" s="51">
        <f t="shared" si="1436"/>
        <v>0.33333333333333331</v>
      </c>
      <c r="O1201" s="53" t="str">
        <f t="shared" ref="O1201" si="1477">+O1204</f>
        <v>6-0-1</v>
      </c>
      <c r="P1201" s="54">
        <f>+IF(AND(Y1201="Domingo",U1201=7),_xlfn.XLOOKUP(O1201,'Horarios y Sistemas'!C:C,'Horarios y Sistemas'!H:H,0,0,1),0)</f>
        <v>0</v>
      </c>
      <c r="Q1201" s="54">
        <f>IF(U1201=U1202,0,IF(AVERAGEIF(W:W,W1201,U:U)=U1201,0,_xlfn.XLOOKUP(O1201,'Horarios y Sistemas'!C:C,'Horarios y Sistemas'!H:H,0,0,1)-P1201))/7*U1201</f>
        <v>0</v>
      </c>
      <c r="R1201" s="54">
        <f t="shared" si="1438"/>
        <v>0</v>
      </c>
      <c r="S1201" s="55" t="str">
        <f t="shared" si="1439"/>
        <v>OCTUBRE</v>
      </c>
      <c r="T1201" s="55" t="str">
        <f t="shared" si="1440"/>
        <v>Sem40</v>
      </c>
      <c r="U1201" s="56">
        <f t="shared" si="1422"/>
        <v>7</v>
      </c>
      <c r="V1201" s="59">
        <v>46296</v>
      </c>
      <c r="W1201" s="56">
        <f t="shared" si="1441"/>
        <v>40</v>
      </c>
      <c r="X1201" s="56">
        <f t="shared" si="1442"/>
        <v>1</v>
      </c>
      <c r="Y1201" s="56" t="s">
        <v>31</v>
      </c>
      <c r="Z1201" s="56">
        <v>4</v>
      </c>
      <c r="AA1201" s="58">
        <f t="shared" si="1464"/>
        <v>1</v>
      </c>
      <c r="AB1201" s="58">
        <f t="shared" si="1464"/>
        <v>0</v>
      </c>
      <c r="AC1201" s="58">
        <f t="shared" si="1464"/>
        <v>0</v>
      </c>
      <c r="AD1201" s="58">
        <f t="shared" si="1464"/>
        <v>0</v>
      </c>
      <c r="AE1201" s="58">
        <f t="shared" si="1464"/>
        <v>0</v>
      </c>
    </row>
    <row r="1202" spans="2:31">
      <c r="B1202" t="str">
        <f t="shared" si="1429"/>
        <v>Sem4040YORMAN ALEJANDRO PEREZ CHAJON</v>
      </c>
      <c r="C1202" t="str">
        <f t="shared" si="1430"/>
        <v>OCTUBRESem40</v>
      </c>
      <c r="D1202" t="str">
        <f t="shared" si="1431"/>
        <v>OCTUBRESem40YORMAN ALEJANDRO PEREZ CHAJON</v>
      </c>
      <c r="E1202" t="str">
        <f t="shared" si="1432"/>
        <v>OCTUBRESem4040YORMAN ALEJANDRO PEREZ CHAJON</v>
      </c>
      <c r="F1202" t="str">
        <f t="shared" si="1433"/>
        <v>YORMAN ALEJANDRO PEREZ CHAJON46297</v>
      </c>
      <c r="H1202" s="49" t="s">
        <v>13</v>
      </c>
      <c r="I1202" s="50" t="str">
        <f>+_xlfn.XLOOKUP($H1202&amp;$V1202,BASEDATOS!$B:$B,BASEDATOS!F:F,0,0,1)</f>
        <v>DIA</v>
      </c>
      <c r="J1202" s="51">
        <f>+_xlfn.XLOOKUP($H1202&amp;$V1202,BASEDATOS!$B:$B,BASEDATOS!Q:Q,0,0,1)</f>
        <v>0.29166666666666702</v>
      </c>
      <c r="K1202" s="51">
        <f>+_xlfn.XLOOKUP($H1202&amp;$V1202,BASEDATOS!$B:$B,BASEDATOS!R:R,0,0,1)</f>
        <v>0.66666666666666696</v>
      </c>
      <c r="L1202" s="51">
        <f t="shared" si="1434"/>
        <v>0.37499999999999994</v>
      </c>
      <c r="M1202" s="52" t="str">
        <f t="shared" si="1435"/>
        <v>1:00</v>
      </c>
      <c r="N1202" s="51">
        <f t="shared" si="1436"/>
        <v>0.33333333333333326</v>
      </c>
      <c r="O1202" s="53" t="str">
        <f t="shared" ref="O1202" si="1478">+O1204</f>
        <v>6-0-1</v>
      </c>
      <c r="P1202" s="54">
        <f>+IF(AND(Y1202="Domingo",U1202=7),_xlfn.XLOOKUP(O1202,'Horarios y Sistemas'!C:C,'Horarios y Sistemas'!H:H,0,0,1),0)</f>
        <v>0</v>
      </c>
      <c r="Q1202" s="54">
        <f>IF(U1202=U1203,0,IF(AVERAGEIF(W:W,W1202,U:U)=U1202,0,_xlfn.XLOOKUP(O1202,'Horarios y Sistemas'!C:C,'Horarios y Sistemas'!H:H,0,0,1)-P1202))/7*U1202</f>
        <v>0</v>
      </c>
      <c r="R1202" s="54">
        <f t="shared" si="1438"/>
        <v>0</v>
      </c>
      <c r="S1202" s="55" t="str">
        <f t="shared" si="1439"/>
        <v>OCTUBRE</v>
      </c>
      <c r="T1202" s="55" t="str">
        <f t="shared" si="1440"/>
        <v>Sem40</v>
      </c>
      <c r="U1202" s="56">
        <f t="shared" si="1422"/>
        <v>7</v>
      </c>
      <c r="V1202" s="59">
        <v>46297</v>
      </c>
      <c r="W1202" s="56">
        <f t="shared" si="1441"/>
        <v>40</v>
      </c>
      <c r="X1202" s="56">
        <f t="shared" si="1442"/>
        <v>2</v>
      </c>
      <c r="Y1202" s="56" t="s">
        <v>32</v>
      </c>
      <c r="Z1202" s="56">
        <v>5</v>
      </c>
      <c r="AA1202" s="58">
        <f t="shared" si="1464"/>
        <v>1</v>
      </c>
      <c r="AB1202" s="58">
        <f t="shared" si="1464"/>
        <v>0</v>
      </c>
      <c r="AC1202" s="58">
        <f t="shared" si="1464"/>
        <v>0</v>
      </c>
      <c r="AD1202" s="58">
        <f t="shared" si="1464"/>
        <v>0</v>
      </c>
      <c r="AE1202" s="58">
        <f t="shared" si="1464"/>
        <v>0</v>
      </c>
    </row>
    <row r="1203" spans="2:31">
      <c r="B1203" t="str">
        <f t="shared" si="1429"/>
        <v>Sem4040YORMAN ALEJANDRO PEREZ CHAJON</v>
      </c>
      <c r="C1203" t="str">
        <f t="shared" si="1430"/>
        <v>OCTUBRESem40</v>
      </c>
      <c r="D1203" t="str">
        <f t="shared" si="1431"/>
        <v>OCTUBRESem40YORMAN ALEJANDRO PEREZ CHAJON</v>
      </c>
      <c r="E1203" t="str">
        <f t="shared" si="1432"/>
        <v>OCTUBRESem4040YORMAN ALEJANDRO PEREZ CHAJON</v>
      </c>
      <c r="F1203" t="str">
        <f t="shared" si="1433"/>
        <v>YORMAN ALEJANDRO PEREZ CHAJON46298</v>
      </c>
      <c r="H1203" s="49" t="s">
        <v>13</v>
      </c>
      <c r="I1203" s="50" t="str">
        <f>+_xlfn.XLOOKUP($H1203&amp;$V1203,BASEDATOS!$B:$B,BASEDATOS!F:F,0,0,1)</f>
        <v>DIA</v>
      </c>
      <c r="J1203" s="51">
        <f>+_xlfn.XLOOKUP($H1203&amp;$V1203,BASEDATOS!$B:$B,BASEDATOS!Q:Q,0,0,1)</f>
        <v>0.29166666666666702</v>
      </c>
      <c r="K1203" s="51">
        <f>+_xlfn.XLOOKUP($H1203&amp;$V1203,BASEDATOS!$B:$B,BASEDATOS!R:R,0,0,1)</f>
        <v>0.5</v>
      </c>
      <c r="L1203" s="51">
        <f t="shared" si="1434"/>
        <v>0.20833333333333298</v>
      </c>
      <c r="M1203" s="52" t="str">
        <f t="shared" si="1435"/>
        <v>1:00</v>
      </c>
      <c r="N1203" s="51">
        <f t="shared" si="1436"/>
        <v>0.16666666666666632</v>
      </c>
      <c r="O1203" s="53" t="str">
        <f t="shared" ref="O1203" si="1479">+O1204</f>
        <v>6-0-1</v>
      </c>
      <c r="P1203" s="54">
        <f>+IF(AND(Y1203="Domingo",U1203=7),_xlfn.XLOOKUP(O1203,'Horarios y Sistemas'!C:C,'Horarios y Sistemas'!H:H,0,0,1),0)</f>
        <v>0</v>
      </c>
      <c r="Q1203" s="54">
        <f>IF(U1203=U1204,0,IF(AVERAGEIF(W:W,W1203,U:U)=U1203,0,_xlfn.XLOOKUP(O1203,'Horarios y Sistemas'!C:C,'Horarios y Sistemas'!H:H,0,0,1)-P1203))/7*U1203</f>
        <v>0</v>
      </c>
      <c r="R1203" s="54">
        <f t="shared" si="1438"/>
        <v>0</v>
      </c>
      <c r="S1203" s="55" t="str">
        <f t="shared" si="1439"/>
        <v>OCTUBRE</v>
      </c>
      <c r="T1203" s="55" t="str">
        <f t="shared" si="1440"/>
        <v>Sem40</v>
      </c>
      <c r="U1203" s="56">
        <f t="shared" si="1422"/>
        <v>7</v>
      </c>
      <c r="V1203" s="59">
        <v>46298</v>
      </c>
      <c r="W1203" s="56">
        <f t="shared" si="1441"/>
        <v>40</v>
      </c>
      <c r="X1203" s="56">
        <f t="shared" si="1442"/>
        <v>3</v>
      </c>
      <c r="Y1203" s="56" t="s">
        <v>33</v>
      </c>
      <c r="Z1203" s="56">
        <v>6</v>
      </c>
      <c r="AA1203" s="58">
        <f t="shared" si="1464"/>
        <v>1</v>
      </c>
      <c r="AB1203" s="58">
        <f t="shared" si="1464"/>
        <v>0</v>
      </c>
      <c r="AC1203" s="58">
        <f t="shared" si="1464"/>
        <v>0</v>
      </c>
      <c r="AD1203" s="58">
        <f t="shared" si="1464"/>
        <v>0</v>
      </c>
      <c r="AE1203" s="58">
        <f t="shared" si="1464"/>
        <v>0</v>
      </c>
    </row>
    <row r="1204" spans="2:31">
      <c r="B1204" s="60" t="str">
        <f t="shared" si="1429"/>
        <v>Sem4040YORMAN ALEJANDRO PEREZ CHAJON</v>
      </c>
      <c r="C1204" s="60" t="str">
        <f t="shared" si="1430"/>
        <v>OCTUBRESem40</v>
      </c>
      <c r="D1204" s="60" t="str">
        <f t="shared" si="1431"/>
        <v>OCTUBRESem40YORMAN ALEJANDRO PEREZ CHAJON</v>
      </c>
      <c r="E1204" s="60" t="str">
        <f t="shared" si="1432"/>
        <v>OCTUBRESem4040YORMAN ALEJANDRO PEREZ CHAJON</v>
      </c>
      <c r="F1204" s="60" t="str">
        <f t="shared" si="1433"/>
        <v>YORMAN ALEJANDRO PEREZ CHAJON46299</v>
      </c>
      <c r="G1204" s="60"/>
      <c r="H1204" s="61" t="s">
        <v>13</v>
      </c>
      <c r="I1204" s="62" t="str">
        <f>+_xlfn.XLOOKUP($H1204&amp;$V1204,BASEDATOS!$B:$B,BASEDATOS!F:F,0,0,1)</f>
        <v>DESCANSO</v>
      </c>
      <c r="J1204" s="63">
        <f>+_xlfn.XLOOKUP($H1204&amp;$V1204,BASEDATOS!$B:$B,BASEDATOS!Q:Q,0,0,1)</f>
        <v>0</v>
      </c>
      <c r="K1204" s="63">
        <f>+_xlfn.XLOOKUP($H1204&amp;$V1204,BASEDATOS!$B:$B,BASEDATOS!R:R,0,0,1)</f>
        <v>0</v>
      </c>
      <c r="L1204" s="63">
        <f t="shared" si="1434"/>
        <v>0</v>
      </c>
      <c r="M1204" s="64">
        <f t="shared" si="1435"/>
        <v>0</v>
      </c>
      <c r="N1204" s="63">
        <f t="shared" si="1436"/>
        <v>0</v>
      </c>
      <c r="O1204" s="65" t="str">
        <f t="shared" ref="O1204" si="1480">+IF(Y1204="Domingo",SUM(AA1198:AA1204)&amp;"-"&amp;SUM(AB1198:AB1204)&amp;"-"&amp;SUM(AC1198:AE1204),"")</f>
        <v>6-0-1</v>
      </c>
      <c r="P1204" s="66">
        <f>+IF(AND(Y1204="Domingo",U1204=7),_xlfn.XLOOKUP(O1204,'Horarios y Sistemas'!C:C,'Horarios y Sistemas'!H:H,0,0,1),0)</f>
        <v>44</v>
      </c>
      <c r="Q1204" s="66">
        <f>IF(U1204=U1205,0,IF(AVERAGEIF(W:W,W1204,U:U)=U1204,0,_xlfn.XLOOKUP(O1204,'Horarios y Sistemas'!C:C,'Horarios y Sistemas'!H:H,0,0,1)-P1204))/7*U1204</f>
        <v>0</v>
      </c>
      <c r="R1204" s="66">
        <f t="shared" si="1438"/>
        <v>44</v>
      </c>
      <c r="S1204" s="67" t="str">
        <f t="shared" si="1439"/>
        <v>OCTUBRE</v>
      </c>
      <c r="T1204" s="55" t="str">
        <f t="shared" si="1440"/>
        <v>Sem40</v>
      </c>
      <c r="U1204" s="68">
        <f t="shared" si="1422"/>
        <v>7</v>
      </c>
      <c r="V1204" s="69">
        <v>46299</v>
      </c>
      <c r="W1204" s="68">
        <f t="shared" si="1441"/>
        <v>40</v>
      </c>
      <c r="X1204" s="68">
        <f t="shared" si="1442"/>
        <v>4</v>
      </c>
      <c r="Y1204" s="68" t="s">
        <v>34</v>
      </c>
      <c r="Z1204" s="68">
        <v>7</v>
      </c>
      <c r="AA1204" s="70">
        <f t="shared" si="1464"/>
        <v>0</v>
      </c>
      <c r="AB1204" s="70">
        <f t="shared" si="1464"/>
        <v>0</v>
      </c>
      <c r="AC1204" s="70">
        <f t="shared" si="1464"/>
        <v>1</v>
      </c>
      <c r="AD1204" s="70">
        <f t="shared" si="1464"/>
        <v>0</v>
      </c>
      <c r="AE1204" s="70">
        <f t="shared" si="1464"/>
        <v>0</v>
      </c>
    </row>
    <row r="1205" spans="2:31">
      <c r="B1205" t="str">
        <f t="shared" si="1429"/>
        <v>Sem3838kenneth Eduardo otzin López</v>
      </c>
      <c r="C1205" t="str">
        <f t="shared" si="1430"/>
        <v>SEPTIEMBRESem38</v>
      </c>
      <c r="D1205" t="str">
        <f t="shared" si="1431"/>
        <v>SEPTIEMBRESem38kenneth Eduardo otzin López</v>
      </c>
      <c r="E1205" t="str">
        <f t="shared" si="1432"/>
        <v>SEPTIEMBRESem3838kenneth Eduardo otzin López</v>
      </c>
      <c r="F1205" t="str">
        <f t="shared" si="1433"/>
        <v>kenneth Eduardo otzin López46279</v>
      </c>
      <c r="H1205" s="49" t="s">
        <v>233</v>
      </c>
      <c r="I1205" s="50" t="str">
        <f>+_xlfn.XLOOKUP($H1205&amp;$V1205,BASEDATOS!$B:$B,BASEDATOS!F:F,0,0,1)</f>
        <v>DESCANSO</v>
      </c>
      <c r="J1205" s="51">
        <f>+_xlfn.XLOOKUP($H1205&amp;$V1205,BASEDATOS!$B:$B,BASEDATOS!Q:Q,0,0,1)</f>
        <v>0</v>
      </c>
      <c r="K1205" s="51">
        <f>+_xlfn.XLOOKUP($H1205&amp;$V1205,BASEDATOS!$B:$B,BASEDATOS!R:R,0,0,1)</f>
        <v>0</v>
      </c>
      <c r="L1205" s="51">
        <f t="shared" si="1434"/>
        <v>0</v>
      </c>
      <c r="M1205" s="52">
        <f t="shared" si="1435"/>
        <v>0</v>
      </c>
      <c r="N1205" s="51">
        <f t="shared" si="1436"/>
        <v>0</v>
      </c>
      <c r="O1205" s="53" t="str">
        <f t="shared" ref="O1205" si="1481">+O1211</f>
        <v>1-4-2</v>
      </c>
      <c r="P1205" s="54">
        <f>+IF(AND(Y1205="Domingo",U1205=7),_xlfn.XLOOKUP(O1205,'Horarios y Sistemas'!C:C,'Horarios y Sistemas'!H:H,0,0,1),0)</f>
        <v>0</v>
      </c>
      <c r="Q1205" s="54">
        <f>IF(U1205=U1206,0,IF(AVERAGEIF(W:W,W1205,U:U)=U1205,0,_xlfn.XLOOKUP(O1205,'Horarios y Sistemas'!C:C,'Horarios y Sistemas'!H:H,0,0,1)-P1205))/7*U1205</f>
        <v>0</v>
      </c>
      <c r="R1205" s="54">
        <f t="shared" si="1438"/>
        <v>0</v>
      </c>
      <c r="S1205" s="55" t="str">
        <f t="shared" si="1439"/>
        <v>SEPTIEMBRE</v>
      </c>
      <c r="T1205" s="55" t="str">
        <f t="shared" si="1440"/>
        <v>Sem38</v>
      </c>
      <c r="U1205" s="56">
        <f t="shared" si="1422"/>
        <v>7</v>
      </c>
      <c r="V1205" s="59">
        <v>46279</v>
      </c>
      <c r="W1205" s="56">
        <f t="shared" si="1441"/>
        <v>38</v>
      </c>
      <c r="X1205" s="56">
        <f t="shared" si="1442"/>
        <v>14</v>
      </c>
      <c r="Y1205" s="56" t="s">
        <v>28</v>
      </c>
      <c r="Z1205" s="56">
        <v>1</v>
      </c>
      <c r="AA1205" s="58">
        <f t="shared" si="1464"/>
        <v>0</v>
      </c>
      <c r="AB1205" s="58">
        <f t="shared" si="1464"/>
        <v>0</v>
      </c>
      <c r="AC1205" s="58">
        <f t="shared" si="1464"/>
        <v>1</v>
      </c>
      <c r="AD1205" s="58">
        <f t="shared" si="1464"/>
        <v>0</v>
      </c>
      <c r="AE1205" s="58">
        <f t="shared" si="1464"/>
        <v>0</v>
      </c>
    </row>
    <row r="1206" spans="2:31">
      <c r="B1206" t="str">
        <f t="shared" si="1429"/>
        <v>Sem3838kenneth Eduardo otzin López</v>
      </c>
      <c r="C1206" t="str">
        <f t="shared" si="1430"/>
        <v>SEPTIEMBRESem38</v>
      </c>
      <c r="D1206" t="str">
        <f t="shared" si="1431"/>
        <v>SEPTIEMBRESem38kenneth Eduardo otzin López</v>
      </c>
      <c r="E1206" t="str">
        <f t="shared" si="1432"/>
        <v>SEPTIEMBRESem3838kenneth Eduardo otzin López</v>
      </c>
      <c r="F1206" t="str">
        <f t="shared" si="1433"/>
        <v>kenneth Eduardo otzin López46280</v>
      </c>
      <c r="H1206" s="49" t="s">
        <v>233</v>
      </c>
      <c r="I1206" s="50" t="str">
        <f>+_xlfn.XLOOKUP($H1206&amp;$V1206,BASEDATOS!$B:$B,BASEDATOS!F:F,0,0,1)</f>
        <v>DIA</v>
      </c>
      <c r="J1206" s="51">
        <f>+_xlfn.XLOOKUP($H1206&amp;$V1206,BASEDATOS!$B:$B,BASEDATOS!Q:Q,0,0,1)</f>
        <v>0.33333333333333298</v>
      </c>
      <c r="K1206" s="51">
        <f>+_xlfn.XLOOKUP($H1206&amp;$V1206,BASEDATOS!$B:$B,BASEDATOS!R:R,0,0,1)</f>
        <v>0.70833333333333304</v>
      </c>
      <c r="L1206" s="51">
        <f t="shared" si="1434"/>
        <v>0.37500000000000006</v>
      </c>
      <c r="M1206" s="52" t="str">
        <f t="shared" si="1435"/>
        <v>1:00</v>
      </c>
      <c r="N1206" s="51">
        <f t="shared" si="1436"/>
        <v>0.33333333333333337</v>
      </c>
      <c r="O1206" s="53" t="str">
        <f t="shared" ref="O1206" si="1482">+O1211</f>
        <v>1-4-2</v>
      </c>
      <c r="P1206" s="54">
        <f>+IF(AND(Y1206="Domingo",U1206=7),_xlfn.XLOOKUP(O1206,'Horarios y Sistemas'!C:C,'Horarios y Sistemas'!H:H,0,0,1),0)</f>
        <v>0</v>
      </c>
      <c r="Q1206" s="54">
        <f>IF(U1206=U1207,0,IF(AVERAGEIF(W:W,W1206,U:U)=U1206,0,_xlfn.XLOOKUP(O1206,'Horarios y Sistemas'!C:C,'Horarios y Sistemas'!H:H,0,0,1)-P1206))/7*U1206</f>
        <v>0</v>
      </c>
      <c r="R1206" s="54">
        <f t="shared" si="1438"/>
        <v>0</v>
      </c>
      <c r="S1206" s="55" t="str">
        <f t="shared" si="1439"/>
        <v>SEPTIEMBRE</v>
      </c>
      <c r="T1206" s="55" t="str">
        <f t="shared" si="1440"/>
        <v>Sem38</v>
      </c>
      <c r="U1206" s="56">
        <f t="shared" si="1422"/>
        <v>7</v>
      </c>
      <c r="V1206" s="59">
        <v>46280</v>
      </c>
      <c r="W1206" s="56">
        <f t="shared" si="1441"/>
        <v>38</v>
      </c>
      <c r="X1206" s="56">
        <f t="shared" si="1442"/>
        <v>15</v>
      </c>
      <c r="Y1206" s="56" t="s">
        <v>29</v>
      </c>
      <c r="Z1206" s="56">
        <v>2</v>
      </c>
      <c r="AA1206" s="58">
        <f t="shared" si="1464"/>
        <v>1</v>
      </c>
      <c r="AB1206" s="58">
        <f t="shared" si="1464"/>
        <v>0</v>
      </c>
      <c r="AC1206" s="58">
        <f t="shared" si="1464"/>
        <v>0</v>
      </c>
      <c r="AD1206" s="58">
        <f t="shared" si="1464"/>
        <v>0</v>
      </c>
      <c r="AE1206" s="58">
        <f t="shared" si="1464"/>
        <v>0</v>
      </c>
    </row>
    <row r="1207" spans="2:31">
      <c r="B1207" t="str">
        <f t="shared" si="1429"/>
        <v>Sem3838kenneth Eduardo otzin López</v>
      </c>
      <c r="C1207" t="str">
        <f t="shared" si="1430"/>
        <v>SEPTIEMBRESem38</v>
      </c>
      <c r="D1207" t="str">
        <f t="shared" si="1431"/>
        <v>SEPTIEMBRESem38kenneth Eduardo otzin López</v>
      </c>
      <c r="E1207" t="str">
        <f t="shared" si="1432"/>
        <v>SEPTIEMBRESem3838kenneth Eduardo otzin López</v>
      </c>
      <c r="F1207" t="str">
        <f t="shared" si="1433"/>
        <v>kenneth Eduardo otzin López46281</v>
      </c>
      <c r="H1207" s="49" t="s">
        <v>233</v>
      </c>
      <c r="I1207" s="50" t="str">
        <f>+_xlfn.XLOOKUP($H1207&amp;$V1207,BASEDATOS!$B:$B,BASEDATOS!F:F,0,0,1)</f>
        <v>NOCHE</v>
      </c>
      <c r="J1207" s="51">
        <f>+_xlfn.XLOOKUP($H1207&amp;$V1207,BASEDATOS!$B:$B,BASEDATOS!Q:Q,0,0,1)</f>
        <v>0.75</v>
      </c>
      <c r="K1207" s="51">
        <f>+_xlfn.XLOOKUP($H1207&amp;$V1207,BASEDATOS!$B:$B,BASEDATOS!R:R,0,0,1)</f>
        <v>0.25</v>
      </c>
      <c r="L1207" s="51">
        <f t="shared" si="1434"/>
        <v>0.5</v>
      </c>
      <c r="M1207" s="52" t="str">
        <f t="shared" si="1435"/>
        <v>1:00</v>
      </c>
      <c r="N1207" s="51">
        <f t="shared" si="1436"/>
        <v>0.45833333333333331</v>
      </c>
      <c r="O1207" s="53" t="str">
        <f t="shared" ref="O1207" si="1483">+O1211</f>
        <v>1-4-2</v>
      </c>
      <c r="P1207" s="54">
        <f>+IF(AND(Y1207="Domingo",U1207=7),_xlfn.XLOOKUP(O1207,'Horarios y Sistemas'!C:C,'Horarios y Sistemas'!H:H,0,0,1),0)</f>
        <v>0</v>
      </c>
      <c r="Q1207" s="54">
        <f>IF(U1207=U1208,0,IF(AVERAGEIF(W:W,W1207,U:U)=U1207,0,_xlfn.XLOOKUP(O1207,'Horarios y Sistemas'!C:C,'Horarios y Sistemas'!H:H,0,0,1)-P1207))/7*U1207</f>
        <v>0</v>
      </c>
      <c r="R1207" s="54">
        <f t="shared" si="1438"/>
        <v>0</v>
      </c>
      <c r="S1207" s="55" t="str">
        <f t="shared" si="1439"/>
        <v>SEPTIEMBRE</v>
      </c>
      <c r="T1207" s="55" t="str">
        <f t="shared" si="1440"/>
        <v>Sem38</v>
      </c>
      <c r="U1207" s="56">
        <f t="shared" si="1422"/>
        <v>7</v>
      </c>
      <c r="V1207" s="59">
        <v>46281</v>
      </c>
      <c r="W1207" s="56">
        <f t="shared" si="1441"/>
        <v>38</v>
      </c>
      <c r="X1207" s="56">
        <f t="shared" si="1442"/>
        <v>16</v>
      </c>
      <c r="Y1207" s="56" t="s">
        <v>30</v>
      </c>
      <c r="Z1207" s="56">
        <v>3</v>
      </c>
      <c r="AA1207" s="58">
        <f t="shared" si="1464"/>
        <v>0</v>
      </c>
      <c r="AB1207" s="58">
        <f t="shared" si="1464"/>
        <v>1</v>
      </c>
      <c r="AC1207" s="58">
        <f t="shared" si="1464"/>
        <v>0</v>
      </c>
      <c r="AD1207" s="58">
        <f t="shared" si="1464"/>
        <v>0</v>
      </c>
      <c r="AE1207" s="58">
        <f t="shared" si="1464"/>
        <v>0</v>
      </c>
    </row>
    <row r="1208" spans="2:31">
      <c r="B1208" t="str">
        <f t="shared" si="1429"/>
        <v>Sem3838kenneth Eduardo otzin López</v>
      </c>
      <c r="C1208" t="str">
        <f t="shared" si="1430"/>
        <v>SEPTIEMBRESem38</v>
      </c>
      <c r="D1208" t="str">
        <f t="shared" si="1431"/>
        <v>SEPTIEMBRESem38kenneth Eduardo otzin López</v>
      </c>
      <c r="E1208" t="str">
        <f t="shared" si="1432"/>
        <v>SEPTIEMBRESem3838kenneth Eduardo otzin López</v>
      </c>
      <c r="F1208" t="str">
        <f t="shared" si="1433"/>
        <v>kenneth Eduardo otzin López46282</v>
      </c>
      <c r="H1208" s="49" t="s">
        <v>233</v>
      </c>
      <c r="I1208" s="50" t="str">
        <f>+_xlfn.XLOOKUP($H1208&amp;$V1208,BASEDATOS!$B:$B,BASEDATOS!F:F,0,0,1)</f>
        <v>NOCHE</v>
      </c>
      <c r="J1208" s="51">
        <f>+_xlfn.XLOOKUP($H1208&amp;$V1208,BASEDATOS!$B:$B,BASEDATOS!Q:Q,0,0,1)</f>
        <v>0.75</v>
      </c>
      <c r="K1208" s="51">
        <f>+_xlfn.XLOOKUP($H1208&amp;$V1208,BASEDATOS!$B:$B,BASEDATOS!R:R,0,0,1)</f>
        <v>0.25</v>
      </c>
      <c r="L1208" s="51">
        <f t="shared" si="1434"/>
        <v>0.5</v>
      </c>
      <c r="M1208" s="52" t="str">
        <f t="shared" si="1435"/>
        <v>1:00</v>
      </c>
      <c r="N1208" s="51">
        <f t="shared" si="1436"/>
        <v>0.45833333333333331</v>
      </c>
      <c r="O1208" s="53" t="str">
        <f t="shared" ref="O1208" si="1484">+O1211</f>
        <v>1-4-2</v>
      </c>
      <c r="P1208" s="54">
        <f>+IF(AND(Y1208="Domingo",U1208=7),_xlfn.XLOOKUP(O1208,'Horarios y Sistemas'!C:C,'Horarios y Sistemas'!H:H,0,0,1),0)</f>
        <v>0</v>
      </c>
      <c r="Q1208" s="54">
        <f>IF(U1208=U1209,0,IF(AVERAGEIF(W:W,W1208,U:U)=U1208,0,_xlfn.XLOOKUP(O1208,'Horarios y Sistemas'!C:C,'Horarios y Sistemas'!H:H,0,0,1)-P1208))/7*U1208</f>
        <v>0</v>
      </c>
      <c r="R1208" s="54">
        <f t="shared" si="1438"/>
        <v>0</v>
      </c>
      <c r="S1208" s="55" t="str">
        <f t="shared" si="1439"/>
        <v>SEPTIEMBRE</v>
      </c>
      <c r="T1208" s="55" t="str">
        <f t="shared" si="1440"/>
        <v>Sem38</v>
      </c>
      <c r="U1208" s="56">
        <f t="shared" si="1422"/>
        <v>7</v>
      </c>
      <c r="V1208" s="59">
        <v>46282</v>
      </c>
      <c r="W1208" s="56">
        <f t="shared" si="1441"/>
        <v>38</v>
      </c>
      <c r="X1208" s="56">
        <f t="shared" si="1442"/>
        <v>17</v>
      </c>
      <c r="Y1208" s="56" t="s">
        <v>31</v>
      </c>
      <c r="Z1208" s="56">
        <v>4</v>
      </c>
      <c r="AA1208" s="58">
        <f t="shared" si="1464"/>
        <v>0</v>
      </c>
      <c r="AB1208" s="58">
        <f t="shared" si="1464"/>
        <v>1</v>
      </c>
      <c r="AC1208" s="58">
        <f t="shared" si="1464"/>
        <v>0</v>
      </c>
      <c r="AD1208" s="58">
        <f t="shared" si="1464"/>
        <v>0</v>
      </c>
      <c r="AE1208" s="58">
        <f t="shared" si="1464"/>
        <v>0</v>
      </c>
    </row>
    <row r="1209" spans="2:31">
      <c r="B1209" t="str">
        <f t="shared" si="1429"/>
        <v>Sem3838kenneth Eduardo otzin López</v>
      </c>
      <c r="C1209" t="str">
        <f t="shared" si="1430"/>
        <v>SEPTIEMBRESem38</v>
      </c>
      <c r="D1209" t="str">
        <f t="shared" si="1431"/>
        <v>SEPTIEMBRESem38kenneth Eduardo otzin López</v>
      </c>
      <c r="E1209" t="str">
        <f t="shared" si="1432"/>
        <v>SEPTIEMBRESem3838kenneth Eduardo otzin López</v>
      </c>
      <c r="F1209" t="str">
        <f t="shared" si="1433"/>
        <v>kenneth Eduardo otzin López46283</v>
      </c>
      <c r="H1209" s="49" t="s">
        <v>233</v>
      </c>
      <c r="I1209" s="50" t="str">
        <f>+_xlfn.XLOOKUP($H1209&amp;$V1209,BASEDATOS!$B:$B,BASEDATOS!F:F,0,0,1)</f>
        <v>NOCHE</v>
      </c>
      <c r="J1209" s="51">
        <f>+_xlfn.XLOOKUP($H1209&amp;$V1209,BASEDATOS!$B:$B,BASEDATOS!Q:Q,0,0,1)</f>
        <v>0.75</v>
      </c>
      <c r="K1209" s="51">
        <f>+_xlfn.XLOOKUP($H1209&amp;$V1209,BASEDATOS!$B:$B,BASEDATOS!R:R,0,0,1)</f>
        <v>0.25</v>
      </c>
      <c r="L1209" s="51">
        <f t="shared" si="1434"/>
        <v>0.5</v>
      </c>
      <c r="M1209" s="52" t="str">
        <f t="shared" si="1435"/>
        <v>1:00</v>
      </c>
      <c r="N1209" s="51">
        <f t="shared" si="1436"/>
        <v>0.45833333333333331</v>
      </c>
      <c r="O1209" s="53" t="str">
        <f t="shared" ref="O1209" si="1485">+O1211</f>
        <v>1-4-2</v>
      </c>
      <c r="P1209" s="54">
        <f>+IF(AND(Y1209="Domingo",U1209=7),_xlfn.XLOOKUP(O1209,'Horarios y Sistemas'!C:C,'Horarios y Sistemas'!H:H,0,0,1),0)</f>
        <v>0</v>
      </c>
      <c r="Q1209" s="54">
        <f>IF(U1209=U1210,0,IF(AVERAGEIF(W:W,W1209,U:U)=U1209,0,_xlfn.XLOOKUP(O1209,'Horarios y Sistemas'!C:C,'Horarios y Sistemas'!H:H,0,0,1)-P1209))/7*U1209</f>
        <v>0</v>
      </c>
      <c r="R1209" s="54">
        <f t="shared" si="1438"/>
        <v>0</v>
      </c>
      <c r="S1209" s="55" t="str">
        <f t="shared" si="1439"/>
        <v>SEPTIEMBRE</v>
      </c>
      <c r="T1209" s="55" t="str">
        <f t="shared" si="1440"/>
        <v>Sem38</v>
      </c>
      <c r="U1209" s="56">
        <f t="shared" si="1422"/>
        <v>7</v>
      </c>
      <c r="V1209" s="59">
        <v>46283</v>
      </c>
      <c r="W1209" s="56">
        <f t="shared" si="1441"/>
        <v>38</v>
      </c>
      <c r="X1209" s="56">
        <f t="shared" si="1442"/>
        <v>18</v>
      </c>
      <c r="Y1209" s="56" t="s">
        <v>32</v>
      </c>
      <c r="Z1209" s="56">
        <v>5</v>
      </c>
      <c r="AA1209" s="58">
        <f t="shared" si="1464"/>
        <v>0</v>
      </c>
      <c r="AB1209" s="58">
        <f t="shared" si="1464"/>
        <v>1</v>
      </c>
      <c r="AC1209" s="58">
        <f t="shared" si="1464"/>
        <v>0</v>
      </c>
      <c r="AD1209" s="58">
        <f t="shared" si="1464"/>
        <v>0</v>
      </c>
      <c r="AE1209" s="58">
        <f t="shared" si="1464"/>
        <v>0</v>
      </c>
    </row>
    <row r="1210" spans="2:31">
      <c r="B1210" t="str">
        <f t="shared" si="1429"/>
        <v>Sem3838kenneth Eduardo otzin López</v>
      </c>
      <c r="C1210" t="str">
        <f t="shared" si="1430"/>
        <v>SEPTIEMBRESem38</v>
      </c>
      <c r="D1210" t="str">
        <f t="shared" si="1431"/>
        <v>SEPTIEMBRESem38kenneth Eduardo otzin López</v>
      </c>
      <c r="E1210" t="str">
        <f t="shared" si="1432"/>
        <v>SEPTIEMBRESem3838kenneth Eduardo otzin López</v>
      </c>
      <c r="F1210" t="str">
        <f t="shared" si="1433"/>
        <v>kenneth Eduardo otzin López46284</v>
      </c>
      <c r="H1210" s="49" t="s">
        <v>233</v>
      </c>
      <c r="I1210" s="50" t="str">
        <f>+_xlfn.XLOOKUP($H1210&amp;$V1210,BASEDATOS!$B:$B,BASEDATOS!F:F,0,0,1)</f>
        <v>NOCHE</v>
      </c>
      <c r="J1210" s="51">
        <f>+_xlfn.XLOOKUP($H1210&amp;$V1210,BASEDATOS!$B:$B,BASEDATOS!Q:Q,0,0,1)</f>
        <v>0.75</v>
      </c>
      <c r="K1210" s="51">
        <f>+_xlfn.XLOOKUP($H1210&amp;$V1210,BASEDATOS!$B:$B,BASEDATOS!R:R,0,0,1)</f>
        <v>0.25</v>
      </c>
      <c r="L1210" s="51">
        <f t="shared" si="1434"/>
        <v>0.5</v>
      </c>
      <c r="M1210" s="52" t="str">
        <f t="shared" si="1435"/>
        <v>1:00</v>
      </c>
      <c r="N1210" s="51">
        <f t="shared" si="1436"/>
        <v>0.45833333333333331</v>
      </c>
      <c r="O1210" s="53" t="str">
        <f t="shared" ref="O1210" si="1486">+O1211</f>
        <v>1-4-2</v>
      </c>
      <c r="P1210" s="54">
        <f>+IF(AND(Y1210="Domingo",U1210=7),_xlfn.XLOOKUP(O1210,'Horarios y Sistemas'!C:C,'Horarios y Sistemas'!H:H,0,0,1),0)</f>
        <v>0</v>
      </c>
      <c r="Q1210" s="54">
        <f>IF(U1210=U1211,0,IF(AVERAGEIF(W:W,W1210,U:U)=U1210,0,_xlfn.XLOOKUP(O1210,'Horarios y Sistemas'!C:C,'Horarios y Sistemas'!H:H,0,0,1)-P1210))/7*U1210</f>
        <v>0</v>
      </c>
      <c r="R1210" s="54">
        <f t="shared" si="1438"/>
        <v>0</v>
      </c>
      <c r="S1210" s="55" t="str">
        <f t="shared" si="1439"/>
        <v>SEPTIEMBRE</v>
      </c>
      <c r="T1210" s="55" t="str">
        <f t="shared" si="1440"/>
        <v>Sem38</v>
      </c>
      <c r="U1210" s="56">
        <f t="shared" si="1422"/>
        <v>7</v>
      </c>
      <c r="V1210" s="59">
        <v>46284</v>
      </c>
      <c r="W1210" s="56">
        <f t="shared" si="1441"/>
        <v>38</v>
      </c>
      <c r="X1210" s="56">
        <f t="shared" si="1442"/>
        <v>19</v>
      </c>
      <c r="Y1210" s="56" t="s">
        <v>33</v>
      </c>
      <c r="Z1210" s="56">
        <v>6</v>
      </c>
      <c r="AA1210" s="58">
        <f t="shared" si="1464"/>
        <v>0</v>
      </c>
      <c r="AB1210" s="58">
        <f t="shared" si="1464"/>
        <v>1</v>
      </c>
      <c r="AC1210" s="58">
        <f t="shared" si="1464"/>
        <v>0</v>
      </c>
      <c r="AD1210" s="58">
        <f t="shared" si="1464"/>
        <v>0</v>
      </c>
      <c r="AE1210" s="58">
        <f t="shared" si="1464"/>
        <v>0</v>
      </c>
    </row>
    <row r="1211" spans="2:31">
      <c r="B1211" s="60" t="str">
        <f t="shared" si="1429"/>
        <v>Sem3838kenneth Eduardo otzin López</v>
      </c>
      <c r="C1211" s="60" t="str">
        <f t="shared" si="1430"/>
        <v>SEPTIEMBRESem38</v>
      </c>
      <c r="D1211" s="60" t="str">
        <f t="shared" si="1431"/>
        <v>SEPTIEMBRESem38kenneth Eduardo otzin López</v>
      </c>
      <c r="E1211" s="60" t="str">
        <f t="shared" si="1432"/>
        <v>SEPTIEMBRESem3838kenneth Eduardo otzin López</v>
      </c>
      <c r="F1211" s="60" t="str">
        <f t="shared" si="1433"/>
        <v>kenneth Eduardo otzin López46285</v>
      </c>
      <c r="G1211" s="60"/>
      <c r="H1211" s="61" t="s">
        <v>233</v>
      </c>
      <c r="I1211" s="62" t="str">
        <f>+_xlfn.XLOOKUP($H1211&amp;$V1211,BASEDATOS!$B:$B,BASEDATOS!F:F,0,0,1)</f>
        <v>DESCANSO</v>
      </c>
      <c r="J1211" s="63">
        <f>+_xlfn.XLOOKUP($H1211&amp;$V1211,BASEDATOS!$B:$B,BASEDATOS!Q:Q,0,0,1)</f>
        <v>0</v>
      </c>
      <c r="K1211" s="63">
        <f>+_xlfn.XLOOKUP($H1211&amp;$V1211,BASEDATOS!$B:$B,BASEDATOS!R:R,0,0,1)</f>
        <v>0</v>
      </c>
      <c r="L1211" s="63">
        <f t="shared" si="1434"/>
        <v>0</v>
      </c>
      <c r="M1211" s="64">
        <f t="shared" si="1435"/>
        <v>0</v>
      </c>
      <c r="N1211" s="63">
        <f t="shared" si="1436"/>
        <v>0</v>
      </c>
      <c r="O1211" s="65" t="str">
        <f t="shared" ref="O1211" si="1487">+IF(Y1211="Domingo",SUM(AA1205:AA1211)&amp;"-"&amp;SUM(AB1205:AB1211)&amp;"-"&amp;SUM(AC1205:AE1211),"")</f>
        <v>1-4-2</v>
      </c>
      <c r="P1211" s="66">
        <f>+IF(AND(Y1211="Domingo",U1211=7),_xlfn.XLOOKUP(O1211,'Horarios y Sistemas'!C:C,'Horarios y Sistemas'!H:H,0,0,1),0)</f>
        <v>37.6</v>
      </c>
      <c r="Q1211" s="66">
        <f>IF(U1211=U1212,0,IF(AVERAGEIF(W:W,W1211,U:U)=U1211,0,_xlfn.XLOOKUP(O1211,'Horarios y Sistemas'!C:C,'Horarios y Sistemas'!H:H,0,0,1)-P1211))/7*U1211</f>
        <v>0</v>
      </c>
      <c r="R1211" s="66">
        <f t="shared" si="1438"/>
        <v>37.6</v>
      </c>
      <c r="S1211" s="67" t="str">
        <f t="shared" si="1439"/>
        <v>SEPTIEMBRE</v>
      </c>
      <c r="T1211" s="55" t="str">
        <f t="shared" si="1440"/>
        <v>Sem38</v>
      </c>
      <c r="U1211" s="68">
        <f t="shared" si="1422"/>
        <v>7</v>
      </c>
      <c r="V1211" s="69">
        <v>46285</v>
      </c>
      <c r="W1211" s="68">
        <f t="shared" si="1441"/>
        <v>38</v>
      </c>
      <c r="X1211" s="68">
        <f t="shared" si="1442"/>
        <v>20</v>
      </c>
      <c r="Y1211" s="68" t="s">
        <v>34</v>
      </c>
      <c r="Z1211" s="68">
        <v>7</v>
      </c>
      <c r="AA1211" s="70">
        <f t="shared" si="1464"/>
        <v>0</v>
      </c>
      <c r="AB1211" s="70">
        <f t="shared" si="1464"/>
        <v>0</v>
      </c>
      <c r="AC1211" s="70">
        <f t="shared" si="1464"/>
        <v>1</v>
      </c>
      <c r="AD1211" s="70">
        <f t="shared" si="1464"/>
        <v>0</v>
      </c>
      <c r="AE1211" s="70">
        <f t="shared" si="1464"/>
        <v>0</v>
      </c>
    </row>
    <row r="1212" spans="2:31">
      <c r="B1212" t="str">
        <f t="shared" si="1429"/>
        <v>Sem3939kenneth Eduardo otzin López</v>
      </c>
      <c r="C1212" t="str">
        <f t="shared" si="1430"/>
        <v>SEPTIEMBRESem39</v>
      </c>
      <c r="D1212" t="str">
        <f t="shared" si="1431"/>
        <v>SEPTIEMBRESem39kenneth Eduardo otzin López</v>
      </c>
      <c r="E1212" t="str">
        <f t="shared" si="1432"/>
        <v>SEPTIEMBRESem3939kenneth Eduardo otzin López</v>
      </c>
      <c r="F1212" t="str">
        <f t="shared" si="1433"/>
        <v>kenneth Eduardo otzin López46286</v>
      </c>
      <c r="H1212" s="49" t="s">
        <v>233</v>
      </c>
      <c r="I1212" s="50" t="str">
        <f>+_xlfn.XLOOKUP($H1212&amp;$V1212,BASEDATOS!$B:$B,BASEDATOS!F:F,0,0,1)</f>
        <v>DIA</v>
      </c>
      <c r="J1212" s="51">
        <f>+_xlfn.XLOOKUP($H1212&amp;$V1212,BASEDATOS!$B:$B,BASEDATOS!Q:Q,0,0,1)</f>
        <v>0.25</v>
      </c>
      <c r="K1212" s="51">
        <f>+_xlfn.XLOOKUP($H1212&amp;$V1212,BASEDATOS!$B:$B,BASEDATOS!R:R,0,0,1)</f>
        <v>0.75</v>
      </c>
      <c r="L1212" s="51">
        <f t="shared" si="1434"/>
        <v>0.5</v>
      </c>
      <c r="M1212" s="52" t="str">
        <f t="shared" si="1435"/>
        <v>1:00</v>
      </c>
      <c r="N1212" s="51">
        <f t="shared" si="1436"/>
        <v>0.45833333333333331</v>
      </c>
      <c r="O1212" s="53" t="str">
        <f t="shared" ref="O1212" si="1488">+O1218</f>
        <v>4-0-3</v>
      </c>
      <c r="P1212" s="54">
        <f>+IF(AND(Y1212="Domingo",U1212=7),_xlfn.XLOOKUP(O1212,'Horarios y Sistemas'!C:C,'Horarios y Sistemas'!H:H,0,0,1),0)</f>
        <v>0</v>
      </c>
      <c r="Q1212" s="54">
        <f>IF(U1212=U1213,0,IF(AVERAGEIF(W:W,W1212,U:U)=U1212,0,_xlfn.XLOOKUP(O1212,'Horarios y Sistemas'!C:C,'Horarios y Sistemas'!H:H,0,0,1)-P1212))/7*U1212</f>
        <v>0</v>
      </c>
      <c r="R1212" s="54">
        <f t="shared" si="1438"/>
        <v>0</v>
      </c>
      <c r="S1212" s="55" t="str">
        <f t="shared" si="1439"/>
        <v>SEPTIEMBRE</v>
      </c>
      <c r="T1212" s="55" t="str">
        <f t="shared" si="1440"/>
        <v>Sem39</v>
      </c>
      <c r="U1212" s="56">
        <f t="shared" si="1422"/>
        <v>7</v>
      </c>
      <c r="V1212" s="57">
        <v>46286</v>
      </c>
      <c r="W1212" s="56">
        <f t="shared" si="1441"/>
        <v>39</v>
      </c>
      <c r="X1212" s="56">
        <f t="shared" si="1442"/>
        <v>21</v>
      </c>
      <c r="Y1212" s="56" t="s">
        <v>28</v>
      </c>
      <c r="Z1212" s="56">
        <v>1</v>
      </c>
      <c r="AA1212" s="58">
        <f t="shared" si="1464"/>
        <v>1</v>
      </c>
      <c r="AB1212" s="58">
        <f t="shared" si="1464"/>
        <v>0</v>
      </c>
      <c r="AC1212" s="58">
        <f t="shared" si="1464"/>
        <v>0</v>
      </c>
      <c r="AD1212" s="58">
        <f t="shared" si="1464"/>
        <v>0</v>
      </c>
      <c r="AE1212" s="58">
        <f t="shared" si="1464"/>
        <v>0</v>
      </c>
    </row>
    <row r="1213" spans="2:31">
      <c r="B1213" t="str">
        <f t="shared" si="1429"/>
        <v>Sem3939kenneth Eduardo otzin López</v>
      </c>
      <c r="C1213" t="str">
        <f t="shared" si="1430"/>
        <v>SEPTIEMBRESem39</v>
      </c>
      <c r="D1213" t="str">
        <f t="shared" si="1431"/>
        <v>SEPTIEMBRESem39kenneth Eduardo otzin López</v>
      </c>
      <c r="E1213" t="str">
        <f t="shared" si="1432"/>
        <v>SEPTIEMBRESem3939kenneth Eduardo otzin López</v>
      </c>
      <c r="F1213" t="str">
        <f t="shared" si="1433"/>
        <v>kenneth Eduardo otzin López46287</v>
      </c>
      <c r="H1213" s="49" t="s">
        <v>233</v>
      </c>
      <c r="I1213" s="50" t="str">
        <f>+_xlfn.XLOOKUP($H1213&amp;$V1213,BASEDATOS!$B:$B,BASEDATOS!F:F,0,0,1)</f>
        <v>DESCANSO</v>
      </c>
      <c r="J1213" s="51">
        <f>+_xlfn.XLOOKUP($H1213&amp;$V1213,BASEDATOS!$B:$B,BASEDATOS!Q:Q,0,0,1)</f>
        <v>0</v>
      </c>
      <c r="K1213" s="51">
        <f>+_xlfn.XLOOKUP($H1213&amp;$V1213,BASEDATOS!$B:$B,BASEDATOS!R:R,0,0,1)</f>
        <v>0</v>
      </c>
      <c r="L1213" s="51">
        <f t="shared" si="1434"/>
        <v>0</v>
      </c>
      <c r="M1213" s="52">
        <f t="shared" si="1435"/>
        <v>0</v>
      </c>
      <c r="N1213" s="51">
        <f t="shared" si="1436"/>
        <v>0</v>
      </c>
      <c r="O1213" s="53" t="str">
        <f t="shared" ref="O1213" si="1489">+O1218</f>
        <v>4-0-3</v>
      </c>
      <c r="P1213" s="54">
        <f>+IF(AND(Y1213="Domingo",U1213=7),_xlfn.XLOOKUP(O1213,'Horarios y Sistemas'!C:C,'Horarios y Sistemas'!H:H,0,0,1),0)</f>
        <v>0</v>
      </c>
      <c r="Q1213" s="54">
        <f>IF(U1213=U1214,0,IF(AVERAGEIF(W:W,W1213,U:U)=U1213,0,_xlfn.XLOOKUP(O1213,'Horarios y Sistemas'!C:C,'Horarios y Sistemas'!H:H,0,0,1)-P1213))/7*U1213</f>
        <v>0</v>
      </c>
      <c r="R1213" s="54">
        <f t="shared" si="1438"/>
        <v>0</v>
      </c>
      <c r="S1213" s="55" t="str">
        <f t="shared" si="1439"/>
        <v>SEPTIEMBRE</v>
      </c>
      <c r="T1213" s="55" t="str">
        <f t="shared" si="1440"/>
        <v>Sem39</v>
      </c>
      <c r="U1213" s="56">
        <f t="shared" si="1422"/>
        <v>7</v>
      </c>
      <c r="V1213" s="59">
        <v>46287</v>
      </c>
      <c r="W1213" s="56">
        <f t="shared" si="1441"/>
        <v>39</v>
      </c>
      <c r="X1213" s="56">
        <f t="shared" si="1442"/>
        <v>22</v>
      </c>
      <c r="Y1213" s="56" t="s">
        <v>29</v>
      </c>
      <c r="Z1213" s="56">
        <v>2</v>
      </c>
      <c r="AA1213" s="58">
        <f t="shared" si="1464"/>
        <v>0</v>
      </c>
      <c r="AB1213" s="58">
        <f t="shared" si="1464"/>
        <v>0</v>
      </c>
      <c r="AC1213" s="58">
        <f t="shared" si="1464"/>
        <v>1</v>
      </c>
      <c r="AD1213" s="58">
        <f t="shared" si="1464"/>
        <v>0</v>
      </c>
      <c r="AE1213" s="58">
        <f t="shared" si="1464"/>
        <v>0</v>
      </c>
    </row>
    <row r="1214" spans="2:31">
      <c r="B1214" t="str">
        <f t="shared" si="1429"/>
        <v>Sem3939kenneth Eduardo otzin López</v>
      </c>
      <c r="C1214" t="str">
        <f t="shared" si="1430"/>
        <v>SEPTIEMBRESem39</v>
      </c>
      <c r="D1214" t="str">
        <f t="shared" si="1431"/>
        <v>SEPTIEMBRESem39kenneth Eduardo otzin López</v>
      </c>
      <c r="E1214" t="str">
        <f t="shared" si="1432"/>
        <v>SEPTIEMBRESem3939kenneth Eduardo otzin López</v>
      </c>
      <c r="F1214" t="str">
        <f t="shared" si="1433"/>
        <v>kenneth Eduardo otzin López46288</v>
      </c>
      <c r="H1214" s="49" t="s">
        <v>233</v>
      </c>
      <c r="I1214" s="50" t="str">
        <f>+_xlfn.XLOOKUP($H1214&amp;$V1214,BASEDATOS!$B:$B,BASEDATOS!F:F,0,0,1)</f>
        <v>DESCANSO</v>
      </c>
      <c r="J1214" s="51">
        <f>+_xlfn.XLOOKUP($H1214&amp;$V1214,BASEDATOS!$B:$B,BASEDATOS!Q:Q,0,0,1)</f>
        <v>0</v>
      </c>
      <c r="K1214" s="51">
        <f>+_xlfn.XLOOKUP($H1214&amp;$V1214,BASEDATOS!$B:$B,BASEDATOS!R:R,0,0,1)</f>
        <v>0</v>
      </c>
      <c r="L1214" s="51">
        <f t="shared" si="1434"/>
        <v>0</v>
      </c>
      <c r="M1214" s="52">
        <f t="shared" si="1435"/>
        <v>0</v>
      </c>
      <c r="N1214" s="51">
        <f t="shared" si="1436"/>
        <v>0</v>
      </c>
      <c r="O1214" s="53" t="str">
        <f t="shared" ref="O1214" si="1490">+O1218</f>
        <v>4-0-3</v>
      </c>
      <c r="P1214" s="54">
        <f>+IF(AND(Y1214="Domingo",U1214=7),_xlfn.XLOOKUP(O1214,'Horarios y Sistemas'!C:C,'Horarios y Sistemas'!H:H,0,0,1),0)</f>
        <v>0</v>
      </c>
      <c r="Q1214" s="54">
        <f>IF(U1214=U1215,0,IF(AVERAGEIF(W:W,W1214,U:U)=U1214,0,_xlfn.XLOOKUP(O1214,'Horarios y Sistemas'!C:C,'Horarios y Sistemas'!H:H,0,0,1)-P1214))/7*U1214</f>
        <v>0</v>
      </c>
      <c r="R1214" s="54">
        <f t="shared" si="1438"/>
        <v>0</v>
      </c>
      <c r="S1214" s="55" t="str">
        <f t="shared" si="1439"/>
        <v>SEPTIEMBRE</v>
      </c>
      <c r="T1214" s="55" t="str">
        <f t="shared" si="1440"/>
        <v>Sem39</v>
      </c>
      <c r="U1214" s="56">
        <f t="shared" si="1422"/>
        <v>7</v>
      </c>
      <c r="V1214" s="59">
        <v>46288</v>
      </c>
      <c r="W1214" s="56">
        <f t="shared" si="1441"/>
        <v>39</v>
      </c>
      <c r="X1214" s="56">
        <f t="shared" si="1442"/>
        <v>23</v>
      </c>
      <c r="Y1214" s="56" t="s">
        <v>30</v>
      </c>
      <c r="Z1214" s="56">
        <v>3</v>
      </c>
      <c r="AA1214" s="58">
        <f t="shared" si="1464"/>
        <v>0</v>
      </c>
      <c r="AB1214" s="58">
        <f t="shared" si="1464"/>
        <v>0</v>
      </c>
      <c r="AC1214" s="58">
        <f t="shared" si="1464"/>
        <v>1</v>
      </c>
      <c r="AD1214" s="58">
        <f t="shared" si="1464"/>
        <v>0</v>
      </c>
      <c r="AE1214" s="58">
        <f t="shared" si="1464"/>
        <v>0</v>
      </c>
    </row>
    <row r="1215" spans="2:31">
      <c r="B1215" t="str">
        <f t="shared" si="1429"/>
        <v>Sem3939kenneth Eduardo otzin López</v>
      </c>
      <c r="C1215" t="str">
        <f t="shared" si="1430"/>
        <v>SEPTIEMBRESem39</v>
      </c>
      <c r="D1215" t="str">
        <f t="shared" si="1431"/>
        <v>SEPTIEMBRESem39kenneth Eduardo otzin López</v>
      </c>
      <c r="E1215" t="str">
        <f t="shared" si="1432"/>
        <v>SEPTIEMBRESem3939kenneth Eduardo otzin López</v>
      </c>
      <c r="F1215" t="str">
        <f t="shared" si="1433"/>
        <v>kenneth Eduardo otzin López46289</v>
      </c>
      <c r="H1215" s="49" t="s">
        <v>233</v>
      </c>
      <c r="I1215" s="50" t="str">
        <f>+_xlfn.XLOOKUP($H1215&amp;$V1215,BASEDATOS!$B:$B,BASEDATOS!F:F,0,0,1)</f>
        <v>DIA</v>
      </c>
      <c r="J1215" s="51">
        <f>+_xlfn.XLOOKUP($H1215&amp;$V1215,BASEDATOS!$B:$B,BASEDATOS!Q:Q,0,0,1)</f>
        <v>0.33333333333333298</v>
      </c>
      <c r="K1215" s="51">
        <f>+_xlfn.XLOOKUP($H1215&amp;$V1215,BASEDATOS!$B:$B,BASEDATOS!R:R,0,0,1)</f>
        <v>0.70833333333333304</v>
      </c>
      <c r="L1215" s="51">
        <f t="shared" si="1434"/>
        <v>0.37500000000000006</v>
      </c>
      <c r="M1215" s="52" t="str">
        <f t="shared" si="1435"/>
        <v>1:00</v>
      </c>
      <c r="N1215" s="51">
        <f t="shared" si="1436"/>
        <v>0.33333333333333337</v>
      </c>
      <c r="O1215" s="53" t="str">
        <f t="shared" ref="O1215" si="1491">+O1218</f>
        <v>4-0-3</v>
      </c>
      <c r="P1215" s="54">
        <f>+IF(AND(Y1215="Domingo",U1215=7),_xlfn.XLOOKUP(O1215,'Horarios y Sistemas'!C:C,'Horarios y Sistemas'!H:H,0,0,1),0)</f>
        <v>0</v>
      </c>
      <c r="Q1215" s="54">
        <f>IF(U1215=U1216,0,IF(AVERAGEIF(W:W,W1215,U:U)=U1215,0,_xlfn.XLOOKUP(O1215,'Horarios y Sistemas'!C:C,'Horarios y Sistemas'!H:H,0,0,1)-P1215))/7*U1215</f>
        <v>0</v>
      </c>
      <c r="R1215" s="54">
        <f t="shared" si="1438"/>
        <v>0</v>
      </c>
      <c r="S1215" s="55" t="str">
        <f t="shared" si="1439"/>
        <v>SEPTIEMBRE</v>
      </c>
      <c r="T1215" s="55" t="str">
        <f t="shared" si="1440"/>
        <v>Sem39</v>
      </c>
      <c r="U1215" s="56">
        <f t="shared" si="1422"/>
        <v>7</v>
      </c>
      <c r="V1215" s="59">
        <v>46289</v>
      </c>
      <c r="W1215" s="56">
        <f t="shared" si="1441"/>
        <v>39</v>
      </c>
      <c r="X1215" s="56">
        <f t="shared" si="1442"/>
        <v>24</v>
      </c>
      <c r="Y1215" s="56" t="s">
        <v>31</v>
      </c>
      <c r="Z1215" s="56">
        <v>4</v>
      </c>
      <c r="AA1215" s="58">
        <f t="shared" si="1464"/>
        <v>1</v>
      </c>
      <c r="AB1215" s="58">
        <f t="shared" si="1464"/>
        <v>0</v>
      </c>
      <c r="AC1215" s="58">
        <f t="shared" si="1464"/>
        <v>0</v>
      </c>
      <c r="AD1215" s="58">
        <f t="shared" si="1464"/>
        <v>0</v>
      </c>
      <c r="AE1215" s="58">
        <f t="shared" si="1464"/>
        <v>0</v>
      </c>
    </row>
    <row r="1216" spans="2:31">
      <c r="B1216" t="str">
        <f t="shared" si="1429"/>
        <v>Sem3939kenneth Eduardo otzin López</v>
      </c>
      <c r="C1216" t="str">
        <f t="shared" si="1430"/>
        <v>SEPTIEMBRESem39</v>
      </c>
      <c r="D1216" t="str">
        <f t="shared" si="1431"/>
        <v>SEPTIEMBRESem39kenneth Eduardo otzin López</v>
      </c>
      <c r="E1216" t="str">
        <f t="shared" si="1432"/>
        <v>SEPTIEMBRESem3939kenneth Eduardo otzin López</v>
      </c>
      <c r="F1216" t="str">
        <f t="shared" si="1433"/>
        <v>kenneth Eduardo otzin López46290</v>
      </c>
      <c r="H1216" s="49" t="s">
        <v>233</v>
      </c>
      <c r="I1216" s="50" t="str">
        <f>+_xlfn.XLOOKUP($H1216&amp;$V1216,BASEDATOS!$B:$B,BASEDATOS!F:F,0,0,1)</f>
        <v>DIA</v>
      </c>
      <c r="J1216" s="51">
        <f>+_xlfn.XLOOKUP($H1216&amp;$V1216,BASEDATOS!$B:$B,BASEDATOS!Q:Q,0,0,1)</f>
        <v>0.25</v>
      </c>
      <c r="K1216" s="51">
        <f>+_xlfn.XLOOKUP($H1216&amp;$V1216,BASEDATOS!$B:$B,BASEDATOS!R:R,0,0,1)</f>
        <v>0.75</v>
      </c>
      <c r="L1216" s="51">
        <f t="shared" si="1434"/>
        <v>0.5</v>
      </c>
      <c r="M1216" s="52" t="str">
        <f t="shared" si="1435"/>
        <v>1:00</v>
      </c>
      <c r="N1216" s="51">
        <f t="shared" si="1436"/>
        <v>0.45833333333333331</v>
      </c>
      <c r="O1216" s="53" t="str">
        <f t="shared" ref="O1216" si="1492">+O1218</f>
        <v>4-0-3</v>
      </c>
      <c r="P1216" s="54">
        <f>+IF(AND(Y1216="Domingo",U1216=7),_xlfn.XLOOKUP(O1216,'Horarios y Sistemas'!C:C,'Horarios y Sistemas'!H:H,0,0,1),0)</f>
        <v>0</v>
      </c>
      <c r="Q1216" s="54">
        <f>IF(U1216=U1217,0,IF(AVERAGEIF(W:W,W1216,U:U)=U1216,0,_xlfn.XLOOKUP(O1216,'Horarios y Sistemas'!C:C,'Horarios y Sistemas'!H:H,0,0,1)-P1216))/7*U1216</f>
        <v>0</v>
      </c>
      <c r="R1216" s="54">
        <f t="shared" si="1438"/>
        <v>0</v>
      </c>
      <c r="S1216" s="55" t="str">
        <f t="shared" si="1439"/>
        <v>SEPTIEMBRE</v>
      </c>
      <c r="T1216" s="55" t="str">
        <f t="shared" si="1440"/>
        <v>Sem39</v>
      </c>
      <c r="U1216" s="56">
        <f t="shared" si="1422"/>
        <v>7</v>
      </c>
      <c r="V1216" s="59">
        <v>46290</v>
      </c>
      <c r="W1216" s="56">
        <f t="shared" si="1441"/>
        <v>39</v>
      </c>
      <c r="X1216" s="56">
        <f t="shared" si="1442"/>
        <v>25</v>
      </c>
      <c r="Y1216" s="56" t="s">
        <v>32</v>
      </c>
      <c r="Z1216" s="56">
        <v>5</v>
      </c>
      <c r="AA1216" s="58">
        <f t="shared" si="1464"/>
        <v>1</v>
      </c>
      <c r="AB1216" s="58">
        <f t="shared" si="1464"/>
        <v>0</v>
      </c>
      <c r="AC1216" s="58">
        <f t="shared" si="1464"/>
        <v>0</v>
      </c>
      <c r="AD1216" s="58">
        <f t="shared" si="1464"/>
        <v>0</v>
      </c>
      <c r="AE1216" s="58">
        <f t="shared" si="1464"/>
        <v>0</v>
      </c>
    </row>
    <row r="1217" spans="2:31">
      <c r="B1217" t="str">
        <f t="shared" si="1429"/>
        <v>Sem3939kenneth Eduardo otzin López</v>
      </c>
      <c r="C1217" t="str">
        <f t="shared" si="1430"/>
        <v>SEPTIEMBRESem39</v>
      </c>
      <c r="D1217" t="str">
        <f t="shared" si="1431"/>
        <v>SEPTIEMBRESem39kenneth Eduardo otzin López</v>
      </c>
      <c r="E1217" t="str">
        <f t="shared" si="1432"/>
        <v>SEPTIEMBRESem3939kenneth Eduardo otzin López</v>
      </c>
      <c r="F1217" t="str">
        <f t="shared" si="1433"/>
        <v>kenneth Eduardo otzin López46291</v>
      </c>
      <c r="H1217" s="49" t="s">
        <v>233</v>
      </c>
      <c r="I1217" s="50" t="str">
        <f>+_xlfn.XLOOKUP($H1217&amp;$V1217,BASEDATOS!$B:$B,BASEDATOS!F:F,0,0,1)</f>
        <v>DIA</v>
      </c>
      <c r="J1217" s="51">
        <f>+_xlfn.XLOOKUP($H1217&amp;$V1217,BASEDATOS!$B:$B,BASEDATOS!Q:Q,0,0,1)</f>
        <v>0.25</v>
      </c>
      <c r="K1217" s="51">
        <f>+_xlfn.XLOOKUP($H1217&amp;$V1217,BASEDATOS!$B:$B,BASEDATOS!R:R,0,0,1)</f>
        <v>0.75</v>
      </c>
      <c r="L1217" s="51">
        <f t="shared" si="1434"/>
        <v>0.5</v>
      </c>
      <c r="M1217" s="52" t="str">
        <f t="shared" si="1435"/>
        <v>1:00</v>
      </c>
      <c r="N1217" s="51">
        <f t="shared" si="1436"/>
        <v>0.45833333333333331</v>
      </c>
      <c r="O1217" s="53" t="str">
        <f t="shared" ref="O1217" si="1493">+O1218</f>
        <v>4-0-3</v>
      </c>
      <c r="P1217" s="54">
        <f>+IF(AND(Y1217="Domingo",U1217=7),_xlfn.XLOOKUP(O1217,'Horarios y Sistemas'!C:C,'Horarios y Sistemas'!H:H,0,0,1),0)</f>
        <v>0</v>
      </c>
      <c r="Q1217" s="54">
        <f>IF(U1217=U1218,0,IF(AVERAGEIF(W:W,W1217,U:U)=U1217,0,_xlfn.XLOOKUP(O1217,'Horarios y Sistemas'!C:C,'Horarios y Sistemas'!H:H,0,0,1)-P1217))/7*U1217</f>
        <v>0</v>
      </c>
      <c r="R1217" s="54">
        <f t="shared" si="1438"/>
        <v>0</v>
      </c>
      <c r="S1217" s="55" t="str">
        <f t="shared" si="1439"/>
        <v>SEPTIEMBRE</v>
      </c>
      <c r="T1217" s="55" t="str">
        <f t="shared" si="1440"/>
        <v>Sem39</v>
      </c>
      <c r="U1217" s="56">
        <f t="shared" si="1422"/>
        <v>7</v>
      </c>
      <c r="V1217" s="59">
        <v>46291</v>
      </c>
      <c r="W1217" s="56">
        <f t="shared" si="1441"/>
        <v>39</v>
      </c>
      <c r="X1217" s="56">
        <f t="shared" si="1442"/>
        <v>26</v>
      </c>
      <c r="Y1217" s="56" t="s">
        <v>33</v>
      </c>
      <c r="Z1217" s="56">
        <v>6</v>
      </c>
      <c r="AA1217" s="58">
        <f t="shared" si="1464"/>
        <v>1</v>
      </c>
      <c r="AB1217" s="58">
        <f t="shared" si="1464"/>
        <v>0</v>
      </c>
      <c r="AC1217" s="58">
        <f t="shared" si="1464"/>
        <v>0</v>
      </c>
      <c r="AD1217" s="58">
        <f t="shared" si="1464"/>
        <v>0</v>
      </c>
      <c r="AE1217" s="58">
        <f t="shared" si="1464"/>
        <v>0</v>
      </c>
    </row>
    <row r="1218" spans="2:31">
      <c r="B1218" s="60" t="str">
        <f t="shared" si="1429"/>
        <v>Sem3939kenneth Eduardo otzin López</v>
      </c>
      <c r="C1218" s="60" t="str">
        <f t="shared" si="1430"/>
        <v>SEPTIEMBRESem39</v>
      </c>
      <c r="D1218" s="60" t="str">
        <f t="shared" si="1431"/>
        <v>SEPTIEMBRESem39kenneth Eduardo otzin López</v>
      </c>
      <c r="E1218" s="60" t="str">
        <f t="shared" si="1432"/>
        <v>SEPTIEMBRESem3939kenneth Eduardo otzin López</v>
      </c>
      <c r="F1218" s="60" t="str">
        <f t="shared" si="1433"/>
        <v>kenneth Eduardo otzin López46292</v>
      </c>
      <c r="G1218" s="60"/>
      <c r="H1218" s="61" t="s">
        <v>233</v>
      </c>
      <c r="I1218" s="62" t="str">
        <f>+_xlfn.XLOOKUP($H1218&amp;$V1218,BASEDATOS!$B:$B,BASEDATOS!F:F,0,0,1)</f>
        <v>DESCANSO</v>
      </c>
      <c r="J1218" s="63">
        <f>+_xlfn.XLOOKUP($H1218&amp;$V1218,BASEDATOS!$B:$B,BASEDATOS!Q:Q,0,0,1)</f>
        <v>0</v>
      </c>
      <c r="K1218" s="63">
        <f>+_xlfn.XLOOKUP($H1218&amp;$V1218,BASEDATOS!$B:$B,BASEDATOS!R:R,0,0,1)</f>
        <v>0</v>
      </c>
      <c r="L1218" s="63">
        <f t="shared" si="1434"/>
        <v>0</v>
      </c>
      <c r="M1218" s="64">
        <f t="shared" si="1435"/>
        <v>0</v>
      </c>
      <c r="N1218" s="63">
        <f t="shared" si="1436"/>
        <v>0</v>
      </c>
      <c r="O1218" s="65" t="str">
        <f t="shared" ref="O1218" si="1494">+IF(Y1218="Domingo",SUM(AA1212:AA1218)&amp;"-"&amp;SUM(AB1212:AB1218)&amp;"-"&amp;SUM(AC1212:AE1218),"")</f>
        <v>4-0-3</v>
      </c>
      <c r="P1218" s="66">
        <f>+IF(AND(Y1218="Domingo",U1218=7),_xlfn.XLOOKUP(O1218,'Horarios y Sistemas'!C:C,'Horarios y Sistemas'!H:H,0,0,1),0)</f>
        <v>44</v>
      </c>
      <c r="Q1218" s="66">
        <f>IF(U1218=U1219,0,IF(AVERAGEIF(W:W,W1218,U:U)=U1218,0,_xlfn.XLOOKUP(O1218,'Horarios y Sistemas'!C:C,'Horarios y Sistemas'!H:H,0,0,1)-P1218))/7*U1218</f>
        <v>0</v>
      </c>
      <c r="R1218" s="66">
        <f t="shared" si="1438"/>
        <v>44</v>
      </c>
      <c r="S1218" s="67" t="str">
        <f t="shared" si="1439"/>
        <v>SEPTIEMBRE</v>
      </c>
      <c r="T1218" s="55" t="str">
        <f t="shared" si="1440"/>
        <v>Sem39</v>
      </c>
      <c r="U1218" s="68">
        <f t="shared" si="1422"/>
        <v>7</v>
      </c>
      <c r="V1218" s="69">
        <v>46292</v>
      </c>
      <c r="W1218" s="68">
        <f t="shared" si="1441"/>
        <v>39</v>
      </c>
      <c r="X1218" s="68">
        <f t="shared" si="1442"/>
        <v>27</v>
      </c>
      <c r="Y1218" s="68" t="s">
        <v>34</v>
      </c>
      <c r="Z1218" s="68">
        <v>7</v>
      </c>
      <c r="AA1218" s="70">
        <f t="shared" si="1464"/>
        <v>0</v>
      </c>
      <c r="AB1218" s="70">
        <f t="shared" si="1464"/>
        <v>0</v>
      </c>
      <c r="AC1218" s="70">
        <f t="shared" si="1464"/>
        <v>1</v>
      </c>
      <c r="AD1218" s="70">
        <f t="shared" si="1464"/>
        <v>0</v>
      </c>
      <c r="AE1218" s="70">
        <f t="shared" si="1464"/>
        <v>0</v>
      </c>
    </row>
    <row r="1219" spans="2:31">
      <c r="B1219" t="str">
        <f t="shared" si="1429"/>
        <v>Sem4040kenneth Eduardo otzin López</v>
      </c>
      <c r="C1219" t="str">
        <f t="shared" si="1430"/>
        <v>SEPTIEMBRESem40</v>
      </c>
      <c r="D1219" t="str">
        <f t="shared" si="1431"/>
        <v>SEPTIEMBRESem40kenneth Eduardo otzin López</v>
      </c>
      <c r="E1219" t="str">
        <f t="shared" si="1432"/>
        <v>SEPTIEMBRESem4040kenneth Eduardo otzin López</v>
      </c>
      <c r="F1219" t="str">
        <f t="shared" si="1433"/>
        <v>kenneth Eduardo otzin López46293</v>
      </c>
      <c r="H1219" s="49" t="s">
        <v>233</v>
      </c>
      <c r="I1219" s="50" t="str">
        <f>+_xlfn.XLOOKUP($H1219&amp;$V1219,BASEDATOS!$B:$B,BASEDATOS!F:F,0,0,1)</f>
        <v>NOCHE</v>
      </c>
      <c r="J1219" s="51">
        <f>+_xlfn.XLOOKUP($H1219&amp;$V1219,BASEDATOS!$B:$B,BASEDATOS!Q:Q,0,0,1)</f>
        <v>0.75</v>
      </c>
      <c r="K1219" s="51">
        <f>+_xlfn.XLOOKUP($H1219&amp;$V1219,BASEDATOS!$B:$B,BASEDATOS!R:R,0,0,1)</f>
        <v>0.25</v>
      </c>
      <c r="L1219" s="51">
        <f t="shared" si="1434"/>
        <v>0.5</v>
      </c>
      <c r="M1219" s="52" t="str">
        <f t="shared" si="1435"/>
        <v>1:00</v>
      </c>
      <c r="N1219" s="51">
        <f t="shared" si="1436"/>
        <v>0.45833333333333331</v>
      </c>
      <c r="O1219" s="53" t="str">
        <f t="shared" ref="O1219" si="1495">+O1225</f>
        <v>0-5-2</v>
      </c>
      <c r="P1219" s="54">
        <f>+IF(AND(Y1219="Domingo",U1219=7),_xlfn.XLOOKUP(O1219,'Horarios y Sistemas'!C:C,'Horarios y Sistemas'!H:H,0,0,1),0)</f>
        <v>0</v>
      </c>
      <c r="Q1219" s="54">
        <f>IF(U1219=U1220,0,IF(AVERAGEIF(W:W,W1219,U:U)=U1219,0,_xlfn.XLOOKUP(O1219,'Horarios y Sistemas'!C:C,'Horarios y Sistemas'!H:H,0,0,1)-P1219))/7*U1219</f>
        <v>0</v>
      </c>
      <c r="R1219" s="54">
        <f t="shared" si="1438"/>
        <v>0</v>
      </c>
      <c r="S1219" s="55" t="str">
        <f t="shared" si="1439"/>
        <v>SEPTIEMBRE</v>
      </c>
      <c r="T1219" s="55" t="str">
        <f t="shared" si="1440"/>
        <v>Sem40</v>
      </c>
      <c r="U1219" s="56">
        <f t="shared" si="1422"/>
        <v>7</v>
      </c>
      <c r="V1219" s="59">
        <v>46293</v>
      </c>
      <c r="W1219" s="56">
        <f t="shared" si="1441"/>
        <v>40</v>
      </c>
      <c r="X1219" s="56">
        <f t="shared" si="1442"/>
        <v>28</v>
      </c>
      <c r="Y1219" s="56" t="s">
        <v>28</v>
      </c>
      <c r="Z1219" s="56">
        <v>1</v>
      </c>
      <c r="AA1219" s="58">
        <f t="shared" si="1464"/>
        <v>0</v>
      </c>
      <c r="AB1219" s="58">
        <f t="shared" si="1464"/>
        <v>1</v>
      </c>
      <c r="AC1219" s="58">
        <f t="shared" si="1464"/>
        <v>0</v>
      </c>
      <c r="AD1219" s="58">
        <f t="shared" si="1464"/>
        <v>0</v>
      </c>
      <c r="AE1219" s="58">
        <f t="shared" si="1464"/>
        <v>0</v>
      </c>
    </row>
    <row r="1220" spans="2:31">
      <c r="B1220" t="str">
        <f t="shared" si="1429"/>
        <v>Sem4040kenneth Eduardo otzin López</v>
      </c>
      <c r="C1220" t="str">
        <f t="shared" si="1430"/>
        <v>SEPTIEMBRESem40</v>
      </c>
      <c r="D1220" t="str">
        <f t="shared" si="1431"/>
        <v>SEPTIEMBRESem40kenneth Eduardo otzin López</v>
      </c>
      <c r="E1220" t="str">
        <f t="shared" si="1432"/>
        <v>SEPTIEMBRESem4040kenneth Eduardo otzin López</v>
      </c>
      <c r="F1220" t="str">
        <f t="shared" si="1433"/>
        <v>kenneth Eduardo otzin López46294</v>
      </c>
      <c r="H1220" s="49" t="s">
        <v>233</v>
      </c>
      <c r="I1220" s="50" t="str">
        <f>+_xlfn.XLOOKUP($H1220&amp;$V1220,BASEDATOS!$B:$B,BASEDATOS!F:F,0,0,1)</f>
        <v>NOCHE</v>
      </c>
      <c r="J1220" s="51">
        <f>+_xlfn.XLOOKUP($H1220&amp;$V1220,BASEDATOS!$B:$B,BASEDATOS!Q:Q,0,0,1)</f>
        <v>0.75</v>
      </c>
      <c r="K1220" s="51">
        <f>+_xlfn.XLOOKUP($H1220&amp;$V1220,BASEDATOS!$B:$B,BASEDATOS!R:R,0,0,1)</f>
        <v>0.25</v>
      </c>
      <c r="L1220" s="51">
        <f t="shared" si="1434"/>
        <v>0.5</v>
      </c>
      <c r="M1220" s="52" t="str">
        <f t="shared" si="1435"/>
        <v>1:00</v>
      </c>
      <c r="N1220" s="51">
        <f t="shared" si="1436"/>
        <v>0.45833333333333331</v>
      </c>
      <c r="O1220" s="53" t="str">
        <f t="shared" ref="O1220" si="1496">+O1225</f>
        <v>0-5-2</v>
      </c>
      <c r="P1220" s="54">
        <f>+IF(AND(Y1220="Domingo",U1220=7),_xlfn.XLOOKUP(O1220,'Horarios y Sistemas'!C:C,'Horarios y Sistemas'!H:H,0,0,1),0)</f>
        <v>0</v>
      </c>
      <c r="Q1220" s="54">
        <f>IF(U1220=U1221,0,IF(AVERAGEIF(W:W,W1220,U:U)=U1220,0,_xlfn.XLOOKUP(O1220,'Horarios y Sistemas'!C:C,'Horarios y Sistemas'!H:H,0,0,1)-P1220))/7*U1220</f>
        <v>0</v>
      </c>
      <c r="R1220" s="54">
        <f t="shared" si="1438"/>
        <v>0</v>
      </c>
      <c r="S1220" s="55" t="str">
        <f t="shared" si="1439"/>
        <v>SEPTIEMBRE</v>
      </c>
      <c r="T1220" s="55" t="str">
        <f t="shared" si="1440"/>
        <v>Sem40</v>
      </c>
      <c r="U1220" s="56">
        <f t="shared" si="1422"/>
        <v>7</v>
      </c>
      <c r="V1220" s="59">
        <v>46294</v>
      </c>
      <c r="W1220" s="56">
        <f t="shared" si="1441"/>
        <v>40</v>
      </c>
      <c r="X1220" s="56">
        <f t="shared" si="1442"/>
        <v>29</v>
      </c>
      <c r="Y1220" s="56" t="s">
        <v>29</v>
      </c>
      <c r="Z1220" s="56">
        <v>2</v>
      </c>
      <c r="AA1220" s="58">
        <f t="shared" si="1464"/>
        <v>0</v>
      </c>
      <c r="AB1220" s="58">
        <f t="shared" si="1464"/>
        <v>1</v>
      </c>
      <c r="AC1220" s="58">
        <f t="shared" si="1464"/>
        <v>0</v>
      </c>
      <c r="AD1220" s="58">
        <f t="shared" si="1464"/>
        <v>0</v>
      </c>
      <c r="AE1220" s="58">
        <f t="shared" si="1464"/>
        <v>0</v>
      </c>
    </row>
    <row r="1221" spans="2:31">
      <c r="B1221" t="str">
        <f t="shared" si="1429"/>
        <v>Sem4040kenneth Eduardo otzin López</v>
      </c>
      <c r="C1221" t="str">
        <f t="shared" si="1430"/>
        <v>SEPTIEMBRESem40</v>
      </c>
      <c r="D1221" t="str">
        <f t="shared" si="1431"/>
        <v>SEPTIEMBRESem40kenneth Eduardo otzin López</v>
      </c>
      <c r="E1221" t="str">
        <f t="shared" si="1432"/>
        <v>SEPTIEMBRESem4040kenneth Eduardo otzin López</v>
      </c>
      <c r="F1221" t="str">
        <f t="shared" si="1433"/>
        <v>kenneth Eduardo otzin López46295</v>
      </c>
      <c r="H1221" s="49" t="s">
        <v>233</v>
      </c>
      <c r="I1221" s="50" t="str">
        <f>+_xlfn.XLOOKUP($H1221&amp;$V1221,BASEDATOS!$B:$B,BASEDATOS!F:F,0,0,1)</f>
        <v>NOCHE</v>
      </c>
      <c r="J1221" s="51">
        <f>+_xlfn.XLOOKUP($H1221&amp;$V1221,BASEDATOS!$B:$B,BASEDATOS!Q:Q,0,0,1)</f>
        <v>0.75</v>
      </c>
      <c r="K1221" s="51">
        <f>+_xlfn.XLOOKUP($H1221&amp;$V1221,BASEDATOS!$B:$B,BASEDATOS!R:R,0,0,1)</f>
        <v>0.25</v>
      </c>
      <c r="L1221" s="51">
        <f t="shared" si="1434"/>
        <v>0.5</v>
      </c>
      <c r="M1221" s="52" t="str">
        <f t="shared" si="1435"/>
        <v>1:00</v>
      </c>
      <c r="N1221" s="51">
        <f t="shared" si="1436"/>
        <v>0.45833333333333331</v>
      </c>
      <c r="O1221" s="53" t="str">
        <f t="shared" ref="O1221" si="1497">+O1225</f>
        <v>0-5-2</v>
      </c>
      <c r="P1221" s="54">
        <f>+IF(AND(Y1221="Domingo",U1221=7),_xlfn.XLOOKUP(O1221,'Horarios y Sistemas'!C:C,'Horarios y Sistemas'!H:H,0,0,1),0)</f>
        <v>0</v>
      </c>
      <c r="Q1221" s="54">
        <f>IF(U1221=U1222,0,IF(AVERAGEIF(W:W,W1221,U:U)=U1221,0,_xlfn.XLOOKUP(O1221,'Horarios y Sistemas'!C:C,'Horarios y Sistemas'!H:H,0,0,1)-P1221))/7*U1221</f>
        <v>0</v>
      </c>
      <c r="R1221" s="54">
        <f t="shared" si="1438"/>
        <v>0</v>
      </c>
      <c r="S1221" s="55" t="str">
        <f t="shared" si="1439"/>
        <v>SEPTIEMBRE</v>
      </c>
      <c r="T1221" s="55" t="str">
        <f t="shared" si="1440"/>
        <v>Sem40</v>
      </c>
      <c r="U1221" s="56">
        <f t="shared" si="1422"/>
        <v>7</v>
      </c>
      <c r="V1221" s="59">
        <v>46295</v>
      </c>
      <c r="W1221" s="56">
        <f t="shared" si="1441"/>
        <v>40</v>
      </c>
      <c r="X1221" s="56">
        <f t="shared" si="1442"/>
        <v>30</v>
      </c>
      <c r="Y1221" s="56" t="s">
        <v>30</v>
      </c>
      <c r="Z1221" s="56">
        <v>3</v>
      </c>
      <c r="AA1221" s="58">
        <f t="shared" si="1464"/>
        <v>0</v>
      </c>
      <c r="AB1221" s="58">
        <f t="shared" si="1464"/>
        <v>1</v>
      </c>
      <c r="AC1221" s="58">
        <f t="shared" si="1464"/>
        <v>0</v>
      </c>
      <c r="AD1221" s="58">
        <f t="shared" si="1464"/>
        <v>0</v>
      </c>
      <c r="AE1221" s="58">
        <f t="shared" si="1464"/>
        <v>0</v>
      </c>
    </row>
    <row r="1222" spans="2:31">
      <c r="B1222" t="str">
        <f t="shared" si="1429"/>
        <v>Sem4040kenneth Eduardo otzin López</v>
      </c>
      <c r="C1222" t="str">
        <f t="shared" si="1430"/>
        <v>OCTUBRESem40</v>
      </c>
      <c r="D1222" t="str">
        <f t="shared" si="1431"/>
        <v>OCTUBRESem40kenneth Eduardo otzin López</v>
      </c>
      <c r="E1222" t="str">
        <f t="shared" si="1432"/>
        <v>OCTUBRESem4040kenneth Eduardo otzin López</v>
      </c>
      <c r="F1222" t="str">
        <f t="shared" si="1433"/>
        <v>kenneth Eduardo otzin López46296</v>
      </c>
      <c r="H1222" s="49" t="s">
        <v>233</v>
      </c>
      <c r="I1222" s="50" t="str">
        <f>+_xlfn.XLOOKUP($H1222&amp;$V1222,BASEDATOS!$B:$B,BASEDATOS!F:F,0,0,1)</f>
        <v>NOCHE</v>
      </c>
      <c r="J1222" s="51">
        <f>+_xlfn.XLOOKUP($H1222&amp;$V1222,BASEDATOS!$B:$B,BASEDATOS!Q:Q,0,0,1)</f>
        <v>0.75</v>
      </c>
      <c r="K1222" s="51">
        <f>+_xlfn.XLOOKUP($H1222&amp;$V1222,BASEDATOS!$B:$B,BASEDATOS!R:R,0,0,1)</f>
        <v>0.25</v>
      </c>
      <c r="L1222" s="51">
        <f t="shared" si="1434"/>
        <v>0.5</v>
      </c>
      <c r="M1222" s="52" t="str">
        <f t="shared" si="1435"/>
        <v>1:00</v>
      </c>
      <c r="N1222" s="51">
        <f t="shared" si="1436"/>
        <v>0.45833333333333331</v>
      </c>
      <c r="O1222" s="53" t="str">
        <f t="shared" ref="O1222" si="1498">+O1225</f>
        <v>0-5-2</v>
      </c>
      <c r="P1222" s="54">
        <f>+IF(AND(Y1222="Domingo",U1222=7),_xlfn.XLOOKUP(O1222,'Horarios y Sistemas'!C:C,'Horarios y Sistemas'!H:H,0,0,1),0)</f>
        <v>0</v>
      </c>
      <c r="Q1222" s="54">
        <f>IF(U1222=U1223,0,IF(AVERAGEIF(W:W,W1222,U:U)=U1222,0,_xlfn.XLOOKUP(O1222,'Horarios y Sistemas'!C:C,'Horarios y Sistemas'!H:H,0,0,1)-P1222))/7*U1222</f>
        <v>0</v>
      </c>
      <c r="R1222" s="54">
        <f t="shared" si="1438"/>
        <v>0</v>
      </c>
      <c r="S1222" s="55" t="str">
        <f t="shared" si="1439"/>
        <v>OCTUBRE</v>
      </c>
      <c r="T1222" s="55" t="str">
        <f t="shared" si="1440"/>
        <v>Sem40</v>
      </c>
      <c r="U1222" s="56">
        <f t="shared" si="1422"/>
        <v>7</v>
      </c>
      <c r="V1222" s="59">
        <v>46296</v>
      </c>
      <c r="W1222" s="56">
        <f t="shared" si="1441"/>
        <v>40</v>
      </c>
      <c r="X1222" s="56">
        <f t="shared" si="1442"/>
        <v>1</v>
      </c>
      <c r="Y1222" s="56" t="s">
        <v>31</v>
      </c>
      <c r="Z1222" s="56">
        <v>4</v>
      </c>
      <c r="AA1222" s="58">
        <f t="shared" si="1464"/>
        <v>0</v>
      </c>
      <c r="AB1222" s="58">
        <f t="shared" si="1464"/>
        <v>1</v>
      </c>
      <c r="AC1222" s="58">
        <f t="shared" si="1464"/>
        <v>0</v>
      </c>
      <c r="AD1222" s="58">
        <f t="shared" si="1464"/>
        <v>0</v>
      </c>
      <c r="AE1222" s="58">
        <f t="shared" si="1464"/>
        <v>0</v>
      </c>
    </row>
    <row r="1223" spans="2:31">
      <c r="B1223" t="str">
        <f t="shared" si="1429"/>
        <v>Sem4040kenneth Eduardo otzin López</v>
      </c>
      <c r="C1223" t="str">
        <f t="shared" si="1430"/>
        <v>OCTUBRESem40</v>
      </c>
      <c r="D1223" t="str">
        <f t="shared" si="1431"/>
        <v>OCTUBRESem40kenneth Eduardo otzin López</v>
      </c>
      <c r="E1223" t="str">
        <f t="shared" si="1432"/>
        <v>OCTUBRESem4040kenneth Eduardo otzin López</v>
      </c>
      <c r="F1223" t="str">
        <f t="shared" si="1433"/>
        <v>kenneth Eduardo otzin López46297</v>
      </c>
      <c r="H1223" s="49" t="s">
        <v>233</v>
      </c>
      <c r="I1223" s="50" t="str">
        <f>+_xlfn.XLOOKUP($H1223&amp;$V1223,BASEDATOS!$B:$B,BASEDATOS!F:F,0,0,1)</f>
        <v>NOCHE</v>
      </c>
      <c r="J1223" s="51">
        <f>+_xlfn.XLOOKUP($H1223&amp;$V1223,BASEDATOS!$B:$B,BASEDATOS!Q:Q,0,0,1)</f>
        <v>0.75</v>
      </c>
      <c r="K1223" s="51">
        <f>+_xlfn.XLOOKUP($H1223&amp;$V1223,BASEDATOS!$B:$B,BASEDATOS!R:R,0,0,1)</f>
        <v>0.25</v>
      </c>
      <c r="L1223" s="51">
        <f t="shared" si="1434"/>
        <v>0.5</v>
      </c>
      <c r="M1223" s="52" t="str">
        <f t="shared" si="1435"/>
        <v>1:00</v>
      </c>
      <c r="N1223" s="51">
        <f t="shared" si="1436"/>
        <v>0.45833333333333331</v>
      </c>
      <c r="O1223" s="53" t="str">
        <f t="shared" ref="O1223" si="1499">+O1225</f>
        <v>0-5-2</v>
      </c>
      <c r="P1223" s="54">
        <f>+IF(AND(Y1223="Domingo",U1223=7),_xlfn.XLOOKUP(O1223,'Horarios y Sistemas'!C:C,'Horarios y Sistemas'!H:H,0,0,1),0)</f>
        <v>0</v>
      </c>
      <c r="Q1223" s="54">
        <f>IF(U1223=U1224,0,IF(AVERAGEIF(W:W,W1223,U:U)=U1223,0,_xlfn.XLOOKUP(O1223,'Horarios y Sistemas'!C:C,'Horarios y Sistemas'!H:H,0,0,1)-P1223))/7*U1223</f>
        <v>0</v>
      </c>
      <c r="R1223" s="54">
        <f t="shared" si="1438"/>
        <v>0</v>
      </c>
      <c r="S1223" s="55" t="str">
        <f t="shared" si="1439"/>
        <v>OCTUBRE</v>
      </c>
      <c r="T1223" s="55" t="str">
        <f t="shared" si="1440"/>
        <v>Sem40</v>
      </c>
      <c r="U1223" s="56">
        <f t="shared" si="1422"/>
        <v>7</v>
      </c>
      <c r="V1223" s="59">
        <v>46297</v>
      </c>
      <c r="W1223" s="56">
        <f t="shared" si="1441"/>
        <v>40</v>
      </c>
      <c r="X1223" s="56">
        <f t="shared" si="1442"/>
        <v>2</v>
      </c>
      <c r="Y1223" s="56" t="s">
        <v>32</v>
      </c>
      <c r="Z1223" s="56">
        <v>5</v>
      </c>
      <c r="AA1223" s="58">
        <f t="shared" si="1464"/>
        <v>0</v>
      </c>
      <c r="AB1223" s="58">
        <f t="shared" si="1464"/>
        <v>1</v>
      </c>
      <c r="AC1223" s="58">
        <f t="shared" si="1464"/>
        <v>0</v>
      </c>
      <c r="AD1223" s="58">
        <f t="shared" si="1464"/>
        <v>0</v>
      </c>
      <c r="AE1223" s="58">
        <f t="shared" si="1464"/>
        <v>0</v>
      </c>
    </row>
    <row r="1224" spans="2:31">
      <c r="B1224" t="str">
        <f t="shared" si="1429"/>
        <v>Sem4040kenneth Eduardo otzin López</v>
      </c>
      <c r="C1224" t="str">
        <f t="shared" si="1430"/>
        <v>OCTUBRESem40</v>
      </c>
      <c r="D1224" t="str">
        <f t="shared" si="1431"/>
        <v>OCTUBRESem40kenneth Eduardo otzin López</v>
      </c>
      <c r="E1224" t="str">
        <f t="shared" si="1432"/>
        <v>OCTUBRESem4040kenneth Eduardo otzin López</v>
      </c>
      <c r="F1224" t="str">
        <f t="shared" si="1433"/>
        <v>kenneth Eduardo otzin López46298</v>
      </c>
      <c r="H1224" s="49" t="s">
        <v>233</v>
      </c>
      <c r="I1224" s="50" t="str">
        <f>+_xlfn.XLOOKUP($H1224&amp;$V1224,BASEDATOS!$B:$B,BASEDATOS!F:F,0,0,1)</f>
        <v>DESCANSO</v>
      </c>
      <c r="J1224" s="51">
        <f>+_xlfn.XLOOKUP($H1224&amp;$V1224,BASEDATOS!$B:$B,BASEDATOS!Q:Q,0,0,1)</f>
        <v>0</v>
      </c>
      <c r="K1224" s="51">
        <f>+_xlfn.XLOOKUP($H1224&amp;$V1224,BASEDATOS!$B:$B,BASEDATOS!R:R,0,0,1)</f>
        <v>0</v>
      </c>
      <c r="L1224" s="51">
        <f t="shared" si="1434"/>
        <v>0</v>
      </c>
      <c r="M1224" s="52">
        <f t="shared" si="1435"/>
        <v>0</v>
      </c>
      <c r="N1224" s="51">
        <f t="shared" si="1436"/>
        <v>0</v>
      </c>
      <c r="O1224" s="53" t="str">
        <f t="shared" ref="O1224" si="1500">+O1225</f>
        <v>0-5-2</v>
      </c>
      <c r="P1224" s="54">
        <f>+IF(AND(Y1224="Domingo",U1224=7),_xlfn.XLOOKUP(O1224,'Horarios y Sistemas'!C:C,'Horarios y Sistemas'!H:H,0,0,1),0)</f>
        <v>0</v>
      </c>
      <c r="Q1224" s="54">
        <f>IF(U1224=U1225,0,IF(AVERAGEIF(W:W,W1224,U:U)=U1224,0,_xlfn.XLOOKUP(O1224,'Horarios y Sistemas'!C:C,'Horarios y Sistemas'!H:H,0,0,1)-P1224))/7*U1224</f>
        <v>0</v>
      </c>
      <c r="R1224" s="54">
        <f t="shared" si="1438"/>
        <v>0</v>
      </c>
      <c r="S1224" s="55" t="str">
        <f t="shared" si="1439"/>
        <v>OCTUBRE</v>
      </c>
      <c r="T1224" s="55" t="str">
        <f t="shared" si="1440"/>
        <v>Sem40</v>
      </c>
      <c r="U1224" s="56">
        <f t="shared" ref="U1224:U1287" si="1501">+COUNTIF(B:B,B1224)</f>
        <v>7</v>
      </c>
      <c r="V1224" s="59">
        <v>46298</v>
      </c>
      <c r="W1224" s="56">
        <f t="shared" si="1441"/>
        <v>40</v>
      </c>
      <c r="X1224" s="56">
        <f t="shared" si="1442"/>
        <v>3</v>
      </c>
      <c r="Y1224" s="56" t="s">
        <v>33</v>
      </c>
      <c r="Z1224" s="56">
        <v>6</v>
      </c>
      <c r="AA1224" s="58">
        <f t="shared" si="1464"/>
        <v>0</v>
      </c>
      <c r="AB1224" s="58">
        <f t="shared" si="1464"/>
        <v>0</v>
      </c>
      <c r="AC1224" s="58">
        <f t="shared" si="1464"/>
        <v>1</v>
      </c>
      <c r="AD1224" s="58">
        <f t="shared" si="1464"/>
        <v>0</v>
      </c>
      <c r="AE1224" s="58">
        <f t="shared" si="1464"/>
        <v>0</v>
      </c>
    </row>
    <row r="1225" spans="2:31">
      <c r="B1225" s="60" t="str">
        <f t="shared" si="1429"/>
        <v>Sem4040kenneth Eduardo otzin López</v>
      </c>
      <c r="C1225" s="60" t="str">
        <f t="shared" si="1430"/>
        <v>OCTUBRESem40</v>
      </c>
      <c r="D1225" s="60" t="str">
        <f t="shared" si="1431"/>
        <v>OCTUBRESem40kenneth Eduardo otzin López</v>
      </c>
      <c r="E1225" s="60" t="str">
        <f t="shared" si="1432"/>
        <v>OCTUBRESem4040kenneth Eduardo otzin López</v>
      </c>
      <c r="F1225" s="60" t="str">
        <f t="shared" si="1433"/>
        <v>kenneth Eduardo otzin López46299</v>
      </c>
      <c r="G1225" s="60"/>
      <c r="H1225" s="61" t="s">
        <v>233</v>
      </c>
      <c r="I1225" s="62" t="str">
        <f>+_xlfn.XLOOKUP($H1225&amp;$V1225,BASEDATOS!$B:$B,BASEDATOS!F:F,0,0,1)</f>
        <v>DESCANSO</v>
      </c>
      <c r="J1225" s="63">
        <f>+_xlfn.XLOOKUP($H1225&amp;$V1225,BASEDATOS!$B:$B,BASEDATOS!Q:Q,0,0,1)</f>
        <v>0</v>
      </c>
      <c r="K1225" s="63">
        <f>+_xlfn.XLOOKUP($H1225&amp;$V1225,BASEDATOS!$B:$B,BASEDATOS!R:R,0,0,1)</f>
        <v>0</v>
      </c>
      <c r="L1225" s="63">
        <f t="shared" si="1434"/>
        <v>0</v>
      </c>
      <c r="M1225" s="64">
        <f t="shared" si="1435"/>
        <v>0</v>
      </c>
      <c r="N1225" s="63">
        <f t="shared" si="1436"/>
        <v>0</v>
      </c>
      <c r="O1225" s="65" t="str">
        <f t="shared" ref="O1225" si="1502">+IF(Y1225="Domingo",SUM(AA1219:AA1225)&amp;"-"&amp;SUM(AB1219:AB1225)&amp;"-"&amp;SUM(AC1219:AE1225),"")</f>
        <v>0-5-2</v>
      </c>
      <c r="P1225" s="66">
        <f>+IF(AND(Y1225="Domingo",U1225=7),_xlfn.XLOOKUP(O1225,'Horarios y Sistemas'!C:C,'Horarios y Sistemas'!H:H,0,0,1),0)</f>
        <v>36</v>
      </c>
      <c r="Q1225" s="66">
        <f>IF(U1225=U1226,0,IF(AVERAGEIF(W:W,W1225,U:U)=U1225,0,_xlfn.XLOOKUP(O1225,'Horarios y Sistemas'!C:C,'Horarios y Sistemas'!H:H,0,0,1)-P1225))/7*U1225</f>
        <v>0</v>
      </c>
      <c r="R1225" s="66">
        <f t="shared" si="1438"/>
        <v>36</v>
      </c>
      <c r="S1225" s="67" t="str">
        <f t="shared" si="1439"/>
        <v>OCTUBRE</v>
      </c>
      <c r="T1225" s="55" t="str">
        <f t="shared" si="1440"/>
        <v>Sem40</v>
      </c>
      <c r="U1225" s="68">
        <f t="shared" si="1501"/>
        <v>7</v>
      </c>
      <c r="V1225" s="69">
        <v>46299</v>
      </c>
      <c r="W1225" s="68">
        <f t="shared" si="1441"/>
        <v>40</v>
      </c>
      <c r="X1225" s="68">
        <f t="shared" si="1442"/>
        <v>4</v>
      </c>
      <c r="Y1225" s="68" t="s">
        <v>34</v>
      </c>
      <c r="Z1225" s="68">
        <v>7</v>
      </c>
      <c r="AA1225" s="70">
        <f t="shared" si="1464"/>
        <v>0</v>
      </c>
      <c r="AB1225" s="70">
        <f t="shared" si="1464"/>
        <v>0</v>
      </c>
      <c r="AC1225" s="70">
        <f t="shared" si="1464"/>
        <v>1</v>
      </c>
      <c r="AD1225" s="70">
        <f t="shared" si="1464"/>
        <v>0</v>
      </c>
      <c r="AE1225" s="70">
        <f t="shared" si="1464"/>
        <v>0</v>
      </c>
    </row>
    <row r="1226" spans="2:31">
      <c r="B1226" t="str">
        <f t="shared" si="1429"/>
        <v>Sem5252</v>
      </c>
      <c r="C1226" t="str">
        <f t="shared" si="1430"/>
        <v>ENEROSem52</v>
      </c>
      <c r="D1226" t="str">
        <f t="shared" si="1431"/>
        <v>ENEROSem52</v>
      </c>
      <c r="E1226" t="str">
        <f t="shared" si="1432"/>
        <v>ENEROSem5252</v>
      </c>
      <c r="F1226" t="str">
        <f t="shared" si="1433"/>
        <v/>
      </c>
      <c r="H1226" s="49"/>
      <c r="I1226" s="50">
        <f>+_xlfn.XLOOKUP($H1226&amp;$V1226,BASEDATOS!$B:$B,BASEDATOS!F:F,0,0,1)</f>
        <v>0</v>
      </c>
      <c r="J1226" s="51">
        <f>+_xlfn.XLOOKUP($H1226&amp;$V1226,BASEDATOS!$B:$B,BASEDATOS!Q:Q,0,0,1)</f>
        <v>0</v>
      </c>
      <c r="K1226" s="51">
        <f>+_xlfn.XLOOKUP($H1226&amp;$V1226,BASEDATOS!$B:$B,BASEDATOS!R:R,0,0,1)</f>
        <v>0</v>
      </c>
      <c r="L1226" s="51">
        <f t="shared" si="1434"/>
        <v>0</v>
      </c>
      <c r="M1226" s="52">
        <f t="shared" si="1435"/>
        <v>0</v>
      </c>
      <c r="N1226" s="51">
        <f t="shared" si="1436"/>
        <v>0</v>
      </c>
      <c r="O1226" s="53" t="str">
        <f t="shared" ref="O1226" si="1503">+O1232</f>
        <v>0-0-0</v>
      </c>
      <c r="P1226" s="54">
        <f>+IF(AND(Y1226="Domingo",U1226=7),_xlfn.XLOOKUP(O1226,'Horarios y Sistemas'!C:C,'Horarios y Sistemas'!H:H,0,0,1),0)</f>
        <v>0</v>
      </c>
      <c r="Q1226" s="54">
        <f>IF(U1226=U1227,0,IF(AVERAGEIF(W:W,W1226,U:U)=U1226,0,_xlfn.XLOOKUP(O1226,'Horarios y Sistemas'!C:C,'Horarios y Sistemas'!H:H,0,0,1)-P1226))/7*U1226</f>
        <v>0</v>
      </c>
      <c r="R1226" s="54">
        <f t="shared" si="1438"/>
        <v>0</v>
      </c>
      <c r="S1226" s="55" t="str">
        <f t="shared" si="1439"/>
        <v>ENERO</v>
      </c>
      <c r="T1226" s="55" t="str">
        <f t="shared" si="1440"/>
        <v>Sem52</v>
      </c>
      <c r="U1226" s="56">
        <f t="shared" si="1501"/>
        <v>196</v>
      </c>
      <c r="V1226" s="59"/>
      <c r="W1226" s="56">
        <f t="shared" si="1441"/>
        <v>52</v>
      </c>
      <c r="X1226" s="56">
        <f t="shared" si="1442"/>
        <v>0</v>
      </c>
      <c r="Y1226" s="56" t="s">
        <v>28</v>
      </c>
      <c r="Z1226" s="56">
        <v>1</v>
      </c>
      <c r="AA1226" s="58">
        <f t="shared" si="1464"/>
        <v>0</v>
      </c>
      <c r="AB1226" s="58">
        <f t="shared" si="1464"/>
        <v>0</v>
      </c>
      <c r="AC1226" s="58">
        <f t="shared" si="1464"/>
        <v>0</v>
      </c>
      <c r="AD1226" s="58">
        <f t="shared" si="1464"/>
        <v>0</v>
      </c>
      <c r="AE1226" s="58">
        <f t="shared" si="1464"/>
        <v>0</v>
      </c>
    </row>
    <row r="1227" spans="2:31">
      <c r="B1227" t="str">
        <f t="shared" si="1429"/>
        <v>Sem5252</v>
      </c>
      <c r="C1227" t="str">
        <f t="shared" si="1430"/>
        <v>ENEROSem52</v>
      </c>
      <c r="D1227" t="str">
        <f t="shared" si="1431"/>
        <v>ENEROSem52</v>
      </c>
      <c r="E1227" t="str">
        <f t="shared" si="1432"/>
        <v>ENEROSem5252</v>
      </c>
      <c r="F1227" t="str">
        <f t="shared" si="1433"/>
        <v/>
      </c>
      <c r="H1227" s="49"/>
      <c r="I1227" s="50">
        <f>+_xlfn.XLOOKUP($H1227&amp;$V1227,BASEDATOS!$B:$B,BASEDATOS!F:F,0,0,1)</f>
        <v>0</v>
      </c>
      <c r="J1227" s="51">
        <f>+_xlfn.XLOOKUP($H1227&amp;$V1227,BASEDATOS!$B:$B,BASEDATOS!Q:Q,0,0,1)</f>
        <v>0</v>
      </c>
      <c r="K1227" s="51">
        <f>+_xlfn.XLOOKUP($H1227&amp;$V1227,BASEDATOS!$B:$B,BASEDATOS!R:R,0,0,1)</f>
        <v>0</v>
      </c>
      <c r="L1227" s="51">
        <f t="shared" si="1434"/>
        <v>0</v>
      </c>
      <c r="M1227" s="52">
        <f t="shared" si="1435"/>
        <v>0</v>
      </c>
      <c r="N1227" s="51">
        <f t="shared" si="1436"/>
        <v>0</v>
      </c>
      <c r="O1227" s="53" t="str">
        <f t="shared" ref="O1227" si="1504">+O1232</f>
        <v>0-0-0</v>
      </c>
      <c r="P1227" s="54">
        <f>+IF(AND(Y1227="Domingo",U1227=7),_xlfn.XLOOKUP(O1227,'Horarios y Sistemas'!C:C,'Horarios y Sistemas'!H:H,0,0,1),0)</f>
        <v>0</v>
      </c>
      <c r="Q1227" s="54">
        <f>IF(U1227=U1228,0,IF(AVERAGEIF(W:W,W1227,U:U)=U1227,0,_xlfn.XLOOKUP(O1227,'Horarios y Sistemas'!C:C,'Horarios y Sistemas'!H:H,0,0,1)-P1227))/7*U1227</f>
        <v>0</v>
      </c>
      <c r="R1227" s="54">
        <f t="shared" si="1438"/>
        <v>0</v>
      </c>
      <c r="S1227" s="55" t="str">
        <f t="shared" si="1439"/>
        <v>ENERO</v>
      </c>
      <c r="T1227" s="55" t="str">
        <f t="shared" si="1440"/>
        <v>Sem52</v>
      </c>
      <c r="U1227" s="56">
        <f t="shared" si="1501"/>
        <v>196</v>
      </c>
      <c r="V1227" s="59"/>
      <c r="W1227" s="56">
        <f t="shared" si="1441"/>
        <v>52</v>
      </c>
      <c r="X1227" s="56">
        <f t="shared" si="1442"/>
        <v>0</v>
      </c>
      <c r="Y1227" s="56" t="s">
        <v>29</v>
      </c>
      <c r="Z1227" s="56">
        <v>2</v>
      </c>
      <c r="AA1227" s="58">
        <f t="shared" si="1464"/>
        <v>0</v>
      </c>
      <c r="AB1227" s="58">
        <f t="shared" si="1464"/>
        <v>0</v>
      </c>
      <c r="AC1227" s="58">
        <f t="shared" si="1464"/>
        <v>0</v>
      </c>
      <c r="AD1227" s="58">
        <f t="shared" si="1464"/>
        <v>0</v>
      </c>
      <c r="AE1227" s="58">
        <f t="shared" si="1464"/>
        <v>0</v>
      </c>
    </row>
    <row r="1228" spans="2:31">
      <c r="B1228" t="str">
        <f t="shared" si="1429"/>
        <v>Sem5252</v>
      </c>
      <c r="C1228" t="str">
        <f t="shared" si="1430"/>
        <v>ENEROSem52</v>
      </c>
      <c r="D1228" t="str">
        <f t="shared" si="1431"/>
        <v>ENEROSem52</v>
      </c>
      <c r="E1228" t="str">
        <f t="shared" si="1432"/>
        <v>ENEROSem5252</v>
      </c>
      <c r="F1228" t="str">
        <f t="shared" si="1433"/>
        <v/>
      </c>
      <c r="H1228" s="49"/>
      <c r="I1228" s="50">
        <f>+_xlfn.XLOOKUP($H1228&amp;$V1228,BASEDATOS!$B:$B,BASEDATOS!F:F,0,0,1)</f>
        <v>0</v>
      </c>
      <c r="J1228" s="51">
        <f>+_xlfn.XLOOKUP($H1228&amp;$V1228,BASEDATOS!$B:$B,BASEDATOS!Q:Q,0,0,1)</f>
        <v>0</v>
      </c>
      <c r="K1228" s="51">
        <f>+_xlfn.XLOOKUP($H1228&amp;$V1228,BASEDATOS!$B:$B,BASEDATOS!R:R,0,0,1)</f>
        <v>0</v>
      </c>
      <c r="L1228" s="51">
        <f t="shared" si="1434"/>
        <v>0</v>
      </c>
      <c r="M1228" s="52">
        <f t="shared" si="1435"/>
        <v>0</v>
      </c>
      <c r="N1228" s="51">
        <f t="shared" si="1436"/>
        <v>0</v>
      </c>
      <c r="O1228" s="53" t="str">
        <f t="shared" ref="O1228" si="1505">+O1232</f>
        <v>0-0-0</v>
      </c>
      <c r="P1228" s="54">
        <f>+IF(AND(Y1228="Domingo",U1228=7),_xlfn.XLOOKUP(O1228,'Horarios y Sistemas'!C:C,'Horarios y Sistemas'!H:H,0,0,1),0)</f>
        <v>0</v>
      </c>
      <c r="Q1228" s="54">
        <f>IF(U1228=U1229,0,IF(AVERAGEIF(W:W,W1228,U:U)=U1228,0,_xlfn.XLOOKUP(O1228,'Horarios y Sistemas'!C:C,'Horarios y Sistemas'!H:H,0,0,1)-P1228))/7*U1228</f>
        <v>0</v>
      </c>
      <c r="R1228" s="54">
        <f t="shared" si="1438"/>
        <v>0</v>
      </c>
      <c r="S1228" s="55" t="str">
        <f t="shared" si="1439"/>
        <v>ENERO</v>
      </c>
      <c r="T1228" s="55" t="str">
        <f t="shared" si="1440"/>
        <v>Sem52</v>
      </c>
      <c r="U1228" s="56">
        <f t="shared" si="1501"/>
        <v>196</v>
      </c>
      <c r="V1228" s="59"/>
      <c r="W1228" s="56">
        <f t="shared" si="1441"/>
        <v>52</v>
      </c>
      <c r="X1228" s="56">
        <f t="shared" si="1442"/>
        <v>0</v>
      </c>
      <c r="Y1228" s="56" t="s">
        <v>30</v>
      </c>
      <c r="Z1228" s="56">
        <v>3</v>
      </c>
      <c r="AA1228" s="58">
        <f t="shared" si="1464"/>
        <v>0</v>
      </c>
      <c r="AB1228" s="58">
        <f t="shared" si="1464"/>
        <v>0</v>
      </c>
      <c r="AC1228" s="58">
        <f t="shared" si="1464"/>
        <v>0</v>
      </c>
      <c r="AD1228" s="58">
        <f t="shared" si="1464"/>
        <v>0</v>
      </c>
      <c r="AE1228" s="58">
        <f t="shared" si="1464"/>
        <v>0</v>
      </c>
    </row>
    <row r="1229" spans="2:31">
      <c r="B1229" t="str">
        <f t="shared" si="1429"/>
        <v>Sem5252</v>
      </c>
      <c r="C1229" t="str">
        <f t="shared" si="1430"/>
        <v>ENEROSem52</v>
      </c>
      <c r="D1229" t="str">
        <f t="shared" si="1431"/>
        <v>ENEROSem52</v>
      </c>
      <c r="E1229" t="str">
        <f t="shared" si="1432"/>
        <v>ENEROSem5252</v>
      </c>
      <c r="F1229" t="str">
        <f t="shared" si="1433"/>
        <v/>
      </c>
      <c r="H1229" s="49"/>
      <c r="I1229" s="50">
        <f>+_xlfn.XLOOKUP($H1229&amp;$V1229,BASEDATOS!$B:$B,BASEDATOS!F:F,0,0,1)</f>
        <v>0</v>
      </c>
      <c r="J1229" s="51">
        <f>+_xlfn.XLOOKUP($H1229&amp;$V1229,BASEDATOS!$B:$B,BASEDATOS!Q:Q,0,0,1)</f>
        <v>0</v>
      </c>
      <c r="K1229" s="51">
        <f>+_xlfn.XLOOKUP($H1229&amp;$V1229,BASEDATOS!$B:$B,BASEDATOS!R:R,0,0,1)</f>
        <v>0</v>
      </c>
      <c r="L1229" s="51">
        <f t="shared" si="1434"/>
        <v>0</v>
      </c>
      <c r="M1229" s="52">
        <f t="shared" si="1435"/>
        <v>0</v>
      </c>
      <c r="N1229" s="51">
        <f t="shared" si="1436"/>
        <v>0</v>
      </c>
      <c r="O1229" s="53" t="str">
        <f t="shared" ref="O1229" si="1506">+O1232</f>
        <v>0-0-0</v>
      </c>
      <c r="P1229" s="54">
        <f>+IF(AND(Y1229="Domingo",U1229=7),_xlfn.XLOOKUP(O1229,'Horarios y Sistemas'!C:C,'Horarios y Sistemas'!H:H,0,0,1),0)</f>
        <v>0</v>
      </c>
      <c r="Q1229" s="54">
        <f>IF(U1229=U1230,0,IF(AVERAGEIF(W:W,W1229,U:U)=U1229,0,_xlfn.XLOOKUP(O1229,'Horarios y Sistemas'!C:C,'Horarios y Sistemas'!H:H,0,0,1)-P1229))/7*U1229</f>
        <v>0</v>
      </c>
      <c r="R1229" s="54">
        <f t="shared" si="1438"/>
        <v>0</v>
      </c>
      <c r="S1229" s="55" t="str">
        <f t="shared" si="1439"/>
        <v>ENERO</v>
      </c>
      <c r="T1229" s="55" t="str">
        <f t="shared" si="1440"/>
        <v>Sem52</v>
      </c>
      <c r="U1229" s="56">
        <f t="shared" si="1501"/>
        <v>196</v>
      </c>
      <c r="V1229" s="59"/>
      <c r="W1229" s="56">
        <f t="shared" si="1441"/>
        <v>52</v>
      </c>
      <c r="X1229" s="56">
        <f t="shared" si="1442"/>
        <v>0</v>
      </c>
      <c r="Y1229" s="56" t="s">
        <v>31</v>
      </c>
      <c r="Z1229" s="56">
        <v>4</v>
      </c>
      <c r="AA1229" s="58">
        <f t="shared" si="1464"/>
        <v>0</v>
      </c>
      <c r="AB1229" s="58">
        <f t="shared" si="1464"/>
        <v>0</v>
      </c>
      <c r="AC1229" s="58">
        <f t="shared" si="1464"/>
        <v>0</v>
      </c>
      <c r="AD1229" s="58">
        <f t="shared" si="1464"/>
        <v>0</v>
      </c>
      <c r="AE1229" s="58">
        <f t="shared" si="1464"/>
        <v>0</v>
      </c>
    </row>
    <row r="1230" spans="2:31">
      <c r="B1230" t="str">
        <f t="shared" si="1429"/>
        <v>Sem5252</v>
      </c>
      <c r="C1230" t="str">
        <f t="shared" si="1430"/>
        <v>ENEROSem52</v>
      </c>
      <c r="D1230" t="str">
        <f t="shared" si="1431"/>
        <v>ENEROSem52</v>
      </c>
      <c r="E1230" t="str">
        <f t="shared" si="1432"/>
        <v>ENEROSem5252</v>
      </c>
      <c r="F1230" t="str">
        <f t="shared" si="1433"/>
        <v/>
      </c>
      <c r="H1230" s="49"/>
      <c r="I1230" s="50">
        <f>+_xlfn.XLOOKUP($H1230&amp;$V1230,BASEDATOS!$B:$B,BASEDATOS!F:F,0,0,1)</f>
        <v>0</v>
      </c>
      <c r="J1230" s="51">
        <f>+_xlfn.XLOOKUP($H1230&amp;$V1230,BASEDATOS!$B:$B,BASEDATOS!Q:Q,0,0,1)</f>
        <v>0</v>
      </c>
      <c r="K1230" s="51">
        <f>+_xlfn.XLOOKUP($H1230&amp;$V1230,BASEDATOS!$B:$B,BASEDATOS!R:R,0,0,1)</f>
        <v>0</v>
      </c>
      <c r="L1230" s="51">
        <f t="shared" si="1434"/>
        <v>0</v>
      </c>
      <c r="M1230" s="52">
        <f t="shared" si="1435"/>
        <v>0</v>
      </c>
      <c r="N1230" s="51">
        <f t="shared" si="1436"/>
        <v>0</v>
      </c>
      <c r="O1230" s="53" t="str">
        <f t="shared" ref="O1230" si="1507">+O1232</f>
        <v>0-0-0</v>
      </c>
      <c r="P1230" s="54">
        <f>+IF(AND(Y1230="Domingo",U1230=7),_xlfn.XLOOKUP(O1230,'Horarios y Sistemas'!C:C,'Horarios y Sistemas'!H:H,0,0,1),0)</f>
        <v>0</v>
      </c>
      <c r="Q1230" s="54">
        <f>IF(U1230=U1231,0,IF(AVERAGEIF(W:W,W1230,U:U)=U1230,0,_xlfn.XLOOKUP(O1230,'Horarios y Sistemas'!C:C,'Horarios y Sistemas'!H:H,0,0,1)-P1230))/7*U1230</f>
        <v>0</v>
      </c>
      <c r="R1230" s="54">
        <f t="shared" si="1438"/>
        <v>0</v>
      </c>
      <c r="S1230" s="55" t="str">
        <f t="shared" si="1439"/>
        <v>ENERO</v>
      </c>
      <c r="T1230" s="55" t="str">
        <f t="shared" si="1440"/>
        <v>Sem52</v>
      </c>
      <c r="U1230" s="56">
        <f t="shared" si="1501"/>
        <v>196</v>
      </c>
      <c r="V1230" s="59"/>
      <c r="W1230" s="56">
        <f t="shared" si="1441"/>
        <v>52</v>
      </c>
      <c r="X1230" s="56">
        <f t="shared" si="1442"/>
        <v>0</v>
      </c>
      <c r="Y1230" s="56" t="s">
        <v>32</v>
      </c>
      <c r="Z1230" s="56">
        <v>5</v>
      </c>
      <c r="AA1230" s="58">
        <f t="shared" si="1464"/>
        <v>0</v>
      </c>
      <c r="AB1230" s="58">
        <f t="shared" si="1464"/>
        <v>0</v>
      </c>
      <c r="AC1230" s="58">
        <f t="shared" si="1464"/>
        <v>0</v>
      </c>
      <c r="AD1230" s="58">
        <f t="shared" si="1464"/>
        <v>0</v>
      </c>
      <c r="AE1230" s="58">
        <f t="shared" si="1464"/>
        <v>0</v>
      </c>
    </row>
    <row r="1231" spans="2:31">
      <c r="B1231" t="str">
        <f t="shared" ref="B1231:B1294" si="1508">+T1231&amp;W1231&amp;H1231</f>
        <v>Sem5252</v>
      </c>
      <c r="C1231" t="str">
        <f t="shared" ref="C1231:C1294" si="1509">+S1231&amp;T1231</f>
        <v>ENEROSem52</v>
      </c>
      <c r="D1231" t="str">
        <f t="shared" ref="D1231:D1294" si="1510">+S1231&amp;T1231&amp;H1231</f>
        <v>ENEROSem52</v>
      </c>
      <c r="E1231" t="str">
        <f t="shared" ref="E1231:E1294" si="1511">+S1231&amp;T1231&amp;W1231&amp;H1231</f>
        <v>ENEROSem5252</v>
      </c>
      <c r="F1231" t="str">
        <f t="shared" ref="F1231:F1294" si="1512">+H1231&amp;V1231</f>
        <v/>
      </c>
      <c r="H1231" s="49"/>
      <c r="I1231" s="50">
        <f>+_xlfn.XLOOKUP($H1231&amp;$V1231,BASEDATOS!$B:$B,BASEDATOS!F:F,0,0,1)</f>
        <v>0</v>
      </c>
      <c r="J1231" s="51">
        <f>+_xlfn.XLOOKUP($H1231&amp;$V1231,BASEDATOS!$B:$B,BASEDATOS!Q:Q,0,0,1)</f>
        <v>0</v>
      </c>
      <c r="K1231" s="51">
        <f>+_xlfn.XLOOKUP($H1231&amp;$V1231,BASEDATOS!$B:$B,BASEDATOS!R:R,0,0,1)</f>
        <v>0</v>
      </c>
      <c r="L1231" s="51">
        <f t="shared" ref="L1231:L1294" si="1513">+IF(OR(J1231="Descanso",J1231="AUSENTE",J1231="ASUETO"),0,MOD(K1231-J1231,1))</f>
        <v>0</v>
      </c>
      <c r="M1231" s="52">
        <f t="shared" ref="M1231:M1294" si="1514">+IF(OR(I1231="DIA",I1231="NOCHE",I1231="MIXTO"),"1:00",0)</f>
        <v>0</v>
      </c>
      <c r="N1231" s="51">
        <f t="shared" ref="N1231:N1294" si="1515">+IF(I1231="ASUETO-D",8/24,IF(I1231="ASUETO-N",6/24,MOD(L1231-M1231,1)))</f>
        <v>0</v>
      </c>
      <c r="O1231" s="53" t="str">
        <f t="shared" ref="O1231" si="1516">+O1232</f>
        <v>0-0-0</v>
      </c>
      <c r="P1231" s="54">
        <f>+IF(AND(Y1231="Domingo",U1231=7),_xlfn.XLOOKUP(O1231,'Horarios y Sistemas'!C:C,'Horarios y Sistemas'!H:H,0,0,1),0)</f>
        <v>0</v>
      </c>
      <c r="Q1231" s="54">
        <f>IF(U1231=U1232,0,IF(AVERAGEIF(W:W,W1231,U:U)=U1231,0,_xlfn.XLOOKUP(O1231,'Horarios y Sistemas'!C:C,'Horarios y Sistemas'!H:H,0,0,1)-P1231))/7*U1231</f>
        <v>0</v>
      </c>
      <c r="R1231" s="54">
        <f t="shared" ref="R1231:R1294" si="1517">+IF(Y1231="Domingo",SUM(P1225:Q1231),0)</f>
        <v>0</v>
      </c>
      <c r="S1231" s="55" t="str">
        <f t="shared" ref="S1231:S1294" si="1518">+UPPER(TEXT(V1231,"MMMMMMMM"))</f>
        <v>ENERO</v>
      </c>
      <c r="T1231" s="55" t="str">
        <f t="shared" ref="T1231:T1294" si="1519">+"Sem"&amp;W1231</f>
        <v>Sem52</v>
      </c>
      <c r="U1231" s="56">
        <f t="shared" si="1501"/>
        <v>196</v>
      </c>
      <c r="V1231" s="59"/>
      <c r="W1231" s="56">
        <f t="shared" ref="W1231:W1294" si="1520">+_xlfn.ISOWEEKNUM(V1231)</f>
        <v>52</v>
      </c>
      <c r="X1231" s="56">
        <f t="shared" ref="X1231:X1294" si="1521">+DAY(V1231)</f>
        <v>0</v>
      </c>
      <c r="Y1231" s="56" t="s">
        <v>33</v>
      </c>
      <c r="Z1231" s="56">
        <v>6</v>
      </c>
      <c r="AA1231" s="58">
        <f t="shared" si="1464"/>
        <v>0</v>
      </c>
      <c r="AB1231" s="58">
        <f t="shared" si="1464"/>
        <v>0</v>
      </c>
      <c r="AC1231" s="58">
        <f t="shared" si="1464"/>
        <v>0</v>
      </c>
      <c r="AD1231" s="58">
        <f t="shared" si="1464"/>
        <v>0</v>
      </c>
      <c r="AE1231" s="58">
        <f t="shared" si="1464"/>
        <v>0</v>
      </c>
    </row>
    <row r="1232" spans="2:31">
      <c r="B1232" s="60" t="str">
        <f t="shared" si="1508"/>
        <v>Sem5252</v>
      </c>
      <c r="C1232" s="60" t="str">
        <f t="shared" si="1509"/>
        <v>ENEROSem52</v>
      </c>
      <c r="D1232" s="60" t="str">
        <f t="shared" si="1510"/>
        <v>ENEROSem52</v>
      </c>
      <c r="E1232" s="60" t="str">
        <f t="shared" si="1511"/>
        <v>ENEROSem5252</v>
      </c>
      <c r="F1232" s="60" t="str">
        <f t="shared" si="1512"/>
        <v/>
      </c>
      <c r="G1232" s="60"/>
      <c r="H1232" s="61"/>
      <c r="I1232" s="62">
        <f>+_xlfn.XLOOKUP($H1232&amp;$V1232,BASEDATOS!$B:$B,BASEDATOS!F:F,0,0,1)</f>
        <v>0</v>
      </c>
      <c r="J1232" s="63">
        <f>+_xlfn.XLOOKUP($H1232&amp;$V1232,BASEDATOS!$B:$B,BASEDATOS!Q:Q,0,0,1)</f>
        <v>0</v>
      </c>
      <c r="K1232" s="63">
        <f>+_xlfn.XLOOKUP($H1232&amp;$V1232,BASEDATOS!$B:$B,BASEDATOS!R:R,0,0,1)</f>
        <v>0</v>
      </c>
      <c r="L1232" s="63">
        <f t="shared" si="1513"/>
        <v>0</v>
      </c>
      <c r="M1232" s="64">
        <f t="shared" si="1514"/>
        <v>0</v>
      </c>
      <c r="N1232" s="63">
        <f t="shared" si="1515"/>
        <v>0</v>
      </c>
      <c r="O1232" s="65" t="str">
        <f t="shared" ref="O1232" si="1522">+IF(Y1232="Domingo",SUM(AA1226:AA1232)&amp;"-"&amp;SUM(AB1226:AB1232)&amp;"-"&amp;SUM(AC1226:AE1232),"")</f>
        <v>0-0-0</v>
      </c>
      <c r="P1232" s="66">
        <f>+IF(AND(Y1232="Domingo",U1232=7),_xlfn.XLOOKUP(O1232,'Horarios y Sistemas'!C:C,'Horarios y Sistemas'!H:H,0,0,1),0)</f>
        <v>0</v>
      </c>
      <c r="Q1232" s="66">
        <f>IF(U1232=U1233,0,IF(AVERAGEIF(W:W,W1232,U:U)=U1232,0,_xlfn.XLOOKUP(O1232,'Horarios y Sistemas'!C:C,'Horarios y Sistemas'!H:H,0,0,1)-P1232))/7*U1232</f>
        <v>0</v>
      </c>
      <c r="R1232" s="66">
        <f t="shared" si="1517"/>
        <v>0</v>
      </c>
      <c r="S1232" s="67" t="str">
        <f t="shared" si="1518"/>
        <v>ENERO</v>
      </c>
      <c r="T1232" s="55" t="str">
        <f t="shared" si="1519"/>
        <v>Sem52</v>
      </c>
      <c r="U1232" s="68">
        <f t="shared" si="1501"/>
        <v>196</v>
      </c>
      <c r="V1232" s="69"/>
      <c r="W1232" s="68">
        <f t="shared" si="1520"/>
        <v>52</v>
      </c>
      <c r="X1232" s="68">
        <f t="shared" si="1521"/>
        <v>0</v>
      </c>
      <c r="Y1232" s="68" t="s">
        <v>34</v>
      </c>
      <c r="Z1232" s="68">
        <v>7</v>
      </c>
      <c r="AA1232" s="70">
        <f t="shared" si="1464"/>
        <v>0</v>
      </c>
      <c r="AB1232" s="70">
        <f t="shared" si="1464"/>
        <v>0</v>
      </c>
      <c r="AC1232" s="70">
        <f t="shared" si="1464"/>
        <v>0</v>
      </c>
      <c r="AD1232" s="70">
        <f t="shared" si="1464"/>
        <v>0</v>
      </c>
      <c r="AE1232" s="70">
        <f t="shared" si="1464"/>
        <v>0</v>
      </c>
    </row>
    <row r="1233" spans="2:31">
      <c r="B1233" t="str">
        <f t="shared" si="1508"/>
        <v>Sem5252</v>
      </c>
      <c r="C1233" t="str">
        <f t="shared" si="1509"/>
        <v>ENEROSem52</v>
      </c>
      <c r="D1233" t="str">
        <f t="shared" si="1510"/>
        <v>ENEROSem52</v>
      </c>
      <c r="E1233" t="str">
        <f t="shared" si="1511"/>
        <v>ENEROSem5252</v>
      </c>
      <c r="F1233" t="str">
        <f t="shared" si="1512"/>
        <v/>
      </c>
      <c r="H1233" s="49"/>
      <c r="I1233" s="50">
        <f>+_xlfn.XLOOKUP($H1233&amp;$V1233,BASEDATOS!$B:$B,BASEDATOS!F:F,0,0,1)</f>
        <v>0</v>
      </c>
      <c r="J1233" s="51">
        <f>+_xlfn.XLOOKUP($H1233&amp;$V1233,BASEDATOS!$B:$B,BASEDATOS!Q:Q,0,0,1)</f>
        <v>0</v>
      </c>
      <c r="K1233" s="51">
        <f>+_xlfn.XLOOKUP($H1233&amp;$V1233,BASEDATOS!$B:$B,BASEDATOS!R:R,0,0,1)</f>
        <v>0</v>
      </c>
      <c r="L1233" s="51">
        <f t="shared" si="1513"/>
        <v>0</v>
      </c>
      <c r="M1233" s="52">
        <f t="shared" si="1514"/>
        <v>0</v>
      </c>
      <c r="N1233" s="51">
        <f t="shared" si="1515"/>
        <v>0</v>
      </c>
      <c r="O1233" s="53" t="str">
        <f t="shared" ref="O1233" si="1523">+O1239</f>
        <v>0-0-0</v>
      </c>
      <c r="P1233" s="54">
        <f>+IF(AND(Y1233="Domingo",U1233=7),_xlfn.XLOOKUP(O1233,'Horarios y Sistemas'!C:C,'Horarios y Sistemas'!H:H,0,0,1),0)</f>
        <v>0</v>
      </c>
      <c r="Q1233" s="54">
        <f>IF(U1233=U1234,0,IF(AVERAGEIF(W:W,W1233,U:U)=U1233,0,_xlfn.XLOOKUP(O1233,'Horarios y Sistemas'!C:C,'Horarios y Sistemas'!H:H,0,0,1)-P1233))/7*U1233</f>
        <v>0</v>
      </c>
      <c r="R1233" s="54">
        <f t="shared" si="1517"/>
        <v>0</v>
      </c>
      <c r="S1233" s="55" t="str">
        <f t="shared" si="1518"/>
        <v>ENERO</v>
      </c>
      <c r="T1233" s="55" t="str">
        <f t="shared" si="1519"/>
        <v>Sem52</v>
      </c>
      <c r="U1233" s="56">
        <f t="shared" si="1501"/>
        <v>196</v>
      </c>
      <c r="V1233" s="57"/>
      <c r="W1233" s="56">
        <f t="shared" si="1520"/>
        <v>52</v>
      </c>
      <c r="X1233" s="56">
        <f t="shared" si="1521"/>
        <v>0</v>
      </c>
      <c r="Y1233" s="56" t="s">
        <v>28</v>
      </c>
      <c r="Z1233" s="56">
        <v>1</v>
      </c>
      <c r="AA1233" s="58">
        <f t="shared" si="1464"/>
        <v>0</v>
      </c>
      <c r="AB1233" s="58">
        <f t="shared" si="1464"/>
        <v>0</v>
      </c>
      <c r="AC1233" s="58">
        <f t="shared" si="1464"/>
        <v>0</v>
      </c>
      <c r="AD1233" s="58">
        <f t="shared" si="1464"/>
        <v>0</v>
      </c>
      <c r="AE1233" s="58">
        <f t="shared" si="1464"/>
        <v>0</v>
      </c>
    </row>
    <row r="1234" spans="2:31">
      <c r="B1234" t="str">
        <f t="shared" si="1508"/>
        <v>Sem5252</v>
      </c>
      <c r="C1234" t="str">
        <f t="shared" si="1509"/>
        <v>ENEROSem52</v>
      </c>
      <c r="D1234" t="str">
        <f t="shared" si="1510"/>
        <v>ENEROSem52</v>
      </c>
      <c r="E1234" t="str">
        <f t="shared" si="1511"/>
        <v>ENEROSem5252</v>
      </c>
      <c r="F1234" t="str">
        <f t="shared" si="1512"/>
        <v/>
      </c>
      <c r="H1234" s="49"/>
      <c r="I1234" s="50">
        <f>+_xlfn.XLOOKUP($H1234&amp;$V1234,BASEDATOS!$B:$B,BASEDATOS!F:F,0,0,1)</f>
        <v>0</v>
      </c>
      <c r="J1234" s="51">
        <f>+_xlfn.XLOOKUP($H1234&amp;$V1234,BASEDATOS!$B:$B,BASEDATOS!Q:Q,0,0,1)</f>
        <v>0</v>
      </c>
      <c r="K1234" s="51">
        <f>+_xlfn.XLOOKUP($H1234&amp;$V1234,BASEDATOS!$B:$B,BASEDATOS!R:R,0,0,1)</f>
        <v>0</v>
      </c>
      <c r="L1234" s="51">
        <f t="shared" si="1513"/>
        <v>0</v>
      </c>
      <c r="M1234" s="52">
        <f t="shared" si="1514"/>
        <v>0</v>
      </c>
      <c r="N1234" s="51">
        <f t="shared" si="1515"/>
        <v>0</v>
      </c>
      <c r="O1234" s="53" t="str">
        <f t="shared" ref="O1234" si="1524">+O1239</f>
        <v>0-0-0</v>
      </c>
      <c r="P1234" s="54">
        <f>+IF(AND(Y1234="Domingo",U1234=7),_xlfn.XLOOKUP(O1234,'Horarios y Sistemas'!C:C,'Horarios y Sistemas'!H:H,0,0,1),0)</f>
        <v>0</v>
      </c>
      <c r="Q1234" s="54">
        <f>IF(U1234=U1235,0,IF(AVERAGEIF(W:W,W1234,U:U)=U1234,0,_xlfn.XLOOKUP(O1234,'Horarios y Sistemas'!C:C,'Horarios y Sistemas'!H:H,0,0,1)-P1234))/7*U1234</f>
        <v>0</v>
      </c>
      <c r="R1234" s="54">
        <f t="shared" si="1517"/>
        <v>0</v>
      </c>
      <c r="S1234" s="55" t="str">
        <f t="shared" si="1518"/>
        <v>ENERO</v>
      </c>
      <c r="T1234" s="55" t="str">
        <f t="shared" si="1519"/>
        <v>Sem52</v>
      </c>
      <c r="U1234" s="56">
        <f t="shared" si="1501"/>
        <v>196</v>
      </c>
      <c r="V1234" s="59"/>
      <c r="W1234" s="56">
        <f t="shared" si="1520"/>
        <v>52</v>
      </c>
      <c r="X1234" s="56">
        <f t="shared" si="1521"/>
        <v>0</v>
      </c>
      <c r="Y1234" s="56" t="s">
        <v>29</v>
      </c>
      <c r="Z1234" s="56">
        <v>2</v>
      </c>
      <c r="AA1234" s="58">
        <f t="shared" si="1464"/>
        <v>0</v>
      </c>
      <c r="AB1234" s="58">
        <f t="shared" si="1464"/>
        <v>0</v>
      </c>
      <c r="AC1234" s="58">
        <f t="shared" si="1464"/>
        <v>0</v>
      </c>
      <c r="AD1234" s="58">
        <f t="shared" si="1464"/>
        <v>0</v>
      </c>
      <c r="AE1234" s="58">
        <f t="shared" si="1464"/>
        <v>0</v>
      </c>
    </row>
    <row r="1235" spans="2:31">
      <c r="B1235" t="str">
        <f t="shared" si="1508"/>
        <v>Sem5252</v>
      </c>
      <c r="C1235" t="str">
        <f t="shared" si="1509"/>
        <v>ENEROSem52</v>
      </c>
      <c r="D1235" t="str">
        <f t="shared" si="1510"/>
        <v>ENEROSem52</v>
      </c>
      <c r="E1235" t="str">
        <f t="shared" si="1511"/>
        <v>ENEROSem5252</v>
      </c>
      <c r="F1235" t="str">
        <f t="shared" si="1512"/>
        <v/>
      </c>
      <c r="H1235" s="49"/>
      <c r="I1235" s="50">
        <f>+_xlfn.XLOOKUP($H1235&amp;$V1235,BASEDATOS!$B:$B,BASEDATOS!F:F,0,0,1)</f>
        <v>0</v>
      </c>
      <c r="J1235" s="51">
        <f>+_xlfn.XLOOKUP($H1235&amp;$V1235,BASEDATOS!$B:$B,BASEDATOS!Q:Q,0,0,1)</f>
        <v>0</v>
      </c>
      <c r="K1235" s="51">
        <f>+_xlfn.XLOOKUP($H1235&amp;$V1235,BASEDATOS!$B:$B,BASEDATOS!R:R,0,0,1)</f>
        <v>0</v>
      </c>
      <c r="L1235" s="51">
        <f t="shared" si="1513"/>
        <v>0</v>
      </c>
      <c r="M1235" s="52">
        <f t="shared" si="1514"/>
        <v>0</v>
      </c>
      <c r="N1235" s="51">
        <f t="shared" si="1515"/>
        <v>0</v>
      </c>
      <c r="O1235" s="53" t="str">
        <f t="shared" ref="O1235" si="1525">+O1239</f>
        <v>0-0-0</v>
      </c>
      <c r="P1235" s="54">
        <f>+IF(AND(Y1235="Domingo",U1235=7),_xlfn.XLOOKUP(O1235,'Horarios y Sistemas'!C:C,'Horarios y Sistemas'!H:H,0,0,1),0)</f>
        <v>0</v>
      </c>
      <c r="Q1235" s="54">
        <f>IF(U1235=U1236,0,IF(AVERAGEIF(W:W,W1235,U:U)=U1235,0,_xlfn.XLOOKUP(O1235,'Horarios y Sistemas'!C:C,'Horarios y Sistemas'!H:H,0,0,1)-P1235))/7*U1235</f>
        <v>0</v>
      </c>
      <c r="R1235" s="54">
        <f t="shared" si="1517"/>
        <v>0</v>
      </c>
      <c r="S1235" s="55" t="str">
        <f t="shared" si="1518"/>
        <v>ENERO</v>
      </c>
      <c r="T1235" s="55" t="str">
        <f t="shared" si="1519"/>
        <v>Sem52</v>
      </c>
      <c r="U1235" s="56">
        <f t="shared" si="1501"/>
        <v>196</v>
      </c>
      <c r="V1235" s="59"/>
      <c r="W1235" s="56">
        <f t="shared" si="1520"/>
        <v>52</v>
      </c>
      <c r="X1235" s="56">
        <f t="shared" si="1521"/>
        <v>0</v>
      </c>
      <c r="Y1235" s="56" t="s">
        <v>30</v>
      </c>
      <c r="Z1235" s="56">
        <v>3</v>
      </c>
      <c r="AA1235" s="58">
        <f t="shared" si="1464"/>
        <v>0</v>
      </c>
      <c r="AB1235" s="58">
        <f t="shared" si="1464"/>
        <v>0</v>
      </c>
      <c r="AC1235" s="58">
        <f t="shared" si="1464"/>
        <v>0</v>
      </c>
      <c r="AD1235" s="58">
        <f t="shared" si="1464"/>
        <v>0</v>
      </c>
      <c r="AE1235" s="58">
        <f t="shared" si="1464"/>
        <v>0</v>
      </c>
    </row>
    <row r="1236" spans="2:31">
      <c r="B1236" t="str">
        <f t="shared" si="1508"/>
        <v>Sem5252</v>
      </c>
      <c r="C1236" t="str">
        <f t="shared" si="1509"/>
        <v>ENEROSem52</v>
      </c>
      <c r="D1236" t="str">
        <f t="shared" si="1510"/>
        <v>ENEROSem52</v>
      </c>
      <c r="E1236" t="str">
        <f t="shared" si="1511"/>
        <v>ENEROSem5252</v>
      </c>
      <c r="F1236" t="str">
        <f t="shared" si="1512"/>
        <v/>
      </c>
      <c r="H1236" s="49"/>
      <c r="I1236" s="50">
        <f>+_xlfn.XLOOKUP($H1236&amp;$V1236,BASEDATOS!$B:$B,BASEDATOS!F:F,0,0,1)</f>
        <v>0</v>
      </c>
      <c r="J1236" s="51">
        <f>+_xlfn.XLOOKUP($H1236&amp;$V1236,BASEDATOS!$B:$B,BASEDATOS!Q:Q,0,0,1)</f>
        <v>0</v>
      </c>
      <c r="K1236" s="51">
        <f>+_xlfn.XLOOKUP($H1236&amp;$V1236,BASEDATOS!$B:$B,BASEDATOS!R:R,0,0,1)</f>
        <v>0</v>
      </c>
      <c r="L1236" s="51">
        <f t="shared" si="1513"/>
        <v>0</v>
      </c>
      <c r="M1236" s="52">
        <f t="shared" si="1514"/>
        <v>0</v>
      </c>
      <c r="N1236" s="51">
        <f t="shared" si="1515"/>
        <v>0</v>
      </c>
      <c r="O1236" s="53" t="str">
        <f t="shared" ref="O1236" si="1526">+O1239</f>
        <v>0-0-0</v>
      </c>
      <c r="P1236" s="54">
        <f>+IF(AND(Y1236="Domingo",U1236=7),_xlfn.XLOOKUP(O1236,'Horarios y Sistemas'!C:C,'Horarios y Sistemas'!H:H,0,0,1),0)</f>
        <v>0</v>
      </c>
      <c r="Q1236" s="54">
        <f>IF(U1236=U1237,0,IF(AVERAGEIF(W:W,W1236,U:U)=U1236,0,_xlfn.XLOOKUP(O1236,'Horarios y Sistemas'!C:C,'Horarios y Sistemas'!H:H,0,0,1)-P1236))/7*U1236</f>
        <v>0</v>
      </c>
      <c r="R1236" s="54">
        <f t="shared" si="1517"/>
        <v>0</v>
      </c>
      <c r="S1236" s="55" t="str">
        <f t="shared" si="1518"/>
        <v>ENERO</v>
      </c>
      <c r="T1236" s="55" t="str">
        <f t="shared" si="1519"/>
        <v>Sem52</v>
      </c>
      <c r="U1236" s="56">
        <f t="shared" si="1501"/>
        <v>196</v>
      </c>
      <c r="V1236" s="59"/>
      <c r="W1236" s="56">
        <f t="shared" si="1520"/>
        <v>52</v>
      </c>
      <c r="X1236" s="56">
        <f t="shared" si="1521"/>
        <v>0</v>
      </c>
      <c r="Y1236" s="56" t="s">
        <v>31</v>
      </c>
      <c r="Z1236" s="56">
        <v>4</v>
      </c>
      <c r="AA1236" s="58">
        <f t="shared" si="1464"/>
        <v>0</v>
      </c>
      <c r="AB1236" s="58">
        <f t="shared" si="1464"/>
        <v>0</v>
      </c>
      <c r="AC1236" s="58">
        <f t="shared" si="1464"/>
        <v>0</v>
      </c>
      <c r="AD1236" s="58">
        <f t="shared" si="1464"/>
        <v>0</v>
      </c>
      <c r="AE1236" s="58">
        <f t="shared" si="1464"/>
        <v>0</v>
      </c>
    </row>
    <row r="1237" spans="2:31">
      <c r="B1237" t="str">
        <f t="shared" si="1508"/>
        <v>Sem5252</v>
      </c>
      <c r="C1237" t="str">
        <f t="shared" si="1509"/>
        <v>ENEROSem52</v>
      </c>
      <c r="D1237" t="str">
        <f t="shared" si="1510"/>
        <v>ENEROSem52</v>
      </c>
      <c r="E1237" t="str">
        <f t="shared" si="1511"/>
        <v>ENEROSem5252</v>
      </c>
      <c r="F1237" t="str">
        <f t="shared" si="1512"/>
        <v/>
      </c>
      <c r="H1237" s="49"/>
      <c r="I1237" s="50">
        <f>+_xlfn.XLOOKUP($H1237&amp;$V1237,BASEDATOS!$B:$B,BASEDATOS!F:F,0,0,1)</f>
        <v>0</v>
      </c>
      <c r="J1237" s="51">
        <f>+_xlfn.XLOOKUP($H1237&amp;$V1237,BASEDATOS!$B:$B,BASEDATOS!Q:Q,0,0,1)</f>
        <v>0</v>
      </c>
      <c r="K1237" s="51">
        <f>+_xlfn.XLOOKUP($H1237&amp;$V1237,BASEDATOS!$B:$B,BASEDATOS!R:R,0,0,1)</f>
        <v>0</v>
      </c>
      <c r="L1237" s="51">
        <f t="shared" si="1513"/>
        <v>0</v>
      </c>
      <c r="M1237" s="52">
        <f t="shared" si="1514"/>
        <v>0</v>
      </c>
      <c r="N1237" s="51">
        <f t="shared" si="1515"/>
        <v>0</v>
      </c>
      <c r="O1237" s="53" t="str">
        <f t="shared" ref="O1237" si="1527">+O1239</f>
        <v>0-0-0</v>
      </c>
      <c r="P1237" s="54">
        <f>+IF(AND(Y1237="Domingo",U1237=7),_xlfn.XLOOKUP(O1237,'Horarios y Sistemas'!C:C,'Horarios y Sistemas'!H:H,0,0,1),0)</f>
        <v>0</v>
      </c>
      <c r="Q1237" s="54">
        <f>IF(U1237=U1238,0,IF(AVERAGEIF(W:W,W1237,U:U)=U1237,0,_xlfn.XLOOKUP(O1237,'Horarios y Sistemas'!C:C,'Horarios y Sistemas'!H:H,0,0,1)-P1237))/7*U1237</f>
        <v>0</v>
      </c>
      <c r="R1237" s="54">
        <f t="shared" si="1517"/>
        <v>0</v>
      </c>
      <c r="S1237" s="55" t="str">
        <f t="shared" si="1518"/>
        <v>ENERO</v>
      </c>
      <c r="T1237" s="55" t="str">
        <f t="shared" si="1519"/>
        <v>Sem52</v>
      </c>
      <c r="U1237" s="56">
        <f t="shared" si="1501"/>
        <v>196</v>
      </c>
      <c r="V1237" s="59"/>
      <c r="W1237" s="56">
        <f t="shared" si="1520"/>
        <v>52</v>
      </c>
      <c r="X1237" s="56">
        <f t="shared" si="1521"/>
        <v>0</v>
      </c>
      <c r="Y1237" s="56" t="s">
        <v>32</v>
      </c>
      <c r="Z1237" s="56">
        <v>5</v>
      </c>
      <c r="AA1237" s="58">
        <f t="shared" si="1464"/>
        <v>0</v>
      </c>
      <c r="AB1237" s="58">
        <f t="shared" si="1464"/>
        <v>0</v>
      </c>
      <c r="AC1237" s="58">
        <f t="shared" si="1464"/>
        <v>0</v>
      </c>
      <c r="AD1237" s="58">
        <f t="shared" si="1464"/>
        <v>0</v>
      </c>
      <c r="AE1237" s="58">
        <f t="shared" si="1464"/>
        <v>0</v>
      </c>
    </row>
    <row r="1238" spans="2:31">
      <c r="B1238" t="str">
        <f t="shared" si="1508"/>
        <v>Sem5252</v>
      </c>
      <c r="C1238" t="str">
        <f t="shared" si="1509"/>
        <v>ENEROSem52</v>
      </c>
      <c r="D1238" t="str">
        <f t="shared" si="1510"/>
        <v>ENEROSem52</v>
      </c>
      <c r="E1238" t="str">
        <f t="shared" si="1511"/>
        <v>ENEROSem5252</v>
      </c>
      <c r="F1238" t="str">
        <f t="shared" si="1512"/>
        <v/>
      </c>
      <c r="H1238" s="49"/>
      <c r="I1238" s="50">
        <f>+_xlfn.XLOOKUP($H1238&amp;$V1238,BASEDATOS!$B:$B,BASEDATOS!F:F,0,0,1)</f>
        <v>0</v>
      </c>
      <c r="J1238" s="51">
        <f>+_xlfn.XLOOKUP($H1238&amp;$V1238,BASEDATOS!$B:$B,BASEDATOS!Q:Q,0,0,1)</f>
        <v>0</v>
      </c>
      <c r="K1238" s="51">
        <f>+_xlfn.XLOOKUP($H1238&amp;$V1238,BASEDATOS!$B:$B,BASEDATOS!R:R,0,0,1)</f>
        <v>0</v>
      </c>
      <c r="L1238" s="51">
        <f t="shared" si="1513"/>
        <v>0</v>
      </c>
      <c r="M1238" s="52">
        <f t="shared" si="1514"/>
        <v>0</v>
      </c>
      <c r="N1238" s="51">
        <f t="shared" si="1515"/>
        <v>0</v>
      </c>
      <c r="O1238" s="53" t="str">
        <f t="shared" ref="O1238" si="1528">+O1239</f>
        <v>0-0-0</v>
      </c>
      <c r="P1238" s="54">
        <f>+IF(AND(Y1238="Domingo",U1238=7),_xlfn.XLOOKUP(O1238,'Horarios y Sistemas'!C:C,'Horarios y Sistemas'!H:H,0,0,1),0)</f>
        <v>0</v>
      </c>
      <c r="Q1238" s="54">
        <f>IF(U1238=U1239,0,IF(AVERAGEIF(W:W,W1238,U:U)=U1238,0,_xlfn.XLOOKUP(O1238,'Horarios y Sistemas'!C:C,'Horarios y Sistemas'!H:H,0,0,1)-P1238))/7*U1238</f>
        <v>0</v>
      </c>
      <c r="R1238" s="54">
        <f t="shared" si="1517"/>
        <v>0</v>
      </c>
      <c r="S1238" s="55" t="str">
        <f t="shared" si="1518"/>
        <v>ENERO</v>
      </c>
      <c r="T1238" s="55" t="str">
        <f t="shared" si="1519"/>
        <v>Sem52</v>
      </c>
      <c r="U1238" s="56">
        <f t="shared" si="1501"/>
        <v>196</v>
      </c>
      <c r="V1238" s="59"/>
      <c r="W1238" s="56">
        <f t="shared" si="1520"/>
        <v>52</v>
      </c>
      <c r="X1238" s="56">
        <f t="shared" si="1521"/>
        <v>0</v>
      </c>
      <c r="Y1238" s="56" t="s">
        <v>33</v>
      </c>
      <c r="Z1238" s="56">
        <v>6</v>
      </c>
      <c r="AA1238" s="58">
        <f t="shared" si="1464"/>
        <v>0</v>
      </c>
      <c r="AB1238" s="58">
        <f t="shared" si="1464"/>
        <v>0</v>
      </c>
      <c r="AC1238" s="58">
        <f t="shared" si="1464"/>
        <v>0</v>
      </c>
      <c r="AD1238" s="58">
        <f t="shared" si="1464"/>
        <v>0</v>
      </c>
      <c r="AE1238" s="58">
        <f t="shared" si="1464"/>
        <v>0</v>
      </c>
    </row>
    <row r="1239" spans="2:31">
      <c r="B1239" s="60" t="str">
        <f t="shared" si="1508"/>
        <v>Sem5252</v>
      </c>
      <c r="C1239" s="60" t="str">
        <f t="shared" si="1509"/>
        <v>ENEROSem52</v>
      </c>
      <c r="D1239" s="60" t="str">
        <f t="shared" si="1510"/>
        <v>ENEROSem52</v>
      </c>
      <c r="E1239" s="60" t="str">
        <f t="shared" si="1511"/>
        <v>ENEROSem5252</v>
      </c>
      <c r="F1239" s="60" t="str">
        <f t="shared" si="1512"/>
        <v/>
      </c>
      <c r="G1239" s="60"/>
      <c r="H1239" s="61"/>
      <c r="I1239" s="62">
        <f>+_xlfn.XLOOKUP($H1239&amp;$V1239,BASEDATOS!$B:$B,BASEDATOS!F:F,0,0,1)</f>
        <v>0</v>
      </c>
      <c r="J1239" s="63">
        <f>+_xlfn.XLOOKUP($H1239&amp;$V1239,BASEDATOS!$B:$B,BASEDATOS!Q:Q,0,0,1)</f>
        <v>0</v>
      </c>
      <c r="K1239" s="63">
        <f>+_xlfn.XLOOKUP($H1239&amp;$V1239,BASEDATOS!$B:$B,BASEDATOS!R:R,0,0,1)</f>
        <v>0</v>
      </c>
      <c r="L1239" s="63">
        <f t="shared" si="1513"/>
        <v>0</v>
      </c>
      <c r="M1239" s="64">
        <f t="shared" si="1514"/>
        <v>0</v>
      </c>
      <c r="N1239" s="63">
        <f t="shared" si="1515"/>
        <v>0</v>
      </c>
      <c r="O1239" s="65" t="str">
        <f t="shared" ref="O1239" si="1529">+IF(Y1239="Domingo",SUM(AA1233:AA1239)&amp;"-"&amp;SUM(AB1233:AB1239)&amp;"-"&amp;SUM(AC1233:AE1239),"")</f>
        <v>0-0-0</v>
      </c>
      <c r="P1239" s="66">
        <f>+IF(AND(Y1239="Domingo",U1239=7),_xlfn.XLOOKUP(O1239,'Horarios y Sistemas'!C:C,'Horarios y Sistemas'!H:H,0,0,1),0)</f>
        <v>0</v>
      </c>
      <c r="Q1239" s="66">
        <f>IF(U1239=U1240,0,IF(AVERAGEIF(W:W,W1239,U:U)=U1239,0,_xlfn.XLOOKUP(O1239,'Horarios y Sistemas'!C:C,'Horarios y Sistemas'!H:H,0,0,1)-P1239))/7*U1239</f>
        <v>0</v>
      </c>
      <c r="R1239" s="66">
        <f t="shared" si="1517"/>
        <v>0</v>
      </c>
      <c r="S1239" s="67" t="str">
        <f t="shared" si="1518"/>
        <v>ENERO</v>
      </c>
      <c r="T1239" s="55" t="str">
        <f t="shared" si="1519"/>
        <v>Sem52</v>
      </c>
      <c r="U1239" s="68">
        <f t="shared" si="1501"/>
        <v>196</v>
      </c>
      <c r="V1239" s="69"/>
      <c r="W1239" s="68">
        <f t="shared" si="1520"/>
        <v>52</v>
      </c>
      <c r="X1239" s="68">
        <f t="shared" si="1521"/>
        <v>0</v>
      </c>
      <c r="Y1239" s="68" t="s">
        <v>34</v>
      </c>
      <c r="Z1239" s="68">
        <v>7</v>
      </c>
      <c r="AA1239" s="70">
        <f t="shared" ref="AA1239:AE1289" si="1530">+IF($I1239=AA$7,1,0)</f>
        <v>0</v>
      </c>
      <c r="AB1239" s="70">
        <f t="shared" si="1530"/>
        <v>0</v>
      </c>
      <c r="AC1239" s="70">
        <f t="shared" si="1530"/>
        <v>0</v>
      </c>
      <c r="AD1239" s="70">
        <f t="shared" si="1530"/>
        <v>0</v>
      </c>
      <c r="AE1239" s="70">
        <f t="shared" si="1530"/>
        <v>0</v>
      </c>
    </row>
    <row r="1240" spans="2:31">
      <c r="B1240" t="str">
        <f t="shared" si="1508"/>
        <v>Sem5252</v>
      </c>
      <c r="C1240" t="str">
        <f t="shared" si="1509"/>
        <v>ENEROSem52</v>
      </c>
      <c r="D1240" t="str">
        <f t="shared" si="1510"/>
        <v>ENEROSem52</v>
      </c>
      <c r="E1240" t="str">
        <f t="shared" si="1511"/>
        <v>ENEROSem5252</v>
      </c>
      <c r="F1240" t="str">
        <f t="shared" si="1512"/>
        <v/>
      </c>
      <c r="H1240" s="49"/>
      <c r="I1240" s="50">
        <f>+_xlfn.XLOOKUP($H1240&amp;$V1240,BASEDATOS!$B:$B,BASEDATOS!F:F,0,0,1)</f>
        <v>0</v>
      </c>
      <c r="J1240" s="51">
        <f>+_xlfn.XLOOKUP($H1240&amp;$V1240,BASEDATOS!$B:$B,BASEDATOS!Q:Q,0,0,1)</f>
        <v>0</v>
      </c>
      <c r="K1240" s="51">
        <f>+_xlfn.XLOOKUP($H1240&amp;$V1240,BASEDATOS!$B:$B,BASEDATOS!R:R,0,0,1)</f>
        <v>0</v>
      </c>
      <c r="L1240" s="51">
        <f t="shared" si="1513"/>
        <v>0</v>
      </c>
      <c r="M1240" s="52">
        <f t="shared" si="1514"/>
        <v>0</v>
      </c>
      <c r="N1240" s="51">
        <f t="shared" si="1515"/>
        <v>0</v>
      </c>
      <c r="O1240" s="53" t="str">
        <f t="shared" ref="O1240" si="1531">+O1246</f>
        <v>0-0-0</v>
      </c>
      <c r="P1240" s="54">
        <f>+IF(AND(Y1240="Domingo",U1240=7),_xlfn.XLOOKUP(O1240,'Horarios y Sistemas'!C:C,'Horarios y Sistemas'!H:H,0,0,1),0)</f>
        <v>0</v>
      </c>
      <c r="Q1240" s="54">
        <f>IF(U1240=U1241,0,IF(AVERAGEIF(W:W,W1240,U:U)=U1240,0,_xlfn.XLOOKUP(O1240,'Horarios y Sistemas'!C:C,'Horarios y Sistemas'!H:H,0,0,1)-P1240))/7*U1240</f>
        <v>0</v>
      </c>
      <c r="R1240" s="54">
        <f t="shared" si="1517"/>
        <v>0</v>
      </c>
      <c r="S1240" s="55" t="str">
        <f t="shared" si="1518"/>
        <v>ENERO</v>
      </c>
      <c r="T1240" s="55" t="str">
        <f t="shared" si="1519"/>
        <v>Sem52</v>
      </c>
      <c r="U1240" s="56">
        <f t="shared" si="1501"/>
        <v>196</v>
      </c>
      <c r="V1240" s="59"/>
      <c r="W1240" s="56">
        <f t="shared" si="1520"/>
        <v>52</v>
      </c>
      <c r="X1240" s="56">
        <f t="shared" si="1521"/>
        <v>0</v>
      </c>
      <c r="Y1240" s="56" t="s">
        <v>28</v>
      </c>
      <c r="Z1240" s="56">
        <v>1</v>
      </c>
      <c r="AA1240" s="58">
        <f t="shared" si="1530"/>
        <v>0</v>
      </c>
      <c r="AB1240" s="58">
        <f t="shared" si="1530"/>
        <v>0</v>
      </c>
      <c r="AC1240" s="58">
        <f t="shared" si="1530"/>
        <v>0</v>
      </c>
      <c r="AD1240" s="58">
        <f t="shared" si="1530"/>
        <v>0</v>
      </c>
      <c r="AE1240" s="58">
        <f t="shared" si="1530"/>
        <v>0</v>
      </c>
    </row>
    <row r="1241" spans="2:31">
      <c r="B1241" t="str">
        <f t="shared" si="1508"/>
        <v>Sem5252</v>
      </c>
      <c r="C1241" t="str">
        <f t="shared" si="1509"/>
        <v>ENEROSem52</v>
      </c>
      <c r="D1241" t="str">
        <f t="shared" si="1510"/>
        <v>ENEROSem52</v>
      </c>
      <c r="E1241" t="str">
        <f t="shared" si="1511"/>
        <v>ENEROSem5252</v>
      </c>
      <c r="F1241" t="str">
        <f t="shared" si="1512"/>
        <v/>
      </c>
      <c r="H1241" s="49"/>
      <c r="I1241" s="50">
        <f>+_xlfn.XLOOKUP($H1241&amp;$V1241,BASEDATOS!$B:$B,BASEDATOS!F:F,0,0,1)</f>
        <v>0</v>
      </c>
      <c r="J1241" s="51">
        <f>+_xlfn.XLOOKUP($H1241&amp;$V1241,BASEDATOS!$B:$B,BASEDATOS!Q:Q,0,0,1)</f>
        <v>0</v>
      </c>
      <c r="K1241" s="51">
        <f>+_xlfn.XLOOKUP($H1241&amp;$V1241,BASEDATOS!$B:$B,BASEDATOS!R:R,0,0,1)</f>
        <v>0</v>
      </c>
      <c r="L1241" s="51">
        <f t="shared" si="1513"/>
        <v>0</v>
      </c>
      <c r="M1241" s="52">
        <f t="shared" si="1514"/>
        <v>0</v>
      </c>
      <c r="N1241" s="51">
        <f t="shared" si="1515"/>
        <v>0</v>
      </c>
      <c r="O1241" s="53" t="str">
        <f t="shared" ref="O1241" si="1532">+O1246</f>
        <v>0-0-0</v>
      </c>
      <c r="P1241" s="54">
        <f>+IF(AND(Y1241="Domingo",U1241=7),_xlfn.XLOOKUP(O1241,'Horarios y Sistemas'!C:C,'Horarios y Sistemas'!H:H,0,0,1),0)</f>
        <v>0</v>
      </c>
      <c r="Q1241" s="54">
        <f>IF(U1241=U1242,0,IF(AVERAGEIF(W:W,W1241,U:U)=U1241,0,_xlfn.XLOOKUP(O1241,'Horarios y Sistemas'!C:C,'Horarios y Sistemas'!H:H,0,0,1)-P1241))/7*U1241</f>
        <v>0</v>
      </c>
      <c r="R1241" s="54">
        <f t="shared" si="1517"/>
        <v>0</v>
      </c>
      <c r="S1241" s="55" t="str">
        <f t="shared" si="1518"/>
        <v>ENERO</v>
      </c>
      <c r="T1241" s="55" t="str">
        <f t="shared" si="1519"/>
        <v>Sem52</v>
      </c>
      <c r="U1241" s="56">
        <f t="shared" si="1501"/>
        <v>196</v>
      </c>
      <c r="V1241" s="59"/>
      <c r="W1241" s="56">
        <f t="shared" si="1520"/>
        <v>52</v>
      </c>
      <c r="X1241" s="56">
        <f t="shared" si="1521"/>
        <v>0</v>
      </c>
      <c r="Y1241" s="56" t="s">
        <v>29</v>
      </c>
      <c r="Z1241" s="56">
        <v>2</v>
      </c>
      <c r="AA1241" s="58">
        <f t="shared" si="1530"/>
        <v>0</v>
      </c>
      <c r="AB1241" s="58">
        <f t="shared" si="1530"/>
        <v>0</v>
      </c>
      <c r="AC1241" s="58">
        <f t="shared" si="1530"/>
        <v>0</v>
      </c>
      <c r="AD1241" s="58">
        <f t="shared" si="1530"/>
        <v>0</v>
      </c>
      <c r="AE1241" s="58">
        <f t="shared" si="1530"/>
        <v>0</v>
      </c>
    </row>
    <row r="1242" spans="2:31">
      <c r="B1242" t="str">
        <f t="shared" si="1508"/>
        <v>Sem5252</v>
      </c>
      <c r="C1242" t="str">
        <f t="shared" si="1509"/>
        <v>ENEROSem52</v>
      </c>
      <c r="D1242" t="str">
        <f t="shared" si="1510"/>
        <v>ENEROSem52</v>
      </c>
      <c r="E1242" t="str">
        <f t="shared" si="1511"/>
        <v>ENEROSem5252</v>
      </c>
      <c r="F1242" t="str">
        <f t="shared" si="1512"/>
        <v/>
      </c>
      <c r="H1242" s="49"/>
      <c r="I1242" s="50">
        <f>+_xlfn.XLOOKUP($H1242&amp;$V1242,BASEDATOS!$B:$B,BASEDATOS!F:F,0,0,1)</f>
        <v>0</v>
      </c>
      <c r="J1242" s="51">
        <f>+_xlfn.XLOOKUP($H1242&amp;$V1242,BASEDATOS!$B:$B,BASEDATOS!Q:Q,0,0,1)</f>
        <v>0</v>
      </c>
      <c r="K1242" s="51">
        <f>+_xlfn.XLOOKUP($H1242&amp;$V1242,BASEDATOS!$B:$B,BASEDATOS!R:R,0,0,1)</f>
        <v>0</v>
      </c>
      <c r="L1242" s="51">
        <f t="shared" si="1513"/>
        <v>0</v>
      </c>
      <c r="M1242" s="52">
        <f t="shared" si="1514"/>
        <v>0</v>
      </c>
      <c r="N1242" s="51">
        <f t="shared" si="1515"/>
        <v>0</v>
      </c>
      <c r="O1242" s="53" t="str">
        <f t="shared" ref="O1242" si="1533">+O1246</f>
        <v>0-0-0</v>
      </c>
      <c r="P1242" s="54">
        <f>+IF(AND(Y1242="Domingo",U1242=7),_xlfn.XLOOKUP(O1242,'Horarios y Sistemas'!C:C,'Horarios y Sistemas'!H:H,0,0,1),0)</f>
        <v>0</v>
      </c>
      <c r="Q1242" s="54">
        <f>IF(U1242=U1243,0,IF(AVERAGEIF(W:W,W1242,U:U)=U1242,0,_xlfn.XLOOKUP(O1242,'Horarios y Sistemas'!C:C,'Horarios y Sistemas'!H:H,0,0,1)-P1242))/7*U1242</f>
        <v>0</v>
      </c>
      <c r="R1242" s="54">
        <f t="shared" si="1517"/>
        <v>0</v>
      </c>
      <c r="S1242" s="55" t="str">
        <f t="shared" si="1518"/>
        <v>ENERO</v>
      </c>
      <c r="T1242" s="55" t="str">
        <f t="shared" si="1519"/>
        <v>Sem52</v>
      </c>
      <c r="U1242" s="56">
        <f t="shared" si="1501"/>
        <v>196</v>
      </c>
      <c r="V1242" s="59"/>
      <c r="W1242" s="56">
        <f t="shared" si="1520"/>
        <v>52</v>
      </c>
      <c r="X1242" s="56">
        <f t="shared" si="1521"/>
        <v>0</v>
      </c>
      <c r="Y1242" s="56" t="s">
        <v>30</v>
      </c>
      <c r="Z1242" s="56">
        <v>3</v>
      </c>
      <c r="AA1242" s="58">
        <f t="shared" si="1530"/>
        <v>0</v>
      </c>
      <c r="AB1242" s="58">
        <f t="shared" si="1530"/>
        <v>0</v>
      </c>
      <c r="AC1242" s="58">
        <f t="shared" si="1530"/>
        <v>0</v>
      </c>
      <c r="AD1242" s="58">
        <f t="shared" si="1530"/>
        <v>0</v>
      </c>
      <c r="AE1242" s="58">
        <f t="shared" si="1530"/>
        <v>0</v>
      </c>
    </row>
    <row r="1243" spans="2:31">
      <c r="B1243" t="str">
        <f t="shared" si="1508"/>
        <v>Sem5252</v>
      </c>
      <c r="C1243" t="str">
        <f t="shared" si="1509"/>
        <v>ENEROSem52</v>
      </c>
      <c r="D1243" t="str">
        <f t="shared" si="1510"/>
        <v>ENEROSem52</v>
      </c>
      <c r="E1243" t="str">
        <f t="shared" si="1511"/>
        <v>ENEROSem5252</v>
      </c>
      <c r="F1243" t="str">
        <f t="shared" si="1512"/>
        <v/>
      </c>
      <c r="H1243" s="49"/>
      <c r="I1243" s="50">
        <f>+_xlfn.XLOOKUP($H1243&amp;$V1243,BASEDATOS!$B:$B,BASEDATOS!F:F,0,0,1)</f>
        <v>0</v>
      </c>
      <c r="J1243" s="51">
        <f>+_xlfn.XLOOKUP($H1243&amp;$V1243,BASEDATOS!$B:$B,BASEDATOS!Q:Q,0,0,1)</f>
        <v>0</v>
      </c>
      <c r="K1243" s="51">
        <f>+_xlfn.XLOOKUP($H1243&amp;$V1243,BASEDATOS!$B:$B,BASEDATOS!R:R,0,0,1)</f>
        <v>0</v>
      </c>
      <c r="L1243" s="51">
        <f t="shared" si="1513"/>
        <v>0</v>
      </c>
      <c r="M1243" s="52">
        <f t="shared" si="1514"/>
        <v>0</v>
      </c>
      <c r="N1243" s="51">
        <f t="shared" si="1515"/>
        <v>0</v>
      </c>
      <c r="O1243" s="53" t="str">
        <f t="shared" ref="O1243" si="1534">+O1246</f>
        <v>0-0-0</v>
      </c>
      <c r="P1243" s="54">
        <f>+IF(AND(Y1243="Domingo",U1243=7),_xlfn.XLOOKUP(O1243,'Horarios y Sistemas'!C:C,'Horarios y Sistemas'!H:H,0,0,1),0)</f>
        <v>0</v>
      </c>
      <c r="Q1243" s="54">
        <f>IF(U1243=U1244,0,IF(AVERAGEIF(W:W,W1243,U:U)=U1243,0,_xlfn.XLOOKUP(O1243,'Horarios y Sistemas'!C:C,'Horarios y Sistemas'!H:H,0,0,1)-P1243))/7*U1243</f>
        <v>0</v>
      </c>
      <c r="R1243" s="54">
        <f t="shared" si="1517"/>
        <v>0</v>
      </c>
      <c r="S1243" s="55" t="str">
        <f t="shared" si="1518"/>
        <v>ENERO</v>
      </c>
      <c r="T1243" s="55" t="str">
        <f t="shared" si="1519"/>
        <v>Sem52</v>
      </c>
      <c r="U1243" s="56">
        <f t="shared" si="1501"/>
        <v>196</v>
      </c>
      <c r="V1243" s="59"/>
      <c r="W1243" s="56">
        <f t="shared" si="1520"/>
        <v>52</v>
      </c>
      <c r="X1243" s="56">
        <f t="shared" si="1521"/>
        <v>0</v>
      </c>
      <c r="Y1243" s="56" t="s">
        <v>31</v>
      </c>
      <c r="Z1243" s="56">
        <v>4</v>
      </c>
      <c r="AA1243" s="58">
        <f t="shared" si="1530"/>
        <v>0</v>
      </c>
      <c r="AB1243" s="58">
        <f t="shared" si="1530"/>
        <v>0</v>
      </c>
      <c r="AC1243" s="58">
        <f t="shared" si="1530"/>
        <v>0</v>
      </c>
      <c r="AD1243" s="58">
        <f t="shared" si="1530"/>
        <v>0</v>
      </c>
      <c r="AE1243" s="58">
        <f t="shared" si="1530"/>
        <v>0</v>
      </c>
    </row>
    <row r="1244" spans="2:31">
      <c r="B1244" t="str">
        <f t="shared" si="1508"/>
        <v>Sem5252</v>
      </c>
      <c r="C1244" t="str">
        <f t="shared" si="1509"/>
        <v>ENEROSem52</v>
      </c>
      <c r="D1244" t="str">
        <f t="shared" si="1510"/>
        <v>ENEROSem52</v>
      </c>
      <c r="E1244" t="str">
        <f t="shared" si="1511"/>
        <v>ENEROSem5252</v>
      </c>
      <c r="F1244" t="str">
        <f t="shared" si="1512"/>
        <v/>
      </c>
      <c r="H1244" s="49"/>
      <c r="I1244" s="50">
        <f>+_xlfn.XLOOKUP($H1244&amp;$V1244,BASEDATOS!$B:$B,BASEDATOS!F:F,0,0,1)</f>
        <v>0</v>
      </c>
      <c r="J1244" s="51">
        <f>+_xlfn.XLOOKUP($H1244&amp;$V1244,BASEDATOS!$B:$B,BASEDATOS!Q:Q,0,0,1)</f>
        <v>0</v>
      </c>
      <c r="K1244" s="51">
        <f>+_xlfn.XLOOKUP($H1244&amp;$V1244,BASEDATOS!$B:$B,BASEDATOS!R:R,0,0,1)</f>
        <v>0</v>
      </c>
      <c r="L1244" s="51">
        <f t="shared" si="1513"/>
        <v>0</v>
      </c>
      <c r="M1244" s="52">
        <f t="shared" si="1514"/>
        <v>0</v>
      </c>
      <c r="N1244" s="51">
        <f t="shared" si="1515"/>
        <v>0</v>
      </c>
      <c r="O1244" s="53" t="str">
        <f t="shared" ref="O1244" si="1535">+O1246</f>
        <v>0-0-0</v>
      </c>
      <c r="P1244" s="54">
        <f>+IF(AND(Y1244="Domingo",U1244=7),_xlfn.XLOOKUP(O1244,'Horarios y Sistemas'!C:C,'Horarios y Sistemas'!H:H,0,0,1),0)</f>
        <v>0</v>
      </c>
      <c r="Q1244" s="54">
        <f>IF(U1244=U1245,0,IF(AVERAGEIF(W:W,W1244,U:U)=U1244,0,_xlfn.XLOOKUP(O1244,'Horarios y Sistemas'!C:C,'Horarios y Sistemas'!H:H,0,0,1)-P1244))/7*U1244</f>
        <v>0</v>
      </c>
      <c r="R1244" s="54">
        <f t="shared" si="1517"/>
        <v>0</v>
      </c>
      <c r="S1244" s="55" t="str">
        <f t="shared" si="1518"/>
        <v>ENERO</v>
      </c>
      <c r="T1244" s="55" t="str">
        <f t="shared" si="1519"/>
        <v>Sem52</v>
      </c>
      <c r="U1244" s="56">
        <f t="shared" si="1501"/>
        <v>196</v>
      </c>
      <c r="V1244" s="59"/>
      <c r="W1244" s="56">
        <f t="shared" si="1520"/>
        <v>52</v>
      </c>
      <c r="X1244" s="56">
        <f t="shared" si="1521"/>
        <v>0</v>
      </c>
      <c r="Y1244" s="56" t="s">
        <v>32</v>
      </c>
      <c r="Z1244" s="56">
        <v>5</v>
      </c>
      <c r="AA1244" s="58">
        <f t="shared" si="1530"/>
        <v>0</v>
      </c>
      <c r="AB1244" s="58">
        <f t="shared" si="1530"/>
        <v>0</v>
      </c>
      <c r="AC1244" s="58">
        <f t="shared" si="1530"/>
        <v>0</v>
      </c>
      <c r="AD1244" s="58">
        <f t="shared" si="1530"/>
        <v>0</v>
      </c>
      <c r="AE1244" s="58">
        <f t="shared" si="1530"/>
        <v>0</v>
      </c>
    </row>
    <row r="1245" spans="2:31">
      <c r="B1245" t="str">
        <f t="shared" si="1508"/>
        <v>Sem5252</v>
      </c>
      <c r="C1245" t="str">
        <f t="shared" si="1509"/>
        <v>ENEROSem52</v>
      </c>
      <c r="D1245" t="str">
        <f t="shared" si="1510"/>
        <v>ENEROSem52</v>
      </c>
      <c r="E1245" t="str">
        <f t="shared" si="1511"/>
        <v>ENEROSem5252</v>
      </c>
      <c r="F1245" t="str">
        <f t="shared" si="1512"/>
        <v/>
      </c>
      <c r="H1245" s="49"/>
      <c r="I1245" s="50">
        <f>+_xlfn.XLOOKUP($H1245&amp;$V1245,BASEDATOS!$B:$B,BASEDATOS!F:F,0,0,1)</f>
        <v>0</v>
      </c>
      <c r="J1245" s="51">
        <f>+_xlfn.XLOOKUP($H1245&amp;$V1245,BASEDATOS!$B:$B,BASEDATOS!Q:Q,0,0,1)</f>
        <v>0</v>
      </c>
      <c r="K1245" s="51">
        <f>+_xlfn.XLOOKUP($H1245&amp;$V1245,BASEDATOS!$B:$B,BASEDATOS!R:R,0,0,1)</f>
        <v>0</v>
      </c>
      <c r="L1245" s="51">
        <f t="shared" si="1513"/>
        <v>0</v>
      </c>
      <c r="M1245" s="52">
        <f t="shared" si="1514"/>
        <v>0</v>
      </c>
      <c r="N1245" s="51">
        <f t="shared" si="1515"/>
        <v>0</v>
      </c>
      <c r="O1245" s="53" t="str">
        <f t="shared" ref="O1245" si="1536">+O1246</f>
        <v>0-0-0</v>
      </c>
      <c r="P1245" s="54">
        <f>+IF(AND(Y1245="Domingo",U1245=7),_xlfn.XLOOKUP(O1245,'Horarios y Sistemas'!C:C,'Horarios y Sistemas'!H:H,0,0,1),0)</f>
        <v>0</v>
      </c>
      <c r="Q1245" s="54">
        <f>IF(U1245=U1246,0,IF(AVERAGEIF(W:W,W1245,U:U)=U1245,0,_xlfn.XLOOKUP(O1245,'Horarios y Sistemas'!C:C,'Horarios y Sistemas'!H:H,0,0,1)-P1245))/7*U1245</f>
        <v>0</v>
      </c>
      <c r="R1245" s="54">
        <f t="shared" si="1517"/>
        <v>0</v>
      </c>
      <c r="S1245" s="55" t="str">
        <f t="shared" si="1518"/>
        <v>ENERO</v>
      </c>
      <c r="T1245" s="55" t="str">
        <f t="shared" si="1519"/>
        <v>Sem52</v>
      </c>
      <c r="U1245" s="56">
        <f t="shared" si="1501"/>
        <v>196</v>
      </c>
      <c r="V1245" s="59"/>
      <c r="W1245" s="56">
        <f t="shared" si="1520"/>
        <v>52</v>
      </c>
      <c r="X1245" s="56">
        <f t="shared" si="1521"/>
        <v>0</v>
      </c>
      <c r="Y1245" s="56" t="s">
        <v>33</v>
      </c>
      <c r="Z1245" s="56">
        <v>6</v>
      </c>
      <c r="AA1245" s="58">
        <f t="shared" si="1530"/>
        <v>0</v>
      </c>
      <c r="AB1245" s="58">
        <f t="shared" si="1530"/>
        <v>0</v>
      </c>
      <c r="AC1245" s="58">
        <f t="shared" si="1530"/>
        <v>0</v>
      </c>
      <c r="AD1245" s="58">
        <f t="shared" si="1530"/>
        <v>0</v>
      </c>
      <c r="AE1245" s="58">
        <f t="shared" si="1530"/>
        <v>0</v>
      </c>
    </row>
    <row r="1246" spans="2:31">
      <c r="B1246" s="60" t="str">
        <f t="shared" si="1508"/>
        <v>Sem5252</v>
      </c>
      <c r="C1246" s="60" t="str">
        <f t="shared" si="1509"/>
        <v>ENEROSem52</v>
      </c>
      <c r="D1246" s="60" t="str">
        <f t="shared" si="1510"/>
        <v>ENEROSem52</v>
      </c>
      <c r="E1246" s="60" t="str">
        <f t="shared" si="1511"/>
        <v>ENEROSem5252</v>
      </c>
      <c r="F1246" s="60" t="str">
        <f t="shared" si="1512"/>
        <v/>
      </c>
      <c r="G1246" s="60"/>
      <c r="H1246" s="61"/>
      <c r="I1246" s="62">
        <f>+_xlfn.XLOOKUP($H1246&amp;$V1246,BASEDATOS!$B:$B,BASEDATOS!F:F,0,0,1)</f>
        <v>0</v>
      </c>
      <c r="J1246" s="63">
        <f>+_xlfn.XLOOKUP($H1246&amp;$V1246,BASEDATOS!$B:$B,BASEDATOS!Q:Q,0,0,1)</f>
        <v>0</v>
      </c>
      <c r="K1246" s="63">
        <f>+_xlfn.XLOOKUP($H1246&amp;$V1246,BASEDATOS!$B:$B,BASEDATOS!R:R,0,0,1)</f>
        <v>0</v>
      </c>
      <c r="L1246" s="63">
        <f t="shared" si="1513"/>
        <v>0</v>
      </c>
      <c r="M1246" s="64">
        <f t="shared" si="1514"/>
        <v>0</v>
      </c>
      <c r="N1246" s="63">
        <f t="shared" si="1515"/>
        <v>0</v>
      </c>
      <c r="O1246" s="65" t="str">
        <f t="shared" ref="O1246" si="1537">+IF(Y1246="Domingo",SUM(AA1240:AA1246)&amp;"-"&amp;SUM(AB1240:AB1246)&amp;"-"&amp;SUM(AC1240:AE1246),"")</f>
        <v>0-0-0</v>
      </c>
      <c r="P1246" s="66">
        <f>+IF(AND(Y1246="Domingo",U1246=7),_xlfn.XLOOKUP(O1246,'Horarios y Sistemas'!C:C,'Horarios y Sistemas'!H:H,0,0,1),0)</f>
        <v>0</v>
      </c>
      <c r="Q1246" s="66">
        <f>IF(U1246=U1247,0,IF(AVERAGEIF(W:W,W1246,U:U)=U1246,0,_xlfn.XLOOKUP(O1246,'Horarios y Sistemas'!C:C,'Horarios y Sistemas'!H:H,0,0,1)-P1246))/7*U1246</f>
        <v>0</v>
      </c>
      <c r="R1246" s="66">
        <f t="shared" si="1517"/>
        <v>0</v>
      </c>
      <c r="S1246" s="67" t="str">
        <f t="shared" si="1518"/>
        <v>ENERO</v>
      </c>
      <c r="T1246" s="55" t="str">
        <f t="shared" si="1519"/>
        <v>Sem52</v>
      </c>
      <c r="U1246" s="68">
        <f t="shared" si="1501"/>
        <v>196</v>
      </c>
      <c r="V1246" s="69"/>
      <c r="W1246" s="68">
        <f t="shared" si="1520"/>
        <v>52</v>
      </c>
      <c r="X1246" s="68">
        <f t="shared" si="1521"/>
        <v>0</v>
      </c>
      <c r="Y1246" s="68" t="s">
        <v>34</v>
      </c>
      <c r="Z1246" s="68">
        <v>7</v>
      </c>
      <c r="AA1246" s="70">
        <f t="shared" si="1530"/>
        <v>0</v>
      </c>
      <c r="AB1246" s="70">
        <f t="shared" si="1530"/>
        <v>0</v>
      </c>
      <c r="AC1246" s="70">
        <f t="shared" si="1530"/>
        <v>0</v>
      </c>
      <c r="AD1246" s="70">
        <f t="shared" si="1530"/>
        <v>0</v>
      </c>
      <c r="AE1246" s="70">
        <f t="shared" si="1530"/>
        <v>0</v>
      </c>
    </row>
    <row r="1247" spans="2:31">
      <c r="B1247" t="str">
        <f t="shared" si="1508"/>
        <v>Sem5252</v>
      </c>
      <c r="C1247" t="str">
        <f t="shared" si="1509"/>
        <v>ENEROSem52</v>
      </c>
      <c r="D1247" t="str">
        <f t="shared" si="1510"/>
        <v>ENEROSem52</v>
      </c>
      <c r="E1247" t="str">
        <f t="shared" si="1511"/>
        <v>ENEROSem5252</v>
      </c>
      <c r="F1247" t="str">
        <f t="shared" si="1512"/>
        <v/>
      </c>
      <c r="H1247" s="49"/>
      <c r="I1247" s="50">
        <f>+_xlfn.XLOOKUP($H1247&amp;$V1247,BASEDATOS!$B:$B,BASEDATOS!F:F,0,0,1)</f>
        <v>0</v>
      </c>
      <c r="J1247" s="51">
        <f>+_xlfn.XLOOKUP($H1247&amp;$V1247,BASEDATOS!$B:$B,BASEDATOS!Q:Q,0,0,1)</f>
        <v>0</v>
      </c>
      <c r="K1247" s="51">
        <f>+_xlfn.XLOOKUP($H1247&amp;$V1247,BASEDATOS!$B:$B,BASEDATOS!R:R,0,0,1)</f>
        <v>0</v>
      </c>
      <c r="L1247" s="51">
        <f t="shared" si="1513"/>
        <v>0</v>
      </c>
      <c r="M1247" s="52">
        <f t="shared" si="1514"/>
        <v>0</v>
      </c>
      <c r="N1247" s="51">
        <f t="shared" si="1515"/>
        <v>0</v>
      </c>
      <c r="O1247" s="53" t="str">
        <f t="shared" ref="O1247" si="1538">+O1253</f>
        <v>0-0-0</v>
      </c>
      <c r="P1247" s="54">
        <f>+IF(AND(Y1247="Domingo",U1247=7),_xlfn.XLOOKUP(O1247,'Horarios y Sistemas'!C:C,'Horarios y Sistemas'!H:H,0,0,1),0)</f>
        <v>0</v>
      </c>
      <c r="Q1247" s="54">
        <f>IF(U1247=U1248,0,IF(AVERAGEIF(W:W,W1247,U:U)=U1247,0,_xlfn.XLOOKUP(O1247,'Horarios y Sistemas'!C:C,'Horarios y Sistemas'!H:H,0,0,1)-P1247))/7*U1247</f>
        <v>0</v>
      </c>
      <c r="R1247" s="54">
        <f t="shared" si="1517"/>
        <v>0</v>
      </c>
      <c r="S1247" s="55" t="str">
        <f t="shared" si="1518"/>
        <v>ENERO</v>
      </c>
      <c r="T1247" s="55" t="str">
        <f t="shared" si="1519"/>
        <v>Sem52</v>
      </c>
      <c r="U1247" s="56">
        <f t="shared" si="1501"/>
        <v>196</v>
      </c>
      <c r="V1247" s="59"/>
      <c r="W1247" s="56">
        <f t="shared" si="1520"/>
        <v>52</v>
      </c>
      <c r="X1247" s="56">
        <f t="shared" si="1521"/>
        <v>0</v>
      </c>
      <c r="Y1247" s="56" t="s">
        <v>28</v>
      </c>
      <c r="Z1247" s="56">
        <v>1</v>
      </c>
      <c r="AA1247" s="58">
        <f t="shared" si="1530"/>
        <v>0</v>
      </c>
      <c r="AB1247" s="58">
        <f t="shared" si="1530"/>
        <v>0</v>
      </c>
      <c r="AC1247" s="58">
        <f t="shared" si="1530"/>
        <v>0</v>
      </c>
      <c r="AD1247" s="58">
        <f t="shared" si="1530"/>
        <v>0</v>
      </c>
      <c r="AE1247" s="58">
        <f t="shared" si="1530"/>
        <v>0</v>
      </c>
    </row>
    <row r="1248" spans="2:31">
      <c r="B1248" t="str">
        <f t="shared" si="1508"/>
        <v>Sem5252</v>
      </c>
      <c r="C1248" t="str">
        <f t="shared" si="1509"/>
        <v>ENEROSem52</v>
      </c>
      <c r="D1248" t="str">
        <f t="shared" si="1510"/>
        <v>ENEROSem52</v>
      </c>
      <c r="E1248" t="str">
        <f t="shared" si="1511"/>
        <v>ENEROSem5252</v>
      </c>
      <c r="F1248" t="str">
        <f t="shared" si="1512"/>
        <v/>
      </c>
      <c r="H1248" s="49"/>
      <c r="I1248" s="50">
        <f>+_xlfn.XLOOKUP($H1248&amp;$V1248,BASEDATOS!$B:$B,BASEDATOS!F:F,0,0,1)</f>
        <v>0</v>
      </c>
      <c r="J1248" s="51">
        <f>+_xlfn.XLOOKUP($H1248&amp;$V1248,BASEDATOS!$B:$B,BASEDATOS!Q:Q,0,0,1)</f>
        <v>0</v>
      </c>
      <c r="K1248" s="51">
        <f>+_xlfn.XLOOKUP($H1248&amp;$V1248,BASEDATOS!$B:$B,BASEDATOS!R:R,0,0,1)</f>
        <v>0</v>
      </c>
      <c r="L1248" s="51">
        <f t="shared" si="1513"/>
        <v>0</v>
      </c>
      <c r="M1248" s="52">
        <f t="shared" si="1514"/>
        <v>0</v>
      </c>
      <c r="N1248" s="51">
        <f t="shared" si="1515"/>
        <v>0</v>
      </c>
      <c r="O1248" s="53" t="str">
        <f t="shared" ref="O1248" si="1539">+O1253</f>
        <v>0-0-0</v>
      </c>
      <c r="P1248" s="54">
        <f>+IF(AND(Y1248="Domingo",U1248=7),_xlfn.XLOOKUP(O1248,'Horarios y Sistemas'!C:C,'Horarios y Sistemas'!H:H,0,0,1),0)</f>
        <v>0</v>
      </c>
      <c r="Q1248" s="54">
        <f>IF(U1248=U1249,0,IF(AVERAGEIF(W:W,W1248,U:U)=U1248,0,_xlfn.XLOOKUP(O1248,'Horarios y Sistemas'!C:C,'Horarios y Sistemas'!H:H,0,0,1)-P1248))/7*U1248</f>
        <v>0</v>
      </c>
      <c r="R1248" s="54">
        <f t="shared" si="1517"/>
        <v>0</v>
      </c>
      <c r="S1248" s="55" t="str">
        <f t="shared" si="1518"/>
        <v>ENERO</v>
      </c>
      <c r="T1248" s="55" t="str">
        <f t="shared" si="1519"/>
        <v>Sem52</v>
      </c>
      <c r="U1248" s="56">
        <f t="shared" si="1501"/>
        <v>196</v>
      </c>
      <c r="V1248" s="59"/>
      <c r="W1248" s="56">
        <f t="shared" si="1520"/>
        <v>52</v>
      </c>
      <c r="X1248" s="56">
        <f t="shared" si="1521"/>
        <v>0</v>
      </c>
      <c r="Y1248" s="56" t="s">
        <v>29</v>
      </c>
      <c r="Z1248" s="56">
        <v>2</v>
      </c>
      <c r="AA1248" s="58">
        <f t="shared" si="1530"/>
        <v>0</v>
      </c>
      <c r="AB1248" s="58">
        <f t="shared" si="1530"/>
        <v>0</v>
      </c>
      <c r="AC1248" s="58">
        <f t="shared" si="1530"/>
        <v>0</v>
      </c>
      <c r="AD1248" s="58">
        <f t="shared" si="1530"/>
        <v>0</v>
      </c>
      <c r="AE1248" s="58">
        <f t="shared" si="1530"/>
        <v>0</v>
      </c>
    </row>
    <row r="1249" spans="2:31">
      <c r="B1249" t="str">
        <f t="shared" si="1508"/>
        <v>Sem5252</v>
      </c>
      <c r="C1249" t="str">
        <f t="shared" si="1509"/>
        <v>ENEROSem52</v>
      </c>
      <c r="D1249" t="str">
        <f t="shared" si="1510"/>
        <v>ENEROSem52</v>
      </c>
      <c r="E1249" t="str">
        <f t="shared" si="1511"/>
        <v>ENEROSem5252</v>
      </c>
      <c r="F1249" t="str">
        <f t="shared" si="1512"/>
        <v/>
      </c>
      <c r="H1249" s="49"/>
      <c r="I1249" s="50">
        <f>+_xlfn.XLOOKUP($H1249&amp;$V1249,BASEDATOS!$B:$B,BASEDATOS!F:F,0,0,1)</f>
        <v>0</v>
      </c>
      <c r="J1249" s="51">
        <f>+_xlfn.XLOOKUP($H1249&amp;$V1249,BASEDATOS!$B:$B,BASEDATOS!Q:Q,0,0,1)</f>
        <v>0</v>
      </c>
      <c r="K1249" s="51">
        <f>+_xlfn.XLOOKUP($H1249&amp;$V1249,BASEDATOS!$B:$B,BASEDATOS!R:R,0,0,1)</f>
        <v>0</v>
      </c>
      <c r="L1249" s="51">
        <f t="shared" si="1513"/>
        <v>0</v>
      </c>
      <c r="M1249" s="52">
        <f t="shared" si="1514"/>
        <v>0</v>
      </c>
      <c r="N1249" s="51">
        <f t="shared" si="1515"/>
        <v>0</v>
      </c>
      <c r="O1249" s="53" t="str">
        <f t="shared" ref="O1249" si="1540">+O1253</f>
        <v>0-0-0</v>
      </c>
      <c r="P1249" s="54">
        <f>+IF(AND(Y1249="Domingo",U1249=7),_xlfn.XLOOKUP(O1249,'Horarios y Sistemas'!C:C,'Horarios y Sistemas'!H:H,0,0,1),0)</f>
        <v>0</v>
      </c>
      <c r="Q1249" s="54">
        <f>IF(U1249=U1250,0,IF(AVERAGEIF(W:W,W1249,U:U)=U1249,0,_xlfn.XLOOKUP(O1249,'Horarios y Sistemas'!C:C,'Horarios y Sistemas'!H:H,0,0,1)-P1249))/7*U1249</f>
        <v>0</v>
      </c>
      <c r="R1249" s="54">
        <f t="shared" si="1517"/>
        <v>0</v>
      </c>
      <c r="S1249" s="55" t="str">
        <f t="shared" si="1518"/>
        <v>ENERO</v>
      </c>
      <c r="T1249" s="55" t="str">
        <f t="shared" si="1519"/>
        <v>Sem52</v>
      </c>
      <c r="U1249" s="56">
        <f t="shared" si="1501"/>
        <v>196</v>
      </c>
      <c r="V1249" s="59"/>
      <c r="W1249" s="56">
        <f t="shared" si="1520"/>
        <v>52</v>
      </c>
      <c r="X1249" s="56">
        <f t="shared" si="1521"/>
        <v>0</v>
      </c>
      <c r="Y1249" s="56" t="s">
        <v>30</v>
      </c>
      <c r="Z1249" s="56">
        <v>3</v>
      </c>
      <c r="AA1249" s="58">
        <f t="shared" si="1530"/>
        <v>0</v>
      </c>
      <c r="AB1249" s="58">
        <f t="shared" si="1530"/>
        <v>0</v>
      </c>
      <c r="AC1249" s="58">
        <f t="shared" si="1530"/>
        <v>0</v>
      </c>
      <c r="AD1249" s="58">
        <f t="shared" si="1530"/>
        <v>0</v>
      </c>
      <c r="AE1249" s="58">
        <f t="shared" si="1530"/>
        <v>0</v>
      </c>
    </row>
    <row r="1250" spans="2:31">
      <c r="B1250" t="str">
        <f t="shared" si="1508"/>
        <v>Sem5252</v>
      </c>
      <c r="C1250" t="str">
        <f t="shared" si="1509"/>
        <v>ENEROSem52</v>
      </c>
      <c r="D1250" t="str">
        <f t="shared" si="1510"/>
        <v>ENEROSem52</v>
      </c>
      <c r="E1250" t="str">
        <f t="shared" si="1511"/>
        <v>ENEROSem5252</v>
      </c>
      <c r="F1250" t="str">
        <f t="shared" si="1512"/>
        <v/>
      </c>
      <c r="H1250" s="49"/>
      <c r="I1250" s="50">
        <f>+_xlfn.XLOOKUP($H1250&amp;$V1250,BASEDATOS!$B:$B,BASEDATOS!F:F,0,0,1)</f>
        <v>0</v>
      </c>
      <c r="J1250" s="51">
        <f>+_xlfn.XLOOKUP($H1250&amp;$V1250,BASEDATOS!$B:$B,BASEDATOS!Q:Q,0,0,1)</f>
        <v>0</v>
      </c>
      <c r="K1250" s="51">
        <f>+_xlfn.XLOOKUP($H1250&amp;$V1250,BASEDATOS!$B:$B,BASEDATOS!R:R,0,0,1)</f>
        <v>0</v>
      </c>
      <c r="L1250" s="51">
        <f t="shared" si="1513"/>
        <v>0</v>
      </c>
      <c r="M1250" s="52">
        <f t="shared" si="1514"/>
        <v>0</v>
      </c>
      <c r="N1250" s="51">
        <f t="shared" si="1515"/>
        <v>0</v>
      </c>
      <c r="O1250" s="53" t="str">
        <f t="shared" ref="O1250" si="1541">+O1253</f>
        <v>0-0-0</v>
      </c>
      <c r="P1250" s="54">
        <f>+IF(AND(Y1250="Domingo",U1250=7),_xlfn.XLOOKUP(O1250,'Horarios y Sistemas'!C:C,'Horarios y Sistemas'!H:H,0,0,1),0)</f>
        <v>0</v>
      </c>
      <c r="Q1250" s="54">
        <f>IF(U1250=U1251,0,IF(AVERAGEIF(W:W,W1250,U:U)=U1250,0,_xlfn.XLOOKUP(O1250,'Horarios y Sistemas'!C:C,'Horarios y Sistemas'!H:H,0,0,1)-P1250))/7*U1250</f>
        <v>0</v>
      </c>
      <c r="R1250" s="54">
        <f t="shared" si="1517"/>
        <v>0</v>
      </c>
      <c r="S1250" s="55" t="str">
        <f t="shared" si="1518"/>
        <v>ENERO</v>
      </c>
      <c r="T1250" s="55" t="str">
        <f t="shared" si="1519"/>
        <v>Sem52</v>
      </c>
      <c r="U1250" s="56">
        <f t="shared" si="1501"/>
        <v>196</v>
      </c>
      <c r="V1250" s="59"/>
      <c r="W1250" s="56">
        <f t="shared" si="1520"/>
        <v>52</v>
      </c>
      <c r="X1250" s="56">
        <f t="shared" si="1521"/>
        <v>0</v>
      </c>
      <c r="Y1250" s="56" t="s">
        <v>31</v>
      </c>
      <c r="Z1250" s="56">
        <v>4</v>
      </c>
      <c r="AA1250" s="58">
        <f t="shared" si="1530"/>
        <v>0</v>
      </c>
      <c r="AB1250" s="58">
        <f t="shared" si="1530"/>
        <v>0</v>
      </c>
      <c r="AC1250" s="58">
        <f t="shared" si="1530"/>
        <v>0</v>
      </c>
      <c r="AD1250" s="58">
        <f t="shared" si="1530"/>
        <v>0</v>
      </c>
      <c r="AE1250" s="58">
        <f t="shared" si="1530"/>
        <v>0</v>
      </c>
    </row>
    <row r="1251" spans="2:31">
      <c r="B1251" t="str">
        <f t="shared" si="1508"/>
        <v>Sem5252</v>
      </c>
      <c r="C1251" t="str">
        <f t="shared" si="1509"/>
        <v>ENEROSem52</v>
      </c>
      <c r="D1251" t="str">
        <f t="shared" si="1510"/>
        <v>ENEROSem52</v>
      </c>
      <c r="E1251" t="str">
        <f t="shared" si="1511"/>
        <v>ENEROSem5252</v>
      </c>
      <c r="F1251" t="str">
        <f t="shared" si="1512"/>
        <v/>
      </c>
      <c r="H1251" s="49"/>
      <c r="I1251" s="50">
        <f>+_xlfn.XLOOKUP($H1251&amp;$V1251,BASEDATOS!$B:$B,BASEDATOS!F:F,0,0,1)</f>
        <v>0</v>
      </c>
      <c r="J1251" s="51">
        <f>+_xlfn.XLOOKUP($H1251&amp;$V1251,BASEDATOS!$B:$B,BASEDATOS!Q:Q,0,0,1)</f>
        <v>0</v>
      </c>
      <c r="K1251" s="51">
        <f>+_xlfn.XLOOKUP($H1251&amp;$V1251,BASEDATOS!$B:$B,BASEDATOS!R:R,0,0,1)</f>
        <v>0</v>
      </c>
      <c r="L1251" s="51">
        <f t="shared" si="1513"/>
        <v>0</v>
      </c>
      <c r="M1251" s="52">
        <f t="shared" si="1514"/>
        <v>0</v>
      </c>
      <c r="N1251" s="51">
        <f t="shared" si="1515"/>
        <v>0</v>
      </c>
      <c r="O1251" s="53" t="str">
        <f t="shared" ref="O1251" si="1542">+O1253</f>
        <v>0-0-0</v>
      </c>
      <c r="P1251" s="54">
        <f>+IF(AND(Y1251="Domingo",U1251=7),_xlfn.XLOOKUP(O1251,'Horarios y Sistemas'!C:C,'Horarios y Sistemas'!H:H,0,0,1),0)</f>
        <v>0</v>
      </c>
      <c r="Q1251" s="54">
        <f>IF(U1251=U1252,0,IF(AVERAGEIF(W:W,W1251,U:U)=U1251,0,_xlfn.XLOOKUP(O1251,'Horarios y Sistemas'!C:C,'Horarios y Sistemas'!H:H,0,0,1)-P1251))/7*U1251</f>
        <v>0</v>
      </c>
      <c r="R1251" s="54">
        <f t="shared" si="1517"/>
        <v>0</v>
      </c>
      <c r="S1251" s="55" t="str">
        <f t="shared" si="1518"/>
        <v>ENERO</v>
      </c>
      <c r="T1251" s="55" t="str">
        <f t="shared" si="1519"/>
        <v>Sem52</v>
      </c>
      <c r="U1251" s="56">
        <f t="shared" si="1501"/>
        <v>196</v>
      </c>
      <c r="V1251" s="59"/>
      <c r="W1251" s="56">
        <f t="shared" si="1520"/>
        <v>52</v>
      </c>
      <c r="X1251" s="56">
        <f t="shared" si="1521"/>
        <v>0</v>
      </c>
      <c r="Y1251" s="56" t="s">
        <v>32</v>
      </c>
      <c r="Z1251" s="56">
        <v>5</v>
      </c>
      <c r="AA1251" s="58">
        <f t="shared" si="1530"/>
        <v>0</v>
      </c>
      <c r="AB1251" s="58">
        <f t="shared" si="1530"/>
        <v>0</v>
      </c>
      <c r="AC1251" s="58">
        <f t="shared" si="1530"/>
        <v>0</v>
      </c>
      <c r="AD1251" s="58">
        <f t="shared" si="1530"/>
        <v>0</v>
      </c>
      <c r="AE1251" s="58">
        <f t="shared" si="1530"/>
        <v>0</v>
      </c>
    </row>
    <row r="1252" spans="2:31">
      <c r="B1252" t="str">
        <f t="shared" si="1508"/>
        <v>Sem5252</v>
      </c>
      <c r="C1252" t="str">
        <f t="shared" si="1509"/>
        <v>ENEROSem52</v>
      </c>
      <c r="D1252" t="str">
        <f t="shared" si="1510"/>
        <v>ENEROSem52</v>
      </c>
      <c r="E1252" t="str">
        <f t="shared" si="1511"/>
        <v>ENEROSem5252</v>
      </c>
      <c r="F1252" t="str">
        <f t="shared" si="1512"/>
        <v/>
      </c>
      <c r="H1252" s="49"/>
      <c r="I1252" s="50">
        <f>+_xlfn.XLOOKUP($H1252&amp;$V1252,BASEDATOS!$B:$B,BASEDATOS!F:F,0,0,1)</f>
        <v>0</v>
      </c>
      <c r="J1252" s="51">
        <f>+_xlfn.XLOOKUP($H1252&amp;$V1252,BASEDATOS!$B:$B,BASEDATOS!Q:Q,0,0,1)</f>
        <v>0</v>
      </c>
      <c r="K1252" s="51">
        <f>+_xlfn.XLOOKUP($H1252&amp;$V1252,BASEDATOS!$B:$B,BASEDATOS!R:R,0,0,1)</f>
        <v>0</v>
      </c>
      <c r="L1252" s="51">
        <f t="shared" si="1513"/>
        <v>0</v>
      </c>
      <c r="M1252" s="52">
        <f t="shared" si="1514"/>
        <v>0</v>
      </c>
      <c r="N1252" s="51">
        <f t="shared" si="1515"/>
        <v>0</v>
      </c>
      <c r="O1252" s="53" t="str">
        <f t="shared" ref="O1252" si="1543">+O1253</f>
        <v>0-0-0</v>
      </c>
      <c r="P1252" s="54">
        <f>+IF(AND(Y1252="Domingo",U1252=7),_xlfn.XLOOKUP(O1252,'Horarios y Sistemas'!C:C,'Horarios y Sistemas'!H:H,0,0,1),0)</f>
        <v>0</v>
      </c>
      <c r="Q1252" s="54">
        <f>IF(U1252=U1253,0,IF(AVERAGEIF(W:W,W1252,U:U)=U1252,0,_xlfn.XLOOKUP(O1252,'Horarios y Sistemas'!C:C,'Horarios y Sistemas'!H:H,0,0,1)-P1252))/7*U1252</f>
        <v>0</v>
      </c>
      <c r="R1252" s="54">
        <f t="shared" si="1517"/>
        <v>0</v>
      </c>
      <c r="S1252" s="55" t="str">
        <f t="shared" si="1518"/>
        <v>ENERO</v>
      </c>
      <c r="T1252" s="55" t="str">
        <f t="shared" si="1519"/>
        <v>Sem52</v>
      </c>
      <c r="U1252" s="56">
        <f t="shared" si="1501"/>
        <v>196</v>
      </c>
      <c r="V1252" s="59"/>
      <c r="W1252" s="56">
        <f t="shared" si="1520"/>
        <v>52</v>
      </c>
      <c r="X1252" s="56">
        <f t="shared" si="1521"/>
        <v>0</v>
      </c>
      <c r="Y1252" s="56" t="s">
        <v>33</v>
      </c>
      <c r="Z1252" s="56">
        <v>6</v>
      </c>
      <c r="AA1252" s="58">
        <f t="shared" si="1530"/>
        <v>0</v>
      </c>
      <c r="AB1252" s="58">
        <f t="shared" si="1530"/>
        <v>0</v>
      </c>
      <c r="AC1252" s="58">
        <f t="shared" si="1530"/>
        <v>0</v>
      </c>
      <c r="AD1252" s="58">
        <f t="shared" si="1530"/>
        <v>0</v>
      </c>
      <c r="AE1252" s="58">
        <f t="shared" si="1530"/>
        <v>0</v>
      </c>
    </row>
    <row r="1253" spans="2:31">
      <c r="B1253" s="60" t="str">
        <f t="shared" si="1508"/>
        <v>Sem5252</v>
      </c>
      <c r="C1253" s="60" t="str">
        <f t="shared" si="1509"/>
        <v>ENEROSem52</v>
      </c>
      <c r="D1253" s="60" t="str">
        <f t="shared" si="1510"/>
        <v>ENEROSem52</v>
      </c>
      <c r="E1253" s="60" t="str">
        <f t="shared" si="1511"/>
        <v>ENEROSem5252</v>
      </c>
      <c r="F1253" s="60" t="str">
        <f t="shared" si="1512"/>
        <v/>
      </c>
      <c r="G1253" s="60"/>
      <c r="H1253" s="61"/>
      <c r="I1253" s="62">
        <f>+_xlfn.XLOOKUP($H1253&amp;$V1253,BASEDATOS!$B:$B,BASEDATOS!F:F,0,0,1)</f>
        <v>0</v>
      </c>
      <c r="J1253" s="63">
        <f>+_xlfn.XLOOKUP($H1253&amp;$V1253,BASEDATOS!$B:$B,BASEDATOS!Q:Q,0,0,1)</f>
        <v>0</v>
      </c>
      <c r="K1253" s="63">
        <f>+_xlfn.XLOOKUP($H1253&amp;$V1253,BASEDATOS!$B:$B,BASEDATOS!R:R,0,0,1)</f>
        <v>0</v>
      </c>
      <c r="L1253" s="63">
        <f t="shared" si="1513"/>
        <v>0</v>
      </c>
      <c r="M1253" s="64">
        <f t="shared" si="1514"/>
        <v>0</v>
      </c>
      <c r="N1253" s="63">
        <f t="shared" si="1515"/>
        <v>0</v>
      </c>
      <c r="O1253" s="65" t="str">
        <f t="shared" ref="O1253" si="1544">+IF(Y1253="Domingo",SUM(AA1247:AA1253)&amp;"-"&amp;SUM(AB1247:AB1253)&amp;"-"&amp;SUM(AC1247:AE1253),"")</f>
        <v>0-0-0</v>
      </c>
      <c r="P1253" s="66">
        <f>+IF(AND(Y1253="Domingo",U1253=7),_xlfn.XLOOKUP(O1253,'Horarios y Sistemas'!C:C,'Horarios y Sistemas'!H:H,0,0,1),0)</f>
        <v>0</v>
      </c>
      <c r="Q1253" s="66">
        <f>IF(U1253=U1254,0,IF(AVERAGEIF(W:W,W1253,U:U)=U1253,0,_xlfn.XLOOKUP(O1253,'Horarios y Sistemas'!C:C,'Horarios y Sistemas'!H:H,0,0,1)-P1253))/7*U1253</f>
        <v>0</v>
      </c>
      <c r="R1253" s="66">
        <f t="shared" si="1517"/>
        <v>0</v>
      </c>
      <c r="S1253" s="67" t="str">
        <f t="shared" si="1518"/>
        <v>ENERO</v>
      </c>
      <c r="T1253" s="55" t="str">
        <f t="shared" si="1519"/>
        <v>Sem52</v>
      </c>
      <c r="U1253" s="68">
        <f t="shared" si="1501"/>
        <v>196</v>
      </c>
      <c r="V1253" s="69"/>
      <c r="W1253" s="68">
        <f t="shared" si="1520"/>
        <v>52</v>
      </c>
      <c r="X1253" s="68">
        <f t="shared" si="1521"/>
        <v>0</v>
      </c>
      <c r="Y1253" s="68" t="s">
        <v>34</v>
      </c>
      <c r="Z1253" s="68">
        <v>7</v>
      </c>
      <c r="AA1253" s="70">
        <f t="shared" si="1530"/>
        <v>0</v>
      </c>
      <c r="AB1253" s="70">
        <f t="shared" si="1530"/>
        <v>0</v>
      </c>
      <c r="AC1253" s="70">
        <f t="shared" si="1530"/>
        <v>0</v>
      </c>
      <c r="AD1253" s="70">
        <f t="shared" si="1530"/>
        <v>0</v>
      </c>
      <c r="AE1253" s="70">
        <f t="shared" si="1530"/>
        <v>0</v>
      </c>
    </row>
    <row r="1254" spans="2:31">
      <c r="B1254" t="str">
        <f t="shared" si="1508"/>
        <v>Sem5252</v>
      </c>
      <c r="C1254" t="str">
        <f t="shared" si="1509"/>
        <v>ENEROSem52</v>
      </c>
      <c r="D1254" t="str">
        <f t="shared" si="1510"/>
        <v>ENEROSem52</v>
      </c>
      <c r="E1254" t="str">
        <f t="shared" si="1511"/>
        <v>ENEROSem5252</v>
      </c>
      <c r="F1254" t="str">
        <f t="shared" si="1512"/>
        <v/>
      </c>
      <c r="H1254" s="49"/>
      <c r="I1254" s="50">
        <f>+_xlfn.XLOOKUP($H1254&amp;$V1254,BASEDATOS!$B:$B,BASEDATOS!F:F,0,0,1)</f>
        <v>0</v>
      </c>
      <c r="J1254" s="51">
        <f>+_xlfn.XLOOKUP($H1254&amp;$V1254,BASEDATOS!$B:$B,BASEDATOS!Q:Q,0,0,1)</f>
        <v>0</v>
      </c>
      <c r="K1254" s="51">
        <f>+_xlfn.XLOOKUP($H1254&amp;$V1254,BASEDATOS!$B:$B,BASEDATOS!R:R,0,0,1)</f>
        <v>0</v>
      </c>
      <c r="L1254" s="51">
        <f t="shared" si="1513"/>
        <v>0</v>
      </c>
      <c r="M1254" s="52">
        <f t="shared" si="1514"/>
        <v>0</v>
      </c>
      <c r="N1254" s="51">
        <f t="shared" si="1515"/>
        <v>0</v>
      </c>
      <c r="O1254" s="53" t="str">
        <f t="shared" ref="O1254" si="1545">+O1260</f>
        <v>0-0-0</v>
      </c>
      <c r="P1254" s="54">
        <f>+IF(AND(Y1254="Domingo",U1254=7),_xlfn.XLOOKUP(O1254,'Horarios y Sistemas'!C:C,'Horarios y Sistemas'!H:H,0,0,1),0)</f>
        <v>0</v>
      </c>
      <c r="Q1254" s="54">
        <f>IF(U1254=U1255,0,IF(AVERAGEIF(W:W,W1254,U:U)=U1254,0,_xlfn.XLOOKUP(O1254,'Horarios y Sistemas'!C:C,'Horarios y Sistemas'!H:H,0,0,1)-P1254))/7*U1254</f>
        <v>0</v>
      </c>
      <c r="R1254" s="54">
        <f t="shared" si="1517"/>
        <v>0</v>
      </c>
      <c r="S1254" s="55" t="str">
        <f t="shared" si="1518"/>
        <v>ENERO</v>
      </c>
      <c r="T1254" s="55" t="str">
        <f t="shared" si="1519"/>
        <v>Sem52</v>
      </c>
      <c r="U1254" s="56">
        <f t="shared" si="1501"/>
        <v>196</v>
      </c>
      <c r="V1254" s="57"/>
      <c r="W1254" s="56">
        <f t="shared" si="1520"/>
        <v>52</v>
      </c>
      <c r="X1254" s="56">
        <f t="shared" si="1521"/>
        <v>0</v>
      </c>
      <c r="Y1254" s="56" t="s">
        <v>28</v>
      </c>
      <c r="Z1254" s="56">
        <v>1</v>
      </c>
      <c r="AA1254" s="58">
        <f t="shared" si="1530"/>
        <v>0</v>
      </c>
      <c r="AB1254" s="58">
        <f t="shared" si="1530"/>
        <v>0</v>
      </c>
      <c r="AC1254" s="58">
        <f t="shared" si="1530"/>
        <v>0</v>
      </c>
      <c r="AD1254" s="58">
        <f t="shared" si="1530"/>
        <v>0</v>
      </c>
      <c r="AE1254" s="58">
        <f t="shared" si="1530"/>
        <v>0</v>
      </c>
    </row>
    <row r="1255" spans="2:31">
      <c r="B1255" t="str">
        <f t="shared" si="1508"/>
        <v>Sem5252</v>
      </c>
      <c r="C1255" t="str">
        <f t="shared" si="1509"/>
        <v>ENEROSem52</v>
      </c>
      <c r="D1255" t="str">
        <f t="shared" si="1510"/>
        <v>ENEROSem52</v>
      </c>
      <c r="E1255" t="str">
        <f t="shared" si="1511"/>
        <v>ENEROSem5252</v>
      </c>
      <c r="F1255" t="str">
        <f t="shared" si="1512"/>
        <v/>
      </c>
      <c r="H1255" s="49"/>
      <c r="I1255" s="50">
        <f>+_xlfn.XLOOKUP($H1255&amp;$V1255,BASEDATOS!$B:$B,BASEDATOS!F:F,0,0,1)</f>
        <v>0</v>
      </c>
      <c r="J1255" s="51">
        <f>+_xlfn.XLOOKUP($H1255&amp;$V1255,BASEDATOS!$B:$B,BASEDATOS!Q:Q,0,0,1)</f>
        <v>0</v>
      </c>
      <c r="K1255" s="51">
        <f>+_xlfn.XLOOKUP($H1255&amp;$V1255,BASEDATOS!$B:$B,BASEDATOS!R:R,0,0,1)</f>
        <v>0</v>
      </c>
      <c r="L1255" s="51">
        <f t="shared" si="1513"/>
        <v>0</v>
      </c>
      <c r="M1255" s="52">
        <f t="shared" si="1514"/>
        <v>0</v>
      </c>
      <c r="N1255" s="51">
        <f t="shared" si="1515"/>
        <v>0</v>
      </c>
      <c r="O1255" s="53" t="str">
        <f t="shared" ref="O1255" si="1546">+O1260</f>
        <v>0-0-0</v>
      </c>
      <c r="P1255" s="54">
        <f>+IF(AND(Y1255="Domingo",U1255=7),_xlfn.XLOOKUP(O1255,'Horarios y Sistemas'!C:C,'Horarios y Sistemas'!H:H,0,0,1),0)</f>
        <v>0</v>
      </c>
      <c r="Q1255" s="54">
        <f>IF(U1255=U1256,0,IF(AVERAGEIF(W:W,W1255,U:U)=U1255,0,_xlfn.XLOOKUP(O1255,'Horarios y Sistemas'!C:C,'Horarios y Sistemas'!H:H,0,0,1)-P1255))/7*U1255</f>
        <v>0</v>
      </c>
      <c r="R1255" s="54">
        <f t="shared" si="1517"/>
        <v>0</v>
      </c>
      <c r="S1255" s="55" t="str">
        <f t="shared" si="1518"/>
        <v>ENERO</v>
      </c>
      <c r="T1255" s="55" t="str">
        <f t="shared" si="1519"/>
        <v>Sem52</v>
      </c>
      <c r="U1255" s="56">
        <f t="shared" si="1501"/>
        <v>196</v>
      </c>
      <c r="V1255" s="59"/>
      <c r="W1255" s="56">
        <f t="shared" si="1520"/>
        <v>52</v>
      </c>
      <c r="X1255" s="56">
        <f t="shared" si="1521"/>
        <v>0</v>
      </c>
      <c r="Y1255" s="56" t="s">
        <v>29</v>
      </c>
      <c r="Z1255" s="56">
        <v>2</v>
      </c>
      <c r="AA1255" s="58">
        <f t="shared" si="1530"/>
        <v>0</v>
      </c>
      <c r="AB1255" s="58">
        <f t="shared" si="1530"/>
        <v>0</v>
      </c>
      <c r="AC1255" s="58">
        <f t="shared" si="1530"/>
        <v>0</v>
      </c>
      <c r="AD1255" s="58">
        <f t="shared" si="1530"/>
        <v>0</v>
      </c>
      <c r="AE1255" s="58">
        <f t="shared" si="1530"/>
        <v>0</v>
      </c>
    </row>
    <row r="1256" spans="2:31">
      <c r="B1256" t="str">
        <f t="shared" si="1508"/>
        <v>Sem5252</v>
      </c>
      <c r="C1256" t="str">
        <f t="shared" si="1509"/>
        <v>ENEROSem52</v>
      </c>
      <c r="D1256" t="str">
        <f t="shared" si="1510"/>
        <v>ENEROSem52</v>
      </c>
      <c r="E1256" t="str">
        <f t="shared" si="1511"/>
        <v>ENEROSem5252</v>
      </c>
      <c r="F1256" t="str">
        <f t="shared" si="1512"/>
        <v/>
      </c>
      <c r="H1256" s="49"/>
      <c r="I1256" s="50">
        <f>+_xlfn.XLOOKUP($H1256&amp;$V1256,BASEDATOS!$B:$B,BASEDATOS!F:F,0,0,1)</f>
        <v>0</v>
      </c>
      <c r="J1256" s="51">
        <f>+_xlfn.XLOOKUP($H1256&amp;$V1256,BASEDATOS!$B:$B,BASEDATOS!Q:Q,0,0,1)</f>
        <v>0</v>
      </c>
      <c r="K1256" s="51">
        <f>+_xlfn.XLOOKUP($H1256&amp;$V1256,BASEDATOS!$B:$B,BASEDATOS!R:R,0,0,1)</f>
        <v>0</v>
      </c>
      <c r="L1256" s="51">
        <f t="shared" si="1513"/>
        <v>0</v>
      </c>
      <c r="M1256" s="52">
        <f t="shared" si="1514"/>
        <v>0</v>
      </c>
      <c r="N1256" s="51">
        <f t="shared" si="1515"/>
        <v>0</v>
      </c>
      <c r="O1256" s="53" t="str">
        <f t="shared" ref="O1256" si="1547">+O1260</f>
        <v>0-0-0</v>
      </c>
      <c r="P1256" s="54">
        <f>+IF(AND(Y1256="Domingo",U1256=7),_xlfn.XLOOKUP(O1256,'Horarios y Sistemas'!C:C,'Horarios y Sistemas'!H:H,0,0,1),0)</f>
        <v>0</v>
      </c>
      <c r="Q1256" s="54">
        <f>IF(U1256=U1257,0,IF(AVERAGEIF(W:W,W1256,U:U)=U1256,0,_xlfn.XLOOKUP(O1256,'Horarios y Sistemas'!C:C,'Horarios y Sistemas'!H:H,0,0,1)-P1256))/7*U1256</f>
        <v>0</v>
      </c>
      <c r="R1256" s="54">
        <f t="shared" si="1517"/>
        <v>0</v>
      </c>
      <c r="S1256" s="55" t="str">
        <f t="shared" si="1518"/>
        <v>ENERO</v>
      </c>
      <c r="T1256" s="55" t="str">
        <f t="shared" si="1519"/>
        <v>Sem52</v>
      </c>
      <c r="U1256" s="56">
        <f t="shared" si="1501"/>
        <v>196</v>
      </c>
      <c r="V1256" s="59"/>
      <c r="W1256" s="56">
        <f t="shared" si="1520"/>
        <v>52</v>
      </c>
      <c r="X1256" s="56">
        <f t="shared" si="1521"/>
        <v>0</v>
      </c>
      <c r="Y1256" s="56" t="s">
        <v>30</v>
      </c>
      <c r="Z1256" s="56">
        <v>3</v>
      </c>
      <c r="AA1256" s="58">
        <f t="shared" si="1530"/>
        <v>0</v>
      </c>
      <c r="AB1256" s="58">
        <f t="shared" si="1530"/>
        <v>0</v>
      </c>
      <c r="AC1256" s="58">
        <f t="shared" si="1530"/>
        <v>0</v>
      </c>
      <c r="AD1256" s="58">
        <f t="shared" si="1530"/>
        <v>0</v>
      </c>
      <c r="AE1256" s="58">
        <f t="shared" si="1530"/>
        <v>0</v>
      </c>
    </row>
    <row r="1257" spans="2:31">
      <c r="B1257" t="str">
        <f t="shared" si="1508"/>
        <v>Sem5252</v>
      </c>
      <c r="C1257" t="str">
        <f t="shared" si="1509"/>
        <v>ENEROSem52</v>
      </c>
      <c r="D1257" t="str">
        <f t="shared" si="1510"/>
        <v>ENEROSem52</v>
      </c>
      <c r="E1257" t="str">
        <f t="shared" si="1511"/>
        <v>ENEROSem5252</v>
      </c>
      <c r="F1257" t="str">
        <f t="shared" si="1512"/>
        <v/>
      </c>
      <c r="H1257" s="49"/>
      <c r="I1257" s="50">
        <f>+_xlfn.XLOOKUP($H1257&amp;$V1257,BASEDATOS!$B:$B,BASEDATOS!F:F,0,0,1)</f>
        <v>0</v>
      </c>
      <c r="J1257" s="51">
        <f>+_xlfn.XLOOKUP($H1257&amp;$V1257,BASEDATOS!$B:$B,BASEDATOS!Q:Q,0,0,1)</f>
        <v>0</v>
      </c>
      <c r="K1257" s="51">
        <f>+_xlfn.XLOOKUP($H1257&amp;$V1257,BASEDATOS!$B:$B,BASEDATOS!R:R,0,0,1)</f>
        <v>0</v>
      </c>
      <c r="L1257" s="51">
        <f t="shared" si="1513"/>
        <v>0</v>
      </c>
      <c r="M1257" s="52">
        <f t="shared" si="1514"/>
        <v>0</v>
      </c>
      <c r="N1257" s="51">
        <f t="shared" si="1515"/>
        <v>0</v>
      </c>
      <c r="O1257" s="53" t="str">
        <f t="shared" ref="O1257" si="1548">+O1260</f>
        <v>0-0-0</v>
      </c>
      <c r="P1257" s="54">
        <f>+IF(AND(Y1257="Domingo",U1257=7),_xlfn.XLOOKUP(O1257,'Horarios y Sistemas'!C:C,'Horarios y Sistemas'!H:H,0,0,1),0)</f>
        <v>0</v>
      </c>
      <c r="Q1257" s="54">
        <f>IF(U1257=U1258,0,IF(AVERAGEIF(W:W,W1257,U:U)=U1257,0,_xlfn.XLOOKUP(O1257,'Horarios y Sistemas'!C:C,'Horarios y Sistemas'!H:H,0,0,1)-P1257))/7*U1257</f>
        <v>0</v>
      </c>
      <c r="R1257" s="54">
        <f t="shared" si="1517"/>
        <v>0</v>
      </c>
      <c r="S1257" s="55" t="str">
        <f t="shared" si="1518"/>
        <v>ENERO</v>
      </c>
      <c r="T1257" s="55" t="str">
        <f t="shared" si="1519"/>
        <v>Sem52</v>
      </c>
      <c r="U1257" s="56">
        <f t="shared" si="1501"/>
        <v>196</v>
      </c>
      <c r="V1257" s="59"/>
      <c r="W1257" s="56">
        <f t="shared" si="1520"/>
        <v>52</v>
      </c>
      <c r="X1257" s="56">
        <f t="shared" si="1521"/>
        <v>0</v>
      </c>
      <c r="Y1257" s="56" t="s">
        <v>31</v>
      </c>
      <c r="Z1257" s="56">
        <v>4</v>
      </c>
      <c r="AA1257" s="58">
        <f t="shared" si="1530"/>
        <v>0</v>
      </c>
      <c r="AB1257" s="58">
        <f t="shared" si="1530"/>
        <v>0</v>
      </c>
      <c r="AC1257" s="58">
        <f t="shared" si="1530"/>
        <v>0</v>
      </c>
      <c r="AD1257" s="58">
        <f t="shared" si="1530"/>
        <v>0</v>
      </c>
      <c r="AE1257" s="58">
        <f t="shared" si="1530"/>
        <v>0</v>
      </c>
    </row>
    <row r="1258" spans="2:31">
      <c r="B1258" t="str">
        <f t="shared" si="1508"/>
        <v>Sem5252</v>
      </c>
      <c r="C1258" t="str">
        <f t="shared" si="1509"/>
        <v>ENEROSem52</v>
      </c>
      <c r="D1258" t="str">
        <f t="shared" si="1510"/>
        <v>ENEROSem52</v>
      </c>
      <c r="E1258" t="str">
        <f t="shared" si="1511"/>
        <v>ENEROSem5252</v>
      </c>
      <c r="F1258" t="str">
        <f t="shared" si="1512"/>
        <v/>
      </c>
      <c r="H1258" s="49"/>
      <c r="I1258" s="50">
        <f>+_xlfn.XLOOKUP($H1258&amp;$V1258,BASEDATOS!$B:$B,BASEDATOS!F:F,0,0,1)</f>
        <v>0</v>
      </c>
      <c r="J1258" s="51">
        <f>+_xlfn.XLOOKUP($H1258&amp;$V1258,BASEDATOS!$B:$B,BASEDATOS!Q:Q,0,0,1)</f>
        <v>0</v>
      </c>
      <c r="K1258" s="51">
        <f>+_xlfn.XLOOKUP($H1258&amp;$V1258,BASEDATOS!$B:$B,BASEDATOS!R:R,0,0,1)</f>
        <v>0</v>
      </c>
      <c r="L1258" s="51">
        <f t="shared" si="1513"/>
        <v>0</v>
      </c>
      <c r="M1258" s="52">
        <f t="shared" si="1514"/>
        <v>0</v>
      </c>
      <c r="N1258" s="51">
        <f t="shared" si="1515"/>
        <v>0</v>
      </c>
      <c r="O1258" s="53" t="str">
        <f t="shared" ref="O1258" si="1549">+O1260</f>
        <v>0-0-0</v>
      </c>
      <c r="P1258" s="54">
        <f>+IF(AND(Y1258="Domingo",U1258=7),_xlfn.XLOOKUP(O1258,'Horarios y Sistemas'!C:C,'Horarios y Sistemas'!H:H,0,0,1),0)</f>
        <v>0</v>
      </c>
      <c r="Q1258" s="54">
        <f>IF(U1258=U1259,0,IF(AVERAGEIF(W:W,W1258,U:U)=U1258,0,_xlfn.XLOOKUP(O1258,'Horarios y Sistemas'!C:C,'Horarios y Sistemas'!H:H,0,0,1)-P1258))/7*U1258</f>
        <v>0</v>
      </c>
      <c r="R1258" s="54">
        <f t="shared" si="1517"/>
        <v>0</v>
      </c>
      <c r="S1258" s="55" t="str">
        <f t="shared" si="1518"/>
        <v>ENERO</v>
      </c>
      <c r="T1258" s="55" t="str">
        <f t="shared" si="1519"/>
        <v>Sem52</v>
      </c>
      <c r="U1258" s="56">
        <f t="shared" si="1501"/>
        <v>196</v>
      </c>
      <c r="V1258" s="59"/>
      <c r="W1258" s="56">
        <f t="shared" si="1520"/>
        <v>52</v>
      </c>
      <c r="X1258" s="56">
        <f t="shared" si="1521"/>
        <v>0</v>
      </c>
      <c r="Y1258" s="56" t="s">
        <v>32</v>
      </c>
      <c r="Z1258" s="56">
        <v>5</v>
      </c>
      <c r="AA1258" s="58">
        <f t="shared" si="1530"/>
        <v>0</v>
      </c>
      <c r="AB1258" s="58">
        <f t="shared" si="1530"/>
        <v>0</v>
      </c>
      <c r="AC1258" s="58">
        <f t="shared" si="1530"/>
        <v>0</v>
      </c>
      <c r="AD1258" s="58">
        <f t="shared" si="1530"/>
        <v>0</v>
      </c>
      <c r="AE1258" s="58">
        <f t="shared" si="1530"/>
        <v>0</v>
      </c>
    </row>
    <row r="1259" spans="2:31">
      <c r="B1259" t="str">
        <f t="shared" si="1508"/>
        <v>Sem5252</v>
      </c>
      <c r="C1259" t="str">
        <f t="shared" si="1509"/>
        <v>ENEROSem52</v>
      </c>
      <c r="D1259" t="str">
        <f t="shared" si="1510"/>
        <v>ENEROSem52</v>
      </c>
      <c r="E1259" t="str">
        <f t="shared" si="1511"/>
        <v>ENEROSem5252</v>
      </c>
      <c r="F1259" t="str">
        <f t="shared" si="1512"/>
        <v/>
      </c>
      <c r="H1259" s="49"/>
      <c r="I1259" s="50">
        <f>+_xlfn.XLOOKUP($H1259&amp;$V1259,BASEDATOS!$B:$B,BASEDATOS!F:F,0,0,1)</f>
        <v>0</v>
      </c>
      <c r="J1259" s="51">
        <f>+_xlfn.XLOOKUP($H1259&amp;$V1259,BASEDATOS!$B:$B,BASEDATOS!Q:Q,0,0,1)</f>
        <v>0</v>
      </c>
      <c r="K1259" s="51">
        <f>+_xlfn.XLOOKUP($H1259&amp;$V1259,BASEDATOS!$B:$B,BASEDATOS!R:R,0,0,1)</f>
        <v>0</v>
      </c>
      <c r="L1259" s="51">
        <f t="shared" si="1513"/>
        <v>0</v>
      </c>
      <c r="M1259" s="52">
        <f t="shared" si="1514"/>
        <v>0</v>
      </c>
      <c r="N1259" s="51">
        <f t="shared" si="1515"/>
        <v>0</v>
      </c>
      <c r="O1259" s="53" t="str">
        <f t="shared" ref="O1259" si="1550">+O1260</f>
        <v>0-0-0</v>
      </c>
      <c r="P1259" s="54">
        <f>+IF(AND(Y1259="Domingo",U1259=7),_xlfn.XLOOKUP(O1259,'Horarios y Sistemas'!C:C,'Horarios y Sistemas'!H:H,0,0,1),0)</f>
        <v>0</v>
      </c>
      <c r="Q1259" s="54">
        <f>IF(U1259=U1260,0,IF(AVERAGEIF(W:W,W1259,U:U)=U1259,0,_xlfn.XLOOKUP(O1259,'Horarios y Sistemas'!C:C,'Horarios y Sistemas'!H:H,0,0,1)-P1259))/7*U1259</f>
        <v>0</v>
      </c>
      <c r="R1259" s="54">
        <f t="shared" si="1517"/>
        <v>0</v>
      </c>
      <c r="S1259" s="55" t="str">
        <f t="shared" si="1518"/>
        <v>ENERO</v>
      </c>
      <c r="T1259" s="55" t="str">
        <f t="shared" si="1519"/>
        <v>Sem52</v>
      </c>
      <c r="U1259" s="56">
        <f t="shared" si="1501"/>
        <v>196</v>
      </c>
      <c r="V1259" s="59"/>
      <c r="W1259" s="56">
        <f t="shared" si="1520"/>
        <v>52</v>
      </c>
      <c r="X1259" s="56">
        <f t="shared" si="1521"/>
        <v>0</v>
      </c>
      <c r="Y1259" s="56" t="s">
        <v>33</v>
      </c>
      <c r="Z1259" s="56">
        <v>6</v>
      </c>
      <c r="AA1259" s="58">
        <f t="shared" si="1530"/>
        <v>0</v>
      </c>
      <c r="AB1259" s="58">
        <f t="shared" si="1530"/>
        <v>0</v>
      </c>
      <c r="AC1259" s="58">
        <f t="shared" si="1530"/>
        <v>0</v>
      </c>
      <c r="AD1259" s="58">
        <f t="shared" si="1530"/>
        <v>0</v>
      </c>
      <c r="AE1259" s="58">
        <f t="shared" si="1530"/>
        <v>0</v>
      </c>
    </row>
    <row r="1260" spans="2:31">
      <c r="B1260" s="60" t="str">
        <f t="shared" si="1508"/>
        <v>Sem5252</v>
      </c>
      <c r="C1260" s="60" t="str">
        <f t="shared" si="1509"/>
        <v>ENEROSem52</v>
      </c>
      <c r="D1260" s="60" t="str">
        <f t="shared" si="1510"/>
        <v>ENEROSem52</v>
      </c>
      <c r="E1260" s="60" t="str">
        <f t="shared" si="1511"/>
        <v>ENEROSem5252</v>
      </c>
      <c r="F1260" s="60" t="str">
        <f t="shared" si="1512"/>
        <v/>
      </c>
      <c r="G1260" s="60"/>
      <c r="H1260" s="61"/>
      <c r="I1260" s="62">
        <f>+_xlfn.XLOOKUP($H1260&amp;$V1260,BASEDATOS!$B:$B,BASEDATOS!F:F,0,0,1)</f>
        <v>0</v>
      </c>
      <c r="J1260" s="63">
        <f>+_xlfn.XLOOKUP($H1260&amp;$V1260,BASEDATOS!$B:$B,BASEDATOS!Q:Q,0,0,1)</f>
        <v>0</v>
      </c>
      <c r="K1260" s="63">
        <f>+_xlfn.XLOOKUP($H1260&amp;$V1260,BASEDATOS!$B:$B,BASEDATOS!R:R,0,0,1)</f>
        <v>0</v>
      </c>
      <c r="L1260" s="63">
        <f t="shared" si="1513"/>
        <v>0</v>
      </c>
      <c r="M1260" s="64">
        <f t="shared" si="1514"/>
        <v>0</v>
      </c>
      <c r="N1260" s="63">
        <f t="shared" si="1515"/>
        <v>0</v>
      </c>
      <c r="O1260" s="65" t="str">
        <f t="shared" ref="O1260" si="1551">+IF(Y1260="Domingo",SUM(AA1254:AA1260)&amp;"-"&amp;SUM(AB1254:AB1260)&amp;"-"&amp;SUM(AC1254:AE1260),"")</f>
        <v>0-0-0</v>
      </c>
      <c r="P1260" s="66">
        <f>+IF(AND(Y1260="Domingo",U1260=7),_xlfn.XLOOKUP(O1260,'Horarios y Sistemas'!C:C,'Horarios y Sistemas'!H:H,0,0,1),0)</f>
        <v>0</v>
      </c>
      <c r="Q1260" s="66">
        <f>IF(U1260=U1261,0,IF(AVERAGEIF(W:W,W1260,U:U)=U1260,0,_xlfn.XLOOKUP(O1260,'Horarios y Sistemas'!C:C,'Horarios y Sistemas'!H:H,0,0,1)-P1260))/7*U1260</f>
        <v>0</v>
      </c>
      <c r="R1260" s="66">
        <f t="shared" si="1517"/>
        <v>0</v>
      </c>
      <c r="S1260" s="67" t="str">
        <f t="shared" si="1518"/>
        <v>ENERO</v>
      </c>
      <c r="T1260" s="55" t="str">
        <f t="shared" si="1519"/>
        <v>Sem52</v>
      </c>
      <c r="U1260" s="68">
        <f t="shared" si="1501"/>
        <v>196</v>
      </c>
      <c r="V1260" s="69"/>
      <c r="W1260" s="68">
        <f t="shared" si="1520"/>
        <v>52</v>
      </c>
      <c r="X1260" s="68">
        <f t="shared" si="1521"/>
        <v>0</v>
      </c>
      <c r="Y1260" s="68" t="s">
        <v>34</v>
      </c>
      <c r="Z1260" s="68">
        <v>7</v>
      </c>
      <c r="AA1260" s="70">
        <f t="shared" si="1530"/>
        <v>0</v>
      </c>
      <c r="AB1260" s="70">
        <f t="shared" si="1530"/>
        <v>0</v>
      </c>
      <c r="AC1260" s="70">
        <f t="shared" si="1530"/>
        <v>0</v>
      </c>
      <c r="AD1260" s="70">
        <f t="shared" si="1530"/>
        <v>0</v>
      </c>
      <c r="AE1260" s="70">
        <f t="shared" si="1530"/>
        <v>0</v>
      </c>
    </row>
    <row r="1261" spans="2:31">
      <c r="B1261" t="str">
        <f t="shared" si="1508"/>
        <v>Sem5252</v>
      </c>
      <c r="C1261" t="str">
        <f t="shared" si="1509"/>
        <v>ENEROSem52</v>
      </c>
      <c r="D1261" t="str">
        <f t="shared" si="1510"/>
        <v>ENEROSem52</v>
      </c>
      <c r="E1261" t="str">
        <f t="shared" si="1511"/>
        <v>ENEROSem5252</v>
      </c>
      <c r="F1261" t="str">
        <f t="shared" si="1512"/>
        <v/>
      </c>
      <c r="H1261" s="49"/>
      <c r="I1261" s="50">
        <f>+_xlfn.XLOOKUP($H1261&amp;$V1261,BASEDATOS!$B:$B,BASEDATOS!F:F,0,0,1)</f>
        <v>0</v>
      </c>
      <c r="J1261" s="51">
        <f>+_xlfn.XLOOKUP($H1261&amp;$V1261,BASEDATOS!$B:$B,BASEDATOS!Q:Q,0,0,1)</f>
        <v>0</v>
      </c>
      <c r="K1261" s="51">
        <f>+_xlfn.XLOOKUP($H1261&amp;$V1261,BASEDATOS!$B:$B,BASEDATOS!R:R,0,0,1)</f>
        <v>0</v>
      </c>
      <c r="L1261" s="51">
        <f t="shared" si="1513"/>
        <v>0</v>
      </c>
      <c r="M1261" s="52">
        <f t="shared" si="1514"/>
        <v>0</v>
      </c>
      <c r="N1261" s="51">
        <f t="shared" si="1515"/>
        <v>0</v>
      </c>
      <c r="O1261" s="53" t="str">
        <f t="shared" ref="O1261" si="1552">+O1267</f>
        <v>0-0-0</v>
      </c>
      <c r="P1261" s="54">
        <f>+IF(AND(Y1261="Domingo",U1261=7),_xlfn.XLOOKUP(O1261,'Horarios y Sistemas'!C:C,'Horarios y Sistemas'!H:H,0,0,1),0)</f>
        <v>0</v>
      </c>
      <c r="Q1261" s="54">
        <f>IF(U1261=U1262,0,IF(AVERAGEIF(W:W,W1261,U:U)=U1261,0,_xlfn.XLOOKUP(O1261,'Horarios y Sistemas'!C:C,'Horarios y Sistemas'!H:H,0,0,1)-P1261))/7*U1261</f>
        <v>0</v>
      </c>
      <c r="R1261" s="54">
        <f t="shared" si="1517"/>
        <v>0</v>
      </c>
      <c r="S1261" s="55" t="str">
        <f t="shared" si="1518"/>
        <v>ENERO</v>
      </c>
      <c r="T1261" s="55" t="str">
        <f t="shared" si="1519"/>
        <v>Sem52</v>
      </c>
      <c r="U1261" s="56">
        <f t="shared" si="1501"/>
        <v>196</v>
      </c>
      <c r="V1261" s="59"/>
      <c r="W1261" s="56">
        <f t="shared" si="1520"/>
        <v>52</v>
      </c>
      <c r="X1261" s="56">
        <f t="shared" si="1521"/>
        <v>0</v>
      </c>
      <c r="Y1261" s="56" t="s">
        <v>28</v>
      </c>
      <c r="Z1261" s="56">
        <v>1</v>
      </c>
      <c r="AA1261" s="58">
        <f t="shared" si="1530"/>
        <v>0</v>
      </c>
      <c r="AB1261" s="58">
        <f t="shared" si="1530"/>
        <v>0</v>
      </c>
      <c r="AC1261" s="58">
        <f t="shared" si="1530"/>
        <v>0</v>
      </c>
      <c r="AD1261" s="58">
        <f t="shared" si="1530"/>
        <v>0</v>
      </c>
      <c r="AE1261" s="58">
        <f t="shared" si="1530"/>
        <v>0</v>
      </c>
    </row>
    <row r="1262" spans="2:31">
      <c r="B1262" t="str">
        <f t="shared" si="1508"/>
        <v>Sem5252</v>
      </c>
      <c r="C1262" t="str">
        <f t="shared" si="1509"/>
        <v>ENEROSem52</v>
      </c>
      <c r="D1262" t="str">
        <f t="shared" si="1510"/>
        <v>ENEROSem52</v>
      </c>
      <c r="E1262" t="str">
        <f t="shared" si="1511"/>
        <v>ENEROSem5252</v>
      </c>
      <c r="F1262" t="str">
        <f t="shared" si="1512"/>
        <v/>
      </c>
      <c r="H1262" s="49"/>
      <c r="I1262" s="50">
        <f>+_xlfn.XLOOKUP($H1262&amp;$V1262,BASEDATOS!$B:$B,BASEDATOS!F:F,0,0,1)</f>
        <v>0</v>
      </c>
      <c r="J1262" s="51">
        <f>+_xlfn.XLOOKUP($H1262&amp;$V1262,BASEDATOS!$B:$B,BASEDATOS!Q:Q,0,0,1)</f>
        <v>0</v>
      </c>
      <c r="K1262" s="51">
        <f>+_xlfn.XLOOKUP($H1262&amp;$V1262,BASEDATOS!$B:$B,BASEDATOS!R:R,0,0,1)</f>
        <v>0</v>
      </c>
      <c r="L1262" s="51">
        <f t="shared" si="1513"/>
        <v>0</v>
      </c>
      <c r="M1262" s="52">
        <f t="shared" si="1514"/>
        <v>0</v>
      </c>
      <c r="N1262" s="51">
        <f t="shared" si="1515"/>
        <v>0</v>
      </c>
      <c r="O1262" s="53" t="str">
        <f t="shared" ref="O1262" si="1553">+O1267</f>
        <v>0-0-0</v>
      </c>
      <c r="P1262" s="54">
        <f>+IF(AND(Y1262="Domingo",U1262=7),_xlfn.XLOOKUP(O1262,'Horarios y Sistemas'!C:C,'Horarios y Sistemas'!H:H,0,0,1),0)</f>
        <v>0</v>
      </c>
      <c r="Q1262" s="54">
        <f>IF(U1262=U1263,0,IF(AVERAGEIF(W:W,W1262,U:U)=U1262,0,_xlfn.XLOOKUP(O1262,'Horarios y Sistemas'!C:C,'Horarios y Sistemas'!H:H,0,0,1)-P1262))/7*U1262</f>
        <v>0</v>
      </c>
      <c r="R1262" s="54">
        <f t="shared" si="1517"/>
        <v>0</v>
      </c>
      <c r="S1262" s="55" t="str">
        <f t="shared" si="1518"/>
        <v>ENERO</v>
      </c>
      <c r="T1262" s="55" t="str">
        <f t="shared" si="1519"/>
        <v>Sem52</v>
      </c>
      <c r="U1262" s="56">
        <f t="shared" si="1501"/>
        <v>196</v>
      </c>
      <c r="V1262" s="59"/>
      <c r="W1262" s="56">
        <f t="shared" si="1520"/>
        <v>52</v>
      </c>
      <c r="X1262" s="56">
        <f t="shared" si="1521"/>
        <v>0</v>
      </c>
      <c r="Y1262" s="56" t="s">
        <v>29</v>
      </c>
      <c r="Z1262" s="56">
        <v>2</v>
      </c>
      <c r="AA1262" s="58">
        <f t="shared" si="1530"/>
        <v>0</v>
      </c>
      <c r="AB1262" s="58">
        <f t="shared" si="1530"/>
        <v>0</v>
      </c>
      <c r="AC1262" s="58">
        <f t="shared" si="1530"/>
        <v>0</v>
      </c>
      <c r="AD1262" s="58">
        <f t="shared" si="1530"/>
        <v>0</v>
      </c>
      <c r="AE1262" s="58">
        <f t="shared" si="1530"/>
        <v>0</v>
      </c>
    </row>
    <row r="1263" spans="2:31">
      <c r="B1263" t="str">
        <f t="shared" si="1508"/>
        <v>Sem5252</v>
      </c>
      <c r="C1263" t="str">
        <f t="shared" si="1509"/>
        <v>ENEROSem52</v>
      </c>
      <c r="D1263" t="str">
        <f t="shared" si="1510"/>
        <v>ENEROSem52</v>
      </c>
      <c r="E1263" t="str">
        <f t="shared" si="1511"/>
        <v>ENEROSem5252</v>
      </c>
      <c r="F1263" t="str">
        <f t="shared" si="1512"/>
        <v/>
      </c>
      <c r="H1263" s="49"/>
      <c r="I1263" s="50">
        <f>+_xlfn.XLOOKUP($H1263&amp;$V1263,BASEDATOS!$B:$B,BASEDATOS!F:F,0,0,1)</f>
        <v>0</v>
      </c>
      <c r="J1263" s="51">
        <f>+_xlfn.XLOOKUP($H1263&amp;$V1263,BASEDATOS!$B:$B,BASEDATOS!Q:Q,0,0,1)</f>
        <v>0</v>
      </c>
      <c r="K1263" s="51">
        <f>+_xlfn.XLOOKUP($H1263&amp;$V1263,BASEDATOS!$B:$B,BASEDATOS!R:R,0,0,1)</f>
        <v>0</v>
      </c>
      <c r="L1263" s="51">
        <f t="shared" si="1513"/>
        <v>0</v>
      </c>
      <c r="M1263" s="52">
        <f t="shared" si="1514"/>
        <v>0</v>
      </c>
      <c r="N1263" s="51">
        <f t="shared" si="1515"/>
        <v>0</v>
      </c>
      <c r="O1263" s="53" t="str">
        <f t="shared" ref="O1263" si="1554">+O1267</f>
        <v>0-0-0</v>
      </c>
      <c r="P1263" s="54">
        <f>+IF(AND(Y1263="Domingo",U1263=7),_xlfn.XLOOKUP(O1263,'Horarios y Sistemas'!C:C,'Horarios y Sistemas'!H:H,0,0,1),0)</f>
        <v>0</v>
      </c>
      <c r="Q1263" s="54">
        <f>IF(U1263=U1264,0,IF(AVERAGEIF(W:W,W1263,U:U)=U1263,0,_xlfn.XLOOKUP(O1263,'Horarios y Sistemas'!C:C,'Horarios y Sistemas'!H:H,0,0,1)-P1263))/7*U1263</f>
        <v>0</v>
      </c>
      <c r="R1263" s="54">
        <f t="shared" si="1517"/>
        <v>0</v>
      </c>
      <c r="S1263" s="55" t="str">
        <f t="shared" si="1518"/>
        <v>ENERO</v>
      </c>
      <c r="T1263" s="55" t="str">
        <f t="shared" si="1519"/>
        <v>Sem52</v>
      </c>
      <c r="U1263" s="56">
        <f t="shared" si="1501"/>
        <v>196</v>
      </c>
      <c r="V1263" s="59"/>
      <c r="W1263" s="56">
        <f t="shared" si="1520"/>
        <v>52</v>
      </c>
      <c r="X1263" s="56">
        <f t="shared" si="1521"/>
        <v>0</v>
      </c>
      <c r="Y1263" s="56" t="s">
        <v>30</v>
      </c>
      <c r="Z1263" s="56">
        <v>3</v>
      </c>
      <c r="AA1263" s="58">
        <f t="shared" si="1530"/>
        <v>0</v>
      </c>
      <c r="AB1263" s="58">
        <f t="shared" si="1530"/>
        <v>0</v>
      </c>
      <c r="AC1263" s="58">
        <f t="shared" si="1530"/>
        <v>0</v>
      </c>
      <c r="AD1263" s="58">
        <f t="shared" si="1530"/>
        <v>0</v>
      </c>
      <c r="AE1263" s="58">
        <f t="shared" si="1530"/>
        <v>0</v>
      </c>
    </row>
    <row r="1264" spans="2:31">
      <c r="B1264" t="str">
        <f t="shared" si="1508"/>
        <v>Sem5252</v>
      </c>
      <c r="C1264" t="str">
        <f t="shared" si="1509"/>
        <v>ENEROSem52</v>
      </c>
      <c r="D1264" t="str">
        <f t="shared" si="1510"/>
        <v>ENEROSem52</v>
      </c>
      <c r="E1264" t="str">
        <f t="shared" si="1511"/>
        <v>ENEROSem5252</v>
      </c>
      <c r="F1264" t="str">
        <f t="shared" si="1512"/>
        <v/>
      </c>
      <c r="H1264" s="49"/>
      <c r="I1264" s="50">
        <f>+_xlfn.XLOOKUP($H1264&amp;$V1264,BASEDATOS!$B:$B,BASEDATOS!F:F,0,0,1)</f>
        <v>0</v>
      </c>
      <c r="J1264" s="51">
        <f>+_xlfn.XLOOKUP($H1264&amp;$V1264,BASEDATOS!$B:$B,BASEDATOS!Q:Q,0,0,1)</f>
        <v>0</v>
      </c>
      <c r="K1264" s="51">
        <f>+_xlfn.XLOOKUP($H1264&amp;$V1264,BASEDATOS!$B:$B,BASEDATOS!R:R,0,0,1)</f>
        <v>0</v>
      </c>
      <c r="L1264" s="51">
        <f t="shared" si="1513"/>
        <v>0</v>
      </c>
      <c r="M1264" s="52">
        <f t="shared" si="1514"/>
        <v>0</v>
      </c>
      <c r="N1264" s="51">
        <f t="shared" si="1515"/>
        <v>0</v>
      </c>
      <c r="O1264" s="53" t="str">
        <f t="shared" ref="O1264" si="1555">+O1267</f>
        <v>0-0-0</v>
      </c>
      <c r="P1264" s="54">
        <f>+IF(AND(Y1264="Domingo",U1264=7),_xlfn.XLOOKUP(O1264,'Horarios y Sistemas'!C:C,'Horarios y Sistemas'!H:H,0,0,1),0)</f>
        <v>0</v>
      </c>
      <c r="Q1264" s="54">
        <f>IF(U1264=U1265,0,IF(AVERAGEIF(W:W,W1264,U:U)=U1264,0,_xlfn.XLOOKUP(O1264,'Horarios y Sistemas'!C:C,'Horarios y Sistemas'!H:H,0,0,1)-P1264))/7*U1264</f>
        <v>0</v>
      </c>
      <c r="R1264" s="54">
        <f t="shared" si="1517"/>
        <v>0</v>
      </c>
      <c r="S1264" s="55" t="str">
        <f t="shared" si="1518"/>
        <v>ENERO</v>
      </c>
      <c r="T1264" s="55" t="str">
        <f t="shared" si="1519"/>
        <v>Sem52</v>
      </c>
      <c r="U1264" s="56">
        <f t="shared" si="1501"/>
        <v>196</v>
      </c>
      <c r="V1264" s="59"/>
      <c r="W1264" s="56">
        <f t="shared" si="1520"/>
        <v>52</v>
      </c>
      <c r="X1264" s="56">
        <f t="shared" si="1521"/>
        <v>0</v>
      </c>
      <c r="Y1264" s="56" t="s">
        <v>31</v>
      </c>
      <c r="Z1264" s="56">
        <v>4</v>
      </c>
      <c r="AA1264" s="58">
        <f t="shared" si="1530"/>
        <v>0</v>
      </c>
      <c r="AB1264" s="58">
        <f t="shared" si="1530"/>
        <v>0</v>
      </c>
      <c r="AC1264" s="58">
        <f t="shared" si="1530"/>
        <v>0</v>
      </c>
      <c r="AD1264" s="58">
        <f t="shared" si="1530"/>
        <v>0</v>
      </c>
      <c r="AE1264" s="58">
        <f t="shared" si="1530"/>
        <v>0</v>
      </c>
    </row>
    <row r="1265" spans="2:31">
      <c r="B1265" t="str">
        <f t="shared" si="1508"/>
        <v>Sem5252</v>
      </c>
      <c r="C1265" t="str">
        <f t="shared" si="1509"/>
        <v>ENEROSem52</v>
      </c>
      <c r="D1265" t="str">
        <f t="shared" si="1510"/>
        <v>ENEROSem52</v>
      </c>
      <c r="E1265" t="str">
        <f t="shared" si="1511"/>
        <v>ENEROSem5252</v>
      </c>
      <c r="F1265" t="str">
        <f t="shared" si="1512"/>
        <v/>
      </c>
      <c r="H1265" s="49"/>
      <c r="I1265" s="50">
        <f>+_xlfn.XLOOKUP($H1265&amp;$V1265,BASEDATOS!$B:$B,BASEDATOS!F:F,0,0,1)</f>
        <v>0</v>
      </c>
      <c r="J1265" s="51">
        <f>+_xlfn.XLOOKUP($H1265&amp;$V1265,BASEDATOS!$B:$B,BASEDATOS!Q:Q,0,0,1)</f>
        <v>0</v>
      </c>
      <c r="K1265" s="51">
        <f>+_xlfn.XLOOKUP($H1265&amp;$V1265,BASEDATOS!$B:$B,BASEDATOS!R:R,0,0,1)</f>
        <v>0</v>
      </c>
      <c r="L1265" s="51">
        <f t="shared" si="1513"/>
        <v>0</v>
      </c>
      <c r="M1265" s="52">
        <f t="shared" si="1514"/>
        <v>0</v>
      </c>
      <c r="N1265" s="51">
        <f t="shared" si="1515"/>
        <v>0</v>
      </c>
      <c r="O1265" s="53" t="str">
        <f t="shared" ref="O1265" si="1556">+O1267</f>
        <v>0-0-0</v>
      </c>
      <c r="P1265" s="54">
        <f>+IF(AND(Y1265="Domingo",U1265=7),_xlfn.XLOOKUP(O1265,'Horarios y Sistemas'!C:C,'Horarios y Sistemas'!H:H,0,0,1),0)</f>
        <v>0</v>
      </c>
      <c r="Q1265" s="54">
        <f>IF(U1265=U1266,0,IF(AVERAGEIF(W:W,W1265,U:U)=U1265,0,_xlfn.XLOOKUP(O1265,'Horarios y Sistemas'!C:C,'Horarios y Sistemas'!H:H,0,0,1)-P1265))/7*U1265</f>
        <v>0</v>
      </c>
      <c r="R1265" s="54">
        <f t="shared" si="1517"/>
        <v>0</v>
      </c>
      <c r="S1265" s="55" t="str">
        <f t="shared" si="1518"/>
        <v>ENERO</v>
      </c>
      <c r="T1265" s="55" t="str">
        <f t="shared" si="1519"/>
        <v>Sem52</v>
      </c>
      <c r="U1265" s="56">
        <f t="shared" si="1501"/>
        <v>196</v>
      </c>
      <c r="V1265" s="59"/>
      <c r="W1265" s="56">
        <f t="shared" si="1520"/>
        <v>52</v>
      </c>
      <c r="X1265" s="56">
        <f t="shared" si="1521"/>
        <v>0</v>
      </c>
      <c r="Y1265" s="56" t="s">
        <v>32</v>
      </c>
      <c r="Z1265" s="56">
        <v>5</v>
      </c>
      <c r="AA1265" s="58">
        <f t="shared" si="1530"/>
        <v>0</v>
      </c>
      <c r="AB1265" s="58">
        <f t="shared" si="1530"/>
        <v>0</v>
      </c>
      <c r="AC1265" s="58">
        <f t="shared" si="1530"/>
        <v>0</v>
      </c>
      <c r="AD1265" s="58">
        <f t="shared" si="1530"/>
        <v>0</v>
      </c>
      <c r="AE1265" s="58">
        <f t="shared" si="1530"/>
        <v>0</v>
      </c>
    </row>
    <row r="1266" spans="2:31">
      <c r="B1266" t="str">
        <f t="shared" si="1508"/>
        <v>Sem5252</v>
      </c>
      <c r="C1266" t="str">
        <f t="shared" si="1509"/>
        <v>ENEROSem52</v>
      </c>
      <c r="D1266" t="str">
        <f t="shared" si="1510"/>
        <v>ENEROSem52</v>
      </c>
      <c r="E1266" t="str">
        <f t="shared" si="1511"/>
        <v>ENEROSem5252</v>
      </c>
      <c r="F1266" t="str">
        <f t="shared" si="1512"/>
        <v/>
      </c>
      <c r="H1266" s="49"/>
      <c r="I1266" s="50">
        <f>+_xlfn.XLOOKUP($H1266&amp;$V1266,BASEDATOS!$B:$B,BASEDATOS!F:F,0,0,1)</f>
        <v>0</v>
      </c>
      <c r="J1266" s="51">
        <f>+_xlfn.XLOOKUP($H1266&amp;$V1266,BASEDATOS!$B:$B,BASEDATOS!Q:Q,0,0,1)</f>
        <v>0</v>
      </c>
      <c r="K1266" s="51">
        <f>+_xlfn.XLOOKUP($H1266&amp;$V1266,BASEDATOS!$B:$B,BASEDATOS!R:R,0,0,1)</f>
        <v>0</v>
      </c>
      <c r="L1266" s="51">
        <f t="shared" si="1513"/>
        <v>0</v>
      </c>
      <c r="M1266" s="52">
        <f t="shared" si="1514"/>
        <v>0</v>
      </c>
      <c r="N1266" s="51">
        <f t="shared" si="1515"/>
        <v>0</v>
      </c>
      <c r="O1266" s="53" t="str">
        <f t="shared" ref="O1266" si="1557">+O1267</f>
        <v>0-0-0</v>
      </c>
      <c r="P1266" s="54">
        <f>+IF(AND(Y1266="Domingo",U1266=7),_xlfn.XLOOKUP(O1266,'Horarios y Sistemas'!C:C,'Horarios y Sistemas'!H:H,0,0,1),0)</f>
        <v>0</v>
      </c>
      <c r="Q1266" s="54">
        <f>IF(U1266=U1267,0,IF(AVERAGEIF(W:W,W1266,U:U)=U1266,0,_xlfn.XLOOKUP(O1266,'Horarios y Sistemas'!C:C,'Horarios y Sistemas'!H:H,0,0,1)-P1266))/7*U1266</f>
        <v>0</v>
      </c>
      <c r="R1266" s="54">
        <f t="shared" si="1517"/>
        <v>0</v>
      </c>
      <c r="S1266" s="55" t="str">
        <f t="shared" si="1518"/>
        <v>ENERO</v>
      </c>
      <c r="T1266" s="55" t="str">
        <f t="shared" si="1519"/>
        <v>Sem52</v>
      </c>
      <c r="U1266" s="56">
        <f t="shared" si="1501"/>
        <v>196</v>
      </c>
      <c r="V1266" s="59"/>
      <c r="W1266" s="56">
        <f t="shared" si="1520"/>
        <v>52</v>
      </c>
      <c r="X1266" s="56">
        <f t="shared" si="1521"/>
        <v>0</v>
      </c>
      <c r="Y1266" s="56" t="s">
        <v>33</v>
      </c>
      <c r="Z1266" s="56">
        <v>6</v>
      </c>
      <c r="AA1266" s="58">
        <f t="shared" si="1530"/>
        <v>0</v>
      </c>
      <c r="AB1266" s="58">
        <f t="shared" si="1530"/>
        <v>0</v>
      </c>
      <c r="AC1266" s="58">
        <f t="shared" si="1530"/>
        <v>0</v>
      </c>
      <c r="AD1266" s="58">
        <f t="shared" si="1530"/>
        <v>0</v>
      </c>
      <c r="AE1266" s="58">
        <f t="shared" si="1530"/>
        <v>0</v>
      </c>
    </row>
    <row r="1267" spans="2:31">
      <c r="B1267" s="60" t="str">
        <f t="shared" si="1508"/>
        <v>Sem5252</v>
      </c>
      <c r="C1267" s="60" t="str">
        <f t="shared" si="1509"/>
        <v>ENEROSem52</v>
      </c>
      <c r="D1267" s="60" t="str">
        <f t="shared" si="1510"/>
        <v>ENEROSem52</v>
      </c>
      <c r="E1267" s="60" t="str">
        <f t="shared" si="1511"/>
        <v>ENEROSem5252</v>
      </c>
      <c r="F1267" s="60" t="str">
        <f t="shared" si="1512"/>
        <v/>
      </c>
      <c r="G1267" s="60"/>
      <c r="H1267" s="61"/>
      <c r="I1267" s="62">
        <f>+_xlfn.XLOOKUP($H1267&amp;$V1267,BASEDATOS!$B:$B,BASEDATOS!F:F,0,0,1)</f>
        <v>0</v>
      </c>
      <c r="J1267" s="63">
        <f>+_xlfn.XLOOKUP($H1267&amp;$V1267,BASEDATOS!$B:$B,BASEDATOS!Q:Q,0,0,1)</f>
        <v>0</v>
      </c>
      <c r="K1267" s="63">
        <f>+_xlfn.XLOOKUP($H1267&amp;$V1267,BASEDATOS!$B:$B,BASEDATOS!R:R,0,0,1)</f>
        <v>0</v>
      </c>
      <c r="L1267" s="63">
        <f t="shared" si="1513"/>
        <v>0</v>
      </c>
      <c r="M1267" s="64">
        <f t="shared" si="1514"/>
        <v>0</v>
      </c>
      <c r="N1267" s="63">
        <f t="shared" si="1515"/>
        <v>0</v>
      </c>
      <c r="O1267" s="65" t="str">
        <f t="shared" ref="O1267" si="1558">+IF(Y1267="Domingo",SUM(AA1261:AA1267)&amp;"-"&amp;SUM(AB1261:AB1267)&amp;"-"&amp;SUM(AC1261:AE1267),"")</f>
        <v>0-0-0</v>
      </c>
      <c r="P1267" s="66">
        <f>+IF(AND(Y1267="Domingo",U1267=7),_xlfn.XLOOKUP(O1267,'Horarios y Sistemas'!C:C,'Horarios y Sistemas'!H:H,0,0,1),0)</f>
        <v>0</v>
      </c>
      <c r="Q1267" s="66">
        <f>IF(U1267=U1268,0,IF(AVERAGEIF(W:W,W1267,U:U)=U1267,0,_xlfn.XLOOKUP(O1267,'Horarios y Sistemas'!C:C,'Horarios y Sistemas'!H:H,0,0,1)-P1267))/7*U1267</f>
        <v>0</v>
      </c>
      <c r="R1267" s="66">
        <f t="shared" si="1517"/>
        <v>0</v>
      </c>
      <c r="S1267" s="67" t="str">
        <f t="shared" si="1518"/>
        <v>ENERO</v>
      </c>
      <c r="T1267" s="55" t="str">
        <f t="shared" si="1519"/>
        <v>Sem52</v>
      </c>
      <c r="U1267" s="68">
        <f t="shared" si="1501"/>
        <v>196</v>
      </c>
      <c r="V1267" s="69"/>
      <c r="W1267" s="68">
        <f t="shared" si="1520"/>
        <v>52</v>
      </c>
      <c r="X1267" s="68">
        <f t="shared" si="1521"/>
        <v>0</v>
      </c>
      <c r="Y1267" s="68" t="s">
        <v>34</v>
      </c>
      <c r="Z1267" s="68">
        <v>7</v>
      </c>
      <c r="AA1267" s="70">
        <f t="shared" si="1530"/>
        <v>0</v>
      </c>
      <c r="AB1267" s="70">
        <f t="shared" si="1530"/>
        <v>0</v>
      </c>
      <c r="AC1267" s="70">
        <f t="shared" si="1530"/>
        <v>0</v>
      </c>
      <c r="AD1267" s="70">
        <f t="shared" si="1530"/>
        <v>0</v>
      </c>
      <c r="AE1267" s="70">
        <f t="shared" si="1530"/>
        <v>0</v>
      </c>
    </row>
    <row r="1268" spans="2:31">
      <c r="B1268" t="str">
        <f t="shared" si="1508"/>
        <v>Sem5252</v>
      </c>
      <c r="C1268" t="str">
        <f t="shared" si="1509"/>
        <v>ENEROSem52</v>
      </c>
      <c r="D1268" t="str">
        <f t="shared" si="1510"/>
        <v>ENEROSem52</v>
      </c>
      <c r="E1268" t="str">
        <f t="shared" si="1511"/>
        <v>ENEROSem5252</v>
      </c>
      <c r="F1268" t="str">
        <f t="shared" si="1512"/>
        <v/>
      </c>
      <c r="H1268" s="49"/>
      <c r="I1268" s="50">
        <f>+_xlfn.XLOOKUP($H1268&amp;$V1268,BASEDATOS!$B:$B,BASEDATOS!F:F,0,0,1)</f>
        <v>0</v>
      </c>
      <c r="J1268" s="51">
        <f>+_xlfn.XLOOKUP($H1268&amp;$V1268,BASEDATOS!$B:$B,BASEDATOS!Q:Q,0,0,1)</f>
        <v>0</v>
      </c>
      <c r="K1268" s="51">
        <f>+_xlfn.XLOOKUP($H1268&amp;$V1268,BASEDATOS!$B:$B,BASEDATOS!R:R,0,0,1)</f>
        <v>0</v>
      </c>
      <c r="L1268" s="51">
        <f t="shared" si="1513"/>
        <v>0</v>
      </c>
      <c r="M1268" s="52">
        <f t="shared" si="1514"/>
        <v>0</v>
      </c>
      <c r="N1268" s="51">
        <f t="shared" si="1515"/>
        <v>0</v>
      </c>
      <c r="O1268" s="53" t="str">
        <f t="shared" ref="O1268" si="1559">+O1274</f>
        <v>0-0-0</v>
      </c>
      <c r="P1268" s="54">
        <f>+IF(AND(Y1268="Domingo",U1268=7),_xlfn.XLOOKUP(O1268,'Horarios y Sistemas'!C:C,'Horarios y Sistemas'!H:H,0,0,1),0)</f>
        <v>0</v>
      </c>
      <c r="Q1268" s="54">
        <f>IF(U1268=U1269,0,IF(AVERAGEIF(W:W,W1268,U:U)=U1268,0,_xlfn.XLOOKUP(O1268,'Horarios y Sistemas'!C:C,'Horarios y Sistemas'!H:H,0,0,1)-P1268))/7*U1268</f>
        <v>0</v>
      </c>
      <c r="R1268" s="54">
        <f t="shared" si="1517"/>
        <v>0</v>
      </c>
      <c r="S1268" s="55" t="str">
        <f t="shared" si="1518"/>
        <v>ENERO</v>
      </c>
      <c r="T1268" s="55" t="str">
        <f t="shared" si="1519"/>
        <v>Sem52</v>
      </c>
      <c r="U1268" s="56">
        <f t="shared" si="1501"/>
        <v>196</v>
      </c>
      <c r="V1268" s="59"/>
      <c r="W1268" s="56">
        <f t="shared" si="1520"/>
        <v>52</v>
      </c>
      <c r="X1268" s="56">
        <f t="shared" si="1521"/>
        <v>0</v>
      </c>
      <c r="Y1268" s="56" t="s">
        <v>28</v>
      </c>
      <c r="Z1268" s="56">
        <v>1</v>
      </c>
      <c r="AA1268" s="58">
        <f t="shared" si="1530"/>
        <v>0</v>
      </c>
      <c r="AB1268" s="58">
        <f t="shared" si="1530"/>
        <v>0</v>
      </c>
      <c r="AC1268" s="58">
        <f t="shared" si="1530"/>
        <v>0</v>
      </c>
      <c r="AD1268" s="58">
        <f t="shared" si="1530"/>
        <v>0</v>
      </c>
      <c r="AE1268" s="58">
        <f t="shared" si="1530"/>
        <v>0</v>
      </c>
    </row>
    <row r="1269" spans="2:31">
      <c r="B1269" t="str">
        <f t="shared" si="1508"/>
        <v>Sem5252</v>
      </c>
      <c r="C1269" t="str">
        <f t="shared" si="1509"/>
        <v>ENEROSem52</v>
      </c>
      <c r="D1269" t="str">
        <f t="shared" si="1510"/>
        <v>ENEROSem52</v>
      </c>
      <c r="E1269" t="str">
        <f t="shared" si="1511"/>
        <v>ENEROSem5252</v>
      </c>
      <c r="F1269" t="str">
        <f t="shared" si="1512"/>
        <v/>
      </c>
      <c r="H1269" s="49"/>
      <c r="I1269" s="50">
        <f>+_xlfn.XLOOKUP($H1269&amp;$V1269,BASEDATOS!$B:$B,BASEDATOS!F:F,0,0,1)</f>
        <v>0</v>
      </c>
      <c r="J1269" s="51">
        <f>+_xlfn.XLOOKUP($H1269&amp;$V1269,BASEDATOS!$B:$B,BASEDATOS!Q:Q,0,0,1)</f>
        <v>0</v>
      </c>
      <c r="K1269" s="51">
        <f>+_xlfn.XLOOKUP($H1269&amp;$V1269,BASEDATOS!$B:$B,BASEDATOS!R:R,0,0,1)</f>
        <v>0</v>
      </c>
      <c r="L1269" s="51">
        <f t="shared" si="1513"/>
        <v>0</v>
      </c>
      <c r="M1269" s="52">
        <f t="shared" si="1514"/>
        <v>0</v>
      </c>
      <c r="N1269" s="51">
        <f t="shared" si="1515"/>
        <v>0</v>
      </c>
      <c r="O1269" s="53" t="str">
        <f t="shared" ref="O1269" si="1560">+O1274</f>
        <v>0-0-0</v>
      </c>
      <c r="P1269" s="54">
        <f>+IF(AND(Y1269="Domingo",U1269=7),_xlfn.XLOOKUP(O1269,'Horarios y Sistemas'!C:C,'Horarios y Sistemas'!H:H,0,0,1),0)</f>
        <v>0</v>
      </c>
      <c r="Q1269" s="54">
        <f>IF(U1269=U1270,0,IF(AVERAGEIF(W:W,W1269,U:U)=U1269,0,_xlfn.XLOOKUP(O1269,'Horarios y Sistemas'!C:C,'Horarios y Sistemas'!H:H,0,0,1)-P1269))/7*U1269</f>
        <v>0</v>
      </c>
      <c r="R1269" s="54">
        <f t="shared" si="1517"/>
        <v>0</v>
      </c>
      <c r="S1269" s="55" t="str">
        <f t="shared" si="1518"/>
        <v>ENERO</v>
      </c>
      <c r="T1269" s="55" t="str">
        <f t="shared" si="1519"/>
        <v>Sem52</v>
      </c>
      <c r="U1269" s="56">
        <f t="shared" si="1501"/>
        <v>196</v>
      </c>
      <c r="V1269" s="59"/>
      <c r="W1269" s="56">
        <f t="shared" si="1520"/>
        <v>52</v>
      </c>
      <c r="X1269" s="56">
        <f t="shared" si="1521"/>
        <v>0</v>
      </c>
      <c r="Y1269" s="56" t="s">
        <v>29</v>
      </c>
      <c r="Z1269" s="56">
        <v>2</v>
      </c>
      <c r="AA1269" s="58">
        <f t="shared" si="1530"/>
        <v>0</v>
      </c>
      <c r="AB1269" s="58">
        <f t="shared" si="1530"/>
        <v>0</v>
      </c>
      <c r="AC1269" s="58">
        <f t="shared" si="1530"/>
        <v>0</v>
      </c>
      <c r="AD1269" s="58">
        <f t="shared" si="1530"/>
        <v>0</v>
      </c>
      <c r="AE1269" s="58">
        <f t="shared" si="1530"/>
        <v>0</v>
      </c>
    </row>
    <row r="1270" spans="2:31">
      <c r="B1270" t="str">
        <f t="shared" si="1508"/>
        <v>Sem5252</v>
      </c>
      <c r="C1270" t="str">
        <f t="shared" si="1509"/>
        <v>ENEROSem52</v>
      </c>
      <c r="D1270" t="str">
        <f t="shared" si="1510"/>
        <v>ENEROSem52</v>
      </c>
      <c r="E1270" t="str">
        <f t="shared" si="1511"/>
        <v>ENEROSem5252</v>
      </c>
      <c r="F1270" t="str">
        <f t="shared" si="1512"/>
        <v/>
      </c>
      <c r="H1270" s="49"/>
      <c r="I1270" s="50">
        <f>+_xlfn.XLOOKUP($H1270&amp;$V1270,BASEDATOS!$B:$B,BASEDATOS!F:F,0,0,1)</f>
        <v>0</v>
      </c>
      <c r="J1270" s="51">
        <f>+_xlfn.XLOOKUP($H1270&amp;$V1270,BASEDATOS!$B:$B,BASEDATOS!Q:Q,0,0,1)</f>
        <v>0</v>
      </c>
      <c r="K1270" s="51">
        <f>+_xlfn.XLOOKUP($H1270&amp;$V1270,BASEDATOS!$B:$B,BASEDATOS!R:R,0,0,1)</f>
        <v>0</v>
      </c>
      <c r="L1270" s="51">
        <f t="shared" si="1513"/>
        <v>0</v>
      </c>
      <c r="M1270" s="52">
        <f t="shared" si="1514"/>
        <v>0</v>
      </c>
      <c r="N1270" s="51">
        <f t="shared" si="1515"/>
        <v>0</v>
      </c>
      <c r="O1270" s="53" t="str">
        <f t="shared" ref="O1270" si="1561">+O1274</f>
        <v>0-0-0</v>
      </c>
      <c r="P1270" s="54">
        <f>+IF(AND(Y1270="Domingo",U1270=7),_xlfn.XLOOKUP(O1270,'Horarios y Sistemas'!C:C,'Horarios y Sistemas'!H:H,0,0,1),0)</f>
        <v>0</v>
      </c>
      <c r="Q1270" s="54">
        <f>IF(U1270=U1271,0,IF(AVERAGEIF(W:W,W1270,U:U)=U1270,0,_xlfn.XLOOKUP(O1270,'Horarios y Sistemas'!C:C,'Horarios y Sistemas'!H:H,0,0,1)-P1270))/7*U1270</f>
        <v>0</v>
      </c>
      <c r="R1270" s="54">
        <f t="shared" si="1517"/>
        <v>0</v>
      </c>
      <c r="S1270" s="55" t="str">
        <f t="shared" si="1518"/>
        <v>ENERO</v>
      </c>
      <c r="T1270" s="55" t="str">
        <f t="shared" si="1519"/>
        <v>Sem52</v>
      </c>
      <c r="U1270" s="56">
        <f t="shared" si="1501"/>
        <v>196</v>
      </c>
      <c r="V1270" s="59"/>
      <c r="W1270" s="56">
        <f t="shared" si="1520"/>
        <v>52</v>
      </c>
      <c r="X1270" s="56">
        <f t="shared" si="1521"/>
        <v>0</v>
      </c>
      <c r="Y1270" s="56" t="s">
        <v>30</v>
      </c>
      <c r="Z1270" s="56">
        <v>3</v>
      </c>
      <c r="AA1270" s="58">
        <f t="shared" si="1530"/>
        <v>0</v>
      </c>
      <c r="AB1270" s="58">
        <f t="shared" si="1530"/>
        <v>0</v>
      </c>
      <c r="AC1270" s="58">
        <f t="shared" si="1530"/>
        <v>0</v>
      </c>
      <c r="AD1270" s="58">
        <f t="shared" si="1530"/>
        <v>0</v>
      </c>
      <c r="AE1270" s="58">
        <f t="shared" si="1530"/>
        <v>0</v>
      </c>
    </row>
    <row r="1271" spans="2:31">
      <c r="B1271" t="str">
        <f t="shared" si="1508"/>
        <v>Sem5252</v>
      </c>
      <c r="C1271" t="str">
        <f t="shared" si="1509"/>
        <v>ENEROSem52</v>
      </c>
      <c r="D1271" t="str">
        <f t="shared" si="1510"/>
        <v>ENEROSem52</v>
      </c>
      <c r="E1271" t="str">
        <f t="shared" si="1511"/>
        <v>ENEROSem5252</v>
      </c>
      <c r="F1271" t="str">
        <f t="shared" si="1512"/>
        <v/>
      </c>
      <c r="H1271" s="49"/>
      <c r="I1271" s="50">
        <f>+_xlfn.XLOOKUP($H1271&amp;$V1271,BASEDATOS!$B:$B,BASEDATOS!F:F,0,0,1)</f>
        <v>0</v>
      </c>
      <c r="J1271" s="51">
        <f>+_xlfn.XLOOKUP($H1271&amp;$V1271,BASEDATOS!$B:$B,BASEDATOS!Q:Q,0,0,1)</f>
        <v>0</v>
      </c>
      <c r="K1271" s="51">
        <f>+_xlfn.XLOOKUP($H1271&amp;$V1271,BASEDATOS!$B:$B,BASEDATOS!R:R,0,0,1)</f>
        <v>0</v>
      </c>
      <c r="L1271" s="51">
        <f t="shared" si="1513"/>
        <v>0</v>
      </c>
      <c r="M1271" s="52">
        <f t="shared" si="1514"/>
        <v>0</v>
      </c>
      <c r="N1271" s="51">
        <f t="shared" si="1515"/>
        <v>0</v>
      </c>
      <c r="O1271" s="53" t="str">
        <f t="shared" ref="O1271" si="1562">+O1274</f>
        <v>0-0-0</v>
      </c>
      <c r="P1271" s="54">
        <f>+IF(AND(Y1271="Domingo",U1271=7),_xlfn.XLOOKUP(O1271,'Horarios y Sistemas'!C:C,'Horarios y Sistemas'!H:H,0,0,1),0)</f>
        <v>0</v>
      </c>
      <c r="Q1271" s="54">
        <f>IF(U1271=U1272,0,IF(AVERAGEIF(W:W,W1271,U:U)=U1271,0,_xlfn.XLOOKUP(O1271,'Horarios y Sistemas'!C:C,'Horarios y Sistemas'!H:H,0,0,1)-P1271))/7*U1271</f>
        <v>0</v>
      </c>
      <c r="R1271" s="54">
        <f t="shared" si="1517"/>
        <v>0</v>
      </c>
      <c r="S1271" s="55" t="str">
        <f t="shared" si="1518"/>
        <v>ENERO</v>
      </c>
      <c r="T1271" s="55" t="str">
        <f t="shared" si="1519"/>
        <v>Sem52</v>
      </c>
      <c r="U1271" s="56">
        <f t="shared" si="1501"/>
        <v>196</v>
      </c>
      <c r="V1271" s="59"/>
      <c r="W1271" s="56">
        <f t="shared" si="1520"/>
        <v>52</v>
      </c>
      <c r="X1271" s="56">
        <f t="shared" si="1521"/>
        <v>0</v>
      </c>
      <c r="Y1271" s="56" t="s">
        <v>31</v>
      </c>
      <c r="Z1271" s="56">
        <v>4</v>
      </c>
      <c r="AA1271" s="58">
        <f t="shared" si="1530"/>
        <v>0</v>
      </c>
      <c r="AB1271" s="58">
        <f t="shared" si="1530"/>
        <v>0</v>
      </c>
      <c r="AC1271" s="58">
        <f t="shared" si="1530"/>
        <v>0</v>
      </c>
      <c r="AD1271" s="58">
        <f t="shared" si="1530"/>
        <v>0</v>
      </c>
      <c r="AE1271" s="58">
        <f t="shared" si="1530"/>
        <v>0</v>
      </c>
    </row>
    <row r="1272" spans="2:31">
      <c r="B1272" t="str">
        <f t="shared" si="1508"/>
        <v>Sem5252</v>
      </c>
      <c r="C1272" t="str">
        <f t="shared" si="1509"/>
        <v>ENEROSem52</v>
      </c>
      <c r="D1272" t="str">
        <f t="shared" si="1510"/>
        <v>ENEROSem52</v>
      </c>
      <c r="E1272" t="str">
        <f t="shared" si="1511"/>
        <v>ENEROSem5252</v>
      </c>
      <c r="F1272" t="str">
        <f t="shared" si="1512"/>
        <v/>
      </c>
      <c r="H1272" s="49"/>
      <c r="I1272" s="50">
        <f>+_xlfn.XLOOKUP($H1272&amp;$V1272,BASEDATOS!$B:$B,BASEDATOS!F:F,0,0,1)</f>
        <v>0</v>
      </c>
      <c r="J1272" s="51">
        <f>+_xlfn.XLOOKUP($H1272&amp;$V1272,BASEDATOS!$B:$B,BASEDATOS!Q:Q,0,0,1)</f>
        <v>0</v>
      </c>
      <c r="K1272" s="51">
        <f>+_xlfn.XLOOKUP($H1272&amp;$V1272,BASEDATOS!$B:$B,BASEDATOS!R:R,0,0,1)</f>
        <v>0</v>
      </c>
      <c r="L1272" s="51">
        <f t="shared" si="1513"/>
        <v>0</v>
      </c>
      <c r="M1272" s="52">
        <f t="shared" si="1514"/>
        <v>0</v>
      </c>
      <c r="N1272" s="51">
        <f t="shared" si="1515"/>
        <v>0</v>
      </c>
      <c r="O1272" s="53" t="str">
        <f t="shared" ref="O1272" si="1563">+O1274</f>
        <v>0-0-0</v>
      </c>
      <c r="P1272" s="54">
        <f>+IF(AND(Y1272="Domingo",U1272=7),_xlfn.XLOOKUP(O1272,'Horarios y Sistemas'!C:C,'Horarios y Sistemas'!H:H,0,0,1),0)</f>
        <v>0</v>
      </c>
      <c r="Q1272" s="54">
        <f>IF(U1272=U1273,0,IF(AVERAGEIF(W:W,W1272,U:U)=U1272,0,_xlfn.XLOOKUP(O1272,'Horarios y Sistemas'!C:C,'Horarios y Sistemas'!H:H,0,0,1)-P1272))/7*U1272</f>
        <v>0</v>
      </c>
      <c r="R1272" s="54">
        <f t="shared" si="1517"/>
        <v>0</v>
      </c>
      <c r="S1272" s="55" t="str">
        <f t="shared" si="1518"/>
        <v>ENERO</v>
      </c>
      <c r="T1272" s="55" t="str">
        <f t="shared" si="1519"/>
        <v>Sem52</v>
      </c>
      <c r="U1272" s="56">
        <f t="shared" si="1501"/>
        <v>196</v>
      </c>
      <c r="V1272" s="59"/>
      <c r="W1272" s="56">
        <f t="shared" si="1520"/>
        <v>52</v>
      </c>
      <c r="X1272" s="56">
        <f t="shared" si="1521"/>
        <v>0</v>
      </c>
      <c r="Y1272" s="56" t="s">
        <v>32</v>
      </c>
      <c r="Z1272" s="56">
        <v>5</v>
      </c>
      <c r="AA1272" s="58">
        <f t="shared" si="1530"/>
        <v>0</v>
      </c>
      <c r="AB1272" s="58">
        <f t="shared" si="1530"/>
        <v>0</v>
      </c>
      <c r="AC1272" s="58">
        <f t="shared" si="1530"/>
        <v>0</v>
      </c>
      <c r="AD1272" s="58">
        <f t="shared" si="1530"/>
        <v>0</v>
      </c>
      <c r="AE1272" s="58">
        <f t="shared" si="1530"/>
        <v>0</v>
      </c>
    </row>
    <row r="1273" spans="2:31">
      <c r="B1273" t="str">
        <f t="shared" si="1508"/>
        <v>Sem5252</v>
      </c>
      <c r="C1273" t="str">
        <f t="shared" si="1509"/>
        <v>ENEROSem52</v>
      </c>
      <c r="D1273" t="str">
        <f t="shared" si="1510"/>
        <v>ENEROSem52</v>
      </c>
      <c r="E1273" t="str">
        <f t="shared" si="1511"/>
        <v>ENEROSem5252</v>
      </c>
      <c r="F1273" t="str">
        <f t="shared" si="1512"/>
        <v/>
      </c>
      <c r="H1273" s="49"/>
      <c r="I1273" s="50">
        <f>+_xlfn.XLOOKUP($H1273&amp;$V1273,BASEDATOS!$B:$B,BASEDATOS!F:F,0,0,1)</f>
        <v>0</v>
      </c>
      <c r="J1273" s="51">
        <f>+_xlfn.XLOOKUP($H1273&amp;$V1273,BASEDATOS!$B:$B,BASEDATOS!Q:Q,0,0,1)</f>
        <v>0</v>
      </c>
      <c r="K1273" s="51">
        <f>+_xlfn.XLOOKUP($H1273&amp;$V1273,BASEDATOS!$B:$B,BASEDATOS!R:R,0,0,1)</f>
        <v>0</v>
      </c>
      <c r="L1273" s="51">
        <f t="shared" si="1513"/>
        <v>0</v>
      </c>
      <c r="M1273" s="52">
        <f t="shared" si="1514"/>
        <v>0</v>
      </c>
      <c r="N1273" s="51">
        <f t="shared" si="1515"/>
        <v>0</v>
      </c>
      <c r="O1273" s="53" t="str">
        <f t="shared" ref="O1273" si="1564">+O1274</f>
        <v>0-0-0</v>
      </c>
      <c r="P1273" s="54">
        <f>+IF(AND(Y1273="Domingo",U1273=7),_xlfn.XLOOKUP(O1273,'Horarios y Sistemas'!C:C,'Horarios y Sistemas'!H:H,0,0,1),0)</f>
        <v>0</v>
      </c>
      <c r="Q1273" s="54">
        <f>IF(U1273=U1274,0,IF(AVERAGEIF(W:W,W1273,U:U)=U1273,0,_xlfn.XLOOKUP(O1273,'Horarios y Sistemas'!C:C,'Horarios y Sistemas'!H:H,0,0,1)-P1273))/7*U1273</f>
        <v>0</v>
      </c>
      <c r="R1273" s="54">
        <f t="shared" si="1517"/>
        <v>0</v>
      </c>
      <c r="S1273" s="55" t="str">
        <f t="shared" si="1518"/>
        <v>ENERO</v>
      </c>
      <c r="T1273" s="55" t="str">
        <f t="shared" si="1519"/>
        <v>Sem52</v>
      </c>
      <c r="U1273" s="56">
        <f t="shared" si="1501"/>
        <v>196</v>
      </c>
      <c r="V1273" s="59"/>
      <c r="W1273" s="56">
        <f t="shared" si="1520"/>
        <v>52</v>
      </c>
      <c r="X1273" s="56">
        <f t="shared" si="1521"/>
        <v>0</v>
      </c>
      <c r="Y1273" s="56" t="s">
        <v>33</v>
      </c>
      <c r="Z1273" s="56">
        <v>6</v>
      </c>
      <c r="AA1273" s="58">
        <f t="shared" si="1530"/>
        <v>0</v>
      </c>
      <c r="AB1273" s="58">
        <f t="shared" si="1530"/>
        <v>0</v>
      </c>
      <c r="AC1273" s="58">
        <f t="shared" si="1530"/>
        <v>0</v>
      </c>
      <c r="AD1273" s="58">
        <f t="shared" si="1530"/>
        <v>0</v>
      </c>
      <c r="AE1273" s="58">
        <f t="shared" si="1530"/>
        <v>0</v>
      </c>
    </row>
    <row r="1274" spans="2:31">
      <c r="B1274" s="60" t="str">
        <f t="shared" si="1508"/>
        <v>Sem5252</v>
      </c>
      <c r="C1274" s="60" t="str">
        <f t="shared" si="1509"/>
        <v>ENEROSem52</v>
      </c>
      <c r="D1274" s="60" t="str">
        <f t="shared" si="1510"/>
        <v>ENEROSem52</v>
      </c>
      <c r="E1274" s="60" t="str">
        <f t="shared" si="1511"/>
        <v>ENEROSem5252</v>
      </c>
      <c r="F1274" s="60" t="str">
        <f t="shared" si="1512"/>
        <v/>
      </c>
      <c r="G1274" s="60"/>
      <c r="H1274" s="61"/>
      <c r="I1274" s="62">
        <f>+_xlfn.XLOOKUP($H1274&amp;$V1274,BASEDATOS!$B:$B,BASEDATOS!F:F,0,0,1)</f>
        <v>0</v>
      </c>
      <c r="J1274" s="63">
        <f>+_xlfn.XLOOKUP($H1274&amp;$V1274,BASEDATOS!$B:$B,BASEDATOS!Q:Q,0,0,1)</f>
        <v>0</v>
      </c>
      <c r="K1274" s="63">
        <f>+_xlfn.XLOOKUP($H1274&amp;$V1274,BASEDATOS!$B:$B,BASEDATOS!R:R,0,0,1)</f>
        <v>0</v>
      </c>
      <c r="L1274" s="63">
        <f t="shared" si="1513"/>
        <v>0</v>
      </c>
      <c r="M1274" s="64">
        <f t="shared" si="1514"/>
        <v>0</v>
      </c>
      <c r="N1274" s="63">
        <f t="shared" si="1515"/>
        <v>0</v>
      </c>
      <c r="O1274" s="65" t="str">
        <f t="shared" ref="O1274" si="1565">+IF(Y1274="Domingo",SUM(AA1268:AA1274)&amp;"-"&amp;SUM(AB1268:AB1274)&amp;"-"&amp;SUM(AC1268:AE1274),"")</f>
        <v>0-0-0</v>
      </c>
      <c r="P1274" s="66">
        <f>+IF(AND(Y1274="Domingo",U1274=7),_xlfn.XLOOKUP(O1274,'Horarios y Sistemas'!C:C,'Horarios y Sistemas'!H:H,0,0,1),0)</f>
        <v>0</v>
      </c>
      <c r="Q1274" s="66">
        <f>IF(U1274=U1275,0,IF(AVERAGEIF(W:W,W1274,U:U)=U1274,0,_xlfn.XLOOKUP(O1274,'Horarios y Sistemas'!C:C,'Horarios y Sistemas'!H:H,0,0,1)-P1274))/7*U1274</f>
        <v>0</v>
      </c>
      <c r="R1274" s="66">
        <f t="shared" si="1517"/>
        <v>0</v>
      </c>
      <c r="S1274" s="67" t="str">
        <f t="shared" si="1518"/>
        <v>ENERO</v>
      </c>
      <c r="T1274" s="55" t="str">
        <f t="shared" si="1519"/>
        <v>Sem52</v>
      </c>
      <c r="U1274" s="68">
        <f t="shared" si="1501"/>
        <v>196</v>
      </c>
      <c r="V1274" s="69"/>
      <c r="W1274" s="68">
        <f t="shared" si="1520"/>
        <v>52</v>
      </c>
      <c r="X1274" s="68">
        <f t="shared" si="1521"/>
        <v>0</v>
      </c>
      <c r="Y1274" s="68" t="s">
        <v>34</v>
      </c>
      <c r="Z1274" s="68">
        <v>7</v>
      </c>
      <c r="AA1274" s="70">
        <f t="shared" si="1530"/>
        <v>0</v>
      </c>
      <c r="AB1274" s="70">
        <f t="shared" si="1530"/>
        <v>0</v>
      </c>
      <c r="AC1274" s="70">
        <f t="shared" si="1530"/>
        <v>0</v>
      </c>
      <c r="AD1274" s="70">
        <f t="shared" si="1530"/>
        <v>0</v>
      </c>
      <c r="AE1274" s="70">
        <f t="shared" si="1530"/>
        <v>0</v>
      </c>
    </row>
    <row r="1275" spans="2:31">
      <c r="B1275" t="str">
        <f t="shared" si="1508"/>
        <v>Sem5252</v>
      </c>
      <c r="C1275" t="str">
        <f t="shared" si="1509"/>
        <v>ENEROSem52</v>
      </c>
      <c r="D1275" t="str">
        <f t="shared" si="1510"/>
        <v>ENEROSem52</v>
      </c>
      <c r="E1275" t="str">
        <f t="shared" si="1511"/>
        <v>ENEROSem5252</v>
      </c>
      <c r="F1275" t="str">
        <f t="shared" si="1512"/>
        <v/>
      </c>
      <c r="H1275" s="49"/>
      <c r="I1275" s="50">
        <f>+_xlfn.XLOOKUP($H1275&amp;$V1275,BASEDATOS!$B:$B,BASEDATOS!F:F,0,0,1)</f>
        <v>0</v>
      </c>
      <c r="J1275" s="51">
        <f>+_xlfn.XLOOKUP($H1275&amp;$V1275,BASEDATOS!$B:$B,BASEDATOS!Q:Q,0,0,1)</f>
        <v>0</v>
      </c>
      <c r="K1275" s="51">
        <f>+_xlfn.XLOOKUP($H1275&amp;$V1275,BASEDATOS!$B:$B,BASEDATOS!R:R,0,0,1)</f>
        <v>0</v>
      </c>
      <c r="L1275" s="51">
        <f t="shared" si="1513"/>
        <v>0</v>
      </c>
      <c r="M1275" s="52">
        <f t="shared" si="1514"/>
        <v>0</v>
      </c>
      <c r="N1275" s="51">
        <f t="shared" si="1515"/>
        <v>0</v>
      </c>
      <c r="O1275" s="53" t="str">
        <f t="shared" ref="O1275" si="1566">+O1281</f>
        <v>0-0-0</v>
      </c>
      <c r="P1275" s="54">
        <f>+IF(AND(Y1275="Domingo",U1275=7),_xlfn.XLOOKUP(O1275,'Horarios y Sistemas'!C:C,'Horarios y Sistemas'!H:H,0,0,1),0)</f>
        <v>0</v>
      </c>
      <c r="Q1275" s="54">
        <f>IF(U1275=U1276,0,IF(AVERAGEIF(W:W,W1275,U:U)=U1275,0,_xlfn.XLOOKUP(O1275,'Horarios y Sistemas'!C:C,'Horarios y Sistemas'!H:H,0,0,1)-P1275))/7*U1275</f>
        <v>0</v>
      </c>
      <c r="R1275" s="54">
        <f t="shared" si="1517"/>
        <v>0</v>
      </c>
      <c r="S1275" s="55" t="str">
        <f t="shared" si="1518"/>
        <v>ENERO</v>
      </c>
      <c r="T1275" s="55" t="str">
        <f t="shared" si="1519"/>
        <v>Sem52</v>
      </c>
      <c r="U1275" s="56">
        <f t="shared" si="1501"/>
        <v>196</v>
      </c>
      <c r="V1275" s="57"/>
      <c r="W1275" s="56">
        <f t="shared" si="1520"/>
        <v>52</v>
      </c>
      <c r="X1275" s="56">
        <f t="shared" si="1521"/>
        <v>0</v>
      </c>
      <c r="Y1275" s="56" t="s">
        <v>28</v>
      </c>
      <c r="Z1275" s="56">
        <v>1</v>
      </c>
      <c r="AA1275" s="58">
        <f t="shared" si="1530"/>
        <v>0</v>
      </c>
      <c r="AB1275" s="58">
        <f t="shared" si="1530"/>
        <v>0</v>
      </c>
      <c r="AC1275" s="58">
        <f t="shared" si="1530"/>
        <v>0</v>
      </c>
      <c r="AD1275" s="58">
        <f t="shared" si="1530"/>
        <v>0</v>
      </c>
      <c r="AE1275" s="58">
        <f t="shared" si="1530"/>
        <v>0</v>
      </c>
    </row>
    <row r="1276" spans="2:31">
      <c r="B1276" t="str">
        <f t="shared" si="1508"/>
        <v>Sem5252</v>
      </c>
      <c r="C1276" t="str">
        <f t="shared" si="1509"/>
        <v>ENEROSem52</v>
      </c>
      <c r="D1276" t="str">
        <f t="shared" si="1510"/>
        <v>ENEROSem52</v>
      </c>
      <c r="E1276" t="str">
        <f t="shared" si="1511"/>
        <v>ENEROSem5252</v>
      </c>
      <c r="F1276" t="str">
        <f t="shared" si="1512"/>
        <v/>
      </c>
      <c r="H1276" s="49"/>
      <c r="I1276" s="50">
        <f>+_xlfn.XLOOKUP($H1276&amp;$V1276,BASEDATOS!$B:$B,BASEDATOS!F:F,0,0,1)</f>
        <v>0</v>
      </c>
      <c r="J1276" s="51">
        <f>+_xlfn.XLOOKUP($H1276&amp;$V1276,BASEDATOS!$B:$B,BASEDATOS!Q:Q,0,0,1)</f>
        <v>0</v>
      </c>
      <c r="K1276" s="51">
        <f>+_xlfn.XLOOKUP($H1276&amp;$V1276,BASEDATOS!$B:$B,BASEDATOS!R:R,0,0,1)</f>
        <v>0</v>
      </c>
      <c r="L1276" s="51">
        <f t="shared" si="1513"/>
        <v>0</v>
      </c>
      <c r="M1276" s="52">
        <f t="shared" si="1514"/>
        <v>0</v>
      </c>
      <c r="N1276" s="51">
        <f t="shared" si="1515"/>
        <v>0</v>
      </c>
      <c r="O1276" s="53" t="str">
        <f t="shared" ref="O1276" si="1567">+O1281</f>
        <v>0-0-0</v>
      </c>
      <c r="P1276" s="54">
        <f>+IF(AND(Y1276="Domingo",U1276=7),_xlfn.XLOOKUP(O1276,'Horarios y Sistemas'!C:C,'Horarios y Sistemas'!H:H,0,0,1),0)</f>
        <v>0</v>
      </c>
      <c r="Q1276" s="54">
        <f>IF(U1276=U1277,0,IF(AVERAGEIF(W:W,W1276,U:U)=U1276,0,_xlfn.XLOOKUP(O1276,'Horarios y Sistemas'!C:C,'Horarios y Sistemas'!H:H,0,0,1)-P1276))/7*U1276</f>
        <v>0</v>
      </c>
      <c r="R1276" s="54">
        <f t="shared" si="1517"/>
        <v>0</v>
      </c>
      <c r="S1276" s="55" t="str">
        <f t="shared" si="1518"/>
        <v>ENERO</v>
      </c>
      <c r="T1276" s="55" t="str">
        <f t="shared" si="1519"/>
        <v>Sem52</v>
      </c>
      <c r="U1276" s="56">
        <f t="shared" si="1501"/>
        <v>196</v>
      </c>
      <c r="V1276" s="59"/>
      <c r="W1276" s="56">
        <f t="shared" si="1520"/>
        <v>52</v>
      </c>
      <c r="X1276" s="56">
        <f t="shared" si="1521"/>
        <v>0</v>
      </c>
      <c r="Y1276" s="56" t="s">
        <v>29</v>
      </c>
      <c r="Z1276" s="56">
        <v>2</v>
      </c>
      <c r="AA1276" s="58">
        <f t="shared" si="1530"/>
        <v>0</v>
      </c>
      <c r="AB1276" s="58">
        <f t="shared" si="1530"/>
        <v>0</v>
      </c>
      <c r="AC1276" s="58">
        <f t="shared" si="1530"/>
        <v>0</v>
      </c>
      <c r="AD1276" s="58">
        <f t="shared" si="1530"/>
        <v>0</v>
      </c>
      <c r="AE1276" s="58">
        <f t="shared" si="1530"/>
        <v>0</v>
      </c>
    </row>
    <row r="1277" spans="2:31">
      <c r="B1277" t="str">
        <f t="shared" si="1508"/>
        <v>Sem5252</v>
      </c>
      <c r="C1277" t="str">
        <f t="shared" si="1509"/>
        <v>ENEROSem52</v>
      </c>
      <c r="D1277" t="str">
        <f t="shared" si="1510"/>
        <v>ENEROSem52</v>
      </c>
      <c r="E1277" t="str">
        <f t="shared" si="1511"/>
        <v>ENEROSem5252</v>
      </c>
      <c r="F1277" t="str">
        <f t="shared" si="1512"/>
        <v/>
      </c>
      <c r="H1277" s="49"/>
      <c r="I1277" s="50">
        <f>+_xlfn.XLOOKUP($H1277&amp;$V1277,BASEDATOS!$B:$B,BASEDATOS!F:F,0,0,1)</f>
        <v>0</v>
      </c>
      <c r="J1277" s="51">
        <f>+_xlfn.XLOOKUP($H1277&amp;$V1277,BASEDATOS!$B:$B,BASEDATOS!Q:Q,0,0,1)</f>
        <v>0</v>
      </c>
      <c r="K1277" s="51">
        <f>+_xlfn.XLOOKUP($H1277&amp;$V1277,BASEDATOS!$B:$B,BASEDATOS!R:R,0,0,1)</f>
        <v>0</v>
      </c>
      <c r="L1277" s="51">
        <f t="shared" si="1513"/>
        <v>0</v>
      </c>
      <c r="M1277" s="52">
        <f t="shared" si="1514"/>
        <v>0</v>
      </c>
      <c r="N1277" s="51">
        <f t="shared" si="1515"/>
        <v>0</v>
      </c>
      <c r="O1277" s="53" t="str">
        <f t="shared" ref="O1277" si="1568">+O1281</f>
        <v>0-0-0</v>
      </c>
      <c r="P1277" s="54">
        <f>+IF(AND(Y1277="Domingo",U1277=7),_xlfn.XLOOKUP(O1277,'Horarios y Sistemas'!C:C,'Horarios y Sistemas'!H:H,0,0,1),0)</f>
        <v>0</v>
      </c>
      <c r="Q1277" s="54">
        <f>IF(U1277=U1278,0,IF(AVERAGEIF(W:W,W1277,U:U)=U1277,0,_xlfn.XLOOKUP(O1277,'Horarios y Sistemas'!C:C,'Horarios y Sistemas'!H:H,0,0,1)-P1277))/7*U1277</f>
        <v>0</v>
      </c>
      <c r="R1277" s="54">
        <f t="shared" si="1517"/>
        <v>0</v>
      </c>
      <c r="S1277" s="55" t="str">
        <f t="shared" si="1518"/>
        <v>ENERO</v>
      </c>
      <c r="T1277" s="55" t="str">
        <f t="shared" si="1519"/>
        <v>Sem52</v>
      </c>
      <c r="U1277" s="56">
        <f t="shared" si="1501"/>
        <v>196</v>
      </c>
      <c r="V1277" s="59"/>
      <c r="W1277" s="56">
        <f t="shared" si="1520"/>
        <v>52</v>
      </c>
      <c r="X1277" s="56">
        <f t="shared" si="1521"/>
        <v>0</v>
      </c>
      <c r="Y1277" s="56" t="s">
        <v>30</v>
      </c>
      <c r="Z1277" s="56">
        <v>3</v>
      </c>
      <c r="AA1277" s="58">
        <f t="shared" si="1530"/>
        <v>0</v>
      </c>
      <c r="AB1277" s="58">
        <f t="shared" si="1530"/>
        <v>0</v>
      </c>
      <c r="AC1277" s="58">
        <f t="shared" si="1530"/>
        <v>0</v>
      </c>
      <c r="AD1277" s="58">
        <f t="shared" si="1530"/>
        <v>0</v>
      </c>
      <c r="AE1277" s="58">
        <f t="shared" si="1530"/>
        <v>0</v>
      </c>
    </row>
    <row r="1278" spans="2:31">
      <c r="B1278" t="str">
        <f t="shared" si="1508"/>
        <v>Sem5252</v>
      </c>
      <c r="C1278" t="str">
        <f t="shared" si="1509"/>
        <v>ENEROSem52</v>
      </c>
      <c r="D1278" t="str">
        <f t="shared" si="1510"/>
        <v>ENEROSem52</v>
      </c>
      <c r="E1278" t="str">
        <f t="shared" si="1511"/>
        <v>ENEROSem5252</v>
      </c>
      <c r="F1278" t="str">
        <f t="shared" si="1512"/>
        <v/>
      </c>
      <c r="H1278" s="49"/>
      <c r="I1278" s="50">
        <f>+_xlfn.XLOOKUP($H1278&amp;$V1278,BASEDATOS!$B:$B,BASEDATOS!F:F,0,0,1)</f>
        <v>0</v>
      </c>
      <c r="J1278" s="51">
        <f>+_xlfn.XLOOKUP($H1278&amp;$V1278,BASEDATOS!$B:$B,BASEDATOS!Q:Q,0,0,1)</f>
        <v>0</v>
      </c>
      <c r="K1278" s="51">
        <f>+_xlfn.XLOOKUP($H1278&amp;$V1278,BASEDATOS!$B:$B,BASEDATOS!R:R,0,0,1)</f>
        <v>0</v>
      </c>
      <c r="L1278" s="51">
        <f t="shared" si="1513"/>
        <v>0</v>
      </c>
      <c r="M1278" s="52">
        <f t="shared" si="1514"/>
        <v>0</v>
      </c>
      <c r="N1278" s="51">
        <f t="shared" si="1515"/>
        <v>0</v>
      </c>
      <c r="O1278" s="53" t="str">
        <f t="shared" ref="O1278" si="1569">+O1281</f>
        <v>0-0-0</v>
      </c>
      <c r="P1278" s="54">
        <f>+IF(AND(Y1278="Domingo",U1278=7),_xlfn.XLOOKUP(O1278,'Horarios y Sistemas'!C:C,'Horarios y Sistemas'!H:H,0,0,1),0)</f>
        <v>0</v>
      </c>
      <c r="Q1278" s="54">
        <f>IF(U1278=U1279,0,IF(AVERAGEIF(W:W,W1278,U:U)=U1278,0,_xlfn.XLOOKUP(O1278,'Horarios y Sistemas'!C:C,'Horarios y Sistemas'!H:H,0,0,1)-P1278))/7*U1278</f>
        <v>0</v>
      </c>
      <c r="R1278" s="54">
        <f t="shared" si="1517"/>
        <v>0</v>
      </c>
      <c r="S1278" s="55" t="str">
        <f t="shared" si="1518"/>
        <v>ENERO</v>
      </c>
      <c r="T1278" s="55" t="str">
        <f t="shared" si="1519"/>
        <v>Sem52</v>
      </c>
      <c r="U1278" s="56">
        <f t="shared" si="1501"/>
        <v>196</v>
      </c>
      <c r="V1278" s="59"/>
      <c r="W1278" s="56">
        <f t="shared" si="1520"/>
        <v>52</v>
      </c>
      <c r="X1278" s="56">
        <f t="shared" si="1521"/>
        <v>0</v>
      </c>
      <c r="Y1278" s="56" t="s">
        <v>31</v>
      </c>
      <c r="Z1278" s="56">
        <v>4</v>
      </c>
      <c r="AA1278" s="58">
        <f t="shared" si="1530"/>
        <v>0</v>
      </c>
      <c r="AB1278" s="58">
        <f t="shared" si="1530"/>
        <v>0</v>
      </c>
      <c r="AC1278" s="58">
        <f t="shared" si="1530"/>
        <v>0</v>
      </c>
      <c r="AD1278" s="58">
        <f t="shared" si="1530"/>
        <v>0</v>
      </c>
      <c r="AE1278" s="58">
        <f t="shared" si="1530"/>
        <v>0</v>
      </c>
    </row>
    <row r="1279" spans="2:31">
      <c r="B1279" t="str">
        <f t="shared" si="1508"/>
        <v>Sem5252</v>
      </c>
      <c r="C1279" t="str">
        <f t="shared" si="1509"/>
        <v>ENEROSem52</v>
      </c>
      <c r="D1279" t="str">
        <f t="shared" si="1510"/>
        <v>ENEROSem52</v>
      </c>
      <c r="E1279" t="str">
        <f t="shared" si="1511"/>
        <v>ENEROSem5252</v>
      </c>
      <c r="F1279" t="str">
        <f t="shared" si="1512"/>
        <v/>
      </c>
      <c r="H1279" s="49"/>
      <c r="I1279" s="50">
        <f>+_xlfn.XLOOKUP($H1279&amp;$V1279,BASEDATOS!$B:$B,BASEDATOS!F:F,0,0,1)</f>
        <v>0</v>
      </c>
      <c r="J1279" s="51">
        <f>+_xlfn.XLOOKUP($H1279&amp;$V1279,BASEDATOS!$B:$B,BASEDATOS!Q:Q,0,0,1)</f>
        <v>0</v>
      </c>
      <c r="K1279" s="51">
        <f>+_xlfn.XLOOKUP($H1279&amp;$V1279,BASEDATOS!$B:$B,BASEDATOS!R:R,0,0,1)</f>
        <v>0</v>
      </c>
      <c r="L1279" s="51">
        <f t="shared" si="1513"/>
        <v>0</v>
      </c>
      <c r="M1279" s="52">
        <f t="shared" si="1514"/>
        <v>0</v>
      </c>
      <c r="N1279" s="51">
        <f t="shared" si="1515"/>
        <v>0</v>
      </c>
      <c r="O1279" s="53" t="str">
        <f t="shared" ref="O1279" si="1570">+O1281</f>
        <v>0-0-0</v>
      </c>
      <c r="P1279" s="54">
        <f>+IF(AND(Y1279="Domingo",U1279=7),_xlfn.XLOOKUP(O1279,'Horarios y Sistemas'!C:C,'Horarios y Sistemas'!H:H,0,0,1),0)</f>
        <v>0</v>
      </c>
      <c r="Q1279" s="54">
        <f>IF(U1279=U1280,0,IF(AVERAGEIF(W:W,W1279,U:U)=U1279,0,_xlfn.XLOOKUP(O1279,'Horarios y Sistemas'!C:C,'Horarios y Sistemas'!H:H,0,0,1)-P1279))/7*U1279</f>
        <v>0</v>
      </c>
      <c r="R1279" s="54">
        <f t="shared" si="1517"/>
        <v>0</v>
      </c>
      <c r="S1279" s="55" t="str">
        <f t="shared" si="1518"/>
        <v>ENERO</v>
      </c>
      <c r="T1279" s="55" t="str">
        <f t="shared" si="1519"/>
        <v>Sem52</v>
      </c>
      <c r="U1279" s="56">
        <f t="shared" si="1501"/>
        <v>196</v>
      </c>
      <c r="V1279" s="59"/>
      <c r="W1279" s="56">
        <f t="shared" si="1520"/>
        <v>52</v>
      </c>
      <c r="X1279" s="56">
        <f t="shared" si="1521"/>
        <v>0</v>
      </c>
      <c r="Y1279" s="56" t="s">
        <v>32</v>
      </c>
      <c r="Z1279" s="56">
        <v>5</v>
      </c>
      <c r="AA1279" s="58">
        <f t="shared" si="1530"/>
        <v>0</v>
      </c>
      <c r="AB1279" s="58">
        <f t="shared" si="1530"/>
        <v>0</v>
      </c>
      <c r="AC1279" s="58">
        <f t="shared" si="1530"/>
        <v>0</v>
      </c>
      <c r="AD1279" s="58">
        <f t="shared" si="1530"/>
        <v>0</v>
      </c>
      <c r="AE1279" s="58">
        <f t="shared" si="1530"/>
        <v>0</v>
      </c>
    </row>
    <row r="1280" spans="2:31">
      <c r="B1280" t="str">
        <f t="shared" si="1508"/>
        <v>Sem5252</v>
      </c>
      <c r="C1280" t="str">
        <f t="shared" si="1509"/>
        <v>ENEROSem52</v>
      </c>
      <c r="D1280" t="str">
        <f t="shared" si="1510"/>
        <v>ENEROSem52</v>
      </c>
      <c r="E1280" t="str">
        <f t="shared" si="1511"/>
        <v>ENEROSem5252</v>
      </c>
      <c r="F1280" t="str">
        <f t="shared" si="1512"/>
        <v/>
      </c>
      <c r="H1280" s="49"/>
      <c r="I1280" s="50">
        <f>+_xlfn.XLOOKUP($H1280&amp;$V1280,BASEDATOS!$B:$B,BASEDATOS!F:F,0,0,1)</f>
        <v>0</v>
      </c>
      <c r="J1280" s="51">
        <f>+_xlfn.XLOOKUP($H1280&amp;$V1280,BASEDATOS!$B:$B,BASEDATOS!Q:Q,0,0,1)</f>
        <v>0</v>
      </c>
      <c r="K1280" s="51">
        <f>+_xlfn.XLOOKUP($H1280&amp;$V1280,BASEDATOS!$B:$B,BASEDATOS!R:R,0,0,1)</f>
        <v>0</v>
      </c>
      <c r="L1280" s="51">
        <f t="shared" si="1513"/>
        <v>0</v>
      </c>
      <c r="M1280" s="52">
        <f t="shared" si="1514"/>
        <v>0</v>
      </c>
      <c r="N1280" s="51">
        <f t="shared" si="1515"/>
        <v>0</v>
      </c>
      <c r="O1280" s="53" t="str">
        <f t="shared" ref="O1280" si="1571">+O1281</f>
        <v>0-0-0</v>
      </c>
      <c r="P1280" s="54">
        <f>+IF(AND(Y1280="Domingo",U1280=7),_xlfn.XLOOKUP(O1280,'Horarios y Sistemas'!C:C,'Horarios y Sistemas'!H:H,0,0,1),0)</f>
        <v>0</v>
      </c>
      <c r="Q1280" s="54">
        <f>IF(U1280=U1281,0,IF(AVERAGEIF(W:W,W1280,U:U)=U1280,0,_xlfn.XLOOKUP(O1280,'Horarios y Sistemas'!C:C,'Horarios y Sistemas'!H:H,0,0,1)-P1280))/7*U1280</f>
        <v>0</v>
      </c>
      <c r="R1280" s="54">
        <f t="shared" si="1517"/>
        <v>0</v>
      </c>
      <c r="S1280" s="55" t="str">
        <f t="shared" si="1518"/>
        <v>ENERO</v>
      </c>
      <c r="T1280" s="55" t="str">
        <f t="shared" si="1519"/>
        <v>Sem52</v>
      </c>
      <c r="U1280" s="56">
        <f t="shared" si="1501"/>
        <v>196</v>
      </c>
      <c r="V1280" s="59"/>
      <c r="W1280" s="56">
        <f t="shared" si="1520"/>
        <v>52</v>
      </c>
      <c r="X1280" s="56">
        <f t="shared" si="1521"/>
        <v>0</v>
      </c>
      <c r="Y1280" s="56" t="s">
        <v>33</v>
      </c>
      <c r="Z1280" s="56">
        <v>6</v>
      </c>
      <c r="AA1280" s="58">
        <f t="shared" si="1530"/>
        <v>0</v>
      </c>
      <c r="AB1280" s="58">
        <f t="shared" si="1530"/>
        <v>0</v>
      </c>
      <c r="AC1280" s="58">
        <f t="shared" si="1530"/>
        <v>0</v>
      </c>
      <c r="AD1280" s="58">
        <f t="shared" si="1530"/>
        <v>0</v>
      </c>
      <c r="AE1280" s="58">
        <f t="shared" si="1530"/>
        <v>0</v>
      </c>
    </row>
    <row r="1281" spans="2:31">
      <c r="B1281" s="60" t="str">
        <f t="shared" si="1508"/>
        <v>Sem5252</v>
      </c>
      <c r="C1281" s="60" t="str">
        <f t="shared" si="1509"/>
        <v>ENEROSem52</v>
      </c>
      <c r="D1281" s="60" t="str">
        <f t="shared" si="1510"/>
        <v>ENEROSem52</v>
      </c>
      <c r="E1281" s="60" t="str">
        <f t="shared" si="1511"/>
        <v>ENEROSem5252</v>
      </c>
      <c r="F1281" s="60" t="str">
        <f t="shared" si="1512"/>
        <v/>
      </c>
      <c r="G1281" s="60"/>
      <c r="H1281" s="61"/>
      <c r="I1281" s="62">
        <f>+_xlfn.XLOOKUP($H1281&amp;$V1281,BASEDATOS!$B:$B,BASEDATOS!F:F,0,0,1)</f>
        <v>0</v>
      </c>
      <c r="J1281" s="63">
        <f>+_xlfn.XLOOKUP($H1281&amp;$V1281,BASEDATOS!$B:$B,BASEDATOS!Q:Q,0,0,1)</f>
        <v>0</v>
      </c>
      <c r="K1281" s="63">
        <f>+_xlfn.XLOOKUP($H1281&amp;$V1281,BASEDATOS!$B:$B,BASEDATOS!R:R,0,0,1)</f>
        <v>0</v>
      </c>
      <c r="L1281" s="63">
        <f t="shared" si="1513"/>
        <v>0</v>
      </c>
      <c r="M1281" s="64">
        <f t="shared" si="1514"/>
        <v>0</v>
      </c>
      <c r="N1281" s="63">
        <f t="shared" si="1515"/>
        <v>0</v>
      </c>
      <c r="O1281" s="65" t="str">
        <f t="shared" ref="O1281" si="1572">+IF(Y1281="Domingo",SUM(AA1275:AA1281)&amp;"-"&amp;SUM(AB1275:AB1281)&amp;"-"&amp;SUM(AC1275:AE1281),"")</f>
        <v>0-0-0</v>
      </c>
      <c r="P1281" s="66">
        <f>+IF(AND(Y1281="Domingo",U1281=7),_xlfn.XLOOKUP(O1281,'Horarios y Sistemas'!C:C,'Horarios y Sistemas'!H:H,0,0,1),0)</f>
        <v>0</v>
      </c>
      <c r="Q1281" s="66">
        <f>IF(U1281=U1282,0,IF(AVERAGEIF(W:W,W1281,U:U)=U1281,0,_xlfn.XLOOKUP(O1281,'Horarios y Sistemas'!C:C,'Horarios y Sistemas'!H:H,0,0,1)-P1281))/7*U1281</f>
        <v>0</v>
      </c>
      <c r="R1281" s="66">
        <f t="shared" si="1517"/>
        <v>0</v>
      </c>
      <c r="S1281" s="67" t="str">
        <f t="shared" si="1518"/>
        <v>ENERO</v>
      </c>
      <c r="T1281" s="55" t="str">
        <f t="shared" si="1519"/>
        <v>Sem52</v>
      </c>
      <c r="U1281" s="68">
        <f t="shared" si="1501"/>
        <v>196</v>
      </c>
      <c r="V1281" s="69"/>
      <c r="W1281" s="68">
        <f t="shared" si="1520"/>
        <v>52</v>
      </c>
      <c r="X1281" s="68">
        <f t="shared" si="1521"/>
        <v>0</v>
      </c>
      <c r="Y1281" s="68" t="s">
        <v>34</v>
      </c>
      <c r="Z1281" s="68">
        <v>7</v>
      </c>
      <c r="AA1281" s="70">
        <f t="shared" si="1530"/>
        <v>0</v>
      </c>
      <c r="AB1281" s="70">
        <f t="shared" si="1530"/>
        <v>0</v>
      </c>
      <c r="AC1281" s="70">
        <f t="shared" si="1530"/>
        <v>0</v>
      </c>
      <c r="AD1281" s="70">
        <f t="shared" si="1530"/>
        <v>0</v>
      </c>
      <c r="AE1281" s="70">
        <f t="shared" si="1530"/>
        <v>0</v>
      </c>
    </row>
    <row r="1282" spans="2:31">
      <c r="B1282" t="str">
        <f t="shared" si="1508"/>
        <v>Sem5252</v>
      </c>
      <c r="C1282" t="str">
        <f t="shared" si="1509"/>
        <v>ENEROSem52</v>
      </c>
      <c r="D1282" t="str">
        <f t="shared" si="1510"/>
        <v>ENEROSem52</v>
      </c>
      <c r="E1282" t="str">
        <f t="shared" si="1511"/>
        <v>ENEROSem5252</v>
      </c>
      <c r="F1282" t="str">
        <f t="shared" si="1512"/>
        <v/>
      </c>
      <c r="H1282" s="49"/>
      <c r="I1282" s="50">
        <f>+_xlfn.XLOOKUP($H1282&amp;$V1282,BASEDATOS!$B:$B,BASEDATOS!F:F,0,0,1)</f>
        <v>0</v>
      </c>
      <c r="J1282" s="51">
        <f>+_xlfn.XLOOKUP($H1282&amp;$V1282,BASEDATOS!$B:$B,BASEDATOS!Q:Q,0,0,1)</f>
        <v>0</v>
      </c>
      <c r="K1282" s="51">
        <f>+_xlfn.XLOOKUP($H1282&amp;$V1282,BASEDATOS!$B:$B,BASEDATOS!R:R,0,0,1)</f>
        <v>0</v>
      </c>
      <c r="L1282" s="51">
        <f t="shared" si="1513"/>
        <v>0</v>
      </c>
      <c r="M1282" s="52">
        <f t="shared" si="1514"/>
        <v>0</v>
      </c>
      <c r="N1282" s="51">
        <f t="shared" si="1515"/>
        <v>0</v>
      </c>
      <c r="O1282" s="53" t="str">
        <f t="shared" ref="O1282" si="1573">+O1288</f>
        <v>0-0-0</v>
      </c>
      <c r="P1282" s="54">
        <f>+IF(AND(Y1282="Domingo",U1282=7),_xlfn.XLOOKUP(O1282,'Horarios y Sistemas'!C:C,'Horarios y Sistemas'!H:H,0,0,1),0)</f>
        <v>0</v>
      </c>
      <c r="Q1282" s="54">
        <f>IF(U1282=U1283,0,IF(AVERAGEIF(W:W,W1282,U:U)=U1282,0,_xlfn.XLOOKUP(O1282,'Horarios y Sistemas'!C:C,'Horarios y Sistemas'!H:H,0,0,1)-P1282))/7*U1282</f>
        <v>0</v>
      </c>
      <c r="R1282" s="54">
        <f t="shared" si="1517"/>
        <v>0</v>
      </c>
      <c r="S1282" s="55" t="str">
        <f t="shared" si="1518"/>
        <v>ENERO</v>
      </c>
      <c r="T1282" s="55" t="str">
        <f t="shared" si="1519"/>
        <v>Sem52</v>
      </c>
      <c r="U1282" s="56">
        <f t="shared" si="1501"/>
        <v>196</v>
      </c>
      <c r="V1282" s="59"/>
      <c r="W1282" s="56">
        <f t="shared" si="1520"/>
        <v>52</v>
      </c>
      <c r="X1282" s="56">
        <f t="shared" si="1521"/>
        <v>0</v>
      </c>
      <c r="Y1282" s="56" t="s">
        <v>28</v>
      </c>
      <c r="Z1282" s="56">
        <v>1</v>
      </c>
      <c r="AA1282" s="58">
        <f t="shared" si="1530"/>
        <v>0</v>
      </c>
      <c r="AB1282" s="58">
        <f t="shared" si="1530"/>
        <v>0</v>
      </c>
      <c r="AC1282" s="58">
        <f t="shared" si="1530"/>
        <v>0</v>
      </c>
      <c r="AD1282" s="58">
        <f t="shared" si="1530"/>
        <v>0</v>
      </c>
      <c r="AE1282" s="58">
        <f t="shared" si="1530"/>
        <v>0</v>
      </c>
    </row>
    <row r="1283" spans="2:31">
      <c r="B1283" t="str">
        <f t="shared" si="1508"/>
        <v>Sem5252</v>
      </c>
      <c r="C1283" t="str">
        <f t="shared" si="1509"/>
        <v>ENEROSem52</v>
      </c>
      <c r="D1283" t="str">
        <f t="shared" si="1510"/>
        <v>ENEROSem52</v>
      </c>
      <c r="E1283" t="str">
        <f t="shared" si="1511"/>
        <v>ENEROSem5252</v>
      </c>
      <c r="F1283" t="str">
        <f t="shared" si="1512"/>
        <v/>
      </c>
      <c r="H1283" s="49"/>
      <c r="I1283" s="50">
        <f>+_xlfn.XLOOKUP($H1283&amp;$V1283,BASEDATOS!$B:$B,BASEDATOS!F:F,0,0,1)</f>
        <v>0</v>
      </c>
      <c r="J1283" s="51">
        <f>+_xlfn.XLOOKUP($H1283&amp;$V1283,BASEDATOS!$B:$B,BASEDATOS!Q:Q,0,0,1)</f>
        <v>0</v>
      </c>
      <c r="K1283" s="51">
        <f>+_xlfn.XLOOKUP($H1283&amp;$V1283,BASEDATOS!$B:$B,BASEDATOS!R:R,0,0,1)</f>
        <v>0</v>
      </c>
      <c r="L1283" s="51">
        <f t="shared" si="1513"/>
        <v>0</v>
      </c>
      <c r="M1283" s="52">
        <f t="shared" si="1514"/>
        <v>0</v>
      </c>
      <c r="N1283" s="51">
        <f t="shared" si="1515"/>
        <v>0</v>
      </c>
      <c r="O1283" s="53" t="str">
        <f t="shared" ref="O1283" si="1574">+O1288</f>
        <v>0-0-0</v>
      </c>
      <c r="P1283" s="54">
        <f>+IF(AND(Y1283="Domingo",U1283=7),_xlfn.XLOOKUP(O1283,'Horarios y Sistemas'!C:C,'Horarios y Sistemas'!H:H,0,0,1),0)</f>
        <v>0</v>
      </c>
      <c r="Q1283" s="54">
        <f>IF(U1283=U1284,0,IF(AVERAGEIF(W:W,W1283,U:U)=U1283,0,_xlfn.XLOOKUP(O1283,'Horarios y Sistemas'!C:C,'Horarios y Sistemas'!H:H,0,0,1)-P1283))/7*U1283</f>
        <v>0</v>
      </c>
      <c r="R1283" s="54">
        <f t="shared" si="1517"/>
        <v>0</v>
      </c>
      <c r="S1283" s="55" t="str">
        <f t="shared" si="1518"/>
        <v>ENERO</v>
      </c>
      <c r="T1283" s="55" t="str">
        <f t="shared" si="1519"/>
        <v>Sem52</v>
      </c>
      <c r="U1283" s="56">
        <f t="shared" si="1501"/>
        <v>196</v>
      </c>
      <c r="V1283" s="59"/>
      <c r="W1283" s="56">
        <f t="shared" si="1520"/>
        <v>52</v>
      </c>
      <c r="X1283" s="56">
        <f t="shared" si="1521"/>
        <v>0</v>
      </c>
      <c r="Y1283" s="56" t="s">
        <v>29</v>
      </c>
      <c r="Z1283" s="56">
        <v>2</v>
      </c>
      <c r="AA1283" s="58">
        <f t="shared" si="1530"/>
        <v>0</v>
      </c>
      <c r="AB1283" s="58">
        <f t="shared" si="1530"/>
        <v>0</v>
      </c>
      <c r="AC1283" s="58">
        <f t="shared" si="1530"/>
        <v>0</v>
      </c>
      <c r="AD1283" s="58">
        <f t="shared" si="1530"/>
        <v>0</v>
      </c>
      <c r="AE1283" s="58">
        <f t="shared" si="1530"/>
        <v>0</v>
      </c>
    </row>
    <row r="1284" spans="2:31">
      <c r="B1284" t="str">
        <f t="shared" si="1508"/>
        <v>Sem5252</v>
      </c>
      <c r="C1284" t="str">
        <f t="shared" si="1509"/>
        <v>ENEROSem52</v>
      </c>
      <c r="D1284" t="str">
        <f t="shared" si="1510"/>
        <v>ENEROSem52</v>
      </c>
      <c r="E1284" t="str">
        <f t="shared" si="1511"/>
        <v>ENEROSem5252</v>
      </c>
      <c r="F1284" t="str">
        <f t="shared" si="1512"/>
        <v/>
      </c>
      <c r="H1284" s="49"/>
      <c r="I1284" s="50">
        <f>+_xlfn.XLOOKUP($H1284&amp;$V1284,BASEDATOS!$B:$B,BASEDATOS!F:F,0,0,1)</f>
        <v>0</v>
      </c>
      <c r="J1284" s="51">
        <f>+_xlfn.XLOOKUP($H1284&amp;$V1284,BASEDATOS!$B:$B,BASEDATOS!Q:Q,0,0,1)</f>
        <v>0</v>
      </c>
      <c r="K1284" s="51">
        <f>+_xlfn.XLOOKUP($H1284&amp;$V1284,BASEDATOS!$B:$B,BASEDATOS!R:R,0,0,1)</f>
        <v>0</v>
      </c>
      <c r="L1284" s="51">
        <f t="shared" si="1513"/>
        <v>0</v>
      </c>
      <c r="M1284" s="52">
        <f t="shared" si="1514"/>
        <v>0</v>
      </c>
      <c r="N1284" s="51">
        <f t="shared" si="1515"/>
        <v>0</v>
      </c>
      <c r="O1284" s="53" t="str">
        <f t="shared" ref="O1284" si="1575">+O1288</f>
        <v>0-0-0</v>
      </c>
      <c r="P1284" s="54">
        <f>+IF(AND(Y1284="Domingo",U1284=7),_xlfn.XLOOKUP(O1284,'Horarios y Sistemas'!C:C,'Horarios y Sistemas'!H:H,0,0,1),0)</f>
        <v>0</v>
      </c>
      <c r="Q1284" s="54">
        <f>IF(U1284=U1285,0,IF(AVERAGEIF(W:W,W1284,U:U)=U1284,0,_xlfn.XLOOKUP(O1284,'Horarios y Sistemas'!C:C,'Horarios y Sistemas'!H:H,0,0,1)-P1284))/7*U1284</f>
        <v>0</v>
      </c>
      <c r="R1284" s="54">
        <f t="shared" si="1517"/>
        <v>0</v>
      </c>
      <c r="S1284" s="55" t="str">
        <f t="shared" si="1518"/>
        <v>ENERO</v>
      </c>
      <c r="T1284" s="55" t="str">
        <f t="shared" si="1519"/>
        <v>Sem52</v>
      </c>
      <c r="U1284" s="56">
        <f t="shared" si="1501"/>
        <v>196</v>
      </c>
      <c r="V1284" s="59"/>
      <c r="W1284" s="56">
        <f t="shared" si="1520"/>
        <v>52</v>
      </c>
      <c r="X1284" s="56">
        <f t="shared" si="1521"/>
        <v>0</v>
      </c>
      <c r="Y1284" s="56" t="s">
        <v>30</v>
      </c>
      <c r="Z1284" s="56">
        <v>3</v>
      </c>
      <c r="AA1284" s="58">
        <f t="shared" si="1530"/>
        <v>0</v>
      </c>
      <c r="AB1284" s="58">
        <f t="shared" si="1530"/>
        <v>0</v>
      </c>
      <c r="AC1284" s="58">
        <f t="shared" si="1530"/>
        <v>0</v>
      </c>
      <c r="AD1284" s="58">
        <f t="shared" si="1530"/>
        <v>0</v>
      </c>
      <c r="AE1284" s="58">
        <f t="shared" si="1530"/>
        <v>0</v>
      </c>
    </row>
    <row r="1285" spans="2:31">
      <c r="B1285" t="str">
        <f t="shared" si="1508"/>
        <v>Sem5252</v>
      </c>
      <c r="C1285" t="str">
        <f t="shared" si="1509"/>
        <v>ENEROSem52</v>
      </c>
      <c r="D1285" t="str">
        <f t="shared" si="1510"/>
        <v>ENEROSem52</v>
      </c>
      <c r="E1285" t="str">
        <f t="shared" si="1511"/>
        <v>ENEROSem5252</v>
      </c>
      <c r="F1285" t="str">
        <f t="shared" si="1512"/>
        <v/>
      </c>
      <c r="H1285" s="49"/>
      <c r="I1285" s="50">
        <f>+_xlfn.XLOOKUP($H1285&amp;$V1285,BASEDATOS!$B:$B,BASEDATOS!F:F,0,0,1)</f>
        <v>0</v>
      </c>
      <c r="J1285" s="51">
        <f>+_xlfn.XLOOKUP($H1285&amp;$V1285,BASEDATOS!$B:$B,BASEDATOS!Q:Q,0,0,1)</f>
        <v>0</v>
      </c>
      <c r="K1285" s="51">
        <f>+_xlfn.XLOOKUP($H1285&amp;$V1285,BASEDATOS!$B:$B,BASEDATOS!R:R,0,0,1)</f>
        <v>0</v>
      </c>
      <c r="L1285" s="51">
        <f t="shared" si="1513"/>
        <v>0</v>
      </c>
      <c r="M1285" s="52">
        <f t="shared" si="1514"/>
        <v>0</v>
      </c>
      <c r="N1285" s="51">
        <f t="shared" si="1515"/>
        <v>0</v>
      </c>
      <c r="O1285" s="53" t="str">
        <f t="shared" ref="O1285" si="1576">+O1288</f>
        <v>0-0-0</v>
      </c>
      <c r="P1285" s="54">
        <f>+IF(AND(Y1285="Domingo",U1285=7),_xlfn.XLOOKUP(O1285,'Horarios y Sistemas'!C:C,'Horarios y Sistemas'!H:H,0,0,1),0)</f>
        <v>0</v>
      </c>
      <c r="Q1285" s="54">
        <f>IF(U1285=U1286,0,IF(AVERAGEIF(W:W,W1285,U:U)=U1285,0,_xlfn.XLOOKUP(O1285,'Horarios y Sistemas'!C:C,'Horarios y Sistemas'!H:H,0,0,1)-P1285))/7*U1285</f>
        <v>0</v>
      </c>
      <c r="R1285" s="54">
        <f t="shared" si="1517"/>
        <v>0</v>
      </c>
      <c r="S1285" s="55" t="str">
        <f t="shared" si="1518"/>
        <v>ENERO</v>
      </c>
      <c r="T1285" s="55" t="str">
        <f t="shared" si="1519"/>
        <v>Sem52</v>
      </c>
      <c r="U1285" s="56">
        <f t="shared" si="1501"/>
        <v>196</v>
      </c>
      <c r="V1285" s="59"/>
      <c r="W1285" s="56">
        <f t="shared" si="1520"/>
        <v>52</v>
      </c>
      <c r="X1285" s="56">
        <f t="shared" si="1521"/>
        <v>0</v>
      </c>
      <c r="Y1285" s="56" t="s">
        <v>31</v>
      </c>
      <c r="Z1285" s="56">
        <v>4</v>
      </c>
      <c r="AA1285" s="58">
        <f t="shared" si="1530"/>
        <v>0</v>
      </c>
      <c r="AB1285" s="58">
        <f t="shared" si="1530"/>
        <v>0</v>
      </c>
      <c r="AC1285" s="58">
        <f t="shared" si="1530"/>
        <v>0</v>
      </c>
      <c r="AD1285" s="58">
        <f t="shared" si="1530"/>
        <v>0</v>
      </c>
      <c r="AE1285" s="58">
        <f t="shared" si="1530"/>
        <v>0</v>
      </c>
    </row>
    <row r="1286" spans="2:31">
      <c r="B1286" t="str">
        <f t="shared" si="1508"/>
        <v>Sem5252</v>
      </c>
      <c r="C1286" t="str">
        <f t="shared" si="1509"/>
        <v>ENEROSem52</v>
      </c>
      <c r="D1286" t="str">
        <f t="shared" si="1510"/>
        <v>ENEROSem52</v>
      </c>
      <c r="E1286" t="str">
        <f t="shared" si="1511"/>
        <v>ENEROSem5252</v>
      </c>
      <c r="F1286" t="str">
        <f t="shared" si="1512"/>
        <v/>
      </c>
      <c r="H1286" s="49"/>
      <c r="I1286" s="50">
        <f>+_xlfn.XLOOKUP($H1286&amp;$V1286,BASEDATOS!$B:$B,BASEDATOS!F:F,0,0,1)</f>
        <v>0</v>
      </c>
      <c r="J1286" s="51">
        <f>+_xlfn.XLOOKUP($H1286&amp;$V1286,BASEDATOS!$B:$B,BASEDATOS!Q:Q,0,0,1)</f>
        <v>0</v>
      </c>
      <c r="K1286" s="51">
        <f>+_xlfn.XLOOKUP($H1286&amp;$V1286,BASEDATOS!$B:$B,BASEDATOS!R:R,0,0,1)</f>
        <v>0</v>
      </c>
      <c r="L1286" s="51">
        <f t="shared" si="1513"/>
        <v>0</v>
      </c>
      <c r="M1286" s="52">
        <f t="shared" si="1514"/>
        <v>0</v>
      </c>
      <c r="N1286" s="51">
        <f t="shared" si="1515"/>
        <v>0</v>
      </c>
      <c r="O1286" s="53" t="str">
        <f t="shared" ref="O1286" si="1577">+O1288</f>
        <v>0-0-0</v>
      </c>
      <c r="P1286" s="54">
        <f>+IF(AND(Y1286="Domingo",U1286=7),_xlfn.XLOOKUP(O1286,'Horarios y Sistemas'!C:C,'Horarios y Sistemas'!H:H,0,0,1),0)</f>
        <v>0</v>
      </c>
      <c r="Q1286" s="54">
        <f>IF(U1286=U1287,0,IF(AVERAGEIF(W:W,W1286,U:U)=U1286,0,_xlfn.XLOOKUP(O1286,'Horarios y Sistemas'!C:C,'Horarios y Sistemas'!H:H,0,0,1)-P1286))/7*U1286</f>
        <v>0</v>
      </c>
      <c r="R1286" s="54">
        <f t="shared" si="1517"/>
        <v>0</v>
      </c>
      <c r="S1286" s="55" t="str">
        <f t="shared" si="1518"/>
        <v>ENERO</v>
      </c>
      <c r="T1286" s="55" t="str">
        <f t="shared" si="1519"/>
        <v>Sem52</v>
      </c>
      <c r="U1286" s="56">
        <f t="shared" si="1501"/>
        <v>196</v>
      </c>
      <c r="V1286" s="59"/>
      <c r="W1286" s="56">
        <f t="shared" si="1520"/>
        <v>52</v>
      </c>
      <c r="X1286" s="56">
        <f t="shared" si="1521"/>
        <v>0</v>
      </c>
      <c r="Y1286" s="56" t="s">
        <v>32</v>
      </c>
      <c r="Z1286" s="56">
        <v>5</v>
      </c>
      <c r="AA1286" s="58">
        <f t="shared" si="1530"/>
        <v>0</v>
      </c>
      <c r="AB1286" s="58">
        <f t="shared" si="1530"/>
        <v>0</v>
      </c>
      <c r="AC1286" s="58">
        <f t="shared" si="1530"/>
        <v>0</v>
      </c>
      <c r="AD1286" s="58">
        <f t="shared" si="1530"/>
        <v>0</v>
      </c>
      <c r="AE1286" s="58">
        <f t="shared" si="1530"/>
        <v>0</v>
      </c>
    </row>
    <row r="1287" spans="2:31">
      <c r="B1287" t="str">
        <f t="shared" si="1508"/>
        <v>Sem5252</v>
      </c>
      <c r="C1287" t="str">
        <f t="shared" si="1509"/>
        <v>ENEROSem52</v>
      </c>
      <c r="D1287" t="str">
        <f t="shared" si="1510"/>
        <v>ENEROSem52</v>
      </c>
      <c r="E1287" t="str">
        <f t="shared" si="1511"/>
        <v>ENEROSem5252</v>
      </c>
      <c r="F1287" t="str">
        <f t="shared" si="1512"/>
        <v/>
      </c>
      <c r="H1287" s="49"/>
      <c r="I1287" s="50">
        <f>+_xlfn.XLOOKUP($H1287&amp;$V1287,BASEDATOS!$B:$B,BASEDATOS!F:F,0,0,1)</f>
        <v>0</v>
      </c>
      <c r="J1287" s="51">
        <f>+_xlfn.XLOOKUP($H1287&amp;$V1287,BASEDATOS!$B:$B,BASEDATOS!Q:Q,0,0,1)</f>
        <v>0</v>
      </c>
      <c r="K1287" s="51">
        <f>+_xlfn.XLOOKUP($H1287&amp;$V1287,BASEDATOS!$B:$B,BASEDATOS!R:R,0,0,1)</f>
        <v>0</v>
      </c>
      <c r="L1287" s="51">
        <f t="shared" si="1513"/>
        <v>0</v>
      </c>
      <c r="M1287" s="52">
        <f t="shared" si="1514"/>
        <v>0</v>
      </c>
      <c r="N1287" s="51">
        <f t="shared" si="1515"/>
        <v>0</v>
      </c>
      <c r="O1287" s="53" t="str">
        <f t="shared" ref="O1287" si="1578">+O1288</f>
        <v>0-0-0</v>
      </c>
      <c r="P1287" s="54">
        <f>+IF(AND(Y1287="Domingo",U1287=7),_xlfn.XLOOKUP(O1287,'Horarios y Sistemas'!C:C,'Horarios y Sistemas'!H:H,0,0,1),0)</f>
        <v>0</v>
      </c>
      <c r="Q1287" s="54">
        <f>IF(U1287=U1288,0,IF(AVERAGEIF(W:W,W1287,U:U)=U1287,0,_xlfn.XLOOKUP(O1287,'Horarios y Sistemas'!C:C,'Horarios y Sistemas'!H:H,0,0,1)-P1287))/7*U1287</f>
        <v>0</v>
      </c>
      <c r="R1287" s="54">
        <f t="shared" si="1517"/>
        <v>0</v>
      </c>
      <c r="S1287" s="55" t="str">
        <f t="shared" si="1518"/>
        <v>ENERO</v>
      </c>
      <c r="T1287" s="55" t="str">
        <f t="shared" si="1519"/>
        <v>Sem52</v>
      </c>
      <c r="U1287" s="56">
        <f t="shared" si="1501"/>
        <v>196</v>
      </c>
      <c r="V1287" s="59"/>
      <c r="W1287" s="56">
        <f t="shared" si="1520"/>
        <v>52</v>
      </c>
      <c r="X1287" s="56">
        <f t="shared" si="1521"/>
        <v>0</v>
      </c>
      <c r="Y1287" s="56" t="s">
        <v>33</v>
      </c>
      <c r="Z1287" s="56">
        <v>6</v>
      </c>
      <c r="AA1287" s="58">
        <f t="shared" si="1530"/>
        <v>0</v>
      </c>
      <c r="AB1287" s="58">
        <f t="shared" si="1530"/>
        <v>0</v>
      </c>
      <c r="AC1287" s="58">
        <f t="shared" si="1530"/>
        <v>0</v>
      </c>
      <c r="AD1287" s="58">
        <f t="shared" si="1530"/>
        <v>0</v>
      </c>
      <c r="AE1287" s="58">
        <f t="shared" si="1530"/>
        <v>0</v>
      </c>
    </row>
    <row r="1288" spans="2:31">
      <c r="B1288" s="60" t="str">
        <f t="shared" si="1508"/>
        <v>Sem5252</v>
      </c>
      <c r="C1288" s="60" t="str">
        <f t="shared" si="1509"/>
        <v>ENEROSem52</v>
      </c>
      <c r="D1288" s="60" t="str">
        <f t="shared" si="1510"/>
        <v>ENEROSem52</v>
      </c>
      <c r="E1288" s="60" t="str">
        <f t="shared" si="1511"/>
        <v>ENEROSem5252</v>
      </c>
      <c r="F1288" s="60" t="str">
        <f t="shared" si="1512"/>
        <v/>
      </c>
      <c r="G1288" s="60"/>
      <c r="H1288" s="61"/>
      <c r="I1288" s="62">
        <f>+_xlfn.XLOOKUP($H1288&amp;$V1288,BASEDATOS!$B:$B,BASEDATOS!F:F,0,0,1)</f>
        <v>0</v>
      </c>
      <c r="J1288" s="63">
        <f>+_xlfn.XLOOKUP($H1288&amp;$V1288,BASEDATOS!$B:$B,BASEDATOS!Q:Q,0,0,1)</f>
        <v>0</v>
      </c>
      <c r="K1288" s="63">
        <f>+_xlfn.XLOOKUP($H1288&amp;$V1288,BASEDATOS!$B:$B,BASEDATOS!R:R,0,0,1)</f>
        <v>0</v>
      </c>
      <c r="L1288" s="63">
        <f t="shared" si="1513"/>
        <v>0</v>
      </c>
      <c r="M1288" s="64">
        <f t="shared" si="1514"/>
        <v>0</v>
      </c>
      <c r="N1288" s="63">
        <f t="shared" si="1515"/>
        <v>0</v>
      </c>
      <c r="O1288" s="65" t="str">
        <f t="shared" ref="O1288" si="1579">+IF(Y1288="Domingo",SUM(AA1282:AA1288)&amp;"-"&amp;SUM(AB1282:AB1288)&amp;"-"&amp;SUM(AC1282:AE1288),"")</f>
        <v>0-0-0</v>
      </c>
      <c r="P1288" s="66">
        <f>+IF(AND(Y1288="Domingo",U1288=7),_xlfn.XLOOKUP(O1288,'Horarios y Sistemas'!C:C,'Horarios y Sistemas'!H:H,0,0,1),0)</f>
        <v>0</v>
      </c>
      <c r="Q1288" s="66">
        <f>IF(U1288=U1289,0,IF(AVERAGEIF(W:W,W1288,U:U)=U1288,0,_xlfn.XLOOKUP(O1288,'Horarios y Sistemas'!C:C,'Horarios y Sistemas'!H:H,0,0,1)-P1288))/7*U1288</f>
        <v>0</v>
      </c>
      <c r="R1288" s="66">
        <f t="shared" si="1517"/>
        <v>0</v>
      </c>
      <c r="S1288" s="67" t="str">
        <f t="shared" si="1518"/>
        <v>ENERO</v>
      </c>
      <c r="T1288" s="55" t="str">
        <f t="shared" si="1519"/>
        <v>Sem52</v>
      </c>
      <c r="U1288" s="68">
        <f t="shared" ref="U1288:U1351" si="1580">+COUNTIF(B:B,B1288)</f>
        <v>196</v>
      </c>
      <c r="V1288" s="69"/>
      <c r="W1288" s="68">
        <f t="shared" si="1520"/>
        <v>52</v>
      </c>
      <c r="X1288" s="68">
        <f t="shared" si="1521"/>
        <v>0</v>
      </c>
      <c r="Y1288" s="68" t="s">
        <v>34</v>
      </c>
      <c r="Z1288" s="68">
        <v>7</v>
      </c>
      <c r="AA1288" s="70">
        <f t="shared" si="1530"/>
        <v>0</v>
      </c>
      <c r="AB1288" s="70">
        <f t="shared" si="1530"/>
        <v>0</v>
      </c>
      <c r="AC1288" s="70">
        <f t="shared" si="1530"/>
        <v>0</v>
      </c>
      <c r="AD1288" s="70">
        <f t="shared" si="1530"/>
        <v>0</v>
      </c>
      <c r="AE1288" s="70">
        <f t="shared" si="1530"/>
        <v>0</v>
      </c>
    </row>
    <row r="1289" spans="2:31">
      <c r="B1289" t="str">
        <f t="shared" si="1508"/>
        <v>Sem5252</v>
      </c>
      <c r="C1289" t="str">
        <f t="shared" si="1509"/>
        <v>ENEROSem52</v>
      </c>
      <c r="D1289" t="str">
        <f t="shared" si="1510"/>
        <v>ENEROSem52</v>
      </c>
      <c r="E1289" t="str">
        <f t="shared" si="1511"/>
        <v>ENEROSem5252</v>
      </c>
      <c r="F1289" t="str">
        <f t="shared" si="1512"/>
        <v/>
      </c>
      <c r="H1289" s="49"/>
      <c r="I1289" s="50">
        <f>+_xlfn.XLOOKUP($H1289&amp;$V1289,BASEDATOS!$B:$B,BASEDATOS!F:F,0,0,1)</f>
        <v>0</v>
      </c>
      <c r="J1289" s="51">
        <f>+_xlfn.XLOOKUP($H1289&amp;$V1289,BASEDATOS!$B:$B,BASEDATOS!Q:Q,0,0,1)</f>
        <v>0</v>
      </c>
      <c r="K1289" s="51">
        <f>+_xlfn.XLOOKUP($H1289&amp;$V1289,BASEDATOS!$B:$B,BASEDATOS!R:R,0,0,1)</f>
        <v>0</v>
      </c>
      <c r="L1289" s="51">
        <f t="shared" si="1513"/>
        <v>0</v>
      </c>
      <c r="M1289" s="52">
        <f t="shared" si="1514"/>
        <v>0</v>
      </c>
      <c r="N1289" s="51">
        <f t="shared" si="1515"/>
        <v>0</v>
      </c>
      <c r="O1289" s="53" t="str">
        <f t="shared" ref="O1289" si="1581">+O1295</f>
        <v>0-0-0</v>
      </c>
      <c r="P1289" s="54">
        <f>+IF(AND(Y1289="Domingo",U1289=7),_xlfn.XLOOKUP(O1289,'Horarios y Sistemas'!C:C,'Horarios y Sistemas'!H:H,0,0,1),0)</f>
        <v>0</v>
      </c>
      <c r="Q1289" s="54">
        <f>IF(U1289=U1290,0,IF(AVERAGEIF(W:W,W1289,U:U)=U1289,0,_xlfn.XLOOKUP(O1289,'Horarios y Sistemas'!C:C,'Horarios y Sistemas'!H:H,0,0,1)-P1289))/7*U1289</f>
        <v>0</v>
      </c>
      <c r="R1289" s="54">
        <f t="shared" si="1517"/>
        <v>0</v>
      </c>
      <c r="S1289" s="55" t="str">
        <f t="shared" si="1518"/>
        <v>ENERO</v>
      </c>
      <c r="T1289" s="55" t="str">
        <f t="shared" si="1519"/>
        <v>Sem52</v>
      </c>
      <c r="U1289" s="56">
        <f t="shared" si="1580"/>
        <v>196</v>
      </c>
      <c r="V1289" s="59"/>
      <c r="W1289" s="56">
        <f t="shared" si="1520"/>
        <v>52</v>
      </c>
      <c r="X1289" s="56">
        <f t="shared" si="1521"/>
        <v>0</v>
      </c>
      <c r="Y1289" s="56" t="s">
        <v>28</v>
      </c>
      <c r="Z1289" s="56">
        <v>1</v>
      </c>
      <c r="AA1289" s="58">
        <f t="shared" si="1530"/>
        <v>0</v>
      </c>
      <c r="AB1289" s="58">
        <f t="shared" si="1530"/>
        <v>0</v>
      </c>
      <c r="AC1289" s="58">
        <f t="shared" si="1530"/>
        <v>0</v>
      </c>
      <c r="AD1289" s="58">
        <f t="shared" si="1530"/>
        <v>0</v>
      </c>
      <c r="AE1289" s="58">
        <f t="shared" si="1530"/>
        <v>0</v>
      </c>
    </row>
    <row r="1290" spans="2:31">
      <c r="B1290" t="str">
        <f t="shared" si="1508"/>
        <v>Sem5252</v>
      </c>
      <c r="C1290" t="str">
        <f t="shared" si="1509"/>
        <v>ENEROSem52</v>
      </c>
      <c r="D1290" t="str">
        <f t="shared" si="1510"/>
        <v>ENEROSem52</v>
      </c>
      <c r="E1290" t="str">
        <f t="shared" si="1511"/>
        <v>ENEROSem5252</v>
      </c>
      <c r="F1290" t="str">
        <f t="shared" si="1512"/>
        <v/>
      </c>
      <c r="H1290" s="49"/>
      <c r="I1290" s="50">
        <f>+_xlfn.XLOOKUP($H1290&amp;$V1290,BASEDATOS!$B:$B,BASEDATOS!F:F,0,0,1)</f>
        <v>0</v>
      </c>
      <c r="J1290" s="51">
        <f>+_xlfn.XLOOKUP($H1290&amp;$V1290,BASEDATOS!$B:$B,BASEDATOS!Q:Q,0,0,1)</f>
        <v>0</v>
      </c>
      <c r="K1290" s="51">
        <f>+_xlfn.XLOOKUP($H1290&amp;$V1290,BASEDATOS!$B:$B,BASEDATOS!R:R,0,0,1)</f>
        <v>0</v>
      </c>
      <c r="L1290" s="51">
        <f t="shared" si="1513"/>
        <v>0</v>
      </c>
      <c r="M1290" s="52">
        <f t="shared" si="1514"/>
        <v>0</v>
      </c>
      <c r="N1290" s="51">
        <f t="shared" si="1515"/>
        <v>0</v>
      </c>
      <c r="O1290" s="53" t="str">
        <f t="shared" ref="O1290" si="1582">+O1295</f>
        <v>0-0-0</v>
      </c>
      <c r="P1290" s="54">
        <f>+IF(AND(Y1290="Domingo",U1290=7),_xlfn.XLOOKUP(O1290,'Horarios y Sistemas'!C:C,'Horarios y Sistemas'!H:H,0,0,1),0)</f>
        <v>0</v>
      </c>
      <c r="Q1290" s="54">
        <f>IF(U1290=U1291,0,IF(AVERAGEIF(W:W,W1290,U:U)=U1290,0,_xlfn.XLOOKUP(O1290,'Horarios y Sistemas'!C:C,'Horarios y Sistemas'!H:H,0,0,1)-P1290))/7*U1290</f>
        <v>0</v>
      </c>
      <c r="R1290" s="54">
        <f t="shared" si="1517"/>
        <v>0</v>
      </c>
      <c r="S1290" s="55" t="str">
        <f t="shared" si="1518"/>
        <v>ENERO</v>
      </c>
      <c r="T1290" s="55" t="str">
        <f t="shared" si="1519"/>
        <v>Sem52</v>
      </c>
      <c r="U1290" s="56">
        <f t="shared" si="1580"/>
        <v>196</v>
      </c>
      <c r="V1290" s="59"/>
      <c r="W1290" s="56">
        <f t="shared" si="1520"/>
        <v>52</v>
      </c>
      <c r="X1290" s="56">
        <f t="shared" si="1521"/>
        <v>0</v>
      </c>
      <c r="Y1290" s="56" t="s">
        <v>29</v>
      </c>
      <c r="Z1290" s="56">
        <v>2</v>
      </c>
      <c r="AA1290" s="58">
        <f t="shared" ref="AA1290:AE1340" si="1583">+IF($I1290=AA$7,1,0)</f>
        <v>0</v>
      </c>
      <c r="AB1290" s="58">
        <f t="shared" si="1583"/>
        <v>0</v>
      </c>
      <c r="AC1290" s="58">
        <f t="shared" si="1583"/>
        <v>0</v>
      </c>
      <c r="AD1290" s="58">
        <f t="shared" si="1583"/>
        <v>0</v>
      </c>
      <c r="AE1290" s="58">
        <f t="shared" si="1583"/>
        <v>0</v>
      </c>
    </row>
    <row r="1291" spans="2:31">
      <c r="B1291" t="str">
        <f t="shared" si="1508"/>
        <v>Sem5252</v>
      </c>
      <c r="C1291" t="str">
        <f t="shared" si="1509"/>
        <v>ENEROSem52</v>
      </c>
      <c r="D1291" t="str">
        <f t="shared" si="1510"/>
        <v>ENEROSem52</v>
      </c>
      <c r="E1291" t="str">
        <f t="shared" si="1511"/>
        <v>ENEROSem5252</v>
      </c>
      <c r="F1291" t="str">
        <f t="shared" si="1512"/>
        <v/>
      </c>
      <c r="H1291" s="49"/>
      <c r="I1291" s="50">
        <f>+_xlfn.XLOOKUP($H1291&amp;$V1291,BASEDATOS!$B:$B,BASEDATOS!F:F,0,0,1)</f>
        <v>0</v>
      </c>
      <c r="J1291" s="51">
        <f>+_xlfn.XLOOKUP($H1291&amp;$V1291,BASEDATOS!$B:$B,BASEDATOS!Q:Q,0,0,1)</f>
        <v>0</v>
      </c>
      <c r="K1291" s="51">
        <f>+_xlfn.XLOOKUP($H1291&amp;$V1291,BASEDATOS!$B:$B,BASEDATOS!R:R,0,0,1)</f>
        <v>0</v>
      </c>
      <c r="L1291" s="51">
        <f t="shared" si="1513"/>
        <v>0</v>
      </c>
      <c r="M1291" s="52">
        <f t="shared" si="1514"/>
        <v>0</v>
      </c>
      <c r="N1291" s="51">
        <f t="shared" si="1515"/>
        <v>0</v>
      </c>
      <c r="O1291" s="53" t="str">
        <f t="shared" ref="O1291" si="1584">+O1295</f>
        <v>0-0-0</v>
      </c>
      <c r="P1291" s="54">
        <f>+IF(AND(Y1291="Domingo",U1291=7),_xlfn.XLOOKUP(O1291,'Horarios y Sistemas'!C:C,'Horarios y Sistemas'!H:H,0,0,1),0)</f>
        <v>0</v>
      </c>
      <c r="Q1291" s="54">
        <f>IF(U1291=U1292,0,IF(AVERAGEIF(W:W,W1291,U:U)=U1291,0,_xlfn.XLOOKUP(O1291,'Horarios y Sistemas'!C:C,'Horarios y Sistemas'!H:H,0,0,1)-P1291))/7*U1291</f>
        <v>0</v>
      </c>
      <c r="R1291" s="54">
        <f t="shared" si="1517"/>
        <v>0</v>
      </c>
      <c r="S1291" s="55" t="str">
        <f t="shared" si="1518"/>
        <v>ENERO</v>
      </c>
      <c r="T1291" s="55" t="str">
        <f t="shared" si="1519"/>
        <v>Sem52</v>
      </c>
      <c r="U1291" s="56">
        <f t="shared" si="1580"/>
        <v>196</v>
      </c>
      <c r="V1291" s="59"/>
      <c r="W1291" s="56">
        <f t="shared" si="1520"/>
        <v>52</v>
      </c>
      <c r="X1291" s="56">
        <f t="shared" si="1521"/>
        <v>0</v>
      </c>
      <c r="Y1291" s="56" t="s">
        <v>30</v>
      </c>
      <c r="Z1291" s="56">
        <v>3</v>
      </c>
      <c r="AA1291" s="58">
        <f t="shared" si="1583"/>
        <v>0</v>
      </c>
      <c r="AB1291" s="58">
        <f t="shared" si="1583"/>
        <v>0</v>
      </c>
      <c r="AC1291" s="58">
        <f t="shared" si="1583"/>
        <v>0</v>
      </c>
      <c r="AD1291" s="58">
        <f t="shared" si="1583"/>
        <v>0</v>
      </c>
      <c r="AE1291" s="58">
        <f t="shared" si="1583"/>
        <v>0</v>
      </c>
    </row>
    <row r="1292" spans="2:31">
      <c r="B1292" t="str">
        <f t="shared" si="1508"/>
        <v>Sem5252</v>
      </c>
      <c r="C1292" t="str">
        <f t="shared" si="1509"/>
        <v>ENEROSem52</v>
      </c>
      <c r="D1292" t="str">
        <f t="shared" si="1510"/>
        <v>ENEROSem52</v>
      </c>
      <c r="E1292" t="str">
        <f t="shared" si="1511"/>
        <v>ENEROSem5252</v>
      </c>
      <c r="F1292" t="str">
        <f t="shared" si="1512"/>
        <v/>
      </c>
      <c r="H1292" s="49"/>
      <c r="I1292" s="50">
        <f>+_xlfn.XLOOKUP($H1292&amp;$V1292,BASEDATOS!$B:$B,BASEDATOS!F:F,0,0,1)</f>
        <v>0</v>
      </c>
      <c r="J1292" s="51">
        <f>+_xlfn.XLOOKUP($H1292&amp;$V1292,BASEDATOS!$B:$B,BASEDATOS!Q:Q,0,0,1)</f>
        <v>0</v>
      </c>
      <c r="K1292" s="51">
        <f>+_xlfn.XLOOKUP($H1292&amp;$V1292,BASEDATOS!$B:$B,BASEDATOS!R:R,0,0,1)</f>
        <v>0</v>
      </c>
      <c r="L1292" s="51">
        <f t="shared" si="1513"/>
        <v>0</v>
      </c>
      <c r="M1292" s="52">
        <f t="shared" si="1514"/>
        <v>0</v>
      </c>
      <c r="N1292" s="51">
        <f t="shared" si="1515"/>
        <v>0</v>
      </c>
      <c r="O1292" s="53" t="str">
        <f t="shared" ref="O1292" si="1585">+O1295</f>
        <v>0-0-0</v>
      </c>
      <c r="P1292" s="54">
        <f>+IF(AND(Y1292="Domingo",U1292=7),_xlfn.XLOOKUP(O1292,'Horarios y Sistemas'!C:C,'Horarios y Sistemas'!H:H,0,0,1),0)</f>
        <v>0</v>
      </c>
      <c r="Q1292" s="54">
        <f>IF(U1292=U1293,0,IF(AVERAGEIF(W:W,W1292,U:U)=U1292,0,_xlfn.XLOOKUP(O1292,'Horarios y Sistemas'!C:C,'Horarios y Sistemas'!H:H,0,0,1)-P1292))/7*U1292</f>
        <v>0</v>
      </c>
      <c r="R1292" s="54">
        <f t="shared" si="1517"/>
        <v>0</v>
      </c>
      <c r="S1292" s="55" t="str">
        <f t="shared" si="1518"/>
        <v>ENERO</v>
      </c>
      <c r="T1292" s="55" t="str">
        <f t="shared" si="1519"/>
        <v>Sem52</v>
      </c>
      <c r="U1292" s="56">
        <f t="shared" si="1580"/>
        <v>196</v>
      </c>
      <c r="V1292" s="59"/>
      <c r="W1292" s="56">
        <f t="shared" si="1520"/>
        <v>52</v>
      </c>
      <c r="X1292" s="56">
        <f t="shared" si="1521"/>
        <v>0</v>
      </c>
      <c r="Y1292" s="56" t="s">
        <v>31</v>
      </c>
      <c r="Z1292" s="56">
        <v>4</v>
      </c>
      <c r="AA1292" s="58">
        <f t="shared" si="1583"/>
        <v>0</v>
      </c>
      <c r="AB1292" s="58">
        <f t="shared" si="1583"/>
        <v>0</v>
      </c>
      <c r="AC1292" s="58">
        <f t="shared" si="1583"/>
        <v>0</v>
      </c>
      <c r="AD1292" s="58">
        <f t="shared" si="1583"/>
        <v>0</v>
      </c>
      <c r="AE1292" s="58">
        <f t="shared" si="1583"/>
        <v>0</v>
      </c>
    </row>
    <row r="1293" spans="2:31">
      <c r="B1293" t="str">
        <f t="shared" si="1508"/>
        <v>Sem5252</v>
      </c>
      <c r="C1293" t="str">
        <f t="shared" si="1509"/>
        <v>ENEROSem52</v>
      </c>
      <c r="D1293" t="str">
        <f t="shared" si="1510"/>
        <v>ENEROSem52</v>
      </c>
      <c r="E1293" t="str">
        <f t="shared" si="1511"/>
        <v>ENEROSem5252</v>
      </c>
      <c r="F1293" t="str">
        <f t="shared" si="1512"/>
        <v/>
      </c>
      <c r="H1293" s="49"/>
      <c r="I1293" s="50">
        <f>+_xlfn.XLOOKUP($H1293&amp;$V1293,BASEDATOS!$B:$B,BASEDATOS!F:F,0,0,1)</f>
        <v>0</v>
      </c>
      <c r="J1293" s="51">
        <f>+_xlfn.XLOOKUP($H1293&amp;$V1293,BASEDATOS!$B:$B,BASEDATOS!Q:Q,0,0,1)</f>
        <v>0</v>
      </c>
      <c r="K1293" s="51">
        <f>+_xlfn.XLOOKUP($H1293&amp;$V1293,BASEDATOS!$B:$B,BASEDATOS!R:R,0,0,1)</f>
        <v>0</v>
      </c>
      <c r="L1293" s="51">
        <f t="shared" si="1513"/>
        <v>0</v>
      </c>
      <c r="M1293" s="52">
        <f t="shared" si="1514"/>
        <v>0</v>
      </c>
      <c r="N1293" s="51">
        <f t="shared" si="1515"/>
        <v>0</v>
      </c>
      <c r="O1293" s="53" t="str">
        <f t="shared" ref="O1293" si="1586">+O1295</f>
        <v>0-0-0</v>
      </c>
      <c r="P1293" s="54">
        <f>+IF(AND(Y1293="Domingo",U1293=7),_xlfn.XLOOKUP(O1293,'Horarios y Sistemas'!C:C,'Horarios y Sistemas'!H:H,0,0,1),0)</f>
        <v>0</v>
      </c>
      <c r="Q1293" s="54">
        <f>IF(U1293=U1294,0,IF(AVERAGEIF(W:W,W1293,U:U)=U1293,0,_xlfn.XLOOKUP(O1293,'Horarios y Sistemas'!C:C,'Horarios y Sistemas'!H:H,0,0,1)-P1293))/7*U1293</f>
        <v>0</v>
      </c>
      <c r="R1293" s="54">
        <f t="shared" si="1517"/>
        <v>0</v>
      </c>
      <c r="S1293" s="55" t="str">
        <f t="shared" si="1518"/>
        <v>ENERO</v>
      </c>
      <c r="T1293" s="55" t="str">
        <f t="shared" si="1519"/>
        <v>Sem52</v>
      </c>
      <c r="U1293" s="56">
        <f t="shared" si="1580"/>
        <v>196</v>
      </c>
      <c r="V1293" s="59"/>
      <c r="W1293" s="56">
        <f t="shared" si="1520"/>
        <v>52</v>
      </c>
      <c r="X1293" s="56">
        <f t="shared" si="1521"/>
        <v>0</v>
      </c>
      <c r="Y1293" s="56" t="s">
        <v>32</v>
      </c>
      <c r="Z1293" s="56">
        <v>5</v>
      </c>
      <c r="AA1293" s="58">
        <f t="shared" si="1583"/>
        <v>0</v>
      </c>
      <c r="AB1293" s="58">
        <f t="shared" si="1583"/>
        <v>0</v>
      </c>
      <c r="AC1293" s="58">
        <f t="shared" si="1583"/>
        <v>0</v>
      </c>
      <c r="AD1293" s="58">
        <f t="shared" si="1583"/>
        <v>0</v>
      </c>
      <c r="AE1293" s="58">
        <f t="shared" si="1583"/>
        <v>0</v>
      </c>
    </row>
    <row r="1294" spans="2:31">
      <c r="B1294" t="str">
        <f t="shared" si="1508"/>
        <v>Sem5252</v>
      </c>
      <c r="C1294" t="str">
        <f t="shared" si="1509"/>
        <v>ENEROSem52</v>
      </c>
      <c r="D1294" t="str">
        <f t="shared" si="1510"/>
        <v>ENEROSem52</v>
      </c>
      <c r="E1294" t="str">
        <f t="shared" si="1511"/>
        <v>ENEROSem5252</v>
      </c>
      <c r="F1294" t="str">
        <f t="shared" si="1512"/>
        <v/>
      </c>
      <c r="H1294" s="49"/>
      <c r="I1294" s="50">
        <f>+_xlfn.XLOOKUP($H1294&amp;$V1294,BASEDATOS!$B:$B,BASEDATOS!F:F,0,0,1)</f>
        <v>0</v>
      </c>
      <c r="J1294" s="51">
        <f>+_xlfn.XLOOKUP($H1294&amp;$V1294,BASEDATOS!$B:$B,BASEDATOS!Q:Q,0,0,1)</f>
        <v>0</v>
      </c>
      <c r="K1294" s="51">
        <f>+_xlfn.XLOOKUP($H1294&amp;$V1294,BASEDATOS!$B:$B,BASEDATOS!R:R,0,0,1)</f>
        <v>0</v>
      </c>
      <c r="L1294" s="51">
        <f t="shared" si="1513"/>
        <v>0</v>
      </c>
      <c r="M1294" s="52">
        <f t="shared" si="1514"/>
        <v>0</v>
      </c>
      <c r="N1294" s="51">
        <f t="shared" si="1515"/>
        <v>0</v>
      </c>
      <c r="O1294" s="53" t="str">
        <f t="shared" ref="O1294" si="1587">+O1295</f>
        <v>0-0-0</v>
      </c>
      <c r="P1294" s="54">
        <f>+IF(AND(Y1294="Domingo",U1294=7),_xlfn.XLOOKUP(O1294,'Horarios y Sistemas'!C:C,'Horarios y Sistemas'!H:H,0,0,1),0)</f>
        <v>0</v>
      </c>
      <c r="Q1294" s="54">
        <f>IF(U1294=U1295,0,IF(AVERAGEIF(W:W,W1294,U:U)=U1294,0,_xlfn.XLOOKUP(O1294,'Horarios y Sistemas'!C:C,'Horarios y Sistemas'!H:H,0,0,1)-P1294))/7*U1294</f>
        <v>0</v>
      </c>
      <c r="R1294" s="54">
        <f t="shared" si="1517"/>
        <v>0</v>
      </c>
      <c r="S1294" s="55" t="str">
        <f t="shared" si="1518"/>
        <v>ENERO</v>
      </c>
      <c r="T1294" s="55" t="str">
        <f t="shared" si="1519"/>
        <v>Sem52</v>
      </c>
      <c r="U1294" s="56">
        <f t="shared" si="1580"/>
        <v>196</v>
      </c>
      <c r="V1294" s="59"/>
      <c r="W1294" s="56">
        <f t="shared" si="1520"/>
        <v>52</v>
      </c>
      <c r="X1294" s="56">
        <f t="shared" si="1521"/>
        <v>0</v>
      </c>
      <c r="Y1294" s="56" t="s">
        <v>33</v>
      </c>
      <c r="Z1294" s="56">
        <v>6</v>
      </c>
      <c r="AA1294" s="58">
        <f t="shared" si="1583"/>
        <v>0</v>
      </c>
      <c r="AB1294" s="58">
        <f t="shared" si="1583"/>
        <v>0</v>
      </c>
      <c r="AC1294" s="58">
        <f t="shared" si="1583"/>
        <v>0</v>
      </c>
      <c r="AD1294" s="58">
        <f t="shared" si="1583"/>
        <v>0</v>
      </c>
      <c r="AE1294" s="58">
        <f t="shared" si="1583"/>
        <v>0</v>
      </c>
    </row>
    <row r="1295" spans="2:31">
      <c r="B1295" s="60" t="str">
        <f t="shared" ref="B1295:B1358" si="1588">+T1295&amp;W1295&amp;H1295</f>
        <v>Sem5252</v>
      </c>
      <c r="C1295" s="60" t="str">
        <f t="shared" ref="C1295:C1358" si="1589">+S1295&amp;T1295</f>
        <v>ENEROSem52</v>
      </c>
      <c r="D1295" s="60" t="str">
        <f t="shared" ref="D1295:D1358" si="1590">+S1295&amp;T1295&amp;H1295</f>
        <v>ENEROSem52</v>
      </c>
      <c r="E1295" s="60" t="str">
        <f t="shared" ref="E1295:E1358" si="1591">+S1295&amp;T1295&amp;W1295&amp;H1295</f>
        <v>ENEROSem5252</v>
      </c>
      <c r="F1295" s="60" t="str">
        <f t="shared" ref="F1295:F1358" si="1592">+H1295&amp;V1295</f>
        <v/>
      </c>
      <c r="G1295" s="60"/>
      <c r="H1295" s="61"/>
      <c r="I1295" s="62">
        <f>+_xlfn.XLOOKUP($H1295&amp;$V1295,BASEDATOS!$B:$B,BASEDATOS!F:F,0,0,1)</f>
        <v>0</v>
      </c>
      <c r="J1295" s="63">
        <f>+_xlfn.XLOOKUP($H1295&amp;$V1295,BASEDATOS!$B:$B,BASEDATOS!Q:Q,0,0,1)</f>
        <v>0</v>
      </c>
      <c r="K1295" s="63">
        <f>+_xlfn.XLOOKUP($H1295&amp;$V1295,BASEDATOS!$B:$B,BASEDATOS!R:R,0,0,1)</f>
        <v>0</v>
      </c>
      <c r="L1295" s="63">
        <f t="shared" ref="L1295:L1358" si="1593">+IF(OR(J1295="Descanso",J1295="AUSENTE",J1295="ASUETO"),0,MOD(K1295-J1295,1))</f>
        <v>0</v>
      </c>
      <c r="M1295" s="64">
        <f t="shared" ref="M1295:M1358" si="1594">+IF(OR(I1295="DIA",I1295="NOCHE",I1295="MIXTO"),"1:00",0)</f>
        <v>0</v>
      </c>
      <c r="N1295" s="63">
        <f t="shared" ref="N1295:N1358" si="1595">+IF(I1295="ASUETO-D",8/24,IF(I1295="ASUETO-N",6/24,MOD(L1295-M1295,1)))</f>
        <v>0</v>
      </c>
      <c r="O1295" s="65" t="str">
        <f t="shared" ref="O1295" si="1596">+IF(Y1295="Domingo",SUM(AA1289:AA1295)&amp;"-"&amp;SUM(AB1289:AB1295)&amp;"-"&amp;SUM(AC1289:AE1295),"")</f>
        <v>0-0-0</v>
      </c>
      <c r="P1295" s="66">
        <f>+IF(AND(Y1295="Domingo",U1295=7),_xlfn.XLOOKUP(O1295,'Horarios y Sistemas'!C:C,'Horarios y Sistemas'!H:H,0,0,1),0)</f>
        <v>0</v>
      </c>
      <c r="Q1295" s="66">
        <f>IF(U1295=U1296,0,IF(AVERAGEIF(W:W,W1295,U:U)=U1295,0,_xlfn.XLOOKUP(O1295,'Horarios y Sistemas'!C:C,'Horarios y Sistemas'!H:H,0,0,1)-P1295))/7*U1295</f>
        <v>0</v>
      </c>
      <c r="R1295" s="66">
        <f t="shared" ref="R1295:R1358" si="1597">+IF(Y1295="Domingo",SUM(P1289:Q1295),0)</f>
        <v>0</v>
      </c>
      <c r="S1295" s="67" t="str">
        <f t="shared" ref="S1295:S1358" si="1598">+UPPER(TEXT(V1295,"MMMMMMMM"))</f>
        <v>ENERO</v>
      </c>
      <c r="T1295" s="55" t="str">
        <f t="shared" ref="T1295:T1358" si="1599">+"Sem"&amp;W1295</f>
        <v>Sem52</v>
      </c>
      <c r="U1295" s="68">
        <f t="shared" si="1580"/>
        <v>196</v>
      </c>
      <c r="V1295" s="69"/>
      <c r="W1295" s="68">
        <f t="shared" ref="W1295:W1358" si="1600">+_xlfn.ISOWEEKNUM(V1295)</f>
        <v>52</v>
      </c>
      <c r="X1295" s="68">
        <f t="shared" ref="X1295:X1358" si="1601">+DAY(V1295)</f>
        <v>0</v>
      </c>
      <c r="Y1295" s="68" t="s">
        <v>34</v>
      </c>
      <c r="Z1295" s="68">
        <v>7</v>
      </c>
      <c r="AA1295" s="70">
        <f t="shared" si="1583"/>
        <v>0</v>
      </c>
      <c r="AB1295" s="70">
        <f t="shared" si="1583"/>
        <v>0</v>
      </c>
      <c r="AC1295" s="70">
        <f t="shared" si="1583"/>
        <v>0</v>
      </c>
      <c r="AD1295" s="70">
        <f t="shared" si="1583"/>
        <v>0</v>
      </c>
      <c r="AE1295" s="70">
        <f t="shared" si="1583"/>
        <v>0</v>
      </c>
    </row>
    <row r="1296" spans="2:31">
      <c r="B1296" t="str">
        <f t="shared" si="1588"/>
        <v>Sem5252</v>
      </c>
      <c r="C1296" t="str">
        <f t="shared" si="1589"/>
        <v>ENEROSem52</v>
      </c>
      <c r="D1296" t="str">
        <f t="shared" si="1590"/>
        <v>ENEROSem52</v>
      </c>
      <c r="E1296" t="str">
        <f t="shared" si="1591"/>
        <v>ENEROSem5252</v>
      </c>
      <c r="F1296" t="str">
        <f t="shared" si="1592"/>
        <v/>
      </c>
      <c r="H1296" s="49"/>
      <c r="I1296" s="50">
        <f>+_xlfn.XLOOKUP($H1296&amp;$V1296,BASEDATOS!$B:$B,BASEDATOS!F:F,0,0,1)</f>
        <v>0</v>
      </c>
      <c r="J1296" s="51">
        <f>+_xlfn.XLOOKUP($H1296&amp;$V1296,BASEDATOS!$B:$B,BASEDATOS!Q:Q,0,0,1)</f>
        <v>0</v>
      </c>
      <c r="K1296" s="51">
        <f>+_xlfn.XLOOKUP($H1296&amp;$V1296,BASEDATOS!$B:$B,BASEDATOS!R:R,0,0,1)</f>
        <v>0</v>
      </c>
      <c r="L1296" s="51">
        <f t="shared" si="1593"/>
        <v>0</v>
      </c>
      <c r="M1296" s="52">
        <f t="shared" si="1594"/>
        <v>0</v>
      </c>
      <c r="N1296" s="51">
        <f t="shared" si="1595"/>
        <v>0</v>
      </c>
      <c r="O1296" s="53" t="str">
        <f t="shared" ref="O1296" si="1602">+O1302</f>
        <v>0-0-0</v>
      </c>
      <c r="P1296" s="54">
        <f>+IF(AND(Y1296="Domingo",U1296=7),_xlfn.XLOOKUP(O1296,'Horarios y Sistemas'!C:C,'Horarios y Sistemas'!H:H,0,0,1),0)</f>
        <v>0</v>
      </c>
      <c r="Q1296" s="54">
        <f>IF(U1296=U1297,0,IF(AVERAGEIF(W:W,W1296,U:U)=U1296,0,_xlfn.XLOOKUP(O1296,'Horarios y Sistemas'!C:C,'Horarios y Sistemas'!H:H,0,0,1)-P1296))/7*U1296</f>
        <v>0</v>
      </c>
      <c r="R1296" s="54">
        <f t="shared" si="1597"/>
        <v>0</v>
      </c>
      <c r="S1296" s="55" t="str">
        <f t="shared" si="1598"/>
        <v>ENERO</v>
      </c>
      <c r="T1296" s="55" t="str">
        <f t="shared" si="1599"/>
        <v>Sem52</v>
      </c>
      <c r="U1296" s="56">
        <f t="shared" si="1580"/>
        <v>196</v>
      </c>
      <c r="V1296" s="57"/>
      <c r="W1296" s="56">
        <f t="shared" si="1600"/>
        <v>52</v>
      </c>
      <c r="X1296" s="56">
        <f t="shared" si="1601"/>
        <v>0</v>
      </c>
      <c r="Y1296" s="56" t="s">
        <v>28</v>
      </c>
      <c r="Z1296" s="56">
        <v>1</v>
      </c>
      <c r="AA1296" s="58">
        <f t="shared" si="1583"/>
        <v>0</v>
      </c>
      <c r="AB1296" s="58">
        <f t="shared" si="1583"/>
        <v>0</v>
      </c>
      <c r="AC1296" s="58">
        <f t="shared" si="1583"/>
        <v>0</v>
      </c>
      <c r="AD1296" s="58">
        <f t="shared" si="1583"/>
        <v>0</v>
      </c>
      <c r="AE1296" s="58">
        <f t="shared" si="1583"/>
        <v>0</v>
      </c>
    </row>
    <row r="1297" spans="2:31">
      <c r="B1297" t="str">
        <f t="shared" si="1588"/>
        <v>Sem5252</v>
      </c>
      <c r="C1297" t="str">
        <f t="shared" si="1589"/>
        <v>ENEROSem52</v>
      </c>
      <c r="D1297" t="str">
        <f t="shared" si="1590"/>
        <v>ENEROSem52</v>
      </c>
      <c r="E1297" t="str">
        <f t="shared" si="1591"/>
        <v>ENEROSem5252</v>
      </c>
      <c r="F1297" t="str">
        <f t="shared" si="1592"/>
        <v/>
      </c>
      <c r="H1297" s="49"/>
      <c r="I1297" s="50">
        <f>+_xlfn.XLOOKUP($H1297&amp;$V1297,BASEDATOS!$B:$B,BASEDATOS!F:F,0,0,1)</f>
        <v>0</v>
      </c>
      <c r="J1297" s="51">
        <f>+_xlfn.XLOOKUP($H1297&amp;$V1297,BASEDATOS!$B:$B,BASEDATOS!Q:Q,0,0,1)</f>
        <v>0</v>
      </c>
      <c r="K1297" s="51">
        <f>+_xlfn.XLOOKUP($H1297&amp;$V1297,BASEDATOS!$B:$B,BASEDATOS!R:R,0,0,1)</f>
        <v>0</v>
      </c>
      <c r="L1297" s="51">
        <f t="shared" si="1593"/>
        <v>0</v>
      </c>
      <c r="M1297" s="52">
        <f t="shared" si="1594"/>
        <v>0</v>
      </c>
      <c r="N1297" s="51">
        <f t="shared" si="1595"/>
        <v>0</v>
      </c>
      <c r="O1297" s="53" t="str">
        <f t="shared" ref="O1297" si="1603">+O1302</f>
        <v>0-0-0</v>
      </c>
      <c r="P1297" s="54">
        <f>+IF(AND(Y1297="Domingo",U1297=7),_xlfn.XLOOKUP(O1297,'Horarios y Sistemas'!C:C,'Horarios y Sistemas'!H:H,0,0,1),0)</f>
        <v>0</v>
      </c>
      <c r="Q1297" s="54">
        <f>IF(U1297=U1298,0,IF(AVERAGEIF(W:W,W1297,U:U)=U1297,0,_xlfn.XLOOKUP(O1297,'Horarios y Sistemas'!C:C,'Horarios y Sistemas'!H:H,0,0,1)-P1297))/7*U1297</f>
        <v>0</v>
      </c>
      <c r="R1297" s="54">
        <f t="shared" si="1597"/>
        <v>0</v>
      </c>
      <c r="S1297" s="55" t="str">
        <f t="shared" si="1598"/>
        <v>ENERO</v>
      </c>
      <c r="T1297" s="55" t="str">
        <f t="shared" si="1599"/>
        <v>Sem52</v>
      </c>
      <c r="U1297" s="56">
        <f t="shared" si="1580"/>
        <v>196</v>
      </c>
      <c r="V1297" s="59"/>
      <c r="W1297" s="56">
        <f t="shared" si="1600"/>
        <v>52</v>
      </c>
      <c r="X1297" s="56">
        <f t="shared" si="1601"/>
        <v>0</v>
      </c>
      <c r="Y1297" s="56" t="s">
        <v>29</v>
      </c>
      <c r="Z1297" s="56">
        <v>2</v>
      </c>
      <c r="AA1297" s="58">
        <f t="shared" si="1583"/>
        <v>0</v>
      </c>
      <c r="AB1297" s="58">
        <f t="shared" si="1583"/>
        <v>0</v>
      </c>
      <c r="AC1297" s="58">
        <f t="shared" si="1583"/>
        <v>0</v>
      </c>
      <c r="AD1297" s="58">
        <f t="shared" si="1583"/>
        <v>0</v>
      </c>
      <c r="AE1297" s="58">
        <f t="shared" si="1583"/>
        <v>0</v>
      </c>
    </row>
    <row r="1298" spans="2:31">
      <c r="B1298" t="str">
        <f t="shared" si="1588"/>
        <v>Sem5252</v>
      </c>
      <c r="C1298" t="str">
        <f t="shared" si="1589"/>
        <v>ENEROSem52</v>
      </c>
      <c r="D1298" t="str">
        <f t="shared" si="1590"/>
        <v>ENEROSem52</v>
      </c>
      <c r="E1298" t="str">
        <f t="shared" si="1591"/>
        <v>ENEROSem5252</v>
      </c>
      <c r="F1298" t="str">
        <f t="shared" si="1592"/>
        <v/>
      </c>
      <c r="H1298" s="49"/>
      <c r="I1298" s="50">
        <f>+_xlfn.XLOOKUP($H1298&amp;$V1298,BASEDATOS!$B:$B,BASEDATOS!F:F,0,0,1)</f>
        <v>0</v>
      </c>
      <c r="J1298" s="51">
        <f>+_xlfn.XLOOKUP($H1298&amp;$V1298,BASEDATOS!$B:$B,BASEDATOS!Q:Q,0,0,1)</f>
        <v>0</v>
      </c>
      <c r="K1298" s="51">
        <f>+_xlfn.XLOOKUP($H1298&amp;$V1298,BASEDATOS!$B:$B,BASEDATOS!R:R,0,0,1)</f>
        <v>0</v>
      </c>
      <c r="L1298" s="51">
        <f t="shared" si="1593"/>
        <v>0</v>
      </c>
      <c r="M1298" s="52">
        <f t="shared" si="1594"/>
        <v>0</v>
      </c>
      <c r="N1298" s="51">
        <f t="shared" si="1595"/>
        <v>0</v>
      </c>
      <c r="O1298" s="53" t="str">
        <f t="shared" ref="O1298" si="1604">+O1302</f>
        <v>0-0-0</v>
      </c>
      <c r="P1298" s="54">
        <f>+IF(AND(Y1298="Domingo",U1298=7),_xlfn.XLOOKUP(O1298,'Horarios y Sistemas'!C:C,'Horarios y Sistemas'!H:H,0,0,1),0)</f>
        <v>0</v>
      </c>
      <c r="Q1298" s="54">
        <f>IF(U1298=U1299,0,IF(AVERAGEIF(W:W,W1298,U:U)=U1298,0,_xlfn.XLOOKUP(O1298,'Horarios y Sistemas'!C:C,'Horarios y Sistemas'!H:H,0,0,1)-P1298))/7*U1298</f>
        <v>0</v>
      </c>
      <c r="R1298" s="54">
        <f t="shared" si="1597"/>
        <v>0</v>
      </c>
      <c r="S1298" s="55" t="str">
        <f t="shared" si="1598"/>
        <v>ENERO</v>
      </c>
      <c r="T1298" s="55" t="str">
        <f t="shared" si="1599"/>
        <v>Sem52</v>
      </c>
      <c r="U1298" s="56">
        <f t="shared" si="1580"/>
        <v>196</v>
      </c>
      <c r="V1298" s="59"/>
      <c r="W1298" s="56">
        <f t="shared" si="1600"/>
        <v>52</v>
      </c>
      <c r="X1298" s="56">
        <f t="shared" si="1601"/>
        <v>0</v>
      </c>
      <c r="Y1298" s="56" t="s">
        <v>30</v>
      </c>
      <c r="Z1298" s="56">
        <v>3</v>
      </c>
      <c r="AA1298" s="58">
        <f t="shared" si="1583"/>
        <v>0</v>
      </c>
      <c r="AB1298" s="58">
        <f t="shared" si="1583"/>
        <v>0</v>
      </c>
      <c r="AC1298" s="58">
        <f t="shared" si="1583"/>
        <v>0</v>
      </c>
      <c r="AD1298" s="58">
        <f t="shared" si="1583"/>
        <v>0</v>
      </c>
      <c r="AE1298" s="58">
        <f t="shared" si="1583"/>
        <v>0</v>
      </c>
    </row>
    <row r="1299" spans="2:31">
      <c r="B1299" t="str">
        <f t="shared" si="1588"/>
        <v>Sem5252</v>
      </c>
      <c r="C1299" t="str">
        <f t="shared" si="1589"/>
        <v>ENEROSem52</v>
      </c>
      <c r="D1299" t="str">
        <f t="shared" si="1590"/>
        <v>ENEROSem52</v>
      </c>
      <c r="E1299" t="str">
        <f t="shared" si="1591"/>
        <v>ENEROSem5252</v>
      </c>
      <c r="F1299" t="str">
        <f t="shared" si="1592"/>
        <v/>
      </c>
      <c r="H1299" s="49"/>
      <c r="I1299" s="50">
        <f>+_xlfn.XLOOKUP($H1299&amp;$V1299,BASEDATOS!$B:$B,BASEDATOS!F:F,0,0,1)</f>
        <v>0</v>
      </c>
      <c r="J1299" s="51">
        <f>+_xlfn.XLOOKUP($H1299&amp;$V1299,BASEDATOS!$B:$B,BASEDATOS!Q:Q,0,0,1)</f>
        <v>0</v>
      </c>
      <c r="K1299" s="51">
        <f>+_xlfn.XLOOKUP($H1299&amp;$V1299,BASEDATOS!$B:$B,BASEDATOS!R:R,0,0,1)</f>
        <v>0</v>
      </c>
      <c r="L1299" s="51">
        <f t="shared" si="1593"/>
        <v>0</v>
      </c>
      <c r="M1299" s="52">
        <f t="shared" si="1594"/>
        <v>0</v>
      </c>
      <c r="N1299" s="51">
        <f t="shared" si="1595"/>
        <v>0</v>
      </c>
      <c r="O1299" s="53" t="str">
        <f t="shared" ref="O1299" si="1605">+O1302</f>
        <v>0-0-0</v>
      </c>
      <c r="P1299" s="54">
        <f>+IF(AND(Y1299="Domingo",U1299=7),_xlfn.XLOOKUP(O1299,'Horarios y Sistemas'!C:C,'Horarios y Sistemas'!H:H,0,0,1),0)</f>
        <v>0</v>
      </c>
      <c r="Q1299" s="54">
        <f>IF(U1299=U1300,0,IF(AVERAGEIF(W:W,W1299,U:U)=U1299,0,_xlfn.XLOOKUP(O1299,'Horarios y Sistemas'!C:C,'Horarios y Sistemas'!H:H,0,0,1)-P1299))/7*U1299</f>
        <v>0</v>
      </c>
      <c r="R1299" s="54">
        <f t="shared" si="1597"/>
        <v>0</v>
      </c>
      <c r="S1299" s="55" t="str">
        <f t="shared" si="1598"/>
        <v>ENERO</v>
      </c>
      <c r="T1299" s="55" t="str">
        <f t="shared" si="1599"/>
        <v>Sem52</v>
      </c>
      <c r="U1299" s="56">
        <f t="shared" si="1580"/>
        <v>196</v>
      </c>
      <c r="V1299" s="59"/>
      <c r="W1299" s="56">
        <f t="shared" si="1600"/>
        <v>52</v>
      </c>
      <c r="X1299" s="56">
        <f t="shared" si="1601"/>
        <v>0</v>
      </c>
      <c r="Y1299" s="56" t="s">
        <v>31</v>
      </c>
      <c r="Z1299" s="56">
        <v>4</v>
      </c>
      <c r="AA1299" s="58">
        <f t="shared" si="1583"/>
        <v>0</v>
      </c>
      <c r="AB1299" s="58">
        <f t="shared" si="1583"/>
        <v>0</v>
      </c>
      <c r="AC1299" s="58">
        <f t="shared" si="1583"/>
        <v>0</v>
      </c>
      <c r="AD1299" s="58">
        <f t="shared" si="1583"/>
        <v>0</v>
      </c>
      <c r="AE1299" s="58">
        <f t="shared" si="1583"/>
        <v>0</v>
      </c>
    </row>
    <row r="1300" spans="2:31">
      <c r="B1300" t="str">
        <f t="shared" si="1588"/>
        <v>Sem5252</v>
      </c>
      <c r="C1300" t="str">
        <f t="shared" si="1589"/>
        <v>ENEROSem52</v>
      </c>
      <c r="D1300" t="str">
        <f t="shared" si="1590"/>
        <v>ENEROSem52</v>
      </c>
      <c r="E1300" t="str">
        <f t="shared" si="1591"/>
        <v>ENEROSem5252</v>
      </c>
      <c r="F1300" t="str">
        <f t="shared" si="1592"/>
        <v/>
      </c>
      <c r="H1300" s="49"/>
      <c r="I1300" s="50">
        <f>+_xlfn.XLOOKUP($H1300&amp;$V1300,BASEDATOS!$B:$B,BASEDATOS!F:F,0,0,1)</f>
        <v>0</v>
      </c>
      <c r="J1300" s="51">
        <f>+_xlfn.XLOOKUP($H1300&amp;$V1300,BASEDATOS!$B:$B,BASEDATOS!Q:Q,0,0,1)</f>
        <v>0</v>
      </c>
      <c r="K1300" s="51">
        <f>+_xlfn.XLOOKUP($H1300&amp;$V1300,BASEDATOS!$B:$B,BASEDATOS!R:R,0,0,1)</f>
        <v>0</v>
      </c>
      <c r="L1300" s="51">
        <f t="shared" si="1593"/>
        <v>0</v>
      </c>
      <c r="M1300" s="52">
        <f t="shared" si="1594"/>
        <v>0</v>
      </c>
      <c r="N1300" s="51">
        <f t="shared" si="1595"/>
        <v>0</v>
      </c>
      <c r="O1300" s="53" t="str">
        <f t="shared" ref="O1300" si="1606">+O1302</f>
        <v>0-0-0</v>
      </c>
      <c r="P1300" s="54">
        <f>+IF(AND(Y1300="Domingo",U1300=7),_xlfn.XLOOKUP(O1300,'Horarios y Sistemas'!C:C,'Horarios y Sistemas'!H:H,0,0,1),0)</f>
        <v>0</v>
      </c>
      <c r="Q1300" s="54">
        <f>IF(U1300=U1301,0,IF(AVERAGEIF(W:W,W1300,U:U)=U1300,0,_xlfn.XLOOKUP(O1300,'Horarios y Sistemas'!C:C,'Horarios y Sistemas'!H:H,0,0,1)-P1300))/7*U1300</f>
        <v>0</v>
      </c>
      <c r="R1300" s="54">
        <f t="shared" si="1597"/>
        <v>0</v>
      </c>
      <c r="S1300" s="55" t="str">
        <f t="shared" si="1598"/>
        <v>ENERO</v>
      </c>
      <c r="T1300" s="55" t="str">
        <f t="shared" si="1599"/>
        <v>Sem52</v>
      </c>
      <c r="U1300" s="56">
        <f t="shared" si="1580"/>
        <v>196</v>
      </c>
      <c r="V1300" s="59"/>
      <c r="W1300" s="56">
        <f t="shared" si="1600"/>
        <v>52</v>
      </c>
      <c r="X1300" s="56">
        <f t="shared" si="1601"/>
        <v>0</v>
      </c>
      <c r="Y1300" s="56" t="s">
        <v>32</v>
      </c>
      <c r="Z1300" s="56">
        <v>5</v>
      </c>
      <c r="AA1300" s="58">
        <f t="shared" si="1583"/>
        <v>0</v>
      </c>
      <c r="AB1300" s="58">
        <f t="shared" si="1583"/>
        <v>0</v>
      </c>
      <c r="AC1300" s="58">
        <f t="shared" si="1583"/>
        <v>0</v>
      </c>
      <c r="AD1300" s="58">
        <f t="shared" si="1583"/>
        <v>0</v>
      </c>
      <c r="AE1300" s="58">
        <f t="shared" si="1583"/>
        <v>0</v>
      </c>
    </row>
    <row r="1301" spans="2:31">
      <c r="B1301" t="str">
        <f t="shared" si="1588"/>
        <v>Sem5252</v>
      </c>
      <c r="C1301" t="str">
        <f t="shared" si="1589"/>
        <v>ENEROSem52</v>
      </c>
      <c r="D1301" t="str">
        <f t="shared" si="1590"/>
        <v>ENEROSem52</v>
      </c>
      <c r="E1301" t="str">
        <f t="shared" si="1591"/>
        <v>ENEROSem5252</v>
      </c>
      <c r="F1301" t="str">
        <f t="shared" si="1592"/>
        <v/>
      </c>
      <c r="H1301" s="49"/>
      <c r="I1301" s="50">
        <f>+_xlfn.XLOOKUP($H1301&amp;$V1301,BASEDATOS!$B:$B,BASEDATOS!F:F,0,0,1)</f>
        <v>0</v>
      </c>
      <c r="J1301" s="51">
        <f>+_xlfn.XLOOKUP($H1301&amp;$V1301,BASEDATOS!$B:$B,BASEDATOS!Q:Q,0,0,1)</f>
        <v>0</v>
      </c>
      <c r="K1301" s="51">
        <f>+_xlfn.XLOOKUP($H1301&amp;$V1301,BASEDATOS!$B:$B,BASEDATOS!R:R,0,0,1)</f>
        <v>0</v>
      </c>
      <c r="L1301" s="51">
        <f t="shared" si="1593"/>
        <v>0</v>
      </c>
      <c r="M1301" s="52">
        <f t="shared" si="1594"/>
        <v>0</v>
      </c>
      <c r="N1301" s="51">
        <f t="shared" si="1595"/>
        <v>0</v>
      </c>
      <c r="O1301" s="53" t="str">
        <f t="shared" ref="O1301" si="1607">+O1302</f>
        <v>0-0-0</v>
      </c>
      <c r="P1301" s="54">
        <f>+IF(AND(Y1301="Domingo",U1301=7),_xlfn.XLOOKUP(O1301,'Horarios y Sistemas'!C:C,'Horarios y Sistemas'!H:H,0,0,1),0)</f>
        <v>0</v>
      </c>
      <c r="Q1301" s="54">
        <f>IF(U1301=U1302,0,IF(AVERAGEIF(W:W,W1301,U:U)=U1301,0,_xlfn.XLOOKUP(O1301,'Horarios y Sistemas'!C:C,'Horarios y Sistemas'!H:H,0,0,1)-P1301))/7*U1301</f>
        <v>0</v>
      </c>
      <c r="R1301" s="54">
        <f t="shared" si="1597"/>
        <v>0</v>
      </c>
      <c r="S1301" s="55" t="str">
        <f t="shared" si="1598"/>
        <v>ENERO</v>
      </c>
      <c r="T1301" s="55" t="str">
        <f t="shared" si="1599"/>
        <v>Sem52</v>
      </c>
      <c r="U1301" s="56">
        <f t="shared" si="1580"/>
        <v>196</v>
      </c>
      <c r="V1301" s="59"/>
      <c r="W1301" s="56">
        <f t="shared" si="1600"/>
        <v>52</v>
      </c>
      <c r="X1301" s="56">
        <f t="shared" si="1601"/>
        <v>0</v>
      </c>
      <c r="Y1301" s="56" t="s">
        <v>33</v>
      </c>
      <c r="Z1301" s="56">
        <v>6</v>
      </c>
      <c r="AA1301" s="58">
        <f t="shared" si="1583"/>
        <v>0</v>
      </c>
      <c r="AB1301" s="58">
        <f t="shared" si="1583"/>
        <v>0</v>
      </c>
      <c r="AC1301" s="58">
        <f t="shared" si="1583"/>
        <v>0</v>
      </c>
      <c r="AD1301" s="58">
        <f t="shared" si="1583"/>
        <v>0</v>
      </c>
      <c r="AE1301" s="58">
        <f t="shared" si="1583"/>
        <v>0</v>
      </c>
    </row>
    <row r="1302" spans="2:31">
      <c r="B1302" s="60" t="str">
        <f t="shared" si="1588"/>
        <v>Sem5252</v>
      </c>
      <c r="C1302" s="60" t="str">
        <f t="shared" si="1589"/>
        <v>ENEROSem52</v>
      </c>
      <c r="D1302" s="60" t="str">
        <f t="shared" si="1590"/>
        <v>ENEROSem52</v>
      </c>
      <c r="E1302" s="60" t="str">
        <f t="shared" si="1591"/>
        <v>ENEROSem5252</v>
      </c>
      <c r="F1302" s="60" t="str">
        <f t="shared" si="1592"/>
        <v/>
      </c>
      <c r="G1302" s="60"/>
      <c r="H1302" s="61"/>
      <c r="I1302" s="62">
        <f>+_xlfn.XLOOKUP($H1302&amp;$V1302,BASEDATOS!$B:$B,BASEDATOS!F:F,0,0,1)</f>
        <v>0</v>
      </c>
      <c r="J1302" s="63">
        <f>+_xlfn.XLOOKUP($H1302&amp;$V1302,BASEDATOS!$B:$B,BASEDATOS!Q:Q,0,0,1)</f>
        <v>0</v>
      </c>
      <c r="K1302" s="63">
        <f>+_xlfn.XLOOKUP($H1302&amp;$V1302,BASEDATOS!$B:$B,BASEDATOS!R:R,0,0,1)</f>
        <v>0</v>
      </c>
      <c r="L1302" s="63">
        <f t="shared" si="1593"/>
        <v>0</v>
      </c>
      <c r="M1302" s="64">
        <f t="shared" si="1594"/>
        <v>0</v>
      </c>
      <c r="N1302" s="63">
        <f t="shared" si="1595"/>
        <v>0</v>
      </c>
      <c r="O1302" s="65" t="str">
        <f t="shared" ref="O1302" si="1608">+IF(Y1302="Domingo",SUM(AA1296:AA1302)&amp;"-"&amp;SUM(AB1296:AB1302)&amp;"-"&amp;SUM(AC1296:AE1302),"")</f>
        <v>0-0-0</v>
      </c>
      <c r="P1302" s="66">
        <f>+IF(AND(Y1302="Domingo",U1302=7),_xlfn.XLOOKUP(O1302,'Horarios y Sistemas'!C:C,'Horarios y Sistemas'!H:H,0,0,1),0)</f>
        <v>0</v>
      </c>
      <c r="Q1302" s="66">
        <f>IF(U1302=U1303,0,IF(AVERAGEIF(W:W,W1302,U:U)=U1302,0,_xlfn.XLOOKUP(O1302,'Horarios y Sistemas'!C:C,'Horarios y Sistemas'!H:H,0,0,1)-P1302))/7*U1302</f>
        <v>0</v>
      </c>
      <c r="R1302" s="66">
        <f t="shared" si="1597"/>
        <v>0</v>
      </c>
      <c r="S1302" s="67" t="str">
        <f t="shared" si="1598"/>
        <v>ENERO</v>
      </c>
      <c r="T1302" s="55" t="str">
        <f t="shared" si="1599"/>
        <v>Sem52</v>
      </c>
      <c r="U1302" s="68">
        <f t="shared" si="1580"/>
        <v>196</v>
      </c>
      <c r="V1302" s="69"/>
      <c r="W1302" s="68">
        <f t="shared" si="1600"/>
        <v>52</v>
      </c>
      <c r="X1302" s="68">
        <f t="shared" si="1601"/>
        <v>0</v>
      </c>
      <c r="Y1302" s="68" t="s">
        <v>34</v>
      </c>
      <c r="Z1302" s="68">
        <v>7</v>
      </c>
      <c r="AA1302" s="70">
        <f t="shared" si="1583"/>
        <v>0</v>
      </c>
      <c r="AB1302" s="70">
        <f t="shared" si="1583"/>
        <v>0</v>
      </c>
      <c r="AC1302" s="70">
        <f t="shared" si="1583"/>
        <v>0</v>
      </c>
      <c r="AD1302" s="70">
        <f t="shared" si="1583"/>
        <v>0</v>
      </c>
      <c r="AE1302" s="70">
        <f t="shared" si="1583"/>
        <v>0</v>
      </c>
    </row>
    <row r="1303" spans="2:31">
      <c r="B1303" t="str">
        <f t="shared" si="1588"/>
        <v>Sem5252</v>
      </c>
      <c r="C1303" t="str">
        <f t="shared" si="1589"/>
        <v>ENEROSem52</v>
      </c>
      <c r="D1303" t="str">
        <f t="shared" si="1590"/>
        <v>ENEROSem52</v>
      </c>
      <c r="E1303" t="str">
        <f t="shared" si="1591"/>
        <v>ENEROSem5252</v>
      </c>
      <c r="F1303" t="str">
        <f t="shared" si="1592"/>
        <v/>
      </c>
      <c r="H1303" s="49"/>
      <c r="I1303" s="50">
        <f>+_xlfn.XLOOKUP($H1303&amp;$V1303,BASEDATOS!$B:$B,BASEDATOS!F:F,0,0,1)</f>
        <v>0</v>
      </c>
      <c r="J1303" s="51">
        <f>+_xlfn.XLOOKUP($H1303&amp;$V1303,BASEDATOS!$B:$B,BASEDATOS!Q:Q,0,0,1)</f>
        <v>0</v>
      </c>
      <c r="K1303" s="51">
        <f>+_xlfn.XLOOKUP($H1303&amp;$V1303,BASEDATOS!$B:$B,BASEDATOS!R:R,0,0,1)</f>
        <v>0</v>
      </c>
      <c r="L1303" s="51">
        <f t="shared" si="1593"/>
        <v>0</v>
      </c>
      <c r="M1303" s="52">
        <f t="shared" si="1594"/>
        <v>0</v>
      </c>
      <c r="N1303" s="51">
        <f t="shared" si="1595"/>
        <v>0</v>
      </c>
      <c r="O1303" s="53" t="str">
        <f t="shared" ref="O1303" si="1609">+O1309</f>
        <v>0-0-0</v>
      </c>
      <c r="P1303" s="54">
        <f>+IF(AND(Y1303="Domingo",U1303=7),_xlfn.XLOOKUP(O1303,'Horarios y Sistemas'!C:C,'Horarios y Sistemas'!H:H,0,0,1),0)</f>
        <v>0</v>
      </c>
      <c r="Q1303" s="54">
        <f>IF(U1303=U1304,0,IF(AVERAGEIF(W:W,W1303,U:U)=U1303,0,_xlfn.XLOOKUP(O1303,'Horarios y Sistemas'!C:C,'Horarios y Sistemas'!H:H,0,0,1)-P1303))/7*U1303</f>
        <v>0</v>
      </c>
      <c r="R1303" s="54">
        <f t="shared" si="1597"/>
        <v>0</v>
      </c>
      <c r="S1303" s="55" t="str">
        <f t="shared" si="1598"/>
        <v>ENERO</v>
      </c>
      <c r="T1303" s="55" t="str">
        <f t="shared" si="1599"/>
        <v>Sem52</v>
      </c>
      <c r="U1303" s="56">
        <f t="shared" si="1580"/>
        <v>196</v>
      </c>
      <c r="V1303" s="59"/>
      <c r="W1303" s="56">
        <f t="shared" si="1600"/>
        <v>52</v>
      </c>
      <c r="X1303" s="56">
        <f t="shared" si="1601"/>
        <v>0</v>
      </c>
      <c r="Y1303" s="56" t="s">
        <v>28</v>
      </c>
      <c r="Z1303" s="56">
        <v>1</v>
      </c>
      <c r="AA1303" s="58">
        <f t="shared" si="1583"/>
        <v>0</v>
      </c>
      <c r="AB1303" s="58">
        <f t="shared" si="1583"/>
        <v>0</v>
      </c>
      <c r="AC1303" s="58">
        <f t="shared" si="1583"/>
        <v>0</v>
      </c>
      <c r="AD1303" s="58">
        <f t="shared" si="1583"/>
        <v>0</v>
      </c>
      <c r="AE1303" s="58">
        <f t="shared" si="1583"/>
        <v>0</v>
      </c>
    </row>
    <row r="1304" spans="2:31">
      <c r="B1304" t="str">
        <f t="shared" si="1588"/>
        <v>Sem5252</v>
      </c>
      <c r="C1304" t="str">
        <f t="shared" si="1589"/>
        <v>ENEROSem52</v>
      </c>
      <c r="D1304" t="str">
        <f t="shared" si="1590"/>
        <v>ENEROSem52</v>
      </c>
      <c r="E1304" t="str">
        <f t="shared" si="1591"/>
        <v>ENEROSem5252</v>
      </c>
      <c r="F1304" t="str">
        <f t="shared" si="1592"/>
        <v/>
      </c>
      <c r="H1304" s="49"/>
      <c r="I1304" s="50">
        <f>+_xlfn.XLOOKUP($H1304&amp;$V1304,BASEDATOS!$B:$B,BASEDATOS!F:F,0,0,1)</f>
        <v>0</v>
      </c>
      <c r="J1304" s="51">
        <f>+_xlfn.XLOOKUP($H1304&amp;$V1304,BASEDATOS!$B:$B,BASEDATOS!Q:Q,0,0,1)</f>
        <v>0</v>
      </c>
      <c r="K1304" s="51">
        <f>+_xlfn.XLOOKUP($H1304&amp;$V1304,BASEDATOS!$B:$B,BASEDATOS!R:R,0,0,1)</f>
        <v>0</v>
      </c>
      <c r="L1304" s="51">
        <f t="shared" si="1593"/>
        <v>0</v>
      </c>
      <c r="M1304" s="52">
        <f t="shared" si="1594"/>
        <v>0</v>
      </c>
      <c r="N1304" s="51">
        <f t="shared" si="1595"/>
        <v>0</v>
      </c>
      <c r="O1304" s="53" t="str">
        <f t="shared" ref="O1304" si="1610">+O1309</f>
        <v>0-0-0</v>
      </c>
      <c r="P1304" s="54">
        <f>+IF(AND(Y1304="Domingo",U1304=7),_xlfn.XLOOKUP(O1304,'Horarios y Sistemas'!C:C,'Horarios y Sistemas'!H:H,0,0,1),0)</f>
        <v>0</v>
      </c>
      <c r="Q1304" s="54">
        <f>IF(U1304=U1305,0,IF(AVERAGEIF(W:W,W1304,U:U)=U1304,0,_xlfn.XLOOKUP(O1304,'Horarios y Sistemas'!C:C,'Horarios y Sistemas'!H:H,0,0,1)-P1304))/7*U1304</f>
        <v>0</v>
      </c>
      <c r="R1304" s="54">
        <f t="shared" si="1597"/>
        <v>0</v>
      </c>
      <c r="S1304" s="55" t="str">
        <f t="shared" si="1598"/>
        <v>ENERO</v>
      </c>
      <c r="T1304" s="55" t="str">
        <f t="shared" si="1599"/>
        <v>Sem52</v>
      </c>
      <c r="U1304" s="56">
        <f t="shared" si="1580"/>
        <v>196</v>
      </c>
      <c r="V1304" s="59"/>
      <c r="W1304" s="56">
        <f t="shared" si="1600"/>
        <v>52</v>
      </c>
      <c r="X1304" s="56">
        <f t="shared" si="1601"/>
        <v>0</v>
      </c>
      <c r="Y1304" s="56" t="s">
        <v>29</v>
      </c>
      <c r="Z1304" s="56">
        <v>2</v>
      </c>
      <c r="AA1304" s="58">
        <f t="shared" si="1583"/>
        <v>0</v>
      </c>
      <c r="AB1304" s="58">
        <f t="shared" si="1583"/>
        <v>0</v>
      </c>
      <c r="AC1304" s="58">
        <f t="shared" si="1583"/>
        <v>0</v>
      </c>
      <c r="AD1304" s="58">
        <f t="shared" si="1583"/>
        <v>0</v>
      </c>
      <c r="AE1304" s="58">
        <f t="shared" si="1583"/>
        <v>0</v>
      </c>
    </row>
    <row r="1305" spans="2:31">
      <c r="B1305" t="str">
        <f t="shared" si="1588"/>
        <v>Sem5252</v>
      </c>
      <c r="C1305" t="str">
        <f t="shared" si="1589"/>
        <v>ENEROSem52</v>
      </c>
      <c r="D1305" t="str">
        <f t="shared" si="1590"/>
        <v>ENEROSem52</v>
      </c>
      <c r="E1305" t="str">
        <f t="shared" si="1591"/>
        <v>ENEROSem5252</v>
      </c>
      <c r="F1305" t="str">
        <f t="shared" si="1592"/>
        <v/>
      </c>
      <c r="H1305" s="49"/>
      <c r="I1305" s="50">
        <f>+_xlfn.XLOOKUP($H1305&amp;$V1305,BASEDATOS!$B:$B,BASEDATOS!F:F,0,0,1)</f>
        <v>0</v>
      </c>
      <c r="J1305" s="51">
        <f>+_xlfn.XLOOKUP($H1305&amp;$V1305,BASEDATOS!$B:$B,BASEDATOS!Q:Q,0,0,1)</f>
        <v>0</v>
      </c>
      <c r="K1305" s="51">
        <f>+_xlfn.XLOOKUP($H1305&amp;$V1305,BASEDATOS!$B:$B,BASEDATOS!R:R,0,0,1)</f>
        <v>0</v>
      </c>
      <c r="L1305" s="51">
        <f t="shared" si="1593"/>
        <v>0</v>
      </c>
      <c r="M1305" s="52">
        <f t="shared" si="1594"/>
        <v>0</v>
      </c>
      <c r="N1305" s="51">
        <f t="shared" si="1595"/>
        <v>0</v>
      </c>
      <c r="O1305" s="53" t="str">
        <f t="shared" ref="O1305" si="1611">+O1309</f>
        <v>0-0-0</v>
      </c>
      <c r="P1305" s="54">
        <f>+IF(AND(Y1305="Domingo",U1305=7),_xlfn.XLOOKUP(O1305,'Horarios y Sistemas'!C:C,'Horarios y Sistemas'!H:H,0,0,1),0)</f>
        <v>0</v>
      </c>
      <c r="Q1305" s="54">
        <f>IF(U1305=U1306,0,IF(AVERAGEIF(W:W,W1305,U:U)=U1305,0,_xlfn.XLOOKUP(O1305,'Horarios y Sistemas'!C:C,'Horarios y Sistemas'!H:H,0,0,1)-P1305))/7*U1305</f>
        <v>0</v>
      </c>
      <c r="R1305" s="54">
        <f t="shared" si="1597"/>
        <v>0</v>
      </c>
      <c r="S1305" s="55" t="str">
        <f t="shared" si="1598"/>
        <v>ENERO</v>
      </c>
      <c r="T1305" s="55" t="str">
        <f t="shared" si="1599"/>
        <v>Sem52</v>
      </c>
      <c r="U1305" s="56">
        <f t="shared" si="1580"/>
        <v>196</v>
      </c>
      <c r="V1305" s="59"/>
      <c r="W1305" s="56">
        <f t="shared" si="1600"/>
        <v>52</v>
      </c>
      <c r="X1305" s="56">
        <f t="shared" si="1601"/>
        <v>0</v>
      </c>
      <c r="Y1305" s="56" t="s">
        <v>30</v>
      </c>
      <c r="Z1305" s="56">
        <v>3</v>
      </c>
      <c r="AA1305" s="58">
        <f t="shared" si="1583"/>
        <v>0</v>
      </c>
      <c r="AB1305" s="58">
        <f t="shared" si="1583"/>
        <v>0</v>
      </c>
      <c r="AC1305" s="58">
        <f t="shared" si="1583"/>
        <v>0</v>
      </c>
      <c r="AD1305" s="58">
        <f t="shared" si="1583"/>
        <v>0</v>
      </c>
      <c r="AE1305" s="58">
        <f t="shared" si="1583"/>
        <v>0</v>
      </c>
    </row>
    <row r="1306" spans="2:31">
      <c r="B1306" t="str">
        <f t="shared" si="1588"/>
        <v>Sem5252</v>
      </c>
      <c r="C1306" t="str">
        <f t="shared" si="1589"/>
        <v>ENEROSem52</v>
      </c>
      <c r="D1306" t="str">
        <f t="shared" si="1590"/>
        <v>ENEROSem52</v>
      </c>
      <c r="E1306" t="str">
        <f t="shared" si="1591"/>
        <v>ENEROSem5252</v>
      </c>
      <c r="F1306" t="str">
        <f t="shared" si="1592"/>
        <v/>
      </c>
      <c r="H1306" s="49"/>
      <c r="I1306" s="50">
        <f>+_xlfn.XLOOKUP($H1306&amp;$V1306,BASEDATOS!$B:$B,BASEDATOS!F:F,0,0,1)</f>
        <v>0</v>
      </c>
      <c r="J1306" s="51">
        <f>+_xlfn.XLOOKUP($H1306&amp;$V1306,BASEDATOS!$B:$B,BASEDATOS!Q:Q,0,0,1)</f>
        <v>0</v>
      </c>
      <c r="K1306" s="51">
        <f>+_xlfn.XLOOKUP($H1306&amp;$V1306,BASEDATOS!$B:$B,BASEDATOS!R:R,0,0,1)</f>
        <v>0</v>
      </c>
      <c r="L1306" s="51">
        <f t="shared" si="1593"/>
        <v>0</v>
      </c>
      <c r="M1306" s="52">
        <f t="shared" si="1594"/>
        <v>0</v>
      </c>
      <c r="N1306" s="51">
        <f t="shared" si="1595"/>
        <v>0</v>
      </c>
      <c r="O1306" s="53" t="str">
        <f t="shared" ref="O1306" si="1612">+O1309</f>
        <v>0-0-0</v>
      </c>
      <c r="P1306" s="54">
        <f>+IF(AND(Y1306="Domingo",U1306=7),_xlfn.XLOOKUP(O1306,'Horarios y Sistemas'!C:C,'Horarios y Sistemas'!H:H,0,0,1),0)</f>
        <v>0</v>
      </c>
      <c r="Q1306" s="54">
        <f>IF(U1306=U1307,0,IF(AVERAGEIF(W:W,W1306,U:U)=U1306,0,_xlfn.XLOOKUP(O1306,'Horarios y Sistemas'!C:C,'Horarios y Sistemas'!H:H,0,0,1)-P1306))/7*U1306</f>
        <v>0</v>
      </c>
      <c r="R1306" s="54">
        <f t="shared" si="1597"/>
        <v>0</v>
      </c>
      <c r="S1306" s="55" t="str">
        <f t="shared" si="1598"/>
        <v>ENERO</v>
      </c>
      <c r="T1306" s="55" t="str">
        <f t="shared" si="1599"/>
        <v>Sem52</v>
      </c>
      <c r="U1306" s="56">
        <f t="shared" si="1580"/>
        <v>196</v>
      </c>
      <c r="V1306" s="59"/>
      <c r="W1306" s="56">
        <f t="shared" si="1600"/>
        <v>52</v>
      </c>
      <c r="X1306" s="56">
        <f t="shared" si="1601"/>
        <v>0</v>
      </c>
      <c r="Y1306" s="56" t="s">
        <v>31</v>
      </c>
      <c r="Z1306" s="56">
        <v>4</v>
      </c>
      <c r="AA1306" s="58">
        <f t="shared" si="1583"/>
        <v>0</v>
      </c>
      <c r="AB1306" s="58">
        <f t="shared" si="1583"/>
        <v>0</v>
      </c>
      <c r="AC1306" s="58">
        <f t="shared" si="1583"/>
        <v>0</v>
      </c>
      <c r="AD1306" s="58">
        <f t="shared" si="1583"/>
        <v>0</v>
      </c>
      <c r="AE1306" s="58">
        <f t="shared" si="1583"/>
        <v>0</v>
      </c>
    </row>
    <row r="1307" spans="2:31">
      <c r="B1307" t="str">
        <f t="shared" si="1588"/>
        <v>Sem5252</v>
      </c>
      <c r="C1307" t="str">
        <f t="shared" si="1589"/>
        <v>ENEROSem52</v>
      </c>
      <c r="D1307" t="str">
        <f t="shared" si="1590"/>
        <v>ENEROSem52</v>
      </c>
      <c r="E1307" t="str">
        <f t="shared" si="1591"/>
        <v>ENEROSem5252</v>
      </c>
      <c r="F1307" t="str">
        <f t="shared" si="1592"/>
        <v/>
      </c>
      <c r="H1307" s="49"/>
      <c r="I1307" s="50">
        <f>+_xlfn.XLOOKUP($H1307&amp;$V1307,BASEDATOS!$B:$B,BASEDATOS!F:F,0,0,1)</f>
        <v>0</v>
      </c>
      <c r="J1307" s="51">
        <f>+_xlfn.XLOOKUP($H1307&amp;$V1307,BASEDATOS!$B:$B,BASEDATOS!Q:Q,0,0,1)</f>
        <v>0</v>
      </c>
      <c r="K1307" s="51">
        <f>+_xlfn.XLOOKUP($H1307&amp;$V1307,BASEDATOS!$B:$B,BASEDATOS!R:R,0,0,1)</f>
        <v>0</v>
      </c>
      <c r="L1307" s="51">
        <f t="shared" si="1593"/>
        <v>0</v>
      </c>
      <c r="M1307" s="52">
        <f t="shared" si="1594"/>
        <v>0</v>
      </c>
      <c r="N1307" s="51">
        <f t="shared" si="1595"/>
        <v>0</v>
      </c>
      <c r="O1307" s="53" t="str">
        <f t="shared" ref="O1307" si="1613">+O1309</f>
        <v>0-0-0</v>
      </c>
      <c r="P1307" s="54">
        <f>+IF(AND(Y1307="Domingo",U1307=7),_xlfn.XLOOKUP(O1307,'Horarios y Sistemas'!C:C,'Horarios y Sistemas'!H:H,0,0,1),0)</f>
        <v>0</v>
      </c>
      <c r="Q1307" s="54">
        <f>IF(U1307=U1308,0,IF(AVERAGEIF(W:W,W1307,U:U)=U1307,0,_xlfn.XLOOKUP(O1307,'Horarios y Sistemas'!C:C,'Horarios y Sistemas'!H:H,0,0,1)-P1307))/7*U1307</f>
        <v>0</v>
      </c>
      <c r="R1307" s="54">
        <f t="shared" si="1597"/>
        <v>0</v>
      </c>
      <c r="S1307" s="55" t="str">
        <f t="shared" si="1598"/>
        <v>ENERO</v>
      </c>
      <c r="T1307" s="55" t="str">
        <f t="shared" si="1599"/>
        <v>Sem52</v>
      </c>
      <c r="U1307" s="56">
        <f t="shared" si="1580"/>
        <v>196</v>
      </c>
      <c r="V1307" s="59"/>
      <c r="W1307" s="56">
        <f t="shared" si="1600"/>
        <v>52</v>
      </c>
      <c r="X1307" s="56">
        <f t="shared" si="1601"/>
        <v>0</v>
      </c>
      <c r="Y1307" s="56" t="s">
        <v>32</v>
      </c>
      <c r="Z1307" s="56">
        <v>5</v>
      </c>
      <c r="AA1307" s="58">
        <f t="shared" si="1583"/>
        <v>0</v>
      </c>
      <c r="AB1307" s="58">
        <f t="shared" si="1583"/>
        <v>0</v>
      </c>
      <c r="AC1307" s="58">
        <f t="shared" si="1583"/>
        <v>0</v>
      </c>
      <c r="AD1307" s="58">
        <f t="shared" si="1583"/>
        <v>0</v>
      </c>
      <c r="AE1307" s="58">
        <f t="shared" si="1583"/>
        <v>0</v>
      </c>
    </row>
    <row r="1308" spans="2:31">
      <c r="B1308" t="str">
        <f t="shared" si="1588"/>
        <v>Sem5252</v>
      </c>
      <c r="C1308" t="str">
        <f t="shared" si="1589"/>
        <v>ENEROSem52</v>
      </c>
      <c r="D1308" t="str">
        <f t="shared" si="1590"/>
        <v>ENEROSem52</v>
      </c>
      <c r="E1308" t="str">
        <f t="shared" si="1591"/>
        <v>ENEROSem5252</v>
      </c>
      <c r="F1308" t="str">
        <f t="shared" si="1592"/>
        <v/>
      </c>
      <c r="H1308" s="49"/>
      <c r="I1308" s="50">
        <f>+_xlfn.XLOOKUP($H1308&amp;$V1308,BASEDATOS!$B:$B,BASEDATOS!F:F,0,0,1)</f>
        <v>0</v>
      </c>
      <c r="J1308" s="51">
        <f>+_xlfn.XLOOKUP($H1308&amp;$V1308,BASEDATOS!$B:$B,BASEDATOS!Q:Q,0,0,1)</f>
        <v>0</v>
      </c>
      <c r="K1308" s="51">
        <f>+_xlfn.XLOOKUP($H1308&amp;$V1308,BASEDATOS!$B:$B,BASEDATOS!R:R,0,0,1)</f>
        <v>0</v>
      </c>
      <c r="L1308" s="51">
        <f t="shared" si="1593"/>
        <v>0</v>
      </c>
      <c r="M1308" s="52">
        <f t="shared" si="1594"/>
        <v>0</v>
      </c>
      <c r="N1308" s="51">
        <f t="shared" si="1595"/>
        <v>0</v>
      </c>
      <c r="O1308" s="53" t="str">
        <f t="shared" ref="O1308" si="1614">+O1309</f>
        <v>0-0-0</v>
      </c>
      <c r="P1308" s="54">
        <f>+IF(AND(Y1308="Domingo",U1308=7),_xlfn.XLOOKUP(O1308,'Horarios y Sistemas'!C:C,'Horarios y Sistemas'!H:H,0,0,1),0)</f>
        <v>0</v>
      </c>
      <c r="Q1308" s="54">
        <f>IF(U1308=U1309,0,IF(AVERAGEIF(W:W,W1308,U:U)=U1308,0,_xlfn.XLOOKUP(O1308,'Horarios y Sistemas'!C:C,'Horarios y Sistemas'!H:H,0,0,1)-P1308))/7*U1308</f>
        <v>0</v>
      </c>
      <c r="R1308" s="54">
        <f t="shared" si="1597"/>
        <v>0</v>
      </c>
      <c r="S1308" s="55" t="str">
        <f t="shared" si="1598"/>
        <v>ENERO</v>
      </c>
      <c r="T1308" s="55" t="str">
        <f t="shared" si="1599"/>
        <v>Sem52</v>
      </c>
      <c r="U1308" s="56">
        <f t="shared" si="1580"/>
        <v>196</v>
      </c>
      <c r="V1308" s="59"/>
      <c r="W1308" s="56">
        <f t="shared" si="1600"/>
        <v>52</v>
      </c>
      <c r="X1308" s="56">
        <f t="shared" si="1601"/>
        <v>0</v>
      </c>
      <c r="Y1308" s="56" t="s">
        <v>33</v>
      </c>
      <c r="Z1308" s="56">
        <v>6</v>
      </c>
      <c r="AA1308" s="58">
        <f t="shared" si="1583"/>
        <v>0</v>
      </c>
      <c r="AB1308" s="58">
        <f t="shared" si="1583"/>
        <v>0</v>
      </c>
      <c r="AC1308" s="58">
        <f t="shared" si="1583"/>
        <v>0</v>
      </c>
      <c r="AD1308" s="58">
        <f t="shared" si="1583"/>
        <v>0</v>
      </c>
      <c r="AE1308" s="58">
        <f t="shared" si="1583"/>
        <v>0</v>
      </c>
    </row>
    <row r="1309" spans="2:31">
      <c r="B1309" s="60" t="str">
        <f t="shared" si="1588"/>
        <v>Sem5252</v>
      </c>
      <c r="C1309" s="60" t="str">
        <f t="shared" si="1589"/>
        <v>ENEROSem52</v>
      </c>
      <c r="D1309" s="60" t="str">
        <f t="shared" si="1590"/>
        <v>ENEROSem52</v>
      </c>
      <c r="E1309" s="60" t="str">
        <f t="shared" si="1591"/>
        <v>ENEROSem5252</v>
      </c>
      <c r="F1309" s="60" t="str">
        <f t="shared" si="1592"/>
        <v/>
      </c>
      <c r="G1309" s="60"/>
      <c r="H1309" s="61"/>
      <c r="I1309" s="62">
        <f>+_xlfn.XLOOKUP($H1309&amp;$V1309,BASEDATOS!$B:$B,BASEDATOS!F:F,0,0,1)</f>
        <v>0</v>
      </c>
      <c r="J1309" s="63">
        <f>+_xlfn.XLOOKUP($H1309&amp;$V1309,BASEDATOS!$B:$B,BASEDATOS!Q:Q,0,0,1)</f>
        <v>0</v>
      </c>
      <c r="K1309" s="63">
        <f>+_xlfn.XLOOKUP($H1309&amp;$V1309,BASEDATOS!$B:$B,BASEDATOS!R:R,0,0,1)</f>
        <v>0</v>
      </c>
      <c r="L1309" s="63">
        <f t="shared" si="1593"/>
        <v>0</v>
      </c>
      <c r="M1309" s="64">
        <f t="shared" si="1594"/>
        <v>0</v>
      </c>
      <c r="N1309" s="63">
        <f t="shared" si="1595"/>
        <v>0</v>
      </c>
      <c r="O1309" s="65" t="str">
        <f t="shared" ref="O1309" si="1615">+IF(Y1309="Domingo",SUM(AA1303:AA1309)&amp;"-"&amp;SUM(AB1303:AB1309)&amp;"-"&amp;SUM(AC1303:AE1309),"")</f>
        <v>0-0-0</v>
      </c>
      <c r="P1309" s="66">
        <f>+IF(AND(Y1309="Domingo",U1309=7),_xlfn.XLOOKUP(O1309,'Horarios y Sistemas'!C:C,'Horarios y Sistemas'!H:H,0,0,1),0)</f>
        <v>0</v>
      </c>
      <c r="Q1309" s="66">
        <f>IF(U1309=U1310,0,IF(AVERAGEIF(W:W,W1309,U:U)=U1309,0,_xlfn.XLOOKUP(O1309,'Horarios y Sistemas'!C:C,'Horarios y Sistemas'!H:H,0,0,1)-P1309))/7*U1309</f>
        <v>0</v>
      </c>
      <c r="R1309" s="66">
        <f t="shared" si="1597"/>
        <v>0</v>
      </c>
      <c r="S1309" s="67" t="str">
        <f t="shared" si="1598"/>
        <v>ENERO</v>
      </c>
      <c r="T1309" s="55" t="str">
        <f t="shared" si="1599"/>
        <v>Sem52</v>
      </c>
      <c r="U1309" s="68">
        <f t="shared" si="1580"/>
        <v>196</v>
      </c>
      <c r="V1309" s="69"/>
      <c r="W1309" s="68">
        <f t="shared" si="1600"/>
        <v>52</v>
      </c>
      <c r="X1309" s="68">
        <f t="shared" si="1601"/>
        <v>0</v>
      </c>
      <c r="Y1309" s="68" t="s">
        <v>34</v>
      </c>
      <c r="Z1309" s="68">
        <v>7</v>
      </c>
      <c r="AA1309" s="70">
        <f t="shared" si="1583"/>
        <v>0</v>
      </c>
      <c r="AB1309" s="70">
        <f t="shared" si="1583"/>
        <v>0</v>
      </c>
      <c r="AC1309" s="70">
        <f t="shared" si="1583"/>
        <v>0</v>
      </c>
      <c r="AD1309" s="70">
        <f t="shared" si="1583"/>
        <v>0</v>
      </c>
      <c r="AE1309" s="70">
        <f t="shared" si="1583"/>
        <v>0</v>
      </c>
    </row>
    <row r="1310" spans="2:31">
      <c r="B1310" t="str">
        <f t="shared" si="1588"/>
        <v>Sem5252</v>
      </c>
      <c r="C1310" t="str">
        <f t="shared" si="1589"/>
        <v>ENEROSem52</v>
      </c>
      <c r="D1310" t="str">
        <f t="shared" si="1590"/>
        <v>ENEROSem52</v>
      </c>
      <c r="E1310" t="str">
        <f t="shared" si="1591"/>
        <v>ENEROSem5252</v>
      </c>
      <c r="F1310" t="str">
        <f t="shared" si="1592"/>
        <v/>
      </c>
      <c r="H1310" s="49"/>
      <c r="I1310" s="50">
        <f>+_xlfn.XLOOKUP($H1310&amp;$V1310,BASEDATOS!$B:$B,BASEDATOS!F:F,0,0,1)</f>
        <v>0</v>
      </c>
      <c r="J1310" s="51">
        <f>+_xlfn.XLOOKUP($H1310&amp;$V1310,BASEDATOS!$B:$B,BASEDATOS!Q:Q,0,0,1)</f>
        <v>0</v>
      </c>
      <c r="K1310" s="51">
        <f>+_xlfn.XLOOKUP($H1310&amp;$V1310,BASEDATOS!$B:$B,BASEDATOS!R:R,0,0,1)</f>
        <v>0</v>
      </c>
      <c r="L1310" s="51">
        <f t="shared" si="1593"/>
        <v>0</v>
      </c>
      <c r="M1310" s="52">
        <f t="shared" si="1594"/>
        <v>0</v>
      </c>
      <c r="N1310" s="51">
        <f t="shared" si="1595"/>
        <v>0</v>
      </c>
      <c r="O1310" s="53" t="str">
        <f t="shared" ref="O1310" si="1616">+O1316</f>
        <v>0-0-0</v>
      </c>
      <c r="P1310" s="54">
        <f>+IF(AND(Y1310="Domingo",U1310=7),_xlfn.XLOOKUP(O1310,'Horarios y Sistemas'!C:C,'Horarios y Sistemas'!H:H,0,0,1),0)</f>
        <v>0</v>
      </c>
      <c r="Q1310" s="54">
        <f>IF(U1310=U1311,0,IF(AVERAGEIF(W:W,W1310,U:U)=U1310,0,_xlfn.XLOOKUP(O1310,'Horarios y Sistemas'!C:C,'Horarios y Sistemas'!H:H,0,0,1)-P1310))/7*U1310</f>
        <v>0</v>
      </c>
      <c r="R1310" s="54">
        <f t="shared" si="1597"/>
        <v>0</v>
      </c>
      <c r="S1310" s="55" t="str">
        <f t="shared" si="1598"/>
        <v>ENERO</v>
      </c>
      <c r="T1310" s="55" t="str">
        <f t="shared" si="1599"/>
        <v>Sem52</v>
      </c>
      <c r="U1310" s="56">
        <f t="shared" si="1580"/>
        <v>196</v>
      </c>
      <c r="V1310" s="59"/>
      <c r="W1310" s="56">
        <f t="shared" si="1600"/>
        <v>52</v>
      </c>
      <c r="X1310" s="56">
        <f t="shared" si="1601"/>
        <v>0</v>
      </c>
      <c r="Y1310" s="56" t="s">
        <v>28</v>
      </c>
      <c r="Z1310" s="56">
        <v>1</v>
      </c>
      <c r="AA1310" s="58">
        <f t="shared" si="1583"/>
        <v>0</v>
      </c>
      <c r="AB1310" s="58">
        <f t="shared" si="1583"/>
        <v>0</v>
      </c>
      <c r="AC1310" s="58">
        <f t="shared" si="1583"/>
        <v>0</v>
      </c>
      <c r="AD1310" s="58">
        <f t="shared" si="1583"/>
        <v>0</v>
      </c>
      <c r="AE1310" s="58">
        <f t="shared" si="1583"/>
        <v>0</v>
      </c>
    </row>
    <row r="1311" spans="2:31">
      <c r="B1311" t="str">
        <f t="shared" si="1588"/>
        <v>Sem5252</v>
      </c>
      <c r="C1311" t="str">
        <f t="shared" si="1589"/>
        <v>ENEROSem52</v>
      </c>
      <c r="D1311" t="str">
        <f t="shared" si="1590"/>
        <v>ENEROSem52</v>
      </c>
      <c r="E1311" t="str">
        <f t="shared" si="1591"/>
        <v>ENEROSem5252</v>
      </c>
      <c r="F1311" t="str">
        <f t="shared" si="1592"/>
        <v/>
      </c>
      <c r="H1311" s="49"/>
      <c r="I1311" s="50">
        <f>+_xlfn.XLOOKUP($H1311&amp;$V1311,BASEDATOS!$B:$B,BASEDATOS!F:F,0,0,1)</f>
        <v>0</v>
      </c>
      <c r="J1311" s="51">
        <f>+_xlfn.XLOOKUP($H1311&amp;$V1311,BASEDATOS!$B:$B,BASEDATOS!Q:Q,0,0,1)</f>
        <v>0</v>
      </c>
      <c r="K1311" s="51">
        <f>+_xlfn.XLOOKUP($H1311&amp;$V1311,BASEDATOS!$B:$B,BASEDATOS!R:R,0,0,1)</f>
        <v>0</v>
      </c>
      <c r="L1311" s="51">
        <f t="shared" si="1593"/>
        <v>0</v>
      </c>
      <c r="M1311" s="52">
        <f t="shared" si="1594"/>
        <v>0</v>
      </c>
      <c r="N1311" s="51">
        <f t="shared" si="1595"/>
        <v>0</v>
      </c>
      <c r="O1311" s="53" t="str">
        <f t="shared" ref="O1311" si="1617">+O1316</f>
        <v>0-0-0</v>
      </c>
      <c r="P1311" s="54">
        <f>+IF(AND(Y1311="Domingo",U1311=7),_xlfn.XLOOKUP(O1311,'Horarios y Sistemas'!C:C,'Horarios y Sistemas'!H:H,0,0,1),0)</f>
        <v>0</v>
      </c>
      <c r="Q1311" s="54">
        <f>IF(U1311=U1312,0,IF(AVERAGEIF(W:W,W1311,U:U)=U1311,0,_xlfn.XLOOKUP(O1311,'Horarios y Sistemas'!C:C,'Horarios y Sistemas'!H:H,0,0,1)-P1311))/7*U1311</f>
        <v>0</v>
      </c>
      <c r="R1311" s="54">
        <f t="shared" si="1597"/>
        <v>0</v>
      </c>
      <c r="S1311" s="55" t="str">
        <f t="shared" si="1598"/>
        <v>ENERO</v>
      </c>
      <c r="T1311" s="55" t="str">
        <f t="shared" si="1599"/>
        <v>Sem52</v>
      </c>
      <c r="U1311" s="56">
        <f t="shared" si="1580"/>
        <v>196</v>
      </c>
      <c r="V1311" s="59"/>
      <c r="W1311" s="56">
        <f t="shared" si="1600"/>
        <v>52</v>
      </c>
      <c r="X1311" s="56">
        <f t="shared" si="1601"/>
        <v>0</v>
      </c>
      <c r="Y1311" s="56" t="s">
        <v>29</v>
      </c>
      <c r="Z1311" s="56">
        <v>2</v>
      </c>
      <c r="AA1311" s="58">
        <f t="shared" si="1583"/>
        <v>0</v>
      </c>
      <c r="AB1311" s="58">
        <f t="shared" si="1583"/>
        <v>0</v>
      </c>
      <c r="AC1311" s="58">
        <f t="shared" si="1583"/>
        <v>0</v>
      </c>
      <c r="AD1311" s="58">
        <f t="shared" si="1583"/>
        <v>0</v>
      </c>
      <c r="AE1311" s="58">
        <f t="shared" si="1583"/>
        <v>0</v>
      </c>
    </row>
    <row r="1312" spans="2:31">
      <c r="B1312" t="str">
        <f t="shared" si="1588"/>
        <v>Sem5252</v>
      </c>
      <c r="C1312" t="str">
        <f t="shared" si="1589"/>
        <v>ENEROSem52</v>
      </c>
      <c r="D1312" t="str">
        <f t="shared" si="1590"/>
        <v>ENEROSem52</v>
      </c>
      <c r="E1312" t="str">
        <f t="shared" si="1591"/>
        <v>ENEROSem5252</v>
      </c>
      <c r="F1312" t="str">
        <f t="shared" si="1592"/>
        <v/>
      </c>
      <c r="H1312" s="49"/>
      <c r="I1312" s="50">
        <f>+_xlfn.XLOOKUP($H1312&amp;$V1312,BASEDATOS!$B:$B,BASEDATOS!F:F,0,0,1)</f>
        <v>0</v>
      </c>
      <c r="J1312" s="51">
        <f>+_xlfn.XLOOKUP($H1312&amp;$V1312,BASEDATOS!$B:$B,BASEDATOS!Q:Q,0,0,1)</f>
        <v>0</v>
      </c>
      <c r="K1312" s="51">
        <f>+_xlfn.XLOOKUP($H1312&amp;$V1312,BASEDATOS!$B:$B,BASEDATOS!R:R,0,0,1)</f>
        <v>0</v>
      </c>
      <c r="L1312" s="51">
        <f t="shared" si="1593"/>
        <v>0</v>
      </c>
      <c r="M1312" s="52">
        <f t="shared" si="1594"/>
        <v>0</v>
      </c>
      <c r="N1312" s="51">
        <f t="shared" si="1595"/>
        <v>0</v>
      </c>
      <c r="O1312" s="53" t="str">
        <f t="shared" ref="O1312" si="1618">+O1316</f>
        <v>0-0-0</v>
      </c>
      <c r="P1312" s="54">
        <f>+IF(AND(Y1312="Domingo",U1312=7),_xlfn.XLOOKUP(O1312,'Horarios y Sistemas'!C:C,'Horarios y Sistemas'!H:H,0,0,1),0)</f>
        <v>0</v>
      </c>
      <c r="Q1312" s="54">
        <f>IF(U1312=U1313,0,IF(AVERAGEIF(W:W,W1312,U:U)=U1312,0,_xlfn.XLOOKUP(O1312,'Horarios y Sistemas'!C:C,'Horarios y Sistemas'!H:H,0,0,1)-P1312))/7*U1312</f>
        <v>0</v>
      </c>
      <c r="R1312" s="54">
        <f t="shared" si="1597"/>
        <v>0</v>
      </c>
      <c r="S1312" s="55" t="str">
        <f t="shared" si="1598"/>
        <v>ENERO</v>
      </c>
      <c r="T1312" s="55" t="str">
        <f t="shared" si="1599"/>
        <v>Sem52</v>
      </c>
      <c r="U1312" s="56">
        <f t="shared" si="1580"/>
        <v>196</v>
      </c>
      <c r="V1312" s="59"/>
      <c r="W1312" s="56">
        <f t="shared" si="1600"/>
        <v>52</v>
      </c>
      <c r="X1312" s="56">
        <f t="shared" si="1601"/>
        <v>0</v>
      </c>
      <c r="Y1312" s="56" t="s">
        <v>30</v>
      </c>
      <c r="Z1312" s="56">
        <v>3</v>
      </c>
      <c r="AA1312" s="58">
        <f t="shared" si="1583"/>
        <v>0</v>
      </c>
      <c r="AB1312" s="58">
        <f t="shared" si="1583"/>
        <v>0</v>
      </c>
      <c r="AC1312" s="58">
        <f t="shared" si="1583"/>
        <v>0</v>
      </c>
      <c r="AD1312" s="58">
        <f t="shared" si="1583"/>
        <v>0</v>
      </c>
      <c r="AE1312" s="58">
        <f t="shared" si="1583"/>
        <v>0</v>
      </c>
    </row>
    <row r="1313" spans="2:31">
      <c r="B1313" t="str">
        <f t="shared" si="1588"/>
        <v>Sem5252</v>
      </c>
      <c r="C1313" t="str">
        <f t="shared" si="1589"/>
        <v>ENEROSem52</v>
      </c>
      <c r="D1313" t="str">
        <f t="shared" si="1590"/>
        <v>ENEROSem52</v>
      </c>
      <c r="E1313" t="str">
        <f t="shared" si="1591"/>
        <v>ENEROSem5252</v>
      </c>
      <c r="F1313" t="str">
        <f t="shared" si="1592"/>
        <v/>
      </c>
      <c r="H1313" s="49"/>
      <c r="I1313" s="50">
        <f>+_xlfn.XLOOKUP($H1313&amp;$V1313,BASEDATOS!$B:$B,BASEDATOS!F:F,0,0,1)</f>
        <v>0</v>
      </c>
      <c r="J1313" s="51">
        <f>+_xlfn.XLOOKUP($H1313&amp;$V1313,BASEDATOS!$B:$B,BASEDATOS!Q:Q,0,0,1)</f>
        <v>0</v>
      </c>
      <c r="K1313" s="51">
        <f>+_xlfn.XLOOKUP($H1313&amp;$V1313,BASEDATOS!$B:$B,BASEDATOS!R:R,0,0,1)</f>
        <v>0</v>
      </c>
      <c r="L1313" s="51">
        <f t="shared" si="1593"/>
        <v>0</v>
      </c>
      <c r="M1313" s="52">
        <f t="shared" si="1594"/>
        <v>0</v>
      </c>
      <c r="N1313" s="51">
        <f t="shared" si="1595"/>
        <v>0</v>
      </c>
      <c r="O1313" s="53" t="str">
        <f t="shared" ref="O1313" si="1619">+O1316</f>
        <v>0-0-0</v>
      </c>
      <c r="P1313" s="54">
        <f>+IF(AND(Y1313="Domingo",U1313=7),_xlfn.XLOOKUP(O1313,'Horarios y Sistemas'!C:C,'Horarios y Sistemas'!H:H,0,0,1),0)</f>
        <v>0</v>
      </c>
      <c r="Q1313" s="54">
        <f>IF(U1313=U1314,0,IF(AVERAGEIF(W:W,W1313,U:U)=U1313,0,_xlfn.XLOOKUP(O1313,'Horarios y Sistemas'!C:C,'Horarios y Sistemas'!H:H,0,0,1)-P1313))/7*U1313</f>
        <v>0</v>
      </c>
      <c r="R1313" s="54">
        <f t="shared" si="1597"/>
        <v>0</v>
      </c>
      <c r="S1313" s="55" t="str">
        <f t="shared" si="1598"/>
        <v>ENERO</v>
      </c>
      <c r="T1313" s="55" t="str">
        <f t="shared" si="1599"/>
        <v>Sem52</v>
      </c>
      <c r="U1313" s="56">
        <f t="shared" si="1580"/>
        <v>196</v>
      </c>
      <c r="V1313" s="59"/>
      <c r="W1313" s="56">
        <f t="shared" si="1600"/>
        <v>52</v>
      </c>
      <c r="X1313" s="56">
        <f t="shared" si="1601"/>
        <v>0</v>
      </c>
      <c r="Y1313" s="56" t="s">
        <v>31</v>
      </c>
      <c r="Z1313" s="56">
        <v>4</v>
      </c>
      <c r="AA1313" s="58">
        <f t="shared" si="1583"/>
        <v>0</v>
      </c>
      <c r="AB1313" s="58">
        <f t="shared" si="1583"/>
        <v>0</v>
      </c>
      <c r="AC1313" s="58">
        <f t="shared" si="1583"/>
        <v>0</v>
      </c>
      <c r="AD1313" s="58">
        <f t="shared" si="1583"/>
        <v>0</v>
      </c>
      <c r="AE1313" s="58">
        <f t="shared" si="1583"/>
        <v>0</v>
      </c>
    </row>
    <row r="1314" spans="2:31">
      <c r="B1314" t="str">
        <f t="shared" si="1588"/>
        <v>Sem5252</v>
      </c>
      <c r="C1314" t="str">
        <f t="shared" si="1589"/>
        <v>ENEROSem52</v>
      </c>
      <c r="D1314" t="str">
        <f t="shared" si="1590"/>
        <v>ENEROSem52</v>
      </c>
      <c r="E1314" t="str">
        <f t="shared" si="1591"/>
        <v>ENEROSem5252</v>
      </c>
      <c r="F1314" t="str">
        <f t="shared" si="1592"/>
        <v/>
      </c>
      <c r="H1314" s="49"/>
      <c r="I1314" s="50">
        <f>+_xlfn.XLOOKUP($H1314&amp;$V1314,BASEDATOS!$B:$B,BASEDATOS!F:F,0,0,1)</f>
        <v>0</v>
      </c>
      <c r="J1314" s="51">
        <f>+_xlfn.XLOOKUP($H1314&amp;$V1314,BASEDATOS!$B:$B,BASEDATOS!Q:Q,0,0,1)</f>
        <v>0</v>
      </c>
      <c r="K1314" s="51">
        <f>+_xlfn.XLOOKUP($H1314&amp;$V1314,BASEDATOS!$B:$B,BASEDATOS!R:R,0,0,1)</f>
        <v>0</v>
      </c>
      <c r="L1314" s="51">
        <f t="shared" si="1593"/>
        <v>0</v>
      </c>
      <c r="M1314" s="52">
        <f t="shared" si="1594"/>
        <v>0</v>
      </c>
      <c r="N1314" s="51">
        <f t="shared" si="1595"/>
        <v>0</v>
      </c>
      <c r="O1314" s="53" t="str">
        <f t="shared" ref="O1314" si="1620">+O1316</f>
        <v>0-0-0</v>
      </c>
      <c r="P1314" s="54">
        <f>+IF(AND(Y1314="Domingo",U1314=7),_xlfn.XLOOKUP(O1314,'Horarios y Sistemas'!C:C,'Horarios y Sistemas'!H:H,0,0,1),0)</f>
        <v>0</v>
      </c>
      <c r="Q1314" s="54">
        <f>IF(U1314=U1315,0,IF(AVERAGEIF(W:W,W1314,U:U)=U1314,0,_xlfn.XLOOKUP(O1314,'Horarios y Sistemas'!C:C,'Horarios y Sistemas'!H:H,0,0,1)-P1314))/7*U1314</f>
        <v>0</v>
      </c>
      <c r="R1314" s="54">
        <f t="shared" si="1597"/>
        <v>0</v>
      </c>
      <c r="S1314" s="55" t="str">
        <f t="shared" si="1598"/>
        <v>ENERO</v>
      </c>
      <c r="T1314" s="55" t="str">
        <f t="shared" si="1599"/>
        <v>Sem52</v>
      </c>
      <c r="U1314" s="56">
        <f t="shared" si="1580"/>
        <v>196</v>
      </c>
      <c r="V1314" s="59"/>
      <c r="W1314" s="56">
        <f t="shared" si="1600"/>
        <v>52</v>
      </c>
      <c r="X1314" s="56">
        <f t="shared" si="1601"/>
        <v>0</v>
      </c>
      <c r="Y1314" s="56" t="s">
        <v>32</v>
      </c>
      <c r="Z1314" s="56">
        <v>5</v>
      </c>
      <c r="AA1314" s="58">
        <f t="shared" si="1583"/>
        <v>0</v>
      </c>
      <c r="AB1314" s="58">
        <f t="shared" si="1583"/>
        <v>0</v>
      </c>
      <c r="AC1314" s="58">
        <f t="shared" si="1583"/>
        <v>0</v>
      </c>
      <c r="AD1314" s="58">
        <f t="shared" si="1583"/>
        <v>0</v>
      </c>
      <c r="AE1314" s="58">
        <f t="shared" si="1583"/>
        <v>0</v>
      </c>
    </row>
    <row r="1315" spans="2:31">
      <c r="B1315" t="str">
        <f t="shared" si="1588"/>
        <v>Sem5252</v>
      </c>
      <c r="C1315" t="str">
        <f t="shared" si="1589"/>
        <v>ENEROSem52</v>
      </c>
      <c r="D1315" t="str">
        <f t="shared" si="1590"/>
        <v>ENEROSem52</v>
      </c>
      <c r="E1315" t="str">
        <f t="shared" si="1591"/>
        <v>ENEROSem5252</v>
      </c>
      <c r="F1315" t="str">
        <f t="shared" si="1592"/>
        <v/>
      </c>
      <c r="H1315" s="49"/>
      <c r="I1315" s="50">
        <f>+_xlfn.XLOOKUP($H1315&amp;$V1315,BASEDATOS!$B:$B,BASEDATOS!F:F,0,0,1)</f>
        <v>0</v>
      </c>
      <c r="J1315" s="51">
        <f>+_xlfn.XLOOKUP($H1315&amp;$V1315,BASEDATOS!$B:$B,BASEDATOS!Q:Q,0,0,1)</f>
        <v>0</v>
      </c>
      <c r="K1315" s="51">
        <f>+_xlfn.XLOOKUP($H1315&amp;$V1315,BASEDATOS!$B:$B,BASEDATOS!R:R,0,0,1)</f>
        <v>0</v>
      </c>
      <c r="L1315" s="51">
        <f t="shared" si="1593"/>
        <v>0</v>
      </c>
      <c r="M1315" s="52">
        <f t="shared" si="1594"/>
        <v>0</v>
      </c>
      <c r="N1315" s="51">
        <f t="shared" si="1595"/>
        <v>0</v>
      </c>
      <c r="O1315" s="53" t="str">
        <f t="shared" ref="O1315" si="1621">+O1316</f>
        <v>0-0-0</v>
      </c>
      <c r="P1315" s="54">
        <f>+IF(AND(Y1315="Domingo",U1315=7),_xlfn.XLOOKUP(O1315,'Horarios y Sistemas'!C:C,'Horarios y Sistemas'!H:H,0,0,1),0)</f>
        <v>0</v>
      </c>
      <c r="Q1315" s="54">
        <f>IF(U1315=U1316,0,IF(AVERAGEIF(W:W,W1315,U:U)=U1315,0,_xlfn.XLOOKUP(O1315,'Horarios y Sistemas'!C:C,'Horarios y Sistemas'!H:H,0,0,1)-P1315))/7*U1315</f>
        <v>0</v>
      </c>
      <c r="R1315" s="54">
        <f t="shared" si="1597"/>
        <v>0</v>
      </c>
      <c r="S1315" s="55" t="str">
        <f t="shared" si="1598"/>
        <v>ENERO</v>
      </c>
      <c r="T1315" s="55" t="str">
        <f t="shared" si="1599"/>
        <v>Sem52</v>
      </c>
      <c r="U1315" s="56">
        <f t="shared" si="1580"/>
        <v>196</v>
      </c>
      <c r="V1315" s="59"/>
      <c r="W1315" s="56">
        <f t="shared" si="1600"/>
        <v>52</v>
      </c>
      <c r="X1315" s="56">
        <f t="shared" si="1601"/>
        <v>0</v>
      </c>
      <c r="Y1315" s="56" t="s">
        <v>33</v>
      </c>
      <c r="Z1315" s="56">
        <v>6</v>
      </c>
      <c r="AA1315" s="58">
        <f t="shared" si="1583"/>
        <v>0</v>
      </c>
      <c r="AB1315" s="58">
        <f t="shared" si="1583"/>
        <v>0</v>
      </c>
      <c r="AC1315" s="58">
        <f t="shared" si="1583"/>
        <v>0</v>
      </c>
      <c r="AD1315" s="58">
        <f t="shared" si="1583"/>
        <v>0</v>
      </c>
      <c r="AE1315" s="58">
        <f t="shared" si="1583"/>
        <v>0</v>
      </c>
    </row>
    <row r="1316" spans="2:31">
      <c r="B1316" s="60" t="str">
        <f t="shared" si="1588"/>
        <v>Sem5252</v>
      </c>
      <c r="C1316" s="60" t="str">
        <f t="shared" si="1589"/>
        <v>ENEROSem52</v>
      </c>
      <c r="D1316" s="60" t="str">
        <f t="shared" si="1590"/>
        <v>ENEROSem52</v>
      </c>
      <c r="E1316" s="60" t="str">
        <f t="shared" si="1591"/>
        <v>ENEROSem5252</v>
      </c>
      <c r="F1316" s="60" t="str">
        <f t="shared" si="1592"/>
        <v/>
      </c>
      <c r="G1316" s="60"/>
      <c r="H1316" s="61"/>
      <c r="I1316" s="62">
        <f>+_xlfn.XLOOKUP($H1316&amp;$V1316,BASEDATOS!$B:$B,BASEDATOS!F:F,0,0,1)</f>
        <v>0</v>
      </c>
      <c r="J1316" s="63">
        <f>+_xlfn.XLOOKUP($H1316&amp;$V1316,BASEDATOS!$B:$B,BASEDATOS!Q:Q,0,0,1)</f>
        <v>0</v>
      </c>
      <c r="K1316" s="63">
        <f>+_xlfn.XLOOKUP($H1316&amp;$V1316,BASEDATOS!$B:$B,BASEDATOS!R:R,0,0,1)</f>
        <v>0</v>
      </c>
      <c r="L1316" s="63">
        <f t="shared" si="1593"/>
        <v>0</v>
      </c>
      <c r="M1316" s="64">
        <f t="shared" si="1594"/>
        <v>0</v>
      </c>
      <c r="N1316" s="63">
        <f t="shared" si="1595"/>
        <v>0</v>
      </c>
      <c r="O1316" s="65" t="str">
        <f t="shared" ref="O1316" si="1622">+IF(Y1316="Domingo",SUM(AA1310:AA1316)&amp;"-"&amp;SUM(AB1310:AB1316)&amp;"-"&amp;SUM(AC1310:AE1316),"")</f>
        <v>0-0-0</v>
      </c>
      <c r="P1316" s="66">
        <f>+IF(AND(Y1316="Domingo",U1316=7),_xlfn.XLOOKUP(O1316,'Horarios y Sistemas'!C:C,'Horarios y Sistemas'!H:H,0,0,1),0)</f>
        <v>0</v>
      </c>
      <c r="Q1316" s="66">
        <f>IF(U1316=U1317,0,IF(AVERAGEIF(W:W,W1316,U:U)=U1316,0,_xlfn.XLOOKUP(O1316,'Horarios y Sistemas'!C:C,'Horarios y Sistemas'!H:H,0,0,1)-P1316))/7*U1316</f>
        <v>0</v>
      </c>
      <c r="R1316" s="66">
        <f t="shared" si="1597"/>
        <v>0</v>
      </c>
      <c r="S1316" s="67" t="str">
        <f t="shared" si="1598"/>
        <v>ENERO</v>
      </c>
      <c r="T1316" s="55" t="str">
        <f t="shared" si="1599"/>
        <v>Sem52</v>
      </c>
      <c r="U1316" s="68">
        <f t="shared" si="1580"/>
        <v>196</v>
      </c>
      <c r="V1316" s="69"/>
      <c r="W1316" s="68">
        <f t="shared" si="1600"/>
        <v>52</v>
      </c>
      <c r="X1316" s="68">
        <f t="shared" si="1601"/>
        <v>0</v>
      </c>
      <c r="Y1316" s="68" t="s">
        <v>34</v>
      </c>
      <c r="Z1316" s="68">
        <v>7</v>
      </c>
      <c r="AA1316" s="70">
        <f t="shared" si="1583"/>
        <v>0</v>
      </c>
      <c r="AB1316" s="70">
        <f t="shared" si="1583"/>
        <v>0</v>
      </c>
      <c r="AC1316" s="70">
        <f t="shared" si="1583"/>
        <v>0</v>
      </c>
      <c r="AD1316" s="70">
        <f t="shared" si="1583"/>
        <v>0</v>
      </c>
      <c r="AE1316" s="70">
        <f t="shared" si="1583"/>
        <v>0</v>
      </c>
    </row>
    <row r="1317" spans="2:31">
      <c r="B1317" t="str">
        <f t="shared" si="1588"/>
        <v>Sem5252</v>
      </c>
      <c r="C1317" t="str">
        <f t="shared" si="1589"/>
        <v>ENEROSem52</v>
      </c>
      <c r="D1317" t="str">
        <f t="shared" si="1590"/>
        <v>ENEROSem52</v>
      </c>
      <c r="E1317" t="str">
        <f t="shared" si="1591"/>
        <v>ENEROSem5252</v>
      </c>
      <c r="F1317" t="str">
        <f t="shared" si="1592"/>
        <v/>
      </c>
      <c r="H1317" s="49"/>
      <c r="I1317" s="50">
        <f>+_xlfn.XLOOKUP($H1317&amp;$V1317,BASEDATOS!$B:$B,BASEDATOS!F:F,0,0,1)</f>
        <v>0</v>
      </c>
      <c r="J1317" s="51">
        <f>+_xlfn.XLOOKUP($H1317&amp;$V1317,BASEDATOS!$B:$B,BASEDATOS!Q:Q,0,0,1)</f>
        <v>0</v>
      </c>
      <c r="K1317" s="51">
        <f>+_xlfn.XLOOKUP($H1317&amp;$V1317,BASEDATOS!$B:$B,BASEDATOS!R:R,0,0,1)</f>
        <v>0</v>
      </c>
      <c r="L1317" s="51">
        <f t="shared" si="1593"/>
        <v>0</v>
      </c>
      <c r="M1317" s="52">
        <f t="shared" si="1594"/>
        <v>0</v>
      </c>
      <c r="N1317" s="51">
        <f t="shared" si="1595"/>
        <v>0</v>
      </c>
      <c r="O1317" s="53" t="str">
        <f t="shared" ref="O1317" si="1623">+O1323</f>
        <v>0-0-0</v>
      </c>
      <c r="P1317" s="54">
        <f>+IF(AND(Y1317="Domingo",U1317=7),_xlfn.XLOOKUP(O1317,'Horarios y Sistemas'!C:C,'Horarios y Sistemas'!H:H,0,0,1),0)</f>
        <v>0</v>
      </c>
      <c r="Q1317" s="54">
        <f>IF(U1317=U1318,0,IF(AVERAGEIF(W:W,W1317,U:U)=U1317,0,_xlfn.XLOOKUP(O1317,'Horarios y Sistemas'!C:C,'Horarios y Sistemas'!H:H,0,0,1)-P1317))/7*U1317</f>
        <v>0</v>
      </c>
      <c r="R1317" s="54">
        <f t="shared" si="1597"/>
        <v>0</v>
      </c>
      <c r="S1317" s="55" t="str">
        <f t="shared" si="1598"/>
        <v>ENERO</v>
      </c>
      <c r="T1317" s="55" t="str">
        <f t="shared" si="1599"/>
        <v>Sem52</v>
      </c>
      <c r="U1317" s="56">
        <f t="shared" si="1580"/>
        <v>196</v>
      </c>
      <c r="V1317" s="57"/>
      <c r="W1317" s="56">
        <f t="shared" si="1600"/>
        <v>52</v>
      </c>
      <c r="X1317" s="56">
        <f t="shared" si="1601"/>
        <v>0</v>
      </c>
      <c r="Y1317" s="56" t="s">
        <v>28</v>
      </c>
      <c r="Z1317" s="56">
        <v>1</v>
      </c>
      <c r="AA1317" s="58">
        <f t="shared" si="1583"/>
        <v>0</v>
      </c>
      <c r="AB1317" s="58">
        <f t="shared" si="1583"/>
        <v>0</v>
      </c>
      <c r="AC1317" s="58">
        <f t="shared" si="1583"/>
        <v>0</v>
      </c>
      <c r="AD1317" s="58">
        <f t="shared" si="1583"/>
        <v>0</v>
      </c>
      <c r="AE1317" s="58">
        <f t="shared" si="1583"/>
        <v>0</v>
      </c>
    </row>
    <row r="1318" spans="2:31">
      <c r="B1318" t="str">
        <f t="shared" si="1588"/>
        <v>Sem5252</v>
      </c>
      <c r="C1318" t="str">
        <f t="shared" si="1589"/>
        <v>ENEROSem52</v>
      </c>
      <c r="D1318" t="str">
        <f t="shared" si="1590"/>
        <v>ENEROSem52</v>
      </c>
      <c r="E1318" t="str">
        <f t="shared" si="1591"/>
        <v>ENEROSem5252</v>
      </c>
      <c r="F1318" t="str">
        <f t="shared" si="1592"/>
        <v/>
      </c>
      <c r="H1318" s="49"/>
      <c r="I1318" s="50">
        <f>+_xlfn.XLOOKUP($H1318&amp;$V1318,BASEDATOS!$B:$B,BASEDATOS!F:F,0,0,1)</f>
        <v>0</v>
      </c>
      <c r="J1318" s="51">
        <f>+_xlfn.XLOOKUP($H1318&amp;$V1318,BASEDATOS!$B:$B,BASEDATOS!Q:Q,0,0,1)</f>
        <v>0</v>
      </c>
      <c r="K1318" s="51">
        <f>+_xlfn.XLOOKUP($H1318&amp;$V1318,BASEDATOS!$B:$B,BASEDATOS!R:R,0,0,1)</f>
        <v>0</v>
      </c>
      <c r="L1318" s="51">
        <f t="shared" si="1593"/>
        <v>0</v>
      </c>
      <c r="M1318" s="52">
        <f t="shared" si="1594"/>
        <v>0</v>
      </c>
      <c r="N1318" s="51">
        <f t="shared" si="1595"/>
        <v>0</v>
      </c>
      <c r="O1318" s="53" t="str">
        <f t="shared" ref="O1318" si="1624">+O1323</f>
        <v>0-0-0</v>
      </c>
      <c r="P1318" s="54">
        <f>+IF(AND(Y1318="Domingo",U1318=7),_xlfn.XLOOKUP(O1318,'Horarios y Sistemas'!C:C,'Horarios y Sistemas'!H:H,0,0,1),0)</f>
        <v>0</v>
      </c>
      <c r="Q1318" s="54">
        <f>IF(U1318=U1319,0,IF(AVERAGEIF(W:W,W1318,U:U)=U1318,0,_xlfn.XLOOKUP(O1318,'Horarios y Sistemas'!C:C,'Horarios y Sistemas'!H:H,0,0,1)-P1318))/7*U1318</f>
        <v>0</v>
      </c>
      <c r="R1318" s="54">
        <f t="shared" si="1597"/>
        <v>0</v>
      </c>
      <c r="S1318" s="55" t="str">
        <f t="shared" si="1598"/>
        <v>ENERO</v>
      </c>
      <c r="T1318" s="55" t="str">
        <f t="shared" si="1599"/>
        <v>Sem52</v>
      </c>
      <c r="U1318" s="56">
        <f t="shared" si="1580"/>
        <v>196</v>
      </c>
      <c r="V1318" s="59"/>
      <c r="W1318" s="56">
        <f t="shared" si="1600"/>
        <v>52</v>
      </c>
      <c r="X1318" s="56">
        <f t="shared" si="1601"/>
        <v>0</v>
      </c>
      <c r="Y1318" s="56" t="s">
        <v>29</v>
      </c>
      <c r="Z1318" s="56">
        <v>2</v>
      </c>
      <c r="AA1318" s="58">
        <f t="shared" si="1583"/>
        <v>0</v>
      </c>
      <c r="AB1318" s="58">
        <f t="shared" si="1583"/>
        <v>0</v>
      </c>
      <c r="AC1318" s="58">
        <f t="shared" si="1583"/>
        <v>0</v>
      </c>
      <c r="AD1318" s="58">
        <f t="shared" si="1583"/>
        <v>0</v>
      </c>
      <c r="AE1318" s="58">
        <f t="shared" si="1583"/>
        <v>0</v>
      </c>
    </row>
    <row r="1319" spans="2:31">
      <c r="B1319" t="str">
        <f t="shared" si="1588"/>
        <v>Sem5252</v>
      </c>
      <c r="C1319" t="str">
        <f t="shared" si="1589"/>
        <v>ENEROSem52</v>
      </c>
      <c r="D1319" t="str">
        <f t="shared" si="1590"/>
        <v>ENEROSem52</v>
      </c>
      <c r="E1319" t="str">
        <f t="shared" si="1591"/>
        <v>ENEROSem5252</v>
      </c>
      <c r="F1319" t="str">
        <f t="shared" si="1592"/>
        <v/>
      </c>
      <c r="H1319" s="49"/>
      <c r="I1319" s="50">
        <f>+_xlfn.XLOOKUP($H1319&amp;$V1319,BASEDATOS!$B:$B,BASEDATOS!F:F,0,0,1)</f>
        <v>0</v>
      </c>
      <c r="J1319" s="51">
        <f>+_xlfn.XLOOKUP($H1319&amp;$V1319,BASEDATOS!$B:$B,BASEDATOS!Q:Q,0,0,1)</f>
        <v>0</v>
      </c>
      <c r="K1319" s="51">
        <f>+_xlfn.XLOOKUP($H1319&amp;$V1319,BASEDATOS!$B:$B,BASEDATOS!R:R,0,0,1)</f>
        <v>0</v>
      </c>
      <c r="L1319" s="51">
        <f t="shared" si="1593"/>
        <v>0</v>
      </c>
      <c r="M1319" s="52">
        <f t="shared" si="1594"/>
        <v>0</v>
      </c>
      <c r="N1319" s="51">
        <f t="shared" si="1595"/>
        <v>0</v>
      </c>
      <c r="O1319" s="53" t="str">
        <f t="shared" ref="O1319" si="1625">+O1323</f>
        <v>0-0-0</v>
      </c>
      <c r="P1319" s="54">
        <f>+IF(AND(Y1319="Domingo",U1319=7),_xlfn.XLOOKUP(O1319,'Horarios y Sistemas'!C:C,'Horarios y Sistemas'!H:H,0,0,1),0)</f>
        <v>0</v>
      </c>
      <c r="Q1319" s="54">
        <f>IF(U1319=U1320,0,IF(AVERAGEIF(W:W,W1319,U:U)=U1319,0,_xlfn.XLOOKUP(O1319,'Horarios y Sistemas'!C:C,'Horarios y Sistemas'!H:H,0,0,1)-P1319))/7*U1319</f>
        <v>0</v>
      </c>
      <c r="R1319" s="54">
        <f t="shared" si="1597"/>
        <v>0</v>
      </c>
      <c r="S1319" s="55" t="str">
        <f t="shared" si="1598"/>
        <v>ENERO</v>
      </c>
      <c r="T1319" s="55" t="str">
        <f t="shared" si="1599"/>
        <v>Sem52</v>
      </c>
      <c r="U1319" s="56">
        <f t="shared" si="1580"/>
        <v>196</v>
      </c>
      <c r="V1319" s="59"/>
      <c r="W1319" s="56">
        <f t="shared" si="1600"/>
        <v>52</v>
      </c>
      <c r="X1319" s="56">
        <f t="shared" si="1601"/>
        <v>0</v>
      </c>
      <c r="Y1319" s="56" t="s">
        <v>30</v>
      </c>
      <c r="Z1319" s="56">
        <v>3</v>
      </c>
      <c r="AA1319" s="58">
        <f t="shared" si="1583"/>
        <v>0</v>
      </c>
      <c r="AB1319" s="58">
        <f t="shared" si="1583"/>
        <v>0</v>
      </c>
      <c r="AC1319" s="58">
        <f t="shared" si="1583"/>
        <v>0</v>
      </c>
      <c r="AD1319" s="58">
        <f t="shared" si="1583"/>
        <v>0</v>
      </c>
      <c r="AE1319" s="58">
        <f t="shared" si="1583"/>
        <v>0</v>
      </c>
    </row>
    <row r="1320" spans="2:31">
      <c r="B1320" t="str">
        <f t="shared" si="1588"/>
        <v>Sem5252</v>
      </c>
      <c r="C1320" t="str">
        <f t="shared" si="1589"/>
        <v>ENEROSem52</v>
      </c>
      <c r="D1320" t="str">
        <f t="shared" si="1590"/>
        <v>ENEROSem52</v>
      </c>
      <c r="E1320" t="str">
        <f t="shared" si="1591"/>
        <v>ENEROSem5252</v>
      </c>
      <c r="F1320" t="str">
        <f t="shared" si="1592"/>
        <v/>
      </c>
      <c r="H1320" s="49"/>
      <c r="I1320" s="50">
        <f>+_xlfn.XLOOKUP($H1320&amp;$V1320,BASEDATOS!$B:$B,BASEDATOS!F:F,0,0,1)</f>
        <v>0</v>
      </c>
      <c r="J1320" s="51">
        <f>+_xlfn.XLOOKUP($H1320&amp;$V1320,BASEDATOS!$B:$B,BASEDATOS!Q:Q,0,0,1)</f>
        <v>0</v>
      </c>
      <c r="K1320" s="51">
        <f>+_xlfn.XLOOKUP($H1320&amp;$V1320,BASEDATOS!$B:$B,BASEDATOS!R:R,0,0,1)</f>
        <v>0</v>
      </c>
      <c r="L1320" s="51">
        <f t="shared" si="1593"/>
        <v>0</v>
      </c>
      <c r="M1320" s="52">
        <f t="shared" si="1594"/>
        <v>0</v>
      </c>
      <c r="N1320" s="51">
        <f t="shared" si="1595"/>
        <v>0</v>
      </c>
      <c r="O1320" s="53" t="str">
        <f t="shared" ref="O1320" si="1626">+O1323</f>
        <v>0-0-0</v>
      </c>
      <c r="P1320" s="54">
        <f>+IF(AND(Y1320="Domingo",U1320=7),_xlfn.XLOOKUP(O1320,'Horarios y Sistemas'!C:C,'Horarios y Sistemas'!H:H,0,0,1),0)</f>
        <v>0</v>
      </c>
      <c r="Q1320" s="54">
        <f>IF(U1320=U1321,0,IF(AVERAGEIF(W:W,W1320,U:U)=U1320,0,_xlfn.XLOOKUP(O1320,'Horarios y Sistemas'!C:C,'Horarios y Sistemas'!H:H,0,0,1)-P1320))/7*U1320</f>
        <v>0</v>
      </c>
      <c r="R1320" s="54">
        <f t="shared" si="1597"/>
        <v>0</v>
      </c>
      <c r="S1320" s="55" t="str">
        <f t="shared" si="1598"/>
        <v>ENERO</v>
      </c>
      <c r="T1320" s="55" t="str">
        <f t="shared" si="1599"/>
        <v>Sem52</v>
      </c>
      <c r="U1320" s="56">
        <f t="shared" si="1580"/>
        <v>196</v>
      </c>
      <c r="V1320" s="59"/>
      <c r="W1320" s="56">
        <f t="shared" si="1600"/>
        <v>52</v>
      </c>
      <c r="X1320" s="56">
        <f t="shared" si="1601"/>
        <v>0</v>
      </c>
      <c r="Y1320" s="56" t="s">
        <v>31</v>
      </c>
      <c r="Z1320" s="56">
        <v>4</v>
      </c>
      <c r="AA1320" s="58">
        <f t="shared" si="1583"/>
        <v>0</v>
      </c>
      <c r="AB1320" s="58">
        <f t="shared" si="1583"/>
        <v>0</v>
      </c>
      <c r="AC1320" s="58">
        <f t="shared" si="1583"/>
        <v>0</v>
      </c>
      <c r="AD1320" s="58">
        <f t="shared" si="1583"/>
        <v>0</v>
      </c>
      <c r="AE1320" s="58">
        <f t="shared" si="1583"/>
        <v>0</v>
      </c>
    </row>
    <row r="1321" spans="2:31">
      <c r="B1321" t="str">
        <f t="shared" si="1588"/>
        <v>Sem5252</v>
      </c>
      <c r="C1321" t="str">
        <f t="shared" si="1589"/>
        <v>ENEROSem52</v>
      </c>
      <c r="D1321" t="str">
        <f t="shared" si="1590"/>
        <v>ENEROSem52</v>
      </c>
      <c r="E1321" t="str">
        <f t="shared" si="1591"/>
        <v>ENEROSem5252</v>
      </c>
      <c r="F1321" t="str">
        <f t="shared" si="1592"/>
        <v/>
      </c>
      <c r="H1321" s="49"/>
      <c r="I1321" s="50">
        <f>+_xlfn.XLOOKUP($H1321&amp;$V1321,BASEDATOS!$B:$B,BASEDATOS!F:F,0,0,1)</f>
        <v>0</v>
      </c>
      <c r="J1321" s="51">
        <f>+_xlfn.XLOOKUP($H1321&amp;$V1321,BASEDATOS!$B:$B,BASEDATOS!Q:Q,0,0,1)</f>
        <v>0</v>
      </c>
      <c r="K1321" s="51">
        <f>+_xlfn.XLOOKUP($H1321&amp;$V1321,BASEDATOS!$B:$B,BASEDATOS!R:R,0,0,1)</f>
        <v>0</v>
      </c>
      <c r="L1321" s="51">
        <f t="shared" si="1593"/>
        <v>0</v>
      </c>
      <c r="M1321" s="52">
        <f t="shared" si="1594"/>
        <v>0</v>
      </c>
      <c r="N1321" s="51">
        <f t="shared" si="1595"/>
        <v>0</v>
      </c>
      <c r="O1321" s="53" t="str">
        <f t="shared" ref="O1321" si="1627">+O1323</f>
        <v>0-0-0</v>
      </c>
      <c r="P1321" s="54">
        <f>+IF(AND(Y1321="Domingo",U1321=7),_xlfn.XLOOKUP(O1321,'Horarios y Sistemas'!C:C,'Horarios y Sistemas'!H:H,0,0,1),0)</f>
        <v>0</v>
      </c>
      <c r="Q1321" s="54">
        <f>IF(U1321=U1322,0,IF(AVERAGEIF(W:W,W1321,U:U)=U1321,0,_xlfn.XLOOKUP(O1321,'Horarios y Sistemas'!C:C,'Horarios y Sistemas'!H:H,0,0,1)-P1321))/7*U1321</f>
        <v>0</v>
      </c>
      <c r="R1321" s="54">
        <f t="shared" si="1597"/>
        <v>0</v>
      </c>
      <c r="S1321" s="55" t="str">
        <f t="shared" si="1598"/>
        <v>ENERO</v>
      </c>
      <c r="T1321" s="55" t="str">
        <f t="shared" si="1599"/>
        <v>Sem52</v>
      </c>
      <c r="U1321" s="56">
        <f t="shared" si="1580"/>
        <v>196</v>
      </c>
      <c r="V1321" s="59"/>
      <c r="W1321" s="56">
        <f t="shared" si="1600"/>
        <v>52</v>
      </c>
      <c r="X1321" s="56">
        <f t="shared" si="1601"/>
        <v>0</v>
      </c>
      <c r="Y1321" s="56" t="s">
        <v>32</v>
      </c>
      <c r="Z1321" s="56">
        <v>5</v>
      </c>
      <c r="AA1321" s="58">
        <f t="shared" si="1583"/>
        <v>0</v>
      </c>
      <c r="AB1321" s="58">
        <f t="shared" si="1583"/>
        <v>0</v>
      </c>
      <c r="AC1321" s="58">
        <f t="shared" si="1583"/>
        <v>0</v>
      </c>
      <c r="AD1321" s="58">
        <f t="shared" si="1583"/>
        <v>0</v>
      </c>
      <c r="AE1321" s="58">
        <f t="shared" si="1583"/>
        <v>0</v>
      </c>
    </row>
    <row r="1322" spans="2:31">
      <c r="B1322" t="str">
        <f t="shared" si="1588"/>
        <v>Sem5252</v>
      </c>
      <c r="C1322" t="str">
        <f t="shared" si="1589"/>
        <v>ENEROSem52</v>
      </c>
      <c r="D1322" t="str">
        <f t="shared" si="1590"/>
        <v>ENEROSem52</v>
      </c>
      <c r="E1322" t="str">
        <f t="shared" si="1591"/>
        <v>ENEROSem5252</v>
      </c>
      <c r="F1322" t="str">
        <f t="shared" si="1592"/>
        <v/>
      </c>
      <c r="H1322" s="49"/>
      <c r="I1322" s="50">
        <f>+_xlfn.XLOOKUP($H1322&amp;$V1322,BASEDATOS!$B:$B,BASEDATOS!F:F,0,0,1)</f>
        <v>0</v>
      </c>
      <c r="J1322" s="51">
        <f>+_xlfn.XLOOKUP($H1322&amp;$V1322,BASEDATOS!$B:$B,BASEDATOS!Q:Q,0,0,1)</f>
        <v>0</v>
      </c>
      <c r="K1322" s="51">
        <f>+_xlfn.XLOOKUP($H1322&amp;$V1322,BASEDATOS!$B:$B,BASEDATOS!R:R,0,0,1)</f>
        <v>0</v>
      </c>
      <c r="L1322" s="51">
        <f t="shared" si="1593"/>
        <v>0</v>
      </c>
      <c r="M1322" s="52">
        <f t="shared" si="1594"/>
        <v>0</v>
      </c>
      <c r="N1322" s="51">
        <f t="shared" si="1595"/>
        <v>0</v>
      </c>
      <c r="O1322" s="53" t="str">
        <f t="shared" ref="O1322" si="1628">+O1323</f>
        <v>0-0-0</v>
      </c>
      <c r="P1322" s="54">
        <f>+IF(AND(Y1322="Domingo",U1322=7),_xlfn.XLOOKUP(O1322,'Horarios y Sistemas'!C:C,'Horarios y Sistemas'!H:H,0,0,1),0)</f>
        <v>0</v>
      </c>
      <c r="Q1322" s="54">
        <f>IF(U1322=U1323,0,IF(AVERAGEIF(W:W,W1322,U:U)=U1322,0,_xlfn.XLOOKUP(O1322,'Horarios y Sistemas'!C:C,'Horarios y Sistemas'!H:H,0,0,1)-P1322))/7*U1322</f>
        <v>0</v>
      </c>
      <c r="R1322" s="54">
        <f t="shared" si="1597"/>
        <v>0</v>
      </c>
      <c r="S1322" s="55" t="str">
        <f t="shared" si="1598"/>
        <v>ENERO</v>
      </c>
      <c r="T1322" s="55" t="str">
        <f t="shared" si="1599"/>
        <v>Sem52</v>
      </c>
      <c r="U1322" s="56">
        <f t="shared" si="1580"/>
        <v>196</v>
      </c>
      <c r="V1322" s="59"/>
      <c r="W1322" s="56">
        <f t="shared" si="1600"/>
        <v>52</v>
      </c>
      <c r="X1322" s="56">
        <f t="shared" si="1601"/>
        <v>0</v>
      </c>
      <c r="Y1322" s="56" t="s">
        <v>33</v>
      </c>
      <c r="Z1322" s="56">
        <v>6</v>
      </c>
      <c r="AA1322" s="58">
        <f t="shared" si="1583"/>
        <v>0</v>
      </c>
      <c r="AB1322" s="58">
        <f t="shared" si="1583"/>
        <v>0</v>
      </c>
      <c r="AC1322" s="58">
        <f t="shared" si="1583"/>
        <v>0</v>
      </c>
      <c r="AD1322" s="58">
        <f t="shared" si="1583"/>
        <v>0</v>
      </c>
      <c r="AE1322" s="58">
        <f t="shared" si="1583"/>
        <v>0</v>
      </c>
    </row>
    <row r="1323" spans="2:31">
      <c r="B1323" s="60" t="str">
        <f t="shared" si="1588"/>
        <v>Sem5252</v>
      </c>
      <c r="C1323" s="60" t="str">
        <f t="shared" si="1589"/>
        <v>ENEROSem52</v>
      </c>
      <c r="D1323" s="60" t="str">
        <f t="shared" si="1590"/>
        <v>ENEROSem52</v>
      </c>
      <c r="E1323" s="60" t="str">
        <f t="shared" si="1591"/>
        <v>ENEROSem5252</v>
      </c>
      <c r="F1323" s="60" t="str">
        <f t="shared" si="1592"/>
        <v/>
      </c>
      <c r="G1323" s="60"/>
      <c r="H1323" s="61"/>
      <c r="I1323" s="62">
        <f>+_xlfn.XLOOKUP($H1323&amp;$V1323,BASEDATOS!$B:$B,BASEDATOS!F:F,0,0,1)</f>
        <v>0</v>
      </c>
      <c r="J1323" s="63">
        <f>+_xlfn.XLOOKUP($H1323&amp;$V1323,BASEDATOS!$B:$B,BASEDATOS!Q:Q,0,0,1)</f>
        <v>0</v>
      </c>
      <c r="K1323" s="63">
        <f>+_xlfn.XLOOKUP($H1323&amp;$V1323,BASEDATOS!$B:$B,BASEDATOS!R:R,0,0,1)</f>
        <v>0</v>
      </c>
      <c r="L1323" s="63">
        <f t="shared" si="1593"/>
        <v>0</v>
      </c>
      <c r="M1323" s="64">
        <f t="shared" si="1594"/>
        <v>0</v>
      </c>
      <c r="N1323" s="63">
        <f t="shared" si="1595"/>
        <v>0</v>
      </c>
      <c r="O1323" s="65" t="str">
        <f t="shared" ref="O1323" si="1629">+IF(Y1323="Domingo",SUM(AA1317:AA1323)&amp;"-"&amp;SUM(AB1317:AB1323)&amp;"-"&amp;SUM(AC1317:AE1323),"")</f>
        <v>0-0-0</v>
      </c>
      <c r="P1323" s="66">
        <f>+IF(AND(Y1323="Domingo",U1323=7),_xlfn.XLOOKUP(O1323,'Horarios y Sistemas'!C:C,'Horarios y Sistemas'!H:H,0,0,1),0)</f>
        <v>0</v>
      </c>
      <c r="Q1323" s="66">
        <f>IF(U1323=U1324,0,IF(AVERAGEIF(W:W,W1323,U:U)=U1323,0,_xlfn.XLOOKUP(O1323,'Horarios y Sistemas'!C:C,'Horarios y Sistemas'!H:H,0,0,1)-P1323))/7*U1323</f>
        <v>0</v>
      </c>
      <c r="R1323" s="66">
        <f t="shared" si="1597"/>
        <v>0</v>
      </c>
      <c r="S1323" s="67" t="str">
        <f t="shared" si="1598"/>
        <v>ENERO</v>
      </c>
      <c r="T1323" s="55" t="str">
        <f t="shared" si="1599"/>
        <v>Sem52</v>
      </c>
      <c r="U1323" s="68">
        <f t="shared" si="1580"/>
        <v>196</v>
      </c>
      <c r="V1323" s="69"/>
      <c r="W1323" s="68">
        <f t="shared" si="1600"/>
        <v>52</v>
      </c>
      <c r="X1323" s="68">
        <f t="shared" si="1601"/>
        <v>0</v>
      </c>
      <c r="Y1323" s="68" t="s">
        <v>34</v>
      </c>
      <c r="Z1323" s="68">
        <v>7</v>
      </c>
      <c r="AA1323" s="70">
        <f t="shared" si="1583"/>
        <v>0</v>
      </c>
      <c r="AB1323" s="70">
        <f t="shared" si="1583"/>
        <v>0</v>
      </c>
      <c r="AC1323" s="70">
        <f t="shared" si="1583"/>
        <v>0</v>
      </c>
      <c r="AD1323" s="70">
        <f t="shared" si="1583"/>
        <v>0</v>
      </c>
      <c r="AE1323" s="70">
        <f t="shared" si="1583"/>
        <v>0</v>
      </c>
    </row>
    <row r="1324" spans="2:31">
      <c r="B1324" t="str">
        <f t="shared" si="1588"/>
        <v>Sem5252</v>
      </c>
      <c r="C1324" t="str">
        <f t="shared" si="1589"/>
        <v>ENEROSem52</v>
      </c>
      <c r="D1324" t="str">
        <f t="shared" si="1590"/>
        <v>ENEROSem52</v>
      </c>
      <c r="E1324" t="str">
        <f t="shared" si="1591"/>
        <v>ENEROSem5252</v>
      </c>
      <c r="F1324" t="str">
        <f t="shared" si="1592"/>
        <v/>
      </c>
      <c r="H1324" s="49"/>
      <c r="I1324" s="50">
        <f>+_xlfn.XLOOKUP($H1324&amp;$V1324,BASEDATOS!$B:$B,BASEDATOS!F:F,0,0,1)</f>
        <v>0</v>
      </c>
      <c r="J1324" s="51">
        <f>+_xlfn.XLOOKUP($H1324&amp;$V1324,BASEDATOS!$B:$B,BASEDATOS!Q:Q,0,0,1)</f>
        <v>0</v>
      </c>
      <c r="K1324" s="51">
        <f>+_xlfn.XLOOKUP($H1324&amp;$V1324,BASEDATOS!$B:$B,BASEDATOS!R:R,0,0,1)</f>
        <v>0</v>
      </c>
      <c r="L1324" s="51">
        <f t="shared" si="1593"/>
        <v>0</v>
      </c>
      <c r="M1324" s="52">
        <f t="shared" si="1594"/>
        <v>0</v>
      </c>
      <c r="N1324" s="51">
        <f t="shared" si="1595"/>
        <v>0</v>
      </c>
      <c r="O1324" s="53" t="str">
        <f t="shared" ref="O1324" si="1630">+O1330</f>
        <v>0-0-0</v>
      </c>
      <c r="P1324" s="54">
        <f>+IF(AND(Y1324="Domingo",U1324=7),_xlfn.XLOOKUP(O1324,'Horarios y Sistemas'!C:C,'Horarios y Sistemas'!H:H,0,0,1),0)</f>
        <v>0</v>
      </c>
      <c r="Q1324" s="54">
        <f>IF(U1324=U1325,0,IF(AVERAGEIF(W:W,W1324,U:U)=U1324,0,_xlfn.XLOOKUP(O1324,'Horarios y Sistemas'!C:C,'Horarios y Sistemas'!H:H,0,0,1)-P1324))/7*U1324</f>
        <v>0</v>
      </c>
      <c r="R1324" s="54">
        <f t="shared" si="1597"/>
        <v>0</v>
      </c>
      <c r="S1324" s="55" t="str">
        <f t="shared" si="1598"/>
        <v>ENERO</v>
      </c>
      <c r="T1324" s="55" t="str">
        <f t="shared" si="1599"/>
        <v>Sem52</v>
      </c>
      <c r="U1324" s="56">
        <f t="shared" si="1580"/>
        <v>196</v>
      </c>
      <c r="V1324" s="59"/>
      <c r="W1324" s="56">
        <f t="shared" si="1600"/>
        <v>52</v>
      </c>
      <c r="X1324" s="56">
        <f t="shared" si="1601"/>
        <v>0</v>
      </c>
      <c r="Y1324" s="56" t="s">
        <v>28</v>
      </c>
      <c r="Z1324" s="56">
        <v>1</v>
      </c>
      <c r="AA1324" s="58">
        <f t="shared" si="1583"/>
        <v>0</v>
      </c>
      <c r="AB1324" s="58">
        <f t="shared" si="1583"/>
        <v>0</v>
      </c>
      <c r="AC1324" s="58">
        <f t="shared" si="1583"/>
        <v>0</v>
      </c>
      <c r="AD1324" s="58">
        <f t="shared" si="1583"/>
        <v>0</v>
      </c>
      <c r="AE1324" s="58">
        <f t="shared" si="1583"/>
        <v>0</v>
      </c>
    </row>
    <row r="1325" spans="2:31">
      <c r="B1325" t="str">
        <f t="shared" si="1588"/>
        <v>Sem5252</v>
      </c>
      <c r="C1325" t="str">
        <f t="shared" si="1589"/>
        <v>ENEROSem52</v>
      </c>
      <c r="D1325" t="str">
        <f t="shared" si="1590"/>
        <v>ENEROSem52</v>
      </c>
      <c r="E1325" t="str">
        <f t="shared" si="1591"/>
        <v>ENEROSem5252</v>
      </c>
      <c r="F1325" t="str">
        <f t="shared" si="1592"/>
        <v/>
      </c>
      <c r="H1325" s="49"/>
      <c r="I1325" s="50">
        <f>+_xlfn.XLOOKUP($H1325&amp;$V1325,BASEDATOS!$B:$B,BASEDATOS!F:F,0,0,1)</f>
        <v>0</v>
      </c>
      <c r="J1325" s="51">
        <f>+_xlfn.XLOOKUP($H1325&amp;$V1325,BASEDATOS!$B:$B,BASEDATOS!Q:Q,0,0,1)</f>
        <v>0</v>
      </c>
      <c r="K1325" s="51">
        <f>+_xlfn.XLOOKUP($H1325&amp;$V1325,BASEDATOS!$B:$B,BASEDATOS!R:R,0,0,1)</f>
        <v>0</v>
      </c>
      <c r="L1325" s="51">
        <f t="shared" si="1593"/>
        <v>0</v>
      </c>
      <c r="M1325" s="52">
        <f t="shared" si="1594"/>
        <v>0</v>
      </c>
      <c r="N1325" s="51">
        <f t="shared" si="1595"/>
        <v>0</v>
      </c>
      <c r="O1325" s="53" t="str">
        <f t="shared" ref="O1325" si="1631">+O1330</f>
        <v>0-0-0</v>
      </c>
      <c r="P1325" s="54">
        <f>+IF(AND(Y1325="Domingo",U1325=7),_xlfn.XLOOKUP(O1325,'Horarios y Sistemas'!C:C,'Horarios y Sistemas'!H:H,0,0,1),0)</f>
        <v>0</v>
      </c>
      <c r="Q1325" s="54">
        <f>IF(U1325=U1326,0,IF(AVERAGEIF(W:W,W1325,U:U)=U1325,0,_xlfn.XLOOKUP(O1325,'Horarios y Sistemas'!C:C,'Horarios y Sistemas'!H:H,0,0,1)-P1325))/7*U1325</f>
        <v>0</v>
      </c>
      <c r="R1325" s="54">
        <f t="shared" si="1597"/>
        <v>0</v>
      </c>
      <c r="S1325" s="55" t="str">
        <f t="shared" si="1598"/>
        <v>ENERO</v>
      </c>
      <c r="T1325" s="55" t="str">
        <f t="shared" si="1599"/>
        <v>Sem52</v>
      </c>
      <c r="U1325" s="56">
        <f t="shared" si="1580"/>
        <v>196</v>
      </c>
      <c r="V1325" s="59"/>
      <c r="W1325" s="56">
        <f t="shared" si="1600"/>
        <v>52</v>
      </c>
      <c r="X1325" s="56">
        <f t="shared" si="1601"/>
        <v>0</v>
      </c>
      <c r="Y1325" s="56" t="s">
        <v>29</v>
      </c>
      <c r="Z1325" s="56">
        <v>2</v>
      </c>
      <c r="AA1325" s="58">
        <f t="shared" si="1583"/>
        <v>0</v>
      </c>
      <c r="AB1325" s="58">
        <f t="shared" si="1583"/>
        <v>0</v>
      </c>
      <c r="AC1325" s="58">
        <f t="shared" si="1583"/>
        <v>0</v>
      </c>
      <c r="AD1325" s="58">
        <f t="shared" si="1583"/>
        <v>0</v>
      </c>
      <c r="AE1325" s="58">
        <f t="shared" si="1583"/>
        <v>0</v>
      </c>
    </row>
    <row r="1326" spans="2:31">
      <c r="B1326" t="str">
        <f t="shared" si="1588"/>
        <v>Sem5252</v>
      </c>
      <c r="C1326" t="str">
        <f t="shared" si="1589"/>
        <v>ENEROSem52</v>
      </c>
      <c r="D1326" t="str">
        <f t="shared" si="1590"/>
        <v>ENEROSem52</v>
      </c>
      <c r="E1326" t="str">
        <f t="shared" si="1591"/>
        <v>ENEROSem5252</v>
      </c>
      <c r="F1326" t="str">
        <f t="shared" si="1592"/>
        <v/>
      </c>
      <c r="H1326" s="49"/>
      <c r="I1326" s="50">
        <f>+_xlfn.XLOOKUP($H1326&amp;$V1326,BASEDATOS!$B:$B,BASEDATOS!F:F,0,0,1)</f>
        <v>0</v>
      </c>
      <c r="J1326" s="51">
        <f>+_xlfn.XLOOKUP($H1326&amp;$V1326,BASEDATOS!$B:$B,BASEDATOS!Q:Q,0,0,1)</f>
        <v>0</v>
      </c>
      <c r="K1326" s="51">
        <f>+_xlfn.XLOOKUP($H1326&amp;$V1326,BASEDATOS!$B:$B,BASEDATOS!R:R,0,0,1)</f>
        <v>0</v>
      </c>
      <c r="L1326" s="51">
        <f t="shared" si="1593"/>
        <v>0</v>
      </c>
      <c r="M1326" s="52">
        <f t="shared" si="1594"/>
        <v>0</v>
      </c>
      <c r="N1326" s="51">
        <f t="shared" si="1595"/>
        <v>0</v>
      </c>
      <c r="O1326" s="53" t="str">
        <f t="shared" ref="O1326" si="1632">+O1330</f>
        <v>0-0-0</v>
      </c>
      <c r="P1326" s="54">
        <f>+IF(AND(Y1326="Domingo",U1326=7),_xlfn.XLOOKUP(O1326,'Horarios y Sistemas'!C:C,'Horarios y Sistemas'!H:H,0,0,1),0)</f>
        <v>0</v>
      </c>
      <c r="Q1326" s="54">
        <f>IF(U1326=U1327,0,IF(AVERAGEIF(W:W,W1326,U:U)=U1326,0,_xlfn.XLOOKUP(O1326,'Horarios y Sistemas'!C:C,'Horarios y Sistemas'!H:H,0,0,1)-P1326))/7*U1326</f>
        <v>0</v>
      </c>
      <c r="R1326" s="54">
        <f t="shared" si="1597"/>
        <v>0</v>
      </c>
      <c r="S1326" s="55" t="str">
        <f t="shared" si="1598"/>
        <v>ENERO</v>
      </c>
      <c r="T1326" s="55" t="str">
        <f t="shared" si="1599"/>
        <v>Sem52</v>
      </c>
      <c r="U1326" s="56">
        <f t="shared" si="1580"/>
        <v>196</v>
      </c>
      <c r="V1326" s="59"/>
      <c r="W1326" s="56">
        <f t="shared" si="1600"/>
        <v>52</v>
      </c>
      <c r="X1326" s="56">
        <f t="shared" si="1601"/>
        <v>0</v>
      </c>
      <c r="Y1326" s="56" t="s">
        <v>30</v>
      </c>
      <c r="Z1326" s="56">
        <v>3</v>
      </c>
      <c r="AA1326" s="58">
        <f t="shared" si="1583"/>
        <v>0</v>
      </c>
      <c r="AB1326" s="58">
        <f t="shared" si="1583"/>
        <v>0</v>
      </c>
      <c r="AC1326" s="58">
        <f t="shared" si="1583"/>
        <v>0</v>
      </c>
      <c r="AD1326" s="58">
        <f t="shared" si="1583"/>
        <v>0</v>
      </c>
      <c r="AE1326" s="58">
        <f t="shared" si="1583"/>
        <v>0</v>
      </c>
    </row>
    <row r="1327" spans="2:31">
      <c r="B1327" t="str">
        <f t="shared" si="1588"/>
        <v>Sem5252</v>
      </c>
      <c r="C1327" t="str">
        <f t="shared" si="1589"/>
        <v>ENEROSem52</v>
      </c>
      <c r="D1327" t="str">
        <f t="shared" si="1590"/>
        <v>ENEROSem52</v>
      </c>
      <c r="E1327" t="str">
        <f t="shared" si="1591"/>
        <v>ENEROSem5252</v>
      </c>
      <c r="F1327" t="str">
        <f t="shared" si="1592"/>
        <v/>
      </c>
      <c r="H1327" s="49"/>
      <c r="I1327" s="50">
        <f>+_xlfn.XLOOKUP($H1327&amp;$V1327,BASEDATOS!$B:$B,BASEDATOS!F:F,0,0,1)</f>
        <v>0</v>
      </c>
      <c r="J1327" s="51">
        <f>+_xlfn.XLOOKUP($H1327&amp;$V1327,BASEDATOS!$B:$B,BASEDATOS!Q:Q,0,0,1)</f>
        <v>0</v>
      </c>
      <c r="K1327" s="51">
        <f>+_xlfn.XLOOKUP($H1327&amp;$V1327,BASEDATOS!$B:$B,BASEDATOS!R:R,0,0,1)</f>
        <v>0</v>
      </c>
      <c r="L1327" s="51">
        <f t="shared" si="1593"/>
        <v>0</v>
      </c>
      <c r="M1327" s="52">
        <f t="shared" si="1594"/>
        <v>0</v>
      </c>
      <c r="N1327" s="51">
        <f t="shared" si="1595"/>
        <v>0</v>
      </c>
      <c r="O1327" s="53" t="str">
        <f t="shared" ref="O1327" si="1633">+O1330</f>
        <v>0-0-0</v>
      </c>
      <c r="P1327" s="54">
        <f>+IF(AND(Y1327="Domingo",U1327=7),_xlfn.XLOOKUP(O1327,'Horarios y Sistemas'!C:C,'Horarios y Sistemas'!H:H,0,0,1),0)</f>
        <v>0</v>
      </c>
      <c r="Q1327" s="54">
        <f>IF(U1327=U1328,0,IF(AVERAGEIF(W:W,W1327,U:U)=U1327,0,_xlfn.XLOOKUP(O1327,'Horarios y Sistemas'!C:C,'Horarios y Sistemas'!H:H,0,0,1)-P1327))/7*U1327</f>
        <v>0</v>
      </c>
      <c r="R1327" s="54">
        <f t="shared" si="1597"/>
        <v>0</v>
      </c>
      <c r="S1327" s="55" t="str">
        <f t="shared" si="1598"/>
        <v>ENERO</v>
      </c>
      <c r="T1327" s="55" t="str">
        <f t="shared" si="1599"/>
        <v>Sem52</v>
      </c>
      <c r="U1327" s="56">
        <f t="shared" si="1580"/>
        <v>196</v>
      </c>
      <c r="V1327" s="59"/>
      <c r="W1327" s="56">
        <f t="shared" si="1600"/>
        <v>52</v>
      </c>
      <c r="X1327" s="56">
        <f t="shared" si="1601"/>
        <v>0</v>
      </c>
      <c r="Y1327" s="56" t="s">
        <v>31</v>
      </c>
      <c r="Z1327" s="56">
        <v>4</v>
      </c>
      <c r="AA1327" s="58">
        <f t="shared" si="1583"/>
        <v>0</v>
      </c>
      <c r="AB1327" s="58">
        <f t="shared" si="1583"/>
        <v>0</v>
      </c>
      <c r="AC1327" s="58">
        <f t="shared" si="1583"/>
        <v>0</v>
      </c>
      <c r="AD1327" s="58">
        <f t="shared" si="1583"/>
        <v>0</v>
      </c>
      <c r="AE1327" s="58">
        <f t="shared" si="1583"/>
        <v>0</v>
      </c>
    </row>
    <row r="1328" spans="2:31">
      <c r="B1328" t="str">
        <f t="shared" si="1588"/>
        <v>Sem5252</v>
      </c>
      <c r="C1328" t="str">
        <f t="shared" si="1589"/>
        <v>ENEROSem52</v>
      </c>
      <c r="D1328" t="str">
        <f t="shared" si="1590"/>
        <v>ENEROSem52</v>
      </c>
      <c r="E1328" t="str">
        <f t="shared" si="1591"/>
        <v>ENEROSem5252</v>
      </c>
      <c r="F1328" t="str">
        <f t="shared" si="1592"/>
        <v/>
      </c>
      <c r="H1328" s="49"/>
      <c r="I1328" s="50">
        <f>+_xlfn.XLOOKUP($H1328&amp;$V1328,BASEDATOS!$B:$B,BASEDATOS!F:F,0,0,1)</f>
        <v>0</v>
      </c>
      <c r="J1328" s="51">
        <f>+_xlfn.XLOOKUP($H1328&amp;$V1328,BASEDATOS!$B:$B,BASEDATOS!Q:Q,0,0,1)</f>
        <v>0</v>
      </c>
      <c r="K1328" s="51">
        <f>+_xlfn.XLOOKUP($H1328&amp;$V1328,BASEDATOS!$B:$B,BASEDATOS!R:R,0,0,1)</f>
        <v>0</v>
      </c>
      <c r="L1328" s="51">
        <f t="shared" si="1593"/>
        <v>0</v>
      </c>
      <c r="M1328" s="52">
        <f t="shared" si="1594"/>
        <v>0</v>
      </c>
      <c r="N1328" s="51">
        <f t="shared" si="1595"/>
        <v>0</v>
      </c>
      <c r="O1328" s="53" t="str">
        <f t="shared" ref="O1328" si="1634">+O1330</f>
        <v>0-0-0</v>
      </c>
      <c r="P1328" s="54">
        <f>+IF(AND(Y1328="Domingo",U1328=7),_xlfn.XLOOKUP(O1328,'Horarios y Sistemas'!C:C,'Horarios y Sistemas'!H:H,0,0,1),0)</f>
        <v>0</v>
      </c>
      <c r="Q1328" s="54">
        <f>IF(U1328=U1329,0,IF(AVERAGEIF(W:W,W1328,U:U)=U1328,0,_xlfn.XLOOKUP(O1328,'Horarios y Sistemas'!C:C,'Horarios y Sistemas'!H:H,0,0,1)-P1328))/7*U1328</f>
        <v>0</v>
      </c>
      <c r="R1328" s="54">
        <f t="shared" si="1597"/>
        <v>0</v>
      </c>
      <c r="S1328" s="55" t="str">
        <f t="shared" si="1598"/>
        <v>ENERO</v>
      </c>
      <c r="T1328" s="55" t="str">
        <f t="shared" si="1599"/>
        <v>Sem52</v>
      </c>
      <c r="U1328" s="56">
        <f t="shared" si="1580"/>
        <v>196</v>
      </c>
      <c r="V1328" s="59"/>
      <c r="W1328" s="56">
        <f t="shared" si="1600"/>
        <v>52</v>
      </c>
      <c r="X1328" s="56">
        <f t="shared" si="1601"/>
        <v>0</v>
      </c>
      <c r="Y1328" s="56" t="s">
        <v>32</v>
      </c>
      <c r="Z1328" s="56">
        <v>5</v>
      </c>
      <c r="AA1328" s="58">
        <f t="shared" si="1583"/>
        <v>0</v>
      </c>
      <c r="AB1328" s="58">
        <f t="shared" si="1583"/>
        <v>0</v>
      </c>
      <c r="AC1328" s="58">
        <f t="shared" si="1583"/>
        <v>0</v>
      </c>
      <c r="AD1328" s="58">
        <f t="shared" si="1583"/>
        <v>0</v>
      </c>
      <c r="AE1328" s="58">
        <f t="shared" si="1583"/>
        <v>0</v>
      </c>
    </row>
    <row r="1329" spans="2:31">
      <c r="B1329" t="str">
        <f t="shared" si="1588"/>
        <v>Sem5252</v>
      </c>
      <c r="C1329" t="str">
        <f t="shared" si="1589"/>
        <v>ENEROSem52</v>
      </c>
      <c r="D1329" t="str">
        <f t="shared" si="1590"/>
        <v>ENEROSem52</v>
      </c>
      <c r="E1329" t="str">
        <f t="shared" si="1591"/>
        <v>ENEROSem5252</v>
      </c>
      <c r="F1329" t="str">
        <f t="shared" si="1592"/>
        <v/>
      </c>
      <c r="H1329" s="49"/>
      <c r="I1329" s="50">
        <f>+_xlfn.XLOOKUP($H1329&amp;$V1329,BASEDATOS!$B:$B,BASEDATOS!F:F,0,0,1)</f>
        <v>0</v>
      </c>
      <c r="J1329" s="51">
        <f>+_xlfn.XLOOKUP($H1329&amp;$V1329,BASEDATOS!$B:$B,BASEDATOS!Q:Q,0,0,1)</f>
        <v>0</v>
      </c>
      <c r="K1329" s="51">
        <f>+_xlfn.XLOOKUP($H1329&amp;$V1329,BASEDATOS!$B:$B,BASEDATOS!R:R,0,0,1)</f>
        <v>0</v>
      </c>
      <c r="L1329" s="51">
        <f t="shared" si="1593"/>
        <v>0</v>
      </c>
      <c r="M1329" s="52">
        <f t="shared" si="1594"/>
        <v>0</v>
      </c>
      <c r="N1329" s="51">
        <f t="shared" si="1595"/>
        <v>0</v>
      </c>
      <c r="O1329" s="53" t="str">
        <f t="shared" ref="O1329" si="1635">+O1330</f>
        <v>0-0-0</v>
      </c>
      <c r="P1329" s="54">
        <f>+IF(AND(Y1329="Domingo",U1329=7),_xlfn.XLOOKUP(O1329,'Horarios y Sistemas'!C:C,'Horarios y Sistemas'!H:H,0,0,1),0)</f>
        <v>0</v>
      </c>
      <c r="Q1329" s="54">
        <f>IF(U1329=U1330,0,IF(AVERAGEIF(W:W,W1329,U:U)=U1329,0,_xlfn.XLOOKUP(O1329,'Horarios y Sistemas'!C:C,'Horarios y Sistemas'!H:H,0,0,1)-P1329))/7*U1329</f>
        <v>0</v>
      </c>
      <c r="R1329" s="54">
        <f t="shared" si="1597"/>
        <v>0</v>
      </c>
      <c r="S1329" s="55" t="str">
        <f t="shared" si="1598"/>
        <v>ENERO</v>
      </c>
      <c r="T1329" s="55" t="str">
        <f t="shared" si="1599"/>
        <v>Sem52</v>
      </c>
      <c r="U1329" s="56">
        <f t="shared" si="1580"/>
        <v>196</v>
      </c>
      <c r="V1329" s="59"/>
      <c r="W1329" s="56">
        <f t="shared" si="1600"/>
        <v>52</v>
      </c>
      <c r="X1329" s="56">
        <f t="shared" si="1601"/>
        <v>0</v>
      </c>
      <c r="Y1329" s="56" t="s">
        <v>33</v>
      </c>
      <c r="Z1329" s="56">
        <v>6</v>
      </c>
      <c r="AA1329" s="58">
        <f t="shared" si="1583"/>
        <v>0</v>
      </c>
      <c r="AB1329" s="58">
        <f t="shared" si="1583"/>
        <v>0</v>
      </c>
      <c r="AC1329" s="58">
        <f t="shared" si="1583"/>
        <v>0</v>
      </c>
      <c r="AD1329" s="58">
        <f t="shared" si="1583"/>
        <v>0</v>
      </c>
      <c r="AE1329" s="58">
        <f t="shared" si="1583"/>
        <v>0</v>
      </c>
    </row>
    <row r="1330" spans="2:31">
      <c r="B1330" s="60" t="str">
        <f t="shared" si="1588"/>
        <v>Sem5252</v>
      </c>
      <c r="C1330" s="60" t="str">
        <f t="shared" si="1589"/>
        <v>ENEROSem52</v>
      </c>
      <c r="D1330" s="60" t="str">
        <f t="shared" si="1590"/>
        <v>ENEROSem52</v>
      </c>
      <c r="E1330" s="60" t="str">
        <f t="shared" si="1591"/>
        <v>ENEROSem5252</v>
      </c>
      <c r="F1330" s="60" t="str">
        <f t="shared" si="1592"/>
        <v/>
      </c>
      <c r="G1330" s="60"/>
      <c r="H1330" s="61"/>
      <c r="I1330" s="62">
        <f>+_xlfn.XLOOKUP($H1330&amp;$V1330,BASEDATOS!$B:$B,BASEDATOS!F:F,0,0,1)</f>
        <v>0</v>
      </c>
      <c r="J1330" s="63">
        <f>+_xlfn.XLOOKUP($H1330&amp;$V1330,BASEDATOS!$B:$B,BASEDATOS!Q:Q,0,0,1)</f>
        <v>0</v>
      </c>
      <c r="K1330" s="63">
        <f>+_xlfn.XLOOKUP($H1330&amp;$V1330,BASEDATOS!$B:$B,BASEDATOS!R:R,0,0,1)</f>
        <v>0</v>
      </c>
      <c r="L1330" s="63">
        <f t="shared" si="1593"/>
        <v>0</v>
      </c>
      <c r="M1330" s="64">
        <f t="shared" si="1594"/>
        <v>0</v>
      </c>
      <c r="N1330" s="63">
        <f t="shared" si="1595"/>
        <v>0</v>
      </c>
      <c r="O1330" s="65" t="str">
        <f t="shared" ref="O1330" si="1636">+IF(Y1330="Domingo",SUM(AA1324:AA1330)&amp;"-"&amp;SUM(AB1324:AB1330)&amp;"-"&amp;SUM(AC1324:AE1330),"")</f>
        <v>0-0-0</v>
      </c>
      <c r="P1330" s="66">
        <f>+IF(AND(Y1330="Domingo",U1330=7),_xlfn.XLOOKUP(O1330,'Horarios y Sistemas'!C:C,'Horarios y Sistemas'!H:H,0,0,1),0)</f>
        <v>0</v>
      </c>
      <c r="Q1330" s="66">
        <f>IF(U1330=U1331,0,IF(AVERAGEIF(W:W,W1330,U:U)=U1330,0,_xlfn.XLOOKUP(O1330,'Horarios y Sistemas'!C:C,'Horarios y Sistemas'!H:H,0,0,1)-P1330))/7*U1330</f>
        <v>0</v>
      </c>
      <c r="R1330" s="66">
        <f t="shared" si="1597"/>
        <v>0</v>
      </c>
      <c r="S1330" s="67" t="str">
        <f t="shared" si="1598"/>
        <v>ENERO</v>
      </c>
      <c r="T1330" s="55" t="str">
        <f t="shared" si="1599"/>
        <v>Sem52</v>
      </c>
      <c r="U1330" s="68">
        <f t="shared" si="1580"/>
        <v>196</v>
      </c>
      <c r="V1330" s="69"/>
      <c r="W1330" s="68">
        <f t="shared" si="1600"/>
        <v>52</v>
      </c>
      <c r="X1330" s="68">
        <f t="shared" si="1601"/>
        <v>0</v>
      </c>
      <c r="Y1330" s="68" t="s">
        <v>34</v>
      </c>
      <c r="Z1330" s="68">
        <v>7</v>
      </c>
      <c r="AA1330" s="70">
        <f t="shared" si="1583"/>
        <v>0</v>
      </c>
      <c r="AB1330" s="70">
        <f t="shared" si="1583"/>
        <v>0</v>
      </c>
      <c r="AC1330" s="70">
        <f t="shared" si="1583"/>
        <v>0</v>
      </c>
      <c r="AD1330" s="70">
        <f t="shared" si="1583"/>
        <v>0</v>
      </c>
      <c r="AE1330" s="70">
        <f t="shared" si="1583"/>
        <v>0</v>
      </c>
    </row>
    <row r="1331" spans="2:31">
      <c r="B1331" t="str">
        <f t="shared" si="1588"/>
        <v>Sem5252</v>
      </c>
      <c r="C1331" t="str">
        <f t="shared" si="1589"/>
        <v>ENEROSem52</v>
      </c>
      <c r="D1331" t="str">
        <f t="shared" si="1590"/>
        <v>ENEROSem52</v>
      </c>
      <c r="E1331" t="str">
        <f t="shared" si="1591"/>
        <v>ENEROSem5252</v>
      </c>
      <c r="F1331" t="str">
        <f t="shared" si="1592"/>
        <v/>
      </c>
      <c r="H1331" s="49"/>
      <c r="I1331" s="50">
        <f>+_xlfn.XLOOKUP($H1331&amp;$V1331,BASEDATOS!$B:$B,BASEDATOS!F:F,0,0,1)</f>
        <v>0</v>
      </c>
      <c r="J1331" s="51">
        <f>+_xlfn.XLOOKUP($H1331&amp;$V1331,BASEDATOS!$B:$B,BASEDATOS!Q:Q,0,0,1)</f>
        <v>0</v>
      </c>
      <c r="K1331" s="51">
        <f>+_xlfn.XLOOKUP($H1331&amp;$V1331,BASEDATOS!$B:$B,BASEDATOS!R:R,0,0,1)</f>
        <v>0</v>
      </c>
      <c r="L1331" s="51">
        <f t="shared" si="1593"/>
        <v>0</v>
      </c>
      <c r="M1331" s="52">
        <f t="shared" si="1594"/>
        <v>0</v>
      </c>
      <c r="N1331" s="51">
        <f t="shared" si="1595"/>
        <v>0</v>
      </c>
      <c r="O1331" s="53" t="str">
        <f t="shared" ref="O1331" si="1637">+O1337</f>
        <v>0-0-0</v>
      </c>
      <c r="P1331" s="54">
        <f>+IF(AND(Y1331="Domingo",U1331=7),_xlfn.XLOOKUP(O1331,'Horarios y Sistemas'!C:C,'Horarios y Sistemas'!H:H,0,0,1),0)</f>
        <v>0</v>
      </c>
      <c r="Q1331" s="54">
        <f>IF(U1331=U1332,0,IF(AVERAGEIF(W:W,W1331,U:U)=U1331,0,_xlfn.XLOOKUP(O1331,'Horarios y Sistemas'!C:C,'Horarios y Sistemas'!H:H,0,0,1)-P1331))/7*U1331</f>
        <v>0</v>
      </c>
      <c r="R1331" s="54">
        <f t="shared" si="1597"/>
        <v>0</v>
      </c>
      <c r="S1331" s="55" t="str">
        <f t="shared" si="1598"/>
        <v>ENERO</v>
      </c>
      <c r="T1331" s="55" t="str">
        <f t="shared" si="1599"/>
        <v>Sem52</v>
      </c>
      <c r="U1331" s="56">
        <f t="shared" si="1580"/>
        <v>196</v>
      </c>
      <c r="V1331" s="59"/>
      <c r="W1331" s="56">
        <f t="shared" si="1600"/>
        <v>52</v>
      </c>
      <c r="X1331" s="56">
        <f t="shared" si="1601"/>
        <v>0</v>
      </c>
      <c r="Y1331" s="56" t="s">
        <v>28</v>
      </c>
      <c r="Z1331" s="56">
        <v>1</v>
      </c>
      <c r="AA1331" s="58">
        <f t="shared" si="1583"/>
        <v>0</v>
      </c>
      <c r="AB1331" s="58">
        <f t="shared" si="1583"/>
        <v>0</v>
      </c>
      <c r="AC1331" s="58">
        <f t="shared" si="1583"/>
        <v>0</v>
      </c>
      <c r="AD1331" s="58">
        <f t="shared" si="1583"/>
        <v>0</v>
      </c>
      <c r="AE1331" s="58">
        <f t="shared" si="1583"/>
        <v>0</v>
      </c>
    </row>
    <row r="1332" spans="2:31">
      <c r="B1332" t="str">
        <f t="shared" si="1588"/>
        <v>Sem5252</v>
      </c>
      <c r="C1332" t="str">
        <f t="shared" si="1589"/>
        <v>ENEROSem52</v>
      </c>
      <c r="D1332" t="str">
        <f t="shared" si="1590"/>
        <v>ENEROSem52</v>
      </c>
      <c r="E1332" t="str">
        <f t="shared" si="1591"/>
        <v>ENEROSem5252</v>
      </c>
      <c r="F1332" t="str">
        <f t="shared" si="1592"/>
        <v/>
      </c>
      <c r="H1332" s="49"/>
      <c r="I1332" s="50">
        <f>+_xlfn.XLOOKUP($H1332&amp;$V1332,BASEDATOS!$B:$B,BASEDATOS!F:F,0,0,1)</f>
        <v>0</v>
      </c>
      <c r="J1332" s="51">
        <f>+_xlfn.XLOOKUP($H1332&amp;$V1332,BASEDATOS!$B:$B,BASEDATOS!Q:Q,0,0,1)</f>
        <v>0</v>
      </c>
      <c r="K1332" s="51">
        <f>+_xlfn.XLOOKUP($H1332&amp;$V1332,BASEDATOS!$B:$B,BASEDATOS!R:R,0,0,1)</f>
        <v>0</v>
      </c>
      <c r="L1332" s="51">
        <f t="shared" si="1593"/>
        <v>0</v>
      </c>
      <c r="M1332" s="52">
        <f t="shared" si="1594"/>
        <v>0</v>
      </c>
      <c r="N1332" s="51">
        <f t="shared" si="1595"/>
        <v>0</v>
      </c>
      <c r="O1332" s="53" t="str">
        <f t="shared" ref="O1332" si="1638">+O1337</f>
        <v>0-0-0</v>
      </c>
      <c r="P1332" s="54">
        <f>+IF(AND(Y1332="Domingo",U1332=7),_xlfn.XLOOKUP(O1332,'Horarios y Sistemas'!C:C,'Horarios y Sistemas'!H:H,0,0,1),0)</f>
        <v>0</v>
      </c>
      <c r="Q1332" s="54">
        <f>IF(U1332=U1333,0,IF(AVERAGEIF(W:W,W1332,U:U)=U1332,0,_xlfn.XLOOKUP(O1332,'Horarios y Sistemas'!C:C,'Horarios y Sistemas'!H:H,0,0,1)-P1332))/7*U1332</f>
        <v>0</v>
      </c>
      <c r="R1332" s="54">
        <f t="shared" si="1597"/>
        <v>0</v>
      </c>
      <c r="S1332" s="55" t="str">
        <f t="shared" si="1598"/>
        <v>ENERO</v>
      </c>
      <c r="T1332" s="55" t="str">
        <f t="shared" si="1599"/>
        <v>Sem52</v>
      </c>
      <c r="U1332" s="56">
        <f t="shared" si="1580"/>
        <v>196</v>
      </c>
      <c r="V1332" s="59"/>
      <c r="W1332" s="56">
        <f t="shared" si="1600"/>
        <v>52</v>
      </c>
      <c r="X1332" s="56">
        <f t="shared" si="1601"/>
        <v>0</v>
      </c>
      <c r="Y1332" s="56" t="s">
        <v>29</v>
      </c>
      <c r="Z1332" s="56">
        <v>2</v>
      </c>
      <c r="AA1332" s="58">
        <f t="shared" si="1583"/>
        <v>0</v>
      </c>
      <c r="AB1332" s="58">
        <f t="shared" si="1583"/>
        <v>0</v>
      </c>
      <c r="AC1332" s="58">
        <f t="shared" si="1583"/>
        <v>0</v>
      </c>
      <c r="AD1332" s="58">
        <f t="shared" si="1583"/>
        <v>0</v>
      </c>
      <c r="AE1332" s="58">
        <f t="shared" si="1583"/>
        <v>0</v>
      </c>
    </row>
    <row r="1333" spans="2:31">
      <c r="B1333" t="str">
        <f t="shared" si="1588"/>
        <v>Sem5252</v>
      </c>
      <c r="C1333" t="str">
        <f t="shared" si="1589"/>
        <v>ENEROSem52</v>
      </c>
      <c r="D1333" t="str">
        <f t="shared" si="1590"/>
        <v>ENEROSem52</v>
      </c>
      <c r="E1333" t="str">
        <f t="shared" si="1591"/>
        <v>ENEROSem5252</v>
      </c>
      <c r="F1333" t="str">
        <f t="shared" si="1592"/>
        <v/>
      </c>
      <c r="H1333" s="49"/>
      <c r="I1333" s="50">
        <f>+_xlfn.XLOOKUP($H1333&amp;$V1333,BASEDATOS!$B:$B,BASEDATOS!F:F,0,0,1)</f>
        <v>0</v>
      </c>
      <c r="J1333" s="51">
        <f>+_xlfn.XLOOKUP($H1333&amp;$V1333,BASEDATOS!$B:$B,BASEDATOS!Q:Q,0,0,1)</f>
        <v>0</v>
      </c>
      <c r="K1333" s="51">
        <f>+_xlfn.XLOOKUP($H1333&amp;$V1333,BASEDATOS!$B:$B,BASEDATOS!R:R,0,0,1)</f>
        <v>0</v>
      </c>
      <c r="L1333" s="51">
        <f t="shared" si="1593"/>
        <v>0</v>
      </c>
      <c r="M1333" s="52">
        <f t="shared" si="1594"/>
        <v>0</v>
      </c>
      <c r="N1333" s="51">
        <f t="shared" si="1595"/>
        <v>0</v>
      </c>
      <c r="O1333" s="53" t="str">
        <f t="shared" ref="O1333" si="1639">+O1337</f>
        <v>0-0-0</v>
      </c>
      <c r="P1333" s="54">
        <f>+IF(AND(Y1333="Domingo",U1333=7),_xlfn.XLOOKUP(O1333,'Horarios y Sistemas'!C:C,'Horarios y Sistemas'!H:H,0,0,1),0)</f>
        <v>0</v>
      </c>
      <c r="Q1333" s="54">
        <f>IF(U1333=U1334,0,IF(AVERAGEIF(W:W,W1333,U:U)=U1333,0,_xlfn.XLOOKUP(O1333,'Horarios y Sistemas'!C:C,'Horarios y Sistemas'!H:H,0,0,1)-P1333))/7*U1333</f>
        <v>0</v>
      </c>
      <c r="R1333" s="54">
        <f t="shared" si="1597"/>
        <v>0</v>
      </c>
      <c r="S1333" s="55" t="str">
        <f t="shared" si="1598"/>
        <v>ENERO</v>
      </c>
      <c r="T1333" s="55" t="str">
        <f t="shared" si="1599"/>
        <v>Sem52</v>
      </c>
      <c r="U1333" s="56">
        <f t="shared" si="1580"/>
        <v>196</v>
      </c>
      <c r="V1333" s="59"/>
      <c r="W1333" s="56">
        <f t="shared" si="1600"/>
        <v>52</v>
      </c>
      <c r="X1333" s="56">
        <f t="shared" si="1601"/>
        <v>0</v>
      </c>
      <c r="Y1333" s="56" t="s">
        <v>30</v>
      </c>
      <c r="Z1333" s="56">
        <v>3</v>
      </c>
      <c r="AA1333" s="58">
        <f t="shared" si="1583"/>
        <v>0</v>
      </c>
      <c r="AB1333" s="58">
        <f t="shared" si="1583"/>
        <v>0</v>
      </c>
      <c r="AC1333" s="58">
        <f t="shared" si="1583"/>
        <v>0</v>
      </c>
      <c r="AD1333" s="58">
        <f t="shared" si="1583"/>
        <v>0</v>
      </c>
      <c r="AE1333" s="58">
        <f t="shared" si="1583"/>
        <v>0</v>
      </c>
    </row>
    <row r="1334" spans="2:31">
      <c r="B1334" t="str">
        <f t="shared" si="1588"/>
        <v>Sem5252</v>
      </c>
      <c r="C1334" t="str">
        <f t="shared" si="1589"/>
        <v>ENEROSem52</v>
      </c>
      <c r="D1334" t="str">
        <f t="shared" si="1590"/>
        <v>ENEROSem52</v>
      </c>
      <c r="E1334" t="str">
        <f t="shared" si="1591"/>
        <v>ENEROSem5252</v>
      </c>
      <c r="F1334" t="str">
        <f t="shared" si="1592"/>
        <v/>
      </c>
      <c r="H1334" s="49"/>
      <c r="I1334" s="50">
        <f>+_xlfn.XLOOKUP($H1334&amp;$V1334,BASEDATOS!$B:$B,BASEDATOS!F:F,0,0,1)</f>
        <v>0</v>
      </c>
      <c r="J1334" s="51">
        <f>+_xlfn.XLOOKUP($H1334&amp;$V1334,BASEDATOS!$B:$B,BASEDATOS!Q:Q,0,0,1)</f>
        <v>0</v>
      </c>
      <c r="K1334" s="51">
        <f>+_xlfn.XLOOKUP($H1334&amp;$V1334,BASEDATOS!$B:$B,BASEDATOS!R:R,0,0,1)</f>
        <v>0</v>
      </c>
      <c r="L1334" s="51">
        <f t="shared" si="1593"/>
        <v>0</v>
      </c>
      <c r="M1334" s="52">
        <f t="shared" si="1594"/>
        <v>0</v>
      </c>
      <c r="N1334" s="51">
        <f t="shared" si="1595"/>
        <v>0</v>
      </c>
      <c r="O1334" s="53" t="str">
        <f t="shared" ref="O1334" si="1640">+O1337</f>
        <v>0-0-0</v>
      </c>
      <c r="P1334" s="54">
        <f>+IF(AND(Y1334="Domingo",U1334=7),_xlfn.XLOOKUP(O1334,'Horarios y Sistemas'!C:C,'Horarios y Sistemas'!H:H,0,0,1),0)</f>
        <v>0</v>
      </c>
      <c r="Q1334" s="54">
        <f>IF(U1334=U1335,0,IF(AVERAGEIF(W:W,W1334,U:U)=U1334,0,_xlfn.XLOOKUP(O1334,'Horarios y Sistemas'!C:C,'Horarios y Sistemas'!H:H,0,0,1)-P1334))/7*U1334</f>
        <v>0</v>
      </c>
      <c r="R1334" s="54">
        <f t="shared" si="1597"/>
        <v>0</v>
      </c>
      <c r="S1334" s="55" t="str">
        <f t="shared" si="1598"/>
        <v>ENERO</v>
      </c>
      <c r="T1334" s="55" t="str">
        <f t="shared" si="1599"/>
        <v>Sem52</v>
      </c>
      <c r="U1334" s="56">
        <f t="shared" si="1580"/>
        <v>196</v>
      </c>
      <c r="V1334" s="59"/>
      <c r="W1334" s="56">
        <f t="shared" si="1600"/>
        <v>52</v>
      </c>
      <c r="X1334" s="56">
        <f t="shared" si="1601"/>
        <v>0</v>
      </c>
      <c r="Y1334" s="56" t="s">
        <v>31</v>
      </c>
      <c r="Z1334" s="56">
        <v>4</v>
      </c>
      <c r="AA1334" s="58">
        <f t="shared" si="1583"/>
        <v>0</v>
      </c>
      <c r="AB1334" s="58">
        <f t="shared" si="1583"/>
        <v>0</v>
      </c>
      <c r="AC1334" s="58">
        <f t="shared" si="1583"/>
        <v>0</v>
      </c>
      <c r="AD1334" s="58">
        <f t="shared" si="1583"/>
        <v>0</v>
      </c>
      <c r="AE1334" s="58">
        <f t="shared" si="1583"/>
        <v>0</v>
      </c>
    </row>
    <row r="1335" spans="2:31">
      <c r="B1335" t="str">
        <f t="shared" si="1588"/>
        <v>Sem5252</v>
      </c>
      <c r="C1335" t="str">
        <f t="shared" si="1589"/>
        <v>ENEROSem52</v>
      </c>
      <c r="D1335" t="str">
        <f t="shared" si="1590"/>
        <v>ENEROSem52</v>
      </c>
      <c r="E1335" t="str">
        <f t="shared" si="1591"/>
        <v>ENEROSem5252</v>
      </c>
      <c r="F1335" t="str">
        <f t="shared" si="1592"/>
        <v/>
      </c>
      <c r="H1335" s="49"/>
      <c r="I1335" s="50">
        <f>+_xlfn.XLOOKUP($H1335&amp;$V1335,BASEDATOS!$B:$B,BASEDATOS!F:F,0,0,1)</f>
        <v>0</v>
      </c>
      <c r="J1335" s="51">
        <f>+_xlfn.XLOOKUP($H1335&amp;$V1335,BASEDATOS!$B:$B,BASEDATOS!Q:Q,0,0,1)</f>
        <v>0</v>
      </c>
      <c r="K1335" s="51">
        <f>+_xlfn.XLOOKUP($H1335&amp;$V1335,BASEDATOS!$B:$B,BASEDATOS!R:R,0,0,1)</f>
        <v>0</v>
      </c>
      <c r="L1335" s="51">
        <f t="shared" si="1593"/>
        <v>0</v>
      </c>
      <c r="M1335" s="52">
        <f t="shared" si="1594"/>
        <v>0</v>
      </c>
      <c r="N1335" s="51">
        <f t="shared" si="1595"/>
        <v>0</v>
      </c>
      <c r="O1335" s="53" t="str">
        <f t="shared" ref="O1335" si="1641">+O1337</f>
        <v>0-0-0</v>
      </c>
      <c r="P1335" s="54">
        <f>+IF(AND(Y1335="Domingo",U1335=7),_xlfn.XLOOKUP(O1335,'Horarios y Sistemas'!C:C,'Horarios y Sistemas'!H:H,0,0,1),0)</f>
        <v>0</v>
      </c>
      <c r="Q1335" s="54">
        <f>IF(U1335=U1336,0,IF(AVERAGEIF(W:W,W1335,U:U)=U1335,0,_xlfn.XLOOKUP(O1335,'Horarios y Sistemas'!C:C,'Horarios y Sistemas'!H:H,0,0,1)-P1335))/7*U1335</f>
        <v>0</v>
      </c>
      <c r="R1335" s="54">
        <f t="shared" si="1597"/>
        <v>0</v>
      </c>
      <c r="S1335" s="55" t="str">
        <f t="shared" si="1598"/>
        <v>ENERO</v>
      </c>
      <c r="T1335" s="55" t="str">
        <f t="shared" si="1599"/>
        <v>Sem52</v>
      </c>
      <c r="U1335" s="56">
        <f t="shared" si="1580"/>
        <v>196</v>
      </c>
      <c r="V1335" s="59"/>
      <c r="W1335" s="56">
        <f t="shared" si="1600"/>
        <v>52</v>
      </c>
      <c r="X1335" s="56">
        <f t="shared" si="1601"/>
        <v>0</v>
      </c>
      <c r="Y1335" s="56" t="s">
        <v>32</v>
      </c>
      <c r="Z1335" s="56">
        <v>5</v>
      </c>
      <c r="AA1335" s="58">
        <f t="shared" si="1583"/>
        <v>0</v>
      </c>
      <c r="AB1335" s="58">
        <f t="shared" si="1583"/>
        <v>0</v>
      </c>
      <c r="AC1335" s="58">
        <f t="shared" si="1583"/>
        <v>0</v>
      </c>
      <c r="AD1335" s="58">
        <f t="shared" si="1583"/>
        <v>0</v>
      </c>
      <c r="AE1335" s="58">
        <f t="shared" si="1583"/>
        <v>0</v>
      </c>
    </row>
    <row r="1336" spans="2:31">
      <c r="B1336" t="str">
        <f t="shared" si="1588"/>
        <v>Sem5252</v>
      </c>
      <c r="C1336" t="str">
        <f t="shared" si="1589"/>
        <v>ENEROSem52</v>
      </c>
      <c r="D1336" t="str">
        <f t="shared" si="1590"/>
        <v>ENEROSem52</v>
      </c>
      <c r="E1336" t="str">
        <f t="shared" si="1591"/>
        <v>ENEROSem5252</v>
      </c>
      <c r="F1336" t="str">
        <f t="shared" si="1592"/>
        <v/>
      </c>
      <c r="H1336" s="49"/>
      <c r="I1336" s="50">
        <f>+_xlfn.XLOOKUP($H1336&amp;$V1336,BASEDATOS!$B:$B,BASEDATOS!F:F,0,0,1)</f>
        <v>0</v>
      </c>
      <c r="J1336" s="51">
        <f>+_xlfn.XLOOKUP($H1336&amp;$V1336,BASEDATOS!$B:$B,BASEDATOS!Q:Q,0,0,1)</f>
        <v>0</v>
      </c>
      <c r="K1336" s="51">
        <f>+_xlfn.XLOOKUP($H1336&amp;$V1336,BASEDATOS!$B:$B,BASEDATOS!R:R,0,0,1)</f>
        <v>0</v>
      </c>
      <c r="L1336" s="51">
        <f t="shared" si="1593"/>
        <v>0</v>
      </c>
      <c r="M1336" s="52">
        <f t="shared" si="1594"/>
        <v>0</v>
      </c>
      <c r="N1336" s="51">
        <f t="shared" si="1595"/>
        <v>0</v>
      </c>
      <c r="O1336" s="53" t="str">
        <f t="shared" ref="O1336" si="1642">+O1337</f>
        <v>0-0-0</v>
      </c>
      <c r="P1336" s="54">
        <f>+IF(AND(Y1336="Domingo",U1336=7),_xlfn.XLOOKUP(O1336,'Horarios y Sistemas'!C:C,'Horarios y Sistemas'!H:H,0,0,1),0)</f>
        <v>0</v>
      </c>
      <c r="Q1336" s="54">
        <f>IF(U1336=U1337,0,IF(AVERAGEIF(W:W,W1336,U:U)=U1336,0,_xlfn.XLOOKUP(O1336,'Horarios y Sistemas'!C:C,'Horarios y Sistemas'!H:H,0,0,1)-P1336))/7*U1336</f>
        <v>0</v>
      </c>
      <c r="R1336" s="54">
        <f t="shared" si="1597"/>
        <v>0</v>
      </c>
      <c r="S1336" s="55" t="str">
        <f t="shared" si="1598"/>
        <v>ENERO</v>
      </c>
      <c r="T1336" s="55" t="str">
        <f t="shared" si="1599"/>
        <v>Sem52</v>
      </c>
      <c r="U1336" s="56">
        <f t="shared" si="1580"/>
        <v>196</v>
      </c>
      <c r="V1336" s="59"/>
      <c r="W1336" s="56">
        <f t="shared" si="1600"/>
        <v>52</v>
      </c>
      <c r="X1336" s="56">
        <f t="shared" si="1601"/>
        <v>0</v>
      </c>
      <c r="Y1336" s="56" t="s">
        <v>33</v>
      </c>
      <c r="Z1336" s="56">
        <v>6</v>
      </c>
      <c r="AA1336" s="58">
        <f t="shared" si="1583"/>
        <v>0</v>
      </c>
      <c r="AB1336" s="58">
        <f t="shared" si="1583"/>
        <v>0</v>
      </c>
      <c r="AC1336" s="58">
        <f t="shared" si="1583"/>
        <v>0</v>
      </c>
      <c r="AD1336" s="58">
        <f t="shared" si="1583"/>
        <v>0</v>
      </c>
      <c r="AE1336" s="58">
        <f t="shared" si="1583"/>
        <v>0</v>
      </c>
    </row>
    <row r="1337" spans="2:31">
      <c r="B1337" s="60" t="str">
        <f t="shared" si="1588"/>
        <v>Sem5252</v>
      </c>
      <c r="C1337" s="60" t="str">
        <f t="shared" si="1589"/>
        <v>ENEROSem52</v>
      </c>
      <c r="D1337" s="60" t="str">
        <f t="shared" si="1590"/>
        <v>ENEROSem52</v>
      </c>
      <c r="E1337" s="60" t="str">
        <f t="shared" si="1591"/>
        <v>ENEROSem5252</v>
      </c>
      <c r="F1337" s="60" t="str">
        <f t="shared" si="1592"/>
        <v/>
      </c>
      <c r="G1337" s="60"/>
      <c r="H1337" s="61"/>
      <c r="I1337" s="62">
        <f>+_xlfn.XLOOKUP($H1337&amp;$V1337,BASEDATOS!$B:$B,BASEDATOS!F:F,0,0,1)</f>
        <v>0</v>
      </c>
      <c r="J1337" s="63">
        <f>+_xlfn.XLOOKUP($H1337&amp;$V1337,BASEDATOS!$B:$B,BASEDATOS!Q:Q,0,0,1)</f>
        <v>0</v>
      </c>
      <c r="K1337" s="63">
        <f>+_xlfn.XLOOKUP($H1337&amp;$V1337,BASEDATOS!$B:$B,BASEDATOS!R:R,0,0,1)</f>
        <v>0</v>
      </c>
      <c r="L1337" s="63">
        <f t="shared" si="1593"/>
        <v>0</v>
      </c>
      <c r="M1337" s="64">
        <f t="shared" si="1594"/>
        <v>0</v>
      </c>
      <c r="N1337" s="63">
        <f t="shared" si="1595"/>
        <v>0</v>
      </c>
      <c r="O1337" s="65" t="str">
        <f t="shared" ref="O1337" si="1643">+IF(Y1337="Domingo",SUM(AA1331:AA1337)&amp;"-"&amp;SUM(AB1331:AB1337)&amp;"-"&amp;SUM(AC1331:AE1337),"")</f>
        <v>0-0-0</v>
      </c>
      <c r="P1337" s="66">
        <f>+IF(AND(Y1337="Domingo",U1337=7),_xlfn.XLOOKUP(O1337,'Horarios y Sistemas'!C:C,'Horarios y Sistemas'!H:H,0,0,1),0)</f>
        <v>0</v>
      </c>
      <c r="Q1337" s="66">
        <f>IF(U1337=U1338,0,IF(AVERAGEIF(W:W,W1337,U:U)=U1337,0,_xlfn.XLOOKUP(O1337,'Horarios y Sistemas'!C:C,'Horarios y Sistemas'!H:H,0,0,1)-P1337))/7*U1337</f>
        <v>0</v>
      </c>
      <c r="R1337" s="66">
        <f t="shared" si="1597"/>
        <v>0</v>
      </c>
      <c r="S1337" s="67" t="str">
        <f t="shared" si="1598"/>
        <v>ENERO</v>
      </c>
      <c r="T1337" s="55" t="str">
        <f t="shared" si="1599"/>
        <v>Sem52</v>
      </c>
      <c r="U1337" s="68">
        <f t="shared" si="1580"/>
        <v>196</v>
      </c>
      <c r="V1337" s="69"/>
      <c r="W1337" s="68">
        <f t="shared" si="1600"/>
        <v>52</v>
      </c>
      <c r="X1337" s="68">
        <f t="shared" si="1601"/>
        <v>0</v>
      </c>
      <c r="Y1337" s="68" t="s">
        <v>34</v>
      </c>
      <c r="Z1337" s="68">
        <v>7</v>
      </c>
      <c r="AA1337" s="70">
        <f t="shared" si="1583"/>
        <v>0</v>
      </c>
      <c r="AB1337" s="70">
        <f t="shared" si="1583"/>
        <v>0</v>
      </c>
      <c r="AC1337" s="70">
        <f t="shared" si="1583"/>
        <v>0</v>
      </c>
      <c r="AD1337" s="70">
        <f t="shared" si="1583"/>
        <v>0</v>
      </c>
      <c r="AE1337" s="70">
        <f t="shared" si="1583"/>
        <v>0</v>
      </c>
    </row>
    <row r="1338" spans="2:31">
      <c r="B1338" t="str">
        <f t="shared" si="1588"/>
        <v>Sem5252</v>
      </c>
      <c r="C1338" t="str">
        <f t="shared" si="1589"/>
        <v>ENEROSem52</v>
      </c>
      <c r="D1338" t="str">
        <f t="shared" si="1590"/>
        <v>ENEROSem52</v>
      </c>
      <c r="E1338" t="str">
        <f t="shared" si="1591"/>
        <v>ENEROSem5252</v>
      </c>
      <c r="F1338" t="str">
        <f t="shared" si="1592"/>
        <v/>
      </c>
      <c r="H1338" s="49"/>
      <c r="I1338" s="50">
        <f>+_xlfn.XLOOKUP($H1338&amp;$V1338,BASEDATOS!$B:$B,BASEDATOS!F:F,0,0,1)</f>
        <v>0</v>
      </c>
      <c r="J1338" s="51">
        <f>+_xlfn.XLOOKUP($H1338&amp;$V1338,BASEDATOS!$B:$B,BASEDATOS!Q:Q,0,0,1)</f>
        <v>0</v>
      </c>
      <c r="K1338" s="51">
        <f>+_xlfn.XLOOKUP($H1338&amp;$V1338,BASEDATOS!$B:$B,BASEDATOS!R:R,0,0,1)</f>
        <v>0</v>
      </c>
      <c r="L1338" s="51">
        <f t="shared" si="1593"/>
        <v>0</v>
      </c>
      <c r="M1338" s="52">
        <f t="shared" si="1594"/>
        <v>0</v>
      </c>
      <c r="N1338" s="51">
        <f t="shared" si="1595"/>
        <v>0</v>
      </c>
      <c r="O1338" s="53" t="str">
        <f t="shared" ref="O1338" si="1644">+O1344</f>
        <v>0-0-0</v>
      </c>
      <c r="P1338" s="54">
        <f>+IF(AND(Y1338="Domingo",U1338=7),_xlfn.XLOOKUP(O1338,'Horarios y Sistemas'!C:C,'Horarios y Sistemas'!H:H,0,0,1),0)</f>
        <v>0</v>
      </c>
      <c r="Q1338" s="54">
        <f>IF(U1338=U1339,0,IF(AVERAGEIF(W:W,W1338,U:U)=U1338,0,_xlfn.XLOOKUP(O1338,'Horarios y Sistemas'!C:C,'Horarios y Sistemas'!H:H,0,0,1)-P1338))/7*U1338</f>
        <v>0</v>
      </c>
      <c r="R1338" s="54">
        <f t="shared" si="1597"/>
        <v>0</v>
      </c>
      <c r="S1338" s="55" t="str">
        <f t="shared" si="1598"/>
        <v>ENERO</v>
      </c>
      <c r="T1338" s="55" t="str">
        <f t="shared" si="1599"/>
        <v>Sem52</v>
      </c>
      <c r="U1338" s="56">
        <f t="shared" si="1580"/>
        <v>196</v>
      </c>
      <c r="V1338" s="57"/>
      <c r="W1338" s="56">
        <f t="shared" si="1600"/>
        <v>52</v>
      </c>
      <c r="X1338" s="56">
        <f t="shared" si="1601"/>
        <v>0</v>
      </c>
      <c r="Y1338" s="56" t="s">
        <v>28</v>
      </c>
      <c r="Z1338" s="56">
        <v>1</v>
      </c>
      <c r="AA1338" s="58">
        <f t="shared" si="1583"/>
        <v>0</v>
      </c>
      <c r="AB1338" s="58">
        <f t="shared" si="1583"/>
        <v>0</v>
      </c>
      <c r="AC1338" s="58">
        <f t="shared" si="1583"/>
        <v>0</v>
      </c>
      <c r="AD1338" s="58">
        <f t="shared" si="1583"/>
        <v>0</v>
      </c>
      <c r="AE1338" s="58">
        <f t="shared" si="1583"/>
        <v>0</v>
      </c>
    </row>
    <row r="1339" spans="2:31">
      <c r="B1339" t="str">
        <f t="shared" si="1588"/>
        <v>Sem5252</v>
      </c>
      <c r="C1339" t="str">
        <f t="shared" si="1589"/>
        <v>ENEROSem52</v>
      </c>
      <c r="D1339" t="str">
        <f t="shared" si="1590"/>
        <v>ENEROSem52</v>
      </c>
      <c r="E1339" t="str">
        <f t="shared" si="1591"/>
        <v>ENEROSem5252</v>
      </c>
      <c r="F1339" t="str">
        <f t="shared" si="1592"/>
        <v/>
      </c>
      <c r="H1339" s="49"/>
      <c r="I1339" s="50">
        <f>+_xlfn.XLOOKUP($H1339&amp;$V1339,BASEDATOS!$B:$B,BASEDATOS!F:F,0,0,1)</f>
        <v>0</v>
      </c>
      <c r="J1339" s="51">
        <f>+_xlfn.XLOOKUP($H1339&amp;$V1339,BASEDATOS!$B:$B,BASEDATOS!Q:Q,0,0,1)</f>
        <v>0</v>
      </c>
      <c r="K1339" s="51">
        <f>+_xlfn.XLOOKUP($H1339&amp;$V1339,BASEDATOS!$B:$B,BASEDATOS!R:R,0,0,1)</f>
        <v>0</v>
      </c>
      <c r="L1339" s="51">
        <f t="shared" si="1593"/>
        <v>0</v>
      </c>
      <c r="M1339" s="52">
        <f t="shared" si="1594"/>
        <v>0</v>
      </c>
      <c r="N1339" s="51">
        <f t="shared" si="1595"/>
        <v>0</v>
      </c>
      <c r="O1339" s="53" t="str">
        <f t="shared" ref="O1339" si="1645">+O1344</f>
        <v>0-0-0</v>
      </c>
      <c r="P1339" s="54">
        <f>+IF(AND(Y1339="Domingo",U1339=7),_xlfn.XLOOKUP(O1339,'Horarios y Sistemas'!C:C,'Horarios y Sistemas'!H:H,0,0,1),0)</f>
        <v>0</v>
      </c>
      <c r="Q1339" s="54">
        <f>IF(U1339=U1340,0,IF(AVERAGEIF(W:W,W1339,U:U)=U1339,0,_xlfn.XLOOKUP(O1339,'Horarios y Sistemas'!C:C,'Horarios y Sistemas'!H:H,0,0,1)-P1339))/7*U1339</f>
        <v>0</v>
      </c>
      <c r="R1339" s="54">
        <f t="shared" si="1597"/>
        <v>0</v>
      </c>
      <c r="S1339" s="55" t="str">
        <f t="shared" si="1598"/>
        <v>ENERO</v>
      </c>
      <c r="T1339" s="55" t="str">
        <f t="shared" si="1599"/>
        <v>Sem52</v>
      </c>
      <c r="U1339" s="56">
        <f t="shared" si="1580"/>
        <v>196</v>
      </c>
      <c r="V1339" s="59"/>
      <c r="W1339" s="56">
        <f t="shared" si="1600"/>
        <v>52</v>
      </c>
      <c r="X1339" s="56">
        <f t="shared" si="1601"/>
        <v>0</v>
      </c>
      <c r="Y1339" s="56" t="s">
        <v>29</v>
      </c>
      <c r="Z1339" s="56">
        <v>2</v>
      </c>
      <c r="AA1339" s="58">
        <f t="shared" si="1583"/>
        <v>0</v>
      </c>
      <c r="AB1339" s="58">
        <f t="shared" si="1583"/>
        <v>0</v>
      </c>
      <c r="AC1339" s="58">
        <f t="shared" si="1583"/>
        <v>0</v>
      </c>
      <c r="AD1339" s="58">
        <f t="shared" si="1583"/>
        <v>0</v>
      </c>
      <c r="AE1339" s="58">
        <f t="shared" si="1583"/>
        <v>0</v>
      </c>
    </row>
    <row r="1340" spans="2:31">
      <c r="B1340" t="str">
        <f t="shared" si="1588"/>
        <v>Sem5252</v>
      </c>
      <c r="C1340" t="str">
        <f t="shared" si="1589"/>
        <v>ENEROSem52</v>
      </c>
      <c r="D1340" t="str">
        <f t="shared" si="1590"/>
        <v>ENEROSem52</v>
      </c>
      <c r="E1340" t="str">
        <f t="shared" si="1591"/>
        <v>ENEROSem5252</v>
      </c>
      <c r="F1340" t="str">
        <f t="shared" si="1592"/>
        <v/>
      </c>
      <c r="H1340" s="49"/>
      <c r="I1340" s="50">
        <f>+_xlfn.XLOOKUP($H1340&amp;$V1340,BASEDATOS!$B:$B,BASEDATOS!F:F,0,0,1)</f>
        <v>0</v>
      </c>
      <c r="J1340" s="51">
        <f>+_xlfn.XLOOKUP($H1340&amp;$V1340,BASEDATOS!$B:$B,BASEDATOS!Q:Q,0,0,1)</f>
        <v>0</v>
      </c>
      <c r="K1340" s="51">
        <f>+_xlfn.XLOOKUP($H1340&amp;$V1340,BASEDATOS!$B:$B,BASEDATOS!R:R,0,0,1)</f>
        <v>0</v>
      </c>
      <c r="L1340" s="51">
        <f t="shared" si="1593"/>
        <v>0</v>
      </c>
      <c r="M1340" s="52">
        <f t="shared" si="1594"/>
        <v>0</v>
      </c>
      <c r="N1340" s="51">
        <f t="shared" si="1595"/>
        <v>0</v>
      </c>
      <c r="O1340" s="53" t="str">
        <f t="shared" ref="O1340" si="1646">+O1344</f>
        <v>0-0-0</v>
      </c>
      <c r="P1340" s="54">
        <f>+IF(AND(Y1340="Domingo",U1340=7),_xlfn.XLOOKUP(O1340,'Horarios y Sistemas'!C:C,'Horarios y Sistemas'!H:H,0,0,1),0)</f>
        <v>0</v>
      </c>
      <c r="Q1340" s="54">
        <f>IF(U1340=U1341,0,IF(AVERAGEIF(W:W,W1340,U:U)=U1340,0,_xlfn.XLOOKUP(O1340,'Horarios y Sistemas'!C:C,'Horarios y Sistemas'!H:H,0,0,1)-P1340))/7*U1340</f>
        <v>0</v>
      </c>
      <c r="R1340" s="54">
        <f t="shared" si="1597"/>
        <v>0</v>
      </c>
      <c r="S1340" s="55" t="str">
        <f t="shared" si="1598"/>
        <v>ENERO</v>
      </c>
      <c r="T1340" s="55" t="str">
        <f t="shared" si="1599"/>
        <v>Sem52</v>
      </c>
      <c r="U1340" s="56">
        <f t="shared" si="1580"/>
        <v>196</v>
      </c>
      <c r="V1340" s="59"/>
      <c r="W1340" s="56">
        <f t="shared" si="1600"/>
        <v>52</v>
      </c>
      <c r="X1340" s="56">
        <f t="shared" si="1601"/>
        <v>0</v>
      </c>
      <c r="Y1340" s="56" t="s">
        <v>30</v>
      </c>
      <c r="Z1340" s="56">
        <v>3</v>
      </c>
      <c r="AA1340" s="58">
        <f t="shared" si="1583"/>
        <v>0</v>
      </c>
      <c r="AB1340" s="58">
        <f t="shared" si="1583"/>
        <v>0</v>
      </c>
      <c r="AC1340" s="58">
        <f t="shared" si="1583"/>
        <v>0</v>
      </c>
      <c r="AD1340" s="58">
        <f t="shared" si="1583"/>
        <v>0</v>
      </c>
      <c r="AE1340" s="58">
        <f t="shared" si="1583"/>
        <v>0</v>
      </c>
    </row>
    <row r="1341" spans="2:31">
      <c r="B1341" t="str">
        <f t="shared" si="1588"/>
        <v>Sem5252</v>
      </c>
      <c r="C1341" t="str">
        <f t="shared" si="1589"/>
        <v>ENEROSem52</v>
      </c>
      <c r="D1341" t="str">
        <f t="shared" si="1590"/>
        <v>ENEROSem52</v>
      </c>
      <c r="E1341" t="str">
        <f t="shared" si="1591"/>
        <v>ENEROSem5252</v>
      </c>
      <c r="F1341" t="str">
        <f t="shared" si="1592"/>
        <v/>
      </c>
      <c r="H1341" s="49"/>
      <c r="I1341" s="50">
        <f>+_xlfn.XLOOKUP($H1341&amp;$V1341,BASEDATOS!$B:$B,BASEDATOS!F:F,0,0,1)</f>
        <v>0</v>
      </c>
      <c r="J1341" s="51">
        <f>+_xlfn.XLOOKUP($H1341&amp;$V1341,BASEDATOS!$B:$B,BASEDATOS!Q:Q,0,0,1)</f>
        <v>0</v>
      </c>
      <c r="K1341" s="51">
        <f>+_xlfn.XLOOKUP($H1341&amp;$V1341,BASEDATOS!$B:$B,BASEDATOS!R:R,0,0,1)</f>
        <v>0</v>
      </c>
      <c r="L1341" s="51">
        <f t="shared" si="1593"/>
        <v>0</v>
      </c>
      <c r="M1341" s="52">
        <f t="shared" si="1594"/>
        <v>0</v>
      </c>
      <c r="N1341" s="51">
        <f t="shared" si="1595"/>
        <v>0</v>
      </c>
      <c r="O1341" s="53" t="str">
        <f t="shared" ref="O1341" si="1647">+O1344</f>
        <v>0-0-0</v>
      </c>
      <c r="P1341" s="54">
        <f>+IF(AND(Y1341="Domingo",U1341=7),_xlfn.XLOOKUP(O1341,'Horarios y Sistemas'!C:C,'Horarios y Sistemas'!H:H,0,0,1),0)</f>
        <v>0</v>
      </c>
      <c r="Q1341" s="54">
        <f>IF(U1341=U1342,0,IF(AVERAGEIF(W:W,W1341,U:U)=U1341,0,_xlfn.XLOOKUP(O1341,'Horarios y Sistemas'!C:C,'Horarios y Sistemas'!H:H,0,0,1)-P1341))/7*U1341</f>
        <v>0</v>
      </c>
      <c r="R1341" s="54">
        <f t="shared" si="1597"/>
        <v>0</v>
      </c>
      <c r="S1341" s="55" t="str">
        <f t="shared" si="1598"/>
        <v>ENERO</v>
      </c>
      <c r="T1341" s="55" t="str">
        <f t="shared" si="1599"/>
        <v>Sem52</v>
      </c>
      <c r="U1341" s="56">
        <f t="shared" si="1580"/>
        <v>196</v>
      </c>
      <c r="V1341" s="59"/>
      <c r="W1341" s="56">
        <f t="shared" si="1600"/>
        <v>52</v>
      </c>
      <c r="X1341" s="56">
        <f t="shared" si="1601"/>
        <v>0</v>
      </c>
      <c r="Y1341" s="56" t="s">
        <v>31</v>
      </c>
      <c r="Z1341" s="56">
        <v>4</v>
      </c>
      <c r="AA1341" s="58">
        <f t="shared" ref="AA1341:AE1372" si="1648">+IF($I1341=AA$7,1,0)</f>
        <v>0</v>
      </c>
      <c r="AB1341" s="58">
        <f t="shared" si="1648"/>
        <v>0</v>
      </c>
      <c r="AC1341" s="58">
        <f t="shared" si="1648"/>
        <v>0</v>
      </c>
      <c r="AD1341" s="58">
        <f t="shared" si="1648"/>
        <v>0</v>
      </c>
      <c r="AE1341" s="58">
        <f t="shared" si="1648"/>
        <v>0</v>
      </c>
    </row>
    <row r="1342" spans="2:31">
      <c r="B1342" t="str">
        <f t="shared" si="1588"/>
        <v>Sem5252</v>
      </c>
      <c r="C1342" t="str">
        <f t="shared" si="1589"/>
        <v>ENEROSem52</v>
      </c>
      <c r="D1342" t="str">
        <f t="shared" si="1590"/>
        <v>ENEROSem52</v>
      </c>
      <c r="E1342" t="str">
        <f t="shared" si="1591"/>
        <v>ENEROSem5252</v>
      </c>
      <c r="F1342" t="str">
        <f t="shared" si="1592"/>
        <v/>
      </c>
      <c r="H1342" s="49"/>
      <c r="I1342" s="50">
        <f>+_xlfn.XLOOKUP($H1342&amp;$V1342,BASEDATOS!$B:$B,BASEDATOS!F:F,0,0,1)</f>
        <v>0</v>
      </c>
      <c r="J1342" s="51">
        <f>+_xlfn.XLOOKUP($H1342&amp;$V1342,BASEDATOS!$B:$B,BASEDATOS!Q:Q,0,0,1)</f>
        <v>0</v>
      </c>
      <c r="K1342" s="51">
        <f>+_xlfn.XLOOKUP($H1342&amp;$V1342,BASEDATOS!$B:$B,BASEDATOS!R:R,0,0,1)</f>
        <v>0</v>
      </c>
      <c r="L1342" s="51">
        <f t="shared" si="1593"/>
        <v>0</v>
      </c>
      <c r="M1342" s="52">
        <f t="shared" si="1594"/>
        <v>0</v>
      </c>
      <c r="N1342" s="51">
        <f t="shared" si="1595"/>
        <v>0</v>
      </c>
      <c r="O1342" s="53" t="str">
        <f t="shared" ref="O1342" si="1649">+O1344</f>
        <v>0-0-0</v>
      </c>
      <c r="P1342" s="54">
        <f>+IF(AND(Y1342="Domingo",U1342=7),_xlfn.XLOOKUP(O1342,'Horarios y Sistemas'!C:C,'Horarios y Sistemas'!H:H,0,0,1),0)</f>
        <v>0</v>
      </c>
      <c r="Q1342" s="54">
        <f>IF(U1342=U1343,0,IF(AVERAGEIF(W:W,W1342,U:U)=U1342,0,_xlfn.XLOOKUP(O1342,'Horarios y Sistemas'!C:C,'Horarios y Sistemas'!H:H,0,0,1)-P1342))/7*U1342</f>
        <v>0</v>
      </c>
      <c r="R1342" s="54">
        <f t="shared" si="1597"/>
        <v>0</v>
      </c>
      <c r="S1342" s="55" t="str">
        <f t="shared" si="1598"/>
        <v>ENERO</v>
      </c>
      <c r="T1342" s="55" t="str">
        <f t="shared" si="1599"/>
        <v>Sem52</v>
      </c>
      <c r="U1342" s="56">
        <f t="shared" si="1580"/>
        <v>196</v>
      </c>
      <c r="V1342" s="59"/>
      <c r="W1342" s="56">
        <f t="shared" si="1600"/>
        <v>52</v>
      </c>
      <c r="X1342" s="56">
        <f t="shared" si="1601"/>
        <v>0</v>
      </c>
      <c r="Y1342" s="56" t="s">
        <v>32</v>
      </c>
      <c r="Z1342" s="56">
        <v>5</v>
      </c>
      <c r="AA1342" s="58">
        <f t="shared" si="1648"/>
        <v>0</v>
      </c>
      <c r="AB1342" s="58">
        <f t="shared" si="1648"/>
        <v>0</v>
      </c>
      <c r="AC1342" s="58">
        <f t="shared" si="1648"/>
        <v>0</v>
      </c>
      <c r="AD1342" s="58">
        <f t="shared" si="1648"/>
        <v>0</v>
      </c>
      <c r="AE1342" s="58">
        <f t="shared" si="1648"/>
        <v>0</v>
      </c>
    </row>
    <row r="1343" spans="2:31">
      <c r="B1343" t="str">
        <f t="shared" si="1588"/>
        <v>Sem5252</v>
      </c>
      <c r="C1343" t="str">
        <f t="shared" si="1589"/>
        <v>ENEROSem52</v>
      </c>
      <c r="D1343" t="str">
        <f t="shared" si="1590"/>
        <v>ENEROSem52</v>
      </c>
      <c r="E1343" t="str">
        <f t="shared" si="1591"/>
        <v>ENEROSem5252</v>
      </c>
      <c r="F1343" t="str">
        <f t="shared" si="1592"/>
        <v/>
      </c>
      <c r="H1343" s="49"/>
      <c r="I1343" s="50">
        <f>+_xlfn.XLOOKUP($H1343&amp;$V1343,BASEDATOS!$B:$B,BASEDATOS!F:F,0,0,1)</f>
        <v>0</v>
      </c>
      <c r="J1343" s="51">
        <f>+_xlfn.XLOOKUP($H1343&amp;$V1343,BASEDATOS!$B:$B,BASEDATOS!Q:Q,0,0,1)</f>
        <v>0</v>
      </c>
      <c r="K1343" s="51">
        <f>+_xlfn.XLOOKUP($H1343&amp;$V1343,BASEDATOS!$B:$B,BASEDATOS!R:R,0,0,1)</f>
        <v>0</v>
      </c>
      <c r="L1343" s="51">
        <f t="shared" si="1593"/>
        <v>0</v>
      </c>
      <c r="M1343" s="52">
        <f t="shared" si="1594"/>
        <v>0</v>
      </c>
      <c r="N1343" s="51">
        <f t="shared" si="1595"/>
        <v>0</v>
      </c>
      <c r="O1343" s="53" t="str">
        <f t="shared" ref="O1343" si="1650">+O1344</f>
        <v>0-0-0</v>
      </c>
      <c r="P1343" s="54">
        <f>+IF(AND(Y1343="Domingo",U1343=7),_xlfn.XLOOKUP(O1343,'Horarios y Sistemas'!C:C,'Horarios y Sistemas'!H:H,0,0,1),0)</f>
        <v>0</v>
      </c>
      <c r="Q1343" s="54">
        <f>IF(U1343=U1344,0,IF(AVERAGEIF(W:W,W1343,U:U)=U1343,0,_xlfn.XLOOKUP(O1343,'Horarios y Sistemas'!C:C,'Horarios y Sistemas'!H:H,0,0,1)-P1343))/7*U1343</f>
        <v>0</v>
      </c>
      <c r="R1343" s="54">
        <f t="shared" si="1597"/>
        <v>0</v>
      </c>
      <c r="S1343" s="55" t="str">
        <f t="shared" si="1598"/>
        <v>ENERO</v>
      </c>
      <c r="T1343" s="55" t="str">
        <f t="shared" si="1599"/>
        <v>Sem52</v>
      </c>
      <c r="U1343" s="56">
        <f t="shared" si="1580"/>
        <v>196</v>
      </c>
      <c r="V1343" s="59"/>
      <c r="W1343" s="56">
        <f t="shared" si="1600"/>
        <v>52</v>
      </c>
      <c r="X1343" s="56">
        <f t="shared" si="1601"/>
        <v>0</v>
      </c>
      <c r="Y1343" s="56" t="s">
        <v>33</v>
      </c>
      <c r="Z1343" s="56">
        <v>6</v>
      </c>
      <c r="AA1343" s="58">
        <f t="shared" si="1648"/>
        <v>0</v>
      </c>
      <c r="AB1343" s="58">
        <f t="shared" si="1648"/>
        <v>0</v>
      </c>
      <c r="AC1343" s="58">
        <f t="shared" si="1648"/>
        <v>0</v>
      </c>
      <c r="AD1343" s="58">
        <f t="shared" si="1648"/>
        <v>0</v>
      </c>
      <c r="AE1343" s="58">
        <f t="shared" si="1648"/>
        <v>0</v>
      </c>
    </row>
    <row r="1344" spans="2:31">
      <c r="B1344" s="60" t="str">
        <f t="shared" si="1588"/>
        <v>Sem5252</v>
      </c>
      <c r="C1344" s="60" t="str">
        <f t="shared" si="1589"/>
        <v>ENEROSem52</v>
      </c>
      <c r="D1344" s="60" t="str">
        <f t="shared" si="1590"/>
        <v>ENEROSem52</v>
      </c>
      <c r="E1344" s="60" t="str">
        <f t="shared" si="1591"/>
        <v>ENEROSem5252</v>
      </c>
      <c r="F1344" s="60" t="str">
        <f t="shared" si="1592"/>
        <v/>
      </c>
      <c r="G1344" s="60"/>
      <c r="H1344" s="61"/>
      <c r="I1344" s="62">
        <f>+_xlfn.XLOOKUP($H1344&amp;$V1344,BASEDATOS!$B:$B,BASEDATOS!F:F,0,0,1)</f>
        <v>0</v>
      </c>
      <c r="J1344" s="63">
        <f>+_xlfn.XLOOKUP($H1344&amp;$V1344,BASEDATOS!$B:$B,BASEDATOS!Q:Q,0,0,1)</f>
        <v>0</v>
      </c>
      <c r="K1344" s="63">
        <f>+_xlfn.XLOOKUP($H1344&amp;$V1344,BASEDATOS!$B:$B,BASEDATOS!R:R,0,0,1)</f>
        <v>0</v>
      </c>
      <c r="L1344" s="63">
        <f t="shared" si="1593"/>
        <v>0</v>
      </c>
      <c r="M1344" s="64">
        <f t="shared" si="1594"/>
        <v>0</v>
      </c>
      <c r="N1344" s="63">
        <f t="shared" si="1595"/>
        <v>0</v>
      </c>
      <c r="O1344" s="65" t="str">
        <f t="shared" ref="O1344" si="1651">+IF(Y1344="Domingo",SUM(AA1338:AA1344)&amp;"-"&amp;SUM(AB1338:AB1344)&amp;"-"&amp;SUM(AC1338:AE1344),"")</f>
        <v>0-0-0</v>
      </c>
      <c r="P1344" s="66">
        <f>+IF(AND(Y1344="Domingo",U1344=7),_xlfn.XLOOKUP(O1344,'Horarios y Sistemas'!C:C,'Horarios y Sistemas'!H:H,0,0,1),0)</f>
        <v>0</v>
      </c>
      <c r="Q1344" s="66">
        <f>IF(U1344=U1345,0,IF(AVERAGEIF(W:W,W1344,U:U)=U1344,0,_xlfn.XLOOKUP(O1344,'Horarios y Sistemas'!C:C,'Horarios y Sistemas'!H:H,0,0,1)-P1344))/7*U1344</f>
        <v>0</v>
      </c>
      <c r="R1344" s="66">
        <f t="shared" si="1597"/>
        <v>0</v>
      </c>
      <c r="S1344" s="67" t="str">
        <f t="shared" si="1598"/>
        <v>ENERO</v>
      </c>
      <c r="T1344" s="55" t="str">
        <f t="shared" si="1599"/>
        <v>Sem52</v>
      </c>
      <c r="U1344" s="68">
        <f t="shared" si="1580"/>
        <v>196</v>
      </c>
      <c r="V1344" s="69"/>
      <c r="W1344" s="68">
        <f t="shared" si="1600"/>
        <v>52</v>
      </c>
      <c r="X1344" s="68">
        <f t="shared" si="1601"/>
        <v>0</v>
      </c>
      <c r="Y1344" s="68" t="s">
        <v>34</v>
      </c>
      <c r="Z1344" s="68">
        <v>7</v>
      </c>
      <c r="AA1344" s="70">
        <f t="shared" si="1648"/>
        <v>0</v>
      </c>
      <c r="AB1344" s="70">
        <f t="shared" si="1648"/>
        <v>0</v>
      </c>
      <c r="AC1344" s="70">
        <f t="shared" si="1648"/>
        <v>0</v>
      </c>
      <c r="AD1344" s="70">
        <f t="shared" si="1648"/>
        <v>0</v>
      </c>
      <c r="AE1344" s="70">
        <f t="shared" si="1648"/>
        <v>0</v>
      </c>
    </row>
    <row r="1345" spans="2:31">
      <c r="B1345" t="str">
        <f t="shared" si="1588"/>
        <v>Sem5252</v>
      </c>
      <c r="C1345" t="str">
        <f t="shared" si="1589"/>
        <v>ENEROSem52</v>
      </c>
      <c r="D1345" t="str">
        <f t="shared" si="1590"/>
        <v>ENEROSem52</v>
      </c>
      <c r="E1345" t="str">
        <f t="shared" si="1591"/>
        <v>ENEROSem5252</v>
      </c>
      <c r="F1345" t="str">
        <f t="shared" si="1592"/>
        <v/>
      </c>
      <c r="H1345" s="49"/>
      <c r="I1345" s="50">
        <f>+_xlfn.XLOOKUP($H1345&amp;$V1345,BASEDATOS!$B:$B,BASEDATOS!F:F,0,0,1)</f>
        <v>0</v>
      </c>
      <c r="J1345" s="51">
        <f>+_xlfn.XLOOKUP($H1345&amp;$V1345,BASEDATOS!$B:$B,BASEDATOS!Q:Q,0,0,1)</f>
        <v>0</v>
      </c>
      <c r="K1345" s="51">
        <f>+_xlfn.XLOOKUP($H1345&amp;$V1345,BASEDATOS!$B:$B,BASEDATOS!R:R,0,0,1)</f>
        <v>0</v>
      </c>
      <c r="L1345" s="51">
        <f t="shared" si="1593"/>
        <v>0</v>
      </c>
      <c r="M1345" s="52">
        <f t="shared" si="1594"/>
        <v>0</v>
      </c>
      <c r="N1345" s="51">
        <f t="shared" si="1595"/>
        <v>0</v>
      </c>
      <c r="O1345" s="53" t="str">
        <f t="shared" ref="O1345" si="1652">+O1351</f>
        <v>0-0-0</v>
      </c>
      <c r="P1345" s="54">
        <f>+IF(AND(Y1345="Domingo",U1345=7),_xlfn.XLOOKUP(O1345,'Horarios y Sistemas'!C:C,'Horarios y Sistemas'!H:H,0,0,1),0)</f>
        <v>0</v>
      </c>
      <c r="Q1345" s="54">
        <f>IF(U1345=U1346,0,IF(AVERAGEIF(W:W,W1345,U:U)=U1345,0,_xlfn.XLOOKUP(O1345,'Horarios y Sistemas'!C:C,'Horarios y Sistemas'!H:H,0,0,1)-P1345))/7*U1345</f>
        <v>0</v>
      </c>
      <c r="R1345" s="54">
        <f t="shared" si="1597"/>
        <v>0</v>
      </c>
      <c r="S1345" s="55" t="str">
        <f t="shared" si="1598"/>
        <v>ENERO</v>
      </c>
      <c r="T1345" s="55" t="str">
        <f t="shared" si="1599"/>
        <v>Sem52</v>
      </c>
      <c r="U1345" s="56">
        <f t="shared" si="1580"/>
        <v>196</v>
      </c>
      <c r="V1345" s="59"/>
      <c r="W1345" s="56">
        <f t="shared" si="1600"/>
        <v>52</v>
      </c>
      <c r="X1345" s="56">
        <f t="shared" si="1601"/>
        <v>0</v>
      </c>
      <c r="Y1345" s="56" t="s">
        <v>28</v>
      </c>
      <c r="Z1345" s="56">
        <v>1</v>
      </c>
      <c r="AA1345" s="58">
        <f t="shared" si="1648"/>
        <v>0</v>
      </c>
      <c r="AB1345" s="58">
        <f t="shared" si="1648"/>
        <v>0</v>
      </c>
      <c r="AC1345" s="58">
        <f t="shared" si="1648"/>
        <v>0</v>
      </c>
      <c r="AD1345" s="58">
        <f t="shared" si="1648"/>
        <v>0</v>
      </c>
      <c r="AE1345" s="58">
        <f t="shared" si="1648"/>
        <v>0</v>
      </c>
    </row>
    <row r="1346" spans="2:31">
      <c r="B1346" t="str">
        <f t="shared" si="1588"/>
        <v>Sem5252</v>
      </c>
      <c r="C1346" t="str">
        <f t="shared" si="1589"/>
        <v>ENEROSem52</v>
      </c>
      <c r="D1346" t="str">
        <f t="shared" si="1590"/>
        <v>ENEROSem52</v>
      </c>
      <c r="E1346" t="str">
        <f t="shared" si="1591"/>
        <v>ENEROSem5252</v>
      </c>
      <c r="F1346" t="str">
        <f t="shared" si="1592"/>
        <v/>
      </c>
      <c r="H1346" s="49"/>
      <c r="I1346" s="50">
        <f>+_xlfn.XLOOKUP($H1346&amp;$V1346,BASEDATOS!$B:$B,BASEDATOS!F:F,0,0,1)</f>
        <v>0</v>
      </c>
      <c r="J1346" s="51">
        <f>+_xlfn.XLOOKUP($H1346&amp;$V1346,BASEDATOS!$B:$B,BASEDATOS!Q:Q,0,0,1)</f>
        <v>0</v>
      </c>
      <c r="K1346" s="51">
        <f>+_xlfn.XLOOKUP($H1346&amp;$V1346,BASEDATOS!$B:$B,BASEDATOS!R:R,0,0,1)</f>
        <v>0</v>
      </c>
      <c r="L1346" s="51">
        <f t="shared" si="1593"/>
        <v>0</v>
      </c>
      <c r="M1346" s="52">
        <f t="shared" si="1594"/>
        <v>0</v>
      </c>
      <c r="N1346" s="51">
        <f t="shared" si="1595"/>
        <v>0</v>
      </c>
      <c r="O1346" s="53" t="str">
        <f t="shared" ref="O1346" si="1653">+O1351</f>
        <v>0-0-0</v>
      </c>
      <c r="P1346" s="54">
        <f>+IF(AND(Y1346="Domingo",U1346=7),_xlfn.XLOOKUP(O1346,'Horarios y Sistemas'!C:C,'Horarios y Sistemas'!H:H,0,0,1),0)</f>
        <v>0</v>
      </c>
      <c r="Q1346" s="54">
        <f>IF(U1346=U1347,0,IF(AVERAGEIF(W:W,W1346,U:U)=U1346,0,_xlfn.XLOOKUP(O1346,'Horarios y Sistemas'!C:C,'Horarios y Sistemas'!H:H,0,0,1)-P1346))/7*U1346</f>
        <v>0</v>
      </c>
      <c r="R1346" s="54">
        <f t="shared" si="1597"/>
        <v>0</v>
      </c>
      <c r="S1346" s="55" t="str">
        <f t="shared" si="1598"/>
        <v>ENERO</v>
      </c>
      <c r="T1346" s="55" t="str">
        <f t="shared" si="1599"/>
        <v>Sem52</v>
      </c>
      <c r="U1346" s="56">
        <f t="shared" si="1580"/>
        <v>196</v>
      </c>
      <c r="V1346" s="59"/>
      <c r="W1346" s="56">
        <f t="shared" si="1600"/>
        <v>52</v>
      </c>
      <c r="X1346" s="56">
        <f t="shared" si="1601"/>
        <v>0</v>
      </c>
      <c r="Y1346" s="56" t="s">
        <v>29</v>
      </c>
      <c r="Z1346" s="56">
        <v>2</v>
      </c>
      <c r="AA1346" s="58">
        <f t="shared" si="1648"/>
        <v>0</v>
      </c>
      <c r="AB1346" s="58">
        <f t="shared" si="1648"/>
        <v>0</v>
      </c>
      <c r="AC1346" s="58">
        <f t="shared" si="1648"/>
        <v>0</v>
      </c>
      <c r="AD1346" s="58">
        <f t="shared" si="1648"/>
        <v>0</v>
      </c>
      <c r="AE1346" s="58">
        <f t="shared" si="1648"/>
        <v>0</v>
      </c>
    </row>
    <row r="1347" spans="2:31">
      <c r="B1347" t="str">
        <f t="shared" si="1588"/>
        <v>Sem5252</v>
      </c>
      <c r="C1347" t="str">
        <f t="shared" si="1589"/>
        <v>ENEROSem52</v>
      </c>
      <c r="D1347" t="str">
        <f t="shared" si="1590"/>
        <v>ENEROSem52</v>
      </c>
      <c r="E1347" t="str">
        <f t="shared" si="1591"/>
        <v>ENEROSem5252</v>
      </c>
      <c r="F1347" t="str">
        <f t="shared" si="1592"/>
        <v/>
      </c>
      <c r="H1347" s="49"/>
      <c r="I1347" s="50">
        <f>+_xlfn.XLOOKUP($H1347&amp;$V1347,BASEDATOS!$B:$B,BASEDATOS!F:F,0,0,1)</f>
        <v>0</v>
      </c>
      <c r="J1347" s="51">
        <f>+_xlfn.XLOOKUP($H1347&amp;$V1347,BASEDATOS!$B:$B,BASEDATOS!Q:Q,0,0,1)</f>
        <v>0</v>
      </c>
      <c r="K1347" s="51">
        <f>+_xlfn.XLOOKUP($H1347&amp;$V1347,BASEDATOS!$B:$B,BASEDATOS!R:R,0,0,1)</f>
        <v>0</v>
      </c>
      <c r="L1347" s="51">
        <f t="shared" si="1593"/>
        <v>0</v>
      </c>
      <c r="M1347" s="52">
        <f t="shared" si="1594"/>
        <v>0</v>
      </c>
      <c r="N1347" s="51">
        <f t="shared" si="1595"/>
        <v>0</v>
      </c>
      <c r="O1347" s="53" t="str">
        <f t="shared" ref="O1347" si="1654">+O1351</f>
        <v>0-0-0</v>
      </c>
      <c r="P1347" s="54">
        <f>+IF(AND(Y1347="Domingo",U1347=7),_xlfn.XLOOKUP(O1347,'Horarios y Sistemas'!C:C,'Horarios y Sistemas'!H:H,0,0,1),0)</f>
        <v>0</v>
      </c>
      <c r="Q1347" s="54">
        <f>IF(U1347=U1348,0,IF(AVERAGEIF(W:W,W1347,U:U)=U1347,0,_xlfn.XLOOKUP(O1347,'Horarios y Sistemas'!C:C,'Horarios y Sistemas'!H:H,0,0,1)-P1347))/7*U1347</f>
        <v>0</v>
      </c>
      <c r="R1347" s="54">
        <f t="shared" si="1597"/>
        <v>0</v>
      </c>
      <c r="S1347" s="55" t="str">
        <f t="shared" si="1598"/>
        <v>ENERO</v>
      </c>
      <c r="T1347" s="55" t="str">
        <f t="shared" si="1599"/>
        <v>Sem52</v>
      </c>
      <c r="U1347" s="56">
        <f t="shared" si="1580"/>
        <v>196</v>
      </c>
      <c r="V1347" s="59"/>
      <c r="W1347" s="56">
        <f t="shared" si="1600"/>
        <v>52</v>
      </c>
      <c r="X1347" s="56">
        <f t="shared" si="1601"/>
        <v>0</v>
      </c>
      <c r="Y1347" s="56" t="s">
        <v>30</v>
      </c>
      <c r="Z1347" s="56">
        <v>3</v>
      </c>
      <c r="AA1347" s="58">
        <f t="shared" si="1648"/>
        <v>0</v>
      </c>
      <c r="AB1347" s="58">
        <f t="shared" si="1648"/>
        <v>0</v>
      </c>
      <c r="AC1347" s="58">
        <f t="shared" si="1648"/>
        <v>0</v>
      </c>
      <c r="AD1347" s="58">
        <f t="shared" si="1648"/>
        <v>0</v>
      </c>
      <c r="AE1347" s="58">
        <f t="shared" si="1648"/>
        <v>0</v>
      </c>
    </row>
    <row r="1348" spans="2:31">
      <c r="B1348" t="str">
        <f t="shared" si="1588"/>
        <v>Sem5252</v>
      </c>
      <c r="C1348" t="str">
        <f t="shared" si="1589"/>
        <v>ENEROSem52</v>
      </c>
      <c r="D1348" t="str">
        <f t="shared" si="1590"/>
        <v>ENEROSem52</v>
      </c>
      <c r="E1348" t="str">
        <f t="shared" si="1591"/>
        <v>ENEROSem5252</v>
      </c>
      <c r="F1348" t="str">
        <f t="shared" si="1592"/>
        <v/>
      </c>
      <c r="H1348" s="49"/>
      <c r="I1348" s="50">
        <f>+_xlfn.XLOOKUP($H1348&amp;$V1348,BASEDATOS!$B:$B,BASEDATOS!F:F,0,0,1)</f>
        <v>0</v>
      </c>
      <c r="J1348" s="51">
        <f>+_xlfn.XLOOKUP($H1348&amp;$V1348,BASEDATOS!$B:$B,BASEDATOS!Q:Q,0,0,1)</f>
        <v>0</v>
      </c>
      <c r="K1348" s="51">
        <f>+_xlfn.XLOOKUP($H1348&amp;$V1348,BASEDATOS!$B:$B,BASEDATOS!R:R,0,0,1)</f>
        <v>0</v>
      </c>
      <c r="L1348" s="51">
        <f t="shared" si="1593"/>
        <v>0</v>
      </c>
      <c r="M1348" s="52">
        <f t="shared" si="1594"/>
        <v>0</v>
      </c>
      <c r="N1348" s="51">
        <f t="shared" si="1595"/>
        <v>0</v>
      </c>
      <c r="O1348" s="53" t="str">
        <f t="shared" ref="O1348" si="1655">+O1351</f>
        <v>0-0-0</v>
      </c>
      <c r="P1348" s="54">
        <f>+IF(AND(Y1348="Domingo",U1348=7),_xlfn.XLOOKUP(O1348,'Horarios y Sistemas'!C:C,'Horarios y Sistemas'!H:H,0,0,1),0)</f>
        <v>0</v>
      </c>
      <c r="Q1348" s="54">
        <f>IF(U1348=U1349,0,IF(AVERAGEIF(W:W,W1348,U:U)=U1348,0,_xlfn.XLOOKUP(O1348,'Horarios y Sistemas'!C:C,'Horarios y Sistemas'!H:H,0,0,1)-P1348))/7*U1348</f>
        <v>0</v>
      </c>
      <c r="R1348" s="54">
        <f t="shared" si="1597"/>
        <v>0</v>
      </c>
      <c r="S1348" s="55" t="str">
        <f t="shared" si="1598"/>
        <v>ENERO</v>
      </c>
      <c r="T1348" s="55" t="str">
        <f t="shared" si="1599"/>
        <v>Sem52</v>
      </c>
      <c r="U1348" s="56">
        <f t="shared" si="1580"/>
        <v>196</v>
      </c>
      <c r="V1348" s="59"/>
      <c r="W1348" s="56">
        <f t="shared" si="1600"/>
        <v>52</v>
      </c>
      <c r="X1348" s="56">
        <f t="shared" si="1601"/>
        <v>0</v>
      </c>
      <c r="Y1348" s="56" t="s">
        <v>31</v>
      </c>
      <c r="Z1348" s="56">
        <v>4</v>
      </c>
      <c r="AA1348" s="58">
        <f t="shared" si="1648"/>
        <v>0</v>
      </c>
      <c r="AB1348" s="58">
        <f t="shared" si="1648"/>
        <v>0</v>
      </c>
      <c r="AC1348" s="58">
        <f t="shared" si="1648"/>
        <v>0</v>
      </c>
      <c r="AD1348" s="58">
        <f t="shared" si="1648"/>
        <v>0</v>
      </c>
      <c r="AE1348" s="58">
        <f t="shared" si="1648"/>
        <v>0</v>
      </c>
    </row>
    <row r="1349" spans="2:31">
      <c r="B1349" t="str">
        <f t="shared" si="1588"/>
        <v>Sem5252</v>
      </c>
      <c r="C1349" t="str">
        <f t="shared" si="1589"/>
        <v>ENEROSem52</v>
      </c>
      <c r="D1349" t="str">
        <f t="shared" si="1590"/>
        <v>ENEROSem52</v>
      </c>
      <c r="E1349" t="str">
        <f t="shared" si="1591"/>
        <v>ENEROSem5252</v>
      </c>
      <c r="F1349" t="str">
        <f t="shared" si="1592"/>
        <v/>
      </c>
      <c r="H1349" s="49"/>
      <c r="I1349" s="50">
        <f>+_xlfn.XLOOKUP($H1349&amp;$V1349,BASEDATOS!$B:$B,BASEDATOS!F:F,0,0,1)</f>
        <v>0</v>
      </c>
      <c r="J1349" s="51">
        <f>+_xlfn.XLOOKUP($H1349&amp;$V1349,BASEDATOS!$B:$B,BASEDATOS!Q:Q,0,0,1)</f>
        <v>0</v>
      </c>
      <c r="K1349" s="51">
        <f>+_xlfn.XLOOKUP($H1349&amp;$V1349,BASEDATOS!$B:$B,BASEDATOS!R:R,0,0,1)</f>
        <v>0</v>
      </c>
      <c r="L1349" s="51">
        <f t="shared" si="1593"/>
        <v>0</v>
      </c>
      <c r="M1349" s="52">
        <f t="shared" si="1594"/>
        <v>0</v>
      </c>
      <c r="N1349" s="51">
        <f t="shared" si="1595"/>
        <v>0</v>
      </c>
      <c r="O1349" s="53" t="str">
        <f t="shared" ref="O1349" si="1656">+O1351</f>
        <v>0-0-0</v>
      </c>
      <c r="P1349" s="54">
        <f>+IF(AND(Y1349="Domingo",U1349=7),_xlfn.XLOOKUP(O1349,'Horarios y Sistemas'!C:C,'Horarios y Sistemas'!H:H,0,0,1),0)</f>
        <v>0</v>
      </c>
      <c r="Q1349" s="54">
        <f>IF(U1349=U1350,0,IF(AVERAGEIF(W:W,W1349,U:U)=U1349,0,_xlfn.XLOOKUP(O1349,'Horarios y Sistemas'!C:C,'Horarios y Sistemas'!H:H,0,0,1)-P1349))/7*U1349</f>
        <v>0</v>
      </c>
      <c r="R1349" s="54">
        <f t="shared" si="1597"/>
        <v>0</v>
      </c>
      <c r="S1349" s="55" t="str">
        <f t="shared" si="1598"/>
        <v>ENERO</v>
      </c>
      <c r="T1349" s="55" t="str">
        <f t="shared" si="1599"/>
        <v>Sem52</v>
      </c>
      <c r="U1349" s="56">
        <f t="shared" si="1580"/>
        <v>196</v>
      </c>
      <c r="V1349" s="59"/>
      <c r="W1349" s="56">
        <f t="shared" si="1600"/>
        <v>52</v>
      </c>
      <c r="X1349" s="56">
        <f t="shared" si="1601"/>
        <v>0</v>
      </c>
      <c r="Y1349" s="56" t="s">
        <v>32</v>
      </c>
      <c r="Z1349" s="56">
        <v>5</v>
      </c>
      <c r="AA1349" s="58">
        <f t="shared" si="1648"/>
        <v>0</v>
      </c>
      <c r="AB1349" s="58">
        <f t="shared" si="1648"/>
        <v>0</v>
      </c>
      <c r="AC1349" s="58">
        <f t="shared" si="1648"/>
        <v>0</v>
      </c>
      <c r="AD1349" s="58">
        <f t="shared" si="1648"/>
        <v>0</v>
      </c>
      <c r="AE1349" s="58">
        <f t="shared" si="1648"/>
        <v>0</v>
      </c>
    </row>
    <row r="1350" spans="2:31">
      <c r="B1350" t="str">
        <f t="shared" si="1588"/>
        <v>Sem5252</v>
      </c>
      <c r="C1350" t="str">
        <f t="shared" si="1589"/>
        <v>ENEROSem52</v>
      </c>
      <c r="D1350" t="str">
        <f t="shared" si="1590"/>
        <v>ENEROSem52</v>
      </c>
      <c r="E1350" t="str">
        <f t="shared" si="1591"/>
        <v>ENEROSem5252</v>
      </c>
      <c r="F1350" t="str">
        <f t="shared" si="1592"/>
        <v/>
      </c>
      <c r="H1350" s="49"/>
      <c r="I1350" s="50">
        <f>+_xlfn.XLOOKUP($H1350&amp;$V1350,BASEDATOS!$B:$B,BASEDATOS!F:F,0,0,1)</f>
        <v>0</v>
      </c>
      <c r="J1350" s="51">
        <f>+_xlfn.XLOOKUP($H1350&amp;$V1350,BASEDATOS!$B:$B,BASEDATOS!Q:Q,0,0,1)</f>
        <v>0</v>
      </c>
      <c r="K1350" s="51">
        <f>+_xlfn.XLOOKUP($H1350&amp;$V1350,BASEDATOS!$B:$B,BASEDATOS!R:R,0,0,1)</f>
        <v>0</v>
      </c>
      <c r="L1350" s="51">
        <f t="shared" si="1593"/>
        <v>0</v>
      </c>
      <c r="M1350" s="52">
        <f t="shared" si="1594"/>
        <v>0</v>
      </c>
      <c r="N1350" s="51">
        <f t="shared" si="1595"/>
        <v>0</v>
      </c>
      <c r="O1350" s="53" t="str">
        <f t="shared" ref="O1350" si="1657">+O1351</f>
        <v>0-0-0</v>
      </c>
      <c r="P1350" s="54">
        <f>+IF(AND(Y1350="Domingo",U1350=7),_xlfn.XLOOKUP(O1350,'Horarios y Sistemas'!C:C,'Horarios y Sistemas'!H:H,0,0,1),0)</f>
        <v>0</v>
      </c>
      <c r="Q1350" s="54">
        <f>IF(U1350=U1351,0,IF(AVERAGEIF(W:W,W1350,U:U)=U1350,0,_xlfn.XLOOKUP(O1350,'Horarios y Sistemas'!C:C,'Horarios y Sistemas'!H:H,0,0,1)-P1350))/7*U1350</f>
        <v>0</v>
      </c>
      <c r="R1350" s="54">
        <f t="shared" si="1597"/>
        <v>0</v>
      </c>
      <c r="S1350" s="55" t="str">
        <f t="shared" si="1598"/>
        <v>ENERO</v>
      </c>
      <c r="T1350" s="55" t="str">
        <f t="shared" si="1599"/>
        <v>Sem52</v>
      </c>
      <c r="U1350" s="56">
        <f t="shared" si="1580"/>
        <v>196</v>
      </c>
      <c r="V1350" s="59"/>
      <c r="W1350" s="56">
        <f t="shared" si="1600"/>
        <v>52</v>
      </c>
      <c r="X1350" s="56">
        <f t="shared" si="1601"/>
        <v>0</v>
      </c>
      <c r="Y1350" s="56" t="s">
        <v>33</v>
      </c>
      <c r="Z1350" s="56">
        <v>6</v>
      </c>
      <c r="AA1350" s="58">
        <f t="shared" si="1648"/>
        <v>0</v>
      </c>
      <c r="AB1350" s="58">
        <f t="shared" si="1648"/>
        <v>0</v>
      </c>
      <c r="AC1350" s="58">
        <f t="shared" si="1648"/>
        <v>0</v>
      </c>
      <c r="AD1350" s="58">
        <f t="shared" si="1648"/>
        <v>0</v>
      </c>
      <c r="AE1350" s="58">
        <f t="shared" si="1648"/>
        <v>0</v>
      </c>
    </row>
    <row r="1351" spans="2:31">
      <c r="B1351" s="60" t="str">
        <f t="shared" si="1588"/>
        <v>Sem5252</v>
      </c>
      <c r="C1351" s="60" t="str">
        <f t="shared" si="1589"/>
        <v>ENEROSem52</v>
      </c>
      <c r="D1351" s="60" t="str">
        <f t="shared" si="1590"/>
        <v>ENEROSem52</v>
      </c>
      <c r="E1351" s="60" t="str">
        <f t="shared" si="1591"/>
        <v>ENEROSem5252</v>
      </c>
      <c r="F1351" s="60" t="str">
        <f t="shared" si="1592"/>
        <v/>
      </c>
      <c r="G1351" s="60"/>
      <c r="H1351" s="61"/>
      <c r="I1351" s="62">
        <f>+_xlfn.XLOOKUP($H1351&amp;$V1351,BASEDATOS!$B:$B,BASEDATOS!F:F,0,0,1)</f>
        <v>0</v>
      </c>
      <c r="J1351" s="63">
        <f>+_xlfn.XLOOKUP($H1351&amp;$V1351,BASEDATOS!$B:$B,BASEDATOS!Q:Q,0,0,1)</f>
        <v>0</v>
      </c>
      <c r="K1351" s="63">
        <f>+_xlfn.XLOOKUP($H1351&amp;$V1351,BASEDATOS!$B:$B,BASEDATOS!R:R,0,0,1)</f>
        <v>0</v>
      </c>
      <c r="L1351" s="63">
        <f t="shared" si="1593"/>
        <v>0</v>
      </c>
      <c r="M1351" s="64">
        <f t="shared" si="1594"/>
        <v>0</v>
      </c>
      <c r="N1351" s="63">
        <f t="shared" si="1595"/>
        <v>0</v>
      </c>
      <c r="O1351" s="65" t="str">
        <f t="shared" ref="O1351" si="1658">+IF(Y1351="Domingo",SUM(AA1345:AA1351)&amp;"-"&amp;SUM(AB1345:AB1351)&amp;"-"&amp;SUM(AC1345:AE1351),"")</f>
        <v>0-0-0</v>
      </c>
      <c r="P1351" s="66">
        <f>+IF(AND(Y1351="Domingo",U1351=7),_xlfn.XLOOKUP(O1351,'Horarios y Sistemas'!C:C,'Horarios y Sistemas'!H:H,0,0,1),0)</f>
        <v>0</v>
      </c>
      <c r="Q1351" s="66">
        <f>IF(U1351=U1352,0,IF(AVERAGEIF(W:W,W1351,U:U)=U1351,0,_xlfn.XLOOKUP(O1351,'Horarios y Sistemas'!C:C,'Horarios y Sistemas'!H:H,0,0,1)-P1351))/7*U1351</f>
        <v>0</v>
      </c>
      <c r="R1351" s="66">
        <f t="shared" si="1597"/>
        <v>0</v>
      </c>
      <c r="S1351" s="67" t="str">
        <f t="shared" si="1598"/>
        <v>ENERO</v>
      </c>
      <c r="T1351" s="55" t="str">
        <f t="shared" si="1599"/>
        <v>Sem52</v>
      </c>
      <c r="U1351" s="68">
        <f t="shared" si="1580"/>
        <v>196</v>
      </c>
      <c r="V1351" s="69"/>
      <c r="W1351" s="68">
        <f t="shared" si="1600"/>
        <v>52</v>
      </c>
      <c r="X1351" s="68">
        <f t="shared" si="1601"/>
        <v>0</v>
      </c>
      <c r="Y1351" s="68" t="s">
        <v>34</v>
      </c>
      <c r="Z1351" s="68">
        <v>7</v>
      </c>
      <c r="AA1351" s="70">
        <f t="shared" si="1648"/>
        <v>0</v>
      </c>
      <c r="AB1351" s="70">
        <f t="shared" si="1648"/>
        <v>0</v>
      </c>
      <c r="AC1351" s="70">
        <f t="shared" si="1648"/>
        <v>0</v>
      </c>
      <c r="AD1351" s="70">
        <f t="shared" si="1648"/>
        <v>0</v>
      </c>
      <c r="AE1351" s="70">
        <f t="shared" si="1648"/>
        <v>0</v>
      </c>
    </row>
    <row r="1352" spans="2:31">
      <c r="B1352" t="str">
        <f t="shared" si="1588"/>
        <v>Sem5252</v>
      </c>
      <c r="C1352" t="str">
        <f t="shared" si="1589"/>
        <v>ENEROSem52</v>
      </c>
      <c r="D1352" t="str">
        <f t="shared" si="1590"/>
        <v>ENEROSem52</v>
      </c>
      <c r="E1352" t="str">
        <f t="shared" si="1591"/>
        <v>ENEROSem5252</v>
      </c>
      <c r="F1352" t="str">
        <f t="shared" si="1592"/>
        <v/>
      </c>
      <c r="H1352" s="49"/>
      <c r="I1352" s="50">
        <f>+_xlfn.XLOOKUP($H1352&amp;$V1352,BASEDATOS!$B:$B,BASEDATOS!F:F,0,0,1)</f>
        <v>0</v>
      </c>
      <c r="J1352" s="51">
        <f>+_xlfn.XLOOKUP($H1352&amp;$V1352,BASEDATOS!$B:$B,BASEDATOS!Q:Q,0,0,1)</f>
        <v>0</v>
      </c>
      <c r="K1352" s="51">
        <f>+_xlfn.XLOOKUP($H1352&amp;$V1352,BASEDATOS!$B:$B,BASEDATOS!R:R,0,0,1)</f>
        <v>0</v>
      </c>
      <c r="L1352" s="51">
        <f t="shared" si="1593"/>
        <v>0</v>
      </c>
      <c r="M1352" s="52">
        <f t="shared" si="1594"/>
        <v>0</v>
      </c>
      <c r="N1352" s="51">
        <f t="shared" si="1595"/>
        <v>0</v>
      </c>
      <c r="O1352" s="53" t="str">
        <f t="shared" ref="O1352" si="1659">+O1358</f>
        <v>0-0-0</v>
      </c>
      <c r="P1352" s="54">
        <f>+IF(AND(Y1352="Domingo",U1352=7),_xlfn.XLOOKUP(O1352,'Horarios y Sistemas'!C:C,'Horarios y Sistemas'!H:H,0,0,1),0)</f>
        <v>0</v>
      </c>
      <c r="Q1352" s="54">
        <f>IF(U1352=U1353,0,IF(AVERAGEIF(W:W,W1352,U:U)=U1352,0,_xlfn.XLOOKUP(O1352,'Horarios y Sistemas'!C:C,'Horarios y Sistemas'!H:H,0,0,1)-P1352))/7*U1352</f>
        <v>0</v>
      </c>
      <c r="R1352" s="54">
        <f t="shared" si="1597"/>
        <v>0</v>
      </c>
      <c r="S1352" s="55" t="str">
        <f t="shared" si="1598"/>
        <v>ENERO</v>
      </c>
      <c r="T1352" s="55" t="str">
        <f t="shared" si="1599"/>
        <v>Sem52</v>
      </c>
      <c r="U1352" s="56">
        <f t="shared" ref="U1352:U1415" si="1660">+COUNTIF(B:B,B1352)</f>
        <v>196</v>
      </c>
      <c r="V1352" s="59"/>
      <c r="W1352" s="56">
        <f t="shared" si="1600"/>
        <v>52</v>
      </c>
      <c r="X1352" s="56">
        <f t="shared" si="1601"/>
        <v>0</v>
      </c>
      <c r="Y1352" s="56" t="s">
        <v>28</v>
      </c>
      <c r="Z1352" s="56">
        <v>1</v>
      </c>
      <c r="AA1352" s="58">
        <f t="shared" si="1648"/>
        <v>0</v>
      </c>
      <c r="AB1352" s="58">
        <f t="shared" si="1648"/>
        <v>0</v>
      </c>
      <c r="AC1352" s="58">
        <f t="shared" si="1648"/>
        <v>0</v>
      </c>
      <c r="AD1352" s="58">
        <f t="shared" si="1648"/>
        <v>0</v>
      </c>
      <c r="AE1352" s="58">
        <f t="shared" si="1648"/>
        <v>0</v>
      </c>
    </row>
    <row r="1353" spans="2:31">
      <c r="B1353" t="str">
        <f t="shared" si="1588"/>
        <v>Sem5252</v>
      </c>
      <c r="C1353" t="str">
        <f t="shared" si="1589"/>
        <v>ENEROSem52</v>
      </c>
      <c r="D1353" t="str">
        <f t="shared" si="1590"/>
        <v>ENEROSem52</v>
      </c>
      <c r="E1353" t="str">
        <f t="shared" si="1591"/>
        <v>ENEROSem5252</v>
      </c>
      <c r="F1353" t="str">
        <f t="shared" si="1592"/>
        <v/>
      </c>
      <c r="H1353" s="49"/>
      <c r="I1353" s="50">
        <f>+_xlfn.XLOOKUP($H1353&amp;$V1353,BASEDATOS!$B:$B,BASEDATOS!F:F,0,0,1)</f>
        <v>0</v>
      </c>
      <c r="J1353" s="51">
        <f>+_xlfn.XLOOKUP($H1353&amp;$V1353,BASEDATOS!$B:$B,BASEDATOS!Q:Q,0,0,1)</f>
        <v>0</v>
      </c>
      <c r="K1353" s="51">
        <f>+_xlfn.XLOOKUP($H1353&amp;$V1353,BASEDATOS!$B:$B,BASEDATOS!R:R,0,0,1)</f>
        <v>0</v>
      </c>
      <c r="L1353" s="51">
        <f t="shared" si="1593"/>
        <v>0</v>
      </c>
      <c r="M1353" s="52">
        <f t="shared" si="1594"/>
        <v>0</v>
      </c>
      <c r="N1353" s="51">
        <f t="shared" si="1595"/>
        <v>0</v>
      </c>
      <c r="O1353" s="53" t="str">
        <f t="shared" ref="O1353" si="1661">+O1358</f>
        <v>0-0-0</v>
      </c>
      <c r="P1353" s="54">
        <f>+IF(AND(Y1353="Domingo",U1353=7),_xlfn.XLOOKUP(O1353,'Horarios y Sistemas'!C:C,'Horarios y Sistemas'!H:H,0,0,1),0)</f>
        <v>0</v>
      </c>
      <c r="Q1353" s="54">
        <f>IF(U1353=U1354,0,IF(AVERAGEIF(W:W,W1353,U:U)=U1353,0,_xlfn.XLOOKUP(O1353,'Horarios y Sistemas'!C:C,'Horarios y Sistemas'!H:H,0,0,1)-P1353))/7*U1353</f>
        <v>0</v>
      </c>
      <c r="R1353" s="54">
        <f t="shared" si="1597"/>
        <v>0</v>
      </c>
      <c r="S1353" s="55" t="str">
        <f t="shared" si="1598"/>
        <v>ENERO</v>
      </c>
      <c r="T1353" s="55" t="str">
        <f t="shared" si="1599"/>
        <v>Sem52</v>
      </c>
      <c r="U1353" s="56">
        <f t="shared" si="1660"/>
        <v>196</v>
      </c>
      <c r="V1353" s="59"/>
      <c r="W1353" s="56">
        <f t="shared" si="1600"/>
        <v>52</v>
      </c>
      <c r="X1353" s="56">
        <f t="shared" si="1601"/>
        <v>0</v>
      </c>
      <c r="Y1353" s="56" t="s">
        <v>29</v>
      </c>
      <c r="Z1353" s="56">
        <v>2</v>
      </c>
      <c r="AA1353" s="58">
        <f t="shared" si="1648"/>
        <v>0</v>
      </c>
      <c r="AB1353" s="58">
        <f t="shared" si="1648"/>
        <v>0</v>
      </c>
      <c r="AC1353" s="58">
        <f t="shared" si="1648"/>
        <v>0</v>
      </c>
      <c r="AD1353" s="58">
        <f t="shared" si="1648"/>
        <v>0</v>
      </c>
      <c r="AE1353" s="58">
        <f t="shared" si="1648"/>
        <v>0</v>
      </c>
    </row>
    <row r="1354" spans="2:31">
      <c r="B1354" t="str">
        <f t="shared" si="1588"/>
        <v>Sem5252</v>
      </c>
      <c r="C1354" t="str">
        <f t="shared" si="1589"/>
        <v>ENEROSem52</v>
      </c>
      <c r="D1354" t="str">
        <f t="shared" si="1590"/>
        <v>ENEROSem52</v>
      </c>
      <c r="E1354" t="str">
        <f t="shared" si="1591"/>
        <v>ENEROSem5252</v>
      </c>
      <c r="F1354" t="str">
        <f t="shared" si="1592"/>
        <v/>
      </c>
      <c r="H1354" s="49"/>
      <c r="I1354" s="50">
        <f>+_xlfn.XLOOKUP($H1354&amp;$V1354,BASEDATOS!$B:$B,BASEDATOS!F:F,0,0,1)</f>
        <v>0</v>
      </c>
      <c r="J1354" s="51">
        <f>+_xlfn.XLOOKUP($H1354&amp;$V1354,BASEDATOS!$B:$B,BASEDATOS!Q:Q,0,0,1)</f>
        <v>0</v>
      </c>
      <c r="K1354" s="51">
        <f>+_xlfn.XLOOKUP($H1354&amp;$V1354,BASEDATOS!$B:$B,BASEDATOS!R:R,0,0,1)</f>
        <v>0</v>
      </c>
      <c r="L1354" s="51">
        <f t="shared" si="1593"/>
        <v>0</v>
      </c>
      <c r="M1354" s="52">
        <f t="shared" si="1594"/>
        <v>0</v>
      </c>
      <c r="N1354" s="51">
        <f t="shared" si="1595"/>
        <v>0</v>
      </c>
      <c r="O1354" s="53" t="str">
        <f t="shared" ref="O1354" si="1662">+O1358</f>
        <v>0-0-0</v>
      </c>
      <c r="P1354" s="54">
        <f>+IF(AND(Y1354="Domingo",U1354=7),_xlfn.XLOOKUP(O1354,'Horarios y Sistemas'!C:C,'Horarios y Sistemas'!H:H,0,0,1),0)</f>
        <v>0</v>
      </c>
      <c r="Q1354" s="54">
        <f>IF(U1354=U1355,0,IF(AVERAGEIF(W:W,W1354,U:U)=U1354,0,_xlfn.XLOOKUP(O1354,'Horarios y Sistemas'!C:C,'Horarios y Sistemas'!H:H,0,0,1)-P1354))/7*U1354</f>
        <v>0</v>
      </c>
      <c r="R1354" s="54">
        <f t="shared" si="1597"/>
        <v>0</v>
      </c>
      <c r="S1354" s="55" t="str">
        <f t="shared" si="1598"/>
        <v>ENERO</v>
      </c>
      <c r="T1354" s="55" t="str">
        <f t="shared" si="1599"/>
        <v>Sem52</v>
      </c>
      <c r="U1354" s="56">
        <f t="shared" si="1660"/>
        <v>196</v>
      </c>
      <c r="V1354" s="59"/>
      <c r="W1354" s="56">
        <f t="shared" si="1600"/>
        <v>52</v>
      </c>
      <c r="X1354" s="56">
        <f t="shared" si="1601"/>
        <v>0</v>
      </c>
      <c r="Y1354" s="56" t="s">
        <v>30</v>
      </c>
      <c r="Z1354" s="56">
        <v>3</v>
      </c>
      <c r="AA1354" s="58">
        <f t="shared" si="1648"/>
        <v>0</v>
      </c>
      <c r="AB1354" s="58">
        <f t="shared" si="1648"/>
        <v>0</v>
      </c>
      <c r="AC1354" s="58">
        <f t="shared" si="1648"/>
        <v>0</v>
      </c>
      <c r="AD1354" s="58">
        <f t="shared" si="1648"/>
        <v>0</v>
      </c>
      <c r="AE1354" s="58">
        <f t="shared" si="1648"/>
        <v>0</v>
      </c>
    </row>
    <row r="1355" spans="2:31">
      <c r="B1355" t="str">
        <f t="shared" si="1588"/>
        <v>Sem5252</v>
      </c>
      <c r="C1355" t="str">
        <f t="shared" si="1589"/>
        <v>ENEROSem52</v>
      </c>
      <c r="D1355" t="str">
        <f t="shared" si="1590"/>
        <v>ENEROSem52</v>
      </c>
      <c r="E1355" t="str">
        <f t="shared" si="1591"/>
        <v>ENEROSem5252</v>
      </c>
      <c r="F1355" t="str">
        <f t="shared" si="1592"/>
        <v/>
      </c>
      <c r="H1355" s="49"/>
      <c r="I1355" s="50">
        <f>+_xlfn.XLOOKUP($H1355&amp;$V1355,BASEDATOS!$B:$B,BASEDATOS!F:F,0,0,1)</f>
        <v>0</v>
      </c>
      <c r="J1355" s="51">
        <f>+_xlfn.XLOOKUP($H1355&amp;$V1355,BASEDATOS!$B:$B,BASEDATOS!Q:Q,0,0,1)</f>
        <v>0</v>
      </c>
      <c r="K1355" s="51">
        <f>+_xlfn.XLOOKUP($H1355&amp;$V1355,BASEDATOS!$B:$B,BASEDATOS!R:R,0,0,1)</f>
        <v>0</v>
      </c>
      <c r="L1355" s="51">
        <f t="shared" si="1593"/>
        <v>0</v>
      </c>
      <c r="M1355" s="52">
        <f t="shared" si="1594"/>
        <v>0</v>
      </c>
      <c r="N1355" s="51">
        <f t="shared" si="1595"/>
        <v>0</v>
      </c>
      <c r="O1355" s="53" t="str">
        <f t="shared" ref="O1355" si="1663">+O1358</f>
        <v>0-0-0</v>
      </c>
      <c r="P1355" s="54">
        <f>+IF(AND(Y1355="Domingo",U1355=7),_xlfn.XLOOKUP(O1355,'Horarios y Sistemas'!C:C,'Horarios y Sistemas'!H:H,0,0,1),0)</f>
        <v>0</v>
      </c>
      <c r="Q1355" s="54">
        <f>IF(U1355=U1356,0,IF(AVERAGEIF(W:W,W1355,U:U)=U1355,0,_xlfn.XLOOKUP(O1355,'Horarios y Sistemas'!C:C,'Horarios y Sistemas'!H:H,0,0,1)-P1355))/7*U1355</f>
        <v>0</v>
      </c>
      <c r="R1355" s="54">
        <f t="shared" si="1597"/>
        <v>0</v>
      </c>
      <c r="S1355" s="55" t="str">
        <f t="shared" si="1598"/>
        <v>ENERO</v>
      </c>
      <c r="T1355" s="55" t="str">
        <f t="shared" si="1599"/>
        <v>Sem52</v>
      </c>
      <c r="U1355" s="56">
        <f t="shared" si="1660"/>
        <v>196</v>
      </c>
      <c r="V1355" s="59"/>
      <c r="W1355" s="56">
        <f t="shared" si="1600"/>
        <v>52</v>
      </c>
      <c r="X1355" s="56">
        <f t="shared" si="1601"/>
        <v>0</v>
      </c>
      <c r="Y1355" s="56" t="s">
        <v>31</v>
      </c>
      <c r="Z1355" s="56">
        <v>4</v>
      </c>
      <c r="AA1355" s="58">
        <f t="shared" si="1648"/>
        <v>0</v>
      </c>
      <c r="AB1355" s="58">
        <f t="shared" si="1648"/>
        <v>0</v>
      </c>
      <c r="AC1355" s="58">
        <f t="shared" si="1648"/>
        <v>0</v>
      </c>
      <c r="AD1355" s="58">
        <f t="shared" si="1648"/>
        <v>0</v>
      </c>
      <c r="AE1355" s="58">
        <f t="shared" si="1648"/>
        <v>0</v>
      </c>
    </row>
    <row r="1356" spans="2:31">
      <c r="B1356" t="str">
        <f t="shared" si="1588"/>
        <v>Sem5252</v>
      </c>
      <c r="C1356" t="str">
        <f t="shared" si="1589"/>
        <v>ENEROSem52</v>
      </c>
      <c r="D1356" t="str">
        <f t="shared" si="1590"/>
        <v>ENEROSem52</v>
      </c>
      <c r="E1356" t="str">
        <f t="shared" si="1591"/>
        <v>ENEROSem5252</v>
      </c>
      <c r="F1356" t="str">
        <f t="shared" si="1592"/>
        <v/>
      </c>
      <c r="H1356" s="49"/>
      <c r="I1356" s="50">
        <f>+_xlfn.XLOOKUP($H1356&amp;$V1356,BASEDATOS!$B:$B,BASEDATOS!F:F,0,0,1)</f>
        <v>0</v>
      </c>
      <c r="J1356" s="51">
        <f>+_xlfn.XLOOKUP($H1356&amp;$V1356,BASEDATOS!$B:$B,BASEDATOS!Q:Q,0,0,1)</f>
        <v>0</v>
      </c>
      <c r="K1356" s="51">
        <f>+_xlfn.XLOOKUP($H1356&amp;$V1356,BASEDATOS!$B:$B,BASEDATOS!R:R,0,0,1)</f>
        <v>0</v>
      </c>
      <c r="L1356" s="51">
        <f t="shared" si="1593"/>
        <v>0</v>
      </c>
      <c r="M1356" s="52">
        <f t="shared" si="1594"/>
        <v>0</v>
      </c>
      <c r="N1356" s="51">
        <f t="shared" si="1595"/>
        <v>0</v>
      </c>
      <c r="O1356" s="53" t="str">
        <f t="shared" ref="O1356" si="1664">+O1358</f>
        <v>0-0-0</v>
      </c>
      <c r="P1356" s="54">
        <f>+IF(AND(Y1356="Domingo",U1356=7),_xlfn.XLOOKUP(O1356,'Horarios y Sistemas'!C:C,'Horarios y Sistemas'!H:H,0,0,1),0)</f>
        <v>0</v>
      </c>
      <c r="Q1356" s="54">
        <f>IF(U1356=U1357,0,IF(AVERAGEIF(W:W,W1356,U:U)=U1356,0,_xlfn.XLOOKUP(O1356,'Horarios y Sistemas'!C:C,'Horarios y Sistemas'!H:H,0,0,1)-P1356))/7*U1356</f>
        <v>0</v>
      </c>
      <c r="R1356" s="54">
        <f t="shared" si="1597"/>
        <v>0</v>
      </c>
      <c r="S1356" s="55" t="str">
        <f t="shared" si="1598"/>
        <v>ENERO</v>
      </c>
      <c r="T1356" s="55" t="str">
        <f t="shared" si="1599"/>
        <v>Sem52</v>
      </c>
      <c r="U1356" s="56">
        <f t="shared" si="1660"/>
        <v>196</v>
      </c>
      <c r="V1356" s="59"/>
      <c r="W1356" s="56">
        <f t="shared" si="1600"/>
        <v>52</v>
      </c>
      <c r="X1356" s="56">
        <f t="shared" si="1601"/>
        <v>0</v>
      </c>
      <c r="Y1356" s="56" t="s">
        <v>32</v>
      </c>
      <c r="Z1356" s="56">
        <v>5</v>
      </c>
      <c r="AA1356" s="58">
        <f t="shared" si="1648"/>
        <v>0</v>
      </c>
      <c r="AB1356" s="58">
        <f t="shared" si="1648"/>
        <v>0</v>
      </c>
      <c r="AC1356" s="58">
        <f t="shared" si="1648"/>
        <v>0</v>
      </c>
      <c r="AD1356" s="58">
        <f t="shared" si="1648"/>
        <v>0</v>
      </c>
      <c r="AE1356" s="58">
        <f t="shared" si="1648"/>
        <v>0</v>
      </c>
    </row>
    <row r="1357" spans="2:31">
      <c r="B1357" t="str">
        <f t="shared" si="1588"/>
        <v>Sem5252</v>
      </c>
      <c r="C1357" t="str">
        <f t="shared" si="1589"/>
        <v>ENEROSem52</v>
      </c>
      <c r="D1357" t="str">
        <f t="shared" si="1590"/>
        <v>ENEROSem52</v>
      </c>
      <c r="E1357" t="str">
        <f t="shared" si="1591"/>
        <v>ENEROSem5252</v>
      </c>
      <c r="F1357" t="str">
        <f t="shared" si="1592"/>
        <v/>
      </c>
      <c r="H1357" s="49"/>
      <c r="I1357" s="50">
        <f>+_xlfn.XLOOKUP($H1357&amp;$V1357,BASEDATOS!$B:$B,BASEDATOS!F:F,0,0,1)</f>
        <v>0</v>
      </c>
      <c r="J1357" s="51">
        <f>+_xlfn.XLOOKUP($H1357&amp;$V1357,BASEDATOS!$B:$B,BASEDATOS!Q:Q,0,0,1)</f>
        <v>0</v>
      </c>
      <c r="K1357" s="51">
        <f>+_xlfn.XLOOKUP($H1357&amp;$V1357,BASEDATOS!$B:$B,BASEDATOS!R:R,0,0,1)</f>
        <v>0</v>
      </c>
      <c r="L1357" s="51">
        <f t="shared" si="1593"/>
        <v>0</v>
      </c>
      <c r="M1357" s="52">
        <f t="shared" si="1594"/>
        <v>0</v>
      </c>
      <c r="N1357" s="51">
        <f t="shared" si="1595"/>
        <v>0</v>
      </c>
      <c r="O1357" s="53" t="str">
        <f t="shared" ref="O1357" si="1665">+O1358</f>
        <v>0-0-0</v>
      </c>
      <c r="P1357" s="54">
        <f>+IF(AND(Y1357="Domingo",U1357=7),_xlfn.XLOOKUP(O1357,'Horarios y Sistemas'!C:C,'Horarios y Sistemas'!H:H,0,0,1),0)</f>
        <v>0</v>
      </c>
      <c r="Q1357" s="54">
        <f>IF(U1357=U1358,0,IF(AVERAGEIF(W:W,W1357,U:U)=U1357,0,_xlfn.XLOOKUP(O1357,'Horarios y Sistemas'!C:C,'Horarios y Sistemas'!H:H,0,0,1)-P1357))/7*U1357</f>
        <v>0</v>
      </c>
      <c r="R1357" s="54">
        <f t="shared" si="1597"/>
        <v>0</v>
      </c>
      <c r="S1357" s="55" t="str">
        <f t="shared" si="1598"/>
        <v>ENERO</v>
      </c>
      <c r="T1357" s="55" t="str">
        <f t="shared" si="1599"/>
        <v>Sem52</v>
      </c>
      <c r="U1357" s="56">
        <f t="shared" si="1660"/>
        <v>196</v>
      </c>
      <c r="V1357" s="59"/>
      <c r="W1357" s="56">
        <f t="shared" si="1600"/>
        <v>52</v>
      </c>
      <c r="X1357" s="56">
        <f t="shared" si="1601"/>
        <v>0</v>
      </c>
      <c r="Y1357" s="56" t="s">
        <v>33</v>
      </c>
      <c r="Z1357" s="56">
        <v>6</v>
      </c>
      <c r="AA1357" s="58">
        <f t="shared" si="1648"/>
        <v>0</v>
      </c>
      <c r="AB1357" s="58">
        <f t="shared" si="1648"/>
        <v>0</v>
      </c>
      <c r="AC1357" s="58">
        <f t="shared" si="1648"/>
        <v>0</v>
      </c>
      <c r="AD1357" s="58">
        <f t="shared" si="1648"/>
        <v>0</v>
      </c>
      <c r="AE1357" s="58">
        <f t="shared" si="1648"/>
        <v>0</v>
      </c>
    </row>
    <row r="1358" spans="2:31">
      <c r="B1358" s="60" t="str">
        <f t="shared" si="1588"/>
        <v>Sem5252</v>
      </c>
      <c r="C1358" s="60" t="str">
        <f t="shared" si="1589"/>
        <v>ENEROSem52</v>
      </c>
      <c r="D1358" s="60" t="str">
        <f t="shared" si="1590"/>
        <v>ENEROSem52</v>
      </c>
      <c r="E1358" s="60" t="str">
        <f t="shared" si="1591"/>
        <v>ENEROSem5252</v>
      </c>
      <c r="F1358" s="60" t="str">
        <f t="shared" si="1592"/>
        <v/>
      </c>
      <c r="G1358" s="60"/>
      <c r="H1358" s="61"/>
      <c r="I1358" s="62">
        <f>+_xlfn.XLOOKUP($H1358&amp;$V1358,BASEDATOS!$B:$B,BASEDATOS!F:F,0,0,1)</f>
        <v>0</v>
      </c>
      <c r="J1358" s="63">
        <f>+_xlfn.XLOOKUP($H1358&amp;$V1358,BASEDATOS!$B:$B,BASEDATOS!Q:Q,0,0,1)</f>
        <v>0</v>
      </c>
      <c r="K1358" s="63">
        <f>+_xlfn.XLOOKUP($H1358&amp;$V1358,BASEDATOS!$B:$B,BASEDATOS!R:R,0,0,1)</f>
        <v>0</v>
      </c>
      <c r="L1358" s="63">
        <f t="shared" si="1593"/>
        <v>0</v>
      </c>
      <c r="M1358" s="64">
        <f t="shared" si="1594"/>
        <v>0</v>
      </c>
      <c r="N1358" s="63">
        <f t="shared" si="1595"/>
        <v>0</v>
      </c>
      <c r="O1358" s="65" t="str">
        <f t="shared" ref="O1358" si="1666">+IF(Y1358="Domingo",SUM(AA1352:AA1358)&amp;"-"&amp;SUM(AB1352:AB1358)&amp;"-"&amp;SUM(AC1352:AE1358),"")</f>
        <v>0-0-0</v>
      </c>
      <c r="P1358" s="66">
        <f>+IF(AND(Y1358="Domingo",U1358=7),_xlfn.XLOOKUP(O1358,'Horarios y Sistemas'!C:C,'Horarios y Sistemas'!H:H,0,0,1),0)</f>
        <v>0</v>
      </c>
      <c r="Q1358" s="66">
        <f>IF(U1358=U1359,0,IF(AVERAGEIF(W:W,W1358,U:U)=U1358,0,_xlfn.XLOOKUP(O1358,'Horarios y Sistemas'!C:C,'Horarios y Sistemas'!H:H,0,0,1)-P1358))/7*U1358</f>
        <v>0</v>
      </c>
      <c r="R1358" s="66">
        <f t="shared" si="1597"/>
        <v>0</v>
      </c>
      <c r="S1358" s="67" t="str">
        <f t="shared" si="1598"/>
        <v>ENERO</v>
      </c>
      <c r="T1358" s="55" t="str">
        <f t="shared" si="1599"/>
        <v>Sem52</v>
      </c>
      <c r="U1358" s="68">
        <f t="shared" si="1660"/>
        <v>196</v>
      </c>
      <c r="V1358" s="69"/>
      <c r="W1358" s="68">
        <f t="shared" si="1600"/>
        <v>52</v>
      </c>
      <c r="X1358" s="68">
        <f t="shared" si="1601"/>
        <v>0</v>
      </c>
      <c r="Y1358" s="68" t="s">
        <v>34</v>
      </c>
      <c r="Z1358" s="68">
        <v>7</v>
      </c>
      <c r="AA1358" s="70">
        <f t="shared" si="1648"/>
        <v>0</v>
      </c>
      <c r="AB1358" s="70">
        <f t="shared" si="1648"/>
        <v>0</v>
      </c>
      <c r="AC1358" s="70">
        <f t="shared" si="1648"/>
        <v>0</v>
      </c>
      <c r="AD1358" s="70">
        <f t="shared" si="1648"/>
        <v>0</v>
      </c>
      <c r="AE1358" s="70">
        <f t="shared" si="1648"/>
        <v>0</v>
      </c>
    </row>
    <row r="1359" spans="2:31">
      <c r="B1359" t="str">
        <f t="shared" ref="B1359:B1421" si="1667">+T1359&amp;W1359&amp;H1359</f>
        <v>Sem5252</v>
      </c>
      <c r="C1359" t="str">
        <f t="shared" ref="C1359:C1421" si="1668">+S1359&amp;T1359</f>
        <v>ENEROSem52</v>
      </c>
      <c r="D1359" t="str">
        <f t="shared" ref="D1359:D1421" si="1669">+S1359&amp;T1359&amp;H1359</f>
        <v>ENEROSem52</v>
      </c>
      <c r="E1359" t="str">
        <f t="shared" ref="E1359:E1421" si="1670">+S1359&amp;T1359&amp;W1359&amp;H1359</f>
        <v>ENEROSem5252</v>
      </c>
      <c r="F1359" t="str">
        <f t="shared" ref="F1359:F1421" si="1671">+H1359&amp;V1359</f>
        <v/>
      </c>
      <c r="H1359" s="49"/>
      <c r="I1359" s="50">
        <f>+_xlfn.XLOOKUP($H1359&amp;$V1359,BASEDATOS!$B:$B,BASEDATOS!F:F,0,0,1)</f>
        <v>0</v>
      </c>
      <c r="J1359" s="51">
        <f>+_xlfn.XLOOKUP($H1359&amp;$V1359,BASEDATOS!$B:$B,BASEDATOS!Q:Q,0,0,1)</f>
        <v>0</v>
      </c>
      <c r="K1359" s="51">
        <f>+_xlfn.XLOOKUP($H1359&amp;$V1359,BASEDATOS!$B:$B,BASEDATOS!R:R,0,0,1)</f>
        <v>0</v>
      </c>
      <c r="L1359" s="51">
        <f t="shared" ref="L1359:L1421" si="1672">+IF(OR(J1359="Descanso",J1359="AUSENTE",J1359="ASUETO"),0,MOD(K1359-J1359,1))</f>
        <v>0</v>
      </c>
      <c r="M1359" s="52">
        <f t="shared" ref="M1359:M1421" si="1673">+IF(OR(I1359="DIA",I1359="NOCHE",I1359="MIXTO"),"1:00",0)</f>
        <v>0</v>
      </c>
      <c r="N1359" s="51">
        <f t="shared" ref="N1359:N1421" si="1674">+IF(I1359="ASUETO-D",8/24,IF(I1359="ASUETO-N",6/24,MOD(L1359-M1359,1)))</f>
        <v>0</v>
      </c>
      <c r="O1359" s="53" t="str">
        <f t="shared" ref="O1359" si="1675">+O1365</f>
        <v>0-0-0</v>
      </c>
      <c r="P1359" s="54">
        <f>+IF(AND(Y1359="Domingo",U1359=7),_xlfn.XLOOKUP(O1359,'Horarios y Sistemas'!C:C,'Horarios y Sistemas'!H:H,0,0,1),0)</f>
        <v>0</v>
      </c>
      <c r="Q1359" s="54">
        <f>IF(U1359=U1360,0,IF(AVERAGEIF(W:W,W1359,U:U)=U1359,0,_xlfn.XLOOKUP(O1359,'Horarios y Sistemas'!C:C,'Horarios y Sistemas'!H:H,0,0,1)-P1359))/7*U1359</f>
        <v>0</v>
      </c>
      <c r="R1359" s="54">
        <f t="shared" ref="R1359:R1421" si="1676">+IF(Y1359="Domingo",SUM(P1353:Q1359),0)</f>
        <v>0</v>
      </c>
      <c r="S1359" s="55" t="str">
        <f t="shared" ref="S1359:S1421" si="1677">+UPPER(TEXT(V1359,"MMMMMMMM"))</f>
        <v>ENERO</v>
      </c>
      <c r="T1359" s="55" t="str">
        <f t="shared" ref="T1359:T1421" si="1678">+"Sem"&amp;W1359</f>
        <v>Sem52</v>
      </c>
      <c r="U1359" s="56">
        <f t="shared" si="1660"/>
        <v>196</v>
      </c>
      <c r="V1359" s="57"/>
      <c r="W1359" s="56">
        <f t="shared" ref="W1359:W1421" si="1679">+_xlfn.ISOWEEKNUM(V1359)</f>
        <v>52</v>
      </c>
      <c r="X1359" s="56">
        <f t="shared" ref="X1359:X1421" si="1680">+DAY(V1359)</f>
        <v>0</v>
      </c>
      <c r="Y1359" s="56" t="s">
        <v>28</v>
      </c>
      <c r="Z1359" s="56">
        <v>1</v>
      </c>
      <c r="AA1359" s="58">
        <f t="shared" si="1648"/>
        <v>0</v>
      </c>
      <c r="AB1359" s="58">
        <f t="shared" si="1648"/>
        <v>0</v>
      </c>
      <c r="AC1359" s="58">
        <f t="shared" si="1648"/>
        <v>0</v>
      </c>
      <c r="AD1359" s="58">
        <f t="shared" si="1648"/>
        <v>0</v>
      </c>
      <c r="AE1359" s="58">
        <f t="shared" si="1648"/>
        <v>0</v>
      </c>
    </row>
    <row r="1360" spans="2:31">
      <c r="B1360" t="str">
        <f t="shared" si="1667"/>
        <v>Sem5252</v>
      </c>
      <c r="C1360" t="str">
        <f t="shared" si="1668"/>
        <v>ENEROSem52</v>
      </c>
      <c r="D1360" t="str">
        <f t="shared" si="1669"/>
        <v>ENEROSem52</v>
      </c>
      <c r="E1360" t="str">
        <f t="shared" si="1670"/>
        <v>ENEROSem5252</v>
      </c>
      <c r="F1360" t="str">
        <f t="shared" si="1671"/>
        <v/>
      </c>
      <c r="H1360" s="49"/>
      <c r="I1360" s="50">
        <f>+_xlfn.XLOOKUP($H1360&amp;$V1360,BASEDATOS!$B:$B,BASEDATOS!F:F,0,0,1)</f>
        <v>0</v>
      </c>
      <c r="J1360" s="51">
        <f>+_xlfn.XLOOKUP($H1360&amp;$V1360,BASEDATOS!$B:$B,BASEDATOS!Q:Q,0,0,1)</f>
        <v>0</v>
      </c>
      <c r="K1360" s="51">
        <f>+_xlfn.XLOOKUP($H1360&amp;$V1360,BASEDATOS!$B:$B,BASEDATOS!R:R,0,0,1)</f>
        <v>0</v>
      </c>
      <c r="L1360" s="51">
        <f t="shared" si="1672"/>
        <v>0</v>
      </c>
      <c r="M1360" s="52">
        <f t="shared" si="1673"/>
        <v>0</v>
      </c>
      <c r="N1360" s="51">
        <f t="shared" si="1674"/>
        <v>0</v>
      </c>
      <c r="O1360" s="53" t="str">
        <f t="shared" ref="O1360" si="1681">+O1365</f>
        <v>0-0-0</v>
      </c>
      <c r="P1360" s="54">
        <f>+IF(AND(Y1360="Domingo",U1360=7),_xlfn.XLOOKUP(O1360,'Horarios y Sistemas'!C:C,'Horarios y Sistemas'!H:H,0,0,1),0)</f>
        <v>0</v>
      </c>
      <c r="Q1360" s="54">
        <f>IF(U1360=U1361,0,IF(AVERAGEIF(W:W,W1360,U:U)=U1360,0,_xlfn.XLOOKUP(O1360,'Horarios y Sistemas'!C:C,'Horarios y Sistemas'!H:H,0,0,1)-P1360))/7*U1360</f>
        <v>0</v>
      </c>
      <c r="R1360" s="54">
        <f t="shared" si="1676"/>
        <v>0</v>
      </c>
      <c r="S1360" s="55" t="str">
        <f t="shared" si="1677"/>
        <v>ENERO</v>
      </c>
      <c r="T1360" s="55" t="str">
        <f t="shared" si="1678"/>
        <v>Sem52</v>
      </c>
      <c r="U1360" s="56">
        <f t="shared" si="1660"/>
        <v>196</v>
      </c>
      <c r="V1360" s="59"/>
      <c r="W1360" s="56">
        <f t="shared" si="1679"/>
        <v>52</v>
      </c>
      <c r="X1360" s="56">
        <f t="shared" si="1680"/>
        <v>0</v>
      </c>
      <c r="Y1360" s="56" t="s">
        <v>29</v>
      </c>
      <c r="Z1360" s="56">
        <v>2</v>
      </c>
      <c r="AA1360" s="58">
        <f t="shared" si="1648"/>
        <v>0</v>
      </c>
      <c r="AB1360" s="58">
        <f t="shared" si="1648"/>
        <v>0</v>
      </c>
      <c r="AC1360" s="58">
        <f t="shared" si="1648"/>
        <v>0</v>
      </c>
      <c r="AD1360" s="58">
        <f t="shared" si="1648"/>
        <v>0</v>
      </c>
      <c r="AE1360" s="58">
        <f t="shared" si="1648"/>
        <v>0</v>
      </c>
    </row>
    <row r="1361" spans="2:31">
      <c r="B1361" t="str">
        <f t="shared" si="1667"/>
        <v>Sem5252</v>
      </c>
      <c r="C1361" t="str">
        <f t="shared" si="1668"/>
        <v>ENEROSem52</v>
      </c>
      <c r="D1361" t="str">
        <f t="shared" si="1669"/>
        <v>ENEROSem52</v>
      </c>
      <c r="E1361" t="str">
        <f t="shared" si="1670"/>
        <v>ENEROSem5252</v>
      </c>
      <c r="F1361" t="str">
        <f t="shared" si="1671"/>
        <v/>
      </c>
      <c r="H1361" s="49"/>
      <c r="I1361" s="50">
        <f>+_xlfn.XLOOKUP($H1361&amp;$V1361,BASEDATOS!$B:$B,BASEDATOS!F:F,0,0,1)</f>
        <v>0</v>
      </c>
      <c r="J1361" s="51">
        <f>+_xlfn.XLOOKUP($H1361&amp;$V1361,BASEDATOS!$B:$B,BASEDATOS!Q:Q,0,0,1)</f>
        <v>0</v>
      </c>
      <c r="K1361" s="51">
        <f>+_xlfn.XLOOKUP($H1361&amp;$V1361,BASEDATOS!$B:$B,BASEDATOS!R:R,0,0,1)</f>
        <v>0</v>
      </c>
      <c r="L1361" s="51">
        <f t="shared" si="1672"/>
        <v>0</v>
      </c>
      <c r="M1361" s="52">
        <f t="shared" si="1673"/>
        <v>0</v>
      </c>
      <c r="N1361" s="51">
        <f t="shared" si="1674"/>
        <v>0</v>
      </c>
      <c r="O1361" s="53" t="str">
        <f t="shared" ref="O1361" si="1682">+O1365</f>
        <v>0-0-0</v>
      </c>
      <c r="P1361" s="54">
        <f>+IF(AND(Y1361="Domingo",U1361=7),_xlfn.XLOOKUP(O1361,'Horarios y Sistemas'!C:C,'Horarios y Sistemas'!H:H,0,0,1),0)</f>
        <v>0</v>
      </c>
      <c r="Q1361" s="54">
        <f>IF(U1361=U1362,0,IF(AVERAGEIF(W:W,W1361,U:U)=U1361,0,_xlfn.XLOOKUP(O1361,'Horarios y Sistemas'!C:C,'Horarios y Sistemas'!H:H,0,0,1)-P1361))/7*U1361</f>
        <v>0</v>
      </c>
      <c r="R1361" s="54">
        <f t="shared" si="1676"/>
        <v>0</v>
      </c>
      <c r="S1361" s="55" t="str">
        <f t="shared" si="1677"/>
        <v>ENERO</v>
      </c>
      <c r="T1361" s="55" t="str">
        <f t="shared" si="1678"/>
        <v>Sem52</v>
      </c>
      <c r="U1361" s="56">
        <f t="shared" si="1660"/>
        <v>196</v>
      </c>
      <c r="V1361" s="59"/>
      <c r="W1361" s="56">
        <f t="shared" si="1679"/>
        <v>52</v>
      </c>
      <c r="X1361" s="56">
        <f t="shared" si="1680"/>
        <v>0</v>
      </c>
      <c r="Y1361" s="56" t="s">
        <v>30</v>
      </c>
      <c r="Z1361" s="56">
        <v>3</v>
      </c>
      <c r="AA1361" s="58">
        <f t="shared" si="1648"/>
        <v>0</v>
      </c>
      <c r="AB1361" s="58">
        <f t="shared" si="1648"/>
        <v>0</v>
      </c>
      <c r="AC1361" s="58">
        <f t="shared" si="1648"/>
        <v>0</v>
      </c>
      <c r="AD1361" s="58">
        <f t="shared" si="1648"/>
        <v>0</v>
      </c>
      <c r="AE1361" s="58">
        <f t="shared" si="1648"/>
        <v>0</v>
      </c>
    </row>
    <row r="1362" spans="2:31">
      <c r="B1362" t="str">
        <f t="shared" si="1667"/>
        <v>Sem5252</v>
      </c>
      <c r="C1362" t="str">
        <f t="shared" si="1668"/>
        <v>ENEROSem52</v>
      </c>
      <c r="D1362" t="str">
        <f t="shared" si="1669"/>
        <v>ENEROSem52</v>
      </c>
      <c r="E1362" t="str">
        <f t="shared" si="1670"/>
        <v>ENEROSem5252</v>
      </c>
      <c r="F1362" t="str">
        <f t="shared" si="1671"/>
        <v/>
      </c>
      <c r="H1362" s="49"/>
      <c r="I1362" s="50">
        <f>+_xlfn.XLOOKUP($H1362&amp;$V1362,BASEDATOS!$B:$B,BASEDATOS!F:F,0,0,1)</f>
        <v>0</v>
      </c>
      <c r="J1362" s="51">
        <f>+_xlfn.XLOOKUP($H1362&amp;$V1362,BASEDATOS!$B:$B,BASEDATOS!Q:Q,0,0,1)</f>
        <v>0</v>
      </c>
      <c r="K1362" s="51">
        <f>+_xlfn.XLOOKUP($H1362&amp;$V1362,BASEDATOS!$B:$B,BASEDATOS!R:R,0,0,1)</f>
        <v>0</v>
      </c>
      <c r="L1362" s="51">
        <f t="shared" si="1672"/>
        <v>0</v>
      </c>
      <c r="M1362" s="52">
        <f t="shared" si="1673"/>
        <v>0</v>
      </c>
      <c r="N1362" s="51">
        <f t="shared" si="1674"/>
        <v>0</v>
      </c>
      <c r="O1362" s="53" t="str">
        <f t="shared" ref="O1362" si="1683">+O1365</f>
        <v>0-0-0</v>
      </c>
      <c r="P1362" s="54">
        <f>+IF(AND(Y1362="Domingo",U1362=7),_xlfn.XLOOKUP(O1362,'Horarios y Sistemas'!C:C,'Horarios y Sistemas'!H:H,0,0,1),0)</f>
        <v>0</v>
      </c>
      <c r="Q1362" s="54">
        <f>IF(U1362=U1363,0,IF(AVERAGEIF(W:W,W1362,U:U)=U1362,0,_xlfn.XLOOKUP(O1362,'Horarios y Sistemas'!C:C,'Horarios y Sistemas'!H:H,0,0,1)-P1362))/7*U1362</f>
        <v>0</v>
      </c>
      <c r="R1362" s="54">
        <f t="shared" si="1676"/>
        <v>0</v>
      </c>
      <c r="S1362" s="55" t="str">
        <f t="shared" si="1677"/>
        <v>ENERO</v>
      </c>
      <c r="T1362" s="55" t="str">
        <f t="shared" si="1678"/>
        <v>Sem52</v>
      </c>
      <c r="U1362" s="56">
        <f t="shared" si="1660"/>
        <v>196</v>
      </c>
      <c r="V1362" s="59"/>
      <c r="W1362" s="56">
        <f t="shared" si="1679"/>
        <v>52</v>
      </c>
      <c r="X1362" s="56">
        <f t="shared" si="1680"/>
        <v>0</v>
      </c>
      <c r="Y1362" s="56" t="s">
        <v>31</v>
      </c>
      <c r="Z1362" s="56">
        <v>4</v>
      </c>
      <c r="AA1362" s="58">
        <f t="shared" si="1648"/>
        <v>0</v>
      </c>
      <c r="AB1362" s="58">
        <f t="shared" si="1648"/>
        <v>0</v>
      </c>
      <c r="AC1362" s="58">
        <f t="shared" si="1648"/>
        <v>0</v>
      </c>
      <c r="AD1362" s="58">
        <f t="shared" si="1648"/>
        <v>0</v>
      </c>
      <c r="AE1362" s="58">
        <f t="shared" si="1648"/>
        <v>0</v>
      </c>
    </row>
    <row r="1363" spans="2:31">
      <c r="B1363" t="str">
        <f t="shared" si="1667"/>
        <v>Sem5252</v>
      </c>
      <c r="C1363" t="str">
        <f t="shared" si="1668"/>
        <v>ENEROSem52</v>
      </c>
      <c r="D1363" t="str">
        <f t="shared" si="1669"/>
        <v>ENEROSem52</v>
      </c>
      <c r="E1363" t="str">
        <f t="shared" si="1670"/>
        <v>ENEROSem5252</v>
      </c>
      <c r="F1363" t="str">
        <f t="shared" si="1671"/>
        <v/>
      </c>
      <c r="H1363" s="49"/>
      <c r="I1363" s="50">
        <f>+_xlfn.XLOOKUP($H1363&amp;$V1363,BASEDATOS!$B:$B,BASEDATOS!F:F,0,0,1)</f>
        <v>0</v>
      </c>
      <c r="J1363" s="51">
        <f>+_xlfn.XLOOKUP($H1363&amp;$V1363,BASEDATOS!$B:$B,BASEDATOS!Q:Q,0,0,1)</f>
        <v>0</v>
      </c>
      <c r="K1363" s="51">
        <f>+_xlfn.XLOOKUP($H1363&amp;$V1363,BASEDATOS!$B:$B,BASEDATOS!R:R,0,0,1)</f>
        <v>0</v>
      </c>
      <c r="L1363" s="51">
        <f t="shared" si="1672"/>
        <v>0</v>
      </c>
      <c r="M1363" s="52">
        <f t="shared" si="1673"/>
        <v>0</v>
      </c>
      <c r="N1363" s="51">
        <f t="shared" si="1674"/>
        <v>0</v>
      </c>
      <c r="O1363" s="53" t="str">
        <f t="shared" ref="O1363" si="1684">+O1365</f>
        <v>0-0-0</v>
      </c>
      <c r="P1363" s="54">
        <f>+IF(AND(Y1363="Domingo",U1363=7),_xlfn.XLOOKUP(O1363,'Horarios y Sistemas'!C:C,'Horarios y Sistemas'!H:H,0,0,1),0)</f>
        <v>0</v>
      </c>
      <c r="Q1363" s="54">
        <f>IF(U1363=U1364,0,IF(AVERAGEIF(W:W,W1363,U:U)=U1363,0,_xlfn.XLOOKUP(O1363,'Horarios y Sistemas'!C:C,'Horarios y Sistemas'!H:H,0,0,1)-P1363))/7*U1363</f>
        <v>0</v>
      </c>
      <c r="R1363" s="54">
        <f t="shared" si="1676"/>
        <v>0</v>
      </c>
      <c r="S1363" s="55" t="str">
        <f t="shared" si="1677"/>
        <v>ENERO</v>
      </c>
      <c r="T1363" s="55" t="str">
        <f t="shared" si="1678"/>
        <v>Sem52</v>
      </c>
      <c r="U1363" s="56">
        <f t="shared" si="1660"/>
        <v>196</v>
      </c>
      <c r="V1363" s="59"/>
      <c r="W1363" s="56">
        <f t="shared" si="1679"/>
        <v>52</v>
      </c>
      <c r="X1363" s="56">
        <f t="shared" si="1680"/>
        <v>0</v>
      </c>
      <c r="Y1363" s="56" t="s">
        <v>32</v>
      </c>
      <c r="Z1363" s="56">
        <v>5</v>
      </c>
      <c r="AA1363" s="58">
        <f t="shared" si="1648"/>
        <v>0</v>
      </c>
      <c r="AB1363" s="58">
        <f t="shared" si="1648"/>
        <v>0</v>
      </c>
      <c r="AC1363" s="58">
        <f t="shared" si="1648"/>
        <v>0</v>
      </c>
      <c r="AD1363" s="58">
        <f t="shared" si="1648"/>
        <v>0</v>
      </c>
      <c r="AE1363" s="58">
        <f t="shared" si="1648"/>
        <v>0</v>
      </c>
    </row>
    <row r="1364" spans="2:31">
      <c r="B1364" t="str">
        <f t="shared" si="1667"/>
        <v>Sem5252</v>
      </c>
      <c r="C1364" t="str">
        <f t="shared" si="1668"/>
        <v>ENEROSem52</v>
      </c>
      <c r="D1364" t="str">
        <f t="shared" si="1669"/>
        <v>ENEROSem52</v>
      </c>
      <c r="E1364" t="str">
        <f t="shared" si="1670"/>
        <v>ENEROSem5252</v>
      </c>
      <c r="F1364" t="str">
        <f t="shared" si="1671"/>
        <v/>
      </c>
      <c r="H1364" s="49"/>
      <c r="I1364" s="50">
        <f>+_xlfn.XLOOKUP($H1364&amp;$V1364,BASEDATOS!$B:$B,BASEDATOS!F:F,0,0,1)</f>
        <v>0</v>
      </c>
      <c r="J1364" s="51">
        <f>+_xlfn.XLOOKUP($H1364&amp;$V1364,BASEDATOS!$B:$B,BASEDATOS!Q:Q,0,0,1)</f>
        <v>0</v>
      </c>
      <c r="K1364" s="51">
        <f>+_xlfn.XLOOKUP($H1364&amp;$V1364,BASEDATOS!$B:$B,BASEDATOS!R:R,0,0,1)</f>
        <v>0</v>
      </c>
      <c r="L1364" s="51">
        <f t="shared" si="1672"/>
        <v>0</v>
      </c>
      <c r="M1364" s="52">
        <f t="shared" si="1673"/>
        <v>0</v>
      </c>
      <c r="N1364" s="51">
        <f t="shared" si="1674"/>
        <v>0</v>
      </c>
      <c r="O1364" s="53" t="str">
        <f t="shared" ref="O1364" si="1685">+O1365</f>
        <v>0-0-0</v>
      </c>
      <c r="P1364" s="54">
        <f>+IF(AND(Y1364="Domingo",U1364=7),_xlfn.XLOOKUP(O1364,'Horarios y Sistemas'!C:C,'Horarios y Sistemas'!H:H,0,0,1),0)</f>
        <v>0</v>
      </c>
      <c r="Q1364" s="54">
        <f>IF(U1364=U1365,0,IF(AVERAGEIF(W:W,W1364,U:U)=U1364,0,_xlfn.XLOOKUP(O1364,'Horarios y Sistemas'!C:C,'Horarios y Sistemas'!H:H,0,0,1)-P1364))/7*U1364</f>
        <v>0</v>
      </c>
      <c r="R1364" s="54">
        <f t="shared" si="1676"/>
        <v>0</v>
      </c>
      <c r="S1364" s="55" t="str">
        <f t="shared" si="1677"/>
        <v>ENERO</v>
      </c>
      <c r="T1364" s="55" t="str">
        <f t="shared" si="1678"/>
        <v>Sem52</v>
      </c>
      <c r="U1364" s="56">
        <f t="shared" si="1660"/>
        <v>196</v>
      </c>
      <c r="V1364" s="59"/>
      <c r="W1364" s="56">
        <f t="shared" si="1679"/>
        <v>52</v>
      </c>
      <c r="X1364" s="56">
        <f t="shared" si="1680"/>
        <v>0</v>
      </c>
      <c r="Y1364" s="56" t="s">
        <v>33</v>
      </c>
      <c r="Z1364" s="56">
        <v>6</v>
      </c>
      <c r="AA1364" s="58">
        <f t="shared" si="1648"/>
        <v>0</v>
      </c>
      <c r="AB1364" s="58">
        <f t="shared" si="1648"/>
        <v>0</v>
      </c>
      <c r="AC1364" s="58">
        <f t="shared" si="1648"/>
        <v>0</v>
      </c>
      <c r="AD1364" s="58">
        <f t="shared" si="1648"/>
        <v>0</v>
      </c>
      <c r="AE1364" s="58">
        <f t="shared" si="1648"/>
        <v>0</v>
      </c>
    </row>
    <row r="1365" spans="2:31">
      <c r="B1365" s="60" t="str">
        <f t="shared" si="1667"/>
        <v>Sem5252</v>
      </c>
      <c r="C1365" s="60" t="str">
        <f t="shared" si="1668"/>
        <v>ENEROSem52</v>
      </c>
      <c r="D1365" s="60" t="str">
        <f t="shared" si="1669"/>
        <v>ENEROSem52</v>
      </c>
      <c r="E1365" s="60" t="str">
        <f t="shared" si="1670"/>
        <v>ENEROSem5252</v>
      </c>
      <c r="F1365" s="60" t="str">
        <f t="shared" si="1671"/>
        <v/>
      </c>
      <c r="G1365" s="60"/>
      <c r="H1365" s="61"/>
      <c r="I1365" s="62">
        <f>+_xlfn.XLOOKUP($H1365&amp;$V1365,BASEDATOS!$B:$B,BASEDATOS!F:F,0,0,1)</f>
        <v>0</v>
      </c>
      <c r="J1365" s="63">
        <f>+_xlfn.XLOOKUP($H1365&amp;$V1365,BASEDATOS!$B:$B,BASEDATOS!Q:Q,0,0,1)</f>
        <v>0</v>
      </c>
      <c r="K1365" s="63">
        <f>+_xlfn.XLOOKUP($H1365&amp;$V1365,BASEDATOS!$B:$B,BASEDATOS!R:R,0,0,1)</f>
        <v>0</v>
      </c>
      <c r="L1365" s="63">
        <f t="shared" si="1672"/>
        <v>0</v>
      </c>
      <c r="M1365" s="64">
        <f t="shared" si="1673"/>
        <v>0</v>
      </c>
      <c r="N1365" s="63">
        <f t="shared" si="1674"/>
        <v>0</v>
      </c>
      <c r="O1365" s="65" t="str">
        <f t="shared" ref="O1365" si="1686">+IF(Y1365="Domingo",SUM(AA1359:AA1365)&amp;"-"&amp;SUM(AB1359:AB1365)&amp;"-"&amp;SUM(AC1359:AE1365),"")</f>
        <v>0-0-0</v>
      </c>
      <c r="P1365" s="66">
        <f>+IF(AND(Y1365="Domingo",U1365=7),_xlfn.XLOOKUP(O1365,'Horarios y Sistemas'!C:C,'Horarios y Sistemas'!H:H,0,0,1),0)</f>
        <v>0</v>
      </c>
      <c r="Q1365" s="66">
        <f>IF(U1365=U1366,0,IF(AVERAGEIF(W:W,W1365,U:U)=U1365,0,_xlfn.XLOOKUP(O1365,'Horarios y Sistemas'!C:C,'Horarios y Sistemas'!H:H,0,0,1)-P1365))/7*U1365</f>
        <v>0</v>
      </c>
      <c r="R1365" s="66">
        <f t="shared" si="1676"/>
        <v>0</v>
      </c>
      <c r="S1365" s="67" t="str">
        <f t="shared" si="1677"/>
        <v>ENERO</v>
      </c>
      <c r="T1365" s="55" t="str">
        <f t="shared" si="1678"/>
        <v>Sem52</v>
      </c>
      <c r="U1365" s="68">
        <f t="shared" si="1660"/>
        <v>196</v>
      </c>
      <c r="V1365" s="69"/>
      <c r="W1365" s="68">
        <f t="shared" si="1679"/>
        <v>52</v>
      </c>
      <c r="X1365" s="68">
        <f t="shared" si="1680"/>
        <v>0</v>
      </c>
      <c r="Y1365" s="68" t="s">
        <v>34</v>
      </c>
      <c r="Z1365" s="68">
        <v>7</v>
      </c>
      <c r="AA1365" s="70">
        <f t="shared" si="1648"/>
        <v>0</v>
      </c>
      <c r="AB1365" s="70">
        <f t="shared" si="1648"/>
        <v>0</v>
      </c>
      <c r="AC1365" s="70">
        <f t="shared" si="1648"/>
        <v>0</v>
      </c>
      <c r="AD1365" s="70">
        <f t="shared" si="1648"/>
        <v>0</v>
      </c>
      <c r="AE1365" s="70">
        <f t="shared" si="1648"/>
        <v>0</v>
      </c>
    </row>
    <row r="1366" spans="2:31">
      <c r="B1366" t="str">
        <f t="shared" si="1667"/>
        <v>Sem5252</v>
      </c>
      <c r="C1366" t="str">
        <f t="shared" si="1668"/>
        <v>ENEROSem52</v>
      </c>
      <c r="D1366" t="str">
        <f t="shared" si="1669"/>
        <v>ENEROSem52</v>
      </c>
      <c r="E1366" t="str">
        <f t="shared" si="1670"/>
        <v>ENEROSem5252</v>
      </c>
      <c r="F1366" t="str">
        <f t="shared" si="1671"/>
        <v/>
      </c>
      <c r="H1366" s="49"/>
      <c r="I1366" s="50">
        <f>+_xlfn.XLOOKUP($H1366&amp;$V1366,BASEDATOS!$B:$B,BASEDATOS!F:F,0,0,1)</f>
        <v>0</v>
      </c>
      <c r="J1366" s="51">
        <f>+_xlfn.XLOOKUP($H1366&amp;$V1366,BASEDATOS!$B:$B,BASEDATOS!Q:Q,0,0,1)</f>
        <v>0</v>
      </c>
      <c r="K1366" s="51">
        <f>+_xlfn.XLOOKUP($H1366&amp;$V1366,BASEDATOS!$B:$B,BASEDATOS!R:R,0,0,1)</f>
        <v>0</v>
      </c>
      <c r="L1366" s="51">
        <f t="shared" si="1672"/>
        <v>0</v>
      </c>
      <c r="M1366" s="52">
        <f t="shared" si="1673"/>
        <v>0</v>
      </c>
      <c r="N1366" s="51">
        <f t="shared" si="1674"/>
        <v>0</v>
      </c>
      <c r="O1366" s="53" t="str">
        <f t="shared" ref="O1366" si="1687">+O1372</f>
        <v>0-0-0</v>
      </c>
      <c r="P1366" s="54">
        <f>+IF(AND(Y1366="Domingo",U1366=7),_xlfn.XLOOKUP(O1366,'Horarios y Sistemas'!C:C,'Horarios y Sistemas'!H:H,0,0,1),0)</f>
        <v>0</v>
      </c>
      <c r="Q1366" s="54">
        <f>IF(U1366=U1367,0,IF(AVERAGEIF(W:W,W1366,U:U)=U1366,0,_xlfn.XLOOKUP(O1366,'Horarios y Sistemas'!C:C,'Horarios y Sistemas'!H:H,0,0,1)-P1366))/7*U1366</f>
        <v>0</v>
      </c>
      <c r="R1366" s="54">
        <f t="shared" si="1676"/>
        <v>0</v>
      </c>
      <c r="S1366" s="55" t="str">
        <f t="shared" si="1677"/>
        <v>ENERO</v>
      </c>
      <c r="T1366" s="55" t="str">
        <f t="shared" si="1678"/>
        <v>Sem52</v>
      </c>
      <c r="U1366" s="56">
        <f t="shared" si="1660"/>
        <v>196</v>
      </c>
      <c r="V1366" s="59"/>
      <c r="W1366" s="56">
        <f t="shared" si="1679"/>
        <v>52</v>
      </c>
      <c r="X1366" s="56">
        <f t="shared" si="1680"/>
        <v>0</v>
      </c>
      <c r="Y1366" s="56" t="s">
        <v>28</v>
      </c>
      <c r="Z1366" s="56">
        <v>1</v>
      </c>
      <c r="AA1366" s="58">
        <f t="shared" si="1648"/>
        <v>0</v>
      </c>
      <c r="AB1366" s="58">
        <f t="shared" si="1648"/>
        <v>0</v>
      </c>
      <c r="AC1366" s="58">
        <f t="shared" si="1648"/>
        <v>0</v>
      </c>
      <c r="AD1366" s="58">
        <f t="shared" si="1648"/>
        <v>0</v>
      </c>
      <c r="AE1366" s="58">
        <f t="shared" si="1648"/>
        <v>0</v>
      </c>
    </row>
    <row r="1367" spans="2:31">
      <c r="B1367" t="str">
        <f t="shared" si="1667"/>
        <v>Sem5252</v>
      </c>
      <c r="C1367" t="str">
        <f t="shared" si="1668"/>
        <v>ENEROSem52</v>
      </c>
      <c r="D1367" t="str">
        <f t="shared" si="1669"/>
        <v>ENEROSem52</v>
      </c>
      <c r="E1367" t="str">
        <f t="shared" si="1670"/>
        <v>ENEROSem5252</v>
      </c>
      <c r="F1367" t="str">
        <f t="shared" si="1671"/>
        <v/>
      </c>
      <c r="H1367" s="49"/>
      <c r="I1367" s="50">
        <f>+_xlfn.XLOOKUP($H1367&amp;$V1367,BASEDATOS!$B:$B,BASEDATOS!F:F,0,0,1)</f>
        <v>0</v>
      </c>
      <c r="J1367" s="51">
        <f>+_xlfn.XLOOKUP($H1367&amp;$V1367,BASEDATOS!$B:$B,BASEDATOS!Q:Q,0,0,1)</f>
        <v>0</v>
      </c>
      <c r="K1367" s="51">
        <f>+_xlfn.XLOOKUP($H1367&amp;$V1367,BASEDATOS!$B:$B,BASEDATOS!R:R,0,0,1)</f>
        <v>0</v>
      </c>
      <c r="L1367" s="51">
        <f t="shared" si="1672"/>
        <v>0</v>
      </c>
      <c r="M1367" s="52">
        <f t="shared" si="1673"/>
        <v>0</v>
      </c>
      <c r="N1367" s="51">
        <f t="shared" si="1674"/>
        <v>0</v>
      </c>
      <c r="O1367" s="53" t="str">
        <f t="shared" ref="O1367" si="1688">+O1372</f>
        <v>0-0-0</v>
      </c>
      <c r="P1367" s="54">
        <f>+IF(AND(Y1367="Domingo",U1367=7),_xlfn.XLOOKUP(O1367,'Horarios y Sistemas'!C:C,'Horarios y Sistemas'!H:H,0,0,1),0)</f>
        <v>0</v>
      </c>
      <c r="Q1367" s="54">
        <f>IF(U1367=U1368,0,IF(AVERAGEIF(W:W,W1367,U:U)=U1367,0,_xlfn.XLOOKUP(O1367,'Horarios y Sistemas'!C:C,'Horarios y Sistemas'!H:H,0,0,1)-P1367))/7*U1367</f>
        <v>0</v>
      </c>
      <c r="R1367" s="54">
        <f t="shared" si="1676"/>
        <v>0</v>
      </c>
      <c r="S1367" s="55" t="str">
        <f t="shared" si="1677"/>
        <v>ENERO</v>
      </c>
      <c r="T1367" s="55" t="str">
        <f t="shared" si="1678"/>
        <v>Sem52</v>
      </c>
      <c r="U1367" s="56">
        <f t="shared" si="1660"/>
        <v>196</v>
      </c>
      <c r="V1367" s="59"/>
      <c r="W1367" s="56">
        <f t="shared" si="1679"/>
        <v>52</v>
      </c>
      <c r="X1367" s="56">
        <f t="shared" si="1680"/>
        <v>0</v>
      </c>
      <c r="Y1367" s="56" t="s">
        <v>29</v>
      </c>
      <c r="Z1367" s="56">
        <v>2</v>
      </c>
      <c r="AA1367" s="58">
        <f t="shared" si="1648"/>
        <v>0</v>
      </c>
      <c r="AB1367" s="58">
        <f t="shared" si="1648"/>
        <v>0</v>
      </c>
      <c r="AC1367" s="58">
        <f t="shared" si="1648"/>
        <v>0</v>
      </c>
      <c r="AD1367" s="58">
        <f t="shared" si="1648"/>
        <v>0</v>
      </c>
      <c r="AE1367" s="58">
        <f t="shared" si="1648"/>
        <v>0</v>
      </c>
    </row>
    <row r="1368" spans="2:31">
      <c r="B1368" t="str">
        <f t="shared" si="1667"/>
        <v>Sem5252</v>
      </c>
      <c r="C1368" t="str">
        <f t="shared" si="1668"/>
        <v>ENEROSem52</v>
      </c>
      <c r="D1368" t="str">
        <f t="shared" si="1669"/>
        <v>ENEROSem52</v>
      </c>
      <c r="E1368" t="str">
        <f t="shared" si="1670"/>
        <v>ENEROSem5252</v>
      </c>
      <c r="F1368" t="str">
        <f t="shared" si="1671"/>
        <v/>
      </c>
      <c r="H1368" s="49"/>
      <c r="I1368" s="50">
        <f>+_xlfn.XLOOKUP($H1368&amp;$V1368,BASEDATOS!$B:$B,BASEDATOS!F:F,0,0,1)</f>
        <v>0</v>
      </c>
      <c r="J1368" s="51">
        <f>+_xlfn.XLOOKUP($H1368&amp;$V1368,BASEDATOS!$B:$B,BASEDATOS!Q:Q,0,0,1)</f>
        <v>0</v>
      </c>
      <c r="K1368" s="51">
        <f>+_xlfn.XLOOKUP($H1368&amp;$V1368,BASEDATOS!$B:$B,BASEDATOS!R:R,0,0,1)</f>
        <v>0</v>
      </c>
      <c r="L1368" s="51">
        <f t="shared" si="1672"/>
        <v>0</v>
      </c>
      <c r="M1368" s="52">
        <f t="shared" si="1673"/>
        <v>0</v>
      </c>
      <c r="N1368" s="51">
        <f t="shared" si="1674"/>
        <v>0</v>
      </c>
      <c r="O1368" s="53" t="str">
        <f t="shared" ref="O1368" si="1689">+O1372</f>
        <v>0-0-0</v>
      </c>
      <c r="P1368" s="54">
        <f>+IF(AND(Y1368="Domingo",U1368=7),_xlfn.XLOOKUP(O1368,'Horarios y Sistemas'!C:C,'Horarios y Sistemas'!H:H,0,0,1),0)</f>
        <v>0</v>
      </c>
      <c r="Q1368" s="54">
        <f>IF(U1368=U1369,0,IF(AVERAGEIF(W:W,W1368,U:U)=U1368,0,_xlfn.XLOOKUP(O1368,'Horarios y Sistemas'!C:C,'Horarios y Sistemas'!H:H,0,0,1)-P1368))/7*U1368</f>
        <v>0</v>
      </c>
      <c r="R1368" s="54">
        <f t="shared" si="1676"/>
        <v>0</v>
      </c>
      <c r="S1368" s="55" t="str">
        <f t="shared" si="1677"/>
        <v>ENERO</v>
      </c>
      <c r="T1368" s="55" t="str">
        <f t="shared" si="1678"/>
        <v>Sem52</v>
      </c>
      <c r="U1368" s="56">
        <f t="shared" si="1660"/>
        <v>196</v>
      </c>
      <c r="V1368" s="59"/>
      <c r="W1368" s="56">
        <f t="shared" si="1679"/>
        <v>52</v>
      </c>
      <c r="X1368" s="56">
        <f t="shared" si="1680"/>
        <v>0</v>
      </c>
      <c r="Y1368" s="56" t="s">
        <v>30</v>
      </c>
      <c r="Z1368" s="56">
        <v>3</v>
      </c>
      <c r="AA1368" s="58">
        <f t="shared" si="1648"/>
        <v>0</v>
      </c>
      <c r="AB1368" s="58">
        <f t="shared" si="1648"/>
        <v>0</v>
      </c>
      <c r="AC1368" s="58">
        <f t="shared" si="1648"/>
        <v>0</v>
      </c>
      <c r="AD1368" s="58">
        <f t="shared" si="1648"/>
        <v>0</v>
      </c>
      <c r="AE1368" s="58">
        <f t="shared" si="1648"/>
        <v>0</v>
      </c>
    </row>
    <row r="1369" spans="2:31">
      <c r="B1369" t="str">
        <f t="shared" si="1667"/>
        <v>Sem5252</v>
      </c>
      <c r="C1369" t="str">
        <f t="shared" si="1668"/>
        <v>ENEROSem52</v>
      </c>
      <c r="D1369" t="str">
        <f t="shared" si="1669"/>
        <v>ENEROSem52</v>
      </c>
      <c r="E1369" t="str">
        <f t="shared" si="1670"/>
        <v>ENEROSem5252</v>
      </c>
      <c r="F1369" t="str">
        <f t="shared" si="1671"/>
        <v/>
      </c>
      <c r="H1369" s="49"/>
      <c r="I1369" s="50">
        <f>+_xlfn.XLOOKUP($H1369&amp;$V1369,BASEDATOS!$B:$B,BASEDATOS!F:F,0,0,1)</f>
        <v>0</v>
      </c>
      <c r="J1369" s="51">
        <f>+_xlfn.XLOOKUP($H1369&amp;$V1369,BASEDATOS!$B:$B,BASEDATOS!Q:Q,0,0,1)</f>
        <v>0</v>
      </c>
      <c r="K1369" s="51">
        <f>+_xlfn.XLOOKUP($H1369&amp;$V1369,BASEDATOS!$B:$B,BASEDATOS!R:R,0,0,1)</f>
        <v>0</v>
      </c>
      <c r="L1369" s="51">
        <f t="shared" si="1672"/>
        <v>0</v>
      </c>
      <c r="M1369" s="52">
        <f t="shared" si="1673"/>
        <v>0</v>
      </c>
      <c r="N1369" s="51">
        <f t="shared" si="1674"/>
        <v>0</v>
      </c>
      <c r="O1369" s="53" t="str">
        <f t="shared" ref="O1369" si="1690">+O1372</f>
        <v>0-0-0</v>
      </c>
      <c r="P1369" s="54">
        <f>+IF(AND(Y1369="Domingo",U1369=7),_xlfn.XLOOKUP(O1369,'Horarios y Sistemas'!C:C,'Horarios y Sistemas'!H:H,0,0,1),0)</f>
        <v>0</v>
      </c>
      <c r="Q1369" s="54">
        <f>IF(U1369=U1370,0,IF(AVERAGEIF(W:W,W1369,U:U)=U1369,0,_xlfn.XLOOKUP(O1369,'Horarios y Sistemas'!C:C,'Horarios y Sistemas'!H:H,0,0,1)-P1369))/7*U1369</f>
        <v>0</v>
      </c>
      <c r="R1369" s="54">
        <f t="shared" si="1676"/>
        <v>0</v>
      </c>
      <c r="S1369" s="55" t="str">
        <f t="shared" si="1677"/>
        <v>ENERO</v>
      </c>
      <c r="T1369" s="55" t="str">
        <f t="shared" si="1678"/>
        <v>Sem52</v>
      </c>
      <c r="U1369" s="56">
        <f t="shared" si="1660"/>
        <v>196</v>
      </c>
      <c r="V1369" s="59"/>
      <c r="W1369" s="56">
        <f t="shared" si="1679"/>
        <v>52</v>
      </c>
      <c r="X1369" s="56">
        <f t="shared" si="1680"/>
        <v>0</v>
      </c>
      <c r="Y1369" s="56" t="s">
        <v>31</v>
      </c>
      <c r="Z1369" s="56">
        <v>4</v>
      </c>
      <c r="AA1369" s="58">
        <f t="shared" si="1648"/>
        <v>0</v>
      </c>
      <c r="AB1369" s="58">
        <f t="shared" si="1648"/>
        <v>0</v>
      </c>
      <c r="AC1369" s="58">
        <f t="shared" si="1648"/>
        <v>0</v>
      </c>
      <c r="AD1369" s="58">
        <f t="shared" si="1648"/>
        <v>0</v>
      </c>
      <c r="AE1369" s="58">
        <f t="shared" si="1648"/>
        <v>0</v>
      </c>
    </row>
    <row r="1370" spans="2:31">
      <c r="B1370" t="str">
        <f t="shared" si="1667"/>
        <v>Sem5252</v>
      </c>
      <c r="C1370" t="str">
        <f t="shared" si="1668"/>
        <v>ENEROSem52</v>
      </c>
      <c r="D1370" t="str">
        <f t="shared" si="1669"/>
        <v>ENEROSem52</v>
      </c>
      <c r="E1370" t="str">
        <f t="shared" si="1670"/>
        <v>ENEROSem5252</v>
      </c>
      <c r="F1370" t="str">
        <f t="shared" si="1671"/>
        <v/>
      </c>
      <c r="H1370" s="49"/>
      <c r="I1370" s="50">
        <f>+_xlfn.XLOOKUP($H1370&amp;$V1370,BASEDATOS!$B:$B,BASEDATOS!F:F,0,0,1)</f>
        <v>0</v>
      </c>
      <c r="J1370" s="51">
        <f>+_xlfn.XLOOKUP($H1370&amp;$V1370,BASEDATOS!$B:$B,BASEDATOS!Q:Q,0,0,1)</f>
        <v>0</v>
      </c>
      <c r="K1370" s="51">
        <f>+_xlfn.XLOOKUP($H1370&amp;$V1370,BASEDATOS!$B:$B,BASEDATOS!R:R,0,0,1)</f>
        <v>0</v>
      </c>
      <c r="L1370" s="51">
        <f t="shared" si="1672"/>
        <v>0</v>
      </c>
      <c r="M1370" s="52">
        <f t="shared" si="1673"/>
        <v>0</v>
      </c>
      <c r="N1370" s="51">
        <f t="shared" si="1674"/>
        <v>0</v>
      </c>
      <c r="O1370" s="53" t="str">
        <f t="shared" ref="O1370" si="1691">+O1372</f>
        <v>0-0-0</v>
      </c>
      <c r="P1370" s="54">
        <f>+IF(AND(Y1370="Domingo",U1370=7),_xlfn.XLOOKUP(O1370,'Horarios y Sistemas'!C:C,'Horarios y Sistemas'!H:H,0,0,1),0)</f>
        <v>0</v>
      </c>
      <c r="Q1370" s="54">
        <f>IF(U1370=U1371,0,IF(AVERAGEIF(W:W,W1370,U:U)=U1370,0,_xlfn.XLOOKUP(O1370,'Horarios y Sistemas'!C:C,'Horarios y Sistemas'!H:H,0,0,1)-P1370))/7*U1370</f>
        <v>0</v>
      </c>
      <c r="R1370" s="54">
        <f t="shared" si="1676"/>
        <v>0</v>
      </c>
      <c r="S1370" s="55" t="str">
        <f t="shared" si="1677"/>
        <v>ENERO</v>
      </c>
      <c r="T1370" s="55" t="str">
        <f t="shared" si="1678"/>
        <v>Sem52</v>
      </c>
      <c r="U1370" s="56">
        <f t="shared" si="1660"/>
        <v>196</v>
      </c>
      <c r="V1370" s="59"/>
      <c r="W1370" s="56">
        <f t="shared" si="1679"/>
        <v>52</v>
      </c>
      <c r="X1370" s="56">
        <f t="shared" si="1680"/>
        <v>0</v>
      </c>
      <c r="Y1370" s="56" t="s">
        <v>32</v>
      </c>
      <c r="Z1370" s="56">
        <v>5</v>
      </c>
      <c r="AA1370" s="58">
        <f t="shared" si="1648"/>
        <v>0</v>
      </c>
      <c r="AB1370" s="58">
        <f t="shared" si="1648"/>
        <v>0</v>
      </c>
      <c r="AC1370" s="58">
        <f t="shared" si="1648"/>
        <v>0</v>
      </c>
      <c r="AD1370" s="58">
        <f t="shared" si="1648"/>
        <v>0</v>
      </c>
      <c r="AE1370" s="58">
        <f t="shared" si="1648"/>
        <v>0</v>
      </c>
    </row>
    <row r="1371" spans="2:31">
      <c r="B1371" t="str">
        <f t="shared" si="1667"/>
        <v>Sem5252</v>
      </c>
      <c r="C1371" t="str">
        <f t="shared" si="1668"/>
        <v>ENEROSem52</v>
      </c>
      <c r="D1371" t="str">
        <f t="shared" si="1669"/>
        <v>ENEROSem52</v>
      </c>
      <c r="E1371" t="str">
        <f t="shared" si="1670"/>
        <v>ENEROSem5252</v>
      </c>
      <c r="F1371" t="str">
        <f t="shared" si="1671"/>
        <v/>
      </c>
      <c r="H1371" s="49"/>
      <c r="I1371" s="50">
        <f>+_xlfn.XLOOKUP($H1371&amp;$V1371,BASEDATOS!$B:$B,BASEDATOS!F:F,0,0,1)</f>
        <v>0</v>
      </c>
      <c r="J1371" s="51">
        <f>+_xlfn.XLOOKUP($H1371&amp;$V1371,BASEDATOS!$B:$B,BASEDATOS!Q:Q,0,0,1)</f>
        <v>0</v>
      </c>
      <c r="K1371" s="51">
        <f>+_xlfn.XLOOKUP($H1371&amp;$V1371,BASEDATOS!$B:$B,BASEDATOS!R:R,0,0,1)</f>
        <v>0</v>
      </c>
      <c r="L1371" s="51">
        <f t="shared" si="1672"/>
        <v>0</v>
      </c>
      <c r="M1371" s="52">
        <f t="shared" si="1673"/>
        <v>0</v>
      </c>
      <c r="N1371" s="51">
        <f t="shared" si="1674"/>
        <v>0</v>
      </c>
      <c r="O1371" s="53" t="str">
        <f t="shared" ref="O1371" si="1692">+O1372</f>
        <v>0-0-0</v>
      </c>
      <c r="P1371" s="54">
        <f>+IF(AND(Y1371="Domingo",U1371=7),_xlfn.XLOOKUP(O1371,'Horarios y Sistemas'!C:C,'Horarios y Sistemas'!H:H,0,0,1),0)</f>
        <v>0</v>
      </c>
      <c r="Q1371" s="54">
        <f>IF(U1371=U1372,0,IF(AVERAGEIF(W:W,W1371,U:U)=U1371,0,_xlfn.XLOOKUP(O1371,'Horarios y Sistemas'!C:C,'Horarios y Sistemas'!H:H,0,0,1)-P1371))/7*U1371</f>
        <v>0</v>
      </c>
      <c r="R1371" s="54">
        <f t="shared" si="1676"/>
        <v>0</v>
      </c>
      <c r="S1371" s="55" t="str">
        <f t="shared" si="1677"/>
        <v>ENERO</v>
      </c>
      <c r="T1371" s="55" t="str">
        <f t="shared" si="1678"/>
        <v>Sem52</v>
      </c>
      <c r="U1371" s="56">
        <f t="shared" si="1660"/>
        <v>196</v>
      </c>
      <c r="V1371" s="59"/>
      <c r="W1371" s="56">
        <f t="shared" si="1679"/>
        <v>52</v>
      </c>
      <c r="X1371" s="56">
        <f t="shared" si="1680"/>
        <v>0</v>
      </c>
      <c r="Y1371" s="56" t="s">
        <v>33</v>
      </c>
      <c r="Z1371" s="56">
        <v>6</v>
      </c>
      <c r="AA1371" s="58">
        <f t="shared" si="1648"/>
        <v>0</v>
      </c>
      <c r="AB1371" s="58">
        <f t="shared" si="1648"/>
        <v>0</v>
      </c>
      <c r="AC1371" s="58">
        <f t="shared" si="1648"/>
        <v>0</v>
      </c>
      <c r="AD1371" s="58">
        <f t="shared" si="1648"/>
        <v>0</v>
      </c>
      <c r="AE1371" s="58">
        <f t="shared" si="1648"/>
        <v>0</v>
      </c>
    </row>
    <row r="1372" spans="2:31">
      <c r="B1372" s="60" t="str">
        <f t="shared" si="1667"/>
        <v>Sem5252</v>
      </c>
      <c r="C1372" s="60" t="str">
        <f t="shared" si="1668"/>
        <v>ENEROSem52</v>
      </c>
      <c r="D1372" s="60" t="str">
        <f t="shared" si="1669"/>
        <v>ENEROSem52</v>
      </c>
      <c r="E1372" s="60" t="str">
        <f t="shared" si="1670"/>
        <v>ENEROSem5252</v>
      </c>
      <c r="F1372" s="60" t="str">
        <f t="shared" si="1671"/>
        <v/>
      </c>
      <c r="G1372" s="60"/>
      <c r="H1372" s="61"/>
      <c r="I1372" s="62">
        <f>+_xlfn.XLOOKUP($H1372&amp;$V1372,BASEDATOS!$B:$B,BASEDATOS!F:F,0,0,1)</f>
        <v>0</v>
      </c>
      <c r="J1372" s="63">
        <f>+_xlfn.XLOOKUP($H1372&amp;$V1372,BASEDATOS!$B:$B,BASEDATOS!Q:Q,0,0,1)</f>
        <v>0</v>
      </c>
      <c r="K1372" s="63">
        <f>+_xlfn.XLOOKUP($H1372&amp;$V1372,BASEDATOS!$B:$B,BASEDATOS!R:R,0,0,1)</f>
        <v>0</v>
      </c>
      <c r="L1372" s="63">
        <f t="shared" si="1672"/>
        <v>0</v>
      </c>
      <c r="M1372" s="64">
        <f t="shared" si="1673"/>
        <v>0</v>
      </c>
      <c r="N1372" s="63">
        <f t="shared" si="1674"/>
        <v>0</v>
      </c>
      <c r="O1372" s="65" t="str">
        <f t="shared" ref="O1372" si="1693">+IF(Y1372="Domingo",SUM(AA1366:AA1372)&amp;"-"&amp;SUM(AB1366:AB1372)&amp;"-"&amp;SUM(AC1366:AE1372),"")</f>
        <v>0-0-0</v>
      </c>
      <c r="P1372" s="66">
        <f>+IF(AND(Y1372="Domingo",U1372=7),_xlfn.XLOOKUP(O1372,'Horarios y Sistemas'!C:C,'Horarios y Sistemas'!H:H,0,0,1),0)</f>
        <v>0</v>
      </c>
      <c r="Q1372" s="66">
        <f>IF(U1372=U1373,0,IF(AVERAGEIF(W:W,W1372,U:U)=U1372,0,_xlfn.XLOOKUP(O1372,'Horarios y Sistemas'!C:C,'Horarios y Sistemas'!H:H,0,0,1)-P1372))/7*U1372</f>
        <v>0</v>
      </c>
      <c r="R1372" s="66">
        <f t="shared" si="1676"/>
        <v>0</v>
      </c>
      <c r="S1372" s="67" t="str">
        <f t="shared" si="1677"/>
        <v>ENERO</v>
      </c>
      <c r="T1372" s="55" t="str">
        <f t="shared" si="1678"/>
        <v>Sem52</v>
      </c>
      <c r="U1372" s="68">
        <f t="shared" si="1660"/>
        <v>196</v>
      </c>
      <c r="V1372" s="69"/>
      <c r="W1372" s="68">
        <f t="shared" si="1679"/>
        <v>52</v>
      </c>
      <c r="X1372" s="68">
        <f t="shared" si="1680"/>
        <v>0</v>
      </c>
      <c r="Y1372" s="68" t="s">
        <v>34</v>
      </c>
      <c r="Z1372" s="68">
        <v>7</v>
      </c>
      <c r="AA1372" s="70">
        <f t="shared" si="1648"/>
        <v>0</v>
      </c>
      <c r="AB1372" s="70">
        <f t="shared" si="1648"/>
        <v>0</v>
      </c>
      <c r="AC1372" s="70">
        <f t="shared" si="1648"/>
        <v>0</v>
      </c>
      <c r="AD1372" s="70">
        <f t="shared" si="1648"/>
        <v>0</v>
      </c>
      <c r="AE1372" s="70">
        <f t="shared" si="1648"/>
        <v>0</v>
      </c>
    </row>
    <row r="1373" spans="2:31">
      <c r="B1373" t="str">
        <f t="shared" si="1667"/>
        <v>Sem5252</v>
      </c>
      <c r="C1373" t="str">
        <f t="shared" si="1668"/>
        <v>ENEROSem52</v>
      </c>
      <c r="D1373" t="str">
        <f t="shared" si="1669"/>
        <v>ENEROSem52</v>
      </c>
      <c r="E1373" t="str">
        <f t="shared" si="1670"/>
        <v>ENEROSem5252</v>
      </c>
      <c r="F1373" t="str">
        <f t="shared" si="1671"/>
        <v/>
      </c>
      <c r="H1373" s="49"/>
      <c r="I1373" s="50">
        <f>+_xlfn.XLOOKUP($H1373&amp;$V1373,BASEDATOS!$B:$B,BASEDATOS!F:F,0,0,1)</f>
        <v>0</v>
      </c>
      <c r="J1373" s="51">
        <f>+_xlfn.XLOOKUP($H1373&amp;$V1373,BASEDATOS!$B:$B,BASEDATOS!Q:Q,0,0,1)</f>
        <v>0</v>
      </c>
      <c r="K1373" s="51">
        <f>+_xlfn.XLOOKUP($H1373&amp;$V1373,BASEDATOS!$B:$B,BASEDATOS!R:R,0,0,1)</f>
        <v>0</v>
      </c>
      <c r="L1373" s="51">
        <f t="shared" si="1672"/>
        <v>0</v>
      </c>
      <c r="M1373" s="52">
        <f t="shared" si="1673"/>
        <v>0</v>
      </c>
      <c r="N1373" s="51">
        <f t="shared" si="1674"/>
        <v>0</v>
      </c>
      <c r="O1373" s="53" t="str">
        <f t="shared" ref="O1373" si="1694">+O1379</f>
        <v>0-0-0</v>
      </c>
      <c r="P1373" s="54">
        <f>+IF(AND(Y1373="Domingo",U1373=7),_xlfn.XLOOKUP(O1373,'Horarios y Sistemas'!C:C,'Horarios y Sistemas'!H:H,0,0,1),0)</f>
        <v>0</v>
      </c>
      <c r="Q1373" s="54">
        <f>IF(U1373=U1374,0,IF(AVERAGEIF(W:W,W1373,U:U)=U1373,0,_xlfn.XLOOKUP(O1373,'Horarios y Sistemas'!C:C,'Horarios y Sistemas'!H:H,0,0,1)-P1373))/7*U1373</f>
        <v>0</v>
      </c>
      <c r="R1373" s="54">
        <f t="shared" si="1676"/>
        <v>0</v>
      </c>
      <c r="S1373" s="55" t="str">
        <f t="shared" si="1677"/>
        <v>ENERO</v>
      </c>
      <c r="T1373" s="55" t="str">
        <f t="shared" si="1678"/>
        <v>Sem52</v>
      </c>
      <c r="U1373" s="56">
        <f t="shared" si="1660"/>
        <v>196</v>
      </c>
      <c r="V1373" s="59"/>
      <c r="W1373" s="56">
        <f t="shared" si="1679"/>
        <v>52</v>
      </c>
      <c r="X1373" s="56">
        <f t="shared" si="1680"/>
        <v>0</v>
      </c>
      <c r="Y1373" s="56" t="s">
        <v>28</v>
      </c>
      <c r="Z1373" s="56">
        <v>1</v>
      </c>
      <c r="AA1373" s="58">
        <f t="shared" ref="AA1373:AE1404" si="1695">+IF($I1373=AA$7,1,0)</f>
        <v>0</v>
      </c>
      <c r="AB1373" s="58">
        <f t="shared" si="1695"/>
        <v>0</v>
      </c>
      <c r="AC1373" s="58">
        <f t="shared" si="1695"/>
        <v>0</v>
      </c>
      <c r="AD1373" s="58">
        <f t="shared" si="1695"/>
        <v>0</v>
      </c>
      <c r="AE1373" s="58">
        <f t="shared" si="1695"/>
        <v>0</v>
      </c>
    </row>
    <row r="1374" spans="2:31">
      <c r="B1374" t="str">
        <f t="shared" si="1667"/>
        <v>Sem5252</v>
      </c>
      <c r="C1374" t="str">
        <f t="shared" si="1668"/>
        <v>ENEROSem52</v>
      </c>
      <c r="D1374" t="str">
        <f t="shared" si="1669"/>
        <v>ENEROSem52</v>
      </c>
      <c r="E1374" t="str">
        <f t="shared" si="1670"/>
        <v>ENEROSem5252</v>
      </c>
      <c r="F1374" t="str">
        <f t="shared" si="1671"/>
        <v/>
      </c>
      <c r="H1374" s="49"/>
      <c r="I1374" s="50">
        <f>+_xlfn.XLOOKUP($H1374&amp;$V1374,BASEDATOS!$B:$B,BASEDATOS!F:F,0,0,1)</f>
        <v>0</v>
      </c>
      <c r="J1374" s="51">
        <f>+_xlfn.XLOOKUP($H1374&amp;$V1374,BASEDATOS!$B:$B,BASEDATOS!Q:Q,0,0,1)</f>
        <v>0</v>
      </c>
      <c r="K1374" s="51">
        <f>+_xlfn.XLOOKUP($H1374&amp;$V1374,BASEDATOS!$B:$B,BASEDATOS!R:R,0,0,1)</f>
        <v>0</v>
      </c>
      <c r="L1374" s="51">
        <f t="shared" si="1672"/>
        <v>0</v>
      </c>
      <c r="M1374" s="52">
        <f t="shared" si="1673"/>
        <v>0</v>
      </c>
      <c r="N1374" s="51">
        <f t="shared" si="1674"/>
        <v>0</v>
      </c>
      <c r="O1374" s="53" t="str">
        <f t="shared" ref="O1374" si="1696">+O1379</f>
        <v>0-0-0</v>
      </c>
      <c r="P1374" s="54">
        <f>+IF(AND(Y1374="Domingo",U1374=7),_xlfn.XLOOKUP(O1374,'Horarios y Sistemas'!C:C,'Horarios y Sistemas'!H:H,0,0,1),0)</f>
        <v>0</v>
      </c>
      <c r="Q1374" s="54">
        <f>IF(U1374=U1375,0,IF(AVERAGEIF(W:W,W1374,U:U)=U1374,0,_xlfn.XLOOKUP(O1374,'Horarios y Sistemas'!C:C,'Horarios y Sistemas'!H:H,0,0,1)-P1374))/7*U1374</f>
        <v>0</v>
      </c>
      <c r="R1374" s="54">
        <f t="shared" si="1676"/>
        <v>0</v>
      </c>
      <c r="S1374" s="55" t="str">
        <f t="shared" si="1677"/>
        <v>ENERO</v>
      </c>
      <c r="T1374" s="55" t="str">
        <f t="shared" si="1678"/>
        <v>Sem52</v>
      </c>
      <c r="U1374" s="56">
        <f t="shared" si="1660"/>
        <v>196</v>
      </c>
      <c r="V1374" s="59"/>
      <c r="W1374" s="56">
        <f t="shared" si="1679"/>
        <v>52</v>
      </c>
      <c r="X1374" s="56">
        <f t="shared" si="1680"/>
        <v>0</v>
      </c>
      <c r="Y1374" s="56" t="s">
        <v>29</v>
      </c>
      <c r="Z1374" s="56">
        <v>2</v>
      </c>
      <c r="AA1374" s="58">
        <f t="shared" si="1695"/>
        <v>0</v>
      </c>
      <c r="AB1374" s="58">
        <f t="shared" si="1695"/>
        <v>0</v>
      </c>
      <c r="AC1374" s="58">
        <f t="shared" si="1695"/>
        <v>0</v>
      </c>
      <c r="AD1374" s="58">
        <f t="shared" si="1695"/>
        <v>0</v>
      </c>
      <c r="AE1374" s="58">
        <f t="shared" si="1695"/>
        <v>0</v>
      </c>
    </row>
    <row r="1375" spans="2:31">
      <c r="B1375" t="str">
        <f t="shared" si="1667"/>
        <v>Sem5252</v>
      </c>
      <c r="C1375" t="str">
        <f t="shared" si="1668"/>
        <v>ENEROSem52</v>
      </c>
      <c r="D1375" t="str">
        <f t="shared" si="1669"/>
        <v>ENEROSem52</v>
      </c>
      <c r="E1375" t="str">
        <f t="shared" si="1670"/>
        <v>ENEROSem5252</v>
      </c>
      <c r="F1375" t="str">
        <f t="shared" si="1671"/>
        <v/>
      </c>
      <c r="H1375" s="49"/>
      <c r="I1375" s="50">
        <f>+_xlfn.XLOOKUP($H1375&amp;$V1375,BASEDATOS!$B:$B,BASEDATOS!F:F,0,0,1)</f>
        <v>0</v>
      </c>
      <c r="J1375" s="51">
        <f>+_xlfn.XLOOKUP($H1375&amp;$V1375,BASEDATOS!$B:$B,BASEDATOS!Q:Q,0,0,1)</f>
        <v>0</v>
      </c>
      <c r="K1375" s="51">
        <f>+_xlfn.XLOOKUP($H1375&amp;$V1375,BASEDATOS!$B:$B,BASEDATOS!R:R,0,0,1)</f>
        <v>0</v>
      </c>
      <c r="L1375" s="51">
        <f t="shared" si="1672"/>
        <v>0</v>
      </c>
      <c r="M1375" s="52">
        <f t="shared" si="1673"/>
        <v>0</v>
      </c>
      <c r="N1375" s="51">
        <f t="shared" si="1674"/>
        <v>0</v>
      </c>
      <c r="O1375" s="53" t="str">
        <f t="shared" ref="O1375" si="1697">+O1379</f>
        <v>0-0-0</v>
      </c>
      <c r="P1375" s="54">
        <f>+IF(AND(Y1375="Domingo",U1375=7),_xlfn.XLOOKUP(O1375,'Horarios y Sistemas'!C:C,'Horarios y Sistemas'!H:H,0,0,1),0)</f>
        <v>0</v>
      </c>
      <c r="Q1375" s="54">
        <f>IF(U1375=U1376,0,IF(AVERAGEIF(W:W,W1375,U:U)=U1375,0,_xlfn.XLOOKUP(O1375,'Horarios y Sistemas'!C:C,'Horarios y Sistemas'!H:H,0,0,1)-P1375))/7*U1375</f>
        <v>0</v>
      </c>
      <c r="R1375" s="54">
        <f t="shared" si="1676"/>
        <v>0</v>
      </c>
      <c r="S1375" s="55" t="str">
        <f t="shared" si="1677"/>
        <v>ENERO</v>
      </c>
      <c r="T1375" s="55" t="str">
        <f t="shared" si="1678"/>
        <v>Sem52</v>
      </c>
      <c r="U1375" s="56">
        <f t="shared" si="1660"/>
        <v>196</v>
      </c>
      <c r="V1375" s="59"/>
      <c r="W1375" s="56">
        <f t="shared" si="1679"/>
        <v>52</v>
      </c>
      <c r="X1375" s="56">
        <f t="shared" si="1680"/>
        <v>0</v>
      </c>
      <c r="Y1375" s="56" t="s">
        <v>30</v>
      </c>
      <c r="Z1375" s="56">
        <v>3</v>
      </c>
      <c r="AA1375" s="58">
        <f t="shared" si="1695"/>
        <v>0</v>
      </c>
      <c r="AB1375" s="58">
        <f t="shared" si="1695"/>
        <v>0</v>
      </c>
      <c r="AC1375" s="58">
        <f t="shared" si="1695"/>
        <v>0</v>
      </c>
      <c r="AD1375" s="58">
        <f t="shared" si="1695"/>
        <v>0</v>
      </c>
      <c r="AE1375" s="58">
        <f t="shared" si="1695"/>
        <v>0</v>
      </c>
    </row>
    <row r="1376" spans="2:31">
      <c r="B1376" t="str">
        <f t="shared" si="1667"/>
        <v>Sem5252</v>
      </c>
      <c r="C1376" t="str">
        <f t="shared" si="1668"/>
        <v>ENEROSem52</v>
      </c>
      <c r="D1376" t="str">
        <f t="shared" si="1669"/>
        <v>ENEROSem52</v>
      </c>
      <c r="E1376" t="str">
        <f t="shared" si="1670"/>
        <v>ENEROSem5252</v>
      </c>
      <c r="F1376" t="str">
        <f t="shared" si="1671"/>
        <v/>
      </c>
      <c r="H1376" s="49"/>
      <c r="I1376" s="50">
        <f>+_xlfn.XLOOKUP($H1376&amp;$V1376,BASEDATOS!$B:$B,BASEDATOS!F:F,0,0,1)</f>
        <v>0</v>
      </c>
      <c r="J1376" s="51">
        <f>+_xlfn.XLOOKUP($H1376&amp;$V1376,BASEDATOS!$B:$B,BASEDATOS!Q:Q,0,0,1)</f>
        <v>0</v>
      </c>
      <c r="K1376" s="51">
        <f>+_xlfn.XLOOKUP($H1376&amp;$V1376,BASEDATOS!$B:$B,BASEDATOS!R:R,0,0,1)</f>
        <v>0</v>
      </c>
      <c r="L1376" s="51">
        <f t="shared" si="1672"/>
        <v>0</v>
      </c>
      <c r="M1376" s="52">
        <f t="shared" si="1673"/>
        <v>0</v>
      </c>
      <c r="N1376" s="51">
        <f t="shared" si="1674"/>
        <v>0</v>
      </c>
      <c r="O1376" s="53" t="str">
        <f t="shared" ref="O1376" si="1698">+O1379</f>
        <v>0-0-0</v>
      </c>
      <c r="P1376" s="54">
        <f>+IF(AND(Y1376="Domingo",U1376=7),_xlfn.XLOOKUP(O1376,'Horarios y Sistemas'!C:C,'Horarios y Sistemas'!H:H,0,0,1),0)</f>
        <v>0</v>
      </c>
      <c r="Q1376" s="54">
        <f>IF(U1376=U1377,0,IF(AVERAGEIF(W:W,W1376,U:U)=U1376,0,_xlfn.XLOOKUP(O1376,'Horarios y Sistemas'!C:C,'Horarios y Sistemas'!H:H,0,0,1)-P1376))/7*U1376</f>
        <v>0</v>
      </c>
      <c r="R1376" s="54">
        <f t="shared" si="1676"/>
        <v>0</v>
      </c>
      <c r="S1376" s="55" t="str">
        <f t="shared" si="1677"/>
        <v>ENERO</v>
      </c>
      <c r="T1376" s="55" t="str">
        <f t="shared" si="1678"/>
        <v>Sem52</v>
      </c>
      <c r="U1376" s="56">
        <f t="shared" si="1660"/>
        <v>196</v>
      </c>
      <c r="V1376" s="59"/>
      <c r="W1376" s="56">
        <f t="shared" si="1679"/>
        <v>52</v>
      </c>
      <c r="X1376" s="56">
        <f t="shared" si="1680"/>
        <v>0</v>
      </c>
      <c r="Y1376" s="56" t="s">
        <v>31</v>
      </c>
      <c r="Z1376" s="56">
        <v>4</v>
      </c>
      <c r="AA1376" s="58">
        <f t="shared" si="1695"/>
        <v>0</v>
      </c>
      <c r="AB1376" s="58">
        <f t="shared" si="1695"/>
        <v>0</v>
      </c>
      <c r="AC1376" s="58">
        <f t="shared" si="1695"/>
        <v>0</v>
      </c>
      <c r="AD1376" s="58">
        <f t="shared" si="1695"/>
        <v>0</v>
      </c>
      <c r="AE1376" s="58">
        <f t="shared" si="1695"/>
        <v>0</v>
      </c>
    </row>
    <row r="1377" spans="2:31">
      <c r="B1377" t="str">
        <f t="shared" si="1667"/>
        <v>Sem5252</v>
      </c>
      <c r="C1377" t="str">
        <f t="shared" si="1668"/>
        <v>ENEROSem52</v>
      </c>
      <c r="D1377" t="str">
        <f t="shared" si="1669"/>
        <v>ENEROSem52</v>
      </c>
      <c r="E1377" t="str">
        <f t="shared" si="1670"/>
        <v>ENEROSem5252</v>
      </c>
      <c r="F1377" t="str">
        <f t="shared" si="1671"/>
        <v/>
      </c>
      <c r="H1377" s="49"/>
      <c r="I1377" s="50">
        <f>+_xlfn.XLOOKUP($H1377&amp;$V1377,BASEDATOS!$B:$B,BASEDATOS!F:F,0,0,1)</f>
        <v>0</v>
      </c>
      <c r="J1377" s="51">
        <f>+_xlfn.XLOOKUP($H1377&amp;$V1377,BASEDATOS!$B:$B,BASEDATOS!Q:Q,0,0,1)</f>
        <v>0</v>
      </c>
      <c r="K1377" s="51">
        <f>+_xlfn.XLOOKUP($H1377&amp;$V1377,BASEDATOS!$B:$B,BASEDATOS!R:R,0,0,1)</f>
        <v>0</v>
      </c>
      <c r="L1377" s="51">
        <f t="shared" si="1672"/>
        <v>0</v>
      </c>
      <c r="M1377" s="52">
        <f t="shared" si="1673"/>
        <v>0</v>
      </c>
      <c r="N1377" s="51">
        <f t="shared" si="1674"/>
        <v>0</v>
      </c>
      <c r="O1377" s="53" t="str">
        <f t="shared" ref="O1377" si="1699">+O1379</f>
        <v>0-0-0</v>
      </c>
      <c r="P1377" s="54">
        <f>+IF(AND(Y1377="Domingo",U1377=7),_xlfn.XLOOKUP(O1377,'Horarios y Sistemas'!C:C,'Horarios y Sistemas'!H:H,0,0,1),0)</f>
        <v>0</v>
      </c>
      <c r="Q1377" s="54">
        <f>IF(U1377=U1378,0,IF(AVERAGEIF(W:W,W1377,U:U)=U1377,0,_xlfn.XLOOKUP(O1377,'Horarios y Sistemas'!C:C,'Horarios y Sistemas'!H:H,0,0,1)-P1377))/7*U1377</f>
        <v>0</v>
      </c>
      <c r="R1377" s="54">
        <f t="shared" si="1676"/>
        <v>0</v>
      </c>
      <c r="S1377" s="55" t="str">
        <f t="shared" si="1677"/>
        <v>ENERO</v>
      </c>
      <c r="T1377" s="55" t="str">
        <f t="shared" si="1678"/>
        <v>Sem52</v>
      </c>
      <c r="U1377" s="56">
        <f t="shared" si="1660"/>
        <v>196</v>
      </c>
      <c r="V1377" s="59"/>
      <c r="W1377" s="56">
        <f t="shared" si="1679"/>
        <v>52</v>
      </c>
      <c r="X1377" s="56">
        <f t="shared" si="1680"/>
        <v>0</v>
      </c>
      <c r="Y1377" s="56" t="s">
        <v>32</v>
      </c>
      <c r="Z1377" s="56">
        <v>5</v>
      </c>
      <c r="AA1377" s="58">
        <f t="shared" si="1695"/>
        <v>0</v>
      </c>
      <c r="AB1377" s="58">
        <f t="shared" si="1695"/>
        <v>0</v>
      </c>
      <c r="AC1377" s="58">
        <f t="shared" si="1695"/>
        <v>0</v>
      </c>
      <c r="AD1377" s="58">
        <f t="shared" si="1695"/>
        <v>0</v>
      </c>
      <c r="AE1377" s="58">
        <f t="shared" si="1695"/>
        <v>0</v>
      </c>
    </row>
    <row r="1378" spans="2:31">
      <c r="B1378" t="str">
        <f t="shared" si="1667"/>
        <v>Sem5252</v>
      </c>
      <c r="C1378" t="str">
        <f t="shared" si="1668"/>
        <v>ENEROSem52</v>
      </c>
      <c r="D1378" t="str">
        <f t="shared" si="1669"/>
        <v>ENEROSem52</v>
      </c>
      <c r="E1378" t="str">
        <f t="shared" si="1670"/>
        <v>ENEROSem5252</v>
      </c>
      <c r="F1378" t="str">
        <f t="shared" si="1671"/>
        <v/>
      </c>
      <c r="H1378" s="49"/>
      <c r="I1378" s="50">
        <f>+_xlfn.XLOOKUP($H1378&amp;$V1378,BASEDATOS!$B:$B,BASEDATOS!F:F,0,0,1)</f>
        <v>0</v>
      </c>
      <c r="J1378" s="51">
        <f>+_xlfn.XLOOKUP($H1378&amp;$V1378,BASEDATOS!$B:$B,BASEDATOS!Q:Q,0,0,1)</f>
        <v>0</v>
      </c>
      <c r="K1378" s="51">
        <f>+_xlfn.XLOOKUP($H1378&amp;$V1378,BASEDATOS!$B:$B,BASEDATOS!R:R,0,0,1)</f>
        <v>0</v>
      </c>
      <c r="L1378" s="51">
        <f t="shared" si="1672"/>
        <v>0</v>
      </c>
      <c r="M1378" s="52">
        <f t="shared" si="1673"/>
        <v>0</v>
      </c>
      <c r="N1378" s="51">
        <f t="shared" si="1674"/>
        <v>0</v>
      </c>
      <c r="O1378" s="53" t="str">
        <f t="shared" ref="O1378" si="1700">+O1379</f>
        <v>0-0-0</v>
      </c>
      <c r="P1378" s="54">
        <f>+IF(AND(Y1378="Domingo",U1378=7),_xlfn.XLOOKUP(O1378,'Horarios y Sistemas'!C:C,'Horarios y Sistemas'!H:H,0,0,1),0)</f>
        <v>0</v>
      </c>
      <c r="Q1378" s="54">
        <f>IF(U1378=U1379,0,IF(AVERAGEIF(W:W,W1378,U:U)=U1378,0,_xlfn.XLOOKUP(O1378,'Horarios y Sistemas'!C:C,'Horarios y Sistemas'!H:H,0,0,1)-P1378))/7*U1378</f>
        <v>0</v>
      </c>
      <c r="R1378" s="54">
        <f t="shared" si="1676"/>
        <v>0</v>
      </c>
      <c r="S1378" s="55" t="str">
        <f t="shared" si="1677"/>
        <v>ENERO</v>
      </c>
      <c r="T1378" s="55" t="str">
        <f t="shared" si="1678"/>
        <v>Sem52</v>
      </c>
      <c r="U1378" s="56">
        <f t="shared" si="1660"/>
        <v>196</v>
      </c>
      <c r="V1378" s="59"/>
      <c r="W1378" s="56">
        <f t="shared" si="1679"/>
        <v>52</v>
      </c>
      <c r="X1378" s="56">
        <f t="shared" si="1680"/>
        <v>0</v>
      </c>
      <c r="Y1378" s="56" t="s">
        <v>33</v>
      </c>
      <c r="Z1378" s="56">
        <v>6</v>
      </c>
      <c r="AA1378" s="58">
        <f t="shared" si="1695"/>
        <v>0</v>
      </c>
      <c r="AB1378" s="58">
        <f t="shared" si="1695"/>
        <v>0</v>
      </c>
      <c r="AC1378" s="58">
        <f t="shared" si="1695"/>
        <v>0</v>
      </c>
      <c r="AD1378" s="58">
        <f t="shared" si="1695"/>
        <v>0</v>
      </c>
      <c r="AE1378" s="58">
        <f t="shared" si="1695"/>
        <v>0</v>
      </c>
    </row>
    <row r="1379" spans="2:31">
      <c r="B1379" s="60" t="str">
        <f t="shared" si="1667"/>
        <v>Sem5252</v>
      </c>
      <c r="C1379" s="60" t="str">
        <f t="shared" si="1668"/>
        <v>ENEROSem52</v>
      </c>
      <c r="D1379" s="60" t="str">
        <f t="shared" si="1669"/>
        <v>ENEROSem52</v>
      </c>
      <c r="E1379" s="60" t="str">
        <f t="shared" si="1670"/>
        <v>ENEROSem5252</v>
      </c>
      <c r="F1379" s="60" t="str">
        <f t="shared" si="1671"/>
        <v/>
      </c>
      <c r="G1379" s="60"/>
      <c r="H1379" s="61"/>
      <c r="I1379" s="62">
        <f>+_xlfn.XLOOKUP($H1379&amp;$V1379,BASEDATOS!$B:$B,BASEDATOS!F:F,0,0,1)</f>
        <v>0</v>
      </c>
      <c r="J1379" s="63">
        <f>+_xlfn.XLOOKUP($H1379&amp;$V1379,BASEDATOS!$B:$B,BASEDATOS!Q:Q,0,0,1)</f>
        <v>0</v>
      </c>
      <c r="K1379" s="63">
        <f>+_xlfn.XLOOKUP($H1379&amp;$V1379,BASEDATOS!$B:$B,BASEDATOS!R:R,0,0,1)</f>
        <v>0</v>
      </c>
      <c r="L1379" s="63">
        <f t="shared" si="1672"/>
        <v>0</v>
      </c>
      <c r="M1379" s="64">
        <f t="shared" si="1673"/>
        <v>0</v>
      </c>
      <c r="N1379" s="63">
        <f t="shared" si="1674"/>
        <v>0</v>
      </c>
      <c r="O1379" s="65" t="str">
        <f t="shared" ref="O1379" si="1701">+IF(Y1379="Domingo",SUM(AA1373:AA1379)&amp;"-"&amp;SUM(AB1373:AB1379)&amp;"-"&amp;SUM(AC1373:AE1379),"")</f>
        <v>0-0-0</v>
      </c>
      <c r="P1379" s="66">
        <f>+IF(AND(Y1379="Domingo",U1379=7),_xlfn.XLOOKUP(O1379,'Horarios y Sistemas'!C:C,'Horarios y Sistemas'!H:H,0,0,1),0)</f>
        <v>0</v>
      </c>
      <c r="Q1379" s="66">
        <f>IF(U1379=U1380,0,IF(AVERAGEIF(W:W,W1379,U:U)=U1379,0,_xlfn.XLOOKUP(O1379,'Horarios y Sistemas'!C:C,'Horarios y Sistemas'!H:H,0,0,1)-P1379))/7*U1379</f>
        <v>0</v>
      </c>
      <c r="R1379" s="66">
        <f t="shared" si="1676"/>
        <v>0</v>
      </c>
      <c r="S1379" s="67" t="str">
        <f t="shared" si="1677"/>
        <v>ENERO</v>
      </c>
      <c r="T1379" s="55" t="str">
        <f t="shared" si="1678"/>
        <v>Sem52</v>
      </c>
      <c r="U1379" s="68">
        <f t="shared" si="1660"/>
        <v>196</v>
      </c>
      <c r="V1379" s="69"/>
      <c r="W1379" s="68">
        <f t="shared" si="1679"/>
        <v>52</v>
      </c>
      <c r="X1379" s="68">
        <f t="shared" si="1680"/>
        <v>0</v>
      </c>
      <c r="Y1379" s="68" t="s">
        <v>34</v>
      </c>
      <c r="Z1379" s="68">
        <v>7</v>
      </c>
      <c r="AA1379" s="70">
        <f t="shared" si="1695"/>
        <v>0</v>
      </c>
      <c r="AB1379" s="70">
        <f t="shared" si="1695"/>
        <v>0</v>
      </c>
      <c r="AC1379" s="70">
        <f t="shared" si="1695"/>
        <v>0</v>
      </c>
      <c r="AD1379" s="70">
        <f t="shared" si="1695"/>
        <v>0</v>
      </c>
      <c r="AE1379" s="70">
        <f t="shared" si="1695"/>
        <v>0</v>
      </c>
    </row>
    <row r="1380" spans="2:31">
      <c r="B1380" t="str">
        <f t="shared" si="1667"/>
        <v>Sem5252</v>
      </c>
      <c r="C1380" t="str">
        <f t="shared" si="1668"/>
        <v>ENEROSem52</v>
      </c>
      <c r="D1380" t="str">
        <f t="shared" si="1669"/>
        <v>ENEROSem52</v>
      </c>
      <c r="E1380" t="str">
        <f t="shared" si="1670"/>
        <v>ENEROSem5252</v>
      </c>
      <c r="F1380" t="str">
        <f t="shared" si="1671"/>
        <v/>
      </c>
      <c r="H1380" s="49"/>
      <c r="I1380" s="50">
        <f>+_xlfn.XLOOKUP($H1380&amp;$V1380,BASEDATOS!$B:$B,BASEDATOS!F:F,0,0,1)</f>
        <v>0</v>
      </c>
      <c r="J1380" s="51">
        <f>+_xlfn.XLOOKUP($H1380&amp;$V1380,BASEDATOS!$B:$B,BASEDATOS!Q:Q,0,0,1)</f>
        <v>0</v>
      </c>
      <c r="K1380" s="51">
        <f>+_xlfn.XLOOKUP($H1380&amp;$V1380,BASEDATOS!$B:$B,BASEDATOS!R:R,0,0,1)</f>
        <v>0</v>
      </c>
      <c r="L1380" s="51">
        <f t="shared" si="1672"/>
        <v>0</v>
      </c>
      <c r="M1380" s="52">
        <f t="shared" si="1673"/>
        <v>0</v>
      </c>
      <c r="N1380" s="51">
        <f t="shared" si="1674"/>
        <v>0</v>
      </c>
      <c r="O1380" s="53" t="str">
        <f t="shared" ref="O1380" si="1702">+O1386</f>
        <v>0-0-0</v>
      </c>
      <c r="P1380" s="54">
        <f>+IF(AND(Y1380="Domingo",U1380=7),_xlfn.XLOOKUP(O1380,'Horarios y Sistemas'!C:C,'Horarios y Sistemas'!H:H,0,0,1),0)</f>
        <v>0</v>
      </c>
      <c r="Q1380" s="54">
        <f>IF(U1380=U1381,0,IF(AVERAGEIF(W:W,W1380,U:U)=U1380,0,_xlfn.XLOOKUP(O1380,'Horarios y Sistemas'!C:C,'Horarios y Sistemas'!H:H,0,0,1)-P1380))/7*U1380</f>
        <v>0</v>
      </c>
      <c r="R1380" s="54">
        <f t="shared" si="1676"/>
        <v>0</v>
      </c>
      <c r="S1380" s="55" t="str">
        <f t="shared" si="1677"/>
        <v>ENERO</v>
      </c>
      <c r="T1380" s="55" t="str">
        <f t="shared" si="1678"/>
        <v>Sem52</v>
      </c>
      <c r="U1380" s="56">
        <f t="shared" si="1660"/>
        <v>196</v>
      </c>
      <c r="V1380" s="57"/>
      <c r="W1380" s="56">
        <f t="shared" si="1679"/>
        <v>52</v>
      </c>
      <c r="X1380" s="56">
        <f t="shared" si="1680"/>
        <v>0</v>
      </c>
      <c r="Y1380" s="56" t="s">
        <v>28</v>
      </c>
      <c r="Z1380" s="56">
        <v>1</v>
      </c>
      <c r="AA1380" s="58">
        <f t="shared" si="1695"/>
        <v>0</v>
      </c>
      <c r="AB1380" s="58">
        <f t="shared" si="1695"/>
        <v>0</v>
      </c>
      <c r="AC1380" s="58">
        <f t="shared" si="1695"/>
        <v>0</v>
      </c>
      <c r="AD1380" s="58">
        <f t="shared" si="1695"/>
        <v>0</v>
      </c>
      <c r="AE1380" s="58">
        <f t="shared" si="1695"/>
        <v>0</v>
      </c>
    </row>
    <row r="1381" spans="2:31">
      <c r="B1381" t="str">
        <f t="shared" si="1667"/>
        <v>Sem5252</v>
      </c>
      <c r="C1381" t="str">
        <f t="shared" si="1668"/>
        <v>ENEROSem52</v>
      </c>
      <c r="D1381" t="str">
        <f t="shared" si="1669"/>
        <v>ENEROSem52</v>
      </c>
      <c r="E1381" t="str">
        <f t="shared" si="1670"/>
        <v>ENEROSem5252</v>
      </c>
      <c r="F1381" t="str">
        <f t="shared" si="1671"/>
        <v/>
      </c>
      <c r="H1381" s="49"/>
      <c r="I1381" s="50">
        <f>+_xlfn.XLOOKUP($H1381&amp;$V1381,BASEDATOS!$B:$B,BASEDATOS!F:F,0,0,1)</f>
        <v>0</v>
      </c>
      <c r="J1381" s="51">
        <f>+_xlfn.XLOOKUP($H1381&amp;$V1381,BASEDATOS!$B:$B,BASEDATOS!Q:Q,0,0,1)</f>
        <v>0</v>
      </c>
      <c r="K1381" s="51">
        <f>+_xlfn.XLOOKUP($H1381&amp;$V1381,BASEDATOS!$B:$B,BASEDATOS!R:R,0,0,1)</f>
        <v>0</v>
      </c>
      <c r="L1381" s="51">
        <f t="shared" si="1672"/>
        <v>0</v>
      </c>
      <c r="M1381" s="52">
        <f t="shared" si="1673"/>
        <v>0</v>
      </c>
      <c r="N1381" s="51">
        <f t="shared" si="1674"/>
        <v>0</v>
      </c>
      <c r="O1381" s="53" t="str">
        <f t="shared" ref="O1381" si="1703">+O1386</f>
        <v>0-0-0</v>
      </c>
      <c r="P1381" s="54">
        <f>+IF(AND(Y1381="Domingo",U1381=7),_xlfn.XLOOKUP(O1381,'Horarios y Sistemas'!C:C,'Horarios y Sistemas'!H:H,0,0,1),0)</f>
        <v>0</v>
      </c>
      <c r="Q1381" s="54">
        <f>IF(U1381=U1382,0,IF(AVERAGEIF(W:W,W1381,U:U)=U1381,0,_xlfn.XLOOKUP(O1381,'Horarios y Sistemas'!C:C,'Horarios y Sistemas'!H:H,0,0,1)-P1381))/7*U1381</f>
        <v>0</v>
      </c>
      <c r="R1381" s="54">
        <f t="shared" si="1676"/>
        <v>0</v>
      </c>
      <c r="S1381" s="55" t="str">
        <f t="shared" si="1677"/>
        <v>ENERO</v>
      </c>
      <c r="T1381" s="55" t="str">
        <f t="shared" si="1678"/>
        <v>Sem52</v>
      </c>
      <c r="U1381" s="56">
        <f t="shared" si="1660"/>
        <v>196</v>
      </c>
      <c r="V1381" s="59"/>
      <c r="W1381" s="56">
        <f t="shared" si="1679"/>
        <v>52</v>
      </c>
      <c r="X1381" s="56">
        <f t="shared" si="1680"/>
        <v>0</v>
      </c>
      <c r="Y1381" s="56" t="s">
        <v>29</v>
      </c>
      <c r="Z1381" s="56">
        <v>2</v>
      </c>
      <c r="AA1381" s="58">
        <f t="shared" si="1695"/>
        <v>0</v>
      </c>
      <c r="AB1381" s="58">
        <f t="shared" si="1695"/>
        <v>0</v>
      </c>
      <c r="AC1381" s="58">
        <f t="shared" si="1695"/>
        <v>0</v>
      </c>
      <c r="AD1381" s="58">
        <f t="shared" si="1695"/>
        <v>0</v>
      </c>
      <c r="AE1381" s="58">
        <f t="shared" si="1695"/>
        <v>0</v>
      </c>
    </row>
    <row r="1382" spans="2:31">
      <c r="B1382" t="str">
        <f t="shared" si="1667"/>
        <v>Sem5252</v>
      </c>
      <c r="C1382" t="str">
        <f t="shared" si="1668"/>
        <v>ENEROSem52</v>
      </c>
      <c r="D1382" t="str">
        <f t="shared" si="1669"/>
        <v>ENEROSem52</v>
      </c>
      <c r="E1382" t="str">
        <f t="shared" si="1670"/>
        <v>ENEROSem5252</v>
      </c>
      <c r="F1382" t="str">
        <f t="shared" si="1671"/>
        <v/>
      </c>
      <c r="H1382" s="49"/>
      <c r="I1382" s="50">
        <f>+_xlfn.XLOOKUP($H1382&amp;$V1382,BASEDATOS!$B:$B,BASEDATOS!F:F,0,0,1)</f>
        <v>0</v>
      </c>
      <c r="J1382" s="51">
        <f>+_xlfn.XLOOKUP($H1382&amp;$V1382,BASEDATOS!$B:$B,BASEDATOS!Q:Q,0,0,1)</f>
        <v>0</v>
      </c>
      <c r="K1382" s="51">
        <f>+_xlfn.XLOOKUP($H1382&amp;$V1382,BASEDATOS!$B:$B,BASEDATOS!R:R,0,0,1)</f>
        <v>0</v>
      </c>
      <c r="L1382" s="51">
        <f t="shared" si="1672"/>
        <v>0</v>
      </c>
      <c r="M1382" s="52">
        <f t="shared" si="1673"/>
        <v>0</v>
      </c>
      <c r="N1382" s="51">
        <f t="shared" si="1674"/>
        <v>0</v>
      </c>
      <c r="O1382" s="53" t="str">
        <f t="shared" ref="O1382" si="1704">+O1386</f>
        <v>0-0-0</v>
      </c>
      <c r="P1382" s="54">
        <f>+IF(AND(Y1382="Domingo",U1382=7),_xlfn.XLOOKUP(O1382,'Horarios y Sistemas'!C:C,'Horarios y Sistemas'!H:H,0,0,1),0)</f>
        <v>0</v>
      </c>
      <c r="Q1382" s="54">
        <f>IF(U1382=U1383,0,IF(AVERAGEIF(W:W,W1382,U:U)=U1382,0,_xlfn.XLOOKUP(O1382,'Horarios y Sistemas'!C:C,'Horarios y Sistemas'!H:H,0,0,1)-P1382))/7*U1382</f>
        <v>0</v>
      </c>
      <c r="R1382" s="54">
        <f t="shared" si="1676"/>
        <v>0</v>
      </c>
      <c r="S1382" s="55" t="str">
        <f t="shared" si="1677"/>
        <v>ENERO</v>
      </c>
      <c r="T1382" s="55" t="str">
        <f t="shared" si="1678"/>
        <v>Sem52</v>
      </c>
      <c r="U1382" s="56">
        <f t="shared" si="1660"/>
        <v>196</v>
      </c>
      <c r="V1382" s="59"/>
      <c r="W1382" s="56">
        <f t="shared" si="1679"/>
        <v>52</v>
      </c>
      <c r="X1382" s="56">
        <f t="shared" si="1680"/>
        <v>0</v>
      </c>
      <c r="Y1382" s="56" t="s">
        <v>30</v>
      </c>
      <c r="Z1382" s="56">
        <v>3</v>
      </c>
      <c r="AA1382" s="58">
        <f t="shared" si="1695"/>
        <v>0</v>
      </c>
      <c r="AB1382" s="58">
        <f t="shared" si="1695"/>
        <v>0</v>
      </c>
      <c r="AC1382" s="58">
        <f t="shared" si="1695"/>
        <v>0</v>
      </c>
      <c r="AD1382" s="58">
        <f t="shared" si="1695"/>
        <v>0</v>
      </c>
      <c r="AE1382" s="58">
        <f t="shared" si="1695"/>
        <v>0</v>
      </c>
    </row>
    <row r="1383" spans="2:31">
      <c r="B1383" t="str">
        <f t="shared" si="1667"/>
        <v>Sem5252</v>
      </c>
      <c r="C1383" t="str">
        <f t="shared" si="1668"/>
        <v>ENEROSem52</v>
      </c>
      <c r="D1383" t="str">
        <f t="shared" si="1669"/>
        <v>ENEROSem52</v>
      </c>
      <c r="E1383" t="str">
        <f t="shared" si="1670"/>
        <v>ENEROSem5252</v>
      </c>
      <c r="F1383" t="str">
        <f t="shared" si="1671"/>
        <v/>
      </c>
      <c r="H1383" s="49"/>
      <c r="I1383" s="50">
        <f>+_xlfn.XLOOKUP($H1383&amp;$V1383,BASEDATOS!$B:$B,BASEDATOS!F:F,0,0,1)</f>
        <v>0</v>
      </c>
      <c r="J1383" s="51">
        <f>+_xlfn.XLOOKUP($H1383&amp;$V1383,BASEDATOS!$B:$B,BASEDATOS!Q:Q,0,0,1)</f>
        <v>0</v>
      </c>
      <c r="K1383" s="51">
        <f>+_xlfn.XLOOKUP($H1383&amp;$V1383,BASEDATOS!$B:$B,BASEDATOS!R:R,0,0,1)</f>
        <v>0</v>
      </c>
      <c r="L1383" s="51">
        <f t="shared" si="1672"/>
        <v>0</v>
      </c>
      <c r="M1383" s="52">
        <f t="shared" si="1673"/>
        <v>0</v>
      </c>
      <c r="N1383" s="51">
        <f t="shared" si="1674"/>
        <v>0</v>
      </c>
      <c r="O1383" s="53" t="str">
        <f t="shared" ref="O1383" si="1705">+O1386</f>
        <v>0-0-0</v>
      </c>
      <c r="P1383" s="54">
        <f>+IF(AND(Y1383="Domingo",U1383=7),_xlfn.XLOOKUP(O1383,'Horarios y Sistemas'!C:C,'Horarios y Sistemas'!H:H,0,0,1),0)</f>
        <v>0</v>
      </c>
      <c r="Q1383" s="54">
        <f>IF(U1383=U1384,0,IF(AVERAGEIF(W:W,W1383,U:U)=U1383,0,_xlfn.XLOOKUP(O1383,'Horarios y Sistemas'!C:C,'Horarios y Sistemas'!H:H,0,0,1)-P1383))/7*U1383</f>
        <v>0</v>
      </c>
      <c r="R1383" s="54">
        <f t="shared" si="1676"/>
        <v>0</v>
      </c>
      <c r="S1383" s="55" t="str">
        <f t="shared" si="1677"/>
        <v>ENERO</v>
      </c>
      <c r="T1383" s="55" t="str">
        <f t="shared" si="1678"/>
        <v>Sem52</v>
      </c>
      <c r="U1383" s="56">
        <f t="shared" si="1660"/>
        <v>196</v>
      </c>
      <c r="V1383" s="59"/>
      <c r="W1383" s="56">
        <f t="shared" si="1679"/>
        <v>52</v>
      </c>
      <c r="X1383" s="56">
        <f t="shared" si="1680"/>
        <v>0</v>
      </c>
      <c r="Y1383" s="56" t="s">
        <v>31</v>
      </c>
      <c r="Z1383" s="56">
        <v>4</v>
      </c>
      <c r="AA1383" s="58">
        <f t="shared" si="1695"/>
        <v>0</v>
      </c>
      <c r="AB1383" s="58">
        <f t="shared" si="1695"/>
        <v>0</v>
      </c>
      <c r="AC1383" s="58">
        <f t="shared" si="1695"/>
        <v>0</v>
      </c>
      <c r="AD1383" s="58">
        <f t="shared" si="1695"/>
        <v>0</v>
      </c>
      <c r="AE1383" s="58">
        <f t="shared" si="1695"/>
        <v>0</v>
      </c>
    </row>
    <row r="1384" spans="2:31">
      <c r="B1384" t="str">
        <f t="shared" si="1667"/>
        <v>Sem5252</v>
      </c>
      <c r="C1384" t="str">
        <f t="shared" si="1668"/>
        <v>ENEROSem52</v>
      </c>
      <c r="D1384" t="str">
        <f t="shared" si="1669"/>
        <v>ENEROSem52</v>
      </c>
      <c r="E1384" t="str">
        <f t="shared" si="1670"/>
        <v>ENEROSem5252</v>
      </c>
      <c r="F1384" t="str">
        <f t="shared" si="1671"/>
        <v/>
      </c>
      <c r="H1384" s="49"/>
      <c r="I1384" s="50">
        <f>+_xlfn.XLOOKUP($H1384&amp;$V1384,BASEDATOS!$B:$B,BASEDATOS!F:F,0,0,1)</f>
        <v>0</v>
      </c>
      <c r="J1384" s="51">
        <f>+_xlfn.XLOOKUP($H1384&amp;$V1384,BASEDATOS!$B:$B,BASEDATOS!Q:Q,0,0,1)</f>
        <v>0</v>
      </c>
      <c r="K1384" s="51">
        <f>+_xlfn.XLOOKUP($H1384&amp;$V1384,BASEDATOS!$B:$B,BASEDATOS!R:R,0,0,1)</f>
        <v>0</v>
      </c>
      <c r="L1384" s="51">
        <f t="shared" si="1672"/>
        <v>0</v>
      </c>
      <c r="M1384" s="52">
        <f t="shared" si="1673"/>
        <v>0</v>
      </c>
      <c r="N1384" s="51">
        <f t="shared" si="1674"/>
        <v>0</v>
      </c>
      <c r="O1384" s="53" t="str">
        <f t="shared" ref="O1384" si="1706">+O1386</f>
        <v>0-0-0</v>
      </c>
      <c r="P1384" s="54">
        <f>+IF(AND(Y1384="Domingo",U1384=7),_xlfn.XLOOKUP(O1384,'Horarios y Sistemas'!C:C,'Horarios y Sistemas'!H:H,0,0,1),0)</f>
        <v>0</v>
      </c>
      <c r="Q1384" s="54">
        <f>IF(U1384=U1385,0,IF(AVERAGEIF(W:W,W1384,U:U)=U1384,0,_xlfn.XLOOKUP(O1384,'Horarios y Sistemas'!C:C,'Horarios y Sistemas'!H:H,0,0,1)-P1384))/7*U1384</f>
        <v>0</v>
      </c>
      <c r="R1384" s="54">
        <f t="shared" si="1676"/>
        <v>0</v>
      </c>
      <c r="S1384" s="55" t="str">
        <f t="shared" si="1677"/>
        <v>ENERO</v>
      </c>
      <c r="T1384" s="55" t="str">
        <f t="shared" si="1678"/>
        <v>Sem52</v>
      </c>
      <c r="U1384" s="56">
        <f t="shared" si="1660"/>
        <v>196</v>
      </c>
      <c r="V1384" s="59"/>
      <c r="W1384" s="56">
        <f t="shared" si="1679"/>
        <v>52</v>
      </c>
      <c r="X1384" s="56">
        <f t="shared" si="1680"/>
        <v>0</v>
      </c>
      <c r="Y1384" s="56" t="s">
        <v>32</v>
      </c>
      <c r="Z1384" s="56">
        <v>5</v>
      </c>
      <c r="AA1384" s="58">
        <f t="shared" si="1695"/>
        <v>0</v>
      </c>
      <c r="AB1384" s="58">
        <f t="shared" si="1695"/>
        <v>0</v>
      </c>
      <c r="AC1384" s="58">
        <f t="shared" si="1695"/>
        <v>0</v>
      </c>
      <c r="AD1384" s="58">
        <f t="shared" si="1695"/>
        <v>0</v>
      </c>
      <c r="AE1384" s="58">
        <f t="shared" si="1695"/>
        <v>0</v>
      </c>
    </row>
    <row r="1385" spans="2:31">
      <c r="B1385" t="str">
        <f t="shared" si="1667"/>
        <v>Sem5252</v>
      </c>
      <c r="C1385" t="str">
        <f t="shared" si="1668"/>
        <v>ENEROSem52</v>
      </c>
      <c r="D1385" t="str">
        <f t="shared" si="1669"/>
        <v>ENEROSem52</v>
      </c>
      <c r="E1385" t="str">
        <f t="shared" si="1670"/>
        <v>ENEROSem5252</v>
      </c>
      <c r="F1385" t="str">
        <f t="shared" si="1671"/>
        <v/>
      </c>
      <c r="H1385" s="49"/>
      <c r="I1385" s="50">
        <f>+_xlfn.XLOOKUP($H1385&amp;$V1385,BASEDATOS!$B:$B,BASEDATOS!F:F,0,0,1)</f>
        <v>0</v>
      </c>
      <c r="J1385" s="51">
        <f>+_xlfn.XLOOKUP($H1385&amp;$V1385,BASEDATOS!$B:$B,BASEDATOS!Q:Q,0,0,1)</f>
        <v>0</v>
      </c>
      <c r="K1385" s="51">
        <f>+_xlfn.XLOOKUP($H1385&amp;$V1385,BASEDATOS!$B:$B,BASEDATOS!R:R,0,0,1)</f>
        <v>0</v>
      </c>
      <c r="L1385" s="51">
        <f t="shared" si="1672"/>
        <v>0</v>
      </c>
      <c r="M1385" s="52">
        <f t="shared" si="1673"/>
        <v>0</v>
      </c>
      <c r="N1385" s="51">
        <f t="shared" si="1674"/>
        <v>0</v>
      </c>
      <c r="O1385" s="53" t="str">
        <f t="shared" ref="O1385" si="1707">+O1386</f>
        <v>0-0-0</v>
      </c>
      <c r="P1385" s="54">
        <f>+IF(AND(Y1385="Domingo",U1385=7),_xlfn.XLOOKUP(O1385,'Horarios y Sistemas'!C:C,'Horarios y Sistemas'!H:H,0,0,1),0)</f>
        <v>0</v>
      </c>
      <c r="Q1385" s="54">
        <f>IF(U1385=U1386,0,IF(AVERAGEIF(W:W,W1385,U:U)=U1385,0,_xlfn.XLOOKUP(O1385,'Horarios y Sistemas'!C:C,'Horarios y Sistemas'!H:H,0,0,1)-P1385))/7*U1385</f>
        <v>0</v>
      </c>
      <c r="R1385" s="54">
        <f t="shared" si="1676"/>
        <v>0</v>
      </c>
      <c r="S1385" s="55" t="str">
        <f t="shared" si="1677"/>
        <v>ENERO</v>
      </c>
      <c r="T1385" s="55" t="str">
        <f t="shared" si="1678"/>
        <v>Sem52</v>
      </c>
      <c r="U1385" s="56">
        <f t="shared" si="1660"/>
        <v>196</v>
      </c>
      <c r="V1385" s="59"/>
      <c r="W1385" s="56">
        <f t="shared" si="1679"/>
        <v>52</v>
      </c>
      <c r="X1385" s="56">
        <f t="shared" si="1680"/>
        <v>0</v>
      </c>
      <c r="Y1385" s="56" t="s">
        <v>33</v>
      </c>
      <c r="Z1385" s="56">
        <v>6</v>
      </c>
      <c r="AA1385" s="58">
        <f t="shared" si="1695"/>
        <v>0</v>
      </c>
      <c r="AB1385" s="58">
        <f t="shared" si="1695"/>
        <v>0</v>
      </c>
      <c r="AC1385" s="58">
        <f t="shared" si="1695"/>
        <v>0</v>
      </c>
      <c r="AD1385" s="58">
        <f t="shared" si="1695"/>
        <v>0</v>
      </c>
      <c r="AE1385" s="58">
        <f t="shared" si="1695"/>
        <v>0</v>
      </c>
    </row>
    <row r="1386" spans="2:31">
      <c r="B1386" s="60" t="str">
        <f t="shared" si="1667"/>
        <v>Sem5252</v>
      </c>
      <c r="C1386" s="60" t="str">
        <f t="shared" si="1668"/>
        <v>ENEROSem52</v>
      </c>
      <c r="D1386" s="60" t="str">
        <f t="shared" si="1669"/>
        <v>ENEROSem52</v>
      </c>
      <c r="E1386" s="60" t="str">
        <f t="shared" si="1670"/>
        <v>ENEROSem5252</v>
      </c>
      <c r="F1386" s="60" t="str">
        <f t="shared" si="1671"/>
        <v/>
      </c>
      <c r="G1386" s="60"/>
      <c r="H1386" s="61"/>
      <c r="I1386" s="62">
        <f>+_xlfn.XLOOKUP($H1386&amp;$V1386,BASEDATOS!$B:$B,BASEDATOS!F:F,0,0,1)</f>
        <v>0</v>
      </c>
      <c r="J1386" s="63">
        <f>+_xlfn.XLOOKUP($H1386&amp;$V1386,BASEDATOS!$B:$B,BASEDATOS!Q:Q,0,0,1)</f>
        <v>0</v>
      </c>
      <c r="K1386" s="63">
        <f>+_xlfn.XLOOKUP($H1386&amp;$V1386,BASEDATOS!$B:$B,BASEDATOS!R:R,0,0,1)</f>
        <v>0</v>
      </c>
      <c r="L1386" s="63">
        <f t="shared" si="1672"/>
        <v>0</v>
      </c>
      <c r="M1386" s="64">
        <f t="shared" si="1673"/>
        <v>0</v>
      </c>
      <c r="N1386" s="63">
        <f t="shared" si="1674"/>
        <v>0</v>
      </c>
      <c r="O1386" s="65" t="str">
        <f t="shared" ref="O1386" si="1708">+IF(Y1386="Domingo",SUM(AA1380:AA1386)&amp;"-"&amp;SUM(AB1380:AB1386)&amp;"-"&amp;SUM(AC1380:AE1386),"")</f>
        <v>0-0-0</v>
      </c>
      <c r="P1386" s="66">
        <f>+IF(AND(Y1386="Domingo",U1386=7),_xlfn.XLOOKUP(O1386,'Horarios y Sistemas'!C:C,'Horarios y Sistemas'!H:H,0,0,1),0)</f>
        <v>0</v>
      </c>
      <c r="Q1386" s="66">
        <f>IF(U1386=U1387,0,IF(AVERAGEIF(W:W,W1386,U:U)=U1386,0,_xlfn.XLOOKUP(O1386,'Horarios y Sistemas'!C:C,'Horarios y Sistemas'!H:H,0,0,1)-P1386))/7*U1386</f>
        <v>0</v>
      </c>
      <c r="R1386" s="66">
        <f t="shared" si="1676"/>
        <v>0</v>
      </c>
      <c r="S1386" s="67" t="str">
        <f t="shared" si="1677"/>
        <v>ENERO</v>
      </c>
      <c r="T1386" s="55" t="str">
        <f t="shared" si="1678"/>
        <v>Sem52</v>
      </c>
      <c r="U1386" s="68">
        <f t="shared" si="1660"/>
        <v>196</v>
      </c>
      <c r="V1386" s="69"/>
      <c r="W1386" s="68">
        <f t="shared" si="1679"/>
        <v>52</v>
      </c>
      <c r="X1386" s="68">
        <f t="shared" si="1680"/>
        <v>0</v>
      </c>
      <c r="Y1386" s="68" t="s">
        <v>34</v>
      </c>
      <c r="Z1386" s="68">
        <v>7</v>
      </c>
      <c r="AA1386" s="70">
        <f t="shared" si="1695"/>
        <v>0</v>
      </c>
      <c r="AB1386" s="70">
        <f t="shared" si="1695"/>
        <v>0</v>
      </c>
      <c r="AC1386" s="70">
        <f t="shared" si="1695"/>
        <v>0</v>
      </c>
      <c r="AD1386" s="70">
        <f t="shared" si="1695"/>
        <v>0</v>
      </c>
      <c r="AE1386" s="70">
        <f t="shared" si="1695"/>
        <v>0</v>
      </c>
    </row>
    <row r="1387" spans="2:31">
      <c r="B1387" t="str">
        <f t="shared" si="1667"/>
        <v>Sem5252</v>
      </c>
      <c r="C1387" t="str">
        <f t="shared" si="1668"/>
        <v>ENEROSem52</v>
      </c>
      <c r="D1387" t="str">
        <f t="shared" si="1669"/>
        <v>ENEROSem52</v>
      </c>
      <c r="E1387" t="str">
        <f t="shared" si="1670"/>
        <v>ENEROSem5252</v>
      </c>
      <c r="F1387" t="str">
        <f t="shared" si="1671"/>
        <v/>
      </c>
      <c r="H1387" s="49"/>
      <c r="I1387" s="50">
        <f>+_xlfn.XLOOKUP($H1387&amp;$V1387,BASEDATOS!$B:$B,BASEDATOS!F:F,0,0,1)</f>
        <v>0</v>
      </c>
      <c r="J1387" s="51">
        <f>+_xlfn.XLOOKUP($H1387&amp;$V1387,BASEDATOS!$B:$B,BASEDATOS!Q:Q,0,0,1)</f>
        <v>0</v>
      </c>
      <c r="K1387" s="51">
        <f>+_xlfn.XLOOKUP($H1387&amp;$V1387,BASEDATOS!$B:$B,BASEDATOS!R:R,0,0,1)</f>
        <v>0</v>
      </c>
      <c r="L1387" s="51">
        <f t="shared" si="1672"/>
        <v>0</v>
      </c>
      <c r="M1387" s="52">
        <f t="shared" si="1673"/>
        <v>0</v>
      </c>
      <c r="N1387" s="51">
        <f t="shared" si="1674"/>
        <v>0</v>
      </c>
      <c r="O1387" s="53" t="str">
        <f t="shared" ref="O1387" si="1709">+O1393</f>
        <v>0-0-0</v>
      </c>
      <c r="P1387" s="54">
        <f>+IF(AND(Y1387="Domingo",U1387=7),_xlfn.XLOOKUP(O1387,'Horarios y Sistemas'!C:C,'Horarios y Sistemas'!H:H,0,0,1),0)</f>
        <v>0</v>
      </c>
      <c r="Q1387" s="54">
        <f>IF(U1387=U1388,0,IF(AVERAGEIF(W:W,W1387,U:U)=U1387,0,_xlfn.XLOOKUP(O1387,'Horarios y Sistemas'!C:C,'Horarios y Sistemas'!H:H,0,0,1)-P1387))/7*U1387</f>
        <v>0</v>
      </c>
      <c r="R1387" s="54">
        <f t="shared" si="1676"/>
        <v>0</v>
      </c>
      <c r="S1387" s="55" t="str">
        <f t="shared" si="1677"/>
        <v>ENERO</v>
      </c>
      <c r="T1387" s="55" t="str">
        <f t="shared" si="1678"/>
        <v>Sem52</v>
      </c>
      <c r="U1387" s="56">
        <f t="shared" si="1660"/>
        <v>196</v>
      </c>
      <c r="V1387" s="59"/>
      <c r="W1387" s="56">
        <f t="shared" si="1679"/>
        <v>52</v>
      </c>
      <c r="X1387" s="56">
        <f t="shared" si="1680"/>
        <v>0</v>
      </c>
      <c r="Y1387" s="56" t="s">
        <v>28</v>
      </c>
      <c r="Z1387" s="56">
        <v>1</v>
      </c>
      <c r="AA1387" s="58">
        <f t="shared" si="1695"/>
        <v>0</v>
      </c>
      <c r="AB1387" s="58">
        <f t="shared" si="1695"/>
        <v>0</v>
      </c>
      <c r="AC1387" s="58">
        <f t="shared" si="1695"/>
        <v>0</v>
      </c>
      <c r="AD1387" s="58">
        <f t="shared" si="1695"/>
        <v>0</v>
      </c>
      <c r="AE1387" s="58">
        <f t="shared" si="1695"/>
        <v>0</v>
      </c>
    </row>
    <row r="1388" spans="2:31">
      <c r="B1388" t="str">
        <f t="shared" si="1667"/>
        <v>Sem5252</v>
      </c>
      <c r="C1388" t="str">
        <f t="shared" si="1668"/>
        <v>ENEROSem52</v>
      </c>
      <c r="D1388" t="str">
        <f t="shared" si="1669"/>
        <v>ENEROSem52</v>
      </c>
      <c r="E1388" t="str">
        <f t="shared" si="1670"/>
        <v>ENEROSem5252</v>
      </c>
      <c r="F1388" t="str">
        <f t="shared" si="1671"/>
        <v/>
      </c>
      <c r="H1388" s="49"/>
      <c r="I1388" s="50">
        <f>+_xlfn.XLOOKUP($H1388&amp;$V1388,BASEDATOS!$B:$B,BASEDATOS!F:F,0,0,1)</f>
        <v>0</v>
      </c>
      <c r="J1388" s="51">
        <f>+_xlfn.XLOOKUP($H1388&amp;$V1388,BASEDATOS!$B:$B,BASEDATOS!Q:Q,0,0,1)</f>
        <v>0</v>
      </c>
      <c r="K1388" s="51">
        <f>+_xlfn.XLOOKUP($H1388&amp;$V1388,BASEDATOS!$B:$B,BASEDATOS!R:R,0,0,1)</f>
        <v>0</v>
      </c>
      <c r="L1388" s="51">
        <f t="shared" si="1672"/>
        <v>0</v>
      </c>
      <c r="M1388" s="52">
        <f t="shared" si="1673"/>
        <v>0</v>
      </c>
      <c r="N1388" s="51">
        <f t="shared" si="1674"/>
        <v>0</v>
      </c>
      <c r="O1388" s="53" t="str">
        <f t="shared" ref="O1388" si="1710">+O1393</f>
        <v>0-0-0</v>
      </c>
      <c r="P1388" s="54">
        <f>+IF(AND(Y1388="Domingo",U1388=7),_xlfn.XLOOKUP(O1388,'Horarios y Sistemas'!C:C,'Horarios y Sistemas'!H:H,0,0,1),0)</f>
        <v>0</v>
      </c>
      <c r="Q1388" s="54">
        <f>IF(U1388=U1389,0,IF(AVERAGEIF(W:W,W1388,U:U)=U1388,0,_xlfn.XLOOKUP(O1388,'Horarios y Sistemas'!C:C,'Horarios y Sistemas'!H:H,0,0,1)-P1388))/7*U1388</f>
        <v>0</v>
      </c>
      <c r="R1388" s="54">
        <f t="shared" si="1676"/>
        <v>0</v>
      </c>
      <c r="S1388" s="55" t="str">
        <f t="shared" si="1677"/>
        <v>ENERO</v>
      </c>
      <c r="T1388" s="55" t="str">
        <f t="shared" si="1678"/>
        <v>Sem52</v>
      </c>
      <c r="U1388" s="56">
        <f t="shared" si="1660"/>
        <v>196</v>
      </c>
      <c r="V1388" s="59"/>
      <c r="W1388" s="56">
        <f t="shared" si="1679"/>
        <v>52</v>
      </c>
      <c r="X1388" s="56">
        <f t="shared" si="1680"/>
        <v>0</v>
      </c>
      <c r="Y1388" s="56" t="s">
        <v>29</v>
      </c>
      <c r="Z1388" s="56">
        <v>2</v>
      </c>
      <c r="AA1388" s="58">
        <f t="shared" si="1695"/>
        <v>0</v>
      </c>
      <c r="AB1388" s="58">
        <f t="shared" si="1695"/>
        <v>0</v>
      </c>
      <c r="AC1388" s="58">
        <f t="shared" si="1695"/>
        <v>0</v>
      </c>
      <c r="AD1388" s="58">
        <f t="shared" si="1695"/>
        <v>0</v>
      </c>
      <c r="AE1388" s="58">
        <f t="shared" si="1695"/>
        <v>0</v>
      </c>
    </row>
    <row r="1389" spans="2:31">
      <c r="B1389" t="str">
        <f t="shared" si="1667"/>
        <v>Sem5252</v>
      </c>
      <c r="C1389" t="str">
        <f t="shared" si="1668"/>
        <v>ENEROSem52</v>
      </c>
      <c r="D1389" t="str">
        <f t="shared" si="1669"/>
        <v>ENEROSem52</v>
      </c>
      <c r="E1389" t="str">
        <f t="shared" si="1670"/>
        <v>ENEROSem5252</v>
      </c>
      <c r="F1389" t="str">
        <f t="shared" si="1671"/>
        <v/>
      </c>
      <c r="H1389" s="49"/>
      <c r="I1389" s="50">
        <f>+_xlfn.XLOOKUP($H1389&amp;$V1389,BASEDATOS!$B:$B,BASEDATOS!F:F,0,0,1)</f>
        <v>0</v>
      </c>
      <c r="J1389" s="51">
        <f>+_xlfn.XLOOKUP($H1389&amp;$V1389,BASEDATOS!$B:$B,BASEDATOS!Q:Q,0,0,1)</f>
        <v>0</v>
      </c>
      <c r="K1389" s="51">
        <f>+_xlfn.XLOOKUP($H1389&amp;$V1389,BASEDATOS!$B:$B,BASEDATOS!R:R,0,0,1)</f>
        <v>0</v>
      </c>
      <c r="L1389" s="51">
        <f t="shared" si="1672"/>
        <v>0</v>
      </c>
      <c r="M1389" s="52">
        <f t="shared" si="1673"/>
        <v>0</v>
      </c>
      <c r="N1389" s="51">
        <f t="shared" si="1674"/>
        <v>0</v>
      </c>
      <c r="O1389" s="53" t="str">
        <f t="shared" ref="O1389" si="1711">+O1393</f>
        <v>0-0-0</v>
      </c>
      <c r="P1389" s="54">
        <f>+IF(AND(Y1389="Domingo",U1389=7),_xlfn.XLOOKUP(O1389,'Horarios y Sistemas'!C:C,'Horarios y Sistemas'!H:H,0,0,1),0)</f>
        <v>0</v>
      </c>
      <c r="Q1389" s="54">
        <f>IF(U1389=U1390,0,IF(AVERAGEIF(W:W,W1389,U:U)=U1389,0,_xlfn.XLOOKUP(O1389,'Horarios y Sistemas'!C:C,'Horarios y Sistemas'!H:H,0,0,1)-P1389))/7*U1389</f>
        <v>0</v>
      </c>
      <c r="R1389" s="54">
        <f t="shared" si="1676"/>
        <v>0</v>
      </c>
      <c r="S1389" s="55" t="str">
        <f t="shared" si="1677"/>
        <v>ENERO</v>
      </c>
      <c r="T1389" s="55" t="str">
        <f t="shared" si="1678"/>
        <v>Sem52</v>
      </c>
      <c r="U1389" s="56">
        <f t="shared" si="1660"/>
        <v>196</v>
      </c>
      <c r="V1389" s="59"/>
      <c r="W1389" s="56">
        <f t="shared" si="1679"/>
        <v>52</v>
      </c>
      <c r="X1389" s="56">
        <f t="shared" si="1680"/>
        <v>0</v>
      </c>
      <c r="Y1389" s="56" t="s">
        <v>30</v>
      </c>
      <c r="Z1389" s="56">
        <v>3</v>
      </c>
      <c r="AA1389" s="58">
        <f t="shared" si="1695"/>
        <v>0</v>
      </c>
      <c r="AB1389" s="58">
        <f t="shared" si="1695"/>
        <v>0</v>
      </c>
      <c r="AC1389" s="58">
        <f t="shared" si="1695"/>
        <v>0</v>
      </c>
      <c r="AD1389" s="58">
        <f t="shared" si="1695"/>
        <v>0</v>
      </c>
      <c r="AE1389" s="58">
        <f t="shared" si="1695"/>
        <v>0</v>
      </c>
    </row>
    <row r="1390" spans="2:31">
      <c r="B1390" t="str">
        <f t="shared" si="1667"/>
        <v>Sem5252</v>
      </c>
      <c r="C1390" t="str">
        <f t="shared" si="1668"/>
        <v>ENEROSem52</v>
      </c>
      <c r="D1390" t="str">
        <f t="shared" si="1669"/>
        <v>ENEROSem52</v>
      </c>
      <c r="E1390" t="str">
        <f t="shared" si="1670"/>
        <v>ENEROSem5252</v>
      </c>
      <c r="F1390" t="str">
        <f t="shared" si="1671"/>
        <v/>
      </c>
      <c r="H1390" s="49"/>
      <c r="I1390" s="50">
        <f>+_xlfn.XLOOKUP($H1390&amp;$V1390,BASEDATOS!$B:$B,BASEDATOS!F:F,0,0,1)</f>
        <v>0</v>
      </c>
      <c r="J1390" s="51">
        <f>+_xlfn.XLOOKUP($H1390&amp;$V1390,BASEDATOS!$B:$B,BASEDATOS!Q:Q,0,0,1)</f>
        <v>0</v>
      </c>
      <c r="K1390" s="51">
        <f>+_xlfn.XLOOKUP($H1390&amp;$V1390,BASEDATOS!$B:$B,BASEDATOS!R:R,0,0,1)</f>
        <v>0</v>
      </c>
      <c r="L1390" s="51">
        <f t="shared" si="1672"/>
        <v>0</v>
      </c>
      <c r="M1390" s="52">
        <f t="shared" si="1673"/>
        <v>0</v>
      </c>
      <c r="N1390" s="51">
        <f t="shared" si="1674"/>
        <v>0</v>
      </c>
      <c r="O1390" s="53" t="str">
        <f t="shared" ref="O1390" si="1712">+O1393</f>
        <v>0-0-0</v>
      </c>
      <c r="P1390" s="54">
        <f>+IF(AND(Y1390="Domingo",U1390=7),_xlfn.XLOOKUP(O1390,'Horarios y Sistemas'!C:C,'Horarios y Sistemas'!H:H,0,0,1),0)</f>
        <v>0</v>
      </c>
      <c r="Q1390" s="54">
        <f>IF(U1390=U1391,0,IF(AVERAGEIF(W:W,W1390,U:U)=U1390,0,_xlfn.XLOOKUP(O1390,'Horarios y Sistemas'!C:C,'Horarios y Sistemas'!H:H,0,0,1)-P1390))/7*U1390</f>
        <v>0</v>
      </c>
      <c r="R1390" s="54">
        <f t="shared" si="1676"/>
        <v>0</v>
      </c>
      <c r="S1390" s="55" t="str">
        <f t="shared" si="1677"/>
        <v>ENERO</v>
      </c>
      <c r="T1390" s="55" t="str">
        <f t="shared" si="1678"/>
        <v>Sem52</v>
      </c>
      <c r="U1390" s="56">
        <f t="shared" si="1660"/>
        <v>196</v>
      </c>
      <c r="V1390" s="59"/>
      <c r="W1390" s="56">
        <f t="shared" si="1679"/>
        <v>52</v>
      </c>
      <c r="X1390" s="56">
        <f t="shared" si="1680"/>
        <v>0</v>
      </c>
      <c r="Y1390" s="56" t="s">
        <v>31</v>
      </c>
      <c r="Z1390" s="56">
        <v>4</v>
      </c>
      <c r="AA1390" s="58">
        <f t="shared" si="1695"/>
        <v>0</v>
      </c>
      <c r="AB1390" s="58">
        <f t="shared" si="1695"/>
        <v>0</v>
      </c>
      <c r="AC1390" s="58">
        <f t="shared" si="1695"/>
        <v>0</v>
      </c>
      <c r="AD1390" s="58">
        <f t="shared" si="1695"/>
        <v>0</v>
      </c>
      <c r="AE1390" s="58">
        <f t="shared" si="1695"/>
        <v>0</v>
      </c>
    </row>
    <row r="1391" spans="2:31">
      <c r="B1391" t="str">
        <f t="shared" si="1667"/>
        <v>Sem5252</v>
      </c>
      <c r="C1391" t="str">
        <f t="shared" si="1668"/>
        <v>ENEROSem52</v>
      </c>
      <c r="D1391" t="str">
        <f t="shared" si="1669"/>
        <v>ENEROSem52</v>
      </c>
      <c r="E1391" t="str">
        <f t="shared" si="1670"/>
        <v>ENEROSem5252</v>
      </c>
      <c r="F1391" t="str">
        <f t="shared" si="1671"/>
        <v/>
      </c>
      <c r="H1391" s="49"/>
      <c r="I1391" s="50">
        <f>+_xlfn.XLOOKUP($H1391&amp;$V1391,BASEDATOS!$B:$B,BASEDATOS!F:F,0,0,1)</f>
        <v>0</v>
      </c>
      <c r="J1391" s="51">
        <f>+_xlfn.XLOOKUP($H1391&amp;$V1391,BASEDATOS!$B:$B,BASEDATOS!Q:Q,0,0,1)</f>
        <v>0</v>
      </c>
      <c r="K1391" s="51">
        <f>+_xlfn.XLOOKUP($H1391&amp;$V1391,BASEDATOS!$B:$B,BASEDATOS!R:R,0,0,1)</f>
        <v>0</v>
      </c>
      <c r="L1391" s="51">
        <f t="shared" si="1672"/>
        <v>0</v>
      </c>
      <c r="M1391" s="52">
        <f t="shared" si="1673"/>
        <v>0</v>
      </c>
      <c r="N1391" s="51">
        <f t="shared" si="1674"/>
        <v>0</v>
      </c>
      <c r="O1391" s="53" t="str">
        <f t="shared" ref="O1391" si="1713">+O1393</f>
        <v>0-0-0</v>
      </c>
      <c r="P1391" s="54">
        <f>+IF(AND(Y1391="Domingo",U1391=7),_xlfn.XLOOKUP(O1391,'Horarios y Sistemas'!C:C,'Horarios y Sistemas'!H:H,0,0,1),0)</f>
        <v>0</v>
      </c>
      <c r="Q1391" s="54">
        <f>IF(U1391=U1392,0,IF(AVERAGEIF(W:W,W1391,U:U)=U1391,0,_xlfn.XLOOKUP(O1391,'Horarios y Sistemas'!C:C,'Horarios y Sistemas'!H:H,0,0,1)-P1391))/7*U1391</f>
        <v>0</v>
      </c>
      <c r="R1391" s="54">
        <f t="shared" si="1676"/>
        <v>0</v>
      </c>
      <c r="S1391" s="55" t="str">
        <f t="shared" si="1677"/>
        <v>ENERO</v>
      </c>
      <c r="T1391" s="55" t="str">
        <f t="shared" si="1678"/>
        <v>Sem52</v>
      </c>
      <c r="U1391" s="56">
        <f t="shared" si="1660"/>
        <v>196</v>
      </c>
      <c r="V1391" s="59"/>
      <c r="W1391" s="56">
        <f t="shared" si="1679"/>
        <v>52</v>
      </c>
      <c r="X1391" s="56">
        <f t="shared" si="1680"/>
        <v>0</v>
      </c>
      <c r="Y1391" s="56" t="s">
        <v>32</v>
      </c>
      <c r="Z1391" s="56">
        <v>5</v>
      </c>
      <c r="AA1391" s="58">
        <f t="shared" si="1695"/>
        <v>0</v>
      </c>
      <c r="AB1391" s="58">
        <f t="shared" si="1695"/>
        <v>0</v>
      </c>
      <c r="AC1391" s="58">
        <f t="shared" si="1695"/>
        <v>0</v>
      </c>
      <c r="AD1391" s="58">
        <f t="shared" si="1695"/>
        <v>0</v>
      </c>
      <c r="AE1391" s="58">
        <f t="shared" si="1695"/>
        <v>0</v>
      </c>
    </row>
    <row r="1392" spans="2:31">
      <c r="B1392" t="str">
        <f t="shared" si="1667"/>
        <v>Sem5252</v>
      </c>
      <c r="C1392" t="str">
        <f t="shared" si="1668"/>
        <v>ENEROSem52</v>
      </c>
      <c r="D1392" t="str">
        <f t="shared" si="1669"/>
        <v>ENEROSem52</v>
      </c>
      <c r="E1392" t="str">
        <f t="shared" si="1670"/>
        <v>ENEROSem5252</v>
      </c>
      <c r="F1392" t="str">
        <f t="shared" si="1671"/>
        <v/>
      </c>
      <c r="H1392" s="49"/>
      <c r="I1392" s="50">
        <f>+_xlfn.XLOOKUP($H1392&amp;$V1392,BASEDATOS!$B:$B,BASEDATOS!F:F,0,0,1)</f>
        <v>0</v>
      </c>
      <c r="J1392" s="51">
        <f>+_xlfn.XLOOKUP($H1392&amp;$V1392,BASEDATOS!$B:$B,BASEDATOS!Q:Q,0,0,1)</f>
        <v>0</v>
      </c>
      <c r="K1392" s="51">
        <f>+_xlfn.XLOOKUP($H1392&amp;$V1392,BASEDATOS!$B:$B,BASEDATOS!R:R,0,0,1)</f>
        <v>0</v>
      </c>
      <c r="L1392" s="51">
        <f t="shared" si="1672"/>
        <v>0</v>
      </c>
      <c r="M1392" s="52">
        <f t="shared" si="1673"/>
        <v>0</v>
      </c>
      <c r="N1392" s="51">
        <f t="shared" si="1674"/>
        <v>0</v>
      </c>
      <c r="O1392" s="53" t="str">
        <f t="shared" ref="O1392" si="1714">+O1393</f>
        <v>0-0-0</v>
      </c>
      <c r="P1392" s="54">
        <f>+IF(AND(Y1392="Domingo",U1392=7),_xlfn.XLOOKUP(O1392,'Horarios y Sistemas'!C:C,'Horarios y Sistemas'!H:H,0,0,1),0)</f>
        <v>0</v>
      </c>
      <c r="Q1392" s="54">
        <f>IF(U1392=U1393,0,IF(AVERAGEIF(W:W,W1392,U:U)=U1392,0,_xlfn.XLOOKUP(O1392,'Horarios y Sistemas'!C:C,'Horarios y Sistemas'!H:H,0,0,1)-P1392))/7*U1392</f>
        <v>0</v>
      </c>
      <c r="R1392" s="54">
        <f t="shared" si="1676"/>
        <v>0</v>
      </c>
      <c r="S1392" s="55" t="str">
        <f t="shared" si="1677"/>
        <v>ENERO</v>
      </c>
      <c r="T1392" s="55" t="str">
        <f t="shared" si="1678"/>
        <v>Sem52</v>
      </c>
      <c r="U1392" s="56">
        <f t="shared" si="1660"/>
        <v>196</v>
      </c>
      <c r="V1392" s="59"/>
      <c r="W1392" s="56">
        <f t="shared" si="1679"/>
        <v>52</v>
      </c>
      <c r="X1392" s="56">
        <f t="shared" si="1680"/>
        <v>0</v>
      </c>
      <c r="Y1392" s="56" t="s">
        <v>33</v>
      </c>
      <c r="Z1392" s="56">
        <v>6</v>
      </c>
      <c r="AA1392" s="58">
        <f t="shared" si="1695"/>
        <v>0</v>
      </c>
      <c r="AB1392" s="58">
        <f t="shared" si="1695"/>
        <v>0</v>
      </c>
      <c r="AC1392" s="58">
        <f t="shared" si="1695"/>
        <v>0</v>
      </c>
      <c r="AD1392" s="58">
        <f t="shared" si="1695"/>
        <v>0</v>
      </c>
      <c r="AE1392" s="58">
        <f t="shared" si="1695"/>
        <v>0</v>
      </c>
    </row>
    <row r="1393" spans="2:31">
      <c r="B1393" s="60" t="str">
        <f t="shared" si="1667"/>
        <v>Sem5252</v>
      </c>
      <c r="C1393" s="60" t="str">
        <f t="shared" si="1668"/>
        <v>ENEROSem52</v>
      </c>
      <c r="D1393" s="60" t="str">
        <f t="shared" si="1669"/>
        <v>ENEROSem52</v>
      </c>
      <c r="E1393" s="60" t="str">
        <f t="shared" si="1670"/>
        <v>ENEROSem5252</v>
      </c>
      <c r="F1393" s="60" t="str">
        <f t="shared" si="1671"/>
        <v/>
      </c>
      <c r="G1393" s="60"/>
      <c r="H1393" s="61"/>
      <c r="I1393" s="62">
        <f>+_xlfn.XLOOKUP($H1393&amp;$V1393,BASEDATOS!$B:$B,BASEDATOS!F:F,0,0,1)</f>
        <v>0</v>
      </c>
      <c r="J1393" s="63">
        <f>+_xlfn.XLOOKUP($H1393&amp;$V1393,BASEDATOS!$B:$B,BASEDATOS!Q:Q,0,0,1)</f>
        <v>0</v>
      </c>
      <c r="K1393" s="63">
        <f>+_xlfn.XLOOKUP($H1393&amp;$V1393,BASEDATOS!$B:$B,BASEDATOS!R:R,0,0,1)</f>
        <v>0</v>
      </c>
      <c r="L1393" s="63">
        <f t="shared" si="1672"/>
        <v>0</v>
      </c>
      <c r="M1393" s="64">
        <f t="shared" si="1673"/>
        <v>0</v>
      </c>
      <c r="N1393" s="63">
        <f t="shared" si="1674"/>
        <v>0</v>
      </c>
      <c r="O1393" s="65" t="str">
        <f t="shared" ref="O1393" si="1715">+IF(Y1393="Domingo",SUM(AA1387:AA1393)&amp;"-"&amp;SUM(AB1387:AB1393)&amp;"-"&amp;SUM(AC1387:AE1393),"")</f>
        <v>0-0-0</v>
      </c>
      <c r="P1393" s="66">
        <f>+IF(AND(Y1393="Domingo",U1393=7),_xlfn.XLOOKUP(O1393,'Horarios y Sistemas'!C:C,'Horarios y Sistemas'!H:H,0,0,1),0)</f>
        <v>0</v>
      </c>
      <c r="Q1393" s="66">
        <f>IF(U1393=U1394,0,IF(AVERAGEIF(W:W,W1393,U:U)=U1393,0,_xlfn.XLOOKUP(O1393,'Horarios y Sistemas'!C:C,'Horarios y Sistemas'!H:H,0,0,1)-P1393))/7*U1393</f>
        <v>0</v>
      </c>
      <c r="R1393" s="66">
        <f t="shared" si="1676"/>
        <v>0</v>
      </c>
      <c r="S1393" s="67" t="str">
        <f t="shared" si="1677"/>
        <v>ENERO</v>
      </c>
      <c r="T1393" s="55" t="str">
        <f t="shared" si="1678"/>
        <v>Sem52</v>
      </c>
      <c r="U1393" s="68">
        <f t="shared" si="1660"/>
        <v>196</v>
      </c>
      <c r="V1393" s="69"/>
      <c r="W1393" s="68">
        <f t="shared" si="1679"/>
        <v>52</v>
      </c>
      <c r="X1393" s="68">
        <f t="shared" si="1680"/>
        <v>0</v>
      </c>
      <c r="Y1393" s="68" t="s">
        <v>34</v>
      </c>
      <c r="Z1393" s="68">
        <v>7</v>
      </c>
      <c r="AA1393" s="70">
        <f t="shared" si="1695"/>
        <v>0</v>
      </c>
      <c r="AB1393" s="70">
        <f t="shared" si="1695"/>
        <v>0</v>
      </c>
      <c r="AC1393" s="70">
        <f t="shared" si="1695"/>
        <v>0</v>
      </c>
      <c r="AD1393" s="70">
        <f t="shared" si="1695"/>
        <v>0</v>
      </c>
      <c r="AE1393" s="70">
        <f t="shared" si="1695"/>
        <v>0</v>
      </c>
    </row>
    <row r="1394" spans="2:31">
      <c r="B1394" t="str">
        <f t="shared" si="1667"/>
        <v>Sem5252</v>
      </c>
      <c r="C1394" t="str">
        <f t="shared" si="1668"/>
        <v>ENEROSem52</v>
      </c>
      <c r="D1394" t="str">
        <f t="shared" si="1669"/>
        <v>ENEROSem52</v>
      </c>
      <c r="E1394" t="str">
        <f t="shared" si="1670"/>
        <v>ENEROSem5252</v>
      </c>
      <c r="F1394" t="str">
        <f t="shared" si="1671"/>
        <v/>
      </c>
      <c r="H1394" s="49"/>
      <c r="I1394" s="50">
        <f>+_xlfn.XLOOKUP($H1394&amp;$V1394,BASEDATOS!$B:$B,BASEDATOS!F:F,0,0,1)</f>
        <v>0</v>
      </c>
      <c r="J1394" s="51">
        <f>+_xlfn.XLOOKUP($H1394&amp;$V1394,BASEDATOS!$B:$B,BASEDATOS!Q:Q,0,0,1)</f>
        <v>0</v>
      </c>
      <c r="K1394" s="51">
        <f>+_xlfn.XLOOKUP($H1394&amp;$V1394,BASEDATOS!$B:$B,BASEDATOS!R:R,0,0,1)</f>
        <v>0</v>
      </c>
      <c r="L1394" s="51">
        <f t="shared" si="1672"/>
        <v>0</v>
      </c>
      <c r="M1394" s="52">
        <f t="shared" si="1673"/>
        <v>0</v>
      </c>
      <c r="N1394" s="51">
        <f t="shared" si="1674"/>
        <v>0</v>
      </c>
      <c r="O1394" s="53" t="str">
        <f t="shared" ref="O1394" si="1716">+O1400</f>
        <v>0-0-0</v>
      </c>
      <c r="P1394" s="54">
        <f>+IF(AND(Y1394="Domingo",U1394=7),_xlfn.XLOOKUP(O1394,'Horarios y Sistemas'!C:C,'Horarios y Sistemas'!H:H,0,0,1),0)</f>
        <v>0</v>
      </c>
      <c r="Q1394" s="54">
        <f>IF(U1394=U1395,0,IF(AVERAGEIF(W:W,W1394,U:U)=U1394,0,_xlfn.XLOOKUP(O1394,'Horarios y Sistemas'!C:C,'Horarios y Sistemas'!H:H,0,0,1)-P1394))/7*U1394</f>
        <v>0</v>
      </c>
      <c r="R1394" s="54">
        <f t="shared" si="1676"/>
        <v>0</v>
      </c>
      <c r="S1394" s="55" t="str">
        <f t="shared" si="1677"/>
        <v>ENERO</v>
      </c>
      <c r="T1394" s="55" t="str">
        <f t="shared" si="1678"/>
        <v>Sem52</v>
      </c>
      <c r="U1394" s="56">
        <f t="shared" si="1660"/>
        <v>196</v>
      </c>
      <c r="V1394" s="59"/>
      <c r="W1394" s="56">
        <f t="shared" si="1679"/>
        <v>52</v>
      </c>
      <c r="X1394" s="56">
        <f t="shared" si="1680"/>
        <v>0</v>
      </c>
      <c r="Y1394" s="56" t="s">
        <v>28</v>
      </c>
      <c r="Z1394" s="56">
        <v>1</v>
      </c>
      <c r="AA1394" s="58">
        <f t="shared" si="1695"/>
        <v>0</v>
      </c>
      <c r="AB1394" s="58">
        <f t="shared" si="1695"/>
        <v>0</v>
      </c>
      <c r="AC1394" s="58">
        <f t="shared" si="1695"/>
        <v>0</v>
      </c>
      <c r="AD1394" s="58">
        <f t="shared" si="1695"/>
        <v>0</v>
      </c>
      <c r="AE1394" s="58">
        <f t="shared" si="1695"/>
        <v>0</v>
      </c>
    </row>
    <row r="1395" spans="2:31">
      <c r="B1395" t="str">
        <f t="shared" si="1667"/>
        <v>Sem5252</v>
      </c>
      <c r="C1395" t="str">
        <f t="shared" si="1668"/>
        <v>ENEROSem52</v>
      </c>
      <c r="D1395" t="str">
        <f t="shared" si="1669"/>
        <v>ENEROSem52</v>
      </c>
      <c r="E1395" t="str">
        <f t="shared" si="1670"/>
        <v>ENEROSem5252</v>
      </c>
      <c r="F1395" t="str">
        <f t="shared" si="1671"/>
        <v/>
      </c>
      <c r="H1395" s="49"/>
      <c r="I1395" s="50">
        <f>+_xlfn.XLOOKUP($H1395&amp;$V1395,BASEDATOS!$B:$B,BASEDATOS!F:F,0,0,1)</f>
        <v>0</v>
      </c>
      <c r="J1395" s="51">
        <f>+_xlfn.XLOOKUP($H1395&amp;$V1395,BASEDATOS!$B:$B,BASEDATOS!Q:Q,0,0,1)</f>
        <v>0</v>
      </c>
      <c r="K1395" s="51">
        <f>+_xlfn.XLOOKUP($H1395&amp;$V1395,BASEDATOS!$B:$B,BASEDATOS!R:R,0,0,1)</f>
        <v>0</v>
      </c>
      <c r="L1395" s="51">
        <f t="shared" si="1672"/>
        <v>0</v>
      </c>
      <c r="M1395" s="52">
        <f t="shared" si="1673"/>
        <v>0</v>
      </c>
      <c r="N1395" s="51">
        <f t="shared" si="1674"/>
        <v>0</v>
      </c>
      <c r="O1395" s="53" t="str">
        <f t="shared" ref="O1395" si="1717">+O1400</f>
        <v>0-0-0</v>
      </c>
      <c r="P1395" s="54">
        <f>+IF(AND(Y1395="Domingo",U1395=7),_xlfn.XLOOKUP(O1395,'Horarios y Sistemas'!C:C,'Horarios y Sistemas'!H:H,0,0,1),0)</f>
        <v>0</v>
      </c>
      <c r="Q1395" s="54">
        <f>IF(U1395=U1396,0,IF(AVERAGEIF(W:W,W1395,U:U)=U1395,0,_xlfn.XLOOKUP(O1395,'Horarios y Sistemas'!C:C,'Horarios y Sistemas'!H:H,0,0,1)-P1395))/7*U1395</f>
        <v>0</v>
      </c>
      <c r="R1395" s="54">
        <f t="shared" si="1676"/>
        <v>0</v>
      </c>
      <c r="S1395" s="55" t="str">
        <f t="shared" si="1677"/>
        <v>ENERO</v>
      </c>
      <c r="T1395" s="55" t="str">
        <f t="shared" si="1678"/>
        <v>Sem52</v>
      </c>
      <c r="U1395" s="56">
        <f t="shared" si="1660"/>
        <v>196</v>
      </c>
      <c r="V1395" s="59"/>
      <c r="W1395" s="56">
        <f t="shared" si="1679"/>
        <v>52</v>
      </c>
      <c r="X1395" s="56">
        <f t="shared" si="1680"/>
        <v>0</v>
      </c>
      <c r="Y1395" s="56" t="s">
        <v>29</v>
      </c>
      <c r="Z1395" s="56">
        <v>2</v>
      </c>
      <c r="AA1395" s="58">
        <f t="shared" si="1695"/>
        <v>0</v>
      </c>
      <c r="AB1395" s="58">
        <f t="shared" si="1695"/>
        <v>0</v>
      </c>
      <c r="AC1395" s="58">
        <f t="shared" si="1695"/>
        <v>0</v>
      </c>
      <c r="AD1395" s="58">
        <f t="shared" si="1695"/>
        <v>0</v>
      </c>
      <c r="AE1395" s="58">
        <f t="shared" si="1695"/>
        <v>0</v>
      </c>
    </row>
    <row r="1396" spans="2:31">
      <c r="B1396" t="str">
        <f t="shared" si="1667"/>
        <v>Sem5252</v>
      </c>
      <c r="C1396" t="str">
        <f t="shared" si="1668"/>
        <v>ENEROSem52</v>
      </c>
      <c r="D1396" t="str">
        <f t="shared" si="1669"/>
        <v>ENEROSem52</v>
      </c>
      <c r="E1396" t="str">
        <f t="shared" si="1670"/>
        <v>ENEROSem5252</v>
      </c>
      <c r="F1396" t="str">
        <f t="shared" si="1671"/>
        <v/>
      </c>
      <c r="H1396" s="49"/>
      <c r="I1396" s="50">
        <f>+_xlfn.XLOOKUP($H1396&amp;$V1396,BASEDATOS!$B:$B,BASEDATOS!F:F,0,0,1)</f>
        <v>0</v>
      </c>
      <c r="J1396" s="51">
        <f>+_xlfn.XLOOKUP($H1396&amp;$V1396,BASEDATOS!$B:$B,BASEDATOS!Q:Q,0,0,1)</f>
        <v>0</v>
      </c>
      <c r="K1396" s="51">
        <f>+_xlfn.XLOOKUP($H1396&amp;$V1396,BASEDATOS!$B:$B,BASEDATOS!R:R,0,0,1)</f>
        <v>0</v>
      </c>
      <c r="L1396" s="51">
        <f t="shared" si="1672"/>
        <v>0</v>
      </c>
      <c r="M1396" s="52">
        <f t="shared" si="1673"/>
        <v>0</v>
      </c>
      <c r="N1396" s="51">
        <f t="shared" si="1674"/>
        <v>0</v>
      </c>
      <c r="O1396" s="53" t="str">
        <f t="shared" ref="O1396" si="1718">+O1400</f>
        <v>0-0-0</v>
      </c>
      <c r="P1396" s="54">
        <f>+IF(AND(Y1396="Domingo",U1396=7),_xlfn.XLOOKUP(O1396,'Horarios y Sistemas'!C:C,'Horarios y Sistemas'!H:H,0,0,1),0)</f>
        <v>0</v>
      </c>
      <c r="Q1396" s="54">
        <f>IF(U1396=U1397,0,IF(AVERAGEIF(W:W,W1396,U:U)=U1396,0,_xlfn.XLOOKUP(O1396,'Horarios y Sistemas'!C:C,'Horarios y Sistemas'!H:H,0,0,1)-P1396))/7*U1396</f>
        <v>0</v>
      </c>
      <c r="R1396" s="54">
        <f t="shared" si="1676"/>
        <v>0</v>
      </c>
      <c r="S1396" s="55" t="str">
        <f t="shared" si="1677"/>
        <v>ENERO</v>
      </c>
      <c r="T1396" s="55" t="str">
        <f t="shared" si="1678"/>
        <v>Sem52</v>
      </c>
      <c r="U1396" s="56">
        <f t="shared" si="1660"/>
        <v>196</v>
      </c>
      <c r="V1396" s="59"/>
      <c r="W1396" s="56">
        <f t="shared" si="1679"/>
        <v>52</v>
      </c>
      <c r="X1396" s="56">
        <f t="shared" si="1680"/>
        <v>0</v>
      </c>
      <c r="Y1396" s="56" t="s">
        <v>30</v>
      </c>
      <c r="Z1396" s="56">
        <v>3</v>
      </c>
      <c r="AA1396" s="58">
        <f t="shared" si="1695"/>
        <v>0</v>
      </c>
      <c r="AB1396" s="58">
        <f t="shared" si="1695"/>
        <v>0</v>
      </c>
      <c r="AC1396" s="58">
        <f t="shared" si="1695"/>
        <v>0</v>
      </c>
      <c r="AD1396" s="58">
        <f t="shared" si="1695"/>
        <v>0</v>
      </c>
      <c r="AE1396" s="58">
        <f t="shared" si="1695"/>
        <v>0</v>
      </c>
    </row>
    <row r="1397" spans="2:31">
      <c r="B1397" t="str">
        <f t="shared" si="1667"/>
        <v>Sem5252</v>
      </c>
      <c r="C1397" t="str">
        <f t="shared" si="1668"/>
        <v>ENEROSem52</v>
      </c>
      <c r="D1397" t="str">
        <f t="shared" si="1669"/>
        <v>ENEROSem52</v>
      </c>
      <c r="E1397" t="str">
        <f t="shared" si="1670"/>
        <v>ENEROSem5252</v>
      </c>
      <c r="F1397" t="str">
        <f t="shared" si="1671"/>
        <v/>
      </c>
      <c r="H1397" s="49"/>
      <c r="I1397" s="50">
        <f>+_xlfn.XLOOKUP($H1397&amp;$V1397,BASEDATOS!$B:$B,BASEDATOS!F:F,0,0,1)</f>
        <v>0</v>
      </c>
      <c r="J1397" s="51">
        <f>+_xlfn.XLOOKUP($H1397&amp;$V1397,BASEDATOS!$B:$B,BASEDATOS!Q:Q,0,0,1)</f>
        <v>0</v>
      </c>
      <c r="K1397" s="51">
        <f>+_xlfn.XLOOKUP($H1397&amp;$V1397,BASEDATOS!$B:$B,BASEDATOS!R:R,0,0,1)</f>
        <v>0</v>
      </c>
      <c r="L1397" s="51">
        <f t="shared" si="1672"/>
        <v>0</v>
      </c>
      <c r="M1397" s="52">
        <f t="shared" si="1673"/>
        <v>0</v>
      </c>
      <c r="N1397" s="51">
        <f t="shared" si="1674"/>
        <v>0</v>
      </c>
      <c r="O1397" s="53" t="str">
        <f t="shared" ref="O1397" si="1719">+O1400</f>
        <v>0-0-0</v>
      </c>
      <c r="P1397" s="54">
        <f>+IF(AND(Y1397="Domingo",U1397=7),_xlfn.XLOOKUP(O1397,'Horarios y Sistemas'!C:C,'Horarios y Sistemas'!H:H,0,0,1),0)</f>
        <v>0</v>
      </c>
      <c r="Q1397" s="54">
        <f>IF(U1397=U1398,0,IF(AVERAGEIF(W:W,W1397,U:U)=U1397,0,_xlfn.XLOOKUP(O1397,'Horarios y Sistemas'!C:C,'Horarios y Sistemas'!H:H,0,0,1)-P1397))/7*U1397</f>
        <v>0</v>
      </c>
      <c r="R1397" s="54">
        <f t="shared" si="1676"/>
        <v>0</v>
      </c>
      <c r="S1397" s="55" t="str">
        <f t="shared" si="1677"/>
        <v>ENERO</v>
      </c>
      <c r="T1397" s="55" t="str">
        <f t="shared" si="1678"/>
        <v>Sem52</v>
      </c>
      <c r="U1397" s="56">
        <f t="shared" si="1660"/>
        <v>196</v>
      </c>
      <c r="V1397" s="59"/>
      <c r="W1397" s="56">
        <f t="shared" si="1679"/>
        <v>52</v>
      </c>
      <c r="X1397" s="56">
        <f t="shared" si="1680"/>
        <v>0</v>
      </c>
      <c r="Y1397" s="56" t="s">
        <v>31</v>
      </c>
      <c r="Z1397" s="56">
        <v>4</v>
      </c>
      <c r="AA1397" s="58">
        <f t="shared" si="1695"/>
        <v>0</v>
      </c>
      <c r="AB1397" s="58">
        <f t="shared" si="1695"/>
        <v>0</v>
      </c>
      <c r="AC1397" s="58">
        <f t="shared" si="1695"/>
        <v>0</v>
      </c>
      <c r="AD1397" s="58">
        <f t="shared" si="1695"/>
        <v>0</v>
      </c>
      <c r="AE1397" s="58">
        <f t="shared" si="1695"/>
        <v>0</v>
      </c>
    </row>
    <row r="1398" spans="2:31">
      <c r="B1398" t="str">
        <f t="shared" si="1667"/>
        <v>Sem5252</v>
      </c>
      <c r="C1398" t="str">
        <f t="shared" si="1668"/>
        <v>ENEROSem52</v>
      </c>
      <c r="D1398" t="str">
        <f t="shared" si="1669"/>
        <v>ENEROSem52</v>
      </c>
      <c r="E1398" t="str">
        <f t="shared" si="1670"/>
        <v>ENEROSem5252</v>
      </c>
      <c r="F1398" t="str">
        <f t="shared" si="1671"/>
        <v/>
      </c>
      <c r="H1398" s="49"/>
      <c r="I1398" s="50">
        <f>+_xlfn.XLOOKUP($H1398&amp;$V1398,BASEDATOS!$B:$B,BASEDATOS!F:F,0,0,1)</f>
        <v>0</v>
      </c>
      <c r="J1398" s="51">
        <f>+_xlfn.XLOOKUP($H1398&amp;$V1398,BASEDATOS!$B:$B,BASEDATOS!Q:Q,0,0,1)</f>
        <v>0</v>
      </c>
      <c r="K1398" s="51">
        <f>+_xlfn.XLOOKUP($H1398&amp;$V1398,BASEDATOS!$B:$B,BASEDATOS!R:R,0,0,1)</f>
        <v>0</v>
      </c>
      <c r="L1398" s="51">
        <f t="shared" si="1672"/>
        <v>0</v>
      </c>
      <c r="M1398" s="52">
        <f t="shared" si="1673"/>
        <v>0</v>
      </c>
      <c r="N1398" s="51">
        <f t="shared" si="1674"/>
        <v>0</v>
      </c>
      <c r="O1398" s="53" t="str">
        <f t="shared" ref="O1398" si="1720">+O1400</f>
        <v>0-0-0</v>
      </c>
      <c r="P1398" s="54">
        <f>+IF(AND(Y1398="Domingo",U1398=7),_xlfn.XLOOKUP(O1398,'Horarios y Sistemas'!C:C,'Horarios y Sistemas'!H:H,0,0,1),0)</f>
        <v>0</v>
      </c>
      <c r="Q1398" s="54">
        <f>IF(U1398=U1399,0,IF(AVERAGEIF(W:W,W1398,U:U)=U1398,0,_xlfn.XLOOKUP(O1398,'Horarios y Sistemas'!C:C,'Horarios y Sistemas'!H:H,0,0,1)-P1398))/7*U1398</f>
        <v>0</v>
      </c>
      <c r="R1398" s="54">
        <f t="shared" si="1676"/>
        <v>0</v>
      </c>
      <c r="S1398" s="55" t="str">
        <f t="shared" si="1677"/>
        <v>ENERO</v>
      </c>
      <c r="T1398" s="55" t="str">
        <f t="shared" si="1678"/>
        <v>Sem52</v>
      </c>
      <c r="U1398" s="56">
        <f t="shared" si="1660"/>
        <v>196</v>
      </c>
      <c r="V1398" s="59"/>
      <c r="W1398" s="56">
        <f t="shared" si="1679"/>
        <v>52</v>
      </c>
      <c r="X1398" s="56">
        <f t="shared" si="1680"/>
        <v>0</v>
      </c>
      <c r="Y1398" s="56" t="s">
        <v>32</v>
      </c>
      <c r="Z1398" s="56">
        <v>5</v>
      </c>
      <c r="AA1398" s="58">
        <f t="shared" si="1695"/>
        <v>0</v>
      </c>
      <c r="AB1398" s="58">
        <f t="shared" si="1695"/>
        <v>0</v>
      </c>
      <c r="AC1398" s="58">
        <f t="shared" si="1695"/>
        <v>0</v>
      </c>
      <c r="AD1398" s="58">
        <f t="shared" si="1695"/>
        <v>0</v>
      </c>
      <c r="AE1398" s="58">
        <f t="shared" si="1695"/>
        <v>0</v>
      </c>
    </row>
    <row r="1399" spans="2:31">
      <c r="B1399" t="str">
        <f t="shared" si="1667"/>
        <v>Sem5252</v>
      </c>
      <c r="C1399" t="str">
        <f t="shared" si="1668"/>
        <v>ENEROSem52</v>
      </c>
      <c r="D1399" t="str">
        <f t="shared" si="1669"/>
        <v>ENEROSem52</v>
      </c>
      <c r="E1399" t="str">
        <f t="shared" si="1670"/>
        <v>ENEROSem5252</v>
      </c>
      <c r="F1399" t="str">
        <f t="shared" si="1671"/>
        <v/>
      </c>
      <c r="H1399" s="49"/>
      <c r="I1399" s="50">
        <f>+_xlfn.XLOOKUP($H1399&amp;$V1399,BASEDATOS!$B:$B,BASEDATOS!F:F,0,0,1)</f>
        <v>0</v>
      </c>
      <c r="J1399" s="51">
        <f>+_xlfn.XLOOKUP($H1399&amp;$V1399,BASEDATOS!$B:$B,BASEDATOS!Q:Q,0,0,1)</f>
        <v>0</v>
      </c>
      <c r="K1399" s="51">
        <f>+_xlfn.XLOOKUP($H1399&amp;$V1399,BASEDATOS!$B:$B,BASEDATOS!R:R,0,0,1)</f>
        <v>0</v>
      </c>
      <c r="L1399" s="51">
        <f t="shared" si="1672"/>
        <v>0</v>
      </c>
      <c r="M1399" s="52">
        <f t="shared" si="1673"/>
        <v>0</v>
      </c>
      <c r="N1399" s="51">
        <f t="shared" si="1674"/>
        <v>0</v>
      </c>
      <c r="O1399" s="53" t="str">
        <f t="shared" ref="O1399" si="1721">+O1400</f>
        <v>0-0-0</v>
      </c>
      <c r="P1399" s="54">
        <f>+IF(AND(Y1399="Domingo",U1399=7),_xlfn.XLOOKUP(O1399,'Horarios y Sistemas'!C:C,'Horarios y Sistemas'!H:H,0,0,1),0)</f>
        <v>0</v>
      </c>
      <c r="Q1399" s="54">
        <f>IF(U1399=U1400,0,IF(AVERAGEIF(W:W,W1399,U:U)=U1399,0,_xlfn.XLOOKUP(O1399,'Horarios y Sistemas'!C:C,'Horarios y Sistemas'!H:H,0,0,1)-P1399))/7*U1399</f>
        <v>0</v>
      </c>
      <c r="R1399" s="54">
        <f t="shared" si="1676"/>
        <v>0</v>
      </c>
      <c r="S1399" s="55" t="str">
        <f t="shared" si="1677"/>
        <v>ENERO</v>
      </c>
      <c r="T1399" s="55" t="str">
        <f t="shared" si="1678"/>
        <v>Sem52</v>
      </c>
      <c r="U1399" s="56">
        <f t="shared" si="1660"/>
        <v>196</v>
      </c>
      <c r="V1399" s="59"/>
      <c r="W1399" s="56">
        <f t="shared" si="1679"/>
        <v>52</v>
      </c>
      <c r="X1399" s="56">
        <f t="shared" si="1680"/>
        <v>0</v>
      </c>
      <c r="Y1399" s="56" t="s">
        <v>33</v>
      </c>
      <c r="Z1399" s="56">
        <v>6</v>
      </c>
      <c r="AA1399" s="58">
        <f t="shared" si="1695"/>
        <v>0</v>
      </c>
      <c r="AB1399" s="58">
        <f t="shared" si="1695"/>
        <v>0</v>
      </c>
      <c r="AC1399" s="58">
        <f t="shared" si="1695"/>
        <v>0</v>
      </c>
      <c r="AD1399" s="58">
        <f t="shared" si="1695"/>
        <v>0</v>
      </c>
      <c r="AE1399" s="58">
        <f t="shared" si="1695"/>
        <v>0</v>
      </c>
    </row>
    <row r="1400" spans="2:31">
      <c r="B1400" s="60" t="str">
        <f t="shared" si="1667"/>
        <v>Sem5252</v>
      </c>
      <c r="C1400" s="60" t="str">
        <f t="shared" si="1668"/>
        <v>ENEROSem52</v>
      </c>
      <c r="D1400" s="60" t="str">
        <f t="shared" si="1669"/>
        <v>ENEROSem52</v>
      </c>
      <c r="E1400" s="60" t="str">
        <f t="shared" si="1670"/>
        <v>ENEROSem5252</v>
      </c>
      <c r="F1400" s="60" t="str">
        <f t="shared" si="1671"/>
        <v/>
      </c>
      <c r="G1400" s="60"/>
      <c r="H1400" s="61"/>
      <c r="I1400" s="62">
        <f>+_xlfn.XLOOKUP($H1400&amp;$V1400,BASEDATOS!$B:$B,BASEDATOS!F:F,0,0,1)</f>
        <v>0</v>
      </c>
      <c r="J1400" s="63">
        <f>+_xlfn.XLOOKUP($H1400&amp;$V1400,BASEDATOS!$B:$B,BASEDATOS!Q:Q,0,0,1)</f>
        <v>0</v>
      </c>
      <c r="K1400" s="63">
        <f>+_xlfn.XLOOKUP($H1400&amp;$V1400,BASEDATOS!$B:$B,BASEDATOS!R:R,0,0,1)</f>
        <v>0</v>
      </c>
      <c r="L1400" s="63">
        <f t="shared" si="1672"/>
        <v>0</v>
      </c>
      <c r="M1400" s="64">
        <f t="shared" si="1673"/>
        <v>0</v>
      </c>
      <c r="N1400" s="63">
        <f t="shared" si="1674"/>
        <v>0</v>
      </c>
      <c r="O1400" s="65" t="str">
        <f t="shared" ref="O1400" si="1722">+IF(Y1400="Domingo",SUM(AA1394:AA1400)&amp;"-"&amp;SUM(AB1394:AB1400)&amp;"-"&amp;SUM(AC1394:AE1400),"")</f>
        <v>0-0-0</v>
      </c>
      <c r="P1400" s="66">
        <f>+IF(AND(Y1400="Domingo",U1400=7),_xlfn.XLOOKUP(O1400,'Horarios y Sistemas'!C:C,'Horarios y Sistemas'!H:H,0,0,1),0)</f>
        <v>0</v>
      </c>
      <c r="Q1400" s="66">
        <f>IF(U1400=U1401,0,IF(AVERAGEIF(W:W,W1400,U:U)=U1400,0,_xlfn.XLOOKUP(O1400,'Horarios y Sistemas'!C:C,'Horarios y Sistemas'!H:H,0,0,1)-P1400))/7*U1400</f>
        <v>0</v>
      </c>
      <c r="R1400" s="66">
        <f t="shared" si="1676"/>
        <v>0</v>
      </c>
      <c r="S1400" s="67" t="str">
        <f t="shared" si="1677"/>
        <v>ENERO</v>
      </c>
      <c r="T1400" s="55" t="str">
        <f t="shared" si="1678"/>
        <v>Sem52</v>
      </c>
      <c r="U1400" s="68">
        <f t="shared" si="1660"/>
        <v>196</v>
      </c>
      <c r="V1400" s="69"/>
      <c r="W1400" s="68">
        <f t="shared" si="1679"/>
        <v>52</v>
      </c>
      <c r="X1400" s="68">
        <f t="shared" si="1680"/>
        <v>0</v>
      </c>
      <c r="Y1400" s="68" t="s">
        <v>34</v>
      </c>
      <c r="Z1400" s="68">
        <v>7</v>
      </c>
      <c r="AA1400" s="70">
        <f t="shared" si="1695"/>
        <v>0</v>
      </c>
      <c r="AB1400" s="70">
        <f t="shared" si="1695"/>
        <v>0</v>
      </c>
      <c r="AC1400" s="70">
        <f t="shared" si="1695"/>
        <v>0</v>
      </c>
      <c r="AD1400" s="70">
        <f t="shared" si="1695"/>
        <v>0</v>
      </c>
      <c r="AE1400" s="70">
        <f t="shared" si="1695"/>
        <v>0</v>
      </c>
    </row>
    <row r="1401" spans="2:31">
      <c r="B1401" t="str">
        <f t="shared" si="1667"/>
        <v>Sem5252</v>
      </c>
      <c r="C1401" t="str">
        <f t="shared" si="1668"/>
        <v>ENEROSem52</v>
      </c>
      <c r="D1401" t="str">
        <f t="shared" si="1669"/>
        <v>ENEROSem52</v>
      </c>
      <c r="E1401" t="str">
        <f t="shared" si="1670"/>
        <v>ENEROSem5252</v>
      </c>
      <c r="F1401" t="str">
        <f t="shared" si="1671"/>
        <v/>
      </c>
      <c r="H1401" s="49"/>
      <c r="I1401" s="50">
        <f>+_xlfn.XLOOKUP($H1401&amp;$V1401,BASEDATOS!$B:$B,BASEDATOS!F:F,0,0,1)</f>
        <v>0</v>
      </c>
      <c r="J1401" s="51">
        <f>+_xlfn.XLOOKUP($H1401&amp;$V1401,BASEDATOS!$B:$B,BASEDATOS!Q:Q,0,0,1)</f>
        <v>0</v>
      </c>
      <c r="K1401" s="51">
        <f>+_xlfn.XLOOKUP($H1401&amp;$V1401,BASEDATOS!$B:$B,BASEDATOS!R:R,0,0,1)</f>
        <v>0</v>
      </c>
      <c r="L1401" s="51">
        <f t="shared" si="1672"/>
        <v>0</v>
      </c>
      <c r="M1401" s="52">
        <f t="shared" si="1673"/>
        <v>0</v>
      </c>
      <c r="N1401" s="51">
        <f t="shared" si="1674"/>
        <v>0</v>
      </c>
      <c r="O1401" s="53" t="str">
        <f t="shared" ref="O1401" si="1723">+O1407</f>
        <v>0-0-0</v>
      </c>
      <c r="P1401" s="54">
        <f>+IF(AND(Y1401="Domingo",U1401=7),_xlfn.XLOOKUP(O1401,'Horarios y Sistemas'!C:C,'Horarios y Sistemas'!H:H,0,0,1),0)</f>
        <v>0</v>
      </c>
      <c r="Q1401" s="54">
        <f>IF(U1401=U1402,0,IF(AVERAGEIF(W:W,W1401,U:U)=U1401,0,_xlfn.XLOOKUP(O1401,'Horarios y Sistemas'!C:C,'Horarios y Sistemas'!H:H,0,0,1)-P1401))/7*U1401</f>
        <v>0</v>
      </c>
      <c r="R1401" s="54">
        <f t="shared" si="1676"/>
        <v>0</v>
      </c>
      <c r="S1401" s="55" t="str">
        <f t="shared" si="1677"/>
        <v>ENERO</v>
      </c>
      <c r="T1401" s="55" t="str">
        <f t="shared" si="1678"/>
        <v>Sem52</v>
      </c>
      <c r="U1401" s="56">
        <f t="shared" si="1660"/>
        <v>196</v>
      </c>
      <c r="V1401" s="57"/>
      <c r="W1401" s="56">
        <f t="shared" si="1679"/>
        <v>52</v>
      </c>
      <c r="X1401" s="56">
        <f t="shared" si="1680"/>
        <v>0</v>
      </c>
      <c r="Y1401" s="56" t="s">
        <v>28</v>
      </c>
      <c r="Z1401" s="56">
        <v>1</v>
      </c>
      <c r="AA1401" s="58">
        <f t="shared" si="1695"/>
        <v>0</v>
      </c>
      <c r="AB1401" s="58">
        <f t="shared" si="1695"/>
        <v>0</v>
      </c>
      <c r="AC1401" s="58">
        <f t="shared" si="1695"/>
        <v>0</v>
      </c>
      <c r="AD1401" s="58">
        <f t="shared" si="1695"/>
        <v>0</v>
      </c>
      <c r="AE1401" s="58">
        <f t="shared" si="1695"/>
        <v>0</v>
      </c>
    </row>
    <row r="1402" spans="2:31">
      <c r="B1402" t="str">
        <f t="shared" si="1667"/>
        <v>Sem5252</v>
      </c>
      <c r="C1402" t="str">
        <f t="shared" si="1668"/>
        <v>ENEROSem52</v>
      </c>
      <c r="D1402" t="str">
        <f t="shared" si="1669"/>
        <v>ENEROSem52</v>
      </c>
      <c r="E1402" t="str">
        <f t="shared" si="1670"/>
        <v>ENEROSem5252</v>
      </c>
      <c r="F1402" t="str">
        <f t="shared" si="1671"/>
        <v/>
      </c>
      <c r="H1402" s="49"/>
      <c r="I1402" s="50">
        <f>+_xlfn.XLOOKUP($H1402&amp;$V1402,BASEDATOS!$B:$B,BASEDATOS!F:F,0,0,1)</f>
        <v>0</v>
      </c>
      <c r="J1402" s="51">
        <f>+_xlfn.XLOOKUP($H1402&amp;$V1402,BASEDATOS!$B:$B,BASEDATOS!Q:Q,0,0,1)</f>
        <v>0</v>
      </c>
      <c r="K1402" s="51">
        <f>+_xlfn.XLOOKUP($H1402&amp;$V1402,BASEDATOS!$B:$B,BASEDATOS!R:R,0,0,1)</f>
        <v>0</v>
      </c>
      <c r="L1402" s="51">
        <f t="shared" si="1672"/>
        <v>0</v>
      </c>
      <c r="M1402" s="52">
        <f t="shared" si="1673"/>
        <v>0</v>
      </c>
      <c r="N1402" s="51">
        <f t="shared" si="1674"/>
        <v>0</v>
      </c>
      <c r="O1402" s="53" t="str">
        <f t="shared" ref="O1402" si="1724">+O1407</f>
        <v>0-0-0</v>
      </c>
      <c r="P1402" s="54">
        <f>+IF(AND(Y1402="Domingo",U1402=7),_xlfn.XLOOKUP(O1402,'Horarios y Sistemas'!C:C,'Horarios y Sistemas'!H:H,0,0,1),0)</f>
        <v>0</v>
      </c>
      <c r="Q1402" s="54">
        <f>IF(U1402=U1403,0,IF(AVERAGEIF(W:W,W1402,U:U)=U1402,0,_xlfn.XLOOKUP(O1402,'Horarios y Sistemas'!C:C,'Horarios y Sistemas'!H:H,0,0,1)-P1402))/7*U1402</f>
        <v>0</v>
      </c>
      <c r="R1402" s="54">
        <f t="shared" si="1676"/>
        <v>0</v>
      </c>
      <c r="S1402" s="55" t="str">
        <f t="shared" si="1677"/>
        <v>ENERO</v>
      </c>
      <c r="T1402" s="55" t="str">
        <f t="shared" si="1678"/>
        <v>Sem52</v>
      </c>
      <c r="U1402" s="56">
        <f t="shared" si="1660"/>
        <v>196</v>
      </c>
      <c r="V1402" s="59"/>
      <c r="W1402" s="56">
        <f t="shared" si="1679"/>
        <v>52</v>
      </c>
      <c r="X1402" s="56">
        <f t="shared" si="1680"/>
        <v>0</v>
      </c>
      <c r="Y1402" s="56" t="s">
        <v>29</v>
      </c>
      <c r="Z1402" s="56">
        <v>2</v>
      </c>
      <c r="AA1402" s="58">
        <f t="shared" si="1695"/>
        <v>0</v>
      </c>
      <c r="AB1402" s="58">
        <f t="shared" si="1695"/>
        <v>0</v>
      </c>
      <c r="AC1402" s="58">
        <f t="shared" si="1695"/>
        <v>0</v>
      </c>
      <c r="AD1402" s="58">
        <f t="shared" si="1695"/>
        <v>0</v>
      </c>
      <c r="AE1402" s="58">
        <f t="shared" si="1695"/>
        <v>0</v>
      </c>
    </row>
    <row r="1403" spans="2:31">
      <c r="B1403" t="str">
        <f t="shared" si="1667"/>
        <v>Sem5252</v>
      </c>
      <c r="C1403" t="str">
        <f t="shared" si="1668"/>
        <v>ENEROSem52</v>
      </c>
      <c r="D1403" t="str">
        <f t="shared" si="1669"/>
        <v>ENEROSem52</v>
      </c>
      <c r="E1403" t="str">
        <f t="shared" si="1670"/>
        <v>ENEROSem5252</v>
      </c>
      <c r="F1403" t="str">
        <f t="shared" si="1671"/>
        <v/>
      </c>
      <c r="H1403" s="49"/>
      <c r="I1403" s="50">
        <f>+_xlfn.XLOOKUP($H1403&amp;$V1403,BASEDATOS!$B:$B,BASEDATOS!F:F,0,0,1)</f>
        <v>0</v>
      </c>
      <c r="J1403" s="51">
        <f>+_xlfn.XLOOKUP($H1403&amp;$V1403,BASEDATOS!$B:$B,BASEDATOS!Q:Q,0,0,1)</f>
        <v>0</v>
      </c>
      <c r="K1403" s="51">
        <f>+_xlfn.XLOOKUP($H1403&amp;$V1403,BASEDATOS!$B:$B,BASEDATOS!R:R,0,0,1)</f>
        <v>0</v>
      </c>
      <c r="L1403" s="51">
        <f t="shared" si="1672"/>
        <v>0</v>
      </c>
      <c r="M1403" s="52">
        <f t="shared" si="1673"/>
        <v>0</v>
      </c>
      <c r="N1403" s="51">
        <f t="shared" si="1674"/>
        <v>0</v>
      </c>
      <c r="O1403" s="53" t="str">
        <f t="shared" ref="O1403" si="1725">+O1407</f>
        <v>0-0-0</v>
      </c>
      <c r="P1403" s="54">
        <f>+IF(AND(Y1403="Domingo",U1403=7),_xlfn.XLOOKUP(O1403,'Horarios y Sistemas'!C:C,'Horarios y Sistemas'!H:H,0,0,1),0)</f>
        <v>0</v>
      </c>
      <c r="Q1403" s="54">
        <f>IF(U1403=U1404,0,IF(AVERAGEIF(W:W,W1403,U:U)=U1403,0,_xlfn.XLOOKUP(O1403,'Horarios y Sistemas'!C:C,'Horarios y Sistemas'!H:H,0,0,1)-P1403))/7*U1403</f>
        <v>0</v>
      </c>
      <c r="R1403" s="54">
        <f t="shared" si="1676"/>
        <v>0</v>
      </c>
      <c r="S1403" s="55" t="str">
        <f t="shared" si="1677"/>
        <v>ENERO</v>
      </c>
      <c r="T1403" s="55" t="str">
        <f t="shared" si="1678"/>
        <v>Sem52</v>
      </c>
      <c r="U1403" s="56">
        <f t="shared" si="1660"/>
        <v>196</v>
      </c>
      <c r="V1403" s="59"/>
      <c r="W1403" s="56">
        <f t="shared" si="1679"/>
        <v>52</v>
      </c>
      <c r="X1403" s="56">
        <f t="shared" si="1680"/>
        <v>0</v>
      </c>
      <c r="Y1403" s="56" t="s">
        <v>30</v>
      </c>
      <c r="Z1403" s="56">
        <v>3</v>
      </c>
      <c r="AA1403" s="58">
        <f t="shared" si="1695"/>
        <v>0</v>
      </c>
      <c r="AB1403" s="58">
        <f t="shared" si="1695"/>
        <v>0</v>
      </c>
      <c r="AC1403" s="58">
        <f t="shared" si="1695"/>
        <v>0</v>
      </c>
      <c r="AD1403" s="58">
        <f t="shared" si="1695"/>
        <v>0</v>
      </c>
      <c r="AE1403" s="58">
        <f t="shared" si="1695"/>
        <v>0</v>
      </c>
    </row>
    <row r="1404" spans="2:31">
      <c r="B1404" t="str">
        <f t="shared" si="1667"/>
        <v>Sem5252</v>
      </c>
      <c r="C1404" t="str">
        <f t="shared" si="1668"/>
        <v>ENEROSem52</v>
      </c>
      <c r="D1404" t="str">
        <f t="shared" si="1669"/>
        <v>ENEROSem52</v>
      </c>
      <c r="E1404" t="str">
        <f t="shared" si="1670"/>
        <v>ENEROSem5252</v>
      </c>
      <c r="F1404" t="str">
        <f t="shared" si="1671"/>
        <v/>
      </c>
      <c r="H1404" s="49"/>
      <c r="I1404" s="50">
        <f>+_xlfn.XLOOKUP($H1404&amp;$V1404,BASEDATOS!$B:$B,BASEDATOS!F:F,0,0,1)</f>
        <v>0</v>
      </c>
      <c r="J1404" s="51">
        <f>+_xlfn.XLOOKUP($H1404&amp;$V1404,BASEDATOS!$B:$B,BASEDATOS!Q:Q,0,0,1)</f>
        <v>0</v>
      </c>
      <c r="K1404" s="51">
        <f>+_xlfn.XLOOKUP($H1404&amp;$V1404,BASEDATOS!$B:$B,BASEDATOS!R:R,0,0,1)</f>
        <v>0</v>
      </c>
      <c r="L1404" s="51">
        <f t="shared" si="1672"/>
        <v>0</v>
      </c>
      <c r="M1404" s="52">
        <f t="shared" si="1673"/>
        <v>0</v>
      </c>
      <c r="N1404" s="51">
        <f t="shared" si="1674"/>
        <v>0</v>
      </c>
      <c r="O1404" s="53" t="str">
        <f t="shared" ref="O1404" si="1726">+O1407</f>
        <v>0-0-0</v>
      </c>
      <c r="P1404" s="54">
        <f>+IF(AND(Y1404="Domingo",U1404=7),_xlfn.XLOOKUP(O1404,'Horarios y Sistemas'!C:C,'Horarios y Sistemas'!H:H,0,0,1),0)</f>
        <v>0</v>
      </c>
      <c r="Q1404" s="54">
        <f>IF(U1404=U1405,0,IF(AVERAGEIF(W:W,W1404,U:U)=U1404,0,_xlfn.XLOOKUP(O1404,'Horarios y Sistemas'!C:C,'Horarios y Sistemas'!H:H,0,0,1)-P1404))/7*U1404</f>
        <v>0</v>
      </c>
      <c r="R1404" s="54">
        <f t="shared" si="1676"/>
        <v>0</v>
      </c>
      <c r="S1404" s="55" t="str">
        <f t="shared" si="1677"/>
        <v>ENERO</v>
      </c>
      <c r="T1404" s="55" t="str">
        <f t="shared" si="1678"/>
        <v>Sem52</v>
      </c>
      <c r="U1404" s="56">
        <f t="shared" si="1660"/>
        <v>196</v>
      </c>
      <c r="V1404" s="59"/>
      <c r="W1404" s="56">
        <f t="shared" si="1679"/>
        <v>52</v>
      </c>
      <c r="X1404" s="56">
        <f t="shared" si="1680"/>
        <v>0</v>
      </c>
      <c r="Y1404" s="56" t="s">
        <v>31</v>
      </c>
      <c r="Z1404" s="56">
        <v>4</v>
      </c>
      <c r="AA1404" s="58">
        <f t="shared" si="1695"/>
        <v>0</v>
      </c>
      <c r="AB1404" s="58">
        <f t="shared" si="1695"/>
        <v>0</v>
      </c>
      <c r="AC1404" s="58">
        <f t="shared" si="1695"/>
        <v>0</v>
      </c>
      <c r="AD1404" s="58">
        <f t="shared" si="1695"/>
        <v>0</v>
      </c>
      <c r="AE1404" s="58">
        <f t="shared" si="1695"/>
        <v>0</v>
      </c>
    </row>
    <row r="1405" spans="2:31">
      <c r="B1405" t="str">
        <f t="shared" si="1667"/>
        <v>Sem5252</v>
      </c>
      <c r="C1405" t="str">
        <f t="shared" si="1668"/>
        <v>ENEROSem52</v>
      </c>
      <c r="D1405" t="str">
        <f t="shared" si="1669"/>
        <v>ENEROSem52</v>
      </c>
      <c r="E1405" t="str">
        <f t="shared" si="1670"/>
        <v>ENEROSem5252</v>
      </c>
      <c r="F1405" t="str">
        <f t="shared" si="1671"/>
        <v/>
      </c>
      <c r="H1405" s="49"/>
      <c r="I1405" s="50">
        <f>+_xlfn.XLOOKUP($H1405&amp;$V1405,BASEDATOS!$B:$B,BASEDATOS!F:F,0,0,1)</f>
        <v>0</v>
      </c>
      <c r="J1405" s="51">
        <f>+_xlfn.XLOOKUP($H1405&amp;$V1405,BASEDATOS!$B:$B,BASEDATOS!Q:Q,0,0,1)</f>
        <v>0</v>
      </c>
      <c r="K1405" s="51">
        <f>+_xlfn.XLOOKUP($H1405&amp;$V1405,BASEDATOS!$B:$B,BASEDATOS!R:R,0,0,1)</f>
        <v>0</v>
      </c>
      <c r="L1405" s="51">
        <f t="shared" si="1672"/>
        <v>0</v>
      </c>
      <c r="M1405" s="52">
        <f t="shared" si="1673"/>
        <v>0</v>
      </c>
      <c r="N1405" s="51">
        <f t="shared" si="1674"/>
        <v>0</v>
      </c>
      <c r="O1405" s="53" t="str">
        <f t="shared" ref="O1405" si="1727">+O1407</f>
        <v>0-0-0</v>
      </c>
      <c r="P1405" s="54">
        <f>+IF(AND(Y1405="Domingo",U1405=7),_xlfn.XLOOKUP(O1405,'Horarios y Sistemas'!C:C,'Horarios y Sistemas'!H:H,0,0,1),0)</f>
        <v>0</v>
      </c>
      <c r="Q1405" s="54">
        <f>IF(U1405=U1406,0,IF(AVERAGEIF(W:W,W1405,U:U)=U1405,0,_xlfn.XLOOKUP(O1405,'Horarios y Sistemas'!C:C,'Horarios y Sistemas'!H:H,0,0,1)-P1405))/7*U1405</f>
        <v>0</v>
      </c>
      <c r="R1405" s="54">
        <f t="shared" si="1676"/>
        <v>0</v>
      </c>
      <c r="S1405" s="55" t="str">
        <f t="shared" si="1677"/>
        <v>ENERO</v>
      </c>
      <c r="T1405" s="55" t="str">
        <f t="shared" si="1678"/>
        <v>Sem52</v>
      </c>
      <c r="U1405" s="56">
        <f t="shared" si="1660"/>
        <v>196</v>
      </c>
      <c r="V1405" s="59"/>
      <c r="W1405" s="56">
        <f t="shared" si="1679"/>
        <v>52</v>
      </c>
      <c r="X1405" s="56">
        <f t="shared" si="1680"/>
        <v>0</v>
      </c>
      <c r="Y1405" s="56" t="s">
        <v>32</v>
      </c>
      <c r="Z1405" s="56">
        <v>5</v>
      </c>
      <c r="AA1405" s="58">
        <f t="shared" ref="AA1405:AE1421" si="1728">+IF($I1405=AA$7,1,0)</f>
        <v>0</v>
      </c>
      <c r="AB1405" s="58">
        <f t="shared" si="1728"/>
        <v>0</v>
      </c>
      <c r="AC1405" s="58">
        <f t="shared" si="1728"/>
        <v>0</v>
      </c>
      <c r="AD1405" s="58">
        <f t="shared" si="1728"/>
        <v>0</v>
      </c>
      <c r="AE1405" s="58">
        <f t="shared" si="1728"/>
        <v>0</v>
      </c>
    </row>
    <row r="1406" spans="2:31">
      <c r="B1406" t="str">
        <f t="shared" si="1667"/>
        <v>Sem5252</v>
      </c>
      <c r="C1406" t="str">
        <f t="shared" si="1668"/>
        <v>ENEROSem52</v>
      </c>
      <c r="D1406" t="str">
        <f t="shared" si="1669"/>
        <v>ENEROSem52</v>
      </c>
      <c r="E1406" t="str">
        <f t="shared" si="1670"/>
        <v>ENEROSem5252</v>
      </c>
      <c r="F1406" t="str">
        <f t="shared" si="1671"/>
        <v/>
      </c>
      <c r="H1406" s="49"/>
      <c r="I1406" s="50">
        <f>+_xlfn.XLOOKUP($H1406&amp;$V1406,BASEDATOS!$B:$B,BASEDATOS!F:F,0,0,1)</f>
        <v>0</v>
      </c>
      <c r="J1406" s="51">
        <f>+_xlfn.XLOOKUP($H1406&amp;$V1406,BASEDATOS!$B:$B,BASEDATOS!Q:Q,0,0,1)</f>
        <v>0</v>
      </c>
      <c r="K1406" s="51">
        <f>+_xlfn.XLOOKUP($H1406&amp;$V1406,BASEDATOS!$B:$B,BASEDATOS!R:R,0,0,1)</f>
        <v>0</v>
      </c>
      <c r="L1406" s="51">
        <f t="shared" si="1672"/>
        <v>0</v>
      </c>
      <c r="M1406" s="52">
        <f t="shared" si="1673"/>
        <v>0</v>
      </c>
      <c r="N1406" s="51">
        <f t="shared" si="1674"/>
        <v>0</v>
      </c>
      <c r="O1406" s="53" t="str">
        <f t="shared" ref="O1406" si="1729">+O1407</f>
        <v>0-0-0</v>
      </c>
      <c r="P1406" s="54">
        <f>+IF(AND(Y1406="Domingo",U1406=7),_xlfn.XLOOKUP(O1406,'Horarios y Sistemas'!C:C,'Horarios y Sistemas'!H:H,0,0,1),0)</f>
        <v>0</v>
      </c>
      <c r="Q1406" s="54">
        <f>IF(U1406=U1407,0,IF(AVERAGEIF(W:W,W1406,U:U)=U1406,0,_xlfn.XLOOKUP(O1406,'Horarios y Sistemas'!C:C,'Horarios y Sistemas'!H:H,0,0,1)-P1406))/7*U1406</f>
        <v>0</v>
      </c>
      <c r="R1406" s="54">
        <f t="shared" si="1676"/>
        <v>0</v>
      </c>
      <c r="S1406" s="55" t="str">
        <f t="shared" si="1677"/>
        <v>ENERO</v>
      </c>
      <c r="T1406" s="55" t="str">
        <f t="shared" si="1678"/>
        <v>Sem52</v>
      </c>
      <c r="U1406" s="56">
        <f t="shared" si="1660"/>
        <v>196</v>
      </c>
      <c r="V1406" s="59"/>
      <c r="W1406" s="56">
        <f t="shared" si="1679"/>
        <v>52</v>
      </c>
      <c r="X1406" s="56">
        <f t="shared" si="1680"/>
        <v>0</v>
      </c>
      <c r="Y1406" s="56" t="s">
        <v>33</v>
      </c>
      <c r="Z1406" s="56">
        <v>6</v>
      </c>
      <c r="AA1406" s="58">
        <f t="shared" si="1728"/>
        <v>0</v>
      </c>
      <c r="AB1406" s="58">
        <f t="shared" si="1728"/>
        <v>0</v>
      </c>
      <c r="AC1406" s="58">
        <f t="shared" si="1728"/>
        <v>0</v>
      </c>
      <c r="AD1406" s="58">
        <f t="shared" si="1728"/>
        <v>0</v>
      </c>
      <c r="AE1406" s="58">
        <f t="shared" si="1728"/>
        <v>0</v>
      </c>
    </row>
    <row r="1407" spans="2:31">
      <c r="B1407" s="60" t="str">
        <f t="shared" si="1667"/>
        <v>Sem5252</v>
      </c>
      <c r="C1407" s="60" t="str">
        <f t="shared" si="1668"/>
        <v>ENEROSem52</v>
      </c>
      <c r="D1407" s="60" t="str">
        <f t="shared" si="1669"/>
        <v>ENEROSem52</v>
      </c>
      <c r="E1407" s="60" t="str">
        <f t="shared" si="1670"/>
        <v>ENEROSem5252</v>
      </c>
      <c r="F1407" s="60" t="str">
        <f t="shared" si="1671"/>
        <v/>
      </c>
      <c r="G1407" s="60"/>
      <c r="H1407" s="61"/>
      <c r="I1407" s="62">
        <f>+_xlfn.XLOOKUP($H1407&amp;$V1407,BASEDATOS!$B:$B,BASEDATOS!F:F,0,0,1)</f>
        <v>0</v>
      </c>
      <c r="J1407" s="63">
        <f>+_xlfn.XLOOKUP($H1407&amp;$V1407,BASEDATOS!$B:$B,BASEDATOS!Q:Q,0,0,1)</f>
        <v>0</v>
      </c>
      <c r="K1407" s="63">
        <f>+_xlfn.XLOOKUP($H1407&amp;$V1407,BASEDATOS!$B:$B,BASEDATOS!R:R,0,0,1)</f>
        <v>0</v>
      </c>
      <c r="L1407" s="63">
        <f t="shared" si="1672"/>
        <v>0</v>
      </c>
      <c r="M1407" s="64">
        <f t="shared" si="1673"/>
        <v>0</v>
      </c>
      <c r="N1407" s="63">
        <f t="shared" si="1674"/>
        <v>0</v>
      </c>
      <c r="O1407" s="65" t="str">
        <f t="shared" ref="O1407" si="1730">+IF(Y1407="Domingo",SUM(AA1401:AA1407)&amp;"-"&amp;SUM(AB1401:AB1407)&amp;"-"&amp;SUM(AC1401:AE1407),"")</f>
        <v>0-0-0</v>
      </c>
      <c r="P1407" s="66">
        <f>+IF(AND(Y1407="Domingo",U1407=7),_xlfn.XLOOKUP(O1407,'Horarios y Sistemas'!C:C,'Horarios y Sistemas'!H:H,0,0,1),0)</f>
        <v>0</v>
      </c>
      <c r="Q1407" s="66">
        <f>IF(U1407=U1408,0,IF(AVERAGEIF(W:W,W1407,U:U)=U1407,0,_xlfn.XLOOKUP(O1407,'Horarios y Sistemas'!C:C,'Horarios y Sistemas'!H:H,0,0,1)-P1407))/7*U1407</f>
        <v>0</v>
      </c>
      <c r="R1407" s="66">
        <f t="shared" si="1676"/>
        <v>0</v>
      </c>
      <c r="S1407" s="67" t="str">
        <f t="shared" si="1677"/>
        <v>ENERO</v>
      </c>
      <c r="T1407" s="55" t="str">
        <f t="shared" si="1678"/>
        <v>Sem52</v>
      </c>
      <c r="U1407" s="68">
        <f t="shared" si="1660"/>
        <v>196</v>
      </c>
      <c r="V1407" s="69"/>
      <c r="W1407" s="68">
        <f t="shared" si="1679"/>
        <v>52</v>
      </c>
      <c r="X1407" s="68">
        <f t="shared" si="1680"/>
        <v>0</v>
      </c>
      <c r="Y1407" s="68" t="s">
        <v>34</v>
      </c>
      <c r="Z1407" s="68">
        <v>7</v>
      </c>
      <c r="AA1407" s="70">
        <f t="shared" si="1728"/>
        <v>0</v>
      </c>
      <c r="AB1407" s="70">
        <f t="shared" si="1728"/>
        <v>0</v>
      </c>
      <c r="AC1407" s="70">
        <f t="shared" si="1728"/>
        <v>0</v>
      </c>
      <c r="AD1407" s="70">
        <f t="shared" si="1728"/>
        <v>0</v>
      </c>
      <c r="AE1407" s="70">
        <f t="shared" si="1728"/>
        <v>0</v>
      </c>
    </row>
    <row r="1408" spans="2:31">
      <c r="B1408" t="str">
        <f t="shared" si="1667"/>
        <v>Sem5252</v>
      </c>
      <c r="C1408" t="str">
        <f t="shared" si="1668"/>
        <v>ENEROSem52</v>
      </c>
      <c r="D1408" t="str">
        <f t="shared" si="1669"/>
        <v>ENEROSem52</v>
      </c>
      <c r="E1408" t="str">
        <f t="shared" si="1670"/>
        <v>ENEROSem5252</v>
      </c>
      <c r="F1408" t="str">
        <f t="shared" si="1671"/>
        <v/>
      </c>
      <c r="H1408" s="49"/>
      <c r="I1408" s="50">
        <f>+_xlfn.XLOOKUP($H1408&amp;$V1408,BASEDATOS!$B:$B,BASEDATOS!F:F,0,0,1)</f>
        <v>0</v>
      </c>
      <c r="J1408" s="51">
        <f>+_xlfn.XLOOKUP($H1408&amp;$V1408,BASEDATOS!$B:$B,BASEDATOS!Q:Q,0,0,1)</f>
        <v>0</v>
      </c>
      <c r="K1408" s="51">
        <f>+_xlfn.XLOOKUP($H1408&amp;$V1408,BASEDATOS!$B:$B,BASEDATOS!R:R,0,0,1)</f>
        <v>0</v>
      </c>
      <c r="L1408" s="51">
        <f t="shared" si="1672"/>
        <v>0</v>
      </c>
      <c r="M1408" s="52">
        <f t="shared" si="1673"/>
        <v>0</v>
      </c>
      <c r="N1408" s="51">
        <f t="shared" si="1674"/>
        <v>0</v>
      </c>
      <c r="O1408" s="53" t="str">
        <f t="shared" ref="O1408" si="1731">+O1414</f>
        <v>0-0-0</v>
      </c>
      <c r="P1408" s="54">
        <f>+IF(AND(Y1408="Domingo",U1408=7),_xlfn.XLOOKUP(O1408,'Horarios y Sistemas'!C:C,'Horarios y Sistemas'!H:H,0,0,1),0)</f>
        <v>0</v>
      </c>
      <c r="Q1408" s="54">
        <f>IF(U1408=U1409,0,IF(AVERAGEIF(W:W,W1408,U:U)=U1408,0,_xlfn.XLOOKUP(O1408,'Horarios y Sistemas'!C:C,'Horarios y Sistemas'!H:H,0,0,1)-P1408))/7*U1408</f>
        <v>0</v>
      </c>
      <c r="R1408" s="54">
        <f t="shared" si="1676"/>
        <v>0</v>
      </c>
      <c r="S1408" s="55" t="str">
        <f t="shared" si="1677"/>
        <v>ENERO</v>
      </c>
      <c r="T1408" s="55" t="str">
        <f t="shared" si="1678"/>
        <v>Sem52</v>
      </c>
      <c r="U1408" s="56">
        <f t="shared" si="1660"/>
        <v>196</v>
      </c>
      <c r="V1408" s="59"/>
      <c r="W1408" s="56">
        <f t="shared" si="1679"/>
        <v>52</v>
      </c>
      <c r="X1408" s="56">
        <f t="shared" si="1680"/>
        <v>0</v>
      </c>
      <c r="Y1408" s="56" t="s">
        <v>28</v>
      </c>
      <c r="Z1408" s="56">
        <v>1</v>
      </c>
      <c r="AA1408" s="58">
        <f t="shared" si="1728"/>
        <v>0</v>
      </c>
      <c r="AB1408" s="58">
        <f t="shared" si="1728"/>
        <v>0</v>
      </c>
      <c r="AC1408" s="58">
        <f t="shared" si="1728"/>
        <v>0</v>
      </c>
      <c r="AD1408" s="58">
        <f t="shared" si="1728"/>
        <v>0</v>
      </c>
      <c r="AE1408" s="58">
        <f t="shared" si="1728"/>
        <v>0</v>
      </c>
    </row>
    <row r="1409" spans="2:31">
      <c r="B1409" t="str">
        <f t="shared" si="1667"/>
        <v>Sem5252</v>
      </c>
      <c r="C1409" t="str">
        <f t="shared" si="1668"/>
        <v>ENEROSem52</v>
      </c>
      <c r="D1409" t="str">
        <f t="shared" si="1669"/>
        <v>ENEROSem52</v>
      </c>
      <c r="E1409" t="str">
        <f t="shared" si="1670"/>
        <v>ENEROSem5252</v>
      </c>
      <c r="F1409" t="str">
        <f t="shared" si="1671"/>
        <v/>
      </c>
      <c r="H1409" s="49"/>
      <c r="I1409" s="50">
        <f>+_xlfn.XLOOKUP($H1409&amp;$V1409,BASEDATOS!$B:$B,BASEDATOS!F:F,0,0,1)</f>
        <v>0</v>
      </c>
      <c r="J1409" s="51">
        <f>+_xlfn.XLOOKUP($H1409&amp;$V1409,BASEDATOS!$B:$B,BASEDATOS!Q:Q,0,0,1)</f>
        <v>0</v>
      </c>
      <c r="K1409" s="51">
        <f>+_xlfn.XLOOKUP($H1409&amp;$V1409,BASEDATOS!$B:$B,BASEDATOS!R:R,0,0,1)</f>
        <v>0</v>
      </c>
      <c r="L1409" s="51">
        <f t="shared" si="1672"/>
        <v>0</v>
      </c>
      <c r="M1409" s="52">
        <f t="shared" si="1673"/>
        <v>0</v>
      </c>
      <c r="N1409" s="51">
        <f t="shared" si="1674"/>
        <v>0</v>
      </c>
      <c r="O1409" s="53" t="str">
        <f t="shared" ref="O1409" si="1732">+O1414</f>
        <v>0-0-0</v>
      </c>
      <c r="P1409" s="54">
        <f>+IF(AND(Y1409="Domingo",U1409=7),_xlfn.XLOOKUP(O1409,'Horarios y Sistemas'!C:C,'Horarios y Sistemas'!H:H,0,0,1),0)</f>
        <v>0</v>
      </c>
      <c r="Q1409" s="54">
        <f>IF(U1409=U1410,0,IF(AVERAGEIF(W:W,W1409,U:U)=U1409,0,_xlfn.XLOOKUP(O1409,'Horarios y Sistemas'!C:C,'Horarios y Sistemas'!H:H,0,0,1)-P1409))/7*U1409</f>
        <v>0</v>
      </c>
      <c r="R1409" s="54">
        <f t="shared" si="1676"/>
        <v>0</v>
      </c>
      <c r="S1409" s="55" t="str">
        <f t="shared" si="1677"/>
        <v>ENERO</v>
      </c>
      <c r="T1409" s="55" t="str">
        <f t="shared" si="1678"/>
        <v>Sem52</v>
      </c>
      <c r="U1409" s="56">
        <f t="shared" si="1660"/>
        <v>196</v>
      </c>
      <c r="V1409" s="59"/>
      <c r="W1409" s="56">
        <f t="shared" si="1679"/>
        <v>52</v>
      </c>
      <c r="X1409" s="56">
        <f t="shared" si="1680"/>
        <v>0</v>
      </c>
      <c r="Y1409" s="56" t="s">
        <v>29</v>
      </c>
      <c r="Z1409" s="56">
        <v>2</v>
      </c>
      <c r="AA1409" s="58">
        <f t="shared" si="1728"/>
        <v>0</v>
      </c>
      <c r="AB1409" s="58">
        <f t="shared" si="1728"/>
        <v>0</v>
      </c>
      <c r="AC1409" s="58">
        <f t="shared" si="1728"/>
        <v>0</v>
      </c>
      <c r="AD1409" s="58">
        <f t="shared" si="1728"/>
        <v>0</v>
      </c>
      <c r="AE1409" s="58">
        <f t="shared" si="1728"/>
        <v>0</v>
      </c>
    </row>
    <row r="1410" spans="2:31">
      <c r="B1410" t="str">
        <f t="shared" si="1667"/>
        <v>Sem5252</v>
      </c>
      <c r="C1410" t="str">
        <f t="shared" si="1668"/>
        <v>ENEROSem52</v>
      </c>
      <c r="D1410" t="str">
        <f t="shared" si="1669"/>
        <v>ENEROSem52</v>
      </c>
      <c r="E1410" t="str">
        <f t="shared" si="1670"/>
        <v>ENEROSem5252</v>
      </c>
      <c r="F1410" t="str">
        <f t="shared" si="1671"/>
        <v/>
      </c>
      <c r="H1410" s="49"/>
      <c r="I1410" s="50">
        <f>+_xlfn.XLOOKUP($H1410&amp;$V1410,BASEDATOS!$B:$B,BASEDATOS!F:F,0,0,1)</f>
        <v>0</v>
      </c>
      <c r="J1410" s="51">
        <f>+_xlfn.XLOOKUP($H1410&amp;$V1410,BASEDATOS!$B:$B,BASEDATOS!Q:Q,0,0,1)</f>
        <v>0</v>
      </c>
      <c r="K1410" s="51">
        <f>+_xlfn.XLOOKUP($H1410&amp;$V1410,BASEDATOS!$B:$B,BASEDATOS!R:R,0,0,1)</f>
        <v>0</v>
      </c>
      <c r="L1410" s="51">
        <f t="shared" si="1672"/>
        <v>0</v>
      </c>
      <c r="M1410" s="52">
        <f t="shared" si="1673"/>
        <v>0</v>
      </c>
      <c r="N1410" s="51">
        <f t="shared" si="1674"/>
        <v>0</v>
      </c>
      <c r="O1410" s="53" t="str">
        <f t="shared" ref="O1410" si="1733">+O1414</f>
        <v>0-0-0</v>
      </c>
      <c r="P1410" s="54">
        <f>+IF(AND(Y1410="Domingo",U1410=7),_xlfn.XLOOKUP(O1410,'Horarios y Sistemas'!C:C,'Horarios y Sistemas'!H:H,0,0,1),0)</f>
        <v>0</v>
      </c>
      <c r="Q1410" s="54">
        <f>IF(U1410=U1411,0,IF(AVERAGEIF(W:W,W1410,U:U)=U1410,0,_xlfn.XLOOKUP(O1410,'Horarios y Sistemas'!C:C,'Horarios y Sistemas'!H:H,0,0,1)-P1410))/7*U1410</f>
        <v>0</v>
      </c>
      <c r="R1410" s="54">
        <f t="shared" si="1676"/>
        <v>0</v>
      </c>
      <c r="S1410" s="55" t="str">
        <f t="shared" si="1677"/>
        <v>ENERO</v>
      </c>
      <c r="T1410" s="55" t="str">
        <f t="shared" si="1678"/>
        <v>Sem52</v>
      </c>
      <c r="U1410" s="56">
        <f t="shared" si="1660"/>
        <v>196</v>
      </c>
      <c r="V1410" s="59"/>
      <c r="W1410" s="56">
        <f t="shared" si="1679"/>
        <v>52</v>
      </c>
      <c r="X1410" s="56">
        <f t="shared" si="1680"/>
        <v>0</v>
      </c>
      <c r="Y1410" s="56" t="s">
        <v>30</v>
      </c>
      <c r="Z1410" s="56">
        <v>3</v>
      </c>
      <c r="AA1410" s="58">
        <f t="shared" si="1728"/>
        <v>0</v>
      </c>
      <c r="AB1410" s="58">
        <f t="shared" si="1728"/>
        <v>0</v>
      </c>
      <c r="AC1410" s="58">
        <f t="shared" si="1728"/>
        <v>0</v>
      </c>
      <c r="AD1410" s="58">
        <f t="shared" si="1728"/>
        <v>0</v>
      </c>
      <c r="AE1410" s="58">
        <f t="shared" si="1728"/>
        <v>0</v>
      </c>
    </row>
    <row r="1411" spans="2:31">
      <c r="B1411" t="str">
        <f t="shared" si="1667"/>
        <v>Sem5252</v>
      </c>
      <c r="C1411" t="str">
        <f t="shared" si="1668"/>
        <v>ENEROSem52</v>
      </c>
      <c r="D1411" t="str">
        <f t="shared" si="1669"/>
        <v>ENEROSem52</v>
      </c>
      <c r="E1411" t="str">
        <f t="shared" si="1670"/>
        <v>ENEROSem5252</v>
      </c>
      <c r="F1411" t="str">
        <f t="shared" si="1671"/>
        <v/>
      </c>
      <c r="H1411" s="49"/>
      <c r="I1411" s="50">
        <f>+_xlfn.XLOOKUP($H1411&amp;$V1411,BASEDATOS!$B:$B,BASEDATOS!F:F,0,0,1)</f>
        <v>0</v>
      </c>
      <c r="J1411" s="51">
        <f>+_xlfn.XLOOKUP($H1411&amp;$V1411,BASEDATOS!$B:$B,BASEDATOS!Q:Q,0,0,1)</f>
        <v>0</v>
      </c>
      <c r="K1411" s="51">
        <f>+_xlfn.XLOOKUP($H1411&amp;$V1411,BASEDATOS!$B:$B,BASEDATOS!R:R,0,0,1)</f>
        <v>0</v>
      </c>
      <c r="L1411" s="51">
        <f t="shared" si="1672"/>
        <v>0</v>
      </c>
      <c r="M1411" s="52">
        <f t="shared" si="1673"/>
        <v>0</v>
      </c>
      <c r="N1411" s="51">
        <f t="shared" si="1674"/>
        <v>0</v>
      </c>
      <c r="O1411" s="53" t="str">
        <f t="shared" ref="O1411" si="1734">+O1414</f>
        <v>0-0-0</v>
      </c>
      <c r="P1411" s="54">
        <f>+IF(AND(Y1411="Domingo",U1411=7),_xlfn.XLOOKUP(O1411,'Horarios y Sistemas'!C:C,'Horarios y Sistemas'!H:H,0,0,1),0)</f>
        <v>0</v>
      </c>
      <c r="Q1411" s="54">
        <f>IF(U1411=U1412,0,IF(AVERAGEIF(W:W,W1411,U:U)=U1411,0,_xlfn.XLOOKUP(O1411,'Horarios y Sistemas'!C:C,'Horarios y Sistemas'!H:H,0,0,1)-P1411))/7*U1411</f>
        <v>0</v>
      </c>
      <c r="R1411" s="54">
        <f t="shared" si="1676"/>
        <v>0</v>
      </c>
      <c r="S1411" s="55" t="str">
        <f t="shared" si="1677"/>
        <v>ENERO</v>
      </c>
      <c r="T1411" s="55" t="str">
        <f t="shared" si="1678"/>
        <v>Sem52</v>
      </c>
      <c r="U1411" s="56">
        <f t="shared" si="1660"/>
        <v>196</v>
      </c>
      <c r="V1411" s="59"/>
      <c r="W1411" s="56">
        <f t="shared" si="1679"/>
        <v>52</v>
      </c>
      <c r="X1411" s="56">
        <f t="shared" si="1680"/>
        <v>0</v>
      </c>
      <c r="Y1411" s="56" t="s">
        <v>31</v>
      </c>
      <c r="Z1411" s="56">
        <v>4</v>
      </c>
      <c r="AA1411" s="58">
        <f t="shared" si="1728"/>
        <v>0</v>
      </c>
      <c r="AB1411" s="58">
        <f t="shared" si="1728"/>
        <v>0</v>
      </c>
      <c r="AC1411" s="58">
        <f t="shared" si="1728"/>
        <v>0</v>
      </c>
      <c r="AD1411" s="58">
        <f t="shared" si="1728"/>
        <v>0</v>
      </c>
      <c r="AE1411" s="58">
        <f t="shared" si="1728"/>
        <v>0</v>
      </c>
    </row>
    <row r="1412" spans="2:31">
      <c r="B1412" t="str">
        <f t="shared" si="1667"/>
        <v>Sem5252</v>
      </c>
      <c r="C1412" t="str">
        <f t="shared" si="1668"/>
        <v>ENEROSem52</v>
      </c>
      <c r="D1412" t="str">
        <f t="shared" si="1669"/>
        <v>ENEROSem52</v>
      </c>
      <c r="E1412" t="str">
        <f t="shared" si="1670"/>
        <v>ENEROSem5252</v>
      </c>
      <c r="F1412" t="str">
        <f t="shared" si="1671"/>
        <v/>
      </c>
      <c r="H1412" s="49"/>
      <c r="I1412" s="50">
        <f>+_xlfn.XLOOKUP($H1412&amp;$V1412,BASEDATOS!$B:$B,BASEDATOS!F:F,0,0,1)</f>
        <v>0</v>
      </c>
      <c r="J1412" s="51">
        <f>+_xlfn.XLOOKUP($H1412&amp;$V1412,BASEDATOS!$B:$B,BASEDATOS!Q:Q,0,0,1)</f>
        <v>0</v>
      </c>
      <c r="K1412" s="51">
        <f>+_xlfn.XLOOKUP($H1412&amp;$V1412,BASEDATOS!$B:$B,BASEDATOS!R:R,0,0,1)</f>
        <v>0</v>
      </c>
      <c r="L1412" s="51">
        <f t="shared" si="1672"/>
        <v>0</v>
      </c>
      <c r="M1412" s="52">
        <f t="shared" si="1673"/>
        <v>0</v>
      </c>
      <c r="N1412" s="51">
        <f t="shared" si="1674"/>
        <v>0</v>
      </c>
      <c r="O1412" s="53" t="str">
        <f t="shared" ref="O1412" si="1735">+O1414</f>
        <v>0-0-0</v>
      </c>
      <c r="P1412" s="54">
        <f>+IF(AND(Y1412="Domingo",U1412=7),_xlfn.XLOOKUP(O1412,'Horarios y Sistemas'!C:C,'Horarios y Sistemas'!H:H,0,0,1),0)</f>
        <v>0</v>
      </c>
      <c r="Q1412" s="54">
        <f>IF(U1412=U1413,0,IF(AVERAGEIF(W:W,W1412,U:U)=U1412,0,_xlfn.XLOOKUP(O1412,'Horarios y Sistemas'!C:C,'Horarios y Sistemas'!H:H,0,0,1)-P1412))/7*U1412</f>
        <v>0</v>
      </c>
      <c r="R1412" s="54">
        <f t="shared" si="1676"/>
        <v>0</v>
      </c>
      <c r="S1412" s="55" t="str">
        <f t="shared" si="1677"/>
        <v>ENERO</v>
      </c>
      <c r="T1412" s="55" t="str">
        <f t="shared" si="1678"/>
        <v>Sem52</v>
      </c>
      <c r="U1412" s="56">
        <f t="shared" si="1660"/>
        <v>196</v>
      </c>
      <c r="V1412" s="59"/>
      <c r="W1412" s="56">
        <f t="shared" si="1679"/>
        <v>52</v>
      </c>
      <c r="X1412" s="56">
        <f t="shared" si="1680"/>
        <v>0</v>
      </c>
      <c r="Y1412" s="56" t="s">
        <v>32</v>
      </c>
      <c r="Z1412" s="56">
        <v>5</v>
      </c>
      <c r="AA1412" s="58">
        <f t="shared" si="1728"/>
        <v>0</v>
      </c>
      <c r="AB1412" s="58">
        <f t="shared" si="1728"/>
        <v>0</v>
      </c>
      <c r="AC1412" s="58">
        <f t="shared" si="1728"/>
        <v>0</v>
      </c>
      <c r="AD1412" s="58">
        <f t="shared" si="1728"/>
        <v>0</v>
      </c>
      <c r="AE1412" s="58">
        <f t="shared" si="1728"/>
        <v>0</v>
      </c>
    </row>
    <row r="1413" spans="2:31">
      <c r="B1413" t="str">
        <f t="shared" si="1667"/>
        <v>Sem5252</v>
      </c>
      <c r="C1413" t="str">
        <f t="shared" si="1668"/>
        <v>ENEROSem52</v>
      </c>
      <c r="D1413" t="str">
        <f t="shared" si="1669"/>
        <v>ENEROSem52</v>
      </c>
      <c r="E1413" t="str">
        <f t="shared" si="1670"/>
        <v>ENEROSem5252</v>
      </c>
      <c r="F1413" t="str">
        <f t="shared" si="1671"/>
        <v/>
      </c>
      <c r="H1413" s="49"/>
      <c r="I1413" s="50">
        <f>+_xlfn.XLOOKUP($H1413&amp;$V1413,BASEDATOS!$B:$B,BASEDATOS!F:F,0,0,1)</f>
        <v>0</v>
      </c>
      <c r="J1413" s="51">
        <f>+_xlfn.XLOOKUP($H1413&amp;$V1413,BASEDATOS!$B:$B,BASEDATOS!Q:Q,0,0,1)</f>
        <v>0</v>
      </c>
      <c r="K1413" s="51">
        <f>+_xlfn.XLOOKUP($H1413&amp;$V1413,BASEDATOS!$B:$B,BASEDATOS!R:R,0,0,1)</f>
        <v>0</v>
      </c>
      <c r="L1413" s="51">
        <f t="shared" si="1672"/>
        <v>0</v>
      </c>
      <c r="M1413" s="52">
        <f t="shared" si="1673"/>
        <v>0</v>
      </c>
      <c r="N1413" s="51">
        <f t="shared" si="1674"/>
        <v>0</v>
      </c>
      <c r="O1413" s="53" t="str">
        <f t="shared" ref="O1413" si="1736">+O1414</f>
        <v>0-0-0</v>
      </c>
      <c r="P1413" s="54">
        <f>+IF(AND(Y1413="Domingo",U1413=7),_xlfn.XLOOKUP(O1413,'Horarios y Sistemas'!C:C,'Horarios y Sistemas'!H:H,0,0,1),0)</f>
        <v>0</v>
      </c>
      <c r="Q1413" s="54">
        <f>IF(U1413=U1414,0,IF(AVERAGEIF(W:W,W1413,U:U)=U1413,0,_xlfn.XLOOKUP(O1413,'Horarios y Sistemas'!C:C,'Horarios y Sistemas'!H:H,0,0,1)-P1413))/7*U1413</f>
        <v>0</v>
      </c>
      <c r="R1413" s="54">
        <f t="shared" si="1676"/>
        <v>0</v>
      </c>
      <c r="S1413" s="55" t="str">
        <f t="shared" si="1677"/>
        <v>ENERO</v>
      </c>
      <c r="T1413" s="55" t="str">
        <f t="shared" si="1678"/>
        <v>Sem52</v>
      </c>
      <c r="U1413" s="56">
        <f t="shared" si="1660"/>
        <v>196</v>
      </c>
      <c r="V1413" s="59"/>
      <c r="W1413" s="56">
        <f t="shared" si="1679"/>
        <v>52</v>
      </c>
      <c r="X1413" s="56">
        <f t="shared" si="1680"/>
        <v>0</v>
      </c>
      <c r="Y1413" s="56" t="s">
        <v>33</v>
      </c>
      <c r="Z1413" s="56">
        <v>6</v>
      </c>
      <c r="AA1413" s="58">
        <f t="shared" si="1728"/>
        <v>0</v>
      </c>
      <c r="AB1413" s="58">
        <f t="shared" si="1728"/>
        <v>0</v>
      </c>
      <c r="AC1413" s="58">
        <f t="shared" si="1728"/>
        <v>0</v>
      </c>
      <c r="AD1413" s="58">
        <f t="shared" si="1728"/>
        <v>0</v>
      </c>
      <c r="AE1413" s="58">
        <f t="shared" si="1728"/>
        <v>0</v>
      </c>
    </row>
    <row r="1414" spans="2:31">
      <c r="B1414" s="60" t="str">
        <f t="shared" si="1667"/>
        <v>Sem5252</v>
      </c>
      <c r="C1414" s="60" t="str">
        <f t="shared" si="1668"/>
        <v>ENEROSem52</v>
      </c>
      <c r="D1414" s="60" t="str">
        <f t="shared" si="1669"/>
        <v>ENEROSem52</v>
      </c>
      <c r="E1414" s="60" t="str">
        <f t="shared" si="1670"/>
        <v>ENEROSem5252</v>
      </c>
      <c r="F1414" s="60" t="str">
        <f t="shared" si="1671"/>
        <v/>
      </c>
      <c r="G1414" s="60"/>
      <c r="H1414" s="61"/>
      <c r="I1414" s="62">
        <f>+_xlfn.XLOOKUP($H1414&amp;$V1414,BASEDATOS!$B:$B,BASEDATOS!F:F,0,0,1)</f>
        <v>0</v>
      </c>
      <c r="J1414" s="63">
        <f>+_xlfn.XLOOKUP($H1414&amp;$V1414,BASEDATOS!$B:$B,BASEDATOS!Q:Q,0,0,1)</f>
        <v>0</v>
      </c>
      <c r="K1414" s="63">
        <f>+_xlfn.XLOOKUP($H1414&amp;$V1414,BASEDATOS!$B:$B,BASEDATOS!R:R,0,0,1)</f>
        <v>0</v>
      </c>
      <c r="L1414" s="63">
        <f t="shared" si="1672"/>
        <v>0</v>
      </c>
      <c r="M1414" s="64">
        <f t="shared" si="1673"/>
        <v>0</v>
      </c>
      <c r="N1414" s="63">
        <f t="shared" si="1674"/>
        <v>0</v>
      </c>
      <c r="O1414" s="65" t="str">
        <f t="shared" ref="O1414" si="1737">+IF(Y1414="Domingo",SUM(AA1408:AA1414)&amp;"-"&amp;SUM(AB1408:AB1414)&amp;"-"&amp;SUM(AC1408:AE1414),"")</f>
        <v>0-0-0</v>
      </c>
      <c r="P1414" s="66">
        <f>+IF(AND(Y1414="Domingo",U1414=7),_xlfn.XLOOKUP(O1414,'Horarios y Sistemas'!C:C,'Horarios y Sistemas'!H:H,0,0,1),0)</f>
        <v>0</v>
      </c>
      <c r="Q1414" s="66">
        <f>IF(U1414=U1415,0,IF(AVERAGEIF(W:W,W1414,U:U)=U1414,0,_xlfn.XLOOKUP(O1414,'Horarios y Sistemas'!C:C,'Horarios y Sistemas'!H:H,0,0,1)-P1414))/7*U1414</f>
        <v>0</v>
      </c>
      <c r="R1414" s="66">
        <f t="shared" si="1676"/>
        <v>0</v>
      </c>
      <c r="S1414" s="67" t="str">
        <f t="shared" si="1677"/>
        <v>ENERO</v>
      </c>
      <c r="T1414" s="55" t="str">
        <f t="shared" si="1678"/>
        <v>Sem52</v>
      </c>
      <c r="U1414" s="68">
        <f t="shared" si="1660"/>
        <v>196</v>
      </c>
      <c r="V1414" s="69"/>
      <c r="W1414" s="68">
        <f t="shared" si="1679"/>
        <v>52</v>
      </c>
      <c r="X1414" s="68">
        <f t="shared" si="1680"/>
        <v>0</v>
      </c>
      <c r="Y1414" s="68" t="s">
        <v>34</v>
      </c>
      <c r="Z1414" s="68">
        <v>7</v>
      </c>
      <c r="AA1414" s="70">
        <f t="shared" si="1728"/>
        <v>0</v>
      </c>
      <c r="AB1414" s="70">
        <f t="shared" si="1728"/>
        <v>0</v>
      </c>
      <c r="AC1414" s="70">
        <f t="shared" si="1728"/>
        <v>0</v>
      </c>
      <c r="AD1414" s="70">
        <f t="shared" si="1728"/>
        <v>0</v>
      </c>
      <c r="AE1414" s="70">
        <f t="shared" si="1728"/>
        <v>0</v>
      </c>
    </row>
    <row r="1415" spans="2:31">
      <c r="B1415" t="str">
        <f t="shared" si="1667"/>
        <v>Sem5252</v>
      </c>
      <c r="C1415" t="str">
        <f t="shared" si="1668"/>
        <v>ENEROSem52</v>
      </c>
      <c r="D1415" t="str">
        <f t="shared" si="1669"/>
        <v>ENEROSem52</v>
      </c>
      <c r="E1415" t="str">
        <f t="shared" si="1670"/>
        <v>ENEROSem5252</v>
      </c>
      <c r="F1415" t="str">
        <f t="shared" si="1671"/>
        <v/>
      </c>
      <c r="H1415" s="49"/>
      <c r="I1415" s="50">
        <f>+_xlfn.XLOOKUP($H1415&amp;$V1415,BASEDATOS!$B:$B,BASEDATOS!F:F,0,0,1)</f>
        <v>0</v>
      </c>
      <c r="J1415" s="51">
        <f>+_xlfn.XLOOKUP($H1415&amp;$V1415,BASEDATOS!$B:$B,BASEDATOS!Q:Q,0,0,1)</f>
        <v>0</v>
      </c>
      <c r="K1415" s="51">
        <f>+_xlfn.XLOOKUP($H1415&amp;$V1415,BASEDATOS!$B:$B,BASEDATOS!R:R,0,0,1)</f>
        <v>0</v>
      </c>
      <c r="L1415" s="51">
        <f t="shared" si="1672"/>
        <v>0</v>
      </c>
      <c r="M1415" s="52">
        <f t="shared" si="1673"/>
        <v>0</v>
      </c>
      <c r="N1415" s="51">
        <f t="shared" si="1674"/>
        <v>0</v>
      </c>
      <c r="O1415" s="53" t="str">
        <f t="shared" ref="O1415" si="1738">+O1421</f>
        <v>0-0-0</v>
      </c>
      <c r="P1415" s="54">
        <f>+IF(AND(Y1415="Domingo",U1415=7),_xlfn.XLOOKUP(O1415,'Horarios y Sistemas'!C:C,'Horarios y Sistemas'!H:H,0,0,1),0)</f>
        <v>0</v>
      </c>
      <c r="Q1415" s="54">
        <f>IF(U1415=U1416,0,IF(AVERAGEIF(W:W,W1415,U:U)=U1415,0,_xlfn.XLOOKUP(O1415,'Horarios y Sistemas'!C:C,'Horarios y Sistemas'!H:H,0,0,1)-P1415))/7*U1415</f>
        <v>0</v>
      </c>
      <c r="R1415" s="54">
        <f t="shared" si="1676"/>
        <v>0</v>
      </c>
      <c r="S1415" s="55" t="str">
        <f t="shared" si="1677"/>
        <v>ENERO</v>
      </c>
      <c r="T1415" s="55" t="str">
        <f t="shared" si="1678"/>
        <v>Sem52</v>
      </c>
      <c r="U1415" s="56">
        <f t="shared" si="1660"/>
        <v>196</v>
      </c>
      <c r="V1415" s="59"/>
      <c r="W1415" s="56">
        <f t="shared" si="1679"/>
        <v>52</v>
      </c>
      <c r="X1415" s="56">
        <f t="shared" si="1680"/>
        <v>0</v>
      </c>
      <c r="Y1415" s="56" t="s">
        <v>28</v>
      </c>
      <c r="Z1415" s="56">
        <v>1</v>
      </c>
      <c r="AA1415" s="58">
        <f t="shared" si="1728"/>
        <v>0</v>
      </c>
      <c r="AB1415" s="58">
        <f t="shared" si="1728"/>
        <v>0</v>
      </c>
      <c r="AC1415" s="58">
        <f t="shared" si="1728"/>
        <v>0</v>
      </c>
      <c r="AD1415" s="58">
        <f t="shared" si="1728"/>
        <v>0</v>
      </c>
      <c r="AE1415" s="58">
        <f t="shared" si="1728"/>
        <v>0</v>
      </c>
    </row>
    <row r="1416" spans="2:31">
      <c r="B1416" t="str">
        <f t="shared" si="1667"/>
        <v>Sem5252</v>
      </c>
      <c r="C1416" t="str">
        <f t="shared" si="1668"/>
        <v>ENEROSem52</v>
      </c>
      <c r="D1416" t="str">
        <f t="shared" si="1669"/>
        <v>ENEROSem52</v>
      </c>
      <c r="E1416" t="str">
        <f t="shared" si="1670"/>
        <v>ENEROSem5252</v>
      </c>
      <c r="F1416" t="str">
        <f t="shared" si="1671"/>
        <v/>
      </c>
      <c r="H1416" s="49"/>
      <c r="I1416" s="50">
        <f>+_xlfn.XLOOKUP($H1416&amp;$V1416,BASEDATOS!$B:$B,BASEDATOS!F:F,0,0,1)</f>
        <v>0</v>
      </c>
      <c r="J1416" s="51">
        <f>+_xlfn.XLOOKUP($H1416&amp;$V1416,BASEDATOS!$B:$B,BASEDATOS!Q:Q,0,0,1)</f>
        <v>0</v>
      </c>
      <c r="K1416" s="51">
        <f>+_xlfn.XLOOKUP($H1416&amp;$V1416,BASEDATOS!$B:$B,BASEDATOS!R:R,0,0,1)</f>
        <v>0</v>
      </c>
      <c r="L1416" s="51">
        <f t="shared" si="1672"/>
        <v>0</v>
      </c>
      <c r="M1416" s="52">
        <f t="shared" si="1673"/>
        <v>0</v>
      </c>
      <c r="N1416" s="51">
        <f t="shared" si="1674"/>
        <v>0</v>
      </c>
      <c r="O1416" s="53" t="str">
        <f t="shared" ref="O1416" si="1739">+O1421</f>
        <v>0-0-0</v>
      </c>
      <c r="P1416" s="54">
        <f>+IF(AND(Y1416="Domingo",U1416=7),_xlfn.XLOOKUP(O1416,'Horarios y Sistemas'!C:C,'Horarios y Sistemas'!H:H,0,0,1),0)</f>
        <v>0</v>
      </c>
      <c r="Q1416" s="54">
        <f>IF(U1416=U1417,0,IF(AVERAGEIF(W:W,W1416,U:U)=U1416,0,_xlfn.XLOOKUP(O1416,'Horarios y Sistemas'!C:C,'Horarios y Sistemas'!H:H,0,0,1)-P1416))/7*U1416</f>
        <v>0</v>
      </c>
      <c r="R1416" s="54">
        <f t="shared" si="1676"/>
        <v>0</v>
      </c>
      <c r="S1416" s="55" t="str">
        <f t="shared" si="1677"/>
        <v>ENERO</v>
      </c>
      <c r="T1416" s="55" t="str">
        <f t="shared" si="1678"/>
        <v>Sem52</v>
      </c>
      <c r="U1416" s="56">
        <f t="shared" ref="U1416:U1421" si="1740">+COUNTIF(B:B,B1416)</f>
        <v>196</v>
      </c>
      <c r="V1416" s="59"/>
      <c r="W1416" s="56">
        <f t="shared" si="1679"/>
        <v>52</v>
      </c>
      <c r="X1416" s="56">
        <f t="shared" si="1680"/>
        <v>0</v>
      </c>
      <c r="Y1416" s="56" t="s">
        <v>29</v>
      </c>
      <c r="Z1416" s="56">
        <v>2</v>
      </c>
      <c r="AA1416" s="58">
        <f t="shared" si="1728"/>
        <v>0</v>
      </c>
      <c r="AB1416" s="58">
        <f t="shared" si="1728"/>
        <v>0</v>
      </c>
      <c r="AC1416" s="58">
        <f t="shared" si="1728"/>
        <v>0</v>
      </c>
      <c r="AD1416" s="58">
        <f t="shared" si="1728"/>
        <v>0</v>
      </c>
      <c r="AE1416" s="58">
        <f t="shared" si="1728"/>
        <v>0</v>
      </c>
    </row>
    <row r="1417" spans="2:31">
      <c r="B1417" t="str">
        <f t="shared" si="1667"/>
        <v>Sem5252</v>
      </c>
      <c r="C1417" t="str">
        <f t="shared" si="1668"/>
        <v>ENEROSem52</v>
      </c>
      <c r="D1417" t="str">
        <f t="shared" si="1669"/>
        <v>ENEROSem52</v>
      </c>
      <c r="E1417" t="str">
        <f t="shared" si="1670"/>
        <v>ENEROSem5252</v>
      </c>
      <c r="F1417" t="str">
        <f t="shared" si="1671"/>
        <v/>
      </c>
      <c r="H1417" s="49"/>
      <c r="I1417" s="50">
        <f>+_xlfn.XLOOKUP($H1417&amp;$V1417,BASEDATOS!$B:$B,BASEDATOS!F:F,0,0,1)</f>
        <v>0</v>
      </c>
      <c r="J1417" s="51">
        <f>+_xlfn.XLOOKUP($H1417&amp;$V1417,BASEDATOS!$B:$B,BASEDATOS!Q:Q,0,0,1)</f>
        <v>0</v>
      </c>
      <c r="K1417" s="51">
        <f>+_xlfn.XLOOKUP($H1417&amp;$V1417,BASEDATOS!$B:$B,BASEDATOS!R:R,0,0,1)</f>
        <v>0</v>
      </c>
      <c r="L1417" s="51">
        <f t="shared" si="1672"/>
        <v>0</v>
      </c>
      <c r="M1417" s="52">
        <f t="shared" si="1673"/>
        <v>0</v>
      </c>
      <c r="N1417" s="51">
        <f t="shared" si="1674"/>
        <v>0</v>
      </c>
      <c r="O1417" s="53" t="str">
        <f t="shared" ref="O1417" si="1741">+O1421</f>
        <v>0-0-0</v>
      </c>
      <c r="P1417" s="54">
        <f>+IF(AND(Y1417="Domingo",U1417=7),_xlfn.XLOOKUP(O1417,'Horarios y Sistemas'!C:C,'Horarios y Sistemas'!H:H,0,0,1),0)</f>
        <v>0</v>
      </c>
      <c r="Q1417" s="54">
        <f>IF(U1417=U1418,0,IF(AVERAGEIF(W:W,W1417,U:U)=U1417,0,_xlfn.XLOOKUP(O1417,'Horarios y Sistemas'!C:C,'Horarios y Sistemas'!H:H,0,0,1)-P1417))/7*U1417</f>
        <v>0</v>
      </c>
      <c r="R1417" s="54">
        <f t="shared" si="1676"/>
        <v>0</v>
      </c>
      <c r="S1417" s="55" t="str">
        <f t="shared" si="1677"/>
        <v>ENERO</v>
      </c>
      <c r="T1417" s="55" t="str">
        <f t="shared" si="1678"/>
        <v>Sem52</v>
      </c>
      <c r="U1417" s="56">
        <f t="shared" si="1740"/>
        <v>196</v>
      </c>
      <c r="V1417" s="59"/>
      <c r="W1417" s="56">
        <f t="shared" si="1679"/>
        <v>52</v>
      </c>
      <c r="X1417" s="56">
        <f t="shared" si="1680"/>
        <v>0</v>
      </c>
      <c r="Y1417" s="56" t="s">
        <v>30</v>
      </c>
      <c r="Z1417" s="56">
        <v>3</v>
      </c>
      <c r="AA1417" s="58">
        <f t="shared" si="1728"/>
        <v>0</v>
      </c>
      <c r="AB1417" s="58">
        <f t="shared" si="1728"/>
        <v>0</v>
      </c>
      <c r="AC1417" s="58">
        <f t="shared" si="1728"/>
        <v>0</v>
      </c>
      <c r="AD1417" s="58">
        <f t="shared" si="1728"/>
        <v>0</v>
      </c>
      <c r="AE1417" s="58">
        <f t="shared" si="1728"/>
        <v>0</v>
      </c>
    </row>
    <row r="1418" spans="2:31">
      <c r="B1418" t="str">
        <f t="shared" si="1667"/>
        <v>Sem5252</v>
      </c>
      <c r="C1418" t="str">
        <f t="shared" si="1668"/>
        <v>ENEROSem52</v>
      </c>
      <c r="D1418" t="str">
        <f t="shared" si="1669"/>
        <v>ENEROSem52</v>
      </c>
      <c r="E1418" t="str">
        <f t="shared" si="1670"/>
        <v>ENEROSem5252</v>
      </c>
      <c r="F1418" t="str">
        <f t="shared" si="1671"/>
        <v/>
      </c>
      <c r="H1418" s="49"/>
      <c r="I1418" s="50">
        <f>+_xlfn.XLOOKUP($H1418&amp;$V1418,BASEDATOS!$B:$B,BASEDATOS!F:F,0,0,1)</f>
        <v>0</v>
      </c>
      <c r="J1418" s="51">
        <f>+_xlfn.XLOOKUP($H1418&amp;$V1418,BASEDATOS!$B:$B,BASEDATOS!Q:Q,0,0,1)</f>
        <v>0</v>
      </c>
      <c r="K1418" s="51">
        <f>+_xlfn.XLOOKUP($H1418&amp;$V1418,BASEDATOS!$B:$B,BASEDATOS!R:R,0,0,1)</f>
        <v>0</v>
      </c>
      <c r="L1418" s="51">
        <f t="shared" si="1672"/>
        <v>0</v>
      </c>
      <c r="M1418" s="52">
        <f t="shared" si="1673"/>
        <v>0</v>
      </c>
      <c r="N1418" s="51">
        <f t="shared" si="1674"/>
        <v>0</v>
      </c>
      <c r="O1418" s="53" t="str">
        <f t="shared" ref="O1418" si="1742">+O1421</f>
        <v>0-0-0</v>
      </c>
      <c r="P1418" s="54">
        <f>+IF(AND(Y1418="Domingo",U1418=7),_xlfn.XLOOKUP(O1418,'Horarios y Sistemas'!C:C,'Horarios y Sistemas'!H:H,0,0,1),0)</f>
        <v>0</v>
      </c>
      <c r="Q1418" s="54">
        <f>IF(U1418=U1419,0,IF(AVERAGEIF(W:W,W1418,U:U)=U1418,0,_xlfn.XLOOKUP(O1418,'Horarios y Sistemas'!C:C,'Horarios y Sistemas'!H:H,0,0,1)-P1418))/7*U1418</f>
        <v>0</v>
      </c>
      <c r="R1418" s="54">
        <f t="shared" si="1676"/>
        <v>0</v>
      </c>
      <c r="S1418" s="55" t="str">
        <f t="shared" si="1677"/>
        <v>ENERO</v>
      </c>
      <c r="T1418" s="55" t="str">
        <f t="shared" si="1678"/>
        <v>Sem52</v>
      </c>
      <c r="U1418" s="56">
        <f t="shared" si="1740"/>
        <v>196</v>
      </c>
      <c r="V1418" s="59"/>
      <c r="W1418" s="56">
        <f t="shared" si="1679"/>
        <v>52</v>
      </c>
      <c r="X1418" s="56">
        <f t="shared" si="1680"/>
        <v>0</v>
      </c>
      <c r="Y1418" s="56" t="s">
        <v>31</v>
      </c>
      <c r="Z1418" s="56">
        <v>4</v>
      </c>
      <c r="AA1418" s="58">
        <f t="shared" si="1728"/>
        <v>0</v>
      </c>
      <c r="AB1418" s="58">
        <f t="shared" si="1728"/>
        <v>0</v>
      </c>
      <c r="AC1418" s="58">
        <f t="shared" si="1728"/>
        <v>0</v>
      </c>
      <c r="AD1418" s="58">
        <f t="shared" si="1728"/>
        <v>0</v>
      </c>
      <c r="AE1418" s="58">
        <f t="shared" si="1728"/>
        <v>0</v>
      </c>
    </row>
    <row r="1419" spans="2:31">
      <c r="B1419" t="str">
        <f t="shared" si="1667"/>
        <v>Sem5252</v>
      </c>
      <c r="C1419" t="str">
        <f t="shared" si="1668"/>
        <v>ENEROSem52</v>
      </c>
      <c r="D1419" t="str">
        <f t="shared" si="1669"/>
        <v>ENEROSem52</v>
      </c>
      <c r="E1419" t="str">
        <f t="shared" si="1670"/>
        <v>ENEROSem5252</v>
      </c>
      <c r="F1419" t="str">
        <f t="shared" si="1671"/>
        <v/>
      </c>
      <c r="H1419" s="49"/>
      <c r="I1419" s="50">
        <f>+_xlfn.XLOOKUP($H1419&amp;$V1419,BASEDATOS!$B:$B,BASEDATOS!F:F,0,0,1)</f>
        <v>0</v>
      </c>
      <c r="J1419" s="51">
        <f>+_xlfn.XLOOKUP($H1419&amp;$V1419,BASEDATOS!$B:$B,BASEDATOS!Q:Q,0,0,1)</f>
        <v>0</v>
      </c>
      <c r="K1419" s="51">
        <f>+_xlfn.XLOOKUP($H1419&amp;$V1419,BASEDATOS!$B:$B,BASEDATOS!R:R,0,0,1)</f>
        <v>0</v>
      </c>
      <c r="L1419" s="51">
        <f t="shared" si="1672"/>
        <v>0</v>
      </c>
      <c r="M1419" s="52">
        <f t="shared" si="1673"/>
        <v>0</v>
      </c>
      <c r="N1419" s="51">
        <f t="shared" si="1674"/>
        <v>0</v>
      </c>
      <c r="O1419" s="53" t="str">
        <f t="shared" ref="O1419" si="1743">+O1421</f>
        <v>0-0-0</v>
      </c>
      <c r="P1419" s="54">
        <f>+IF(AND(Y1419="Domingo",U1419=7),_xlfn.XLOOKUP(O1419,'Horarios y Sistemas'!C:C,'Horarios y Sistemas'!H:H,0,0,1),0)</f>
        <v>0</v>
      </c>
      <c r="Q1419" s="54">
        <f>IF(U1419=U1420,0,IF(AVERAGEIF(W:W,W1419,U:U)=U1419,0,_xlfn.XLOOKUP(O1419,'Horarios y Sistemas'!C:C,'Horarios y Sistemas'!H:H,0,0,1)-P1419))/7*U1419</f>
        <v>0</v>
      </c>
      <c r="R1419" s="54">
        <f t="shared" si="1676"/>
        <v>0</v>
      </c>
      <c r="S1419" s="55" t="str">
        <f t="shared" si="1677"/>
        <v>ENERO</v>
      </c>
      <c r="T1419" s="55" t="str">
        <f t="shared" si="1678"/>
        <v>Sem52</v>
      </c>
      <c r="U1419" s="56">
        <f t="shared" si="1740"/>
        <v>196</v>
      </c>
      <c r="V1419" s="59"/>
      <c r="W1419" s="56">
        <f t="shared" si="1679"/>
        <v>52</v>
      </c>
      <c r="X1419" s="56">
        <f t="shared" si="1680"/>
        <v>0</v>
      </c>
      <c r="Y1419" s="56" t="s">
        <v>32</v>
      </c>
      <c r="Z1419" s="56">
        <v>5</v>
      </c>
      <c r="AA1419" s="58">
        <f t="shared" si="1728"/>
        <v>0</v>
      </c>
      <c r="AB1419" s="58">
        <f t="shared" si="1728"/>
        <v>0</v>
      </c>
      <c r="AC1419" s="58">
        <f t="shared" si="1728"/>
        <v>0</v>
      </c>
      <c r="AD1419" s="58">
        <f t="shared" si="1728"/>
        <v>0</v>
      </c>
      <c r="AE1419" s="58">
        <f t="shared" si="1728"/>
        <v>0</v>
      </c>
    </row>
    <row r="1420" spans="2:31">
      <c r="B1420" t="str">
        <f t="shared" si="1667"/>
        <v>Sem5252</v>
      </c>
      <c r="C1420" t="str">
        <f t="shared" si="1668"/>
        <v>ENEROSem52</v>
      </c>
      <c r="D1420" t="str">
        <f t="shared" si="1669"/>
        <v>ENEROSem52</v>
      </c>
      <c r="E1420" t="str">
        <f t="shared" si="1670"/>
        <v>ENEROSem5252</v>
      </c>
      <c r="F1420" t="str">
        <f t="shared" si="1671"/>
        <v/>
      </c>
      <c r="H1420" s="49"/>
      <c r="I1420" s="50">
        <f>+_xlfn.XLOOKUP($H1420&amp;$V1420,BASEDATOS!$B:$B,BASEDATOS!F:F,0,0,1)</f>
        <v>0</v>
      </c>
      <c r="J1420" s="51">
        <f>+_xlfn.XLOOKUP($H1420&amp;$V1420,BASEDATOS!$B:$B,BASEDATOS!Q:Q,0,0,1)</f>
        <v>0</v>
      </c>
      <c r="K1420" s="51">
        <f>+_xlfn.XLOOKUP($H1420&amp;$V1420,BASEDATOS!$B:$B,BASEDATOS!R:R,0,0,1)</f>
        <v>0</v>
      </c>
      <c r="L1420" s="51">
        <f t="shared" si="1672"/>
        <v>0</v>
      </c>
      <c r="M1420" s="52">
        <f t="shared" si="1673"/>
        <v>0</v>
      </c>
      <c r="N1420" s="51">
        <f t="shared" si="1674"/>
        <v>0</v>
      </c>
      <c r="O1420" s="53" t="str">
        <f t="shared" ref="O1420" si="1744">+O1421</f>
        <v>0-0-0</v>
      </c>
      <c r="P1420" s="54">
        <f>+IF(AND(Y1420="Domingo",U1420=7),_xlfn.XLOOKUP(O1420,'Horarios y Sistemas'!C:C,'Horarios y Sistemas'!H:H,0,0,1),0)</f>
        <v>0</v>
      </c>
      <c r="Q1420" s="54">
        <f>IF(U1420=U1421,0,IF(AVERAGEIF(W:W,W1420,U:U)=U1420,0,_xlfn.XLOOKUP(O1420,'Horarios y Sistemas'!C:C,'Horarios y Sistemas'!H:H,0,0,1)-P1420))/7*U1420</f>
        <v>0</v>
      </c>
      <c r="R1420" s="54">
        <f t="shared" si="1676"/>
        <v>0</v>
      </c>
      <c r="S1420" s="55" t="str">
        <f t="shared" si="1677"/>
        <v>ENERO</v>
      </c>
      <c r="T1420" s="55" t="str">
        <f t="shared" si="1678"/>
        <v>Sem52</v>
      </c>
      <c r="U1420" s="56">
        <f t="shared" si="1740"/>
        <v>196</v>
      </c>
      <c r="V1420" s="59"/>
      <c r="W1420" s="56">
        <f t="shared" si="1679"/>
        <v>52</v>
      </c>
      <c r="X1420" s="56">
        <f t="shared" si="1680"/>
        <v>0</v>
      </c>
      <c r="Y1420" s="56" t="s">
        <v>33</v>
      </c>
      <c r="Z1420" s="56">
        <v>6</v>
      </c>
      <c r="AA1420" s="58">
        <f t="shared" si="1728"/>
        <v>0</v>
      </c>
      <c r="AB1420" s="58">
        <f t="shared" si="1728"/>
        <v>0</v>
      </c>
      <c r="AC1420" s="58">
        <f t="shared" si="1728"/>
        <v>0</v>
      </c>
      <c r="AD1420" s="58">
        <f t="shared" si="1728"/>
        <v>0</v>
      </c>
      <c r="AE1420" s="58">
        <f t="shared" si="1728"/>
        <v>0</v>
      </c>
    </row>
    <row r="1421" spans="2:31">
      <c r="B1421" s="60" t="str">
        <f t="shared" si="1667"/>
        <v>Sem5252</v>
      </c>
      <c r="C1421" s="60" t="str">
        <f t="shared" si="1668"/>
        <v>ENEROSem52</v>
      </c>
      <c r="D1421" s="60" t="str">
        <f t="shared" si="1669"/>
        <v>ENEROSem52</v>
      </c>
      <c r="E1421" s="60" t="str">
        <f t="shared" si="1670"/>
        <v>ENEROSem5252</v>
      </c>
      <c r="F1421" s="60" t="str">
        <f t="shared" si="1671"/>
        <v/>
      </c>
      <c r="G1421" s="60"/>
      <c r="H1421" s="61"/>
      <c r="I1421" s="62">
        <f>+_xlfn.XLOOKUP($H1421&amp;$V1421,BASEDATOS!$B:$B,BASEDATOS!F:F,0,0,1)</f>
        <v>0</v>
      </c>
      <c r="J1421" s="63">
        <f>+_xlfn.XLOOKUP($H1421&amp;$V1421,BASEDATOS!$B:$B,BASEDATOS!Q:Q,0,0,1)</f>
        <v>0</v>
      </c>
      <c r="K1421" s="63">
        <f>+_xlfn.XLOOKUP($H1421&amp;$V1421,BASEDATOS!$B:$B,BASEDATOS!R:R,0,0,1)</f>
        <v>0</v>
      </c>
      <c r="L1421" s="63">
        <f t="shared" si="1672"/>
        <v>0</v>
      </c>
      <c r="M1421" s="64">
        <f t="shared" si="1673"/>
        <v>0</v>
      </c>
      <c r="N1421" s="63">
        <f t="shared" si="1674"/>
        <v>0</v>
      </c>
      <c r="O1421" s="65" t="str">
        <f t="shared" ref="O1421" si="1745">+IF(Y1421="Domingo",SUM(AA1415:AA1421)&amp;"-"&amp;SUM(AB1415:AB1421)&amp;"-"&amp;SUM(AC1415:AE1421),"")</f>
        <v>0-0-0</v>
      </c>
      <c r="P1421" s="66">
        <f>+IF(AND(Y1421="Domingo",U1421=7),_xlfn.XLOOKUP(O1421,'Horarios y Sistemas'!C:C,'Horarios y Sistemas'!H:H,0,0,1),0)</f>
        <v>0</v>
      </c>
      <c r="Q1421" s="66">
        <f>IF(U1421=U1422,0,IF(AVERAGEIF(W:W,W1421,U:U)=U1421,0,_xlfn.XLOOKUP(O1421,'Horarios y Sistemas'!C:C,'Horarios y Sistemas'!H:H,0,0,1)-P1421))/7*U1421</f>
        <v>0</v>
      </c>
      <c r="R1421" s="66">
        <f t="shared" si="1676"/>
        <v>0</v>
      </c>
      <c r="S1421" s="67" t="str">
        <f t="shared" si="1677"/>
        <v>ENERO</v>
      </c>
      <c r="T1421" s="55" t="str">
        <f t="shared" si="1678"/>
        <v>Sem52</v>
      </c>
      <c r="U1421" s="68">
        <f t="shared" si="1740"/>
        <v>196</v>
      </c>
      <c r="V1421" s="69"/>
      <c r="W1421" s="68">
        <f t="shared" si="1679"/>
        <v>52</v>
      </c>
      <c r="X1421" s="68">
        <f t="shared" si="1680"/>
        <v>0</v>
      </c>
      <c r="Y1421" s="68" t="s">
        <v>34</v>
      </c>
      <c r="Z1421" s="68">
        <v>7</v>
      </c>
      <c r="AA1421" s="70">
        <f t="shared" si="1728"/>
        <v>0</v>
      </c>
      <c r="AB1421" s="70">
        <f t="shared" si="1728"/>
        <v>0</v>
      </c>
      <c r="AC1421" s="70">
        <f t="shared" si="1728"/>
        <v>0</v>
      </c>
      <c r="AD1421" s="70">
        <f t="shared" si="1728"/>
        <v>0</v>
      </c>
      <c r="AE1421" s="70">
        <f t="shared" si="1728"/>
        <v>0</v>
      </c>
    </row>
    <row r="1422" spans="2:31">
      <c r="H1422" s="49"/>
      <c r="I1422" s="50"/>
      <c r="J1422" s="51"/>
      <c r="K1422" s="51"/>
      <c r="L1422" s="51"/>
      <c r="M1422" s="52"/>
      <c r="N1422" s="51"/>
      <c r="O1422" s="53"/>
      <c r="P1422" s="54"/>
      <c r="Q1422" s="54"/>
      <c r="R1422" s="54"/>
      <c r="S1422" s="55"/>
      <c r="T1422" s="55"/>
      <c r="U1422" s="56"/>
      <c r="V1422" s="57"/>
      <c r="W1422" s="56"/>
      <c r="X1422" s="56"/>
      <c r="Y1422" s="56"/>
      <c r="Z1422" s="56"/>
      <c r="AA1422" s="58"/>
      <c r="AB1422" s="58"/>
      <c r="AC1422" s="58"/>
      <c r="AD1422" s="58"/>
      <c r="AE1422" s="58"/>
    </row>
    <row r="1423" spans="2:31">
      <c r="H1423" s="49"/>
      <c r="I1423" s="50"/>
      <c r="J1423" s="51"/>
      <c r="K1423" s="51"/>
      <c r="L1423" s="51"/>
      <c r="M1423" s="52"/>
      <c r="N1423" s="51"/>
      <c r="O1423" s="53"/>
      <c r="P1423" s="54"/>
      <c r="Q1423" s="54"/>
      <c r="R1423" s="54"/>
      <c r="S1423" s="55"/>
      <c r="T1423" s="55"/>
      <c r="U1423" s="56"/>
      <c r="V1423" s="59"/>
      <c r="W1423" s="56"/>
      <c r="X1423" s="56"/>
      <c r="Y1423" s="56"/>
      <c r="Z1423" s="56"/>
      <c r="AA1423" s="58"/>
      <c r="AB1423" s="58"/>
      <c r="AC1423" s="58"/>
      <c r="AD1423" s="58"/>
      <c r="AE1423" s="58"/>
    </row>
    <row r="1424" spans="2:31">
      <c r="H1424" s="49"/>
      <c r="I1424" s="50"/>
      <c r="J1424" s="51"/>
      <c r="K1424" s="51"/>
      <c r="L1424" s="51"/>
      <c r="M1424" s="52"/>
      <c r="N1424" s="51"/>
      <c r="O1424" s="53"/>
      <c r="P1424" s="54"/>
      <c r="Q1424" s="54"/>
      <c r="R1424" s="54"/>
      <c r="S1424" s="55"/>
      <c r="T1424" s="55"/>
      <c r="U1424" s="56"/>
      <c r="V1424" s="59"/>
      <c r="W1424" s="56"/>
      <c r="X1424" s="56"/>
      <c r="Y1424" s="56"/>
      <c r="Z1424" s="56"/>
      <c r="AA1424" s="58"/>
      <c r="AB1424" s="58"/>
      <c r="AC1424" s="58"/>
      <c r="AD1424" s="58"/>
      <c r="AE1424" s="58"/>
    </row>
    <row r="1425" spans="2:31">
      <c r="H1425" s="49"/>
      <c r="I1425" s="50"/>
      <c r="J1425" s="51"/>
      <c r="K1425" s="51"/>
      <c r="L1425" s="51"/>
      <c r="M1425" s="52"/>
      <c r="N1425" s="51"/>
      <c r="O1425" s="53"/>
      <c r="P1425" s="54"/>
      <c r="Q1425" s="54"/>
      <c r="R1425" s="54"/>
      <c r="S1425" s="55"/>
      <c r="T1425" s="55"/>
      <c r="U1425" s="56"/>
      <c r="V1425" s="59"/>
      <c r="W1425" s="56"/>
      <c r="X1425" s="56"/>
      <c r="Y1425" s="56"/>
      <c r="Z1425" s="56"/>
      <c r="AA1425" s="58"/>
      <c r="AB1425" s="58"/>
      <c r="AC1425" s="58"/>
      <c r="AD1425" s="58"/>
      <c r="AE1425" s="58"/>
    </row>
    <row r="1426" spans="2:31">
      <c r="H1426" s="49"/>
      <c r="I1426" s="50"/>
      <c r="J1426" s="51"/>
      <c r="K1426" s="51"/>
      <c r="L1426" s="51"/>
      <c r="M1426" s="52"/>
      <c r="N1426" s="51"/>
      <c r="O1426" s="53"/>
      <c r="P1426" s="54"/>
      <c r="Q1426" s="54"/>
      <c r="R1426" s="54"/>
      <c r="S1426" s="55"/>
      <c r="T1426" s="55"/>
      <c r="U1426" s="56"/>
      <c r="V1426" s="59"/>
      <c r="W1426" s="56"/>
      <c r="X1426" s="56"/>
      <c r="Y1426" s="56"/>
      <c r="Z1426" s="56"/>
      <c r="AA1426" s="58"/>
      <c r="AB1426" s="58"/>
      <c r="AC1426" s="58"/>
      <c r="AD1426" s="58"/>
      <c r="AE1426" s="58"/>
    </row>
    <row r="1427" spans="2:31">
      <c r="H1427" s="49"/>
      <c r="I1427" s="50"/>
      <c r="J1427" s="51"/>
      <c r="K1427" s="51"/>
      <c r="L1427" s="51"/>
      <c r="M1427" s="52"/>
      <c r="N1427" s="51"/>
      <c r="O1427" s="53"/>
      <c r="P1427" s="54"/>
      <c r="Q1427" s="54"/>
      <c r="R1427" s="54"/>
      <c r="S1427" s="55"/>
      <c r="T1427" s="55"/>
      <c r="U1427" s="56"/>
      <c r="V1427" s="59"/>
      <c r="W1427" s="56"/>
      <c r="X1427" s="56"/>
      <c r="Y1427" s="56"/>
      <c r="Z1427" s="56"/>
      <c r="AA1427" s="58"/>
      <c r="AB1427" s="58"/>
      <c r="AC1427" s="58"/>
      <c r="AD1427" s="58"/>
      <c r="AE1427" s="58"/>
    </row>
    <row r="1428" spans="2:31">
      <c r="B1428" s="60"/>
      <c r="C1428" s="60"/>
      <c r="D1428" s="60"/>
      <c r="E1428" s="60"/>
      <c r="F1428" s="60"/>
      <c r="G1428" s="60"/>
      <c r="H1428" s="61"/>
      <c r="I1428" s="62"/>
      <c r="J1428" s="63"/>
      <c r="K1428" s="63"/>
      <c r="L1428" s="63"/>
      <c r="M1428" s="64"/>
      <c r="N1428" s="63"/>
      <c r="O1428" s="65"/>
      <c r="P1428" s="66"/>
      <c r="Q1428" s="66"/>
      <c r="R1428" s="66"/>
      <c r="S1428" s="67"/>
      <c r="T1428" s="55"/>
      <c r="U1428" s="68"/>
      <c r="V1428" s="69"/>
      <c r="W1428" s="68"/>
      <c r="X1428" s="68"/>
      <c r="Y1428" s="68"/>
      <c r="Z1428" s="68"/>
      <c r="AA1428" s="70"/>
      <c r="AB1428" s="70"/>
      <c r="AC1428" s="70"/>
      <c r="AD1428" s="70"/>
      <c r="AE1428" s="70"/>
    </row>
    <row r="1429" spans="2:31">
      <c r="H1429" s="49"/>
      <c r="I1429" s="50"/>
      <c r="J1429" s="51"/>
      <c r="K1429" s="51"/>
      <c r="L1429" s="51"/>
      <c r="M1429" s="52"/>
      <c r="N1429" s="51"/>
      <c r="O1429" s="53"/>
      <c r="P1429" s="54"/>
      <c r="Q1429" s="54"/>
      <c r="R1429" s="54"/>
      <c r="S1429" s="55"/>
      <c r="T1429" s="55"/>
      <c r="U1429" s="56"/>
      <c r="V1429" s="59"/>
      <c r="W1429" s="56"/>
      <c r="X1429" s="56"/>
      <c r="Y1429" s="56"/>
      <c r="Z1429" s="56"/>
      <c r="AA1429" s="58"/>
      <c r="AB1429" s="58"/>
      <c r="AC1429" s="58"/>
      <c r="AD1429" s="58"/>
      <c r="AE1429" s="58"/>
    </row>
    <row r="1430" spans="2:31">
      <c r="H1430" s="49"/>
      <c r="I1430" s="50"/>
      <c r="J1430" s="51"/>
      <c r="K1430" s="51"/>
      <c r="L1430" s="51"/>
      <c r="M1430" s="52"/>
      <c r="N1430" s="51"/>
      <c r="O1430" s="53"/>
      <c r="P1430" s="54"/>
      <c r="Q1430" s="54"/>
      <c r="R1430" s="54"/>
      <c r="S1430" s="55"/>
      <c r="T1430" s="55"/>
      <c r="U1430" s="56"/>
      <c r="V1430" s="59"/>
      <c r="W1430" s="56"/>
      <c r="X1430" s="56"/>
      <c r="Y1430" s="56"/>
      <c r="Z1430" s="56"/>
      <c r="AA1430" s="58"/>
      <c r="AB1430" s="58"/>
      <c r="AC1430" s="58"/>
      <c r="AD1430" s="58"/>
      <c r="AE1430" s="58"/>
    </row>
    <row r="1431" spans="2:31">
      <c r="H1431" s="49"/>
      <c r="I1431" s="50"/>
      <c r="J1431" s="51"/>
      <c r="K1431" s="51"/>
      <c r="L1431" s="51"/>
      <c r="M1431" s="52"/>
      <c r="N1431" s="51"/>
      <c r="O1431" s="53"/>
      <c r="P1431" s="54"/>
      <c r="Q1431" s="54"/>
      <c r="R1431" s="54"/>
      <c r="S1431" s="55"/>
      <c r="T1431" s="55"/>
      <c r="U1431" s="56"/>
      <c r="V1431" s="59"/>
      <c r="W1431" s="56"/>
      <c r="X1431" s="56"/>
      <c r="Y1431" s="56"/>
      <c r="Z1431" s="56"/>
      <c r="AA1431" s="58"/>
      <c r="AB1431" s="58"/>
      <c r="AC1431" s="58"/>
      <c r="AD1431" s="58"/>
      <c r="AE1431" s="58"/>
    </row>
    <row r="1432" spans="2:31">
      <c r="H1432" s="49"/>
      <c r="I1432" s="50"/>
      <c r="J1432" s="51"/>
      <c r="K1432" s="51"/>
      <c r="L1432" s="51"/>
      <c r="M1432" s="52"/>
      <c r="N1432" s="51"/>
      <c r="O1432" s="53"/>
      <c r="P1432" s="54"/>
      <c r="Q1432" s="54"/>
      <c r="R1432" s="54"/>
      <c r="S1432" s="55"/>
      <c r="T1432" s="55"/>
      <c r="U1432" s="56"/>
      <c r="V1432" s="59"/>
      <c r="W1432" s="56"/>
      <c r="X1432" s="56"/>
      <c r="Y1432" s="56"/>
      <c r="Z1432" s="56"/>
      <c r="AA1432" s="58"/>
      <c r="AB1432" s="58"/>
      <c r="AC1432" s="58"/>
      <c r="AD1432" s="58"/>
      <c r="AE1432" s="58"/>
    </row>
    <row r="1433" spans="2:31">
      <c r="H1433" s="49"/>
      <c r="I1433" s="50"/>
      <c r="J1433" s="51"/>
      <c r="K1433" s="51"/>
      <c r="L1433" s="51"/>
      <c r="M1433" s="52"/>
      <c r="N1433" s="51"/>
      <c r="O1433" s="53"/>
      <c r="P1433" s="54"/>
      <c r="Q1433" s="54"/>
      <c r="R1433" s="54"/>
      <c r="S1433" s="55"/>
      <c r="T1433" s="55"/>
      <c r="U1433" s="56"/>
      <c r="V1433" s="59"/>
      <c r="W1433" s="56"/>
      <c r="X1433" s="56"/>
      <c r="Y1433" s="56"/>
      <c r="Z1433" s="56"/>
      <c r="AA1433" s="58"/>
      <c r="AB1433" s="58"/>
      <c r="AC1433" s="58"/>
      <c r="AD1433" s="58"/>
      <c r="AE1433" s="58"/>
    </row>
    <row r="1434" spans="2:31">
      <c r="H1434" s="49"/>
      <c r="I1434" s="50"/>
      <c r="J1434" s="51"/>
      <c r="K1434" s="51"/>
      <c r="L1434" s="51"/>
      <c r="M1434" s="52"/>
      <c r="N1434" s="51"/>
      <c r="O1434" s="53"/>
      <c r="P1434" s="54"/>
      <c r="Q1434" s="54"/>
      <c r="R1434" s="54"/>
      <c r="S1434" s="55"/>
      <c r="T1434" s="55"/>
      <c r="U1434" s="56"/>
      <c r="V1434" s="59"/>
      <c r="W1434" s="56"/>
      <c r="X1434" s="56"/>
      <c r="Y1434" s="56"/>
      <c r="Z1434" s="56"/>
      <c r="AA1434" s="58"/>
      <c r="AB1434" s="58"/>
      <c r="AC1434" s="58"/>
      <c r="AD1434" s="58"/>
      <c r="AE1434" s="58"/>
    </row>
    <row r="1435" spans="2:31">
      <c r="B1435" s="60"/>
      <c r="C1435" s="60"/>
      <c r="D1435" s="60"/>
      <c r="E1435" s="60"/>
      <c r="F1435" s="60"/>
      <c r="G1435" s="60"/>
      <c r="H1435" s="61"/>
      <c r="I1435" s="62"/>
      <c r="J1435" s="63"/>
      <c r="K1435" s="63"/>
      <c r="L1435" s="63"/>
      <c r="M1435" s="64"/>
      <c r="N1435" s="63"/>
      <c r="O1435" s="65"/>
      <c r="P1435" s="66"/>
      <c r="Q1435" s="66"/>
      <c r="R1435" s="66"/>
      <c r="S1435" s="67"/>
      <c r="T1435" s="55"/>
      <c r="U1435" s="68"/>
      <c r="V1435" s="69"/>
      <c r="W1435" s="68"/>
      <c r="X1435" s="68"/>
      <c r="Y1435" s="68"/>
      <c r="Z1435" s="68"/>
      <c r="AA1435" s="70"/>
      <c r="AB1435" s="70"/>
      <c r="AC1435" s="70"/>
      <c r="AD1435" s="70"/>
      <c r="AE1435" s="70"/>
    </row>
    <row r="1436" spans="2:31">
      <c r="H1436" s="49"/>
      <c r="I1436" s="50"/>
      <c r="J1436" s="51"/>
      <c r="K1436" s="51"/>
      <c r="L1436" s="51"/>
      <c r="M1436" s="52"/>
      <c r="N1436" s="51"/>
      <c r="O1436" s="53"/>
      <c r="P1436" s="54"/>
      <c r="Q1436" s="54"/>
      <c r="R1436" s="54"/>
      <c r="S1436" s="55"/>
      <c r="T1436" s="55"/>
      <c r="U1436" s="56"/>
      <c r="V1436" s="59"/>
      <c r="W1436" s="56"/>
      <c r="X1436" s="56"/>
      <c r="Y1436" s="56"/>
      <c r="Z1436" s="56"/>
      <c r="AA1436" s="58"/>
      <c r="AB1436" s="58"/>
      <c r="AC1436" s="58"/>
      <c r="AD1436" s="58"/>
      <c r="AE1436" s="58"/>
    </row>
    <row r="1437" spans="2:31">
      <c r="H1437" s="49"/>
      <c r="I1437" s="50"/>
      <c r="J1437" s="51"/>
      <c r="K1437" s="51"/>
      <c r="L1437" s="51"/>
      <c r="M1437" s="52"/>
      <c r="N1437" s="51"/>
      <c r="O1437" s="53"/>
      <c r="P1437" s="54"/>
      <c r="Q1437" s="54"/>
      <c r="R1437" s="54"/>
      <c r="S1437" s="55"/>
      <c r="T1437" s="55"/>
      <c r="U1437" s="56"/>
      <c r="V1437" s="59"/>
      <c r="W1437" s="56"/>
      <c r="X1437" s="56"/>
      <c r="Y1437" s="56"/>
      <c r="Z1437" s="56"/>
      <c r="AA1437" s="58"/>
      <c r="AB1437" s="58"/>
      <c r="AC1437" s="58"/>
      <c r="AD1437" s="58"/>
      <c r="AE1437" s="58"/>
    </row>
    <row r="1438" spans="2:31">
      <c r="H1438" s="49"/>
      <c r="I1438" s="50"/>
      <c r="J1438" s="51"/>
      <c r="K1438" s="51"/>
      <c r="L1438" s="51"/>
      <c r="M1438" s="52"/>
      <c r="N1438" s="51"/>
      <c r="O1438" s="53"/>
      <c r="P1438" s="54"/>
      <c r="Q1438" s="54"/>
      <c r="R1438" s="54"/>
      <c r="S1438" s="55"/>
      <c r="T1438" s="55"/>
      <c r="U1438" s="56"/>
      <c r="V1438" s="59"/>
      <c r="W1438" s="56"/>
      <c r="X1438" s="56"/>
      <c r="Y1438" s="56"/>
      <c r="Z1438" s="56"/>
      <c r="AA1438" s="58"/>
      <c r="AB1438" s="58"/>
      <c r="AC1438" s="58"/>
      <c r="AD1438" s="58"/>
      <c r="AE1438" s="58"/>
    </row>
    <row r="1439" spans="2:31">
      <c r="H1439" s="49"/>
      <c r="I1439" s="50"/>
      <c r="J1439" s="51"/>
      <c r="K1439" s="51"/>
      <c r="L1439" s="51"/>
      <c r="M1439" s="52"/>
      <c r="N1439" s="51"/>
      <c r="O1439" s="53"/>
      <c r="P1439" s="54"/>
      <c r="Q1439" s="54"/>
      <c r="R1439" s="54"/>
      <c r="S1439" s="55"/>
      <c r="T1439" s="55"/>
      <c r="U1439" s="56"/>
      <c r="V1439" s="59"/>
      <c r="W1439" s="56"/>
      <c r="X1439" s="56"/>
      <c r="Y1439" s="56"/>
      <c r="Z1439" s="56"/>
      <c r="AA1439" s="58"/>
      <c r="AB1439" s="58"/>
      <c r="AC1439" s="58"/>
      <c r="AD1439" s="58"/>
      <c r="AE1439" s="58"/>
    </row>
    <row r="1440" spans="2:31">
      <c r="H1440" s="49"/>
      <c r="I1440" s="50"/>
      <c r="J1440" s="51"/>
      <c r="K1440" s="51"/>
      <c r="L1440" s="51"/>
      <c r="M1440" s="52"/>
      <c r="N1440" s="51"/>
      <c r="O1440" s="53"/>
      <c r="P1440" s="54"/>
      <c r="Q1440" s="54"/>
      <c r="R1440" s="54"/>
      <c r="S1440" s="55"/>
      <c r="T1440" s="55"/>
      <c r="U1440" s="56"/>
      <c r="V1440" s="59"/>
      <c r="W1440" s="56"/>
      <c r="X1440" s="56"/>
      <c r="Y1440" s="56"/>
      <c r="Z1440" s="56"/>
      <c r="AA1440" s="58"/>
      <c r="AB1440" s="58"/>
      <c r="AC1440" s="58"/>
      <c r="AD1440" s="58"/>
      <c r="AE1440" s="58"/>
    </row>
    <row r="1441" spans="2:31">
      <c r="H1441" s="49"/>
      <c r="I1441" s="50"/>
      <c r="J1441" s="51"/>
      <c r="K1441" s="51"/>
      <c r="L1441" s="51"/>
      <c r="M1441" s="52"/>
      <c r="N1441" s="51"/>
      <c r="O1441" s="53"/>
      <c r="P1441" s="54"/>
      <c r="Q1441" s="54"/>
      <c r="R1441" s="54"/>
      <c r="S1441" s="55"/>
      <c r="T1441" s="55"/>
      <c r="U1441" s="56"/>
      <c r="V1441" s="59"/>
      <c r="W1441" s="56"/>
      <c r="X1441" s="56"/>
      <c r="Y1441" s="56"/>
      <c r="Z1441" s="56"/>
      <c r="AA1441" s="58"/>
      <c r="AB1441" s="58"/>
      <c r="AC1441" s="58"/>
      <c r="AD1441" s="58"/>
      <c r="AE1441" s="58"/>
    </row>
    <row r="1442" spans="2:31">
      <c r="B1442" s="60"/>
      <c r="C1442" s="60"/>
      <c r="D1442" s="60"/>
      <c r="E1442" s="60"/>
      <c r="F1442" s="60"/>
      <c r="G1442" s="60"/>
      <c r="H1442" s="61"/>
      <c r="I1442" s="62"/>
      <c r="J1442" s="63"/>
      <c r="K1442" s="63"/>
      <c r="L1442" s="63"/>
      <c r="M1442" s="64"/>
      <c r="N1442" s="63"/>
      <c r="O1442" s="65"/>
      <c r="P1442" s="66"/>
      <c r="Q1442" s="66"/>
      <c r="R1442" s="66"/>
      <c r="S1442" s="67"/>
      <c r="T1442" s="55"/>
      <c r="U1442" s="68"/>
      <c r="V1442" s="69"/>
      <c r="W1442" s="68"/>
      <c r="X1442" s="68"/>
      <c r="Y1442" s="68"/>
      <c r="Z1442" s="68"/>
      <c r="AA1442" s="70"/>
      <c r="AB1442" s="70"/>
      <c r="AC1442" s="70"/>
      <c r="AD1442" s="70"/>
      <c r="AE1442" s="70"/>
    </row>
    <row r="1443" spans="2:31">
      <c r="H1443" s="49"/>
      <c r="I1443" s="50"/>
      <c r="J1443" s="51"/>
      <c r="K1443" s="51"/>
      <c r="L1443" s="51"/>
      <c r="M1443" s="52"/>
      <c r="N1443" s="51"/>
      <c r="O1443" s="53"/>
      <c r="P1443" s="54"/>
      <c r="Q1443" s="54"/>
      <c r="R1443" s="54"/>
      <c r="S1443" s="55"/>
      <c r="T1443" s="55"/>
      <c r="U1443" s="56"/>
      <c r="V1443" s="57"/>
      <c r="W1443" s="56"/>
      <c r="X1443" s="56"/>
      <c r="Y1443" s="56"/>
      <c r="Z1443" s="56"/>
      <c r="AA1443" s="58"/>
      <c r="AB1443" s="58"/>
      <c r="AC1443" s="58"/>
      <c r="AD1443" s="58"/>
      <c r="AE1443" s="58"/>
    </row>
    <row r="1444" spans="2:31">
      <c r="H1444" s="49"/>
      <c r="I1444" s="50"/>
      <c r="J1444" s="51"/>
      <c r="K1444" s="51"/>
      <c r="L1444" s="51"/>
      <c r="M1444" s="52"/>
      <c r="N1444" s="51"/>
      <c r="O1444" s="53"/>
      <c r="P1444" s="54"/>
      <c r="Q1444" s="54"/>
      <c r="R1444" s="54"/>
      <c r="S1444" s="55"/>
      <c r="T1444" s="55"/>
      <c r="U1444" s="56"/>
      <c r="V1444" s="59"/>
      <c r="W1444" s="56"/>
      <c r="X1444" s="56"/>
      <c r="Y1444" s="56"/>
      <c r="Z1444" s="56"/>
      <c r="AA1444" s="58"/>
      <c r="AB1444" s="58"/>
      <c r="AC1444" s="58"/>
      <c r="AD1444" s="58"/>
      <c r="AE1444" s="58"/>
    </row>
    <row r="1445" spans="2:31">
      <c r="H1445" s="49"/>
      <c r="I1445" s="50"/>
      <c r="J1445" s="51"/>
      <c r="K1445" s="51"/>
      <c r="L1445" s="51"/>
      <c r="M1445" s="52"/>
      <c r="N1445" s="51"/>
      <c r="O1445" s="53"/>
      <c r="P1445" s="54"/>
      <c r="Q1445" s="54"/>
      <c r="R1445" s="54"/>
      <c r="S1445" s="55"/>
      <c r="T1445" s="55"/>
      <c r="U1445" s="56"/>
      <c r="V1445" s="59"/>
      <c r="W1445" s="56"/>
      <c r="X1445" s="56"/>
      <c r="Y1445" s="56"/>
      <c r="Z1445" s="56"/>
      <c r="AA1445" s="58"/>
      <c r="AB1445" s="58"/>
      <c r="AC1445" s="58"/>
      <c r="AD1445" s="58"/>
      <c r="AE1445" s="58"/>
    </row>
    <row r="1446" spans="2:31">
      <c r="H1446" s="49"/>
      <c r="I1446" s="50"/>
      <c r="J1446" s="51"/>
      <c r="K1446" s="51"/>
      <c r="L1446" s="51"/>
      <c r="M1446" s="52"/>
      <c r="N1446" s="51"/>
      <c r="O1446" s="53"/>
      <c r="P1446" s="54"/>
      <c r="Q1446" s="54"/>
      <c r="R1446" s="54"/>
      <c r="S1446" s="55"/>
      <c r="T1446" s="55"/>
      <c r="U1446" s="56"/>
      <c r="V1446" s="59"/>
      <c r="W1446" s="56"/>
      <c r="X1446" s="56"/>
      <c r="Y1446" s="56"/>
      <c r="Z1446" s="56"/>
      <c r="AA1446" s="58"/>
      <c r="AB1446" s="58"/>
      <c r="AC1446" s="58"/>
      <c r="AD1446" s="58"/>
      <c r="AE1446" s="58"/>
    </row>
    <row r="1447" spans="2:31">
      <c r="H1447" s="49"/>
      <c r="I1447" s="50"/>
      <c r="J1447" s="51"/>
      <c r="K1447" s="51"/>
      <c r="L1447" s="51"/>
      <c r="M1447" s="52"/>
      <c r="N1447" s="51"/>
      <c r="O1447" s="53"/>
      <c r="P1447" s="54"/>
      <c r="Q1447" s="54"/>
      <c r="R1447" s="54"/>
      <c r="S1447" s="55"/>
      <c r="T1447" s="55"/>
      <c r="U1447" s="56"/>
      <c r="V1447" s="59"/>
      <c r="W1447" s="56"/>
      <c r="X1447" s="56"/>
      <c r="Y1447" s="56"/>
      <c r="Z1447" s="56"/>
      <c r="AA1447" s="58"/>
      <c r="AB1447" s="58"/>
      <c r="AC1447" s="58"/>
      <c r="AD1447" s="58"/>
      <c r="AE1447" s="58"/>
    </row>
    <row r="1448" spans="2:31">
      <c r="H1448" s="49"/>
      <c r="I1448" s="50"/>
      <c r="J1448" s="51"/>
      <c r="K1448" s="51"/>
      <c r="L1448" s="51"/>
      <c r="M1448" s="52"/>
      <c r="N1448" s="51"/>
      <c r="O1448" s="53"/>
      <c r="P1448" s="54"/>
      <c r="Q1448" s="54"/>
      <c r="R1448" s="54"/>
      <c r="S1448" s="55"/>
      <c r="T1448" s="55"/>
      <c r="U1448" s="56"/>
      <c r="V1448" s="59"/>
      <c r="W1448" s="56"/>
      <c r="X1448" s="56"/>
      <c r="Y1448" s="56"/>
      <c r="Z1448" s="56"/>
      <c r="AA1448" s="58"/>
      <c r="AB1448" s="58"/>
      <c r="AC1448" s="58"/>
      <c r="AD1448" s="58"/>
      <c r="AE1448" s="58"/>
    </row>
    <row r="1449" spans="2:31">
      <c r="B1449" s="60"/>
      <c r="C1449" s="60"/>
      <c r="D1449" s="60"/>
      <c r="E1449" s="60"/>
      <c r="F1449" s="60"/>
      <c r="G1449" s="60"/>
      <c r="H1449" s="61"/>
      <c r="I1449" s="62"/>
      <c r="J1449" s="63"/>
      <c r="K1449" s="63"/>
      <c r="L1449" s="63"/>
      <c r="M1449" s="64"/>
      <c r="N1449" s="63"/>
      <c r="O1449" s="65"/>
      <c r="P1449" s="66"/>
      <c r="Q1449" s="66"/>
      <c r="R1449" s="66"/>
      <c r="S1449" s="67"/>
      <c r="T1449" s="55"/>
      <c r="U1449" s="68"/>
      <c r="V1449" s="69"/>
      <c r="W1449" s="68"/>
      <c r="X1449" s="68"/>
      <c r="Y1449" s="68"/>
      <c r="Z1449" s="68"/>
      <c r="AA1449" s="70"/>
      <c r="AB1449" s="70"/>
      <c r="AC1449" s="70"/>
      <c r="AD1449" s="70"/>
      <c r="AE1449" s="70"/>
    </row>
    <row r="1450" spans="2:31">
      <c r="H1450" s="49"/>
      <c r="I1450" s="50"/>
      <c r="J1450" s="51"/>
      <c r="K1450" s="51"/>
      <c r="L1450" s="51"/>
      <c r="M1450" s="52"/>
      <c r="N1450" s="51"/>
      <c r="O1450" s="53"/>
      <c r="P1450" s="54"/>
      <c r="Q1450" s="54"/>
      <c r="R1450" s="54"/>
      <c r="S1450" s="55"/>
      <c r="T1450" s="55"/>
      <c r="U1450" s="56"/>
      <c r="V1450" s="59"/>
      <c r="W1450" s="56"/>
      <c r="X1450" s="56"/>
      <c r="Y1450" s="56"/>
      <c r="Z1450" s="56"/>
      <c r="AA1450" s="58"/>
      <c r="AB1450" s="58"/>
      <c r="AC1450" s="58"/>
      <c r="AD1450" s="58"/>
      <c r="AE1450" s="58"/>
    </row>
    <row r="1451" spans="2:31">
      <c r="H1451" s="49"/>
      <c r="I1451" s="50"/>
      <c r="J1451" s="51"/>
      <c r="K1451" s="51"/>
      <c r="L1451" s="51"/>
      <c r="M1451" s="52"/>
      <c r="N1451" s="51"/>
      <c r="O1451" s="53"/>
      <c r="P1451" s="54"/>
      <c r="Q1451" s="54"/>
      <c r="R1451" s="54"/>
      <c r="S1451" s="55"/>
      <c r="T1451" s="55"/>
      <c r="U1451" s="56"/>
      <c r="V1451" s="59"/>
      <c r="W1451" s="56"/>
      <c r="X1451" s="56"/>
      <c r="Y1451" s="56"/>
      <c r="Z1451" s="56"/>
      <c r="AA1451" s="58"/>
      <c r="AB1451" s="58"/>
      <c r="AC1451" s="58"/>
      <c r="AD1451" s="58"/>
      <c r="AE1451" s="58"/>
    </row>
    <row r="1452" spans="2:31">
      <c r="H1452" s="49"/>
      <c r="I1452" s="50"/>
      <c r="J1452" s="51"/>
      <c r="K1452" s="51"/>
      <c r="L1452" s="51"/>
      <c r="M1452" s="52"/>
      <c r="N1452" s="51"/>
      <c r="O1452" s="53"/>
      <c r="P1452" s="54"/>
      <c r="Q1452" s="54"/>
      <c r="R1452" s="54"/>
      <c r="S1452" s="55"/>
      <c r="T1452" s="55"/>
      <c r="U1452" s="56"/>
      <c r="V1452" s="59"/>
      <c r="W1452" s="56"/>
      <c r="X1452" s="56"/>
      <c r="Y1452" s="56"/>
      <c r="Z1452" s="56"/>
      <c r="AA1452" s="58"/>
      <c r="AB1452" s="58"/>
      <c r="AC1452" s="58"/>
      <c r="AD1452" s="58"/>
      <c r="AE1452" s="58"/>
    </row>
    <row r="1453" spans="2:31">
      <c r="H1453" s="49"/>
      <c r="I1453" s="50"/>
      <c r="J1453" s="51"/>
      <c r="K1453" s="51"/>
      <c r="L1453" s="51"/>
      <c r="M1453" s="52"/>
      <c r="N1453" s="51"/>
      <c r="O1453" s="53"/>
      <c r="P1453" s="54"/>
      <c r="Q1453" s="54"/>
      <c r="R1453" s="54"/>
      <c r="S1453" s="55"/>
      <c r="T1453" s="55"/>
      <c r="U1453" s="56"/>
      <c r="V1453" s="59"/>
      <c r="W1453" s="56"/>
      <c r="X1453" s="56"/>
      <c r="Y1453" s="56"/>
      <c r="Z1453" s="56"/>
      <c r="AA1453" s="58"/>
      <c r="AB1453" s="58"/>
      <c r="AC1453" s="58"/>
      <c r="AD1453" s="58"/>
      <c r="AE1453" s="58"/>
    </row>
    <row r="1454" spans="2:31">
      <c r="H1454" s="49"/>
      <c r="I1454" s="50"/>
      <c r="J1454" s="51"/>
      <c r="K1454" s="51"/>
      <c r="L1454" s="51"/>
      <c r="M1454" s="52"/>
      <c r="N1454" s="51"/>
      <c r="O1454" s="53"/>
      <c r="P1454" s="54"/>
      <c r="Q1454" s="54"/>
      <c r="R1454" s="54"/>
      <c r="S1454" s="55"/>
      <c r="T1454" s="55"/>
      <c r="U1454" s="56"/>
      <c r="V1454" s="59"/>
      <c r="W1454" s="56"/>
      <c r="X1454" s="56"/>
      <c r="Y1454" s="56"/>
      <c r="Z1454" s="56"/>
      <c r="AA1454" s="58"/>
      <c r="AB1454" s="58"/>
      <c r="AC1454" s="58"/>
      <c r="AD1454" s="58"/>
      <c r="AE1454" s="58"/>
    </row>
    <row r="1455" spans="2:31">
      <c r="H1455" s="49"/>
      <c r="I1455" s="50"/>
      <c r="J1455" s="51"/>
      <c r="K1455" s="51"/>
      <c r="L1455" s="51"/>
      <c r="M1455" s="52"/>
      <c r="N1455" s="51"/>
      <c r="O1455" s="53"/>
      <c r="P1455" s="54"/>
      <c r="Q1455" s="54"/>
      <c r="R1455" s="54"/>
      <c r="S1455" s="55"/>
      <c r="T1455" s="55"/>
      <c r="U1455" s="56"/>
      <c r="V1455" s="59"/>
      <c r="W1455" s="56"/>
      <c r="X1455" s="56"/>
      <c r="Y1455" s="56"/>
      <c r="Z1455" s="56"/>
      <c r="AA1455" s="58"/>
      <c r="AB1455" s="58"/>
      <c r="AC1455" s="58"/>
      <c r="AD1455" s="58"/>
      <c r="AE1455" s="58"/>
    </row>
    <row r="1456" spans="2:31">
      <c r="B1456" s="60"/>
      <c r="C1456" s="60"/>
      <c r="D1456" s="60"/>
      <c r="E1456" s="60"/>
      <c r="F1456" s="60"/>
      <c r="G1456" s="60"/>
      <c r="H1456" s="61"/>
      <c r="I1456" s="62"/>
      <c r="J1456" s="63"/>
      <c r="K1456" s="63"/>
      <c r="L1456" s="63"/>
      <c r="M1456" s="64"/>
      <c r="N1456" s="63"/>
      <c r="O1456" s="65"/>
      <c r="P1456" s="66"/>
      <c r="Q1456" s="66"/>
      <c r="R1456" s="66"/>
      <c r="S1456" s="67"/>
      <c r="T1456" s="55"/>
      <c r="U1456" s="68"/>
      <c r="V1456" s="69"/>
      <c r="W1456" s="68"/>
      <c r="X1456" s="68"/>
      <c r="Y1456" s="68"/>
      <c r="Z1456" s="68"/>
      <c r="AA1456" s="70"/>
      <c r="AB1456" s="70"/>
      <c r="AC1456" s="70"/>
      <c r="AD1456" s="70"/>
      <c r="AE1456" s="70"/>
    </row>
    <row r="1457" spans="2:31">
      <c r="H1457" s="49"/>
      <c r="I1457" s="50"/>
      <c r="J1457" s="51"/>
      <c r="K1457" s="51"/>
      <c r="L1457" s="51"/>
      <c r="M1457" s="52"/>
      <c r="N1457" s="51"/>
      <c r="O1457" s="53"/>
      <c r="P1457" s="54"/>
      <c r="Q1457" s="54"/>
      <c r="R1457" s="54"/>
      <c r="S1457" s="55"/>
      <c r="T1457" s="55"/>
      <c r="U1457" s="56"/>
      <c r="V1457" s="59"/>
      <c r="W1457" s="56"/>
      <c r="X1457" s="56"/>
      <c r="Y1457" s="56"/>
      <c r="Z1457" s="56"/>
      <c r="AA1457" s="58"/>
      <c r="AB1457" s="58"/>
      <c r="AC1457" s="58"/>
      <c r="AD1457" s="58"/>
      <c r="AE1457" s="58"/>
    </row>
    <row r="1458" spans="2:31">
      <c r="H1458" s="49"/>
      <c r="I1458" s="50"/>
      <c r="J1458" s="51"/>
      <c r="K1458" s="51"/>
      <c r="L1458" s="51"/>
      <c r="M1458" s="52"/>
      <c r="N1458" s="51"/>
      <c r="O1458" s="53"/>
      <c r="P1458" s="54"/>
      <c r="Q1458" s="54"/>
      <c r="R1458" s="54"/>
      <c r="S1458" s="55"/>
      <c r="T1458" s="55"/>
      <c r="U1458" s="56"/>
      <c r="V1458" s="59"/>
      <c r="W1458" s="56"/>
      <c r="X1458" s="56"/>
      <c r="Y1458" s="56"/>
      <c r="Z1458" s="56"/>
      <c r="AA1458" s="58"/>
      <c r="AB1458" s="58"/>
      <c r="AC1458" s="58"/>
      <c r="AD1458" s="58"/>
      <c r="AE1458" s="58"/>
    </row>
    <row r="1459" spans="2:31">
      <c r="H1459" s="49"/>
      <c r="I1459" s="50"/>
      <c r="J1459" s="51"/>
      <c r="K1459" s="51"/>
      <c r="L1459" s="51"/>
      <c r="M1459" s="52"/>
      <c r="N1459" s="51"/>
      <c r="O1459" s="53"/>
      <c r="P1459" s="54"/>
      <c r="Q1459" s="54"/>
      <c r="R1459" s="54"/>
      <c r="S1459" s="55"/>
      <c r="T1459" s="55"/>
      <c r="U1459" s="56"/>
      <c r="V1459" s="59"/>
      <c r="W1459" s="56"/>
      <c r="X1459" s="56"/>
      <c r="Y1459" s="56"/>
      <c r="Z1459" s="56"/>
      <c r="AA1459" s="58"/>
      <c r="AB1459" s="58"/>
      <c r="AC1459" s="58"/>
      <c r="AD1459" s="58"/>
      <c r="AE1459" s="58"/>
    </row>
    <row r="1460" spans="2:31">
      <c r="H1460" s="49"/>
      <c r="I1460" s="50"/>
      <c r="J1460" s="51"/>
      <c r="K1460" s="51"/>
      <c r="L1460" s="51"/>
      <c r="M1460" s="52"/>
      <c r="N1460" s="51"/>
      <c r="O1460" s="53"/>
      <c r="P1460" s="54"/>
      <c r="Q1460" s="54"/>
      <c r="R1460" s="54"/>
      <c r="S1460" s="55"/>
      <c r="T1460" s="55"/>
      <c r="U1460" s="56"/>
      <c r="V1460" s="59"/>
      <c r="W1460" s="56"/>
      <c r="X1460" s="56"/>
      <c r="Y1460" s="56"/>
      <c r="Z1460" s="56"/>
      <c r="AA1460" s="58"/>
      <c r="AB1460" s="58"/>
      <c r="AC1460" s="58"/>
      <c r="AD1460" s="58"/>
      <c r="AE1460" s="58"/>
    </row>
    <row r="1461" spans="2:31">
      <c r="H1461" s="49"/>
      <c r="I1461" s="50"/>
      <c r="J1461" s="51"/>
      <c r="K1461" s="51"/>
      <c r="L1461" s="51"/>
      <c r="M1461" s="52"/>
      <c r="N1461" s="51"/>
      <c r="O1461" s="53"/>
      <c r="P1461" s="54"/>
      <c r="Q1461" s="54"/>
      <c r="R1461" s="54"/>
      <c r="S1461" s="55"/>
      <c r="T1461" s="55"/>
      <c r="U1461" s="56"/>
      <c r="V1461" s="59"/>
      <c r="W1461" s="56"/>
      <c r="X1461" s="56"/>
      <c r="Y1461" s="56"/>
      <c r="Z1461" s="56"/>
      <c r="AA1461" s="58"/>
      <c r="AB1461" s="58"/>
      <c r="AC1461" s="58"/>
      <c r="AD1461" s="58"/>
      <c r="AE1461" s="58"/>
    </row>
    <row r="1462" spans="2:31">
      <c r="H1462" s="49"/>
      <c r="I1462" s="50"/>
      <c r="J1462" s="51"/>
      <c r="K1462" s="51"/>
      <c r="L1462" s="51"/>
      <c r="M1462" s="52"/>
      <c r="N1462" s="51"/>
      <c r="O1462" s="53"/>
      <c r="P1462" s="54"/>
      <c r="Q1462" s="54"/>
      <c r="R1462" s="54"/>
      <c r="S1462" s="55"/>
      <c r="T1462" s="55"/>
      <c r="U1462" s="56"/>
      <c r="V1462" s="59"/>
      <c r="W1462" s="56"/>
      <c r="X1462" s="56"/>
      <c r="Y1462" s="56"/>
      <c r="Z1462" s="56"/>
      <c r="AA1462" s="58"/>
      <c r="AB1462" s="58"/>
      <c r="AC1462" s="58"/>
      <c r="AD1462" s="58"/>
      <c r="AE1462" s="58"/>
    </row>
    <row r="1463" spans="2:31">
      <c r="B1463" s="60"/>
      <c r="C1463" s="60"/>
      <c r="D1463" s="60"/>
      <c r="E1463" s="60"/>
      <c r="F1463" s="60"/>
      <c r="G1463" s="60"/>
      <c r="H1463" s="61"/>
      <c r="I1463" s="62"/>
      <c r="J1463" s="63"/>
      <c r="K1463" s="63"/>
      <c r="L1463" s="63"/>
      <c r="M1463" s="64"/>
      <c r="N1463" s="63"/>
      <c r="O1463" s="65"/>
      <c r="P1463" s="66"/>
      <c r="Q1463" s="66"/>
      <c r="R1463" s="66"/>
      <c r="S1463" s="67"/>
      <c r="T1463" s="55"/>
      <c r="U1463" s="68"/>
      <c r="V1463" s="69"/>
      <c r="W1463" s="68"/>
      <c r="X1463" s="68"/>
      <c r="Y1463" s="68"/>
      <c r="Z1463" s="68"/>
      <c r="AA1463" s="70"/>
      <c r="AB1463" s="70"/>
      <c r="AC1463" s="70"/>
      <c r="AD1463" s="70"/>
      <c r="AE1463" s="70"/>
    </row>
    <row r="1464" spans="2:31">
      <c r="H1464" s="49"/>
      <c r="I1464" s="50"/>
      <c r="J1464" s="51"/>
      <c r="K1464" s="51"/>
      <c r="L1464" s="51"/>
      <c r="M1464" s="52"/>
      <c r="N1464" s="51"/>
      <c r="O1464" s="53"/>
      <c r="P1464" s="54"/>
      <c r="Q1464" s="54"/>
      <c r="R1464" s="54"/>
      <c r="S1464" s="55"/>
      <c r="T1464" s="55"/>
      <c r="U1464" s="56"/>
      <c r="V1464" s="57"/>
      <c r="W1464" s="56"/>
      <c r="X1464" s="56"/>
      <c r="Y1464" s="56"/>
      <c r="Z1464" s="56"/>
      <c r="AA1464" s="58"/>
      <c r="AB1464" s="58"/>
      <c r="AC1464" s="58"/>
      <c r="AD1464" s="58"/>
      <c r="AE1464" s="58"/>
    </row>
    <row r="1465" spans="2:31">
      <c r="H1465" s="49"/>
      <c r="I1465" s="50"/>
      <c r="J1465" s="51"/>
      <c r="K1465" s="51"/>
      <c r="L1465" s="51"/>
      <c r="M1465" s="52"/>
      <c r="N1465" s="51"/>
      <c r="O1465" s="53"/>
      <c r="P1465" s="54"/>
      <c r="Q1465" s="54"/>
      <c r="R1465" s="54"/>
      <c r="S1465" s="55"/>
      <c r="T1465" s="55"/>
      <c r="U1465" s="56"/>
      <c r="V1465" s="59"/>
      <c r="W1465" s="56"/>
      <c r="X1465" s="56"/>
      <c r="Y1465" s="56"/>
      <c r="Z1465" s="56"/>
      <c r="AA1465" s="58"/>
      <c r="AB1465" s="58"/>
      <c r="AC1465" s="58"/>
      <c r="AD1465" s="58"/>
      <c r="AE1465" s="58"/>
    </row>
    <row r="1466" spans="2:31">
      <c r="H1466" s="49"/>
      <c r="I1466" s="50"/>
      <c r="J1466" s="51"/>
      <c r="K1466" s="51"/>
      <c r="L1466" s="51"/>
      <c r="M1466" s="52"/>
      <c r="N1466" s="51"/>
      <c r="O1466" s="53"/>
      <c r="P1466" s="54"/>
      <c r="Q1466" s="54"/>
      <c r="R1466" s="54"/>
      <c r="S1466" s="55"/>
      <c r="T1466" s="55"/>
      <c r="U1466" s="56"/>
      <c r="V1466" s="59"/>
      <c r="W1466" s="56"/>
      <c r="X1466" s="56"/>
      <c r="Y1466" s="56"/>
      <c r="Z1466" s="56"/>
      <c r="AA1466" s="58"/>
      <c r="AB1466" s="58"/>
      <c r="AC1466" s="58"/>
      <c r="AD1466" s="58"/>
      <c r="AE1466" s="58"/>
    </row>
    <row r="1467" spans="2:31">
      <c r="H1467" s="49"/>
      <c r="I1467" s="50"/>
      <c r="J1467" s="51"/>
      <c r="K1467" s="51"/>
      <c r="L1467" s="51"/>
      <c r="M1467" s="52"/>
      <c r="N1467" s="51"/>
      <c r="O1467" s="53"/>
      <c r="P1467" s="54"/>
      <c r="Q1467" s="54"/>
      <c r="R1467" s="54"/>
      <c r="S1467" s="55"/>
      <c r="T1467" s="55"/>
      <c r="U1467" s="56"/>
      <c r="V1467" s="59"/>
      <c r="W1467" s="56"/>
      <c r="X1467" s="56"/>
      <c r="Y1467" s="56"/>
      <c r="Z1467" s="56"/>
      <c r="AA1467" s="58"/>
      <c r="AB1467" s="58"/>
      <c r="AC1467" s="58"/>
      <c r="AD1467" s="58"/>
      <c r="AE1467" s="58"/>
    </row>
    <row r="1468" spans="2:31">
      <c r="H1468" s="49"/>
      <c r="I1468" s="50"/>
      <c r="J1468" s="51"/>
      <c r="K1468" s="51"/>
      <c r="L1468" s="51"/>
      <c r="M1468" s="52"/>
      <c r="N1468" s="51"/>
      <c r="O1468" s="53"/>
      <c r="P1468" s="54"/>
      <c r="Q1468" s="54"/>
      <c r="R1468" s="54"/>
      <c r="S1468" s="55"/>
      <c r="T1468" s="55"/>
      <c r="U1468" s="56"/>
      <c r="V1468" s="59"/>
      <c r="W1468" s="56"/>
      <c r="X1468" s="56"/>
      <c r="Y1468" s="56"/>
      <c r="Z1468" s="56"/>
      <c r="AA1468" s="58"/>
      <c r="AB1468" s="58"/>
      <c r="AC1468" s="58"/>
      <c r="AD1468" s="58"/>
      <c r="AE1468" s="58"/>
    </row>
    <row r="1469" spans="2:31">
      <c r="H1469" s="49"/>
      <c r="I1469" s="50"/>
      <c r="J1469" s="51"/>
      <c r="K1469" s="51"/>
      <c r="L1469" s="51"/>
      <c r="M1469" s="52"/>
      <c r="N1469" s="51"/>
      <c r="O1469" s="53"/>
      <c r="P1469" s="54"/>
      <c r="Q1469" s="54"/>
      <c r="R1469" s="54"/>
      <c r="S1469" s="55"/>
      <c r="T1469" s="55"/>
      <c r="U1469" s="56"/>
      <c r="V1469" s="59"/>
      <c r="W1469" s="56"/>
      <c r="X1469" s="56"/>
      <c r="Y1469" s="56"/>
      <c r="Z1469" s="56"/>
      <c r="AA1469" s="58"/>
      <c r="AB1469" s="58"/>
      <c r="AC1469" s="58"/>
      <c r="AD1469" s="58"/>
      <c r="AE1469" s="58"/>
    </row>
    <row r="1470" spans="2:31">
      <c r="B1470" s="60"/>
      <c r="C1470" s="60"/>
      <c r="D1470" s="60"/>
      <c r="E1470" s="60"/>
      <c r="F1470" s="60"/>
      <c r="G1470" s="60"/>
      <c r="H1470" s="61"/>
      <c r="I1470" s="62"/>
      <c r="J1470" s="63"/>
      <c r="K1470" s="63"/>
      <c r="L1470" s="63"/>
      <c r="M1470" s="64"/>
      <c r="N1470" s="63"/>
      <c r="O1470" s="65"/>
      <c r="P1470" s="66"/>
      <c r="Q1470" s="66"/>
      <c r="R1470" s="66"/>
      <c r="S1470" s="67"/>
      <c r="T1470" s="55"/>
      <c r="U1470" s="68"/>
      <c r="V1470" s="69"/>
      <c r="W1470" s="68"/>
      <c r="X1470" s="68"/>
      <c r="Y1470" s="68"/>
      <c r="Z1470" s="68"/>
      <c r="AA1470" s="70"/>
      <c r="AB1470" s="70"/>
      <c r="AC1470" s="70"/>
      <c r="AD1470" s="70"/>
      <c r="AE1470" s="70"/>
    </row>
    <row r="1471" spans="2:31">
      <c r="H1471" s="49"/>
      <c r="I1471" s="50"/>
      <c r="J1471" s="51"/>
      <c r="K1471" s="51"/>
      <c r="L1471" s="51"/>
      <c r="M1471" s="52"/>
      <c r="N1471" s="51"/>
      <c r="O1471" s="53"/>
      <c r="P1471" s="54"/>
      <c r="Q1471" s="54"/>
      <c r="R1471" s="54"/>
      <c r="S1471" s="55"/>
      <c r="T1471" s="55"/>
      <c r="U1471" s="56"/>
      <c r="V1471" s="59"/>
      <c r="W1471" s="56"/>
      <c r="X1471" s="56"/>
      <c r="Y1471" s="56"/>
      <c r="Z1471" s="56"/>
      <c r="AA1471" s="58"/>
      <c r="AB1471" s="58"/>
      <c r="AC1471" s="58"/>
      <c r="AD1471" s="58"/>
      <c r="AE1471" s="58"/>
    </row>
    <row r="1472" spans="2:31">
      <c r="H1472" s="49"/>
      <c r="I1472" s="50"/>
      <c r="J1472" s="51"/>
      <c r="K1472" s="51"/>
      <c r="L1472" s="51"/>
      <c r="M1472" s="52"/>
      <c r="N1472" s="51"/>
      <c r="O1472" s="53"/>
      <c r="P1472" s="54"/>
      <c r="Q1472" s="54"/>
      <c r="R1472" s="54"/>
      <c r="S1472" s="55"/>
      <c r="T1472" s="55"/>
      <c r="U1472" s="56"/>
      <c r="V1472" s="59"/>
      <c r="W1472" s="56"/>
      <c r="X1472" s="56"/>
      <c r="Y1472" s="56"/>
      <c r="Z1472" s="56"/>
      <c r="AA1472" s="58"/>
      <c r="AB1472" s="58"/>
      <c r="AC1472" s="58"/>
      <c r="AD1472" s="58"/>
      <c r="AE1472" s="58"/>
    </row>
    <row r="1473" spans="2:31">
      <c r="H1473" s="49"/>
      <c r="I1473" s="50"/>
      <c r="J1473" s="51"/>
      <c r="K1473" s="51"/>
      <c r="L1473" s="51"/>
      <c r="M1473" s="52"/>
      <c r="N1473" s="51"/>
      <c r="O1473" s="53"/>
      <c r="P1473" s="54"/>
      <c r="Q1473" s="54"/>
      <c r="R1473" s="54"/>
      <c r="S1473" s="55"/>
      <c r="T1473" s="55"/>
      <c r="U1473" s="56"/>
      <c r="V1473" s="59"/>
      <c r="W1473" s="56"/>
      <c r="X1473" s="56"/>
      <c r="Y1473" s="56"/>
      <c r="Z1473" s="56"/>
      <c r="AA1473" s="58"/>
      <c r="AB1473" s="58"/>
      <c r="AC1473" s="58"/>
      <c r="AD1473" s="58"/>
      <c r="AE1473" s="58"/>
    </row>
    <row r="1474" spans="2:31">
      <c r="H1474" s="49"/>
      <c r="I1474" s="50"/>
      <c r="J1474" s="51"/>
      <c r="K1474" s="51"/>
      <c r="L1474" s="51"/>
      <c r="M1474" s="52"/>
      <c r="N1474" s="51"/>
      <c r="O1474" s="53"/>
      <c r="P1474" s="54"/>
      <c r="Q1474" s="54"/>
      <c r="R1474" s="54"/>
      <c r="S1474" s="55"/>
      <c r="T1474" s="55"/>
      <c r="U1474" s="56"/>
      <c r="V1474" s="59"/>
      <c r="W1474" s="56"/>
      <c r="X1474" s="56"/>
      <c r="Y1474" s="56"/>
      <c r="Z1474" s="56"/>
      <c r="AA1474" s="58"/>
      <c r="AB1474" s="58"/>
      <c r="AC1474" s="58"/>
      <c r="AD1474" s="58"/>
      <c r="AE1474" s="58"/>
    </row>
    <row r="1475" spans="2:31">
      <c r="H1475" s="49"/>
      <c r="I1475" s="50"/>
      <c r="J1475" s="51"/>
      <c r="K1475" s="51"/>
      <c r="L1475" s="51"/>
      <c r="M1475" s="52"/>
      <c r="N1475" s="51"/>
      <c r="O1475" s="53"/>
      <c r="P1475" s="54"/>
      <c r="Q1475" s="54"/>
      <c r="R1475" s="54"/>
      <c r="S1475" s="55"/>
      <c r="T1475" s="55"/>
      <c r="U1475" s="56"/>
      <c r="V1475" s="59"/>
      <c r="W1475" s="56"/>
      <c r="X1475" s="56"/>
      <c r="Y1475" s="56"/>
      <c r="Z1475" s="56"/>
      <c r="AA1475" s="58"/>
      <c r="AB1475" s="58"/>
      <c r="AC1475" s="58"/>
      <c r="AD1475" s="58"/>
      <c r="AE1475" s="58"/>
    </row>
    <row r="1476" spans="2:31">
      <c r="H1476" s="49"/>
      <c r="I1476" s="50"/>
      <c r="J1476" s="51"/>
      <c r="K1476" s="51"/>
      <c r="L1476" s="51"/>
      <c r="M1476" s="52"/>
      <c r="N1476" s="51"/>
      <c r="O1476" s="53"/>
      <c r="P1476" s="54"/>
      <c r="Q1476" s="54"/>
      <c r="R1476" s="54"/>
      <c r="S1476" s="55"/>
      <c r="T1476" s="55"/>
      <c r="U1476" s="56"/>
      <c r="V1476" s="59"/>
      <c r="W1476" s="56"/>
      <c r="X1476" s="56"/>
      <c r="Y1476" s="56"/>
      <c r="Z1476" s="56"/>
      <c r="AA1476" s="58"/>
      <c r="AB1476" s="58"/>
      <c r="AC1476" s="58"/>
      <c r="AD1476" s="58"/>
      <c r="AE1476" s="58"/>
    </row>
    <row r="1477" spans="2:31">
      <c r="B1477" s="60"/>
      <c r="C1477" s="60"/>
      <c r="D1477" s="60"/>
      <c r="E1477" s="60"/>
      <c r="F1477" s="60"/>
      <c r="G1477" s="60"/>
      <c r="H1477" s="61"/>
      <c r="I1477" s="62"/>
      <c r="J1477" s="63"/>
      <c r="K1477" s="63"/>
      <c r="L1477" s="63"/>
      <c r="M1477" s="64"/>
      <c r="N1477" s="63"/>
      <c r="O1477" s="65"/>
      <c r="P1477" s="66"/>
      <c r="Q1477" s="66"/>
      <c r="R1477" s="66"/>
      <c r="S1477" s="67"/>
      <c r="T1477" s="55"/>
      <c r="U1477" s="68"/>
      <c r="V1477" s="69"/>
      <c r="W1477" s="68"/>
      <c r="X1477" s="68"/>
      <c r="Y1477" s="68"/>
      <c r="Z1477" s="68"/>
      <c r="AA1477" s="70"/>
      <c r="AB1477" s="70"/>
      <c r="AC1477" s="70"/>
      <c r="AD1477" s="70"/>
      <c r="AE1477" s="70"/>
    </row>
    <row r="1478" spans="2:31">
      <c r="H1478" s="49"/>
      <c r="I1478" s="50"/>
      <c r="J1478" s="51"/>
      <c r="K1478" s="51"/>
      <c r="L1478" s="51"/>
      <c r="M1478" s="52"/>
      <c r="N1478" s="51"/>
      <c r="O1478" s="53"/>
      <c r="P1478" s="54"/>
      <c r="Q1478" s="54"/>
      <c r="R1478" s="54"/>
      <c r="S1478" s="55"/>
      <c r="T1478" s="55"/>
      <c r="U1478" s="56"/>
      <c r="V1478" s="59"/>
      <c r="W1478" s="56"/>
      <c r="X1478" s="56"/>
      <c r="Y1478" s="56"/>
      <c r="Z1478" s="56"/>
      <c r="AA1478" s="58"/>
      <c r="AB1478" s="58"/>
      <c r="AC1478" s="58"/>
      <c r="AD1478" s="58"/>
      <c r="AE1478" s="58"/>
    </row>
    <row r="1479" spans="2:31">
      <c r="H1479" s="49"/>
      <c r="I1479" s="50"/>
      <c r="J1479" s="51"/>
      <c r="K1479" s="51"/>
      <c r="L1479" s="51"/>
      <c r="M1479" s="52"/>
      <c r="N1479" s="51"/>
      <c r="O1479" s="53"/>
      <c r="P1479" s="54"/>
      <c r="Q1479" s="54"/>
      <c r="R1479" s="54"/>
      <c r="S1479" s="55"/>
      <c r="T1479" s="55"/>
      <c r="U1479" s="56"/>
      <c r="V1479" s="59"/>
      <c r="W1479" s="56"/>
      <c r="X1479" s="56"/>
      <c r="Y1479" s="56"/>
      <c r="Z1479" s="56"/>
      <c r="AA1479" s="58"/>
      <c r="AB1479" s="58"/>
      <c r="AC1479" s="58"/>
      <c r="AD1479" s="58"/>
      <c r="AE1479" s="58"/>
    </row>
    <row r="1480" spans="2:31">
      <c r="H1480" s="49"/>
      <c r="I1480" s="50"/>
      <c r="J1480" s="51"/>
      <c r="K1480" s="51"/>
      <c r="L1480" s="51"/>
      <c r="M1480" s="52"/>
      <c r="N1480" s="51"/>
      <c r="O1480" s="53"/>
      <c r="P1480" s="54"/>
      <c r="Q1480" s="54"/>
      <c r="R1480" s="54"/>
      <c r="S1480" s="55"/>
      <c r="T1480" s="55"/>
      <c r="U1480" s="56"/>
      <c r="V1480" s="59"/>
      <c r="W1480" s="56"/>
      <c r="X1480" s="56"/>
      <c r="Y1480" s="56"/>
      <c r="Z1480" s="56"/>
      <c r="AA1480" s="58"/>
      <c r="AB1480" s="58"/>
      <c r="AC1480" s="58"/>
      <c r="AD1480" s="58"/>
      <c r="AE1480" s="58"/>
    </row>
    <row r="1481" spans="2:31">
      <c r="H1481" s="49"/>
      <c r="I1481" s="50"/>
      <c r="J1481" s="51"/>
      <c r="K1481" s="51"/>
      <c r="L1481" s="51"/>
      <c r="M1481" s="52"/>
      <c r="N1481" s="51"/>
      <c r="O1481" s="53"/>
      <c r="P1481" s="54"/>
      <c r="Q1481" s="54"/>
      <c r="R1481" s="54"/>
      <c r="S1481" s="55"/>
      <c r="T1481" s="55"/>
      <c r="U1481" s="56"/>
      <c r="V1481" s="59"/>
      <c r="W1481" s="56"/>
      <c r="X1481" s="56"/>
      <c r="Y1481" s="56"/>
      <c r="Z1481" s="56"/>
      <c r="AA1481" s="58"/>
      <c r="AB1481" s="58"/>
      <c r="AC1481" s="58"/>
      <c r="AD1481" s="58"/>
      <c r="AE1481" s="58"/>
    </row>
    <row r="1482" spans="2:31">
      <c r="H1482" s="49"/>
      <c r="I1482" s="50"/>
      <c r="J1482" s="51"/>
      <c r="K1482" s="51"/>
      <c r="L1482" s="51"/>
      <c r="M1482" s="52"/>
      <c r="N1482" s="51"/>
      <c r="O1482" s="53"/>
      <c r="P1482" s="54"/>
      <c r="Q1482" s="54"/>
      <c r="R1482" s="54"/>
      <c r="S1482" s="55"/>
      <c r="T1482" s="55"/>
      <c r="U1482" s="56"/>
      <c r="V1482" s="59"/>
      <c r="W1482" s="56"/>
      <c r="X1482" s="56"/>
      <c r="Y1482" s="56"/>
      <c r="Z1482" s="56"/>
      <c r="AA1482" s="58"/>
      <c r="AB1482" s="58"/>
      <c r="AC1482" s="58"/>
      <c r="AD1482" s="58"/>
      <c r="AE1482" s="58"/>
    </row>
    <row r="1483" spans="2:31">
      <c r="H1483" s="49"/>
      <c r="I1483" s="50"/>
      <c r="J1483" s="51"/>
      <c r="K1483" s="51"/>
      <c r="L1483" s="51"/>
      <c r="M1483" s="52"/>
      <c r="N1483" s="51"/>
      <c r="O1483" s="53"/>
      <c r="P1483" s="54"/>
      <c r="Q1483" s="54"/>
      <c r="R1483" s="54"/>
      <c r="S1483" s="55"/>
      <c r="T1483" s="55"/>
      <c r="U1483" s="56"/>
      <c r="V1483" s="59"/>
      <c r="W1483" s="56"/>
      <c r="X1483" s="56"/>
      <c r="Y1483" s="56"/>
      <c r="Z1483" s="56"/>
      <c r="AA1483" s="58"/>
      <c r="AB1483" s="58"/>
      <c r="AC1483" s="58"/>
      <c r="AD1483" s="58"/>
      <c r="AE1483" s="58"/>
    </row>
    <row r="1484" spans="2:31">
      <c r="B1484" s="60"/>
      <c r="C1484" s="60"/>
      <c r="D1484" s="60"/>
      <c r="E1484" s="60"/>
      <c r="F1484" s="60"/>
      <c r="G1484" s="60"/>
      <c r="H1484" s="61"/>
      <c r="I1484" s="62"/>
      <c r="J1484" s="63"/>
      <c r="K1484" s="63"/>
      <c r="L1484" s="63"/>
      <c r="M1484" s="64"/>
      <c r="N1484" s="63"/>
      <c r="O1484" s="65"/>
      <c r="P1484" s="66"/>
      <c r="Q1484" s="66"/>
      <c r="R1484" s="66"/>
      <c r="S1484" s="67"/>
      <c r="T1484" s="55"/>
      <c r="U1484" s="68"/>
      <c r="V1484" s="69"/>
      <c r="W1484" s="68"/>
      <c r="X1484" s="68"/>
      <c r="Y1484" s="68"/>
      <c r="Z1484" s="68"/>
      <c r="AA1484" s="70"/>
      <c r="AB1484" s="70"/>
      <c r="AC1484" s="70"/>
      <c r="AD1484" s="70"/>
      <c r="AE1484" s="70"/>
    </row>
    <row r="1485" spans="2:31">
      <c r="H1485" s="49"/>
      <c r="I1485" s="50"/>
      <c r="J1485" s="51"/>
      <c r="K1485" s="51"/>
      <c r="L1485" s="51"/>
      <c r="M1485" s="52"/>
      <c r="N1485" s="51"/>
      <c r="O1485" s="53"/>
      <c r="P1485" s="54"/>
      <c r="Q1485" s="54"/>
      <c r="R1485" s="54"/>
      <c r="S1485" s="55"/>
      <c r="T1485" s="55"/>
      <c r="U1485" s="56"/>
      <c r="V1485" s="57"/>
      <c r="W1485" s="56"/>
      <c r="X1485" s="56"/>
      <c r="Y1485" s="56"/>
      <c r="Z1485" s="56"/>
      <c r="AA1485" s="58"/>
      <c r="AB1485" s="58"/>
      <c r="AC1485" s="58"/>
      <c r="AD1485" s="58"/>
      <c r="AE1485" s="58"/>
    </row>
    <row r="1486" spans="2:31">
      <c r="H1486" s="49"/>
      <c r="I1486" s="50"/>
      <c r="J1486" s="51"/>
      <c r="K1486" s="51"/>
      <c r="L1486" s="51"/>
      <c r="M1486" s="52"/>
      <c r="N1486" s="51"/>
      <c r="O1486" s="53"/>
      <c r="P1486" s="54"/>
      <c r="Q1486" s="54"/>
      <c r="R1486" s="54"/>
      <c r="S1486" s="55"/>
      <c r="T1486" s="55"/>
      <c r="U1486" s="56"/>
      <c r="V1486" s="59"/>
      <c r="W1486" s="56"/>
      <c r="X1486" s="56"/>
      <c r="Y1486" s="56"/>
      <c r="Z1486" s="56"/>
      <c r="AA1486" s="58"/>
      <c r="AB1486" s="58"/>
      <c r="AC1486" s="58"/>
      <c r="AD1486" s="58"/>
      <c r="AE1486" s="58"/>
    </row>
    <row r="1487" spans="2:31">
      <c r="H1487" s="49"/>
      <c r="I1487" s="50"/>
      <c r="J1487" s="51"/>
      <c r="K1487" s="51"/>
      <c r="L1487" s="51"/>
      <c r="M1487" s="52"/>
      <c r="N1487" s="51"/>
      <c r="O1487" s="53"/>
      <c r="P1487" s="54"/>
      <c r="Q1487" s="54"/>
      <c r="R1487" s="54"/>
      <c r="S1487" s="55"/>
      <c r="T1487" s="55"/>
      <c r="U1487" s="56"/>
      <c r="V1487" s="59"/>
      <c r="W1487" s="56"/>
      <c r="X1487" s="56"/>
      <c r="Y1487" s="56"/>
      <c r="Z1487" s="56"/>
      <c r="AA1487" s="58"/>
      <c r="AB1487" s="58"/>
      <c r="AC1487" s="58"/>
      <c r="AD1487" s="58"/>
      <c r="AE1487" s="58"/>
    </row>
    <row r="1488" spans="2:31">
      <c r="H1488" s="49"/>
      <c r="I1488" s="50"/>
      <c r="J1488" s="51"/>
      <c r="K1488" s="51"/>
      <c r="L1488" s="51"/>
      <c r="M1488" s="52"/>
      <c r="N1488" s="51"/>
      <c r="O1488" s="53"/>
      <c r="P1488" s="54"/>
      <c r="Q1488" s="54"/>
      <c r="R1488" s="54"/>
      <c r="S1488" s="55"/>
      <c r="T1488" s="55"/>
      <c r="U1488" s="56"/>
      <c r="V1488" s="59"/>
      <c r="W1488" s="56"/>
      <c r="X1488" s="56"/>
      <c r="Y1488" s="56"/>
      <c r="Z1488" s="56"/>
      <c r="AA1488" s="58"/>
      <c r="AB1488" s="58"/>
      <c r="AC1488" s="58"/>
      <c r="AD1488" s="58"/>
      <c r="AE1488" s="58"/>
    </row>
    <row r="1489" spans="2:31">
      <c r="H1489" s="49"/>
      <c r="I1489" s="50"/>
      <c r="J1489" s="51"/>
      <c r="K1489" s="51"/>
      <c r="L1489" s="51"/>
      <c r="M1489" s="52"/>
      <c r="N1489" s="51"/>
      <c r="O1489" s="53"/>
      <c r="P1489" s="54"/>
      <c r="Q1489" s="54"/>
      <c r="R1489" s="54"/>
      <c r="S1489" s="55"/>
      <c r="T1489" s="55"/>
      <c r="U1489" s="56"/>
      <c r="V1489" s="59"/>
      <c r="W1489" s="56"/>
      <c r="X1489" s="56"/>
      <c r="Y1489" s="56"/>
      <c r="Z1489" s="56"/>
      <c r="AA1489" s="58"/>
      <c r="AB1489" s="58"/>
      <c r="AC1489" s="58"/>
      <c r="AD1489" s="58"/>
      <c r="AE1489" s="58"/>
    </row>
    <row r="1490" spans="2:31">
      <c r="H1490" s="49"/>
      <c r="I1490" s="50"/>
      <c r="J1490" s="51"/>
      <c r="K1490" s="51"/>
      <c r="L1490" s="51"/>
      <c r="M1490" s="52"/>
      <c r="N1490" s="51"/>
      <c r="O1490" s="53"/>
      <c r="P1490" s="54"/>
      <c r="Q1490" s="54"/>
      <c r="R1490" s="54"/>
      <c r="S1490" s="55"/>
      <c r="T1490" s="55"/>
      <c r="U1490" s="56"/>
      <c r="V1490" s="59"/>
      <c r="W1490" s="56"/>
      <c r="X1490" s="56"/>
      <c r="Y1490" s="56"/>
      <c r="Z1490" s="56"/>
      <c r="AA1490" s="58"/>
      <c r="AB1490" s="58"/>
      <c r="AC1490" s="58"/>
      <c r="AD1490" s="58"/>
      <c r="AE1490" s="58"/>
    </row>
    <row r="1491" spans="2:31">
      <c r="B1491" s="60"/>
      <c r="C1491" s="60"/>
      <c r="D1491" s="60"/>
      <c r="E1491" s="60"/>
      <c r="F1491" s="60"/>
      <c r="G1491" s="60"/>
      <c r="H1491" s="61"/>
      <c r="I1491" s="62"/>
      <c r="J1491" s="63"/>
      <c r="K1491" s="63"/>
      <c r="L1491" s="63"/>
      <c r="M1491" s="64"/>
      <c r="N1491" s="63"/>
      <c r="O1491" s="65"/>
      <c r="P1491" s="66"/>
      <c r="Q1491" s="66"/>
      <c r="R1491" s="66"/>
      <c r="S1491" s="67"/>
      <c r="T1491" s="55"/>
      <c r="U1491" s="68"/>
      <c r="V1491" s="69"/>
      <c r="W1491" s="68"/>
      <c r="X1491" s="68"/>
      <c r="Y1491" s="68"/>
      <c r="Z1491" s="68"/>
      <c r="AA1491" s="70"/>
      <c r="AB1491" s="70"/>
      <c r="AC1491" s="70"/>
      <c r="AD1491" s="70"/>
      <c r="AE1491" s="70"/>
    </row>
    <row r="1492" spans="2:31">
      <c r="H1492" s="49"/>
      <c r="I1492" s="50"/>
      <c r="J1492" s="51"/>
      <c r="K1492" s="51"/>
      <c r="L1492" s="51"/>
      <c r="M1492" s="52"/>
      <c r="N1492" s="51"/>
      <c r="O1492" s="53"/>
      <c r="P1492" s="54"/>
      <c r="Q1492" s="54"/>
      <c r="R1492" s="54"/>
      <c r="S1492" s="55"/>
      <c r="T1492" s="55"/>
      <c r="U1492" s="56"/>
      <c r="V1492" s="59"/>
      <c r="W1492" s="56"/>
      <c r="X1492" s="56"/>
      <c r="Y1492" s="56"/>
      <c r="Z1492" s="56"/>
      <c r="AA1492" s="58"/>
      <c r="AB1492" s="58"/>
      <c r="AC1492" s="58"/>
      <c r="AD1492" s="58"/>
      <c r="AE1492" s="58"/>
    </row>
    <row r="1493" spans="2:31">
      <c r="H1493" s="49"/>
      <c r="I1493" s="50"/>
      <c r="J1493" s="51"/>
      <c r="K1493" s="51"/>
      <c r="L1493" s="51"/>
      <c r="M1493" s="52"/>
      <c r="N1493" s="51"/>
      <c r="O1493" s="53"/>
      <c r="P1493" s="54"/>
      <c r="Q1493" s="54"/>
      <c r="R1493" s="54"/>
      <c r="S1493" s="55"/>
      <c r="T1493" s="55"/>
      <c r="U1493" s="56"/>
      <c r="V1493" s="59"/>
      <c r="W1493" s="56"/>
      <c r="X1493" s="56"/>
      <c r="Y1493" s="56"/>
      <c r="Z1493" s="56"/>
      <c r="AA1493" s="58"/>
      <c r="AB1493" s="58"/>
      <c r="AC1493" s="58"/>
      <c r="AD1493" s="58"/>
      <c r="AE1493" s="58"/>
    </row>
    <row r="1494" spans="2:31">
      <c r="H1494" s="49"/>
      <c r="I1494" s="50"/>
      <c r="J1494" s="51"/>
      <c r="K1494" s="51"/>
      <c r="L1494" s="51"/>
      <c r="M1494" s="52"/>
      <c r="N1494" s="51"/>
      <c r="O1494" s="53"/>
      <c r="P1494" s="54"/>
      <c r="Q1494" s="54"/>
      <c r="R1494" s="54"/>
      <c r="S1494" s="55"/>
      <c r="T1494" s="55"/>
      <c r="U1494" s="56"/>
      <c r="V1494" s="59"/>
      <c r="W1494" s="56"/>
      <c r="X1494" s="56"/>
      <c r="Y1494" s="56"/>
      <c r="Z1494" s="56"/>
      <c r="AA1494" s="58"/>
      <c r="AB1494" s="58"/>
      <c r="AC1494" s="58"/>
      <c r="AD1494" s="58"/>
      <c r="AE1494" s="58"/>
    </row>
    <row r="1495" spans="2:31">
      <c r="H1495" s="49"/>
      <c r="I1495" s="50"/>
      <c r="J1495" s="51"/>
      <c r="K1495" s="51"/>
      <c r="L1495" s="51"/>
      <c r="M1495" s="52"/>
      <c r="N1495" s="51"/>
      <c r="O1495" s="53"/>
      <c r="P1495" s="54"/>
      <c r="Q1495" s="54"/>
      <c r="R1495" s="54"/>
      <c r="S1495" s="55"/>
      <c r="T1495" s="55"/>
      <c r="U1495" s="56"/>
      <c r="V1495" s="59"/>
      <c r="W1495" s="56"/>
      <c r="X1495" s="56"/>
      <c r="Y1495" s="56"/>
      <c r="Z1495" s="56"/>
      <c r="AA1495" s="58"/>
      <c r="AB1495" s="58"/>
      <c r="AC1495" s="58"/>
      <c r="AD1495" s="58"/>
      <c r="AE1495" s="58"/>
    </row>
    <row r="1496" spans="2:31">
      <c r="H1496" s="49"/>
      <c r="I1496" s="50"/>
      <c r="J1496" s="51"/>
      <c r="K1496" s="51"/>
      <c r="L1496" s="51"/>
      <c r="M1496" s="52"/>
      <c r="N1496" s="51"/>
      <c r="O1496" s="53"/>
      <c r="P1496" s="54"/>
      <c r="Q1496" s="54"/>
      <c r="R1496" s="54"/>
      <c r="S1496" s="55"/>
      <c r="T1496" s="55"/>
      <c r="U1496" s="56"/>
      <c r="V1496" s="59"/>
      <c r="W1496" s="56"/>
      <c r="X1496" s="56"/>
      <c r="Y1496" s="56"/>
      <c r="Z1496" s="56"/>
      <c r="AA1496" s="58"/>
      <c r="AB1496" s="58"/>
      <c r="AC1496" s="58"/>
      <c r="AD1496" s="58"/>
      <c r="AE1496" s="58"/>
    </row>
    <row r="1497" spans="2:31">
      <c r="H1497" s="49"/>
      <c r="I1497" s="50"/>
      <c r="J1497" s="51"/>
      <c r="K1497" s="51"/>
      <c r="L1497" s="51"/>
      <c r="M1497" s="52"/>
      <c r="N1497" s="51"/>
      <c r="O1497" s="53"/>
      <c r="P1497" s="54"/>
      <c r="Q1497" s="54"/>
      <c r="R1497" s="54"/>
      <c r="S1497" s="55"/>
      <c r="T1497" s="55"/>
      <c r="U1497" s="56"/>
      <c r="V1497" s="59"/>
      <c r="W1497" s="56"/>
      <c r="X1497" s="56"/>
      <c r="Y1497" s="56"/>
      <c r="Z1497" s="56"/>
      <c r="AA1497" s="58"/>
      <c r="AB1497" s="58"/>
      <c r="AC1497" s="58"/>
      <c r="AD1497" s="58"/>
      <c r="AE1497" s="58"/>
    </row>
    <row r="1498" spans="2:31">
      <c r="B1498" s="60"/>
      <c r="C1498" s="60"/>
      <c r="D1498" s="60"/>
      <c r="E1498" s="60"/>
      <c r="F1498" s="60"/>
      <c r="G1498" s="60"/>
      <c r="H1498" s="61"/>
      <c r="I1498" s="62"/>
      <c r="J1498" s="63"/>
      <c r="K1498" s="63"/>
      <c r="L1498" s="63"/>
      <c r="M1498" s="64"/>
      <c r="N1498" s="63"/>
      <c r="O1498" s="65"/>
      <c r="P1498" s="66"/>
      <c r="Q1498" s="66"/>
      <c r="R1498" s="66"/>
      <c r="S1498" s="67"/>
      <c r="T1498" s="55"/>
      <c r="U1498" s="68"/>
      <c r="V1498" s="69"/>
      <c r="W1498" s="68"/>
      <c r="X1498" s="68"/>
      <c r="Y1498" s="68"/>
      <c r="Z1498" s="68"/>
      <c r="AA1498" s="70"/>
      <c r="AB1498" s="70"/>
      <c r="AC1498" s="70"/>
      <c r="AD1498" s="70"/>
      <c r="AE1498" s="70"/>
    </row>
    <row r="1499" spans="2:31">
      <c r="H1499" s="49"/>
      <c r="I1499" s="50"/>
      <c r="J1499" s="51"/>
      <c r="K1499" s="51"/>
      <c r="L1499" s="51"/>
      <c r="M1499" s="52"/>
      <c r="N1499" s="51"/>
      <c r="O1499" s="53"/>
      <c r="P1499" s="54"/>
      <c r="Q1499" s="54"/>
      <c r="R1499" s="54"/>
      <c r="S1499" s="55"/>
      <c r="T1499" s="55"/>
      <c r="U1499" s="56"/>
      <c r="V1499" s="59"/>
      <c r="W1499" s="56"/>
      <c r="X1499" s="56"/>
      <c r="Y1499" s="56"/>
      <c r="Z1499" s="56"/>
      <c r="AA1499" s="58"/>
      <c r="AB1499" s="58"/>
      <c r="AC1499" s="58"/>
      <c r="AD1499" s="58"/>
      <c r="AE1499" s="58"/>
    </row>
    <row r="1500" spans="2:31">
      <c r="H1500" s="49"/>
      <c r="I1500" s="50"/>
      <c r="J1500" s="51"/>
      <c r="K1500" s="51"/>
      <c r="L1500" s="51"/>
      <c r="M1500" s="52"/>
      <c r="N1500" s="51"/>
      <c r="O1500" s="53"/>
      <c r="P1500" s="54"/>
      <c r="Q1500" s="54"/>
      <c r="R1500" s="54"/>
      <c r="S1500" s="55"/>
      <c r="T1500" s="55"/>
      <c r="U1500" s="56"/>
      <c r="V1500" s="59"/>
      <c r="W1500" s="56"/>
      <c r="X1500" s="56"/>
      <c r="Y1500" s="56"/>
      <c r="Z1500" s="56"/>
      <c r="AA1500" s="58"/>
      <c r="AB1500" s="58"/>
      <c r="AC1500" s="58"/>
      <c r="AD1500" s="58"/>
      <c r="AE1500" s="58"/>
    </row>
    <row r="1501" spans="2:31">
      <c r="H1501" s="49"/>
      <c r="I1501" s="50"/>
      <c r="J1501" s="51"/>
      <c r="K1501" s="51"/>
      <c r="L1501" s="51"/>
      <c r="M1501" s="52"/>
      <c r="N1501" s="51"/>
      <c r="O1501" s="53"/>
      <c r="P1501" s="54"/>
      <c r="Q1501" s="54"/>
      <c r="R1501" s="54"/>
      <c r="S1501" s="55"/>
      <c r="T1501" s="55"/>
      <c r="U1501" s="56"/>
      <c r="V1501" s="59"/>
      <c r="W1501" s="56"/>
      <c r="X1501" s="56"/>
      <c r="Y1501" s="56"/>
      <c r="Z1501" s="56"/>
      <c r="AA1501" s="58"/>
      <c r="AB1501" s="58"/>
      <c r="AC1501" s="58"/>
      <c r="AD1501" s="58"/>
      <c r="AE1501" s="58"/>
    </row>
    <row r="1502" spans="2:31">
      <c r="H1502" s="49"/>
      <c r="I1502" s="50"/>
      <c r="J1502" s="51"/>
      <c r="K1502" s="51"/>
      <c r="L1502" s="51"/>
      <c r="M1502" s="52"/>
      <c r="N1502" s="51"/>
      <c r="O1502" s="53"/>
      <c r="P1502" s="54"/>
      <c r="Q1502" s="54"/>
      <c r="R1502" s="54"/>
      <c r="S1502" s="55"/>
      <c r="T1502" s="55"/>
      <c r="U1502" s="56"/>
      <c r="V1502" s="59"/>
      <c r="W1502" s="56"/>
      <c r="X1502" s="56"/>
      <c r="Y1502" s="56"/>
      <c r="Z1502" s="56"/>
      <c r="AA1502" s="58"/>
      <c r="AB1502" s="58"/>
      <c r="AC1502" s="58"/>
      <c r="AD1502" s="58"/>
      <c r="AE1502" s="58"/>
    </row>
    <row r="1503" spans="2:31">
      <c r="H1503" s="49"/>
      <c r="I1503" s="50"/>
      <c r="J1503" s="51"/>
      <c r="K1503" s="51"/>
      <c r="L1503" s="51"/>
      <c r="M1503" s="52"/>
      <c r="N1503" s="51"/>
      <c r="O1503" s="53"/>
      <c r="P1503" s="54"/>
      <c r="Q1503" s="54"/>
      <c r="R1503" s="54"/>
      <c r="S1503" s="55"/>
      <c r="T1503" s="55"/>
      <c r="U1503" s="56"/>
      <c r="V1503" s="59"/>
      <c r="W1503" s="56"/>
      <c r="X1503" s="56"/>
      <c r="Y1503" s="56"/>
      <c r="Z1503" s="56"/>
      <c r="AA1503" s="58"/>
      <c r="AB1503" s="58"/>
      <c r="AC1503" s="58"/>
      <c r="AD1503" s="58"/>
      <c r="AE1503" s="58"/>
    </row>
    <row r="1504" spans="2:31">
      <c r="H1504" s="49"/>
      <c r="I1504" s="50"/>
      <c r="J1504" s="51"/>
      <c r="K1504" s="51"/>
      <c r="L1504" s="51"/>
      <c r="M1504" s="52"/>
      <c r="N1504" s="51"/>
      <c r="O1504" s="53"/>
      <c r="P1504" s="54"/>
      <c r="Q1504" s="54"/>
      <c r="R1504" s="54"/>
      <c r="S1504" s="55"/>
      <c r="T1504" s="55"/>
      <c r="U1504" s="56"/>
      <c r="V1504" s="59"/>
      <c r="W1504" s="56"/>
      <c r="X1504" s="56"/>
      <c r="Y1504" s="56"/>
      <c r="Z1504" s="56"/>
      <c r="AA1504" s="58"/>
      <c r="AB1504" s="58"/>
      <c r="AC1504" s="58"/>
      <c r="AD1504" s="58"/>
      <c r="AE1504" s="58"/>
    </row>
    <row r="1505" spans="2:31">
      <c r="B1505" s="60"/>
      <c r="C1505" s="60"/>
      <c r="D1505" s="60"/>
      <c r="E1505" s="60"/>
      <c r="F1505" s="60"/>
      <c r="G1505" s="60"/>
      <c r="H1505" s="61"/>
      <c r="I1505" s="62"/>
      <c r="J1505" s="63"/>
      <c r="K1505" s="63"/>
      <c r="L1505" s="63"/>
      <c r="M1505" s="64"/>
      <c r="N1505" s="63"/>
      <c r="O1505" s="65"/>
      <c r="P1505" s="66"/>
      <c r="Q1505" s="66"/>
      <c r="R1505" s="66"/>
      <c r="S1505" s="67"/>
      <c r="T1505" s="55"/>
      <c r="U1505" s="68"/>
      <c r="V1505" s="69"/>
      <c r="W1505" s="68"/>
      <c r="X1505" s="68"/>
      <c r="Y1505" s="68"/>
      <c r="Z1505" s="68"/>
      <c r="AA1505" s="70"/>
      <c r="AB1505" s="70"/>
      <c r="AC1505" s="70"/>
      <c r="AD1505" s="70"/>
      <c r="AE1505" s="70"/>
    </row>
    <row r="1506" spans="2:31">
      <c r="H1506" s="49"/>
      <c r="I1506" s="50"/>
      <c r="J1506" s="51"/>
      <c r="K1506" s="51"/>
      <c r="L1506" s="51"/>
      <c r="M1506" s="52"/>
      <c r="N1506" s="51"/>
      <c r="O1506" s="53"/>
      <c r="P1506" s="54"/>
      <c r="Q1506" s="54"/>
      <c r="R1506" s="54"/>
      <c r="S1506" s="55"/>
      <c r="T1506" s="55"/>
      <c r="U1506" s="56"/>
      <c r="V1506" s="57"/>
      <c r="W1506" s="56"/>
      <c r="X1506" s="56"/>
      <c r="Y1506" s="56"/>
      <c r="Z1506" s="56"/>
      <c r="AA1506" s="58"/>
      <c r="AB1506" s="58"/>
      <c r="AC1506" s="58"/>
      <c r="AD1506" s="58"/>
      <c r="AE1506" s="58"/>
    </row>
    <row r="1507" spans="2:31">
      <c r="H1507" s="49"/>
      <c r="I1507" s="50"/>
      <c r="J1507" s="51"/>
      <c r="K1507" s="51"/>
      <c r="L1507" s="51"/>
      <c r="M1507" s="52"/>
      <c r="N1507" s="51"/>
      <c r="O1507" s="53"/>
      <c r="P1507" s="54"/>
      <c r="Q1507" s="54"/>
      <c r="R1507" s="54"/>
      <c r="S1507" s="55"/>
      <c r="T1507" s="55"/>
      <c r="U1507" s="56"/>
      <c r="V1507" s="59"/>
      <c r="W1507" s="56"/>
      <c r="X1507" s="56"/>
      <c r="Y1507" s="56"/>
      <c r="Z1507" s="56"/>
      <c r="AA1507" s="58"/>
      <c r="AB1507" s="58"/>
      <c r="AC1507" s="58"/>
      <c r="AD1507" s="58"/>
      <c r="AE1507" s="58"/>
    </row>
    <row r="1508" spans="2:31">
      <c r="H1508" s="49"/>
      <c r="I1508" s="50"/>
      <c r="J1508" s="51"/>
      <c r="K1508" s="51"/>
      <c r="L1508" s="51"/>
      <c r="M1508" s="52"/>
      <c r="N1508" s="51"/>
      <c r="O1508" s="53"/>
      <c r="P1508" s="54"/>
      <c r="Q1508" s="54"/>
      <c r="R1508" s="54"/>
      <c r="S1508" s="55"/>
      <c r="T1508" s="55"/>
      <c r="U1508" s="56"/>
      <c r="V1508" s="59"/>
      <c r="W1508" s="56"/>
      <c r="X1508" s="56"/>
      <c r="Y1508" s="56"/>
      <c r="Z1508" s="56"/>
      <c r="AA1508" s="58"/>
      <c r="AB1508" s="58"/>
      <c r="AC1508" s="58"/>
      <c r="AD1508" s="58"/>
      <c r="AE1508" s="58"/>
    </row>
    <row r="1509" spans="2:31">
      <c r="H1509" s="49"/>
      <c r="I1509" s="50"/>
      <c r="J1509" s="51"/>
      <c r="K1509" s="51"/>
      <c r="L1509" s="51"/>
      <c r="M1509" s="52"/>
      <c r="N1509" s="51"/>
      <c r="O1509" s="53"/>
      <c r="P1509" s="54"/>
      <c r="Q1509" s="54"/>
      <c r="R1509" s="54"/>
      <c r="S1509" s="55"/>
      <c r="T1509" s="55"/>
      <c r="U1509" s="56"/>
      <c r="V1509" s="59"/>
      <c r="W1509" s="56"/>
      <c r="X1509" s="56"/>
      <c r="Y1509" s="56"/>
      <c r="Z1509" s="56"/>
      <c r="AA1509" s="58"/>
      <c r="AB1509" s="58"/>
      <c r="AC1509" s="58"/>
      <c r="AD1509" s="58"/>
      <c r="AE1509" s="58"/>
    </row>
    <row r="1510" spans="2:31">
      <c r="H1510" s="49"/>
      <c r="I1510" s="50"/>
      <c r="J1510" s="51"/>
      <c r="K1510" s="51"/>
      <c r="L1510" s="51"/>
      <c r="M1510" s="52"/>
      <c r="N1510" s="51"/>
      <c r="O1510" s="53"/>
      <c r="P1510" s="54"/>
      <c r="Q1510" s="54"/>
      <c r="R1510" s="54"/>
      <c r="S1510" s="55"/>
      <c r="T1510" s="55"/>
      <c r="U1510" s="56"/>
      <c r="V1510" s="59"/>
      <c r="W1510" s="56"/>
      <c r="X1510" s="56"/>
      <c r="Y1510" s="56"/>
      <c r="Z1510" s="56"/>
      <c r="AA1510" s="58"/>
      <c r="AB1510" s="58"/>
      <c r="AC1510" s="58"/>
      <c r="AD1510" s="58"/>
      <c r="AE1510" s="58"/>
    </row>
    <row r="1511" spans="2:31">
      <c r="H1511" s="49"/>
      <c r="I1511" s="50"/>
      <c r="J1511" s="51"/>
      <c r="K1511" s="51"/>
      <c r="L1511" s="51"/>
      <c r="M1511" s="52"/>
      <c r="N1511" s="51"/>
      <c r="O1511" s="53"/>
      <c r="P1511" s="54"/>
      <c r="Q1511" s="54"/>
      <c r="R1511" s="54"/>
      <c r="S1511" s="55"/>
      <c r="T1511" s="55"/>
      <c r="U1511" s="56"/>
      <c r="V1511" s="59"/>
      <c r="W1511" s="56"/>
      <c r="X1511" s="56"/>
      <c r="Y1511" s="56"/>
      <c r="Z1511" s="56"/>
      <c r="AA1511" s="58"/>
      <c r="AB1511" s="58"/>
      <c r="AC1511" s="58"/>
      <c r="AD1511" s="58"/>
      <c r="AE1511" s="58"/>
    </row>
    <row r="1512" spans="2:31">
      <c r="B1512" s="60"/>
      <c r="C1512" s="60"/>
      <c r="D1512" s="60"/>
      <c r="E1512" s="60"/>
      <c r="F1512" s="60"/>
      <c r="G1512" s="60"/>
      <c r="H1512" s="61"/>
      <c r="I1512" s="62"/>
      <c r="J1512" s="63"/>
      <c r="K1512" s="63"/>
      <c r="L1512" s="63"/>
      <c r="M1512" s="64"/>
      <c r="N1512" s="63"/>
      <c r="O1512" s="65"/>
      <c r="P1512" s="66"/>
      <c r="Q1512" s="66"/>
      <c r="R1512" s="66"/>
      <c r="S1512" s="67"/>
      <c r="T1512" s="55"/>
      <c r="U1512" s="68"/>
      <c r="V1512" s="69"/>
      <c r="W1512" s="68"/>
      <c r="X1512" s="68"/>
      <c r="Y1512" s="68"/>
      <c r="Z1512" s="68"/>
      <c r="AA1512" s="70"/>
      <c r="AB1512" s="70"/>
      <c r="AC1512" s="70"/>
      <c r="AD1512" s="70"/>
      <c r="AE1512" s="70"/>
    </row>
    <row r="1513" spans="2:31">
      <c r="H1513" s="49"/>
      <c r="I1513" s="50"/>
      <c r="J1513" s="51"/>
      <c r="K1513" s="51"/>
      <c r="L1513" s="51"/>
      <c r="M1513" s="52"/>
      <c r="N1513" s="51"/>
      <c r="O1513" s="53"/>
      <c r="P1513" s="54"/>
      <c r="Q1513" s="54"/>
      <c r="R1513" s="54"/>
      <c r="S1513" s="55"/>
      <c r="T1513" s="55"/>
      <c r="U1513" s="56"/>
      <c r="V1513" s="59"/>
      <c r="W1513" s="56"/>
      <c r="X1513" s="56"/>
      <c r="Y1513" s="56"/>
      <c r="Z1513" s="56"/>
      <c r="AA1513" s="58"/>
      <c r="AB1513" s="58"/>
      <c r="AC1513" s="58"/>
      <c r="AD1513" s="58"/>
      <c r="AE1513" s="58"/>
    </row>
    <row r="1514" spans="2:31">
      <c r="H1514" s="49"/>
      <c r="I1514" s="50"/>
      <c r="J1514" s="51"/>
      <c r="K1514" s="51"/>
      <c r="L1514" s="51"/>
      <c r="M1514" s="52"/>
      <c r="N1514" s="51"/>
      <c r="O1514" s="53"/>
      <c r="P1514" s="54"/>
      <c r="Q1514" s="54"/>
      <c r="R1514" s="54"/>
      <c r="S1514" s="55"/>
      <c r="T1514" s="55"/>
      <c r="U1514" s="56"/>
      <c r="V1514" s="59"/>
      <c r="W1514" s="56"/>
      <c r="X1514" s="56"/>
      <c r="Y1514" s="56"/>
      <c r="Z1514" s="56"/>
      <c r="AA1514" s="58"/>
      <c r="AB1514" s="58"/>
      <c r="AC1514" s="58"/>
      <c r="AD1514" s="58"/>
      <c r="AE1514" s="58"/>
    </row>
    <row r="1515" spans="2:31">
      <c r="H1515" s="49"/>
      <c r="I1515" s="50"/>
      <c r="J1515" s="51"/>
      <c r="K1515" s="51"/>
      <c r="L1515" s="51"/>
      <c r="M1515" s="52"/>
      <c r="N1515" s="51"/>
      <c r="O1515" s="53"/>
      <c r="P1515" s="54"/>
      <c r="Q1515" s="54"/>
      <c r="R1515" s="54"/>
      <c r="S1515" s="55"/>
      <c r="T1515" s="55"/>
      <c r="U1515" s="56"/>
      <c r="V1515" s="59"/>
      <c r="W1515" s="56"/>
      <c r="X1515" s="56"/>
      <c r="Y1515" s="56"/>
      <c r="Z1515" s="56"/>
      <c r="AA1515" s="58"/>
      <c r="AB1515" s="58"/>
      <c r="AC1515" s="58"/>
      <c r="AD1515" s="58"/>
      <c r="AE1515" s="58"/>
    </row>
    <row r="1516" spans="2:31">
      <c r="H1516" s="49"/>
      <c r="I1516" s="50"/>
      <c r="J1516" s="51"/>
      <c r="K1516" s="51"/>
      <c r="L1516" s="51"/>
      <c r="M1516" s="52"/>
      <c r="N1516" s="51"/>
      <c r="O1516" s="53"/>
      <c r="P1516" s="54"/>
      <c r="Q1516" s="54"/>
      <c r="R1516" s="54"/>
      <c r="S1516" s="55"/>
      <c r="T1516" s="55"/>
      <c r="U1516" s="56"/>
      <c r="V1516" s="59"/>
      <c r="W1516" s="56"/>
      <c r="X1516" s="56"/>
      <c r="Y1516" s="56"/>
      <c r="Z1516" s="56"/>
      <c r="AA1516" s="58"/>
      <c r="AB1516" s="58"/>
      <c r="AC1516" s="58"/>
      <c r="AD1516" s="58"/>
      <c r="AE1516" s="58"/>
    </row>
    <row r="1517" spans="2:31">
      <c r="H1517" s="49"/>
      <c r="I1517" s="50"/>
      <c r="J1517" s="51"/>
      <c r="K1517" s="51"/>
      <c r="L1517" s="51"/>
      <c r="M1517" s="52"/>
      <c r="N1517" s="51"/>
      <c r="O1517" s="53"/>
      <c r="P1517" s="54"/>
      <c r="Q1517" s="54"/>
      <c r="R1517" s="54"/>
      <c r="S1517" s="55"/>
      <c r="T1517" s="55"/>
      <c r="U1517" s="56"/>
      <c r="V1517" s="59"/>
      <c r="W1517" s="56"/>
      <c r="X1517" s="56"/>
      <c r="Y1517" s="56"/>
      <c r="Z1517" s="56"/>
      <c r="AA1517" s="58"/>
      <c r="AB1517" s="58"/>
      <c r="AC1517" s="58"/>
      <c r="AD1517" s="58"/>
      <c r="AE1517" s="58"/>
    </row>
    <row r="1518" spans="2:31">
      <c r="H1518" s="49"/>
      <c r="I1518" s="50"/>
      <c r="J1518" s="51"/>
      <c r="K1518" s="51"/>
      <c r="L1518" s="51"/>
      <c r="M1518" s="52"/>
      <c r="N1518" s="51"/>
      <c r="O1518" s="53"/>
      <c r="P1518" s="54"/>
      <c r="Q1518" s="54"/>
      <c r="R1518" s="54"/>
      <c r="S1518" s="55"/>
      <c r="T1518" s="55"/>
      <c r="U1518" s="56"/>
      <c r="V1518" s="59"/>
      <c r="W1518" s="56"/>
      <c r="X1518" s="56"/>
      <c r="Y1518" s="56"/>
      <c r="Z1518" s="56"/>
      <c r="AA1518" s="58"/>
      <c r="AB1518" s="58"/>
      <c r="AC1518" s="58"/>
      <c r="AD1518" s="58"/>
      <c r="AE1518" s="58"/>
    </row>
    <row r="1519" spans="2:31">
      <c r="B1519" s="60"/>
      <c r="C1519" s="60"/>
      <c r="D1519" s="60"/>
      <c r="E1519" s="60"/>
      <c r="F1519" s="60"/>
      <c r="G1519" s="60"/>
      <c r="H1519" s="61"/>
      <c r="I1519" s="62"/>
      <c r="J1519" s="63"/>
      <c r="K1519" s="63"/>
      <c r="L1519" s="63"/>
      <c r="M1519" s="64"/>
      <c r="N1519" s="63"/>
      <c r="O1519" s="65"/>
      <c r="P1519" s="66"/>
      <c r="Q1519" s="66"/>
      <c r="R1519" s="66"/>
      <c r="S1519" s="67"/>
      <c r="T1519" s="55"/>
      <c r="U1519" s="68"/>
      <c r="V1519" s="69"/>
      <c r="W1519" s="68"/>
      <c r="X1519" s="68"/>
      <c r="Y1519" s="68"/>
      <c r="Z1519" s="68"/>
      <c r="AA1519" s="70"/>
      <c r="AB1519" s="70"/>
      <c r="AC1519" s="70"/>
      <c r="AD1519" s="70"/>
      <c r="AE1519" s="70"/>
    </row>
    <row r="1520" spans="2:31">
      <c r="H1520" s="49"/>
      <c r="I1520" s="50"/>
      <c r="J1520" s="51"/>
      <c r="K1520" s="51"/>
      <c r="L1520" s="51"/>
      <c r="M1520" s="52"/>
      <c r="N1520" s="51"/>
      <c r="O1520" s="53"/>
      <c r="P1520" s="54"/>
      <c r="Q1520" s="54"/>
      <c r="R1520" s="54"/>
      <c r="S1520" s="55"/>
      <c r="T1520" s="55"/>
      <c r="U1520" s="56"/>
      <c r="V1520" s="59"/>
      <c r="W1520" s="56"/>
      <c r="X1520" s="56"/>
      <c r="Y1520" s="56"/>
      <c r="Z1520" s="56"/>
      <c r="AA1520" s="58"/>
      <c r="AB1520" s="58"/>
      <c r="AC1520" s="58"/>
      <c r="AD1520" s="58"/>
      <c r="AE1520" s="58"/>
    </row>
    <row r="1521" spans="2:31">
      <c r="H1521" s="49"/>
      <c r="I1521" s="50"/>
      <c r="J1521" s="51"/>
      <c r="K1521" s="51"/>
      <c r="L1521" s="51"/>
      <c r="M1521" s="52"/>
      <c r="N1521" s="51"/>
      <c r="O1521" s="53"/>
      <c r="P1521" s="54"/>
      <c r="Q1521" s="54"/>
      <c r="R1521" s="54"/>
      <c r="S1521" s="55"/>
      <c r="T1521" s="55"/>
      <c r="U1521" s="56"/>
      <c r="V1521" s="59"/>
      <c r="W1521" s="56"/>
      <c r="X1521" s="56"/>
      <c r="Y1521" s="56"/>
      <c r="Z1521" s="56"/>
      <c r="AA1521" s="58"/>
      <c r="AB1521" s="58"/>
      <c r="AC1521" s="58"/>
      <c r="AD1521" s="58"/>
      <c r="AE1521" s="58"/>
    </row>
    <row r="1522" spans="2:31">
      <c r="H1522" s="49"/>
      <c r="I1522" s="50"/>
      <c r="J1522" s="51"/>
      <c r="K1522" s="51"/>
      <c r="L1522" s="51"/>
      <c r="M1522" s="52"/>
      <c r="N1522" s="51"/>
      <c r="O1522" s="53"/>
      <c r="P1522" s="54"/>
      <c r="Q1522" s="54"/>
      <c r="R1522" s="54"/>
      <c r="S1522" s="55"/>
      <c r="T1522" s="55"/>
      <c r="U1522" s="56"/>
      <c r="V1522" s="59"/>
      <c r="W1522" s="56"/>
      <c r="X1522" s="56"/>
      <c r="Y1522" s="56"/>
      <c r="Z1522" s="56"/>
      <c r="AA1522" s="58"/>
      <c r="AB1522" s="58"/>
      <c r="AC1522" s="58"/>
      <c r="AD1522" s="58"/>
      <c r="AE1522" s="58"/>
    </row>
    <row r="1523" spans="2:31">
      <c r="H1523" s="49"/>
      <c r="I1523" s="50"/>
      <c r="J1523" s="51"/>
      <c r="K1523" s="51"/>
      <c r="L1523" s="51"/>
      <c r="M1523" s="52"/>
      <c r="N1523" s="51"/>
      <c r="O1523" s="53"/>
      <c r="P1523" s="54"/>
      <c r="Q1523" s="54"/>
      <c r="R1523" s="54"/>
      <c r="S1523" s="55"/>
      <c r="T1523" s="55"/>
      <c r="U1523" s="56"/>
      <c r="V1523" s="59"/>
      <c r="W1523" s="56"/>
      <c r="X1523" s="56"/>
      <c r="Y1523" s="56"/>
      <c r="Z1523" s="56"/>
      <c r="AA1523" s="58"/>
      <c r="AB1523" s="58"/>
      <c r="AC1523" s="58"/>
      <c r="AD1523" s="58"/>
      <c r="AE1523" s="58"/>
    </row>
    <row r="1524" spans="2:31">
      <c r="H1524" s="49"/>
      <c r="I1524" s="50"/>
      <c r="J1524" s="51"/>
      <c r="K1524" s="51"/>
      <c r="L1524" s="51"/>
      <c r="M1524" s="52"/>
      <c r="N1524" s="51"/>
      <c r="O1524" s="53"/>
      <c r="P1524" s="54"/>
      <c r="Q1524" s="54"/>
      <c r="R1524" s="54"/>
      <c r="S1524" s="55"/>
      <c r="T1524" s="55"/>
      <c r="U1524" s="56"/>
      <c r="V1524" s="59"/>
      <c r="W1524" s="56"/>
      <c r="X1524" s="56"/>
      <c r="Y1524" s="56"/>
      <c r="Z1524" s="56"/>
      <c r="AA1524" s="58"/>
      <c r="AB1524" s="58"/>
      <c r="AC1524" s="58"/>
      <c r="AD1524" s="58"/>
      <c r="AE1524" s="58"/>
    </row>
    <row r="1525" spans="2:31">
      <c r="H1525" s="49"/>
      <c r="I1525" s="50"/>
      <c r="J1525" s="51"/>
      <c r="K1525" s="51"/>
      <c r="L1525" s="51"/>
      <c r="M1525" s="52"/>
      <c r="N1525" s="51"/>
      <c r="O1525" s="53"/>
      <c r="P1525" s="54"/>
      <c r="Q1525" s="54"/>
      <c r="R1525" s="54"/>
      <c r="S1525" s="55"/>
      <c r="T1525" s="55"/>
      <c r="U1525" s="56"/>
      <c r="V1525" s="59"/>
      <c r="W1525" s="56"/>
      <c r="X1525" s="56"/>
      <c r="Y1525" s="56"/>
      <c r="Z1525" s="56"/>
      <c r="AA1525" s="58"/>
      <c r="AB1525" s="58"/>
      <c r="AC1525" s="58"/>
      <c r="AD1525" s="58"/>
      <c r="AE1525" s="58"/>
    </row>
    <row r="1526" spans="2:31">
      <c r="B1526" s="60"/>
      <c r="C1526" s="60"/>
      <c r="D1526" s="60"/>
      <c r="E1526" s="60"/>
      <c r="F1526" s="60"/>
      <c r="G1526" s="60"/>
      <c r="H1526" s="61"/>
      <c r="I1526" s="62"/>
      <c r="J1526" s="63"/>
      <c r="K1526" s="63"/>
      <c r="L1526" s="63"/>
      <c r="M1526" s="64"/>
      <c r="N1526" s="63"/>
      <c r="O1526" s="65"/>
      <c r="P1526" s="66"/>
      <c r="Q1526" s="66"/>
      <c r="R1526" s="66"/>
      <c r="S1526" s="67"/>
      <c r="T1526" s="55"/>
      <c r="U1526" s="68"/>
      <c r="V1526" s="69"/>
      <c r="W1526" s="68"/>
      <c r="X1526" s="68"/>
      <c r="Y1526" s="68"/>
      <c r="Z1526" s="68"/>
      <c r="AA1526" s="70"/>
      <c r="AB1526" s="70"/>
      <c r="AC1526" s="70"/>
      <c r="AD1526" s="70"/>
      <c r="AE1526" s="70"/>
    </row>
  </sheetData>
  <mergeCells count="4">
    <mergeCell ref="O2:O3"/>
    <mergeCell ref="P2:P3"/>
    <mergeCell ref="Q2:Q3"/>
    <mergeCell ref="R2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AC3CC-642F-49E9-B92A-C39E52050C80}">
  <sheetPr>
    <tabColor theme="7" tint="0.59999389629810485"/>
  </sheetPr>
  <dimension ref="C3:T46"/>
  <sheetViews>
    <sheetView topLeftCell="A9" zoomScaleNormal="100" workbookViewId="0">
      <selection activeCell="G40" sqref="G40"/>
    </sheetView>
  </sheetViews>
  <sheetFormatPr baseColWidth="10" defaultColWidth="8.85546875" defaultRowHeight="15"/>
  <cols>
    <col min="3" max="3" width="9.7109375" bestFit="1" customWidth="1"/>
    <col min="4" max="4" width="10.28515625" customWidth="1"/>
    <col min="5" max="5" width="12" customWidth="1"/>
    <col min="6" max="6" width="11" customWidth="1"/>
    <col min="7" max="7" width="13" customWidth="1"/>
    <col min="8" max="8" width="19" bestFit="1" customWidth="1"/>
    <col min="10" max="10" width="22.28515625" bestFit="1" customWidth="1"/>
    <col min="11" max="11" width="11.7109375" bestFit="1" customWidth="1"/>
    <col min="13" max="13" width="16" customWidth="1"/>
    <col min="14" max="14" width="16.28515625" customWidth="1"/>
    <col min="15" max="15" width="8.85546875" customWidth="1"/>
  </cols>
  <sheetData>
    <row r="3" spans="3:20" ht="24">
      <c r="D3" s="6" t="s">
        <v>49</v>
      </c>
      <c r="E3" s="6"/>
      <c r="F3" s="6"/>
      <c r="G3" s="6"/>
      <c r="H3" s="7">
        <v>46170</v>
      </c>
    </row>
    <row r="5" spans="3:20">
      <c r="D5" s="8" t="s">
        <v>50</v>
      </c>
      <c r="E5" s="8">
        <v>44</v>
      </c>
      <c r="G5" s="8" t="s">
        <v>51</v>
      </c>
      <c r="J5" s="8" t="s">
        <v>52</v>
      </c>
      <c r="K5" s="8">
        <v>11</v>
      </c>
    </row>
    <row r="6" spans="3:20">
      <c r="D6" s="8" t="s">
        <v>53</v>
      </c>
      <c r="E6" s="8">
        <v>36</v>
      </c>
      <c r="J6" s="8" t="s">
        <v>54</v>
      </c>
      <c r="K6" s="8">
        <v>1</v>
      </c>
    </row>
    <row r="7" spans="3:20">
      <c r="J7" s="8" t="s">
        <v>55</v>
      </c>
      <c r="K7" s="8">
        <f>+K5-K6</f>
        <v>10</v>
      </c>
    </row>
    <row r="8" spans="3:20">
      <c r="M8" s="130" t="s">
        <v>116</v>
      </c>
      <c r="N8" s="130"/>
    </row>
    <row r="9" spans="3:20">
      <c r="C9" s="72" t="s">
        <v>65</v>
      </c>
      <c r="D9" s="72" t="s">
        <v>56</v>
      </c>
      <c r="E9" s="72" t="s">
        <v>57</v>
      </c>
      <c r="F9" s="72" t="s">
        <v>58</v>
      </c>
      <c r="G9" s="72" t="s">
        <v>59</v>
      </c>
      <c r="H9" s="72" t="s">
        <v>60</v>
      </c>
      <c r="J9" s="3" t="s">
        <v>61</v>
      </c>
      <c r="K9" s="3" t="s">
        <v>62</v>
      </c>
      <c r="M9" s="3" t="s">
        <v>114</v>
      </c>
      <c r="N9" s="3" t="s">
        <v>115</v>
      </c>
      <c r="O9" s="3" t="s">
        <v>117</v>
      </c>
    </row>
    <row r="10" spans="3:20">
      <c r="C10" s="4" t="str">
        <f>+D10&amp;"-"&amp;E10&amp;"-"&amp;F10</f>
        <v>6-0-1</v>
      </c>
      <c r="D10" s="4">
        <v>6</v>
      </c>
      <c r="E10" s="4">
        <v>0</v>
      </c>
      <c r="F10" s="4">
        <v>1</v>
      </c>
      <c r="G10" s="4">
        <f t="shared" ref="G10:G15" si="0">SUM(D10:F10)</f>
        <v>7</v>
      </c>
      <c r="H10" s="120">
        <f t="shared" ref="H10:H15" si="1">(D10/(D10+E10)*$E$5)+(E10/(D10+E10)*$E$6)</f>
        <v>44</v>
      </c>
      <c r="J10">
        <f>(D10+E10)*$K$7</f>
        <v>60</v>
      </c>
      <c r="K10">
        <f t="shared" ref="K10:K15" si="2">J10-H10</f>
        <v>16</v>
      </c>
      <c r="M10" s="27">
        <f>(D10/(D10+E10))</f>
        <v>1</v>
      </c>
      <c r="N10" s="27">
        <f>+(E10/(D10+E10))</f>
        <v>0</v>
      </c>
      <c r="O10" s="28">
        <f>(M10*1.5)+(N10*2)</f>
        <v>1.5</v>
      </c>
    </row>
    <row r="11" spans="3:20">
      <c r="C11" s="4" t="str">
        <f t="shared" ref="C11:C39" si="3">+D11&amp;"-"&amp;E11&amp;"-"&amp;F11</f>
        <v>5-0-2</v>
      </c>
      <c r="D11" s="4">
        <v>5</v>
      </c>
      <c r="E11" s="4">
        <v>0</v>
      </c>
      <c r="F11" s="4">
        <v>2</v>
      </c>
      <c r="G11" s="4">
        <f t="shared" si="0"/>
        <v>7</v>
      </c>
      <c r="H11" s="120">
        <f t="shared" si="1"/>
        <v>44</v>
      </c>
      <c r="J11">
        <f>(D11+E11)*$K$7</f>
        <v>50</v>
      </c>
      <c r="K11">
        <f t="shared" si="2"/>
        <v>6</v>
      </c>
      <c r="M11" s="27">
        <f t="shared" ref="M11:M39" si="4">(D11/(D11+E11))</f>
        <v>1</v>
      </c>
      <c r="N11" s="27">
        <f t="shared" ref="N11:N39" si="5">+(E11/(D11+E11))</f>
        <v>0</v>
      </c>
      <c r="O11" s="28">
        <f t="shared" ref="O11:O39" si="6">(M11*1.5)+(N11*2)</f>
        <v>1.5</v>
      </c>
      <c r="S11" s="26"/>
      <c r="T11" s="26"/>
    </row>
    <row r="12" spans="3:20">
      <c r="C12" s="4" t="str">
        <f t="shared" si="3"/>
        <v>4-0-3</v>
      </c>
      <c r="D12" s="4">
        <v>4</v>
      </c>
      <c r="E12" s="4">
        <v>0</v>
      </c>
      <c r="F12" s="4">
        <v>3</v>
      </c>
      <c r="G12" s="4">
        <f t="shared" si="0"/>
        <v>7</v>
      </c>
      <c r="H12" s="120">
        <f t="shared" si="1"/>
        <v>44</v>
      </c>
      <c r="J12">
        <f t="shared" ref="J12:J15" si="7">(D12+E12)*$K$7</f>
        <v>40</v>
      </c>
      <c r="K12">
        <f>J12-H12</f>
        <v>-4</v>
      </c>
      <c r="M12" s="27">
        <f t="shared" si="4"/>
        <v>1</v>
      </c>
      <c r="N12" s="27">
        <f t="shared" si="5"/>
        <v>0</v>
      </c>
      <c r="O12" s="28">
        <f t="shared" si="6"/>
        <v>1.5</v>
      </c>
    </row>
    <row r="13" spans="3:20">
      <c r="C13" s="4" t="str">
        <f t="shared" si="3"/>
        <v>3-1-3</v>
      </c>
      <c r="D13" s="4">
        <v>3</v>
      </c>
      <c r="E13" s="4">
        <v>1</v>
      </c>
      <c r="F13" s="4">
        <v>3</v>
      </c>
      <c r="G13" s="4">
        <f t="shared" si="0"/>
        <v>7</v>
      </c>
      <c r="H13" s="120">
        <f t="shared" si="1"/>
        <v>42</v>
      </c>
      <c r="J13">
        <f t="shared" si="7"/>
        <v>40</v>
      </c>
      <c r="K13">
        <f t="shared" si="2"/>
        <v>-2</v>
      </c>
      <c r="M13" s="27">
        <f t="shared" si="4"/>
        <v>0.75</v>
      </c>
      <c r="N13" s="27">
        <f t="shared" si="5"/>
        <v>0.25</v>
      </c>
      <c r="O13" s="28">
        <f t="shared" si="6"/>
        <v>1.625</v>
      </c>
    </row>
    <row r="14" spans="3:20">
      <c r="C14" s="4" t="str">
        <f t="shared" si="3"/>
        <v>2-2-3</v>
      </c>
      <c r="D14" s="4">
        <v>2</v>
      </c>
      <c r="E14" s="4">
        <v>2</v>
      </c>
      <c r="F14" s="4">
        <v>3</v>
      </c>
      <c r="G14" s="4">
        <f t="shared" si="0"/>
        <v>7</v>
      </c>
      <c r="H14" s="120">
        <f t="shared" si="1"/>
        <v>40</v>
      </c>
      <c r="J14">
        <f t="shared" si="7"/>
        <v>40</v>
      </c>
      <c r="K14">
        <f t="shared" si="2"/>
        <v>0</v>
      </c>
      <c r="M14" s="27">
        <f t="shared" si="4"/>
        <v>0.5</v>
      </c>
      <c r="N14" s="27">
        <f t="shared" si="5"/>
        <v>0.5</v>
      </c>
      <c r="O14" s="28">
        <f t="shared" si="6"/>
        <v>1.75</v>
      </c>
    </row>
    <row r="15" spans="3:20">
      <c r="C15" s="4" t="str">
        <f t="shared" si="3"/>
        <v>1-3-3</v>
      </c>
      <c r="D15" s="4">
        <v>1</v>
      </c>
      <c r="E15" s="4">
        <v>3</v>
      </c>
      <c r="F15" s="4">
        <v>3</v>
      </c>
      <c r="G15" s="4">
        <f t="shared" si="0"/>
        <v>7</v>
      </c>
      <c r="H15" s="120">
        <f t="shared" si="1"/>
        <v>38</v>
      </c>
      <c r="J15">
        <f t="shared" si="7"/>
        <v>40</v>
      </c>
      <c r="K15">
        <f t="shared" si="2"/>
        <v>2</v>
      </c>
      <c r="M15" s="27">
        <f t="shared" si="4"/>
        <v>0.25</v>
      </c>
      <c r="N15" s="27">
        <f t="shared" si="5"/>
        <v>0.75</v>
      </c>
      <c r="O15" s="28">
        <f t="shared" si="6"/>
        <v>1.875</v>
      </c>
    </row>
    <row r="16" spans="3:20">
      <c r="C16" s="4" t="str">
        <f t="shared" si="3"/>
        <v>0-5-2</v>
      </c>
      <c r="D16" s="4">
        <v>0</v>
      </c>
      <c r="E16" s="4">
        <v>5</v>
      </c>
      <c r="F16" s="4">
        <v>2</v>
      </c>
      <c r="G16" s="4">
        <f t="shared" ref="G16:G24" si="8">SUM(D16:F16)</f>
        <v>7</v>
      </c>
      <c r="H16" s="120">
        <f t="shared" ref="H16:H39" si="9">(D16/(D16+E16)*$E$5)+(E16/(D16+E16)*$E$6)</f>
        <v>36</v>
      </c>
      <c r="J16">
        <f t="shared" ref="J16:J21" si="10">(D16+E16)*$K$7</f>
        <v>50</v>
      </c>
      <c r="K16">
        <f t="shared" ref="K16:K21" si="11">J16-H16</f>
        <v>14</v>
      </c>
      <c r="M16" s="27">
        <f t="shared" si="4"/>
        <v>0</v>
      </c>
      <c r="N16" s="27">
        <f t="shared" si="5"/>
        <v>1</v>
      </c>
      <c r="O16" s="28">
        <f t="shared" si="6"/>
        <v>2</v>
      </c>
    </row>
    <row r="17" spans="3:15">
      <c r="C17" s="4" t="str">
        <f t="shared" si="3"/>
        <v>0-4-3</v>
      </c>
      <c r="D17" s="4">
        <v>0</v>
      </c>
      <c r="E17" s="4">
        <v>4</v>
      </c>
      <c r="F17" s="4">
        <v>3</v>
      </c>
      <c r="G17" s="4">
        <f t="shared" si="8"/>
        <v>7</v>
      </c>
      <c r="H17" s="120">
        <f t="shared" si="9"/>
        <v>36</v>
      </c>
      <c r="J17">
        <f t="shared" si="10"/>
        <v>40</v>
      </c>
      <c r="K17">
        <f t="shared" si="11"/>
        <v>4</v>
      </c>
      <c r="M17" s="27">
        <f t="shared" si="4"/>
        <v>0</v>
      </c>
      <c r="N17" s="27">
        <f t="shared" si="5"/>
        <v>1</v>
      </c>
      <c r="O17" s="28">
        <f t="shared" si="6"/>
        <v>2</v>
      </c>
    </row>
    <row r="18" spans="3:15">
      <c r="C18" s="4" t="str">
        <f t="shared" si="3"/>
        <v>0-6-1</v>
      </c>
      <c r="D18" s="4">
        <v>0</v>
      </c>
      <c r="E18" s="4">
        <v>6</v>
      </c>
      <c r="F18" s="4">
        <v>1</v>
      </c>
      <c r="G18" s="4">
        <f t="shared" si="8"/>
        <v>7</v>
      </c>
      <c r="H18" s="120">
        <f t="shared" si="9"/>
        <v>36</v>
      </c>
      <c r="J18">
        <f t="shared" si="10"/>
        <v>60</v>
      </c>
      <c r="K18">
        <f t="shared" si="11"/>
        <v>24</v>
      </c>
      <c r="M18" s="27">
        <f t="shared" si="4"/>
        <v>0</v>
      </c>
      <c r="N18" s="27">
        <f t="shared" si="5"/>
        <v>1</v>
      </c>
      <c r="O18" s="28">
        <f t="shared" si="6"/>
        <v>2</v>
      </c>
    </row>
    <row r="19" spans="3:15">
      <c r="C19" s="4" t="str">
        <f t="shared" si="3"/>
        <v>5.5-0-1.5</v>
      </c>
      <c r="D19" s="4">
        <v>5.5</v>
      </c>
      <c r="E19" s="4">
        <v>0</v>
      </c>
      <c r="F19" s="4">
        <v>1.5</v>
      </c>
      <c r="G19" s="4">
        <f t="shared" si="8"/>
        <v>7</v>
      </c>
      <c r="H19" s="120">
        <f t="shared" si="9"/>
        <v>44</v>
      </c>
      <c r="J19">
        <f t="shared" si="10"/>
        <v>55</v>
      </c>
      <c r="K19">
        <f t="shared" si="11"/>
        <v>11</v>
      </c>
      <c r="M19" s="27">
        <f t="shared" si="4"/>
        <v>1</v>
      </c>
      <c r="N19" s="27">
        <f t="shared" si="5"/>
        <v>0</v>
      </c>
      <c r="O19" s="28">
        <f t="shared" si="6"/>
        <v>1.5</v>
      </c>
    </row>
    <row r="20" spans="3:15">
      <c r="C20" s="4" t="str">
        <f t="shared" si="3"/>
        <v>0-5.5-1.5</v>
      </c>
      <c r="D20" s="4">
        <v>0</v>
      </c>
      <c r="E20" s="4">
        <v>5.5</v>
      </c>
      <c r="F20" s="4">
        <v>1.5</v>
      </c>
      <c r="G20" s="4">
        <f t="shared" si="8"/>
        <v>7</v>
      </c>
      <c r="H20" s="120">
        <f t="shared" si="9"/>
        <v>36</v>
      </c>
      <c r="J20">
        <f t="shared" si="10"/>
        <v>55</v>
      </c>
      <c r="K20">
        <f t="shared" si="11"/>
        <v>19</v>
      </c>
      <c r="M20" s="27">
        <f t="shared" si="4"/>
        <v>0</v>
      </c>
      <c r="N20" s="27">
        <f t="shared" si="5"/>
        <v>1</v>
      </c>
      <c r="O20" s="28">
        <f t="shared" si="6"/>
        <v>2</v>
      </c>
    </row>
    <row r="21" spans="3:15" hidden="1">
      <c r="C21" t="str">
        <f t="shared" si="3"/>
        <v>5-0-2</v>
      </c>
      <c r="D21">
        <v>5</v>
      </c>
      <c r="E21">
        <v>0</v>
      </c>
      <c r="F21">
        <v>2</v>
      </c>
      <c r="G21">
        <f t="shared" si="8"/>
        <v>7</v>
      </c>
      <c r="H21" s="109">
        <f t="shared" si="9"/>
        <v>44</v>
      </c>
      <c r="J21">
        <f t="shared" si="10"/>
        <v>50</v>
      </c>
      <c r="K21">
        <f t="shared" si="11"/>
        <v>6</v>
      </c>
      <c r="M21" s="27">
        <f t="shared" si="4"/>
        <v>1</v>
      </c>
      <c r="N21" s="27">
        <f t="shared" si="5"/>
        <v>0</v>
      </c>
      <c r="O21" s="28">
        <f t="shared" si="6"/>
        <v>1.5</v>
      </c>
    </row>
    <row r="22" spans="3:15" hidden="1">
      <c r="C22" t="str">
        <f t="shared" si="3"/>
        <v>0-5-2</v>
      </c>
      <c r="D22">
        <v>0</v>
      </c>
      <c r="E22">
        <v>5</v>
      </c>
      <c r="F22">
        <v>2</v>
      </c>
      <c r="G22">
        <f t="shared" si="8"/>
        <v>7</v>
      </c>
      <c r="H22" s="109">
        <f t="shared" si="9"/>
        <v>36</v>
      </c>
      <c r="J22">
        <f t="shared" ref="J22:J24" si="12">(D22+E22)*$K$7</f>
        <v>50</v>
      </c>
      <c r="K22">
        <f t="shared" ref="K22:K24" si="13">J22-H22</f>
        <v>14</v>
      </c>
      <c r="M22" s="27">
        <f t="shared" si="4"/>
        <v>0</v>
      </c>
      <c r="N22" s="27">
        <f t="shared" si="5"/>
        <v>1</v>
      </c>
      <c r="O22" s="28">
        <f t="shared" si="6"/>
        <v>2</v>
      </c>
    </row>
    <row r="23" spans="3:15" hidden="1">
      <c r="C23" t="str">
        <f t="shared" si="3"/>
        <v>1-4-2</v>
      </c>
      <c r="D23">
        <v>1</v>
      </c>
      <c r="E23">
        <v>4</v>
      </c>
      <c r="F23">
        <v>2</v>
      </c>
      <c r="G23">
        <f t="shared" si="8"/>
        <v>7</v>
      </c>
      <c r="H23" s="109">
        <f t="shared" si="9"/>
        <v>37.6</v>
      </c>
      <c r="J23">
        <f t="shared" si="12"/>
        <v>50</v>
      </c>
      <c r="K23">
        <f t="shared" si="13"/>
        <v>12.399999999999999</v>
      </c>
      <c r="M23" s="27">
        <f t="shared" si="4"/>
        <v>0.2</v>
      </c>
      <c r="N23" s="27">
        <f t="shared" si="5"/>
        <v>0.8</v>
      </c>
      <c r="O23" s="28">
        <f t="shared" si="6"/>
        <v>1.9000000000000001</v>
      </c>
    </row>
    <row r="24" spans="3:15">
      <c r="C24" s="4" t="str">
        <f t="shared" si="3"/>
        <v>7-0-0</v>
      </c>
      <c r="D24" s="4">
        <v>7</v>
      </c>
      <c r="E24" s="4">
        <v>0</v>
      </c>
      <c r="F24" s="4">
        <v>0</v>
      </c>
      <c r="G24" s="4">
        <f t="shared" si="8"/>
        <v>7</v>
      </c>
      <c r="H24" s="120">
        <f t="shared" si="9"/>
        <v>44</v>
      </c>
      <c r="J24">
        <f t="shared" si="12"/>
        <v>70</v>
      </c>
      <c r="K24">
        <f t="shared" si="13"/>
        <v>26</v>
      </c>
      <c r="M24" s="27">
        <f t="shared" si="4"/>
        <v>1</v>
      </c>
      <c r="N24" s="27">
        <f t="shared" si="5"/>
        <v>0</v>
      </c>
      <c r="O24" s="28">
        <f t="shared" si="6"/>
        <v>1.5</v>
      </c>
    </row>
    <row r="25" spans="3:15">
      <c r="C25" s="4" t="str">
        <f t="shared" si="3"/>
        <v>0-0-7</v>
      </c>
      <c r="D25" s="4">
        <v>0</v>
      </c>
      <c r="E25" s="4">
        <v>0</v>
      </c>
      <c r="F25" s="4">
        <v>7</v>
      </c>
      <c r="G25" s="4">
        <f t="shared" ref="G25" si="14">SUM(D25:F25)</f>
        <v>7</v>
      </c>
      <c r="H25" s="120">
        <v>0</v>
      </c>
      <c r="J25">
        <f t="shared" ref="J25" si="15">(D25+E25)*$K$7</f>
        <v>0</v>
      </c>
      <c r="K25">
        <f t="shared" ref="K25" si="16">J25-H25</f>
        <v>0</v>
      </c>
      <c r="M25" s="27">
        <v>0</v>
      </c>
      <c r="N25" s="27">
        <v>0</v>
      </c>
      <c r="O25" s="28">
        <f t="shared" si="6"/>
        <v>0</v>
      </c>
    </row>
    <row r="26" spans="3:15">
      <c r="C26" s="4" t="str">
        <f t="shared" si="3"/>
        <v>3-3-1</v>
      </c>
      <c r="D26" s="4">
        <v>3</v>
      </c>
      <c r="E26" s="4">
        <v>3</v>
      </c>
      <c r="F26" s="4">
        <v>1</v>
      </c>
      <c r="G26" s="4">
        <f t="shared" ref="G26" si="17">SUM(D26:F26)</f>
        <v>7</v>
      </c>
      <c r="H26" s="120">
        <f t="shared" si="9"/>
        <v>40</v>
      </c>
      <c r="J26">
        <f t="shared" ref="J26" si="18">(D26+E26)*$K$7</f>
        <v>60</v>
      </c>
      <c r="K26">
        <f t="shared" ref="K26" si="19">J26-H26</f>
        <v>20</v>
      </c>
      <c r="M26" s="27">
        <f t="shared" si="4"/>
        <v>0.5</v>
      </c>
      <c r="N26" s="27">
        <f t="shared" si="5"/>
        <v>0.5</v>
      </c>
      <c r="O26" s="28">
        <f t="shared" si="6"/>
        <v>1.75</v>
      </c>
    </row>
    <row r="27" spans="3:15">
      <c r="C27" s="4" t="str">
        <f t="shared" si="3"/>
        <v>0-7-0</v>
      </c>
      <c r="D27" s="4">
        <v>0</v>
      </c>
      <c r="E27" s="4">
        <v>7</v>
      </c>
      <c r="F27" s="4">
        <v>0</v>
      </c>
      <c r="G27" s="4">
        <f t="shared" ref="G27:G39" si="20">SUM(D27:F27)</f>
        <v>7</v>
      </c>
      <c r="H27" s="120">
        <f t="shared" si="9"/>
        <v>36</v>
      </c>
      <c r="J27">
        <f t="shared" ref="J27:J39" si="21">(D27+E27)*$K$7</f>
        <v>70</v>
      </c>
      <c r="K27">
        <f t="shared" ref="K27:K39" si="22">J27-H27</f>
        <v>34</v>
      </c>
      <c r="M27" s="27">
        <f t="shared" si="4"/>
        <v>0</v>
      </c>
      <c r="N27" s="27">
        <f t="shared" si="5"/>
        <v>1</v>
      </c>
      <c r="O27" s="28">
        <f t="shared" si="6"/>
        <v>2</v>
      </c>
    </row>
    <row r="28" spans="3:15">
      <c r="C28" s="4" t="str">
        <f t="shared" si="3"/>
        <v>0-5-2</v>
      </c>
      <c r="D28" s="4">
        <v>0</v>
      </c>
      <c r="E28" s="4">
        <v>5</v>
      </c>
      <c r="F28" s="4">
        <v>2</v>
      </c>
      <c r="G28" s="4">
        <f t="shared" si="20"/>
        <v>7</v>
      </c>
      <c r="H28" s="120">
        <f t="shared" si="9"/>
        <v>36</v>
      </c>
      <c r="J28">
        <f t="shared" si="21"/>
        <v>50</v>
      </c>
      <c r="K28">
        <f t="shared" si="22"/>
        <v>14</v>
      </c>
      <c r="M28" s="27">
        <f t="shared" si="4"/>
        <v>0</v>
      </c>
      <c r="N28" s="27">
        <f t="shared" si="5"/>
        <v>1</v>
      </c>
      <c r="O28" s="28">
        <f t="shared" si="6"/>
        <v>2</v>
      </c>
    </row>
    <row r="29" spans="3:15">
      <c r="C29" s="4" t="str">
        <f t="shared" ref="C29:C34" si="23">+D29&amp;"-"&amp;E29&amp;"-"&amp;F29</f>
        <v>2-3-2</v>
      </c>
      <c r="D29" s="4">
        <v>2</v>
      </c>
      <c r="E29" s="4">
        <v>3</v>
      </c>
      <c r="F29" s="4">
        <v>2</v>
      </c>
      <c r="G29" s="4">
        <f t="shared" ref="G29:G34" si="24">SUM(D29:F29)</f>
        <v>7</v>
      </c>
      <c r="H29" s="120">
        <f t="shared" ref="H29:H34" si="25">(D29/(D29+E29)*$E$5)+(E29/(D29+E29)*$E$6)</f>
        <v>39.200000000000003</v>
      </c>
      <c r="J29">
        <f t="shared" ref="J29:J34" si="26">(D29+E29)*$K$7</f>
        <v>50</v>
      </c>
      <c r="K29">
        <f t="shared" ref="K29:K34" si="27">J29-H29</f>
        <v>10.799999999999997</v>
      </c>
      <c r="M29" s="27">
        <f t="shared" ref="M29:M34" si="28">(D29/(D29+E29))</f>
        <v>0.4</v>
      </c>
      <c r="N29" s="27">
        <f t="shared" ref="N29:N34" si="29">+(E29/(D29+E29))</f>
        <v>0.6</v>
      </c>
      <c r="O29" s="28">
        <f t="shared" ref="O29:O34" si="30">(M29*1.5)+(N29*2)</f>
        <v>1.8</v>
      </c>
    </row>
    <row r="30" spans="3:15">
      <c r="C30" s="4" t="str">
        <f t="shared" si="23"/>
        <v>3-0-4</v>
      </c>
      <c r="D30" s="4">
        <v>3</v>
      </c>
      <c r="E30" s="4">
        <v>0</v>
      </c>
      <c r="F30" s="4">
        <v>4</v>
      </c>
      <c r="G30" s="4">
        <f t="shared" si="24"/>
        <v>7</v>
      </c>
      <c r="H30" s="120">
        <f t="shared" si="25"/>
        <v>44</v>
      </c>
      <c r="J30">
        <f t="shared" si="26"/>
        <v>30</v>
      </c>
      <c r="K30">
        <f t="shared" si="27"/>
        <v>-14</v>
      </c>
      <c r="M30" s="27">
        <f t="shared" si="28"/>
        <v>1</v>
      </c>
      <c r="N30" s="27">
        <f t="shared" si="29"/>
        <v>0</v>
      </c>
      <c r="O30" s="28">
        <f t="shared" si="30"/>
        <v>1.5</v>
      </c>
    </row>
    <row r="31" spans="3:15">
      <c r="C31" s="4" t="str">
        <f t="shared" si="23"/>
        <v>2-4-1</v>
      </c>
      <c r="D31" s="4">
        <v>2</v>
      </c>
      <c r="E31" s="4">
        <v>4</v>
      </c>
      <c r="F31" s="4">
        <v>1</v>
      </c>
      <c r="G31" s="4">
        <f t="shared" si="24"/>
        <v>7</v>
      </c>
      <c r="H31" s="120">
        <f t="shared" si="25"/>
        <v>38.666666666666664</v>
      </c>
      <c r="J31">
        <f t="shared" si="26"/>
        <v>60</v>
      </c>
      <c r="K31">
        <f t="shared" si="27"/>
        <v>21.333333333333336</v>
      </c>
      <c r="M31" s="27">
        <f t="shared" si="28"/>
        <v>0.33333333333333331</v>
      </c>
      <c r="N31" s="27">
        <f t="shared" si="29"/>
        <v>0.66666666666666663</v>
      </c>
      <c r="O31" s="28">
        <f t="shared" si="30"/>
        <v>1.8333333333333333</v>
      </c>
    </row>
    <row r="32" spans="3:15">
      <c r="C32" s="4" t="str">
        <f t="shared" si="23"/>
        <v>0-2-5</v>
      </c>
      <c r="D32" s="4">
        <v>0</v>
      </c>
      <c r="E32" s="4">
        <v>2</v>
      </c>
      <c r="F32" s="4">
        <v>5</v>
      </c>
      <c r="G32" s="4">
        <f t="shared" si="24"/>
        <v>7</v>
      </c>
      <c r="H32" s="120">
        <f t="shared" si="25"/>
        <v>36</v>
      </c>
      <c r="J32">
        <f t="shared" si="26"/>
        <v>20</v>
      </c>
      <c r="K32">
        <f t="shared" si="27"/>
        <v>-16</v>
      </c>
      <c r="M32" s="27">
        <f t="shared" si="28"/>
        <v>0</v>
      </c>
      <c r="N32" s="27">
        <f t="shared" si="29"/>
        <v>1</v>
      </c>
      <c r="O32" s="28">
        <f t="shared" si="30"/>
        <v>2</v>
      </c>
    </row>
    <row r="33" spans="3:15">
      <c r="C33" s="4" t="str">
        <f t="shared" si="23"/>
        <v>2-5-0</v>
      </c>
      <c r="D33" s="4">
        <v>2</v>
      </c>
      <c r="E33" s="4">
        <v>5</v>
      </c>
      <c r="F33" s="4">
        <v>0</v>
      </c>
      <c r="G33" s="4">
        <f t="shared" si="24"/>
        <v>7</v>
      </c>
      <c r="H33" s="120">
        <f t="shared" si="25"/>
        <v>38.285714285714285</v>
      </c>
      <c r="J33">
        <f t="shared" si="26"/>
        <v>70</v>
      </c>
      <c r="K33">
        <f t="shared" si="27"/>
        <v>31.714285714285715</v>
      </c>
      <c r="M33" s="27">
        <f t="shared" si="28"/>
        <v>0.2857142857142857</v>
      </c>
      <c r="N33" s="27">
        <f t="shared" si="29"/>
        <v>0.7142857142857143</v>
      </c>
      <c r="O33" s="28">
        <f t="shared" si="30"/>
        <v>1.8571428571428572</v>
      </c>
    </row>
    <row r="34" spans="3:15">
      <c r="C34" s="4" t="str">
        <f t="shared" si="23"/>
        <v>1-5-1</v>
      </c>
      <c r="D34" s="4">
        <v>1</v>
      </c>
      <c r="E34" s="4">
        <v>5</v>
      </c>
      <c r="F34" s="4">
        <v>1</v>
      </c>
      <c r="G34" s="4">
        <f t="shared" si="24"/>
        <v>7</v>
      </c>
      <c r="H34" s="120">
        <f t="shared" si="25"/>
        <v>37.333333333333336</v>
      </c>
      <c r="J34">
        <f t="shared" si="26"/>
        <v>60</v>
      </c>
      <c r="K34">
        <f t="shared" si="27"/>
        <v>22.666666666666664</v>
      </c>
      <c r="M34" s="27">
        <f t="shared" si="28"/>
        <v>0.16666666666666666</v>
      </c>
      <c r="N34" s="27">
        <f t="shared" si="29"/>
        <v>0.83333333333333337</v>
      </c>
      <c r="O34" s="28">
        <f t="shared" si="30"/>
        <v>1.9166666666666667</v>
      </c>
    </row>
    <row r="35" spans="3:15">
      <c r="C35" s="4" t="str">
        <f t="shared" si="3"/>
        <v>1-4-2</v>
      </c>
      <c r="D35" s="4">
        <v>1</v>
      </c>
      <c r="E35" s="4">
        <v>4</v>
      </c>
      <c r="F35" s="4">
        <v>2</v>
      </c>
      <c r="G35" s="4">
        <f t="shared" si="20"/>
        <v>7</v>
      </c>
      <c r="H35" s="120">
        <f t="shared" si="9"/>
        <v>37.6</v>
      </c>
      <c r="J35">
        <f t="shared" si="21"/>
        <v>50</v>
      </c>
      <c r="K35">
        <f t="shared" si="22"/>
        <v>12.399999999999999</v>
      </c>
      <c r="M35" s="27">
        <f t="shared" si="4"/>
        <v>0.2</v>
      </c>
      <c r="N35" s="27">
        <f t="shared" si="5"/>
        <v>0.8</v>
      </c>
      <c r="O35" s="28">
        <f t="shared" si="6"/>
        <v>1.9000000000000001</v>
      </c>
    </row>
    <row r="36" spans="3:15">
      <c r="C36" s="4" t="str">
        <f t="shared" si="3"/>
        <v>3-1-3</v>
      </c>
      <c r="D36" s="4">
        <v>3</v>
      </c>
      <c r="E36" s="4">
        <v>1</v>
      </c>
      <c r="F36" s="4">
        <v>3</v>
      </c>
      <c r="G36" s="4">
        <f t="shared" si="20"/>
        <v>7</v>
      </c>
      <c r="H36" s="120">
        <f t="shared" si="9"/>
        <v>42</v>
      </c>
      <c r="J36">
        <f t="shared" si="21"/>
        <v>40</v>
      </c>
      <c r="K36">
        <f t="shared" si="22"/>
        <v>-2</v>
      </c>
      <c r="M36" s="27">
        <f t="shared" si="4"/>
        <v>0.75</v>
      </c>
      <c r="N36" s="27">
        <f t="shared" si="5"/>
        <v>0.25</v>
      </c>
      <c r="O36" s="28">
        <f t="shared" si="6"/>
        <v>1.625</v>
      </c>
    </row>
    <row r="37" spans="3:15">
      <c r="C37" s="4" t="str">
        <f t="shared" si="3"/>
        <v>5-1-1</v>
      </c>
      <c r="D37" s="4">
        <v>5</v>
      </c>
      <c r="E37" s="4">
        <v>1</v>
      </c>
      <c r="F37" s="4">
        <v>1</v>
      </c>
      <c r="G37" s="4">
        <f t="shared" si="20"/>
        <v>7</v>
      </c>
      <c r="H37" s="120">
        <f t="shared" si="9"/>
        <v>42.666666666666671</v>
      </c>
      <c r="J37">
        <f t="shared" si="21"/>
        <v>60</v>
      </c>
      <c r="K37">
        <f t="shared" si="22"/>
        <v>17.333333333333329</v>
      </c>
      <c r="M37" s="27">
        <f t="shared" si="4"/>
        <v>0.83333333333333337</v>
      </c>
      <c r="N37" s="27">
        <f t="shared" si="5"/>
        <v>0.16666666666666666</v>
      </c>
      <c r="O37" s="28">
        <f t="shared" si="6"/>
        <v>1.5833333333333333</v>
      </c>
    </row>
    <row r="38" spans="3:15">
      <c r="C38" s="4" t="str">
        <f t="shared" si="3"/>
        <v>1-0-6</v>
      </c>
      <c r="D38" s="4">
        <v>1</v>
      </c>
      <c r="E38" s="4">
        <v>0</v>
      </c>
      <c r="F38" s="4">
        <v>6</v>
      </c>
      <c r="G38" s="4">
        <f t="shared" si="20"/>
        <v>7</v>
      </c>
      <c r="H38" s="120">
        <f t="shared" si="9"/>
        <v>44</v>
      </c>
      <c r="J38">
        <f t="shared" si="21"/>
        <v>10</v>
      </c>
      <c r="K38">
        <f t="shared" si="22"/>
        <v>-34</v>
      </c>
      <c r="M38" s="27">
        <f t="shared" si="4"/>
        <v>1</v>
      </c>
      <c r="N38" s="27">
        <f t="shared" si="5"/>
        <v>0</v>
      </c>
      <c r="O38" s="28">
        <f t="shared" si="6"/>
        <v>1.5</v>
      </c>
    </row>
    <row r="39" spans="3:15">
      <c r="C39" s="4" t="str">
        <f t="shared" si="3"/>
        <v>2-0-5</v>
      </c>
      <c r="D39" s="4">
        <v>2</v>
      </c>
      <c r="E39" s="4">
        <v>0</v>
      </c>
      <c r="F39" s="4">
        <v>5</v>
      </c>
      <c r="G39" s="4">
        <f t="shared" si="20"/>
        <v>7</v>
      </c>
      <c r="H39" s="120">
        <f t="shared" si="9"/>
        <v>44</v>
      </c>
      <c r="J39">
        <f t="shared" si="21"/>
        <v>20</v>
      </c>
      <c r="K39">
        <f t="shared" si="22"/>
        <v>-24</v>
      </c>
      <c r="M39" s="27">
        <f t="shared" si="4"/>
        <v>1</v>
      </c>
      <c r="N39" s="27">
        <f t="shared" si="5"/>
        <v>0</v>
      </c>
      <c r="O39" s="28">
        <f t="shared" si="6"/>
        <v>1.5</v>
      </c>
    </row>
    <row r="40" spans="3:15">
      <c r="C40" s="4" t="str">
        <f t="shared" ref="C40:C41" si="31">+D40&amp;"-"&amp;E40&amp;"-"&amp;F40</f>
        <v>0-3-4</v>
      </c>
      <c r="D40" s="4">
        <v>0</v>
      </c>
      <c r="E40" s="4">
        <v>3</v>
      </c>
      <c r="F40" s="4">
        <v>4</v>
      </c>
      <c r="G40" s="4">
        <f t="shared" ref="G40:G41" si="32">SUM(D40:F40)</f>
        <v>7</v>
      </c>
      <c r="H40" s="120">
        <f t="shared" ref="H40:H41" si="33">(D40/(D40+E40)*$E$5)+(E40/(D40+E40)*$E$6)</f>
        <v>36</v>
      </c>
      <c r="J40">
        <f t="shared" ref="J40:J41" si="34">(D40+E40)*$K$7</f>
        <v>30</v>
      </c>
      <c r="K40">
        <f t="shared" ref="K40:K41" si="35">J40-H40</f>
        <v>-6</v>
      </c>
      <c r="M40" s="27">
        <f t="shared" ref="M40:M41" si="36">(D40/(D40+E40))</f>
        <v>0</v>
      </c>
      <c r="N40" s="27">
        <f t="shared" ref="N40:N41" si="37">+(E40/(D40+E40))</f>
        <v>1</v>
      </c>
      <c r="O40" s="28">
        <f t="shared" ref="O40:O41" si="38">(M40*1.5)+(N40*2)</f>
        <v>2</v>
      </c>
    </row>
    <row r="41" spans="3:15">
      <c r="C41" s="4" t="str">
        <f t="shared" si="31"/>
        <v>4-1-2</v>
      </c>
      <c r="D41" s="4">
        <v>4</v>
      </c>
      <c r="E41" s="4">
        <v>1</v>
      </c>
      <c r="F41" s="4">
        <v>2</v>
      </c>
      <c r="G41" s="4">
        <f t="shared" si="32"/>
        <v>7</v>
      </c>
      <c r="H41" s="120">
        <f t="shared" si="33"/>
        <v>42.400000000000006</v>
      </c>
      <c r="J41">
        <f t="shared" si="34"/>
        <v>50</v>
      </c>
      <c r="K41">
        <f t="shared" si="35"/>
        <v>7.5999999999999943</v>
      </c>
      <c r="M41" s="27">
        <f t="shared" si="36"/>
        <v>0.8</v>
      </c>
      <c r="N41" s="27">
        <f t="shared" si="37"/>
        <v>0.2</v>
      </c>
      <c r="O41" s="28">
        <f t="shared" si="38"/>
        <v>1.6</v>
      </c>
    </row>
    <row r="42" spans="3:15">
      <c r="D42" t="s">
        <v>63</v>
      </c>
    </row>
    <row r="43" spans="3:15">
      <c r="D43" t="s">
        <v>141</v>
      </c>
    </row>
    <row r="44" spans="3:15">
      <c r="D44" t="s">
        <v>142</v>
      </c>
    </row>
    <row r="45" spans="3:15">
      <c r="D45" t="s">
        <v>143</v>
      </c>
    </row>
    <row r="46" spans="3:15">
      <c r="D46" t="s">
        <v>144</v>
      </c>
    </row>
  </sheetData>
  <mergeCells count="1">
    <mergeCell ref="M8:N8"/>
  </mergeCells>
  <phoneticPr fontId="7" type="noConversion"/>
  <conditionalFormatting sqref="K10:K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D27C-22F9-4375-A86A-40468672545B}">
  <sheetPr>
    <tabColor rgb="FFFFFF00"/>
  </sheetPr>
  <dimension ref="B1:T2098"/>
  <sheetViews>
    <sheetView topLeftCell="A1184" workbookViewId="0">
      <selection activeCell="D3" sqref="D3:D1220"/>
    </sheetView>
  </sheetViews>
  <sheetFormatPr baseColWidth="10" defaultColWidth="11.5703125" defaultRowHeight="15"/>
  <cols>
    <col min="2" max="2" width="2.7109375" customWidth="1"/>
    <col min="3" max="3" width="40.28515625" bestFit="1" customWidth="1"/>
    <col min="4" max="4" width="11.140625" style="21" bestFit="1" customWidth="1"/>
    <col min="5" max="5" width="12.140625" bestFit="1" customWidth="1"/>
    <col min="6" max="6" width="12.140625" customWidth="1"/>
    <col min="7" max="7" width="13.140625" style="12" bestFit="1" customWidth="1"/>
    <col min="8" max="8" width="12.140625" style="12" bestFit="1" customWidth="1"/>
    <col min="9" max="9" width="15.140625" style="12" bestFit="1" customWidth="1"/>
    <col min="10" max="10" width="14.140625" bestFit="1" customWidth="1"/>
    <col min="11" max="11" width="11.5703125" style="13"/>
    <col min="13" max="13" width="13.7109375" bestFit="1" customWidth="1"/>
    <col min="14" max="14" width="16.42578125" style="13" customWidth="1"/>
    <col min="15" max="16" width="11.5703125" style="13"/>
    <col min="17" max="17" width="17.28515625" style="13" bestFit="1" customWidth="1"/>
    <col min="18" max="18" width="14.7109375" bestFit="1" customWidth="1"/>
  </cols>
  <sheetData>
    <row r="1" spans="2:20">
      <c r="F1" s="34"/>
      <c r="J1" t="s">
        <v>139</v>
      </c>
      <c r="L1" t="s">
        <v>139</v>
      </c>
    </row>
    <row r="2" spans="2:20">
      <c r="C2" s="1" t="s">
        <v>0</v>
      </c>
      <c r="D2" s="35" t="s">
        <v>23</v>
      </c>
      <c r="E2" s="1" t="s">
        <v>90</v>
      </c>
      <c r="F2" s="1" t="s">
        <v>103</v>
      </c>
      <c r="G2" s="36" t="s">
        <v>91</v>
      </c>
      <c r="H2" s="36" t="s">
        <v>92</v>
      </c>
      <c r="I2" s="36" t="s">
        <v>93</v>
      </c>
      <c r="J2" s="1" t="s">
        <v>94</v>
      </c>
      <c r="K2" s="37" t="s">
        <v>91</v>
      </c>
      <c r="L2" s="38" t="s">
        <v>93</v>
      </c>
      <c r="M2" s="40" t="s">
        <v>130</v>
      </c>
      <c r="N2" s="39" t="s">
        <v>92</v>
      </c>
      <c r="O2" s="22" t="s">
        <v>108</v>
      </c>
      <c r="P2" s="22" t="s">
        <v>109</v>
      </c>
      <c r="Q2" s="39" t="s">
        <v>106</v>
      </c>
      <c r="R2" s="40" t="s">
        <v>107</v>
      </c>
    </row>
    <row r="3" spans="2:20">
      <c r="B3" t="str">
        <f t="shared" ref="B3:B59" si="0">+C3&amp;D3</f>
        <v>ADOLFO DE JESUS LOPEZ CHAVEZ46279</v>
      </c>
      <c r="C3" t="s">
        <v>9</v>
      </c>
      <c r="D3" s="121">
        <v>46279</v>
      </c>
      <c r="E3" t="s">
        <v>98</v>
      </c>
      <c r="F3" t="s">
        <v>72</v>
      </c>
      <c r="G3" s="122">
        <v>0</v>
      </c>
      <c r="H3" s="122">
        <v>0</v>
      </c>
      <c r="I3" s="112">
        <v>0</v>
      </c>
      <c r="J3" s="112">
        <v>0</v>
      </c>
      <c r="K3" s="23">
        <f t="shared" ref="K3:K59" si="1">+IFERROR(G3,0)</f>
        <v>0</v>
      </c>
      <c r="L3" s="23">
        <f t="shared" ref="L3:L59" si="2">+I3</f>
        <v>0</v>
      </c>
      <c r="M3" s="12">
        <f>+IFERROR(MAX(K3:L3),0)</f>
        <v>0</v>
      </c>
      <c r="N3" s="23">
        <f t="shared" ref="N3:N59" si="3">+H3</f>
        <v>0</v>
      </c>
      <c r="O3" s="41">
        <f t="shared" ref="O3:O59" si="4">+J3</f>
        <v>0</v>
      </c>
      <c r="P3" s="13" t="str">
        <f t="shared" ref="P3:P59" si="5">+IF(O3&lt;N3,"SI","NO")</f>
        <v>NO</v>
      </c>
      <c r="Q3" s="23">
        <f t="shared" ref="Q3:R59" si="6">+M3</f>
        <v>0</v>
      </c>
      <c r="R3" s="12">
        <f t="shared" si="6"/>
        <v>0</v>
      </c>
      <c r="S3" s="12"/>
      <c r="T3" s="12"/>
    </row>
    <row r="4" spans="2:20">
      <c r="B4" t="str">
        <f t="shared" si="0"/>
        <v>ADOLFO DE JESUS LOPEZ CHAVEZ46280</v>
      </c>
      <c r="C4" t="s">
        <v>9</v>
      </c>
      <c r="D4" s="121">
        <v>46280</v>
      </c>
      <c r="E4" t="s">
        <v>99</v>
      </c>
      <c r="F4" t="s">
        <v>35</v>
      </c>
      <c r="G4" s="122">
        <v>0.33333333333333298</v>
      </c>
      <c r="H4" s="122">
        <v>0.70833333333333304</v>
      </c>
      <c r="I4" s="112">
        <v>0</v>
      </c>
      <c r="J4" s="112">
        <v>0</v>
      </c>
      <c r="K4" s="23">
        <f t="shared" si="1"/>
        <v>0.33333333333333298</v>
      </c>
      <c r="L4" s="23">
        <f t="shared" si="2"/>
        <v>0</v>
      </c>
      <c r="M4" s="12">
        <f t="shared" ref="M4:M60" si="7">+IFERROR(MAX(K4:L4),0)</f>
        <v>0.33333333333333298</v>
      </c>
      <c r="N4" s="23">
        <f t="shared" si="3"/>
        <v>0.70833333333333304</v>
      </c>
      <c r="O4" s="41">
        <f t="shared" si="4"/>
        <v>0</v>
      </c>
      <c r="P4" s="13" t="str">
        <f t="shared" si="5"/>
        <v>SI</v>
      </c>
      <c r="Q4" s="23">
        <f t="shared" si="6"/>
        <v>0.33333333333333298</v>
      </c>
      <c r="R4" s="12">
        <f t="shared" si="6"/>
        <v>0.70833333333333304</v>
      </c>
    </row>
    <row r="5" spans="2:20">
      <c r="B5" t="str">
        <f t="shared" si="0"/>
        <v>ADOLFO DE JESUS LOPEZ CHAVEZ46281</v>
      </c>
      <c r="C5" t="s">
        <v>9</v>
      </c>
      <c r="D5" s="121">
        <v>46281</v>
      </c>
      <c r="E5" t="s">
        <v>100</v>
      </c>
      <c r="F5" t="s">
        <v>35</v>
      </c>
      <c r="G5" s="122">
        <v>0.23958333333333301</v>
      </c>
      <c r="H5" s="122">
        <v>0.75</v>
      </c>
      <c r="I5" s="112">
        <v>0</v>
      </c>
      <c r="J5" s="112">
        <v>0</v>
      </c>
      <c r="K5" s="23">
        <f t="shared" si="1"/>
        <v>0.23958333333333301</v>
      </c>
      <c r="L5" s="23">
        <f t="shared" si="2"/>
        <v>0</v>
      </c>
      <c r="M5" s="12">
        <f t="shared" si="7"/>
        <v>0.23958333333333301</v>
      </c>
      <c r="N5" s="23">
        <f t="shared" si="3"/>
        <v>0.75</v>
      </c>
      <c r="O5" s="41">
        <f t="shared" si="4"/>
        <v>0</v>
      </c>
      <c r="P5" s="13" t="str">
        <f t="shared" si="5"/>
        <v>SI</v>
      </c>
      <c r="Q5" s="23">
        <f t="shared" si="6"/>
        <v>0.23958333333333301</v>
      </c>
      <c r="R5" s="12">
        <f t="shared" si="6"/>
        <v>0.75</v>
      </c>
    </row>
    <row r="6" spans="2:20">
      <c r="B6" t="str">
        <f t="shared" si="0"/>
        <v>ADOLFO DE JESUS LOPEZ CHAVEZ46282</v>
      </c>
      <c r="C6" t="s">
        <v>9</v>
      </c>
      <c r="D6" s="121">
        <v>46282</v>
      </c>
      <c r="E6" t="s">
        <v>101</v>
      </c>
      <c r="F6" t="s">
        <v>35</v>
      </c>
      <c r="G6" s="122">
        <v>0.23958333333333301</v>
      </c>
      <c r="H6" s="122">
        <v>0.75</v>
      </c>
      <c r="I6" s="112">
        <v>0</v>
      </c>
      <c r="J6" s="112">
        <v>0</v>
      </c>
      <c r="K6" s="23">
        <f t="shared" si="1"/>
        <v>0.23958333333333301</v>
      </c>
      <c r="L6" s="23">
        <f t="shared" si="2"/>
        <v>0</v>
      </c>
      <c r="M6" s="12">
        <f t="shared" si="7"/>
        <v>0.23958333333333301</v>
      </c>
      <c r="N6" s="23">
        <f t="shared" si="3"/>
        <v>0.75</v>
      </c>
      <c r="O6" s="41">
        <f t="shared" si="4"/>
        <v>0</v>
      </c>
      <c r="P6" s="13" t="str">
        <f t="shared" si="5"/>
        <v>SI</v>
      </c>
      <c r="Q6" s="23">
        <f t="shared" si="6"/>
        <v>0.23958333333333301</v>
      </c>
      <c r="R6" s="12">
        <f t="shared" si="6"/>
        <v>0.75</v>
      </c>
    </row>
    <row r="7" spans="2:20">
      <c r="B7" t="str">
        <f t="shared" si="0"/>
        <v>ADOLFO DE JESUS LOPEZ CHAVEZ46283</v>
      </c>
      <c r="C7" t="s">
        <v>9</v>
      </c>
      <c r="D7" s="121">
        <v>46283</v>
      </c>
      <c r="E7" t="s">
        <v>95</v>
      </c>
      <c r="F7" t="s">
        <v>35</v>
      </c>
      <c r="G7" s="122">
        <v>0.23958333333333301</v>
      </c>
      <c r="H7" s="122">
        <v>0.75</v>
      </c>
      <c r="I7" s="112">
        <v>0</v>
      </c>
      <c r="J7" s="112">
        <v>0</v>
      </c>
      <c r="K7" s="23">
        <f t="shared" si="1"/>
        <v>0.23958333333333301</v>
      </c>
      <c r="L7" s="23">
        <f t="shared" si="2"/>
        <v>0</v>
      </c>
      <c r="M7" s="12">
        <f t="shared" si="7"/>
        <v>0.23958333333333301</v>
      </c>
      <c r="N7" s="23">
        <f t="shared" si="3"/>
        <v>0.75</v>
      </c>
      <c r="O7" s="41">
        <f t="shared" si="4"/>
        <v>0</v>
      </c>
      <c r="P7" s="13" t="str">
        <f t="shared" si="5"/>
        <v>SI</v>
      </c>
      <c r="Q7" s="23">
        <f t="shared" si="6"/>
        <v>0.23958333333333301</v>
      </c>
      <c r="R7" s="12">
        <f t="shared" si="6"/>
        <v>0.75</v>
      </c>
    </row>
    <row r="8" spans="2:20">
      <c r="B8" t="str">
        <f t="shared" si="0"/>
        <v>ADOLFO DE JESUS LOPEZ CHAVEZ46284</v>
      </c>
      <c r="C8" t="s">
        <v>9</v>
      </c>
      <c r="D8" s="121">
        <v>46284</v>
      </c>
      <c r="E8" t="s">
        <v>96</v>
      </c>
      <c r="F8" t="s">
        <v>35</v>
      </c>
      <c r="G8" s="122">
        <v>0.23958333333333301</v>
      </c>
      <c r="H8" s="122">
        <v>0.58333333333333304</v>
      </c>
      <c r="I8" s="112">
        <v>0</v>
      </c>
      <c r="J8" s="112">
        <v>0</v>
      </c>
      <c r="K8" s="23">
        <f t="shared" si="1"/>
        <v>0.23958333333333301</v>
      </c>
      <c r="L8" s="23">
        <f t="shared" si="2"/>
        <v>0</v>
      </c>
      <c r="M8" s="12">
        <f t="shared" si="7"/>
        <v>0.23958333333333301</v>
      </c>
      <c r="N8" s="23">
        <f t="shared" si="3"/>
        <v>0.58333333333333304</v>
      </c>
      <c r="O8" s="41">
        <f t="shared" si="4"/>
        <v>0</v>
      </c>
      <c r="P8" s="13" t="str">
        <f t="shared" si="5"/>
        <v>SI</v>
      </c>
      <c r="Q8" s="23">
        <f t="shared" si="6"/>
        <v>0.23958333333333301</v>
      </c>
      <c r="R8" s="12">
        <f t="shared" si="6"/>
        <v>0.58333333333333304</v>
      </c>
    </row>
    <row r="9" spans="2:20">
      <c r="B9" t="str">
        <f t="shared" si="0"/>
        <v>ADOLFO DE JESUS LOPEZ CHAVEZ46285</v>
      </c>
      <c r="C9" t="s">
        <v>9</v>
      </c>
      <c r="D9" s="121">
        <v>46285</v>
      </c>
      <c r="E9" t="s">
        <v>97</v>
      </c>
      <c r="F9" t="s">
        <v>72</v>
      </c>
      <c r="G9" s="122">
        <v>0</v>
      </c>
      <c r="H9" s="122">
        <v>0</v>
      </c>
      <c r="I9" s="112">
        <v>0</v>
      </c>
      <c r="J9" s="112">
        <v>0</v>
      </c>
      <c r="K9" s="23">
        <f t="shared" si="1"/>
        <v>0</v>
      </c>
      <c r="L9" s="23">
        <f t="shared" si="2"/>
        <v>0</v>
      </c>
      <c r="M9" s="12">
        <f t="shared" si="7"/>
        <v>0</v>
      </c>
      <c r="N9" s="23">
        <f t="shared" si="3"/>
        <v>0</v>
      </c>
      <c r="O9" s="41">
        <f t="shared" si="4"/>
        <v>0</v>
      </c>
      <c r="P9" s="13" t="str">
        <f t="shared" si="5"/>
        <v>NO</v>
      </c>
      <c r="Q9" s="23">
        <f t="shared" si="6"/>
        <v>0</v>
      </c>
      <c r="R9" s="12">
        <f t="shared" si="6"/>
        <v>0</v>
      </c>
    </row>
    <row r="10" spans="2:20">
      <c r="B10" t="str">
        <f t="shared" si="0"/>
        <v>ADOLFO DE JESUS LOPEZ CHAVEZ46286</v>
      </c>
      <c r="C10" t="s">
        <v>9</v>
      </c>
      <c r="D10" s="121">
        <v>46286</v>
      </c>
      <c r="E10" t="s">
        <v>98</v>
      </c>
      <c r="F10" t="s">
        <v>36</v>
      </c>
      <c r="G10" s="122">
        <v>0.73958333333333304</v>
      </c>
      <c r="H10" s="122">
        <v>0.25</v>
      </c>
      <c r="I10" s="112">
        <v>0</v>
      </c>
      <c r="J10" s="112">
        <v>0</v>
      </c>
      <c r="K10" s="23">
        <f t="shared" si="1"/>
        <v>0.73958333333333304</v>
      </c>
      <c r="L10" s="23">
        <f t="shared" si="2"/>
        <v>0</v>
      </c>
      <c r="M10" s="12">
        <f t="shared" si="7"/>
        <v>0.73958333333333304</v>
      </c>
      <c r="N10" s="23">
        <f t="shared" si="3"/>
        <v>0.25</v>
      </c>
      <c r="O10" s="41">
        <f t="shared" si="4"/>
        <v>0</v>
      </c>
      <c r="P10" s="13" t="str">
        <f t="shared" si="5"/>
        <v>SI</v>
      </c>
      <c r="Q10" s="23">
        <f t="shared" si="6"/>
        <v>0.73958333333333304</v>
      </c>
      <c r="R10" s="12">
        <f t="shared" si="6"/>
        <v>0.25</v>
      </c>
    </row>
    <row r="11" spans="2:20">
      <c r="B11" t="str">
        <f t="shared" si="0"/>
        <v>ADOLFO DE JESUS LOPEZ CHAVEZ46287</v>
      </c>
      <c r="C11" t="s">
        <v>9</v>
      </c>
      <c r="D11" s="121">
        <v>46287</v>
      </c>
      <c r="E11" t="s">
        <v>99</v>
      </c>
      <c r="F11" t="s">
        <v>36</v>
      </c>
      <c r="G11" s="122">
        <v>0.73958333333333304</v>
      </c>
      <c r="H11" s="122">
        <v>0.25</v>
      </c>
      <c r="I11" s="112">
        <v>0</v>
      </c>
      <c r="J11" s="112">
        <v>0</v>
      </c>
      <c r="K11" s="23">
        <f t="shared" si="1"/>
        <v>0.73958333333333304</v>
      </c>
      <c r="L11" s="23">
        <f t="shared" si="2"/>
        <v>0</v>
      </c>
      <c r="M11" s="12">
        <f t="shared" si="7"/>
        <v>0.73958333333333304</v>
      </c>
      <c r="N11" s="23">
        <f t="shared" si="3"/>
        <v>0.25</v>
      </c>
      <c r="O11" s="41">
        <f t="shared" si="4"/>
        <v>0</v>
      </c>
      <c r="P11" s="13" t="str">
        <f t="shared" si="5"/>
        <v>SI</v>
      </c>
      <c r="Q11" s="23">
        <f t="shared" si="6"/>
        <v>0.73958333333333304</v>
      </c>
      <c r="R11" s="12">
        <f t="shared" si="6"/>
        <v>0.25</v>
      </c>
    </row>
    <row r="12" spans="2:20">
      <c r="B12" t="str">
        <f t="shared" si="0"/>
        <v>ADOLFO DE JESUS LOPEZ CHAVEZ46288</v>
      </c>
      <c r="C12" t="s">
        <v>9</v>
      </c>
      <c r="D12" s="121">
        <v>46288</v>
      </c>
      <c r="E12" t="s">
        <v>100</v>
      </c>
      <c r="F12" t="s">
        <v>36</v>
      </c>
      <c r="G12" s="122">
        <v>0.73958333333333304</v>
      </c>
      <c r="H12" s="122">
        <v>0.25</v>
      </c>
      <c r="I12" s="112">
        <v>0</v>
      </c>
      <c r="J12" s="112">
        <v>0</v>
      </c>
      <c r="K12" s="23">
        <f t="shared" si="1"/>
        <v>0.73958333333333304</v>
      </c>
      <c r="L12" s="23">
        <f t="shared" si="2"/>
        <v>0</v>
      </c>
      <c r="M12" s="12">
        <f t="shared" si="7"/>
        <v>0.73958333333333304</v>
      </c>
      <c r="N12" s="23">
        <f t="shared" si="3"/>
        <v>0.25</v>
      </c>
      <c r="O12" s="41">
        <f t="shared" si="4"/>
        <v>0</v>
      </c>
      <c r="P12" s="13" t="str">
        <f t="shared" si="5"/>
        <v>SI</v>
      </c>
      <c r="Q12" s="23">
        <f t="shared" si="6"/>
        <v>0.73958333333333304</v>
      </c>
      <c r="R12" s="12">
        <f t="shared" si="6"/>
        <v>0.25</v>
      </c>
    </row>
    <row r="13" spans="2:20">
      <c r="B13" t="str">
        <f t="shared" si="0"/>
        <v>ADOLFO DE JESUS LOPEZ CHAVEZ46289</v>
      </c>
      <c r="C13" t="s">
        <v>9</v>
      </c>
      <c r="D13" s="121">
        <v>46289</v>
      </c>
      <c r="E13" t="s">
        <v>101</v>
      </c>
      <c r="F13" t="s">
        <v>36</v>
      </c>
      <c r="G13" s="122">
        <v>0.73958333333333304</v>
      </c>
      <c r="H13" s="122">
        <v>0.25</v>
      </c>
      <c r="I13" s="112">
        <v>0</v>
      </c>
      <c r="J13" s="112">
        <v>0</v>
      </c>
      <c r="K13" s="23">
        <f t="shared" si="1"/>
        <v>0.73958333333333304</v>
      </c>
      <c r="L13" s="23">
        <f t="shared" si="2"/>
        <v>0</v>
      </c>
      <c r="M13" s="12">
        <f t="shared" si="7"/>
        <v>0.73958333333333304</v>
      </c>
      <c r="N13" s="23">
        <f t="shared" si="3"/>
        <v>0.25</v>
      </c>
      <c r="O13" s="41">
        <f t="shared" si="4"/>
        <v>0</v>
      </c>
      <c r="P13" s="13" t="str">
        <f t="shared" si="5"/>
        <v>SI</v>
      </c>
      <c r="Q13" s="23">
        <f t="shared" si="6"/>
        <v>0.73958333333333304</v>
      </c>
      <c r="R13" s="12">
        <f t="shared" si="6"/>
        <v>0.25</v>
      </c>
    </row>
    <row r="14" spans="2:20">
      <c r="B14" t="str">
        <f t="shared" si="0"/>
        <v>ADOLFO DE JESUS LOPEZ CHAVEZ46290</v>
      </c>
      <c r="C14" t="s">
        <v>9</v>
      </c>
      <c r="D14" s="121">
        <v>46290</v>
      </c>
      <c r="E14" t="s">
        <v>95</v>
      </c>
      <c r="F14" t="s">
        <v>36</v>
      </c>
      <c r="G14" s="122">
        <v>0.73958333333333304</v>
      </c>
      <c r="H14" s="122">
        <v>0.25</v>
      </c>
      <c r="I14" s="112">
        <v>0</v>
      </c>
      <c r="J14" s="112">
        <v>0</v>
      </c>
      <c r="K14" s="23">
        <f t="shared" si="1"/>
        <v>0.73958333333333304</v>
      </c>
      <c r="L14" s="23">
        <f t="shared" si="2"/>
        <v>0</v>
      </c>
      <c r="M14" s="12">
        <f t="shared" si="7"/>
        <v>0.73958333333333304</v>
      </c>
      <c r="N14" s="23">
        <f t="shared" si="3"/>
        <v>0.25</v>
      </c>
      <c r="O14" s="41">
        <f t="shared" si="4"/>
        <v>0</v>
      </c>
      <c r="P14" s="13" t="str">
        <f t="shared" si="5"/>
        <v>SI</v>
      </c>
      <c r="Q14" s="23">
        <f t="shared" si="6"/>
        <v>0.73958333333333304</v>
      </c>
      <c r="R14" s="12">
        <f t="shared" si="6"/>
        <v>0.25</v>
      </c>
    </row>
    <row r="15" spans="2:20">
      <c r="B15" t="str">
        <f t="shared" si="0"/>
        <v>ADOLFO DE JESUS LOPEZ CHAVEZ46291</v>
      </c>
      <c r="C15" t="s">
        <v>9</v>
      </c>
      <c r="D15" s="121">
        <v>46291</v>
      </c>
      <c r="E15" t="s">
        <v>96</v>
      </c>
      <c r="F15" t="s">
        <v>72</v>
      </c>
      <c r="G15" s="122">
        <v>0</v>
      </c>
      <c r="H15" s="122">
        <v>0</v>
      </c>
      <c r="I15" s="112">
        <v>0</v>
      </c>
      <c r="J15" s="112">
        <v>0</v>
      </c>
      <c r="K15" s="23">
        <f t="shared" si="1"/>
        <v>0</v>
      </c>
      <c r="L15" s="23">
        <f t="shared" si="2"/>
        <v>0</v>
      </c>
      <c r="M15" s="12">
        <f t="shared" si="7"/>
        <v>0</v>
      </c>
      <c r="N15" s="23">
        <f t="shared" si="3"/>
        <v>0</v>
      </c>
      <c r="O15" s="41">
        <f t="shared" si="4"/>
        <v>0</v>
      </c>
      <c r="P15" s="13" t="str">
        <f t="shared" si="5"/>
        <v>NO</v>
      </c>
      <c r="Q15" s="23">
        <f t="shared" si="6"/>
        <v>0</v>
      </c>
      <c r="R15" s="12">
        <f t="shared" si="6"/>
        <v>0</v>
      </c>
    </row>
    <row r="16" spans="2:20">
      <c r="B16" t="str">
        <f t="shared" si="0"/>
        <v>ADOLFO DE JESUS LOPEZ CHAVEZ46292</v>
      </c>
      <c r="C16" t="s">
        <v>9</v>
      </c>
      <c r="D16" s="121">
        <v>46292</v>
      </c>
      <c r="E16" t="s">
        <v>97</v>
      </c>
      <c r="F16" t="s">
        <v>72</v>
      </c>
      <c r="G16" s="122">
        <v>0</v>
      </c>
      <c r="H16" s="122">
        <v>0</v>
      </c>
      <c r="I16" s="112">
        <v>0</v>
      </c>
      <c r="J16" s="112">
        <v>0</v>
      </c>
      <c r="K16" s="23">
        <f t="shared" si="1"/>
        <v>0</v>
      </c>
      <c r="L16" s="23">
        <f t="shared" si="2"/>
        <v>0</v>
      </c>
      <c r="M16" s="12">
        <f t="shared" si="7"/>
        <v>0</v>
      </c>
      <c r="N16" s="23">
        <f t="shared" si="3"/>
        <v>0</v>
      </c>
      <c r="O16" s="41">
        <f t="shared" si="4"/>
        <v>0</v>
      </c>
      <c r="P16" s="13" t="str">
        <f t="shared" si="5"/>
        <v>NO</v>
      </c>
      <c r="Q16" s="23">
        <f t="shared" si="6"/>
        <v>0</v>
      </c>
      <c r="R16" s="12">
        <f t="shared" si="6"/>
        <v>0</v>
      </c>
    </row>
    <row r="17" spans="2:18">
      <c r="B17" t="str">
        <f t="shared" si="0"/>
        <v>ADOLFO DE JESUS LOPEZ CHAVEZ46293</v>
      </c>
      <c r="C17" t="s">
        <v>9</v>
      </c>
      <c r="D17" s="121">
        <v>46293</v>
      </c>
      <c r="E17" t="s">
        <v>98</v>
      </c>
      <c r="F17" t="s">
        <v>35</v>
      </c>
      <c r="G17" s="122">
        <v>0.23958333333333301</v>
      </c>
      <c r="H17" s="122">
        <v>0.75</v>
      </c>
      <c r="I17" s="112">
        <v>0</v>
      </c>
      <c r="J17" s="112">
        <v>0</v>
      </c>
      <c r="K17" s="23">
        <f t="shared" si="1"/>
        <v>0.23958333333333301</v>
      </c>
      <c r="L17" s="23">
        <f t="shared" si="2"/>
        <v>0</v>
      </c>
      <c r="M17" s="12">
        <f t="shared" si="7"/>
        <v>0.23958333333333301</v>
      </c>
      <c r="N17" s="23">
        <f t="shared" si="3"/>
        <v>0.75</v>
      </c>
      <c r="O17" s="41">
        <f t="shared" si="4"/>
        <v>0</v>
      </c>
      <c r="P17" s="13" t="str">
        <f t="shared" si="5"/>
        <v>SI</v>
      </c>
      <c r="Q17" s="23">
        <f t="shared" si="6"/>
        <v>0.23958333333333301</v>
      </c>
      <c r="R17" s="12">
        <f t="shared" si="6"/>
        <v>0.75</v>
      </c>
    </row>
    <row r="18" spans="2:18">
      <c r="B18" t="str">
        <f t="shared" si="0"/>
        <v>ADOLFO DE JESUS LOPEZ CHAVEZ46294</v>
      </c>
      <c r="C18" t="s">
        <v>9</v>
      </c>
      <c r="D18" s="121">
        <v>46294</v>
      </c>
      <c r="E18" t="s">
        <v>99</v>
      </c>
      <c r="F18" t="s">
        <v>35</v>
      </c>
      <c r="G18" s="122">
        <v>0.23958333333333301</v>
      </c>
      <c r="H18" s="122">
        <v>0.75</v>
      </c>
      <c r="I18" s="112">
        <v>0</v>
      </c>
      <c r="J18" s="112">
        <v>0</v>
      </c>
      <c r="K18" s="23">
        <f t="shared" si="1"/>
        <v>0.23958333333333301</v>
      </c>
      <c r="L18" s="23">
        <f t="shared" si="2"/>
        <v>0</v>
      </c>
      <c r="M18" s="12">
        <f t="shared" si="7"/>
        <v>0.23958333333333301</v>
      </c>
      <c r="N18" s="23">
        <f t="shared" si="3"/>
        <v>0.75</v>
      </c>
      <c r="O18" s="41">
        <f t="shared" si="4"/>
        <v>0</v>
      </c>
      <c r="P18" s="13" t="str">
        <f t="shared" si="5"/>
        <v>SI</v>
      </c>
      <c r="Q18" s="23">
        <f t="shared" si="6"/>
        <v>0.23958333333333301</v>
      </c>
      <c r="R18" s="12">
        <f t="shared" si="6"/>
        <v>0.75</v>
      </c>
    </row>
    <row r="19" spans="2:18">
      <c r="B19" t="str">
        <f t="shared" si="0"/>
        <v>ADOLFO DE JESUS LOPEZ CHAVEZ46295</v>
      </c>
      <c r="C19" t="s">
        <v>9</v>
      </c>
      <c r="D19" s="121">
        <v>46295</v>
      </c>
      <c r="E19" t="s">
        <v>100</v>
      </c>
      <c r="F19" t="s">
        <v>35</v>
      </c>
      <c r="G19" s="122">
        <v>0.23958333333333301</v>
      </c>
      <c r="H19" s="122">
        <v>0.75</v>
      </c>
      <c r="I19" s="112">
        <v>0</v>
      </c>
      <c r="J19" s="112">
        <v>0</v>
      </c>
      <c r="K19" s="23">
        <f t="shared" si="1"/>
        <v>0.23958333333333301</v>
      </c>
      <c r="L19" s="23">
        <f t="shared" si="2"/>
        <v>0</v>
      </c>
      <c r="M19" s="12">
        <f t="shared" si="7"/>
        <v>0.23958333333333301</v>
      </c>
      <c r="N19" s="23">
        <f t="shared" si="3"/>
        <v>0.75</v>
      </c>
      <c r="O19" s="41">
        <f t="shared" si="4"/>
        <v>0</v>
      </c>
      <c r="P19" s="13" t="str">
        <f t="shared" si="5"/>
        <v>SI</v>
      </c>
      <c r="Q19" s="23">
        <f t="shared" si="6"/>
        <v>0.23958333333333301</v>
      </c>
      <c r="R19" s="12">
        <f t="shared" si="6"/>
        <v>0.75</v>
      </c>
    </row>
    <row r="20" spans="2:18">
      <c r="B20" t="str">
        <f t="shared" si="0"/>
        <v>ADOLFO DE JESUS LOPEZ CHAVEZ46296</v>
      </c>
      <c r="C20" t="s">
        <v>9</v>
      </c>
      <c r="D20" s="121">
        <v>46296</v>
      </c>
      <c r="E20" t="s">
        <v>101</v>
      </c>
      <c r="F20" t="s">
        <v>35</v>
      </c>
      <c r="G20" s="122">
        <v>0.23958333333333301</v>
      </c>
      <c r="H20" s="122">
        <v>0.75</v>
      </c>
      <c r="I20" s="112">
        <v>0</v>
      </c>
      <c r="J20" s="112">
        <v>0</v>
      </c>
      <c r="K20" s="23">
        <f t="shared" si="1"/>
        <v>0.23958333333333301</v>
      </c>
      <c r="L20" s="23">
        <f t="shared" si="2"/>
        <v>0</v>
      </c>
      <c r="M20" s="12">
        <f t="shared" si="7"/>
        <v>0.23958333333333301</v>
      </c>
      <c r="N20" s="23">
        <f t="shared" si="3"/>
        <v>0.75</v>
      </c>
      <c r="O20" s="41">
        <f t="shared" si="4"/>
        <v>0</v>
      </c>
      <c r="P20" s="13" t="str">
        <f t="shared" si="5"/>
        <v>SI</v>
      </c>
      <c r="Q20" s="23">
        <f t="shared" si="6"/>
        <v>0.23958333333333301</v>
      </c>
      <c r="R20" s="12">
        <f t="shared" si="6"/>
        <v>0.75</v>
      </c>
    </row>
    <row r="21" spans="2:18">
      <c r="B21" t="str">
        <f t="shared" si="0"/>
        <v>ADOLFO DE JESUS LOPEZ CHAVEZ46297</v>
      </c>
      <c r="C21" t="s">
        <v>9</v>
      </c>
      <c r="D21" s="121">
        <v>46297</v>
      </c>
      <c r="E21" t="s">
        <v>95</v>
      </c>
      <c r="F21" t="s">
        <v>35</v>
      </c>
      <c r="G21" s="122">
        <v>0.23958333333333301</v>
      </c>
      <c r="H21" s="122">
        <v>0.75</v>
      </c>
      <c r="I21" s="112">
        <v>0</v>
      </c>
      <c r="J21" s="112">
        <v>0</v>
      </c>
      <c r="K21" s="23">
        <f t="shared" si="1"/>
        <v>0.23958333333333301</v>
      </c>
      <c r="L21" s="23">
        <f t="shared" si="2"/>
        <v>0</v>
      </c>
      <c r="M21" s="12">
        <f t="shared" si="7"/>
        <v>0.23958333333333301</v>
      </c>
      <c r="N21" s="23">
        <f t="shared" si="3"/>
        <v>0.75</v>
      </c>
      <c r="O21" s="41">
        <f t="shared" si="4"/>
        <v>0</v>
      </c>
      <c r="P21" s="13" t="str">
        <f t="shared" si="5"/>
        <v>SI</v>
      </c>
      <c r="Q21" s="23">
        <f t="shared" si="6"/>
        <v>0.23958333333333301</v>
      </c>
      <c r="R21" s="12">
        <f t="shared" si="6"/>
        <v>0.75</v>
      </c>
    </row>
    <row r="22" spans="2:18">
      <c r="B22" t="str">
        <f t="shared" si="0"/>
        <v>ADOLFO DE JESUS LOPEZ CHAVEZ46298</v>
      </c>
      <c r="C22" t="s">
        <v>9</v>
      </c>
      <c r="D22" s="121">
        <v>46298</v>
      </c>
      <c r="E22" t="s">
        <v>96</v>
      </c>
      <c r="F22" t="s">
        <v>35</v>
      </c>
      <c r="G22" s="122">
        <v>0.23958333333333301</v>
      </c>
      <c r="H22" s="122">
        <v>0.58333333333333304</v>
      </c>
      <c r="I22" s="112">
        <v>0</v>
      </c>
      <c r="J22" s="112">
        <v>0</v>
      </c>
      <c r="K22" s="23">
        <f t="shared" si="1"/>
        <v>0.23958333333333301</v>
      </c>
      <c r="L22" s="23">
        <f t="shared" si="2"/>
        <v>0</v>
      </c>
      <c r="M22" s="12">
        <f t="shared" si="7"/>
        <v>0.23958333333333301</v>
      </c>
      <c r="N22" s="23">
        <f t="shared" si="3"/>
        <v>0.58333333333333304</v>
      </c>
      <c r="O22" s="41">
        <f t="shared" si="4"/>
        <v>0</v>
      </c>
      <c r="P22" s="13" t="str">
        <f t="shared" si="5"/>
        <v>SI</v>
      </c>
      <c r="Q22" s="23">
        <f t="shared" si="6"/>
        <v>0.23958333333333301</v>
      </c>
      <c r="R22" s="12">
        <f t="shared" si="6"/>
        <v>0.58333333333333304</v>
      </c>
    </row>
    <row r="23" spans="2:18">
      <c r="B23" t="str">
        <f t="shared" si="0"/>
        <v>ADOLFO DE JESUS LOPEZ CHAVEZ46299</v>
      </c>
      <c r="C23" t="s">
        <v>9</v>
      </c>
      <c r="D23" s="121">
        <v>46299</v>
      </c>
      <c r="E23" t="s">
        <v>97</v>
      </c>
      <c r="F23" t="s">
        <v>72</v>
      </c>
      <c r="G23" s="122">
        <v>0</v>
      </c>
      <c r="H23" s="122">
        <v>0</v>
      </c>
      <c r="I23" s="112">
        <v>0</v>
      </c>
      <c r="J23" s="112">
        <v>0</v>
      </c>
      <c r="K23" s="23">
        <f t="shared" si="1"/>
        <v>0</v>
      </c>
      <c r="L23" s="23">
        <f t="shared" si="2"/>
        <v>0</v>
      </c>
      <c r="M23" s="12">
        <f t="shared" si="7"/>
        <v>0</v>
      </c>
      <c r="N23" s="23">
        <f t="shared" si="3"/>
        <v>0</v>
      </c>
      <c r="O23" s="41">
        <f t="shared" si="4"/>
        <v>0</v>
      </c>
      <c r="P23" s="13" t="str">
        <f t="shared" si="5"/>
        <v>NO</v>
      </c>
      <c r="Q23" s="23">
        <f t="shared" si="6"/>
        <v>0</v>
      </c>
      <c r="R23" s="12">
        <f t="shared" si="6"/>
        <v>0</v>
      </c>
    </row>
    <row r="24" spans="2:18">
      <c r="B24" t="str">
        <f t="shared" si="0"/>
        <v>AMILCAR EDELBERTO LOPEZ AROCHE46279</v>
      </c>
      <c r="C24" t="s">
        <v>11</v>
      </c>
      <c r="D24" s="121">
        <v>46279</v>
      </c>
      <c r="E24" t="s">
        <v>98</v>
      </c>
      <c r="F24" t="s">
        <v>72</v>
      </c>
      <c r="G24" s="122">
        <v>0</v>
      </c>
      <c r="H24" s="122">
        <v>0</v>
      </c>
      <c r="I24" s="112">
        <v>0</v>
      </c>
      <c r="J24" s="112">
        <v>0</v>
      </c>
      <c r="K24" s="23">
        <f t="shared" si="1"/>
        <v>0</v>
      </c>
      <c r="L24" s="23">
        <f t="shared" si="2"/>
        <v>0</v>
      </c>
      <c r="M24" s="12">
        <f t="shared" si="7"/>
        <v>0</v>
      </c>
      <c r="N24" s="23">
        <f t="shared" si="3"/>
        <v>0</v>
      </c>
      <c r="O24" s="41">
        <f t="shared" si="4"/>
        <v>0</v>
      </c>
      <c r="P24" s="13" t="str">
        <f t="shared" si="5"/>
        <v>NO</v>
      </c>
      <c r="Q24" s="23">
        <f t="shared" si="6"/>
        <v>0</v>
      </c>
      <c r="R24" s="12">
        <f t="shared" si="6"/>
        <v>0</v>
      </c>
    </row>
    <row r="25" spans="2:18">
      <c r="B25" t="str">
        <f t="shared" si="0"/>
        <v>AMILCAR EDELBERTO LOPEZ AROCHE46280</v>
      </c>
      <c r="C25" t="s">
        <v>11</v>
      </c>
      <c r="D25" s="121">
        <v>46280</v>
      </c>
      <c r="E25" t="s">
        <v>99</v>
      </c>
      <c r="F25" t="s">
        <v>35</v>
      </c>
      <c r="G25" s="122">
        <v>0.33333333333333298</v>
      </c>
      <c r="H25" s="122">
        <v>0.70833333333333304</v>
      </c>
      <c r="I25" s="112">
        <v>0</v>
      </c>
      <c r="J25" s="112">
        <v>0</v>
      </c>
      <c r="K25" s="23">
        <f t="shared" si="1"/>
        <v>0.33333333333333298</v>
      </c>
      <c r="L25" s="23">
        <f t="shared" si="2"/>
        <v>0</v>
      </c>
      <c r="M25" s="12">
        <f t="shared" si="7"/>
        <v>0.33333333333333298</v>
      </c>
      <c r="N25" s="23">
        <f t="shared" si="3"/>
        <v>0.70833333333333304</v>
      </c>
      <c r="O25" s="41">
        <f t="shared" si="4"/>
        <v>0</v>
      </c>
      <c r="P25" s="13" t="str">
        <f t="shared" si="5"/>
        <v>SI</v>
      </c>
      <c r="Q25" s="23">
        <f t="shared" si="6"/>
        <v>0.33333333333333298</v>
      </c>
      <c r="R25" s="12">
        <f t="shared" si="6"/>
        <v>0.70833333333333304</v>
      </c>
    </row>
    <row r="26" spans="2:18">
      <c r="B26" t="str">
        <f t="shared" si="0"/>
        <v>AMILCAR EDELBERTO LOPEZ AROCHE46281</v>
      </c>
      <c r="C26" t="s">
        <v>11</v>
      </c>
      <c r="D26" s="121">
        <v>46281</v>
      </c>
      <c r="E26" t="s">
        <v>100</v>
      </c>
      <c r="F26" t="s">
        <v>36</v>
      </c>
      <c r="G26" s="122">
        <v>0.75</v>
      </c>
      <c r="H26" s="122">
        <v>0.25</v>
      </c>
      <c r="I26" s="112">
        <v>0</v>
      </c>
      <c r="J26" s="112">
        <v>0</v>
      </c>
      <c r="K26" s="23">
        <f t="shared" si="1"/>
        <v>0.75</v>
      </c>
      <c r="L26" s="23">
        <f t="shared" si="2"/>
        <v>0</v>
      </c>
      <c r="M26" s="12">
        <f t="shared" si="7"/>
        <v>0.75</v>
      </c>
      <c r="N26" s="23">
        <f t="shared" si="3"/>
        <v>0.25</v>
      </c>
      <c r="O26" s="41">
        <f t="shared" si="4"/>
        <v>0</v>
      </c>
      <c r="P26" s="13" t="str">
        <f t="shared" si="5"/>
        <v>SI</v>
      </c>
      <c r="Q26" s="23">
        <f t="shared" si="6"/>
        <v>0.75</v>
      </c>
      <c r="R26" s="12">
        <f t="shared" si="6"/>
        <v>0.25</v>
      </c>
    </row>
    <row r="27" spans="2:18">
      <c r="B27" t="str">
        <f t="shared" si="0"/>
        <v>AMILCAR EDELBERTO LOPEZ AROCHE46282</v>
      </c>
      <c r="C27" t="s">
        <v>11</v>
      </c>
      <c r="D27" s="121">
        <v>46282</v>
      </c>
      <c r="E27" t="s">
        <v>101</v>
      </c>
      <c r="F27" t="s">
        <v>36</v>
      </c>
      <c r="G27" s="122">
        <v>0.75</v>
      </c>
      <c r="H27" s="122">
        <v>0.25</v>
      </c>
      <c r="I27" s="112">
        <v>0</v>
      </c>
      <c r="J27" s="112">
        <v>0</v>
      </c>
      <c r="K27" s="23">
        <f t="shared" si="1"/>
        <v>0.75</v>
      </c>
      <c r="L27" s="23">
        <f t="shared" si="2"/>
        <v>0</v>
      </c>
      <c r="M27" s="12">
        <f t="shared" si="7"/>
        <v>0.75</v>
      </c>
      <c r="N27" s="23">
        <f t="shared" si="3"/>
        <v>0.25</v>
      </c>
      <c r="O27" s="41">
        <f t="shared" si="4"/>
        <v>0</v>
      </c>
      <c r="P27" s="13" t="str">
        <f t="shared" si="5"/>
        <v>SI</v>
      </c>
      <c r="Q27" s="23">
        <f t="shared" si="6"/>
        <v>0.75</v>
      </c>
      <c r="R27" s="12">
        <f t="shared" si="6"/>
        <v>0.25</v>
      </c>
    </row>
    <row r="28" spans="2:18">
      <c r="B28" t="str">
        <f t="shared" si="0"/>
        <v>AMILCAR EDELBERTO LOPEZ AROCHE46283</v>
      </c>
      <c r="C28" t="s">
        <v>11</v>
      </c>
      <c r="D28" s="121">
        <v>46283</v>
      </c>
      <c r="E28" t="s">
        <v>95</v>
      </c>
      <c r="F28" t="s">
        <v>36</v>
      </c>
      <c r="G28" s="122">
        <v>0.75</v>
      </c>
      <c r="H28" s="122">
        <v>0.25</v>
      </c>
      <c r="I28" s="112">
        <v>0</v>
      </c>
      <c r="J28" s="112">
        <v>0</v>
      </c>
      <c r="K28" s="23">
        <f t="shared" si="1"/>
        <v>0.75</v>
      </c>
      <c r="L28" s="23">
        <f t="shared" si="2"/>
        <v>0</v>
      </c>
      <c r="M28" s="12">
        <f t="shared" si="7"/>
        <v>0.75</v>
      </c>
      <c r="N28" s="23">
        <f t="shared" si="3"/>
        <v>0.25</v>
      </c>
      <c r="O28" s="41">
        <f t="shared" si="4"/>
        <v>0</v>
      </c>
      <c r="P28" s="13" t="str">
        <f t="shared" si="5"/>
        <v>SI</v>
      </c>
      <c r="Q28" s="23">
        <f t="shared" si="6"/>
        <v>0.75</v>
      </c>
      <c r="R28" s="12">
        <f t="shared" si="6"/>
        <v>0.25</v>
      </c>
    </row>
    <row r="29" spans="2:18">
      <c r="B29" t="str">
        <f t="shared" si="0"/>
        <v>AMILCAR EDELBERTO LOPEZ AROCHE46284</v>
      </c>
      <c r="C29" t="s">
        <v>11</v>
      </c>
      <c r="D29" s="121">
        <v>46284</v>
      </c>
      <c r="E29" t="s">
        <v>96</v>
      </c>
      <c r="F29" t="s">
        <v>72</v>
      </c>
      <c r="G29" s="122">
        <v>0</v>
      </c>
      <c r="H29" s="122">
        <v>0</v>
      </c>
      <c r="I29" s="112">
        <v>0</v>
      </c>
      <c r="J29" s="112">
        <v>0</v>
      </c>
      <c r="K29" s="23">
        <f t="shared" si="1"/>
        <v>0</v>
      </c>
      <c r="L29" s="23">
        <f t="shared" si="2"/>
        <v>0</v>
      </c>
      <c r="M29" s="12">
        <f t="shared" si="7"/>
        <v>0</v>
      </c>
      <c r="N29" s="23">
        <f t="shared" si="3"/>
        <v>0</v>
      </c>
      <c r="O29" s="41">
        <f t="shared" si="4"/>
        <v>0</v>
      </c>
      <c r="P29" s="13" t="str">
        <f t="shared" si="5"/>
        <v>NO</v>
      </c>
      <c r="Q29" s="23">
        <f t="shared" si="6"/>
        <v>0</v>
      </c>
      <c r="R29" s="12">
        <f t="shared" si="6"/>
        <v>0</v>
      </c>
    </row>
    <row r="30" spans="2:18">
      <c r="B30" t="str">
        <f t="shared" si="0"/>
        <v>AMILCAR EDELBERTO LOPEZ AROCHE46285</v>
      </c>
      <c r="C30" t="s">
        <v>11</v>
      </c>
      <c r="D30" s="121">
        <v>46285</v>
      </c>
      <c r="E30" t="s">
        <v>97</v>
      </c>
      <c r="F30" t="s">
        <v>72</v>
      </c>
      <c r="G30" s="122">
        <v>0</v>
      </c>
      <c r="H30" s="122">
        <v>0</v>
      </c>
      <c r="I30" s="112">
        <v>0</v>
      </c>
      <c r="J30" s="112">
        <v>0</v>
      </c>
      <c r="K30" s="23">
        <f t="shared" si="1"/>
        <v>0</v>
      </c>
      <c r="L30" s="23">
        <f t="shared" si="2"/>
        <v>0</v>
      </c>
      <c r="M30" s="12">
        <f t="shared" si="7"/>
        <v>0</v>
      </c>
      <c r="N30" s="23">
        <f t="shared" si="3"/>
        <v>0</v>
      </c>
      <c r="O30" s="41">
        <f t="shared" si="4"/>
        <v>0</v>
      </c>
      <c r="P30" s="13" t="str">
        <f t="shared" si="5"/>
        <v>NO</v>
      </c>
      <c r="Q30" s="23">
        <f t="shared" si="6"/>
        <v>0</v>
      </c>
      <c r="R30" s="12">
        <f t="shared" si="6"/>
        <v>0</v>
      </c>
    </row>
    <row r="31" spans="2:18">
      <c r="B31" t="str">
        <f t="shared" si="0"/>
        <v>AMILCAR EDELBERTO LOPEZ AROCHE46286</v>
      </c>
      <c r="C31" t="s">
        <v>11</v>
      </c>
      <c r="D31" s="121">
        <v>46286</v>
      </c>
      <c r="E31" t="s">
        <v>98</v>
      </c>
      <c r="F31" t="s">
        <v>35</v>
      </c>
      <c r="G31" s="122">
        <v>0.25</v>
      </c>
      <c r="H31" s="122">
        <v>0.75</v>
      </c>
      <c r="I31" s="112">
        <v>0</v>
      </c>
      <c r="J31" s="112">
        <v>0</v>
      </c>
      <c r="K31" s="23">
        <f t="shared" si="1"/>
        <v>0.25</v>
      </c>
      <c r="L31" s="23">
        <f t="shared" si="2"/>
        <v>0</v>
      </c>
      <c r="M31" s="12">
        <f t="shared" si="7"/>
        <v>0.25</v>
      </c>
      <c r="N31" s="23">
        <f t="shared" si="3"/>
        <v>0.75</v>
      </c>
      <c r="O31" s="41">
        <f t="shared" si="4"/>
        <v>0</v>
      </c>
      <c r="P31" s="13" t="str">
        <f t="shared" si="5"/>
        <v>SI</v>
      </c>
      <c r="Q31" s="23">
        <f t="shared" si="6"/>
        <v>0.25</v>
      </c>
      <c r="R31" s="12">
        <f t="shared" si="6"/>
        <v>0.75</v>
      </c>
    </row>
    <row r="32" spans="2:18">
      <c r="B32" t="str">
        <f t="shared" si="0"/>
        <v>AMILCAR EDELBERTO LOPEZ AROCHE46287</v>
      </c>
      <c r="C32" t="s">
        <v>11</v>
      </c>
      <c r="D32" s="121">
        <v>46287</v>
      </c>
      <c r="E32" t="s">
        <v>99</v>
      </c>
      <c r="F32" t="s">
        <v>35</v>
      </c>
      <c r="G32" s="122">
        <v>0.25</v>
      </c>
      <c r="H32" s="122">
        <v>0.75</v>
      </c>
      <c r="I32" s="112">
        <v>0</v>
      </c>
      <c r="J32" s="112">
        <v>0</v>
      </c>
      <c r="K32" s="23">
        <f t="shared" si="1"/>
        <v>0.25</v>
      </c>
      <c r="L32" s="23">
        <f t="shared" si="2"/>
        <v>0</v>
      </c>
      <c r="M32" s="12">
        <f t="shared" si="7"/>
        <v>0.25</v>
      </c>
      <c r="N32" s="23">
        <f t="shared" si="3"/>
        <v>0.75</v>
      </c>
      <c r="O32" s="41">
        <f t="shared" si="4"/>
        <v>0</v>
      </c>
      <c r="P32" s="13" t="str">
        <f t="shared" si="5"/>
        <v>SI</v>
      </c>
      <c r="Q32" s="23">
        <f t="shared" si="6"/>
        <v>0.25</v>
      </c>
      <c r="R32" s="12">
        <f t="shared" si="6"/>
        <v>0.75</v>
      </c>
    </row>
    <row r="33" spans="2:18">
      <c r="B33" t="str">
        <f t="shared" si="0"/>
        <v>AMILCAR EDELBERTO LOPEZ AROCHE46288</v>
      </c>
      <c r="C33" t="s">
        <v>11</v>
      </c>
      <c r="D33" s="121">
        <v>46288</v>
      </c>
      <c r="E33" t="s">
        <v>100</v>
      </c>
      <c r="F33" t="s">
        <v>35</v>
      </c>
      <c r="G33" s="122">
        <v>0.25</v>
      </c>
      <c r="H33" s="122">
        <v>0.75</v>
      </c>
      <c r="I33" s="112">
        <v>0</v>
      </c>
      <c r="J33" s="112">
        <v>0</v>
      </c>
      <c r="K33" s="23">
        <f t="shared" si="1"/>
        <v>0.25</v>
      </c>
      <c r="L33" s="23">
        <f t="shared" si="2"/>
        <v>0</v>
      </c>
      <c r="M33" s="12">
        <f t="shared" si="7"/>
        <v>0.25</v>
      </c>
      <c r="N33" s="23">
        <f t="shared" si="3"/>
        <v>0.75</v>
      </c>
      <c r="O33" s="41">
        <f t="shared" si="4"/>
        <v>0</v>
      </c>
      <c r="P33" s="13" t="str">
        <f t="shared" si="5"/>
        <v>SI</v>
      </c>
      <c r="Q33" s="23">
        <f t="shared" si="6"/>
        <v>0.25</v>
      </c>
      <c r="R33" s="12">
        <f t="shared" si="6"/>
        <v>0.75</v>
      </c>
    </row>
    <row r="34" spans="2:18">
      <c r="B34" t="str">
        <f t="shared" si="0"/>
        <v>AMILCAR EDELBERTO LOPEZ AROCHE46289</v>
      </c>
      <c r="C34" t="s">
        <v>11</v>
      </c>
      <c r="D34" s="121">
        <v>46289</v>
      </c>
      <c r="E34" t="s">
        <v>101</v>
      </c>
      <c r="F34" t="s">
        <v>35</v>
      </c>
      <c r="G34" s="122">
        <v>0.25</v>
      </c>
      <c r="H34" s="122">
        <v>0.75</v>
      </c>
      <c r="I34" s="112">
        <v>0</v>
      </c>
      <c r="J34" s="112">
        <v>0</v>
      </c>
      <c r="K34" s="23">
        <f t="shared" si="1"/>
        <v>0.25</v>
      </c>
      <c r="L34" s="23">
        <f t="shared" si="2"/>
        <v>0</v>
      </c>
      <c r="M34" s="12">
        <f t="shared" si="7"/>
        <v>0.25</v>
      </c>
      <c r="N34" s="23">
        <f t="shared" si="3"/>
        <v>0.75</v>
      </c>
      <c r="O34" s="41">
        <f t="shared" si="4"/>
        <v>0</v>
      </c>
      <c r="P34" s="13" t="str">
        <f t="shared" si="5"/>
        <v>SI</v>
      </c>
      <c r="Q34" s="23">
        <f t="shared" si="6"/>
        <v>0.25</v>
      </c>
      <c r="R34" s="12">
        <f t="shared" si="6"/>
        <v>0.75</v>
      </c>
    </row>
    <row r="35" spans="2:18">
      <c r="B35" t="str">
        <f t="shared" si="0"/>
        <v>AMILCAR EDELBERTO LOPEZ AROCHE46290</v>
      </c>
      <c r="C35" t="s">
        <v>11</v>
      </c>
      <c r="D35" s="121">
        <v>46290</v>
      </c>
      <c r="E35" t="s">
        <v>95</v>
      </c>
      <c r="F35" t="s">
        <v>35</v>
      </c>
      <c r="G35" s="122">
        <v>0.25</v>
      </c>
      <c r="H35" s="122">
        <v>0.75</v>
      </c>
      <c r="I35" s="112">
        <v>0</v>
      </c>
      <c r="J35" s="112">
        <v>0</v>
      </c>
      <c r="K35" s="23">
        <f t="shared" si="1"/>
        <v>0.25</v>
      </c>
      <c r="L35" s="23">
        <f t="shared" si="2"/>
        <v>0</v>
      </c>
      <c r="M35" s="12">
        <f t="shared" si="7"/>
        <v>0.25</v>
      </c>
      <c r="N35" s="23">
        <f t="shared" si="3"/>
        <v>0.75</v>
      </c>
      <c r="O35" s="41">
        <f t="shared" si="4"/>
        <v>0</v>
      </c>
      <c r="P35" s="13" t="str">
        <f t="shared" si="5"/>
        <v>SI</v>
      </c>
      <c r="Q35" s="23">
        <f t="shared" si="6"/>
        <v>0.25</v>
      </c>
      <c r="R35" s="12">
        <f t="shared" si="6"/>
        <v>0.75</v>
      </c>
    </row>
    <row r="36" spans="2:18">
      <c r="B36" t="str">
        <f t="shared" si="0"/>
        <v>AMILCAR EDELBERTO LOPEZ AROCHE46291</v>
      </c>
      <c r="C36" t="s">
        <v>11</v>
      </c>
      <c r="D36" s="121">
        <v>46291</v>
      </c>
      <c r="E36" t="s">
        <v>96</v>
      </c>
      <c r="F36" t="s">
        <v>35</v>
      </c>
      <c r="G36" s="122">
        <v>0.25</v>
      </c>
      <c r="H36" s="122">
        <v>0.58333333333333304</v>
      </c>
      <c r="I36" s="112">
        <v>0</v>
      </c>
      <c r="J36" s="112">
        <v>0</v>
      </c>
      <c r="K36" s="23">
        <f t="shared" si="1"/>
        <v>0.25</v>
      </c>
      <c r="L36" s="23">
        <f t="shared" si="2"/>
        <v>0</v>
      </c>
      <c r="M36" s="12">
        <f t="shared" si="7"/>
        <v>0.25</v>
      </c>
      <c r="N36" s="23">
        <f t="shared" si="3"/>
        <v>0.58333333333333304</v>
      </c>
      <c r="O36" s="41">
        <f t="shared" si="4"/>
        <v>0</v>
      </c>
      <c r="P36" s="13" t="str">
        <f t="shared" si="5"/>
        <v>SI</v>
      </c>
      <c r="Q36" s="23">
        <f t="shared" si="6"/>
        <v>0.25</v>
      </c>
      <c r="R36" s="12">
        <f t="shared" si="6"/>
        <v>0.58333333333333304</v>
      </c>
    </row>
    <row r="37" spans="2:18">
      <c r="B37" t="str">
        <f t="shared" si="0"/>
        <v>AMILCAR EDELBERTO LOPEZ AROCHE46292</v>
      </c>
      <c r="C37" t="s">
        <v>11</v>
      </c>
      <c r="D37" s="121">
        <v>46292</v>
      </c>
      <c r="E37" t="s">
        <v>97</v>
      </c>
      <c r="F37" t="s">
        <v>72</v>
      </c>
      <c r="G37" s="122">
        <v>0</v>
      </c>
      <c r="H37" s="122">
        <v>0</v>
      </c>
      <c r="I37" s="112">
        <v>0</v>
      </c>
      <c r="J37" s="112">
        <v>0</v>
      </c>
      <c r="K37" s="23">
        <f t="shared" si="1"/>
        <v>0</v>
      </c>
      <c r="L37" s="23">
        <f t="shared" si="2"/>
        <v>0</v>
      </c>
      <c r="M37" s="12">
        <f t="shared" si="7"/>
        <v>0</v>
      </c>
      <c r="N37" s="23">
        <f t="shared" si="3"/>
        <v>0</v>
      </c>
      <c r="O37" s="41">
        <f t="shared" si="4"/>
        <v>0</v>
      </c>
      <c r="P37" s="13" t="str">
        <f t="shared" si="5"/>
        <v>NO</v>
      </c>
      <c r="Q37" s="23">
        <f t="shared" si="6"/>
        <v>0</v>
      </c>
      <c r="R37" s="12">
        <f t="shared" si="6"/>
        <v>0</v>
      </c>
    </row>
    <row r="38" spans="2:18">
      <c r="B38" t="str">
        <f t="shared" si="0"/>
        <v>AMILCAR EDELBERTO LOPEZ AROCHE46293</v>
      </c>
      <c r="C38" t="s">
        <v>11</v>
      </c>
      <c r="D38" s="121">
        <v>46293</v>
      </c>
      <c r="E38" t="s">
        <v>98</v>
      </c>
      <c r="F38" t="s">
        <v>36</v>
      </c>
      <c r="G38" s="122">
        <v>0.75</v>
      </c>
      <c r="H38" s="122">
        <v>0.25</v>
      </c>
      <c r="I38" s="112">
        <v>0</v>
      </c>
      <c r="J38" s="112">
        <v>0</v>
      </c>
      <c r="K38" s="23">
        <f t="shared" si="1"/>
        <v>0.75</v>
      </c>
      <c r="L38" s="23">
        <f t="shared" si="2"/>
        <v>0</v>
      </c>
      <c r="M38" s="12">
        <f t="shared" si="7"/>
        <v>0.75</v>
      </c>
      <c r="N38" s="23">
        <f t="shared" si="3"/>
        <v>0.25</v>
      </c>
      <c r="O38" s="41">
        <f t="shared" si="4"/>
        <v>0</v>
      </c>
      <c r="P38" s="13" t="str">
        <f t="shared" si="5"/>
        <v>SI</v>
      </c>
      <c r="Q38" s="23">
        <f t="shared" si="6"/>
        <v>0.75</v>
      </c>
      <c r="R38" s="12">
        <f t="shared" si="6"/>
        <v>0.25</v>
      </c>
    </row>
    <row r="39" spans="2:18">
      <c r="B39" t="str">
        <f t="shared" si="0"/>
        <v>AMILCAR EDELBERTO LOPEZ AROCHE46294</v>
      </c>
      <c r="C39" t="s">
        <v>11</v>
      </c>
      <c r="D39" s="121">
        <v>46294</v>
      </c>
      <c r="E39" t="s">
        <v>99</v>
      </c>
      <c r="F39" t="s">
        <v>36</v>
      </c>
      <c r="G39" s="122">
        <v>0.75</v>
      </c>
      <c r="H39" s="122">
        <v>0.25</v>
      </c>
      <c r="I39" s="112">
        <v>0</v>
      </c>
      <c r="J39" s="112">
        <v>0</v>
      </c>
      <c r="K39" s="23">
        <f t="shared" si="1"/>
        <v>0.75</v>
      </c>
      <c r="L39" s="23">
        <f t="shared" si="2"/>
        <v>0</v>
      </c>
      <c r="M39" s="12">
        <f t="shared" si="7"/>
        <v>0.75</v>
      </c>
      <c r="N39" s="23">
        <f t="shared" si="3"/>
        <v>0.25</v>
      </c>
      <c r="O39" s="41">
        <f t="shared" si="4"/>
        <v>0</v>
      </c>
      <c r="P39" s="13" t="str">
        <f t="shared" si="5"/>
        <v>SI</v>
      </c>
      <c r="Q39" s="23">
        <f t="shared" si="6"/>
        <v>0.75</v>
      </c>
      <c r="R39" s="12">
        <f t="shared" si="6"/>
        <v>0.25</v>
      </c>
    </row>
    <row r="40" spans="2:18">
      <c r="B40" t="str">
        <f t="shared" si="0"/>
        <v>AMILCAR EDELBERTO LOPEZ AROCHE46295</v>
      </c>
      <c r="C40" t="s">
        <v>11</v>
      </c>
      <c r="D40" s="121">
        <v>46295</v>
      </c>
      <c r="E40" t="s">
        <v>100</v>
      </c>
      <c r="F40" t="s">
        <v>36</v>
      </c>
      <c r="G40" s="122">
        <v>0.75</v>
      </c>
      <c r="H40" s="122">
        <v>0.25</v>
      </c>
      <c r="I40" s="112">
        <v>0</v>
      </c>
      <c r="J40" s="112">
        <v>0</v>
      </c>
      <c r="K40" s="23">
        <f t="shared" si="1"/>
        <v>0.75</v>
      </c>
      <c r="L40" s="23">
        <f t="shared" si="2"/>
        <v>0</v>
      </c>
      <c r="M40" s="12">
        <f t="shared" si="7"/>
        <v>0.75</v>
      </c>
      <c r="N40" s="23">
        <f t="shared" si="3"/>
        <v>0.25</v>
      </c>
      <c r="O40" s="41">
        <f t="shared" si="4"/>
        <v>0</v>
      </c>
      <c r="P40" s="13" t="str">
        <f t="shared" si="5"/>
        <v>SI</v>
      </c>
      <c r="Q40" s="23">
        <f t="shared" si="6"/>
        <v>0.75</v>
      </c>
      <c r="R40" s="12">
        <f t="shared" si="6"/>
        <v>0.25</v>
      </c>
    </row>
    <row r="41" spans="2:18">
      <c r="B41" t="str">
        <f t="shared" si="0"/>
        <v>AMILCAR EDELBERTO LOPEZ AROCHE46296</v>
      </c>
      <c r="C41" t="s">
        <v>11</v>
      </c>
      <c r="D41" s="121">
        <v>46296</v>
      </c>
      <c r="E41" t="s">
        <v>101</v>
      </c>
      <c r="F41" t="s">
        <v>36</v>
      </c>
      <c r="G41" s="122">
        <v>0.75</v>
      </c>
      <c r="H41" s="122">
        <v>0.25</v>
      </c>
      <c r="I41" s="112">
        <v>0</v>
      </c>
      <c r="J41" s="112">
        <v>0</v>
      </c>
      <c r="K41" s="23">
        <f t="shared" si="1"/>
        <v>0.75</v>
      </c>
      <c r="L41" s="23">
        <f t="shared" si="2"/>
        <v>0</v>
      </c>
      <c r="M41" s="12">
        <f t="shared" si="7"/>
        <v>0.75</v>
      </c>
      <c r="N41" s="23">
        <f t="shared" si="3"/>
        <v>0.25</v>
      </c>
      <c r="O41" s="41">
        <f t="shared" si="4"/>
        <v>0</v>
      </c>
      <c r="P41" s="13" t="str">
        <f t="shared" si="5"/>
        <v>SI</v>
      </c>
      <c r="Q41" s="23">
        <f t="shared" si="6"/>
        <v>0.75</v>
      </c>
      <c r="R41" s="12">
        <f t="shared" si="6"/>
        <v>0.25</v>
      </c>
    </row>
    <row r="42" spans="2:18">
      <c r="B42" t="str">
        <f t="shared" si="0"/>
        <v>AMILCAR EDELBERTO LOPEZ AROCHE46297</v>
      </c>
      <c r="C42" t="s">
        <v>11</v>
      </c>
      <c r="D42" s="121">
        <v>46297</v>
      </c>
      <c r="E42" t="s">
        <v>95</v>
      </c>
      <c r="F42" t="s">
        <v>36</v>
      </c>
      <c r="G42" s="122">
        <v>0.75</v>
      </c>
      <c r="H42" s="122">
        <v>0.25</v>
      </c>
      <c r="I42" s="112">
        <v>0</v>
      </c>
      <c r="J42" s="112">
        <v>0</v>
      </c>
      <c r="K42" s="23">
        <f t="shared" si="1"/>
        <v>0.75</v>
      </c>
      <c r="L42" s="23">
        <f t="shared" si="2"/>
        <v>0</v>
      </c>
      <c r="M42" s="12">
        <f t="shared" si="7"/>
        <v>0.75</v>
      </c>
      <c r="N42" s="23">
        <f t="shared" si="3"/>
        <v>0.25</v>
      </c>
      <c r="O42" s="41">
        <f t="shared" si="4"/>
        <v>0</v>
      </c>
      <c r="P42" s="13" t="str">
        <f t="shared" si="5"/>
        <v>SI</v>
      </c>
      <c r="Q42" s="23">
        <f t="shared" si="6"/>
        <v>0.75</v>
      </c>
      <c r="R42" s="12">
        <f t="shared" si="6"/>
        <v>0.25</v>
      </c>
    </row>
    <row r="43" spans="2:18">
      <c r="B43" t="str">
        <f t="shared" si="0"/>
        <v>AMILCAR EDELBERTO LOPEZ AROCHE46298</v>
      </c>
      <c r="C43" t="s">
        <v>11</v>
      </c>
      <c r="D43" s="121">
        <v>46298</v>
      </c>
      <c r="E43" t="s">
        <v>96</v>
      </c>
      <c r="F43" t="s">
        <v>72</v>
      </c>
      <c r="G43" s="122">
        <v>0</v>
      </c>
      <c r="H43" s="122">
        <v>0</v>
      </c>
      <c r="I43" s="112">
        <v>0</v>
      </c>
      <c r="J43" s="112">
        <v>0</v>
      </c>
      <c r="K43" s="23">
        <f t="shared" si="1"/>
        <v>0</v>
      </c>
      <c r="L43" s="23">
        <f t="shared" si="2"/>
        <v>0</v>
      </c>
      <c r="M43" s="12">
        <f t="shared" si="7"/>
        <v>0</v>
      </c>
      <c r="N43" s="23">
        <f t="shared" si="3"/>
        <v>0</v>
      </c>
      <c r="O43" s="41">
        <f t="shared" si="4"/>
        <v>0</v>
      </c>
      <c r="P43" s="13" t="str">
        <f t="shared" si="5"/>
        <v>NO</v>
      </c>
      <c r="Q43" s="23">
        <f t="shared" si="6"/>
        <v>0</v>
      </c>
      <c r="R43" s="12">
        <f t="shared" si="6"/>
        <v>0</v>
      </c>
    </row>
    <row r="44" spans="2:18">
      <c r="B44" t="str">
        <f t="shared" si="0"/>
        <v>AMILCAR EDELBERTO LOPEZ AROCHE46299</v>
      </c>
      <c r="C44" t="s">
        <v>11</v>
      </c>
      <c r="D44" s="121">
        <v>46299</v>
      </c>
      <c r="E44" t="s">
        <v>97</v>
      </c>
      <c r="F44" t="s">
        <v>72</v>
      </c>
      <c r="G44" s="122">
        <v>0</v>
      </c>
      <c r="H44" s="122">
        <v>0</v>
      </c>
      <c r="I44" s="112">
        <v>0</v>
      </c>
      <c r="J44" s="112">
        <v>0</v>
      </c>
      <c r="K44" s="23">
        <f t="shared" si="1"/>
        <v>0</v>
      </c>
      <c r="L44" s="23">
        <f t="shared" si="2"/>
        <v>0</v>
      </c>
      <c r="M44" s="12">
        <f t="shared" si="7"/>
        <v>0</v>
      </c>
      <c r="N44" s="23">
        <f t="shared" si="3"/>
        <v>0</v>
      </c>
      <c r="O44" s="41">
        <f t="shared" si="4"/>
        <v>0</v>
      </c>
      <c r="P44" s="13" t="str">
        <f t="shared" si="5"/>
        <v>NO</v>
      </c>
      <c r="Q44" s="23">
        <f t="shared" si="6"/>
        <v>0</v>
      </c>
      <c r="R44" s="12">
        <f t="shared" si="6"/>
        <v>0</v>
      </c>
    </row>
    <row r="45" spans="2:18">
      <c r="B45" t="str">
        <f t="shared" si="0"/>
        <v>BAYRON AMILCAR JIMENEZ VEGA46279</v>
      </c>
      <c r="C45" t="s">
        <v>22</v>
      </c>
      <c r="D45" s="121">
        <v>46279</v>
      </c>
      <c r="E45" t="s">
        <v>98</v>
      </c>
      <c r="F45" t="s">
        <v>72</v>
      </c>
      <c r="G45" s="122">
        <v>0</v>
      </c>
      <c r="H45" s="122">
        <v>0</v>
      </c>
      <c r="I45" s="112">
        <v>0</v>
      </c>
      <c r="J45" s="112">
        <v>0</v>
      </c>
      <c r="K45" s="23">
        <f t="shared" si="1"/>
        <v>0</v>
      </c>
      <c r="L45" s="23">
        <f t="shared" si="2"/>
        <v>0</v>
      </c>
      <c r="M45" s="12">
        <f t="shared" si="7"/>
        <v>0</v>
      </c>
      <c r="N45" s="23">
        <f t="shared" si="3"/>
        <v>0</v>
      </c>
      <c r="O45" s="41">
        <f t="shared" si="4"/>
        <v>0</v>
      </c>
      <c r="P45" s="13" t="str">
        <f t="shared" si="5"/>
        <v>NO</v>
      </c>
      <c r="Q45" s="23">
        <f t="shared" si="6"/>
        <v>0</v>
      </c>
      <c r="R45" s="12">
        <f t="shared" si="6"/>
        <v>0</v>
      </c>
    </row>
    <row r="46" spans="2:18">
      <c r="B46" t="str">
        <f t="shared" si="0"/>
        <v>BAYRON AMILCAR JIMENEZ VEGA46280</v>
      </c>
      <c r="C46" t="s">
        <v>22</v>
      </c>
      <c r="D46" s="121">
        <v>46280</v>
      </c>
      <c r="E46" t="s">
        <v>99</v>
      </c>
      <c r="F46" t="s">
        <v>35</v>
      </c>
      <c r="G46" s="122">
        <v>0.33333333333333298</v>
      </c>
      <c r="H46" s="122">
        <v>0.70833333333333304</v>
      </c>
      <c r="I46" s="112">
        <v>0</v>
      </c>
      <c r="J46" s="112">
        <v>0</v>
      </c>
      <c r="K46" s="23">
        <f t="shared" si="1"/>
        <v>0.33333333333333298</v>
      </c>
      <c r="L46" s="23">
        <f t="shared" si="2"/>
        <v>0</v>
      </c>
      <c r="M46" s="12">
        <f t="shared" si="7"/>
        <v>0.33333333333333298</v>
      </c>
      <c r="N46" s="23">
        <f t="shared" si="3"/>
        <v>0.70833333333333304</v>
      </c>
      <c r="O46" s="41">
        <f t="shared" si="4"/>
        <v>0</v>
      </c>
      <c r="P46" s="13" t="str">
        <f t="shared" si="5"/>
        <v>SI</v>
      </c>
      <c r="Q46" s="23">
        <f t="shared" si="6"/>
        <v>0.33333333333333298</v>
      </c>
      <c r="R46" s="12">
        <f t="shared" si="6"/>
        <v>0.70833333333333304</v>
      </c>
    </row>
    <row r="47" spans="2:18">
      <c r="B47" t="str">
        <f t="shared" si="0"/>
        <v>BAYRON AMILCAR JIMENEZ VEGA46281</v>
      </c>
      <c r="C47" t="s">
        <v>22</v>
      </c>
      <c r="D47" s="121">
        <v>46281</v>
      </c>
      <c r="E47" t="s">
        <v>100</v>
      </c>
      <c r="F47" t="s">
        <v>35</v>
      </c>
      <c r="G47" s="122">
        <v>0.29166666666666702</v>
      </c>
      <c r="H47" s="122">
        <v>0.66666666666666696</v>
      </c>
      <c r="I47" s="112">
        <v>0</v>
      </c>
      <c r="J47" s="112">
        <v>0</v>
      </c>
      <c r="K47" s="23">
        <f t="shared" si="1"/>
        <v>0.29166666666666702</v>
      </c>
      <c r="L47" s="23">
        <f t="shared" si="2"/>
        <v>0</v>
      </c>
      <c r="M47" s="12">
        <f t="shared" si="7"/>
        <v>0.29166666666666702</v>
      </c>
      <c r="N47" s="23">
        <f t="shared" si="3"/>
        <v>0.66666666666666696</v>
      </c>
      <c r="O47" s="41">
        <f t="shared" si="4"/>
        <v>0</v>
      </c>
      <c r="P47" s="13" t="str">
        <f t="shared" si="5"/>
        <v>SI</v>
      </c>
      <c r="Q47" s="23">
        <f t="shared" si="6"/>
        <v>0.29166666666666702</v>
      </c>
      <c r="R47" s="12">
        <f t="shared" si="6"/>
        <v>0.66666666666666696</v>
      </c>
    </row>
    <row r="48" spans="2:18">
      <c r="B48" t="str">
        <f t="shared" si="0"/>
        <v>BAYRON AMILCAR JIMENEZ VEGA46282</v>
      </c>
      <c r="C48" t="s">
        <v>22</v>
      </c>
      <c r="D48" s="121">
        <v>46282</v>
      </c>
      <c r="E48" t="s">
        <v>101</v>
      </c>
      <c r="F48" t="s">
        <v>35</v>
      </c>
      <c r="G48" s="122">
        <v>0.375</v>
      </c>
      <c r="H48" s="122">
        <v>0.75</v>
      </c>
      <c r="I48" s="112">
        <v>0</v>
      </c>
      <c r="J48" s="112">
        <v>0</v>
      </c>
      <c r="K48" s="23">
        <f t="shared" si="1"/>
        <v>0.375</v>
      </c>
      <c r="L48" s="23">
        <f t="shared" si="2"/>
        <v>0</v>
      </c>
      <c r="M48" s="12">
        <f t="shared" si="7"/>
        <v>0.375</v>
      </c>
      <c r="N48" s="23">
        <f t="shared" si="3"/>
        <v>0.75</v>
      </c>
      <c r="O48" s="41">
        <f t="shared" si="4"/>
        <v>0</v>
      </c>
      <c r="P48" s="13" t="str">
        <f t="shared" si="5"/>
        <v>SI</v>
      </c>
      <c r="Q48" s="23">
        <f t="shared" si="6"/>
        <v>0.375</v>
      </c>
      <c r="R48" s="12">
        <f t="shared" si="6"/>
        <v>0.75</v>
      </c>
    </row>
    <row r="49" spans="2:18">
      <c r="B49" t="str">
        <f t="shared" si="0"/>
        <v>BAYRON AMILCAR JIMENEZ VEGA46283</v>
      </c>
      <c r="C49" t="s">
        <v>22</v>
      </c>
      <c r="D49" s="121">
        <v>46283</v>
      </c>
      <c r="E49" t="s">
        <v>95</v>
      </c>
      <c r="F49" t="s">
        <v>35</v>
      </c>
      <c r="G49" s="122">
        <v>0.29166666666666702</v>
      </c>
      <c r="H49" s="122">
        <v>0.66666666666666696</v>
      </c>
      <c r="I49" s="112">
        <v>0</v>
      </c>
      <c r="J49" s="112">
        <v>0</v>
      </c>
      <c r="K49" s="23">
        <f t="shared" si="1"/>
        <v>0.29166666666666702</v>
      </c>
      <c r="L49" s="23">
        <f t="shared" si="2"/>
        <v>0</v>
      </c>
      <c r="M49" s="12">
        <f t="shared" si="7"/>
        <v>0.29166666666666702</v>
      </c>
      <c r="N49" s="23">
        <f t="shared" si="3"/>
        <v>0.66666666666666696</v>
      </c>
      <c r="O49" s="41">
        <f t="shared" si="4"/>
        <v>0</v>
      </c>
      <c r="P49" s="13" t="str">
        <f t="shared" si="5"/>
        <v>SI</v>
      </c>
      <c r="Q49" s="23">
        <f t="shared" si="6"/>
        <v>0.29166666666666702</v>
      </c>
      <c r="R49" s="12">
        <f t="shared" si="6"/>
        <v>0.66666666666666696</v>
      </c>
    </row>
    <row r="50" spans="2:18">
      <c r="B50" t="str">
        <f t="shared" si="0"/>
        <v>BAYRON AMILCAR JIMENEZ VEGA46284</v>
      </c>
      <c r="C50" t="s">
        <v>22</v>
      </c>
      <c r="D50" s="121">
        <v>46284</v>
      </c>
      <c r="E50" t="s">
        <v>96</v>
      </c>
      <c r="F50" t="s">
        <v>35</v>
      </c>
      <c r="G50" s="122">
        <v>0.29166666666666702</v>
      </c>
      <c r="H50" s="122">
        <v>0.5</v>
      </c>
      <c r="I50" s="112">
        <v>0</v>
      </c>
      <c r="J50" s="112">
        <v>0</v>
      </c>
      <c r="K50" s="23">
        <f t="shared" si="1"/>
        <v>0.29166666666666702</v>
      </c>
      <c r="L50" s="23">
        <f t="shared" si="2"/>
        <v>0</v>
      </c>
      <c r="M50" s="12">
        <f t="shared" si="7"/>
        <v>0.29166666666666702</v>
      </c>
      <c r="N50" s="23">
        <f t="shared" si="3"/>
        <v>0.5</v>
      </c>
      <c r="O50" s="41">
        <f t="shared" si="4"/>
        <v>0</v>
      </c>
      <c r="P50" s="13" t="str">
        <f t="shared" si="5"/>
        <v>SI</v>
      </c>
      <c r="Q50" s="23">
        <f t="shared" si="6"/>
        <v>0.29166666666666702</v>
      </c>
      <c r="R50" s="12">
        <f t="shared" si="6"/>
        <v>0.5</v>
      </c>
    </row>
    <row r="51" spans="2:18">
      <c r="B51" t="str">
        <f t="shared" si="0"/>
        <v>BAYRON AMILCAR JIMENEZ VEGA46285</v>
      </c>
      <c r="C51" t="s">
        <v>22</v>
      </c>
      <c r="D51" s="121">
        <v>46285</v>
      </c>
      <c r="E51" t="s">
        <v>97</v>
      </c>
      <c r="F51" t="s">
        <v>72</v>
      </c>
      <c r="G51" s="122">
        <v>0</v>
      </c>
      <c r="H51" s="122">
        <v>0</v>
      </c>
      <c r="I51" s="112">
        <v>0</v>
      </c>
      <c r="J51" s="112">
        <v>0</v>
      </c>
      <c r="K51" s="23">
        <f t="shared" si="1"/>
        <v>0</v>
      </c>
      <c r="L51" s="23">
        <f t="shared" si="2"/>
        <v>0</v>
      </c>
      <c r="M51" s="12">
        <f t="shared" si="7"/>
        <v>0</v>
      </c>
      <c r="N51" s="23">
        <f t="shared" si="3"/>
        <v>0</v>
      </c>
      <c r="O51" s="41">
        <f t="shared" si="4"/>
        <v>0</v>
      </c>
      <c r="P51" s="13" t="str">
        <f t="shared" si="5"/>
        <v>NO</v>
      </c>
      <c r="Q51" s="23">
        <f t="shared" si="6"/>
        <v>0</v>
      </c>
      <c r="R51" s="12">
        <f t="shared" si="6"/>
        <v>0</v>
      </c>
    </row>
    <row r="52" spans="2:18">
      <c r="B52" t="str">
        <f t="shared" si="0"/>
        <v>BAYRON AMILCAR JIMENEZ VEGA46286</v>
      </c>
      <c r="C52" t="s">
        <v>22</v>
      </c>
      <c r="D52" s="121">
        <v>46286</v>
      </c>
      <c r="E52" t="s">
        <v>98</v>
      </c>
      <c r="F52" t="s">
        <v>36</v>
      </c>
      <c r="G52" s="122">
        <v>0.79166666666666696</v>
      </c>
      <c r="H52" s="122">
        <v>0.20833333333333301</v>
      </c>
      <c r="I52" s="112">
        <v>0</v>
      </c>
      <c r="J52" s="112">
        <v>0</v>
      </c>
      <c r="K52" s="23">
        <f t="shared" si="1"/>
        <v>0.79166666666666696</v>
      </c>
      <c r="L52" s="23">
        <f t="shared" si="2"/>
        <v>0</v>
      </c>
      <c r="M52" s="12">
        <f t="shared" si="7"/>
        <v>0.79166666666666696</v>
      </c>
      <c r="N52" s="23">
        <f t="shared" si="3"/>
        <v>0.20833333333333301</v>
      </c>
      <c r="O52" s="41">
        <f t="shared" si="4"/>
        <v>0</v>
      </c>
      <c r="P52" s="13" t="str">
        <f t="shared" si="5"/>
        <v>SI</v>
      </c>
      <c r="Q52" s="23">
        <f t="shared" si="6"/>
        <v>0.79166666666666696</v>
      </c>
      <c r="R52" s="12">
        <f t="shared" si="6"/>
        <v>0.20833333333333301</v>
      </c>
    </row>
    <row r="53" spans="2:18">
      <c r="B53" t="str">
        <f t="shared" si="0"/>
        <v>BAYRON AMILCAR JIMENEZ VEGA46287</v>
      </c>
      <c r="C53" t="s">
        <v>22</v>
      </c>
      <c r="D53" s="121">
        <v>46287</v>
      </c>
      <c r="E53" t="s">
        <v>99</v>
      </c>
      <c r="F53" t="s">
        <v>36</v>
      </c>
      <c r="G53" s="122">
        <v>0.79166666666666696</v>
      </c>
      <c r="H53" s="122">
        <v>0.20833333333333301</v>
      </c>
      <c r="I53" s="112">
        <v>0</v>
      </c>
      <c r="J53" s="112">
        <v>0</v>
      </c>
      <c r="K53" s="23">
        <f t="shared" si="1"/>
        <v>0.79166666666666696</v>
      </c>
      <c r="L53" s="23">
        <f t="shared" si="2"/>
        <v>0</v>
      </c>
      <c r="M53" s="12">
        <f t="shared" si="7"/>
        <v>0.79166666666666696</v>
      </c>
      <c r="N53" s="23">
        <f t="shared" si="3"/>
        <v>0.20833333333333301</v>
      </c>
      <c r="O53" s="41">
        <f t="shared" si="4"/>
        <v>0</v>
      </c>
      <c r="P53" s="13" t="str">
        <f t="shared" si="5"/>
        <v>SI</v>
      </c>
      <c r="Q53" s="23">
        <f t="shared" si="6"/>
        <v>0.79166666666666696</v>
      </c>
      <c r="R53" s="12">
        <f t="shared" si="6"/>
        <v>0.20833333333333301</v>
      </c>
    </row>
    <row r="54" spans="2:18">
      <c r="B54" t="str">
        <f t="shared" si="0"/>
        <v>BAYRON AMILCAR JIMENEZ VEGA46288</v>
      </c>
      <c r="C54" t="s">
        <v>22</v>
      </c>
      <c r="D54" s="121">
        <v>46288</v>
      </c>
      <c r="E54" t="s">
        <v>100</v>
      </c>
      <c r="F54" t="s">
        <v>36</v>
      </c>
      <c r="G54" s="122">
        <v>0.79166666666666696</v>
      </c>
      <c r="H54" s="122">
        <v>0.20833333333333301</v>
      </c>
      <c r="I54" s="112">
        <v>0</v>
      </c>
      <c r="J54" s="112">
        <v>0</v>
      </c>
      <c r="K54" s="23">
        <f t="shared" si="1"/>
        <v>0.79166666666666696</v>
      </c>
      <c r="L54" s="23">
        <f t="shared" si="2"/>
        <v>0</v>
      </c>
      <c r="M54" s="12">
        <f t="shared" si="7"/>
        <v>0.79166666666666696</v>
      </c>
      <c r="N54" s="23">
        <f t="shared" si="3"/>
        <v>0.20833333333333301</v>
      </c>
      <c r="O54" s="41">
        <f t="shared" si="4"/>
        <v>0</v>
      </c>
      <c r="P54" s="13" t="str">
        <f t="shared" si="5"/>
        <v>SI</v>
      </c>
      <c r="Q54" s="23">
        <f t="shared" si="6"/>
        <v>0.79166666666666696</v>
      </c>
      <c r="R54" s="12">
        <f t="shared" si="6"/>
        <v>0.20833333333333301</v>
      </c>
    </row>
    <row r="55" spans="2:18">
      <c r="B55" t="str">
        <f t="shared" si="0"/>
        <v>BAYRON AMILCAR JIMENEZ VEGA46289</v>
      </c>
      <c r="C55" t="s">
        <v>22</v>
      </c>
      <c r="D55" s="121">
        <v>46289</v>
      </c>
      <c r="E55" t="s">
        <v>101</v>
      </c>
      <c r="F55" t="s">
        <v>36</v>
      </c>
      <c r="G55" s="122">
        <v>0.79166666666666696</v>
      </c>
      <c r="H55" s="122">
        <v>0.20833333333333301</v>
      </c>
      <c r="I55" s="112">
        <v>0</v>
      </c>
      <c r="J55" s="112">
        <v>0</v>
      </c>
      <c r="K55" s="23">
        <f t="shared" si="1"/>
        <v>0.79166666666666696</v>
      </c>
      <c r="L55" s="23">
        <f t="shared" si="2"/>
        <v>0</v>
      </c>
      <c r="M55" s="12">
        <f t="shared" si="7"/>
        <v>0.79166666666666696</v>
      </c>
      <c r="N55" s="23">
        <f t="shared" si="3"/>
        <v>0.20833333333333301</v>
      </c>
      <c r="O55" s="41">
        <f t="shared" si="4"/>
        <v>0</v>
      </c>
      <c r="P55" s="13" t="str">
        <f t="shared" si="5"/>
        <v>SI</v>
      </c>
      <c r="Q55" s="23">
        <f t="shared" si="6"/>
        <v>0.79166666666666696</v>
      </c>
      <c r="R55" s="12">
        <f t="shared" si="6"/>
        <v>0.20833333333333301</v>
      </c>
    </row>
    <row r="56" spans="2:18">
      <c r="B56" t="str">
        <f t="shared" si="0"/>
        <v>BAYRON AMILCAR JIMENEZ VEGA46290</v>
      </c>
      <c r="C56" t="s">
        <v>22</v>
      </c>
      <c r="D56" s="121">
        <v>46290</v>
      </c>
      <c r="E56" t="s">
        <v>95</v>
      </c>
      <c r="F56" t="s">
        <v>36</v>
      </c>
      <c r="G56" s="122">
        <v>0.79166666666666696</v>
      </c>
      <c r="H56" s="122">
        <v>0.20833333333333301</v>
      </c>
      <c r="I56" s="112">
        <v>0</v>
      </c>
      <c r="J56" s="112">
        <v>0</v>
      </c>
      <c r="K56" s="23">
        <f t="shared" si="1"/>
        <v>0.79166666666666696</v>
      </c>
      <c r="L56" s="23">
        <f t="shared" si="2"/>
        <v>0</v>
      </c>
      <c r="M56" s="12">
        <f t="shared" si="7"/>
        <v>0.79166666666666696</v>
      </c>
      <c r="N56" s="23">
        <f t="shared" si="3"/>
        <v>0.20833333333333301</v>
      </c>
      <c r="O56" s="41">
        <f t="shared" si="4"/>
        <v>0</v>
      </c>
      <c r="P56" s="13" t="str">
        <f t="shared" si="5"/>
        <v>SI</v>
      </c>
      <c r="Q56" s="23">
        <f t="shared" si="6"/>
        <v>0.79166666666666696</v>
      </c>
      <c r="R56" s="12">
        <f t="shared" si="6"/>
        <v>0.20833333333333301</v>
      </c>
    </row>
    <row r="57" spans="2:18">
      <c r="B57" t="str">
        <f t="shared" si="0"/>
        <v>BAYRON AMILCAR JIMENEZ VEGA46291</v>
      </c>
      <c r="C57" t="s">
        <v>22</v>
      </c>
      <c r="D57" s="121">
        <v>46291</v>
      </c>
      <c r="E57" t="s">
        <v>96</v>
      </c>
      <c r="F57" t="s">
        <v>72</v>
      </c>
      <c r="G57" s="122">
        <v>0</v>
      </c>
      <c r="H57" s="122">
        <v>0</v>
      </c>
      <c r="I57" s="112">
        <v>0</v>
      </c>
      <c r="J57" s="112">
        <v>0</v>
      </c>
      <c r="K57" s="23">
        <f t="shared" si="1"/>
        <v>0</v>
      </c>
      <c r="L57" s="23">
        <f t="shared" si="2"/>
        <v>0</v>
      </c>
      <c r="M57" s="12">
        <f t="shared" si="7"/>
        <v>0</v>
      </c>
      <c r="N57" s="23">
        <f t="shared" si="3"/>
        <v>0</v>
      </c>
      <c r="O57" s="41">
        <f t="shared" si="4"/>
        <v>0</v>
      </c>
      <c r="P57" s="13" t="str">
        <f t="shared" si="5"/>
        <v>NO</v>
      </c>
      <c r="Q57" s="23">
        <f t="shared" si="6"/>
        <v>0</v>
      </c>
      <c r="R57" s="12">
        <f t="shared" si="6"/>
        <v>0</v>
      </c>
    </row>
    <row r="58" spans="2:18">
      <c r="B58" t="str">
        <f t="shared" si="0"/>
        <v>BAYRON AMILCAR JIMENEZ VEGA46292</v>
      </c>
      <c r="C58" t="s">
        <v>22</v>
      </c>
      <c r="D58" s="121">
        <v>46292</v>
      </c>
      <c r="E58" t="s">
        <v>97</v>
      </c>
      <c r="F58" t="s">
        <v>72</v>
      </c>
      <c r="G58" s="122">
        <v>0</v>
      </c>
      <c r="H58" s="122">
        <v>0</v>
      </c>
      <c r="I58" s="112">
        <v>0</v>
      </c>
      <c r="J58" s="112">
        <v>0</v>
      </c>
      <c r="K58" s="23">
        <f t="shared" si="1"/>
        <v>0</v>
      </c>
      <c r="L58" s="23">
        <f t="shared" si="2"/>
        <v>0</v>
      </c>
      <c r="M58" s="12">
        <f t="shared" si="7"/>
        <v>0</v>
      </c>
      <c r="N58" s="23">
        <f t="shared" si="3"/>
        <v>0</v>
      </c>
      <c r="O58" s="41">
        <f t="shared" si="4"/>
        <v>0</v>
      </c>
      <c r="P58" s="13" t="str">
        <f t="shared" si="5"/>
        <v>NO</v>
      </c>
      <c r="Q58" s="23">
        <f t="shared" si="6"/>
        <v>0</v>
      </c>
      <c r="R58" s="12">
        <f t="shared" si="6"/>
        <v>0</v>
      </c>
    </row>
    <row r="59" spans="2:18">
      <c r="B59" t="str">
        <f t="shared" si="0"/>
        <v>BAYRON AMILCAR JIMENEZ VEGA46293</v>
      </c>
      <c r="C59" t="s">
        <v>22</v>
      </c>
      <c r="D59" s="121">
        <v>46293</v>
      </c>
      <c r="E59" t="s">
        <v>98</v>
      </c>
      <c r="F59" t="s">
        <v>35</v>
      </c>
      <c r="G59" s="122">
        <v>0.29166666666666702</v>
      </c>
      <c r="H59" s="122">
        <v>0.66666666666666696</v>
      </c>
      <c r="I59" s="112">
        <v>0</v>
      </c>
      <c r="J59" s="112">
        <v>0</v>
      </c>
      <c r="K59" s="23">
        <f t="shared" si="1"/>
        <v>0.29166666666666702</v>
      </c>
      <c r="L59" s="23">
        <f t="shared" si="2"/>
        <v>0</v>
      </c>
      <c r="M59" s="12">
        <f t="shared" si="7"/>
        <v>0.29166666666666702</v>
      </c>
      <c r="N59" s="23">
        <f t="shared" si="3"/>
        <v>0.66666666666666696</v>
      </c>
      <c r="O59" s="41">
        <f t="shared" si="4"/>
        <v>0</v>
      </c>
      <c r="P59" s="13" t="str">
        <f t="shared" si="5"/>
        <v>SI</v>
      </c>
      <c r="Q59" s="23">
        <f t="shared" si="6"/>
        <v>0.29166666666666702</v>
      </c>
      <c r="R59" s="12">
        <f t="shared" si="6"/>
        <v>0.66666666666666696</v>
      </c>
    </row>
    <row r="60" spans="2:18">
      <c r="B60" t="str">
        <f t="shared" ref="B60:B109" si="8">+C60&amp;D60</f>
        <v>BAYRON AMILCAR JIMENEZ VEGA46294</v>
      </c>
      <c r="C60" t="s">
        <v>22</v>
      </c>
      <c r="D60" s="121">
        <v>46294</v>
      </c>
      <c r="E60" t="s">
        <v>99</v>
      </c>
      <c r="F60" t="s">
        <v>35</v>
      </c>
      <c r="G60" s="122">
        <v>0.29166666666666702</v>
      </c>
      <c r="H60" s="122">
        <v>0.66666666666666696</v>
      </c>
      <c r="I60" s="112">
        <v>0</v>
      </c>
      <c r="J60" s="112">
        <v>0</v>
      </c>
      <c r="K60" s="23">
        <f t="shared" ref="K60:K109" si="9">+IFERROR(G60,0)</f>
        <v>0.29166666666666702</v>
      </c>
      <c r="L60" s="23">
        <f t="shared" ref="L60:L109" si="10">+I60</f>
        <v>0</v>
      </c>
      <c r="M60" s="12">
        <f t="shared" si="7"/>
        <v>0.29166666666666702</v>
      </c>
      <c r="N60" s="23">
        <f t="shared" ref="N60:N109" si="11">+H60</f>
        <v>0.66666666666666696</v>
      </c>
      <c r="O60" s="41">
        <f t="shared" ref="O60:O109" si="12">+J60</f>
        <v>0</v>
      </c>
      <c r="P60" s="13" t="str">
        <f t="shared" ref="P60:P109" si="13">+IF(O60&lt;N60,"SI","NO")</f>
        <v>SI</v>
      </c>
      <c r="Q60" s="23">
        <f t="shared" ref="Q60:R109" si="14">+M60</f>
        <v>0.29166666666666702</v>
      </c>
      <c r="R60" s="12">
        <f t="shared" si="14"/>
        <v>0.66666666666666696</v>
      </c>
    </row>
    <row r="61" spans="2:18">
      <c r="B61" t="str">
        <f t="shared" si="8"/>
        <v>BAYRON AMILCAR JIMENEZ VEGA46295</v>
      </c>
      <c r="C61" t="s">
        <v>22</v>
      </c>
      <c r="D61" s="121">
        <v>46295</v>
      </c>
      <c r="E61" t="s">
        <v>100</v>
      </c>
      <c r="F61" t="s">
        <v>35</v>
      </c>
      <c r="G61" s="122">
        <v>0.29166666666666702</v>
      </c>
      <c r="H61" s="122">
        <v>0.66666666666666696</v>
      </c>
      <c r="I61" s="112">
        <v>0</v>
      </c>
      <c r="J61" s="112">
        <v>0</v>
      </c>
      <c r="K61" s="23">
        <f t="shared" si="9"/>
        <v>0.29166666666666702</v>
      </c>
      <c r="L61" s="23">
        <f t="shared" si="10"/>
        <v>0</v>
      </c>
      <c r="M61" s="12">
        <f t="shared" ref="M61:M110" si="15">+IFERROR(MAX(K61:L61),0)</f>
        <v>0.29166666666666702</v>
      </c>
      <c r="N61" s="23">
        <f t="shared" si="11"/>
        <v>0.66666666666666696</v>
      </c>
      <c r="O61" s="41">
        <f t="shared" si="12"/>
        <v>0</v>
      </c>
      <c r="P61" s="13" t="str">
        <f t="shared" si="13"/>
        <v>SI</v>
      </c>
      <c r="Q61" s="23">
        <f t="shared" si="14"/>
        <v>0.29166666666666702</v>
      </c>
      <c r="R61" s="12">
        <f t="shared" si="14"/>
        <v>0.66666666666666696</v>
      </c>
    </row>
    <row r="62" spans="2:18">
      <c r="B62" t="str">
        <f t="shared" si="8"/>
        <v>BAYRON AMILCAR JIMENEZ VEGA46296</v>
      </c>
      <c r="C62" t="s">
        <v>22</v>
      </c>
      <c r="D62" s="121">
        <v>46296</v>
      </c>
      <c r="E62" t="s">
        <v>101</v>
      </c>
      <c r="F62" t="s">
        <v>35</v>
      </c>
      <c r="G62" s="122">
        <v>0.375</v>
      </c>
      <c r="H62" s="122">
        <v>0.75</v>
      </c>
      <c r="I62" s="112">
        <v>0</v>
      </c>
      <c r="J62" s="112">
        <v>0</v>
      </c>
      <c r="K62" s="23">
        <f t="shared" si="9"/>
        <v>0.375</v>
      </c>
      <c r="L62" s="23">
        <f t="shared" si="10"/>
        <v>0</v>
      </c>
      <c r="M62" s="12">
        <f t="shared" si="15"/>
        <v>0.375</v>
      </c>
      <c r="N62" s="23">
        <f t="shared" si="11"/>
        <v>0.75</v>
      </c>
      <c r="O62" s="41">
        <f t="shared" si="12"/>
        <v>0</v>
      </c>
      <c r="P62" s="13" t="str">
        <f t="shared" si="13"/>
        <v>SI</v>
      </c>
      <c r="Q62" s="23">
        <f t="shared" si="14"/>
        <v>0.375</v>
      </c>
      <c r="R62" s="12">
        <f t="shared" si="14"/>
        <v>0.75</v>
      </c>
    </row>
    <row r="63" spans="2:18">
      <c r="B63" t="str">
        <f t="shared" si="8"/>
        <v>BAYRON AMILCAR JIMENEZ VEGA46297</v>
      </c>
      <c r="C63" t="s">
        <v>22</v>
      </c>
      <c r="D63" s="121">
        <v>46297</v>
      </c>
      <c r="E63" t="s">
        <v>95</v>
      </c>
      <c r="F63" t="s">
        <v>35</v>
      </c>
      <c r="G63" s="122">
        <v>0.29166666666666702</v>
      </c>
      <c r="H63" s="122">
        <v>0.66666666666666696</v>
      </c>
      <c r="I63" s="112">
        <v>0</v>
      </c>
      <c r="J63" s="112">
        <v>0</v>
      </c>
      <c r="K63" s="23">
        <f t="shared" si="9"/>
        <v>0.29166666666666702</v>
      </c>
      <c r="L63" s="23">
        <f t="shared" si="10"/>
        <v>0</v>
      </c>
      <c r="M63" s="12">
        <f t="shared" si="15"/>
        <v>0.29166666666666702</v>
      </c>
      <c r="N63" s="23">
        <f t="shared" si="11"/>
        <v>0.66666666666666696</v>
      </c>
      <c r="O63" s="41">
        <f t="shared" si="12"/>
        <v>0</v>
      </c>
      <c r="P63" s="13" t="str">
        <f t="shared" si="13"/>
        <v>SI</v>
      </c>
      <c r="Q63" s="23">
        <f t="shared" si="14"/>
        <v>0.29166666666666702</v>
      </c>
      <c r="R63" s="12">
        <f t="shared" si="14"/>
        <v>0.66666666666666696</v>
      </c>
    </row>
    <row r="64" spans="2:18">
      <c r="B64" t="str">
        <f t="shared" si="8"/>
        <v>BAYRON AMILCAR JIMENEZ VEGA46298</v>
      </c>
      <c r="C64" t="s">
        <v>22</v>
      </c>
      <c r="D64" s="121">
        <v>46298</v>
      </c>
      <c r="E64" t="s">
        <v>96</v>
      </c>
      <c r="F64" t="s">
        <v>35</v>
      </c>
      <c r="G64" s="122">
        <v>0.29166666666666702</v>
      </c>
      <c r="H64" s="122">
        <v>0.5</v>
      </c>
      <c r="I64" s="112">
        <v>0</v>
      </c>
      <c r="J64" s="112">
        <v>0</v>
      </c>
      <c r="K64" s="23">
        <f t="shared" si="9"/>
        <v>0.29166666666666702</v>
      </c>
      <c r="L64" s="23">
        <f t="shared" si="10"/>
        <v>0</v>
      </c>
      <c r="M64" s="12">
        <f t="shared" si="15"/>
        <v>0.29166666666666702</v>
      </c>
      <c r="N64" s="23">
        <f t="shared" si="11"/>
        <v>0.5</v>
      </c>
      <c r="O64" s="41">
        <f t="shared" si="12"/>
        <v>0</v>
      </c>
      <c r="P64" s="13" t="str">
        <f t="shared" si="13"/>
        <v>SI</v>
      </c>
      <c r="Q64" s="23">
        <f t="shared" si="14"/>
        <v>0.29166666666666702</v>
      </c>
      <c r="R64" s="12">
        <f t="shared" si="14"/>
        <v>0.5</v>
      </c>
    </row>
    <row r="65" spans="2:18">
      <c r="B65" t="str">
        <f t="shared" si="8"/>
        <v>BAYRON AMILCAR JIMENEZ VEGA46299</v>
      </c>
      <c r="C65" t="s">
        <v>22</v>
      </c>
      <c r="D65" s="121">
        <v>46299</v>
      </c>
      <c r="E65" t="s">
        <v>97</v>
      </c>
      <c r="F65" t="s">
        <v>72</v>
      </c>
      <c r="G65" s="122">
        <v>0</v>
      </c>
      <c r="H65" s="122">
        <v>0</v>
      </c>
      <c r="I65" s="112">
        <v>0</v>
      </c>
      <c r="J65" s="112">
        <v>0</v>
      </c>
      <c r="K65" s="23">
        <f t="shared" si="9"/>
        <v>0</v>
      </c>
      <c r="L65" s="23">
        <f t="shared" si="10"/>
        <v>0</v>
      </c>
      <c r="M65" s="12">
        <f t="shared" si="15"/>
        <v>0</v>
      </c>
      <c r="N65" s="23">
        <f t="shared" si="11"/>
        <v>0</v>
      </c>
      <c r="O65" s="41">
        <f t="shared" si="12"/>
        <v>0</v>
      </c>
      <c r="P65" s="13" t="str">
        <f t="shared" si="13"/>
        <v>NO</v>
      </c>
      <c r="Q65" s="23">
        <f t="shared" si="14"/>
        <v>0</v>
      </c>
      <c r="R65" s="12">
        <f t="shared" si="14"/>
        <v>0</v>
      </c>
    </row>
    <row r="66" spans="2:18">
      <c r="B66" t="str">
        <f t="shared" si="8"/>
        <v>BRYAN GEOVANI PELEN MAYEN46279</v>
      </c>
      <c r="C66" t="s">
        <v>212</v>
      </c>
      <c r="D66" s="121">
        <v>46279</v>
      </c>
      <c r="E66" t="s">
        <v>98</v>
      </c>
      <c r="F66" t="s">
        <v>72</v>
      </c>
      <c r="G66" s="122">
        <v>0</v>
      </c>
      <c r="H66" s="122">
        <v>0</v>
      </c>
      <c r="I66" s="112">
        <v>0</v>
      </c>
      <c r="J66" s="112">
        <v>0</v>
      </c>
      <c r="K66" s="23">
        <f t="shared" si="9"/>
        <v>0</v>
      </c>
      <c r="L66" s="23">
        <f t="shared" si="10"/>
        <v>0</v>
      </c>
      <c r="M66" s="12">
        <f t="shared" si="15"/>
        <v>0</v>
      </c>
      <c r="N66" s="23">
        <f t="shared" si="11"/>
        <v>0</v>
      </c>
      <c r="O66" s="41">
        <f t="shared" si="12"/>
        <v>0</v>
      </c>
      <c r="P66" s="13" t="str">
        <f t="shared" si="13"/>
        <v>NO</v>
      </c>
      <c r="Q66" s="23">
        <f t="shared" si="14"/>
        <v>0</v>
      </c>
      <c r="R66" s="12">
        <f t="shared" si="14"/>
        <v>0</v>
      </c>
    </row>
    <row r="67" spans="2:18">
      <c r="B67" t="str">
        <f t="shared" si="8"/>
        <v>BRYAN GEOVANI PELEN MAYEN46280</v>
      </c>
      <c r="C67" t="s">
        <v>212</v>
      </c>
      <c r="D67" s="121">
        <v>46280</v>
      </c>
      <c r="E67" t="s">
        <v>99</v>
      </c>
      <c r="F67" t="s">
        <v>35</v>
      </c>
      <c r="G67" s="122">
        <v>0.33333333333333298</v>
      </c>
      <c r="H67" s="122">
        <v>0.70833333333333304</v>
      </c>
      <c r="I67" s="112">
        <v>0</v>
      </c>
      <c r="J67" s="112">
        <v>0</v>
      </c>
      <c r="K67" s="23">
        <f t="shared" si="9"/>
        <v>0.33333333333333298</v>
      </c>
      <c r="L67" s="23">
        <f t="shared" si="10"/>
        <v>0</v>
      </c>
      <c r="M67" s="12">
        <f t="shared" si="15"/>
        <v>0.33333333333333298</v>
      </c>
      <c r="N67" s="23">
        <f t="shared" si="11"/>
        <v>0.70833333333333304</v>
      </c>
      <c r="O67" s="41">
        <f t="shared" si="12"/>
        <v>0</v>
      </c>
      <c r="P67" s="13" t="str">
        <f t="shared" si="13"/>
        <v>SI</v>
      </c>
      <c r="Q67" s="23">
        <f t="shared" si="14"/>
        <v>0.33333333333333298</v>
      </c>
      <c r="R67" s="12">
        <f t="shared" si="14"/>
        <v>0.70833333333333304</v>
      </c>
    </row>
    <row r="68" spans="2:18">
      <c r="B68" t="str">
        <f t="shared" si="8"/>
        <v>BRYAN GEOVANI PELEN MAYEN46281</v>
      </c>
      <c r="C68" t="s">
        <v>212</v>
      </c>
      <c r="D68" s="121">
        <v>46281</v>
      </c>
      <c r="E68" t="s">
        <v>100</v>
      </c>
      <c r="F68" t="s">
        <v>36</v>
      </c>
      <c r="G68" s="122">
        <v>0.75</v>
      </c>
      <c r="H68" s="122">
        <v>0.25</v>
      </c>
      <c r="I68" s="112">
        <v>0</v>
      </c>
      <c r="J68" s="112">
        <v>0</v>
      </c>
      <c r="K68" s="23">
        <f t="shared" si="9"/>
        <v>0.75</v>
      </c>
      <c r="L68" s="23">
        <f t="shared" si="10"/>
        <v>0</v>
      </c>
      <c r="M68" s="12">
        <f t="shared" si="15"/>
        <v>0.75</v>
      </c>
      <c r="N68" s="23">
        <f t="shared" si="11"/>
        <v>0.25</v>
      </c>
      <c r="O68" s="41">
        <f t="shared" si="12"/>
        <v>0</v>
      </c>
      <c r="P68" s="13" t="str">
        <f t="shared" si="13"/>
        <v>SI</v>
      </c>
      <c r="Q68" s="23">
        <f t="shared" si="14"/>
        <v>0.75</v>
      </c>
      <c r="R68" s="12">
        <f t="shared" si="14"/>
        <v>0.25</v>
      </c>
    </row>
    <row r="69" spans="2:18">
      <c r="B69" t="str">
        <f t="shared" si="8"/>
        <v>BRYAN GEOVANI PELEN MAYEN46282</v>
      </c>
      <c r="C69" t="s">
        <v>212</v>
      </c>
      <c r="D69" s="121">
        <v>46282</v>
      </c>
      <c r="E69" t="s">
        <v>101</v>
      </c>
      <c r="F69" t="s">
        <v>36</v>
      </c>
      <c r="G69" s="122">
        <v>0.75</v>
      </c>
      <c r="H69" s="122">
        <v>0.25</v>
      </c>
      <c r="I69" s="112">
        <v>0</v>
      </c>
      <c r="J69" s="112">
        <v>0</v>
      </c>
      <c r="K69" s="23">
        <f t="shared" si="9"/>
        <v>0.75</v>
      </c>
      <c r="L69" s="23">
        <f t="shared" si="10"/>
        <v>0</v>
      </c>
      <c r="M69" s="12">
        <f t="shared" si="15"/>
        <v>0.75</v>
      </c>
      <c r="N69" s="23">
        <f t="shared" si="11"/>
        <v>0.25</v>
      </c>
      <c r="O69" s="41">
        <f t="shared" si="12"/>
        <v>0</v>
      </c>
      <c r="P69" s="13" t="str">
        <f t="shared" si="13"/>
        <v>SI</v>
      </c>
      <c r="Q69" s="23">
        <f t="shared" si="14"/>
        <v>0.75</v>
      </c>
      <c r="R69" s="12">
        <f t="shared" si="14"/>
        <v>0.25</v>
      </c>
    </row>
    <row r="70" spans="2:18">
      <c r="B70" t="str">
        <f t="shared" si="8"/>
        <v>BRYAN GEOVANI PELEN MAYEN46283</v>
      </c>
      <c r="C70" t="s">
        <v>212</v>
      </c>
      <c r="D70" s="121">
        <v>46283</v>
      </c>
      <c r="E70" t="s">
        <v>95</v>
      </c>
      <c r="F70" t="s">
        <v>36</v>
      </c>
      <c r="G70" s="122">
        <v>0.75</v>
      </c>
      <c r="H70" s="122">
        <v>0.25</v>
      </c>
      <c r="I70" s="112">
        <v>0</v>
      </c>
      <c r="J70" s="112">
        <v>0</v>
      </c>
      <c r="K70" s="23">
        <f t="shared" si="9"/>
        <v>0.75</v>
      </c>
      <c r="L70" s="23">
        <f t="shared" si="10"/>
        <v>0</v>
      </c>
      <c r="M70" s="12">
        <f t="shared" si="15"/>
        <v>0.75</v>
      </c>
      <c r="N70" s="23">
        <f t="shared" si="11"/>
        <v>0.25</v>
      </c>
      <c r="O70" s="41">
        <f t="shared" si="12"/>
        <v>0</v>
      </c>
      <c r="P70" s="13" t="str">
        <f t="shared" si="13"/>
        <v>SI</v>
      </c>
      <c r="Q70" s="23">
        <f t="shared" si="14"/>
        <v>0.75</v>
      </c>
      <c r="R70" s="12">
        <f t="shared" si="14"/>
        <v>0.25</v>
      </c>
    </row>
    <row r="71" spans="2:18">
      <c r="B71" t="str">
        <f t="shared" si="8"/>
        <v>BRYAN GEOVANI PELEN MAYEN46284</v>
      </c>
      <c r="C71" t="s">
        <v>212</v>
      </c>
      <c r="D71" s="121">
        <v>46284</v>
      </c>
      <c r="E71" t="s">
        <v>96</v>
      </c>
      <c r="F71" t="s">
        <v>72</v>
      </c>
      <c r="G71" s="122">
        <v>0</v>
      </c>
      <c r="H71" s="122">
        <v>0</v>
      </c>
      <c r="I71" s="112">
        <v>0</v>
      </c>
      <c r="J71" s="112">
        <v>0</v>
      </c>
      <c r="K71" s="23">
        <f t="shared" si="9"/>
        <v>0</v>
      </c>
      <c r="L71" s="23">
        <f t="shared" si="10"/>
        <v>0</v>
      </c>
      <c r="M71" s="12">
        <f t="shared" si="15"/>
        <v>0</v>
      </c>
      <c r="N71" s="23">
        <f t="shared" si="11"/>
        <v>0</v>
      </c>
      <c r="O71" s="41">
        <f t="shared" si="12"/>
        <v>0</v>
      </c>
      <c r="P71" s="13" t="str">
        <f t="shared" si="13"/>
        <v>NO</v>
      </c>
      <c r="Q71" s="23">
        <f t="shared" si="14"/>
        <v>0</v>
      </c>
      <c r="R71" s="12">
        <f t="shared" si="14"/>
        <v>0</v>
      </c>
    </row>
    <row r="72" spans="2:18">
      <c r="B72" t="str">
        <f t="shared" si="8"/>
        <v>BRYAN GEOVANI PELEN MAYEN46285</v>
      </c>
      <c r="C72" t="s">
        <v>212</v>
      </c>
      <c r="D72" s="121">
        <v>46285</v>
      </c>
      <c r="E72" t="s">
        <v>97</v>
      </c>
      <c r="F72" t="s">
        <v>72</v>
      </c>
      <c r="G72" s="122">
        <v>0</v>
      </c>
      <c r="H72" s="122">
        <v>0</v>
      </c>
      <c r="I72" s="112">
        <v>0</v>
      </c>
      <c r="J72" s="112">
        <v>0</v>
      </c>
      <c r="K72" s="23">
        <f t="shared" si="9"/>
        <v>0</v>
      </c>
      <c r="L72" s="23">
        <f t="shared" si="10"/>
        <v>0</v>
      </c>
      <c r="M72" s="12">
        <f t="shared" si="15"/>
        <v>0</v>
      </c>
      <c r="N72" s="23">
        <f t="shared" si="11"/>
        <v>0</v>
      </c>
      <c r="O72" s="41">
        <f t="shared" si="12"/>
        <v>0</v>
      </c>
      <c r="P72" s="13" t="str">
        <f t="shared" si="13"/>
        <v>NO</v>
      </c>
      <c r="Q72" s="23">
        <f t="shared" si="14"/>
        <v>0</v>
      </c>
      <c r="R72" s="12">
        <f t="shared" si="14"/>
        <v>0</v>
      </c>
    </row>
    <row r="73" spans="2:18">
      <c r="B73" t="str">
        <f t="shared" si="8"/>
        <v>BRYAN GEOVANI PELEN MAYEN46286</v>
      </c>
      <c r="C73" t="s">
        <v>212</v>
      </c>
      <c r="D73" s="121">
        <v>46286</v>
      </c>
      <c r="E73" t="s">
        <v>98</v>
      </c>
      <c r="F73" t="s">
        <v>35</v>
      </c>
      <c r="G73" s="122">
        <v>0.25</v>
      </c>
      <c r="H73" s="122">
        <v>0.75</v>
      </c>
      <c r="I73" s="112">
        <v>0</v>
      </c>
      <c r="J73" s="112">
        <v>0</v>
      </c>
      <c r="K73" s="23">
        <f t="shared" si="9"/>
        <v>0.25</v>
      </c>
      <c r="L73" s="23">
        <f t="shared" si="10"/>
        <v>0</v>
      </c>
      <c r="M73" s="12">
        <f t="shared" si="15"/>
        <v>0.25</v>
      </c>
      <c r="N73" s="23">
        <f t="shared" si="11"/>
        <v>0.75</v>
      </c>
      <c r="O73" s="41">
        <f t="shared" si="12"/>
        <v>0</v>
      </c>
      <c r="P73" s="13" t="str">
        <f t="shared" si="13"/>
        <v>SI</v>
      </c>
      <c r="Q73" s="23">
        <f t="shared" si="14"/>
        <v>0.25</v>
      </c>
      <c r="R73" s="12">
        <f t="shared" si="14"/>
        <v>0.75</v>
      </c>
    </row>
    <row r="74" spans="2:18">
      <c r="B74" t="str">
        <f t="shared" si="8"/>
        <v>BRYAN GEOVANI PELEN MAYEN46287</v>
      </c>
      <c r="C74" t="s">
        <v>212</v>
      </c>
      <c r="D74" s="121">
        <v>46287</v>
      </c>
      <c r="E74" t="s">
        <v>99</v>
      </c>
      <c r="F74" t="s">
        <v>35</v>
      </c>
      <c r="G74" s="122">
        <v>0.25</v>
      </c>
      <c r="H74" s="122">
        <v>0.75</v>
      </c>
      <c r="I74" s="112">
        <v>0</v>
      </c>
      <c r="J74" s="112">
        <v>0</v>
      </c>
      <c r="K74" s="23">
        <f t="shared" si="9"/>
        <v>0.25</v>
      </c>
      <c r="L74" s="23">
        <f t="shared" si="10"/>
        <v>0</v>
      </c>
      <c r="M74" s="12">
        <f t="shared" si="15"/>
        <v>0.25</v>
      </c>
      <c r="N74" s="23">
        <f t="shared" si="11"/>
        <v>0.75</v>
      </c>
      <c r="O74" s="41">
        <f t="shared" si="12"/>
        <v>0</v>
      </c>
      <c r="P74" s="13" t="str">
        <f t="shared" si="13"/>
        <v>SI</v>
      </c>
      <c r="Q74" s="23">
        <f t="shared" si="14"/>
        <v>0.25</v>
      </c>
      <c r="R74" s="12">
        <f t="shared" si="14"/>
        <v>0.75</v>
      </c>
    </row>
    <row r="75" spans="2:18">
      <c r="B75" t="str">
        <f t="shared" si="8"/>
        <v>BRYAN GEOVANI PELEN MAYEN46288</v>
      </c>
      <c r="C75" t="s">
        <v>212</v>
      </c>
      <c r="D75" s="121">
        <v>46288</v>
      </c>
      <c r="E75" t="s">
        <v>100</v>
      </c>
      <c r="F75" t="s">
        <v>35</v>
      </c>
      <c r="G75" s="122">
        <v>0.25</v>
      </c>
      <c r="H75" s="122">
        <v>0.75</v>
      </c>
      <c r="I75" s="112">
        <v>0</v>
      </c>
      <c r="J75" s="112">
        <v>0</v>
      </c>
      <c r="K75" s="23">
        <f t="shared" si="9"/>
        <v>0.25</v>
      </c>
      <c r="L75" s="23">
        <f t="shared" si="10"/>
        <v>0</v>
      </c>
      <c r="M75" s="12">
        <f t="shared" si="15"/>
        <v>0.25</v>
      </c>
      <c r="N75" s="23">
        <f t="shared" si="11"/>
        <v>0.75</v>
      </c>
      <c r="O75" s="41">
        <f t="shared" si="12"/>
        <v>0</v>
      </c>
      <c r="P75" s="13" t="str">
        <f t="shared" si="13"/>
        <v>SI</v>
      </c>
      <c r="Q75" s="23">
        <f t="shared" si="14"/>
        <v>0.25</v>
      </c>
      <c r="R75" s="12">
        <f t="shared" si="14"/>
        <v>0.75</v>
      </c>
    </row>
    <row r="76" spans="2:18">
      <c r="B76" t="str">
        <f t="shared" si="8"/>
        <v>BRYAN GEOVANI PELEN MAYEN46289</v>
      </c>
      <c r="C76" t="s">
        <v>212</v>
      </c>
      <c r="D76" s="121">
        <v>46289</v>
      </c>
      <c r="E76" t="s">
        <v>101</v>
      </c>
      <c r="F76" t="s">
        <v>35</v>
      </c>
      <c r="G76" s="122">
        <v>0.25</v>
      </c>
      <c r="H76" s="122">
        <v>0.75</v>
      </c>
      <c r="I76" s="112">
        <v>0</v>
      </c>
      <c r="J76" s="112">
        <v>0</v>
      </c>
      <c r="K76" s="23">
        <f t="shared" si="9"/>
        <v>0.25</v>
      </c>
      <c r="L76" s="23">
        <f t="shared" si="10"/>
        <v>0</v>
      </c>
      <c r="M76" s="12">
        <f t="shared" si="15"/>
        <v>0.25</v>
      </c>
      <c r="N76" s="23">
        <f t="shared" si="11"/>
        <v>0.75</v>
      </c>
      <c r="O76" s="41">
        <f t="shared" si="12"/>
        <v>0</v>
      </c>
      <c r="P76" s="13" t="str">
        <f t="shared" si="13"/>
        <v>SI</v>
      </c>
      <c r="Q76" s="23">
        <f t="shared" si="14"/>
        <v>0.25</v>
      </c>
      <c r="R76" s="12">
        <f t="shared" si="14"/>
        <v>0.75</v>
      </c>
    </row>
    <row r="77" spans="2:18">
      <c r="B77" t="str">
        <f t="shared" si="8"/>
        <v>BRYAN GEOVANI PELEN MAYEN46290</v>
      </c>
      <c r="C77" t="s">
        <v>212</v>
      </c>
      <c r="D77" s="121">
        <v>46290</v>
      </c>
      <c r="E77" t="s">
        <v>95</v>
      </c>
      <c r="F77" t="s">
        <v>35</v>
      </c>
      <c r="G77" s="122">
        <v>0.25</v>
      </c>
      <c r="H77" s="122">
        <v>0.75</v>
      </c>
      <c r="I77" s="112">
        <v>0</v>
      </c>
      <c r="J77" s="112">
        <v>0</v>
      </c>
      <c r="K77" s="23">
        <f t="shared" si="9"/>
        <v>0.25</v>
      </c>
      <c r="L77" s="23">
        <f t="shared" si="10"/>
        <v>0</v>
      </c>
      <c r="M77" s="12">
        <f t="shared" si="15"/>
        <v>0.25</v>
      </c>
      <c r="N77" s="23">
        <f t="shared" si="11"/>
        <v>0.75</v>
      </c>
      <c r="O77" s="41">
        <f t="shared" si="12"/>
        <v>0</v>
      </c>
      <c r="P77" s="13" t="str">
        <f t="shared" si="13"/>
        <v>SI</v>
      </c>
      <c r="Q77" s="23">
        <f t="shared" si="14"/>
        <v>0.25</v>
      </c>
      <c r="R77" s="12">
        <f t="shared" si="14"/>
        <v>0.75</v>
      </c>
    </row>
    <row r="78" spans="2:18">
      <c r="B78" t="str">
        <f t="shared" si="8"/>
        <v>BRYAN GEOVANI PELEN MAYEN46291</v>
      </c>
      <c r="C78" t="s">
        <v>212</v>
      </c>
      <c r="D78" s="121">
        <v>46291</v>
      </c>
      <c r="E78" t="s">
        <v>96</v>
      </c>
      <c r="F78" t="s">
        <v>35</v>
      </c>
      <c r="G78" s="122">
        <v>0.25</v>
      </c>
      <c r="H78" s="122">
        <v>0.58333333333333304</v>
      </c>
      <c r="I78" s="112">
        <v>0</v>
      </c>
      <c r="J78" s="112">
        <v>0</v>
      </c>
      <c r="K78" s="23">
        <f t="shared" si="9"/>
        <v>0.25</v>
      </c>
      <c r="L78" s="23">
        <f t="shared" si="10"/>
        <v>0</v>
      </c>
      <c r="M78" s="12">
        <f t="shared" si="15"/>
        <v>0.25</v>
      </c>
      <c r="N78" s="23">
        <f t="shared" si="11"/>
        <v>0.58333333333333304</v>
      </c>
      <c r="O78" s="41">
        <f t="shared" si="12"/>
        <v>0</v>
      </c>
      <c r="P78" s="13" t="str">
        <f t="shared" si="13"/>
        <v>SI</v>
      </c>
      <c r="Q78" s="23">
        <f t="shared" si="14"/>
        <v>0.25</v>
      </c>
      <c r="R78" s="12">
        <f t="shared" si="14"/>
        <v>0.58333333333333304</v>
      </c>
    </row>
    <row r="79" spans="2:18">
      <c r="B79" t="str">
        <f t="shared" si="8"/>
        <v>BRYAN GEOVANI PELEN MAYEN46292</v>
      </c>
      <c r="C79" t="s">
        <v>212</v>
      </c>
      <c r="D79" s="121">
        <v>46292</v>
      </c>
      <c r="E79" t="s">
        <v>97</v>
      </c>
      <c r="F79" t="s">
        <v>72</v>
      </c>
      <c r="G79" s="122">
        <v>0</v>
      </c>
      <c r="H79" s="122">
        <v>0</v>
      </c>
      <c r="I79" s="112">
        <v>0</v>
      </c>
      <c r="J79" s="112">
        <v>0</v>
      </c>
      <c r="K79" s="23">
        <f t="shared" si="9"/>
        <v>0</v>
      </c>
      <c r="L79" s="23">
        <f t="shared" si="10"/>
        <v>0</v>
      </c>
      <c r="M79" s="12">
        <f t="shared" si="15"/>
        <v>0</v>
      </c>
      <c r="N79" s="23">
        <f t="shared" si="11"/>
        <v>0</v>
      </c>
      <c r="O79" s="41">
        <f t="shared" si="12"/>
        <v>0</v>
      </c>
      <c r="P79" s="13" t="str">
        <f t="shared" si="13"/>
        <v>NO</v>
      </c>
      <c r="Q79" s="23">
        <f t="shared" si="14"/>
        <v>0</v>
      </c>
      <c r="R79" s="12">
        <f t="shared" si="14"/>
        <v>0</v>
      </c>
    </row>
    <row r="80" spans="2:18">
      <c r="B80" t="str">
        <f t="shared" si="8"/>
        <v>BRYAN GEOVANI PELEN MAYEN46293</v>
      </c>
      <c r="C80" t="s">
        <v>212</v>
      </c>
      <c r="D80" s="121">
        <v>46293</v>
      </c>
      <c r="E80" t="s">
        <v>98</v>
      </c>
      <c r="F80" t="s">
        <v>36</v>
      </c>
      <c r="G80" s="122">
        <v>0.75</v>
      </c>
      <c r="H80" s="122">
        <v>0.25</v>
      </c>
      <c r="I80" s="112">
        <v>0</v>
      </c>
      <c r="J80" s="112">
        <v>0</v>
      </c>
      <c r="K80" s="23">
        <f t="shared" si="9"/>
        <v>0.75</v>
      </c>
      <c r="L80" s="23">
        <f t="shared" si="10"/>
        <v>0</v>
      </c>
      <c r="M80" s="12">
        <f t="shared" si="15"/>
        <v>0.75</v>
      </c>
      <c r="N80" s="23">
        <f t="shared" si="11"/>
        <v>0.25</v>
      </c>
      <c r="O80" s="41">
        <f t="shared" si="12"/>
        <v>0</v>
      </c>
      <c r="P80" s="13" t="str">
        <f t="shared" si="13"/>
        <v>SI</v>
      </c>
      <c r="Q80" s="23">
        <f t="shared" si="14"/>
        <v>0.75</v>
      </c>
      <c r="R80" s="12">
        <f t="shared" si="14"/>
        <v>0.25</v>
      </c>
    </row>
    <row r="81" spans="2:18">
      <c r="B81" t="str">
        <f t="shared" si="8"/>
        <v>BRYAN GEOVANI PELEN MAYEN46294</v>
      </c>
      <c r="C81" t="s">
        <v>212</v>
      </c>
      <c r="D81" s="121">
        <v>46294</v>
      </c>
      <c r="E81" t="s">
        <v>99</v>
      </c>
      <c r="F81" t="s">
        <v>36</v>
      </c>
      <c r="G81" s="122">
        <v>0.75</v>
      </c>
      <c r="H81" s="122">
        <v>0.25</v>
      </c>
      <c r="I81" s="112">
        <v>0</v>
      </c>
      <c r="J81" s="112">
        <v>0</v>
      </c>
      <c r="K81" s="23">
        <f t="shared" si="9"/>
        <v>0.75</v>
      </c>
      <c r="L81" s="23">
        <f t="shared" si="10"/>
        <v>0</v>
      </c>
      <c r="M81" s="12">
        <f t="shared" si="15"/>
        <v>0.75</v>
      </c>
      <c r="N81" s="23">
        <f t="shared" si="11"/>
        <v>0.25</v>
      </c>
      <c r="O81" s="41">
        <f t="shared" si="12"/>
        <v>0</v>
      </c>
      <c r="P81" s="13" t="str">
        <f t="shared" si="13"/>
        <v>SI</v>
      </c>
      <c r="Q81" s="23">
        <f t="shared" si="14"/>
        <v>0.75</v>
      </c>
      <c r="R81" s="12">
        <f t="shared" si="14"/>
        <v>0.25</v>
      </c>
    </row>
    <row r="82" spans="2:18">
      <c r="B82" t="str">
        <f t="shared" si="8"/>
        <v>BRYAN GEOVANI PELEN MAYEN46295</v>
      </c>
      <c r="C82" t="s">
        <v>212</v>
      </c>
      <c r="D82" s="121">
        <v>46295</v>
      </c>
      <c r="E82" t="s">
        <v>100</v>
      </c>
      <c r="F82" t="s">
        <v>36</v>
      </c>
      <c r="G82" s="122">
        <v>0.75</v>
      </c>
      <c r="H82" s="122">
        <v>0.25</v>
      </c>
      <c r="I82" s="112">
        <v>0</v>
      </c>
      <c r="J82" s="112">
        <v>0</v>
      </c>
      <c r="K82" s="23">
        <f t="shared" si="9"/>
        <v>0.75</v>
      </c>
      <c r="L82" s="23">
        <f t="shared" si="10"/>
        <v>0</v>
      </c>
      <c r="M82" s="12">
        <f t="shared" si="15"/>
        <v>0.75</v>
      </c>
      <c r="N82" s="23">
        <f t="shared" si="11"/>
        <v>0.25</v>
      </c>
      <c r="O82" s="41">
        <f t="shared" si="12"/>
        <v>0</v>
      </c>
      <c r="P82" s="13" t="str">
        <f t="shared" si="13"/>
        <v>SI</v>
      </c>
      <c r="Q82" s="23">
        <f t="shared" si="14"/>
        <v>0.75</v>
      </c>
      <c r="R82" s="12">
        <f t="shared" si="14"/>
        <v>0.25</v>
      </c>
    </row>
    <row r="83" spans="2:18">
      <c r="B83" t="str">
        <f t="shared" si="8"/>
        <v>BRYAN GEOVANI PELEN MAYEN46296</v>
      </c>
      <c r="C83" t="s">
        <v>212</v>
      </c>
      <c r="D83" s="121">
        <v>46296</v>
      </c>
      <c r="E83" t="s">
        <v>101</v>
      </c>
      <c r="F83" t="s">
        <v>36</v>
      </c>
      <c r="G83" s="122">
        <v>0.75</v>
      </c>
      <c r="H83" s="122">
        <v>0.25</v>
      </c>
      <c r="I83" s="112">
        <v>0</v>
      </c>
      <c r="J83" s="112">
        <v>0</v>
      </c>
      <c r="K83" s="23">
        <f t="shared" si="9"/>
        <v>0.75</v>
      </c>
      <c r="L83" s="23">
        <f t="shared" si="10"/>
        <v>0</v>
      </c>
      <c r="M83" s="12">
        <f t="shared" si="15"/>
        <v>0.75</v>
      </c>
      <c r="N83" s="23">
        <f t="shared" si="11"/>
        <v>0.25</v>
      </c>
      <c r="O83" s="41">
        <f t="shared" si="12"/>
        <v>0</v>
      </c>
      <c r="P83" s="13" t="str">
        <f t="shared" si="13"/>
        <v>SI</v>
      </c>
      <c r="Q83" s="23">
        <f t="shared" si="14"/>
        <v>0.75</v>
      </c>
      <c r="R83" s="12">
        <f t="shared" si="14"/>
        <v>0.25</v>
      </c>
    </row>
    <row r="84" spans="2:18">
      <c r="B84" t="str">
        <f t="shared" si="8"/>
        <v>BRYAN GEOVANI PELEN MAYEN46297</v>
      </c>
      <c r="C84" t="s">
        <v>212</v>
      </c>
      <c r="D84" s="121">
        <v>46297</v>
      </c>
      <c r="E84" t="s">
        <v>95</v>
      </c>
      <c r="F84" t="s">
        <v>36</v>
      </c>
      <c r="G84" s="122">
        <v>0.75</v>
      </c>
      <c r="H84" s="122">
        <v>0.25</v>
      </c>
      <c r="I84" s="112">
        <v>0</v>
      </c>
      <c r="J84" s="112">
        <v>0</v>
      </c>
      <c r="K84" s="23">
        <f t="shared" si="9"/>
        <v>0.75</v>
      </c>
      <c r="L84" s="23">
        <f t="shared" si="10"/>
        <v>0</v>
      </c>
      <c r="M84" s="12">
        <f t="shared" si="15"/>
        <v>0.75</v>
      </c>
      <c r="N84" s="23">
        <f t="shared" si="11"/>
        <v>0.25</v>
      </c>
      <c r="O84" s="41">
        <f t="shared" si="12"/>
        <v>0</v>
      </c>
      <c r="P84" s="13" t="str">
        <f t="shared" si="13"/>
        <v>SI</v>
      </c>
      <c r="Q84" s="23">
        <f t="shared" si="14"/>
        <v>0.75</v>
      </c>
      <c r="R84" s="12">
        <f t="shared" si="14"/>
        <v>0.25</v>
      </c>
    </row>
    <row r="85" spans="2:18">
      <c r="B85" t="str">
        <f t="shared" si="8"/>
        <v>BRYAN GEOVANI PELEN MAYEN46298</v>
      </c>
      <c r="C85" t="s">
        <v>212</v>
      </c>
      <c r="D85" s="121">
        <v>46298</v>
      </c>
      <c r="E85" t="s">
        <v>96</v>
      </c>
      <c r="F85" t="s">
        <v>72</v>
      </c>
      <c r="G85" s="122">
        <v>0</v>
      </c>
      <c r="H85" s="122">
        <v>0</v>
      </c>
      <c r="I85" s="112">
        <v>0</v>
      </c>
      <c r="J85" s="112">
        <v>0</v>
      </c>
      <c r="K85" s="23">
        <f t="shared" si="9"/>
        <v>0</v>
      </c>
      <c r="L85" s="23">
        <f t="shared" si="10"/>
        <v>0</v>
      </c>
      <c r="M85" s="12">
        <f t="shared" si="15"/>
        <v>0</v>
      </c>
      <c r="N85" s="23">
        <f t="shared" si="11"/>
        <v>0</v>
      </c>
      <c r="O85" s="41">
        <f t="shared" si="12"/>
        <v>0</v>
      </c>
      <c r="P85" s="13" t="str">
        <f t="shared" si="13"/>
        <v>NO</v>
      </c>
      <c r="Q85" s="23">
        <f t="shared" si="14"/>
        <v>0</v>
      </c>
      <c r="R85" s="12">
        <f t="shared" si="14"/>
        <v>0</v>
      </c>
    </row>
    <row r="86" spans="2:18">
      <c r="B86" t="str">
        <f t="shared" si="8"/>
        <v>BRYAN GEOVANI PELEN MAYEN46299</v>
      </c>
      <c r="C86" t="s">
        <v>212</v>
      </c>
      <c r="D86" s="121">
        <v>46299</v>
      </c>
      <c r="E86" t="s">
        <v>97</v>
      </c>
      <c r="F86" t="s">
        <v>72</v>
      </c>
      <c r="G86" s="122">
        <v>0</v>
      </c>
      <c r="H86" s="122">
        <v>0</v>
      </c>
      <c r="I86" s="112">
        <v>0</v>
      </c>
      <c r="J86" s="112">
        <v>0</v>
      </c>
      <c r="K86" s="23">
        <f t="shared" si="9"/>
        <v>0</v>
      </c>
      <c r="L86" s="23">
        <f t="shared" si="10"/>
        <v>0</v>
      </c>
      <c r="M86" s="12">
        <f t="shared" si="15"/>
        <v>0</v>
      </c>
      <c r="N86" s="23">
        <f t="shared" si="11"/>
        <v>0</v>
      </c>
      <c r="O86" s="41">
        <f t="shared" si="12"/>
        <v>0</v>
      </c>
      <c r="P86" s="13" t="str">
        <f t="shared" si="13"/>
        <v>NO</v>
      </c>
      <c r="Q86" s="23">
        <f t="shared" si="14"/>
        <v>0</v>
      </c>
      <c r="R86" s="12">
        <f t="shared" si="14"/>
        <v>0</v>
      </c>
    </row>
    <row r="87" spans="2:18">
      <c r="B87" t="str">
        <f t="shared" si="8"/>
        <v>Braulio Vinicio López Rancho46279</v>
      </c>
      <c r="C87" t="s">
        <v>213</v>
      </c>
      <c r="D87" s="121">
        <v>46279</v>
      </c>
      <c r="E87" t="s">
        <v>98</v>
      </c>
      <c r="F87" t="s">
        <v>72</v>
      </c>
      <c r="G87" s="122">
        <v>0</v>
      </c>
      <c r="H87" s="122">
        <v>0</v>
      </c>
      <c r="I87" s="112">
        <v>0</v>
      </c>
      <c r="J87" s="112">
        <v>0</v>
      </c>
      <c r="K87" s="23">
        <f t="shared" si="9"/>
        <v>0</v>
      </c>
      <c r="L87" s="23">
        <f t="shared" si="10"/>
        <v>0</v>
      </c>
      <c r="M87" s="12">
        <f t="shared" si="15"/>
        <v>0</v>
      </c>
      <c r="N87" s="23">
        <f t="shared" si="11"/>
        <v>0</v>
      </c>
      <c r="O87" s="41">
        <f t="shared" si="12"/>
        <v>0</v>
      </c>
      <c r="P87" s="13" t="str">
        <f t="shared" si="13"/>
        <v>NO</v>
      </c>
      <c r="Q87" s="23">
        <f t="shared" si="14"/>
        <v>0</v>
      </c>
      <c r="R87" s="12">
        <f t="shared" si="14"/>
        <v>0</v>
      </c>
    </row>
    <row r="88" spans="2:18">
      <c r="B88" t="str">
        <f t="shared" si="8"/>
        <v>Braulio Vinicio López Rancho46280</v>
      </c>
      <c r="C88" t="s">
        <v>213</v>
      </c>
      <c r="D88" s="121">
        <v>46280</v>
      </c>
      <c r="E88" t="s">
        <v>99</v>
      </c>
      <c r="F88" t="s">
        <v>35</v>
      </c>
      <c r="G88" s="122">
        <v>0.33333333333333298</v>
      </c>
      <c r="H88" s="122">
        <v>0.70833333333333304</v>
      </c>
      <c r="I88" s="112">
        <v>0</v>
      </c>
      <c r="J88" s="112">
        <v>0</v>
      </c>
      <c r="K88" s="23">
        <f t="shared" si="9"/>
        <v>0.33333333333333298</v>
      </c>
      <c r="L88" s="23">
        <f t="shared" si="10"/>
        <v>0</v>
      </c>
      <c r="M88" s="12">
        <f t="shared" si="15"/>
        <v>0.33333333333333298</v>
      </c>
      <c r="N88" s="23">
        <f t="shared" si="11"/>
        <v>0.70833333333333304</v>
      </c>
      <c r="O88" s="41">
        <f t="shared" si="12"/>
        <v>0</v>
      </c>
      <c r="P88" s="13" t="str">
        <f t="shared" si="13"/>
        <v>SI</v>
      </c>
      <c r="Q88" s="23">
        <f t="shared" si="14"/>
        <v>0.33333333333333298</v>
      </c>
      <c r="R88" s="12">
        <f t="shared" si="14"/>
        <v>0.70833333333333304</v>
      </c>
    </row>
    <row r="89" spans="2:18">
      <c r="B89" t="str">
        <f t="shared" si="8"/>
        <v>Braulio Vinicio López Rancho46281</v>
      </c>
      <c r="C89" t="s">
        <v>213</v>
      </c>
      <c r="D89" s="121">
        <v>46281</v>
      </c>
      <c r="E89" t="s">
        <v>100</v>
      </c>
      <c r="F89" t="s">
        <v>35</v>
      </c>
      <c r="G89" s="122">
        <v>0.25</v>
      </c>
      <c r="H89" s="122">
        <v>0.75</v>
      </c>
      <c r="I89" s="112">
        <v>0</v>
      </c>
      <c r="J89" s="112">
        <v>0</v>
      </c>
      <c r="K89" s="23">
        <f t="shared" si="9"/>
        <v>0.25</v>
      </c>
      <c r="L89" s="23">
        <f t="shared" si="10"/>
        <v>0</v>
      </c>
      <c r="M89" s="12">
        <f t="shared" si="15"/>
        <v>0.25</v>
      </c>
      <c r="N89" s="23">
        <f t="shared" si="11"/>
        <v>0.75</v>
      </c>
      <c r="O89" s="41">
        <f t="shared" si="12"/>
        <v>0</v>
      </c>
      <c r="P89" s="13" t="str">
        <f t="shared" si="13"/>
        <v>SI</v>
      </c>
      <c r="Q89" s="23">
        <f t="shared" si="14"/>
        <v>0.25</v>
      </c>
      <c r="R89" s="12">
        <f t="shared" si="14"/>
        <v>0.75</v>
      </c>
    </row>
    <row r="90" spans="2:18">
      <c r="B90" t="str">
        <f t="shared" si="8"/>
        <v>Braulio Vinicio López Rancho46282</v>
      </c>
      <c r="C90" t="s">
        <v>213</v>
      </c>
      <c r="D90" s="121">
        <v>46282</v>
      </c>
      <c r="E90" t="s">
        <v>101</v>
      </c>
      <c r="F90" t="s">
        <v>35</v>
      </c>
      <c r="G90" s="122">
        <v>0.25</v>
      </c>
      <c r="H90" s="122">
        <v>0.75</v>
      </c>
      <c r="I90" s="112">
        <v>0</v>
      </c>
      <c r="J90" s="112">
        <v>0</v>
      </c>
      <c r="K90" s="23">
        <f t="shared" si="9"/>
        <v>0.25</v>
      </c>
      <c r="L90" s="23">
        <f t="shared" si="10"/>
        <v>0</v>
      </c>
      <c r="M90" s="12">
        <f t="shared" si="15"/>
        <v>0.25</v>
      </c>
      <c r="N90" s="23">
        <f t="shared" si="11"/>
        <v>0.75</v>
      </c>
      <c r="O90" s="41">
        <f t="shared" si="12"/>
        <v>0</v>
      </c>
      <c r="P90" s="13" t="str">
        <f t="shared" si="13"/>
        <v>SI</v>
      </c>
      <c r="Q90" s="23">
        <f t="shared" si="14"/>
        <v>0.25</v>
      </c>
      <c r="R90" s="12">
        <f t="shared" si="14"/>
        <v>0.75</v>
      </c>
    </row>
    <row r="91" spans="2:18">
      <c r="B91" t="str">
        <f t="shared" si="8"/>
        <v>Braulio Vinicio López Rancho46283</v>
      </c>
      <c r="C91" t="s">
        <v>213</v>
      </c>
      <c r="D91" s="121">
        <v>46283</v>
      </c>
      <c r="E91" t="s">
        <v>95</v>
      </c>
      <c r="F91" t="s">
        <v>35</v>
      </c>
      <c r="G91" s="122">
        <v>0.25</v>
      </c>
      <c r="H91" s="122">
        <v>0.75</v>
      </c>
      <c r="I91" s="112">
        <v>0</v>
      </c>
      <c r="J91" s="112">
        <v>0</v>
      </c>
      <c r="K91" s="23">
        <f t="shared" si="9"/>
        <v>0.25</v>
      </c>
      <c r="L91" s="23">
        <f t="shared" si="10"/>
        <v>0</v>
      </c>
      <c r="M91" s="12">
        <f t="shared" si="15"/>
        <v>0.25</v>
      </c>
      <c r="N91" s="23">
        <f t="shared" si="11"/>
        <v>0.75</v>
      </c>
      <c r="O91" s="41">
        <f t="shared" si="12"/>
        <v>0</v>
      </c>
      <c r="P91" s="13" t="str">
        <f t="shared" si="13"/>
        <v>SI</v>
      </c>
      <c r="Q91" s="23">
        <f t="shared" si="14"/>
        <v>0.25</v>
      </c>
      <c r="R91" s="12">
        <f t="shared" si="14"/>
        <v>0.75</v>
      </c>
    </row>
    <row r="92" spans="2:18">
      <c r="B92" t="str">
        <f t="shared" si="8"/>
        <v>Braulio Vinicio López Rancho46284</v>
      </c>
      <c r="C92" t="s">
        <v>213</v>
      </c>
      <c r="D92" s="121">
        <v>46284</v>
      </c>
      <c r="E92" t="s">
        <v>96</v>
      </c>
      <c r="F92" t="s">
        <v>35</v>
      </c>
      <c r="G92" s="122">
        <v>0.25</v>
      </c>
      <c r="H92" s="122">
        <v>0.75</v>
      </c>
      <c r="I92" s="112">
        <v>0</v>
      </c>
      <c r="J92" s="112">
        <v>0</v>
      </c>
      <c r="K92" s="23">
        <f t="shared" si="9"/>
        <v>0.25</v>
      </c>
      <c r="L92" s="23">
        <f t="shared" si="10"/>
        <v>0</v>
      </c>
      <c r="M92" s="12">
        <f t="shared" si="15"/>
        <v>0.25</v>
      </c>
      <c r="N92" s="23">
        <f t="shared" si="11"/>
        <v>0.75</v>
      </c>
      <c r="O92" s="41">
        <f t="shared" si="12"/>
        <v>0</v>
      </c>
      <c r="P92" s="13" t="str">
        <f t="shared" si="13"/>
        <v>SI</v>
      </c>
      <c r="Q92" s="23">
        <f t="shared" si="14"/>
        <v>0.25</v>
      </c>
      <c r="R92" s="12">
        <f t="shared" si="14"/>
        <v>0.75</v>
      </c>
    </row>
    <row r="93" spans="2:18">
      <c r="B93" t="str">
        <f t="shared" si="8"/>
        <v>Braulio Vinicio López Rancho46285</v>
      </c>
      <c r="C93" t="s">
        <v>213</v>
      </c>
      <c r="D93" s="121">
        <v>46285</v>
      </c>
      <c r="E93" t="s">
        <v>97</v>
      </c>
      <c r="F93" t="s">
        <v>72</v>
      </c>
      <c r="G93" s="122">
        <v>0</v>
      </c>
      <c r="H93" s="122">
        <v>0</v>
      </c>
      <c r="I93" s="112">
        <v>0</v>
      </c>
      <c r="J93" s="112">
        <v>0</v>
      </c>
      <c r="K93" s="23">
        <f t="shared" si="9"/>
        <v>0</v>
      </c>
      <c r="L93" s="23">
        <f t="shared" si="10"/>
        <v>0</v>
      </c>
      <c r="M93" s="12">
        <f t="shared" si="15"/>
        <v>0</v>
      </c>
      <c r="N93" s="23">
        <f t="shared" si="11"/>
        <v>0</v>
      </c>
      <c r="O93" s="41">
        <f t="shared" si="12"/>
        <v>0</v>
      </c>
      <c r="P93" s="13" t="str">
        <f t="shared" si="13"/>
        <v>NO</v>
      </c>
      <c r="Q93" s="23">
        <f t="shared" si="14"/>
        <v>0</v>
      </c>
      <c r="R93" s="12">
        <f t="shared" si="14"/>
        <v>0</v>
      </c>
    </row>
    <row r="94" spans="2:18">
      <c r="B94" t="str">
        <f t="shared" si="8"/>
        <v>Braulio Vinicio López Rancho46286</v>
      </c>
      <c r="C94" t="s">
        <v>213</v>
      </c>
      <c r="D94" s="121">
        <v>46286</v>
      </c>
      <c r="E94" t="s">
        <v>98</v>
      </c>
      <c r="F94" t="s">
        <v>36</v>
      </c>
      <c r="G94" s="122">
        <v>0.75</v>
      </c>
      <c r="H94" s="122">
        <v>0.79166666666666696</v>
      </c>
      <c r="I94" s="112">
        <v>0</v>
      </c>
      <c r="J94" s="112">
        <v>0</v>
      </c>
      <c r="K94" s="23">
        <f t="shared" si="9"/>
        <v>0.75</v>
      </c>
      <c r="L94" s="23">
        <f t="shared" si="10"/>
        <v>0</v>
      </c>
      <c r="M94" s="12">
        <f t="shared" si="15"/>
        <v>0.75</v>
      </c>
      <c r="N94" s="23">
        <f t="shared" si="11"/>
        <v>0.79166666666666696</v>
      </c>
      <c r="O94" s="41">
        <f t="shared" si="12"/>
        <v>0</v>
      </c>
      <c r="P94" s="13" t="str">
        <f t="shared" si="13"/>
        <v>SI</v>
      </c>
      <c r="Q94" s="23">
        <f t="shared" si="14"/>
        <v>0.75</v>
      </c>
      <c r="R94" s="12">
        <f t="shared" si="14"/>
        <v>0.79166666666666696</v>
      </c>
    </row>
    <row r="95" spans="2:18">
      <c r="B95" t="str">
        <f t="shared" si="8"/>
        <v>Braulio Vinicio López Rancho46287</v>
      </c>
      <c r="C95" t="s">
        <v>213</v>
      </c>
      <c r="D95" s="121">
        <v>46287</v>
      </c>
      <c r="E95" t="s">
        <v>99</v>
      </c>
      <c r="F95" t="s">
        <v>72</v>
      </c>
      <c r="G95" s="122">
        <v>0</v>
      </c>
      <c r="H95" s="122">
        <v>0</v>
      </c>
      <c r="I95" s="112">
        <v>0</v>
      </c>
      <c r="J95" s="112">
        <v>0</v>
      </c>
      <c r="K95" s="23">
        <f t="shared" si="9"/>
        <v>0</v>
      </c>
      <c r="L95" s="23">
        <f t="shared" si="10"/>
        <v>0</v>
      </c>
      <c r="M95" s="12">
        <f t="shared" si="15"/>
        <v>0</v>
      </c>
      <c r="N95" s="23">
        <f t="shared" si="11"/>
        <v>0</v>
      </c>
      <c r="O95" s="41">
        <f t="shared" si="12"/>
        <v>0</v>
      </c>
      <c r="P95" s="13" t="str">
        <f t="shared" si="13"/>
        <v>NO</v>
      </c>
      <c r="Q95" s="23">
        <f t="shared" si="14"/>
        <v>0</v>
      </c>
      <c r="R95" s="12">
        <f t="shared" si="14"/>
        <v>0</v>
      </c>
    </row>
    <row r="96" spans="2:18">
      <c r="B96" t="str">
        <f t="shared" si="8"/>
        <v>Braulio Vinicio López Rancho46288</v>
      </c>
      <c r="C96" t="s">
        <v>213</v>
      </c>
      <c r="D96" s="121">
        <v>46288</v>
      </c>
      <c r="E96" t="s">
        <v>100</v>
      </c>
      <c r="F96" t="s">
        <v>36</v>
      </c>
      <c r="G96" s="122">
        <v>0.75</v>
      </c>
      <c r="H96" s="122">
        <v>0.25</v>
      </c>
      <c r="I96" s="112">
        <v>0</v>
      </c>
      <c r="J96" s="112">
        <v>0</v>
      </c>
      <c r="K96" s="23">
        <f t="shared" si="9"/>
        <v>0.75</v>
      </c>
      <c r="L96" s="23">
        <f t="shared" si="10"/>
        <v>0</v>
      </c>
      <c r="M96" s="12">
        <f t="shared" si="15"/>
        <v>0.75</v>
      </c>
      <c r="N96" s="23">
        <f t="shared" si="11"/>
        <v>0.25</v>
      </c>
      <c r="O96" s="41">
        <f t="shared" si="12"/>
        <v>0</v>
      </c>
      <c r="P96" s="13" t="str">
        <f t="shared" si="13"/>
        <v>SI</v>
      </c>
      <c r="Q96" s="23">
        <f t="shared" si="14"/>
        <v>0.75</v>
      </c>
      <c r="R96" s="12">
        <f t="shared" si="14"/>
        <v>0.25</v>
      </c>
    </row>
    <row r="97" spans="2:18">
      <c r="B97" t="str">
        <f t="shared" si="8"/>
        <v>Braulio Vinicio López Rancho46289</v>
      </c>
      <c r="C97" t="s">
        <v>213</v>
      </c>
      <c r="D97" s="121">
        <v>46289</v>
      </c>
      <c r="E97" t="s">
        <v>101</v>
      </c>
      <c r="F97" t="s">
        <v>36</v>
      </c>
      <c r="G97" s="122">
        <v>0.75</v>
      </c>
      <c r="H97" s="122">
        <v>0.25</v>
      </c>
      <c r="I97" s="112">
        <v>0</v>
      </c>
      <c r="J97" s="112">
        <v>0</v>
      </c>
      <c r="K97" s="23">
        <f t="shared" si="9"/>
        <v>0.75</v>
      </c>
      <c r="L97" s="23">
        <f t="shared" si="10"/>
        <v>0</v>
      </c>
      <c r="M97" s="12">
        <f t="shared" si="15"/>
        <v>0.75</v>
      </c>
      <c r="N97" s="23">
        <f t="shared" si="11"/>
        <v>0.25</v>
      </c>
      <c r="O97" s="41">
        <f t="shared" si="12"/>
        <v>0</v>
      </c>
      <c r="P97" s="13" t="str">
        <f t="shared" si="13"/>
        <v>SI</v>
      </c>
      <c r="Q97" s="23">
        <f t="shared" si="14"/>
        <v>0.75</v>
      </c>
      <c r="R97" s="12">
        <f t="shared" si="14"/>
        <v>0.25</v>
      </c>
    </row>
    <row r="98" spans="2:18">
      <c r="B98" t="str">
        <f t="shared" si="8"/>
        <v>Braulio Vinicio López Rancho46290</v>
      </c>
      <c r="C98" t="s">
        <v>213</v>
      </c>
      <c r="D98" s="121">
        <v>46290</v>
      </c>
      <c r="E98" t="s">
        <v>95</v>
      </c>
      <c r="F98" t="s">
        <v>36</v>
      </c>
      <c r="G98" s="122">
        <v>0.75</v>
      </c>
      <c r="H98" s="122">
        <v>0.25</v>
      </c>
      <c r="I98" s="112">
        <v>0</v>
      </c>
      <c r="J98" s="112">
        <v>0</v>
      </c>
      <c r="K98" s="23">
        <f t="shared" si="9"/>
        <v>0.75</v>
      </c>
      <c r="L98" s="23">
        <f t="shared" si="10"/>
        <v>0</v>
      </c>
      <c r="M98" s="12">
        <f t="shared" si="15"/>
        <v>0.75</v>
      </c>
      <c r="N98" s="23">
        <f t="shared" si="11"/>
        <v>0.25</v>
      </c>
      <c r="O98" s="41">
        <f t="shared" si="12"/>
        <v>0</v>
      </c>
      <c r="P98" s="13" t="str">
        <f t="shared" si="13"/>
        <v>SI</v>
      </c>
      <c r="Q98" s="23">
        <f t="shared" si="14"/>
        <v>0.75</v>
      </c>
      <c r="R98" s="12">
        <f t="shared" si="14"/>
        <v>0.25</v>
      </c>
    </row>
    <row r="99" spans="2:18">
      <c r="B99" t="str">
        <f t="shared" si="8"/>
        <v>Braulio Vinicio López Rancho46291</v>
      </c>
      <c r="C99" t="s">
        <v>213</v>
      </c>
      <c r="D99" s="121">
        <v>46291</v>
      </c>
      <c r="E99" t="s">
        <v>96</v>
      </c>
      <c r="F99" t="s">
        <v>72</v>
      </c>
      <c r="G99" s="122">
        <v>0</v>
      </c>
      <c r="H99" s="122">
        <v>0</v>
      </c>
      <c r="I99" s="112">
        <v>0</v>
      </c>
      <c r="J99" s="112">
        <v>0</v>
      </c>
      <c r="K99" s="23">
        <f t="shared" si="9"/>
        <v>0</v>
      </c>
      <c r="L99" s="23">
        <f t="shared" si="10"/>
        <v>0</v>
      </c>
      <c r="M99" s="12">
        <f t="shared" si="15"/>
        <v>0</v>
      </c>
      <c r="N99" s="23">
        <f t="shared" si="11"/>
        <v>0</v>
      </c>
      <c r="O99" s="41">
        <f t="shared" si="12"/>
        <v>0</v>
      </c>
      <c r="P99" s="13" t="str">
        <f t="shared" si="13"/>
        <v>NO</v>
      </c>
      <c r="Q99" s="23">
        <f t="shared" si="14"/>
        <v>0</v>
      </c>
      <c r="R99" s="12">
        <f t="shared" si="14"/>
        <v>0</v>
      </c>
    </row>
    <row r="100" spans="2:18">
      <c r="B100" t="str">
        <f t="shared" si="8"/>
        <v>Braulio Vinicio López Rancho46292</v>
      </c>
      <c r="C100" t="s">
        <v>213</v>
      </c>
      <c r="D100" s="121">
        <v>46292</v>
      </c>
      <c r="E100" t="s">
        <v>97</v>
      </c>
      <c r="F100" t="s">
        <v>72</v>
      </c>
      <c r="G100" s="122">
        <v>0</v>
      </c>
      <c r="H100" s="122">
        <v>0</v>
      </c>
      <c r="I100" s="112">
        <v>0</v>
      </c>
      <c r="J100" s="112">
        <v>0</v>
      </c>
      <c r="K100" s="23">
        <f t="shared" si="9"/>
        <v>0</v>
      </c>
      <c r="L100" s="23">
        <f t="shared" si="10"/>
        <v>0</v>
      </c>
      <c r="M100" s="12">
        <f t="shared" si="15"/>
        <v>0</v>
      </c>
      <c r="N100" s="23">
        <f t="shared" si="11"/>
        <v>0</v>
      </c>
      <c r="O100" s="41">
        <f t="shared" si="12"/>
        <v>0</v>
      </c>
      <c r="P100" s="13" t="str">
        <f t="shared" si="13"/>
        <v>NO</v>
      </c>
      <c r="Q100" s="23">
        <f t="shared" si="14"/>
        <v>0</v>
      </c>
      <c r="R100" s="12">
        <f t="shared" si="14"/>
        <v>0</v>
      </c>
    </row>
    <row r="101" spans="2:18">
      <c r="B101" t="str">
        <f t="shared" si="8"/>
        <v>Braulio Vinicio López Rancho46293</v>
      </c>
      <c r="C101" t="s">
        <v>213</v>
      </c>
      <c r="D101" s="121">
        <v>46293</v>
      </c>
      <c r="E101" t="s">
        <v>98</v>
      </c>
      <c r="F101" t="s">
        <v>35</v>
      </c>
      <c r="G101" s="122">
        <v>0.25</v>
      </c>
      <c r="H101" s="122">
        <v>0.75</v>
      </c>
      <c r="I101" s="112">
        <v>0</v>
      </c>
      <c r="J101" s="112">
        <v>0</v>
      </c>
      <c r="K101" s="23">
        <f t="shared" si="9"/>
        <v>0.25</v>
      </c>
      <c r="L101" s="23">
        <f t="shared" si="10"/>
        <v>0</v>
      </c>
      <c r="M101" s="12">
        <f t="shared" si="15"/>
        <v>0.25</v>
      </c>
      <c r="N101" s="23">
        <f t="shared" si="11"/>
        <v>0.75</v>
      </c>
      <c r="O101" s="41">
        <f t="shared" si="12"/>
        <v>0</v>
      </c>
      <c r="P101" s="13" t="str">
        <f t="shared" si="13"/>
        <v>SI</v>
      </c>
      <c r="Q101" s="23">
        <f t="shared" si="14"/>
        <v>0.25</v>
      </c>
      <c r="R101" s="12">
        <f t="shared" si="14"/>
        <v>0.75</v>
      </c>
    </row>
    <row r="102" spans="2:18">
      <c r="B102" t="str">
        <f t="shared" si="8"/>
        <v>Braulio Vinicio López Rancho46294</v>
      </c>
      <c r="C102" t="s">
        <v>213</v>
      </c>
      <c r="D102" s="121">
        <v>46294</v>
      </c>
      <c r="E102" t="s">
        <v>99</v>
      </c>
      <c r="F102" t="s">
        <v>35</v>
      </c>
      <c r="G102" s="122">
        <v>0.25</v>
      </c>
      <c r="H102" s="122">
        <v>0.75</v>
      </c>
      <c r="I102" s="112">
        <v>0</v>
      </c>
      <c r="J102" s="112">
        <v>0</v>
      </c>
      <c r="K102" s="23">
        <f t="shared" si="9"/>
        <v>0.25</v>
      </c>
      <c r="L102" s="23">
        <f t="shared" si="10"/>
        <v>0</v>
      </c>
      <c r="M102" s="12">
        <f t="shared" si="15"/>
        <v>0.25</v>
      </c>
      <c r="N102" s="23">
        <f t="shared" si="11"/>
        <v>0.75</v>
      </c>
      <c r="O102" s="41">
        <f t="shared" si="12"/>
        <v>0</v>
      </c>
      <c r="P102" s="13" t="str">
        <f t="shared" si="13"/>
        <v>SI</v>
      </c>
      <c r="Q102" s="23">
        <f t="shared" si="14"/>
        <v>0.25</v>
      </c>
      <c r="R102" s="12">
        <f t="shared" si="14"/>
        <v>0.75</v>
      </c>
    </row>
    <row r="103" spans="2:18">
      <c r="B103" t="str">
        <f t="shared" si="8"/>
        <v>Braulio Vinicio López Rancho46295</v>
      </c>
      <c r="C103" t="s">
        <v>213</v>
      </c>
      <c r="D103" s="121">
        <v>46295</v>
      </c>
      <c r="E103" t="s">
        <v>100</v>
      </c>
      <c r="F103" t="s">
        <v>35</v>
      </c>
      <c r="G103" s="122">
        <v>0.25</v>
      </c>
      <c r="H103" s="122">
        <v>0.75</v>
      </c>
      <c r="I103" s="112">
        <v>0</v>
      </c>
      <c r="J103" s="112">
        <v>0</v>
      </c>
      <c r="K103" s="23">
        <f t="shared" si="9"/>
        <v>0.25</v>
      </c>
      <c r="L103" s="23">
        <f t="shared" si="10"/>
        <v>0</v>
      </c>
      <c r="M103" s="12">
        <f t="shared" si="15"/>
        <v>0.25</v>
      </c>
      <c r="N103" s="23">
        <f t="shared" si="11"/>
        <v>0.75</v>
      </c>
      <c r="O103" s="41">
        <f t="shared" si="12"/>
        <v>0</v>
      </c>
      <c r="P103" s="13" t="str">
        <f t="shared" si="13"/>
        <v>SI</v>
      </c>
      <c r="Q103" s="23">
        <f t="shared" si="14"/>
        <v>0.25</v>
      </c>
      <c r="R103" s="12">
        <f t="shared" si="14"/>
        <v>0.75</v>
      </c>
    </row>
    <row r="104" spans="2:18">
      <c r="B104" t="str">
        <f t="shared" si="8"/>
        <v>Braulio Vinicio López Rancho46296</v>
      </c>
      <c r="C104" t="s">
        <v>213</v>
      </c>
      <c r="D104" s="121">
        <v>46296</v>
      </c>
      <c r="E104" t="s">
        <v>101</v>
      </c>
      <c r="F104" t="s">
        <v>35</v>
      </c>
      <c r="G104" s="122">
        <v>0.25</v>
      </c>
      <c r="H104" s="122">
        <v>0.75</v>
      </c>
      <c r="I104" s="112">
        <v>0</v>
      </c>
      <c r="J104" s="112">
        <v>0</v>
      </c>
      <c r="K104" s="23">
        <f t="shared" si="9"/>
        <v>0.25</v>
      </c>
      <c r="L104" s="23">
        <f t="shared" si="10"/>
        <v>0</v>
      </c>
      <c r="M104" s="12">
        <f t="shared" si="15"/>
        <v>0.25</v>
      </c>
      <c r="N104" s="23">
        <f t="shared" si="11"/>
        <v>0.75</v>
      </c>
      <c r="O104" s="41">
        <f t="shared" si="12"/>
        <v>0</v>
      </c>
      <c r="P104" s="13" t="str">
        <f t="shared" si="13"/>
        <v>SI</v>
      </c>
      <c r="Q104" s="23">
        <f t="shared" si="14"/>
        <v>0.25</v>
      </c>
      <c r="R104" s="12">
        <f t="shared" si="14"/>
        <v>0.75</v>
      </c>
    </row>
    <row r="105" spans="2:18">
      <c r="B105" t="str">
        <f t="shared" si="8"/>
        <v>Braulio Vinicio López Rancho46297</v>
      </c>
      <c r="C105" t="s">
        <v>213</v>
      </c>
      <c r="D105" s="121">
        <v>46297</v>
      </c>
      <c r="E105" t="s">
        <v>95</v>
      </c>
      <c r="F105" t="s">
        <v>35</v>
      </c>
      <c r="G105" s="122">
        <v>0.25</v>
      </c>
      <c r="H105" s="122">
        <v>0.75</v>
      </c>
      <c r="I105" s="112">
        <v>0</v>
      </c>
      <c r="J105" s="112">
        <v>0</v>
      </c>
      <c r="K105" s="23">
        <f t="shared" si="9"/>
        <v>0.25</v>
      </c>
      <c r="L105" s="23">
        <f t="shared" si="10"/>
        <v>0</v>
      </c>
      <c r="M105" s="12">
        <f t="shared" si="15"/>
        <v>0.25</v>
      </c>
      <c r="N105" s="23">
        <f t="shared" si="11"/>
        <v>0.75</v>
      </c>
      <c r="O105" s="41">
        <f t="shared" si="12"/>
        <v>0</v>
      </c>
      <c r="P105" s="13" t="str">
        <f t="shared" si="13"/>
        <v>SI</v>
      </c>
      <c r="Q105" s="23">
        <f t="shared" si="14"/>
        <v>0.25</v>
      </c>
      <c r="R105" s="12">
        <f t="shared" si="14"/>
        <v>0.75</v>
      </c>
    </row>
    <row r="106" spans="2:18">
      <c r="B106" t="str">
        <f t="shared" si="8"/>
        <v>Braulio Vinicio López Rancho46298</v>
      </c>
      <c r="C106" t="s">
        <v>213</v>
      </c>
      <c r="D106" s="121">
        <v>46298</v>
      </c>
      <c r="E106" t="s">
        <v>96</v>
      </c>
      <c r="F106" t="s">
        <v>35</v>
      </c>
      <c r="G106" s="122">
        <v>0.25</v>
      </c>
      <c r="H106" s="122">
        <v>0.75</v>
      </c>
      <c r="I106" s="112">
        <v>0</v>
      </c>
      <c r="J106" s="112">
        <v>0</v>
      </c>
      <c r="K106" s="23">
        <f t="shared" si="9"/>
        <v>0.25</v>
      </c>
      <c r="L106" s="23">
        <f t="shared" si="10"/>
        <v>0</v>
      </c>
      <c r="M106" s="12">
        <f t="shared" si="15"/>
        <v>0.25</v>
      </c>
      <c r="N106" s="23">
        <f t="shared" si="11"/>
        <v>0.75</v>
      </c>
      <c r="O106" s="41">
        <f t="shared" si="12"/>
        <v>0</v>
      </c>
      <c r="P106" s="13" t="str">
        <f t="shared" si="13"/>
        <v>SI</v>
      </c>
      <c r="Q106" s="23">
        <f t="shared" si="14"/>
        <v>0.25</v>
      </c>
      <c r="R106" s="12">
        <f t="shared" si="14"/>
        <v>0.75</v>
      </c>
    </row>
    <row r="107" spans="2:18">
      <c r="B107" t="str">
        <f t="shared" si="8"/>
        <v>Braulio Vinicio López Rancho46299</v>
      </c>
      <c r="C107" t="s">
        <v>213</v>
      </c>
      <c r="D107" s="121">
        <v>46299</v>
      </c>
      <c r="E107" t="s">
        <v>97</v>
      </c>
      <c r="F107" t="s">
        <v>72</v>
      </c>
      <c r="G107" s="122">
        <v>0</v>
      </c>
      <c r="H107" s="122">
        <v>0</v>
      </c>
      <c r="I107" s="112">
        <v>0</v>
      </c>
      <c r="J107" s="112">
        <v>0</v>
      </c>
      <c r="K107" s="23">
        <f t="shared" si="9"/>
        <v>0</v>
      </c>
      <c r="L107" s="23">
        <f t="shared" si="10"/>
        <v>0</v>
      </c>
      <c r="M107" s="12">
        <f t="shared" si="15"/>
        <v>0</v>
      </c>
      <c r="N107" s="23">
        <f t="shared" si="11"/>
        <v>0</v>
      </c>
      <c r="O107" s="41">
        <f t="shared" si="12"/>
        <v>0</v>
      </c>
      <c r="P107" s="13" t="str">
        <f t="shared" si="13"/>
        <v>NO</v>
      </c>
      <c r="Q107" s="23">
        <f t="shared" si="14"/>
        <v>0</v>
      </c>
      <c r="R107" s="12">
        <f t="shared" si="14"/>
        <v>0</v>
      </c>
    </row>
    <row r="108" spans="2:18">
      <c r="B108" t="str">
        <f t="shared" si="8"/>
        <v>Bryan Amilcar Yax Rivera46279</v>
      </c>
      <c r="C108" t="s">
        <v>156</v>
      </c>
      <c r="D108" s="121">
        <v>46279</v>
      </c>
      <c r="E108" t="s">
        <v>98</v>
      </c>
      <c r="F108" t="s">
        <v>72</v>
      </c>
      <c r="G108" s="122">
        <v>0</v>
      </c>
      <c r="H108" s="122">
        <v>0</v>
      </c>
      <c r="I108" s="112">
        <v>0</v>
      </c>
      <c r="J108" s="112">
        <v>0</v>
      </c>
      <c r="K108" s="23">
        <f t="shared" si="9"/>
        <v>0</v>
      </c>
      <c r="L108" s="23">
        <f t="shared" si="10"/>
        <v>0</v>
      </c>
      <c r="M108" s="12">
        <f t="shared" si="15"/>
        <v>0</v>
      </c>
      <c r="N108" s="23">
        <f t="shared" si="11"/>
        <v>0</v>
      </c>
      <c r="O108" s="41">
        <f t="shared" si="12"/>
        <v>0</v>
      </c>
      <c r="P108" s="13" t="str">
        <f t="shared" si="13"/>
        <v>NO</v>
      </c>
      <c r="Q108" s="23">
        <f t="shared" si="14"/>
        <v>0</v>
      </c>
      <c r="R108" s="12">
        <f t="shared" si="14"/>
        <v>0</v>
      </c>
    </row>
    <row r="109" spans="2:18">
      <c r="B109" t="str">
        <f t="shared" si="8"/>
        <v>Bryan Amilcar Yax Rivera46280</v>
      </c>
      <c r="C109" t="s">
        <v>156</v>
      </c>
      <c r="D109" s="121">
        <v>46280</v>
      </c>
      <c r="E109" t="s">
        <v>99</v>
      </c>
      <c r="F109" t="s">
        <v>35</v>
      </c>
      <c r="G109" s="122">
        <v>0.33333333333333298</v>
      </c>
      <c r="H109" s="122">
        <v>0.70833333333333304</v>
      </c>
      <c r="I109" s="112">
        <v>0</v>
      </c>
      <c r="J109" s="112">
        <v>0</v>
      </c>
      <c r="K109" s="23">
        <f t="shared" si="9"/>
        <v>0.33333333333333298</v>
      </c>
      <c r="L109" s="23">
        <f t="shared" si="10"/>
        <v>0</v>
      </c>
      <c r="M109" s="12">
        <f t="shared" si="15"/>
        <v>0.33333333333333298</v>
      </c>
      <c r="N109" s="23">
        <f t="shared" si="11"/>
        <v>0.70833333333333304</v>
      </c>
      <c r="O109" s="41">
        <f t="shared" si="12"/>
        <v>0</v>
      </c>
      <c r="P109" s="13" t="str">
        <f t="shared" si="13"/>
        <v>SI</v>
      </c>
      <c r="Q109" s="23">
        <f t="shared" si="14"/>
        <v>0.33333333333333298</v>
      </c>
      <c r="R109" s="12">
        <f t="shared" si="14"/>
        <v>0.70833333333333304</v>
      </c>
    </row>
    <row r="110" spans="2:18">
      <c r="B110" t="str">
        <f t="shared" ref="B110:B173" si="16">+C110&amp;D110</f>
        <v>Bryan Amilcar Yax Rivera46281</v>
      </c>
      <c r="C110" t="s">
        <v>156</v>
      </c>
      <c r="D110" s="121">
        <v>46281</v>
      </c>
      <c r="E110" t="s">
        <v>100</v>
      </c>
      <c r="F110" t="s">
        <v>36</v>
      </c>
      <c r="G110" s="122">
        <v>0.75</v>
      </c>
      <c r="H110" s="122">
        <v>0.25</v>
      </c>
      <c r="I110" s="112">
        <v>0</v>
      </c>
      <c r="J110" s="112">
        <v>0</v>
      </c>
      <c r="K110" s="23">
        <f t="shared" ref="K110:K173" si="17">+IFERROR(G110,0)</f>
        <v>0.75</v>
      </c>
      <c r="L110" s="23">
        <f t="shared" ref="L110:L173" si="18">+I110</f>
        <v>0</v>
      </c>
      <c r="M110" s="12">
        <f t="shared" si="15"/>
        <v>0.75</v>
      </c>
      <c r="N110" s="23">
        <f t="shared" ref="N110:N173" si="19">+H110</f>
        <v>0.25</v>
      </c>
      <c r="O110" s="41">
        <f t="shared" ref="O110:O173" si="20">+J110</f>
        <v>0</v>
      </c>
      <c r="P110" s="13" t="str">
        <f t="shared" ref="P110:P173" si="21">+IF(O110&lt;N110,"SI","NO")</f>
        <v>SI</v>
      </c>
      <c r="Q110" s="23">
        <f t="shared" ref="Q110:R173" si="22">+M110</f>
        <v>0.75</v>
      </c>
      <c r="R110" s="12">
        <f t="shared" si="22"/>
        <v>0.25</v>
      </c>
    </row>
    <row r="111" spans="2:18">
      <c r="B111" t="str">
        <f t="shared" si="16"/>
        <v>Bryan Amilcar Yax Rivera46282</v>
      </c>
      <c r="C111" t="s">
        <v>156</v>
      </c>
      <c r="D111" s="121">
        <v>46282</v>
      </c>
      <c r="E111" t="s">
        <v>101</v>
      </c>
      <c r="F111" t="s">
        <v>36</v>
      </c>
      <c r="G111" s="122">
        <v>0.75</v>
      </c>
      <c r="H111" s="122">
        <v>0.25</v>
      </c>
      <c r="I111" s="112">
        <v>0</v>
      </c>
      <c r="J111" s="112">
        <v>0</v>
      </c>
      <c r="K111" s="23">
        <f t="shared" si="17"/>
        <v>0.75</v>
      </c>
      <c r="L111" s="23">
        <f t="shared" si="18"/>
        <v>0</v>
      </c>
      <c r="M111" s="12">
        <f t="shared" ref="M111:M174" si="23">+IFERROR(MAX(K111:L111),0)</f>
        <v>0.75</v>
      </c>
      <c r="N111" s="23">
        <f t="shared" si="19"/>
        <v>0.25</v>
      </c>
      <c r="O111" s="41">
        <f t="shared" si="20"/>
        <v>0</v>
      </c>
      <c r="P111" s="13" t="str">
        <f t="shared" si="21"/>
        <v>SI</v>
      </c>
      <c r="Q111" s="23">
        <f t="shared" si="22"/>
        <v>0.75</v>
      </c>
      <c r="R111" s="12">
        <f t="shared" si="22"/>
        <v>0.25</v>
      </c>
    </row>
    <row r="112" spans="2:18">
      <c r="B112" t="str">
        <f t="shared" si="16"/>
        <v>Bryan Amilcar Yax Rivera46283</v>
      </c>
      <c r="C112" t="s">
        <v>156</v>
      </c>
      <c r="D112" s="121">
        <v>46283</v>
      </c>
      <c r="E112" t="s">
        <v>95</v>
      </c>
      <c r="F112" t="s">
        <v>36</v>
      </c>
      <c r="G112" s="122">
        <v>0.75</v>
      </c>
      <c r="H112" s="122">
        <v>0.25</v>
      </c>
      <c r="I112" s="112">
        <v>0</v>
      </c>
      <c r="J112" s="112">
        <v>0</v>
      </c>
      <c r="K112" s="23">
        <f t="shared" si="17"/>
        <v>0.75</v>
      </c>
      <c r="L112" s="23">
        <f t="shared" si="18"/>
        <v>0</v>
      </c>
      <c r="M112" s="12">
        <f t="shared" si="23"/>
        <v>0.75</v>
      </c>
      <c r="N112" s="23">
        <f t="shared" si="19"/>
        <v>0.25</v>
      </c>
      <c r="O112" s="41">
        <f t="shared" si="20"/>
        <v>0</v>
      </c>
      <c r="P112" s="13" t="str">
        <f t="shared" si="21"/>
        <v>SI</v>
      </c>
      <c r="Q112" s="23">
        <f t="shared" si="22"/>
        <v>0.75</v>
      </c>
      <c r="R112" s="12">
        <f t="shared" si="22"/>
        <v>0.25</v>
      </c>
    </row>
    <row r="113" spans="2:18">
      <c r="B113" t="str">
        <f t="shared" si="16"/>
        <v>Bryan Amilcar Yax Rivera46284</v>
      </c>
      <c r="C113" t="s">
        <v>156</v>
      </c>
      <c r="D113" s="121">
        <v>46284</v>
      </c>
      <c r="E113" t="s">
        <v>96</v>
      </c>
      <c r="F113" t="s">
        <v>36</v>
      </c>
      <c r="G113" s="122">
        <v>0.75</v>
      </c>
      <c r="H113" s="122">
        <v>0.25</v>
      </c>
      <c r="I113" s="112">
        <v>0</v>
      </c>
      <c r="J113" s="112">
        <v>0</v>
      </c>
      <c r="K113" s="23">
        <f t="shared" si="17"/>
        <v>0.75</v>
      </c>
      <c r="L113" s="23">
        <f t="shared" si="18"/>
        <v>0</v>
      </c>
      <c r="M113" s="12">
        <f t="shared" si="23"/>
        <v>0.75</v>
      </c>
      <c r="N113" s="23">
        <f t="shared" si="19"/>
        <v>0.25</v>
      </c>
      <c r="O113" s="41">
        <f t="shared" si="20"/>
        <v>0</v>
      </c>
      <c r="P113" s="13" t="str">
        <f t="shared" si="21"/>
        <v>SI</v>
      </c>
      <c r="Q113" s="23">
        <f t="shared" si="22"/>
        <v>0.75</v>
      </c>
      <c r="R113" s="12">
        <f t="shared" si="22"/>
        <v>0.25</v>
      </c>
    </row>
    <row r="114" spans="2:18">
      <c r="B114" t="str">
        <f t="shared" si="16"/>
        <v>Bryan Amilcar Yax Rivera46285</v>
      </c>
      <c r="C114" t="s">
        <v>156</v>
      </c>
      <c r="D114" s="121">
        <v>46285</v>
      </c>
      <c r="E114" t="s">
        <v>97</v>
      </c>
      <c r="F114" t="s">
        <v>72</v>
      </c>
      <c r="G114" s="122">
        <v>0</v>
      </c>
      <c r="H114" s="122">
        <v>0</v>
      </c>
      <c r="I114" s="112">
        <v>0</v>
      </c>
      <c r="J114" s="112">
        <v>0</v>
      </c>
      <c r="K114" s="23">
        <f t="shared" si="17"/>
        <v>0</v>
      </c>
      <c r="L114" s="23">
        <f t="shared" si="18"/>
        <v>0</v>
      </c>
      <c r="M114" s="12">
        <f t="shared" si="23"/>
        <v>0</v>
      </c>
      <c r="N114" s="23">
        <f t="shared" si="19"/>
        <v>0</v>
      </c>
      <c r="O114" s="41">
        <f t="shared" si="20"/>
        <v>0</v>
      </c>
      <c r="P114" s="13" t="str">
        <f t="shared" si="21"/>
        <v>NO</v>
      </c>
      <c r="Q114" s="23">
        <f t="shared" si="22"/>
        <v>0</v>
      </c>
      <c r="R114" s="12">
        <f t="shared" si="22"/>
        <v>0</v>
      </c>
    </row>
    <row r="115" spans="2:18">
      <c r="B115" t="str">
        <f t="shared" si="16"/>
        <v>Bryan Amilcar Yax Rivera46286</v>
      </c>
      <c r="C115" t="s">
        <v>156</v>
      </c>
      <c r="D115" s="121">
        <v>46286</v>
      </c>
      <c r="E115" t="s">
        <v>98</v>
      </c>
      <c r="F115" t="s">
        <v>35</v>
      </c>
      <c r="G115" s="122">
        <v>0.25</v>
      </c>
      <c r="H115" s="122">
        <v>0.75</v>
      </c>
      <c r="I115" s="112">
        <v>0</v>
      </c>
      <c r="J115" s="112">
        <v>0</v>
      </c>
      <c r="K115" s="23">
        <f t="shared" si="17"/>
        <v>0.25</v>
      </c>
      <c r="L115" s="23">
        <f t="shared" si="18"/>
        <v>0</v>
      </c>
      <c r="M115" s="12">
        <f t="shared" si="23"/>
        <v>0.25</v>
      </c>
      <c r="N115" s="23">
        <f t="shared" si="19"/>
        <v>0.75</v>
      </c>
      <c r="O115" s="41">
        <f t="shared" si="20"/>
        <v>0</v>
      </c>
      <c r="P115" s="13" t="str">
        <f t="shared" si="21"/>
        <v>SI</v>
      </c>
      <c r="Q115" s="23">
        <f t="shared" si="22"/>
        <v>0.25</v>
      </c>
      <c r="R115" s="12">
        <f t="shared" si="22"/>
        <v>0.75</v>
      </c>
    </row>
    <row r="116" spans="2:18">
      <c r="B116" t="str">
        <f t="shared" si="16"/>
        <v>Bryan Amilcar Yax Rivera46287</v>
      </c>
      <c r="C116" t="s">
        <v>156</v>
      </c>
      <c r="D116" s="121">
        <v>46287</v>
      </c>
      <c r="E116" t="s">
        <v>99</v>
      </c>
      <c r="F116" t="s">
        <v>35</v>
      </c>
      <c r="G116" s="122">
        <v>0.25</v>
      </c>
      <c r="H116" s="122">
        <v>0.75</v>
      </c>
      <c r="I116" s="112">
        <v>0</v>
      </c>
      <c r="J116" s="112">
        <v>0</v>
      </c>
      <c r="K116" s="23">
        <f t="shared" si="17"/>
        <v>0.25</v>
      </c>
      <c r="L116" s="23">
        <f t="shared" si="18"/>
        <v>0</v>
      </c>
      <c r="M116" s="12">
        <f t="shared" si="23"/>
        <v>0.25</v>
      </c>
      <c r="N116" s="23">
        <f t="shared" si="19"/>
        <v>0.75</v>
      </c>
      <c r="O116" s="41">
        <f t="shared" si="20"/>
        <v>0</v>
      </c>
      <c r="P116" s="13" t="str">
        <f t="shared" si="21"/>
        <v>SI</v>
      </c>
      <c r="Q116" s="23">
        <f t="shared" si="22"/>
        <v>0.25</v>
      </c>
      <c r="R116" s="12">
        <f t="shared" si="22"/>
        <v>0.75</v>
      </c>
    </row>
    <row r="117" spans="2:18">
      <c r="B117" t="str">
        <f t="shared" si="16"/>
        <v>Bryan Amilcar Yax Rivera46288</v>
      </c>
      <c r="C117" t="s">
        <v>156</v>
      </c>
      <c r="D117" s="121">
        <v>46288</v>
      </c>
      <c r="E117" t="s">
        <v>100</v>
      </c>
      <c r="F117" t="s">
        <v>35</v>
      </c>
      <c r="G117" s="122">
        <v>0.25</v>
      </c>
      <c r="H117" s="122">
        <v>0.75</v>
      </c>
      <c r="I117" s="112">
        <v>0</v>
      </c>
      <c r="J117" s="112">
        <v>0</v>
      </c>
      <c r="K117" s="23">
        <f t="shared" si="17"/>
        <v>0.25</v>
      </c>
      <c r="L117" s="23">
        <f t="shared" si="18"/>
        <v>0</v>
      </c>
      <c r="M117" s="12">
        <f t="shared" si="23"/>
        <v>0.25</v>
      </c>
      <c r="N117" s="23">
        <f t="shared" si="19"/>
        <v>0.75</v>
      </c>
      <c r="O117" s="41">
        <f t="shared" si="20"/>
        <v>0</v>
      </c>
      <c r="P117" s="13" t="str">
        <f t="shared" si="21"/>
        <v>SI</v>
      </c>
      <c r="Q117" s="23">
        <f t="shared" si="22"/>
        <v>0.25</v>
      </c>
      <c r="R117" s="12">
        <f t="shared" si="22"/>
        <v>0.75</v>
      </c>
    </row>
    <row r="118" spans="2:18">
      <c r="B118" t="str">
        <f t="shared" si="16"/>
        <v>Bryan Amilcar Yax Rivera46289</v>
      </c>
      <c r="C118" t="s">
        <v>156</v>
      </c>
      <c r="D118" s="121">
        <v>46289</v>
      </c>
      <c r="E118" t="s">
        <v>101</v>
      </c>
      <c r="F118" t="s">
        <v>35</v>
      </c>
      <c r="G118" s="122">
        <v>0.25</v>
      </c>
      <c r="H118" s="122">
        <v>0.75</v>
      </c>
      <c r="I118" s="112">
        <v>0</v>
      </c>
      <c r="J118" s="112">
        <v>0</v>
      </c>
      <c r="K118" s="23">
        <f t="shared" si="17"/>
        <v>0.25</v>
      </c>
      <c r="L118" s="23">
        <f t="shared" si="18"/>
        <v>0</v>
      </c>
      <c r="M118" s="12">
        <f t="shared" si="23"/>
        <v>0.25</v>
      </c>
      <c r="N118" s="23">
        <f t="shared" si="19"/>
        <v>0.75</v>
      </c>
      <c r="O118" s="41">
        <f t="shared" si="20"/>
        <v>0</v>
      </c>
      <c r="P118" s="13" t="str">
        <f t="shared" si="21"/>
        <v>SI</v>
      </c>
      <c r="Q118" s="23">
        <f t="shared" si="22"/>
        <v>0.25</v>
      </c>
      <c r="R118" s="12">
        <f t="shared" si="22"/>
        <v>0.75</v>
      </c>
    </row>
    <row r="119" spans="2:18">
      <c r="B119" t="str">
        <f t="shared" si="16"/>
        <v>Bryan Amilcar Yax Rivera46290</v>
      </c>
      <c r="C119" t="s">
        <v>156</v>
      </c>
      <c r="D119" s="121">
        <v>46290</v>
      </c>
      <c r="E119" t="s">
        <v>95</v>
      </c>
      <c r="F119" t="s">
        <v>35</v>
      </c>
      <c r="G119" s="122">
        <v>0.25</v>
      </c>
      <c r="H119" s="122">
        <v>0.75</v>
      </c>
      <c r="I119" s="112">
        <v>0</v>
      </c>
      <c r="J119" s="112">
        <v>0</v>
      </c>
      <c r="K119" s="23">
        <f t="shared" si="17"/>
        <v>0.25</v>
      </c>
      <c r="L119" s="23">
        <f t="shared" si="18"/>
        <v>0</v>
      </c>
      <c r="M119" s="12">
        <f t="shared" si="23"/>
        <v>0.25</v>
      </c>
      <c r="N119" s="23">
        <f t="shared" si="19"/>
        <v>0.75</v>
      </c>
      <c r="O119" s="41">
        <f t="shared" si="20"/>
        <v>0</v>
      </c>
      <c r="P119" s="13" t="str">
        <f t="shared" si="21"/>
        <v>SI</v>
      </c>
      <c r="Q119" s="23">
        <f t="shared" si="22"/>
        <v>0.25</v>
      </c>
      <c r="R119" s="12">
        <f t="shared" si="22"/>
        <v>0.75</v>
      </c>
    </row>
    <row r="120" spans="2:18">
      <c r="B120" t="str">
        <f t="shared" si="16"/>
        <v>Bryan Amilcar Yax Rivera46291</v>
      </c>
      <c r="C120" t="s">
        <v>156</v>
      </c>
      <c r="D120" s="121">
        <v>46291</v>
      </c>
      <c r="E120" t="s">
        <v>96</v>
      </c>
      <c r="F120" t="s">
        <v>35</v>
      </c>
      <c r="G120" s="122">
        <v>0.25</v>
      </c>
      <c r="H120" s="122">
        <v>0.75</v>
      </c>
      <c r="I120" s="112">
        <v>0</v>
      </c>
      <c r="J120" s="112">
        <v>0</v>
      </c>
      <c r="K120" s="23">
        <f t="shared" si="17"/>
        <v>0.25</v>
      </c>
      <c r="L120" s="23">
        <f t="shared" si="18"/>
        <v>0</v>
      </c>
      <c r="M120" s="12">
        <f t="shared" si="23"/>
        <v>0.25</v>
      </c>
      <c r="N120" s="23">
        <f t="shared" si="19"/>
        <v>0.75</v>
      </c>
      <c r="O120" s="41">
        <f t="shared" si="20"/>
        <v>0</v>
      </c>
      <c r="P120" s="13" t="str">
        <f t="shared" si="21"/>
        <v>SI</v>
      </c>
      <c r="Q120" s="23">
        <f t="shared" si="22"/>
        <v>0.25</v>
      </c>
      <c r="R120" s="12">
        <f t="shared" si="22"/>
        <v>0.75</v>
      </c>
    </row>
    <row r="121" spans="2:18">
      <c r="B121" t="str">
        <f t="shared" si="16"/>
        <v>Bryan Amilcar Yax Rivera46292</v>
      </c>
      <c r="C121" t="s">
        <v>156</v>
      </c>
      <c r="D121" s="121">
        <v>46292</v>
      </c>
      <c r="E121" t="s">
        <v>97</v>
      </c>
      <c r="F121" t="s">
        <v>72</v>
      </c>
      <c r="G121" s="122">
        <v>0</v>
      </c>
      <c r="H121" s="122">
        <v>0</v>
      </c>
      <c r="I121" s="112">
        <v>0</v>
      </c>
      <c r="J121" s="112">
        <v>0</v>
      </c>
      <c r="K121" s="23">
        <f t="shared" si="17"/>
        <v>0</v>
      </c>
      <c r="L121" s="23">
        <f t="shared" si="18"/>
        <v>0</v>
      </c>
      <c r="M121" s="12">
        <f t="shared" si="23"/>
        <v>0</v>
      </c>
      <c r="N121" s="23">
        <f t="shared" si="19"/>
        <v>0</v>
      </c>
      <c r="O121" s="41">
        <f t="shared" si="20"/>
        <v>0</v>
      </c>
      <c r="P121" s="13" t="str">
        <f t="shared" si="21"/>
        <v>NO</v>
      </c>
      <c r="Q121" s="23">
        <f t="shared" si="22"/>
        <v>0</v>
      </c>
      <c r="R121" s="12">
        <f t="shared" si="22"/>
        <v>0</v>
      </c>
    </row>
    <row r="122" spans="2:18">
      <c r="B122" t="str">
        <f t="shared" si="16"/>
        <v>Bryan Amilcar Yax Rivera46293</v>
      </c>
      <c r="C122" t="s">
        <v>156</v>
      </c>
      <c r="D122" s="121">
        <v>46293</v>
      </c>
      <c r="E122" t="s">
        <v>98</v>
      </c>
      <c r="F122" t="s">
        <v>36</v>
      </c>
      <c r="G122" s="122">
        <v>0.75</v>
      </c>
      <c r="H122" s="122">
        <v>0.25</v>
      </c>
      <c r="I122" s="112">
        <v>0</v>
      </c>
      <c r="J122" s="112">
        <v>0</v>
      </c>
      <c r="K122" s="23">
        <f t="shared" si="17"/>
        <v>0.75</v>
      </c>
      <c r="L122" s="23">
        <f t="shared" si="18"/>
        <v>0</v>
      </c>
      <c r="M122" s="12">
        <f t="shared" si="23"/>
        <v>0.75</v>
      </c>
      <c r="N122" s="23">
        <f t="shared" si="19"/>
        <v>0.25</v>
      </c>
      <c r="O122" s="41">
        <f t="shared" si="20"/>
        <v>0</v>
      </c>
      <c r="P122" s="13" t="str">
        <f t="shared" si="21"/>
        <v>SI</v>
      </c>
      <c r="Q122" s="23">
        <f t="shared" si="22"/>
        <v>0.75</v>
      </c>
      <c r="R122" s="12">
        <f t="shared" si="22"/>
        <v>0.25</v>
      </c>
    </row>
    <row r="123" spans="2:18">
      <c r="B123" t="str">
        <f t="shared" si="16"/>
        <v>Bryan Amilcar Yax Rivera46294</v>
      </c>
      <c r="C123" t="s">
        <v>156</v>
      </c>
      <c r="D123" s="121">
        <v>46294</v>
      </c>
      <c r="E123" t="s">
        <v>99</v>
      </c>
      <c r="F123" t="s">
        <v>36</v>
      </c>
      <c r="G123" s="122">
        <v>0.75</v>
      </c>
      <c r="H123" s="122">
        <v>0.29166666666666702</v>
      </c>
      <c r="I123" s="112">
        <v>0</v>
      </c>
      <c r="J123" s="112">
        <v>0</v>
      </c>
      <c r="K123" s="23">
        <f t="shared" si="17"/>
        <v>0.75</v>
      </c>
      <c r="L123" s="23">
        <f t="shared" si="18"/>
        <v>0</v>
      </c>
      <c r="M123" s="12">
        <f t="shared" si="23"/>
        <v>0.75</v>
      </c>
      <c r="N123" s="23">
        <f t="shared" si="19"/>
        <v>0.29166666666666702</v>
      </c>
      <c r="O123" s="41">
        <f t="shared" si="20"/>
        <v>0</v>
      </c>
      <c r="P123" s="13" t="str">
        <f t="shared" si="21"/>
        <v>SI</v>
      </c>
      <c r="Q123" s="23">
        <f t="shared" si="22"/>
        <v>0.75</v>
      </c>
      <c r="R123" s="12">
        <f t="shared" si="22"/>
        <v>0.29166666666666702</v>
      </c>
    </row>
    <row r="124" spans="2:18">
      <c r="B124" t="str">
        <f t="shared" si="16"/>
        <v>Bryan Amilcar Yax Rivera46295</v>
      </c>
      <c r="C124" t="s">
        <v>156</v>
      </c>
      <c r="D124" s="121">
        <v>46295</v>
      </c>
      <c r="E124" t="s">
        <v>100</v>
      </c>
      <c r="F124" t="s">
        <v>36</v>
      </c>
      <c r="G124" s="122">
        <v>0.75</v>
      </c>
      <c r="H124" s="122">
        <v>0.25</v>
      </c>
      <c r="I124" s="112">
        <v>0</v>
      </c>
      <c r="J124" s="112">
        <v>0</v>
      </c>
      <c r="K124" s="23">
        <f t="shared" si="17"/>
        <v>0.75</v>
      </c>
      <c r="L124" s="23">
        <f t="shared" si="18"/>
        <v>0</v>
      </c>
      <c r="M124" s="12">
        <f t="shared" si="23"/>
        <v>0.75</v>
      </c>
      <c r="N124" s="23">
        <f t="shared" si="19"/>
        <v>0.25</v>
      </c>
      <c r="O124" s="41">
        <f t="shared" si="20"/>
        <v>0</v>
      </c>
      <c r="P124" s="13" t="str">
        <f t="shared" si="21"/>
        <v>SI</v>
      </c>
      <c r="Q124" s="23">
        <f t="shared" si="22"/>
        <v>0.75</v>
      </c>
      <c r="R124" s="12">
        <f t="shared" si="22"/>
        <v>0.25</v>
      </c>
    </row>
    <row r="125" spans="2:18">
      <c r="B125" t="str">
        <f t="shared" si="16"/>
        <v>Bryan Amilcar Yax Rivera46296</v>
      </c>
      <c r="C125" t="s">
        <v>156</v>
      </c>
      <c r="D125" s="121">
        <v>46296</v>
      </c>
      <c r="E125" t="s">
        <v>101</v>
      </c>
      <c r="F125" t="s">
        <v>36</v>
      </c>
      <c r="G125" s="122">
        <v>0.75</v>
      </c>
      <c r="H125" s="122">
        <v>0.25</v>
      </c>
      <c r="I125" s="112">
        <v>0</v>
      </c>
      <c r="J125" s="112">
        <v>0</v>
      </c>
      <c r="K125" s="23">
        <f t="shared" si="17"/>
        <v>0.75</v>
      </c>
      <c r="L125" s="23">
        <f t="shared" si="18"/>
        <v>0</v>
      </c>
      <c r="M125" s="12">
        <f t="shared" si="23"/>
        <v>0.75</v>
      </c>
      <c r="N125" s="23">
        <f t="shared" si="19"/>
        <v>0.25</v>
      </c>
      <c r="O125" s="41">
        <f t="shared" si="20"/>
        <v>0</v>
      </c>
      <c r="P125" s="13" t="str">
        <f t="shared" si="21"/>
        <v>SI</v>
      </c>
      <c r="Q125" s="23">
        <f t="shared" si="22"/>
        <v>0.75</v>
      </c>
      <c r="R125" s="12">
        <f t="shared" si="22"/>
        <v>0.25</v>
      </c>
    </row>
    <row r="126" spans="2:18">
      <c r="B126" t="str">
        <f t="shared" si="16"/>
        <v>Bryan Amilcar Yax Rivera46297</v>
      </c>
      <c r="C126" t="s">
        <v>156</v>
      </c>
      <c r="D126" s="121">
        <v>46297</v>
      </c>
      <c r="E126" t="s">
        <v>95</v>
      </c>
      <c r="F126" t="s">
        <v>36</v>
      </c>
      <c r="G126" s="122">
        <v>0.75</v>
      </c>
      <c r="H126" s="122">
        <v>0.25</v>
      </c>
      <c r="I126" s="112">
        <v>0</v>
      </c>
      <c r="J126" s="112">
        <v>0</v>
      </c>
      <c r="K126" s="23">
        <f t="shared" si="17"/>
        <v>0.75</v>
      </c>
      <c r="L126" s="23">
        <f t="shared" si="18"/>
        <v>0</v>
      </c>
      <c r="M126" s="12">
        <f t="shared" si="23"/>
        <v>0.75</v>
      </c>
      <c r="N126" s="23">
        <f t="shared" si="19"/>
        <v>0.25</v>
      </c>
      <c r="O126" s="41">
        <f t="shared" si="20"/>
        <v>0</v>
      </c>
      <c r="P126" s="13" t="str">
        <f t="shared" si="21"/>
        <v>SI</v>
      </c>
      <c r="Q126" s="23">
        <f t="shared" si="22"/>
        <v>0.75</v>
      </c>
      <c r="R126" s="12">
        <f t="shared" si="22"/>
        <v>0.25</v>
      </c>
    </row>
    <row r="127" spans="2:18">
      <c r="B127" t="str">
        <f t="shared" si="16"/>
        <v>Bryan Amilcar Yax Rivera46298</v>
      </c>
      <c r="C127" t="s">
        <v>156</v>
      </c>
      <c r="D127" s="121">
        <v>46298</v>
      </c>
      <c r="E127" t="s">
        <v>96</v>
      </c>
      <c r="F127" t="s">
        <v>72</v>
      </c>
      <c r="G127" s="122">
        <v>0</v>
      </c>
      <c r="H127" s="122">
        <v>0</v>
      </c>
      <c r="I127" s="112">
        <v>0</v>
      </c>
      <c r="J127" s="112">
        <v>0</v>
      </c>
      <c r="K127" s="23">
        <f t="shared" si="17"/>
        <v>0</v>
      </c>
      <c r="L127" s="23">
        <f t="shared" si="18"/>
        <v>0</v>
      </c>
      <c r="M127" s="12">
        <f t="shared" si="23"/>
        <v>0</v>
      </c>
      <c r="N127" s="23">
        <f t="shared" si="19"/>
        <v>0</v>
      </c>
      <c r="O127" s="41">
        <f t="shared" si="20"/>
        <v>0</v>
      </c>
      <c r="P127" s="13" t="str">
        <f t="shared" si="21"/>
        <v>NO</v>
      </c>
      <c r="Q127" s="23">
        <f t="shared" si="22"/>
        <v>0</v>
      </c>
      <c r="R127" s="12">
        <f t="shared" si="22"/>
        <v>0</v>
      </c>
    </row>
    <row r="128" spans="2:18">
      <c r="B128" t="str">
        <f t="shared" si="16"/>
        <v>Bryan Amilcar Yax Rivera46299</v>
      </c>
      <c r="C128" t="s">
        <v>156</v>
      </c>
      <c r="D128" s="121">
        <v>46299</v>
      </c>
      <c r="E128" t="s">
        <v>97</v>
      </c>
      <c r="F128" t="s">
        <v>72</v>
      </c>
      <c r="G128" s="122">
        <v>0</v>
      </c>
      <c r="H128" s="122">
        <v>0</v>
      </c>
      <c r="I128" s="112">
        <v>0</v>
      </c>
      <c r="J128" s="112">
        <v>0</v>
      </c>
      <c r="K128" s="23">
        <f t="shared" si="17"/>
        <v>0</v>
      </c>
      <c r="L128" s="23">
        <f t="shared" si="18"/>
        <v>0</v>
      </c>
      <c r="M128" s="12">
        <f t="shared" si="23"/>
        <v>0</v>
      </c>
      <c r="N128" s="23">
        <f t="shared" si="19"/>
        <v>0</v>
      </c>
      <c r="O128" s="41">
        <f t="shared" si="20"/>
        <v>0</v>
      </c>
      <c r="P128" s="13" t="str">
        <f t="shared" si="21"/>
        <v>NO</v>
      </c>
      <c r="Q128" s="23">
        <f t="shared" si="22"/>
        <v>0</v>
      </c>
      <c r="R128" s="12">
        <f t="shared" si="22"/>
        <v>0</v>
      </c>
    </row>
    <row r="129" spans="2:18">
      <c r="B129" t="str">
        <f t="shared" si="16"/>
        <v>CARLOS DANIEL RUIZ SANTOS46279</v>
      </c>
      <c r="C129" t="s">
        <v>235</v>
      </c>
      <c r="D129" s="121">
        <v>46279</v>
      </c>
      <c r="E129" t="s">
        <v>98</v>
      </c>
      <c r="F129" t="s">
        <v>72</v>
      </c>
      <c r="G129" s="122">
        <v>0</v>
      </c>
      <c r="H129" s="122">
        <v>0</v>
      </c>
      <c r="I129" s="112">
        <v>0</v>
      </c>
      <c r="J129" s="112">
        <v>0</v>
      </c>
      <c r="K129" s="23">
        <f t="shared" si="17"/>
        <v>0</v>
      </c>
      <c r="L129" s="23">
        <f t="shared" si="18"/>
        <v>0</v>
      </c>
      <c r="M129" s="12">
        <f t="shared" si="23"/>
        <v>0</v>
      </c>
      <c r="N129" s="23">
        <f t="shared" si="19"/>
        <v>0</v>
      </c>
      <c r="O129" s="41">
        <f t="shared" si="20"/>
        <v>0</v>
      </c>
      <c r="P129" s="13" t="str">
        <f t="shared" si="21"/>
        <v>NO</v>
      </c>
      <c r="Q129" s="23">
        <f t="shared" si="22"/>
        <v>0</v>
      </c>
      <c r="R129" s="12">
        <f t="shared" si="22"/>
        <v>0</v>
      </c>
    </row>
    <row r="130" spans="2:18">
      <c r="B130" t="str">
        <f t="shared" si="16"/>
        <v>CARLOS DANIEL RUIZ SANTOS46280</v>
      </c>
      <c r="C130" t="s">
        <v>235</v>
      </c>
      <c r="D130" s="121">
        <v>46280</v>
      </c>
      <c r="E130" t="s">
        <v>99</v>
      </c>
      <c r="F130" t="s">
        <v>35</v>
      </c>
      <c r="G130" s="122">
        <v>0.33333333333333298</v>
      </c>
      <c r="H130" s="122">
        <v>0.70833333333333304</v>
      </c>
      <c r="I130" s="112">
        <v>0</v>
      </c>
      <c r="J130" s="112">
        <v>0</v>
      </c>
      <c r="K130" s="23">
        <f t="shared" si="17"/>
        <v>0.33333333333333298</v>
      </c>
      <c r="L130" s="23">
        <f t="shared" si="18"/>
        <v>0</v>
      </c>
      <c r="M130" s="12">
        <f t="shared" si="23"/>
        <v>0.33333333333333298</v>
      </c>
      <c r="N130" s="23">
        <f t="shared" si="19"/>
        <v>0.70833333333333304</v>
      </c>
      <c r="O130" s="41">
        <f t="shared" si="20"/>
        <v>0</v>
      </c>
      <c r="P130" s="13" t="str">
        <f t="shared" si="21"/>
        <v>SI</v>
      </c>
      <c r="Q130" s="23">
        <f t="shared" si="22"/>
        <v>0.33333333333333298</v>
      </c>
      <c r="R130" s="12">
        <f t="shared" si="22"/>
        <v>0.70833333333333304</v>
      </c>
    </row>
    <row r="131" spans="2:18">
      <c r="B131" t="str">
        <f t="shared" si="16"/>
        <v>CARLOS DANIEL RUIZ SANTOS46281</v>
      </c>
      <c r="C131" t="s">
        <v>235</v>
      </c>
      <c r="D131" s="121">
        <v>46281</v>
      </c>
      <c r="E131" t="s">
        <v>100</v>
      </c>
      <c r="F131" t="s">
        <v>35</v>
      </c>
      <c r="G131" s="122">
        <v>0.33333333333333298</v>
      </c>
      <c r="H131" s="122">
        <v>0.70833333333333304</v>
      </c>
      <c r="I131" s="112">
        <v>0</v>
      </c>
      <c r="J131" s="112">
        <v>0</v>
      </c>
      <c r="K131" s="23">
        <f t="shared" si="17"/>
        <v>0.33333333333333298</v>
      </c>
      <c r="L131" s="23">
        <f t="shared" si="18"/>
        <v>0</v>
      </c>
      <c r="M131" s="12">
        <f t="shared" si="23"/>
        <v>0.33333333333333298</v>
      </c>
      <c r="N131" s="23">
        <f t="shared" si="19"/>
        <v>0.70833333333333304</v>
      </c>
      <c r="O131" s="41">
        <f t="shared" si="20"/>
        <v>0</v>
      </c>
      <c r="P131" s="13" t="str">
        <f t="shared" si="21"/>
        <v>SI</v>
      </c>
      <c r="Q131" s="23">
        <f t="shared" si="22"/>
        <v>0.33333333333333298</v>
      </c>
      <c r="R131" s="12">
        <f t="shared" si="22"/>
        <v>0.70833333333333304</v>
      </c>
    </row>
    <row r="132" spans="2:18">
      <c r="B132" t="str">
        <f t="shared" si="16"/>
        <v>CARLOS DANIEL RUIZ SANTOS46282</v>
      </c>
      <c r="C132" t="s">
        <v>235</v>
      </c>
      <c r="D132" s="121">
        <v>46282</v>
      </c>
      <c r="E132" t="s">
        <v>101</v>
      </c>
      <c r="F132" t="s">
        <v>35</v>
      </c>
      <c r="G132" s="122">
        <v>0.25</v>
      </c>
      <c r="H132" s="122">
        <v>0.75</v>
      </c>
      <c r="I132" s="112">
        <v>0</v>
      </c>
      <c r="J132" s="112">
        <v>0</v>
      </c>
      <c r="K132" s="23">
        <f t="shared" si="17"/>
        <v>0.25</v>
      </c>
      <c r="L132" s="23">
        <f t="shared" si="18"/>
        <v>0</v>
      </c>
      <c r="M132" s="12">
        <f t="shared" si="23"/>
        <v>0.25</v>
      </c>
      <c r="N132" s="23">
        <f t="shared" si="19"/>
        <v>0.75</v>
      </c>
      <c r="O132" s="41">
        <f t="shared" si="20"/>
        <v>0</v>
      </c>
      <c r="P132" s="13" t="str">
        <f t="shared" si="21"/>
        <v>SI</v>
      </c>
      <c r="Q132" s="23">
        <f t="shared" si="22"/>
        <v>0.25</v>
      </c>
      <c r="R132" s="12">
        <f t="shared" si="22"/>
        <v>0.75</v>
      </c>
    </row>
    <row r="133" spans="2:18">
      <c r="B133" t="str">
        <f t="shared" si="16"/>
        <v>CARLOS DANIEL RUIZ SANTOS46283</v>
      </c>
      <c r="C133" t="s">
        <v>235</v>
      </c>
      <c r="D133" s="121">
        <v>46283</v>
      </c>
      <c r="E133" t="s">
        <v>95</v>
      </c>
      <c r="F133" t="s">
        <v>35</v>
      </c>
      <c r="G133" s="122">
        <v>0.25</v>
      </c>
      <c r="H133" s="122">
        <v>0.75</v>
      </c>
      <c r="I133" s="112">
        <v>0</v>
      </c>
      <c r="J133" s="112">
        <v>0</v>
      </c>
      <c r="K133" s="23">
        <f t="shared" si="17"/>
        <v>0.25</v>
      </c>
      <c r="L133" s="23">
        <f t="shared" si="18"/>
        <v>0</v>
      </c>
      <c r="M133" s="12">
        <f t="shared" si="23"/>
        <v>0.25</v>
      </c>
      <c r="N133" s="23">
        <f t="shared" si="19"/>
        <v>0.75</v>
      </c>
      <c r="O133" s="41">
        <f t="shared" si="20"/>
        <v>0</v>
      </c>
      <c r="P133" s="13" t="str">
        <f t="shared" si="21"/>
        <v>SI</v>
      </c>
      <c r="Q133" s="23">
        <f t="shared" si="22"/>
        <v>0.25</v>
      </c>
      <c r="R133" s="12">
        <f t="shared" si="22"/>
        <v>0.75</v>
      </c>
    </row>
    <row r="134" spans="2:18">
      <c r="B134" t="str">
        <f t="shared" si="16"/>
        <v>CARLOS DANIEL RUIZ SANTOS46284</v>
      </c>
      <c r="C134" t="s">
        <v>235</v>
      </c>
      <c r="D134" s="121">
        <v>46284</v>
      </c>
      <c r="E134" t="s">
        <v>96</v>
      </c>
      <c r="F134" t="s">
        <v>72</v>
      </c>
      <c r="G134" s="122">
        <v>0</v>
      </c>
      <c r="H134" s="122">
        <v>0</v>
      </c>
      <c r="I134" s="112">
        <v>0</v>
      </c>
      <c r="J134" s="112">
        <v>0</v>
      </c>
      <c r="K134" s="23">
        <f t="shared" si="17"/>
        <v>0</v>
      </c>
      <c r="L134" s="23">
        <f t="shared" si="18"/>
        <v>0</v>
      </c>
      <c r="M134" s="12">
        <f t="shared" si="23"/>
        <v>0</v>
      </c>
      <c r="N134" s="23">
        <f t="shared" si="19"/>
        <v>0</v>
      </c>
      <c r="O134" s="41">
        <f t="shared" si="20"/>
        <v>0</v>
      </c>
      <c r="P134" s="13" t="str">
        <f t="shared" si="21"/>
        <v>NO</v>
      </c>
      <c r="Q134" s="23">
        <f t="shared" si="22"/>
        <v>0</v>
      </c>
      <c r="R134" s="12">
        <f t="shared" si="22"/>
        <v>0</v>
      </c>
    </row>
    <row r="135" spans="2:18">
      <c r="B135" t="str">
        <f t="shared" si="16"/>
        <v>CARLOS DANIEL RUIZ SANTOS46285</v>
      </c>
      <c r="C135" t="s">
        <v>235</v>
      </c>
      <c r="D135" s="121">
        <v>46285</v>
      </c>
      <c r="E135" t="s">
        <v>97</v>
      </c>
      <c r="F135" t="s">
        <v>72</v>
      </c>
      <c r="G135" s="122">
        <v>0</v>
      </c>
      <c r="H135" s="122">
        <v>0</v>
      </c>
      <c r="I135" s="112">
        <v>0</v>
      </c>
      <c r="J135" s="112">
        <v>0</v>
      </c>
      <c r="K135" s="23">
        <f t="shared" si="17"/>
        <v>0</v>
      </c>
      <c r="L135" s="23">
        <f t="shared" si="18"/>
        <v>0</v>
      </c>
      <c r="M135" s="12">
        <f t="shared" si="23"/>
        <v>0</v>
      </c>
      <c r="N135" s="23">
        <f t="shared" si="19"/>
        <v>0</v>
      </c>
      <c r="O135" s="41">
        <f t="shared" si="20"/>
        <v>0</v>
      </c>
      <c r="P135" s="13" t="str">
        <f t="shared" si="21"/>
        <v>NO</v>
      </c>
      <c r="Q135" s="23">
        <f t="shared" si="22"/>
        <v>0</v>
      </c>
      <c r="R135" s="12">
        <f t="shared" si="22"/>
        <v>0</v>
      </c>
    </row>
    <row r="136" spans="2:18">
      <c r="B136" t="str">
        <f t="shared" si="16"/>
        <v>CARLOS DANIEL RUIZ SANTOS46286</v>
      </c>
      <c r="C136" t="s">
        <v>235</v>
      </c>
      <c r="D136" s="121">
        <v>46286</v>
      </c>
      <c r="E136" t="s">
        <v>98</v>
      </c>
      <c r="F136" t="s">
        <v>35</v>
      </c>
      <c r="G136" s="122">
        <v>0.25</v>
      </c>
      <c r="H136" s="122">
        <v>0.75</v>
      </c>
      <c r="I136" s="112">
        <v>0</v>
      </c>
      <c r="J136" s="112">
        <v>0</v>
      </c>
      <c r="K136" s="23">
        <f t="shared" si="17"/>
        <v>0.25</v>
      </c>
      <c r="L136" s="23">
        <f t="shared" si="18"/>
        <v>0</v>
      </c>
      <c r="M136" s="12">
        <f t="shared" si="23"/>
        <v>0.25</v>
      </c>
      <c r="N136" s="23">
        <f t="shared" si="19"/>
        <v>0.75</v>
      </c>
      <c r="O136" s="41">
        <f t="shared" si="20"/>
        <v>0</v>
      </c>
      <c r="P136" s="13" t="str">
        <f t="shared" si="21"/>
        <v>SI</v>
      </c>
      <c r="Q136" s="23">
        <f t="shared" si="22"/>
        <v>0.25</v>
      </c>
      <c r="R136" s="12">
        <f t="shared" si="22"/>
        <v>0.75</v>
      </c>
    </row>
    <row r="137" spans="2:18">
      <c r="B137" t="str">
        <f t="shared" si="16"/>
        <v>CARLOS DANIEL RUIZ SANTOS46287</v>
      </c>
      <c r="C137" t="s">
        <v>235</v>
      </c>
      <c r="D137" s="121">
        <v>46287</v>
      </c>
      <c r="E137" t="s">
        <v>99</v>
      </c>
      <c r="F137" t="s">
        <v>35</v>
      </c>
      <c r="G137" s="122">
        <v>0.25</v>
      </c>
      <c r="H137" s="122">
        <v>0.75</v>
      </c>
      <c r="I137" s="112">
        <v>0</v>
      </c>
      <c r="J137" s="112">
        <v>0</v>
      </c>
      <c r="K137" s="23">
        <f t="shared" si="17"/>
        <v>0.25</v>
      </c>
      <c r="L137" s="23">
        <f t="shared" si="18"/>
        <v>0</v>
      </c>
      <c r="M137" s="12">
        <f t="shared" si="23"/>
        <v>0.25</v>
      </c>
      <c r="N137" s="23">
        <f t="shared" si="19"/>
        <v>0.75</v>
      </c>
      <c r="O137" s="41">
        <f t="shared" si="20"/>
        <v>0</v>
      </c>
      <c r="P137" s="13" t="str">
        <f t="shared" si="21"/>
        <v>SI</v>
      </c>
      <c r="Q137" s="23">
        <f t="shared" si="22"/>
        <v>0.25</v>
      </c>
      <c r="R137" s="12">
        <f t="shared" si="22"/>
        <v>0.75</v>
      </c>
    </row>
    <row r="138" spans="2:18">
      <c r="B138" t="str">
        <f t="shared" si="16"/>
        <v>CARLOS DANIEL RUIZ SANTOS46288</v>
      </c>
      <c r="C138" t="s">
        <v>235</v>
      </c>
      <c r="D138" s="121">
        <v>46288</v>
      </c>
      <c r="E138" t="s">
        <v>100</v>
      </c>
      <c r="F138" t="s">
        <v>35</v>
      </c>
      <c r="G138" s="122">
        <v>0.25</v>
      </c>
      <c r="H138" s="122">
        <v>0.75</v>
      </c>
      <c r="I138" s="112">
        <v>0</v>
      </c>
      <c r="J138" s="112">
        <v>0</v>
      </c>
      <c r="K138" s="23">
        <f t="shared" si="17"/>
        <v>0.25</v>
      </c>
      <c r="L138" s="23">
        <f t="shared" si="18"/>
        <v>0</v>
      </c>
      <c r="M138" s="12">
        <f t="shared" si="23"/>
        <v>0.25</v>
      </c>
      <c r="N138" s="23">
        <f t="shared" si="19"/>
        <v>0.75</v>
      </c>
      <c r="O138" s="41">
        <f t="shared" si="20"/>
        <v>0</v>
      </c>
      <c r="P138" s="13" t="str">
        <f t="shared" si="21"/>
        <v>SI</v>
      </c>
      <c r="Q138" s="23">
        <f t="shared" si="22"/>
        <v>0.25</v>
      </c>
      <c r="R138" s="12">
        <f t="shared" si="22"/>
        <v>0.75</v>
      </c>
    </row>
    <row r="139" spans="2:18">
      <c r="B139" t="str">
        <f t="shared" si="16"/>
        <v>CARLOS DANIEL RUIZ SANTOS46289</v>
      </c>
      <c r="C139" t="s">
        <v>235</v>
      </c>
      <c r="D139" s="121">
        <v>46289</v>
      </c>
      <c r="E139" t="s">
        <v>101</v>
      </c>
      <c r="F139" t="s">
        <v>35</v>
      </c>
      <c r="G139" s="122">
        <v>0.25</v>
      </c>
      <c r="H139" s="122">
        <v>0.75</v>
      </c>
      <c r="I139" s="112">
        <v>0</v>
      </c>
      <c r="J139" s="112">
        <v>0</v>
      </c>
      <c r="K139" s="23">
        <f t="shared" si="17"/>
        <v>0.25</v>
      </c>
      <c r="L139" s="23">
        <f t="shared" si="18"/>
        <v>0</v>
      </c>
      <c r="M139" s="12">
        <f t="shared" si="23"/>
        <v>0.25</v>
      </c>
      <c r="N139" s="23">
        <f t="shared" si="19"/>
        <v>0.75</v>
      </c>
      <c r="O139" s="41">
        <f t="shared" si="20"/>
        <v>0</v>
      </c>
      <c r="P139" s="13" t="str">
        <f t="shared" si="21"/>
        <v>SI</v>
      </c>
      <c r="Q139" s="23">
        <f t="shared" si="22"/>
        <v>0.25</v>
      </c>
      <c r="R139" s="12">
        <f t="shared" si="22"/>
        <v>0.75</v>
      </c>
    </row>
    <row r="140" spans="2:18">
      <c r="B140" t="str">
        <f t="shared" si="16"/>
        <v>CARLOS DANIEL RUIZ SANTOS46290</v>
      </c>
      <c r="C140" t="s">
        <v>235</v>
      </c>
      <c r="D140" s="121">
        <v>46290</v>
      </c>
      <c r="E140" t="s">
        <v>95</v>
      </c>
      <c r="F140" t="s">
        <v>35</v>
      </c>
      <c r="G140" s="122">
        <v>0.25</v>
      </c>
      <c r="H140" s="122">
        <v>0.75</v>
      </c>
      <c r="I140" s="112">
        <v>0</v>
      </c>
      <c r="J140" s="112">
        <v>0</v>
      </c>
      <c r="K140" s="23">
        <f t="shared" si="17"/>
        <v>0.25</v>
      </c>
      <c r="L140" s="23">
        <f t="shared" si="18"/>
        <v>0</v>
      </c>
      <c r="M140" s="12">
        <f t="shared" si="23"/>
        <v>0.25</v>
      </c>
      <c r="N140" s="23">
        <f t="shared" si="19"/>
        <v>0.75</v>
      </c>
      <c r="O140" s="41">
        <f t="shared" si="20"/>
        <v>0</v>
      </c>
      <c r="P140" s="13" t="str">
        <f t="shared" si="21"/>
        <v>SI</v>
      </c>
      <c r="Q140" s="23">
        <f t="shared" si="22"/>
        <v>0.25</v>
      </c>
      <c r="R140" s="12">
        <f t="shared" si="22"/>
        <v>0.75</v>
      </c>
    </row>
    <row r="141" spans="2:18">
      <c r="B141" t="str">
        <f t="shared" si="16"/>
        <v>CARLOS DANIEL RUIZ SANTOS46291</v>
      </c>
      <c r="C141" t="s">
        <v>235</v>
      </c>
      <c r="D141" s="121">
        <v>46291</v>
      </c>
      <c r="E141" t="s">
        <v>96</v>
      </c>
      <c r="F141" t="s">
        <v>35</v>
      </c>
      <c r="G141" s="122">
        <v>0.25</v>
      </c>
      <c r="H141" s="122">
        <v>0.58333333333333304</v>
      </c>
      <c r="I141" s="112">
        <v>0</v>
      </c>
      <c r="J141" s="112">
        <v>0</v>
      </c>
      <c r="K141" s="23">
        <f t="shared" si="17"/>
        <v>0.25</v>
      </c>
      <c r="L141" s="23">
        <f t="shared" si="18"/>
        <v>0</v>
      </c>
      <c r="M141" s="12">
        <f t="shared" si="23"/>
        <v>0.25</v>
      </c>
      <c r="N141" s="23">
        <f t="shared" si="19"/>
        <v>0.58333333333333304</v>
      </c>
      <c r="O141" s="41">
        <f t="shared" si="20"/>
        <v>0</v>
      </c>
      <c r="P141" s="13" t="str">
        <f t="shared" si="21"/>
        <v>SI</v>
      </c>
      <c r="Q141" s="23">
        <f t="shared" si="22"/>
        <v>0.25</v>
      </c>
      <c r="R141" s="12">
        <f t="shared" si="22"/>
        <v>0.58333333333333304</v>
      </c>
    </row>
    <row r="142" spans="2:18">
      <c r="B142" t="str">
        <f t="shared" si="16"/>
        <v>CARLOS DANIEL RUIZ SANTOS46292</v>
      </c>
      <c r="C142" t="s">
        <v>235</v>
      </c>
      <c r="D142" s="121">
        <v>46292</v>
      </c>
      <c r="E142" t="s">
        <v>97</v>
      </c>
      <c r="F142" t="s">
        <v>72</v>
      </c>
      <c r="G142" s="122">
        <v>0</v>
      </c>
      <c r="H142" s="122">
        <v>0</v>
      </c>
      <c r="I142" s="112">
        <v>0</v>
      </c>
      <c r="J142" s="112">
        <v>0</v>
      </c>
      <c r="K142" s="23">
        <f t="shared" si="17"/>
        <v>0</v>
      </c>
      <c r="L142" s="23">
        <f t="shared" si="18"/>
        <v>0</v>
      </c>
      <c r="M142" s="12">
        <f t="shared" si="23"/>
        <v>0</v>
      </c>
      <c r="N142" s="23">
        <f t="shared" si="19"/>
        <v>0</v>
      </c>
      <c r="O142" s="41">
        <f t="shared" si="20"/>
        <v>0</v>
      </c>
      <c r="P142" s="13" t="str">
        <f t="shared" si="21"/>
        <v>NO</v>
      </c>
      <c r="Q142" s="23">
        <f t="shared" si="22"/>
        <v>0</v>
      </c>
      <c r="R142" s="12">
        <f t="shared" si="22"/>
        <v>0</v>
      </c>
    </row>
    <row r="143" spans="2:18">
      <c r="B143" t="str">
        <f t="shared" si="16"/>
        <v>CARLOS DANIEL RUIZ SANTOS46293</v>
      </c>
      <c r="C143" t="s">
        <v>235</v>
      </c>
      <c r="D143" s="121">
        <v>46293</v>
      </c>
      <c r="E143" t="s">
        <v>98</v>
      </c>
      <c r="F143" t="s">
        <v>36</v>
      </c>
      <c r="G143" s="122">
        <v>0.75</v>
      </c>
      <c r="H143" s="122">
        <v>0.25</v>
      </c>
      <c r="I143" s="112">
        <v>0</v>
      </c>
      <c r="J143" s="112">
        <v>0</v>
      </c>
      <c r="K143" s="23">
        <f t="shared" si="17"/>
        <v>0.75</v>
      </c>
      <c r="L143" s="23">
        <f t="shared" si="18"/>
        <v>0</v>
      </c>
      <c r="M143" s="12">
        <f t="shared" si="23"/>
        <v>0.75</v>
      </c>
      <c r="N143" s="23">
        <f t="shared" si="19"/>
        <v>0.25</v>
      </c>
      <c r="O143" s="41">
        <f t="shared" si="20"/>
        <v>0</v>
      </c>
      <c r="P143" s="13" t="str">
        <f t="shared" si="21"/>
        <v>SI</v>
      </c>
      <c r="Q143" s="23">
        <f t="shared" si="22"/>
        <v>0.75</v>
      </c>
      <c r="R143" s="12">
        <f t="shared" si="22"/>
        <v>0.25</v>
      </c>
    </row>
    <row r="144" spans="2:18">
      <c r="B144" t="str">
        <f t="shared" si="16"/>
        <v>CARLOS DANIEL RUIZ SANTOS46294</v>
      </c>
      <c r="C144" t="s">
        <v>235</v>
      </c>
      <c r="D144" s="121">
        <v>46294</v>
      </c>
      <c r="E144" t="s">
        <v>99</v>
      </c>
      <c r="F144" t="s">
        <v>36</v>
      </c>
      <c r="G144" s="122">
        <v>0.75</v>
      </c>
      <c r="H144" s="122">
        <v>0.25</v>
      </c>
      <c r="I144" s="112">
        <v>0</v>
      </c>
      <c r="J144" s="112">
        <v>0</v>
      </c>
      <c r="K144" s="23">
        <f t="shared" si="17"/>
        <v>0.75</v>
      </c>
      <c r="L144" s="23">
        <f t="shared" si="18"/>
        <v>0</v>
      </c>
      <c r="M144" s="12">
        <f t="shared" si="23"/>
        <v>0.75</v>
      </c>
      <c r="N144" s="23">
        <f t="shared" si="19"/>
        <v>0.25</v>
      </c>
      <c r="O144" s="41">
        <f t="shared" si="20"/>
        <v>0</v>
      </c>
      <c r="P144" s="13" t="str">
        <f t="shared" si="21"/>
        <v>SI</v>
      </c>
      <c r="Q144" s="23">
        <f t="shared" si="22"/>
        <v>0.75</v>
      </c>
      <c r="R144" s="12">
        <f t="shared" si="22"/>
        <v>0.25</v>
      </c>
    </row>
    <row r="145" spans="2:18">
      <c r="B145" t="str">
        <f t="shared" si="16"/>
        <v>CARLOS DANIEL RUIZ SANTOS46295</v>
      </c>
      <c r="C145" t="s">
        <v>235</v>
      </c>
      <c r="D145" s="121">
        <v>46295</v>
      </c>
      <c r="E145" t="s">
        <v>100</v>
      </c>
      <c r="F145" t="s">
        <v>36</v>
      </c>
      <c r="G145" s="122">
        <v>0.75</v>
      </c>
      <c r="H145" s="122">
        <v>0.25</v>
      </c>
      <c r="I145" s="112">
        <v>0</v>
      </c>
      <c r="J145" s="112">
        <v>0</v>
      </c>
      <c r="K145" s="23">
        <f t="shared" si="17"/>
        <v>0.75</v>
      </c>
      <c r="L145" s="23">
        <f t="shared" si="18"/>
        <v>0</v>
      </c>
      <c r="M145" s="12">
        <f t="shared" si="23"/>
        <v>0.75</v>
      </c>
      <c r="N145" s="23">
        <f t="shared" si="19"/>
        <v>0.25</v>
      </c>
      <c r="O145" s="41">
        <f t="shared" si="20"/>
        <v>0</v>
      </c>
      <c r="P145" s="13" t="str">
        <f t="shared" si="21"/>
        <v>SI</v>
      </c>
      <c r="Q145" s="23">
        <f t="shared" si="22"/>
        <v>0.75</v>
      </c>
      <c r="R145" s="12">
        <f t="shared" si="22"/>
        <v>0.25</v>
      </c>
    </row>
    <row r="146" spans="2:18">
      <c r="B146" t="str">
        <f t="shared" si="16"/>
        <v>CARLOS DANIEL RUIZ SANTOS46296</v>
      </c>
      <c r="C146" t="s">
        <v>235</v>
      </c>
      <c r="D146" s="121">
        <v>46296</v>
      </c>
      <c r="E146" t="s">
        <v>101</v>
      </c>
      <c r="F146" t="s">
        <v>36</v>
      </c>
      <c r="G146" s="122">
        <v>0.75</v>
      </c>
      <c r="H146" s="122">
        <v>0.25</v>
      </c>
      <c r="I146" s="112">
        <v>0</v>
      </c>
      <c r="J146" s="112">
        <v>0</v>
      </c>
      <c r="K146" s="23">
        <f t="shared" si="17"/>
        <v>0.75</v>
      </c>
      <c r="L146" s="23">
        <f t="shared" si="18"/>
        <v>0</v>
      </c>
      <c r="M146" s="12">
        <f t="shared" si="23"/>
        <v>0.75</v>
      </c>
      <c r="N146" s="23">
        <f t="shared" si="19"/>
        <v>0.25</v>
      </c>
      <c r="O146" s="41">
        <f t="shared" si="20"/>
        <v>0</v>
      </c>
      <c r="P146" s="13" t="str">
        <f t="shared" si="21"/>
        <v>SI</v>
      </c>
      <c r="Q146" s="23">
        <f t="shared" si="22"/>
        <v>0.75</v>
      </c>
      <c r="R146" s="12">
        <f t="shared" si="22"/>
        <v>0.25</v>
      </c>
    </row>
    <row r="147" spans="2:18">
      <c r="B147" t="str">
        <f t="shared" si="16"/>
        <v>CARLOS DANIEL RUIZ SANTOS46297</v>
      </c>
      <c r="C147" t="s">
        <v>235</v>
      </c>
      <c r="D147" s="121">
        <v>46297</v>
      </c>
      <c r="E147" t="s">
        <v>95</v>
      </c>
      <c r="F147" t="s">
        <v>36</v>
      </c>
      <c r="G147" s="122">
        <v>0.75</v>
      </c>
      <c r="H147" s="122">
        <v>0.25</v>
      </c>
      <c r="I147" s="112">
        <v>0</v>
      </c>
      <c r="J147" s="112">
        <v>0</v>
      </c>
      <c r="K147" s="23">
        <f t="shared" si="17"/>
        <v>0.75</v>
      </c>
      <c r="L147" s="23">
        <f t="shared" si="18"/>
        <v>0</v>
      </c>
      <c r="M147" s="12">
        <f t="shared" si="23"/>
        <v>0.75</v>
      </c>
      <c r="N147" s="23">
        <f t="shared" si="19"/>
        <v>0.25</v>
      </c>
      <c r="O147" s="41">
        <f t="shared" si="20"/>
        <v>0</v>
      </c>
      <c r="P147" s="13" t="str">
        <f t="shared" si="21"/>
        <v>SI</v>
      </c>
      <c r="Q147" s="23">
        <f t="shared" si="22"/>
        <v>0.75</v>
      </c>
      <c r="R147" s="12">
        <f t="shared" si="22"/>
        <v>0.25</v>
      </c>
    </row>
    <row r="148" spans="2:18">
      <c r="B148" t="str">
        <f t="shared" si="16"/>
        <v>CARLOS DANIEL RUIZ SANTOS46298</v>
      </c>
      <c r="C148" t="s">
        <v>235</v>
      </c>
      <c r="D148" s="121">
        <v>46298</v>
      </c>
      <c r="E148" t="s">
        <v>96</v>
      </c>
      <c r="F148" t="s">
        <v>72</v>
      </c>
      <c r="G148" s="122">
        <v>0</v>
      </c>
      <c r="H148" s="122">
        <v>0</v>
      </c>
      <c r="I148" s="112">
        <v>0</v>
      </c>
      <c r="J148" s="112">
        <v>0</v>
      </c>
      <c r="K148" s="23">
        <f t="shared" si="17"/>
        <v>0</v>
      </c>
      <c r="L148" s="23">
        <f t="shared" si="18"/>
        <v>0</v>
      </c>
      <c r="M148" s="12">
        <f t="shared" si="23"/>
        <v>0</v>
      </c>
      <c r="N148" s="23">
        <f t="shared" si="19"/>
        <v>0</v>
      </c>
      <c r="O148" s="41">
        <f t="shared" si="20"/>
        <v>0</v>
      </c>
      <c r="P148" s="13" t="str">
        <f t="shared" si="21"/>
        <v>NO</v>
      </c>
      <c r="Q148" s="23">
        <f t="shared" si="22"/>
        <v>0</v>
      </c>
      <c r="R148" s="12">
        <f t="shared" si="22"/>
        <v>0</v>
      </c>
    </row>
    <row r="149" spans="2:18">
      <c r="B149" t="str">
        <f t="shared" si="16"/>
        <v>CARLOS DANIEL RUIZ SANTOS46299</v>
      </c>
      <c r="C149" t="s">
        <v>235</v>
      </c>
      <c r="D149" s="121">
        <v>46299</v>
      </c>
      <c r="E149" t="s">
        <v>97</v>
      </c>
      <c r="F149" t="s">
        <v>72</v>
      </c>
      <c r="G149" s="122">
        <v>0</v>
      </c>
      <c r="H149" s="122">
        <v>0</v>
      </c>
      <c r="I149" s="112">
        <v>0</v>
      </c>
      <c r="J149" s="112">
        <v>0</v>
      </c>
      <c r="K149" s="23">
        <f t="shared" si="17"/>
        <v>0</v>
      </c>
      <c r="L149" s="23">
        <f t="shared" si="18"/>
        <v>0</v>
      </c>
      <c r="M149" s="12">
        <f t="shared" si="23"/>
        <v>0</v>
      </c>
      <c r="N149" s="23">
        <f t="shared" si="19"/>
        <v>0</v>
      </c>
      <c r="O149" s="41">
        <f t="shared" si="20"/>
        <v>0</v>
      </c>
      <c r="P149" s="13" t="str">
        <f t="shared" si="21"/>
        <v>NO</v>
      </c>
      <c r="Q149" s="23">
        <f t="shared" si="22"/>
        <v>0</v>
      </c>
      <c r="R149" s="12">
        <f t="shared" si="22"/>
        <v>0</v>
      </c>
    </row>
    <row r="150" spans="2:18">
      <c r="B150" t="str">
        <f t="shared" si="16"/>
        <v>CASTILLO SOLARES CARLOS ARTURO46279</v>
      </c>
      <c r="C150" t="s">
        <v>2</v>
      </c>
      <c r="D150" s="121">
        <v>46279</v>
      </c>
      <c r="E150" t="s">
        <v>98</v>
      </c>
      <c r="F150" t="s">
        <v>72</v>
      </c>
      <c r="G150" s="122">
        <v>0</v>
      </c>
      <c r="H150" s="122">
        <v>0</v>
      </c>
      <c r="I150" s="112">
        <v>0</v>
      </c>
      <c r="J150" s="112">
        <v>0</v>
      </c>
      <c r="K150" s="23">
        <f t="shared" si="17"/>
        <v>0</v>
      </c>
      <c r="L150" s="23">
        <f t="shared" si="18"/>
        <v>0</v>
      </c>
      <c r="M150" s="12">
        <f t="shared" si="23"/>
        <v>0</v>
      </c>
      <c r="N150" s="23">
        <f t="shared" si="19"/>
        <v>0</v>
      </c>
      <c r="O150" s="41">
        <f t="shared" si="20"/>
        <v>0</v>
      </c>
      <c r="P150" s="13" t="str">
        <f t="shared" si="21"/>
        <v>NO</v>
      </c>
      <c r="Q150" s="23">
        <f t="shared" si="22"/>
        <v>0</v>
      </c>
      <c r="R150" s="12">
        <f t="shared" si="22"/>
        <v>0</v>
      </c>
    </row>
    <row r="151" spans="2:18">
      <c r="B151" t="str">
        <f t="shared" si="16"/>
        <v>CASTILLO SOLARES CARLOS ARTURO46280</v>
      </c>
      <c r="C151" t="s">
        <v>2</v>
      </c>
      <c r="D151" s="121">
        <v>46280</v>
      </c>
      <c r="E151" t="s">
        <v>99</v>
      </c>
      <c r="F151" t="s">
        <v>35</v>
      </c>
      <c r="G151" s="122">
        <v>0.33333333333333298</v>
      </c>
      <c r="H151" s="122">
        <v>0.70833333333333304</v>
      </c>
      <c r="I151" s="112">
        <v>0</v>
      </c>
      <c r="J151" s="112">
        <v>0</v>
      </c>
      <c r="K151" s="23">
        <f t="shared" si="17"/>
        <v>0.33333333333333298</v>
      </c>
      <c r="L151" s="23">
        <f t="shared" si="18"/>
        <v>0</v>
      </c>
      <c r="M151" s="12">
        <f t="shared" si="23"/>
        <v>0.33333333333333298</v>
      </c>
      <c r="N151" s="23">
        <f t="shared" si="19"/>
        <v>0.70833333333333304</v>
      </c>
      <c r="O151" s="41">
        <f t="shared" si="20"/>
        <v>0</v>
      </c>
      <c r="P151" s="13" t="str">
        <f t="shared" si="21"/>
        <v>SI</v>
      </c>
      <c r="Q151" s="23">
        <f t="shared" si="22"/>
        <v>0.33333333333333298</v>
      </c>
      <c r="R151" s="12">
        <f t="shared" si="22"/>
        <v>0.70833333333333304</v>
      </c>
    </row>
    <row r="152" spans="2:18">
      <c r="B152" t="str">
        <f t="shared" si="16"/>
        <v>CASTILLO SOLARES CARLOS ARTURO46281</v>
      </c>
      <c r="C152" t="s">
        <v>2</v>
      </c>
      <c r="D152" s="121">
        <v>46281</v>
      </c>
      <c r="E152" t="s">
        <v>100</v>
      </c>
      <c r="F152" t="s">
        <v>35</v>
      </c>
      <c r="G152" s="122">
        <v>0.29166666666666702</v>
      </c>
      <c r="H152" s="122">
        <v>0.66666666666666696</v>
      </c>
      <c r="I152" s="112">
        <v>0</v>
      </c>
      <c r="J152" s="112">
        <v>0</v>
      </c>
      <c r="K152" s="23">
        <f t="shared" si="17"/>
        <v>0.29166666666666702</v>
      </c>
      <c r="L152" s="23">
        <f t="shared" si="18"/>
        <v>0</v>
      </c>
      <c r="M152" s="12">
        <f t="shared" si="23"/>
        <v>0.29166666666666702</v>
      </c>
      <c r="N152" s="23">
        <f t="shared" si="19"/>
        <v>0.66666666666666696</v>
      </c>
      <c r="O152" s="41">
        <f t="shared" si="20"/>
        <v>0</v>
      </c>
      <c r="P152" s="13" t="str">
        <f t="shared" si="21"/>
        <v>SI</v>
      </c>
      <c r="Q152" s="23">
        <f t="shared" si="22"/>
        <v>0.29166666666666702</v>
      </c>
      <c r="R152" s="12">
        <f t="shared" si="22"/>
        <v>0.66666666666666696</v>
      </c>
    </row>
    <row r="153" spans="2:18">
      <c r="B153" t="str">
        <f t="shared" si="16"/>
        <v>CASTILLO SOLARES CARLOS ARTURO46282</v>
      </c>
      <c r="C153" t="s">
        <v>2</v>
      </c>
      <c r="D153" s="121">
        <v>46282</v>
      </c>
      <c r="E153" t="s">
        <v>101</v>
      </c>
      <c r="F153" t="s">
        <v>35</v>
      </c>
      <c r="G153" s="122">
        <v>0.375</v>
      </c>
      <c r="H153" s="122">
        <v>0.75</v>
      </c>
      <c r="I153" s="112">
        <v>0</v>
      </c>
      <c r="J153" s="112">
        <v>0</v>
      </c>
      <c r="K153" s="23">
        <f t="shared" si="17"/>
        <v>0.375</v>
      </c>
      <c r="L153" s="23">
        <f t="shared" si="18"/>
        <v>0</v>
      </c>
      <c r="M153" s="12">
        <f t="shared" si="23"/>
        <v>0.375</v>
      </c>
      <c r="N153" s="23">
        <f t="shared" si="19"/>
        <v>0.75</v>
      </c>
      <c r="O153" s="41">
        <f t="shared" si="20"/>
        <v>0</v>
      </c>
      <c r="P153" s="13" t="str">
        <f t="shared" si="21"/>
        <v>SI</v>
      </c>
      <c r="Q153" s="23">
        <f t="shared" si="22"/>
        <v>0.375</v>
      </c>
      <c r="R153" s="12">
        <f t="shared" si="22"/>
        <v>0.75</v>
      </c>
    </row>
    <row r="154" spans="2:18">
      <c r="B154" t="str">
        <f t="shared" si="16"/>
        <v>CASTILLO SOLARES CARLOS ARTURO46283</v>
      </c>
      <c r="C154" t="s">
        <v>2</v>
      </c>
      <c r="D154" s="121">
        <v>46283</v>
      </c>
      <c r="E154" t="s">
        <v>95</v>
      </c>
      <c r="F154" t="s">
        <v>35</v>
      </c>
      <c r="G154" s="122">
        <v>0.29166666666666702</v>
      </c>
      <c r="H154" s="122">
        <v>0.66666666666666696</v>
      </c>
      <c r="I154" s="112">
        <v>0</v>
      </c>
      <c r="J154" s="112">
        <v>0</v>
      </c>
      <c r="K154" s="23">
        <f t="shared" si="17"/>
        <v>0.29166666666666702</v>
      </c>
      <c r="L154" s="23">
        <f t="shared" si="18"/>
        <v>0</v>
      </c>
      <c r="M154" s="12">
        <f t="shared" si="23"/>
        <v>0.29166666666666702</v>
      </c>
      <c r="N154" s="23">
        <f t="shared" si="19"/>
        <v>0.66666666666666696</v>
      </c>
      <c r="O154" s="41">
        <f t="shared" si="20"/>
        <v>0</v>
      </c>
      <c r="P154" s="13" t="str">
        <f t="shared" si="21"/>
        <v>SI</v>
      </c>
      <c r="Q154" s="23">
        <f t="shared" si="22"/>
        <v>0.29166666666666702</v>
      </c>
      <c r="R154" s="12">
        <f t="shared" si="22"/>
        <v>0.66666666666666696</v>
      </c>
    </row>
    <row r="155" spans="2:18">
      <c r="B155" t="str">
        <f t="shared" si="16"/>
        <v>CASTILLO SOLARES CARLOS ARTURO46284</v>
      </c>
      <c r="C155" t="s">
        <v>2</v>
      </c>
      <c r="D155" s="121">
        <v>46284</v>
      </c>
      <c r="E155" t="s">
        <v>96</v>
      </c>
      <c r="F155" t="s">
        <v>35</v>
      </c>
      <c r="G155" s="122">
        <v>0.29166666666666702</v>
      </c>
      <c r="H155" s="122">
        <v>0.5</v>
      </c>
      <c r="I155" s="112">
        <v>0</v>
      </c>
      <c r="J155" s="112">
        <v>0</v>
      </c>
      <c r="K155" s="23">
        <f t="shared" si="17"/>
        <v>0.29166666666666702</v>
      </c>
      <c r="L155" s="23">
        <f t="shared" si="18"/>
        <v>0</v>
      </c>
      <c r="M155" s="12">
        <f t="shared" si="23"/>
        <v>0.29166666666666702</v>
      </c>
      <c r="N155" s="23">
        <f t="shared" si="19"/>
        <v>0.5</v>
      </c>
      <c r="O155" s="41">
        <f t="shared" si="20"/>
        <v>0</v>
      </c>
      <c r="P155" s="13" t="str">
        <f t="shared" si="21"/>
        <v>SI</v>
      </c>
      <c r="Q155" s="23">
        <f t="shared" si="22"/>
        <v>0.29166666666666702</v>
      </c>
      <c r="R155" s="12">
        <f t="shared" si="22"/>
        <v>0.5</v>
      </c>
    </row>
    <row r="156" spans="2:18">
      <c r="B156" t="str">
        <f t="shared" si="16"/>
        <v>CASTILLO SOLARES CARLOS ARTURO46285</v>
      </c>
      <c r="C156" t="s">
        <v>2</v>
      </c>
      <c r="D156" s="121">
        <v>46285</v>
      </c>
      <c r="E156" t="s">
        <v>97</v>
      </c>
      <c r="F156" t="s">
        <v>72</v>
      </c>
      <c r="G156" s="122">
        <v>0</v>
      </c>
      <c r="H156" s="122">
        <v>0</v>
      </c>
      <c r="I156" s="112">
        <v>0</v>
      </c>
      <c r="J156" s="112">
        <v>0</v>
      </c>
      <c r="K156" s="23">
        <f t="shared" si="17"/>
        <v>0</v>
      </c>
      <c r="L156" s="23">
        <f t="shared" si="18"/>
        <v>0</v>
      </c>
      <c r="M156" s="12">
        <f t="shared" si="23"/>
        <v>0</v>
      </c>
      <c r="N156" s="23">
        <f t="shared" si="19"/>
        <v>0</v>
      </c>
      <c r="O156" s="41">
        <f t="shared" si="20"/>
        <v>0</v>
      </c>
      <c r="P156" s="13" t="str">
        <f t="shared" si="21"/>
        <v>NO</v>
      </c>
      <c r="Q156" s="23">
        <f t="shared" si="22"/>
        <v>0</v>
      </c>
      <c r="R156" s="12">
        <f t="shared" si="22"/>
        <v>0</v>
      </c>
    </row>
    <row r="157" spans="2:18">
      <c r="B157" t="str">
        <f t="shared" si="16"/>
        <v>CASTILLO SOLARES CARLOS ARTURO46286</v>
      </c>
      <c r="C157" t="s">
        <v>2</v>
      </c>
      <c r="D157" s="121">
        <v>46286</v>
      </c>
      <c r="E157" t="s">
        <v>98</v>
      </c>
      <c r="F157" t="s">
        <v>36</v>
      </c>
      <c r="G157" s="122">
        <v>0.79166666666666696</v>
      </c>
      <c r="H157" s="122">
        <v>0.20833333333333301</v>
      </c>
      <c r="I157" s="112">
        <v>0</v>
      </c>
      <c r="J157" s="112">
        <v>0</v>
      </c>
      <c r="K157" s="23">
        <f t="shared" si="17"/>
        <v>0.79166666666666696</v>
      </c>
      <c r="L157" s="23">
        <f t="shared" si="18"/>
        <v>0</v>
      </c>
      <c r="M157" s="12">
        <f t="shared" si="23"/>
        <v>0.79166666666666696</v>
      </c>
      <c r="N157" s="23">
        <f t="shared" si="19"/>
        <v>0.20833333333333301</v>
      </c>
      <c r="O157" s="41">
        <f t="shared" si="20"/>
        <v>0</v>
      </c>
      <c r="P157" s="13" t="str">
        <f t="shared" si="21"/>
        <v>SI</v>
      </c>
      <c r="Q157" s="23">
        <f t="shared" si="22"/>
        <v>0.79166666666666696</v>
      </c>
      <c r="R157" s="12">
        <f t="shared" si="22"/>
        <v>0.20833333333333301</v>
      </c>
    </row>
    <row r="158" spans="2:18">
      <c r="B158" t="str">
        <f t="shared" si="16"/>
        <v>CASTILLO SOLARES CARLOS ARTURO46287</v>
      </c>
      <c r="C158" t="s">
        <v>2</v>
      </c>
      <c r="D158" s="121">
        <v>46287</v>
      </c>
      <c r="E158" t="s">
        <v>99</v>
      </c>
      <c r="F158" t="s">
        <v>36</v>
      </c>
      <c r="G158" s="122">
        <v>0.79166666666666696</v>
      </c>
      <c r="H158" s="122">
        <v>0.20833333333333301</v>
      </c>
      <c r="I158" s="112">
        <v>0</v>
      </c>
      <c r="J158" s="112">
        <v>0</v>
      </c>
      <c r="K158" s="23">
        <f t="shared" si="17"/>
        <v>0.79166666666666696</v>
      </c>
      <c r="L158" s="23">
        <f t="shared" si="18"/>
        <v>0</v>
      </c>
      <c r="M158" s="12">
        <f t="shared" si="23"/>
        <v>0.79166666666666696</v>
      </c>
      <c r="N158" s="23">
        <f t="shared" si="19"/>
        <v>0.20833333333333301</v>
      </c>
      <c r="O158" s="41">
        <f t="shared" si="20"/>
        <v>0</v>
      </c>
      <c r="P158" s="13" t="str">
        <f t="shared" si="21"/>
        <v>SI</v>
      </c>
      <c r="Q158" s="23">
        <f t="shared" si="22"/>
        <v>0.79166666666666696</v>
      </c>
      <c r="R158" s="12">
        <f t="shared" si="22"/>
        <v>0.20833333333333301</v>
      </c>
    </row>
    <row r="159" spans="2:18">
      <c r="B159" t="str">
        <f t="shared" si="16"/>
        <v>CASTILLO SOLARES CARLOS ARTURO46288</v>
      </c>
      <c r="C159" t="s">
        <v>2</v>
      </c>
      <c r="D159" s="121">
        <v>46288</v>
      </c>
      <c r="E159" t="s">
        <v>100</v>
      </c>
      <c r="F159" t="s">
        <v>36</v>
      </c>
      <c r="G159" s="122">
        <v>0.79166666666666696</v>
      </c>
      <c r="H159" s="122">
        <v>0.20833333333333301</v>
      </c>
      <c r="I159" s="112">
        <v>0</v>
      </c>
      <c r="J159" s="112">
        <v>0</v>
      </c>
      <c r="K159" s="23">
        <f t="shared" si="17"/>
        <v>0.79166666666666696</v>
      </c>
      <c r="L159" s="23">
        <f t="shared" si="18"/>
        <v>0</v>
      </c>
      <c r="M159" s="12">
        <f t="shared" si="23"/>
        <v>0.79166666666666696</v>
      </c>
      <c r="N159" s="23">
        <f t="shared" si="19"/>
        <v>0.20833333333333301</v>
      </c>
      <c r="O159" s="41">
        <f t="shared" si="20"/>
        <v>0</v>
      </c>
      <c r="P159" s="13" t="str">
        <f t="shared" si="21"/>
        <v>SI</v>
      </c>
      <c r="Q159" s="23">
        <f t="shared" si="22"/>
        <v>0.79166666666666696</v>
      </c>
      <c r="R159" s="12">
        <f t="shared" si="22"/>
        <v>0.20833333333333301</v>
      </c>
    </row>
    <row r="160" spans="2:18">
      <c r="B160" t="str">
        <f t="shared" si="16"/>
        <v>CASTILLO SOLARES CARLOS ARTURO46289</v>
      </c>
      <c r="C160" t="s">
        <v>2</v>
      </c>
      <c r="D160" s="121">
        <v>46289</v>
      </c>
      <c r="E160" t="s">
        <v>101</v>
      </c>
      <c r="F160" t="s">
        <v>36</v>
      </c>
      <c r="G160" s="122">
        <v>0.79166666666666696</v>
      </c>
      <c r="H160" s="122">
        <v>0.20833333333333301</v>
      </c>
      <c r="I160" s="112">
        <v>0</v>
      </c>
      <c r="J160" s="112">
        <v>0</v>
      </c>
      <c r="K160" s="23">
        <f t="shared" si="17"/>
        <v>0.79166666666666696</v>
      </c>
      <c r="L160" s="23">
        <f t="shared" si="18"/>
        <v>0</v>
      </c>
      <c r="M160" s="12">
        <f t="shared" si="23"/>
        <v>0.79166666666666696</v>
      </c>
      <c r="N160" s="23">
        <f t="shared" si="19"/>
        <v>0.20833333333333301</v>
      </c>
      <c r="O160" s="41">
        <f t="shared" si="20"/>
        <v>0</v>
      </c>
      <c r="P160" s="13" t="str">
        <f t="shared" si="21"/>
        <v>SI</v>
      </c>
      <c r="Q160" s="23">
        <f t="shared" si="22"/>
        <v>0.79166666666666696</v>
      </c>
      <c r="R160" s="12">
        <f t="shared" si="22"/>
        <v>0.20833333333333301</v>
      </c>
    </row>
    <row r="161" spans="2:18">
      <c r="B161" t="str">
        <f t="shared" si="16"/>
        <v>CASTILLO SOLARES CARLOS ARTURO46290</v>
      </c>
      <c r="C161" t="s">
        <v>2</v>
      </c>
      <c r="D161" s="121">
        <v>46290</v>
      </c>
      <c r="E161" t="s">
        <v>95</v>
      </c>
      <c r="F161" t="s">
        <v>36</v>
      </c>
      <c r="G161" s="122">
        <v>0.79166666666666696</v>
      </c>
      <c r="H161" s="122">
        <v>0.20833333333333301</v>
      </c>
      <c r="I161" s="112">
        <v>0</v>
      </c>
      <c r="J161" s="112">
        <v>0</v>
      </c>
      <c r="K161" s="23">
        <f t="shared" si="17"/>
        <v>0.79166666666666696</v>
      </c>
      <c r="L161" s="23">
        <f t="shared" si="18"/>
        <v>0</v>
      </c>
      <c r="M161" s="12">
        <f t="shared" si="23"/>
        <v>0.79166666666666696</v>
      </c>
      <c r="N161" s="23">
        <f t="shared" si="19"/>
        <v>0.20833333333333301</v>
      </c>
      <c r="O161" s="41">
        <f t="shared" si="20"/>
        <v>0</v>
      </c>
      <c r="P161" s="13" t="str">
        <f t="shared" si="21"/>
        <v>SI</v>
      </c>
      <c r="Q161" s="23">
        <f t="shared" si="22"/>
        <v>0.79166666666666696</v>
      </c>
      <c r="R161" s="12">
        <f t="shared" si="22"/>
        <v>0.20833333333333301</v>
      </c>
    </row>
    <row r="162" spans="2:18">
      <c r="B162" t="str">
        <f t="shared" si="16"/>
        <v>CASTILLO SOLARES CARLOS ARTURO46291</v>
      </c>
      <c r="C162" t="s">
        <v>2</v>
      </c>
      <c r="D162" s="121">
        <v>46291</v>
      </c>
      <c r="E162" t="s">
        <v>96</v>
      </c>
      <c r="F162" t="s">
        <v>72</v>
      </c>
      <c r="G162" s="122">
        <v>0</v>
      </c>
      <c r="H162" s="122">
        <v>0</v>
      </c>
      <c r="I162" s="112">
        <v>0</v>
      </c>
      <c r="J162" s="112">
        <v>0</v>
      </c>
      <c r="K162" s="23">
        <f t="shared" si="17"/>
        <v>0</v>
      </c>
      <c r="L162" s="23">
        <f t="shared" si="18"/>
        <v>0</v>
      </c>
      <c r="M162" s="12">
        <f t="shared" si="23"/>
        <v>0</v>
      </c>
      <c r="N162" s="23">
        <f t="shared" si="19"/>
        <v>0</v>
      </c>
      <c r="O162" s="41">
        <f t="shared" si="20"/>
        <v>0</v>
      </c>
      <c r="P162" s="13" t="str">
        <f t="shared" si="21"/>
        <v>NO</v>
      </c>
      <c r="Q162" s="23">
        <f t="shared" si="22"/>
        <v>0</v>
      </c>
      <c r="R162" s="12">
        <f t="shared" si="22"/>
        <v>0</v>
      </c>
    </row>
    <row r="163" spans="2:18">
      <c r="B163" t="str">
        <f t="shared" si="16"/>
        <v>CASTILLO SOLARES CARLOS ARTURO46292</v>
      </c>
      <c r="C163" t="s">
        <v>2</v>
      </c>
      <c r="D163" s="121">
        <v>46292</v>
      </c>
      <c r="E163" t="s">
        <v>97</v>
      </c>
      <c r="F163" t="s">
        <v>72</v>
      </c>
      <c r="G163" s="122">
        <v>0</v>
      </c>
      <c r="H163" s="122">
        <v>0</v>
      </c>
      <c r="I163" s="112">
        <v>0</v>
      </c>
      <c r="J163" s="112">
        <v>0</v>
      </c>
      <c r="K163" s="23">
        <f t="shared" si="17"/>
        <v>0</v>
      </c>
      <c r="L163" s="23">
        <f t="shared" si="18"/>
        <v>0</v>
      </c>
      <c r="M163" s="12">
        <f t="shared" si="23"/>
        <v>0</v>
      </c>
      <c r="N163" s="23">
        <f t="shared" si="19"/>
        <v>0</v>
      </c>
      <c r="O163" s="41">
        <f t="shared" si="20"/>
        <v>0</v>
      </c>
      <c r="P163" s="13" t="str">
        <f t="shared" si="21"/>
        <v>NO</v>
      </c>
      <c r="Q163" s="23">
        <f t="shared" si="22"/>
        <v>0</v>
      </c>
      <c r="R163" s="12">
        <f t="shared" si="22"/>
        <v>0</v>
      </c>
    </row>
    <row r="164" spans="2:18">
      <c r="B164" t="str">
        <f t="shared" si="16"/>
        <v>CASTILLO SOLARES CARLOS ARTURO46293</v>
      </c>
      <c r="C164" t="s">
        <v>2</v>
      </c>
      <c r="D164" s="121">
        <v>46293</v>
      </c>
      <c r="E164" t="s">
        <v>98</v>
      </c>
      <c r="F164" t="s">
        <v>35</v>
      </c>
      <c r="G164" s="122">
        <v>0.29166666666666702</v>
      </c>
      <c r="H164" s="122">
        <v>0.66666666666666696</v>
      </c>
      <c r="I164" s="112">
        <v>0</v>
      </c>
      <c r="J164" s="112">
        <v>0</v>
      </c>
      <c r="K164" s="23">
        <f t="shared" si="17"/>
        <v>0.29166666666666702</v>
      </c>
      <c r="L164" s="23">
        <f t="shared" si="18"/>
        <v>0</v>
      </c>
      <c r="M164" s="12">
        <f t="shared" si="23"/>
        <v>0.29166666666666702</v>
      </c>
      <c r="N164" s="23">
        <f t="shared" si="19"/>
        <v>0.66666666666666696</v>
      </c>
      <c r="O164" s="41">
        <f t="shared" si="20"/>
        <v>0</v>
      </c>
      <c r="P164" s="13" t="str">
        <f t="shared" si="21"/>
        <v>SI</v>
      </c>
      <c r="Q164" s="23">
        <f t="shared" si="22"/>
        <v>0.29166666666666702</v>
      </c>
      <c r="R164" s="12">
        <f t="shared" si="22"/>
        <v>0.66666666666666696</v>
      </c>
    </row>
    <row r="165" spans="2:18">
      <c r="B165" t="str">
        <f t="shared" si="16"/>
        <v>CASTILLO SOLARES CARLOS ARTURO46294</v>
      </c>
      <c r="C165" t="s">
        <v>2</v>
      </c>
      <c r="D165" s="121">
        <v>46294</v>
      </c>
      <c r="E165" t="s">
        <v>99</v>
      </c>
      <c r="F165" t="s">
        <v>35</v>
      </c>
      <c r="G165" s="122">
        <v>0.29166666666666702</v>
      </c>
      <c r="H165" s="122">
        <v>0.66666666666666696</v>
      </c>
      <c r="I165" s="112">
        <v>0</v>
      </c>
      <c r="J165" s="112">
        <v>0</v>
      </c>
      <c r="K165" s="23">
        <f t="shared" si="17"/>
        <v>0.29166666666666702</v>
      </c>
      <c r="L165" s="23">
        <f t="shared" si="18"/>
        <v>0</v>
      </c>
      <c r="M165" s="12">
        <f t="shared" si="23"/>
        <v>0.29166666666666702</v>
      </c>
      <c r="N165" s="23">
        <f t="shared" si="19"/>
        <v>0.66666666666666696</v>
      </c>
      <c r="O165" s="41">
        <f t="shared" si="20"/>
        <v>0</v>
      </c>
      <c r="P165" s="13" t="str">
        <f t="shared" si="21"/>
        <v>SI</v>
      </c>
      <c r="Q165" s="23">
        <f t="shared" si="22"/>
        <v>0.29166666666666702</v>
      </c>
      <c r="R165" s="12">
        <f t="shared" si="22"/>
        <v>0.66666666666666696</v>
      </c>
    </row>
    <row r="166" spans="2:18">
      <c r="B166" t="str">
        <f t="shared" si="16"/>
        <v>CASTILLO SOLARES CARLOS ARTURO46295</v>
      </c>
      <c r="C166" t="s">
        <v>2</v>
      </c>
      <c r="D166" s="121">
        <v>46295</v>
      </c>
      <c r="E166" t="s">
        <v>100</v>
      </c>
      <c r="F166" t="s">
        <v>35</v>
      </c>
      <c r="G166" s="122">
        <v>0.29166666666666702</v>
      </c>
      <c r="H166" s="122">
        <v>0.66666666666666696</v>
      </c>
      <c r="I166" s="112">
        <v>0</v>
      </c>
      <c r="J166" s="112">
        <v>0</v>
      </c>
      <c r="K166" s="23">
        <f t="shared" si="17"/>
        <v>0.29166666666666702</v>
      </c>
      <c r="L166" s="23">
        <f t="shared" si="18"/>
        <v>0</v>
      </c>
      <c r="M166" s="12">
        <f t="shared" si="23"/>
        <v>0.29166666666666702</v>
      </c>
      <c r="N166" s="23">
        <f t="shared" si="19"/>
        <v>0.66666666666666696</v>
      </c>
      <c r="O166" s="41">
        <f t="shared" si="20"/>
        <v>0</v>
      </c>
      <c r="P166" s="13" t="str">
        <f t="shared" si="21"/>
        <v>SI</v>
      </c>
      <c r="Q166" s="23">
        <f t="shared" si="22"/>
        <v>0.29166666666666702</v>
      </c>
      <c r="R166" s="12">
        <f t="shared" si="22"/>
        <v>0.66666666666666696</v>
      </c>
    </row>
    <row r="167" spans="2:18">
      <c r="B167" t="str">
        <f t="shared" si="16"/>
        <v>CASTILLO SOLARES CARLOS ARTURO46296</v>
      </c>
      <c r="C167" t="s">
        <v>2</v>
      </c>
      <c r="D167" s="121">
        <v>46296</v>
      </c>
      <c r="E167" t="s">
        <v>101</v>
      </c>
      <c r="F167" t="s">
        <v>35</v>
      </c>
      <c r="G167" s="122">
        <v>0.375</v>
      </c>
      <c r="H167" s="122">
        <v>0.75</v>
      </c>
      <c r="I167" s="112">
        <v>0</v>
      </c>
      <c r="J167" s="112">
        <v>0</v>
      </c>
      <c r="K167" s="23">
        <f t="shared" si="17"/>
        <v>0.375</v>
      </c>
      <c r="L167" s="23">
        <f t="shared" si="18"/>
        <v>0</v>
      </c>
      <c r="M167" s="12">
        <f t="shared" si="23"/>
        <v>0.375</v>
      </c>
      <c r="N167" s="23">
        <f t="shared" si="19"/>
        <v>0.75</v>
      </c>
      <c r="O167" s="41">
        <f t="shared" si="20"/>
        <v>0</v>
      </c>
      <c r="P167" s="13" t="str">
        <f t="shared" si="21"/>
        <v>SI</v>
      </c>
      <c r="Q167" s="23">
        <f t="shared" si="22"/>
        <v>0.375</v>
      </c>
      <c r="R167" s="12">
        <f t="shared" si="22"/>
        <v>0.75</v>
      </c>
    </row>
    <row r="168" spans="2:18">
      <c r="B168" t="str">
        <f t="shared" si="16"/>
        <v>CASTILLO SOLARES CARLOS ARTURO46297</v>
      </c>
      <c r="C168" t="s">
        <v>2</v>
      </c>
      <c r="D168" s="121">
        <v>46297</v>
      </c>
      <c r="E168" t="s">
        <v>95</v>
      </c>
      <c r="F168" t="s">
        <v>35</v>
      </c>
      <c r="G168" s="122">
        <v>0.29166666666666702</v>
      </c>
      <c r="H168" s="122">
        <v>0.66666666666666696</v>
      </c>
      <c r="I168" s="112">
        <v>0</v>
      </c>
      <c r="J168" s="112">
        <v>0</v>
      </c>
      <c r="K168" s="23">
        <f t="shared" si="17"/>
        <v>0.29166666666666702</v>
      </c>
      <c r="L168" s="23">
        <f t="shared" si="18"/>
        <v>0</v>
      </c>
      <c r="M168" s="12">
        <f t="shared" si="23"/>
        <v>0.29166666666666702</v>
      </c>
      <c r="N168" s="23">
        <f t="shared" si="19"/>
        <v>0.66666666666666696</v>
      </c>
      <c r="O168" s="41">
        <f t="shared" si="20"/>
        <v>0</v>
      </c>
      <c r="P168" s="13" t="str">
        <f t="shared" si="21"/>
        <v>SI</v>
      </c>
      <c r="Q168" s="23">
        <f t="shared" si="22"/>
        <v>0.29166666666666702</v>
      </c>
      <c r="R168" s="12">
        <f t="shared" si="22"/>
        <v>0.66666666666666696</v>
      </c>
    </row>
    <row r="169" spans="2:18">
      <c r="B169" t="str">
        <f t="shared" si="16"/>
        <v>CASTILLO SOLARES CARLOS ARTURO46298</v>
      </c>
      <c r="C169" t="s">
        <v>2</v>
      </c>
      <c r="D169" s="121">
        <v>46298</v>
      </c>
      <c r="E169" t="s">
        <v>96</v>
      </c>
      <c r="F169" t="s">
        <v>35</v>
      </c>
      <c r="G169" s="122">
        <v>0.29166666666666702</v>
      </c>
      <c r="H169" s="122">
        <v>0.5</v>
      </c>
      <c r="I169" s="112">
        <v>0</v>
      </c>
      <c r="J169" s="112">
        <v>0</v>
      </c>
      <c r="K169" s="23">
        <f t="shared" si="17"/>
        <v>0.29166666666666702</v>
      </c>
      <c r="L169" s="23">
        <f t="shared" si="18"/>
        <v>0</v>
      </c>
      <c r="M169" s="12">
        <f t="shared" si="23"/>
        <v>0.29166666666666702</v>
      </c>
      <c r="N169" s="23">
        <f t="shared" si="19"/>
        <v>0.5</v>
      </c>
      <c r="O169" s="41">
        <f t="shared" si="20"/>
        <v>0</v>
      </c>
      <c r="P169" s="13" t="str">
        <f t="shared" si="21"/>
        <v>SI</v>
      </c>
      <c r="Q169" s="23">
        <f t="shared" si="22"/>
        <v>0.29166666666666702</v>
      </c>
      <c r="R169" s="12">
        <f t="shared" si="22"/>
        <v>0.5</v>
      </c>
    </row>
    <row r="170" spans="2:18">
      <c r="B170" t="str">
        <f t="shared" si="16"/>
        <v>CASTILLO SOLARES CARLOS ARTURO46299</v>
      </c>
      <c r="C170" t="s">
        <v>2</v>
      </c>
      <c r="D170" s="121">
        <v>46299</v>
      </c>
      <c r="E170" t="s">
        <v>97</v>
      </c>
      <c r="F170" t="s">
        <v>72</v>
      </c>
      <c r="G170" s="122">
        <v>0</v>
      </c>
      <c r="H170" s="122">
        <v>0</v>
      </c>
      <c r="I170" s="112">
        <v>0</v>
      </c>
      <c r="J170" s="112">
        <v>0</v>
      </c>
      <c r="K170" s="23">
        <f t="shared" si="17"/>
        <v>0</v>
      </c>
      <c r="L170" s="23">
        <f t="shared" si="18"/>
        <v>0</v>
      </c>
      <c r="M170" s="12">
        <f t="shared" si="23"/>
        <v>0</v>
      </c>
      <c r="N170" s="23">
        <f t="shared" si="19"/>
        <v>0</v>
      </c>
      <c r="O170" s="41">
        <f t="shared" si="20"/>
        <v>0</v>
      </c>
      <c r="P170" s="13" t="str">
        <f t="shared" si="21"/>
        <v>NO</v>
      </c>
      <c r="Q170" s="23">
        <f t="shared" si="22"/>
        <v>0</v>
      </c>
      <c r="R170" s="12">
        <f t="shared" si="22"/>
        <v>0</v>
      </c>
    </row>
    <row r="171" spans="2:18">
      <c r="B171" t="str">
        <f t="shared" si="16"/>
        <v>Carlos Humberto Alvarado46279</v>
      </c>
      <c r="C171" t="s">
        <v>215</v>
      </c>
      <c r="D171" s="121">
        <v>46279</v>
      </c>
      <c r="E171" t="s">
        <v>98</v>
      </c>
      <c r="F171" t="s">
        <v>72</v>
      </c>
      <c r="G171" s="122">
        <v>0</v>
      </c>
      <c r="H171" s="122">
        <v>0</v>
      </c>
      <c r="I171" s="112">
        <v>0</v>
      </c>
      <c r="J171" s="112">
        <v>0</v>
      </c>
      <c r="K171" s="23">
        <f t="shared" si="17"/>
        <v>0</v>
      </c>
      <c r="L171" s="23">
        <f t="shared" si="18"/>
        <v>0</v>
      </c>
      <c r="M171" s="12">
        <f t="shared" si="23"/>
        <v>0</v>
      </c>
      <c r="N171" s="23">
        <f t="shared" si="19"/>
        <v>0</v>
      </c>
      <c r="O171" s="41">
        <f t="shared" si="20"/>
        <v>0</v>
      </c>
      <c r="P171" s="13" t="str">
        <f t="shared" si="21"/>
        <v>NO</v>
      </c>
      <c r="Q171" s="23">
        <f t="shared" si="22"/>
        <v>0</v>
      </c>
      <c r="R171" s="12">
        <f t="shared" si="22"/>
        <v>0</v>
      </c>
    </row>
    <row r="172" spans="2:18">
      <c r="B172" t="str">
        <f t="shared" si="16"/>
        <v>Carlos Humberto Alvarado46280</v>
      </c>
      <c r="C172" t="s">
        <v>215</v>
      </c>
      <c r="D172" s="121">
        <v>46280</v>
      </c>
      <c r="E172" t="s">
        <v>99</v>
      </c>
      <c r="F172" t="s">
        <v>35</v>
      </c>
      <c r="G172" s="122">
        <v>0.33333333333333298</v>
      </c>
      <c r="H172" s="122">
        <v>0.70833333333333304</v>
      </c>
      <c r="I172" s="112">
        <v>0</v>
      </c>
      <c r="J172" s="112">
        <v>0</v>
      </c>
      <c r="K172" s="23">
        <f t="shared" si="17"/>
        <v>0.33333333333333298</v>
      </c>
      <c r="L172" s="23">
        <f t="shared" si="18"/>
        <v>0</v>
      </c>
      <c r="M172" s="12">
        <f t="shared" si="23"/>
        <v>0.33333333333333298</v>
      </c>
      <c r="N172" s="23">
        <f t="shared" si="19"/>
        <v>0.70833333333333304</v>
      </c>
      <c r="O172" s="41">
        <f t="shared" si="20"/>
        <v>0</v>
      </c>
      <c r="P172" s="13" t="str">
        <f t="shared" si="21"/>
        <v>SI</v>
      </c>
      <c r="Q172" s="23">
        <f t="shared" si="22"/>
        <v>0.33333333333333298</v>
      </c>
      <c r="R172" s="12">
        <f t="shared" si="22"/>
        <v>0.70833333333333304</v>
      </c>
    </row>
    <row r="173" spans="2:18">
      <c r="B173" t="str">
        <f t="shared" si="16"/>
        <v>Carlos Humberto Alvarado46281</v>
      </c>
      <c r="C173" t="s">
        <v>215</v>
      </c>
      <c r="D173" s="121">
        <v>46281</v>
      </c>
      <c r="E173" t="s">
        <v>100</v>
      </c>
      <c r="F173" t="s">
        <v>35</v>
      </c>
      <c r="G173" s="122">
        <v>0.25</v>
      </c>
      <c r="H173" s="122">
        <v>0.75</v>
      </c>
      <c r="I173" s="112">
        <v>0</v>
      </c>
      <c r="J173" s="112">
        <v>0</v>
      </c>
      <c r="K173" s="23">
        <f t="shared" si="17"/>
        <v>0.25</v>
      </c>
      <c r="L173" s="23">
        <f t="shared" si="18"/>
        <v>0</v>
      </c>
      <c r="M173" s="12">
        <f t="shared" si="23"/>
        <v>0.25</v>
      </c>
      <c r="N173" s="23">
        <f t="shared" si="19"/>
        <v>0.75</v>
      </c>
      <c r="O173" s="41">
        <f t="shared" si="20"/>
        <v>0</v>
      </c>
      <c r="P173" s="13" t="str">
        <f t="shared" si="21"/>
        <v>SI</v>
      </c>
      <c r="Q173" s="23">
        <f t="shared" si="22"/>
        <v>0.25</v>
      </c>
      <c r="R173" s="12">
        <f t="shared" si="22"/>
        <v>0.75</v>
      </c>
    </row>
    <row r="174" spans="2:18">
      <c r="B174" t="str">
        <f t="shared" ref="B174:B237" si="24">+C174&amp;D174</f>
        <v>Carlos Humberto Alvarado46282</v>
      </c>
      <c r="C174" t="s">
        <v>215</v>
      </c>
      <c r="D174" s="121">
        <v>46282</v>
      </c>
      <c r="E174" t="s">
        <v>101</v>
      </c>
      <c r="F174" t="s">
        <v>35</v>
      </c>
      <c r="G174" s="122">
        <v>0.25</v>
      </c>
      <c r="H174" s="122">
        <v>0.75</v>
      </c>
      <c r="I174" s="112">
        <v>0</v>
      </c>
      <c r="J174" s="112">
        <v>0</v>
      </c>
      <c r="K174" s="23">
        <f t="shared" ref="K174:K237" si="25">+IFERROR(G174,0)</f>
        <v>0.25</v>
      </c>
      <c r="L174" s="23">
        <f t="shared" ref="L174:L237" si="26">+I174</f>
        <v>0</v>
      </c>
      <c r="M174" s="12">
        <f t="shared" si="23"/>
        <v>0.25</v>
      </c>
      <c r="N174" s="23">
        <f t="shared" ref="N174:N237" si="27">+H174</f>
        <v>0.75</v>
      </c>
      <c r="O174" s="41">
        <f t="shared" ref="O174:O237" si="28">+J174</f>
        <v>0</v>
      </c>
      <c r="P174" s="13" t="str">
        <f t="shared" ref="P174:P237" si="29">+IF(O174&lt;N174,"SI","NO")</f>
        <v>SI</v>
      </c>
      <c r="Q174" s="23">
        <f t="shared" ref="Q174:R237" si="30">+M174</f>
        <v>0.25</v>
      </c>
      <c r="R174" s="12">
        <f t="shared" si="30"/>
        <v>0.75</v>
      </c>
    </row>
    <row r="175" spans="2:18">
      <c r="B175" t="str">
        <f t="shared" si="24"/>
        <v>Carlos Humberto Alvarado46283</v>
      </c>
      <c r="C175" t="s">
        <v>215</v>
      </c>
      <c r="D175" s="121">
        <v>46283</v>
      </c>
      <c r="E175" t="s">
        <v>95</v>
      </c>
      <c r="F175" t="s">
        <v>35</v>
      </c>
      <c r="G175" s="122">
        <v>0.25</v>
      </c>
      <c r="H175" s="122">
        <v>0.75</v>
      </c>
      <c r="I175" s="112">
        <v>0</v>
      </c>
      <c r="J175" s="112">
        <v>0</v>
      </c>
      <c r="K175" s="23">
        <f t="shared" si="25"/>
        <v>0.25</v>
      </c>
      <c r="L175" s="23">
        <f t="shared" si="26"/>
        <v>0</v>
      </c>
      <c r="M175" s="12">
        <f t="shared" ref="M175:M238" si="31">+IFERROR(MAX(K175:L175),0)</f>
        <v>0.25</v>
      </c>
      <c r="N175" s="23">
        <f t="shared" si="27"/>
        <v>0.75</v>
      </c>
      <c r="O175" s="41">
        <f t="shared" si="28"/>
        <v>0</v>
      </c>
      <c r="P175" s="13" t="str">
        <f t="shared" si="29"/>
        <v>SI</v>
      </c>
      <c r="Q175" s="23">
        <f t="shared" si="30"/>
        <v>0.25</v>
      </c>
      <c r="R175" s="12">
        <f t="shared" si="30"/>
        <v>0.75</v>
      </c>
    </row>
    <row r="176" spans="2:18">
      <c r="B176" t="str">
        <f t="shared" si="24"/>
        <v>Carlos Humberto Alvarado46284</v>
      </c>
      <c r="C176" t="s">
        <v>215</v>
      </c>
      <c r="D176" s="121">
        <v>46284</v>
      </c>
      <c r="E176" t="s">
        <v>96</v>
      </c>
      <c r="F176" t="s">
        <v>35</v>
      </c>
      <c r="G176" s="122">
        <v>0.25</v>
      </c>
      <c r="H176" s="122">
        <v>0.75</v>
      </c>
      <c r="I176" s="112">
        <v>0</v>
      </c>
      <c r="J176" s="112">
        <v>0</v>
      </c>
      <c r="K176" s="23">
        <f t="shared" si="25"/>
        <v>0.25</v>
      </c>
      <c r="L176" s="23">
        <f t="shared" si="26"/>
        <v>0</v>
      </c>
      <c r="M176" s="12">
        <f t="shared" si="31"/>
        <v>0.25</v>
      </c>
      <c r="N176" s="23">
        <f t="shared" si="27"/>
        <v>0.75</v>
      </c>
      <c r="O176" s="41">
        <f t="shared" si="28"/>
        <v>0</v>
      </c>
      <c r="P176" s="13" t="str">
        <f t="shared" si="29"/>
        <v>SI</v>
      </c>
      <c r="Q176" s="23">
        <f t="shared" si="30"/>
        <v>0.25</v>
      </c>
      <c r="R176" s="12">
        <f t="shared" si="30"/>
        <v>0.75</v>
      </c>
    </row>
    <row r="177" spans="2:18">
      <c r="B177" t="str">
        <f t="shared" si="24"/>
        <v>Carlos Humberto Alvarado46285</v>
      </c>
      <c r="C177" t="s">
        <v>215</v>
      </c>
      <c r="D177" s="121">
        <v>46285</v>
      </c>
      <c r="E177" t="s">
        <v>97</v>
      </c>
      <c r="F177" t="s">
        <v>72</v>
      </c>
      <c r="G177" s="122">
        <v>0</v>
      </c>
      <c r="H177" s="122">
        <v>0</v>
      </c>
      <c r="I177" s="112">
        <v>0</v>
      </c>
      <c r="J177" s="112">
        <v>0</v>
      </c>
      <c r="K177" s="23">
        <f t="shared" si="25"/>
        <v>0</v>
      </c>
      <c r="L177" s="23">
        <f t="shared" si="26"/>
        <v>0</v>
      </c>
      <c r="M177" s="12">
        <f t="shared" si="31"/>
        <v>0</v>
      </c>
      <c r="N177" s="23">
        <f t="shared" si="27"/>
        <v>0</v>
      </c>
      <c r="O177" s="41">
        <f t="shared" si="28"/>
        <v>0</v>
      </c>
      <c r="P177" s="13" t="str">
        <f t="shared" si="29"/>
        <v>NO</v>
      </c>
      <c r="Q177" s="23">
        <f t="shared" si="30"/>
        <v>0</v>
      </c>
      <c r="R177" s="12">
        <f t="shared" si="30"/>
        <v>0</v>
      </c>
    </row>
    <row r="178" spans="2:18">
      <c r="B178" t="str">
        <f t="shared" si="24"/>
        <v>Carlos Humberto Alvarado46286</v>
      </c>
      <c r="C178" t="s">
        <v>215</v>
      </c>
      <c r="D178" s="121">
        <v>46286</v>
      </c>
      <c r="E178" t="s">
        <v>98</v>
      </c>
      <c r="F178" t="s">
        <v>36</v>
      </c>
      <c r="G178" s="122">
        <v>0.75</v>
      </c>
      <c r="H178" s="122">
        <v>0.25</v>
      </c>
      <c r="I178" s="112">
        <v>0</v>
      </c>
      <c r="J178" s="112">
        <v>0</v>
      </c>
      <c r="K178" s="23">
        <f t="shared" si="25"/>
        <v>0.75</v>
      </c>
      <c r="L178" s="23">
        <f t="shared" si="26"/>
        <v>0</v>
      </c>
      <c r="M178" s="12">
        <f t="shared" si="31"/>
        <v>0.75</v>
      </c>
      <c r="N178" s="23">
        <f t="shared" si="27"/>
        <v>0.25</v>
      </c>
      <c r="O178" s="41">
        <f t="shared" si="28"/>
        <v>0</v>
      </c>
      <c r="P178" s="13" t="str">
        <f t="shared" si="29"/>
        <v>SI</v>
      </c>
      <c r="Q178" s="23">
        <f t="shared" si="30"/>
        <v>0.75</v>
      </c>
      <c r="R178" s="12">
        <f t="shared" si="30"/>
        <v>0.25</v>
      </c>
    </row>
    <row r="179" spans="2:18">
      <c r="B179" t="str">
        <f t="shared" si="24"/>
        <v>Carlos Humberto Alvarado46287</v>
      </c>
      <c r="C179" t="s">
        <v>215</v>
      </c>
      <c r="D179" s="121">
        <v>46287</v>
      </c>
      <c r="E179" t="s">
        <v>99</v>
      </c>
      <c r="F179" t="s">
        <v>36</v>
      </c>
      <c r="G179" s="122">
        <v>0.75</v>
      </c>
      <c r="H179" s="122">
        <v>0.25</v>
      </c>
      <c r="I179" s="112">
        <v>0</v>
      </c>
      <c r="J179" s="112">
        <v>0</v>
      </c>
      <c r="K179" s="23">
        <f t="shared" si="25"/>
        <v>0.75</v>
      </c>
      <c r="L179" s="23">
        <f t="shared" si="26"/>
        <v>0</v>
      </c>
      <c r="M179" s="12">
        <f t="shared" si="31"/>
        <v>0.75</v>
      </c>
      <c r="N179" s="23">
        <f t="shared" si="27"/>
        <v>0.25</v>
      </c>
      <c r="O179" s="41">
        <f t="shared" si="28"/>
        <v>0</v>
      </c>
      <c r="P179" s="13" t="str">
        <f t="shared" si="29"/>
        <v>SI</v>
      </c>
      <c r="Q179" s="23">
        <f t="shared" si="30"/>
        <v>0.75</v>
      </c>
      <c r="R179" s="12">
        <f t="shared" si="30"/>
        <v>0.25</v>
      </c>
    </row>
    <row r="180" spans="2:18">
      <c r="B180" t="str">
        <f t="shared" si="24"/>
        <v>Carlos Humberto Alvarado46288</v>
      </c>
      <c r="C180" t="s">
        <v>215</v>
      </c>
      <c r="D180" s="121">
        <v>46288</v>
      </c>
      <c r="E180" t="s">
        <v>100</v>
      </c>
      <c r="F180" t="s">
        <v>36</v>
      </c>
      <c r="G180" s="122">
        <v>0.75</v>
      </c>
      <c r="H180" s="122">
        <v>0.25</v>
      </c>
      <c r="I180" s="112">
        <v>0</v>
      </c>
      <c r="J180" s="112">
        <v>0</v>
      </c>
      <c r="K180" s="23">
        <f t="shared" si="25"/>
        <v>0.75</v>
      </c>
      <c r="L180" s="23">
        <f t="shared" si="26"/>
        <v>0</v>
      </c>
      <c r="M180" s="12">
        <f t="shared" si="31"/>
        <v>0.75</v>
      </c>
      <c r="N180" s="23">
        <f t="shared" si="27"/>
        <v>0.25</v>
      </c>
      <c r="O180" s="41">
        <f t="shared" si="28"/>
        <v>0</v>
      </c>
      <c r="P180" s="13" t="str">
        <f t="shared" si="29"/>
        <v>SI</v>
      </c>
      <c r="Q180" s="23">
        <f t="shared" si="30"/>
        <v>0.75</v>
      </c>
      <c r="R180" s="12">
        <f t="shared" si="30"/>
        <v>0.25</v>
      </c>
    </row>
    <row r="181" spans="2:18">
      <c r="B181" t="str">
        <f t="shared" si="24"/>
        <v>Carlos Humberto Alvarado46289</v>
      </c>
      <c r="C181" t="s">
        <v>215</v>
      </c>
      <c r="D181" s="121">
        <v>46289</v>
      </c>
      <c r="E181" t="s">
        <v>101</v>
      </c>
      <c r="F181" t="s">
        <v>72</v>
      </c>
      <c r="G181" s="122">
        <v>0</v>
      </c>
      <c r="H181" s="122">
        <v>0</v>
      </c>
      <c r="I181" s="112">
        <v>0</v>
      </c>
      <c r="J181" s="112">
        <v>0</v>
      </c>
      <c r="K181" s="23">
        <f t="shared" si="25"/>
        <v>0</v>
      </c>
      <c r="L181" s="23">
        <f t="shared" si="26"/>
        <v>0</v>
      </c>
      <c r="M181" s="12">
        <f t="shared" si="31"/>
        <v>0</v>
      </c>
      <c r="N181" s="23">
        <f t="shared" si="27"/>
        <v>0</v>
      </c>
      <c r="O181" s="41">
        <f t="shared" si="28"/>
        <v>0</v>
      </c>
      <c r="P181" s="13" t="str">
        <f t="shared" si="29"/>
        <v>NO</v>
      </c>
      <c r="Q181" s="23">
        <f t="shared" si="30"/>
        <v>0</v>
      </c>
      <c r="R181" s="12">
        <f t="shared" si="30"/>
        <v>0</v>
      </c>
    </row>
    <row r="182" spans="2:18">
      <c r="B182" t="str">
        <f t="shared" si="24"/>
        <v>Carlos Humberto Alvarado46290</v>
      </c>
      <c r="C182" t="s">
        <v>215</v>
      </c>
      <c r="D182" s="121">
        <v>46290</v>
      </c>
      <c r="E182" t="s">
        <v>95</v>
      </c>
      <c r="F182" t="s">
        <v>72</v>
      </c>
      <c r="G182" s="122">
        <v>0</v>
      </c>
      <c r="H182" s="122">
        <v>0</v>
      </c>
      <c r="I182" s="112">
        <v>0</v>
      </c>
      <c r="J182" s="112">
        <v>0</v>
      </c>
      <c r="K182" s="23">
        <f t="shared" si="25"/>
        <v>0</v>
      </c>
      <c r="L182" s="23">
        <f t="shared" si="26"/>
        <v>0</v>
      </c>
      <c r="M182" s="12">
        <f t="shared" si="31"/>
        <v>0</v>
      </c>
      <c r="N182" s="23">
        <f t="shared" si="27"/>
        <v>0</v>
      </c>
      <c r="O182" s="41">
        <f t="shared" si="28"/>
        <v>0</v>
      </c>
      <c r="P182" s="13" t="str">
        <f t="shared" si="29"/>
        <v>NO</v>
      </c>
      <c r="Q182" s="23">
        <f t="shared" si="30"/>
        <v>0</v>
      </c>
      <c r="R182" s="12">
        <f t="shared" si="30"/>
        <v>0</v>
      </c>
    </row>
    <row r="183" spans="2:18">
      <c r="B183" t="str">
        <f t="shared" si="24"/>
        <v>Carlos Humberto Alvarado46291</v>
      </c>
      <c r="C183" t="s">
        <v>215</v>
      </c>
      <c r="D183" s="121">
        <v>46291</v>
      </c>
      <c r="E183" t="s">
        <v>96</v>
      </c>
      <c r="F183" t="s">
        <v>72</v>
      </c>
      <c r="G183" s="122">
        <v>0</v>
      </c>
      <c r="H183" s="122">
        <v>0</v>
      </c>
      <c r="I183" s="112">
        <v>0</v>
      </c>
      <c r="J183" s="112">
        <v>0</v>
      </c>
      <c r="K183" s="23">
        <f t="shared" si="25"/>
        <v>0</v>
      </c>
      <c r="L183" s="23">
        <f t="shared" si="26"/>
        <v>0</v>
      </c>
      <c r="M183" s="12">
        <f t="shared" si="31"/>
        <v>0</v>
      </c>
      <c r="N183" s="23">
        <f t="shared" si="27"/>
        <v>0</v>
      </c>
      <c r="O183" s="41">
        <f t="shared" si="28"/>
        <v>0</v>
      </c>
      <c r="P183" s="13" t="str">
        <f t="shared" si="29"/>
        <v>NO</v>
      </c>
      <c r="Q183" s="23">
        <f t="shared" si="30"/>
        <v>0</v>
      </c>
      <c r="R183" s="12">
        <f t="shared" si="30"/>
        <v>0</v>
      </c>
    </row>
    <row r="184" spans="2:18">
      <c r="B184" t="str">
        <f t="shared" si="24"/>
        <v>Carlos Humberto Alvarado46292</v>
      </c>
      <c r="C184" t="s">
        <v>215</v>
      </c>
      <c r="D184" s="121">
        <v>46292</v>
      </c>
      <c r="E184" t="s">
        <v>97</v>
      </c>
      <c r="F184" t="s">
        <v>72</v>
      </c>
      <c r="G184" s="122">
        <v>0</v>
      </c>
      <c r="H184" s="122">
        <v>0</v>
      </c>
      <c r="I184" s="112">
        <v>0</v>
      </c>
      <c r="J184" s="112">
        <v>0</v>
      </c>
      <c r="K184" s="23">
        <f t="shared" si="25"/>
        <v>0</v>
      </c>
      <c r="L184" s="23">
        <f t="shared" si="26"/>
        <v>0</v>
      </c>
      <c r="M184" s="12">
        <f t="shared" si="31"/>
        <v>0</v>
      </c>
      <c r="N184" s="23">
        <f t="shared" si="27"/>
        <v>0</v>
      </c>
      <c r="O184" s="41">
        <f t="shared" si="28"/>
        <v>0</v>
      </c>
      <c r="P184" s="13" t="str">
        <f t="shared" si="29"/>
        <v>NO</v>
      </c>
      <c r="Q184" s="23">
        <f t="shared" si="30"/>
        <v>0</v>
      </c>
      <c r="R184" s="12">
        <f t="shared" si="30"/>
        <v>0</v>
      </c>
    </row>
    <row r="185" spans="2:18">
      <c r="B185" t="str">
        <f t="shared" si="24"/>
        <v>Carlos Humberto Alvarado46293</v>
      </c>
      <c r="C185" t="s">
        <v>215</v>
      </c>
      <c r="D185" s="121">
        <v>46293</v>
      </c>
      <c r="E185" t="s">
        <v>98</v>
      </c>
      <c r="F185" t="s">
        <v>35</v>
      </c>
      <c r="G185" s="122">
        <v>0.25</v>
      </c>
      <c r="H185" s="122">
        <v>0.75</v>
      </c>
      <c r="I185" s="112">
        <v>0</v>
      </c>
      <c r="J185" s="112">
        <v>0</v>
      </c>
      <c r="K185" s="23">
        <f t="shared" si="25"/>
        <v>0.25</v>
      </c>
      <c r="L185" s="23">
        <f t="shared" si="26"/>
        <v>0</v>
      </c>
      <c r="M185" s="12">
        <f t="shared" si="31"/>
        <v>0.25</v>
      </c>
      <c r="N185" s="23">
        <f t="shared" si="27"/>
        <v>0.75</v>
      </c>
      <c r="O185" s="41">
        <f t="shared" si="28"/>
        <v>0</v>
      </c>
      <c r="P185" s="13" t="str">
        <f t="shared" si="29"/>
        <v>SI</v>
      </c>
      <c r="Q185" s="23">
        <f t="shared" si="30"/>
        <v>0.25</v>
      </c>
      <c r="R185" s="12">
        <f t="shared" si="30"/>
        <v>0.75</v>
      </c>
    </row>
    <row r="186" spans="2:18">
      <c r="B186" t="str">
        <f t="shared" si="24"/>
        <v>Carlos Humberto Alvarado46294</v>
      </c>
      <c r="C186" t="s">
        <v>215</v>
      </c>
      <c r="D186" s="121">
        <v>46294</v>
      </c>
      <c r="E186" t="s">
        <v>99</v>
      </c>
      <c r="F186" t="s">
        <v>35</v>
      </c>
      <c r="G186" s="122">
        <v>0.25</v>
      </c>
      <c r="H186" s="122">
        <v>0.75</v>
      </c>
      <c r="I186" s="112">
        <v>0</v>
      </c>
      <c r="J186" s="112">
        <v>0</v>
      </c>
      <c r="K186" s="23">
        <f t="shared" si="25"/>
        <v>0.25</v>
      </c>
      <c r="L186" s="23">
        <f t="shared" si="26"/>
        <v>0</v>
      </c>
      <c r="M186" s="12">
        <f t="shared" si="31"/>
        <v>0.25</v>
      </c>
      <c r="N186" s="23">
        <f t="shared" si="27"/>
        <v>0.75</v>
      </c>
      <c r="O186" s="41">
        <f t="shared" si="28"/>
        <v>0</v>
      </c>
      <c r="P186" s="13" t="str">
        <f t="shared" si="29"/>
        <v>SI</v>
      </c>
      <c r="Q186" s="23">
        <f t="shared" si="30"/>
        <v>0.25</v>
      </c>
      <c r="R186" s="12">
        <f t="shared" si="30"/>
        <v>0.75</v>
      </c>
    </row>
    <row r="187" spans="2:18">
      <c r="B187" t="str">
        <f t="shared" si="24"/>
        <v>Carlos Humberto Alvarado46295</v>
      </c>
      <c r="C187" t="s">
        <v>215</v>
      </c>
      <c r="D187" s="121">
        <v>46295</v>
      </c>
      <c r="E187" t="s">
        <v>100</v>
      </c>
      <c r="F187" t="s">
        <v>35</v>
      </c>
      <c r="G187" s="122">
        <v>0.25</v>
      </c>
      <c r="H187" s="122">
        <v>0.75</v>
      </c>
      <c r="I187" s="112">
        <v>0</v>
      </c>
      <c r="J187" s="112">
        <v>0</v>
      </c>
      <c r="K187" s="23">
        <f t="shared" si="25"/>
        <v>0.25</v>
      </c>
      <c r="L187" s="23">
        <f t="shared" si="26"/>
        <v>0</v>
      </c>
      <c r="M187" s="12">
        <f t="shared" si="31"/>
        <v>0.25</v>
      </c>
      <c r="N187" s="23">
        <f t="shared" si="27"/>
        <v>0.75</v>
      </c>
      <c r="O187" s="41">
        <f t="shared" si="28"/>
        <v>0</v>
      </c>
      <c r="P187" s="13" t="str">
        <f t="shared" si="29"/>
        <v>SI</v>
      </c>
      <c r="Q187" s="23">
        <f t="shared" si="30"/>
        <v>0.25</v>
      </c>
      <c r="R187" s="12">
        <f t="shared" si="30"/>
        <v>0.75</v>
      </c>
    </row>
    <row r="188" spans="2:18">
      <c r="B188" t="str">
        <f t="shared" si="24"/>
        <v>Carlos Humberto Alvarado46296</v>
      </c>
      <c r="C188" t="s">
        <v>215</v>
      </c>
      <c r="D188" s="121">
        <v>46296</v>
      </c>
      <c r="E188" t="s">
        <v>101</v>
      </c>
      <c r="F188" t="s">
        <v>35</v>
      </c>
      <c r="G188" s="122">
        <v>0.25</v>
      </c>
      <c r="H188" s="122">
        <v>0.75</v>
      </c>
      <c r="I188" s="112">
        <v>0</v>
      </c>
      <c r="J188" s="112">
        <v>0</v>
      </c>
      <c r="K188" s="23">
        <f t="shared" si="25"/>
        <v>0.25</v>
      </c>
      <c r="L188" s="23">
        <f t="shared" si="26"/>
        <v>0</v>
      </c>
      <c r="M188" s="12">
        <f t="shared" si="31"/>
        <v>0.25</v>
      </c>
      <c r="N188" s="23">
        <f t="shared" si="27"/>
        <v>0.75</v>
      </c>
      <c r="O188" s="41">
        <f t="shared" si="28"/>
        <v>0</v>
      </c>
      <c r="P188" s="13" t="str">
        <f t="shared" si="29"/>
        <v>SI</v>
      </c>
      <c r="Q188" s="23">
        <f t="shared" si="30"/>
        <v>0.25</v>
      </c>
      <c r="R188" s="12">
        <f t="shared" si="30"/>
        <v>0.75</v>
      </c>
    </row>
    <row r="189" spans="2:18">
      <c r="B189" t="str">
        <f t="shared" si="24"/>
        <v>Carlos Humberto Alvarado46297</v>
      </c>
      <c r="C189" t="s">
        <v>215</v>
      </c>
      <c r="D189" s="121">
        <v>46297</v>
      </c>
      <c r="E189" t="s">
        <v>95</v>
      </c>
      <c r="F189" t="s">
        <v>35</v>
      </c>
      <c r="G189" s="122">
        <v>0.25</v>
      </c>
      <c r="H189" s="122">
        <v>0.75</v>
      </c>
      <c r="I189" s="112">
        <v>0</v>
      </c>
      <c r="J189" s="112">
        <v>0</v>
      </c>
      <c r="K189" s="23">
        <f t="shared" si="25"/>
        <v>0.25</v>
      </c>
      <c r="L189" s="23">
        <f t="shared" si="26"/>
        <v>0</v>
      </c>
      <c r="M189" s="12">
        <f t="shared" si="31"/>
        <v>0.25</v>
      </c>
      <c r="N189" s="23">
        <f t="shared" si="27"/>
        <v>0.75</v>
      </c>
      <c r="O189" s="41">
        <f t="shared" si="28"/>
        <v>0</v>
      </c>
      <c r="P189" s="13" t="str">
        <f t="shared" si="29"/>
        <v>SI</v>
      </c>
      <c r="Q189" s="23">
        <f t="shared" si="30"/>
        <v>0.25</v>
      </c>
      <c r="R189" s="12">
        <f t="shared" si="30"/>
        <v>0.75</v>
      </c>
    </row>
    <row r="190" spans="2:18">
      <c r="B190" t="str">
        <f t="shared" si="24"/>
        <v>Carlos Humberto Alvarado46298</v>
      </c>
      <c r="C190" t="s">
        <v>215</v>
      </c>
      <c r="D190" s="121">
        <v>46298</v>
      </c>
      <c r="E190" t="s">
        <v>96</v>
      </c>
      <c r="F190" t="s">
        <v>35</v>
      </c>
      <c r="G190" s="122">
        <v>0.25</v>
      </c>
      <c r="H190" s="122">
        <v>0.58333333333333304</v>
      </c>
      <c r="I190" s="112">
        <v>0</v>
      </c>
      <c r="J190" s="112">
        <v>0</v>
      </c>
      <c r="K190" s="23">
        <f t="shared" si="25"/>
        <v>0.25</v>
      </c>
      <c r="L190" s="23">
        <f t="shared" si="26"/>
        <v>0</v>
      </c>
      <c r="M190" s="12">
        <f t="shared" si="31"/>
        <v>0.25</v>
      </c>
      <c r="N190" s="23">
        <f t="shared" si="27"/>
        <v>0.58333333333333304</v>
      </c>
      <c r="O190" s="41">
        <f t="shared" si="28"/>
        <v>0</v>
      </c>
      <c r="P190" s="13" t="str">
        <f t="shared" si="29"/>
        <v>SI</v>
      </c>
      <c r="Q190" s="23">
        <f t="shared" si="30"/>
        <v>0.25</v>
      </c>
      <c r="R190" s="12">
        <f t="shared" si="30"/>
        <v>0.58333333333333304</v>
      </c>
    </row>
    <row r="191" spans="2:18">
      <c r="B191" t="str">
        <f t="shared" si="24"/>
        <v>Carlos Humberto Alvarado46299</v>
      </c>
      <c r="C191" t="s">
        <v>215</v>
      </c>
      <c r="D191" s="121">
        <v>46299</v>
      </c>
      <c r="E191" t="s">
        <v>97</v>
      </c>
      <c r="F191" t="s">
        <v>72</v>
      </c>
      <c r="G191" s="122">
        <v>0</v>
      </c>
      <c r="H191" s="122">
        <v>0</v>
      </c>
      <c r="I191" s="112">
        <v>0</v>
      </c>
      <c r="J191" s="112">
        <v>0</v>
      </c>
      <c r="K191" s="23">
        <f t="shared" si="25"/>
        <v>0</v>
      </c>
      <c r="L191" s="23">
        <f t="shared" si="26"/>
        <v>0</v>
      </c>
      <c r="M191" s="12">
        <f t="shared" si="31"/>
        <v>0</v>
      </c>
      <c r="N191" s="23">
        <f t="shared" si="27"/>
        <v>0</v>
      </c>
      <c r="O191" s="41">
        <f t="shared" si="28"/>
        <v>0</v>
      </c>
      <c r="P191" s="13" t="str">
        <f t="shared" si="29"/>
        <v>NO</v>
      </c>
      <c r="Q191" s="23">
        <f t="shared" si="30"/>
        <v>0</v>
      </c>
      <c r="R191" s="12">
        <f t="shared" si="30"/>
        <v>0</v>
      </c>
    </row>
    <row r="192" spans="2:18">
      <c r="B192" t="str">
        <f t="shared" si="24"/>
        <v>Christian Omar Tiney Davila46279</v>
      </c>
      <c r="C192" t="s">
        <v>216</v>
      </c>
      <c r="D192" s="121">
        <v>46279</v>
      </c>
      <c r="E192" t="s">
        <v>98</v>
      </c>
      <c r="F192" t="s">
        <v>72</v>
      </c>
      <c r="G192" s="122">
        <v>0</v>
      </c>
      <c r="H192" s="122">
        <v>0</v>
      </c>
      <c r="I192" s="112">
        <v>0</v>
      </c>
      <c r="J192" s="112">
        <v>0</v>
      </c>
      <c r="K192" s="23">
        <f t="shared" si="25"/>
        <v>0</v>
      </c>
      <c r="L192" s="23">
        <f t="shared" si="26"/>
        <v>0</v>
      </c>
      <c r="M192" s="12">
        <f t="shared" si="31"/>
        <v>0</v>
      </c>
      <c r="N192" s="23">
        <f t="shared" si="27"/>
        <v>0</v>
      </c>
      <c r="O192" s="41">
        <f t="shared" si="28"/>
        <v>0</v>
      </c>
      <c r="P192" s="13" t="str">
        <f t="shared" si="29"/>
        <v>NO</v>
      </c>
      <c r="Q192" s="23">
        <f t="shared" si="30"/>
        <v>0</v>
      </c>
      <c r="R192" s="12">
        <f t="shared" si="30"/>
        <v>0</v>
      </c>
    </row>
    <row r="193" spans="2:18">
      <c r="B193" t="str">
        <f t="shared" si="24"/>
        <v>Christian Omar Tiney Davila46280</v>
      </c>
      <c r="C193" t="s">
        <v>216</v>
      </c>
      <c r="D193" s="121">
        <v>46280</v>
      </c>
      <c r="E193" t="s">
        <v>99</v>
      </c>
      <c r="F193" t="s">
        <v>35</v>
      </c>
      <c r="G193" s="122">
        <v>0.33333333333333298</v>
      </c>
      <c r="H193" s="122">
        <v>0.70833333333333304</v>
      </c>
      <c r="I193" s="112">
        <v>0</v>
      </c>
      <c r="J193" s="112">
        <v>0</v>
      </c>
      <c r="K193" s="23">
        <f t="shared" si="25"/>
        <v>0.33333333333333298</v>
      </c>
      <c r="L193" s="23">
        <f t="shared" si="26"/>
        <v>0</v>
      </c>
      <c r="M193" s="12">
        <f t="shared" si="31"/>
        <v>0.33333333333333298</v>
      </c>
      <c r="N193" s="23">
        <f t="shared" si="27"/>
        <v>0.70833333333333304</v>
      </c>
      <c r="O193" s="41">
        <f t="shared" si="28"/>
        <v>0</v>
      </c>
      <c r="P193" s="13" t="str">
        <f t="shared" si="29"/>
        <v>SI</v>
      </c>
      <c r="Q193" s="23">
        <f t="shared" si="30"/>
        <v>0.33333333333333298</v>
      </c>
      <c r="R193" s="12">
        <f t="shared" si="30"/>
        <v>0.70833333333333304</v>
      </c>
    </row>
    <row r="194" spans="2:18">
      <c r="B194" t="str">
        <f t="shared" si="24"/>
        <v>Christian Omar Tiney Davila46281</v>
      </c>
      <c r="C194" t="s">
        <v>216</v>
      </c>
      <c r="D194" s="121">
        <v>46281</v>
      </c>
      <c r="E194" t="s">
        <v>100</v>
      </c>
      <c r="F194" t="s">
        <v>35</v>
      </c>
      <c r="G194" s="122">
        <v>0.25</v>
      </c>
      <c r="H194" s="122">
        <v>0.75</v>
      </c>
      <c r="I194" s="112">
        <v>0</v>
      </c>
      <c r="J194" s="112">
        <v>0</v>
      </c>
      <c r="K194" s="23">
        <f t="shared" si="25"/>
        <v>0.25</v>
      </c>
      <c r="L194" s="23">
        <f t="shared" si="26"/>
        <v>0</v>
      </c>
      <c r="M194" s="12">
        <f t="shared" si="31"/>
        <v>0.25</v>
      </c>
      <c r="N194" s="23">
        <f t="shared" si="27"/>
        <v>0.75</v>
      </c>
      <c r="O194" s="41">
        <f t="shared" si="28"/>
        <v>0</v>
      </c>
      <c r="P194" s="13" t="str">
        <f t="shared" si="29"/>
        <v>SI</v>
      </c>
      <c r="Q194" s="23">
        <f t="shared" si="30"/>
        <v>0.25</v>
      </c>
      <c r="R194" s="12">
        <f t="shared" si="30"/>
        <v>0.75</v>
      </c>
    </row>
    <row r="195" spans="2:18">
      <c r="B195" t="str">
        <f t="shared" si="24"/>
        <v>Christian Omar Tiney Davila46282</v>
      </c>
      <c r="C195" t="s">
        <v>216</v>
      </c>
      <c r="D195" s="121">
        <v>46282</v>
      </c>
      <c r="E195" t="s">
        <v>101</v>
      </c>
      <c r="F195" t="s">
        <v>35</v>
      </c>
      <c r="G195" s="122">
        <v>0.25</v>
      </c>
      <c r="H195" s="122">
        <v>0.75</v>
      </c>
      <c r="I195" s="112">
        <v>0</v>
      </c>
      <c r="J195" s="112">
        <v>0</v>
      </c>
      <c r="K195" s="23">
        <f t="shared" si="25"/>
        <v>0.25</v>
      </c>
      <c r="L195" s="23">
        <f t="shared" si="26"/>
        <v>0</v>
      </c>
      <c r="M195" s="12">
        <f t="shared" si="31"/>
        <v>0.25</v>
      </c>
      <c r="N195" s="23">
        <f t="shared" si="27"/>
        <v>0.75</v>
      </c>
      <c r="O195" s="41">
        <f t="shared" si="28"/>
        <v>0</v>
      </c>
      <c r="P195" s="13" t="str">
        <f t="shared" si="29"/>
        <v>SI</v>
      </c>
      <c r="Q195" s="23">
        <f t="shared" si="30"/>
        <v>0.25</v>
      </c>
      <c r="R195" s="12">
        <f t="shared" si="30"/>
        <v>0.75</v>
      </c>
    </row>
    <row r="196" spans="2:18">
      <c r="B196" t="str">
        <f t="shared" si="24"/>
        <v>Christian Omar Tiney Davila46283</v>
      </c>
      <c r="C196" t="s">
        <v>216</v>
      </c>
      <c r="D196" s="121">
        <v>46283</v>
      </c>
      <c r="E196" t="s">
        <v>95</v>
      </c>
      <c r="F196" t="s">
        <v>35</v>
      </c>
      <c r="G196" s="122">
        <v>0.25</v>
      </c>
      <c r="H196" s="122">
        <v>0.75</v>
      </c>
      <c r="I196" s="112">
        <v>0</v>
      </c>
      <c r="J196" s="112">
        <v>0</v>
      </c>
      <c r="K196" s="23">
        <f t="shared" si="25"/>
        <v>0.25</v>
      </c>
      <c r="L196" s="23">
        <f t="shared" si="26"/>
        <v>0</v>
      </c>
      <c r="M196" s="12">
        <f t="shared" si="31"/>
        <v>0.25</v>
      </c>
      <c r="N196" s="23">
        <f t="shared" si="27"/>
        <v>0.75</v>
      </c>
      <c r="O196" s="41">
        <f t="shared" si="28"/>
        <v>0</v>
      </c>
      <c r="P196" s="13" t="str">
        <f t="shared" si="29"/>
        <v>SI</v>
      </c>
      <c r="Q196" s="23">
        <f t="shared" si="30"/>
        <v>0.25</v>
      </c>
      <c r="R196" s="12">
        <f t="shared" si="30"/>
        <v>0.75</v>
      </c>
    </row>
    <row r="197" spans="2:18">
      <c r="B197" t="str">
        <f t="shared" si="24"/>
        <v>Christian Omar Tiney Davila46284</v>
      </c>
      <c r="C197" t="s">
        <v>216</v>
      </c>
      <c r="D197" s="121">
        <v>46284</v>
      </c>
      <c r="E197" t="s">
        <v>96</v>
      </c>
      <c r="F197" t="s">
        <v>35</v>
      </c>
      <c r="G197" s="122">
        <v>0.25</v>
      </c>
      <c r="H197" s="122">
        <v>0.70833333333333304</v>
      </c>
      <c r="I197" s="112">
        <v>0</v>
      </c>
      <c r="J197" s="112">
        <v>0</v>
      </c>
      <c r="K197" s="23">
        <f t="shared" si="25"/>
        <v>0.25</v>
      </c>
      <c r="L197" s="23">
        <f t="shared" si="26"/>
        <v>0</v>
      </c>
      <c r="M197" s="12">
        <f t="shared" si="31"/>
        <v>0.25</v>
      </c>
      <c r="N197" s="23">
        <f t="shared" si="27"/>
        <v>0.70833333333333304</v>
      </c>
      <c r="O197" s="41">
        <f t="shared" si="28"/>
        <v>0</v>
      </c>
      <c r="P197" s="13" t="str">
        <f t="shared" si="29"/>
        <v>SI</v>
      </c>
      <c r="Q197" s="23">
        <f t="shared" si="30"/>
        <v>0.25</v>
      </c>
      <c r="R197" s="12">
        <f t="shared" si="30"/>
        <v>0.70833333333333304</v>
      </c>
    </row>
    <row r="198" spans="2:18">
      <c r="B198" t="str">
        <f t="shared" si="24"/>
        <v>Christian Omar Tiney Davila46285</v>
      </c>
      <c r="C198" t="s">
        <v>216</v>
      </c>
      <c r="D198" s="121">
        <v>46285</v>
      </c>
      <c r="E198" t="s">
        <v>97</v>
      </c>
      <c r="F198" t="s">
        <v>72</v>
      </c>
      <c r="G198" s="122">
        <v>0</v>
      </c>
      <c r="H198" s="122">
        <v>0</v>
      </c>
      <c r="I198" s="112">
        <v>0</v>
      </c>
      <c r="J198" s="112">
        <v>0</v>
      </c>
      <c r="K198" s="23">
        <f t="shared" si="25"/>
        <v>0</v>
      </c>
      <c r="L198" s="23">
        <f t="shared" si="26"/>
        <v>0</v>
      </c>
      <c r="M198" s="12">
        <f t="shared" si="31"/>
        <v>0</v>
      </c>
      <c r="N198" s="23">
        <f t="shared" si="27"/>
        <v>0</v>
      </c>
      <c r="O198" s="41">
        <f t="shared" si="28"/>
        <v>0</v>
      </c>
      <c r="P198" s="13" t="str">
        <f t="shared" si="29"/>
        <v>NO</v>
      </c>
      <c r="Q198" s="23">
        <f t="shared" si="30"/>
        <v>0</v>
      </c>
      <c r="R198" s="12">
        <f t="shared" si="30"/>
        <v>0</v>
      </c>
    </row>
    <row r="199" spans="2:18">
      <c r="B199" t="str">
        <f t="shared" si="24"/>
        <v>Christian Omar Tiney Davila46286</v>
      </c>
      <c r="C199" t="s">
        <v>216</v>
      </c>
      <c r="D199" s="121">
        <v>46286</v>
      </c>
      <c r="E199" t="s">
        <v>98</v>
      </c>
      <c r="F199" t="s">
        <v>35</v>
      </c>
      <c r="G199" s="122">
        <v>0.29166666666666702</v>
      </c>
      <c r="H199" s="122">
        <v>0.66666666666666696</v>
      </c>
      <c r="I199" s="112">
        <v>0</v>
      </c>
      <c r="J199" s="112">
        <v>0</v>
      </c>
      <c r="K199" s="23">
        <f t="shared" si="25"/>
        <v>0.29166666666666702</v>
      </c>
      <c r="L199" s="23">
        <f t="shared" si="26"/>
        <v>0</v>
      </c>
      <c r="M199" s="12">
        <f t="shared" si="31"/>
        <v>0.29166666666666702</v>
      </c>
      <c r="N199" s="23">
        <f t="shared" si="27"/>
        <v>0.66666666666666696</v>
      </c>
      <c r="O199" s="41">
        <f t="shared" si="28"/>
        <v>0</v>
      </c>
      <c r="P199" s="13" t="str">
        <f t="shared" si="29"/>
        <v>SI</v>
      </c>
      <c r="Q199" s="23">
        <f t="shared" si="30"/>
        <v>0.29166666666666702</v>
      </c>
      <c r="R199" s="12">
        <f t="shared" si="30"/>
        <v>0.66666666666666696</v>
      </c>
    </row>
    <row r="200" spans="2:18">
      <c r="B200" t="str">
        <f t="shared" si="24"/>
        <v>Christian Omar Tiney Davila46287</v>
      </c>
      <c r="C200" t="s">
        <v>216</v>
      </c>
      <c r="D200" s="121">
        <v>46287</v>
      </c>
      <c r="E200" t="s">
        <v>99</v>
      </c>
      <c r="F200" t="s">
        <v>35</v>
      </c>
      <c r="G200" s="122">
        <v>0.29166666666666702</v>
      </c>
      <c r="H200" s="122">
        <v>0.66666666666666696</v>
      </c>
      <c r="I200" s="112">
        <v>0</v>
      </c>
      <c r="J200" s="112">
        <v>0</v>
      </c>
      <c r="K200" s="23">
        <f t="shared" si="25"/>
        <v>0.29166666666666702</v>
      </c>
      <c r="L200" s="23">
        <f t="shared" si="26"/>
        <v>0</v>
      </c>
      <c r="M200" s="12">
        <f t="shared" si="31"/>
        <v>0.29166666666666702</v>
      </c>
      <c r="N200" s="23">
        <f t="shared" si="27"/>
        <v>0.66666666666666696</v>
      </c>
      <c r="O200" s="41">
        <f t="shared" si="28"/>
        <v>0</v>
      </c>
      <c r="P200" s="13" t="str">
        <f t="shared" si="29"/>
        <v>SI</v>
      </c>
      <c r="Q200" s="23">
        <f t="shared" si="30"/>
        <v>0.29166666666666702</v>
      </c>
      <c r="R200" s="12">
        <f t="shared" si="30"/>
        <v>0.66666666666666696</v>
      </c>
    </row>
    <row r="201" spans="2:18">
      <c r="B201" t="str">
        <f t="shared" si="24"/>
        <v>Christian Omar Tiney Davila46288</v>
      </c>
      <c r="C201" t="s">
        <v>216</v>
      </c>
      <c r="D201" s="121">
        <v>46288</v>
      </c>
      <c r="E201" t="s">
        <v>100</v>
      </c>
      <c r="F201" t="s">
        <v>35</v>
      </c>
      <c r="G201" s="122">
        <v>0.29166666666666702</v>
      </c>
      <c r="H201" s="122">
        <v>0.66666666666666696</v>
      </c>
      <c r="I201" s="112">
        <v>0</v>
      </c>
      <c r="J201" s="112">
        <v>0</v>
      </c>
      <c r="K201" s="23">
        <f t="shared" si="25"/>
        <v>0.29166666666666702</v>
      </c>
      <c r="L201" s="23">
        <f t="shared" si="26"/>
        <v>0</v>
      </c>
      <c r="M201" s="12">
        <f t="shared" si="31"/>
        <v>0.29166666666666702</v>
      </c>
      <c r="N201" s="23">
        <f t="shared" si="27"/>
        <v>0.66666666666666696</v>
      </c>
      <c r="O201" s="41">
        <f t="shared" si="28"/>
        <v>0</v>
      </c>
      <c r="P201" s="13" t="str">
        <f t="shared" si="29"/>
        <v>SI</v>
      </c>
      <c r="Q201" s="23">
        <f t="shared" si="30"/>
        <v>0.29166666666666702</v>
      </c>
      <c r="R201" s="12">
        <f t="shared" si="30"/>
        <v>0.66666666666666696</v>
      </c>
    </row>
    <row r="202" spans="2:18">
      <c r="B202" t="str">
        <f t="shared" si="24"/>
        <v>Christian Omar Tiney Davila46289</v>
      </c>
      <c r="C202" t="s">
        <v>216</v>
      </c>
      <c r="D202" s="121">
        <v>46289</v>
      </c>
      <c r="E202" t="s">
        <v>101</v>
      </c>
      <c r="F202" t="s">
        <v>35</v>
      </c>
      <c r="G202" s="122">
        <v>0.29166666666666702</v>
      </c>
      <c r="H202" s="122">
        <v>0.66666666666666696</v>
      </c>
      <c r="I202" s="112">
        <v>0</v>
      </c>
      <c r="J202" s="112">
        <v>0</v>
      </c>
      <c r="K202" s="23">
        <f t="shared" si="25"/>
        <v>0.29166666666666702</v>
      </c>
      <c r="L202" s="23">
        <f t="shared" si="26"/>
        <v>0</v>
      </c>
      <c r="M202" s="12">
        <f t="shared" si="31"/>
        <v>0.29166666666666702</v>
      </c>
      <c r="N202" s="23">
        <f t="shared" si="27"/>
        <v>0.66666666666666696</v>
      </c>
      <c r="O202" s="41">
        <f t="shared" si="28"/>
        <v>0</v>
      </c>
      <c r="P202" s="13" t="str">
        <f t="shared" si="29"/>
        <v>SI</v>
      </c>
      <c r="Q202" s="23">
        <f t="shared" si="30"/>
        <v>0.29166666666666702</v>
      </c>
      <c r="R202" s="12">
        <f t="shared" si="30"/>
        <v>0.66666666666666696</v>
      </c>
    </row>
    <row r="203" spans="2:18">
      <c r="B203" t="str">
        <f t="shared" si="24"/>
        <v>Christian Omar Tiney Davila46290</v>
      </c>
      <c r="C203" t="s">
        <v>216</v>
      </c>
      <c r="D203" s="121">
        <v>46290</v>
      </c>
      <c r="E203" t="s">
        <v>95</v>
      </c>
      <c r="F203" t="s">
        <v>35</v>
      </c>
      <c r="G203" s="122">
        <v>0.29166666666666702</v>
      </c>
      <c r="H203" s="122">
        <v>0.66666666666666696</v>
      </c>
      <c r="I203" s="112">
        <v>0</v>
      </c>
      <c r="J203" s="112">
        <v>0</v>
      </c>
      <c r="K203" s="23">
        <f t="shared" si="25"/>
        <v>0.29166666666666702</v>
      </c>
      <c r="L203" s="23">
        <f t="shared" si="26"/>
        <v>0</v>
      </c>
      <c r="M203" s="12">
        <f t="shared" si="31"/>
        <v>0.29166666666666702</v>
      </c>
      <c r="N203" s="23">
        <f t="shared" si="27"/>
        <v>0.66666666666666696</v>
      </c>
      <c r="O203" s="41">
        <f t="shared" si="28"/>
        <v>0</v>
      </c>
      <c r="P203" s="13" t="str">
        <f t="shared" si="29"/>
        <v>SI</v>
      </c>
      <c r="Q203" s="23">
        <f t="shared" si="30"/>
        <v>0.29166666666666702</v>
      </c>
      <c r="R203" s="12">
        <f t="shared" si="30"/>
        <v>0.66666666666666696</v>
      </c>
    </row>
    <row r="204" spans="2:18">
      <c r="B204" t="str">
        <f t="shared" si="24"/>
        <v>Christian Omar Tiney Davila46291</v>
      </c>
      <c r="C204" t="s">
        <v>216</v>
      </c>
      <c r="D204" s="121">
        <v>46291</v>
      </c>
      <c r="E204" t="s">
        <v>96</v>
      </c>
      <c r="F204" t="s">
        <v>35</v>
      </c>
      <c r="G204" s="122">
        <v>0.29166666666666702</v>
      </c>
      <c r="H204" s="122">
        <v>0.45833333333333298</v>
      </c>
      <c r="I204" s="112">
        <v>0</v>
      </c>
      <c r="J204" s="112">
        <v>0</v>
      </c>
      <c r="K204" s="23">
        <f t="shared" si="25"/>
        <v>0.29166666666666702</v>
      </c>
      <c r="L204" s="23">
        <f t="shared" si="26"/>
        <v>0</v>
      </c>
      <c r="M204" s="12">
        <f t="shared" si="31"/>
        <v>0.29166666666666702</v>
      </c>
      <c r="N204" s="23">
        <f t="shared" si="27"/>
        <v>0.45833333333333298</v>
      </c>
      <c r="O204" s="41">
        <f t="shared" si="28"/>
        <v>0</v>
      </c>
      <c r="P204" s="13" t="str">
        <f t="shared" si="29"/>
        <v>SI</v>
      </c>
      <c r="Q204" s="23">
        <f t="shared" si="30"/>
        <v>0.29166666666666702</v>
      </c>
      <c r="R204" s="12">
        <f t="shared" si="30"/>
        <v>0.45833333333333298</v>
      </c>
    </row>
    <row r="205" spans="2:18">
      <c r="B205" t="str">
        <f t="shared" si="24"/>
        <v>Christian Omar Tiney Davila46292</v>
      </c>
      <c r="C205" t="s">
        <v>216</v>
      </c>
      <c r="D205" s="121">
        <v>46292</v>
      </c>
      <c r="E205" t="s">
        <v>97</v>
      </c>
      <c r="F205" t="s">
        <v>72</v>
      </c>
      <c r="G205" s="122">
        <v>0</v>
      </c>
      <c r="H205" s="122">
        <v>0</v>
      </c>
      <c r="I205" s="112">
        <v>0</v>
      </c>
      <c r="J205" s="112">
        <v>0</v>
      </c>
      <c r="K205" s="23">
        <f t="shared" si="25"/>
        <v>0</v>
      </c>
      <c r="L205" s="23">
        <f t="shared" si="26"/>
        <v>0</v>
      </c>
      <c r="M205" s="12">
        <f t="shared" si="31"/>
        <v>0</v>
      </c>
      <c r="N205" s="23">
        <f t="shared" si="27"/>
        <v>0</v>
      </c>
      <c r="O205" s="41">
        <f t="shared" si="28"/>
        <v>0</v>
      </c>
      <c r="P205" s="13" t="str">
        <f t="shared" si="29"/>
        <v>NO</v>
      </c>
      <c r="Q205" s="23">
        <f t="shared" si="30"/>
        <v>0</v>
      </c>
      <c r="R205" s="12">
        <f t="shared" si="30"/>
        <v>0</v>
      </c>
    </row>
    <row r="206" spans="2:18">
      <c r="B206" t="str">
        <f t="shared" si="24"/>
        <v>Christian Omar Tiney Davila46293</v>
      </c>
      <c r="C206" t="s">
        <v>216</v>
      </c>
      <c r="D206" s="121">
        <v>46293</v>
      </c>
      <c r="E206" t="s">
        <v>98</v>
      </c>
      <c r="F206" t="s">
        <v>35</v>
      </c>
      <c r="G206" s="122">
        <v>0.25</v>
      </c>
      <c r="H206" s="122">
        <v>0.75</v>
      </c>
      <c r="I206" s="112">
        <v>0</v>
      </c>
      <c r="J206" s="112">
        <v>0</v>
      </c>
      <c r="K206" s="23">
        <f t="shared" si="25"/>
        <v>0.25</v>
      </c>
      <c r="L206" s="23">
        <f t="shared" si="26"/>
        <v>0</v>
      </c>
      <c r="M206" s="12">
        <f t="shared" si="31"/>
        <v>0.25</v>
      </c>
      <c r="N206" s="23">
        <f t="shared" si="27"/>
        <v>0.75</v>
      </c>
      <c r="O206" s="41">
        <f t="shared" si="28"/>
        <v>0</v>
      </c>
      <c r="P206" s="13" t="str">
        <f t="shared" si="29"/>
        <v>SI</v>
      </c>
      <c r="Q206" s="23">
        <f t="shared" si="30"/>
        <v>0.25</v>
      </c>
      <c r="R206" s="12">
        <f t="shared" si="30"/>
        <v>0.75</v>
      </c>
    </row>
    <row r="207" spans="2:18">
      <c r="B207" t="str">
        <f t="shared" si="24"/>
        <v>Christian Omar Tiney Davila46294</v>
      </c>
      <c r="C207" t="s">
        <v>216</v>
      </c>
      <c r="D207" s="121">
        <v>46294</v>
      </c>
      <c r="E207" t="s">
        <v>99</v>
      </c>
      <c r="F207" t="s">
        <v>35</v>
      </c>
      <c r="G207" s="122">
        <v>0.25</v>
      </c>
      <c r="H207" s="122">
        <v>0.75</v>
      </c>
      <c r="I207" s="112">
        <v>0</v>
      </c>
      <c r="J207" s="112">
        <v>0</v>
      </c>
      <c r="K207" s="23">
        <f t="shared" si="25"/>
        <v>0.25</v>
      </c>
      <c r="L207" s="23">
        <f t="shared" si="26"/>
        <v>0</v>
      </c>
      <c r="M207" s="12">
        <f t="shared" si="31"/>
        <v>0.25</v>
      </c>
      <c r="N207" s="23">
        <f t="shared" si="27"/>
        <v>0.75</v>
      </c>
      <c r="O207" s="41">
        <f t="shared" si="28"/>
        <v>0</v>
      </c>
      <c r="P207" s="13" t="str">
        <f t="shared" si="29"/>
        <v>SI</v>
      </c>
      <c r="Q207" s="23">
        <f t="shared" si="30"/>
        <v>0.25</v>
      </c>
      <c r="R207" s="12">
        <f t="shared" si="30"/>
        <v>0.75</v>
      </c>
    </row>
    <row r="208" spans="2:18">
      <c r="B208" t="str">
        <f t="shared" si="24"/>
        <v>Christian Omar Tiney Davila46295</v>
      </c>
      <c r="C208" t="s">
        <v>216</v>
      </c>
      <c r="D208" s="121">
        <v>46295</v>
      </c>
      <c r="E208" t="s">
        <v>100</v>
      </c>
      <c r="F208" t="s">
        <v>35</v>
      </c>
      <c r="G208" s="122">
        <v>0.25</v>
      </c>
      <c r="H208" s="122">
        <v>0.75</v>
      </c>
      <c r="I208" s="112">
        <v>0</v>
      </c>
      <c r="J208" s="112">
        <v>0</v>
      </c>
      <c r="K208" s="23">
        <f t="shared" si="25"/>
        <v>0.25</v>
      </c>
      <c r="L208" s="23">
        <f t="shared" si="26"/>
        <v>0</v>
      </c>
      <c r="M208" s="12">
        <f t="shared" si="31"/>
        <v>0.25</v>
      </c>
      <c r="N208" s="23">
        <f t="shared" si="27"/>
        <v>0.75</v>
      </c>
      <c r="O208" s="41">
        <f t="shared" si="28"/>
        <v>0</v>
      </c>
      <c r="P208" s="13" t="str">
        <f t="shared" si="29"/>
        <v>SI</v>
      </c>
      <c r="Q208" s="23">
        <f t="shared" si="30"/>
        <v>0.25</v>
      </c>
      <c r="R208" s="12">
        <f t="shared" si="30"/>
        <v>0.75</v>
      </c>
    </row>
    <row r="209" spans="2:18">
      <c r="B209" t="str">
        <f t="shared" si="24"/>
        <v>Christian Omar Tiney Davila46296</v>
      </c>
      <c r="C209" t="s">
        <v>216</v>
      </c>
      <c r="D209" s="121">
        <v>46296</v>
      </c>
      <c r="E209" t="s">
        <v>101</v>
      </c>
      <c r="F209" t="s">
        <v>35</v>
      </c>
      <c r="G209" s="122">
        <v>0.25</v>
      </c>
      <c r="H209" s="122">
        <v>0.75</v>
      </c>
      <c r="I209" s="112">
        <v>0</v>
      </c>
      <c r="J209" s="112">
        <v>0</v>
      </c>
      <c r="K209" s="23">
        <f t="shared" si="25"/>
        <v>0.25</v>
      </c>
      <c r="L209" s="23">
        <f t="shared" si="26"/>
        <v>0</v>
      </c>
      <c r="M209" s="12">
        <f t="shared" si="31"/>
        <v>0.25</v>
      </c>
      <c r="N209" s="23">
        <f t="shared" si="27"/>
        <v>0.75</v>
      </c>
      <c r="O209" s="41">
        <f t="shared" si="28"/>
        <v>0</v>
      </c>
      <c r="P209" s="13" t="str">
        <f t="shared" si="29"/>
        <v>SI</v>
      </c>
      <c r="Q209" s="23">
        <f t="shared" si="30"/>
        <v>0.25</v>
      </c>
      <c r="R209" s="12">
        <f t="shared" si="30"/>
        <v>0.75</v>
      </c>
    </row>
    <row r="210" spans="2:18">
      <c r="B210" t="str">
        <f t="shared" si="24"/>
        <v>Christian Omar Tiney Davila46297</v>
      </c>
      <c r="C210" t="s">
        <v>216</v>
      </c>
      <c r="D210" s="121">
        <v>46297</v>
      </c>
      <c r="E210" t="s">
        <v>95</v>
      </c>
      <c r="F210" t="s">
        <v>35</v>
      </c>
      <c r="G210" s="122">
        <v>0.25</v>
      </c>
      <c r="H210" s="122">
        <v>0.75</v>
      </c>
      <c r="I210" s="112">
        <v>0</v>
      </c>
      <c r="J210" s="112">
        <v>0</v>
      </c>
      <c r="K210" s="23">
        <f t="shared" si="25"/>
        <v>0.25</v>
      </c>
      <c r="L210" s="23">
        <f t="shared" si="26"/>
        <v>0</v>
      </c>
      <c r="M210" s="12">
        <f t="shared" si="31"/>
        <v>0.25</v>
      </c>
      <c r="N210" s="23">
        <f t="shared" si="27"/>
        <v>0.75</v>
      </c>
      <c r="O210" s="41">
        <f t="shared" si="28"/>
        <v>0</v>
      </c>
      <c r="P210" s="13" t="str">
        <f t="shared" si="29"/>
        <v>SI</v>
      </c>
      <c r="Q210" s="23">
        <f t="shared" si="30"/>
        <v>0.25</v>
      </c>
      <c r="R210" s="12">
        <f t="shared" si="30"/>
        <v>0.75</v>
      </c>
    </row>
    <row r="211" spans="2:18">
      <c r="B211" t="str">
        <f t="shared" si="24"/>
        <v>Christian Omar Tiney Davila46298</v>
      </c>
      <c r="C211" t="s">
        <v>216</v>
      </c>
      <c r="D211" s="121">
        <v>46298</v>
      </c>
      <c r="E211" t="s">
        <v>96</v>
      </c>
      <c r="F211" t="s">
        <v>35</v>
      </c>
      <c r="G211" s="122">
        <v>0.33333333333333298</v>
      </c>
      <c r="H211" s="122">
        <v>0.70833333333333304</v>
      </c>
      <c r="I211" s="112">
        <v>0</v>
      </c>
      <c r="J211" s="112">
        <v>0</v>
      </c>
      <c r="K211" s="23">
        <f t="shared" si="25"/>
        <v>0.33333333333333298</v>
      </c>
      <c r="L211" s="23">
        <f t="shared" si="26"/>
        <v>0</v>
      </c>
      <c r="M211" s="12">
        <f t="shared" si="31"/>
        <v>0.33333333333333298</v>
      </c>
      <c r="N211" s="23">
        <f t="shared" si="27"/>
        <v>0.70833333333333304</v>
      </c>
      <c r="O211" s="41">
        <f t="shared" si="28"/>
        <v>0</v>
      </c>
      <c r="P211" s="13" t="str">
        <f t="shared" si="29"/>
        <v>SI</v>
      </c>
      <c r="Q211" s="23">
        <f t="shared" si="30"/>
        <v>0.33333333333333298</v>
      </c>
      <c r="R211" s="12">
        <f t="shared" si="30"/>
        <v>0.70833333333333304</v>
      </c>
    </row>
    <row r="212" spans="2:18">
      <c r="B212" t="str">
        <f t="shared" si="24"/>
        <v>Christian Omar Tiney Davila46299</v>
      </c>
      <c r="C212" t="s">
        <v>216</v>
      </c>
      <c r="D212" s="121">
        <v>46299</v>
      </c>
      <c r="E212" t="s">
        <v>97</v>
      </c>
      <c r="F212" t="s">
        <v>72</v>
      </c>
      <c r="G212" s="122">
        <v>0</v>
      </c>
      <c r="H212" s="122">
        <v>0</v>
      </c>
      <c r="I212" s="112">
        <v>0</v>
      </c>
      <c r="J212" s="112">
        <v>0</v>
      </c>
      <c r="K212" s="23">
        <f t="shared" si="25"/>
        <v>0</v>
      </c>
      <c r="L212" s="23">
        <f t="shared" si="26"/>
        <v>0</v>
      </c>
      <c r="M212" s="12">
        <f t="shared" si="31"/>
        <v>0</v>
      </c>
      <c r="N212" s="23">
        <f t="shared" si="27"/>
        <v>0</v>
      </c>
      <c r="O212" s="41">
        <f t="shared" si="28"/>
        <v>0</v>
      </c>
      <c r="P212" s="13" t="str">
        <f t="shared" si="29"/>
        <v>NO</v>
      </c>
      <c r="Q212" s="23">
        <f t="shared" si="30"/>
        <v>0</v>
      </c>
      <c r="R212" s="12">
        <f t="shared" si="30"/>
        <v>0</v>
      </c>
    </row>
    <row r="213" spans="2:18">
      <c r="B213" t="str">
        <f t="shared" si="24"/>
        <v>Cristian Arody Ordoñez Reyes46279</v>
      </c>
      <c r="C213" t="s">
        <v>253</v>
      </c>
      <c r="D213" s="121">
        <v>46279</v>
      </c>
      <c r="E213" t="s">
        <v>98</v>
      </c>
      <c r="F213" t="s">
        <v>72</v>
      </c>
      <c r="G213" s="122">
        <v>0</v>
      </c>
      <c r="H213" s="122">
        <v>0</v>
      </c>
      <c r="I213" s="112">
        <v>0</v>
      </c>
      <c r="J213" s="112">
        <v>0</v>
      </c>
      <c r="K213" s="23">
        <f t="shared" si="25"/>
        <v>0</v>
      </c>
      <c r="L213" s="23">
        <f t="shared" si="26"/>
        <v>0</v>
      </c>
      <c r="M213" s="12">
        <f t="shared" si="31"/>
        <v>0</v>
      </c>
      <c r="N213" s="23">
        <f t="shared" si="27"/>
        <v>0</v>
      </c>
      <c r="O213" s="41">
        <f t="shared" si="28"/>
        <v>0</v>
      </c>
      <c r="P213" s="13" t="str">
        <f t="shared" si="29"/>
        <v>NO</v>
      </c>
      <c r="Q213" s="23">
        <f t="shared" si="30"/>
        <v>0</v>
      </c>
      <c r="R213" s="12">
        <f t="shared" si="30"/>
        <v>0</v>
      </c>
    </row>
    <row r="214" spans="2:18">
      <c r="B214" t="str">
        <f t="shared" si="24"/>
        <v>Cristian Arody Ordoñez Reyes46280</v>
      </c>
      <c r="C214" t="s">
        <v>253</v>
      </c>
      <c r="D214" s="121">
        <v>46280</v>
      </c>
      <c r="E214" t="s">
        <v>99</v>
      </c>
      <c r="F214" t="s">
        <v>35</v>
      </c>
      <c r="G214" s="122">
        <v>0.33333333333333298</v>
      </c>
      <c r="H214" s="122">
        <v>0.70833333333333304</v>
      </c>
      <c r="I214" s="112">
        <v>0</v>
      </c>
      <c r="J214" s="112">
        <v>0</v>
      </c>
      <c r="K214" s="23">
        <f t="shared" si="25"/>
        <v>0.33333333333333298</v>
      </c>
      <c r="L214" s="23">
        <f t="shared" si="26"/>
        <v>0</v>
      </c>
      <c r="M214" s="12">
        <f t="shared" si="31"/>
        <v>0.33333333333333298</v>
      </c>
      <c r="N214" s="23">
        <f t="shared" si="27"/>
        <v>0.70833333333333304</v>
      </c>
      <c r="O214" s="41">
        <f t="shared" si="28"/>
        <v>0</v>
      </c>
      <c r="P214" s="13" t="str">
        <f t="shared" si="29"/>
        <v>SI</v>
      </c>
      <c r="Q214" s="23">
        <f t="shared" si="30"/>
        <v>0.33333333333333298</v>
      </c>
      <c r="R214" s="12">
        <f t="shared" si="30"/>
        <v>0.70833333333333304</v>
      </c>
    </row>
    <row r="215" spans="2:18">
      <c r="B215" t="str">
        <f t="shared" si="24"/>
        <v>Cristian Arody Ordoñez Reyes46281</v>
      </c>
      <c r="C215" t="s">
        <v>253</v>
      </c>
      <c r="D215" s="121">
        <v>46281</v>
      </c>
      <c r="E215" t="s">
        <v>100</v>
      </c>
      <c r="F215" t="s">
        <v>35</v>
      </c>
      <c r="G215" s="122">
        <v>0.25</v>
      </c>
      <c r="H215" s="122">
        <v>0.75</v>
      </c>
      <c r="I215" s="112">
        <v>0</v>
      </c>
      <c r="J215" s="112">
        <v>0</v>
      </c>
      <c r="K215" s="23">
        <f t="shared" si="25"/>
        <v>0.25</v>
      </c>
      <c r="L215" s="23">
        <f t="shared" si="26"/>
        <v>0</v>
      </c>
      <c r="M215" s="12">
        <f t="shared" si="31"/>
        <v>0.25</v>
      </c>
      <c r="N215" s="23">
        <f t="shared" si="27"/>
        <v>0.75</v>
      </c>
      <c r="O215" s="41">
        <f t="shared" si="28"/>
        <v>0</v>
      </c>
      <c r="P215" s="13" t="str">
        <f t="shared" si="29"/>
        <v>SI</v>
      </c>
      <c r="Q215" s="23">
        <f t="shared" si="30"/>
        <v>0.25</v>
      </c>
      <c r="R215" s="12">
        <f t="shared" si="30"/>
        <v>0.75</v>
      </c>
    </row>
    <row r="216" spans="2:18">
      <c r="B216" t="str">
        <f t="shared" si="24"/>
        <v>Cristian Arody Ordoñez Reyes46282</v>
      </c>
      <c r="C216" t="s">
        <v>253</v>
      </c>
      <c r="D216" s="121">
        <v>46282</v>
      </c>
      <c r="E216" t="s">
        <v>101</v>
      </c>
      <c r="F216" t="s">
        <v>35</v>
      </c>
      <c r="G216" s="122">
        <v>0.25</v>
      </c>
      <c r="H216" s="122">
        <v>0.75</v>
      </c>
      <c r="I216" s="112">
        <v>0</v>
      </c>
      <c r="J216" s="112">
        <v>0</v>
      </c>
      <c r="K216" s="23">
        <f t="shared" si="25"/>
        <v>0.25</v>
      </c>
      <c r="L216" s="23">
        <f t="shared" si="26"/>
        <v>0</v>
      </c>
      <c r="M216" s="12">
        <f t="shared" si="31"/>
        <v>0.25</v>
      </c>
      <c r="N216" s="23">
        <f t="shared" si="27"/>
        <v>0.75</v>
      </c>
      <c r="O216" s="41">
        <f t="shared" si="28"/>
        <v>0</v>
      </c>
      <c r="P216" s="13" t="str">
        <f t="shared" si="29"/>
        <v>SI</v>
      </c>
      <c r="Q216" s="23">
        <f t="shared" si="30"/>
        <v>0.25</v>
      </c>
      <c r="R216" s="12">
        <f t="shared" si="30"/>
        <v>0.75</v>
      </c>
    </row>
    <row r="217" spans="2:18">
      <c r="B217" t="str">
        <f t="shared" si="24"/>
        <v>Cristian Arody Ordoñez Reyes46283</v>
      </c>
      <c r="C217" t="s">
        <v>253</v>
      </c>
      <c r="D217" s="121">
        <v>46283</v>
      </c>
      <c r="E217" t="s">
        <v>95</v>
      </c>
      <c r="F217" t="s">
        <v>35</v>
      </c>
      <c r="G217" s="122">
        <v>0.25</v>
      </c>
      <c r="H217" s="122">
        <v>0.75</v>
      </c>
      <c r="I217" s="112">
        <v>0</v>
      </c>
      <c r="J217" s="112">
        <v>0</v>
      </c>
      <c r="K217" s="23">
        <f t="shared" si="25"/>
        <v>0.25</v>
      </c>
      <c r="L217" s="23">
        <f t="shared" si="26"/>
        <v>0</v>
      </c>
      <c r="M217" s="12">
        <f t="shared" si="31"/>
        <v>0.25</v>
      </c>
      <c r="N217" s="23">
        <f t="shared" si="27"/>
        <v>0.75</v>
      </c>
      <c r="O217" s="41">
        <f t="shared" si="28"/>
        <v>0</v>
      </c>
      <c r="P217" s="13" t="str">
        <f t="shared" si="29"/>
        <v>SI</v>
      </c>
      <c r="Q217" s="23">
        <f t="shared" si="30"/>
        <v>0.25</v>
      </c>
      <c r="R217" s="12">
        <f t="shared" si="30"/>
        <v>0.75</v>
      </c>
    </row>
    <row r="218" spans="2:18">
      <c r="B218" t="str">
        <f t="shared" si="24"/>
        <v>Cristian Arody Ordoñez Reyes46284</v>
      </c>
      <c r="C218" t="s">
        <v>253</v>
      </c>
      <c r="D218" s="121">
        <v>46284</v>
      </c>
      <c r="E218" t="s">
        <v>96</v>
      </c>
      <c r="F218" t="s">
        <v>35</v>
      </c>
      <c r="G218" s="122">
        <v>0.25</v>
      </c>
      <c r="H218" s="122">
        <v>0.58333333333333304</v>
      </c>
      <c r="I218" s="112">
        <v>0</v>
      </c>
      <c r="J218" s="112">
        <v>0</v>
      </c>
      <c r="K218" s="23">
        <f t="shared" si="25"/>
        <v>0.25</v>
      </c>
      <c r="L218" s="23">
        <f t="shared" si="26"/>
        <v>0</v>
      </c>
      <c r="M218" s="12">
        <f t="shared" si="31"/>
        <v>0.25</v>
      </c>
      <c r="N218" s="23">
        <f t="shared" si="27"/>
        <v>0.58333333333333304</v>
      </c>
      <c r="O218" s="41">
        <f t="shared" si="28"/>
        <v>0</v>
      </c>
      <c r="P218" s="13" t="str">
        <f t="shared" si="29"/>
        <v>SI</v>
      </c>
      <c r="Q218" s="23">
        <f t="shared" si="30"/>
        <v>0.25</v>
      </c>
      <c r="R218" s="12">
        <f t="shared" si="30"/>
        <v>0.58333333333333304</v>
      </c>
    </row>
    <row r="219" spans="2:18">
      <c r="B219" t="str">
        <f t="shared" si="24"/>
        <v>Cristian Arody Ordoñez Reyes46285</v>
      </c>
      <c r="C219" t="s">
        <v>253</v>
      </c>
      <c r="D219" s="121">
        <v>46285</v>
      </c>
      <c r="E219" t="s">
        <v>97</v>
      </c>
      <c r="F219" t="s">
        <v>72</v>
      </c>
      <c r="G219" s="122">
        <v>0</v>
      </c>
      <c r="H219" s="122">
        <v>0</v>
      </c>
      <c r="I219" s="112">
        <v>0</v>
      </c>
      <c r="J219" s="112">
        <v>0</v>
      </c>
      <c r="K219" s="23">
        <f t="shared" si="25"/>
        <v>0</v>
      </c>
      <c r="L219" s="23">
        <f t="shared" si="26"/>
        <v>0</v>
      </c>
      <c r="M219" s="12">
        <f t="shared" si="31"/>
        <v>0</v>
      </c>
      <c r="N219" s="23">
        <f t="shared" si="27"/>
        <v>0</v>
      </c>
      <c r="O219" s="41">
        <f t="shared" si="28"/>
        <v>0</v>
      </c>
      <c r="P219" s="13" t="str">
        <f t="shared" si="29"/>
        <v>NO</v>
      </c>
      <c r="Q219" s="23">
        <f t="shared" si="30"/>
        <v>0</v>
      </c>
      <c r="R219" s="12">
        <f t="shared" si="30"/>
        <v>0</v>
      </c>
    </row>
    <row r="220" spans="2:18">
      <c r="B220" t="str">
        <f t="shared" si="24"/>
        <v>Cristian Arody Ordoñez Reyes46286</v>
      </c>
      <c r="C220" t="s">
        <v>253</v>
      </c>
      <c r="D220" s="121">
        <v>46286</v>
      </c>
      <c r="E220" t="s">
        <v>98</v>
      </c>
      <c r="F220" t="s">
        <v>36</v>
      </c>
      <c r="G220" s="122">
        <v>0.75</v>
      </c>
      <c r="H220" s="122">
        <v>0.25</v>
      </c>
      <c r="I220" s="112">
        <v>0</v>
      </c>
      <c r="J220" s="112">
        <v>0</v>
      </c>
      <c r="K220" s="23">
        <f t="shared" si="25"/>
        <v>0.75</v>
      </c>
      <c r="L220" s="23">
        <f t="shared" si="26"/>
        <v>0</v>
      </c>
      <c r="M220" s="12">
        <f t="shared" si="31"/>
        <v>0.75</v>
      </c>
      <c r="N220" s="23">
        <f t="shared" si="27"/>
        <v>0.25</v>
      </c>
      <c r="O220" s="41">
        <f t="shared" si="28"/>
        <v>0</v>
      </c>
      <c r="P220" s="13" t="str">
        <f t="shared" si="29"/>
        <v>SI</v>
      </c>
      <c r="Q220" s="23">
        <f t="shared" si="30"/>
        <v>0.75</v>
      </c>
      <c r="R220" s="12">
        <f t="shared" si="30"/>
        <v>0.25</v>
      </c>
    </row>
    <row r="221" spans="2:18">
      <c r="B221" t="str">
        <f t="shared" si="24"/>
        <v>Cristian Arody Ordoñez Reyes46287</v>
      </c>
      <c r="C221" t="s">
        <v>253</v>
      </c>
      <c r="D221" s="121">
        <v>46287</v>
      </c>
      <c r="E221" t="s">
        <v>99</v>
      </c>
      <c r="F221" t="s">
        <v>36</v>
      </c>
      <c r="G221" s="122">
        <v>0.75</v>
      </c>
      <c r="H221" s="122">
        <v>0.25</v>
      </c>
      <c r="I221" s="112">
        <v>0</v>
      </c>
      <c r="J221" s="112">
        <v>0</v>
      </c>
      <c r="K221" s="23">
        <f t="shared" si="25"/>
        <v>0.75</v>
      </c>
      <c r="L221" s="23">
        <f t="shared" si="26"/>
        <v>0</v>
      </c>
      <c r="M221" s="12">
        <f t="shared" si="31"/>
        <v>0.75</v>
      </c>
      <c r="N221" s="23">
        <f t="shared" si="27"/>
        <v>0.25</v>
      </c>
      <c r="O221" s="41">
        <f t="shared" si="28"/>
        <v>0</v>
      </c>
      <c r="P221" s="13" t="str">
        <f t="shared" si="29"/>
        <v>SI</v>
      </c>
      <c r="Q221" s="23">
        <f t="shared" si="30"/>
        <v>0.75</v>
      </c>
      <c r="R221" s="12">
        <f t="shared" si="30"/>
        <v>0.25</v>
      </c>
    </row>
    <row r="222" spans="2:18">
      <c r="B222" t="str">
        <f t="shared" si="24"/>
        <v>Cristian Arody Ordoñez Reyes46288</v>
      </c>
      <c r="C222" t="s">
        <v>253</v>
      </c>
      <c r="D222" s="121">
        <v>46288</v>
      </c>
      <c r="E222" t="s">
        <v>100</v>
      </c>
      <c r="F222" t="s">
        <v>36</v>
      </c>
      <c r="G222" s="122">
        <v>0.75</v>
      </c>
      <c r="H222" s="122">
        <v>0.25</v>
      </c>
      <c r="I222" s="112">
        <v>0</v>
      </c>
      <c r="J222" s="112">
        <v>0</v>
      </c>
      <c r="K222" s="23">
        <f t="shared" si="25"/>
        <v>0.75</v>
      </c>
      <c r="L222" s="23">
        <f t="shared" si="26"/>
        <v>0</v>
      </c>
      <c r="M222" s="12">
        <f t="shared" si="31"/>
        <v>0.75</v>
      </c>
      <c r="N222" s="23">
        <f t="shared" si="27"/>
        <v>0.25</v>
      </c>
      <c r="O222" s="41">
        <f t="shared" si="28"/>
        <v>0</v>
      </c>
      <c r="P222" s="13" t="str">
        <f t="shared" si="29"/>
        <v>SI</v>
      </c>
      <c r="Q222" s="23">
        <f t="shared" si="30"/>
        <v>0.75</v>
      </c>
      <c r="R222" s="12">
        <f t="shared" si="30"/>
        <v>0.25</v>
      </c>
    </row>
    <row r="223" spans="2:18">
      <c r="B223" t="str">
        <f t="shared" si="24"/>
        <v>Cristian Arody Ordoñez Reyes46289</v>
      </c>
      <c r="C223" t="s">
        <v>253</v>
      </c>
      <c r="D223" s="121">
        <v>46289</v>
      </c>
      <c r="E223" t="s">
        <v>101</v>
      </c>
      <c r="F223" t="s">
        <v>36</v>
      </c>
      <c r="G223" s="122">
        <v>0.75</v>
      </c>
      <c r="H223" s="122">
        <v>0.25</v>
      </c>
      <c r="I223" s="112">
        <v>0</v>
      </c>
      <c r="J223" s="112">
        <v>0</v>
      </c>
      <c r="K223" s="23">
        <f t="shared" si="25"/>
        <v>0.75</v>
      </c>
      <c r="L223" s="23">
        <f t="shared" si="26"/>
        <v>0</v>
      </c>
      <c r="M223" s="12">
        <f t="shared" si="31"/>
        <v>0.75</v>
      </c>
      <c r="N223" s="23">
        <f t="shared" si="27"/>
        <v>0.25</v>
      </c>
      <c r="O223" s="41">
        <f t="shared" si="28"/>
        <v>0</v>
      </c>
      <c r="P223" s="13" t="str">
        <f t="shared" si="29"/>
        <v>SI</v>
      </c>
      <c r="Q223" s="23">
        <f t="shared" si="30"/>
        <v>0.75</v>
      </c>
      <c r="R223" s="12">
        <f t="shared" si="30"/>
        <v>0.25</v>
      </c>
    </row>
    <row r="224" spans="2:18">
      <c r="B224" t="str">
        <f t="shared" si="24"/>
        <v>Cristian Arody Ordoñez Reyes46290</v>
      </c>
      <c r="C224" t="s">
        <v>253</v>
      </c>
      <c r="D224" s="121">
        <v>46290</v>
      </c>
      <c r="E224" t="s">
        <v>95</v>
      </c>
      <c r="F224" t="s">
        <v>36</v>
      </c>
      <c r="G224" s="122">
        <v>0.75</v>
      </c>
      <c r="H224" s="122">
        <v>0.25</v>
      </c>
      <c r="I224" s="112">
        <v>0</v>
      </c>
      <c r="J224" s="112">
        <v>0</v>
      </c>
      <c r="K224" s="23">
        <f t="shared" si="25"/>
        <v>0.75</v>
      </c>
      <c r="L224" s="23">
        <f t="shared" si="26"/>
        <v>0</v>
      </c>
      <c r="M224" s="12">
        <f t="shared" si="31"/>
        <v>0.75</v>
      </c>
      <c r="N224" s="23">
        <f t="shared" si="27"/>
        <v>0.25</v>
      </c>
      <c r="O224" s="41">
        <f t="shared" si="28"/>
        <v>0</v>
      </c>
      <c r="P224" s="13" t="str">
        <f t="shared" si="29"/>
        <v>SI</v>
      </c>
      <c r="Q224" s="23">
        <f t="shared" si="30"/>
        <v>0.75</v>
      </c>
      <c r="R224" s="12">
        <f t="shared" si="30"/>
        <v>0.25</v>
      </c>
    </row>
    <row r="225" spans="2:18">
      <c r="B225" t="str">
        <f t="shared" si="24"/>
        <v>Cristian Arody Ordoñez Reyes46291</v>
      </c>
      <c r="C225" t="s">
        <v>253</v>
      </c>
      <c r="D225" s="121">
        <v>46291</v>
      </c>
      <c r="E225" t="s">
        <v>96</v>
      </c>
      <c r="F225" t="s">
        <v>72</v>
      </c>
      <c r="G225" s="122">
        <v>0</v>
      </c>
      <c r="H225" s="122">
        <v>0</v>
      </c>
      <c r="I225" s="112">
        <v>0</v>
      </c>
      <c r="J225" s="112">
        <v>0</v>
      </c>
      <c r="K225" s="23">
        <f t="shared" si="25"/>
        <v>0</v>
      </c>
      <c r="L225" s="23">
        <f t="shared" si="26"/>
        <v>0</v>
      </c>
      <c r="M225" s="12">
        <f t="shared" si="31"/>
        <v>0</v>
      </c>
      <c r="N225" s="23">
        <f t="shared" si="27"/>
        <v>0</v>
      </c>
      <c r="O225" s="41">
        <f t="shared" si="28"/>
        <v>0</v>
      </c>
      <c r="P225" s="13" t="str">
        <f t="shared" si="29"/>
        <v>NO</v>
      </c>
      <c r="Q225" s="23">
        <f t="shared" si="30"/>
        <v>0</v>
      </c>
      <c r="R225" s="12">
        <f t="shared" si="30"/>
        <v>0</v>
      </c>
    </row>
    <row r="226" spans="2:18">
      <c r="B226" t="str">
        <f t="shared" si="24"/>
        <v>Cristian Arody Ordoñez Reyes46292</v>
      </c>
      <c r="C226" t="s">
        <v>253</v>
      </c>
      <c r="D226" s="121">
        <v>46292</v>
      </c>
      <c r="E226" t="s">
        <v>97</v>
      </c>
      <c r="F226" t="s">
        <v>72</v>
      </c>
      <c r="G226" s="122">
        <v>0</v>
      </c>
      <c r="H226" s="122">
        <v>0</v>
      </c>
      <c r="I226" s="112">
        <v>0</v>
      </c>
      <c r="J226" s="112">
        <v>0</v>
      </c>
      <c r="K226" s="23">
        <f t="shared" si="25"/>
        <v>0</v>
      </c>
      <c r="L226" s="23">
        <f t="shared" si="26"/>
        <v>0</v>
      </c>
      <c r="M226" s="12">
        <f t="shared" si="31"/>
        <v>0</v>
      </c>
      <c r="N226" s="23">
        <f t="shared" si="27"/>
        <v>0</v>
      </c>
      <c r="O226" s="41">
        <f t="shared" si="28"/>
        <v>0</v>
      </c>
      <c r="P226" s="13" t="str">
        <f t="shared" si="29"/>
        <v>NO</v>
      </c>
      <c r="Q226" s="23">
        <f t="shared" si="30"/>
        <v>0</v>
      </c>
      <c r="R226" s="12">
        <f t="shared" si="30"/>
        <v>0</v>
      </c>
    </row>
    <row r="227" spans="2:18">
      <c r="B227" t="str">
        <f t="shared" si="24"/>
        <v>Cristian Arody Ordoñez Reyes46293</v>
      </c>
      <c r="C227" t="s">
        <v>253</v>
      </c>
      <c r="D227" s="121">
        <v>46293</v>
      </c>
      <c r="E227" t="s">
        <v>98</v>
      </c>
      <c r="F227" t="s">
        <v>35</v>
      </c>
      <c r="G227" s="122">
        <v>0.25</v>
      </c>
      <c r="H227" s="122">
        <v>0.75</v>
      </c>
      <c r="I227" s="112">
        <v>0</v>
      </c>
      <c r="J227" s="112">
        <v>0</v>
      </c>
      <c r="K227" s="23">
        <f t="shared" si="25"/>
        <v>0.25</v>
      </c>
      <c r="L227" s="23">
        <f t="shared" si="26"/>
        <v>0</v>
      </c>
      <c r="M227" s="12">
        <f t="shared" si="31"/>
        <v>0.25</v>
      </c>
      <c r="N227" s="23">
        <f t="shared" si="27"/>
        <v>0.75</v>
      </c>
      <c r="O227" s="41">
        <f t="shared" si="28"/>
        <v>0</v>
      </c>
      <c r="P227" s="13" t="str">
        <f t="shared" si="29"/>
        <v>SI</v>
      </c>
      <c r="Q227" s="23">
        <f t="shared" si="30"/>
        <v>0.25</v>
      </c>
      <c r="R227" s="12">
        <f t="shared" si="30"/>
        <v>0.75</v>
      </c>
    </row>
    <row r="228" spans="2:18">
      <c r="B228" t="str">
        <f t="shared" si="24"/>
        <v>Cristian Arody Ordoñez Reyes46294</v>
      </c>
      <c r="C228" t="s">
        <v>253</v>
      </c>
      <c r="D228" s="121">
        <v>46294</v>
      </c>
      <c r="E228" t="s">
        <v>99</v>
      </c>
      <c r="F228" t="s">
        <v>35</v>
      </c>
      <c r="G228" s="122">
        <v>0.25</v>
      </c>
      <c r="H228" s="122">
        <v>0.75</v>
      </c>
      <c r="I228" s="112">
        <v>0</v>
      </c>
      <c r="J228" s="112">
        <v>0</v>
      </c>
      <c r="K228" s="23">
        <f t="shared" si="25"/>
        <v>0.25</v>
      </c>
      <c r="L228" s="23">
        <f t="shared" si="26"/>
        <v>0</v>
      </c>
      <c r="M228" s="12">
        <f t="shared" si="31"/>
        <v>0.25</v>
      </c>
      <c r="N228" s="23">
        <f t="shared" si="27"/>
        <v>0.75</v>
      </c>
      <c r="O228" s="41">
        <f t="shared" si="28"/>
        <v>0</v>
      </c>
      <c r="P228" s="13" t="str">
        <f t="shared" si="29"/>
        <v>SI</v>
      </c>
      <c r="Q228" s="23">
        <f t="shared" si="30"/>
        <v>0.25</v>
      </c>
      <c r="R228" s="12">
        <f t="shared" si="30"/>
        <v>0.75</v>
      </c>
    </row>
    <row r="229" spans="2:18">
      <c r="B229" t="str">
        <f t="shared" si="24"/>
        <v>Cristian Arody Ordoñez Reyes46295</v>
      </c>
      <c r="C229" t="s">
        <v>253</v>
      </c>
      <c r="D229" s="121">
        <v>46295</v>
      </c>
      <c r="E229" t="s">
        <v>100</v>
      </c>
      <c r="F229" t="s">
        <v>35</v>
      </c>
      <c r="G229" s="122">
        <v>0.25</v>
      </c>
      <c r="H229" s="122">
        <v>0.75</v>
      </c>
      <c r="I229" s="112">
        <v>0</v>
      </c>
      <c r="J229" s="112">
        <v>0</v>
      </c>
      <c r="K229" s="23">
        <f t="shared" si="25"/>
        <v>0.25</v>
      </c>
      <c r="L229" s="23">
        <f t="shared" si="26"/>
        <v>0</v>
      </c>
      <c r="M229" s="12">
        <f t="shared" si="31"/>
        <v>0.25</v>
      </c>
      <c r="N229" s="23">
        <f t="shared" si="27"/>
        <v>0.75</v>
      </c>
      <c r="O229" s="41">
        <f t="shared" si="28"/>
        <v>0</v>
      </c>
      <c r="P229" s="13" t="str">
        <f t="shared" si="29"/>
        <v>SI</v>
      </c>
      <c r="Q229" s="23">
        <f t="shared" si="30"/>
        <v>0.25</v>
      </c>
      <c r="R229" s="12">
        <f t="shared" si="30"/>
        <v>0.75</v>
      </c>
    </row>
    <row r="230" spans="2:18">
      <c r="B230" t="str">
        <f t="shared" si="24"/>
        <v>Cristian Arody Ordoñez Reyes46296</v>
      </c>
      <c r="C230" t="s">
        <v>253</v>
      </c>
      <c r="D230" s="121">
        <v>46296</v>
      </c>
      <c r="E230" t="s">
        <v>101</v>
      </c>
      <c r="F230" t="s">
        <v>35</v>
      </c>
      <c r="G230" s="122">
        <v>0.25</v>
      </c>
      <c r="H230" s="122">
        <v>0.75</v>
      </c>
      <c r="I230" s="112">
        <v>0</v>
      </c>
      <c r="J230" s="112">
        <v>0</v>
      </c>
      <c r="K230" s="23">
        <f t="shared" si="25"/>
        <v>0.25</v>
      </c>
      <c r="L230" s="23">
        <f t="shared" si="26"/>
        <v>0</v>
      </c>
      <c r="M230" s="12">
        <f t="shared" si="31"/>
        <v>0.25</v>
      </c>
      <c r="N230" s="23">
        <f t="shared" si="27"/>
        <v>0.75</v>
      </c>
      <c r="O230" s="41">
        <f t="shared" si="28"/>
        <v>0</v>
      </c>
      <c r="P230" s="13" t="str">
        <f t="shared" si="29"/>
        <v>SI</v>
      </c>
      <c r="Q230" s="23">
        <f t="shared" si="30"/>
        <v>0.25</v>
      </c>
      <c r="R230" s="12">
        <f t="shared" si="30"/>
        <v>0.75</v>
      </c>
    </row>
    <row r="231" spans="2:18">
      <c r="B231" t="str">
        <f t="shared" si="24"/>
        <v>Cristian Arody Ordoñez Reyes46297</v>
      </c>
      <c r="C231" t="s">
        <v>253</v>
      </c>
      <c r="D231" s="121">
        <v>46297</v>
      </c>
      <c r="E231" t="s">
        <v>95</v>
      </c>
      <c r="F231" t="s">
        <v>35</v>
      </c>
      <c r="G231" s="122">
        <v>0.25</v>
      </c>
      <c r="H231" s="122">
        <v>0.75</v>
      </c>
      <c r="I231" s="112">
        <v>0</v>
      </c>
      <c r="J231" s="112">
        <v>0</v>
      </c>
      <c r="K231" s="23">
        <f t="shared" si="25"/>
        <v>0.25</v>
      </c>
      <c r="L231" s="23">
        <f t="shared" si="26"/>
        <v>0</v>
      </c>
      <c r="M231" s="12">
        <f t="shared" si="31"/>
        <v>0.25</v>
      </c>
      <c r="N231" s="23">
        <f t="shared" si="27"/>
        <v>0.75</v>
      </c>
      <c r="O231" s="41">
        <f t="shared" si="28"/>
        <v>0</v>
      </c>
      <c r="P231" s="13" t="str">
        <f t="shared" si="29"/>
        <v>SI</v>
      </c>
      <c r="Q231" s="23">
        <f t="shared" si="30"/>
        <v>0.25</v>
      </c>
      <c r="R231" s="12">
        <f t="shared" si="30"/>
        <v>0.75</v>
      </c>
    </row>
    <row r="232" spans="2:18">
      <c r="B232" t="str">
        <f t="shared" si="24"/>
        <v>Cristian Arody Ordoñez Reyes46298</v>
      </c>
      <c r="C232" t="s">
        <v>253</v>
      </c>
      <c r="D232" s="121">
        <v>46298</v>
      </c>
      <c r="E232" t="s">
        <v>96</v>
      </c>
      <c r="F232" t="s">
        <v>35</v>
      </c>
      <c r="G232" s="122">
        <v>0.25</v>
      </c>
      <c r="H232" s="122">
        <v>0.58333333333333304</v>
      </c>
      <c r="I232" s="112">
        <v>0</v>
      </c>
      <c r="J232" s="112">
        <v>0</v>
      </c>
      <c r="K232" s="23">
        <f t="shared" si="25"/>
        <v>0.25</v>
      </c>
      <c r="L232" s="23">
        <f t="shared" si="26"/>
        <v>0</v>
      </c>
      <c r="M232" s="12">
        <f t="shared" si="31"/>
        <v>0.25</v>
      </c>
      <c r="N232" s="23">
        <f t="shared" si="27"/>
        <v>0.58333333333333304</v>
      </c>
      <c r="O232" s="41">
        <f t="shared" si="28"/>
        <v>0</v>
      </c>
      <c r="P232" s="13" t="str">
        <f t="shared" si="29"/>
        <v>SI</v>
      </c>
      <c r="Q232" s="23">
        <f t="shared" si="30"/>
        <v>0.25</v>
      </c>
      <c r="R232" s="12">
        <f t="shared" si="30"/>
        <v>0.58333333333333304</v>
      </c>
    </row>
    <row r="233" spans="2:18">
      <c r="B233" t="str">
        <f t="shared" si="24"/>
        <v>Cristian Arody Ordoñez Reyes46299</v>
      </c>
      <c r="C233" t="s">
        <v>253</v>
      </c>
      <c r="D233" s="121">
        <v>46299</v>
      </c>
      <c r="E233" t="s">
        <v>97</v>
      </c>
      <c r="F233" t="s">
        <v>72</v>
      </c>
      <c r="G233" s="122">
        <v>0</v>
      </c>
      <c r="H233" s="122">
        <v>0</v>
      </c>
      <c r="I233" s="112">
        <v>0</v>
      </c>
      <c r="J233" s="112">
        <v>0</v>
      </c>
      <c r="K233" s="23">
        <f t="shared" si="25"/>
        <v>0</v>
      </c>
      <c r="L233" s="23">
        <f t="shared" si="26"/>
        <v>0</v>
      </c>
      <c r="M233" s="12">
        <f t="shared" si="31"/>
        <v>0</v>
      </c>
      <c r="N233" s="23">
        <f t="shared" si="27"/>
        <v>0</v>
      </c>
      <c r="O233" s="41">
        <f t="shared" si="28"/>
        <v>0</v>
      </c>
      <c r="P233" s="13" t="str">
        <f t="shared" si="29"/>
        <v>NO</v>
      </c>
      <c r="Q233" s="23">
        <f t="shared" si="30"/>
        <v>0</v>
      </c>
      <c r="R233" s="12">
        <f t="shared" si="30"/>
        <v>0</v>
      </c>
    </row>
    <row r="234" spans="2:18">
      <c r="B234" t="str">
        <f t="shared" si="24"/>
        <v>DE PAZ REYES VICTOR ALFONSO46279</v>
      </c>
      <c r="C234" t="s">
        <v>3</v>
      </c>
      <c r="D234" s="121">
        <v>46279</v>
      </c>
      <c r="E234" t="s">
        <v>98</v>
      </c>
      <c r="F234" t="s">
        <v>72</v>
      </c>
      <c r="G234" s="122">
        <v>0</v>
      </c>
      <c r="H234" s="122">
        <v>0</v>
      </c>
      <c r="I234" s="112">
        <v>0</v>
      </c>
      <c r="J234" s="112">
        <v>0</v>
      </c>
      <c r="K234" s="23">
        <f t="shared" si="25"/>
        <v>0</v>
      </c>
      <c r="L234" s="23">
        <f t="shared" si="26"/>
        <v>0</v>
      </c>
      <c r="M234" s="12">
        <f t="shared" si="31"/>
        <v>0</v>
      </c>
      <c r="N234" s="23">
        <f t="shared" si="27"/>
        <v>0</v>
      </c>
      <c r="O234" s="41">
        <f t="shared" si="28"/>
        <v>0</v>
      </c>
      <c r="P234" s="13" t="str">
        <f t="shared" si="29"/>
        <v>NO</v>
      </c>
      <c r="Q234" s="23">
        <f t="shared" si="30"/>
        <v>0</v>
      </c>
      <c r="R234" s="12">
        <f t="shared" si="30"/>
        <v>0</v>
      </c>
    </row>
    <row r="235" spans="2:18">
      <c r="B235" t="str">
        <f t="shared" si="24"/>
        <v>DE PAZ REYES VICTOR ALFONSO46280</v>
      </c>
      <c r="C235" t="s">
        <v>3</v>
      </c>
      <c r="D235" s="121">
        <v>46280</v>
      </c>
      <c r="E235" t="s">
        <v>99</v>
      </c>
      <c r="F235" t="s">
        <v>35</v>
      </c>
      <c r="G235" s="122">
        <v>0.33333333333333298</v>
      </c>
      <c r="H235" s="122">
        <v>0.70833333333333304</v>
      </c>
      <c r="I235" s="112">
        <v>0</v>
      </c>
      <c r="J235" s="112">
        <v>0</v>
      </c>
      <c r="K235" s="23">
        <f t="shared" si="25"/>
        <v>0.33333333333333298</v>
      </c>
      <c r="L235" s="23">
        <f t="shared" si="26"/>
        <v>0</v>
      </c>
      <c r="M235" s="12">
        <f t="shared" si="31"/>
        <v>0.33333333333333298</v>
      </c>
      <c r="N235" s="23">
        <f t="shared" si="27"/>
        <v>0.70833333333333304</v>
      </c>
      <c r="O235" s="41">
        <f t="shared" si="28"/>
        <v>0</v>
      </c>
      <c r="P235" s="13" t="str">
        <f t="shared" si="29"/>
        <v>SI</v>
      </c>
      <c r="Q235" s="23">
        <f t="shared" si="30"/>
        <v>0.33333333333333298</v>
      </c>
      <c r="R235" s="12">
        <f t="shared" si="30"/>
        <v>0.70833333333333304</v>
      </c>
    </row>
    <row r="236" spans="2:18">
      <c r="B236" t="str">
        <f t="shared" si="24"/>
        <v>DE PAZ REYES VICTOR ALFONSO46281</v>
      </c>
      <c r="C236" t="s">
        <v>3</v>
      </c>
      <c r="D236" s="121">
        <v>46281</v>
      </c>
      <c r="E236" t="s">
        <v>100</v>
      </c>
      <c r="F236" t="s">
        <v>36</v>
      </c>
      <c r="G236" s="122">
        <v>0.73958333333333304</v>
      </c>
      <c r="H236" s="122">
        <v>0.25</v>
      </c>
      <c r="I236" s="112">
        <v>0</v>
      </c>
      <c r="J236" s="112">
        <v>0</v>
      </c>
      <c r="K236" s="23">
        <f t="shared" si="25"/>
        <v>0.73958333333333304</v>
      </c>
      <c r="L236" s="23">
        <f t="shared" si="26"/>
        <v>0</v>
      </c>
      <c r="M236" s="12">
        <f t="shared" si="31"/>
        <v>0.73958333333333304</v>
      </c>
      <c r="N236" s="23">
        <f t="shared" si="27"/>
        <v>0.25</v>
      </c>
      <c r="O236" s="41">
        <f t="shared" si="28"/>
        <v>0</v>
      </c>
      <c r="P236" s="13" t="str">
        <f t="shared" si="29"/>
        <v>SI</v>
      </c>
      <c r="Q236" s="23">
        <f t="shared" si="30"/>
        <v>0.73958333333333304</v>
      </c>
      <c r="R236" s="12">
        <f t="shared" si="30"/>
        <v>0.25</v>
      </c>
    </row>
    <row r="237" spans="2:18">
      <c r="B237" t="str">
        <f t="shared" si="24"/>
        <v>DE PAZ REYES VICTOR ALFONSO46282</v>
      </c>
      <c r="C237" t="s">
        <v>3</v>
      </c>
      <c r="D237" s="121">
        <v>46282</v>
      </c>
      <c r="E237" t="s">
        <v>101</v>
      </c>
      <c r="F237" t="s">
        <v>36</v>
      </c>
      <c r="G237" s="122">
        <v>0.73958333333333304</v>
      </c>
      <c r="H237" s="122">
        <v>0.25</v>
      </c>
      <c r="I237" s="112">
        <v>0</v>
      </c>
      <c r="J237" s="112">
        <v>0</v>
      </c>
      <c r="K237" s="23">
        <f t="shared" si="25"/>
        <v>0.73958333333333304</v>
      </c>
      <c r="L237" s="23">
        <f t="shared" si="26"/>
        <v>0</v>
      </c>
      <c r="M237" s="12">
        <f t="shared" si="31"/>
        <v>0.73958333333333304</v>
      </c>
      <c r="N237" s="23">
        <f t="shared" si="27"/>
        <v>0.25</v>
      </c>
      <c r="O237" s="41">
        <f t="shared" si="28"/>
        <v>0</v>
      </c>
      <c r="P237" s="13" t="str">
        <f t="shared" si="29"/>
        <v>SI</v>
      </c>
      <c r="Q237" s="23">
        <f t="shared" si="30"/>
        <v>0.73958333333333304</v>
      </c>
      <c r="R237" s="12">
        <f t="shared" si="30"/>
        <v>0.25</v>
      </c>
    </row>
    <row r="238" spans="2:18">
      <c r="B238" t="str">
        <f t="shared" ref="B238:B301" si="32">+C238&amp;D238</f>
        <v>DE PAZ REYES VICTOR ALFONSO46283</v>
      </c>
      <c r="C238" t="s">
        <v>3</v>
      </c>
      <c r="D238" s="121">
        <v>46283</v>
      </c>
      <c r="E238" t="s">
        <v>95</v>
      </c>
      <c r="F238" t="s">
        <v>36</v>
      </c>
      <c r="G238" s="122">
        <v>0.73958333333333304</v>
      </c>
      <c r="H238" s="122">
        <v>0.25</v>
      </c>
      <c r="I238" s="112">
        <v>0</v>
      </c>
      <c r="J238" s="112">
        <v>0</v>
      </c>
      <c r="K238" s="23">
        <f t="shared" ref="K238:K301" si="33">+IFERROR(G238,0)</f>
        <v>0.73958333333333304</v>
      </c>
      <c r="L238" s="23">
        <f t="shared" ref="L238:L301" si="34">+I238</f>
        <v>0</v>
      </c>
      <c r="M238" s="12">
        <f t="shared" si="31"/>
        <v>0.73958333333333304</v>
      </c>
      <c r="N238" s="23">
        <f t="shared" ref="N238:N301" si="35">+H238</f>
        <v>0.25</v>
      </c>
      <c r="O238" s="41">
        <f t="shared" ref="O238:O301" si="36">+J238</f>
        <v>0</v>
      </c>
      <c r="P238" s="13" t="str">
        <f t="shared" ref="P238:P301" si="37">+IF(O238&lt;N238,"SI","NO")</f>
        <v>SI</v>
      </c>
      <c r="Q238" s="23">
        <f t="shared" ref="Q238:R301" si="38">+M238</f>
        <v>0.73958333333333304</v>
      </c>
      <c r="R238" s="12">
        <f t="shared" si="38"/>
        <v>0.25</v>
      </c>
    </row>
    <row r="239" spans="2:18">
      <c r="B239" t="str">
        <f t="shared" si="32"/>
        <v>DE PAZ REYES VICTOR ALFONSO46284</v>
      </c>
      <c r="C239" t="s">
        <v>3</v>
      </c>
      <c r="D239" s="121">
        <v>46284</v>
      </c>
      <c r="E239" t="s">
        <v>96</v>
      </c>
      <c r="F239" t="s">
        <v>72</v>
      </c>
      <c r="G239" s="122">
        <v>0</v>
      </c>
      <c r="H239" s="122">
        <v>0</v>
      </c>
      <c r="I239" s="112">
        <v>0</v>
      </c>
      <c r="J239" s="112">
        <v>0</v>
      </c>
      <c r="K239" s="23">
        <f t="shared" si="33"/>
        <v>0</v>
      </c>
      <c r="L239" s="23">
        <f t="shared" si="34"/>
        <v>0</v>
      </c>
      <c r="M239" s="12">
        <f t="shared" ref="M239:M302" si="39">+IFERROR(MAX(K239:L239),0)</f>
        <v>0</v>
      </c>
      <c r="N239" s="23">
        <f t="shared" si="35"/>
        <v>0</v>
      </c>
      <c r="O239" s="41">
        <f t="shared" si="36"/>
        <v>0</v>
      </c>
      <c r="P239" s="13" t="str">
        <f t="shared" si="37"/>
        <v>NO</v>
      </c>
      <c r="Q239" s="23">
        <f t="shared" si="38"/>
        <v>0</v>
      </c>
      <c r="R239" s="12">
        <f t="shared" si="38"/>
        <v>0</v>
      </c>
    </row>
    <row r="240" spans="2:18">
      <c r="B240" t="str">
        <f t="shared" si="32"/>
        <v>DE PAZ REYES VICTOR ALFONSO46285</v>
      </c>
      <c r="C240" t="s">
        <v>3</v>
      </c>
      <c r="D240" s="121">
        <v>46285</v>
      </c>
      <c r="E240" t="s">
        <v>97</v>
      </c>
      <c r="F240" t="s">
        <v>72</v>
      </c>
      <c r="G240" s="122">
        <v>0</v>
      </c>
      <c r="H240" s="122">
        <v>0</v>
      </c>
      <c r="I240" s="112">
        <v>0</v>
      </c>
      <c r="J240" s="112">
        <v>0</v>
      </c>
      <c r="K240" s="23">
        <f t="shared" si="33"/>
        <v>0</v>
      </c>
      <c r="L240" s="23">
        <f t="shared" si="34"/>
        <v>0</v>
      </c>
      <c r="M240" s="12">
        <f t="shared" si="39"/>
        <v>0</v>
      </c>
      <c r="N240" s="23">
        <f t="shared" si="35"/>
        <v>0</v>
      </c>
      <c r="O240" s="41">
        <f t="shared" si="36"/>
        <v>0</v>
      </c>
      <c r="P240" s="13" t="str">
        <f t="shared" si="37"/>
        <v>NO</v>
      </c>
      <c r="Q240" s="23">
        <f t="shared" si="38"/>
        <v>0</v>
      </c>
      <c r="R240" s="12">
        <f t="shared" si="38"/>
        <v>0</v>
      </c>
    </row>
    <row r="241" spans="2:18">
      <c r="B241" t="str">
        <f t="shared" si="32"/>
        <v>DE PAZ REYES VICTOR ALFONSO46286</v>
      </c>
      <c r="C241" t="s">
        <v>3</v>
      </c>
      <c r="D241" s="121">
        <v>46286</v>
      </c>
      <c r="E241" t="s">
        <v>98</v>
      </c>
      <c r="F241" t="s">
        <v>35</v>
      </c>
      <c r="G241" s="122">
        <v>0.23958333333333301</v>
      </c>
      <c r="H241" s="122">
        <v>0.75</v>
      </c>
      <c r="I241" s="112">
        <v>0</v>
      </c>
      <c r="J241" s="112">
        <v>0</v>
      </c>
      <c r="K241" s="23">
        <f t="shared" si="33"/>
        <v>0.23958333333333301</v>
      </c>
      <c r="L241" s="23">
        <f t="shared" si="34"/>
        <v>0</v>
      </c>
      <c r="M241" s="12">
        <f t="shared" si="39"/>
        <v>0.23958333333333301</v>
      </c>
      <c r="N241" s="23">
        <f t="shared" si="35"/>
        <v>0.75</v>
      </c>
      <c r="O241" s="41">
        <f t="shared" si="36"/>
        <v>0</v>
      </c>
      <c r="P241" s="13" t="str">
        <f t="shared" si="37"/>
        <v>SI</v>
      </c>
      <c r="Q241" s="23">
        <f t="shared" si="38"/>
        <v>0.23958333333333301</v>
      </c>
      <c r="R241" s="12">
        <f t="shared" si="38"/>
        <v>0.75</v>
      </c>
    </row>
    <row r="242" spans="2:18">
      <c r="B242" t="str">
        <f t="shared" si="32"/>
        <v>DE PAZ REYES VICTOR ALFONSO46287</v>
      </c>
      <c r="C242" t="s">
        <v>3</v>
      </c>
      <c r="D242" s="121">
        <v>46287</v>
      </c>
      <c r="E242" t="s">
        <v>99</v>
      </c>
      <c r="F242" t="s">
        <v>35</v>
      </c>
      <c r="G242" s="122">
        <v>0.23958333333333301</v>
      </c>
      <c r="H242" s="122">
        <v>0.75</v>
      </c>
      <c r="I242" s="112">
        <v>0</v>
      </c>
      <c r="J242" s="112">
        <v>0</v>
      </c>
      <c r="K242" s="23">
        <f t="shared" si="33"/>
        <v>0.23958333333333301</v>
      </c>
      <c r="L242" s="23">
        <f t="shared" si="34"/>
        <v>0</v>
      </c>
      <c r="M242" s="12">
        <f t="shared" si="39"/>
        <v>0.23958333333333301</v>
      </c>
      <c r="N242" s="23">
        <f t="shared" si="35"/>
        <v>0.75</v>
      </c>
      <c r="O242" s="41">
        <f t="shared" si="36"/>
        <v>0</v>
      </c>
      <c r="P242" s="13" t="str">
        <f t="shared" si="37"/>
        <v>SI</v>
      </c>
      <c r="Q242" s="23">
        <f t="shared" si="38"/>
        <v>0.23958333333333301</v>
      </c>
      <c r="R242" s="12">
        <f t="shared" si="38"/>
        <v>0.75</v>
      </c>
    </row>
    <row r="243" spans="2:18">
      <c r="B243" t="str">
        <f t="shared" si="32"/>
        <v>DE PAZ REYES VICTOR ALFONSO46288</v>
      </c>
      <c r="C243" t="s">
        <v>3</v>
      </c>
      <c r="D243" s="121">
        <v>46288</v>
      </c>
      <c r="E243" t="s">
        <v>100</v>
      </c>
      <c r="F243" t="s">
        <v>35</v>
      </c>
      <c r="G243" s="122">
        <v>0.23958333333333301</v>
      </c>
      <c r="H243" s="122">
        <v>0.75</v>
      </c>
      <c r="I243" s="112">
        <v>0</v>
      </c>
      <c r="J243" s="112">
        <v>0</v>
      </c>
      <c r="K243" s="23">
        <f t="shared" si="33"/>
        <v>0.23958333333333301</v>
      </c>
      <c r="L243" s="23">
        <f t="shared" si="34"/>
        <v>0</v>
      </c>
      <c r="M243" s="12">
        <f t="shared" si="39"/>
        <v>0.23958333333333301</v>
      </c>
      <c r="N243" s="23">
        <f t="shared" si="35"/>
        <v>0.75</v>
      </c>
      <c r="O243" s="41">
        <f t="shared" si="36"/>
        <v>0</v>
      </c>
      <c r="P243" s="13" t="str">
        <f t="shared" si="37"/>
        <v>SI</v>
      </c>
      <c r="Q243" s="23">
        <f t="shared" si="38"/>
        <v>0.23958333333333301</v>
      </c>
      <c r="R243" s="12">
        <f t="shared" si="38"/>
        <v>0.75</v>
      </c>
    </row>
    <row r="244" spans="2:18">
      <c r="B244" t="str">
        <f t="shared" si="32"/>
        <v>DE PAZ REYES VICTOR ALFONSO46289</v>
      </c>
      <c r="C244" t="s">
        <v>3</v>
      </c>
      <c r="D244" s="121">
        <v>46289</v>
      </c>
      <c r="E244" t="s">
        <v>101</v>
      </c>
      <c r="F244" t="s">
        <v>35</v>
      </c>
      <c r="G244" s="122">
        <v>0.23958333333333301</v>
      </c>
      <c r="H244" s="122">
        <v>0.75</v>
      </c>
      <c r="I244" s="112">
        <v>0</v>
      </c>
      <c r="J244" s="112">
        <v>0</v>
      </c>
      <c r="K244" s="23">
        <f t="shared" si="33"/>
        <v>0.23958333333333301</v>
      </c>
      <c r="L244" s="23">
        <f t="shared" si="34"/>
        <v>0</v>
      </c>
      <c r="M244" s="12">
        <f t="shared" si="39"/>
        <v>0.23958333333333301</v>
      </c>
      <c r="N244" s="23">
        <f t="shared" si="35"/>
        <v>0.75</v>
      </c>
      <c r="O244" s="41">
        <f t="shared" si="36"/>
        <v>0</v>
      </c>
      <c r="P244" s="13" t="str">
        <f t="shared" si="37"/>
        <v>SI</v>
      </c>
      <c r="Q244" s="23">
        <f t="shared" si="38"/>
        <v>0.23958333333333301</v>
      </c>
      <c r="R244" s="12">
        <f t="shared" si="38"/>
        <v>0.75</v>
      </c>
    </row>
    <row r="245" spans="2:18">
      <c r="B245" t="str">
        <f t="shared" si="32"/>
        <v>DE PAZ REYES VICTOR ALFONSO46290</v>
      </c>
      <c r="C245" t="s">
        <v>3</v>
      </c>
      <c r="D245" s="121">
        <v>46290</v>
      </c>
      <c r="E245" t="s">
        <v>95</v>
      </c>
      <c r="F245" t="s">
        <v>35</v>
      </c>
      <c r="G245" s="122">
        <v>0.23958333333333301</v>
      </c>
      <c r="H245" s="122">
        <v>0.75</v>
      </c>
      <c r="I245" s="112">
        <v>0</v>
      </c>
      <c r="J245" s="112">
        <v>0</v>
      </c>
      <c r="K245" s="23">
        <f t="shared" si="33"/>
        <v>0.23958333333333301</v>
      </c>
      <c r="L245" s="23">
        <f t="shared" si="34"/>
        <v>0</v>
      </c>
      <c r="M245" s="12">
        <f t="shared" si="39"/>
        <v>0.23958333333333301</v>
      </c>
      <c r="N245" s="23">
        <f t="shared" si="35"/>
        <v>0.75</v>
      </c>
      <c r="O245" s="41">
        <f t="shared" si="36"/>
        <v>0</v>
      </c>
      <c r="P245" s="13" t="str">
        <f t="shared" si="37"/>
        <v>SI</v>
      </c>
      <c r="Q245" s="23">
        <f t="shared" si="38"/>
        <v>0.23958333333333301</v>
      </c>
      <c r="R245" s="12">
        <f t="shared" si="38"/>
        <v>0.75</v>
      </c>
    </row>
    <row r="246" spans="2:18">
      <c r="B246" t="str">
        <f t="shared" si="32"/>
        <v>DE PAZ REYES VICTOR ALFONSO46291</v>
      </c>
      <c r="C246" t="s">
        <v>3</v>
      </c>
      <c r="D246" s="121">
        <v>46291</v>
      </c>
      <c r="E246" t="s">
        <v>96</v>
      </c>
      <c r="F246" t="s">
        <v>35</v>
      </c>
      <c r="G246" s="122">
        <v>0.23958333333333301</v>
      </c>
      <c r="H246" s="122">
        <v>0.58333333333333304</v>
      </c>
      <c r="I246" s="112">
        <v>0</v>
      </c>
      <c r="J246" s="112">
        <v>0</v>
      </c>
      <c r="K246" s="23">
        <f t="shared" si="33"/>
        <v>0.23958333333333301</v>
      </c>
      <c r="L246" s="23">
        <f t="shared" si="34"/>
        <v>0</v>
      </c>
      <c r="M246" s="12">
        <f t="shared" si="39"/>
        <v>0.23958333333333301</v>
      </c>
      <c r="N246" s="23">
        <f t="shared" si="35"/>
        <v>0.58333333333333304</v>
      </c>
      <c r="O246" s="41">
        <f t="shared" si="36"/>
        <v>0</v>
      </c>
      <c r="P246" s="13" t="str">
        <f t="shared" si="37"/>
        <v>SI</v>
      </c>
      <c r="Q246" s="23">
        <f t="shared" si="38"/>
        <v>0.23958333333333301</v>
      </c>
      <c r="R246" s="12">
        <f t="shared" si="38"/>
        <v>0.58333333333333304</v>
      </c>
    </row>
    <row r="247" spans="2:18">
      <c r="B247" t="str">
        <f t="shared" si="32"/>
        <v>DE PAZ REYES VICTOR ALFONSO46292</v>
      </c>
      <c r="C247" t="s">
        <v>3</v>
      </c>
      <c r="D247" s="121">
        <v>46292</v>
      </c>
      <c r="E247" t="s">
        <v>97</v>
      </c>
      <c r="F247" t="s">
        <v>72</v>
      </c>
      <c r="G247" s="122">
        <v>0</v>
      </c>
      <c r="H247" s="122">
        <v>0</v>
      </c>
      <c r="I247" s="112">
        <v>0</v>
      </c>
      <c r="J247" s="112">
        <v>0</v>
      </c>
      <c r="K247" s="23">
        <f t="shared" si="33"/>
        <v>0</v>
      </c>
      <c r="L247" s="23">
        <f t="shared" si="34"/>
        <v>0</v>
      </c>
      <c r="M247" s="12">
        <f t="shared" si="39"/>
        <v>0</v>
      </c>
      <c r="N247" s="23">
        <f t="shared" si="35"/>
        <v>0</v>
      </c>
      <c r="O247" s="41">
        <f t="shared" si="36"/>
        <v>0</v>
      </c>
      <c r="P247" s="13" t="str">
        <f t="shared" si="37"/>
        <v>NO</v>
      </c>
      <c r="Q247" s="23">
        <f t="shared" si="38"/>
        <v>0</v>
      </c>
      <c r="R247" s="12">
        <f t="shared" si="38"/>
        <v>0</v>
      </c>
    </row>
    <row r="248" spans="2:18">
      <c r="B248" t="str">
        <f t="shared" si="32"/>
        <v>DE PAZ REYES VICTOR ALFONSO46293</v>
      </c>
      <c r="C248" t="s">
        <v>3</v>
      </c>
      <c r="D248" s="121">
        <v>46293</v>
      </c>
      <c r="E248" t="s">
        <v>98</v>
      </c>
      <c r="F248" t="s">
        <v>36</v>
      </c>
      <c r="G248" s="122">
        <v>0.73958333333333304</v>
      </c>
      <c r="H248" s="122">
        <v>0.25</v>
      </c>
      <c r="I248" s="112">
        <v>0</v>
      </c>
      <c r="J248" s="112">
        <v>0</v>
      </c>
      <c r="K248" s="23">
        <f t="shared" si="33"/>
        <v>0.73958333333333304</v>
      </c>
      <c r="L248" s="23">
        <f t="shared" si="34"/>
        <v>0</v>
      </c>
      <c r="M248" s="12">
        <f t="shared" si="39"/>
        <v>0.73958333333333304</v>
      </c>
      <c r="N248" s="23">
        <f t="shared" si="35"/>
        <v>0.25</v>
      </c>
      <c r="O248" s="41">
        <f t="shared" si="36"/>
        <v>0</v>
      </c>
      <c r="P248" s="13" t="str">
        <f t="shared" si="37"/>
        <v>SI</v>
      </c>
      <c r="Q248" s="23">
        <f t="shared" si="38"/>
        <v>0.73958333333333304</v>
      </c>
      <c r="R248" s="12">
        <f t="shared" si="38"/>
        <v>0.25</v>
      </c>
    </row>
    <row r="249" spans="2:18">
      <c r="B249" t="str">
        <f t="shared" si="32"/>
        <v>DE PAZ REYES VICTOR ALFONSO46294</v>
      </c>
      <c r="C249" t="s">
        <v>3</v>
      </c>
      <c r="D249" s="121">
        <v>46294</v>
      </c>
      <c r="E249" t="s">
        <v>99</v>
      </c>
      <c r="F249" t="s">
        <v>35</v>
      </c>
      <c r="G249" s="122">
        <v>0.33333333333333298</v>
      </c>
      <c r="H249" s="122">
        <v>0.70833333333333304</v>
      </c>
      <c r="I249" s="112">
        <v>0</v>
      </c>
      <c r="J249" s="112">
        <v>0</v>
      </c>
      <c r="K249" s="23">
        <f t="shared" si="33"/>
        <v>0.33333333333333298</v>
      </c>
      <c r="L249" s="23">
        <f t="shared" si="34"/>
        <v>0</v>
      </c>
      <c r="M249" s="12">
        <f t="shared" si="39"/>
        <v>0.33333333333333298</v>
      </c>
      <c r="N249" s="23">
        <f t="shared" si="35"/>
        <v>0.70833333333333304</v>
      </c>
      <c r="O249" s="41">
        <f t="shared" si="36"/>
        <v>0</v>
      </c>
      <c r="P249" s="13" t="str">
        <f t="shared" si="37"/>
        <v>SI</v>
      </c>
      <c r="Q249" s="23">
        <f t="shared" si="38"/>
        <v>0.33333333333333298</v>
      </c>
      <c r="R249" s="12">
        <f t="shared" si="38"/>
        <v>0.70833333333333304</v>
      </c>
    </row>
    <row r="250" spans="2:18">
      <c r="B250" t="str">
        <f t="shared" si="32"/>
        <v>DE PAZ REYES VICTOR ALFONSO46295</v>
      </c>
      <c r="C250" t="s">
        <v>3</v>
      </c>
      <c r="D250" s="121">
        <v>46295</v>
      </c>
      <c r="E250" t="s">
        <v>100</v>
      </c>
      <c r="F250" t="s">
        <v>36</v>
      </c>
      <c r="G250" s="122">
        <v>0.73958333333333304</v>
      </c>
      <c r="H250" s="122">
        <v>0.25</v>
      </c>
      <c r="I250" s="112">
        <v>0</v>
      </c>
      <c r="J250" s="112">
        <v>0</v>
      </c>
      <c r="K250" s="23">
        <f t="shared" si="33"/>
        <v>0.73958333333333304</v>
      </c>
      <c r="L250" s="23">
        <f t="shared" si="34"/>
        <v>0</v>
      </c>
      <c r="M250" s="12">
        <f t="shared" si="39"/>
        <v>0.73958333333333304</v>
      </c>
      <c r="N250" s="23">
        <f t="shared" si="35"/>
        <v>0.25</v>
      </c>
      <c r="O250" s="41">
        <f t="shared" si="36"/>
        <v>0</v>
      </c>
      <c r="P250" s="13" t="str">
        <f t="shared" si="37"/>
        <v>SI</v>
      </c>
      <c r="Q250" s="23">
        <f t="shared" si="38"/>
        <v>0.73958333333333304</v>
      </c>
      <c r="R250" s="12">
        <f t="shared" si="38"/>
        <v>0.25</v>
      </c>
    </row>
    <row r="251" spans="2:18">
      <c r="B251" t="str">
        <f t="shared" si="32"/>
        <v>DE PAZ REYES VICTOR ALFONSO46296</v>
      </c>
      <c r="C251" t="s">
        <v>3</v>
      </c>
      <c r="D251" s="121">
        <v>46296</v>
      </c>
      <c r="E251" t="s">
        <v>101</v>
      </c>
      <c r="F251" t="s">
        <v>36</v>
      </c>
      <c r="G251" s="122">
        <v>0.73958333333333304</v>
      </c>
      <c r="H251" s="122">
        <v>0.25</v>
      </c>
      <c r="I251" s="112">
        <v>0</v>
      </c>
      <c r="J251" s="112">
        <v>0</v>
      </c>
      <c r="K251" s="23">
        <f t="shared" si="33"/>
        <v>0.73958333333333304</v>
      </c>
      <c r="L251" s="23">
        <f t="shared" si="34"/>
        <v>0</v>
      </c>
      <c r="M251" s="12">
        <f t="shared" si="39"/>
        <v>0.73958333333333304</v>
      </c>
      <c r="N251" s="23">
        <f t="shared" si="35"/>
        <v>0.25</v>
      </c>
      <c r="O251" s="41">
        <f t="shared" si="36"/>
        <v>0</v>
      </c>
      <c r="P251" s="13" t="str">
        <f t="shared" si="37"/>
        <v>SI</v>
      </c>
      <c r="Q251" s="23">
        <f t="shared" si="38"/>
        <v>0.73958333333333304</v>
      </c>
      <c r="R251" s="12">
        <f t="shared" si="38"/>
        <v>0.25</v>
      </c>
    </row>
    <row r="252" spans="2:18">
      <c r="B252" t="str">
        <f t="shared" si="32"/>
        <v>DE PAZ REYES VICTOR ALFONSO46297</v>
      </c>
      <c r="C252" t="s">
        <v>3</v>
      </c>
      <c r="D252" s="121">
        <v>46297</v>
      </c>
      <c r="E252" t="s">
        <v>95</v>
      </c>
      <c r="F252" t="s">
        <v>36</v>
      </c>
      <c r="G252" s="122">
        <v>0.73958333333333304</v>
      </c>
      <c r="H252" s="122">
        <v>0.25</v>
      </c>
      <c r="I252" s="112">
        <v>0</v>
      </c>
      <c r="J252" s="112">
        <v>0</v>
      </c>
      <c r="K252" s="23">
        <f t="shared" si="33"/>
        <v>0.73958333333333304</v>
      </c>
      <c r="L252" s="23">
        <f t="shared" si="34"/>
        <v>0</v>
      </c>
      <c r="M252" s="12">
        <f t="shared" si="39"/>
        <v>0.73958333333333304</v>
      </c>
      <c r="N252" s="23">
        <f t="shared" si="35"/>
        <v>0.25</v>
      </c>
      <c r="O252" s="41">
        <f t="shared" si="36"/>
        <v>0</v>
      </c>
      <c r="P252" s="13" t="str">
        <f t="shared" si="37"/>
        <v>SI</v>
      </c>
      <c r="Q252" s="23">
        <f t="shared" si="38"/>
        <v>0.73958333333333304</v>
      </c>
      <c r="R252" s="12">
        <f t="shared" si="38"/>
        <v>0.25</v>
      </c>
    </row>
    <row r="253" spans="2:18">
      <c r="B253" t="str">
        <f t="shared" si="32"/>
        <v>DE PAZ REYES VICTOR ALFONSO46298</v>
      </c>
      <c r="C253" t="s">
        <v>3</v>
      </c>
      <c r="D253" s="121">
        <v>46298</v>
      </c>
      <c r="E253" t="s">
        <v>96</v>
      </c>
      <c r="F253" t="s">
        <v>72</v>
      </c>
      <c r="G253" s="122">
        <v>0</v>
      </c>
      <c r="H253" s="122">
        <v>0</v>
      </c>
      <c r="I253" s="112">
        <v>0</v>
      </c>
      <c r="J253" s="112">
        <v>0</v>
      </c>
      <c r="K253" s="23">
        <f t="shared" si="33"/>
        <v>0</v>
      </c>
      <c r="L253" s="23">
        <f t="shared" si="34"/>
        <v>0</v>
      </c>
      <c r="M253" s="12">
        <f t="shared" si="39"/>
        <v>0</v>
      </c>
      <c r="N253" s="23">
        <f t="shared" si="35"/>
        <v>0</v>
      </c>
      <c r="O253" s="41">
        <f t="shared" si="36"/>
        <v>0</v>
      </c>
      <c r="P253" s="13" t="str">
        <f t="shared" si="37"/>
        <v>NO</v>
      </c>
      <c r="Q253" s="23">
        <f t="shared" si="38"/>
        <v>0</v>
      </c>
      <c r="R253" s="12">
        <f t="shared" si="38"/>
        <v>0</v>
      </c>
    </row>
    <row r="254" spans="2:18">
      <c r="B254" t="str">
        <f t="shared" si="32"/>
        <v>DE PAZ REYES VICTOR ALFONSO46299</v>
      </c>
      <c r="C254" t="s">
        <v>3</v>
      </c>
      <c r="D254" s="121">
        <v>46299</v>
      </c>
      <c r="E254" t="s">
        <v>97</v>
      </c>
      <c r="F254" t="s">
        <v>72</v>
      </c>
      <c r="G254" s="122">
        <v>0</v>
      </c>
      <c r="H254" s="122">
        <v>0</v>
      </c>
      <c r="I254" s="112">
        <v>0</v>
      </c>
      <c r="J254" s="112">
        <v>0</v>
      </c>
      <c r="K254" s="23">
        <f t="shared" si="33"/>
        <v>0</v>
      </c>
      <c r="L254" s="23">
        <f t="shared" si="34"/>
        <v>0</v>
      </c>
      <c r="M254" s="12">
        <f t="shared" si="39"/>
        <v>0</v>
      </c>
      <c r="N254" s="23">
        <f t="shared" si="35"/>
        <v>0</v>
      </c>
      <c r="O254" s="41">
        <f t="shared" si="36"/>
        <v>0</v>
      </c>
      <c r="P254" s="13" t="str">
        <f t="shared" si="37"/>
        <v>NO</v>
      </c>
      <c r="Q254" s="23">
        <f t="shared" si="38"/>
        <v>0</v>
      </c>
      <c r="R254" s="12">
        <f t="shared" si="38"/>
        <v>0</v>
      </c>
    </row>
    <row r="255" spans="2:18">
      <c r="B255" t="str">
        <f t="shared" si="32"/>
        <v>DUVITSA ASUCELI ALBIZURES VALENZUELA46279</v>
      </c>
      <c r="C255" t="s">
        <v>251</v>
      </c>
      <c r="D255" s="121">
        <v>46279</v>
      </c>
      <c r="E255" t="s">
        <v>98</v>
      </c>
      <c r="F255" t="s">
        <v>35</v>
      </c>
      <c r="G255" s="122">
        <v>0.29166666666666702</v>
      </c>
      <c r="H255" s="122">
        <v>0.70833333333333304</v>
      </c>
      <c r="I255" s="112">
        <v>0</v>
      </c>
      <c r="J255" s="112">
        <v>0</v>
      </c>
      <c r="K255" s="23">
        <f t="shared" si="33"/>
        <v>0.29166666666666702</v>
      </c>
      <c r="L255" s="23">
        <f t="shared" si="34"/>
        <v>0</v>
      </c>
      <c r="M255" s="12">
        <f t="shared" si="39"/>
        <v>0.29166666666666702</v>
      </c>
      <c r="N255" s="23">
        <f t="shared" si="35"/>
        <v>0.70833333333333304</v>
      </c>
      <c r="O255" s="41">
        <f t="shared" si="36"/>
        <v>0</v>
      </c>
      <c r="P255" s="13" t="str">
        <f t="shared" si="37"/>
        <v>SI</v>
      </c>
      <c r="Q255" s="23">
        <f t="shared" si="38"/>
        <v>0.29166666666666702</v>
      </c>
      <c r="R255" s="12">
        <f t="shared" si="38"/>
        <v>0.70833333333333304</v>
      </c>
    </row>
    <row r="256" spans="2:18">
      <c r="B256" t="str">
        <f t="shared" si="32"/>
        <v>DUVITSA ASUCELI ALBIZURES VALENZUELA46280</v>
      </c>
      <c r="C256" t="s">
        <v>251</v>
      </c>
      <c r="D256" s="121">
        <v>46280</v>
      </c>
      <c r="E256" t="s">
        <v>99</v>
      </c>
      <c r="F256" t="s">
        <v>35</v>
      </c>
      <c r="G256" s="122">
        <v>0.29166666666666702</v>
      </c>
      <c r="H256" s="122">
        <v>0.70833333333333304</v>
      </c>
      <c r="I256" s="112">
        <v>0</v>
      </c>
      <c r="J256" s="112">
        <v>0</v>
      </c>
      <c r="K256" s="23">
        <f t="shared" si="33"/>
        <v>0.29166666666666702</v>
      </c>
      <c r="L256" s="23">
        <f t="shared" si="34"/>
        <v>0</v>
      </c>
      <c r="M256" s="12">
        <f t="shared" si="39"/>
        <v>0.29166666666666702</v>
      </c>
      <c r="N256" s="23">
        <f t="shared" si="35"/>
        <v>0.70833333333333304</v>
      </c>
      <c r="O256" s="41">
        <f t="shared" si="36"/>
        <v>0</v>
      </c>
      <c r="P256" s="13" t="str">
        <f t="shared" si="37"/>
        <v>SI</v>
      </c>
      <c r="Q256" s="23">
        <f t="shared" si="38"/>
        <v>0.29166666666666702</v>
      </c>
      <c r="R256" s="12">
        <f t="shared" si="38"/>
        <v>0.70833333333333304</v>
      </c>
    </row>
    <row r="257" spans="2:18">
      <c r="B257" t="str">
        <f t="shared" si="32"/>
        <v>DUVITSA ASUCELI ALBIZURES VALENZUELA46281</v>
      </c>
      <c r="C257" t="s">
        <v>251</v>
      </c>
      <c r="D257" s="121">
        <v>46281</v>
      </c>
      <c r="E257" t="s">
        <v>100</v>
      </c>
      <c r="F257" t="s">
        <v>35</v>
      </c>
      <c r="G257" s="122">
        <v>0.29166666666666702</v>
      </c>
      <c r="H257" s="122">
        <v>0.70833333333333304</v>
      </c>
      <c r="I257" s="112">
        <v>0</v>
      </c>
      <c r="J257" s="112">
        <v>0</v>
      </c>
      <c r="K257" s="23">
        <f t="shared" si="33"/>
        <v>0.29166666666666702</v>
      </c>
      <c r="L257" s="23">
        <f t="shared" si="34"/>
        <v>0</v>
      </c>
      <c r="M257" s="12">
        <f t="shared" si="39"/>
        <v>0.29166666666666702</v>
      </c>
      <c r="N257" s="23">
        <f t="shared" si="35"/>
        <v>0.70833333333333304</v>
      </c>
      <c r="O257" s="41">
        <f t="shared" si="36"/>
        <v>0</v>
      </c>
      <c r="P257" s="13" t="str">
        <f t="shared" si="37"/>
        <v>SI</v>
      </c>
      <c r="Q257" s="23">
        <f t="shared" si="38"/>
        <v>0.29166666666666702</v>
      </c>
      <c r="R257" s="12">
        <f t="shared" si="38"/>
        <v>0.70833333333333304</v>
      </c>
    </row>
    <row r="258" spans="2:18">
      <c r="B258" t="str">
        <f t="shared" si="32"/>
        <v>DUVITSA ASUCELI ALBIZURES VALENZUELA46282</v>
      </c>
      <c r="C258" t="s">
        <v>251</v>
      </c>
      <c r="D258" s="121">
        <v>46282</v>
      </c>
      <c r="E258" t="s">
        <v>101</v>
      </c>
      <c r="F258" t="s">
        <v>35</v>
      </c>
      <c r="G258" s="122">
        <v>0.29166666666666702</v>
      </c>
      <c r="H258" s="122">
        <v>0.70833333333333304</v>
      </c>
      <c r="I258" s="112">
        <v>0</v>
      </c>
      <c r="J258" s="112">
        <v>0</v>
      </c>
      <c r="K258" s="23">
        <f t="shared" si="33"/>
        <v>0.29166666666666702</v>
      </c>
      <c r="L258" s="23">
        <f t="shared" si="34"/>
        <v>0</v>
      </c>
      <c r="M258" s="12">
        <f t="shared" si="39"/>
        <v>0.29166666666666702</v>
      </c>
      <c r="N258" s="23">
        <f t="shared" si="35"/>
        <v>0.70833333333333304</v>
      </c>
      <c r="O258" s="41">
        <f t="shared" si="36"/>
        <v>0</v>
      </c>
      <c r="P258" s="13" t="str">
        <f t="shared" si="37"/>
        <v>SI</v>
      </c>
      <c r="Q258" s="23">
        <f t="shared" si="38"/>
        <v>0.29166666666666702</v>
      </c>
      <c r="R258" s="12">
        <f t="shared" si="38"/>
        <v>0.70833333333333304</v>
      </c>
    </row>
    <row r="259" spans="2:18">
      <c r="B259" t="str">
        <f t="shared" si="32"/>
        <v>DUVITSA ASUCELI ALBIZURES VALENZUELA46283</v>
      </c>
      <c r="C259" t="s">
        <v>251</v>
      </c>
      <c r="D259" s="121">
        <v>46283</v>
      </c>
      <c r="E259" t="s">
        <v>95</v>
      </c>
      <c r="F259" t="s">
        <v>35</v>
      </c>
      <c r="G259" s="122">
        <v>0.29166666666666702</v>
      </c>
      <c r="H259" s="122">
        <v>0.70833333333333304</v>
      </c>
      <c r="I259" s="112">
        <v>0</v>
      </c>
      <c r="J259" s="112">
        <v>0</v>
      </c>
      <c r="K259" s="23">
        <f t="shared" si="33"/>
        <v>0.29166666666666702</v>
      </c>
      <c r="L259" s="23">
        <f t="shared" si="34"/>
        <v>0</v>
      </c>
      <c r="M259" s="12">
        <f t="shared" si="39"/>
        <v>0.29166666666666702</v>
      </c>
      <c r="N259" s="23">
        <f t="shared" si="35"/>
        <v>0.70833333333333304</v>
      </c>
      <c r="O259" s="41">
        <f t="shared" si="36"/>
        <v>0</v>
      </c>
      <c r="P259" s="13" t="str">
        <f t="shared" si="37"/>
        <v>SI</v>
      </c>
      <c r="Q259" s="23">
        <f t="shared" si="38"/>
        <v>0.29166666666666702</v>
      </c>
      <c r="R259" s="12">
        <f t="shared" si="38"/>
        <v>0.70833333333333304</v>
      </c>
    </row>
    <row r="260" spans="2:18">
      <c r="B260" t="str">
        <f t="shared" si="32"/>
        <v>DUVITSA ASUCELI ALBIZURES VALENZUELA46284</v>
      </c>
      <c r="C260" t="s">
        <v>251</v>
      </c>
      <c r="D260" s="121">
        <v>46284</v>
      </c>
      <c r="E260" t="s">
        <v>96</v>
      </c>
      <c r="F260" t="s">
        <v>35</v>
      </c>
      <c r="G260" s="122">
        <v>0.29166666666666702</v>
      </c>
      <c r="H260" s="122">
        <v>0.58333333333333304</v>
      </c>
      <c r="I260" s="112">
        <v>0</v>
      </c>
      <c r="J260" s="112">
        <v>0</v>
      </c>
      <c r="K260" s="23">
        <f t="shared" si="33"/>
        <v>0.29166666666666702</v>
      </c>
      <c r="L260" s="23">
        <f t="shared" si="34"/>
        <v>0</v>
      </c>
      <c r="M260" s="12">
        <f t="shared" si="39"/>
        <v>0.29166666666666702</v>
      </c>
      <c r="N260" s="23">
        <f t="shared" si="35"/>
        <v>0.58333333333333304</v>
      </c>
      <c r="O260" s="41">
        <f t="shared" si="36"/>
        <v>0</v>
      </c>
      <c r="P260" s="13" t="str">
        <f t="shared" si="37"/>
        <v>SI</v>
      </c>
      <c r="Q260" s="23">
        <f t="shared" si="38"/>
        <v>0.29166666666666702</v>
      </c>
      <c r="R260" s="12">
        <f t="shared" si="38"/>
        <v>0.58333333333333304</v>
      </c>
    </row>
    <row r="261" spans="2:18">
      <c r="B261" t="str">
        <f t="shared" si="32"/>
        <v>DUVITSA ASUCELI ALBIZURES VALENZUELA46285</v>
      </c>
      <c r="C261" t="s">
        <v>251</v>
      </c>
      <c r="D261" s="121">
        <v>46285</v>
      </c>
      <c r="E261" t="s">
        <v>97</v>
      </c>
      <c r="F261" t="s">
        <v>72</v>
      </c>
      <c r="G261" s="122">
        <v>0</v>
      </c>
      <c r="H261" s="122">
        <v>0</v>
      </c>
      <c r="I261" s="112">
        <v>0</v>
      </c>
      <c r="J261" s="112">
        <v>0</v>
      </c>
      <c r="K261" s="23">
        <f t="shared" si="33"/>
        <v>0</v>
      </c>
      <c r="L261" s="23">
        <f t="shared" si="34"/>
        <v>0</v>
      </c>
      <c r="M261" s="12">
        <f t="shared" si="39"/>
        <v>0</v>
      </c>
      <c r="N261" s="23">
        <f t="shared" si="35"/>
        <v>0</v>
      </c>
      <c r="O261" s="41">
        <f t="shared" si="36"/>
        <v>0</v>
      </c>
      <c r="P261" s="13" t="str">
        <f t="shared" si="37"/>
        <v>NO</v>
      </c>
      <c r="Q261" s="23">
        <f t="shared" si="38"/>
        <v>0</v>
      </c>
      <c r="R261" s="12">
        <f t="shared" si="38"/>
        <v>0</v>
      </c>
    </row>
    <row r="262" spans="2:18">
      <c r="B262" t="str">
        <f t="shared" si="32"/>
        <v>DUVITSA ASUCELI ALBIZURES VALENZUELA46286</v>
      </c>
      <c r="C262" t="s">
        <v>251</v>
      </c>
      <c r="D262" s="121">
        <v>46286</v>
      </c>
      <c r="E262" t="s">
        <v>98</v>
      </c>
      <c r="F262" t="s">
        <v>35</v>
      </c>
      <c r="G262" s="122">
        <v>0.29166666666666702</v>
      </c>
      <c r="H262" s="122">
        <v>0.70833333333333304</v>
      </c>
      <c r="I262" s="112">
        <v>0</v>
      </c>
      <c r="J262" s="112">
        <v>0</v>
      </c>
      <c r="K262" s="23">
        <f t="shared" si="33"/>
        <v>0.29166666666666702</v>
      </c>
      <c r="L262" s="23">
        <f t="shared" si="34"/>
        <v>0</v>
      </c>
      <c r="M262" s="12">
        <f t="shared" si="39"/>
        <v>0.29166666666666702</v>
      </c>
      <c r="N262" s="23">
        <f t="shared" si="35"/>
        <v>0.70833333333333304</v>
      </c>
      <c r="O262" s="41">
        <f t="shared" si="36"/>
        <v>0</v>
      </c>
      <c r="P262" s="13" t="str">
        <f t="shared" si="37"/>
        <v>SI</v>
      </c>
      <c r="Q262" s="23">
        <f t="shared" si="38"/>
        <v>0.29166666666666702</v>
      </c>
      <c r="R262" s="12">
        <f t="shared" si="38"/>
        <v>0.70833333333333304</v>
      </c>
    </row>
    <row r="263" spans="2:18">
      <c r="B263" t="str">
        <f t="shared" si="32"/>
        <v>DUVITSA ASUCELI ALBIZURES VALENZUELA46287</v>
      </c>
      <c r="C263" t="s">
        <v>251</v>
      </c>
      <c r="D263" s="121">
        <v>46287</v>
      </c>
      <c r="E263" t="s">
        <v>99</v>
      </c>
      <c r="F263" t="s">
        <v>35</v>
      </c>
      <c r="G263" s="122">
        <v>0.29166666666666702</v>
      </c>
      <c r="H263" s="122">
        <v>0.70833333333333304</v>
      </c>
      <c r="I263" s="112">
        <v>0</v>
      </c>
      <c r="J263" s="112">
        <v>0</v>
      </c>
      <c r="K263" s="23">
        <f t="shared" si="33"/>
        <v>0.29166666666666702</v>
      </c>
      <c r="L263" s="23">
        <f t="shared" si="34"/>
        <v>0</v>
      </c>
      <c r="M263" s="12">
        <f t="shared" si="39"/>
        <v>0.29166666666666702</v>
      </c>
      <c r="N263" s="23">
        <f t="shared" si="35"/>
        <v>0.70833333333333304</v>
      </c>
      <c r="O263" s="41">
        <f t="shared" si="36"/>
        <v>0</v>
      </c>
      <c r="P263" s="13" t="str">
        <f t="shared" si="37"/>
        <v>SI</v>
      </c>
      <c r="Q263" s="23">
        <f t="shared" si="38"/>
        <v>0.29166666666666702</v>
      </c>
      <c r="R263" s="12">
        <f t="shared" si="38"/>
        <v>0.70833333333333304</v>
      </c>
    </row>
    <row r="264" spans="2:18">
      <c r="B264" t="str">
        <f t="shared" si="32"/>
        <v>DUVITSA ASUCELI ALBIZURES VALENZUELA46288</v>
      </c>
      <c r="C264" t="s">
        <v>251</v>
      </c>
      <c r="D264" s="121">
        <v>46288</v>
      </c>
      <c r="E264" t="s">
        <v>100</v>
      </c>
      <c r="F264" t="s">
        <v>35</v>
      </c>
      <c r="G264" s="122">
        <v>0.29166666666666702</v>
      </c>
      <c r="H264" s="122">
        <v>0.70833333333333304</v>
      </c>
      <c r="I264" s="112">
        <v>0</v>
      </c>
      <c r="J264" s="112">
        <v>0</v>
      </c>
      <c r="K264" s="23">
        <f t="shared" si="33"/>
        <v>0.29166666666666702</v>
      </c>
      <c r="L264" s="23">
        <f t="shared" si="34"/>
        <v>0</v>
      </c>
      <c r="M264" s="12">
        <f t="shared" si="39"/>
        <v>0.29166666666666702</v>
      </c>
      <c r="N264" s="23">
        <f t="shared" si="35"/>
        <v>0.70833333333333304</v>
      </c>
      <c r="O264" s="41">
        <f t="shared" si="36"/>
        <v>0</v>
      </c>
      <c r="P264" s="13" t="str">
        <f t="shared" si="37"/>
        <v>SI</v>
      </c>
      <c r="Q264" s="23">
        <f t="shared" si="38"/>
        <v>0.29166666666666702</v>
      </c>
      <c r="R264" s="12">
        <f t="shared" si="38"/>
        <v>0.70833333333333304</v>
      </c>
    </row>
    <row r="265" spans="2:18">
      <c r="B265" t="str">
        <f t="shared" si="32"/>
        <v>DUVITSA ASUCELI ALBIZURES VALENZUELA46289</v>
      </c>
      <c r="C265" t="s">
        <v>251</v>
      </c>
      <c r="D265" s="121">
        <v>46289</v>
      </c>
      <c r="E265" t="s">
        <v>101</v>
      </c>
      <c r="F265" t="s">
        <v>35</v>
      </c>
      <c r="G265" s="122">
        <v>0.29166666666666702</v>
      </c>
      <c r="H265" s="122">
        <v>0.70833333333333304</v>
      </c>
      <c r="I265" s="112">
        <v>0</v>
      </c>
      <c r="J265" s="112">
        <v>0</v>
      </c>
      <c r="K265" s="23">
        <f t="shared" si="33"/>
        <v>0.29166666666666702</v>
      </c>
      <c r="L265" s="23">
        <f t="shared" si="34"/>
        <v>0</v>
      </c>
      <c r="M265" s="12">
        <f t="shared" si="39"/>
        <v>0.29166666666666702</v>
      </c>
      <c r="N265" s="23">
        <f t="shared" si="35"/>
        <v>0.70833333333333304</v>
      </c>
      <c r="O265" s="41">
        <f t="shared" si="36"/>
        <v>0</v>
      </c>
      <c r="P265" s="13" t="str">
        <f t="shared" si="37"/>
        <v>SI</v>
      </c>
      <c r="Q265" s="23">
        <f t="shared" si="38"/>
        <v>0.29166666666666702</v>
      </c>
      <c r="R265" s="12">
        <f t="shared" si="38"/>
        <v>0.70833333333333304</v>
      </c>
    </row>
    <row r="266" spans="2:18">
      <c r="B266" t="str">
        <f t="shared" si="32"/>
        <v>DUVITSA ASUCELI ALBIZURES VALENZUELA46290</v>
      </c>
      <c r="C266" t="s">
        <v>251</v>
      </c>
      <c r="D266" s="121">
        <v>46290</v>
      </c>
      <c r="E266" t="s">
        <v>95</v>
      </c>
      <c r="F266" t="s">
        <v>35</v>
      </c>
      <c r="G266" s="122">
        <v>0.29166666666666702</v>
      </c>
      <c r="H266" s="122">
        <v>0.70833333333333304</v>
      </c>
      <c r="I266" s="112">
        <v>0</v>
      </c>
      <c r="J266" s="112">
        <v>0</v>
      </c>
      <c r="K266" s="23">
        <f t="shared" si="33"/>
        <v>0.29166666666666702</v>
      </c>
      <c r="L266" s="23">
        <f t="shared" si="34"/>
        <v>0</v>
      </c>
      <c r="M266" s="12">
        <f t="shared" si="39"/>
        <v>0.29166666666666702</v>
      </c>
      <c r="N266" s="23">
        <f t="shared" si="35"/>
        <v>0.70833333333333304</v>
      </c>
      <c r="O266" s="41">
        <f t="shared" si="36"/>
        <v>0</v>
      </c>
      <c r="P266" s="13" t="str">
        <f t="shared" si="37"/>
        <v>SI</v>
      </c>
      <c r="Q266" s="23">
        <f t="shared" si="38"/>
        <v>0.29166666666666702</v>
      </c>
      <c r="R266" s="12">
        <f t="shared" si="38"/>
        <v>0.70833333333333304</v>
      </c>
    </row>
    <row r="267" spans="2:18">
      <c r="B267" t="str">
        <f t="shared" si="32"/>
        <v>DUVITSA ASUCELI ALBIZURES VALENZUELA46291</v>
      </c>
      <c r="C267" t="s">
        <v>251</v>
      </c>
      <c r="D267" s="121">
        <v>46291</v>
      </c>
      <c r="E267" t="s">
        <v>96</v>
      </c>
      <c r="F267" t="s">
        <v>35</v>
      </c>
      <c r="G267" s="122">
        <v>0.29166666666666702</v>
      </c>
      <c r="H267" s="122">
        <v>0.58333333333333304</v>
      </c>
      <c r="I267" s="112">
        <v>0</v>
      </c>
      <c r="J267" s="112">
        <v>0</v>
      </c>
      <c r="K267" s="23">
        <f t="shared" si="33"/>
        <v>0.29166666666666702</v>
      </c>
      <c r="L267" s="23">
        <f t="shared" si="34"/>
        <v>0</v>
      </c>
      <c r="M267" s="12">
        <f t="shared" si="39"/>
        <v>0.29166666666666702</v>
      </c>
      <c r="N267" s="23">
        <f t="shared" si="35"/>
        <v>0.58333333333333304</v>
      </c>
      <c r="O267" s="41">
        <f t="shared" si="36"/>
        <v>0</v>
      </c>
      <c r="P267" s="13" t="str">
        <f t="shared" si="37"/>
        <v>SI</v>
      </c>
      <c r="Q267" s="23">
        <f t="shared" si="38"/>
        <v>0.29166666666666702</v>
      </c>
      <c r="R267" s="12">
        <f t="shared" si="38"/>
        <v>0.58333333333333304</v>
      </c>
    </row>
    <row r="268" spans="2:18">
      <c r="B268" t="str">
        <f t="shared" si="32"/>
        <v>DUVITSA ASUCELI ALBIZURES VALENZUELA46292</v>
      </c>
      <c r="C268" t="s">
        <v>251</v>
      </c>
      <c r="D268" s="121">
        <v>46292</v>
      </c>
      <c r="E268" t="s">
        <v>97</v>
      </c>
      <c r="F268" t="s">
        <v>72</v>
      </c>
      <c r="G268" s="122">
        <v>0</v>
      </c>
      <c r="H268" s="122">
        <v>0</v>
      </c>
      <c r="I268" s="112">
        <v>0</v>
      </c>
      <c r="J268" s="112">
        <v>0</v>
      </c>
      <c r="K268" s="23">
        <f t="shared" si="33"/>
        <v>0</v>
      </c>
      <c r="L268" s="23">
        <f t="shared" si="34"/>
        <v>0</v>
      </c>
      <c r="M268" s="12">
        <f t="shared" si="39"/>
        <v>0</v>
      </c>
      <c r="N268" s="23">
        <f t="shared" si="35"/>
        <v>0</v>
      </c>
      <c r="O268" s="41">
        <f t="shared" si="36"/>
        <v>0</v>
      </c>
      <c r="P268" s="13" t="str">
        <f t="shared" si="37"/>
        <v>NO</v>
      </c>
      <c r="Q268" s="23">
        <f t="shared" si="38"/>
        <v>0</v>
      </c>
      <c r="R268" s="12">
        <f t="shared" si="38"/>
        <v>0</v>
      </c>
    </row>
    <row r="269" spans="2:18">
      <c r="B269" t="str">
        <f t="shared" si="32"/>
        <v>DUVITSA ASUCELI ALBIZURES VALENZUELA46293</v>
      </c>
      <c r="C269" t="s">
        <v>251</v>
      </c>
      <c r="D269" s="121">
        <v>46293</v>
      </c>
      <c r="E269" t="s">
        <v>98</v>
      </c>
      <c r="F269" t="s">
        <v>35</v>
      </c>
      <c r="G269" s="122">
        <v>0.29166666666666702</v>
      </c>
      <c r="H269" s="122">
        <v>0.70833333333333304</v>
      </c>
      <c r="I269" s="112">
        <v>0</v>
      </c>
      <c r="J269" s="112">
        <v>0</v>
      </c>
      <c r="K269" s="23">
        <f t="shared" si="33"/>
        <v>0.29166666666666702</v>
      </c>
      <c r="L269" s="23">
        <f t="shared" si="34"/>
        <v>0</v>
      </c>
      <c r="M269" s="12">
        <f t="shared" si="39"/>
        <v>0.29166666666666702</v>
      </c>
      <c r="N269" s="23">
        <f t="shared" si="35"/>
        <v>0.70833333333333304</v>
      </c>
      <c r="O269" s="41">
        <f t="shared" si="36"/>
        <v>0</v>
      </c>
      <c r="P269" s="13" t="str">
        <f t="shared" si="37"/>
        <v>SI</v>
      </c>
      <c r="Q269" s="23">
        <f t="shared" si="38"/>
        <v>0.29166666666666702</v>
      </c>
      <c r="R269" s="12">
        <f t="shared" si="38"/>
        <v>0.70833333333333304</v>
      </c>
    </row>
    <row r="270" spans="2:18">
      <c r="B270" t="str">
        <f t="shared" si="32"/>
        <v>DUVITSA ASUCELI ALBIZURES VALENZUELA46294</v>
      </c>
      <c r="C270" t="s">
        <v>251</v>
      </c>
      <c r="D270" s="121">
        <v>46294</v>
      </c>
      <c r="E270" t="s">
        <v>99</v>
      </c>
      <c r="F270" t="s">
        <v>35</v>
      </c>
      <c r="G270" s="122">
        <v>0.29166666666666702</v>
      </c>
      <c r="H270" s="122">
        <v>0.70833333333333304</v>
      </c>
      <c r="I270" s="112">
        <v>0</v>
      </c>
      <c r="J270" s="112">
        <v>0</v>
      </c>
      <c r="K270" s="23">
        <f t="shared" si="33"/>
        <v>0.29166666666666702</v>
      </c>
      <c r="L270" s="23">
        <f t="shared" si="34"/>
        <v>0</v>
      </c>
      <c r="M270" s="12">
        <f t="shared" si="39"/>
        <v>0.29166666666666702</v>
      </c>
      <c r="N270" s="23">
        <f t="shared" si="35"/>
        <v>0.70833333333333304</v>
      </c>
      <c r="O270" s="41">
        <f t="shared" si="36"/>
        <v>0</v>
      </c>
      <c r="P270" s="13" t="str">
        <f t="shared" si="37"/>
        <v>SI</v>
      </c>
      <c r="Q270" s="23">
        <f t="shared" si="38"/>
        <v>0.29166666666666702</v>
      </c>
      <c r="R270" s="12">
        <f t="shared" si="38"/>
        <v>0.70833333333333304</v>
      </c>
    </row>
    <row r="271" spans="2:18">
      <c r="B271" t="str">
        <f t="shared" si="32"/>
        <v>DUVITSA ASUCELI ALBIZURES VALENZUELA46295</v>
      </c>
      <c r="C271" t="s">
        <v>251</v>
      </c>
      <c r="D271" s="121">
        <v>46295</v>
      </c>
      <c r="E271" t="s">
        <v>100</v>
      </c>
      <c r="F271" t="s">
        <v>35</v>
      </c>
      <c r="G271" s="122">
        <v>0.29166666666666702</v>
      </c>
      <c r="H271" s="122">
        <v>0.70833333333333304</v>
      </c>
      <c r="I271" s="112">
        <v>0</v>
      </c>
      <c r="J271" s="112">
        <v>0</v>
      </c>
      <c r="K271" s="23">
        <f t="shared" si="33"/>
        <v>0.29166666666666702</v>
      </c>
      <c r="L271" s="23">
        <f t="shared" si="34"/>
        <v>0</v>
      </c>
      <c r="M271" s="12">
        <f t="shared" si="39"/>
        <v>0.29166666666666702</v>
      </c>
      <c r="N271" s="23">
        <f t="shared" si="35"/>
        <v>0.70833333333333304</v>
      </c>
      <c r="O271" s="41">
        <f t="shared" si="36"/>
        <v>0</v>
      </c>
      <c r="P271" s="13" t="str">
        <f t="shared" si="37"/>
        <v>SI</v>
      </c>
      <c r="Q271" s="23">
        <f t="shared" si="38"/>
        <v>0.29166666666666702</v>
      </c>
      <c r="R271" s="12">
        <f t="shared" si="38"/>
        <v>0.70833333333333304</v>
      </c>
    </row>
    <row r="272" spans="2:18">
      <c r="B272" t="str">
        <f t="shared" si="32"/>
        <v>DUVITSA ASUCELI ALBIZURES VALENZUELA46296</v>
      </c>
      <c r="C272" t="s">
        <v>251</v>
      </c>
      <c r="D272" s="121">
        <v>46296</v>
      </c>
      <c r="E272" t="s">
        <v>101</v>
      </c>
      <c r="F272" t="s">
        <v>35</v>
      </c>
      <c r="G272" s="122">
        <v>0.29166666666666702</v>
      </c>
      <c r="H272" s="122">
        <v>0.70833333333333304</v>
      </c>
      <c r="I272" s="112">
        <v>0</v>
      </c>
      <c r="J272" s="112">
        <v>0</v>
      </c>
      <c r="K272" s="23">
        <f t="shared" si="33"/>
        <v>0.29166666666666702</v>
      </c>
      <c r="L272" s="23">
        <f t="shared" si="34"/>
        <v>0</v>
      </c>
      <c r="M272" s="12">
        <f t="shared" si="39"/>
        <v>0.29166666666666702</v>
      </c>
      <c r="N272" s="23">
        <f t="shared" si="35"/>
        <v>0.70833333333333304</v>
      </c>
      <c r="O272" s="41">
        <f t="shared" si="36"/>
        <v>0</v>
      </c>
      <c r="P272" s="13" t="str">
        <f t="shared" si="37"/>
        <v>SI</v>
      </c>
      <c r="Q272" s="23">
        <f t="shared" si="38"/>
        <v>0.29166666666666702</v>
      </c>
      <c r="R272" s="12">
        <f t="shared" si="38"/>
        <v>0.70833333333333304</v>
      </c>
    </row>
    <row r="273" spans="2:18">
      <c r="B273" t="str">
        <f t="shared" si="32"/>
        <v>DUVITSA ASUCELI ALBIZURES VALENZUELA46297</v>
      </c>
      <c r="C273" t="s">
        <v>251</v>
      </c>
      <c r="D273" s="121">
        <v>46297</v>
      </c>
      <c r="E273" t="s">
        <v>95</v>
      </c>
      <c r="F273" t="s">
        <v>35</v>
      </c>
      <c r="G273" s="122">
        <v>0.29166666666666702</v>
      </c>
      <c r="H273" s="122">
        <v>0.70833333333333304</v>
      </c>
      <c r="I273" s="112">
        <v>0</v>
      </c>
      <c r="J273" s="112">
        <v>0</v>
      </c>
      <c r="K273" s="23">
        <f t="shared" si="33"/>
        <v>0.29166666666666702</v>
      </c>
      <c r="L273" s="23">
        <f t="shared" si="34"/>
        <v>0</v>
      </c>
      <c r="M273" s="12">
        <f t="shared" si="39"/>
        <v>0.29166666666666702</v>
      </c>
      <c r="N273" s="23">
        <f t="shared" si="35"/>
        <v>0.70833333333333304</v>
      </c>
      <c r="O273" s="41">
        <f t="shared" si="36"/>
        <v>0</v>
      </c>
      <c r="P273" s="13" t="str">
        <f t="shared" si="37"/>
        <v>SI</v>
      </c>
      <c r="Q273" s="23">
        <f t="shared" si="38"/>
        <v>0.29166666666666702</v>
      </c>
      <c r="R273" s="12">
        <f t="shared" si="38"/>
        <v>0.70833333333333304</v>
      </c>
    </row>
    <row r="274" spans="2:18">
      <c r="B274" t="str">
        <f t="shared" si="32"/>
        <v>DUVITSA ASUCELI ALBIZURES VALENZUELA46298</v>
      </c>
      <c r="C274" t="s">
        <v>251</v>
      </c>
      <c r="D274" s="121">
        <v>46298</v>
      </c>
      <c r="E274" t="s">
        <v>96</v>
      </c>
      <c r="F274" t="s">
        <v>35</v>
      </c>
      <c r="G274" s="122">
        <v>0.29166666666666702</v>
      </c>
      <c r="H274" s="122">
        <v>0.58333333333333304</v>
      </c>
      <c r="I274" s="112">
        <v>0</v>
      </c>
      <c r="J274" s="112">
        <v>0</v>
      </c>
      <c r="K274" s="23">
        <f t="shared" si="33"/>
        <v>0.29166666666666702</v>
      </c>
      <c r="L274" s="23">
        <f t="shared" si="34"/>
        <v>0</v>
      </c>
      <c r="M274" s="12">
        <f t="shared" si="39"/>
        <v>0.29166666666666702</v>
      </c>
      <c r="N274" s="23">
        <f t="shared" si="35"/>
        <v>0.58333333333333304</v>
      </c>
      <c r="O274" s="41">
        <f t="shared" si="36"/>
        <v>0</v>
      </c>
      <c r="P274" s="13" t="str">
        <f t="shared" si="37"/>
        <v>SI</v>
      </c>
      <c r="Q274" s="23">
        <f t="shared" si="38"/>
        <v>0.29166666666666702</v>
      </c>
      <c r="R274" s="12">
        <f t="shared" si="38"/>
        <v>0.58333333333333304</v>
      </c>
    </row>
    <row r="275" spans="2:18">
      <c r="B275" t="str">
        <f t="shared" si="32"/>
        <v>DUVITSA ASUCELI ALBIZURES VALENZUELA46299</v>
      </c>
      <c r="C275" t="s">
        <v>251</v>
      </c>
      <c r="D275" s="121">
        <v>46299</v>
      </c>
      <c r="E275" t="s">
        <v>97</v>
      </c>
      <c r="F275" t="s">
        <v>72</v>
      </c>
      <c r="G275" s="122">
        <v>0</v>
      </c>
      <c r="H275" s="122">
        <v>0</v>
      </c>
      <c r="I275" s="112">
        <v>0</v>
      </c>
      <c r="J275" s="112">
        <v>0</v>
      </c>
      <c r="K275" s="23">
        <f t="shared" si="33"/>
        <v>0</v>
      </c>
      <c r="L275" s="23">
        <f t="shared" si="34"/>
        <v>0</v>
      </c>
      <c r="M275" s="12">
        <f t="shared" si="39"/>
        <v>0</v>
      </c>
      <c r="N275" s="23">
        <f t="shared" si="35"/>
        <v>0</v>
      </c>
      <c r="O275" s="41">
        <f t="shared" si="36"/>
        <v>0</v>
      </c>
      <c r="P275" s="13" t="str">
        <f t="shared" si="37"/>
        <v>NO</v>
      </c>
      <c r="Q275" s="23">
        <f t="shared" si="38"/>
        <v>0</v>
      </c>
      <c r="R275" s="12">
        <f t="shared" si="38"/>
        <v>0</v>
      </c>
    </row>
    <row r="276" spans="2:18">
      <c r="B276" t="str">
        <f t="shared" si="32"/>
        <v>David Alexander Ordoñez Sales46279</v>
      </c>
      <c r="C276" t="s">
        <v>217</v>
      </c>
      <c r="D276" s="121">
        <v>46279</v>
      </c>
      <c r="E276" t="s">
        <v>98</v>
      </c>
      <c r="F276" t="s">
        <v>72</v>
      </c>
      <c r="G276" s="122">
        <v>0</v>
      </c>
      <c r="H276" s="122">
        <v>0</v>
      </c>
      <c r="I276" s="112">
        <v>0</v>
      </c>
      <c r="J276" s="112">
        <v>0</v>
      </c>
      <c r="K276" s="23">
        <f t="shared" si="33"/>
        <v>0</v>
      </c>
      <c r="L276" s="23">
        <f t="shared" si="34"/>
        <v>0</v>
      </c>
      <c r="M276" s="12">
        <f t="shared" si="39"/>
        <v>0</v>
      </c>
      <c r="N276" s="23">
        <f t="shared" si="35"/>
        <v>0</v>
      </c>
      <c r="O276" s="41">
        <f t="shared" si="36"/>
        <v>0</v>
      </c>
      <c r="P276" s="13" t="str">
        <f t="shared" si="37"/>
        <v>NO</v>
      </c>
      <c r="Q276" s="23">
        <f t="shared" si="38"/>
        <v>0</v>
      </c>
      <c r="R276" s="12">
        <f t="shared" si="38"/>
        <v>0</v>
      </c>
    </row>
    <row r="277" spans="2:18">
      <c r="B277" t="str">
        <f t="shared" si="32"/>
        <v>David Alexander Ordoñez Sales46280</v>
      </c>
      <c r="C277" t="s">
        <v>217</v>
      </c>
      <c r="D277" s="121">
        <v>46280</v>
      </c>
      <c r="E277" t="s">
        <v>99</v>
      </c>
      <c r="F277" t="s">
        <v>35</v>
      </c>
      <c r="G277" s="122">
        <v>0.33333333333333298</v>
      </c>
      <c r="H277" s="122">
        <v>0.70833333333333304</v>
      </c>
      <c r="I277" s="112">
        <v>0</v>
      </c>
      <c r="J277" s="112">
        <v>0</v>
      </c>
      <c r="K277" s="23">
        <f t="shared" si="33"/>
        <v>0.33333333333333298</v>
      </c>
      <c r="L277" s="23">
        <f t="shared" si="34"/>
        <v>0</v>
      </c>
      <c r="M277" s="12">
        <f t="shared" si="39"/>
        <v>0.33333333333333298</v>
      </c>
      <c r="N277" s="23">
        <f t="shared" si="35"/>
        <v>0.70833333333333304</v>
      </c>
      <c r="O277" s="41">
        <f t="shared" si="36"/>
        <v>0</v>
      </c>
      <c r="P277" s="13" t="str">
        <f t="shared" si="37"/>
        <v>SI</v>
      </c>
      <c r="Q277" s="23">
        <f t="shared" si="38"/>
        <v>0.33333333333333298</v>
      </c>
      <c r="R277" s="12">
        <f t="shared" si="38"/>
        <v>0.70833333333333304</v>
      </c>
    </row>
    <row r="278" spans="2:18">
      <c r="B278" t="str">
        <f t="shared" si="32"/>
        <v>David Alexander Ordoñez Sales46281</v>
      </c>
      <c r="C278" t="s">
        <v>217</v>
      </c>
      <c r="D278" s="121">
        <v>46281</v>
      </c>
      <c r="E278" t="s">
        <v>100</v>
      </c>
      <c r="F278" t="s">
        <v>36</v>
      </c>
      <c r="G278" s="122">
        <v>0.75</v>
      </c>
      <c r="H278" s="122">
        <v>0.25</v>
      </c>
      <c r="I278" s="112">
        <v>0</v>
      </c>
      <c r="J278" s="112">
        <v>0</v>
      </c>
      <c r="K278" s="23">
        <f t="shared" si="33"/>
        <v>0.75</v>
      </c>
      <c r="L278" s="23">
        <f t="shared" si="34"/>
        <v>0</v>
      </c>
      <c r="M278" s="12">
        <f t="shared" si="39"/>
        <v>0.75</v>
      </c>
      <c r="N278" s="23">
        <f t="shared" si="35"/>
        <v>0.25</v>
      </c>
      <c r="O278" s="41">
        <f t="shared" si="36"/>
        <v>0</v>
      </c>
      <c r="P278" s="13" t="str">
        <f t="shared" si="37"/>
        <v>SI</v>
      </c>
      <c r="Q278" s="23">
        <f t="shared" si="38"/>
        <v>0.75</v>
      </c>
      <c r="R278" s="12">
        <f t="shared" si="38"/>
        <v>0.25</v>
      </c>
    </row>
    <row r="279" spans="2:18">
      <c r="B279" t="str">
        <f t="shared" si="32"/>
        <v>David Alexander Ordoñez Sales46282</v>
      </c>
      <c r="C279" t="s">
        <v>217</v>
      </c>
      <c r="D279" s="121">
        <v>46282</v>
      </c>
      <c r="E279" t="s">
        <v>101</v>
      </c>
      <c r="F279" t="s">
        <v>36</v>
      </c>
      <c r="G279" s="122">
        <v>0.75</v>
      </c>
      <c r="H279" s="122">
        <v>0.25</v>
      </c>
      <c r="I279" s="112">
        <v>0</v>
      </c>
      <c r="J279" s="112">
        <v>0</v>
      </c>
      <c r="K279" s="23">
        <f t="shared" si="33"/>
        <v>0.75</v>
      </c>
      <c r="L279" s="23">
        <f t="shared" si="34"/>
        <v>0</v>
      </c>
      <c r="M279" s="12">
        <f t="shared" si="39"/>
        <v>0.75</v>
      </c>
      <c r="N279" s="23">
        <f t="shared" si="35"/>
        <v>0.25</v>
      </c>
      <c r="O279" s="41">
        <f t="shared" si="36"/>
        <v>0</v>
      </c>
      <c r="P279" s="13" t="str">
        <f t="shared" si="37"/>
        <v>SI</v>
      </c>
      <c r="Q279" s="23">
        <f t="shared" si="38"/>
        <v>0.75</v>
      </c>
      <c r="R279" s="12">
        <f t="shared" si="38"/>
        <v>0.25</v>
      </c>
    </row>
    <row r="280" spans="2:18">
      <c r="B280" t="str">
        <f t="shared" si="32"/>
        <v>David Alexander Ordoñez Sales46283</v>
      </c>
      <c r="C280" t="s">
        <v>217</v>
      </c>
      <c r="D280" s="121">
        <v>46283</v>
      </c>
      <c r="E280" t="s">
        <v>95</v>
      </c>
      <c r="F280" t="s">
        <v>36</v>
      </c>
      <c r="G280" s="122">
        <v>0.75</v>
      </c>
      <c r="H280" s="122">
        <v>0.25</v>
      </c>
      <c r="I280" s="112">
        <v>0</v>
      </c>
      <c r="J280" s="112">
        <v>0</v>
      </c>
      <c r="K280" s="23">
        <f t="shared" si="33"/>
        <v>0.75</v>
      </c>
      <c r="L280" s="23">
        <f t="shared" si="34"/>
        <v>0</v>
      </c>
      <c r="M280" s="12">
        <f t="shared" si="39"/>
        <v>0.75</v>
      </c>
      <c r="N280" s="23">
        <f t="shared" si="35"/>
        <v>0.25</v>
      </c>
      <c r="O280" s="41">
        <f t="shared" si="36"/>
        <v>0</v>
      </c>
      <c r="P280" s="13" t="str">
        <f t="shared" si="37"/>
        <v>SI</v>
      </c>
      <c r="Q280" s="23">
        <f t="shared" si="38"/>
        <v>0.75</v>
      </c>
      <c r="R280" s="12">
        <f t="shared" si="38"/>
        <v>0.25</v>
      </c>
    </row>
    <row r="281" spans="2:18">
      <c r="B281" t="str">
        <f t="shared" si="32"/>
        <v>David Alexander Ordoñez Sales46284</v>
      </c>
      <c r="C281" t="s">
        <v>217</v>
      </c>
      <c r="D281" s="121">
        <v>46284</v>
      </c>
      <c r="E281" t="s">
        <v>96</v>
      </c>
      <c r="F281" t="s">
        <v>36</v>
      </c>
      <c r="G281" s="122">
        <v>0.75</v>
      </c>
      <c r="H281" s="122">
        <v>0.25</v>
      </c>
      <c r="I281" s="112">
        <v>0</v>
      </c>
      <c r="J281" s="112">
        <v>0</v>
      </c>
      <c r="K281" s="23">
        <f t="shared" si="33"/>
        <v>0.75</v>
      </c>
      <c r="L281" s="23">
        <f t="shared" si="34"/>
        <v>0</v>
      </c>
      <c r="M281" s="12">
        <f t="shared" si="39"/>
        <v>0.75</v>
      </c>
      <c r="N281" s="23">
        <f t="shared" si="35"/>
        <v>0.25</v>
      </c>
      <c r="O281" s="41">
        <f t="shared" si="36"/>
        <v>0</v>
      </c>
      <c r="P281" s="13" t="str">
        <f t="shared" si="37"/>
        <v>SI</v>
      </c>
      <c r="Q281" s="23">
        <f t="shared" si="38"/>
        <v>0.75</v>
      </c>
      <c r="R281" s="12">
        <f t="shared" si="38"/>
        <v>0.25</v>
      </c>
    </row>
    <row r="282" spans="2:18">
      <c r="B282" t="str">
        <f t="shared" si="32"/>
        <v>David Alexander Ordoñez Sales46285</v>
      </c>
      <c r="C282" t="s">
        <v>217</v>
      </c>
      <c r="D282" s="121">
        <v>46285</v>
      </c>
      <c r="E282" t="s">
        <v>97</v>
      </c>
      <c r="F282" t="s">
        <v>72</v>
      </c>
      <c r="G282" s="122">
        <v>0</v>
      </c>
      <c r="H282" s="122">
        <v>0</v>
      </c>
      <c r="I282" s="112">
        <v>0</v>
      </c>
      <c r="J282" s="112">
        <v>0</v>
      </c>
      <c r="K282" s="23">
        <f t="shared" si="33"/>
        <v>0</v>
      </c>
      <c r="L282" s="23">
        <f t="shared" si="34"/>
        <v>0</v>
      </c>
      <c r="M282" s="12">
        <f t="shared" si="39"/>
        <v>0</v>
      </c>
      <c r="N282" s="23">
        <f t="shared" si="35"/>
        <v>0</v>
      </c>
      <c r="O282" s="41">
        <f t="shared" si="36"/>
        <v>0</v>
      </c>
      <c r="P282" s="13" t="str">
        <f t="shared" si="37"/>
        <v>NO</v>
      </c>
      <c r="Q282" s="23">
        <f t="shared" si="38"/>
        <v>0</v>
      </c>
      <c r="R282" s="12">
        <f t="shared" si="38"/>
        <v>0</v>
      </c>
    </row>
    <row r="283" spans="2:18">
      <c r="B283" t="str">
        <f t="shared" si="32"/>
        <v>David Alexander Ordoñez Sales46286</v>
      </c>
      <c r="C283" t="s">
        <v>217</v>
      </c>
      <c r="D283" s="121">
        <v>46286</v>
      </c>
      <c r="E283" t="s">
        <v>98</v>
      </c>
      <c r="F283" t="s">
        <v>35</v>
      </c>
      <c r="G283" s="122">
        <v>0.25</v>
      </c>
      <c r="H283" s="122">
        <v>0.75</v>
      </c>
      <c r="I283" s="112">
        <v>0</v>
      </c>
      <c r="J283" s="112">
        <v>0</v>
      </c>
      <c r="K283" s="23">
        <f t="shared" si="33"/>
        <v>0.25</v>
      </c>
      <c r="L283" s="23">
        <f t="shared" si="34"/>
        <v>0</v>
      </c>
      <c r="M283" s="12">
        <f t="shared" si="39"/>
        <v>0.25</v>
      </c>
      <c r="N283" s="23">
        <f t="shared" si="35"/>
        <v>0.75</v>
      </c>
      <c r="O283" s="41">
        <f t="shared" si="36"/>
        <v>0</v>
      </c>
      <c r="P283" s="13" t="str">
        <f t="shared" si="37"/>
        <v>SI</v>
      </c>
      <c r="Q283" s="23">
        <f t="shared" si="38"/>
        <v>0.25</v>
      </c>
      <c r="R283" s="12">
        <f t="shared" si="38"/>
        <v>0.75</v>
      </c>
    </row>
    <row r="284" spans="2:18">
      <c r="B284" t="str">
        <f t="shared" si="32"/>
        <v>David Alexander Ordoñez Sales46287</v>
      </c>
      <c r="C284" t="s">
        <v>217</v>
      </c>
      <c r="D284" s="121">
        <v>46287</v>
      </c>
      <c r="E284" t="s">
        <v>99</v>
      </c>
      <c r="F284" t="s">
        <v>35</v>
      </c>
      <c r="G284" s="122">
        <v>0.25</v>
      </c>
      <c r="H284" s="122">
        <v>0.75</v>
      </c>
      <c r="I284" s="112">
        <v>0</v>
      </c>
      <c r="J284" s="112">
        <v>0</v>
      </c>
      <c r="K284" s="23">
        <f t="shared" si="33"/>
        <v>0.25</v>
      </c>
      <c r="L284" s="23">
        <f t="shared" si="34"/>
        <v>0</v>
      </c>
      <c r="M284" s="12">
        <f t="shared" si="39"/>
        <v>0.25</v>
      </c>
      <c r="N284" s="23">
        <f t="shared" si="35"/>
        <v>0.75</v>
      </c>
      <c r="O284" s="41">
        <f t="shared" si="36"/>
        <v>0</v>
      </c>
      <c r="P284" s="13" t="str">
        <f t="shared" si="37"/>
        <v>SI</v>
      </c>
      <c r="Q284" s="23">
        <f t="shared" si="38"/>
        <v>0.25</v>
      </c>
      <c r="R284" s="12">
        <f t="shared" si="38"/>
        <v>0.75</v>
      </c>
    </row>
    <row r="285" spans="2:18">
      <c r="B285" t="str">
        <f t="shared" si="32"/>
        <v>David Alexander Ordoñez Sales46288</v>
      </c>
      <c r="C285" t="s">
        <v>217</v>
      </c>
      <c r="D285" s="121">
        <v>46288</v>
      </c>
      <c r="E285" t="s">
        <v>100</v>
      </c>
      <c r="F285" t="s">
        <v>35</v>
      </c>
      <c r="G285" s="122">
        <v>0.25</v>
      </c>
      <c r="H285" s="122">
        <v>0.75</v>
      </c>
      <c r="I285" s="112">
        <v>0</v>
      </c>
      <c r="J285" s="112">
        <v>0</v>
      </c>
      <c r="K285" s="23">
        <f t="shared" si="33"/>
        <v>0.25</v>
      </c>
      <c r="L285" s="23">
        <f t="shared" si="34"/>
        <v>0</v>
      </c>
      <c r="M285" s="12">
        <f t="shared" si="39"/>
        <v>0.25</v>
      </c>
      <c r="N285" s="23">
        <f t="shared" si="35"/>
        <v>0.75</v>
      </c>
      <c r="O285" s="41">
        <f t="shared" si="36"/>
        <v>0</v>
      </c>
      <c r="P285" s="13" t="str">
        <f t="shared" si="37"/>
        <v>SI</v>
      </c>
      <c r="Q285" s="23">
        <f t="shared" si="38"/>
        <v>0.25</v>
      </c>
      <c r="R285" s="12">
        <f t="shared" si="38"/>
        <v>0.75</v>
      </c>
    </row>
    <row r="286" spans="2:18">
      <c r="B286" t="str">
        <f t="shared" si="32"/>
        <v>David Alexander Ordoñez Sales46289</v>
      </c>
      <c r="C286" t="s">
        <v>217</v>
      </c>
      <c r="D286" s="121">
        <v>46289</v>
      </c>
      <c r="E286" t="s">
        <v>101</v>
      </c>
      <c r="F286" t="s">
        <v>35</v>
      </c>
      <c r="G286" s="122">
        <v>0.25</v>
      </c>
      <c r="H286" s="122">
        <v>0.75</v>
      </c>
      <c r="I286" s="112">
        <v>0</v>
      </c>
      <c r="J286" s="112">
        <v>0</v>
      </c>
      <c r="K286" s="23">
        <f t="shared" si="33"/>
        <v>0.25</v>
      </c>
      <c r="L286" s="23">
        <f t="shared" si="34"/>
        <v>0</v>
      </c>
      <c r="M286" s="12">
        <f t="shared" si="39"/>
        <v>0.25</v>
      </c>
      <c r="N286" s="23">
        <f t="shared" si="35"/>
        <v>0.75</v>
      </c>
      <c r="O286" s="41">
        <f t="shared" si="36"/>
        <v>0</v>
      </c>
      <c r="P286" s="13" t="str">
        <f t="shared" si="37"/>
        <v>SI</v>
      </c>
      <c r="Q286" s="23">
        <f t="shared" si="38"/>
        <v>0.25</v>
      </c>
      <c r="R286" s="12">
        <f t="shared" si="38"/>
        <v>0.75</v>
      </c>
    </row>
    <row r="287" spans="2:18">
      <c r="B287" t="str">
        <f t="shared" si="32"/>
        <v>David Alexander Ordoñez Sales46290</v>
      </c>
      <c r="C287" t="s">
        <v>217</v>
      </c>
      <c r="D287" s="121">
        <v>46290</v>
      </c>
      <c r="E287" t="s">
        <v>95</v>
      </c>
      <c r="F287" t="s">
        <v>72</v>
      </c>
      <c r="G287" s="122">
        <v>0</v>
      </c>
      <c r="H287" s="122">
        <v>0</v>
      </c>
      <c r="I287" s="112">
        <v>0</v>
      </c>
      <c r="J287" s="112">
        <v>0</v>
      </c>
      <c r="K287" s="23">
        <f t="shared" si="33"/>
        <v>0</v>
      </c>
      <c r="L287" s="23">
        <f t="shared" si="34"/>
        <v>0</v>
      </c>
      <c r="M287" s="12">
        <f t="shared" si="39"/>
        <v>0</v>
      </c>
      <c r="N287" s="23">
        <f t="shared" si="35"/>
        <v>0</v>
      </c>
      <c r="O287" s="41">
        <f t="shared" si="36"/>
        <v>0</v>
      </c>
      <c r="P287" s="13" t="str">
        <f t="shared" si="37"/>
        <v>NO</v>
      </c>
      <c r="Q287" s="23">
        <f t="shared" si="38"/>
        <v>0</v>
      </c>
      <c r="R287" s="12">
        <f t="shared" si="38"/>
        <v>0</v>
      </c>
    </row>
    <row r="288" spans="2:18">
      <c r="B288" t="str">
        <f t="shared" si="32"/>
        <v>David Alexander Ordoñez Sales46291</v>
      </c>
      <c r="C288" t="s">
        <v>217</v>
      </c>
      <c r="D288" s="121">
        <v>46291</v>
      </c>
      <c r="E288" t="s">
        <v>96</v>
      </c>
      <c r="F288" t="s">
        <v>72</v>
      </c>
      <c r="G288" s="122">
        <v>0</v>
      </c>
      <c r="H288" s="122">
        <v>0</v>
      </c>
      <c r="I288" s="112">
        <v>0</v>
      </c>
      <c r="J288" s="112">
        <v>0</v>
      </c>
      <c r="K288" s="23">
        <f t="shared" si="33"/>
        <v>0</v>
      </c>
      <c r="L288" s="23">
        <f t="shared" si="34"/>
        <v>0</v>
      </c>
      <c r="M288" s="12">
        <f t="shared" si="39"/>
        <v>0</v>
      </c>
      <c r="N288" s="23">
        <f t="shared" si="35"/>
        <v>0</v>
      </c>
      <c r="O288" s="41">
        <f t="shared" si="36"/>
        <v>0</v>
      </c>
      <c r="P288" s="13" t="str">
        <f t="shared" si="37"/>
        <v>NO</v>
      </c>
      <c r="Q288" s="23">
        <f t="shared" si="38"/>
        <v>0</v>
      </c>
      <c r="R288" s="12">
        <f t="shared" si="38"/>
        <v>0</v>
      </c>
    </row>
    <row r="289" spans="2:18">
      <c r="B289" t="str">
        <f t="shared" si="32"/>
        <v>David Alexander Ordoñez Sales46292</v>
      </c>
      <c r="C289" t="s">
        <v>217</v>
      </c>
      <c r="D289" s="121">
        <v>46292</v>
      </c>
      <c r="E289" t="s">
        <v>97</v>
      </c>
      <c r="F289" t="s">
        <v>72</v>
      </c>
      <c r="G289" s="122">
        <v>0</v>
      </c>
      <c r="H289" s="122">
        <v>0</v>
      </c>
      <c r="I289" s="112">
        <v>0</v>
      </c>
      <c r="J289" s="112">
        <v>0</v>
      </c>
      <c r="K289" s="23">
        <f t="shared" si="33"/>
        <v>0</v>
      </c>
      <c r="L289" s="23">
        <f t="shared" si="34"/>
        <v>0</v>
      </c>
      <c r="M289" s="12">
        <f t="shared" si="39"/>
        <v>0</v>
      </c>
      <c r="N289" s="23">
        <f t="shared" si="35"/>
        <v>0</v>
      </c>
      <c r="O289" s="41">
        <f t="shared" si="36"/>
        <v>0</v>
      </c>
      <c r="P289" s="13" t="str">
        <f t="shared" si="37"/>
        <v>NO</v>
      </c>
      <c r="Q289" s="23">
        <f t="shared" si="38"/>
        <v>0</v>
      </c>
      <c r="R289" s="12">
        <f t="shared" si="38"/>
        <v>0</v>
      </c>
    </row>
    <row r="290" spans="2:18">
      <c r="B290" t="str">
        <f t="shared" si="32"/>
        <v>David Alexander Ordoñez Sales46293</v>
      </c>
      <c r="C290" t="s">
        <v>217</v>
      </c>
      <c r="D290" s="121">
        <v>46293</v>
      </c>
      <c r="E290" t="s">
        <v>98</v>
      </c>
      <c r="F290" t="s">
        <v>36</v>
      </c>
      <c r="G290" s="122">
        <v>0.75</v>
      </c>
      <c r="H290" s="122">
        <v>0.25</v>
      </c>
      <c r="I290" s="112">
        <v>0</v>
      </c>
      <c r="J290" s="112">
        <v>0</v>
      </c>
      <c r="K290" s="23">
        <f t="shared" si="33"/>
        <v>0.75</v>
      </c>
      <c r="L290" s="23">
        <f t="shared" si="34"/>
        <v>0</v>
      </c>
      <c r="M290" s="12">
        <f t="shared" si="39"/>
        <v>0.75</v>
      </c>
      <c r="N290" s="23">
        <f t="shared" si="35"/>
        <v>0.25</v>
      </c>
      <c r="O290" s="41">
        <f t="shared" si="36"/>
        <v>0</v>
      </c>
      <c r="P290" s="13" t="str">
        <f t="shared" si="37"/>
        <v>SI</v>
      </c>
      <c r="Q290" s="23">
        <f t="shared" si="38"/>
        <v>0.75</v>
      </c>
      <c r="R290" s="12">
        <f t="shared" si="38"/>
        <v>0.25</v>
      </c>
    </row>
    <row r="291" spans="2:18">
      <c r="B291" t="str">
        <f t="shared" si="32"/>
        <v>David Alexander Ordoñez Sales46294</v>
      </c>
      <c r="C291" t="s">
        <v>217</v>
      </c>
      <c r="D291" s="121">
        <v>46294</v>
      </c>
      <c r="E291" t="s">
        <v>99</v>
      </c>
      <c r="F291" t="s">
        <v>36</v>
      </c>
      <c r="G291" s="122">
        <v>0.75</v>
      </c>
      <c r="H291" s="122">
        <v>0.25</v>
      </c>
      <c r="I291" s="112">
        <v>0</v>
      </c>
      <c r="J291" s="112">
        <v>0</v>
      </c>
      <c r="K291" s="23">
        <f t="shared" si="33"/>
        <v>0.75</v>
      </c>
      <c r="L291" s="23">
        <f t="shared" si="34"/>
        <v>0</v>
      </c>
      <c r="M291" s="12">
        <f t="shared" si="39"/>
        <v>0.75</v>
      </c>
      <c r="N291" s="23">
        <f t="shared" si="35"/>
        <v>0.25</v>
      </c>
      <c r="O291" s="41">
        <f t="shared" si="36"/>
        <v>0</v>
      </c>
      <c r="P291" s="13" t="str">
        <f t="shared" si="37"/>
        <v>SI</v>
      </c>
      <c r="Q291" s="23">
        <f t="shared" si="38"/>
        <v>0.75</v>
      </c>
      <c r="R291" s="12">
        <f t="shared" si="38"/>
        <v>0.25</v>
      </c>
    </row>
    <row r="292" spans="2:18">
      <c r="B292" t="str">
        <f t="shared" si="32"/>
        <v>David Alexander Ordoñez Sales46295</v>
      </c>
      <c r="C292" t="s">
        <v>217</v>
      </c>
      <c r="D292" s="121">
        <v>46295</v>
      </c>
      <c r="E292" t="s">
        <v>100</v>
      </c>
      <c r="F292" t="s">
        <v>36</v>
      </c>
      <c r="G292" s="122">
        <v>0.75</v>
      </c>
      <c r="H292" s="122">
        <v>0.25</v>
      </c>
      <c r="I292" s="112">
        <v>0</v>
      </c>
      <c r="J292" s="112">
        <v>0</v>
      </c>
      <c r="K292" s="23">
        <f t="shared" si="33"/>
        <v>0.75</v>
      </c>
      <c r="L292" s="23">
        <f t="shared" si="34"/>
        <v>0</v>
      </c>
      <c r="M292" s="12">
        <f t="shared" si="39"/>
        <v>0.75</v>
      </c>
      <c r="N292" s="23">
        <f t="shared" si="35"/>
        <v>0.25</v>
      </c>
      <c r="O292" s="41">
        <f t="shared" si="36"/>
        <v>0</v>
      </c>
      <c r="P292" s="13" t="str">
        <f t="shared" si="37"/>
        <v>SI</v>
      </c>
      <c r="Q292" s="23">
        <f t="shared" si="38"/>
        <v>0.75</v>
      </c>
      <c r="R292" s="12">
        <f t="shared" si="38"/>
        <v>0.25</v>
      </c>
    </row>
    <row r="293" spans="2:18">
      <c r="B293" t="str">
        <f t="shared" si="32"/>
        <v>David Alexander Ordoñez Sales46296</v>
      </c>
      <c r="C293" t="s">
        <v>217</v>
      </c>
      <c r="D293" s="121">
        <v>46296</v>
      </c>
      <c r="E293" t="s">
        <v>101</v>
      </c>
      <c r="F293" t="s">
        <v>36</v>
      </c>
      <c r="G293" s="122">
        <v>0.75</v>
      </c>
      <c r="H293" s="122">
        <v>0.25</v>
      </c>
      <c r="I293" s="112">
        <v>0</v>
      </c>
      <c r="J293" s="112">
        <v>0</v>
      </c>
      <c r="K293" s="23">
        <f t="shared" si="33"/>
        <v>0.75</v>
      </c>
      <c r="L293" s="23">
        <f t="shared" si="34"/>
        <v>0</v>
      </c>
      <c r="M293" s="12">
        <f t="shared" si="39"/>
        <v>0.75</v>
      </c>
      <c r="N293" s="23">
        <f t="shared" si="35"/>
        <v>0.25</v>
      </c>
      <c r="O293" s="41">
        <f t="shared" si="36"/>
        <v>0</v>
      </c>
      <c r="P293" s="13" t="str">
        <f t="shared" si="37"/>
        <v>SI</v>
      </c>
      <c r="Q293" s="23">
        <f t="shared" si="38"/>
        <v>0.75</v>
      </c>
      <c r="R293" s="12">
        <f t="shared" si="38"/>
        <v>0.25</v>
      </c>
    </row>
    <row r="294" spans="2:18">
      <c r="B294" t="str">
        <f t="shared" si="32"/>
        <v>David Alexander Ordoñez Sales46297</v>
      </c>
      <c r="C294" t="s">
        <v>217</v>
      </c>
      <c r="D294" s="121">
        <v>46297</v>
      </c>
      <c r="E294" t="s">
        <v>95</v>
      </c>
      <c r="F294" t="s">
        <v>36</v>
      </c>
      <c r="G294" s="122">
        <v>0.75</v>
      </c>
      <c r="H294" s="122">
        <v>0.25</v>
      </c>
      <c r="I294" s="112">
        <v>0</v>
      </c>
      <c r="J294" s="112">
        <v>0</v>
      </c>
      <c r="K294" s="23">
        <f t="shared" si="33"/>
        <v>0.75</v>
      </c>
      <c r="L294" s="23">
        <f t="shared" si="34"/>
        <v>0</v>
      </c>
      <c r="M294" s="12">
        <f t="shared" si="39"/>
        <v>0.75</v>
      </c>
      <c r="N294" s="23">
        <f t="shared" si="35"/>
        <v>0.25</v>
      </c>
      <c r="O294" s="41">
        <f t="shared" si="36"/>
        <v>0</v>
      </c>
      <c r="P294" s="13" t="str">
        <f t="shared" si="37"/>
        <v>SI</v>
      </c>
      <c r="Q294" s="23">
        <f t="shared" si="38"/>
        <v>0.75</v>
      </c>
      <c r="R294" s="12">
        <f t="shared" si="38"/>
        <v>0.25</v>
      </c>
    </row>
    <row r="295" spans="2:18">
      <c r="B295" t="str">
        <f t="shared" si="32"/>
        <v>David Alexander Ordoñez Sales46298</v>
      </c>
      <c r="C295" t="s">
        <v>217</v>
      </c>
      <c r="D295" s="121">
        <v>46298</v>
      </c>
      <c r="E295" t="s">
        <v>96</v>
      </c>
      <c r="F295" t="s">
        <v>72</v>
      </c>
      <c r="G295" s="122">
        <v>0</v>
      </c>
      <c r="H295" s="122">
        <v>0</v>
      </c>
      <c r="I295" s="112">
        <v>0</v>
      </c>
      <c r="J295" s="112">
        <v>0</v>
      </c>
      <c r="K295" s="23">
        <f t="shared" si="33"/>
        <v>0</v>
      </c>
      <c r="L295" s="23">
        <f t="shared" si="34"/>
        <v>0</v>
      </c>
      <c r="M295" s="12">
        <f t="shared" si="39"/>
        <v>0</v>
      </c>
      <c r="N295" s="23">
        <f t="shared" si="35"/>
        <v>0</v>
      </c>
      <c r="O295" s="41">
        <f t="shared" si="36"/>
        <v>0</v>
      </c>
      <c r="P295" s="13" t="str">
        <f t="shared" si="37"/>
        <v>NO</v>
      </c>
      <c r="Q295" s="23">
        <f t="shared" si="38"/>
        <v>0</v>
      </c>
      <c r="R295" s="12">
        <f t="shared" si="38"/>
        <v>0</v>
      </c>
    </row>
    <row r="296" spans="2:18">
      <c r="B296" t="str">
        <f t="shared" si="32"/>
        <v>David Alexander Ordoñez Sales46299</v>
      </c>
      <c r="C296" t="s">
        <v>217</v>
      </c>
      <c r="D296" s="121">
        <v>46299</v>
      </c>
      <c r="E296" t="s">
        <v>97</v>
      </c>
      <c r="F296" t="s">
        <v>72</v>
      </c>
      <c r="G296" s="122">
        <v>0</v>
      </c>
      <c r="H296" s="122">
        <v>0</v>
      </c>
      <c r="I296" s="112">
        <v>0</v>
      </c>
      <c r="J296" s="112">
        <v>0</v>
      </c>
      <c r="K296" s="23">
        <f t="shared" si="33"/>
        <v>0</v>
      </c>
      <c r="L296" s="23">
        <f t="shared" si="34"/>
        <v>0</v>
      </c>
      <c r="M296" s="12">
        <f t="shared" si="39"/>
        <v>0</v>
      </c>
      <c r="N296" s="23">
        <f t="shared" si="35"/>
        <v>0</v>
      </c>
      <c r="O296" s="41">
        <f t="shared" si="36"/>
        <v>0</v>
      </c>
      <c r="P296" s="13" t="str">
        <f t="shared" si="37"/>
        <v>NO</v>
      </c>
      <c r="Q296" s="23">
        <f t="shared" si="38"/>
        <v>0</v>
      </c>
      <c r="R296" s="12">
        <f t="shared" si="38"/>
        <v>0</v>
      </c>
    </row>
    <row r="297" spans="2:18">
      <c r="B297" t="str">
        <f t="shared" si="32"/>
        <v>Diego Flavio Rivas46279</v>
      </c>
      <c r="C297" t="s">
        <v>218</v>
      </c>
      <c r="D297" s="121">
        <v>46279</v>
      </c>
      <c r="E297" t="s">
        <v>98</v>
      </c>
      <c r="F297" t="s">
        <v>72</v>
      </c>
      <c r="G297" s="122">
        <v>0</v>
      </c>
      <c r="H297" s="122">
        <v>0</v>
      </c>
      <c r="I297" s="112">
        <v>0</v>
      </c>
      <c r="J297" s="112">
        <v>0</v>
      </c>
      <c r="K297" s="23">
        <f t="shared" si="33"/>
        <v>0</v>
      </c>
      <c r="L297" s="23">
        <f t="shared" si="34"/>
        <v>0</v>
      </c>
      <c r="M297" s="12">
        <f t="shared" si="39"/>
        <v>0</v>
      </c>
      <c r="N297" s="23">
        <f t="shared" si="35"/>
        <v>0</v>
      </c>
      <c r="O297" s="41">
        <f t="shared" si="36"/>
        <v>0</v>
      </c>
      <c r="P297" s="13" t="str">
        <f t="shared" si="37"/>
        <v>NO</v>
      </c>
      <c r="Q297" s="23">
        <f t="shared" si="38"/>
        <v>0</v>
      </c>
      <c r="R297" s="12">
        <f t="shared" si="38"/>
        <v>0</v>
      </c>
    </row>
    <row r="298" spans="2:18">
      <c r="B298" t="str">
        <f t="shared" si="32"/>
        <v>Diego Flavio Rivas46280</v>
      </c>
      <c r="C298" t="s">
        <v>218</v>
      </c>
      <c r="D298" s="121">
        <v>46280</v>
      </c>
      <c r="E298" t="s">
        <v>99</v>
      </c>
      <c r="F298" t="s">
        <v>35</v>
      </c>
      <c r="G298" s="122">
        <v>0.33333333333333298</v>
      </c>
      <c r="H298" s="122">
        <v>0.70833333333333304</v>
      </c>
      <c r="I298" s="112">
        <v>0</v>
      </c>
      <c r="J298" s="112">
        <v>0</v>
      </c>
      <c r="K298" s="23">
        <f t="shared" si="33"/>
        <v>0.33333333333333298</v>
      </c>
      <c r="L298" s="23">
        <f t="shared" si="34"/>
        <v>0</v>
      </c>
      <c r="M298" s="12">
        <f t="shared" si="39"/>
        <v>0.33333333333333298</v>
      </c>
      <c r="N298" s="23">
        <f t="shared" si="35"/>
        <v>0.70833333333333304</v>
      </c>
      <c r="O298" s="41">
        <f t="shared" si="36"/>
        <v>0</v>
      </c>
      <c r="P298" s="13" t="str">
        <f t="shared" si="37"/>
        <v>SI</v>
      </c>
      <c r="Q298" s="23">
        <f t="shared" si="38"/>
        <v>0.33333333333333298</v>
      </c>
      <c r="R298" s="12">
        <f t="shared" si="38"/>
        <v>0.70833333333333304</v>
      </c>
    </row>
    <row r="299" spans="2:18">
      <c r="B299" t="str">
        <f t="shared" si="32"/>
        <v>Diego Flavio Rivas46281</v>
      </c>
      <c r="C299" t="s">
        <v>218</v>
      </c>
      <c r="D299" s="121">
        <v>46281</v>
      </c>
      <c r="E299" t="s">
        <v>100</v>
      </c>
      <c r="F299" t="s">
        <v>36</v>
      </c>
      <c r="G299" s="122">
        <v>0.75</v>
      </c>
      <c r="H299" s="122">
        <v>0.25</v>
      </c>
      <c r="I299" s="112">
        <v>0</v>
      </c>
      <c r="J299" s="112">
        <v>0</v>
      </c>
      <c r="K299" s="23">
        <f t="shared" si="33"/>
        <v>0.75</v>
      </c>
      <c r="L299" s="23">
        <f t="shared" si="34"/>
        <v>0</v>
      </c>
      <c r="M299" s="12">
        <f t="shared" si="39"/>
        <v>0.75</v>
      </c>
      <c r="N299" s="23">
        <f t="shared" si="35"/>
        <v>0.25</v>
      </c>
      <c r="O299" s="41">
        <f t="shared" si="36"/>
        <v>0</v>
      </c>
      <c r="P299" s="13" t="str">
        <f t="shared" si="37"/>
        <v>SI</v>
      </c>
      <c r="Q299" s="23">
        <f t="shared" si="38"/>
        <v>0.75</v>
      </c>
      <c r="R299" s="12">
        <f t="shared" si="38"/>
        <v>0.25</v>
      </c>
    </row>
    <row r="300" spans="2:18">
      <c r="B300" t="str">
        <f t="shared" si="32"/>
        <v>Diego Flavio Rivas46282</v>
      </c>
      <c r="C300" t="s">
        <v>218</v>
      </c>
      <c r="D300" s="121">
        <v>46282</v>
      </c>
      <c r="E300" t="s">
        <v>101</v>
      </c>
      <c r="F300" t="s">
        <v>36</v>
      </c>
      <c r="G300" s="122">
        <v>0.75</v>
      </c>
      <c r="H300" s="122">
        <v>0.25</v>
      </c>
      <c r="I300" s="112">
        <v>0</v>
      </c>
      <c r="J300" s="112">
        <v>0</v>
      </c>
      <c r="K300" s="23">
        <f t="shared" si="33"/>
        <v>0.75</v>
      </c>
      <c r="L300" s="23">
        <f t="shared" si="34"/>
        <v>0</v>
      </c>
      <c r="M300" s="12">
        <f t="shared" si="39"/>
        <v>0.75</v>
      </c>
      <c r="N300" s="23">
        <f t="shared" si="35"/>
        <v>0.25</v>
      </c>
      <c r="O300" s="41">
        <f t="shared" si="36"/>
        <v>0</v>
      </c>
      <c r="P300" s="13" t="str">
        <f t="shared" si="37"/>
        <v>SI</v>
      </c>
      <c r="Q300" s="23">
        <f t="shared" si="38"/>
        <v>0.75</v>
      </c>
      <c r="R300" s="12">
        <f t="shared" si="38"/>
        <v>0.25</v>
      </c>
    </row>
    <row r="301" spans="2:18">
      <c r="B301" t="str">
        <f t="shared" si="32"/>
        <v>Diego Flavio Rivas46283</v>
      </c>
      <c r="C301" t="s">
        <v>218</v>
      </c>
      <c r="D301" s="121">
        <v>46283</v>
      </c>
      <c r="E301" t="s">
        <v>95</v>
      </c>
      <c r="F301" t="s">
        <v>36</v>
      </c>
      <c r="G301" s="122">
        <v>0.75</v>
      </c>
      <c r="H301" s="122">
        <v>0.25</v>
      </c>
      <c r="I301" s="112">
        <v>0</v>
      </c>
      <c r="J301" s="112">
        <v>0</v>
      </c>
      <c r="K301" s="23">
        <f t="shared" si="33"/>
        <v>0.75</v>
      </c>
      <c r="L301" s="23">
        <f t="shared" si="34"/>
        <v>0</v>
      </c>
      <c r="M301" s="12">
        <f t="shared" si="39"/>
        <v>0.75</v>
      </c>
      <c r="N301" s="23">
        <f t="shared" si="35"/>
        <v>0.25</v>
      </c>
      <c r="O301" s="41">
        <f t="shared" si="36"/>
        <v>0</v>
      </c>
      <c r="P301" s="13" t="str">
        <f t="shared" si="37"/>
        <v>SI</v>
      </c>
      <c r="Q301" s="23">
        <f t="shared" si="38"/>
        <v>0.75</v>
      </c>
      <c r="R301" s="12">
        <f t="shared" si="38"/>
        <v>0.25</v>
      </c>
    </row>
    <row r="302" spans="2:18">
      <c r="B302" t="str">
        <f t="shared" ref="B302:B365" si="40">+C302&amp;D302</f>
        <v>Diego Flavio Rivas46284</v>
      </c>
      <c r="C302" t="s">
        <v>218</v>
      </c>
      <c r="D302" s="121">
        <v>46284</v>
      </c>
      <c r="E302" t="s">
        <v>96</v>
      </c>
      <c r="F302" t="s">
        <v>36</v>
      </c>
      <c r="G302" s="122">
        <v>0.75</v>
      </c>
      <c r="H302" s="122">
        <v>0.25</v>
      </c>
      <c r="I302" s="112">
        <v>0</v>
      </c>
      <c r="J302" s="112">
        <v>0</v>
      </c>
      <c r="K302" s="23">
        <f t="shared" ref="K302:K365" si="41">+IFERROR(G302,0)</f>
        <v>0.75</v>
      </c>
      <c r="L302" s="23">
        <f t="shared" ref="L302:L365" si="42">+I302</f>
        <v>0</v>
      </c>
      <c r="M302" s="12">
        <f t="shared" si="39"/>
        <v>0.75</v>
      </c>
      <c r="N302" s="23">
        <f t="shared" ref="N302:N365" si="43">+H302</f>
        <v>0.25</v>
      </c>
      <c r="O302" s="41">
        <f t="shared" ref="O302:O365" si="44">+J302</f>
        <v>0</v>
      </c>
      <c r="P302" s="13" t="str">
        <f t="shared" ref="P302:P365" si="45">+IF(O302&lt;N302,"SI","NO")</f>
        <v>SI</v>
      </c>
      <c r="Q302" s="23">
        <f t="shared" ref="Q302:R365" si="46">+M302</f>
        <v>0.75</v>
      </c>
      <c r="R302" s="12">
        <f t="shared" si="46"/>
        <v>0.25</v>
      </c>
    </row>
    <row r="303" spans="2:18">
      <c r="B303" t="str">
        <f t="shared" si="40"/>
        <v>Diego Flavio Rivas46285</v>
      </c>
      <c r="C303" t="s">
        <v>218</v>
      </c>
      <c r="D303" s="121">
        <v>46285</v>
      </c>
      <c r="E303" t="s">
        <v>97</v>
      </c>
      <c r="F303" t="s">
        <v>72</v>
      </c>
      <c r="G303" s="122">
        <v>0</v>
      </c>
      <c r="H303" s="122">
        <v>0</v>
      </c>
      <c r="I303" s="112">
        <v>0</v>
      </c>
      <c r="J303" s="112">
        <v>0</v>
      </c>
      <c r="K303" s="23">
        <f t="shared" si="41"/>
        <v>0</v>
      </c>
      <c r="L303" s="23">
        <f t="shared" si="42"/>
        <v>0</v>
      </c>
      <c r="M303" s="12">
        <f t="shared" ref="M303:M366" si="47">+IFERROR(MAX(K303:L303),0)</f>
        <v>0</v>
      </c>
      <c r="N303" s="23">
        <f t="shared" si="43"/>
        <v>0</v>
      </c>
      <c r="O303" s="41">
        <f t="shared" si="44"/>
        <v>0</v>
      </c>
      <c r="P303" s="13" t="str">
        <f t="shared" si="45"/>
        <v>NO</v>
      </c>
      <c r="Q303" s="23">
        <f t="shared" si="46"/>
        <v>0</v>
      </c>
      <c r="R303" s="12">
        <f t="shared" si="46"/>
        <v>0</v>
      </c>
    </row>
    <row r="304" spans="2:18">
      <c r="B304" t="str">
        <f t="shared" si="40"/>
        <v>Diego Flavio Rivas46286</v>
      </c>
      <c r="C304" t="s">
        <v>218</v>
      </c>
      <c r="D304" s="121">
        <v>46286</v>
      </c>
      <c r="E304" t="s">
        <v>98</v>
      </c>
      <c r="F304" t="s">
        <v>35</v>
      </c>
      <c r="G304" s="122">
        <v>0.25</v>
      </c>
      <c r="H304" s="122">
        <v>0.75</v>
      </c>
      <c r="I304" s="112">
        <v>0</v>
      </c>
      <c r="J304" s="112">
        <v>0</v>
      </c>
      <c r="K304" s="23">
        <f t="shared" si="41"/>
        <v>0.25</v>
      </c>
      <c r="L304" s="23">
        <f t="shared" si="42"/>
        <v>0</v>
      </c>
      <c r="M304" s="12">
        <f t="shared" si="47"/>
        <v>0.25</v>
      </c>
      <c r="N304" s="23">
        <f t="shared" si="43"/>
        <v>0.75</v>
      </c>
      <c r="O304" s="41">
        <f t="shared" si="44"/>
        <v>0</v>
      </c>
      <c r="P304" s="13" t="str">
        <f t="shared" si="45"/>
        <v>SI</v>
      </c>
      <c r="Q304" s="23">
        <f t="shared" si="46"/>
        <v>0.25</v>
      </c>
      <c r="R304" s="12">
        <f t="shared" si="46"/>
        <v>0.75</v>
      </c>
    </row>
    <row r="305" spans="2:18">
      <c r="B305" t="str">
        <f t="shared" si="40"/>
        <v>Diego Flavio Rivas46287</v>
      </c>
      <c r="C305" t="s">
        <v>218</v>
      </c>
      <c r="D305" s="121">
        <v>46287</v>
      </c>
      <c r="E305" t="s">
        <v>99</v>
      </c>
      <c r="F305" t="s">
        <v>35</v>
      </c>
      <c r="G305" s="122">
        <v>0.25</v>
      </c>
      <c r="H305" s="122">
        <v>0.75</v>
      </c>
      <c r="I305" s="112">
        <v>0</v>
      </c>
      <c r="J305" s="112">
        <v>0</v>
      </c>
      <c r="K305" s="23">
        <f t="shared" si="41"/>
        <v>0.25</v>
      </c>
      <c r="L305" s="23">
        <f t="shared" si="42"/>
        <v>0</v>
      </c>
      <c r="M305" s="12">
        <f t="shared" si="47"/>
        <v>0.25</v>
      </c>
      <c r="N305" s="23">
        <f t="shared" si="43"/>
        <v>0.75</v>
      </c>
      <c r="O305" s="41">
        <f t="shared" si="44"/>
        <v>0</v>
      </c>
      <c r="P305" s="13" t="str">
        <f t="shared" si="45"/>
        <v>SI</v>
      </c>
      <c r="Q305" s="23">
        <f t="shared" si="46"/>
        <v>0.25</v>
      </c>
      <c r="R305" s="12">
        <f t="shared" si="46"/>
        <v>0.75</v>
      </c>
    </row>
    <row r="306" spans="2:18">
      <c r="B306" t="str">
        <f t="shared" si="40"/>
        <v>Diego Flavio Rivas46288</v>
      </c>
      <c r="C306" t="s">
        <v>218</v>
      </c>
      <c r="D306" s="121">
        <v>46288</v>
      </c>
      <c r="E306" t="s">
        <v>100</v>
      </c>
      <c r="F306" t="s">
        <v>35</v>
      </c>
      <c r="G306" s="122">
        <v>0.25</v>
      </c>
      <c r="H306" s="122">
        <v>0.75</v>
      </c>
      <c r="I306" s="112">
        <v>0</v>
      </c>
      <c r="J306" s="112">
        <v>0</v>
      </c>
      <c r="K306" s="23">
        <f t="shared" si="41"/>
        <v>0.25</v>
      </c>
      <c r="L306" s="23">
        <f t="shared" si="42"/>
        <v>0</v>
      </c>
      <c r="M306" s="12">
        <f t="shared" si="47"/>
        <v>0.25</v>
      </c>
      <c r="N306" s="23">
        <f t="shared" si="43"/>
        <v>0.75</v>
      </c>
      <c r="O306" s="41">
        <f t="shared" si="44"/>
        <v>0</v>
      </c>
      <c r="P306" s="13" t="str">
        <f t="shared" si="45"/>
        <v>SI</v>
      </c>
      <c r="Q306" s="23">
        <f t="shared" si="46"/>
        <v>0.25</v>
      </c>
      <c r="R306" s="12">
        <f t="shared" si="46"/>
        <v>0.75</v>
      </c>
    </row>
    <row r="307" spans="2:18">
      <c r="B307" t="str">
        <f t="shared" si="40"/>
        <v>Diego Flavio Rivas46289</v>
      </c>
      <c r="C307" t="s">
        <v>218</v>
      </c>
      <c r="D307" s="121">
        <v>46289</v>
      </c>
      <c r="E307" t="s">
        <v>101</v>
      </c>
      <c r="F307" t="s">
        <v>35</v>
      </c>
      <c r="G307" s="122">
        <v>0.25</v>
      </c>
      <c r="H307" s="122">
        <v>0.75</v>
      </c>
      <c r="I307" s="112">
        <v>0</v>
      </c>
      <c r="J307" s="112">
        <v>0</v>
      </c>
      <c r="K307" s="23">
        <f t="shared" si="41"/>
        <v>0.25</v>
      </c>
      <c r="L307" s="23">
        <f t="shared" si="42"/>
        <v>0</v>
      </c>
      <c r="M307" s="12">
        <f t="shared" si="47"/>
        <v>0.25</v>
      </c>
      <c r="N307" s="23">
        <f t="shared" si="43"/>
        <v>0.75</v>
      </c>
      <c r="O307" s="41">
        <f t="shared" si="44"/>
        <v>0</v>
      </c>
      <c r="P307" s="13" t="str">
        <f t="shared" si="45"/>
        <v>SI</v>
      </c>
      <c r="Q307" s="23">
        <f t="shared" si="46"/>
        <v>0.25</v>
      </c>
      <c r="R307" s="12">
        <f t="shared" si="46"/>
        <v>0.75</v>
      </c>
    </row>
    <row r="308" spans="2:18">
      <c r="B308" t="str">
        <f t="shared" si="40"/>
        <v>Diego Flavio Rivas46290</v>
      </c>
      <c r="C308" t="s">
        <v>218</v>
      </c>
      <c r="D308" s="121">
        <v>46290</v>
      </c>
      <c r="E308" t="s">
        <v>95</v>
      </c>
      <c r="F308" t="s">
        <v>72</v>
      </c>
      <c r="G308" s="122">
        <v>0</v>
      </c>
      <c r="H308" s="122">
        <v>0</v>
      </c>
      <c r="I308" s="112">
        <v>0</v>
      </c>
      <c r="J308" s="112">
        <v>0</v>
      </c>
      <c r="K308" s="23">
        <f t="shared" si="41"/>
        <v>0</v>
      </c>
      <c r="L308" s="23">
        <f t="shared" si="42"/>
        <v>0</v>
      </c>
      <c r="M308" s="12">
        <f t="shared" si="47"/>
        <v>0</v>
      </c>
      <c r="N308" s="23">
        <f t="shared" si="43"/>
        <v>0</v>
      </c>
      <c r="O308" s="41">
        <f t="shared" si="44"/>
        <v>0</v>
      </c>
      <c r="P308" s="13" t="str">
        <f t="shared" si="45"/>
        <v>NO</v>
      </c>
      <c r="Q308" s="23">
        <f t="shared" si="46"/>
        <v>0</v>
      </c>
      <c r="R308" s="12">
        <f t="shared" si="46"/>
        <v>0</v>
      </c>
    </row>
    <row r="309" spans="2:18">
      <c r="B309" t="str">
        <f t="shared" si="40"/>
        <v>Diego Flavio Rivas46291</v>
      </c>
      <c r="C309" t="s">
        <v>218</v>
      </c>
      <c r="D309" s="121">
        <v>46291</v>
      </c>
      <c r="E309" t="s">
        <v>96</v>
      </c>
      <c r="F309" t="s">
        <v>72</v>
      </c>
      <c r="G309" s="122">
        <v>0</v>
      </c>
      <c r="H309" s="122">
        <v>0</v>
      </c>
      <c r="I309" s="112">
        <v>0</v>
      </c>
      <c r="J309" s="112">
        <v>0</v>
      </c>
      <c r="K309" s="23">
        <f t="shared" si="41"/>
        <v>0</v>
      </c>
      <c r="L309" s="23">
        <f t="shared" si="42"/>
        <v>0</v>
      </c>
      <c r="M309" s="12">
        <f t="shared" si="47"/>
        <v>0</v>
      </c>
      <c r="N309" s="23">
        <f t="shared" si="43"/>
        <v>0</v>
      </c>
      <c r="O309" s="41">
        <f t="shared" si="44"/>
        <v>0</v>
      </c>
      <c r="P309" s="13" t="str">
        <f t="shared" si="45"/>
        <v>NO</v>
      </c>
      <c r="Q309" s="23">
        <f t="shared" si="46"/>
        <v>0</v>
      </c>
      <c r="R309" s="12">
        <f t="shared" si="46"/>
        <v>0</v>
      </c>
    </row>
    <row r="310" spans="2:18">
      <c r="B310" t="str">
        <f t="shared" si="40"/>
        <v>Diego Flavio Rivas46292</v>
      </c>
      <c r="C310" t="s">
        <v>218</v>
      </c>
      <c r="D310" s="121">
        <v>46292</v>
      </c>
      <c r="E310" t="s">
        <v>97</v>
      </c>
      <c r="F310" t="s">
        <v>72</v>
      </c>
      <c r="G310" s="122">
        <v>0</v>
      </c>
      <c r="H310" s="122">
        <v>0</v>
      </c>
      <c r="I310" s="112">
        <v>0</v>
      </c>
      <c r="J310" s="112">
        <v>0</v>
      </c>
      <c r="K310" s="23">
        <f t="shared" si="41"/>
        <v>0</v>
      </c>
      <c r="L310" s="23">
        <f t="shared" si="42"/>
        <v>0</v>
      </c>
      <c r="M310" s="12">
        <f t="shared" si="47"/>
        <v>0</v>
      </c>
      <c r="N310" s="23">
        <f t="shared" si="43"/>
        <v>0</v>
      </c>
      <c r="O310" s="41">
        <f t="shared" si="44"/>
        <v>0</v>
      </c>
      <c r="P310" s="13" t="str">
        <f t="shared" si="45"/>
        <v>NO</v>
      </c>
      <c r="Q310" s="23">
        <f t="shared" si="46"/>
        <v>0</v>
      </c>
      <c r="R310" s="12">
        <f t="shared" si="46"/>
        <v>0</v>
      </c>
    </row>
    <row r="311" spans="2:18">
      <c r="B311" t="str">
        <f t="shared" si="40"/>
        <v>Diego Flavio Rivas46293</v>
      </c>
      <c r="C311" t="s">
        <v>218</v>
      </c>
      <c r="D311" s="121">
        <v>46293</v>
      </c>
      <c r="E311" t="s">
        <v>98</v>
      </c>
      <c r="F311" t="s">
        <v>36</v>
      </c>
      <c r="G311" s="122">
        <v>0.75</v>
      </c>
      <c r="H311" s="122">
        <v>0.25</v>
      </c>
      <c r="I311" s="112">
        <v>0</v>
      </c>
      <c r="J311" s="112">
        <v>0</v>
      </c>
      <c r="K311" s="23">
        <f t="shared" si="41"/>
        <v>0.75</v>
      </c>
      <c r="L311" s="23">
        <f t="shared" si="42"/>
        <v>0</v>
      </c>
      <c r="M311" s="12">
        <f t="shared" si="47"/>
        <v>0.75</v>
      </c>
      <c r="N311" s="23">
        <f t="shared" si="43"/>
        <v>0.25</v>
      </c>
      <c r="O311" s="41">
        <f t="shared" si="44"/>
        <v>0</v>
      </c>
      <c r="P311" s="13" t="str">
        <f t="shared" si="45"/>
        <v>SI</v>
      </c>
      <c r="Q311" s="23">
        <f t="shared" si="46"/>
        <v>0.75</v>
      </c>
      <c r="R311" s="12">
        <f t="shared" si="46"/>
        <v>0.25</v>
      </c>
    </row>
    <row r="312" spans="2:18">
      <c r="B312" t="str">
        <f t="shared" si="40"/>
        <v>Diego Flavio Rivas46294</v>
      </c>
      <c r="C312" t="s">
        <v>218</v>
      </c>
      <c r="D312" s="121">
        <v>46294</v>
      </c>
      <c r="E312" t="s">
        <v>99</v>
      </c>
      <c r="F312" t="s">
        <v>36</v>
      </c>
      <c r="G312" s="122">
        <v>0.75</v>
      </c>
      <c r="H312" s="122">
        <v>0.25</v>
      </c>
      <c r="I312" s="112">
        <v>0</v>
      </c>
      <c r="J312" s="112">
        <v>0</v>
      </c>
      <c r="K312" s="23">
        <f t="shared" si="41"/>
        <v>0.75</v>
      </c>
      <c r="L312" s="23">
        <f t="shared" si="42"/>
        <v>0</v>
      </c>
      <c r="M312" s="12">
        <f t="shared" si="47"/>
        <v>0.75</v>
      </c>
      <c r="N312" s="23">
        <f t="shared" si="43"/>
        <v>0.25</v>
      </c>
      <c r="O312" s="41">
        <f t="shared" si="44"/>
        <v>0</v>
      </c>
      <c r="P312" s="13" t="str">
        <f t="shared" si="45"/>
        <v>SI</v>
      </c>
      <c r="Q312" s="23">
        <f t="shared" si="46"/>
        <v>0.75</v>
      </c>
      <c r="R312" s="12">
        <f t="shared" si="46"/>
        <v>0.25</v>
      </c>
    </row>
    <row r="313" spans="2:18">
      <c r="B313" t="str">
        <f t="shared" si="40"/>
        <v>Diego Flavio Rivas46295</v>
      </c>
      <c r="C313" t="s">
        <v>218</v>
      </c>
      <c r="D313" s="121">
        <v>46295</v>
      </c>
      <c r="E313" t="s">
        <v>100</v>
      </c>
      <c r="F313" t="s">
        <v>36</v>
      </c>
      <c r="G313" s="122">
        <v>0.75</v>
      </c>
      <c r="H313" s="122">
        <v>0.25</v>
      </c>
      <c r="I313" s="112">
        <v>0</v>
      </c>
      <c r="J313" s="112">
        <v>0</v>
      </c>
      <c r="K313" s="23">
        <f t="shared" si="41"/>
        <v>0.75</v>
      </c>
      <c r="L313" s="23">
        <f t="shared" si="42"/>
        <v>0</v>
      </c>
      <c r="M313" s="12">
        <f t="shared" si="47"/>
        <v>0.75</v>
      </c>
      <c r="N313" s="23">
        <f t="shared" si="43"/>
        <v>0.25</v>
      </c>
      <c r="O313" s="41">
        <f t="shared" si="44"/>
        <v>0</v>
      </c>
      <c r="P313" s="13" t="str">
        <f t="shared" si="45"/>
        <v>SI</v>
      </c>
      <c r="Q313" s="23">
        <f t="shared" si="46"/>
        <v>0.75</v>
      </c>
      <c r="R313" s="12">
        <f t="shared" si="46"/>
        <v>0.25</v>
      </c>
    </row>
    <row r="314" spans="2:18">
      <c r="B314" t="str">
        <f t="shared" si="40"/>
        <v>Diego Flavio Rivas46296</v>
      </c>
      <c r="C314" t="s">
        <v>218</v>
      </c>
      <c r="D314" s="121">
        <v>46296</v>
      </c>
      <c r="E314" t="s">
        <v>101</v>
      </c>
      <c r="F314" t="s">
        <v>36</v>
      </c>
      <c r="G314" s="122">
        <v>0.75</v>
      </c>
      <c r="H314" s="122">
        <v>0.25</v>
      </c>
      <c r="I314" s="112">
        <v>0</v>
      </c>
      <c r="J314" s="112">
        <v>0</v>
      </c>
      <c r="K314" s="23">
        <f t="shared" si="41"/>
        <v>0.75</v>
      </c>
      <c r="L314" s="23">
        <f t="shared" si="42"/>
        <v>0</v>
      </c>
      <c r="M314" s="12">
        <f t="shared" si="47"/>
        <v>0.75</v>
      </c>
      <c r="N314" s="23">
        <f t="shared" si="43"/>
        <v>0.25</v>
      </c>
      <c r="O314" s="41">
        <f t="shared" si="44"/>
        <v>0</v>
      </c>
      <c r="P314" s="13" t="str">
        <f t="shared" si="45"/>
        <v>SI</v>
      </c>
      <c r="Q314" s="23">
        <f t="shared" si="46"/>
        <v>0.75</v>
      </c>
      <c r="R314" s="12">
        <f t="shared" si="46"/>
        <v>0.25</v>
      </c>
    </row>
    <row r="315" spans="2:18">
      <c r="B315" t="str">
        <f t="shared" si="40"/>
        <v>Diego Flavio Rivas46297</v>
      </c>
      <c r="C315" t="s">
        <v>218</v>
      </c>
      <c r="D315" s="121">
        <v>46297</v>
      </c>
      <c r="E315" t="s">
        <v>95</v>
      </c>
      <c r="F315" t="s">
        <v>36</v>
      </c>
      <c r="G315" s="122">
        <v>0.75</v>
      </c>
      <c r="H315" s="122">
        <v>0.25</v>
      </c>
      <c r="I315" s="112">
        <v>0</v>
      </c>
      <c r="J315" s="112">
        <v>0</v>
      </c>
      <c r="K315" s="23">
        <f t="shared" si="41"/>
        <v>0.75</v>
      </c>
      <c r="L315" s="23">
        <f t="shared" si="42"/>
        <v>0</v>
      </c>
      <c r="M315" s="12">
        <f t="shared" si="47"/>
        <v>0.75</v>
      </c>
      <c r="N315" s="23">
        <f t="shared" si="43"/>
        <v>0.25</v>
      </c>
      <c r="O315" s="41">
        <f t="shared" si="44"/>
        <v>0</v>
      </c>
      <c r="P315" s="13" t="str">
        <f t="shared" si="45"/>
        <v>SI</v>
      </c>
      <c r="Q315" s="23">
        <f t="shared" si="46"/>
        <v>0.75</v>
      </c>
      <c r="R315" s="12">
        <f t="shared" si="46"/>
        <v>0.25</v>
      </c>
    </row>
    <row r="316" spans="2:18">
      <c r="B316" t="str">
        <f t="shared" si="40"/>
        <v>Diego Flavio Rivas46298</v>
      </c>
      <c r="C316" t="s">
        <v>218</v>
      </c>
      <c r="D316" s="121">
        <v>46298</v>
      </c>
      <c r="E316" t="s">
        <v>96</v>
      </c>
      <c r="F316" t="s">
        <v>72</v>
      </c>
      <c r="G316" s="122">
        <v>0</v>
      </c>
      <c r="H316" s="122">
        <v>0</v>
      </c>
      <c r="I316" s="112">
        <v>0</v>
      </c>
      <c r="J316" s="112">
        <v>0</v>
      </c>
      <c r="K316" s="23">
        <f t="shared" si="41"/>
        <v>0</v>
      </c>
      <c r="L316" s="23">
        <f t="shared" si="42"/>
        <v>0</v>
      </c>
      <c r="M316" s="12">
        <f t="shared" si="47"/>
        <v>0</v>
      </c>
      <c r="N316" s="23">
        <f t="shared" si="43"/>
        <v>0</v>
      </c>
      <c r="O316" s="41">
        <f t="shared" si="44"/>
        <v>0</v>
      </c>
      <c r="P316" s="13" t="str">
        <f t="shared" si="45"/>
        <v>NO</v>
      </c>
      <c r="Q316" s="23">
        <f t="shared" si="46"/>
        <v>0</v>
      </c>
      <c r="R316" s="12">
        <f t="shared" si="46"/>
        <v>0</v>
      </c>
    </row>
    <row r="317" spans="2:18">
      <c r="B317" t="str">
        <f t="shared" si="40"/>
        <v>Diego Flavio Rivas46299</v>
      </c>
      <c r="C317" t="s">
        <v>218</v>
      </c>
      <c r="D317" s="121">
        <v>46299</v>
      </c>
      <c r="E317" t="s">
        <v>97</v>
      </c>
      <c r="F317" t="s">
        <v>72</v>
      </c>
      <c r="G317" s="122">
        <v>0</v>
      </c>
      <c r="H317" s="122">
        <v>0</v>
      </c>
      <c r="I317" s="112">
        <v>0</v>
      </c>
      <c r="J317" s="112">
        <v>0</v>
      </c>
      <c r="K317" s="23">
        <f t="shared" si="41"/>
        <v>0</v>
      </c>
      <c r="L317" s="23">
        <f t="shared" si="42"/>
        <v>0</v>
      </c>
      <c r="M317" s="12">
        <f t="shared" si="47"/>
        <v>0</v>
      </c>
      <c r="N317" s="23">
        <f t="shared" si="43"/>
        <v>0</v>
      </c>
      <c r="O317" s="41">
        <f t="shared" si="44"/>
        <v>0</v>
      </c>
      <c r="P317" s="13" t="str">
        <f t="shared" si="45"/>
        <v>NO</v>
      </c>
      <c r="Q317" s="23">
        <f t="shared" si="46"/>
        <v>0</v>
      </c>
      <c r="R317" s="12">
        <f t="shared" si="46"/>
        <v>0</v>
      </c>
    </row>
    <row r="318" spans="2:18">
      <c r="B318" t="str">
        <f t="shared" si="40"/>
        <v>EFREN ESTUARDO LOPEZ GARCIA46279</v>
      </c>
      <c r="C318" t="s">
        <v>102</v>
      </c>
      <c r="D318" s="121">
        <v>46279</v>
      </c>
      <c r="E318" t="s">
        <v>98</v>
      </c>
      <c r="F318" t="s">
        <v>72</v>
      </c>
      <c r="G318" s="122">
        <v>0</v>
      </c>
      <c r="H318" s="122">
        <v>0</v>
      </c>
      <c r="I318" s="112">
        <v>0</v>
      </c>
      <c r="J318" s="112">
        <v>0</v>
      </c>
      <c r="K318" s="23">
        <f t="shared" si="41"/>
        <v>0</v>
      </c>
      <c r="L318" s="23">
        <f t="shared" si="42"/>
        <v>0</v>
      </c>
      <c r="M318" s="12">
        <f t="shared" si="47"/>
        <v>0</v>
      </c>
      <c r="N318" s="23">
        <f t="shared" si="43"/>
        <v>0</v>
      </c>
      <c r="O318" s="41">
        <f t="shared" si="44"/>
        <v>0</v>
      </c>
      <c r="P318" s="13" t="str">
        <f t="shared" si="45"/>
        <v>NO</v>
      </c>
      <c r="Q318" s="23">
        <f t="shared" si="46"/>
        <v>0</v>
      </c>
      <c r="R318" s="12">
        <f t="shared" si="46"/>
        <v>0</v>
      </c>
    </row>
    <row r="319" spans="2:18">
      <c r="B319" t="str">
        <f t="shared" si="40"/>
        <v>EFREN ESTUARDO LOPEZ GARCIA46280</v>
      </c>
      <c r="C319" t="s">
        <v>102</v>
      </c>
      <c r="D319" s="121">
        <v>46280</v>
      </c>
      <c r="E319" t="s">
        <v>99</v>
      </c>
      <c r="F319" t="s">
        <v>35</v>
      </c>
      <c r="G319" s="122">
        <v>0.33333333333333298</v>
      </c>
      <c r="H319" s="122">
        <v>0.70833333333333304</v>
      </c>
      <c r="I319" s="112">
        <v>0</v>
      </c>
      <c r="J319" s="112">
        <v>0</v>
      </c>
      <c r="K319" s="23">
        <f t="shared" si="41"/>
        <v>0.33333333333333298</v>
      </c>
      <c r="L319" s="23">
        <f t="shared" si="42"/>
        <v>0</v>
      </c>
      <c r="M319" s="12">
        <f t="shared" si="47"/>
        <v>0.33333333333333298</v>
      </c>
      <c r="N319" s="23">
        <f t="shared" si="43"/>
        <v>0.70833333333333304</v>
      </c>
      <c r="O319" s="41">
        <f t="shared" si="44"/>
        <v>0</v>
      </c>
      <c r="P319" s="13" t="str">
        <f t="shared" si="45"/>
        <v>SI</v>
      </c>
      <c r="Q319" s="23">
        <f t="shared" si="46"/>
        <v>0.33333333333333298</v>
      </c>
      <c r="R319" s="12">
        <f t="shared" si="46"/>
        <v>0.70833333333333304</v>
      </c>
    </row>
    <row r="320" spans="2:18">
      <c r="B320" t="str">
        <f t="shared" si="40"/>
        <v>EFREN ESTUARDO LOPEZ GARCIA46281</v>
      </c>
      <c r="C320" t="s">
        <v>102</v>
      </c>
      <c r="D320" s="121">
        <v>46281</v>
      </c>
      <c r="E320" t="s">
        <v>100</v>
      </c>
      <c r="F320" t="s">
        <v>35</v>
      </c>
      <c r="G320" s="122">
        <v>0.33333333333333298</v>
      </c>
      <c r="H320" s="122">
        <v>0.70833333333333304</v>
      </c>
      <c r="I320" s="112">
        <v>0</v>
      </c>
      <c r="J320" s="112">
        <v>0</v>
      </c>
      <c r="K320" s="23">
        <f t="shared" si="41"/>
        <v>0.33333333333333298</v>
      </c>
      <c r="L320" s="23">
        <f t="shared" si="42"/>
        <v>0</v>
      </c>
      <c r="M320" s="12">
        <f t="shared" si="47"/>
        <v>0.33333333333333298</v>
      </c>
      <c r="N320" s="23">
        <f t="shared" si="43"/>
        <v>0.70833333333333304</v>
      </c>
      <c r="O320" s="41">
        <f t="shared" si="44"/>
        <v>0</v>
      </c>
      <c r="P320" s="13" t="str">
        <f t="shared" si="45"/>
        <v>SI</v>
      </c>
      <c r="Q320" s="23">
        <f t="shared" si="46"/>
        <v>0.33333333333333298</v>
      </c>
      <c r="R320" s="12">
        <f t="shared" si="46"/>
        <v>0.70833333333333304</v>
      </c>
    </row>
    <row r="321" spans="2:18">
      <c r="B321" t="str">
        <f t="shared" si="40"/>
        <v>EFREN ESTUARDO LOPEZ GARCIA46282</v>
      </c>
      <c r="C321" t="s">
        <v>102</v>
      </c>
      <c r="D321" s="121">
        <v>46282</v>
      </c>
      <c r="E321" t="s">
        <v>101</v>
      </c>
      <c r="F321" t="s">
        <v>35</v>
      </c>
      <c r="G321" s="122">
        <v>0.25</v>
      </c>
      <c r="H321" s="122">
        <v>0.75</v>
      </c>
      <c r="I321" s="112">
        <v>0</v>
      </c>
      <c r="J321" s="112">
        <v>0</v>
      </c>
      <c r="K321" s="23">
        <f t="shared" si="41"/>
        <v>0.25</v>
      </c>
      <c r="L321" s="23">
        <f t="shared" si="42"/>
        <v>0</v>
      </c>
      <c r="M321" s="12">
        <f t="shared" si="47"/>
        <v>0.25</v>
      </c>
      <c r="N321" s="23">
        <f t="shared" si="43"/>
        <v>0.75</v>
      </c>
      <c r="O321" s="41">
        <f t="shared" si="44"/>
        <v>0</v>
      </c>
      <c r="P321" s="13" t="str">
        <f t="shared" si="45"/>
        <v>SI</v>
      </c>
      <c r="Q321" s="23">
        <f t="shared" si="46"/>
        <v>0.25</v>
      </c>
      <c r="R321" s="12">
        <f t="shared" si="46"/>
        <v>0.75</v>
      </c>
    </row>
    <row r="322" spans="2:18">
      <c r="B322" t="str">
        <f t="shared" si="40"/>
        <v>EFREN ESTUARDO LOPEZ GARCIA46283</v>
      </c>
      <c r="C322" t="s">
        <v>102</v>
      </c>
      <c r="D322" s="121">
        <v>46283</v>
      </c>
      <c r="E322" t="s">
        <v>95</v>
      </c>
      <c r="F322" t="s">
        <v>35</v>
      </c>
      <c r="G322" s="122">
        <v>0.25</v>
      </c>
      <c r="H322" s="122">
        <v>0.75</v>
      </c>
      <c r="I322" s="112">
        <v>0</v>
      </c>
      <c r="J322" s="112">
        <v>0</v>
      </c>
      <c r="K322" s="23">
        <f t="shared" si="41"/>
        <v>0.25</v>
      </c>
      <c r="L322" s="23">
        <f t="shared" si="42"/>
        <v>0</v>
      </c>
      <c r="M322" s="12">
        <f t="shared" si="47"/>
        <v>0.25</v>
      </c>
      <c r="N322" s="23">
        <f t="shared" si="43"/>
        <v>0.75</v>
      </c>
      <c r="O322" s="41">
        <f t="shared" si="44"/>
        <v>0</v>
      </c>
      <c r="P322" s="13" t="str">
        <f t="shared" si="45"/>
        <v>SI</v>
      </c>
      <c r="Q322" s="23">
        <f t="shared" si="46"/>
        <v>0.25</v>
      </c>
      <c r="R322" s="12">
        <f t="shared" si="46"/>
        <v>0.75</v>
      </c>
    </row>
    <row r="323" spans="2:18">
      <c r="B323" t="str">
        <f t="shared" si="40"/>
        <v>EFREN ESTUARDO LOPEZ GARCIA46284</v>
      </c>
      <c r="C323" t="s">
        <v>102</v>
      </c>
      <c r="D323" s="121">
        <v>46284</v>
      </c>
      <c r="E323" t="s">
        <v>96</v>
      </c>
      <c r="F323" t="s">
        <v>35</v>
      </c>
      <c r="G323" s="122">
        <v>0.25</v>
      </c>
      <c r="H323" s="122">
        <v>0.58333333333333304</v>
      </c>
      <c r="I323" s="112">
        <v>0</v>
      </c>
      <c r="J323" s="112">
        <v>0</v>
      </c>
      <c r="K323" s="23">
        <f t="shared" si="41"/>
        <v>0.25</v>
      </c>
      <c r="L323" s="23">
        <f t="shared" si="42"/>
        <v>0</v>
      </c>
      <c r="M323" s="12">
        <f t="shared" si="47"/>
        <v>0.25</v>
      </c>
      <c r="N323" s="23">
        <f t="shared" si="43"/>
        <v>0.58333333333333304</v>
      </c>
      <c r="O323" s="41">
        <f t="shared" si="44"/>
        <v>0</v>
      </c>
      <c r="P323" s="13" t="str">
        <f t="shared" si="45"/>
        <v>SI</v>
      </c>
      <c r="Q323" s="23">
        <f t="shared" si="46"/>
        <v>0.25</v>
      </c>
      <c r="R323" s="12">
        <f t="shared" si="46"/>
        <v>0.58333333333333304</v>
      </c>
    </row>
    <row r="324" spans="2:18">
      <c r="B324" t="str">
        <f t="shared" si="40"/>
        <v>EFREN ESTUARDO LOPEZ GARCIA46285</v>
      </c>
      <c r="C324" t="s">
        <v>102</v>
      </c>
      <c r="D324" s="121">
        <v>46285</v>
      </c>
      <c r="E324" t="s">
        <v>97</v>
      </c>
      <c r="F324" t="s">
        <v>72</v>
      </c>
      <c r="G324" s="122">
        <v>0</v>
      </c>
      <c r="H324" s="122">
        <v>0</v>
      </c>
      <c r="I324" s="112">
        <v>0</v>
      </c>
      <c r="J324" s="112">
        <v>0</v>
      </c>
      <c r="K324" s="23">
        <f t="shared" si="41"/>
        <v>0</v>
      </c>
      <c r="L324" s="23">
        <f t="shared" si="42"/>
        <v>0</v>
      </c>
      <c r="M324" s="12">
        <f t="shared" si="47"/>
        <v>0</v>
      </c>
      <c r="N324" s="23">
        <f t="shared" si="43"/>
        <v>0</v>
      </c>
      <c r="O324" s="41">
        <f t="shared" si="44"/>
        <v>0</v>
      </c>
      <c r="P324" s="13" t="str">
        <f t="shared" si="45"/>
        <v>NO</v>
      </c>
      <c r="Q324" s="23">
        <f t="shared" si="46"/>
        <v>0</v>
      </c>
      <c r="R324" s="12">
        <f t="shared" si="46"/>
        <v>0</v>
      </c>
    </row>
    <row r="325" spans="2:18">
      <c r="B325" t="str">
        <f t="shared" si="40"/>
        <v>EFREN ESTUARDO LOPEZ GARCIA46286</v>
      </c>
      <c r="C325" t="s">
        <v>102</v>
      </c>
      <c r="D325" s="121">
        <v>46286</v>
      </c>
      <c r="E325" t="s">
        <v>98</v>
      </c>
      <c r="F325" t="s">
        <v>35</v>
      </c>
      <c r="G325" s="122">
        <v>0.25</v>
      </c>
      <c r="H325" s="122">
        <v>0.75</v>
      </c>
      <c r="I325" s="112">
        <v>0</v>
      </c>
      <c r="J325" s="112">
        <v>0</v>
      </c>
      <c r="K325" s="23">
        <f t="shared" si="41"/>
        <v>0.25</v>
      </c>
      <c r="L325" s="23">
        <f t="shared" si="42"/>
        <v>0</v>
      </c>
      <c r="M325" s="12">
        <f t="shared" si="47"/>
        <v>0.25</v>
      </c>
      <c r="N325" s="23">
        <f t="shared" si="43"/>
        <v>0.75</v>
      </c>
      <c r="O325" s="41">
        <f t="shared" si="44"/>
        <v>0</v>
      </c>
      <c r="P325" s="13" t="str">
        <f t="shared" si="45"/>
        <v>SI</v>
      </c>
      <c r="Q325" s="23">
        <f t="shared" si="46"/>
        <v>0.25</v>
      </c>
      <c r="R325" s="12">
        <f t="shared" si="46"/>
        <v>0.75</v>
      </c>
    </row>
    <row r="326" spans="2:18">
      <c r="B326" t="str">
        <f t="shared" si="40"/>
        <v>EFREN ESTUARDO LOPEZ GARCIA46287</v>
      </c>
      <c r="C326" t="s">
        <v>102</v>
      </c>
      <c r="D326" s="121">
        <v>46287</v>
      </c>
      <c r="E326" t="s">
        <v>99</v>
      </c>
      <c r="F326" t="s">
        <v>72</v>
      </c>
      <c r="G326" s="122">
        <v>0</v>
      </c>
      <c r="H326" s="122">
        <v>0</v>
      </c>
      <c r="I326" s="112">
        <v>0</v>
      </c>
      <c r="J326" s="112">
        <v>0</v>
      </c>
      <c r="K326" s="23">
        <f t="shared" si="41"/>
        <v>0</v>
      </c>
      <c r="L326" s="23">
        <f t="shared" si="42"/>
        <v>0</v>
      </c>
      <c r="M326" s="12">
        <f t="shared" si="47"/>
        <v>0</v>
      </c>
      <c r="N326" s="23">
        <f t="shared" si="43"/>
        <v>0</v>
      </c>
      <c r="O326" s="41">
        <f t="shared" si="44"/>
        <v>0</v>
      </c>
      <c r="P326" s="13" t="str">
        <f t="shared" si="45"/>
        <v>NO</v>
      </c>
      <c r="Q326" s="23">
        <f t="shared" si="46"/>
        <v>0</v>
      </c>
      <c r="R326" s="12">
        <f t="shared" si="46"/>
        <v>0</v>
      </c>
    </row>
    <row r="327" spans="2:18">
      <c r="B327" t="str">
        <f t="shared" si="40"/>
        <v>EFREN ESTUARDO LOPEZ GARCIA46288</v>
      </c>
      <c r="C327" t="s">
        <v>102</v>
      </c>
      <c r="D327" s="121">
        <v>46288</v>
      </c>
      <c r="E327" t="s">
        <v>100</v>
      </c>
      <c r="F327" t="s">
        <v>72</v>
      </c>
      <c r="G327" s="122">
        <v>0</v>
      </c>
      <c r="H327" s="122">
        <v>0</v>
      </c>
      <c r="I327" s="112">
        <v>0</v>
      </c>
      <c r="J327" s="112">
        <v>0</v>
      </c>
      <c r="K327" s="23">
        <f t="shared" si="41"/>
        <v>0</v>
      </c>
      <c r="L327" s="23">
        <f t="shared" si="42"/>
        <v>0</v>
      </c>
      <c r="M327" s="12">
        <f t="shared" si="47"/>
        <v>0</v>
      </c>
      <c r="N327" s="23">
        <f t="shared" si="43"/>
        <v>0</v>
      </c>
      <c r="O327" s="41">
        <f t="shared" si="44"/>
        <v>0</v>
      </c>
      <c r="P327" s="13" t="str">
        <f t="shared" si="45"/>
        <v>NO</v>
      </c>
      <c r="Q327" s="23">
        <f t="shared" si="46"/>
        <v>0</v>
      </c>
      <c r="R327" s="12">
        <f t="shared" si="46"/>
        <v>0</v>
      </c>
    </row>
    <row r="328" spans="2:18">
      <c r="B328" t="str">
        <f t="shared" si="40"/>
        <v>EFREN ESTUARDO LOPEZ GARCIA46289</v>
      </c>
      <c r="C328" t="s">
        <v>102</v>
      </c>
      <c r="D328" s="121">
        <v>46289</v>
      </c>
      <c r="E328" t="s">
        <v>101</v>
      </c>
      <c r="F328" t="s">
        <v>72</v>
      </c>
      <c r="G328" s="122">
        <v>0</v>
      </c>
      <c r="H328" s="122">
        <v>0</v>
      </c>
      <c r="I328" s="112">
        <v>0</v>
      </c>
      <c r="J328" s="112">
        <v>0</v>
      </c>
      <c r="K328" s="23">
        <f t="shared" si="41"/>
        <v>0</v>
      </c>
      <c r="L328" s="23">
        <f t="shared" si="42"/>
        <v>0</v>
      </c>
      <c r="M328" s="12">
        <f t="shared" si="47"/>
        <v>0</v>
      </c>
      <c r="N328" s="23">
        <f t="shared" si="43"/>
        <v>0</v>
      </c>
      <c r="O328" s="41">
        <f t="shared" si="44"/>
        <v>0</v>
      </c>
      <c r="P328" s="13" t="str">
        <f t="shared" si="45"/>
        <v>NO</v>
      </c>
      <c r="Q328" s="23">
        <f t="shared" si="46"/>
        <v>0</v>
      </c>
      <c r="R328" s="12">
        <f t="shared" si="46"/>
        <v>0</v>
      </c>
    </row>
    <row r="329" spans="2:18">
      <c r="B329" t="str">
        <f t="shared" si="40"/>
        <v>EFREN ESTUARDO LOPEZ GARCIA46290</v>
      </c>
      <c r="C329" t="s">
        <v>102</v>
      </c>
      <c r="D329" s="121">
        <v>46290</v>
      </c>
      <c r="E329" t="s">
        <v>95</v>
      </c>
      <c r="F329" t="s">
        <v>72</v>
      </c>
      <c r="G329" s="122">
        <v>0</v>
      </c>
      <c r="H329" s="122">
        <v>0</v>
      </c>
      <c r="I329" s="112">
        <v>0</v>
      </c>
      <c r="J329" s="112">
        <v>0</v>
      </c>
      <c r="K329" s="23">
        <f t="shared" si="41"/>
        <v>0</v>
      </c>
      <c r="L329" s="23">
        <f t="shared" si="42"/>
        <v>0</v>
      </c>
      <c r="M329" s="12">
        <f t="shared" si="47"/>
        <v>0</v>
      </c>
      <c r="N329" s="23">
        <f t="shared" si="43"/>
        <v>0</v>
      </c>
      <c r="O329" s="41">
        <f t="shared" si="44"/>
        <v>0</v>
      </c>
      <c r="P329" s="13" t="str">
        <f t="shared" si="45"/>
        <v>NO</v>
      </c>
      <c r="Q329" s="23">
        <f t="shared" si="46"/>
        <v>0</v>
      </c>
      <c r="R329" s="12">
        <f t="shared" si="46"/>
        <v>0</v>
      </c>
    </row>
    <row r="330" spans="2:18">
      <c r="B330" t="str">
        <f t="shared" si="40"/>
        <v>EFREN ESTUARDO LOPEZ GARCIA46291</v>
      </c>
      <c r="C330" t="s">
        <v>102</v>
      </c>
      <c r="D330" s="121">
        <v>46291</v>
      </c>
      <c r="E330" t="s">
        <v>96</v>
      </c>
      <c r="F330" t="s">
        <v>72</v>
      </c>
      <c r="G330" s="122">
        <v>0</v>
      </c>
      <c r="H330" s="122">
        <v>0</v>
      </c>
      <c r="I330" s="112">
        <v>0</v>
      </c>
      <c r="J330" s="112">
        <v>0</v>
      </c>
      <c r="K330" s="23">
        <f t="shared" si="41"/>
        <v>0</v>
      </c>
      <c r="L330" s="23">
        <f t="shared" si="42"/>
        <v>0</v>
      </c>
      <c r="M330" s="12">
        <f t="shared" si="47"/>
        <v>0</v>
      </c>
      <c r="N330" s="23">
        <f t="shared" si="43"/>
        <v>0</v>
      </c>
      <c r="O330" s="41">
        <f t="shared" si="44"/>
        <v>0</v>
      </c>
      <c r="P330" s="13" t="str">
        <f t="shared" si="45"/>
        <v>NO</v>
      </c>
      <c r="Q330" s="23">
        <f t="shared" si="46"/>
        <v>0</v>
      </c>
      <c r="R330" s="12">
        <f t="shared" si="46"/>
        <v>0</v>
      </c>
    </row>
    <row r="331" spans="2:18">
      <c r="B331" t="str">
        <f t="shared" si="40"/>
        <v>EFREN ESTUARDO LOPEZ GARCIA46292</v>
      </c>
      <c r="C331" t="s">
        <v>102</v>
      </c>
      <c r="D331" s="121">
        <v>46292</v>
      </c>
      <c r="E331" t="s">
        <v>97</v>
      </c>
      <c r="F331" t="s">
        <v>72</v>
      </c>
      <c r="G331" s="122">
        <v>0</v>
      </c>
      <c r="H331" s="122">
        <v>0</v>
      </c>
      <c r="I331" s="112">
        <v>0</v>
      </c>
      <c r="J331" s="112">
        <v>0</v>
      </c>
      <c r="K331" s="23">
        <f t="shared" si="41"/>
        <v>0</v>
      </c>
      <c r="L331" s="23">
        <f t="shared" si="42"/>
        <v>0</v>
      </c>
      <c r="M331" s="12">
        <f t="shared" si="47"/>
        <v>0</v>
      </c>
      <c r="N331" s="23">
        <f t="shared" si="43"/>
        <v>0</v>
      </c>
      <c r="O331" s="41">
        <f t="shared" si="44"/>
        <v>0</v>
      </c>
      <c r="P331" s="13" t="str">
        <f t="shared" si="45"/>
        <v>NO</v>
      </c>
      <c r="Q331" s="23">
        <f t="shared" si="46"/>
        <v>0</v>
      </c>
      <c r="R331" s="12">
        <f t="shared" si="46"/>
        <v>0</v>
      </c>
    </row>
    <row r="332" spans="2:18">
      <c r="B332" t="str">
        <f t="shared" si="40"/>
        <v>EFREN ESTUARDO LOPEZ GARCIA46293</v>
      </c>
      <c r="C332" t="s">
        <v>102</v>
      </c>
      <c r="D332" s="121">
        <v>46293</v>
      </c>
      <c r="E332" t="s">
        <v>98</v>
      </c>
      <c r="F332" t="s">
        <v>35</v>
      </c>
      <c r="G332" s="122">
        <v>0.25</v>
      </c>
      <c r="H332" s="122">
        <v>0.75</v>
      </c>
      <c r="I332" s="112">
        <v>0</v>
      </c>
      <c r="J332" s="112">
        <v>0</v>
      </c>
      <c r="K332" s="23">
        <f t="shared" si="41"/>
        <v>0.25</v>
      </c>
      <c r="L332" s="23">
        <f t="shared" si="42"/>
        <v>0</v>
      </c>
      <c r="M332" s="12">
        <f t="shared" si="47"/>
        <v>0.25</v>
      </c>
      <c r="N332" s="23">
        <f t="shared" si="43"/>
        <v>0.75</v>
      </c>
      <c r="O332" s="41">
        <f t="shared" si="44"/>
        <v>0</v>
      </c>
      <c r="P332" s="13" t="str">
        <f t="shared" si="45"/>
        <v>SI</v>
      </c>
      <c r="Q332" s="23">
        <f t="shared" si="46"/>
        <v>0.25</v>
      </c>
      <c r="R332" s="12">
        <f t="shared" si="46"/>
        <v>0.75</v>
      </c>
    </row>
    <row r="333" spans="2:18">
      <c r="B333" t="str">
        <f t="shared" si="40"/>
        <v>EFREN ESTUARDO LOPEZ GARCIA46294</v>
      </c>
      <c r="C333" t="s">
        <v>102</v>
      </c>
      <c r="D333" s="121">
        <v>46294</v>
      </c>
      <c r="E333" t="s">
        <v>99</v>
      </c>
      <c r="F333" t="s">
        <v>35</v>
      </c>
      <c r="G333" s="122">
        <v>0.25</v>
      </c>
      <c r="H333" s="122">
        <v>0.75</v>
      </c>
      <c r="I333" s="112">
        <v>0</v>
      </c>
      <c r="J333" s="112">
        <v>0</v>
      </c>
      <c r="K333" s="23">
        <f t="shared" si="41"/>
        <v>0.25</v>
      </c>
      <c r="L333" s="23">
        <f t="shared" si="42"/>
        <v>0</v>
      </c>
      <c r="M333" s="12">
        <f t="shared" si="47"/>
        <v>0.25</v>
      </c>
      <c r="N333" s="23">
        <f t="shared" si="43"/>
        <v>0.75</v>
      </c>
      <c r="O333" s="41">
        <f t="shared" si="44"/>
        <v>0</v>
      </c>
      <c r="P333" s="13" t="str">
        <f t="shared" si="45"/>
        <v>SI</v>
      </c>
      <c r="Q333" s="23">
        <f t="shared" si="46"/>
        <v>0.25</v>
      </c>
      <c r="R333" s="12">
        <f t="shared" si="46"/>
        <v>0.75</v>
      </c>
    </row>
    <row r="334" spans="2:18">
      <c r="B334" t="str">
        <f t="shared" si="40"/>
        <v>EFREN ESTUARDO LOPEZ GARCIA46295</v>
      </c>
      <c r="C334" t="s">
        <v>102</v>
      </c>
      <c r="D334" s="121">
        <v>46295</v>
      </c>
      <c r="E334" t="s">
        <v>100</v>
      </c>
      <c r="F334" t="s">
        <v>35</v>
      </c>
      <c r="G334" s="122">
        <v>0.25</v>
      </c>
      <c r="H334" s="122">
        <v>0.75</v>
      </c>
      <c r="I334" s="112">
        <v>0</v>
      </c>
      <c r="J334" s="112">
        <v>0</v>
      </c>
      <c r="K334" s="23">
        <f t="shared" si="41"/>
        <v>0.25</v>
      </c>
      <c r="L334" s="23">
        <f t="shared" si="42"/>
        <v>0</v>
      </c>
      <c r="M334" s="12">
        <f t="shared" si="47"/>
        <v>0.25</v>
      </c>
      <c r="N334" s="23">
        <f t="shared" si="43"/>
        <v>0.75</v>
      </c>
      <c r="O334" s="41">
        <f t="shared" si="44"/>
        <v>0</v>
      </c>
      <c r="P334" s="13" t="str">
        <f t="shared" si="45"/>
        <v>SI</v>
      </c>
      <c r="Q334" s="23">
        <f t="shared" si="46"/>
        <v>0.25</v>
      </c>
      <c r="R334" s="12">
        <f t="shared" si="46"/>
        <v>0.75</v>
      </c>
    </row>
    <row r="335" spans="2:18">
      <c r="B335" t="str">
        <f t="shared" si="40"/>
        <v>EFREN ESTUARDO LOPEZ GARCIA46296</v>
      </c>
      <c r="C335" t="s">
        <v>102</v>
      </c>
      <c r="D335" s="121">
        <v>46296</v>
      </c>
      <c r="E335" t="s">
        <v>101</v>
      </c>
      <c r="F335" t="s">
        <v>35</v>
      </c>
      <c r="G335" s="122">
        <v>0.25</v>
      </c>
      <c r="H335" s="122">
        <v>0.75</v>
      </c>
      <c r="I335" s="112">
        <v>0</v>
      </c>
      <c r="J335" s="112">
        <v>0</v>
      </c>
      <c r="K335" s="23">
        <f t="shared" si="41"/>
        <v>0.25</v>
      </c>
      <c r="L335" s="23">
        <f t="shared" si="42"/>
        <v>0</v>
      </c>
      <c r="M335" s="12">
        <f t="shared" si="47"/>
        <v>0.25</v>
      </c>
      <c r="N335" s="23">
        <f t="shared" si="43"/>
        <v>0.75</v>
      </c>
      <c r="O335" s="41">
        <f t="shared" si="44"/>
        <v>0</v>
      </c>
      <c r="P335" s="13" t="str">
        <f t="shared" si="45"/>
        <v>SI</v>
      </c>
      <c r="Q335" s="23">
        <f t="shared" si="46"/>
        <v>0.25</v>
      </c>
      <c r="R335" s="12">
        <f t="shared" si="46"/>
        <v>0.75</v>
      </c>
    </row>
    <row r="336" spans="2:18">
      <c r="B336" t="str">
        <f t="shared" si="40"/>
        <v>EFREN ESTUARDO LOPEZ GARCIA46297</v>
      </c>
      <c r="C336" t="s">
        <v>102</v>
      </c>
      <c r="D336" s="121">
        <v>46297</v>
      </c>
      <c r="E336" t="s">
        <v>95</v>
      </c>
      <c r="F336" t="s">
        <v>35</v>
      </c>
      <c r="G336" s="122">
        <v>0.25</v>
      </c>
      <c r="H336" s="122">
        <v>0.75</v>
      </c>
      <c r="I336" s="112">
        <v>0</v>
      </c>
      <c r="J336" s="112">
        <v>0</v>
      </c>
      <c r="K336" s="23">
        <f t="shared" si="41"/>
        <v>0.25</v>
      </c>
      <c r="L336" s="23">
        <f t="shared" si="42"/>
        <v>0</v>
      </c>
      <c r="M336" s="12">
        <f t="shared" si="47"/>
        <v>0.25</v>
      </c>
      <c r="N336" s="23">
        <f t="shared" si="43"/>
        <v>0.75</v>
      </c>
      <c r="O336" s="41">
        <f t="shared" si="44"/>
        <v>0</v>
      </c>
      <c r="P336" s="13" t="str">
        <f t="shared" si="45"/>
        <v>SI</v>
      </c>
      <c r="Q336" s="23">
        <f t="shared" si="46"/>
        <v>0.25</v>
      </c>
      <c r="R336" s="12">
        <f t="shared" si="46"/>
        <v>0.75</v>
      </c>
    </row>
    <row r="337" spans="2:18">
      <c r="B337" t="str">
        <f t="shared" si="40"/>
        <v>EFREN ESTUARDO LOPEZ GARCIA46298</v>
      </c>
      <c r="C337" t="s">
        <v>102</v>
      </c>
      <c r="D337" s="121">
        <v>46298</v>
      </c>
      <c r="E337" t="s">
        <v>96</v>
      </c>
      <c r="F337" t="s">
        <v>36</v>
      </c>
      <c r="G337" s="122">
        <v>0.25</v>
      </c>
      <c r="H337" s="122">
        <v>0.41666666666666702</v>
      </c>
      <c r="I337" s="112">
        <v>0</v>
      </c>
      <c r="J337" s="112">
        <v>0</v>
      </c>
      <c r="K337" s="23">
        <f t="shared" si="41"/>
        <v>0.25</v>
      </c>
      <c r="L337" s="23">
        <f t="shared" si="42"/>
        <v>0</v>
      </c>
      <c r="M337" s="12">
        <f t="shared" si="47"/>
        <v>0.25</v>
      </c>
      <c r="N337" s="23">
        <f t="shared" si="43"/>
        <v>0.41666666666666702</v>
      </c>
      <c r="O337" s="41">
        <f t="shared" si="44"/>
        <v>0</v>
      </c>
      <c r="P337" s="13" t="str">
        <f t="shared" si="45"/>
        <v>SI</v>
      </c>
      <c r="Q337" s="23">
        <f t="shared" si="46"/>
        <v>0.25</v>
      </c>
      <c r="R337" s="12">
        <f t="shared" si="46"/>
        <v>0.41666666666666702</v>
      </c>
    </row>
    <row r="338" spans="2:18">
      <c r="B338" t="str">
        <f t="shared" si="40"/>
        <v>EFREN ESTUARDO LOPEZ GARCIA46299</v>
      </c>
      <c r="C338" t="s">
        <v>102</v>
      </c>
      <c r="D338" s="121">
        <v>46299</v>
      </c>
      <c r="E338" t="s">
        <v>97</v>
      </c>
      <c r="F338" t="s">
        <v>72</v>
      </c>
      <c r="G338" s="122">
        <v>0</v>
      </c>
      <c r="H338" s="122">
        <v>0</v>
      </c>
      <c r="I338" s="112">
        <v>0</v>
      </c>
      <c r="J338" s="112">
        <v>0</v>
      </c>
      <c r="K338" s="23">
        <f t="shared" si="41"/>
        <v>0</v>
      </c>
      <c r="L338" s="23">
        <f t="shared" si="42"/>
        <v>0</v>
      </c>
      <c r="M338" s="12">
        <f t="shared" si="47"/>
        <v>0</v>
      </c>
      <c r="N338" s="23">
        <f t="shared" si="43"/>
        <v>0</v>
      </c>
      <c r="O338" s="41">
        <f t="shared" si="44"/>
        <v>0</v>
      </c>
      <c r="P338" s="13" t="str">
        <f t="shared" si="45"/>
        <v>NO</v>
      </c>
      <c r="Q338" s="23">
        <f t="shared" si="46"/>
        <v>0</v>
      </c>
      <c r="R338" s="12">
        <f t="shared" si="46"/>
        <v>0</v>
      </c>
    </row>
    <row r="339" spans="2:18">
      <c r="B339" t="str">
        <f t="shared" si="40"/>
        <v>ELMER CRISTOBAL LOPEZ HERNANDEZ46279</v>
      </c>
      <c r="C339" t="s">
        <v>21</v>
      </c>
      <c r="D339" s="121">
        <v>46279</v>
      </c>
      <c r="E339" t="s">
        <v>98</v>
      </c>
      <c r="F339" t="s">
        <v>72</v>
      </c>
      <c r="G339" s="122">
        <v>0</v>
      </c>
      <c r="H339" s="122">
        <v>0</v>
      </c>
      <c r="I339" s="112">
        <v>0</v>
      </c>
      <c r="J339" s="112">
        <v>0</v>
      </c>
      <c r="K339" s="23">
        <f t="shared" si="41"/>
        <v>0</v>
      </c>
      <c r="L339" s="23">
        <f t="shared" si="42"/>
        <v>0</v>
      </c>
      <c r="M339" s="12">
        <f t="shared" si="47"/>
        <v>0</v>
      </c>
      <c r="N339" s="23">
        <f t="shared" si="43"/>
        <v>0</v>
      </c>
      <c r="O339" s="41">
        <f t="shared" si="44"/>
        <v>0</v>
      </c>
      <c r="P339" s="13" t="str">
        <f t="shared" si="45"/>
        <v>NO</v>
      </c>
      <c r="Q339" s="23">
        <f t="shared" si="46"/>
        <v>0</v>
      </c>
      <c r="R339" s="12">
        <f t="shared" si="46"/>
        <v>0</v>
      </c>
    </row>
    <row r="340" spans="2:18">
      <c r="B340" t="str">
        <f t="shared" si="40"/>
        <v>ELMER CRISTOBAL LOPEZ HERNANDEZ46280</v>
      </c>
      <c r="C340" t="s">
        <v>21</v>
      </c>
      <c r="D340" s="121">
        <v>46280</v>
      </c>
      <c r="E340" t="s">
        <v>99</v>
      </c>
      <c r="F340" t="s">
        <v>35</v>
      </c>
      <c r="G340" s="122">
        <v>0.33333333333333298</v>
      </c>
      <c r="H340" s="122">
        <v>0.70833333333333304</v>
      </c>
      <c r="I340" s="112">
        <v>0</v>
      </c>
      <c r="J340" s="112">
        <v>0</v>
      </c>
      <c r="K340" s="23">
        <f t="shared" si="41"/>
        <v>0.33333333333333298</v>
      </c>
      <c r="L340" s="23">
        <f t="shared" si="42"/>
        <v>0</v>
      </c>
      <c r="M340" s="12">
        <f t="shared" si="47"/>
        <v>0.33333333333333298</v>
      </c>
      <c r="N340" s="23">
        <f t="shared" si="43"/>
        <v>0.70833333333333304</v>
      </c>
      <c r="O340" s="41">
        <f t="shared" si="44"/>
        <v>0</v>
      </c>
      <c r="P340" s="13" t="str">
        <f t="shared" si="45"/>
        <v>SI</v>
      </c>
      <c r="Q340" s="23">
        <f t="shared" si="46"/>
        <v>0.33333333333333298</v>
      </c>
      <c r="R340" s="12">
        <f t="shared" si="46"/>
        <v>0.70833333333333304</v>
      </c>
    </row>
    <row r="341" spans="2:18">
      <c r="B341" t="str">
        <f t="shared" si="40"/>
        <v>ELMER CRISTOBAL LOPEZ HERNANDEZ46281</v>
      </c>
      <c r="C341" t="s">
        <v>21</v>
      </c>
      <c r="D341" s="121">
        <v>46281</v>
      </c>
      <c r="E341" t="s">
        <v>100</v>
      </c>
      <c r="F341" t="s">
        <v>35</v>
      </c>
      <c r="G341" s="122">
        <v>0.29166666666666702</v>
      </c>
      <c r="H341" s="122">
        <v>0.66666666666666696</v>
      </c>
      <c r="I341" s="112">
        <v>0</v>
      </c>
      <c r="J341" s="112">
        <v>0</v>
      </c>
      <c r="K341" s="23">
        <f t="shared" si="41"/>
        <v>0.29166666666666702</v>
      </c>
      <c r="L341" s="23">
        <f t="shared" si="42"/>
        <v>0</v>
      </c>
      <c r="M341" s="12">
        <f t="shared" si="47"/>
        <v>0.29166666666666702</v>
      </c>
      <c r="N341" s="23">
        <f t="shared" si="43"/>
        <v>0.66666666666666696</v>
      </c>
      <c r="O341" s="41">
        <f t="shared" si="44"/>
        <v>0</v>
      </c>
      <c r="P341" s="13" t="str">
        <f t="shared" si="45"/>
        <v>SI</v>
      </c>
      <c r="Q341" s="23">
        <f t="shared" si="46"/>
        <v>0.29166666666666702</v>
      </c>
      <c r="R341" s="12">
        <f t="shared" si="46"/>
        <v>0.66666666666666696</v>
      </c>
    </row>
    <row r="342" spans="2:18">
      <c r="B342" t="str">
        <f t="shared" si="40"/>
        <v>ELMER CRISTOBAL LOPEZ HERNANDEZ46282</v>
      </c>
      <c r="C342" t="s">
        <v>21</v>
      </c>
      <c r="D342" s="121">
        <v>46282</v>
      </c>
      <c r="E342" t="s">
        <v>101</v>
      </c>
      <c r="F342" t="s">
        <v>35</v>
      </c>
      <c r="G342" s="122">
        <v>0.375</v>
      </c>
      <c r="H342" s="122">
        <v>0.75</v>
      </c>
      <c r="I342" s="112">
        <v>0</v>
      </c>
      <c r="J342" s="112">
        <v>0</v>
      </c>
      <c r="K342" s="23">
        <f t="shared" si="41"/>
        <v>0.375</v>
      </c>
      <c r="L342" s="23">
        <f t="shared" si="42"/>
        <v>0</v>
      </c>
      <c r="M342" s="12">
        <f t="shared" si="47"/>
        <v>0.375</v>
      </c>
      <c r="N342" s="23">
        <f t="shared" si="43"/>
        <v>0.75</v>
      </c>
      <c r="O342" s="41">
        <f t="shared" si="44"/>
        <v>0</v>
      </c>
      <c r="P342" s="13" t="str">
        <f t="shared" si="45"/>
        <v>SI</v>
      </c>
      <c r="Q342" s="23">
        <f t="shared" si="46"/>
        <v>0.375</v>
      </c>
      <c r="R342" s="12">
        <f t="shared" si="46"/>
        <v>0.75</v>
      </c>
    </row>
    <row r="343" spans="2:18">
      <c r="B343" t="str">
        <f t="shared" si="40"/>
        <v>ELMER CRISTOBAL LOPEZ HERNANDEZ46283</v>
      </c>
      <c r="C343" t="s">
        <v>21</v>
      </c>
      <c r="D343" s="121">
        <v>46283</v>
      </c>
      <c r="E343" t="s">
        <v>95</v>
      </c>
      <c r="F343" t="s">
        <v>35</v>
      </c>
      <c r="G343" s="122">
        <v>0.29166666666666702</v>
      </c>
      <c r="H343" s="122">
        <v>0.66666666666666696</v>
      </c>
      <c r="I343" s="112">
        <v>0</v>
      </c>
      <c r="J343" s="112">
        <v>0</v>
      </c>
      <c r="K343" s="23">
        <f t="shared" si="41"/>
        <v>0.29166666666666702</v>
      </c>
      <c r="L343" s="23">
        <f t="shared" si="42"/>
        <v>0</v>
      </c>
      <c r="M343" s="12">
        <f t="shared" si="47"/>
        <v>0.29166666666666702</v>
      </c>
      <c r="N343" s="23">
        <f t="shared" si="43"/>
        <v>0.66666666666666696</v>
      </c>
      <c r="O343" s="41">
        <f t="shared" si="44"/>
        <v>0</v>
      </c>
      <c r="P343" s="13" t="str">
        <f t="shared" si="45"/>
        <v>SI</v>
      </c>
      <c r="Q343" s="23">
        <f t="shared" si="46"/>
        <v>0.29166666666666702</v>
      </c>
      <c r="R343" s="12">
        <f t="shared" si="46"/>
        <v>0.66666666666666696</v>
      </c>
    </row>
    <row r="344" spans="2:18">
      <c r="B344" t="str">
        <f t="shared" si="40"/>
        <v>ELMER CRISTOBAL LOPEZ HERNANDEZ46284</v>
      </c>
      <c r="C344" t="s">
        <v>21</v>
      </c>
      <c r="D344" s="121">
        <v>46284</v>
      </c>
      <c r="E344" t="s">
        <v>96</v>
      </c>
      <c r="F344" t="s">
        <v>35</v>
      </c>
      <c r="G344" s="122">
        <v>0.29166666666666702</v>
      </c>
      <c r="H344" s="122">
        <v>0.5</v>
      </c>
      <c r="I344" s="112">
        <v>0</v>
      </c>
      <c r="J344" s="112">
        <v>0</v>
      </c>
      <c r="K344" s="23">
        <f t="shared" si="41"/>
        <v>0.29166666666666702</v>
      </c>
      <c r="L344" s="23">
        <f t="shared" si="42"/>
        <v>0</v>
      </c>
      <c r="M344" s="12">
        <f t="shared" si="47"/>
        <v>0.29166666666666702</v>
      </c>
      <c r="N344" s="23">
        <f t="shared" si="43"/>
        <v>0.5</v>
      </c>
      <c r="O344" s="41">
        <f t="shared" si="44"/>
        <v>0</v>
      </c>
      <c r="P344" s="13" t="str">
        <f t="shared" si="45"/>
        <v>SI</v>
      </c>
      <c r="Q344" s="23">
        <f t="shared" si="46"/>
        <v>0.29166666666666702</v>
      </c>
      <c r="R344" s="12">
        <f t="shared" si="46"/>
        <v>0.5</v>
      </c>
    </row>
    <row r="345" spans="2:18">
      <c r="B345" t="str">
        <f t="shared" si="40"/>
        <v>ELMER CRISTOBAL LOPEZ HERNANDEZ46285</v>
      </c>
      <c r="C345" t="s">
        <v>21</v>
      </c>
      <c r="D345" s="121">
        <v>46285</v>
      </c>
      <c r="E345" t="s">
        <v>97</v>
      </c>
      <c r="F345" t="s">
        <v>72</v>
      </c>
      <c r="G345" s="122">
        <v>0</v>
      </c>
      <c r="H345" s="122">
        <v>0</v>
      </c>
      <c r="I345" s="112">
        <v>0</v>
      </c>
      <c r="J345" s="112">
        <v>0</v>
      </c>
      <c r="K345" s="23">
        <f t="shared" si="41"/>
        <v>0</v>
      </c>
      <c r="L345" s="23">
        <f t="shared" si="42"/>
        <v>0</v>
      </c>
      <c r="M345" s="12">
        <f t="shared" si="47"/>
        <v>0</v>
      </c>
      <c r="N345" s="23">
        <f t="shared" si="43"/>
        <v>0</v>
      </c>
      <c r="O345" s="41">
        <f t="shared" si="44"/>
        <v>0</v>
      </c>
      <c r="P345" s="13" t="str">
        <f t="shared" si="45"/>
        <v>NO</v>
      </c>
      <c r="Q345" s="23">
        <f t="shared" si="46"/>
        <v>0</v>
      </c>
      <c r="R345" s="12">
        <f t="shared" si="46"/>
        <v>0</v>
      </c>
    </row>
    <row r="346" spans="2:18">
      <c r="B346" t="str">
        <f t="shared" si="40"/>
        <v>ELMER CRISTOBAL LOPEZ HERNANDEZ46286</v>
      </c>
      <c r="C346" t="s">
        <v>21</v>
      </c>
      <c r="D346" s="121">
        <v>46286</v>
      </c>
      <c r="E346" t="s">
        <v>98</v>
      </c>
      <c r="F346" t="s">
        <v>35</v>
      </c>
      <c r="G346" s="122">
        <v>0.29166666666666702</v>
      </c>
      <c r="H346" s="122">
        <v>0.66666666666666696</v>
      </c>
      <c r="I346" s="112">
        <v>0</v>
      </c>
      <c r="J346" s="112">
        <v>0</v>
      </c>
      <c r="K346" s="23">
        <f t="shared" si="41"/>
        <v>0.29166666666666702</v>
      </c>
      <c r="L346" s="23">
        <f t="shared" si="42"/>
        <v>0</v>
      </c>
      <c r="M346" s="12">
        <f t="shared" si="47"/>
        <v>0.29166666666666702</v>
      </c>
      <c r="N346" s="23">
        <f t="shared" si="43"/>
        <v>0.66666666666666696</v>
      </c>
      <c r="O346" s="41">
        <f t="shared" si="44"/>
        <v>0</v>
      </c>
      <c r="P346" s="13" t="str">
        <f t="shared" si="45"/>
        <v>SI</v>
      </c>
      <c r="Q346" s="23">
        <f t="shared" si="46"/>
        <v>0.29166666666666702</v>
      </c>
      <c r="R346" s="12">
        <f t="shared" si="46"/>
        <v>0.66666666666666696</v>
      </c>
    </row>
    <row r="347" spans="2:18">
      <c r="B347" t="str">
        <f t="shared" si="40"/>
        <v>ELMER CRISTOBAL LOPEZ HERNANDEZ46287</v>
      </c>
      <c r="C347" t="s">
        <v>21</v>
      </c>
      <c r="D347" s="121">
        <v>46287</v>
      </c>
      <c r="E347" t="s">
        <v>99</v>
      </c>
      <c r="F347" t="s">
        <v>35</v>
      </c>
      <c r="G347" s="122">
        <v>0.29166666666666702</v>
      </c>
      <c r="H347" s="122">
        <v>0.66666666666666696</v>
      </c>
      <c r="I347" s="112">
        <v>0</v>
      </c>
      <c r="J347" s="112">
        <v>0</v>
      </c>
      <c r="K347" s="23">
        <f t="shared" si="41"/>
        <v>0.29166666666666702</v>
      </c>
      <c r="L347" s="23">
        <f t="shared" si="42"/>
        <v>0</v>
      </c>
      <c r="M347" s="12">
        <f t="shared" si="47"/>
        <v>0.29166666666666702</v>
      </c>
      <c r="N347" s="23">
        <f t="shared" si="43"/>
        <v>0.66666666666666696</v>
      </c>
      <c r="O347" s="41">
        <f t="shared" si="44"/>
        <v>0</v>
      </c>
      <c r="P347" s="13" t="str">
        <f t="shared" si="45"/>
        <v>SI</v>
      </c>
      <c r="Q347" s="23">
        <f t="shared" si="46"/>
        <v>0.29166666666666702</v>
      </c>
      <c r="R347" s="12">
        <f t="shared" si="46"/>
        <v>0.66666666666666696</v>
      </c>
    </row>
    <row r="348" spans="2:18">
      <c r="B348" t="str">
        <f t="shared" si="40"/>
        <v>ELMER CRISTOBAL LOPEZ HERNANDEZ46288</v>
      </c>
      <c r="C348" t="s">
        <v>21</v>
      </c>
      <c r="D348" s="121">
        <v>46288</v>
      </c>
      <c r="E348" t="s">
        <v>100</v>
      </c>
      <c r="F348" t="s">
        <v>35</v>
      </c>
      <c r="G348" s="122">
        <v>0.29166666666666702</v>
      </c>
      <c r="H348" s="122">
        <v>0.66666666666666696</v>
      </c>
      <c r="I348" s="112">
        <v>0</v>
      </c>
      <c r="J348" s="112">
        <v>0</v>
      </c>
      <c r="K348" s="23">
        <f t="shared" si="41"/>
        <v>0.29166666666666702</v>
      </c>
      <c r="L348" s="23">
        <f t="shared" si="42"/>
        <v>0</v>
      </c>
      <c r="M348" s="12">
        <f t="shared" si="47"/>
        <v>0.29166666666666702</v>
      </c>
      <c r="N348" s="23">
        <f t="shared" si="43"/>
        <v>0.66666666666666696</v>
      </c>
      <c r="O348" s="41">
        <f t="shared" si="44"/>
        <v>0</v>
      </c>
      <c r="P348" s="13" t="str">
        <f t="shared" si="45"/>
        <v>SI</v>
      </c>
      <c r="Q348" s="23">
        <f t="shared" si="46"/>
        <v>0.29166666666666702</v>
      </c>
      <c r="R348" s="12">
        <f t="shared" si="46"/>
        <v>0.66666666666666696</v>
      </c>
    </row>
    <row r="349" spans="2:18">
      <c r="B349" t="str">
        <f t="shared" si="40"/>
        <v>ELMER CRISTOBAL LOPEZ HERNANDEZ46289</v>
      </c>
      <c r="C349" t="s">
        <v>21</v>
      </c>
      <c r="D349" s="121">
        <v>46289</v>
      </c>
      <c r="E349" t="s">
        <v>101</v>
      </c>
      <c r="F349" t="s">
        <v>35</v>
      </c>
      <c r="G349" s="122">
        <v>0.375</v>
      </c>
      <c r="H349" s="122">
        <v>0.75</v>
      </c>
      <c r="I349" s="112">
        <v>0</v>
      </c>
      <c r="J349" s="112">
        <v>0</v>
      </c>
      <c r="K349" s="23">
        <f t="shared" si="41"/>
        <v>0.375</v>
      </c>
      <c r="L349" s="23">
        <f t="shared" si="42"/>
        <v>0</v>
      </c>
      <c r="M349" s="12">
        <f t="shared" si="47"/>
        <v>0.375</v>
      </c>
      <c r="N349" s="23">
        <f t="shared" si="43"/>
        <v>0.75</v>
      </c>
      <c r="O349" s="41">
        <f t="shared" si="44"/>
        <v>0</v>
      </c>
      <c r="P349" s="13" t="str">
        <f t="shared" si="45"/>
        <v>SI</v>
      </c>
      <c r="Q349" s="23">
        <f t="shared" si="46"/>
        <v>0.375</v>
      </c>
      <c r="R349" s="12">
        <f t="shared" si="46"/>
        <v>0.75</v>
      </c>
    </row>
    <row r="350" spans="2:18">
      <c r="B350" t="str">
        <f t="shared" si="40"/>
        <v>ELMER CRISTOBAL LOPEZ HERNANDEZ46290</v>
      </c>
      <c r="C350" t="s">
        <v>21</v>
      </c>
      <c r="D350" s="121">
        <v>46290</v>
      </c>
      <c r="E350" t="s">
        <v>95</v>
      </c>
      <c r="F350" t="s">
        <v>35</v>
      </c>
      <c r="G350" s="122">
        <v>0.29166666666666702</v>
      </c>
      <c r="H350" s="122">
        <v>0.66666666666666696</v>
      </c>
      <c r="I350" s="112">
        <v>0</v>
      </c>
      <c r="J350" s="112">
        <v>0</v>
      </c>
      <c r="K350" s="23">
        <f t="shared" si="41"/>
        <v>0.29166666666666702</v>
      </c>
      <c r="L350" s="23">
        <f t="shared" si="42"/>
        <v>0</v>
      </c>
      <c r="M350" s="12">
        <f t="shared" si="47"/>
        <v>0.29166666666666702</v>
      </c>
      <c r="N350" s="23">
        <f t="shared" si="43"/>
        <v>0.66666666666666696</v>
      </c>
      <c r="O350" s="41">
        <f t="shared" si="44"/>
        <v>0</v>
      </c>
      <c r="P350" s="13" t="str">
        <f t="shared" si="45"/>
        <v>SI</v>
      </c>
      <c r="Q350" s="23">
        <f t="shared" si="46"/>
        <v>0.29166666666666702</v>
      </c>
      <c r="R350" s="12">
        <f t="shared" si="46"/>
        <v>0.66666666666666696</v>
      </c>
    </row>
    <row r="351" spans="2:18">
      <c r="B351" t="str">
        <f t="shared" si="40"/>
        <v>ELMER CRISTOBAL LOPEZ HERNANDEZ46291</v>
      </c>
      <c r="C351" t="s">
        <v>21</v>
      </c>
      <c r="D351" s="121">
        <v>46291</v>
      </c>
      <c r="E351" t="s">
        <v>96</v>
      </c>
      <c r="F351" t="s">
        <v>35</v>
      </c>
      <c r="G351" s="122">
        <v>0.29166666666666702</v>
      </c>
      <c r="H351" s="122">
        <v>0.5</v>
      </c>
      <c r="I351" s="112">
        <v>0</v>
      </c>
      <c r="J351" s="112">
        <v>0</v>
      </c>
      <c r="K351" s="23">
        <f t="shared" si="41"/>
        <v>0.29166666666666702</v>
      </c>
      <c r="L351" s="23">
        <f t="shared" si="42"/>
        <v>0</v>
      </c>
      <c r="M351" s="12">
        <f t="shared" si="47"/>
        <v>0.29166666666666702</v>
      </c>
      <c r="N351" s="23">
        <f t="shared" si="43"/>
        <v>0.5</v>
      </c>
      <c r="O351" s="41">
        <f t="shared" si="44"/>
        <v>0</v>
      </c>
      <c r="P351" s="13" t="str">
        <f t="shared" si="45"/>
        <v>SI</v>
      </c>
      <c r="Q351" s="23">
        <f t="shared" si="46"/>
        <v>0.29166666666666702</v>
      </c>
      <c r="R351" s="12">
        <f t="shared" si="46"/>
        <v>0.5</v>
      </c>
    </row>
    <row r="352" spans="2:18">
      <c r="B352" t="str">
        <f t="shared" si="40"/>
        <v>ELMER CRISTOBAL LOPEZ HERNANDEZ46292</v>
      </c>
      <c r="C352" t="s">
        <v>21</v>
      </c>
      <c r="D352" s="121">
        <v>46292</v>
      </c>
      <c r="E352" t="s">
        <v>97</v>
      </c>
      <c r="F352" t="s">
        <v>72</v>
      </c>
      <c r="G352" s="122">
        <v>0</v>
      </c>
      <c r="H352" s="122">
        <v>0</v>
      </c>
      <c r="I352" s="112">
        <v>0</v>
      </c>
      <c r="J352" s="112">
        <v>0</v>
      </c>
      <c r="K352" s="23">
        <f t="shared" si="41"/>
        <v>0</v>
      </c>
      <c r="L352" s="23">
        <f t="shared" si="42"/>
        <v>0</v>
      </c>
      <c r="M352" s="12">
        <f t="shared" si="47"/>
        <v>0</v>
      </c>
      <c r="N352" s="23">
        <f t="shared" si="43"/>
        <v>0</v>
      </c>
      <c r="O352" s="41">
        <f t="shared" si="44"/>
        <v>0</v>
      </c>
      <c r="P352" s="13" t="str">
        <f t="shared" si="45"/>
        <v>NO</v>
      </c>
      <c r="Q352" s="23">
        <f t="shared" si="46"/>
        <v>0</v>
      </c>
      <c r="R352" s="12">
        <f t="shared" si="46"/>
        <v>0</v>
      </c>
    </row>
    <row r="353" spans="2:18">
      <c r="B353" t="str">
        <f t="shared" si="40"/>
        <v>ELMER CRISTOBAL LOPEZ HERNANDEZ46293</v>
      </c>
      <c r="C353" t="s">
        <v>21</v>
      </c>
      <c r="D353" s="121">
        <v>46293</v>
      </c>
      <c r="E353" t="s">
        <v>98</v>
      </c>
      <c r="F353" t="s">
        <v>35</v>
      </c>
      <c r="G353" s="122">
        <v>0.29166666666666702</v>
      </c>
      <c r="H353" s="122">
        <v>0.66666666666666696</v>
      </c>
      <c r="I353" s="112">
        <v>0</v>
      </c>
      <c r="J353" s="112">
        <v>0</v>
      </c>
      <c r="K353" s="23">
        <f t="shared" si="41"/>
        <v>0.29166666666666702</v>
      </c>
      <c r="L353" s="23">
        <f t="shared" si="42"/>
        <v>0</v>
      </c>
      <c r="M353" s="12">
        <f t="shared" si="47"/>
        <v>0.29166666666666702</v>
      </c>
      <c r="N353" s="23">
        <f t="shared" si="43"/>
        <v>0.66666666666666696</v>
      </c>
      <c r="O353" s="41">
        <f t="shared" si="44"/>
        <v>0</v>
      </c>
      <c r="P353" s="13" t="str">
        <f t="shared" si="45"/>
        <v>SI</v>
      </c>
      <c r="Q353" s="23">
        <f t="shared" si="46"/>
        <v>0.29166666666666702</v>
      </c>
      <c r="R353" s="12">
        <f t="shared" si="46"/>
        <v>0.66666666666666696</v>
      </c>
    </row>
    <row r="354" spans="2:18">
      <c r="B354" t="str">
        <f t="shared" si="40"/>
        <v>ELMER CRISTOBAL LOPEZ HERNANDEZ46294</v>
      </c>
      <c r="C354" t="s">
        <v>21</v>
      </c>
      <c r="D354" s="121">
        <v>46294</v>
      </c>
      <c r="E354" t="s">
        <v>99</v>
      </c>
      <c r="F354" t="s">
        <v>35</v>
      </c>
      <c r="G354" s="122">
        <v>0.29166666666666702</v>
      </c>
      <c r="H354" s="122">
        <v>0.66666666666666696</v>
      </c>
      <c r="I354" s="112">
        <v>0</v>
      </c>
      <c r="J354" s="112">
        <v>0</v>
      </c>
      <c r="K354" s="23">
        <f t="shared" si="41"/>
        <v>0.29166666666666702</v>
      </c>
      <c r="L354" s="23">
        <f t="shared" si="42"/>
        <v>0</v>
      </c>
      <c r="M354" s="12">
        <f t="shared" si="47"/>
        <v>0.29166666666666702</v>
      </c>
      <c r="N354" s="23">
        <f t="shared" si="43"/>
        <v>0.66666666666666696</v>
      </c>
      <c r="O354" s="41">
        <f t="shared" si="44"/>
        <v>0</v>
      </c>
      <c r="P354" s="13" t="str">
        <f t="shared" si="45"/>
        <v>SI</v>
      </c>
      <c r="Q354" s="23">
        <f t="shared" si="46"/>
        <v>0.29166666666666702</v>
      </c>
      <c r="R354" s="12">
        <f t="shared" si="46"/>
        <v>0.66666666666666696</v>
      </c>
    </row>
    <row r="355" spans="2:18">
      <c r="B355" t="str">
        <f t="shared" si="40"/>
        <v>ELMER CRISTOBAL LOPEZ HERNANDEZ46295</v>
      </c>
      <c r="C355" t="s">
        <v>21</v>
      </c>
      <c r="D355" s="121">
        <v>46295</v>
      </c>
      <c r="E355" t="s">
        <v>100</v>
      </c>
      <c r="F355" t="s">
        <v>35</v>
      </c>
      <c r="G355" s="122">
        <v>0.29166666666666702</v>
      </c>
      <c r="H355" s="122">
        <v>0.66666666666666696</v>
      </c>
      <c r="I355" s="112">
        <v>0</v>
      </c>
      <c r="J355" s="112">
        <v>0</v>
      </c>
      <c r="K355" s="23">
        <f t="shared" si="41"/>
        <v>0.29166666666666702</v>
      </c>
      <c r="L355" s="23">
        <f t="shared" si="42"/>
        <v>0</v>
      </c>
      <c r="M355" s="12">
        <f t="shared" si="47"/>
        <v>0.29166666666666702</v>
      </c>
      <c r="N355" s="23">
        <f t="shared" si="43"/>
        <v>0.66666666666666696</v>
      </c>
      <c r="O355" s="41">
        <f t="shared" si="44"/>
        <v>0</v>
      </c>
      <c r="P355" s="13" t="str">
        <f t="shared" si="45"/>
        <v>SI</v>
      </c>
      <c r="Q355" s="23">
        <f t="shared" si="46"/>
        <v>0.29166666666666702</v>
      </c>
      <c r="R355" s="12">
        <f t="shared" si="46"/>
        <v>0.66666666666666696</v>
      </c>
    </row>
    <row r="356" spans="2:18">
      <c r="B356" t="str">
        <f t="shared" si="40"/>
        <v>ELMER CRISTOBAL LOPEZ HERNANDEZ46296</v>
      </c>
      <c r="C356" t="s">
        <v>21</v>
      </c>
      <c r="D356" s="121">
        <v>46296</v>
      </c>
      <c r="E356" t="s">
        <v>101</v>
      </c>
      <c r="F356" t="s">
        <v>35</v>
      </c>
      <c r="G356" s="122">
        <v>0.375</v>
      </c>
      <c r="H356" s="122">
        <v>0.75</v>
      </c>
      <c r="I356" s="112">
        <v>0</v>
      </c>
      <c r="J356" s="112">
        <v>0</v>
      </c>
      <c r="K356" s="23">
        <f t="shared" si="41"/>
        <v>0.375</v>
      </c>
      <c r="L356" s="23">
        <f t="shared" si="42"/>
        <v>0</v>
      </c>
      <c r="M356" s="12">
        <f t="shared" si="47"/>
        <v>0.375</v>
      </c>
      <c r="N356" s="23">
        <f t="shared" si="43"/>
        <v>0.75</v>
      </c>
      <c r="O356" s="41">
        <f t="shared" si="44"/>
        <v>0</v>
      </c>
      <c r="P356" s="13" t="str">
        <f t="shared" si="45"/>
        <v>SI</v>
      </c>
      <c r="Q356" s="23">
        <f t="shared" si="46"/>
        <v>0.375</v>
      </c>
      <c r="R356" s="12">
        <f t="shared" si="46"/>
        <v>0.75</v>
      </c>
    </row>
    <row r="357" spans="2:18">
      <c r="B357" t="str">
        <f t="shared" si="40"/>
        <v>ELMER CRISTOBAL LOPEZ HERNANDEZ46297</v>
      </c>
      <c r="C357" t="s">
        <v>21</v>
      </c>
      <c r="D357" s="121">
        <v>46297</v>
      </c>
      <c r="E357" t="s">
        <v>95</v>
      </c>
      <c r="F357" t="s">
        <v>35</v>
      </c>
      <c r="G357" s="122">
        <v>0.29166666666666702</v>
      </c>
      <c r="H357" s="122">
        <v>0.66666666666666696</v>
      </c>
      <c r="I357" s="112">
        <v>0</v>
      </c>
      <c r="J357" s="112">
        <v>0</v>
      </c>
      <c r="K357" s="23">
        <f t="shared" si="41"/>
        <v>0.29166666666666702</v>
      </c>
      <c r="L357" s="23">
        <f t="shared" si="42"/>
        <v>0</v>
      </c>
      <c r="M357" s="12">
        <f t="shared" si="47"/>
        <v>0.29166666666666702</v>
      </c>
      <c r="N357" s="23">
        <f t="shared" si="43"/>
        <v>0.66666666666666696</v>
      </c>
      <c r="O357" s="41">
        <f t="shared" si="44"/>
        <v>0</v>
      </c>
      <c r="P357" s="13" t="str">
        <f t="shared" si="45"/>
        <v>SI</v>
      </c>
      <c r="Q357" s="23">
        <f t="shared" si="46"/>
        <v>0.29166666666666702</v>
      </c>
      <c r="R357" s="12">
        <f t="shared" si="46"/>
        <v>0.66666666666666696</v>
      </c>
    </row>
    <row r="358" spans="2:18">
      <c r="B358" t="str">
        <f t="shared" si="40"/>
        <v>ELMER CRISTOBAL LOPEZ HERNANDEZ46298</v>
      </c>
      <c r="C358" t="s">
        <v>21</v>
      </c>
      <c r="D358" s="121">
        <v>46298</v>
      </c>
      <c r="E358" t="s">
        <v>96</v>
      </c>
      <c r="F358" t="s">
        <v>35</v>
      </c>
      <c r="G358" s="122">
        <v>0.29166666666666702</v>
      </c>
      <c r="H358" s="122">
        <v>0.5</v>
      </c>
      <c r="I358" s="112">
        <v>0</v>
      </c>
      <c r="J358" s="112">
        <v>0</v>
      </c>
      <c r="K358" s="23">
        <f t="shared" si="41"/>
        <v>0.29166666666666702</v>
      </c>
      <c r="L358" s="23">
        <f t="shared" si="42"/>
        <v>0</v>
      </c>
      <c r="M358" s="12">
        <f t="shared" si="47"/>
        <v>0.29166666666666702</v>
      </c>
      <c r="N358" s="23">
        <f t="shared" si="43"/>
        <v>0.5</v>
      </c>
      <c r="O358" s="41">
        <f t="shared" si="44"/>
        <v>0</v>
      </c>
      <c r="P358" s="13" t="str">
        <f t="shared" si="45"/>
        <v>SI</v>
      </c>
      <c r="Q358" s="23">
        <f t="shared" si="46"/>
        <v>0.29166666666666702</v>
      </c>
      <c r="R358" s="12">
        <f t="shared" si="46"/>
        <v>0.5</v>
      </c>
    </row>
    <row r="359" spans="2:18">
      <c r="B359" t="str">
        <f t="shared" si="40"/>
        <v>ELMER CRISTOBAL LOPEZ HERNANDEZ46299</v>
      </c>
      <c r="C359" t="s">
        <v>21</v>
      </c>
      <c r="D359" s="121">
        <v>46299</v>
      </c>
      <c r="E359" t="s">
        <v>97</v>
      </c>
      <c r="F359" t="s">
        <v>72</v>
      </c>
      <c r="G359" s="122">
        <v>0</v>
      </c>
      <c r="H359" s="122">
        <v>0</v>
      </c>
      <c r="I359" s="112">
        <v>0</v>
      </c>
      <c r="J359" s="112">
        <v>0</v>
      </c>
      <c r="K359" s="23">
        <f t="shared" si="41"/>
        <v>0</v>
      </c>
      <c r="L359" s="23">
        <f t="shared" si="42"/>
        <v>0</v>
      </c>
      <c r="M359" s="12">
        <f t="shared" si="47"/>
        <v>0</v>
      </c>
      <c r="N359" s="23">
        <f t="shared" si="43"/>
        <v>0</v>
      </c>
      <c r="O359" s="41">
        <f t="shared" si="44"/>
        <v>0</v>
      </c>
      <c r="P359" s="13" t="str">
        <f t="shared" si="45"/>
        <v>NO</v>
      </c>
      <c r="Q359" s="23">
        <f t="shared" si="46"/>
        <v>0</v>
      </c>
      <c r="R359" s="12">
        <f t="shared" si="46"/>
        <v>0</v>
      </c>
    </row>
    <row r="360" spans="2:18">
      <c r="B360" t="str">
        <f t="shared" si="40"/>
        <v>EMERSON ALDAIR BIAN CONTRERAS46279</v>
      </c>
      <c r="C360" t="s">
        <v>220</v>
      </c>
      <c r="D360" s="121">
        <v>46279</v>
      </c>
      <c r="E360" t="s">
        <v>98</v>
      </c>
      <c r="F360" t="s">
        <v>72</v>
      </c>
      <c r="G360" s="122">
        <v>0</v>
      </c>
      <c r="H360" s="122">
        <v>0</v>
      </c>
      <c r="I360" s="112">
        <v>0</v>
      </c>
      <c r="J360" s="112">
        <v>0</v>
      </c>
      <c r="K360" s="23">
        <f t="shared" si="41"/>
        <v>0</v>
      </c>
      <c r="L360" s="23">
        <f t="shared" si="42"/>
        <v>0</v>
      </c>
      <c r="M360" s="12">
        <f t="shared" si="47"/>
        <v>0</v>
      </c>
      <c r="N360" s="23">
        <f t="shared" si="43"/>
        <v>0</v>
      </c>
      <c r="O360" s="41">
        <f t="shared" si="44"/>
        <v>0</v>
      </c>
      <c r="P360" s="13" t="str">
        <f t="shared" si="45"/>
        <v>NO</v>
      </c>
      <c r="Q360" s="23">
        <f t="shared" si="46"/>
        <v>0</v>
      </c>
      <c r="R360" s="12">
        <f t="shared" si="46"/>
        <v>0</v>
      </c>
    </row>
    <row r="361" spans="2:18">
      <c r="B361" t="str">
        <f t="shared" si="40"/>
        <v>EMERSON ALDAIR BIAN CONTRERAS46280</v>
      </c>
      <c r="C361" t="s">
        <v>220</v>
      </c>
      <c r="D361" s="121">
        <v>46280</v>
      </c>
      <c r="E361" t="s">
        <v>99</v>
      </c>
      <c r="F361" t="s">
        <v>35</v>
      </c>
      <c r="G361" s="122">
        <v>0.33333333333333298</v>
      </c>
      <c r="H361" s="122">
        <v>0.70833333333333304</v>
      </c>
      <c r="I361" s="112">
        <v>0</v>
      </c>
      <c r="J361" s="112">
        <v>0</v>
      </c>
      <c r="K361" s="23">
        <f t="shared" si="41"/>
        <v>0.33333333333333298</v>
      </c>
      <c r="L361" s="23">
        <f t="shared" si="42"/>
        <v>0</v>
      </c>
      <c r="M361" s="12">
        <f t="shared" si="47"/>
        <v>0.33333333333333298</v>
      </c>
      <c r="N361" s="23">
        <f t="shared" si="43"/>
        <v>0.70833333333333304</v>
      </c>
      <c r="O361" s="41">
        <f t="shared" si="44"/>
        <v>0</v>
      </c>
      <c r="P361" s="13" t="str">
        <f t="shared" si="45"/>
        <v>SI</v>
      </c>
      <c r="Q361" s="23">
        <f t="shared" si="46"/>
        <v>0.33333333333333298</v>
      </c>
      <c r="R361" s="12">
        <f t="shared" si="46"/>
        <v>0.70833333333333304</v>
      </c>
    </row>
    <row r="362" spans="2:18">
      <c r="B362" t="str">
        <f t="shared" si="40"/>
        <v>EMERSON ALDAIR BIAN CONTRERAS46281</v>
      </c>
      <c r="C362" t="s">
        <v>220</v>
      </c>
      <c r="D362" s="121">
        <v>46281</v>
      </c>
      <c r="E362" t="s">
        <v>100</v>
      </c>
      <c r="F362" t="s">
        <v>36</v>
      </c>
      <c r="G362" s="122">
        <v>0.75</v>
      </c>
      <c r="H362" s="122">
        <v>0.25</v>
      </c>
      <c r="I362" s="112">
        <v>0</v>
      </c>
      <c r="J362" s="112">
        <v>0</v>
      </c>
      <c r="K362" s="23">
        <f t="shared" si="41"/>
        <v>0.75</v>
      </c>
      <c r="L362" s="23">
        <f t="shared" si="42"/>
        <v>0</v>
      </c>
      <c r="M362" s="12">
        <f t="shared" si="47"/>
        <v>0.75</v>
      </c>
      <c r="N362" s="23">
        <f t="shared" si="43"/>
        <v>0.25</v>
      </c>
      <c r="O362" s="41">
        <f t="shared" si="44"/>
        <v>0</v>
      </c>
      <c r="P362" s="13" t="str">
        <f t="shared" si="45"/>
        <v>SI</v>
      </c>
      <c r="Q362" s="23">
        <f t="shared" si="46"/>
        <v>0.75</v>
      </c>
      <c r="R362" s="12">
        <f t="shared" si="46"/>
        <v>0.25</v>
      </c>
    </row>
    <row r="363" spans="2:18">
      <c r="B363" t="str">
        <f t="shared" si="40"/>
        <v>EMERSON ALDAIR BIAN CONTRERAS46282</v>
      </c>
      <c r="C363" t="s">
        <v>220</v>
      </c>
      <c r="D363" s="121">
        <v>46282</v>
      </c>
      <c r="E363" t="s">
        <v>101</v>
      </c>
      <c r="F363" t="s">
        <v>36</v>
      </c>
      <c r="G363" s="122">
        <v>0.75</v>
      </c>
      <c r="H363" s="122">
        <v>0.25</v>
      </c>
      <c r="I363" s="112">
        <v>0</v>
      </c>
      <c r="J363" s="112">
        <v>0</v>
      </c>
      <c r="K363" s="23">
        <f t="shared" si="41"/>
        <v>0.75</v>
      </c>
      <c r="L363" s="23">
        <f t="shared" si="42"/>
        <v>0</v>
      </c>
      <c r="M363" s="12">
        <f t="shared" si="47"/>
        <v>0.75</v>
      </c>
      <c r="N363" s="23">
        <f t="shared" si="43"/>
        <v>0.25</v>
      </c>
      <c r="O363" s="41">
        <f t="shared" si="44"/>
        <v>0</v>
      </c>
      <c r="P363" s="13" t="str">
        <f t="shared" si="45"/>
        <v>SI</v>
      </c>
      <c r="Q363" s="23">
        <f t="shared" si="46"/>
        <v>0.75</v>
      </c>
      <c r="R363" s="12">
        <f t="shared" si="46"/>
        <v>0.25</v>
      </c>
    </row>
    <row r="364" spans="2:18">
      <c r="B364" t="str">
        <f t="shared" si="40"/>
        <v>EMERSON ALDAIR BIAN CONTRERAS46283</v>
      </c>
      <c r="C364" t="s">
        <v>220</v>
      </c>
      <c r="D364" s="121">
        <v>46283</v>
      </c>
      <c r="E364" t="s">
        <v>95</v>
      </c>
      <c r="F364" t="s">
        <v>36</v>
      </c>
      <c r="G364" s="122">
        <v>0.75</v>
      </c>
      <c r="H364" s="122">
        <v>0.25</v>
      </c>
      <c r="I364" s="112">
        <v>0</v>
      </c>
      <c r="J364" s="112">
        <v>0</v>
      </c>
      <c r="K364" s="23">
        <f t="shared" si="41"/>
        <v>0.75</v>
      </c>
      <c r="L364" s="23">
        <f t="shared" si="42"/>
        <v>0</v>
      </c>
      <c r="M364" s="12">
        <f t="shared" si="47"/>
        <v>0.75</v>
      </c>
      <c r="N364" s="23">
        <f t="shared" si="43"/>
        <v>0.25</v>
      </c>
      <c r="O364" s="41">
        <f t="shared" si="44"/>
        <v>0</v>
      </c>
      <c r="P364" s="13" t="str">
        <f t="shared" si="45"/>
        <v>SI</v>
      </c>
      <c r="Q364" s="23">
        <f t="shared" si="46"/>
        <v>0.75</v>
      </c>
      <c r="R364" s="12">
        <f t="shared" si="46"/>
        <v>0.25</v>
      </c>
    </row>
    <row r="365" spans="2:18">
      <c r="B365" t="str">
        <f t="shared" si="40"/>
        <v>EMERSON ALDAIR BIAN CONTRERAS46284</v>
      </c>
      <c r="C365" t="s">
        <v>220</v>
      </c>
      <c r="D365" s="121">
        <v>46284</v>
      </c>
      <c r="E365" t="s">
        <v>96</v>
      </c>
      <c r="F365" t="s">
        <v>72</v>
      </c>
      <c r="G365" s="122">
        <v>0</v>
      </c>
      <c r="H365" s="122">
        <v>0</v>
      </c>
      <c r="I365" s="112">
        <v>0</v>
      </c>
      <c r="J365" s="112">
        <v>0</v>
      </c>
      <c r="K365" s="23">
        <f t="shared" si="41"/>
        <v>0</v>
      </c>
      <c r="L365" s="23">
        <f t="shared" si="42"/>
        <v>0</v>
      </c>
      <c r="M365" s="12">
        <f t="shared" si="47"/>
        <v>0</v>
      </c>
      <c r="N365" s="23">
        <f t="shared" si="43"/>
        <v>0</v>
      </c>
      <c r="O365" s="41">
        <f t="shared" si="44"/>
        <v>0</v>
      </c>
      <c r="P365" s="13" t="str">
        <f t="shared" si="45"/>
        <v>NO</v>
      </c>
      <c r="Q365" s="23">
        <f t="shared" si="46"/>
        <v>0</v>
      </c>
      <c r="R365" s="12">
        <f t="shared" si="46"/>
        <v>0</v>
      </c>
    </row>
    <row r="366" spans="2:18">
      <c r="B366" t="str">
        <f t="shared" ref="B366:B429" si="48">+C366&amp;D366</f>
        <v>EMERSON ALDAIR BIAN CONTRERAS46285</v>
      </c>
      <c r="C366" t="s">
        <v>220</v>
      </c>
      <c r="D366" s="121">
        <v>46285</v>
      </c>
      <c r="E366" t="s">
        <v>97</v>
      </c>
      <c r="F366" t="s">
        <v>72</v>
      </c>
      <c r="G366" s="122">
        <v>0</v>
      </c>
      <c r="H366" s="122">
        <v>0</v>
      </c>
      <c r="I366" s="112">
        <v>0</v>
      </c>
      <c r="J366" s="112">
        <v>0</v>
      </c>
      <c r="K366" s="23">
        <f t="shared" ref="K366:K429" si="49">+IFERROR(G366,0)</f>
        <v>0</v>
      </c>
      <c r="L366" s="23">
        <f t="shared" ref="L366:L429" si="50">+I366</f>
        <v>0</v>
      </c>
      <c r="M366" s="12">
        <f t="shared" si="47"/>
        <v>0</v>
      </c>
      <c r="N366" s="23">
        <f t="shared" ref="N366:N429" si="51">+H366</f>
        <v>0</v>
      </c>
      <c r="O366" s="41">
        <f t="shared" ref="O366:O429" si="52">+J366</f>
        <v>0</v>
      </c>
      <c r="P366" s="13" t="str">
        <f t="shared" ref="P366:P429" si="53">+IF(O366&lt;N366,"SI","NO")</f>
        <v>NO</v>
      </c>
      <c r="Q366" s="23">
        <f t="shared" ref="Q366:R429" si="54">+M366</f>
        <v>0</v>
      </c>
      <c r="R366" s="12">
        <f t="shared" si="54"/>
        <v>0</v>
      </c>
    </row>
    <row r="367" spans="2:18">
      <c r="B367" t="str">
        <f t="shared" si="48"/>
        <v>EMERSON ALDAIR BIAN CONTRERAS46286</v>
      </c>
      <c r="C367" t="s">
        <v>220</v>
      </c>
      <c r="D367" s="121">
        <v>46286</v>
      </c>
      <c r="E367" t="s">
        <v>98</v>
      </c>
      <c r="F367" t="s">
        <v>35</v>
      </c>
      <c r="G367" s="122">
        <v>0.25</v>
      </c>
      <c r="H367" s="122">
        <v>0.75</v>
      </c>
      <c r="I367" s="112">
        <v>0</v>
      </c>
      <c r="J367" s="112">
        <v>0</v>
      </c>
      <c r="K367" s="23">
        <f t="shared" si="49"/>
        <v>0.25</v>
      </c>
      <c r="L367" s="23">
        <f t="shared" si="50"/>
        <v>0</v>
      </c>
      <c r="M367" s="12">
        <f t="shared" ref="M367:M430" si="55">+IFERROR(MAX(K367:L367),0)</f>
        <v>0.25</v>
      </c>
      <c r="N367" s="23">
        <f t="shared" si="51"/>
        <v>0.75</v>
      </c>
      <c r="O367" s="41">
        <f t="shared" si="52"/>
        <v>0</v>
      </c>
      <c r="P367" s="13" t="str">
        <f t="shared" si="53"/>
        <v>SI</v>
      </c>
      <c r="Q367" s="23">
        <f t="shared" si="54"/>
        <v>0.25</v>
      </c>
      <c r="R367" s="12">
        <f t="shared" si="54"/>
        <v>0.75</v>
      </c>
    </row>
    <row r="368" spans="2:18">
      <c r="B368" t="str">
        <f t="shared" si="48"/>
        <v>EMERSON ALDAIR BIAN CONTRERAS46287</v>
      </c>
      <c r="C368" t="s">
        <v>220</v>
      </c>
      <c r="D368" s="121">
        <v>46287</v>
      </c>
      <c r="E368" t="s">
        <v>99</v>
      </c>
      <c r="F368" t="s">
        <v>35</v>
      </c>
      <c r="G368" s="122">
        <v>0.25</v>
      </c>
      <c r="H368" s="122">
        <v>0.75</v>
      </c>
      <c r="I368" s="112">
        <v>0</v>
      </c>
      <c r="J368" s="112">
        <v>0</v>
      </c>
      <c r="K368" s="23">
        <f t="shared" si="49"/>
        <v>0.25</v>
      </c>
      <c r="L368" s="23">
        <f t="shared" si="50"/>
        <v>0</v>
      </c>
      <c r="M368" s="12">
        <f t="shared" si="55"/>
        <v>0.25</v>
      </c>
      <c r="N368" s="23">
        <f t="shared" si="51"/>
        <v>0.75</v>
      </c>
      <c r="O368" s="41">
        <f t="shared" si="52"/>
        <v>0</v>
      </c>
      <c r="P368" s="13" t="str">
        <f t="shared" si="53"/>
        <v>SI</v>
      </c>
      <c r="Q368" s="23">
        <f t="shared" si="54"/>
        <v>0.25</v>
      </c>
      <c r="R368" s="12">
        <f t="shared" si="54"/>
        <v>0.75</v>
      </c>
    </row>
    <row r="369" spans="2:18">
      <c r="B369" t="str">
        <f t="shared" si="48"/>
        <v>EMERSON ALDAIR BIAN CONTRERAS46288</v>
      </c>
      <c r="C369" t="s">
        <v>220</v>
      </c>
      <c r="D369" s="121">
        <v>46288</v>
      </c>
      <c r="E369" t="s">
        <v>100</v>
      </c>
      <c r="F369" t="s">
        <v>35</v>
      </c>
      <c r="G369" s="122">
        <v>0.25</v>
      </c>
      <c r="H369" s="122">
        <v>0.75</v>
      </c>
      <c r="I369" s="112">
        <v>0</v>
      </c>
      <c r="J369" s="112">
        <v>0</v>
      </c>
      <c r="K369" s="23">
        <f t="shared" si="49"/>
        <v>0.25</v>
      </c>
      <c r="L369" s="23">
        <f t="shared" si="50"/>
        <v>0</v>
      </c>
      <c r="M369" s="12">
        <f t="shared" si="55"/>
        <v>0.25</v>
      </c>
      <c r="N369" s="23">
        <f t="shared" si="51"/>
        <v>0.75</v>
      </c>
      <c r="O369" s="41">
        <f t="shared" si="52"/>
        <v>0</v>
      </c>
      <c r="P369" s="13" t="str">
        <f t="shared" si="53"/>
        <v>SI</v>
      </c>
      <c r="Q369" s="23">
        <f t="shared" si="54"/>
        <v>0.25</v>
      </c>
      <c r="R369" s="12">
        <f t="shared" si="54"/>
        <v>0.75</v>
      </c>
    </row>
    <row r="370" spans="2:18">
      <c r="B370" t="str">
        <f t="shared" si="48"/>
        <v>EMERSON ALDAIR BIAN CONTRERAS46289</v>
      </c>
      <c r="C370" t="s">
        <v>220</v>
      </c>
      <c r="D370" s="121">
        <v>46289</v>
      </c>
      <c r="E370" t="s">
        <v>101</v>
      </c>
      <c r="F370" t="s">
        <v>35</v>
      </c>
      <c r="G370" s="122">
        <v>0.25</v>
      </c>
      <c r="H370" s="122">
        <v>0.75</v>
      </c>
      <c r="I370" s="112">
        <v>0</v>
      </c>
      <c r="J370" s="112">
        <v>0</v>
      </c>
      <c r="K370" s="23">
        <f t="shared" si="49"/>
        <v>0.25</v>
      </c>
      <c r="L370" s="23">
        <f t="shared" si="50"/>
        <v>0</v>
      </c>
      <c r="M370" s="12">
        <f t="shared" si="55"/>
        <v>0.25</v>
      </c>
      <c r="N370" s="23">
        <f t="shared" si="51"/>
        <v>0.75</v>
      </c>
      <c r="O370" s="41">
        <f t="shared" si="52"/>
        <v>0</v>
      </c>
      <c r="P370" s="13" t="str">
        <f t="shared" si="53"/>
        <v>SI</v>
      </c>
      <c r="Q370" s="23">
        <f t="shared" si="54"/>
        <v>0.25</v>
      </c>
      <c r="R370" s="12">
        <f t="shared" si="54"/>
        <v>0.75</v>
      </c>
    </row>
    <row r="371" spans="2:18">
      <c r="B371" t="str">
        <f t="shared" si="48"/>
        <v>EMERSON ALDAIR BIAN CONTRERAS46290</v>
      </c>
      <c r="C371" t="s">
        <v>220</v>
      </c>
      <c r="D371" s="121">
        <v>46290</v>
      </c>
      <c r="E371" t="s">
        <v>95</v>
      </c>
      <c r="F371" t="s">
        <v>35</v>
      </c>
      <c r="G371" s="122">
        <v>0.25</v>
      </c>
      <c r="H371" s="122">
        <v>0.75</v>
      </c>
      <c r="I371" s="112">
        <v>0</v>
      </c>
      <c r="J371" s="112">
        <v>0</v>
      </c>
      <c r="K371" s="23">
        <f t="shared" si="49"/>
        <v>0.25</v>
      </c>
      <c r="L371" s="23">
        <f t="shared" si="50"/>
        <v>0</v>
      </c>
      <c r="M371" s="12">
        <f t="shared" si="55"/>
        <v>0.25</v>
      </c>
      <c r="N371" s="23">
        <f t="shared" si="51"/>
        <v>0.75</v>
      </c>
      <c r="O371" s="41">
        <f t="shared" si="52"/>
        <v>0</v>
      </c>
      <c r="P371" s="13" t="str">
        <f t="shared" si="53"/>
        <v>SI</v>
      </c>
      <c r="Q371" s="23">
        <f t="shared" si="54"/>
        <v>0.25</v>
      </c>
      <c r="R371" s="12">
        <f t="shared" si="54"/>
        <v>0.75</v>
      </c>
    </row>
    <row r="372" spans="2:18">
      <c r="B372" t="str">
        <f t="shared" si="48"/>
        <v>EMERSON ALDAIR BIAN CONTRERAS46291</v>
      </c>
      <c r="C372" t="s">
        <v>220</v>
      </c>
      <c r="D372" s="121">
        <v>46291</v>
      </c>
      <c r="E372" t="s">
        <v>96</v>
      </c>
      <c r="F372" t="s">
        <v>35</v>
      </c>
      <c r="G372" s="122">
        <v>0.25</v>
      </c>
      <c r="H372" s="122">
        <v>0.58333333333333304</v>
      </c>
      <c r="I372" s="112">
        <v>0</v>
      </c>
      <c r="J372" s="112">
        <v>0</v>
      </c>
      <c r="K372" s="23">
        <f t="shared" si="49"/>
        <v>0.25</v>
      </c>
      <c r="L372" s="23">
        <f t="shared" si="50"/>
        <v>0</v>
      </c>
      <c r="M372" s="12">
        <f t="shared" si="55"/>
        <v>0.25</v>
      </c>
      <c r="N372" s="23">
        <f t="shared" si="51"/>
        <v>0.58333333333333304</v>
      </c>
      <c r="O372" s="41">
        <f t="shared" si="52"/>
        <v>0</v>
      </c>
      <c r="P372" s="13" t="str">
        <f t="shared" si="53"/>
        <v>SI</v>
      </c>
      <c r="Q372" s="23">
        <f t="shared" si="54"/>
        <v>0.25</v>
      </c>
      <c r="R372" s="12">
        <f t="shared" si="54"/>
        <v>0.58333333333333304</v>
      </c>
    </row>
    <row r="373" spans="2:18">
      <c r="B373" t="str">
        <f t="shared" si="48"/>
        <v>EMERSON ALDAIR BIAN CONTRERAS46292</v>
      </c>
      <c r="C373" t="s">
        <v>220</v>
      </c>
      <c r="D373" s="121">
        <v>46292</v>
      </c>
      <c r="E373" t="s">
        <v>97</v>
      </c>
      <c r="F373" t="s">
        <v>72</v>
      </c>
      <c r="G373" s="122">
        <v>0</v>
      </c>
      <c r="H373" s="122">
        <v>0</v>
      </c>
      <c r="I373" s="112">
        <v>0</v>
      </c>
      <c r="J373" s="112">
        <v>0</v>
      </c>
      <c r="K373" s="23">
        <f t="shared" si="49"/>
        <v>0</v>
      </c>
      <c r="L373" s="23">
        <f t="shared" si="50"/>
        <v>0</v>
      </c>
      <c r="M373" s="12">
        <f t="shared" si="55"/>
        <v>0</v>
      </c>
      <c r="N373" s="23">
        <f t="shared" si="51"/>
        <v>0</v>
      </c>
      <c r="O373" s="41">
        <f t="shared" si="52"/>
        <v>0</v>
      </c>
      <c r="P373" s="13" t="str">
        <f t="shared" si="53"/>
        <v>NO</v>
      </c>
      <c r="Q373" s="23">
        <f t="shared" si="54"/>
        <v>0</v>
      </c>
      <c r="R373" s="12">
        <f t="shared" si="54"/>
        <v>0</v>
      </c>
    </row>
    <row r="374" spans="2:18">
      <c r="B374" t="str">
        <f t="shared" si="48"/>
        <v>EMERSON ALDAIR BIAN CONTRERAS46293</v>
      </c>
      <c r="C374" t="s">
        <v>220</v>
      </c>
      <c r="D374" s="121">
        <v>46293</v>
      </c>
      <c r="E374" t="s">
        <v>98</v>
      </c>
      <c r="F374" t="s">
        <v>36</v>
      </c>
      <c r="G374" s="122">
        <v>0.75</v>
      </c>
      <c r="H374" s="122">
        <v>0.25</v>
      </c>
      <c r="I374" s="112">
        <v>0</v>
      </c>
      <c r="J374" s="112">
        <v>0</v>
      </c>
      <c r="K374" s="23">
        <f t="shared" si="49"/>
        <v>0.75</v>
      </c>
      <c r="L374" s="23">
        <f t="shared" si="50"/>
        <v>0</v>
      </c>
      <c r="M374" s="12">
        <f t="shared" si="55"/>
        <v>0.75</v>
      </c>
      <c r="N374" s="23">
        <f t="shared" si="51"/>
        <v>0.25</v>
      </c>
      <c r="O374" s="41">
        <f t="shared" si="52"/>
        <v>0</v>
      </c>
      <c r="P374" s="13" t="str">
        <f t="shared" si="53"/>
        <v>SI</v>
      </c>
      <c r="Q374" s="23">
        <f t="shared" si="54"/>
        <v>0.75</v>
      </c>
      <c r="R374" s="12">
        <f t="shared" si="54"/>
        <v>0.25</v>
      </c>
    </row>
    <row r="375" spans="2:18">
      <c r="B375" t="str">
        <f t="shared" si="48"/>
        <v>EMERSON ALDAIR BIAN CONTRERAS46294</v>
      </c>
      <c r="C375" t="s">
        <v>220</v>
      </c>
      <c r="D375" s="121">
        <v>46294</v>
      </c>
      <c r="E375" t="s">
        <v>99</v>
      </c>
      <c r="F375" t="s">
        <v>36</v>
      </c>
      <c r="G375" s="122">
        <v>0.75</v>
      </c>
      <c r="H375" s="122">
        <v>0.25</v>
      </c>
      <c r="I375" s="112">
        <v>0</v>
      </c>
      <c r="J375" s="112">
        <v>0</v>
      </c>
      <c r="K375" s="23">
        <f t="shared" si="49"/>
        <v>0.75</v>
      </c>
      <c r="L375" s="23">
        <f t="shared" si="50"/>
        <v>0</v>
      </c>
      <c r="M375" s="12">
        <f t="shared" si="55"/>
        <v>0.75</v>
      </c>
      <c r="N375" s="23">
        <f t="shared" si="51"/>
        <v>0.25</v>
      </c>
      <c r="O375" s="41">
        <f t="shared" si="52"/>
        <v>0</v>
      </c>
      <c r="P375" s="13" t="str">
        <f t="shared" si="53"/>
        <v>SI</v>
      </c>
      <c r="Q375" s="23">
        <f t="shared" si="54"/>
        <v>0.75</v>
      </c>
      <c r="R375" s="12">
        <f t="shared" si="54"/>
        <v>0.25</v>
      </c>
    </row>
    <row r="376" spans="2:18">
      <c r="B376" t="str">
        <f t="shared" si="48"/>
        <v>EMERSON ALDAIR BIAN CONTRERAS46295</v>
      </c>
      <c r="C376" t="s">
        <v>220</v>
      </c>
      <c r="D376" s="121">
        <v>46295</v>
      </c>
      <c r="E376" t="s">
        <v>100</v>
      </c>
      <c r="F376" t="s">
        <v>36</v>
      </c>
      <c r="G376" s="122">
        <v>0.75</v>
      </c>
      <c r="H376" s="122">
        <v>0.25</v>
      </c>
      <c r="I376" s="112">
        <v>0</v>
      </c>
      <c r="J376" s="112">
        <v>0</v>
      </c>
      <c r="K376" s="23">
        <f t="shared" si="49"/>
        <v>0.75</v>
      </c>
      <c r="L376" s="23">
        <f t="shared" si="50"/>
        <v>0</v>
      </c>
      <c r="M376" s="12">
        <f t="shared" si="55"/>
        <v>0.75</v>
      </c>
      <c r="N376" s="23">
        <f t="shared" si="51"/>
        <v>0.25</v>
      </c>
      <c r="O376" s="41">
        <f t="shared" si="52"/>
        <v>0</v>
      </c>
      <c r="P376" s="13" t="str">
        <f t="shared" si="53"/>
        <v>SI</v>
      </c>
      <c r="Q376" s="23">
        <f t="shared" si="54"/>
        <v>0.75</v>
      </c>
      <c r="R376" s="12">
        <f t="shared" si="54"/>
        <v>0.25</v>
      </c>
    </row>
    <row r="377" spans="2:18">
      <c r="B377" t="str">
        <f t="shared" si="48"/>
        <v>EMERSON ALDAIR BIAN CONTRERAS46296</v>
      </c>
      <c r="C377" t="s">
        <v>220</v>
      </c>
      <c r="D377" s="121">
        <v>46296</v>
      </c>
      <c r="E377" t="s">
        <v>101</v>
      </c>
      <c r="F377" t="s">
        <v>36</v>
      </c>
      <c r="G377" s="122">
        <v>0.75</v>
      </c>
      <c r="H377" s="122">
        <v>0.25</v>
      </c>
      <c r="I377" s="112">
        <v>0</v>
      </c>
      <c r="J377" s="112">
        <v>0</v>
      </c>
      <c r="K377" s="23">
        <f t="shared" si="49"/>
        <v>0.75</v>
      </c>
      <c r="L377" s="23">
        <f t="shared" si="50"/>
        <v>0</v>
      </c>
      <c r="M377" s="12">
        <f t="shared" si="55"/>
        <v>0.75</v>
      </c>
      <c r="N377" s="23">
        <f t="shared" si="51"/>
        <v>0.25</v>
      </c>
      <c r="O377" s="41">
        <f t="shared" si="52"/>
        <v>0</v>
      </c>
      <c r="P377" s="13" t="str">
        <f t="shared" si="53"/>
        <v>SI</v>
      </c>
      <c r="Q377" s="23">
        <f t="shared" si="54"/>
        <v>0.75</v>
      </c>
      <c r="R377" s="12">
        <f t="shared" si="54"/>
        <v>0.25</v>
      </c>
    </row>
    <row r="378" spans="2:18">
      <c r="B378" t="str">
        <f t="shared" si="48"/>
        <v>EMERSON ALDAIR BIAN CONTRERAS46297</v>
      </c>
      <c r="C378" t="s">
        <v>220</v>
      </c>
      <c r="D378" s="121">
        <v>46297</v>
      </c>
      <c r="E378" t="s">
        <v>95</v>
      </c>
      <c r="F378" t="s">
        <v>36</v>
      </c>
      <c r="G378" s="122">
        <v>0.75</v>
      </c>
      <c r="H378" s="122">
        <v>0.25</v>
      </c>
      <c r="I378" s="112">
        <v>0</v>
      </c>
      <c r="J378" s="112">
        <v>0</v>
      </c>
      <c r="K378" s="23">
        <f t="shared" si="49"/>
        <v>0.75</v>
      </c>
      <c r="L378" s="23">
        <f t="shared" si="50"/>
        <v>0</v>
      </c>
      <c r="M378" s="12">
        <f t="shared" si="55"/>
        <v>0.75</v>
      </c>
      <c r="N378" s="23">
        <f t="shared" si="51"/>
        <v>0.25</v>
      </c>
      <c r="O378" s="41">
        <f t="shared" si="52"/>
        <v>0</v>
      </c>
      <c r="P378" s="13" t="str">
        <f t="shared" si="53"/>
        <v>SI</v>
      </c>
      <c r="Q378" s="23">
        <f t="shared" si="54"/>
        <v>0.75</v>
      </c>
      <c r="R378" s="12">
        <f t="shared" si="54"/>
        <v>0.25</v>
      </c>
    </row>
    <row r="379" spans="2:18">
      <c r="B379" t="str">
        <f t="shared" si="48"/>
        <v>EMERSON ALDAIR BIAN CONTRERAS46298</v>
      </c>
      <c r="C379" t="s">
        <v>220</v>
      </c>
      <c r="D379" s="121">
        <v>46298</v>
      </c>
      <c r="E379" t="s">
        <v>96</v>
      </c>
      <c r="F379" t="s">
        <v>72</v>
      </c>
      <c r="G379" s="122">
        <v>0</v>
      </c>
      <c r="H379" s="122">
        <v>0</v>
      </c>
      <c r="I379" s="112">
        <v>0</v>
      </c>
      <c r="J379" s="112">
        <v>0</v>
      </c>
      <c r="K379" s="23">
        <f t="shared" si="49"/>
        <v>0</v>
      </c>
      <c r="L379" s="23">
        <f t="shared" si="50"/>
        <v>0</v>
      </c>
      <c r="M379" s="12">
        <f t="shared" si="55"/>
        <v>0</v>
      </c>
      <c r="N379" s="23">
        <f t="shared" si="51"/>
        <v>0</v>
      </c>
      <c r="O379" s="41">
        <f t="shared" si="52"/>
        <v>0</v>
      </c>
      <c r="P379" s="13" t="str">
        <f t="shared" si="53"/>
        <v>NO</v>
      </c>
      <c r="Q379" s="23">
        <f t="shared" si="54"/>
        <v>0</v>
      </c>
      <c r="R379" s="12">
        <f t="shared" si="54"/>
        <v>0</v>
      </c>
    </row>
    <row r="380" spans="2:18">
      <c r="B380" t="str">
        <f t="shared" si="48"/>
        <v>EMERSON ALDAIR BIAN CONTRERAS46299</v>
      </c>
      <c r="C380" t="s">
        <v>220</v>
      </c>
      <c r="D380" s="121">
        <v>46299</v>
      </c>
      <c r="E380" t="s">
        <v>97</v>
      </c>
      <c r="F380" t="s">
        <v>72</v>
      </c>
      <c r="G380" s="122">
        <v>0</v>
      </c>
      <c r="H380" s="122">
        <v>0</v>
      </c>
      <c r="I380" s="112">
        <v>0</v>
      </c>
      <c r="J380" s="112">
        <v>0</v>
      </c>
      <c r="K380" s="23">
        <f t="shared" si="49"/>
        <v>0</v>
      </c>
      <c r="L380" s="23">
        <f t="shared" si="50"/>
        <v>0</v>
      </c>
      <c r="M380" s="12">
        <f t="shared" si="55"/>
        <v>0</v>
      </c>
      <c r="N380" s="23">
        <f t="shared" si="51"/>
        <v>0</v>
      </c>
      <c r="O380" s="41">
        <f t="shared" si="52"/>
        <v>0</v>
      </c>
      <c r="P380" s="13" t="str">
        <f t="shared" si="53"/>
        <v>NO</v>
      </c>
      <c r="Q380" s="23">
        <f t="shared" si="54"/>
        <v>0</v>
      </c>
      <c r="R380" s="12">
        <f t="shared" si="54"/>
        <v>0</v>
      </c>
    </row>
    <row r="381" spans="2:18">
      <c r="B381" t="str">
        <f t="shared" si="48"/>
        <v>ERVIN ROLANDO CHINCHILLA ZAMORA46279</v>
      </c>
      <c r="C381" t="s">
        <v>221</v>
      </c>
      <c r="D381" s="121">
        <v>46279</v>
      </c>
      <c r="E381" t="s">
        <v>98</v>
      </c>
      <c r="F381" t="s">
        <v>72</v>
      </c>
      <c r="G381" s="122">
        <v>0</v>
      </c>
      <c r="H381" s="122">
        <v>0</v>
      </c>
      <c r="I381" s="112">
        <v>0</v>
      </c>
      <c r="J381" s="112">
        <v>0</v>
      </c>
      <c r="K381" s="23">
        <f t="shared" si="49"/>
        <v>0</v>
      </c>
      <c r="L381" s="23">
        <f t="shared" si="50"/>
        <v>0</v>
      </c>
      <c r="M381" s="12">
        <f t="shared" si="55"/>
        <v>0</v>
      </c>
      <c r="N381" s="23">
        <f t="shared" si="51"/>
        <v>0</v>
      </c>
      <c r="O381" s="41">
        <f t="shared" si="52"/>
        <v>0</v>
      </c>
      <c r="P381" s="13" t="str">
        <f t="shared" si="53"/>
        <v>NO</v>
      </c>
      <c r="Q381" s="23">
        <f t="shared" si="54"/>
        <v>0</v>
      </c>
      <c r="R381" s="12">
        <f t="shared" si="54"/>
        <v>0</v>
      </c>
    </row>
    <row r="382" spans="2:18">
      <c r="B382" t="str">
        <f t="shared" si="48"/>
        <v>ERVIN ROLANDO CHINCHILLA ZAMORA46280</v>
      </c>
      <c r="C382" t="s">
        <v>221</v>
      </c>
      <c r="D382" s="121">
        <v>46280</v>
      </c>
      <c r="E382" t="s">
        <v>99</v>
      </c>
      <c r="F382" t="s">
        <v>35</v>
      </c>
      <c r="G382" s="122">
        <v>0.33333333333333298</v>
      </c>
      <c r="H382" s="122">
        <v>0.70833333333333304</v>
      </c>
      <c r="I382" s="112">
        <v>0</v>
      </c>
      <c r="J382" s="112">
        <v>0</v>
      </c>
      <c r="K382" s="23">
        <f t="shared" si="49"/>
        <v>0.33333333333333298</v>
      </c>
      <c r="L382" s="23">
        <f t="shared" si="50"/>
        <v>0</v>
      </c>
      <c r="M382" s="12">
        <f t="shared" si="55"/>
        <v>0.33333333333333298</v>
      </c>
      <c r="N382" s="23">
        <f t="shared" si="51"/>
        <v>0.70833333333333304</v>
      </c>
      <c r="O382" s="41">
        <f t="shared" si="52"/>
        <v>0</v>
      </c>
      <c r="P382" s="13" t="str">
        <f t="shared" si="53"/>
        <v>SI</v>
      </c>
      <c r="Q382" s="23">
        <f t="shared" si="54"/>
        <v>0.33333333333333298</v>
      </c>
      <c r="R382" s="12">
        <f t="shared" si="54"/>
        <v>0.70833333333333304</v>
      </c>
    </row>
    <row r="383" spans="2:18">
      <c r="B383" t="str">
        <f t="shared" si="48"/>
        <v>ERVIN ROLANDO CHINCHILLA ZAMORA46281</v>
      </c>
      <c r="C383" t="s">
        <v>221</v>
      </c>
      <c r="D383" s="121">
        <v>46281</v>
      </c>
      <c r="E383" t="s">
        <v>100</v>
      </c>
      <c r="F383" t="s">
        <v>35</v>
      </c>
      <c r="G383" s="122">
        <v>0.25</v>
      </c>
      <c r="H383" s="122">
        <v>0.75</v>
      </c>
      <c r="I383" s="112">
        <v>0</v>
      </c>
      <c r="J383" s="112">
        <v>0</v>
      </c>
      <c r="K383" s="23">
        <f t="shared" si="49"/>
        <v>0.25</v>
      </c>
      <c r="L383" s="23">
        <f t="shared" si="50"/>
        <v>0</v>
      </c>
      <c r="M383" s="12">
        <f t="shared" si="55"/>
        <v>0.25</v>
      </c>
      <c r="N383" s="23">
        <f t="shared" si="51"/>
        <v>0.75</v>
      </c>
      <c r="O383" s="41">
        <f t="shared" si="52"/>
        <v>0</v>
      </c>
      <c r="P383" s="13" t="str">
        <f t="shared" si="53"/>
        <v>SI</v>
      </c>
      <c r="Q383" s="23">
        <f t="shared" si="54"/>
        <v>0.25</v>
      </c>
      <c r="R383" s="12">
        <f t="shared" si="54"/>
        <v>0.75</v>
      </c>
    </row>
    <row r="384" spans="2:18">
      <c r="B384" t="str">
        <f t="shared" si="48"/>
        <v>ERVIN ROLANDO CHINCHILLA ZAMORA46282</v>
      </c>
      <c r="C384" t="s">
        <v>221</v>
      </c>
      <c r="D384" s="121">
        <v>46282</v>
      </c>
      <c r="E384" t="s">
        <v>101</v>
      </c>
      <c r="F384" t="s">
        <v>35</v>
      </c>
      <c r="G384" s="122">
        <v>0.25</v>
      </c>
      <c r="H384" s="122">
        <v>0.75</v>
      </c>
      <c r="I384" s="112">
        <v>0</v>
      </c>
      <c r="J384" s="112">
        <v>0</v>
      </c>
      <c r="K384" s="23">
        <f t="shared" si="49"/>
        <v>0.25</v>
      </c>
      <c r="L384" s="23">
        <f t="shared" si="50"/>
        <v>0</v>
      </c>
      <c r="M384" s="12">
        <f t="shared" si="55"/>
        <v>0.25</v>
      </c>
      <c r="N384" s="23">
        <f t="shared" si="51"/>
        <v>0.75</v>
      </c>
      <c r="O384" s="41">
        <f t="shared" si="52"/>
        <v>0</v>
      </c>
      <c r="P384" s="13" t="str">
        <f t="shared" si="53"/>
        <v>SI</v>
      </c>
      <c r="Q384" s="23">
        <f t="shared" si="54"/>
        <v>0.25</v>
      </c>
      <c r="R384" s="12">
        <f t="shared" si="54"/>
        <v>0.75</v>
      </c>
    </row>
    <row r="385" spans="2:18">
      <c r="B385" t="str">
        <f t="shared" si="48"/>
        <v>ERVIN ROLANDO CHINCHILLA ZAMORA46283</v>
      </c>
      <c r="C385" t="s">
        <v>221</v>
      </c>
      <c r="D385" s="121">
        <v>46283</v>
      </c>
      <c r="E385" t="s">
        <v>95</v>
      </c>
      <c r="F385" t="s">
        <v>35</v>
      </c>
      <c r="G385" s="122">
        <v>0.25</v>
      </c>
      <c r="H385" s="122">
        <v>0.75</v>
      </c>
      <c r="I385" s="112">
        <v>0</v>
      </c>
      <c r="J385" s="112">
        <v>0</v>
      </c>
      <c r="K385" s="23">
        <f t="shared" si="49"/>
        <v>0.25</v>
      </c>
      <c r="L385" s="23">
        <f t="shared" si="50"/>
        <v>0</v>
      </c>
      <c r="M385" s="12">
        <f t="shared" si="55"/>
        <v>0.25</v>
      </c>
      <c r="N385" s="23">
        <f t="shared" si="51"/>
        <v>0.75</v>
      </c>
      <c r="O385" s="41">
        <f t="shared" si="52"/>
        <v>0</v>
      </c>
      <c r="P385" s="13" t="str">
        <f t="shared" si="53"/>
        <v>SI</v>
      </c>
      <c r="Q385" s="23">
        <f t="shared" si="54"/>
        <v>0.25</v>
      </c>
      <c r="R385" s="12">
        <f t="shared" si="54"/>
        <v>0.75</v>
      </c>
    </row>
    <row r="386" spans="2:18">
      <c r="B386" t="str">
        <f t="shared" si="48"/>
        <v>ERVIN ROLANDO CHINCHILLA ZAMORA46284</v>
      </c>
      <c r="C386" t="s">
        <v>221</v>
      </c>
      <c r="D386" s="121">
        <v>46284</v>
      </c>
      <c r="E386" t="s">
        <v>96</v>
      </c>
      <c r="F386" t="s">
        <v>35</v>
      </c>
      <c r="G386" s="122">
        <v>0.25</v>
      </c>
      <c r="H386" s="122">
        <v>0.58333333333333304</v>
      </c>
      <c r="I386" s="112">
        <v>0</v>
      </c>
      <c r="J386" s="112">
        <v>0</v>
      </c>
      <c r="K386" s="23">
        <f t="shared" si="49"/>
        <v>0.25</v>
      </c>
      <c r="L386" s="23">
        <f t="shared" si="50"/>
        <v>0</v>
      </c>
      <c r="M386" s="12">
        <f t="shared" si="55"/>
        <v>0.25</v>
      </c>
      <c r="N386" s="23">
        <f t="shared" si="51"/>
        <v>0.58333333333333304</v>
      </c>
      <c r="O386" s="41">
        <f t="shared" si="52"/>
        <v>0</v>
      </c>
      <c r="P386" s="13" t="str">
        <f t="shared" si="53"/>
        <v>SI</v>
      </c>
      <c r="Q386" s="23">
        <f t="shared" si="54"/>
        <v>0.25</v>
      </c>
      <c r="R386" s="12">
        <f t="shared" si="54"/>
        <v>0.58333333333333304</v>
      </c>
    </row>
    <row r="387" spans="2:18">
      <c r="B387" t="str">
        <f t="shared" si="48"/>
        <v>ERVIN ROLANDO CHINCHILLA ZAMORA46285</v>
      </c>
      <c r="C387" t="s">
        <v>221</v>
      </c>
      <c r="D387" s="121">
        <v>46285</v>
      </c>
      <c r="E387" t="s">
        <v>97</v>
      </c>
      <c r="F387" t="s">
        <v>72</v>
      </c>
      <c r="G387" s="122">
        <v>0</v>
      </c>
      <c r="H387" s="122">
        <v>0</v>
      </c>
      <c r="I387" s="112">
        <v>0</v>
      </c>
      <c r="J387" s="112">
        <v>0</v>
      </c>
      <c r="K387" s="23">
        <f t="shared" si="49"/>
        <v>0</v>
      </c>
      <c r="L387" s="23">
        <f t="shared" si="50"/>
        <v>0</v>
      </c>
      <c r="M387" s="12">
        <f t="shared" si="55"/>
        <v>0</v>
      </c>
      <c r="N387" s="23">
        <f t="shared" si="51"/>
        <v>0</v>
      </c>
      <c r="O387" s="41">
        <f t="shared" si="52"/>
        <v>0</v>
      </c>
      <c r="P387" s="13" t="str">
        <f t="shared" si="53"/>
        <v>NO</v>
      </c>
      <c r="Q387" s="23">
        <f t="shared" si="54"/>
        <v>0</v>
      </c>
      <c r="R387" s="12">
        <f t="shared" si="54"/>
        <v>0</v>
      </c>
    </row>
    <row r="388" spans="2:18">
      <c r="B388" t="str">
        <f t="shared" si="48"/>
        <v>ERVIN ROLANDO CHINCHILLA ZAMORA46286</v>
      </c>
      <c r="C388" t="s">
        <v>221</v>
      </c>
      <c r="D388" s="121">
        <v>46286</v>
      </c>
      <c r="E388" t="s">
        <v>98</v>
      </c>
      <c r="F388" t="s">
        <v>36</v>
      </c>
      <c r="G388" s="122">
        <v>0.75</v>
      </c>
      <c r="H388" s="122">
        <v>0.25</v>
      </c>
      <c r="I388" s="112">
        <v>0</v>
      </c>
      <c r="J388" s="112">
        <v>0</v>
      </c>
      <c r="K388" s="23">
        <f t="shared" si="49"/>
        <v>0.75</v>
      </c>
      <c r="L388" s="23">
        <f t="shared" si="50"/>
        <v>0</v>
      </c>
      <c r="M388" s="12">
        <f t="shared" si="55"/>
        <v>0.75</v>
      </c>
      <c r="N388" s="23">
        <f t="shared" si="51"/>
        <v>0.25</v>
      </c>
      <c r="O388" s="41">
        <f t="shared" si="52"/>
        <v>0</v>
      </c>
      <c r="P388" s="13" t="str">
        <f t="shared" si="53"/>
        <v>SI</v>
      </c>
      <c r="Q388" s="23">
        <f t="shared" si="54"/>
        <v>0.75</v>
      </c>
      <c r="R388" s="12">
        <f t="shared" si="54"/>
        <v>0.25</v>
      </c>
    </row>
    <row r="389" spans="2:18">
      <c r="B389" t="str">
        <f t="shared" si="48"/>
        <v>ERVIN ROLANDO CHINCHILLA ZAMORA46287</v>
      </c>
      <c r="C389" t="s">
        <v>221</v>
      </c>
      <c r="D389" s="121">
        <v>46287</v>
      </c>
      <c r="E389" t="s">
        <v>99</v>
      </c>
      <c r="F389" t="s">
        <v>36</v>
      </c>
      <c r="G389" s="122">
        <v>0.75</v>
      </c>
      <c r="H389" s="122">
        <v>0.25</v>
      </c>
      <c r="I389" s="112">
        <v>0</v>
      </c>
      <c r="J389" s="112">
        <v>0</v>
      </c>
      <c r="K389" s="23">
        <f t="shared" si="49"/>
        <v>0.75</v>
      </c>
      <c r="L389" s="23">
        <f t="shared" si="50"/>
        <v>0</v>
      </c>
      <c r="M389" s="12">
        <f t="shared" si="55"/>
        <v>0.75</v>
      </c>
      <c r="N389" s="23">
        <f t="shared" si="51"/>
        <v>0.25</v>
      </c>
      <c r="O389" s="41">
        <f t="shared" si="52"/>
        <v>0</v>
      </c>
      <c r="P389" s="13" t="str">
        <f t="shared" si="53"/>
        <v>SI</v>
      </c>
      <c r="Q389" s="23">
        <f t="shared" si="54"/>
        <v>0.75</v>
      </c>
      <c r="R389" s="12">
        <f t="shared" si="54"/>
        <v>0.25</v>
      </c>
    </row>
    <row r="390" spans="2:18">
      <c r="B390" t="str">
        <f t="shared" si="48"/>
        <v>ERVIN ROLANDO CHINCHILLA ZAMORA46288</v>
      </c>
      <c r="C390" t="s">
        <v>221</v>
      </c>
      <c r="D390" s="121">
        <v>46288</v>
      </c>
      <c r="E390" t="s">
        <v>100</v>
      </c>
      <c r="F390" t="s">
        <v>36</v>
      </c>
      <c r="G390" s="122">
        <v>0.75</v>
      </c>
      <c r="H390" s="122">
        <v>0.25</v>
      </c>
      <c r="I390" s="112">
        <v>0</v>
      </c>
      <c r="J390" s="112">
        <v>0</v>
      </c>
      <c r="K390" s="23">
        <f t="shared" si="49"/>
        <v>0.75</v>
      </c>
      <c r="L390" s="23">
        <f t="shared" si="50"/>
        <v>0</v>
      </c>
      <c r="M390" s="12">
        <f t="shared" si="55"/>
        <v>0.75</v>
      </c>
      <c r="N390" s="23">
        <f t="shared" si="51"/>
        <v>0.25</v>
      </c>
      <c r="O390" s="41">
        <f t="shared" si="52"/>
        <v>0</v>
      </c>
      <c r="P390" s="13" t="str">
        <f t="shared" si="53"/>
        <v>SI</v>
      </c>
      <c r="Q390" s="23">
        <f t="shared" si="54"/>
        <v>0.75</v>
      </c>
      <c r="R390" s="12">
        <f t="shared" si="54"/>
        <v>0.25</v>
      </c>
    </row>
    <row r="391" spans="2:18">
      <c r="B391" t="str">
        <f t="shared" si="48"/>
        <v>ERVIN ROLANDO CHINCHILLA ZAMORA46289</v>
      </c>
      <c r="C391" t="s">
        <v>221</v>
      </c>
      <c r="D391" s="121">
        <v>46289</v>
      </c>
      <c r="E391" t="s">
        <v>101</v>
      </c>
      <c r="F391" t="s">
        <v>36</v>
      </c>
      <c r="G391" s="122">
        <v>0.75</v>
      </c>
      <c r="H391" s="122">
        <v>0.25</v>
      </c>
      <c r="I391" s="112">
        <v>0</v>
      </c>
      <c r="J391" s="112">
        <v>0</v>
      </c>
      <c r="K391" s="23">
        <f t="shared" si="49"/>
        <v>0.75</v>
      </c>
      <c r="L391" s="23">
        <f t="shared" si="50"/>
        <v>0</v>
      </c>
      <c r="M391" s="12">
        <f t="shared" si="55"/>
        <v>0.75</v>
      </c>
      <c r="N391" s="23">
        <f t="shared" si="51"/>
        <v>0.25</v>
      </c>
      <c r="O391" s="41">
        <f t="shared" si="52"/>
        <v>0</v>
      </c>
      <c r="P391" s="13" t="str">
        <f t="shared" si="53"/>
        <v>SI</v>
      </c>
      <c r="Q391" s="23">
        <f t="shared" si="54"/>
        <v>0.75</v>
      </c>
      <c r="R391" s="12">
        <f t="shared" si="54"/>
        <v>0.25</v>
      </c>
    </row>
    <row r="392" spans="2:18">
      <c r="B392" t="str">
        <f t="shared" si="48"/>
        <v>ERVIN ROLANDO CHINCHILLA ZAMORA46290</v>
      </c>
      <c r="C392" t="s">
        <v>221</v>
      </c>
      <c r="D392" s="121">
        <v>46290</v>
      </c>
      <c r="E392" t="s">
        <v>95</v>
      </c>
      <c r="F392" t="s">
        <v>36</v>
      </c>
      <c r="G392" s="122">
        <v>0.75</v>
      </c>
      <c r="H392" s="122">
        <v>0.25</v>
      </c>
      <c r="I392" s="112">
        <v>0</v>
      </c>
      <c r="J392" s="112">
        <v>0</v>
      </c>
      <c r="K392" s="23">
        <f t="shared" si="49"/>
        <v>0.75</v>
      </c>
      <c r="L392" s="23">
        <f t="shared" si="50"/>
        <v>0</v>
      </c>
      <c r="M392" s="12">
        <f t="shared" si="55"/>
        <v>0.75</v>
      </c>
      <c r="N392" s="23">
        <f t="shared" si="51"/>
        <v>0.25</v>
      </c>
      <c r="O392" s="41">
        <f t="shared" si="52"/>
        <v>0</v>
      </c>
      <c r="P392" s="13" t="str">
        <f t="shared" si="53"/>
        <v>SI</v>
      </c>
      <c r="Q392" s="23">
        <f t="shared" si="54"/>
        <v>0.75</v>
      </c>
      <c r="R392" s="12">
        <f t="shared" si="54"/>
        <v>0.25</v>
      </c>
    </row>
    <row r="393" spans="2:18">
      <c r="B393" t="str">
        <f t="shared" si="48"/>
        <v>ERVIN ROLANDO CHINCHILLA ZAMORA46291</v>
      </c>
      <c r="C393" t="s">
        <v>221</v>
      </c>
      <c r="D393" s="121">
        <v>46291</v>
      </c>
      <c r="E393" t="s">
        <v>96</v>
      </c>
      <c r="F393" t="s">
        <v>72</v>
      </c>
      <c r="G393" s="122">
        <v>0</v>
      </c>
      <c r="H393" s="122">
        <v>0</v>
      </c>
      <c r="I393" s="112">
        <v>0</v>
      </c>
      <c r="J393" s="112">
        <v>0</v>
      </c>
      <c r="K393" s="23">
        <f t="shared" si="49"/>
        <v>0</v>
      </c>
      <c r="L393" s="23">
        <f t="shared" si="50"/>
        <v>0</v>
      </c>
      <c r="M393" s="12">
        <f t="shared" si="55"/>
        <v>0</v>
      </c>
      <c r="N393" s="23">
        <f t="shared" si="51"/>
        <v>0</v>
      </c>
      <c r="O393" s="41">
        <f t="shared" si="52"/>
        <v>0</v>
      </c>
      <c r="P393" s="13" t="str">
        <f t="shared" si="53"/>
        <v>NO</v>
      </c>
      <c r="Q393" s="23">
        <f t="shared" si="54"/>
        <v>0</v>
      </c>
      <c r="R393" s="12">
        <f t="shared" si="54"/>
        <v>0</v>
      </c>
    </row>
    <row r="394" spans="2:18">
      <c r="B394" t="str">
        <f t="shared" si="48"/>
        <v>ERVIN ROLANDO CHINCHILLA ZAMORA46292</v>
      </c>
      <c r="C394" t="s">
        <v>221</v>
      </c>
      <c r="D394" s="121">
        <v>46292</v>
      </c>
      <c r="E394" t="s">
        <v>97</v>
      </c>
      <c r="F394" t="s">
        <v>72</v>
      </c>
      <c r="G394" s="122">
        <v>0</v>
      </c>
      <c r="H394" s="122">
        <v>0</v>
      </c>
      <c r="I394" s="112">
        <v>0</v>
      </c>
      <c r="J394" s="112">
        <v>0</v>
      </c>
      <c r="K394" s="23">
        <f t="shared" si="49"/>
        <v>0</v>
      </c>
      <c r="L394" s="23">
        <f t="shared" si="50"/>
        <v>0</v>
      </c>
      <c r="M394" s="12">
        <f t="shared" si="55"/>
        <v>0</v>
      </c>
      <c r="N394" s="23">
        <f t="shared" si="51"/>
        <v>0</v>
      </c>
      <c r="O394" s="41">
        <f t="shared" si="52"/>
        <v>0</v>
      </c>
      <c r="P394" s="13" t="str">
        <f t="shared" si="53"/>
        <v>NO</v>
      </c>
      <c r="Q394" s="23">
        <f t="shared" si="54"/>
        <v>0</v>
      </c>
      <c r="R394" s="12">
        <f t="shared" si="54"/>
        <v>0</v>
      </c>
    </row>
    <row r="395" spans="2:18">
      <c r="B395" t="str">
        <f t="shared" si="48"/>
        <v>ERVIN ROLANDO CHINCHILLA ZAMORA46293</v>
      </c>
      <c r="C395" t="s">
        <v>221</v>
      </c>
      <c r="D395" s="121">
        <v>46293</v>
      </c>
      <c r="E395" t="s">
        <v>98</v>
      </c>
      <c r="F395" t="s">
        <v>35</v>
      </c>
      <c r="G395" s="122">
        <v>0.25</v>
      </c>
      <c r="H395" s="122">
        <v>0.75</v>
      </c>
      <c r="I395" s="112">
        <v>0</v>
      </c>
      <c r="J395" s="112">
        <v>0</v>
      </c>
      <c r="K395" s="23">
        <f t="shared" si="49"/>
        <v>0.25</v>
      </c>
      <c r="L395" s="23">
        <f t="shared" si="50"/>
        <v>0</v>
      </c>
      <c r="M395" s="12">
        <f t="shared" si="55"/>
        <v>0.25</v>
      </c>
      <c r="N395" s="23">
        <f t="shared" si="51"/>
        <v>0.75</v>
      </c>
      <c r="O395" s="41">
        <f t="shared" si="52"/>
        <v>0</v>
      </c>
      <c r="P395" s="13" t="str">
        <f t="shared" si="53"/>
        <v>SI</v>
      </c>
      <c r="Q395" s="23">
        <f t="shared" si="54"/>
        <v>0.25</v>
      </c>
      <c r="R395" s="12">
        <f t="shared" si="54"/>
        <v>0.75</v>
      </c>
    </row>
    <row r="396" spans="2:18">
      <c r="B396" t="str">
        <f t="shared" si="48"/>
        <v>ERVIN ROLANDO CHINCHILLA ZAMORA46294</v>
      </c>
      <c r="C396" t="s">
        <v>221</v>
      </c>
      <c r="D396" s="121">
        <v>46294</v>
      </c>
      <c r="E396" t="s">
        <v>99</v>
      </c>
      <c r="F396" t="s">
        <v>35</v>
      </c>
      <c r="G396" s="122">
        <v>0.25</v>
      </c>
      <c r="H396" s="122">
        <v>0.75</v>
      </c>
      <c r="I396" s="112">
        <v>0</v>
      </c>
      <c r="J396" s="112">
        <v>0</v>
      </c>
      <c r="K396" s="23">
        <f t="shared" si="49"/>
        <v>0.25</v>
      </c>
      <c r="L396" s="23">
        <f t="shared" si="50"/>
        <v>0</v>
      </c>
      <c r="M396" s="12">
        <f t="shared" si="55"/>
        <v>0.25</v>
      </c>
      <c r="N396" s="23">
        <f t="shared" si="51"/>
        <v>0.75</v>
      </c>
      <c r="O396" s="41">
        <f t="shared" si="52"/>
        <v>0</v>
      </c>
      <c r="P396" s="13" t="str">
        <f t="shared" si="53"/>
        <v>SI</v>
      </c>
      <c r="Q396" s="23">
        <f t="shared" si="54"/>
        <v>0.25</v>
      </c>
      <c r="R396" s="12">
        <f t="shared" si="54"/>
        <v>0.75</v>
      </c>
    </row>
    <row r="397" spans="2:18">
      <c r="B397" t="str">
        <f t="shared" si="48"/>
        <v>ERVIN ROLANDO CHINCHILLA ZAMORA46295</v>
      </c>
      <c r="C397" t="s">
        <v>221</v>
      </c>
      <c r="D397" s="121">
        <v>46295</v>
      </c>
      <c r="E397" t="s">
        <v>100</v>
      </c>
      <c r="F397" t="s">
        <v>35</v>
      </c>
      <c r="G397" s="122">
        <v>0.25</v>
      </c>
      <c r="H397" s="122">
        <v>0.75</v>
      </c>
      <c r="I397" s="112">
        <v>0</v>
      </c>
      <c r="J397" s="112">
        <v>0</v>
      </c>
      <c r="K397" s="23">
        <f t="shared" si="49"/>
        <v>0.25</v>
      </c>
      <c r="L397" s="23">
        <f t="shared" si="50"/>
        <v>0</v>
      </c>
      <c r="M397" s="12">
        <f t="shared" si="55"/>
        <v>0.25</v>
      </c>
      <c r="N397" s="23">
        <f t="shared" si="51"/>
        <v>0.75</v>
      </c>
      <c r="O397" s="41">
        <f t="shared" si="52"/>
        <v>0</v>
      </c>
      <c r="P397" s="13" t="str">
        <f t="shared" si="53"/>
        <v>SI</v>
      </c>
      <c r="Q397" s="23">
        <f t="shared" si="54"/>
        <v>0.25</v>
      </c>
      <c r="R397" s="12">
        <f t="shared" si="54"/>
        <v>0.75</v>
      </c>
    </row>
    <row r="398" spans="2:18">
      <c r="B398" t="str">
        <f t="shared" si="48"/>
        <v>ERVIN ROLANDO CHINCHILLA ZAMORA46296</v>
      </c>
      <c r="C398" t="s">
        <v>221</v>
      </c>
      <c r="D398" s="121">
        <v>46296</v>
      </c>
      <c r="E398" t="s">
        <v>101</v>
      </c>
      <c r="F398" t="s">
        <v>35</v>
      </c>
      <c r="G398" s="122">
        <v>0.25</v>
      </c>
      <c r="H398" s="122">
        <v>0.75</v>
      </c>
      <c r="I398" s="112">
        <v>0</v>
      </c>
      <c r="J398" s="112">
        <v>0</v>
      </c>
      <c r="K398" s="23">
        <f t="shared" si="49"/>
        <v>0.25</v>
      </c>
      <c r="L398" s="23">
        <f t="shared" si="50"/>
        <v>0</v>
      </c>
      <c r="M398" s="12">
        <f t="shared" si="55"/>
        <v>0.25</v>
      </c>
      <c r="N398" s="23">
        <f t="shared" si="51"/>
        <v>0.75</v>
      </c>
      <c r="O398" s="41">
        <f t="shared" si="52"/>
        <v>0</v>
      </c>
      <c r="P398" s="13" t="str">
        <f t="shared" si="53"/>
        <v>SI</v>
      </c>
      <c r="Q398" s="23">
        <f t="shared" si="54"/>
        <v>0.25</v>
      </c>
      <c r="R398" s="12">
        <f t="shared" si="54"/>
        <v>0.75</v>
      </c>
    </row>
    <row r="399" spans="2:18">
      <c r="B399" t="str">
        <f t="shared" si="48"/>
        <v>ERVIN ROLANDO CHINCHILLA ZAMORA46297</v>
      </c>
      <c r="C399" t="s">
        <v>221</v>
      </c>
      <c r="D399" s="121">
        <v>46297</v>
      </c>
      <c r="E399" t="s">
        <v>95</v>
      </c>
      <c r="F399" t="s">
        <v>35</v>
      </c>
      <c r="G399" s="122">
        <v>0.25</v>
      </c>
      <c r="H399" s="122">
        <v>0.75</v>
      </c>
      <c r="I399" s="112">
        <v>0</v>
      </c>
      <c r="J399" s="112">
        <v>0</v>
      </c>
      <c r="K399" s="23">
        <f t="shared" si="49"/>
        <v>0.25</v>
      </c>
      <c r="L399" s="23">
        <f t="shared" si="50"/>
        <v>0</v>
      </c>
      <c r="M399" s="12">
        <f t="shared" si="55"/>
        <v>0.25</v>
      </c>
      <c r="N399" s="23">
        <f t="shared" si="51"/>
        <v>0.75</v>
      </c>
      <c r="O399" s="41">
        <f t="shared" si="52"/>
        <v>0</v>
      </c>
      <c r="P399" s="13" t="str">
        <f t="shared" si="53"/>
        <v>SI</v>
      </c>
      <c r="Q399" s="23">
        <f t="shared" si="54"/>
        <v>0.25</v>
      </c>
      <c r="R399" s="12">
        <f t="shared" si="54"/>
        <v>0.75</v>
      </c>
    </row>
    <row r="400" spans="2:18">
      <c r="B400" t="str">
        <f t="shared" si="48"/>
        <v>ERVIN ROLANDO CHINCHILLA ZAMORA46298</v>
      </c>
      <c r="C400" t="s">
        <v>221</v>
      </c>
      <c r="D400" s="121">
        <v>46298</v>
      </c>
      <c r="E400" t="s">
        <v>96</v>
      </c>
      <c r="F400" t="s">
        <v>35</v>
      </c>
      <c r="G400" s="122">
        <v>0.25</v>
      </c>
      <c r="H400" s="122">
        <v>0.58333333333333304</v>
      </c>
      <c r="I400" s="112">
        <v>0</v>
      </c>
      <c r="J400" s="112">
        <v>0</v>
      </c>
      <c r="K400" s="23">
        <f t="shared" si="49"/>
        <v>0.25</v>
      </c>
      <c r="L400" s="23">
        <f t="shared" si="50"/>
        <v>0</v>
      </c>
      <c r="M400" s="12">
        <f t="shared" si="55"/>
        <v>0.25</v>
      </c>
      <c r="N400" s="23">
        <f t="shared" si="51"/>
        <v>0.58333333333333304</v>
      </c>
      <c r="O400" s="41">
        <f t="shared" si="52"/>
        <v>0</v>
      </c>
      <c r="P400" s="13" t="str">
        <f t="shared" si="53"/>
        <v>SI</v>
      </c>
      <c r="Q400" s="23">
        <f t="shared" si="54"/>
        <v>0.25</v>
      </c>
      <c r="R400" s="12">
        <f t="shared" si="54"/>
        <v>0.58333333333333304</v>
      </c>
    </row>
    <row r="401" spans="2:18">
      <c r="B401" t="str">
        <f t="shared" si="48"/>
        <v>ERVIN ROLANDO CHINCHILLA ZAMORA46299</v>
      </c>
      <c r="C401" t="s">
        <v>221</v>
      </c>
      <c r="D401" s="121">
        <v>46299</v>
      </c>
      <c r="E401" t="s">
        <v>97</v>
      </c>
      <c r="F401" t="s">
        <v>72</v>
      </c>
      <c r="G401" s="122">
        <v>0</v>
      </c>
      <c r="H401" s="122">
        <v>0</v>
      </c>
      <c r="I401" s="112">
        <v>0</v>
      </c>
      <c r="J401" s="112">
        <v>0</v>
      </c>
      <c r="K401" s="23">
        <f t="shared" si="49"/>
        <v>0</v>
      </c>
      <c r="L401" s="23">
        <f t="shared" si="50"/>
        <v>0</v>
      </c>
      <c r="M401" s="12">
        <f t="shared" si="55"/>
        <v>0</v>
      </c>
      <c r="N401" s="23">
        <f t="shared" si="51"/>
        <v>0</v>
      </c>
      <c r="O401" s="41">
        <f t="shared" si="52"/>
        <v>0</v>
      </c>
      <c r="P401" s="13" t="str">
        <f t="shared" si="53"/>
        <v>NO</v>
      </c>
      <c r="Q401" s="23">
        <f t="shared" si="54"/>
        <v>0</v>
      </c>
      <c r="R401" s="12">
        <f t="shared" si="54"/>
        <v>0</v>
      </c>
    </row>
    <row r="402" spans="2:18">
      <c r="B402" t="str">
        <f t="shared" si="48"/>
        <v>ESWIN ESTUARDO ORTEGA LIMA46279</v>
      </c>
      <c r="C402" t="s">
        <v>12</v>
      </c>
      <c r="D402" s="121">
        <v>46279</v>
      </c>
      <c r="E402" t="s">
        <v>98</v>
      </c>
      <c r="F402" t="s">
        <v>72</v>
      </c>
      <c r="G402" s="122">
        <v>0</v>
      </c>
      <c r="H402" s="122">
        <v>0</v>
      </c>
      <c r="I402" s="112">
        <v>0</v>
      </c>
      <c r="J402" s="112">
        <v>0</v>
      </c>
      <c r="K402" s="23">
        <f t="shared" si="49"/>
        <v>0</v>
      </c>
      <c r="L402" s="23">
        <f t="shared" si="50"/>
        <v>0</v>
      </c>
      <c r="M402" s="12">
        <f t="shared" si="55"/>
        <v>0</v>
      </c>
      <c r="N402" s="23">
        <f t="shared" si="51"/>
        <v>0</v>
      </c>
      <c r="O402" s="41">
        <f t="shared" si="52"/>
        <v>0</v>
      </c>
      <c r="P402" s="13" t="str">
        <f t="shared" si="53"/>
        <v>NO</v>
      </c>
      <c r="Q402" s="23">
        <f t="shared" si="54"/>
        <v>0</v>
      </c>
      <c r="R402" s="12">
        <f t="shared" si="54"/>
        <v>0</v>
      </c>
    </row>
    <row r="403" spans="2:18">
      <c r="B403" t="str">
        <f t="shared" si="48"/>
        <v>ESWIN ESTUARDO ORTEGA LIMA46280</v>
      </c>
      <c r="C403" t="s">
        <v>12</v>
      </c>
      <c r="D403" s="121">
        <v>46280</v>
      </c>
      <c r="E403" t="s">
        <v>99</v>
      </c>
      <c r="F403" t="s">
        <v>35</v>
      </c>
      <c r="G403" s="122">
        <v>0.33333333333333298</v>
      </c>
      <c r="H403" s="122">
        <v>0.70833333333333304</v>
      </c>
      <c r="I403" s="112">
        <v>0</v>
      </c>
      <c r="J403" s="112">
        <v>0</v>
      </c>
      <c r="K403" s="23">
        <f t="shared" si="49"/>
        <v>0.33333333333333298</v>
      </c>
      <c r="L403" s="23">
        <f t="shared" si="50"/>
        <v>0</v>
      </c>
      <c r="M403" s="12">
        <f t="shared" si="55"/>
        <v>0.33333333333333298</v>
      </c>
      <c r="N403" s="23">
        <f t="shared" si="51"/>
        <v>0.70833333333333304</v>
      </c>
      <c r="O403" s="41">
        <f t="shared" si="52"/>
        <v>0</v>
      </c>
      <c r="P403" s="13" t="str">
        <f t="shared" si="53"/>
        <v>SI</v>
      </c>
      <c r="Q403" s="23">
        <f t="shared" si="54"/>
        <v>0.33333333333333298</v>
      </c>
      <c r="R403" s="12">
        <f t="shared" si="54"/>
        <v>0.70833333333333304</v>
      </c>
    </row>
    <row r="404" spans="2:18">
      <c r="B404" t="str">
        <f t="shared" si="48"/>
        <v>ESWIN ESTUARDO ORTEGA LIMA46281</v>
      </c>
      <c r="C404" t="s">
        <v>12</v>
      </c>
      <c r="D404" s="121">
        <v>46281</v>
      </c>
      <c r="E404" t="s">
        <v>100</v>
      </c>
      <c r="F404" t="s">
        <v>36</v>
      </c>
      <c r="G404" s="122">
        <v>0.75</v>
      </c>
      <c r="H404" s="122">
        <v>0.25</v>
      </c>
      <c r="I404" s="112">
        <v>0</v>
      </c>
      <c r="J404" s="112">
        <v>0</v>
      </c>
      <c r="K404" s="23">
        <f t="shared" si="49"/>
        <v>0.75</v>
      </c>
      <c r="L404" s="23">
        <f t="shared" si="50"/>
        <v>0</v>
      </c>
      <c r="M404" s="12">
        <f t="shared" si="55"/>
        <v>0.75</v>
      </c>
      <c r="N404" s="23">
        <f t="shared" si="51"/>
        <v>0.25</v>
      </c>
      <c r="O404" s="41">
        <f t="shared" si="52"/>
        <v>0</v>
      </c>
      <c r="P404" s="13" t="str">
        <f t="shared" si="53"/>
        <v>SI</v>
      </c>
      <c r="Q404" s="23">
        <f t="shared" si="54"/>
        <v>0.75</v>
      </c>
      <c r="R404" s="12">
        <f t="shared" si="54"/>
        <v>0.25</v>
      </c>
    </row>
    <row r="405" spans="2:18">
      <c r="B405" t="str">
        <f t="shared" si="48"/>
        <v>ESWIN ESTUARDO ORTEGA LIMA46282</v>
      </c>
      <c r="C405" t="s">
        <v>12</v>
      </c>
      <c r="D405" s="121">
        <v>46282</v>
      </c>
      <c r="E405" t="s">
        <v>101</v>
      </c>
      <c r="F405" t="s">
        <v>36</v>
      </c>
      <c r="G405" s="122">
        <v>0.75</v>
      </c>
      <c r="H405" s="122">
        <v>0.25</v>
      </c>
      <c r="I405" s="112">
        <v>0</v>
      </c>
      <c r="J405" s="112">
        <v>0</v>
      </c>
      <c r="K405" s="23">
        <f t="shared" si="49"/>
        <v>0.75</v>
      </c>
      <c r="L405" s="23">
        <f t="shared" si="50"/>
        <v>0</v>
      </c>
      <c r="M405" s="12">
        <f t="shared" si="55"/>
        <v>0.75</v>
      </c>
      <c r="N405" s="23">
        <f t="shared" si="51"/>
        <v>0.25</v>
      </c>
      <c r="O405" s="41">
        <f t="shared" si="52"/>
        <v>0</v>
      </c>
      <c r="P405" s="13" t="str">
        <f t="shared" si="53"/>
        <v>SI</v>
      </c>
      <c r="Q405" s="23">
        <f t="shared" si="54"/>
        <v>0.75</v>
      </c>
      <c r="R405" s="12">
        <f t="shared" si="54"/>
        <v>0.25</v>
      </c>
    </row>
    <row r="406" spans="2:18">
      <c r="B406" t="str">
        <f t="shared" si="48"/>
        <v>ESWIN ESTUARDO ORTEGA LIMA46283</v>
      </c>
      <c r="C406" t="s">
        <v>12</v>
      </c>
      <c r="D406" s="121">
        <v>46283</v>
      </c>
      <c r="E406" t="s">
        <v>95</v>
      </c>
      <c r="F406" t="s">
        <v>36</v>
      </c>
      <c r="G406" s="122">
        <v>0.75</v>
      </c>
      <c r="H406" s="122">
        <v>0.25</v>
      </c>
      <c r="I406" s="112">
        <v>0</v>
      </c>
      <c r="J406" s="112">
        <v>0</v>
      </c>
      <c r="K406" s="23">
        <f t="shared" si="49"/>
        <v>0.75</v>
      </c>
      <c r="L406" s="23">
        <f t="shared" si="50"/>
        <v>0</v>
      </c>
      <c r="M406" s="12">
        <f t="shared" si="55"/>
        <v>0.75</v>
      </c>
      <c r="N406" s="23">
        <f t="shared" si="51"/>
        <v>0.25</v>
      </c>
      <c r="O406" s="41">
        <f t="shared" si="52"/>
        <v>0</v>
      </c>
      <c r="P406" s="13" t="str">
        <f t="shared" si="53"/>
        <v>SI</v>
      </c>
      <c r="Q406" s="23">
        <f t="shared" si="54"/>
        <v>0.75</v>
      </c>
      <c r="R406" s="12">
        <f t="shared" si="54"/>
        <v>0.25</v>
      </c>
    </row>
    <row r="407" spans="2:18">
      <c r="B407" t="str">
        <f t="shared" si="48"/>
        <v>ESWIN ESTUARDO ORTEGA LIMA46284</v>
      </c>
      <c r="C407" t="s">
        <v>12</v>
      </c>
      <c r="D407" s="121">
        <v>46284</v>
      </c>
      <c r="E407" t="s">
        <v>96</v>
      </c>
      <c r="F407" t="s">
        <v>72</v>
      </c>
      <c r="G407" s="122">
        <v>0</v>
      </c>
      <c r="H407" s="122">
        <v>0</v>
      </c>
      <c r="I407" s="112">
        <v>0</v>
      </c>
      <c r="J407" s="112">
        <v>0</v>
      </c>
      <c r="K407" s="23">
        <f t="shared" si="49"/>
        <v>0</v>
      </c>
      <c r="L407" s="23">
        <f t="shared" si="50"/>
        <v>0</v>
      </c>
      <c r="M407" s="12">
        <f t="shared" si="55"/>
        <v>0</v>
      </c>
      <c r="N407" s="23">
        <f t="shared" si="51"/>
        <v>0</v>
      </c>
      <c r="O407" s="41">
        <f t="shared" si="52"/>
        <v>0</v>
      </c>
      <c r="P407" s="13" t="str">
        <f t="shared" si="53"/>
        <v>NO</v>
      </c>
      <c r="Q407" s="23">
        <f t="shared" si="54"/>
        <v>0</v>
      </c>
      <c r="R407" s="12">
        <f t="shared" si="54"/>
        <v>0</v>
      </c>
    </row>
    <row r="408" spans="2:18">
      <c r="B408" t="str">
        <f t="shared" si="48"/>
        <v>ESWIN ESTUARDO ORTEGA LIMA46285</v>
      </c>
      <c r="C408" t="s">
        <v>12</v>
      </c>
      <c r="D408" s="121">
        <v>46285</v>
      </c>
      <c r="E408" t="s">
        <v>97</v>
      </c>
      <c r="F408" t="s">
        <v>72</v>
      </c>
      <c r="G408" s="122">
        <v>0</v>
      </c>
      <c r="H408" s="122">
        <v>0</v>
      </c>
      <c r="I408" s="112">
        <v>0</v>
      </c>
      <c r="J408" s="112">
        <v>0</v>
      </c>
      <c r="K408" s="23">
        <f t="shared" si="49"/>
        <v>0</v>
      </c>
      <c r="L408" s="23">
        <f t="shared" si="50"/>
        <v>0</v>
      </c>
      <c r="M408" s="12">
        <f t="shared" si="55"/>
        <v>0</v>
      </c>
      <c r="N408" s="23">
        <f t="shared" si="51"/>
        <v>0</v>
      </c>
      <c r="O408" s="41">
        <f t="shared" si="52"/>
        <v>0</v>
      </c>
      <c r="P408" s="13" t="str">
        <f t="shared" si="53"/>
        <v>NO</v>
      </c>
      <c r="Q408" s="23">
        <f t="shared" si="54"/>
        <v>0</v>
      </c>
      <c r="R408" s="12">
        <f t="shared" si="54"/>
        <v>0</v>
      </c>
    </row>
    <row r="409" spans="2:18">
      <c r="B409" t="str">
        <f t="shared" si="48"/>
        <v>ESWIN ESTUARDO ORTEGA LIMA46286</v>
      </c>
      <c r="C409" t="s">
        <v>12</v>
      </c>
      <c r="D409" s="121">
        <v>46286</v>
      </c>
      <c r="E409" t="s">
        <v>98</v>
      </c>
      <c r="F409" t="s">
        <v>35</v>
      </c>
      <c r="G409" s="122">
        <v>0.25</v>
      </c>
      <c r="H409" s="122">
        <v>0.75</v>
      </c>
      <c r="I409" s="112">
        <v>0</v>
      </c>
      <c r="J409" s="112">
        <v>0</v>
      </c>
      <c r="K409" s="23">
        <f t="shared" si="49"/>
        <v>0.25</v>
      </c>
      <c r="L409" s="23">
        <f t="shared" si="50"/>
        <v>0</v>
      </c>
      <c r="M409" s="12">
        <f t="shared" si="55"/>
        <v>0.25</v>
      </c>
      <c r="N409" s="23">
        <f t="shared" si="51"/>
        <v>0.75</v>
      </c>
      <c r="O409" s="41">
        <f t="shared" si="52"/>
        <v>0</v>
      </c>
      <c r="P409" s="13" t="str">
        <f t="shared" si="53"/>
        <v>SI</v>
      </c>
      <c r="Q409" s="23">
        <f t="shared" si="54"/>
        <v>0.25</v>
      </c>
      <c r="R409" s="12">
        <f t="shared" si="54"/>
        <v>0.75</v>
      </c>
    </row>
    <row r="410" spans="2:18">
      <c r="B410" t="str">
        <f t="shared" si="48"/>
        <v>ESWIN ESTUARDO ORTEGA LIMA46287</v>
      </c>
      <c r="C410" t="s">
        <v>12</v>
      </c>
      <c r="D410" s="121">
        <v>46287</v>
      </c>
      <c r="E410" t="s">
        <v>99</v>
      </c>
      <c r="F410" t="s">
        <v>35</v>
      </c>
      <c r="G410" s="122">
        <v>0.25</v>
      </c>
      <c r="H410" s="122">
        <v>0.75</v>
      </c>
      <c r="I410" s="112">
        <v>0</v>
      </c>
      <c r="J410" s="112">
        <v>0</v>
      </c>
      <c r="K410" s="23">
        <f t="shared" si="49"/>
        <v>0.25</v>
      </c>
      <c r="L410" s="23">
        <f t="shared" si="50"/>
        <v>0</v>
      </c>
      <c r="M410" s="12">
        <f t="shared" si="55"/>
        <v>0.25</v>
      </c>
      <c r="N410" s="23">
        <f t="shared" si="51"/>
        <v>0.75</v>
      </c>
      <c r="O410" s="41">
        <f t="shared" si="52"/>
        <v>0</v>
      </c>
      <c r="P410" s="13" t="str">
        <f t="shared" si="53"/>
        <v>SI</v>
      </c>
      <c r="Q410" s="23">
        <f t="shared" si="54"/>
        <v>0.25</v>
      </c>
      <c r="R410" s="12">
        <f t="shared" si="54"/>
        <v>0.75</v>
      </c>
    </row>
    <row r="411" spans="2:18">
      <c r="B411" t="str">
        <f t="shared" si="48"/>
        <v>ESWIN ESTUARDO ORTEGA LIMA46288</v>
      </c>
      <c r="C411" t="s">
        <v>12</v>
      </c>
      <c r="D411" s="121">
        <v>46288</v>
      </c>
      <c r="E411" t="s">
        <v>100</v>
      </c>
      <c r="F411" t="s">
        <v>35</v>
      </c>
      <c r="G411" s="122">
        <v>0.25</v>
      </c>
      <c r="H411" s="122">
        <v>0.75</v>
      </c>
      <c r="I411" s="112">
        <v>0</v>
      </c>
      <c r="J411" s="112">
        <v>0</v>
      </c>
      <c r="K411" s="23">
        <f t="shared" si="49"/>
        <v>0.25</v>
      </c>
      <c r="L411" s="23">
        <f t="shared" si="50"/>
        <v>0</v>
      </c>
      <c r="M411" s="12">
        <f t="shared" si="55"/>
        <v>0.25</v>
      </c>
      <c r="N411" s="23">
        <f t="shared" si="51"/>
        <v>0.75</v>
      </c>
      <c r="O411" s="41">
        <f t="shared" si="52"/>
        <v>0</v>
      </c>
      <c r="P411" s="13" t="str">
        <f t="shared" si="53"/>
        <v>SI</v>
      </c>
      <c r="Q411" s="23">
        <f t="shared" si="54"/>
        <v>0.25</v>
      </c>
      <c r="R411" s="12">
        <f t="shared" si="54"/>
        <v>0.75</v>
      </c>
    </row>
    <row r="412" spans="2:18">
      <c r="B412" t="str">
        <f t="shared" si="48"/>
        <v>ESWIN ESTUARDO ORTEGA LIMA46289</v>
      </c>
      <c r="C412" t="s">
        <v>12</v>
      </c>
      <c r="D412" s="121">
        <v>46289</v>
      </c>
      <c r="E412" t="s">
        <v>101</v>
      </c>
      <c r="F412" t="s">
        <v>35</v>
      </c>
      <c r="G412" s="122">
        <v>0.25</v>
      </c>
      <c r="H412" s="122">
        <v>0.75</v>
      </c>
      <c r="I412" s="112">
        <v>0</v>
      </c>
      <c r="J412" s="112">
        <v>0</v>
      </c>
      <c r="K412" s="23">
        <f t="shared" si="49"/>
        <v>0.25</v>
      </c>
      <c r="L412" s="23">
        <f t="shared" si="50"/>
        <v>0</v>
      </c>
      <c r="M412" s="12">
        <f t="shared" si="55"/>
        <v>0.25</v>
      </c>
      <c r="N412" s="23">
        <f t="shared" si="51"/>
        <v>0.75</v>
      </c>
      <c r="O412" s="41">
        <f t="shared" si="52"/>
        <v>0</v>
      </c>
      <c r="P412" s="13" t="str">
        <f t="shared" si="53"/>
        <v>SI</v>
      </c>
      <c r="Q412" s="23">
        <f t="shared" si="54"/>
        <v>0.25</v>
      </c>
      <c r="R412" s="12">
        <f t="shared" si="54"/>
        <v>0.75</v>
      </c>
    </row>
    <row r="413" spans="2:18">
      <c r="B413" t="str">
        <f t="shared" si="48"/>
        <v>ESWIN ESTUARDO ORTEGA LIMA46290</v>
      </c>
      <c r="C413" t="s">
        <v>12</v>
      </c>
      <c r="D413" s="121">
        <v>46290</v>
      </c>
      <c r="E413" t="s">
        <v>95</v>
      </c>
      <c r="F413" t="s">
        <v>35</v>
      </c>
      <c r="G413" s="122">
        <v>0.25</v>
      </c>
      <c r="H413" s="122">
        <v>0.75</v>
      </c>
      <c r="I413" s="112">
        <v>0</v>
      </c>
      <c r="J413" s="112">
        <v>0</v>
      </c>
      <c r="K413" s="23">
        <f t="shared" si="49"/>
        <v>0.25</v>
      </c>
      <c r="L413" s="23">
        <f t="shared" si="50"/>
        <v>0</v>
      </c>
      <c r="M413" s="12">
        <f t="shared" si="55"/>
        <v>0.25</v>
      </c>
      <c r="N413" s="23">
        <f t="shared" si="51"/>
        <v>0.75</v>
      </c>
      <c r="O413" s="41">
        <f t="shared" si="52"/>
        <v>0</v>
      </c>
      <c r="P413" s="13" t="str">
        <f t="shared" si="53"/>
        <v>SI</v>
      </c>
      <c r="Q413" s="23">
        <f t="shared" si="54"/>
        <v>0.25</v>
      </c>
      <c r="R413" s="12">
        <f t="shared" si="54"/>
        <v>0.75</v>
      </c>
    </row>
    <row r="414" spans="2:18">
      <c r="B414" t="str">
        <f t="shared" si="48"/>
        <v>ESWIN ESTUARDO ORTEGA LIMA46291</v>
      </c>
      <c r="C414" t="s">
        <v>12</v>
      </c>
      <c r="D414" s="121">
        <v>46291</v>
      </c>
      <c r="E414" t="s">
        <v>96</v>
      </c>
      <c r="F414" t="s">
        <v>35</v>
      </c>
      <c r="G414" s="122">
        <v>0.25</v>
      </c>
      <c r="H414" s="122">
        <v>0.58333333333333304</v>
      </c>
      <c r="I414" s="112">
        <v>0</v>
      </c>
      <c r="J414" s="112">
        <v>0</v>
      </c>
      <c r="K414" s="23">
        <f t="shared" si="49"/>
        <v>0.25</v>
      </c>
      <c r="L414" s="23">
        <f t="shared" si="50"/>
        <v>0</v>
      </c>
      <c r="M414" s="12">
        <f t="shared" si="55"/>
        <v>0.25</v>
      </c>
      <c r="N414" s="23">
        <f t="shared" si="51"/>
        <v>0.58333333333333304</v>
      </c>
      <c r="O414" s="41">
        <f t="shared" si="52"/>
        <v>0</v>
      </c>
      <c r="P414" s="13" t="str">
        <f t="shared" si="53"/>
        <v>SI</v>
      </c>
      <c r="Q414" s="23">
        <f t="shared" si="54"/>
        <v>0.25</v>
      </c>
      <c r="R414" s="12">
        <f t="shared" si="54"/>
        <v>0.58333333333333304</v>
      </c>
    </row>
    <row r="415" spans="2:18">
      <c r="B415" t="str">
        <f t="shared" si="48"/>
        <v>ESWIN ESTUARDO ORTEGA LIMA46292</v>
      </c>
      <c r="C415" t="s">
        <v>12</v>
      </c>
      <c r="D415" s="121">
        <v>46292</v>
      </c>
      <c r="E415" t="s">
        <v>97</v>
      </c>
      <c r="F415" t="s">
        <v>72</v>
      </c>
      <c r="G415" s="122">
        <v>0</v>
      </c>
      <c r="H415" s="122">
        <v>0</v>
      </c>
      <c r="I415" s="112">
        <v>0</v>
      </c>
      <c r="J415" s="112">
        <v>0</v>
      </c>
      <c r="K415" s="23">
        <f t="shared" si="49"/>
        <v>0</v>
      </c>
      <c r="L415" s="23">
        <f t="shared" si="50"/>
        <v>0</v>
      </c>
      <c r="M415" s="12">
        <f t="shared" si="55"/>
        <v>0</v>
      </c>
      <c r="N415" s="23">
        <f t="shared" si="51"/>
        <v>0</v>
      </c>
      <c r="O415" s="41">
        <f t="shared" si="52"/>
        <v>0</v>
      </c>
      <c r="P415" s="13" t="str">
        <f t="shared" si="53"/>
        <v>NO</v>
      </c>
      <c r="Q415" s="23">
        <f t="shared" si="54"/>
        <v>0</v>
      </c>
      <c r="R415" s="12">
        <f t="shared" si="54"/>
        <v>0</v>
      </c>
    </row>
    <row r="416" spans="2:18">
      <c r="B416" t="str">
        <f t="shared" si="48"/>
        <v>ESWIN ESTUARDO ORTEGA LIMA46293</v>
      </c>
      <c r="C416" t="s">
        <v>12</v>
      </c>
      <c r="D416" s="121">
        <v>46293</v>
      </c>
      <c r="E416" t="s">
        <v>98</v>
      </c>
      <c r="F416" t="s">
        <v>35</v>
      </c>
      <c r="G416" s="122">
        <v>0.25</v>
      </c>
      <c r="H416" s="122">
        <v>0.75</v>
      </c>
      <c r="I416" s="112">
        <v>0</v>
      </c>
      <c r="J416" s="112">
        <v>0</v>
      </c>
      <c r="K416" s="23">
        <f t="shared" si="49"/>
        <v>0.25</v>
      </c>
      <c r="L416" s="23">
        <f t="shared" si="50"/>
        <v>0</v>
      </c>
      <c r="M416" s="12">
        <f t="shared" si="55"/>
        <v>0.25</v>
      </c>
      <c r="N416" s="23">
        <f t="shared" si="51"/>
        <v>0.75</v>
      </c>
      <c r="O416" s="41">
        <f t="shared" si="52"/>
        <v>0</v>
      </c>
      <c r="P416" s="13" t="str">
        <f t="shared" si="53"/>
        <v>SI</v>
      </c>
      <c r="Q416" s="23">
        <f t="shared" si="54"/>
        <v>0.25</v>
      </c>
      <c r="R416" s="12">
        <f t="shared" si="54"/>
        <v>0.75</v>
      </c>
    </row>
    <row r="417" spans="2:18">
      <c r="B417" t="str">
        <f t="shared" si="48"/>
        <v>ESWIN ESTUARDO ORTEGA LIMA46294</v>
      </c>
      <c r="C417" t="s">
        <v>12</v>
      </c>
      <c r="D417" s="121">
        <v>46294</v>
      </c>
      <c r="E417" t="s">
        <v>99</v>
      </c>
      <c r="F417" t="s">
        <v>35</v>
      </c>
      <c r="G417" s="122">
        <v>0.25</v>
      </c>
      <c r="H417" s="122">
        <v>0.75</v>
      </c>
      <c r="I417" s="112">
        <v>0</v>
      </c>
      <c r="J417" s="112">
        <v>0</v>
      </c>
      <c r="K417" s="23">
        <f t="shared" si="49"/>
        <v>0.25</v>
      </c>
      <c r="L417" s="23">
        <f t="shared" si="50"/>
        <v>0</v>
      </c>
      <c r="M417" s="12">
        <f t="shared" si="55"/>
        <v>0.25</v>
      </c>
      <c r="N417" s="23">
        <f t="shared" si="51"/>
        <v>0.75</v>
      </c>
      <c r="O417" s="41">
        <f t="shared" si="52"/>
        <v>0</v>
      </c>
      <c r="P417" s="13" t="str">
        <f t="shared" si="53"/>
        <v>SI</v>
      </c>
      <c r="Q417" s="23">
        <f t="shared" si="54"/>
        <v>0.25</v>
      </c>
      <c r="R417" s="12">
        <f t="shared" si="54"/>
        <v>0.75</v>
      </c>
    </row>
    <row r="418" spans="2:18">
      <c r="B418" t="str">
        <f t="shared" si="48"/>
        <v>ESWIN ESTUARDO ORTEGA LIMA46295</v>
      </c>
      <c r="C418" t="s">
        <v>12</v>
      </c>
      <c r="D418" s="121">
        <v>46295</v>
      </c>
      <c r="E418" t="s">
        <v>100</v>
      </c>
      <c r="F418" t="s">
        <v>35</v>
      </c>
      <c r="G418" s="122">
        <v>0.25</v>
      </c>
      <c r="H418" s="122">
        <v>0.75</v>
      </c>
      <c r="I418" s="112">
        <v>0</v>
      </c>
      <c r="J418" s="112">
        <v>0</v>
      </c>
      <c r="K418" s="23">
        <f t="shared" si="49"/>
        <v>0.25</v>
      </c>
      <c r="L418" s="23">
        <f t="shared" si="50"/>
        <v>0</v>
      </c>
      <c r="M418" s="12">
        <f t="shared" si="55"/>
        <v>0.25</v>
      </c>
      <c r="N418" s="23">
        <f t="shared" si="51"/>
        <v>0.75</v>
      </c>
      <c r="O418" s="41">
        <f t="shared" si="52"/>
        <v>0</v>
      </c>
      <c r="P418" s="13" t="str">
        <f t="shared" si="53"/>
        <v>SI</v>
      </c>
      <c r="Q418" s="23">
        <f t="shared" si="54"/>
        <v>0.25</v>
      </c>
      <c r="R418" s="12">
        <f t="shared" si="54"/>
        <v>0.75</v>
      </c>
    </row>
    <row r="419" spans="2:18">
      <c r="B419" t="str">
        <f t="shared" si="48"/>
        <v>ESWIN ESTUARDO ORTEGA LIMA46296</v>
      </c>
      <c r="C419" t="s">
        <v>12</v>
      </c>
      <c r="D419" s="121">
        <v>46296</v>
      </c>
      <c r="E419" t="s">
        <v>101</v>
      </c>
      <c r="F419" t="s">
        <v>35</v>
      </c>
      <c r="G419" s="122">
        <v>0.25</v>
      </c>
      <c r="H419" s="122">
        <v>0.75</v>
      </c>
      <c r="I419" s="112">
        <v>0</v>
      </c>
      <c r="J419" s="112">
        <v>0</v>
      </c>
      <c r="K419" s="23">
        <f t="shared" si="49"/>
        <v>0.25</v>
      </c>
      <c r="L419" s="23">
        <f t="shared" si="50"/>
        <v>0</v>
      </c>
      <c r="M419" s="12">
        <f t="shared" si="55"/>
        <v>0.25</v>
      </c>
      <c r="N419" s="23">
        <f t="shared" si="51"/>
        <v>0.75</v>
      </c>
      <c r="O419" s="41">
        <f t="shared" si="52"/>
        <v>0</v>
      </c>
      <c r="P419" s="13" t="str">
        <f t="shared" si="53"/>
        <v>SI</v>
      </c>
      <c r="Q419" s="23">
        <f t="shared" si="54"/>
        <v>0.25</v>
      </c>
      <c r="R419" s="12">
        <f t="shared" si="54"/>
        <v>0.75</v>
      </c>
    </row>
    <row r="420" spans="2:18">
      <c r="B420" t="str">
        <f t="shared" si="48"/>
        <v>ESWIN ESTUARDO ORTEGA LIMA46297</v>
      </c>
      <c r="C420" t="s">
        <v>12</v>
      </c>
      <c r="D420" s="121">
        <v>46297</v>
      </c>
      <c r="E420" t="s">
        <v>95</v>
      </c>
      <c r="F420" t="s">
        <v>35</v>
      </c>
      <c r="G420" s="122">
        <v>0.25</v>
      </c>
      <c r="H420" s="122">
        <v>0.75</v>
      </c>
      <c r="I420" s="112">
        <v>0</v>
      </c>
      <c r="J420" s="112">
        <v>0</v>
      </c>
      <c r="K420" s="23">
        <f t="shared" si="49"/>
        <v>0.25</v>
      </c>
      <c r="L420" s="23">
        <f t="shared" si="50"/>
        <v>0</v>
      </c>
      <c r="M420" s="12">
        <f t="shared" si="55"/>
        <v>0.25</v>
      </c>
      <c r="N420" s="23">
        <f t="shared" si="51"/>
        <v>0.75</v>
      </c>
      <c r="O420" s="41">
        <f t="shared" si="52"/>
        <v>0</v>
      </c>
      <c r="P420" s="13" t="str">
        <f t="shared" si="53"/>
        <v>SI</v>
      </c>
      <c r="Q420" s="23">
        <f t="shared" si="54"/>
        <v>0.25</v>
      </c>
      <c r="R420" s="12">
        <f t="shared" si="54"/>
        <v>0.75</v>
      </c>
    </row>
    <row r="421" spans="2:18">
      <c r="B421" t="str">
        <f t="shared" si="48"/>
        <v>ESWIN ESTUARDO ORTEGA LIMA46298</v>
      </c>
      <c r="C421" t="s">
        <v>12</v>
      </c>
      <c r="D421" s="121">
        <v>46298</v>
      </c>
      <c r="E421" t="s">
        <v>96</v>
      </c>
      <c r="F421" t="s">
        <v>35</v>
      </c>
      <c r="G421" s="122">
        <v>0.25</v>
      </c>
      <c r="H421" s="122">
        <v>0.58333333333333304</v>
      </c>
      <c r="I421" s="112">
        <v>0</v>
      </c>
      <c r="J421" s="112">
        <v>0</v>
      </c>
      <c r="K421" s="23">
        <f t="shared" si="49"/>
        <v>0.25</v>
      </c>
      <c r="L421" s="23">
        <f t="shared" si="50"/>
        <v>0</v>
      </c>
      <c r="M421" s="12">
        <f t="shared" si="55"/>
        <v>0.25</v>
      </c>
      <c r="N421" s="23">
        <f t="shared" si="51"/>
        <v>0.58333333333333304</v>
      </c>
      <c r="O421" s="41">
        <f t="shared" si="52"/>
        <v>0</v>
      </c>
      <c r="P421" s="13" t="str">
        <f t="shared" si="53"/>
        <v>SI</v>
      </c>
      <c r="Q421" s="23">
        <f t="shared" si="54"/>
        <v>0.25</v>
      </c>
      <c r="R421" s="12">
        <f t="shared" si="54"/>
        <v>0.58333333333333304</v>
      </c>
    </row>
    <row r="422" spans="2:18">
      <c r="B422" t="str">
        <f t="shared" si="48"/>
        <v>ESWIN ESTUARDO ORTEGA LIMA46299</v>
      </c>
      <c r="C422" t="s">
        <v>12</v>
      </c>
      <c r="D422" s="121">
        <v>46299</v>
      </c>
      <c r="E422" t="s">
        <v>97</v>
      </c>
      <c r="F422" t="s">
        <v>72</v>
      </c>
      <c r="G422" s="122">
        <v>0</v>
      </c>
      <c r="H422" s="122">
        <v>0</v>
      </c>
      <c r="I422" s="112">
        <v>0</v>
      </c>
      <c r="J422" s="112">
        <v>0</v>
      </c>
      <c r="K422" s="23">
        <f t="shared" si="49"/>
        <v>0</v>
      </c>
      <c r="L422" s="23">
        <f t="shared" si="50"/>
        <v>0</v>
      </c>
      <c r="M422" s="12">
        <f t="shared" si="55"/>
        <v>0</v>
      </c>
      <c r="N422" s="23">
        <f t="shared" si="51"/>
        <v>0</v>
      </c>
      <c r="O422" s="41">
        <f t="shared" si="52"/>
        <v>0</v>
      </c>
      <c r="P422" s="13" t="str">
        <f t="shared" si="53"/>
        <v>NO</v>
      </c>
      <c r="Q422" s="23">
        <f t="shared" si="54"/>
        <v>0</v>
      </c>
      <c r="R422" s="12">
        <f t="shared" si="54"/>
        <v>0</v>
      </c>
    </row>
    <row r="423" spans="2:18">
      <c r="B423" t="str">
        <f t="shared" si="48"/>
        <v>EVER GESTRUDES BOLVITO ESTRADA46279</v>
      </c>
      <c r="C423" t="s">
        <v>222</v>
      </c>
      <c r="D423" s="121">
        <v>46279</v>
      </c>
      <c r="E423" t="s">
        <v>98</v>
      </c>
      <c r="F423" t="s">
        <v>72</v>
      </c>
      <c r="G423" s="122">
        <v>0</v>
      </c>
      <c r="H423" s="122">
        <v>0</v>
      </c>
      <c r="I423" s="112">
        <v>0</v>
      </c>
      <c r="J423" s="112">
        <v>0</v>
      </c>
      <c r="K423" s="23">
        <f t="shared" si="49"/>
        <v>0</v>
      </c>
      <c r="L423" s="23">
        <f t="shared" si="50"/>
        <v>0</v>
      </c>
      <c r="M423" s="12">
        <f t="shared" si="55"/>
        <v>0</v>
      </c>
      <c r="N423" s="23">
        <f t="shared" si="51"/>
        <v>0</v>
      </c>
      <c r="O423" s="41">
        <f t="shared" si="52"/>
        <v>0</v>
      </c>
      <c r="P423" s="13" t="str">
        <f t="shared" si="53"/>
        <v>NO</v>
      </c>
      <c r="Q423" s="23">
        <f t="shared" si="54"/>
        <v>0</v>
      </c>
      <c r="R423" s="12">
        <f t="shared" si="54"/>
        <v>0</v>
      </c>
    </row>
    <row r="424" spans="2:18">
      <c r="B424" t="str">
        <f t="shared" si="48"/>
        <v>EVER GESTRUDES BOLVITO ESTRADA46280</v>
      </c>
      <c r="C424" t="s">
        <v>222</v>
      </c>
      <c r="D424" s="121">
        <v>46280</v>
      </c>
      <c r="E424" t="s">
        <v>99</v>
      </c>
      <c r="F424" t="s">
        <v>35</v>
      </c>
      <c r="G424" s="122">
        <v>0.33333333333333298</v>
      </c>
      <c r="H424" s="122">
        <v>0.70833333333333304</v>
      </c>
      <c r="I424" s="112">
        <v>0</v>
      </c>
      <c r="J424" s="112">
        <v>0</v>
      </c>
      <c r="K424" s="23">
        <f t="shared" si="49"/>
        <v>0.33333333333333298</v>
      </c>
      <c r="L424" s="23">
        <f t="shared" si="50"/>
        <v>0</v>
      </c>
      <c r="M424" s="12">
        <f t="shared" si="55"/>
        <v>0.33333333333333298</v>
      </c>
      <c r="N424" s="23">
        <f t="shared" si="51"/>
        <v>0.70833333333333304</v>
      </c>
      <c r="O424" s="41">
        <f t="shared" si="52"/>
        <v>0</v>
      </c>
      <c r="P424" s="13" t="str">
        <f t="shared" si="53"/>
        <v>SI</v>
      </c>
      <c r="Q424" s="23">
        <f t="shared" si="54"/>
        <v>0.33333333333333298</v>
      </c>
      <c r="R424" s="12">
        <f t="shared" si="54"/>
        <v>0.70833333333333304</v>
      </c>
    </row>
    <row r="425" spans="2:18">
      <c r="B425" t="str">
        <f t="shared" si="48"/>
        <v>EVER GESTRUDES BOLVITO ESTRADA46281</v>
      </c>
      <c r="C425" t="s">
        <v>222</v>
      </c>
      <c r="D425" s="121">
        <v>46281</v>
      </c>
      <c r="E425" t="s">
        <v>100</v>
      </c>
      <c r="F425" t="s">
        <v>35</v>
      </c>
      <c r="G425" s="122">
        <v>0.25</v>
      </c>
      <c r="H425" s="122">
        <v>0.75</v>
      </c>
      <c r="I425" s="112">
        <v>0</v>
      </c>
      <c r="J425" s="112">
        <v>0</v>
      </c>
      <c r="K425" s="23">
        <f t="shared" si="49"/>
        <v>0.25</v>
      </c>
      <c r="L425" s="23">
        <f t="shared" si="50"/>
        <v>0</v>
      </c>
      <c r="M425" s="12">
        <f t="shared" si="55"/>
        <v>0.25</v>
      </c>
      <c r="N425" s="23">
        <f t="shared" si="51"/>
        <v>0.75</v>
      </c>
      <c r="O425" s="41">
        <f t="shared" si="52"/>
        <v>0</v>
      </c>
      <c r="P425" s="13" t="str">
        <f t="shared" si="53"/>
        <v>SI</v>
      </c>
      <c r="Q425" s="23">
        <f t="shared" si="54"/>
        <v>0.25</v>
      </c>
      <c r="R425" s="12">
        <f t="shared" si="54"/>
        <v>0.75</v>
      </c>
    </row>
    <row r="426" spans="2:18">
      <c r="B426" t="str">
        <f t="shared" si="48"/>
        <v>EVER GESTRUDES BOLVITO ESTRADA46282</v>
      </c>
      <c r="C426" t="s">
        <v>222</v>
      </c>
      <c r="D426" s="121">
        <v>46282</v>
      </c>
      <c r="E426" t="s">
        <v>101</v>
      </c>
      <c r="F426" t="s">
        <v>35</v>
      </c>
      <c r="G426" s="122">
        <v>0.25</v>
      </c>
      <c r="H426" s="122">
        <v>0.75</v>
      </c>
      <c r="I426" s="112">
        <v>0</v>
      </c>
      <c r="J426" s="112">
        <v>0</v>
      </c>
      <c r="K426" s="23">
        <f t="shared" si="49"/>
        <v>0.25</v>
      </c>
      <c r="L426" s="23">
        <f t="shared" si="50"/>
        <v>0</v>
      </c>
      <c r="M426" s="12">
        <f t="shared" si="55"/>
        <v>0.25</v>
      </c>
      <c r="N426" s="23">
        <f t="shared" si="51"/>
        <v>0.75</v>
      </c>
      <c r="O426" s="41">
        <f t="shared" si="52"/>
        <v>0</v>
      </c>
      <c r="P426" s="13" t="str">
        <f t="shared" si="53"/>
        <v>SI</v>
      </c>
      <c r="Q426" s="23">
        <f t="shared" si="54"/>
        <v>0.25</v>
      </c>
      <c r="R426" s="12">
        <f t="shared" si="54"/>
        <v>0.75</v>
      </c>
    </row>
    <row r="427" spans="2:18">
      <c r="B427" t="str">
        <f t="shared" si="48"/>
        <v>EVER GESTRUDES BOLVITO ESTRADA46283</v>
      </c>
      <c r="C427" t="s">
        <v>222</v>
      </c>
      <c r="D427" s="121">
        <v>46283</v>
      </c>
      <c r="E427" t="s">
        <v>95</v>
      </c>
      <c r="F427" t="s">
        <v>35</v>
      </c>
      <c r="G427" s="122">
        <v>0.25</v>
      </c>
      <c r="H427" s="122">
        <v>0.75</v>
      </c>
      <c r="I427" s="112">
        <v>0</v>
      </c>
      <c r="J427" s="112">
        <v>0</v>
      </c>
      <c r="K427" s="23">
        <f t="shared" si="49"/>
        <v>0.25</v>
      </c>
      <c r="L427" s="23">
        <f t="shared" si="50"/>
        <v>0</v>
      </c>
      <c r="M427" s="12">
        <f t="shared" si="55"/>
        <v>0.25</v>
      </c>
      <c r="N427" s="23">
        <f t="shared" si="51"/>
        <v>0.75</v>
      </c>
      <c r="O427" s="41">
        <f t="shared" si="52"/>
        <v>0</v>
      </c>
      <c r="P427" s="13" t="str">
        <f t="shared" si="53"/>
        <v>SI</v>
      </c>
      <c r="Q427" s="23">
        <f t="shared" si="54"/>
        <v>0.25</v>
      </c>
      <c r="R427" s="12">
        <f t="shared" si="54"/>
        <v>0.75</v>
      </c>
    </row>
    <row r="428" spans="2:18">
      <c r="B428" t="str">
        <f t="shared" si="48"/>
        <v>EVER GESTRUDES BOLVITO ESTRADA46284</v>
      </c>
      <c r="C428" t="s">
        <v>222</v>
      </c>
      <c r="D428" s="121">
        <v>46284</v>
      </c>
      <c r="E428" t="s">
        <v>96</v>
      </c>
      <c r="F428" t="s">
        <v>72</v>
      </c>
      <c r="G428" s="122">
        <v>0</v>
      </c>
      <c r="H428" s="122">
        <v>0</v>
      </c>
      <c r="I428" s="112">
        <v>0</v>
      </c>
      <c r="J428" s="112">
        <v>0</v>
      </c>
      <c r="K428" s="23">
        <f t="shared" si="49"/>
        <v>0</v>
      </c>
      <c r="L428" s="23">
        <f t="shared" si="50"/>
        <v>0</v>
      </c>
      <c r="M428" s="12">
        <f t="shared" si="55"/>
        <v>0</v>
      </c>
      <c r="N428" s="23">
        <f t="shared" si="51"/>
        <v>0</v>
      </c>
      <c r="O428" s="41">
        <f t="shared" si="52"/>
        <v>0</v>
      </c>
      <c r="P428" s="13" t="str">
        <f t="shared" si="53"/>
        <v>NO</v>
      </c>
      <c r="Q428" s="23">
        <f t="shared" si="54"/>
        <v>0</v>
      </c>
      <c r="R428" s="12">
        <f t="shared" si="54"/>
        <v>0</v>
      </c>
    </row>
    <row r="429" spans="2:18">
      <c r="B429" t="str">
        <f t="shared" si="48"/>
        <v>EVER GESTRUDES BOLVITO ESTRADA46285</v>
      </c>
      <c r="C429" t="s">
        <v>222</v>
      </c>
      <c r="D429" s="121">
        <v>46285</v>
      </c>
      <c r="E429" t="s">
        <v>97</v>
      </c>
      <c r="F429" t="s">
        <v>72</v>
      </c>
      <c r="G429" s="122">
        <v>0</v>
      </c>
      <c r="H429" s="122">
        <v>0</v>
      </c>
      <c r="I429" s="112">
        <v>0</v>
      </c>
      <c r="J429" s="112">
        <v>0</v>
      </c>
      <c r="K429" s="23">
        <f t="shared" si="49"/>
        <v>0</v>
      </c>
      <c r="L429" s="23">
        <f t="shared" si="50"/>
        <v>0</v>
      </c>
      <c r="M429" s="12">
        <f t="shared" si="55"/>
        <v>0</v>
      </c>
      <c r="N429" s="23">
        <f t="shared" si="51"/>
        <v>0</v>
      </c>
      <c r="O429" s="41">
        <f t="shared" si="52"/>
        <v>0</v>
      </c>
      <c r="P429" s="13" t="str">
        <f t="shared" si="53"/>
        <v>NO</v>
      </c>
      <c r="Q429" s="23">
        <f t="shared" si="54"/>
        <v>0</v>
      </c>
      <c r="R429" s="12">
        <f t="shared" si="54"/>
        <v>0</v>
      </c>
    </row>
    <row r="430" spans="2:18">
      <c r="B430" t="str">
        <f t="shared" ref="B430:B485" si="56">+C430&amp;D430</f>
        <v>EVER GESTRUDES BOLVITO ESTRADA46286</v>
      </c>
      <c r="C430" t="s">
        <v>222</v>
      </c>
      <c r="D430" s="121">
        <v>46286</v>
      </c>
      <c r="E430" t="s">
        <v>98</v>
      </c>
      <c r="F430" t="s">
        <v>35</v>
      </c>
      <c r="G430" s="122">
        <v>0.25</v>
      </c>
      <c r="H430" s="122">
        <v>0.75</v>
      </c>
      <c r="I430" s="112">
        <v>0</v>
      </c>
      <c r="J430" s="112">
        <v>0</v>
      </c>
      <c r="K430" s="23">
        <f t="shared" ref="K430:K485" si="57">+IFERROR(G430,0)</f>
        <v>0.25</v>
      </c>
      <c r="L430" s="23">
        <f t="shared" ref="L430:L485" si="58">+I430</f>
        <v>0</v>
      </c>
      <c r="M430" s="12">
        <f t="shared" si="55"/>
        <v>0.25</v>
      </c>
      <c r="N430" s="23">
        <f t="shared" ref="N430:N485" si="59">+H430</f>
        <v>0.75</v>
      </c>
      <c r="O430" s="41">
        <f t="shared" ref="O430:O485" si="60">+J430</f>
        <v>0</v>
      </c>
      <c r="P430" s="13" t="str">
        <f t="shared" ref="P430:P485" si="61">+IF(O430&lt;N430,"SI","NO")</f>
        <v>SI</v>
      </c>
      <c r="Q430" s="23">
        <f t="shared" ref="Q430:R485" si="62">+M430</f>
        <v>0.25</v>
      </c>
      <c r="R430" s="12">
        <f t="shared" si="62"/>
        <v>0.75</v>
      </c>
    </row>
    <row r="431" spans="2:18">
      <c r="B431" t="str">
        <f t="shared" si="56"/>
        <v>EVER GESTRUDES BOLVITO ESTRADA46287</v>
      </c>
      <c r="C431" t="s">
        <v>222</v>
      </c>
      <c r="D431" s="121">
        <v>46287</v>
      </c>
      <c r="E431" t="s">
        <v>99</v>
      </c>
      <c r="F431" t="s">
        <v>72</v>
      </c>
      <c r="G431" s="122">
        <v>0</v>
      </c>
      <c r="H431" s="122">
        <v>0</v>
      </c>
      <c r="I431" s="112">
        <v>0</v>
      </c>
      <c r="J431" s="112">
        <v>0</v>
      </c>
      <c r="K431" s="23">
        <f t="shared" si="57"/>
        <v>0</v>
      </c>
      <c r="L431" s="23">
        <f t="shared" si="58"/>
        <v>0</v>
      </c>
      <c r="M431" s="12">
        <f t="shared" ref="M431:M485" si="63">+IFERROR(MAX(K431:L431),0)</f>
        <v>0</v>
      </c>
      <c r="N431" s="23">
        <f t="shared" si="59"/>
        <v>0</v>
      </c>
      <c r="O431" s="41">
        <f t="shared" si="60"/>
        <v>0</v>
      </c>
      <c r="P431" s="13" t="str">
        <f t="shared" si="61"/>
        <v>NO</v>
      </c>
      <c r="Q431" s="23">
        <f t="shared" si="62"/>
        <v>0</v>
      </c>
      <c r="R431" s="12">
        <f t="shared" si="62"/>
        <v>0</v>
      </c>
    </row>
    <row r="432" spans="2:18">
      <c r="B432" t="str">
        <f t="shared" si="56"/>
        <v>EVER GESTRUDES BOLVITO ESTRADA46288</v>
      </c>
      <c r="C432" t="s">
        <v>222</v>
      </c>
      <c r="D432" s="121">
        <v>46288</v>
      </c>
      <c r="E432" t="s">
        <v>100</v>
      </c>
      <c r="F432" t="s">
        <v>72</v>
      </c>
      <c r="G432" s="122">
        <v>0</v>
      </c>
      <c r="H432" s="122">
        <v>0</v>
      </c>
      <c r="I432" s="112">
        <v>0</v>
      </c>
      <c r="J432" s="112">
        <v>0</v>
      </c>
      <c r="K432" s="23">
        <f t="shared" si="57"/>
        <v>0</v>
      </c>
      <c r="L432" s="23">
        <f t="shared" si="58"/>
        <v>0</v>
      </c>
      <c r="M432" s="12">
        <f t="shared" si="63"/>
        <v>0</v>
      </c>
      <c r="N432" s="23">
        <f t="shared" si="59"/>
        <v>0</v>
      </c>
      <c r="O432" s="41">
        <f t="shared" si="60"/>
        <v>0</v>
      </c>
      <c r="P432" s="13" t="str">
        <f t="shared" si="61"/>
        <v>NO</v>
      </c>
      <c r="Q432" s="23">
        <f t="shared" si="62"/>
        <v>0</v>
      </c>
      <c r="R432" s="12">
        <f t="shared" si="62"/>
        <v>0</v>
      </c>
    </row>
    <row r="433" spans="2:18">
      <c r="B433" t="str">
        <f t="shared" si="56"/>
        <v>EVER GESTRUDES BOLVITO ESTRADA46289</v>
      </c>
      <c r="C433" t="s">
        <v>222</v>
      </c>
      <c r="D433" s="121">
        <v>46289</v>
      </c>
      <c r="E433" t="s">
        <v>101</v>
      </c>
      <c r="F433" t="s">
        <v>72</v>
      </c>
      <c r="G433" s="122">
        <v>0</v>
      </c>
      <c r="H433" s="122">
        <v>0</v>
      </c>
      <c r="I433" s="112">
        <v>0</v>
      </c>
      <c r="J433" s="112">
        <v>0</v>
      </c>
      <c r="K433" s="23">
        <f t="shared" si="57"/>
        <v>0</v>
      </c>
      <c r="L433" s="23">
        <f t="shared" si="58"/>
        <v>0</v>
      </c>
      <c r="M433" s="12">
        <f t="shared" si="63"/>
        <v>0</v>
      </c>
      <c r="N433" s="23">
        <f t="shared" si="59"/>
        <v>0</v>
      </c>
      <c r="O433" s="41">
        <f t="shared" si="60"/>
        <v>0</v>
      </c>
      <c r="P433" s="13" t="str">
        <f t="shared" si="61"/>
        <v>NO</v>
      </c>
      <c r="Q433" s="23">
        <f t="shared" si="62"/>
        <v>0</v>
      </c>
      <c r="R433" s="12">
        <f t="shared" si="62"/>
        <v>0</v>
      </c>
    </row>
    <row r="434" spans="2:18">
      <c r="B434" t="str">
        <f t="shared" si="56"/>
        <v>EVER GESTRUDES BOLVITO ESTRADA46290</v>
      </c>
      <c r="C434" t="s">
        <v>222</v>
      </c>
      <c r="D434" s="121">
        <v>46290</v>
      </c>
      <c r="E434" t="s">
        <v>95</v>
      </c>
      <c r="F434" t="s">
        <v>72</v>
      </c>
      <c r="G434" s="122">
        <v>0</v>
      </c>
      <c r="H434" s="122">
        <v>0</v>
      </c>
      <c r="I434" s="112">
        <v>0</v>
      </c>
      <c r="J434" s="112">
        <v>0</v>
      </c>
      <c r="K434" s="23">
        <f t="shared" si="57"/>
        <v>0</v>
      </c>
      <c r="L434" s="23">
        <f t="shared" si="58"/>
        <v>0</v>
      </c>
      <c r="M434" s="12">
        <f t="shared" si="63"/>
        <v>0</v>
      </c>
      <c r="N434" s="23">
        <f t="shared" si="59"/>
        <v>0</v>
      </c>
      <c r="O434" s="41">
        <f t="shared" si="60"/>
        <v>0</v>
      </c>
      <c r="P434" s="13" t="str">
        <f t="shared" si="61"/>
        <v>NO</v>
      </c>
      <c r="Q434" s="23">
        <f t="shared" si="62"/>
        <v>0</v>
      </c>
      <c r="R434" s="12">
        <f t="shared" si="62"/>
        <v>0</v>
      </c>
    </row>
    <row r="435" spans="2:18">
      <c r="B435" t="str">
        <f t="shared" si="56"/>
        <v>EVER GESTRUDES BOLVITO ESTRADA46291</v>
      </c>
      <c r="C435" t="s">
        <v>222</v>
      </c>
      <c r="D435" s="121">
        <v>46291</v>
      </c>
      <c r="E435" t="s">
        <v>96</v>
      </c>
      <c r="F435" t="s">
        <v>72</v>
      </c>
      <c r="G435" s="122">
        <v>0</v>
      </c>
      <c r="H435" s="122">
        <v>0</v>
      </c>
      <c r="I435" s="112">
        <v>0</v>
      </c>
      <c r="J435" s="112">
        <v>0</v>
      </c>
      <c r="K435" s="23">
        <f t="shared" si="57"/>
        <v>0</v>
      </c>
      <c r="L435" s="23">
        <f t="shared" si="58"/>
        <v>0</v>
      </c>
      <c r="M435" s="12">
        <f t="shared" si="63"/>
        <v>0</v>
      </c>
      <c r="N435" s="23">
        <f t="shared" si="59"/>
        <v>0</v>
      </c>
      <c r="O435" s="41">
        <f t="shared" si="60"/>
        <v>0</v>
      </c>
      <c r="P435" s="13" t="str">
        <f t="shared" si="61"/>
        <v>NO</v>
      </c>
      <c r="Q435" s="23">
        <f t="shared" si="62"/>
        <v>0</v>
      </c>
      <c r="R435" s="12">
        <f t="shared" si="62"/>
        <v>0</v>
      </c>
    </row>
    <row r="436" spans="2:18">
      <c r="B436" t="str">
        <f t="shared" si="56"/>
        <v>EVER GESTRUDES BOLVITO ESTRADA46292</v>
      </c>
      <c r="C436" t="s">
        <v>222</v>
      </c>
      <c r="D436" s="121">
        <v>46292</v>
      </c>
      <c r="E436" t="s">
        <v>97</v>
      </c>
      <c r="F436" t="s">
        <v>72</v>
      </c>
      <c r="G436" s="122">
        <v>0</v>
      </c>
      <c r="H436" s="122">
        <v>0</v>
      </c>
      <c r="I436" s="112">
        <v>0</v>
      </c>
      <c r="J436" s="112">
        <v>0</v>
      </c>
      <c r="K436" s="23">
        <f t="shared" si="57"/>
        <v>0</v>
      </c>
      <c r="L436" s="23">
        <f t="shared" si="58"/>
        <v>0</v>
      </c>
      <c r="M436" s="12">
        <f t="shared" si="63"/>
        <v>0</v>
      </c>
      <c r="N436" s="23">
        <f t="shared" si="59"/>
        <v>0</v>
      </c>
      <c r="O436" s="41">
        <f t="shared" si="60"/>
        <v>0</v>
      </c>
      <c r="P436" s="13" t="str">
        <f t="shared" si="61"/>
        <v>NO</v>
      </c>
      <c r="Q436" s="23">
        <f t="shared" si="62"/>
        <v>0</v>
      </c>
      <c r="R436" s="12">
        <f t="shared" si="62"/>
        <v>0</v>
      </c>
    </row>
    <row r="437" spans="2:18">
      <c r="B437" t="str">
        <f t="shared" si="56"/>
        <v>EVER GESTRUDES BOLVITO ESTRADA46293</v>
      </c>
      <c r="C437" t="s">
        <v>222</v>
      </c>
      <c r="D437" s="121">
        <v>46293</v>
      </c>
      <c r="E437" t="s">
        <v>98</v>
      </c>
      <c r="F437" t="s">
        <v>35</v>
      </c>
      <c r="G437" s="122">
        <v>0.25</v>
      </c>
      <c r="H437" s="122">
        <v>0.75</v>
      </c>
      <c r="I437" s="112">
        <v>0</v>
      </c>
      <c r="J437" s="112">
        <v>0</v>
      </c>
      <c r="K437" s="23">
        <f t="shared" si="57"/>
        <v>0.25</v>
      </c>
      <c r="L437" s="23">
        <f t="shared" si="58"/>
        <v>0</v>
      </c>
      <c r="M437" s="12">
        <f t="shared" si="63"/>
        <v>0.25</v>
      </c>
      <c r="N437" s="23">
        <f t="shared" si="59"/>
        <v>0.75</v>
      </c>
      <c r="O437" s="41">
        <f t="shared" si="60"/>
        <v>0</v>
      </c>
      <c r="P437" s="13" t="str">
        <f t="shared" si="61"/>
        <v>SI</v>
      </c>
      <c r="Q437" s="23">
        <f t="shared" si="62"/>
        <v>0.25</v>
      </c>
      <c r="R437" s="12">
        <f t="shared" si="62"/>
        <v>0.75</v>
      </c>
    </row>
    <row r="438" spans="2:18">
      <c r="B438" t="str">
        <f t="shared" si="56"/>
        <v>EVER GESTRUDES BOLVITO ESTRADA46294</v>
      </c>
      <c r="C438" t="s">
        <v>222</v>
      </c>
      <c r="D438" s="121">
        <v>46294</v>
      </c>
      <c r="E438" t="s">
        <v>99</v>
      </c>
      <c r="F438" t="s">
        <v>35</v>
      </c>
      <c r="G438" s="122">
        <v>0.25</v>
      </c>
      <c r="H438" s="122">
        <v>0.75</v>
      </c>
      <c r="I438" s="112">
        <v>0</v>
      </c>
      <c r="J438" s="112">
        <v>0</v>
      </c>
      <c r="K438" s="23">
        <f t="shared" si="57"/>
        <v>0.25</v>
      </c>
      <c r="L438" s="23">
        <f t="shared" si="58"/>
        <v>0</v>
      </c>
      <c r="M438" s="12">
        <f t="shared" si="63"/>
        <v>0.25</v>
      </c>
      <c r="N438" s="23">
        <f t="shared" si="59"/>
        <v>0.75</v>
      </c>
      <c r="O438" s="41">
        <f t="shared" si="60"/>
        <v>0</v>
      </c>
      <c r="P438" s="13" t="str">
        <f t="shared" si="61"/>
        <v>SI</v>
      </c>
      <c r="Q438" s="23">
        <f t="shared" si="62"/>
        <v>0.25</v>
      </c>
      <c r="R438" s="12">
        <f t="shared" si="62"/>
        <v>0.75</v>
      </c>
    </row>
    <row r="439" spans="2:18">
      <c r="B439" t="str">
        <f t="shared" si="56"/>
        <v>EVER GESTRUDES BOLVITO ESTRADA46295</v>
      </c>
      <c r="C439" t="s">
        <v>222</v>
      </c>
      <c r="D439" s="121">
        <v>46295</v>
      </c>
      <c r="E439" t="s">
        <v>100</v>
      </c>
      <c r="F439" t="s">
        <v>35</v>
      </c>
      <c r="G439" s="122">
        <v>0.25</v>
      </c>
      <c r="H439" s="122">
        <v>0.75</v>
      </c>
      <c r="I439" s="112">
        <v>0</v>
      </c>
      <c r="J439" s="112">
        <v>0</v>
      </c>
      <c r="K439" s="23">
        <f t="shared" si="57"/>
        <v>0.25</v>
      </c>
      <c r="L439" s="23">
        <f t="shared" si="58"/>
        <v>0</v>
      </c>
      <c r="M439" s="12">
        <f t="shared" si="63"/>
        <v>0.25</v>
      </c>
      <c r="N439" s="23">
        <f t="shared" si="59"/>
        <v>0.75</v>
      </c>
      <c r="O439" s="41">
        <f t="shared" si="60"/>
        <v>0</v>
      </c>
      <c r="P439" s="13" t="str">
        <f t="shared" si="61"/>
        <v>SI</v>
      </c>
      <c r="Q439" s="23">
        <f t="shared" si="62"/>
        <v>0.25</v>
      </c>
      <c r="R439" s="12">
        <f t="shared" si="62"/>
        <v>0.75</v>
      </c>
    </row>
    <row r="440" spans="2:18">
      <c r="B440" t="str">
        <f t="shared" si="56"/>
        <v>EVER GESTRUDES BOLVITO ESTRADA46296</v>
      </c>
      <c r="C440" t="s">
        <v>222</v>
      </c>
      <c r="D440" s="121">
        <v>46296</v>
      </c>
      <c r="E440" t="s">
        <v>101</v>
      </c>
      <c r="F440" t="s">
        <v>35</v>
      </c>
      <c r="G440" s="122">
        <v>0.25</v>
      </c>
      <c r="H440" s="122">
        <v>0.75</v>
      </c>
      <c r="I440" s="112">
        <v>0</v>
      </c>
      <c r="J440" s="112">
        <v>0</v>
      </c>
      <c r="K440" s="23">
        <f t="shared" si="57"/>
        <v>0.25</v>
      </c>
      <c r="L440" s="23">
        <f t="shared" si="58"/>
        <v>0</v>
      </c>
      <c r="M440" s="12">
        <f t="shared" si="63"/>
        <v>0.25</v>
      </c>
      <c r="N440" s="23">
        <f t="shared" si="59"/>
        <v>0.75</v>
      </c>
      <c r="O440" s="41">
        <f t="shared" si="60"/>
        <v>0</v>
      </c>
      <c r="P440" s="13" t="str">
        <f t="shared" si="61"/>
        <v>SI</v>
      </c>
      <c r="Q440" s="23">
        <f t="shared" si="62"/>
        <v>0.25</v>
      </c>
      <c r="R440" s="12">
        <f t="shared" si="62"/>
        <v>0.75</v>
      </c>
    </row>
    <row r="441" spans="2:18">
      <c r="B441" t="str">
        <f t="shared" si="56"/>
        <v>EVER GESTRUDES BOLVITO ESTRADA46297</v>
      </c>
      <c r="C441" t="s">
        <v>222</v>
      </c>
      <c r="D441" s="121">
        <v>46297</v>
      </c>
      <c r="E441" t="s">
        <v>95</v>
      </c>
      <c r="F441" t="s">
        <v>35</v>
      </c>
      <c r="G441" s="122">
        <v>0.25</v>
      </c>
      <c r="H441" s="122">
        <v>0.75</v>
      </c>
      <c r="I441" s="112">
        <v>0</v>
      </c>
      <c r="J441" s="112">
        <v>0</v>
      </c>
      <c r="K441" s="23">
        <f t="shared" si="57"/>
        <v>0.25</v>
      </c>
      <c r="L441" s="23">
        <f t="shared" si="58"/>
        <v>0</v>
      </c>
      <c r="M441" s="12">
        <f t="shared" si="63"/>
        <v>0.25</v>
      </c>
      <c r="N441" s="23">
        <f t="shared" si="59"/>
        <v>0.75</v>
      </c>
      <c r="O441" s="41">
        <f t="shared" si="60"/>
        <v>0</v>
      </c>
      <c r="P441" s="13" t="str">
        <f t="shared" si="61"/>
        <v>SI</v>
      </c>
      <c r="Q441" s="23">
        <f t="shared" si="62"/>
        <v>0.25</v>
      </c>
      <c r="R441" s="12">
        <f t="shared" si="62"/>
        <v>0.75</v>
      </c>
    </row>
    <row r="442" spans="2:18">
      <c r="B442" t="str">
        <f t="shared" si="56"/>
        <v>EVER GESTRUDES BOLVITO ESTRADA46298</v>
      </c>
      <c r="C442" t="s">
        <v>222</v>
      </c>
      <c r="D442" s="121">
        <v>46298</v>
      </c>
      <c r="E442" t="s">
        <v>96</v>
      </c>
      <c r="F442" t="s">
        <v>72</v>
      </c>
      <c r="G442" s="122">
        <v>0</v>
      </c>
      <c r="H442" s="122">
        <v>0</v>
      </c>
      <c r="I442" s="112">
        <v>0</v>
      </c>
      <c r="J442" s="112">
        <v>0</v>
      </c>
      <c r="K442" s="23">
        <f t="shared" si="57"/>
        <v>0</v>
      </c>
      <c r="L442" s="23">
        <f t="shared" si="58"/>
        <v>0</v>
      </c>
      <c r="M442" s="12">
        <f t="shared" si="63"/>
        <v>0</v>
      </c>
      <c r="N442" s="23">
        <f t="shared" si="59"/>
        <v>0</v>
      </c>
      <c r="O442" s="41">
        <f t="shared" si="60"/>
        <v>0</v>
      </c>
      <c r="P442" s="13" t="str">
        <f t="shared" si="61"/>
        <v>NO</v>
      </c>
      <c r="Q442" s="23">
        <f t="shared" si="62"/>
        <v>0</v>
      </c>
      <c r="R442" s="12">
        <f t="shared" si="62"/>
        <v>0</v>
      </c>
    </row>
    <row r="443" spans="2:18">
      <c r="B443" t="str">
        <f t="shared" si="56"/>
        <v>EVER GESTRUDES BOLVITO ESTRADA46299</v>
      </c>
      <c r="C443" t="s">
        <v>222</v>
      </c>
      <c r="D443" s="121">
        <v>46299</v>
      </c>
      <c r="E443" t="s">
        <v>97</v>
      </c>
      <c r="F443" t="s">
        <v>72</v>
      </c>
      <c r="G443" s="122">
        <v>0</v>
      </c>
      <c r="H443" s="122">
        <v>0</v>
      </c>
      <c r="I443" s="112">
        <v>0</v>
      </c>
      <c r="J443" s="112">
        <v>0</v>
      </c>
      <c r="K443" s="23">
        <f t="shared" si="57"/>
        <v>0</v>
      </c>
      <c r="L443" s="23">
        <f t="shared" si="58"/>
        <v>0</v>
      </c>
      <c r="M443" s="12">
        <f t="shared" si="63"/>
        <v>0</v>
      </c>
      <c r="N443" s="23">
        <f t="shared" si="59"/>
        <v>0</v>
      </c>
      <c r="O443" s="41">
        <f t="shared" si="60"/>
        <v>0</v>
      </c>
      <c r="P443" s="13" t="str">
        <f t="shared" si="61"/>
        <v>NO</v>
      </c>
      <c r="Q443" s="23">
        <f t="shared" si="62"/>
        <v>0</v>
      </c>
      <c r="R443" s="12">
        <f t="shared" si="62"/>
        <v>0</v>
      </c>
    </row>
    <row r="444" spans="2:18">
      <c r="B444" t="str">
        <f t="shared" si="56"/>
        <v>Edvin Omar Chavez Cuque46279</v>
      </c>
      <c r="C444" t="s">
        <v>236</v>
      </c>
      <c r="D444" s="121">
        <v>46279</v>
      </c>
      <c r="E444" t="s">
        <v>98</v>
      </c>
      <c r="F444" t="s">
        <v>72</v>
      </c>
      <c r="G444" s="122">
        <v>0</v>
      </c>
      <c r="H444" s="122">
        <v>0</v>
      </c>
      <c r="I444" s="112">
        <v>0</v>
      </c>
      <c r="J444" s="112">
        <v>0</v>
      </c>
      <c r="K444" s="23">
        <f t="shared" si="57"/>
        <v>0</v>
      </c>
      <c r="L444" s="23">
        <f t="shared" si="58"/>
        <v>0</v>
      </c>
      <c r="M444" s="12">
        <f t="shared" si="63"/>
        <v>0</v>
      </c>
      <c r="N444" s="23">
        <f t="shared" si="59"/>
        <v>0</v>
      </c>
      <c r="O444" s="41">
        <f t="shared" si="60"/>
        <v>0</v>
      </c>
      <c r="P444" s="13" t="str">
        <f t="shared" si="61"/>
        <v>NO</v>
      </c>
      <c r="Q444" s="23">
        <f t="shared" si="62"/>
        <v>0</v>
      </c>
      <c r="R444" s="12">
        <f t="shared" si="62"/>
        <v>0</v>
      </c>
    </row>
    <row r="445" spans="2:18">
      <c r="B445" t="str">
        <f t="shared" si="56"/>
        <v>Edvin Omar Chavez Cuque46280</v>
      </c>
      <c r="C445" t="s">
        <v>236</v>
      </c>
      <c r="D445" s="121">
        <v>46280</v>
      </c>
      <c r="E445" t="s">
        <v>99</v>
      </c>
      <c r="F445" t="s">
        <v>35</v>
      </c>
      <c r="G445" s="122">
        <v>0.33333333333333298</v>
      </c>
      <c r="H445" s="122">
        <v>0.70833333333333304</v>
      </c>
      <c r="I445" s="112">
        <v>0</v>
      </c>
      <c r="J445" s="112">
        <v>0</v>
      </c>
      <c r="K445" s="23">
        <f t="shared" si="57"/>
        <v>0.33333333333333298</v>
      </c>
      <c r="L445" s="23">
        <f t="shared" si="58"/>
        <v>0</v>
      </c>
      <c r="M445" s="12">
        <f t="shared" si="63"/>
        <v>0.33333333333333298</v>
      </c>
      <c r="N445" s="23">
        <f t="shared" si="59"/>
        <v>0.70833333333333304</v>
      </c>
      <c r="O445" s="41">
        <f t="shared" si="60"/>
        <v>0</v>
      </c>
      <c r="P445" s="13" t="str">
        <f t="shared" si="61"/>
        <v>SI</v>
      </c>
      <c r="Q445" s="23">
        <f t="shared" si="62"/>
        <v>0.33333333333333298</v>
      </c>
      <c r="R445" s="12">
        <f t="shared" si="62"/>
        <v>0.70833333333333304</v>
      </c>
    </row>
    <row r="446" spans="2:18">
      <c r="B446" t="str">
        <f t="shared" si="56"/>
        <v>Edvin Omar Chavez Cuque46281</v>
      </c>
      <c r="C446" t="s">
        <v>236</v>
      </c>
      <c r="D446" s="121">
        <v>46281</v>
      </c>
      <c r="E446" t="s">
        <v>100</v>
      </c>
      <c r="F446" t="s">
        <v>35</v>
      </c>
      <c r="G446" s="122">
        <v>0.33333333333333298</v>
      </c>
      <c r="H446" s="122">
        <v>0.70833333333333304</v>
      </c>
      <c r="I446" s="112">
        <v>0</v>
      </c>
      <c r="J446" s="112">
        <v>0</v>
      </c>
      <c r="K446" s="23">
        <f t="shared" si="57"/>
        <v>0.33333333333333298</v>
      </c>
      <c r="L446" s="23">
        <f t="shared" si="58"/>
        <v>0</v>
      </c>
      <c r="M446" s="12">
        <f t="shared" si="63"/>
        <v>0.33333333333333298</v>
      </c>
      <c r="N446" s="23">
        <f t="shared" si="59"/>
        <v>0.70833333333333304</v>
      </c>
      <c r="O446" s="41">
        <f t="shared" si="60"/>
        <v>0</v>
      </c>
      <c r="P446" s="13" t="str">
        <f t="shared" si="61"/>
        <v>SI</v>
      </c>
      <c r="Q446" s="23">
        <f t="shared" si="62"/>
        <v>0.33333333333333298</v>
      </c>
      <c r="R446" s="12">
        <f t="shared" si="62"/>
        <v>0.70833333333333304</v>
      </c>
    </row>
    <row r="447" spans="2:18">
      <c r="B447" t="str">
        <f t="shared" si="56"/>
        <v>Edvin Omar Chavez Cuque46282</v>
      </c>
      <c r="C447" t="s">
        <v>236</v>
      </c>
      <c r="D447" s="121">
        <v>46282</v>
      </c>
      <c r="E447" t="s">
        <v>101</v>
      </c>
      <c r="F447" t="s">
        <v>35</v>
      </c>
      <c r="G447" s="122">
        <v>0.25</v>
      </c>
      <c r="H447" s="122">
        <v>0.75</v>
      </c>
      <c r="I447" s="112">
        <v>0</v>
      </c>
      <c r="J447" s="112">
        <v>0</v>
      </c>
      <c r="K447" s="23">
        <f t="shared" si="57"/>
        <v>0.25</v>
      </c>
      <c r="L447" s="23">
        <f t="shared" si="58"/>
        <v>0</v>
      </c>
      <c r="M447" s="12">
        <f t="shared" si="63"/>
        <v>0.25</v>
      </c>
      <c r="N447" s="23">
        <f t="shared" si="59"/>
        <v>0.75</v>
      </c>
      <c r="O447" s="41">
        <f t="shared" si="60"/>
        <v>0</v>
      </c>
      <c r="P447" s="13" t="str">
        <f t="shared" si="61"/>
        <v>SI</v>
      </c>
      <c r="Q447" s="23">
        <f t="shared" si="62"/>
        <v>0.25</v>
      </c>
      <c r="R447" s="12">
        <f t="shared" si="62"/>
        <v>0.75</v>
      </c>
    </row>
    <row r="448" spans="2:18">
      <c r="B448" t="str">
        <f t="shared" si="56"/>
        <v>Edvin Omar Chavez Cuque46283</v>
      </c>
      <c r="C448" t="s">
        <v>236</v>
      </c>
      <c r="D448" s="121">
        <v>46283</v>
      </c>
      <c r="E448" t="s">
        <v>95</v>
      </c>
      <c r="F448" t="s">
        <v>35</v>
      </c>
      <c r="G448" s="122">
        <v>0.25</v>
      </c>
      <c r="H448" s="122">
        <v>0.75</v>
      </c>
      <c r="I448" s="112">
        <v>0</v>
      </c>
      <c r="J448" s="112">
        <v>0</v>
      </c>
      <c r="K448" s="23">
        <f t="shared" si="57"/>
        <v>0.25</v>
      </c>
      <c r="L448" s="23">
        <f t="shared" si="58"/>
        <v>0</v>
      </c>
      <c r="M448" s="12">
        <f t="shared" si="63"/>
        <v>0.25</v>
      </c>
      <c r="N448" s="23">
        <f t="shared" si="59"/>
        <v>0.75</v>
      </c>
      <c r="O448" s="41">
        <f t="shared" si="60"/>
        <v>0</v>
      </c>
      <c r="P448" s="13" t="str">
        <f t="shared" si="61"/>
        <v>SI</v>
      </c>
      <c r="Q448" s="23">
        <f t="shared" si="62"/>
        <v>0.25</v>
      </c>
      <c r="R448" s="12">
        <f t="shared" si="62"/>
        <v>0.75</v>
      </c>
    </row>
    <row r="449" spans="2:18">
      <c r="B449" t="str">
        <f t="shared" si="56"/>
        <v>Edvin Omar Chavez Cuque46284</v>
      </c>
      <c r="C449" t="s">
        <v>236</v>
      </c>
      <c r="D449" s="121">
        <v>46284</v>
      </c>
      <c r="E449" t="s">
        <v>96</v>
      </c>
      <c r="F449" t="s">
        <v>35</v>
      </c>
      <c r="G449" s="122">
        <v>0.25</v>
      </c>
      <c r="H449" s="122">
        <v>0.75</v>
      </c>
      <c r="I449" s="112">
        <v>0</v>
      </c>
      <c r="J449" s="112">
        <v>0</v>
      </c>
      <c r="K449" s="23">
        <f t="shared" si="57"/>
        <v>0.25</v>
      </c>
      <c r="L449" s="23">
        <f t="shared" si="58"/>
        <v>0</v>
      </c>
      <c r="M449" s="12">
        <f t="shared" si="63"/>
        <v>0.25</v>
      </c>
      <c r="N449" s="23">
        <f t="shared" si="59"/>
        <v>0.75</v>
      </c>
      <c r="O449" s="41">
        <f t="shared" si="60"/>
        <v>0</v>
      </c>
      <c r="P449" s="13" t="str">
        <f t="shared" si="61"/>
        <v>SI</v>
      </c>
      <c r="Q449" s="23">
        <f t="shared" si="62"/>
        <v>0.25</v>
      </c>
      <c r="R449" s="12">
        <f t="shared" si="62"/>
        <v>0.75</v>
      </c>
    </row>
    <row r="450" spans="2:18">
      <c r="B450" t="str">
        <f t="shared" si="56"/>
        <v>Edvin Omar Chavez Cuque46285</v>
      </c>
      <c r="C450" t="s">
        <v>236</v>
      </c>
      <c r="D450" s="121">
        <v>46285</v>
      </c>
      <c r="E450" t="s">
        <v>97</v>
      </c>
      <c r="F450" t="s">
        <v>72</v>
      </c>
      <c r="G450" s="122">
        <v>0</v>
      </c>
      <c r="H450" s="122">
        <v>0</v>
      </c>
      <c r="I450" s="112">
        <v>0</v>
      </c>
      <c r="J450" s="112">
        <v>0</v>
      </c>
      <c r="K450" s="23">
        <f t="shared" si="57"/>
        <v>0</v>
      </c>
      <c r="L450" s="23">
        <f t="shared" si="58"/>
        <v>0</v>
      </c>
      <c r="M450" s="12">
        <f t="shared" si="63"/>
        <v>0</v>
      </c>
      <c r="N450" s="23">
        <f t="shared" si="59"/>
        <v>0</v>
      </c>
      <c r="O450" s="41">
        <f t="shared" si="60"/>
        <v>0</v>
      </c>
      <c r="P450" s="13" t="str">
        <f t="shared" si="61"/>
        <v>NO</v>
      </c>
      <c r="Q450" s="23">
        <f t="shared" si="62"/>
        <v>0</v>
      </c>
      <c r="R450" s="12">
        <f t="shared" si="62"/>
        <v>0</v>
      </c>
    </row>
    <row r="451" spans="2:18">
      <c r="B451" t="str">
        <f t="shared" si="56"/>
        <v>Edvin Omar Chavez Cuque46286</v>
      </c>
      <c r="C451" t="s">
        <v>236</v>
      </c>
      <c r="D451" s="121">
        <v>46286</v>
      </c>
      <c r="E451" t="s">
        <v>98</v>
      </c>
      <c r="F451" t="s">
        <v>36</v>
      </c>
      <c r="G451" s="122">
        <v>0.75</v>
      </c>
      <c r="H451" s="122">
        <v>0.25</v>
      </c>
      <c r="I451" s="112">
        <v>0</v>
      </c>
      <c r="J451" s="112">
        <v>0</v>
      </c>
      <c r="K451" s="23">
        <f t="shared" si="57"/>
        <v>0.75</v>
      </c>
      <c r="L451" s="23">
        <f t="shared" si="58"/>
        <v>0</v>
      </c>
      <c r="M451" s="12">
        <f t="shared" si="63"/>
        <v>0.75</v>
      </c>
      <c r="N451" s="23">
        <f t="shared" si="59"/>
        <v>0.25</v>
      </c>
      <c r="O451" s="41">
        <f t="shared" si="60"/>
        <v>0</v>
      </c>
      <c r="P451" s="13" t="str">
        <f t="shared" si="61"/>
        <v>SI</v>
      </c>
      <c r="Q451" s="23">
        <f t="shared" si="62"/>
        <v>0.75</v>
      </c>
      <c r="R451" s="12">
        <f t="shared" si="62"/>
        <v>0.25</v>
      </c>
    </row>
    <row r="452" spans="2:18">
      <c r="B452" t="str">
        <f t="shared" si="56"/>
        <v>Edvin Omar Chavez Cuque46287</v>
      </c>
      <c r="C452" t="s">
        <v>236</v>
      </c>
      <c r="D452" s="121">
        <v>46287</v>
      </c>
      <c r="E452" t="s">
        <v>99</v>
      </c>
      <c r="F452" t="s">
        <v>36</v>
      </c>
      <c r="G452" s="122">
        <v>0.75</v>
      </c>
      <c r="H452" s="122">
        <v>0.25</v>
      </c>
      <c r="I452" s="112">
        <v>0</v>
      </c>
      <c r="J452" s="112">
        <v>0</v>
      </c>
      <c r="K452" s="23">
        <f t="shared" si="57"/>
        <v>0.75</v>
      </c>
      <c r="L452" s="23">
        <f t="shared" si="58"/>
        <v>0</v>
      </c>
      <c r="M452" s="12">
        <f t="shared" si="63"/>
        <v>0.75</v>
      </c>
      <c r="N452" s="23">
        <f t="shared" si="59"/>
        <v>0.25</v>
      </c>
      <c r="O452" s="41">
        <f t="shared" si="60"/>
        <v>0</v>
      </c>
      <c r="P452" s="13" t="str">
        <f t="shared" si="61"/>
        <v>SI</v>
      </c>
      <c r="Q452" s="23">
        <f t="shared" si="62"/>
        <v>0.75</v>
      </c>
      <c r="R452" s="12">
        <f t="shared" si="62"/>
        <v>0.25</v>
      </c>
    </row>
    <row r="453" spans="2:18">
      <c r="B453" t="str">
        <f t="shared" si="56"/>
        <v>Edvin Omar Chavez Cuque46288</v>
      </c>
      <c r="C453" t="s">
        <v>236</v>
      </c>
      <c r="D453" s="121">
        <v>46288</v>
      </c>
      <c r="E453" t="s">
        <v>100</v>
      </c>
      <c r="F453" t="s">
        <v>36</v>
      </c>
      <c r="G453" s="122">
        <v>0.75</v>
      </c>
      <c r="H453" s="122">
        <v>0.25</v>
      </c>
      <c r="I453" s="112">
        <v>0</v>
      </c>
      <c r="J453" s="112">
        <v>0</v>
      </c>
      <c r="K453" s="23">
        <f t="shared" si="57"/>
        <v>0.75</v>
      </c>
      <c r="L453" s="23">
        <f t="shared" si="58"/>
        <v>0</v>
      </c>
      <c r="M453" s="12">
        <f t="shared" si="63"/>
        <v>0.75</v>
      </c>
      <c r="N453" s="23">
        <f t="shared" si="59"/>
        <v>0.25</v>
      </c>
      <c r="O453" s="41">
        <f t="shared" si="60"/>
        <v>0</v>
      </c>
      <c r="P453" s="13" t="str">
        <f t="shared" si="61"/>
        <v>SI</v>
      </c>
      <c r="Q453" s="23">
        <f t="shared" si="62"/>
        <v>0.75</v>
      </c>
      <c r="R453" s="12">
        <f t="shared" si="62"/>
        <v>0.25</v>
      </c>
    </row>
    <row r="454" spans="2:18">
      <c r="B454" t="str">
        <f t="shared" si="56"/>
        <v>Edvin Omar Chavez Cuque46289</v>
      </c>
      <c r="C454" t="s">
        <v>236</v>
      </c>
      <c r="D454" s="121">
        <v>46289</v>
      </c>
      <c r="E454" t="s">
        <v>101</v>
      </c>
      <c r="F454" t="s">
        <v>72</v>
      </c>
      <c r="G454" s="122">
        <v>0</v>
      </c>
      <c r="H454" s="122">
        <v>0</v>
      </c>
      <c r="I454" s="112">
        <v>0</v>
      </c>
      <c r="J454" s="112">
        <v>0</v>
      </c>
      <c r="K454" s="23">
        <f t="shared" si="57"/>
        <v>0</v>
      </c>
      <c r="L454" s="23">
        <f t="shared" si="58"/>
        <v>0</v>
      </c>
      <c r="M454" s="12">
        <f t="shared" si="63"/>
        <v>0</v>
      </c>
      <c r="N454" s="23">
        <f t="shared" si="59"/>
        <v>0</v>
      </c>
      <c r="O454" s="41">
        <f t="shared" si="60"/>
        <v>0</v>
      </c>
      <c r="P454" s="13" t="str">
        <f t="shared" si="61"/>
        <v>NO</v>
      </c>
      <c r="Q454" s="23">
        <f t="shared" si="62"/>
        <v>0</v>
      </c>
      <c r="R454" s="12">
        <f t="shared" si="62"/>
        <v>0</v>
      </c>
    </row>
    <row r="455" spans="2:18">
      <c r="B455" t="str">
        <f t="shared" si="56"/>
        <v>Edvin Omar Chavez Cuque46290</v>
      </c>
      <c r="C455" t="s">
        <v>236</v>
      </c>
      <c r="D455" s="121">
        <v>46290</v>
      </c>
      <c r="E455" t="s">
        <v>95</v>
      </c>
      <c r="F455" t="s">
        <v>72</v>
      </c>
      <c r="G455" s="122">
        <v>0</v>
      </c>
      <c r="H455" s="122">
        <v>0</v>
      </c>
      <c r="I455" s="112">
        <v>0</v>
      </c>
      <c r="J455" s="112">
        <v>0</v>
      </c>
      <c r="K455" s="23">
        <f t="shared" si="57"/>
        <v>0</v>
      </c>
      <c r="L455" s="23">
        <f t="shared" si="58"/>
        <v>0</v>
      </c>
      <c r="M455" s="12">
        <f t="shared" si="63"/>
        <v>0</v>
      </c>
      <c r="N455" s="23">
        <f t="shared" si="59"/>
        <v>0</v>
      </c>
      <c r="O455" s="41">
        <f t="shared" si="60"/>
        <v>0</v>
      </c>
      <c r="P455" s="13" t="str">
        <f t="shared" si="61"/>
        <v>NO</v>
      </c>
      <c r="Q455" s="23">
        <f t="shared" si="62"/>
        <v>0</v>
      </c>
      <c r="R455" s="12">
        <f t="shared" si="62"/>
        <v>0</v>
      </c>
    </row>
    <row r="456" spans="2:18">
      <c r="B456" t="str">
        <f t="shared" si="56"/>
        <v>Edvin Omar Chavez Cuque46291</v>
      </c>
      <c r="C456" t="s">
        <v>236</v>
      </c>
      <c r="D456" s="121">
        <v>46291</v>
      </c>
      <c r="E456" t="s">
        <v>96</v>
      </c>
      <c r="F456" t="s">
        <v>72</v>
      </c>
      <c r="G456" s="122">
        <v>0</v>
      </c>
      <c r="H456" s="122">
        <v>0</v>
      </c>
      <c r="I456" s="112">
        <v>0</v>
      </c>
      <c r="J456" s="112">
        <v>0</v>
      </c>
      <c r="K456" s="23">
        <f t="shared" si="57"/>
        <v>0</v>
      </c>
      <c r="L456" s="23">
        <f t="shared" si="58"/>
        <v>0</v>
      </c>
      <c r="M456" s="12">
        <f t="shared" si="63"/>
        <v>0</v>
      </c>
      <c r="N456" s="23">
        <f t="shared" si="59"/>
        <v>0</v>
      </c>
      <c r="O456" s="41">
        <f t="shared" si="60"/>
        <v>0</v>
      </c>
      <c r="P456" s="13" t="str">
        <f t="shared" si="61"/>
        <v>NO</v>
      </c>
      <c r="Q456" s="23">
        <f t="shared" si="62"/>
        <v>0</v>
      </c>
      <c r="R456" s="12">
        <f t="shared" si="62"/>
        <v>0</v>
      </c>
    </row>
    <row r="457" spans="2:18">
      <c r="B457" t="str">
        <f t="shared" si="56"/>
        <v>Edvin Omar Chavez Cuque46292</v>
      </c>
      <c r="C457" t="s">
        <v>236</v>
      </c>
      <c r="D457" s="121">
        <v>46292</v>
      </c>
      <c r="E457" t="s">
        <v>97</v>
      </c>
      <c r="F457" t="s">
        <v>72</v>
      </c>
      <c r="G457" s="122">
        <v>0</v>
      </c>
      <c r="H457" s="122">
        <v>0</v>
      </c>
      <c r="I457" s="112">
        <v>0</v>
      </c>
      <c r="J457" s="112">
        <v>0</v>
      </c>
      <c r="K457" s="23">
        <f t="shared" si="57"/>
        <v>0</v>
      </c>
      <c r="L457" s="23">
        <f t="shared" si="58"/>
        <v>0</v>
      </c>
      <c r="M457" s="12">
        <f t="shared" si="63"/>
        <v>0</v>
      </c>
      <c r="N457" s="23">
        <f t="shared" si="59"/>
        <v>0</v>
      </c>
      <c r="O457" s="41">
        <f t="shared" si="60"/>
        <v>0</v>
      </c>
      <c r="P457" s="13" t="str">
        <f t="shared" si="61"/>
        <v>NO</v>
      </c>
      <c r="Q457" s="23">
        <f t="shared" si="62"/>
        <v>0</v>
      </c>
      <c r="R457" s="12">
        <f t="shared" si="62"/>
        <v>0</v>
      </c>
    </row>
    <row r="458" spans="2:18">
      <c r="B458" t="str">
        <f t="shared" si="56"/>
        <v>Edvin Omar Chavez Cuque46293</v>
      </c>
      <c r="C458" t="s">
        <v>236</v>
      </c>
      <c r="D458" s="121">
        <v>46293</v>
      </c>
      <c r="E458" t="s">
        <v>98</v>
      </c>
      <c r="F458" t="s">
        <v>35</v>
      </c>
      <c r="G458" s="122">
        <v>0.25</v>
      </c>
      <c r="H458" s="122">
        <v>0.75</v>
      </c>
      <c r="I458" s="112">
        <v>0</v>
      </c>
      <c r="J458" s="112">
        <v>0</v>
      </c>
      <c r="K458" s="23">
        <f t="shared" si="57"/>
        <v>0.25</v>
      </c>
      <c r="L458" s="23">
        <f t="shared" si="58"/>
        <v>0</v>
      </c>
      <c r="M458" s="12">
        <f t="shared" si="63"/>
        <v>0.25</v>
      </c>
      <c r="N458" s="23">
        <f t="shared" si="59"/>
        <v>0.75</v>
      </c>
      <c r="O458" s="41">
        <f t="shared" si="60"/>
        <v>0</v>
      </c>
      <c r="P458" s="13" t="str">
        <f t="shared" si="61"/>
        <v>SI</v>
      </c>
      <c r="Q458" s="23">
        <f t="shared" si="62"/>
        <v>0.25</v>
      </c>
      <c r="R458" s="12">
        <f t="shared" si="62"/>
        <v>0.75</v>
      </c>
    </row>
    <row r="459" spans="2:18">
      <c r="B459" t="str">
        <f t="shared" si="56"/>
        <v>Edvin Omar Chavez Cuque46294</v>
      </c>
      <c r="C459" t="s">
        <v>236</v>
      </c>
      <c r="D459" s="121">
        <v>46294</v>
      </c>
      <c r="E459" t="s">
        <v>99</v>
      </c>
      <c r="F459" t="s">
        <v>35</v>
      </c>
      <c r="G459" s="122">
        <v>0.25</v>
      </c>
      <c r="H459" s="122">
        <v>0.75</v>
      </c>
      <c r="I459" s="112">
        <v>0</v>
      </c>
      <c r="J459" s="112">
        <v>0</v>
      </c>
      <c r="K459" s="23">
        <f t="shared" si="57"/>
        <v>0.25</v>
      </c>
      <c r="L459" s="23">
        <f t="shared" si="58"/>
        <v>0</v>
      </c>
      <c r="M459" s="12">
        <f t="shared" si="63"/>
        <v>0.25</v>
      </c>
      <c r="N459" s="23">
        <f t="shared" si="59"/>
        <v>0.75</v>
      </c>
      <c r="O459" s="41">
        <f t="shared" si="60"/>
        <v>0</v>
      </c>
      <c r="P459" s="13" t="str">
        <f t="shared" si="61"/>
        <v>SI</v>
      </c>
      <c r="Q459" s="23">
        <f t="shared" si="62"/>
        <v>0.25</v>
      </c>
      <c r="R459" s="12">
        <f t="shared" si="62"/>
        <v>0.75</v>
      </c>
    </row>
    <row r="460" spans="2:18">
      <c r="B460" t="str">
        <f t="shared" si="56"/>
        <v>Edvin Omar Chavez Cuque46295</v>
      </c>
      <c r="C460" t="s">
        <v>236</v>
      </c>
      <c r="D460" s="121">
        <v>46295</v>
      </c>
      <c r="E460" t="s">
        <v>100</v>
      </c>
      <c r="F460" t="s">
        <v>35</v>
      </c>
      <c r="G460" s="122">
        <v>0.25</v>
      </c>
      <c r="H460" s="122">
        <v>0.75</v>
      </c>
      <c r="I460" s="112">
        <v>0</v>
      </c>
      <c r="J460" s="112">
        <v>0</v>
      </c>
      <c r="K460" s="23">
        <f t="shared" si="57"/>
        <v>0.25</v>
      </c>
      <c r="L460" s="23">
        <f t="shared" si="58"/>
        <v>0</v>
      </c>
      <c r="M460" s="12">
        <f t="shared" si="63"/>
        <v>0.25</v>
      </c>
      <c r="N460" s="23">
        <f t="shared" si="59"/>
        <v>0.75</v>
      </c>
      <c r="O460" s="41">
        <f t="shared" si="60"/>
        <v>0</v>
      </c>
      <c r="P460" s="13" t="str">
        <f t="shared" si="61"/>
        <v>SI</v>
      </c>
      <c r="Q460" s="23">
        <f t="shared" si="62"/>
        <v>0.25</v>
      </c>
      <c r="R460" s="12">
        <f t="shared" si="62"/>
        <v>0.75</v>
      </c>
    </row>
    <row r="461" spans="2:18">
      <c r="B461" t="str">
        <f t="shared" si="56"/>
        <v>Edvin Omar Chavez Cuque46296</v>
      </c>
      <c r="C461" t="s">
        <v>236</v>
      </c>
      <c r="D461" s="121">
        <v>46296</v>
      </c>
      <c r="E461" t="s">
        <v>101</v>
      </c>
      <c r="F461" t="s">
        <v>35</v>
      </c>
      <c r="G461" s="122">
        <v>0.25</v>
      </c>
      <c r="H461" s="122">
        <v>0.75</v>
      </c>
      <c r="I461" s="112">
        <v>0</v>
      </c>
      <c r="J461" s="112">
        <v>0</v>
      </c>
      <c r="K461" s="23">
        <f t="shared" si="57"/>
        <v>0.25</v>
      </c>
      <c r="L461" s="23">
        <f t="shared" si="58"/>
        <v>0</v>
      </c>
      <c r="M461" s="12">
        <f t="shared" si="63"/>
        <v>0.25</v>
      </c>
      <c r="N461" s="23">
        <f t="shared" si="59"/>
        <v>0.75</v>
      </c>
      <c r="O461" s="41">
        <f t="shared" si="60"/>
        <v>0</v>
      </c>
      <c r="P461" s="13" t="str">
        <f t="shared" si="61"/>
        <v>SI</v>
      </c>
      <c r="Q461" s="23">
        <f t="shared" si="62"/>
        <v>0.25</v>
      </c>
      <c r="R461" s="12">
        <f t="shared" si="62"/>
        <v>0.75</v>
      </c>
    </row>
    <row r="462" spans="2:18">
      <c r="B462" t="str">
        <f t="shared" si="56"/>
        <v>Edvin Omar Chavez Cuque46297</v>
      </c>
      <c r="C462" t="s">
        <v>236</v>
      </c>
      <c r="D462" s="121">
        <v>46297</v>
      </c>
      <c r="E462" t="s">
        <v>95</v>
      </c>
      <c r="F462" t="s">
        <v>35</v>
      </c>
      <c r="G462" s="122">
        <v>0.29166666666666702</v>
      </c>
      <c r="H462" s="122">
        <v>0.75</v>
      </c>
      <c r="I462" s="112">
        <v>0</v>
      </c>
      <c r="J462" s="112">
        <v>0</v>
      </c>
      <c r="K462" s="23">
        <f t="shared" si="57"/>
        <v>0.29166666666666702</v>
      </c>
      <c r="L462" s="23">
        <f t="shared" si="58"/>
        <v>0</v>
      </c>
      <c r="M462" s="12">
        <f t="shared" si="63"/>
        <v>0.29166666666666702</v>
      </c>
      <c r="N462" s="23">
        <f t="shared" si="59"/>
        <v>0.75</v>
      </c>
      <c r="O462" s="41">
        <f t="shared" si="60"/>
        <v>0</v>
      </c>
      <c r="P462" s="13" t="str">
        <f t="shared" si="61"/>
        <v>SI</v>
      </c>
      <c r="Q462" s="23">
        <f t="shared" si="62"/>
        <v>0.29166666666666702</v>
      </c>
      <c r="R462" s="12">
        <f t="shared" si="62"/>
        <v>0.75</v>
      </c>
    </row>
    <row r="463" spans="2:18">
      <c r="B463" t="str">
        <f t="shared" si="56"/>
        <v>Edvin Omar Chavez Cuque46298</v>
      </c>
      <c r="C463" t="s">
        <v>236</v>
      </c>
      <c r="D463" s="121">
        <v>46298</v>
      </c>
      <c r="E463" t="s">
        <v>96</v>
      </c>
      <c r="F463" t="s">
        <v>35</v>
      </c>
      <c r="G463" s="122">
        <v>0.25</v>
      </c>
      <c r="H463" s="122">
        <v>0.75</v>
      </c>
      <c r="I463" s="112">
        <v>0</v>
      </c>
      <c r="J463" s="112">
        <v>0</v>
      </c>
      <c r="K463" s="23">
        <f t="shared" si="57"/>
        <v>0.25</v>
      </c>
      <c r="L463" s="23">
        <f t="shared" si="58"/>
        <v>0</v>
      </c>
      <c r="M463" s="12">
        <f t="shared" si="63"/>
        <v>0.25</v>
      </c>
      <c r="N463" s="23">
        <f t="shared" si="59"/>
        <v>0.75</v>
      </c>
      <c r="O463" s="41">
        <f t="shared" si="60"/>
        <v>0</v>
      </c>
      <c r="P463" s="13" t="str">
        <f t="shared" si="61"/>
        <v>SI</v>
      </c>
      <c r="Q463" s="23">
        <f t="shared" si="62"/>
        <v>0.25</v>
      </c>
      <c r="R463" s="12">
        <f t="shared" si="62"/>
        <v>0.75</v>
      </c>
    </row>
    <row r="464" spans="2:18">
      <c r="B464" t="str">
        <f t="shared" si="56"/>
        <v>Edvin Omar Chavez Cuque46299</v>
      </c>
      <c r="C464" t="s">
        <v>236</v>
      </c>
      <c r="D464" s="121">
        <v>46299</v>
      </c>
      <c r="E464" t="s">
        <v>97</v>
      </c>
      <c r="F464" t="s">
        <v>72</v>
      </c>
      <c r="G464" s="122">
        <v>0</v>
      </c>
      <c r="H464" s="122">
        <v>0</v>
      </c>
      <c r="I464" s="112">
        <v>0</v>
      </c>
      <c r="J464" s="112">
        <v>0</v>
      </c>
      <c r="K464" s="23">
        <f t="shared" si="57"/>
        <v>0</v>
      </c>
      <c r="L464" s="23">
        <f t="shared" si="58"/>
        <v>0</v>
      </c>
      <c r="M464" s="12">
        <f t="shared" si="63"/>
        <v>0</v>
      </c>
      <c r="N464" s="23">
        <f t="shared" si="59"/>
        <v>0</v>
      </c>
      <c r="O464" s="41">
        <f t="shared" si="60"/>
        <v>0</v>
      </c>
      <c r="P464" s="13" t="str">
        <f t="shared" si="61"/>
        <v>NO</v>
      </c>
      <c r="Q464" s="23">
        <f t="shared" si="62"/>
        <v>0</v>
      </c>
      <c r="R464" s="12">
        <f t="shared" si="62"/>
        <v>0</v>
      </c>
    </row>
    <row r="465" spans="2:18">
      <c r="B465" t="str">
        <f t="shared" si="56"/>
        <v>Elkyn Geocanny Bran Navarro46279</v>
      </c>
      <c r="C465" t="s">
        <v>254</v>
      </c>
      <c r="D465" s="121">
        <v>46279</v>
      </c>
      <c r="E465" t="s">
        <v>98</v>
      </c>
      <c r="F465" t="s">
        <v>72</v>
      </c>
      <c r="G465" s="122">
        <v>0</v>
      </c>
      <c r="H465" s="122">
        <v>0</v>
      </c>
      <c r="I465" s="112">
        <v>0</v>
      </c>
      <c r="J465" s="112">
        <v>0</v>
      </c>
      <c r="K465" s="23">
        <f t="shared" si="57"/>
        <v>0</v>
      </c>
      <c r="L465" s="23">
        <f t="shared" si="58"/>
        <v>0</v>
      </c>
      <c r="M465" s="12">
        <f t="shared" si="63"/>
        <v>0</v>
      </c>
      <c r="N465" s="23">
        <f t="shared" si="59"/>
        <v>0</v>
      </c>
      <c r="O465" s="41">
        <f t="shared" si="60"/>
        <v>0</v>
      </c>
      <c r="P465" s="13" t="str">
        <f t="shared" si="61"/>
        <v>NO</v>
      </c>
      <c r="Q465" s="23">
        <f t="shared" si="62"/>
        <v>0</v>
      </c>
      <c r="R465" s="12">
        <f t="shared" si="62"/>
        <v>0</v>
      </c>
    </row>
    <row r="466" spans="2:18">
      <c r="B466" t="str">
        <f t="shared" si="56"/>
        <v>Elkyn Geocanny Bran Navarro46280</v>
      </c>
      <c r="C466" t="s">
        <v>254</v>
      </c>
      <c r="D466" s="121">
        <v>46280</v>
      </c>
      <c r="E466" t="s">
        <v>99</v>
      </c>
      <c r="F466" t="s">
        <v>35</v>
      </c>
      <c r="G466" s="122">
        <v>0.33333333333333298</v>
      </c>
      <c r="H466" s="122">
        <v>0.70833333333333304</v>
      </c>
      <c r="I466" s="112">
        <v>0</v>
      </c>
      <c r="J466" s="112">
        <v>0</v>
      </c>
      <c r="K466" s="23">
        <f t="shared" si="57"/>
        <v>0.33333333333333298</v>
      </c>
      <c r="L466" s="23">
        <f t="shared" si="58"/>
        <v>0</v>
      </c>
      <c r="M466" s="12">
        <f t="shared" si="63"/>
        <v>0.33333333333333298</v>
      </c>
      <c r="N466" s="23">
        <f t="shared" si="59"/>
        <v>0.70833333333333304</v>
      </c>
      <c r="O466" s="41">
        <f t="shared" si="60"/>
        <v>0</v>
      </c>
      <c r="P466" s="13" t="str">
        <f t="shared" si="61"/>
        <v>SI</v>
      </c>
      <c r="Q466" s="23">
        <f t="shared" si="62"/>
        <v>0.33333333333333298</v>
      </c>
      <c r="R466" s="12">
        <f t="shared" si="62"/>
        <v>0.70833333333333304</v>
      </c>
    </row>
    <row r="467" spans="2:18">
      <c r="B467" t="str">
        <f t="shared" si="56"/>
        <v>Elkyn Geocanny Bran Navarro46281</v>
      </c>
      <c r="C467" t="s">
        <v>254</v>
      </c>
      <c r="D467" s="121">
        <v>46281</v>
      </c>
      <c r="E467" t="s">
        <v>100</v>
      </c>
      <c r="F467" t="s">
        <v>36</v>
      </c>
      <c r="G467" s="122">
        <v>0.75</v>
      </c>
      <c r="H467" s="122">
        <v>0.25</v>
      </c>
      <c r="I467" s="112">
        <v>0</v>
      </c>
      <c r="J467" s="112">
        <v>0</v>
      </c>
      <c r="K467" s="23">
        <f t="shared" si="57"/>
        <v>0.75</v>
      </c>
      <c r="L467" s="23">
        <f t="shared" si="58"/>
        <v>0</v>
      </c>
      <c r="M467" s="12">
        <f t="shared" si="63"/>
        <v>0.75</v>
      </c>
      <c r="N467" s="23">
        <f t="shared" si="59"/>
        <v>0.25</v>
      </c>
      <c r="O467" s="41">
        <f t="shared" si="60"/>
        <v>0</v>
      </c>
      <c r="P467" s="13" t="str">
        <f t="shared" si="61"/>
        <v>SI</v>
      </c>
      <c r="Q467" s="23">
        <f t="shared" si="62"/>
        <v>0.75</v>
      </c>
      <c r="R467" s="12">
        <f t="shared" si="62"/>
        <v>0.25</v>
      </c>
    </row>
    <row r="468" spans="2:18">
      <c r="B468" t="str">
        <f t="shared" si="56"/>
        <v>Elkyn Geocanny Bran Navarro46282</v>
      </c>
      <c r="C468" t="s">
        <v>254</v>
      </c>
      <c r="D468" s="121">
        <v>46282</v>
      </c>
      <c r="E468" t="s">
        <v>101</v>
      </c>
      <c r="F468" t="s">
        <v>36</v>
      </c>
      <c r="G468" s="122">
        <v>0.75</v>
      </c>
      <c r="H468" s="122">
        <v>0.25</v>
      </c>
      <c r="I468" s="112">
        <v>0</v>
      </c>
      <c r="J468" s="112">
        <v>0</v>
      </c>
      <c r="K468" s="23">
        <f t="shared" si="57"/>
        <v>0.75</v>
      </c>
      <c r="L468" s="23">
        <f t="shared" si="58"/>
        <v>0</v>
      </c>
      <c r="M468" s="12">
        <f t="shared" si="63"/>
        <v>0.75</v>
      </c>
      <c r="N468" s="23">
        <f t="shared" si="59"/>
        <v>0.25</v>
      </c>
      <c r="O468" s="41">
        <f t="shared" si="60"/>
        <v>0</v>
      </c>
      <c r="P468" s="13" t="str">
        <f t="shared" si="61"/>
        <v>SI</v>
      </c>
      <c r="Q468" s="23">
        <f t="shared" si="62"/>
        <v>0.75</v>
      </c>
      <c r="R468" s="12">
        <f t="shared" si="62"/>
        <v>0.25</v>
      </c>
    </row>
    <row r="469" spans="2:18">
      <c r="B469" t="str">
        <f t="shared" si="56"/>
        <v>Elkyn Geocanny Bran Navarro46283</v>
      </c>
      <c r="C469" t="s">
        <v>254</v>
      </c>
      <c r="D469" s="121">
        <v>46283</v>
      </c>
      <c r="E469" t="s">
        <v>95</v>
      </c>
      <c r="F469" t="s">
        <v>36</v>
      </c>
      <c r="G469" s="122">
        <v>0.75</v>
      </c>
      <c r="H469" s="122">
        <v>0.25</v>
      </c>
      <c r="I469" s="112">
        <v>0</v>
      </c>
      <c r="J469" s="112">
        <v>0</v>
      </c>
      <c r="K469" s="23">
        <f t="shared" si="57"/>
        <v>0.75</v>
      </c>
      <c r="L469" s="23">
        <f t="shared" si="58"/>
        <v>0</v>
      </c>
      <c r="M469" s="12">
        <f t="shared" si="63"/>
        <v>0.75</v>
      </c>
      <c r="N469" s="23">
        <f t="shared" si="59"/>
        <v>0.25</v>
      </c>
      <c r="O469" s="41">
        <f t="shared" si="60"/>
        <v>0</v>
      </c>
      <c r="P469" s="13" t="str">
        <f t="shared" si="61"/>
        <v>SI</v>
      </c>
      <c r="Q469" s="23">
        <f t="shared" si="62"/>
        <v>0.75</v>
      </c>
      <c r="R469" s="12">
        <f t="shared" si="62"/>
        <v>0.25</v>
      </c>
    </row>
    <row r="470" spans="2:18">
      <c r="B470" t="str">
        <f t="shared" si="56"/>
        <v>Elkyn Geocanny Bran Navarro46284</v>
      </c>
      <c r="C470" t="s">
        <v>254</v>
      </c>
      <c r="D470" s="121">
        <v>46284</v>
      </c>
      <c r="E470" t="s">
        <v>96</v>
      </c>
      <c r="F470" t="s">
        <v>72</v>
      </c>
      <c r="G470" s="122">
        <v>0</v>
      </c>
      <c r="H470" s="122">
        <v>0</v>
      </c>
      <c r="I470" s="112">
        <v>0</v>
      </c>
      <c r="J470" s="112">
        <v>0</v>
      </c>
      <c r="K470" s="23">
        <f t="shared" si="57"/>
        <v>0</v>
      </c>
      <c r="L470" s="23">
        <f t="shared" si="58"/>
        <v>0</v>
      </c>
      <c r="M470" s="12">
        <f t="shared" si="63"/>
        <v>0</v>
      </c>
      <c r="N470" s="23">
        <f t="shared" si="59"/>
        <v>0</v>
      </c>
      <c r="O470" s="41">
        <f t="shared" si="60"/>
        <v>0</v>
      </c>
      <c r="P470" s="13" t="str">
        <f t="shared" si="61"/>
        <v>NO</v>
      </c>
      <c r="Q470" s="23">
        <f t="shared" si="62"/>
        <v>0</v>
      </c>
      <c r="R470" s="12">
        <f t="shared" si="62"/>
        <v>0</v>
      </c>
    </row>
    <row r="471" spans="2:18">
      <c r="B471" t="str">
        <f t="shared" si="56"/>
        <v>Elkyn Geocanny Bran Navarro46285</v>
      </c>
      <c r="C471" t="s">
        <v>254</v>
      </c>
      <c r="D471" s="121">
        <v>46285</v>
      </c>
      <c r="E471" t="s">
        <v>97</v>
      </c>
      <c r="F471" t="s">
        <v>72</v>
      </c>
      <c r="G471" s="122">
        <v>0</v>
      </c>
      <c r="H471" s="122">
        <v>0</v>
      </c>
      <c r="I471" s="112">
        <v>0</v>
      </c>
      <c r="J471" s="112">
        <v>0</v>
      </c>
      <c r="K471" s="23">
        <f t="shared" si="57"/>
        <v>0</v>
      </c>
      <c r="L471" s="23">
        <f t="shared" si="58"/>
        <v>0</v>
      </c>
      <c r="M471" s="12">
        <f t="shared" si="63"/>
        <v>0</v>
      </c>
      <c r="N471" s="23">
        <f t="shared" si="59"/>
        <v>0</v>
      </c>
      <c r="O471" s="41">
        <f t="shared" si="60"/>
        <v>0</v>
      </c>
      <c r="P471" s="13" t="str">
        <f t="shared" si="61"/>
        <v>NO</v>
      </c>
      <c r="Q471" s="23">
        <f t="shared" si="62"/>
        <v>0</v>
      </c>
      <c r="R471" s="12">
        <f t="shared" si="62"/>
        <v>0</v>
      </c>
    </row>
    <row r="472" spans="2:18">
      <c r="B472" t="str">
        <f t="shared" si="56"/>
        <v>Elkyn Geocanny Bran Navarro46286</v>
      </c>
      <c r="C472" t="s">
        <v>254</v>
      </c>
      <c r="D472" s="121">
        <v>46286</v>
      </c>
      <c r="E472" t="s">
        <v>98</v>
      </c>
      <c r="F472" t="s">
        <v>35</v>
      </c>
      <c r="G472" s="122">
        <v>0.25</v>
      </c>
      <c r="H472" s="122">
        <v>0.75</v>
      </c>
      <c r="I472" s="112">
        <v>0</v>
      </c>
      <c r="J472" s="112">
        <v>0</v>
      </c>
      <c r="K472" s="23">
        <f t="shared" si="57"/>
        <v>0.25</v>
      </c>
      <c r="L472" s="23">
        <f t="shared" si="58"/>
        <v>0</v>
      </c>
      <c r="M472" s="12">
        <f t="shared" si="63"/>
        <v>0.25</v>
      </c>
      <c r="N472" s="23">
        <f t="shared" si="59"/>
        <v>0.75</v>
      </c>
      <c r="O472" s="41">
        <f t="shared" si="60"/>
        <v>0</v>
      </c>
      <c r="P472" s="13" t="str">
        <f t="shared" si="61"/>
        <v>SI</v>
      </c>
      <c r="Q472" s="23">
        <f t="shared" si="62"/>
        <v>0.25</v>
      </c>
      <c r="R472" s="12">
        <f t="shared" si="62"/>
        <v>0.75</v>
      </c>
    </row>
    <row r="473" spans="2:18">
      <c r="B473" t="str">
        <f t="shared" si="56"/>
        <v>Elkyn Geocanny Bran Navarro46287</v>
      </c>
      <c r="C473" t="s">
        <v>254</v>
      </c>
      <c r="D473" s="121">
        <v>46287</v>
      </c>
      <c r="E473" t="s">
        <v>99</v>
      </c>
      <c r="F473" t="s">
        <v>35</v>
      </c>
      <c r="G473" s="122">
        <v>0.25</v>
      </c>
      <c r="H473" s="122">
        <v>0.75</v>
      </c>
      <c r="I473" s="112">
        <v>0</v>
      </c>
      <c r="J473" s="112">
        <v>0</v>
      </c>
      <c r="K473" s="23">
        <f t="shared" si="57"/>
        <v>0.25</v>
      </c>
      <c r="L473" s="23">
        <f t="shared" si="58"/>
        <v>0</v>
      </c>
      <c r="M473" s="12">
        <f t="shared" si="63"/>
        <v>0.25</v>
      </c>
      <c r="N473" s="23">
        <f t="shared" si="59"/>
        <v>0.75</v>
      </c>
      <c r="O473" s="41">
        <f t="shared" si="60"/>
        <v>0</v>
      </c>
      <c r="P473" s="13" t="str">
        <f t="shared" si="61"/>
        <v>SI</v>
      </c>
      <c r="Q473" s="23">
        <f t="shared" si="62"/>
        <v>0.25</v>
      </c>
      <c r="R473" s="12">
        <f t="shared" si="62"/>
        <v>0.75</v>
      </c>
    </row>
    <row r="474" spans="2:18">
      <c r="B474" t="str">
        <f t="shared" si="56"/>
        <v>Elkyn Geocanny Bran Navarro46288</v>
      </c>
      <c r="C474" t="s">
        <v>254</v>
      </c>
      <c r="D474" s="121">
        <v>46288</v>
      </c>
      <c r="E474" t="s">
        <v>100</v>
      </c>
      <c r="F474" t="s">
        <v>35</v>
      </c>
      <c r="G474" s="122">
        <v>0.25</v>
      </c>
      <c r="H474" s="122">
        <v>0.75</v>
      </c>
      <c r="I474" s="112">
        <v>0</v>
      </c>
      <c r="J474" s="112">
        <v>0</v>
      </c>
      <c r="K474" s="23">
        <f t="shared" si="57"/>
        <v>0.25</v>
      </c>
      <c r="L474" s="23">
        <f t="shared" si="58"/>
        <v>0</v>
      </c>
      <c r="M474" s="12">
        <f t="shared" si="63"/>
        <v>0.25</v>
      </c>
      <c r="N474" s="23">
        <f t="shared" si="59"/>
        <v>0.75</v>
      </c>
      <c r="O474" s="41">
        <f t="shared" si="60"/>
        <v>0</v>
      </c>
      <c r="P474" s="13" t="str">
        <f t="shared" si="61"/>
        <v>SI</v>
      </c>
      <c r="Q474" s="23">
        <f t="shared" si="62"/>
        <v>0.25</v>
      </c>
      <c r="R474" s="12">
        <f t="shared" si="62"/>
        <v>0.75</v>
      </c>
    </row>
    <row r="475" spans="2:18">
      <c r="B475" t="str">
        <f t="shared" si="56"/>
        <v>Elkyn Geocanny Bran Navarro46289</v>
      </c>
      <c r="C475" t="s">
        <v>254</v>
      </c>
      <c r="D475" s="121">
        <v>46289</v>
      </c>
      <c r="E475" t="s">
        <v>101</v>
      </c>
      <c r="F475" t="s">
        <v>35</v>
      </c>
      <c r="G475" s="122">
        <v>0.25</v>
      </c>
      <c r="H475" s="122">
        <v>0.75</v>
      </c>
      <c r="I475" s="112">
        <v>0</v>
      </c>
      <c r="J475" s="112">
        <v>0</v>
      </c>
      <c r="K475" s="23">
        <f t="shared" si="57"/>
        <v>0.25</v>
      </c>
      <c r="L475" s="23">
        <f t="shared" si="58"/>
        <v>0</v>
      </c>
      <c r="M475" s="12">
        <f t="shared" si="63"/>
        <v>0.25</v>
      </c>
      <c r="N475" s="23">
        <f t="shared" si="59"/>
        <v>0.75</v>
      </c>
      <c r="O475" s="41">
        <f t="shared" si="60"/>
        <v>0</v>
      </c>
      <c r="P475" s="13" t="str">
        <f t="shared" si="61"/>
        <v>SI</v>
      </c>
      <c r="Q475" s="23">
        <f t="shared" si="62"/>
        <v>0.25</v>
      </c>
      <c r="R475" s="12">
        <f t="shared" si="62"/>
        <v>0.75</v>
      </c>
    </row>
    <row r="476" spans="2:18">
      <c r="B476" t="str">
        <f t="shared" si="56"/>
        <v>Elkyn Geocanny Bran Navarro46290</v>
      </c>
      <c r="C476" t="s">
        <v>254</v>
      </c>
      <c r="D476" s="121">
        <v>46290</v>
      </c>
      <c r="E476" t="s">
        <v>95</v>
      </c>
      <c r="F476" t="s">
        <v>35</v>
      </c>
      <c r="G476" s="122">
        <v>0.25</v>
      </c>
      <c r="H476" s="122">
        <v>0.75</v>
      </c>
      <c r="I476" s="112">
        <v>0</v>
      </c>
      <c r="J476" s="112">
        <v>0</v>
      </c>
      <c r="K476" s="23">
        <f t="shared" si="57"/>
        <v>0.25</v>
      </c>
      <c r="L476" s="23">
        <f t="shared" si="58"/>
        <v>0</v>
      </c>
      <c r="M476" s="12">
        <f t="shared" si="63"/>
        <v>0.25</v>
      </c>
      <c r="N476" s="23">
        <f t="shared" si="59"/>
        <v>0.75</v>
      </c>
      <c r="O476" s="41">
        <f t="shared" si="60"/>
        <v>0</v>
      </c>
      <c r="P476" s="13" t="str">
        <f t="shared" si="61"/>
        <v>SI</v>
      </c>
      <c r="Q476" s="23">
        <f t="shared" si="62"/>
        <v>0.25</v>
      </c>
      <c r="R476" s="12">
        <f t="shared" si="62"/>
        <v>0.75</v>
      </c>
    </row>
    <row r="477" spans="2:18">
      <c r="B477" t="str">
        <f t="shared" si="56"/>
        <v>Elkyn Geocanny Bran Navarro46291</v>
      </c>
      <c r="C477" t="s">
        <v>254</v>
      </c>
      <c r="D477" s="121">
        <v>46291</v>
      </c>
      <c r="E477" t="s">
        <v>96</v>
      </c>
      <c r="F477" t="s">
        <v>35</v>
      </c>
      <c r="G477" s="122">
        <v>0.25</v>
      </c>
      <c r="H477" s="122">
        <v>0.58333333333333304</v>
      </c>
      <c r="I477" s="112">
        <v>0</v>
      </c>
      <c r="J477" s="112">
        <v>0</v>
      </c>
      <c r="K477" s="23">
        <f t="shared" si="57"/>
        <v>0.25</v>
      </c>
      <c r="L477" s="23">
        <f t="shared" si="58"/>
        <v>0</v>
      </c>
      <c r="M477" s="12">
        <f t="shared" si="63"/>
        <v>0.25</v>
      </c>
      <c r="N477" s="23">
        <f t="shared" si="59"/>
        <v>0.58333333333333304</v>
      </c>
      <c r="O477" s="41">
        <f t="shared" si="60"/>
        <v>0</v>
      </c>
      <c r="P477" s="13" t="str">
        <f t="shared" si="61"/>
        <v>SI</v>
      </c>
      <c r="Q477" s="23">
        <f t="shared" si="62"/>
        <v>0.25</v>
      </c>
      <c r="R477" s="12">
        <f t="shared" si="62"/>
        <v>0.58333333333333304</v>
      </c>
    </row>
    <row r="478" spans="2:18">
      <c r="B478" t="str">
        <f t="shared" si="56"/>
        <v>Elkyn Geocanny Bran Navarro46292</v>
      </c>
      <c r="C478" t="s">
        <v>254</v>
      </c>
      <c r="D478" s="121">
        <v>46292</v>
      </c>
      <c r="E478" t="s">
        <v>97</v>
      </c>
      <c r="F478" t="s">
        <v>72</v>
      </c>
      <c r="G478" s="122">
        <v>0</v>
      </c>
      <c r="H478" s="122">
        <v>0</v>
      </c>
      <c r="I478" s="112">
        <v>0</v>
      </c>
      <c r="J478" s="112">
        <v>0</v>
      </c>
      <c r="K478" s="23">
        <f t="shared" si="57"/>
        <v>0</v>
      </c>
      <c r="L478" s="23">
        <f t="shared" si="58"/>
        <v>0</v>
      </c>
      <c r="M478" s="12">
        <f t="shared" si="63"/>
        <v>0</v>
      </c>
      <c r="N478" s="23">
        <f t="shared" si="59"/>
        <v>0</v>
      </c>
      <c r="O478" s="41">
        <f t="shared" si="60"/>
        <v>0</v>
      </c>
      <c r="P478" s="13" t="str">
        <f t="shared" si="61"/>
        <v>NO</v>
      </c>
      <c r="Q478" s="23">
        <f t="shared" si="62"/>
        <v>0</v>
      </c>
      <c r="R478" s="12">
        <f t="shared" si="62"/>
        <v>0</v>
      </c>
    </row>
    <row r="479" spans="2:18">
      <c r="B479" t="str">
        <f t="shared" si="56"/>
        <v>Elkyn Geocanny Bran Navarro46293</v>
      </c>
      <c r="C479" t="s">
        <v>254</v>
      </c>
      <c r="D479" s="121">
        <v>46293</v>
      </c>
      <c r="E479" t="s">
        <v>98</v>
      </c>
      <c r="F479" t="s">
        <v>36</v>
      </c>
      <c r="G479" s="122">
        <v>0.75</v>
      </c>
      <c r="H479" s="122">
        <v>0.25</v>
      </c>
      <c r="I479" s="112">
        <v>0</v>
      </c>
      <c r="J479" s="112">
        <v>0</v>
      </c>
      <c r="K479" s="23">
        <f t="shared" si="57"/>
        <v>0.75</v>
      </c>
      <c r="L479" s="23">
        <f t="shared" si="58"/>
        <v>0</v>
      </c>
      <c r="M479" s="12">
        <f t="shared" si="63"/>
        <v>0.75</v>
      </c>
      <c r="N479" s="23">
        <f t="shared" si="59"/>
        <v>0.25</v>
      </c>
      <c r="O479" s="41">
        <f t="shared" si="60"/>
        <v>0</v>
      </c>
      <c r="P479" s="13" t="str">
        <f t="shared" si="61"/>
        <v>SI</v>
      </c>
      <c r="Q479" s="23">
        <f t="shared" si="62"/>
        <v>0.75</v>
      </c>
      <c r="R479" s="12">
        <f t="shared" si="62"/>
        <v>0.25</v>
      </c>
    </row>
    <row r="480" spans="2:18">
      <c r="B480" t="str">
        <f t="shared" si="56"/>
        <v>Elkyn Geocanny Bran Navarro46294</v>
      </c>
      <c r="C480" t="s">
        <v>254</v>
      </c>
      <c r="D480" s="121">
        <v>46294</v>
      </c>
      <c r="E480" t="s">
        <v>99</v>
      </c>
      <c r="F480" t="s">
        <v>36</v>
      </c>
      <c r="G480" s="122">
        <v>0.75</v>
      </c>
      <c r="H480" s="122">
        <v>0.25</v>
      </c>
      <c r="I480" s="112">
        <v>0</v>
      </c>
      <c r="J480" s="112">
        <v>0</v>
      </c>
      <c r="K480" s="23">
        <f t="shared" si="57"/>
        <v>0.75</v>
      </c>
      <c r="L480" s="23">
        <f t="shared" si="58"/>
        <v>0</v>
      </c>
      <c r="M480" s="12">
        <f t="shared" si="63"/>
        <v>0.75</v>
      </c>
      <c r="N480" s="23">
        <f t="shared" si="59"/>
        <v>0.25</v>
      </c>
      <c r="O480" s="41">
        <f t="shared" si="60"/>
        <v>0</v>
      </c>
      <c r="P480" s="13" t="str">
        <f t="shared" si="61"/>
        <v>SI</v>
      </c>
      <c r="Q480" s="23">
        <f t="shared" si="62"/>
        <v>0.75</v>
      </c>
      <c r="R480" s="12">
        <f t="shared" si="62"/>
        <v>0.25</v>
      </c>
    </row>
    <row r="481" spans="2:18">
      <c r="B481" t="str">
        <f t="shared" si="56"/>
        <v>Elkyn Geocanny Bran Navarro46295</v>
      </c>
      <c r="C481" t="s">
        <v>254</v>
      </c>
      <c r="D481" s="121">
        <v>46295</v>
      </c>
      <c r="E481" t="s">
        <v>100</v>
      </c>
      <c r="F481" t="s">
        <v>36</v>
      </c>
      <c r="G481" s="122">
        <v>0.75</v>
      </c>
      <c r="H481" s="122">
        <v>0.25</v>
      </c>
      <c r="I481" s="112">
        <v>0</v>
      </c>
      <c r="J481" s="112">
        <v>0</v>
      </c>
      <c r="K481" s="23">
        <f t="shared" si="57"/>
        <v>0.75</v>
      </c>
      <c r="L481" s="23">
        <f t="shared" si="58"/>
        <v>0</v>
      </c>
      <c r="M481" s="12">
        <f t="shared" si="63"/>
        <v>0.75</v>
      </c>
      <c r="N481" s="23">
        <f t="shared" si="59"/>
        <v>0.25</v>
      </c>
      <c r="O481" s="41">
        <f t="shared" si="60"/>
        <v>0</v>
      </c>
      <c r="P481" s="13" t="str">
        <f t="shared" si="61"/>
        <v>SI</v>
      </c>
      <c r="Q481" s="23">
        <f t="shared" si="62"/>
        <v>0.75</v>
      </c>
      <c r="R481" s="12">
        <f t="shared" si="62"/>
        <v>0.25</v>
      </c>
    </row>
    <row r="482" spans="2:18">
      <c r="B482" t="str">
        <f t="shared" si="56"/>
        <v>Elkyn Geocanny Bran Navarro46296</v>
      </c>
      <c r="C482" t="s">
        <v>254</v>
      </c>
      <c r="D482" s="121">
        <v>46296</v>
      </c>
      <c r="E482" t="s">
        <v>101</v>
      </c>
      <c r="F482" t="s">
        <v>36</v>
      </c>
      <c r="G482" s="122">
        <v>0.75</v>
      </c>
      <c r="H482" s="122">
        <v>0.25</v>
      </c>
      <c r="I482" s="112">
        <v>0</v>
      </c>
      <c r="J482" s="112">
        <v>0</v>
      </c>
      <c r="K482" s="23">
        <f t="shared" si="57"/>
        <v>0.75</v>
      </c>
      <c r="L482" s="23">
        <f t="shared" si="58"/>
        <v>0</v>
      </c>
      <c r="M482" s="12">
        <f t="shared" si="63"/>
        <v>0.75</v>
      </c>
      <c r="N482" s="23">
        <f t="shared" si="59"/>
        <v>0.25</v>
      </c>
      <c r="O482" s="41">
        <f t="shared" si="60"/>
        <v>0</v>
      </c>
      <c r="P482" s="13" t="str">
        <f t="shared" si="61"/>
        <v>SI</v>
      </c>
      <c r="Q482" s="23">
        <f t="shared" si="62"/>
        <v>0.75</v>
      </c>
      <c r="R482" s="12">
        <f t="shared" si="62"/>
        <v>0.25</v>
      </c>
    </row>
    <row r="483" spans="2:18">
      <c r="B483" t="str">
        <f t="shared" si="56"/>
        <v>Elkyn Geocanny Bran Navarro46297</v>
      </c>
      <c r="C483" t="s">
        <v>254</v>
      </c>
      <c r="D483" s="121">
        <v>46297</v>
      </c>
      <c r="E483" t="s">
        <v>95</v>
      </c>
      <c r="F483" t="s">
        <v>36</v>
      </c>
      <c r="G483" s="122">
        <v>0.75</v>
      </c>
      <c r="H483" s="122">
        <v>0.25</v>
      </c>
      <c r="I483" s="112">
        <v>0</v>
      </c>
      <c r="J483" s="112">
        <v>0</v>
      </c>
      <c r="K483" s="23">
        <f t="shared" si="57"/>
        <v>0.75</v>
      </c>
      <c r="L483" s="23">
        <f t="shared" si="58"/>
        <v>0</v>
      </c>
      <c r="M483" s="12">
        <f t="shared" si="63"/>
        <v>0.75</v>
      </c>
      <c r="N483" s="23">
        <f t="shared" si="59"/>
        <v>0.25</v>
      </c>
      <c r="O483" s="41">
        <f t="shared" si="60"/>
        <v>0</v>
      </c>
      <c r="P483" s="13" t="str">
        <f t="shared" si="61"/>
        <v>SI</v>
      </c>
      <c r="Q483" s="23">
        <f t="shared" si="62"/>
        <v>0.75</v>
      </c>
      <c r="R483" s="12">
        <f t="shared" si="62"/>
        <v>0.25</v>
      </c>
    </row>
    <row r="484" spans="2:18">
      <c r="B484" t="str">
        <f t="shared" si="56"/>
        <v>Elkyn Geocanny Bran Navarro46298</v>
      </c>
      <c r="C484" t="s">
        <v>254</v>
      </c>
      <c r="D484" s="121">
        <v>46298</v>
      </c>
      <c r="E484" t="s">
        <v>96</v>
      </c>
      <c r="F484" t="s">
        <v>72</v>
      </c>
      <c r="G484" s="122">
        <v>0</v>
      </c>
      <c r="H484" s="122">
        <v>0</v>
      </c>
      <c r="I484" s="112">
        <v>0</v>
      </c>
      <c r="J484" s="112">
        <v>0</v>
      </c>
      <c r="K484" s="23">
        <f t="shared" si="57"/>
        <v>0</v>
      </c>
      <c r="L484" s="23">
        <f t="shared" si="58"/>
        <v>0</v>
      </c>
      <c r="M484" s="12">
        <f t="shared" si="63"/>
        <v>0</v>
      </c>
      <c r="N484" s="23">
        <f t="shared" si="59"/>
        <v>0</v>
      </c>
      <c r="O484" s="41">
        <f t="shared" si="60"/>
        <v>0</v>
      </c>
      <c r="P484" s="13" t="str">
        <f t="shared" si="61"/>
        <v>NO</v>
      </c>
      <c r="Q484" s="23">
        <f t="shared" si="62"/>
        <v>0</v>
      </c>
      <c r="R484" s="12">
        <f t="shared" si="62"/>
        <v>0</v>
      </c>
    </row>
    <row r="485" spans="2:18">
      <c r="B485" t="str">
        <f t="shared" si="56"/>
        <v>Elkyn Geocanny Bran Navarro46299</v>
      </c>
      <c r="C485" t="s">
        <v>254</v>
      </c>
      <c r="D485" s="121">
        <v>46299</v>
      </c>
      <c r="E485" t="s">
        <v>97</v>
      </c>
      <c r="F485" t="s">
        <v>72</v>
      </c>
      <c r="G485" s="122">
        <v>0</v>
      </c>
      <c r="H485" s="122">
        <v>0</v>
      </c>
      <c r="I485" s="112">
        <v>0</v>
      </c>
      <c r="J485" s="112">
        <v>0</v>
      </c>
      <c r="K485" s="23">
        <f t="shared" si="57"/>
        <v>0</v>
      </c>
      <c r="L485" s="23">
        <f t="shared" si="58"/>
        <v>0</v>
      </c>
      <c r="M485" s="12">
        <f t="shared" si="63"/>
        <v>0</v>
      </c>
      <c r="N485" s="23">
        <f t="shared" si="59"/>
        <v>0</v>
      </c>
      <c r="O485" s="41">
        <f t="shared" si="60"/>
        <v>0</v>
      </c>
      <c r="P485" s="13" t="str">
        <f t="shared" si="61"/>
        <v>NO</v>
      </c>
      <c r="Q485" s="23">
        <f t="shared" si="62"/>
        <v>0</v>
      </c>
      <c r="R485" s="12">
        <f t="shared" si="62"/>
        <v>0</v>
      </c>
    </row>
    <row r="486" spans="2:18">
      <c r="B486" t="str">
        <f t="shared" ref="B486:B536" si="64">+C486&amp;D486</f>
        <v>Elmar Gustavo Lopez Magallon46279</v>
      </c>
      <c r="C486" t="s">
        <v>255</v>
      </c>
      <c r="D486" s="121">
        <v>46279</v>
      </c>
      <c r="E486" t="s">
        <v>98</v>
      </c>
      <c r="F486" t="s">
        <v>72</v>
      </c>
      <c r="G486" s="122">
        <v>0</v>
      </c>
      <c r="H486" s="122">
        <v>0</v>
      </c>
      <c r="I486" s="112">
        <v>0</v>
      </c>
      <c r="J486" s="112">
        <v>0</v>
      </c>
      <c r="K486" s="23">
        <f t="shared" ref="K486:K536" si="65">+IFERROR(G486,0)</f>
        <v>0</v>
      </c>
      <c r="L486" s="23">
        <f t="shared" ref="L486:L536" si="66">+I486</f>
        <v>0</v>
      </c>
      <c r="M486" s="12">
        <f t="shared" ref="M486:M537" si="67">+IFERROR(MAX(K486:L486),0)</f>
        <v>0</v>
      </c>
      <c r="N486" s="23">
        <f t="shared" ref="N486:N536" si="68">+H486</f>
        <v>0</v>
      </c>
      <c r="O486" s="41">
        <f t="shared" ref="O486:O536" si="69">+J486</f>
        <v>0</v>
      </c>
      <c r="P486" s="13" t="str">
        <f t="shared" ref="P486:P536" si="70">+IF(O486&lt;N486,"SI","NO")</f>
        <v>NO</v>
      </c>
      <c r="Q486" s="23">
        <f t="shared" ref="Q486:R536" si="71">+M486</f>
        <v>0</v>
      </c>
      <c r="R486" s="12">
        <f t="shared" si="71"/>
        <v>0</v>
      </c>
    </row>
    <row r="487" spans="2:18">
      <c r="B487" t="str">
        <f t="shared" si="64"/>
        <v>Elmar Gustavo Lopez Magallon46280</v>
      </c>
      <c r="C487" t="s">
        <v>255</v>
      </c>
      <c r="D487" s="121">
        <v>46280</v>
      </c>
      <c r="E487" t="s">
        <v>99</v>
      </c>
      <c r="F487" t="s">
        <v>35</v>
      </c>
      <c r="G487" s="122">
        <v>0.33333333333333298</v>
      </c>
      <c r="H487" s="122">
        <v>0.70833333333333304</v>
      </c>
      <c r="I487" s="112">
        <v>0</v>
      </c>
      <c r="J487" s="112">
        <v>0</v>
      </c>
      <c r="K487" s="23">
        <f t="shared" si="65"/>
        <v>0.33333333333333298</v>
      </c>
      <c r="L487" s="23">
        <f t="shared" si="66"/>
        <v>0</v>
      </c>
      <c r="M487" s="12">
        <f t="shared" si="67"/>
        <v>0.33333333333333298</v>
      </c>
      <c r="N487" s="23">
        <f t="shared" si="68"/>
        <v>0.70833333333333304</v>
      </c>
      <c r="O487" s="41">
        <f t="shared" si="69"/>
        <v>0</v>
      </c>
      <c r="P487" s="13" t="str">
        <f t="shared" si="70"/>
        <v>SI</v>
      </c>
      <c r="Q487" s="23">
        <f t="shared" si="71"/>
        <v>0.33333333333333298</v>
      </c>
      <c r="R487" s="12">
        <f t="shared" si="71"/>
        <v>0.70833333333333304</v>
      </c>
    </row>
    <row r="488" spans="2:18">
      <c r="B488" t="str">
        <f t="shared" si="64"/>
        <v>Elmar Gustavo Lopez Magallon46281</v>
      </c>
      <c r="C488" t="s">
        <v>255</v>
      </c>
      <c r="D488" s="121">
        <v>46281</v>
      </c>
      <c r="E488" t="s">
        <v>100</v>
      </c>
      <c r="F488" t="s">
        <v>36</v>
      </c>
      <c r="G488" s="122">
        <v>0.75</v>
      </c>
      <c r="H488" s="122">
        <v>0.25</v>
      </c>
      <c r="I488" s="112">
        <v>0</v>
      </c>
      <c r="J488" s="112">
        <v>0</v>
      </c>
      <c r="K488" s="23">
        <f t="shared" si="65"/>
        <v>0.75</v>
      </c>
      <c r="L488" s="23">
        <f t="shared" si="66"/>
        <v>0</v>
      </c>
      <c r="M488" s="12">
        <f t="shared" si="67"/>
        <v>0.75</v>
      </c>
      <c r="N488" s="23">
        <f t="shared" si="68"/>
        <v>0.25</v>
      </c>
      <c r="O488" s="41">
        <f t="shared" si="69"/>
        <v>0</v>
      </c>
      <c r="P488" s="13" t="str">
        <f t="shared" si="70"/>
        <v>SI</v>
      </c>
      <c r="Q488" s="23">
        <f t="shared" si="71"/>
        <v>0.75</v>
      </c>
      <c r="R488" s="12">
        <f t="shared" si="71"/>
        <v>0.25</v>
      </c>
    </row>
    <row r="489" spans="2:18">
      <c r="B489" t="str">
        <f t="shared" si="64"/>
        <v>Elmar Gustavo Lopez Magallon46282</v>
      </c>
      <c r="C489" t="s">
        <v>255</v>
      </c>
      <c r="D489" s="121">
        <v>46282</v>
      </c>
      <c r="E489" t="s">
        <v>101</v>
      </c>
      <c r="F489" t="s">
        <v>36</v>
      </c>
      <c r="G489" s="122">
        <v>0.75</v>
      </c>
      <c r="H489" s="122">
        <v>0.25</v>
      </c>
      <c r="I489" s="112">
        <v>0</v>
      </c>
      <c r="J489" s="112">
        <v>0</v>
      </c>
      <c r="K489" s="23">
        <f t="shared" si="65"/>
        <v>0.75</v>
      </c>
      <c r="L489" s="23">
        <f t="shared" si="66"/>
        <v>0</v>
      </c>
      <c r="M489" s="12">
        <f t="shared" si="67"/>
        <v>0.75</v>
      </c>
      <c r="N489" s="23">
        <f t="shared" si="68"/>
        <v>0.25</v>
      </c>
      <c r="O489" s="41">
        <f t="shared" si="69"/>
        <v>0</v>
      </c>
      <c r="P489" s="13" t="str">
        <f t="shared" si="70"/>
        <v>SI</v>
      </c>
      <c r="Q489" s="23">
        <f t="shared" si="71"/>
        <v>0.75</v>
      </c>
      <c r="R489" s="12">
        <f t="shared" si="71"/>
        <v>0.25</v>
      </c>
    </row>
    <row r="490" spans="2:18">
      <c r="B490" t="str">
        <f t="shared" si="64"/>
        <v>Elmar Gustavo Lopez Magallon46283</v>
      </c>
      <c r="C490" t="s">
        <v>255</v>
      </c>
      <c r="D490" s="121">
        <v>46283</v>
      </c>
      <c r="E490" t="s">
        <v>95</v>
      </c>
      <c r="F490" t="s">
        <v>36</v>
      </c>
      <c r="G490" s="122">
        <v>0.75</v>
      </c>
      <c r="H490" s="122">
        <v>0.25</v>
      </c>
      <c r="I490" s="112">
        <v>0</v>
      </c>
      <c r="J490" s="112">
        <v>0</v>
      </c>
      <c r="K490" s="23">
        <f t="shared" si="65"/>
        <v>0.75</v>
      </c>
      <c r="L490" s="23">
        <f t="shared" si="66"/>
        <v>0</v>
      </c>
      <c r="M490" s="12">
        <f t="shared" si="67"/>
        <v>0.75</v>
      </c>
      <c r="N490" s="23">
        <f t="shared" si="68"/>
        <v>0.25</v>
      </c>
      <c r="O490" s="41">
        <f t="shared" si="69"/>
        <v>0</v>
      </c>
      <c r="P490" s="13" t="str">
        <f t="shared" si="70"/>
        <v>SI</v>
      </c>
      <c r="Q490" s="23">
        <f t="shared" si="71"/>
        <v>0.75</v>
      </c>
      <c r="R490" s="12">
        <f t="shared" si="71"/>
        <v>0.25</v>
      </c>
    </row>
    <row r="491" spans="2:18">
      <c r="B491" t="str">
        <f t="shared" si="64"/>
        <v>Elmar Gustavo Lopez Magallon46284</v>
      </c>
      <c r="C491" t="s">
        <v>255</v>
      </c>
      <c r="D491" s="121">
        <v>46284</v>
      </c>
      <c r="E491" t="s">
        <v>96</v>
      </c>
      <c r="F491" t="s">
        <v>72</v>
      </c>
      <c r="G491" s="122">
        <v>0</v>
      </c>
      <c r="H491" s="122">
        <v>0</v>
      </c>
      <c r="I491" s="112">
        <v>0</v>
      </c>
      <c r="J491" s="112">
        <v>0</v>
      </c>
      <c r="K491" s="23">
        <f t="shared" si="65"/>
        <v>0</v>
      </c>
      <c r="L491" s="23">
        <f t="shared" si="66"/>
        <v>0</v>
      </c>
      <c r="M491" s="12">
        <f t="shared" si="67"/>
        <v>0</v>
      </c>
      <c r="N491" s="23">
        <f t="shared" si="68"/>
        <v>0</v>
      </c>
      <c r="O491" s="41">
        <f t="shared" si="69"/>
        <v>0</v>
      </c>
      <c r="P491" s="13" t="str">
        <f t="shared" si="70"/>
        <v>NO</v>
      </c>
      <c r="Q491" s="23">
        <f t="shared" si="71"/>
        <v>0</v>
      </c>
      <c r="R491" s="12">
        <f t="shared" si="71"/>
        <v>0</v>
      </c>
    </row>
    <row r="492" spans="2:18">
      <c r="B492" t="str">
        <f t="shared" si="64"/>
        <v>Elmar Gustavo Lopez Magallon46285</v>
      </c>
      <c r="C492" t="s">
        <v>255</v>
      </c>
      <c r="D492" s="121">
        <v>46285</v>
      </c>
      <c r="E492" t="s">
        <v>97</v>
      </c>
      <c r="F492" t="s">
        <v>72</v>
      </c>
      <c r="G492" s="122">
        <v>0</v>
      </c>
      <c r="H492" s="122">
        <v>0</v>
      </c>
      <c r="I492" s="112">
        <v>0</v>
      </c>
      <c r="J492" s="112">
        <v>0</v>
      </c>
      <c r="K492" s="23">
        <f t="shared" si="65"/>
        <v>0</v>
      </c>
      <c r="L492" s="23">
        <f t="shared" si="66"/>
        <v>0</v>
      </c>
      <c r="M492" s="12">
        <f t="shared" si="67"/>
        <v>0</v>
      </c>
      <c r="N492" s="23">
        <f t="shared" si="68"/>
        <v>0</v>
      </c>
      <c r="O492" s="41">
        <f t="shared" si="69"/>
        <v>0</v>
      </c>
      <c r="P492" s="13" t="str">
        <f t="shared" si="70"/>
        <v>NO</v>
      </c>
      <c r="Q492" s="23">
        <f t="shared" si="71"/>
        <v>0</v>
      </c>
      <c r="R492" s="12">
        <f t="shared" si="71"/>
        <v>0</v>
      </c>
    </row>
    <row r="493" spans="2:18">
      <c r="B493" t="str">
        <f t="shared" si="64"/>
        <v>Elmar Gustavo Lopez Magallon46286</v>
      </c>
      <c r="C493" t="s">
        <v>255</v>
      </c>
      <c r="D493" s="121">
        <v>46286</v>
      </c>
      <c r="E493" t="s">
        <v>98</v>
      </c>
      <c r="F493" t="s">
        <v>35</v>
      </c>
      <c r="G493" s="122">
        <v>0.33333333333333298</v>
      </c>
      <c r="H493" s="122">
        <v>0.70833333333333304</v>
      </c>
      <c r="I493" s="112">
        <v>0</v>
      </c>
      <c r="J493" s="112">
        <v>0</v>
      </c>
      <c r="K493" s="23">
        <f t="shared" si="65"/>
        <v>0.33333333333333298</v>
      </c>
      <c r="L493" s="23">
        <f t="shared" si="66"/>
        <v>0</v>
      </c>
      <c r="M493" s="12">
        <f t="shared" si="67"/>
        <v>0.33333333333333298</v>
      </c>
      <c r="N493" s="23">
        <f t="shared" si="68"/>
        <v>0.70833333333333304</v>
      </c>
      <c r="O493" s="41">
        <f t="shared" si="69"/>
        <v>0</v>
      </c>
      <c r="P493" s="13" t="str">
        <f t="shared" si="70"/>
        <v>SI</v>
      </c>
      <c r="Q493" s="23">
        <f t="shared" si="71"/>
        <v>0.33333333333333298</v>
      </c>
      <c r="R493" s="12">
        <f t="shared" si="71"/>
        <v>0.70833333333333304</v>
      </c>
    </row>
    <row r="494" spans="2:18">
      <c r="B494" t="str">
        <f t="shared" si="64"/>
        <v>Elmar Gustavo Lopez Magallon46287</v>
      </c>
      <c r="C494" t="s">
        <v>255</v>
      </c>
      <c r="D494" s="121">
        <v>46287</v>
      </c>
      <c r="E494" t="s">
        <v>99</v>
      </c>
      <c r="F494" t="s">
        <v>35</v>
      </c>
      <c r="G494" s="122">
        <v>0.33333333333333298</v>
      </c>
      <c r="H494" s="122">
        <v>0.70833333333333304</v>
      </c>
      <c r="I494" s="112">
        <v>0</v>
      </c>
      <c r="J494" s="112">
        <v>0</v>
      </c>
      <c r="K494" s="23">
        <f t="shared" si="65"/>
        <v>0.33333333333333298</v>
      </c>
      <c r="L494" s="23">
        <f t="shared" si="66"/>
        <v>0</v>
      </c>
      <c r="M494" s="12">
        <f t="shared" si="67"/>
        <v>0.33333333333333298</v>
      </c>
      <c r="N494" s="23">
        <f t="shared" si="68"/>
        <v>0.70833333333333304</v>
      </c>
      <c r="O494" s="41">
        <f t="shared" si="69"/>
        <v>0</v>
      </c>
      <c r="P494" s="13" t="str">
        <f t="shared" si="70"/>
        <v>SI</v>
      </c>
      <c r="Q494" s="23">
        <f t="shared" si="71"/>
        <v>0.33333333333333298</v>
      </c>
      <c r="R494" s="12">
        <f t="shared" si="71"/>
        <v>0.70833333333333304</v>
      </c>
    </row>
    <row r="495" spans="2:18">
      <c r="B495" t="str">
        <f t="shared" si="64"/>
        <v>Elmar Gustavo Lopez Magallon46288</v>
      </c>
      <c r="C495" t="s">
        <v>255</v>
      </c>
      <c r="D495" s="121">
        <v>46288</v>
      </c>
      <c r="E495" t="s">
        <v>100</v>
      </c>
      <c r="F495" t="s">
        <v>35</v>
      </c>
      <c r="G495" s="122">
        <v>0.33333333333333298</v>
      </c>
      <c r="H495" s="122">
        <v>0.70833333333333304</v>
      </c>
      <c r="I495" s="112">
        <v>0</v>
      </c>
      <c r="J495" s="112">
        <v>0</v>
      </c>
      <c r="K495" s="23">
        <f t="shared" si="65"/>
        <v>0.33333333333333298</v>
      </c>
      <c r="L495" s="23">
        <f t="shared" si="66"/>
        <v>0</v>
      </c>
      <c r="M495" s="12">
        <f t="shared" si="67"/>
        <v>0.33333333333333298</v>
      </c>
      <c r="N495" s="23">
        <f t="shared" si="68"/>
        <v>0.70833333333333304</v>
      </c>
      <c r="O495" s="41">
        <f t="shared" si="69"/>
        <v>0</v>
      </c>
      <c r="P495" s="13" t="str">
        <f t="shared" si="70"/>
        <v>SI</v>
      </c>
      <c r="Q495" s="23">
        <f t="shared" si="71"/>
        <v>0.33333333333333298</v>
      </c>
      <c r="R495" s="12">
        <f t="shared" si="71"/>
        <v>0.70833333333333304</v>
      </c>
    </row>
    <row r="496" spans="2:18">
      <c r="B496" t="str">
        <f t="shared" si="64"/>
        <v>Elmar Gustavo Lopez Magallon46289</v>
      </c>
      <c r="C496" t="s">
        <v>255</v>
      </c>
      <c r="D496" s="121">
        <v>46289</v>
      </c>
      <c r="E496" t="s">
        <v>101</v>
      </c>
      <c r="F496" t="s">
        <v>36</v>
      </c>
      <c r="G496" s="122">
        <v>0.75</v>
      </c>
      <c r="H496" s="122">
        <v>0.25</v>
      </c>
      <c r="I496" s="112">
        <v>0</v>
      </c>
      <c r="J496" s="112">
        <v>0</v>
      </c>
      <c r="K496" s="23">
        <f t="shared" si="65"/>
        <v>0.75</v>
      </c>
      <c r="L496" s="23">
        <f t="shared" si="66"/>
        <v>0</v>
      </c>
      <c r="M496" s="12">
        <f t="shared" si="67"/>
        <v>0.75</v>
      </c>
      <c r="N496" s="23">
        <f t="shared" si="68"/>
        <v>0.25</v>
      </c>
      <c r="O496" s="41">
        <f t="shared" si="69"/>
        <v>0</v>
      </c>
      <c r="P496" s="13" t="str">
        <f t="shared" si="70"/>
        <v>SI</v>
      </c>
      <c r="Q496" s="23">
        <f t="shared" si="71"/>
        <v>0.75</v>
      </c>
      <c r="R496" s="12">
        <f t="shared" si="71"/>
        <v>0.25</v>
      </c>
    </row>
    <row r="497" spans="2:18">
      <c r="B497" t="str">
        <f t="shared" si="64"/>
        <v>Elmar Gustavo Lopez Magallon46290</v>
      </c>
      <c r="C497" t="s">
        <v>255</v>
      </c>
      <c r="D497" s="121">
        <v>46290</v>
      </c>
      <c r="E497" t="s">
        <v>95</v>
      </c>
      <c r="F497" t="s">
        <v>36</v>
      </c>
      <c r="G497" s="122">
        <v>0.75</v>
      </c>
      <c r="H497" s="122">
        <v>0.25</v>
      </c>
      <c r="I497" s="112">
        <v>0</v>
      </c>
      <c r="J497" s="112">
        <v>0</v>
      </c>
      <c r="K497" s="23">
        <f t="shared" si="65"/>
        <v>0.75</v>
      </c>
      <c r="L497" s="23">
        <f t="shared" si="66"/>
        <v>0</v>
      </c>
      <c r="M497" s="12">
        <f t="shared" si="67"/>
        <v>0.75</v>
      </c>
      <c r="N497" s="23">
        <f t="shared" si="68"/>
        <v>0.25</v>
      </c>
      <c r="O497" s="41">
        <f t="shared" si="69"/>
        <v>0</v>
      </c>
      <c r="P497" s="13" t="str">
        <f t="shared" si="70"/>
        <v>SI</v>
      </c>
      <c r="Q497" s="23">
        <f t="shared" si="71"/>
        <v>0.75</v>
      </c>
      <c r="R497" s="12">
        <f t="shared" si="71"/>
        <v>0.25</v>
      </c>
    </row>
    <row r="498" spans="2:18">
      <c r="B498" t="str">
        <f t="shared" si="64"/>
        <v>Elmar Gustavo Lopez Magallon46291</v>
      </c>
      <c r="C498" t="s">
        <v>255</v>
      </c>
      <c r="D498" s="121">
        <v>46291</v>
      </c>
      <c r="E498" t="s">
        <v>96</v>
      </c>
      <c r="F498" t="s">
        <v>72</v>
      </c>
      <c r="G498" s="122">
        <v>0</v>
      </c>
      <c r="H498" s="122">
        <v>0</v>
      </c>
      <c r="I498" s="112">
        <v>0</v>
      </c>
      <c r="J498" s="112">
        <v>0</v>
      </c>
      <c r="K498" s="23">
        <f t="shared" si="65"/>
        <v>0</v>
      </c>
      <c r="L498" s="23">
        <f t="shared" si="66"/>
        <v>0</v>
      </c>
      <c r="M498" s="12">
        <f t="shared" si="67"/>
        <v>0</v>
      </c>
      <c r="N498" s="23">
        <f t="shared" si="68"/>
        <v>0</v>
      </c>
      <c r="O498" s="41">
        <f t="shared" si="69"/>
        <v>0</v>
      </c>
      <c r="P498" s="13" t="str">
        <f t="shared" si="70"/>
        <v>NO</v>
      </c>
      <c r="Q498" s="23">
        <f t="shared" si="71"/>
        <v>0</v>
      </c>
      <c r="R498" s="12">
        <f t="shared" si="71"/>
        <v>0</v>
      </c>
    </row>
    <row r="499" spans="2:18">
      <c r="B499" t="str">
        <f t="shared" si="64"/>
        <v>Elmar Gustavo Lopez Magallon46292</v>
      </c>
      <c r="C499" t="s">
        <v>255</v>
      </c>
      <c r="D499" s="121">
        <v>46292</v>
      </c>
      <c r="E499" t="s">
        <v>97</v>
      </c>
      <c r="F499" t="s">
        <v>72</v>
      </c>
      <c r="G499" s="122">
        <v>0</v>
      </c>
      <c r="H499" s="122">
        <v>0</v>
      </c>
      <c r="I499" s="112">
        <v>0</v>
      </c>
      <c r="J499" s="112">
        <v>0</v>
      </c>
      <c r="K499" s="23">
        <f t="shared" si="65"/>
        <v>0</v>
      </c>
      <c r="L499" s="23">
        <f t="shared" si="66"/>
        <v>0</v>
      </c>
      <c r="M499" s="12">
        <f t="shared" si="67"/>
        <v>0</v>
      </c>
      <c r="N499" s="23">
        <f t="shared" si="68"/>
        <v>0</v>
      </c>
      <c r="O499" s="41">
        <f t="shared" si="69"/>
        <v>0</v>
      </c>
      <c r="P499" s="13" t="str">
        <f t="shared" si="70"/>
        <v>NO</v>
      </c>
      <c r="Q499" s="23">
        <f t="shared" si="71"/>
        <v>0</v>
      </c>
      <c r="R499" s="12">
        <f t="shared" si="71"/>
        <v>0</v>
      </c>
    </row>
    <row r="500" spans="2:18">
      <c r="B500" t="str">
        <f t="shared" si="64"/>
        <v>Elmar Gustavo Lopez Magallon46293</v>
      </c>
      <c r="C500" t="s">
        <v>255</v>
      </c>
      <c r="D500" s="121">
        <v>46293</v>
      </c>
      <c r="E500" t="s">
        <v>98</v>
      </c>
      <c r="F500" t="s">
        <v>36</v>
      </c>
      <c r="G500" s="122">
        <v>0.75</v>
      </c>
      <c r="H500" s="122">
        <v>0.25</v>
      </c>
      <c r="I500" s="112">
        <v>0</v>
      </c>
      <c r="J500" s="112">
        <v>0</v>
      </c>
      <c r="K500" s="23">
        <f t="shared" si="65"/>
        <v>0.75</v>
      </c>
      <c r="L500" s="23">
        <f t="shared" si="66"/>
        <v>0</v>
      </c>
      <c r="M500" s="12">
        <f t="shared" si="67"/>
        <v>0.75</v>
      </c>
      <c r="N500" s="23">
        <f t="shared" si="68"/>
        <v>0.25</v>
      </c>
      <c r="O500" s="41">
        <f t="shared" si="69"/>
        <v>0</v>
      </c>
      <c r="P500" s="13" t="str">
        <f t="shared" si="70"/>
        <v>SI</v>
      </c>
      <c r="Q500" s="23">
        <f t="shared" si="71"/>
        <v>0.75</v>
      </c>
      <c r="R500" s="12">
        <f t="shared" si="71"/>
        <v>0.25</v>
      </c>
    </row>
    <row r="501" spans="2:18">
      <c r="B501" t="str">
        <f t="shared" si="64"/>
        <v>Elmar Gustavo Lopez Magallon46294</v>
      </c>
      <c r="C501" t="s">
        <v>255</v>
      </c>
      <c r="D501" s="121">
        <v>46294</v>
      </c>
      <c r="E501" t="s">
        <v>99</v>
      </c>
      <c r="F501" t="s">
        <v>36</v>
      </c>
      <c r="G501" s="122">
        <v>0.75</v>
      </c>
      <c r="H501" s="122">
        <v>0.25</v>
      </c>
      <c r="I501" s="112">
        <v>0</v>
      </c>
      <c r="J501" s="112">
        <v>0</v>
      </c>
      <c r="K501" s="23">
        <f t="shared" si="65"/>
        <v>0.75</v>
      </c>
      <c r="L501" s="23">
        <f t="shared" si="66"/>
        <v>0</v>
      </c>
      <c r="M501" s="12">
        <f t="shared" si="67"/>
        <v>0.75</v>
      </c>
      <c r="N501" s="23">
        <f t="shared" si="68"/>
        <v>0.25</v>
      </c>
      <c r="O501" s="41">
        <f t="shared" si="69"/>
        <v>0</v>
      </c>
      <c r="P501" s="13" t="str">
        <f t="shared" si="70"/>
        <v>SI</v>
      </c>
      <c r="Q501" s="23">
        <f t="shared" si="71"/>
        <v>0.75</v>
      </c>
      <c r="R501" s="12">
        <f t="shared" si="71"/>
        <v>0.25</v>
      </c>
    </row>
    <row r="502" spans="2:18">
      <c r="B502" t="str">
        <f t="shared" si="64"/>
        <v>Elmar Gustavo Lopez Magallon46295</v>
      </c>
      <c r="C502" t="s">
        <v>255</v>
      </c>
      <c r="D502" s="121">
        <v>46295</v>
      </c>
      <c r="E502" t="s">
        <v>100</v>
      </c>
      <c r="F502" t="s">
        <v>36</v>
      </c>
      <c r="G502" s="122">
        <v>0.75</v>
      </c>
      <c r="H502" s="122">
        <v>0.25</v>
      </c>
      <c r="I502" s="112">
        <v>0</v>
      </c>
      <c r="J502" s="112">
        <v>0</v>
      </c>
      <c r="K502" s="23">
        <f t="shared" si="65"/>
        <v>0.75</v>
      </c>
      <c r="L502" s="23">
        <f t="shared" si="66"/>
        <v>0</v>
      </c>
      <c r="M502" s="12">
        <f t="shared" si="67"/>
        <v>0.75</v>
      </c>
      <c r="N502" s="23">
        <f t="shared" si="68"/>
        <v>0.25</v>
      </c>
      <c r="O502" s="41">
        <f t="shared" si="69"/>
        <v>0</v>
      </c>
      <c r="P502" s="13" t="str">
        <f t="shared" si="70"/>
        <v>SI</v>
      </c>
      <c r="Q502" s="23">
        <f t="shared" si="71"/>
        <v>0.75</v>
      </c>
      <c r="R502" s="12">
        <f t="shared" si="71"/>
        <v>0.25</v>
      </c>
    </row>
    <row r="503" spans="2:18">
      <c r="B503" t="str">
        <f t="shared" si="64"/>
        <v>Elmar Gustavo Lopez Magallon46296</v>
      </c>
      <c r="C503" t="s">
        <v>255</v>
      </c>
      <c r="D503" s="121">
        <v>46296</v>
      </c>
      <c r="E503" t="s">
        <v>101</v>
      </c>
      <c r="F503" t="s">
        <v>35</v>
      </c>
      <c r="G503" s="122">
        <v>0.33333333333333298</v>
      </c>
      <c r="H503" s="122">
        <v>0.70833333333333304</v>
      </c>
      <c r="I503" s="112">
        <v>0</v>
      </c>
      <c r="J503" s="112">
        <v>0</v>
      </c>
      <c r="K503" s="23">
        <f t="shared" si="65"/>
        <v>0.33333333333333298</v>
      </c>
      <c r="L503" s="23">
        <f t="shared" si="66"/>
        <v>0</v>
      </c>
      <c r="M503" s="12">
        <f t="shared" si="67"/>
        <v>0.33333333333333298</v>
      </c>
      <c r="N503" s="23">
        <f t="shared" si="68"/>
        <v>0.70833333333333304</v>
      </c>
      <c r="O503" s="41">
        <f t="shared" si="69"/>
        <v>0</v>
      </c>
      <c r="P503" s="13" t="str">
        <f t="shared" si="70"/>
        <v>SI</v>
      </c>
      <c r="Q503" s="23">
        <f t="shared" si="71"/>
        <v>0.33333333333333298</v>
      </c>
      <c r="R503" s="12">
        <f t="shared" si="71"/>
        <v>0.70833333333333304</v>
      </c>
    </row>
    <row r="504" spans="2:18">
      <c r="B504" t="str">
        <f t="shared" si="64"/>
        <v>Elmar Gustavo Lopez Magallon46297</v>
      </c>
      <c r="C504" t="s">
        <v>255</v>
      </c>
      <c r="D504" s="121">
        <v>46297</v>
      </c>
      <c r="E504" t="s">
        <v>95</v>
      </c>
      <c r="F504" t="s">
        <v>36</v>
      </c>
      <c r="G504" s="122">
        <v>0.75</v>
      </c>
      <c r="H504" s="122">
        <v>0.25</v>
      </c>
      <c r="I504" s="112">
        <v>0</v>
      </c>
      <c r="J504" s="112">
        <v>0</v>
      </c>
      <c r="K504" s="23">
        <f t="shared" si="65"/>
        <v>0.75</v>
      </c>
      <c r="L504" s="23">
        <f t="shared" si="66"/>
        <v>0</v>
      </c>
      <c r="M504" s="12">
        <f t="shared" si="67"/>
        <v>0.75</v>
      </c>
      <c r="N504" s="23">
        <f t="shared" si="68"/>
        <v>0.25</v>
      </c>
      <c r="O504" s="41">
        <f t="shared" si="69"/>
        <v>0</v>
      </c>
      <c r="P504" s="13" t="str">
        <f t="shared" si="70"/>
        <v>SI</v>
      </c>
      <c r="Q504" s="23">
        <f t="shared" si="71"/>
        <v>0.75</v>
      </c>
      <c r="R504" s="12">
        <f t="shared" si="71"/>
        <v>0.25</v>
      </c>
    </row>
    <row r="505" spans="2:18">
      <c r="B505" t="str">
        <f t="shared" si="64"/>
        <v>Elmar Gustavo Lopez Magallon46298</v>
      </c>
      <c r="C505" t="s">
        <v>255</v>
      </c>
      <c r="D505" s="121">
        <v>46298</v>
      </c>
      <c r="E505" t="s">
        <v>96</v>
      </c>
      <c r="F505" t="s">
        <v>72</v>
      </c>
      <c r="G505" s="122">
        <v>0</v>
      </c>
      <c r="H505" s="122">
        <v>0</v>
      </c>
      <c r="I505" s="112">
        <v>0</v>
      </c>
      <c r="J505" s="112">
        <v>0</v>
      </c>
      <c r="K505" s="23">
        <f t="shared" si="65"/>
        <v>0</v>
      </c>
      <c r="L505" s="23">
        <f t="shared" si="66"/>
        <v>0</v>
      </c>
      <c r="M505" s="12">
        <f t="shared" si="67"/>
        <v>0</v>
      </c>
      <c r="N505" s="23">
        <f t="shared" si="68"/>
        <v>0</v>
      </c>
      <c r="O505" s="41">
        <f t="shared" si="69"/>
        <v>0</v>
      </c>
      <c r="P505" s="13" t="str">
        <f t="shared" si="70"/>
        <v>NO</v>
      </c>
      <c r="Q505" s="23">
        <f t="shared" si="71"/>
        <v>0</v>
      </c>
      <c r="R505" s="12">
        <f t="shared" si="71"/>
        <v>0</v>
      </c>
    </row>
    <row r="506" spans="2:18">
      <c r="B506" t="str">
        <f t="shared" si="64"/>
        <v>Elmar Gustavo Lopez Magallon46299</v>
      </c>
      <c r="C506" t="s">
        <v>255</v>
      </c>
      <c r="D506" s="121">
        <v>46299</v>
      </c>
      <c r="E506" t="s">
        <v>97</v>
      </c>
      <c r="F506" t="s">
        <v>72</v>
      </c>
      <c r="G506" s="122">
        <v>0</v>
      </c>
      <c r="H506" s="122">
        <v>0</v>
      </c>
      <c r="I506" s="112">
        <v>0</v>
      </c>
      <c r="J506" s="112">
        <v>0</v>
      </c>
      <c r="K506" s="23">
        <f t="shared" si="65"/>
        <v>0</v>
      </c>
      <c r="L506" s="23">
        <f t="shared" si="66"/>
        <v>0</v>
      </c>
      <c r="M506" s="12">
        <f t="shared" si="67"/>
        <v>0</v>
      </c>
      <c r="N506" s="23">
        <f t="shared" si="68"/>
        <v>0</v>
      </c>
      <c r="O506" s="41">
        <f t="shared" si="69"/>
        <v>0</v>
      </c>
      <c r="P506" s="13" t="str">
        <f t="shared" si="70"/>
        <v>NO</v>
      </c>
      <c r="Q506" s="23">
        <f t="shared" si="71"/>
        <v>0</v>
      </c>
      <c r="R506" s="12">
        <f t="shared" si="71"/>
        <v>0</v>
      </c>
    </row>
    <row r="507" spans="2:18">
      <c r="B507" t="str">
        <f>+C507&amp;D507</f>
        <v>FILIBERTO SACUL CUCUL46279</v>
      </c>
      <c r="C507" t="s">
        <v>223</v>
      </c>
      <c r="D507" s="121">
        <v>46279</v>
      </c>
      <c r="E507" t="s">
        <v>98</v>
      </c>
      <c r="F507" t="s">
        <v>72</v>
      </c>
      <c r="G507" s="122">
        <v>0</v>
      </c>
      <c r="H507" s="122">
        <v>0</v>
      </c>
      <c r="I507" s="112">
        <v>0</v>
      </c>
      <c r="J507" s="112">
        <v>0</v>
      </c>
      <c r="K507" s="23">
        <f t="shared" si="65"/>
        <v>0</v>
      </c>
      <c r="L507" s="23">
        <f t="shared" si="66"/>
        <v>0</v>
      </c>
      <c r="M507" s="12">
        <f t="shared" si="67"/>
        <v>0</v>
      </c>
      <c r="N507" s="23">
        <f t="shared" si="68"/>
        <v>0</v>
      </c>
      <c r="O507" s="41">
        <f t="shared" si="69"/>
        <v>0</v>
      </c>
      <c r="P507" s="13" t="str">
        <f t="shared" si="70"/>
        <v>NO</v>
      </c>
      <c r="Q507" s="23">
        <f t="shared" si="71"/>
        <v>0</v>
      </c>
      <c r="R507" s="12">
        <f t="shared" si="71"/>
        <v>0</v>
      </c>
    </row>
    <row r="508" spans="2:18">
      <c r="B508" t="str">
        <f>+C508&amp;D508</f>
        <v>FILIBERTO SACUL CUCUL46280</v>
      </c>
      <c r="C508" t="s">
        <v>223</v>
      </c>
      <c r="D508" s="121">
        <v>46280</v>
      </c>
      <c r="E508" t="s">
        <v>99</v>
      </c>
      <c r="F508" t="s">
        <v>35</v>
      </c>
      <c r="G508" s="122">
        <v>0.33333333333333298</v>
      </c>
      <c r="H508" s="122">
        <v>0.70833333333333304</v>
      </c>
      <c r="I508" s="112">
        <v>0</v>
      </c>
      <c r="J508" s="112">
        <v>0</v>
      </c>
      <c r="K508" s="23">
        <f t="shared" si="65"/>
        <v>0.33333333333333298</v>
      </c>
      <c r="L508" s="23">
        <f t="shared" si="66"/>
        <v>0</v>
      </c>
      <c r="M508" s="12">
        <f t="shared" si="67"/>
        <v>0.33333333333333298</v>
      </c>
      <c r="N508" s="23">
        <f t="shared" si="68"/>
        <v>0.70833333333333304</v>
      </c>
      <c r="O508" s="41">
        <f t="shared" si="69"/>
        <v>0</v>
      </c>
      <c r="P508" s="13" t="str">
        <f t="shared" si="70"/>
        <v>SI</v>
      </c>
      <c r="Q508" s="23">
        <f t="shared" si="71"/>
        <v>0.33333333333333298</v>
      </c>
      <c r="R508" s="12">
        <f t="shared" si="71"/>
        <v>0.70833333333333304</v>
      </c>
    </row>
    <row r="509" spans="2:18">
      <c r="B509" t="str">
        <f t="shared" si="64"/>
        <v>FILIBERTO SACUL CUCUL46281</v>
      </c>
      <c r="C509" t="s">
        <v>223</v>
      </c>
      <c r="D509" s="121">
        <v>46281</v>
      </c>
      <c r="E509" t="s">
        <v>100</v>
      </c>
      <c r="F509" t="s">
        <v>72</v>
      </c>
      <c r="G509" s="122">
        <v>0</v>
      </c>
      <c r="H509" s="122">
        <v>0</v>
      </c>
      <c r="I509" s="112">
        <v>0</v>
      </c>
      <c r="J509" s="112">
        <v>0</v>
      </c>
      <c r="K509" s="23">
        <f t="shared" si="65"/>
        <v>0</v>
      </c>
      <c r="L509" s="23">
        <f t="shared" si="66"/>
        <v>0</v>
      </c>
      <c r="M509" s="12">
        <f t="shared" si="67"/>
        <v>0</v>
      </c>
      <c r="N509" s="23">
        <f t="shared" si="68"/>
        <v>0</v>
      </c>
      <c r="O509" s="41">
        <f t="shared" si="69"/>
        <v>0</v>
      </c>
      <c r="P509" s="13" t="str">
        <f t="shared" si="70"/>
        <v>NO</v>
      </c>
      <c r="Q509" s="23">
        <f t="shared" si="71"/>
        <v>0</v>
      </c>
      <c r="R509" s="12">
        <f t="shared" si="71"/>
        <v>0</v>
      </c>
    </row>
    <row r="510" spans="2:18">
      <c r="B510" t="str">
        <f t="shared" si="64"/>
        <v>FILIBERTO SACUL CUCUL46282</v>
      </c>
      <c r="C510" t="s">
        <v>223</v>
      </c>
      <c r="D510" s="121">
        <v>46282</v>
      </c>
      <c r="E510" t="s">
        <v>101</v>
      </c>
      <c r="F510" t="s">
        <v>72</v>
      </c>
      <c r="G510" s="122">
        <v>0</v>
      </c>
      <c r="H510" s="122">
        <v>0</v>
      </c>
      <c r="I510" s="112">
        <v>0</v>
      </c>
      <c r="J510" s="112">
        <v>0</v>
      </c>
      <c r="K510" s="23">
        <f t="shared" si="65"/>
        <v>0</v>
      </c>
      <c r="L510" s="23">
        <f t="shared" si="66"/>
        <v>0</v>
      </c>
      <c r="M510" s="12">
        <f t="shared" si="67"/>
        <v>0</v>
      </c>
      <c r="N510" s="23">
        <f t="shared" si="68"/>
        <v>0</v>
      </c>
      <c r="O510" s="41">
        <f t="shared" si="69"/>
        <v>0</v>
      </c>
      <c r="P510" s="13" t="str">
        <f t="shared" si="70"/>
        <v>NO</v>
      </c>
      <c r="Q510" s="23">
        <f t="shared" si="71"/>
        <v>0</v>
      </c>
      <c r="R510" s="12">
        <f t="shared" si="71"/>
        <v>0</v>
      </c>
    </row>
    <row r="511" spans="2:18">
      <c r="B511" t="str">
        <f t="shared" si="64"/>
        <v>FILIBERTO SACUL CUCUL46283</v>
      </c>
      <c r="C511" t="s">
        <v>223</v>
      </c>
      <c r="D511" s="121">
        <v>46283</v>
      </c>
      <c r="E511" t="s">
        <v>95</v>
      </c>
      <c r="F511" t="s">
        <v>72</v>
      </c>
      <c r="G511" s="122">
        <v>0</v>
      </c>
      <c r="H511" s="122">
        <v>0</v>
      </c>
      <c r="I511" s="112">
        <v>0</v>
      </c>
      <c r="J511" s="112">
        <v>0</v>
      </c>
      <c r="K511" s="23">
        <f t="shared" si="65"/>
        <v>0</v>
      </c>
      <c r="L511" s="23">
        <f t="shared" si="66"/>
        <v>0</v>
      </c>
      <c r="M511" s="12">
        <f t="shared" si="67"/>
        <v>0</v>
      </c>
      <c r="N511" s="23">
        <f t="shared" si="68"/>
        <v>0</v>
      </c>
      <c r="O511" s="41">
        <f t="shared" si="69"/>
        <v>0</v>
      </c>
      <c r="P511" s="13" t="str">
        <f t="shared" si="70"/>
        <v>NO</v>
      </c>
      <c r="Q511" s="23">
        <f t="shared" si="71"/>
        <v>0</v>
      </c>
      <c r="R511" s="12">
        <f t="shared" si="71"/>
        <v>0</v>
      </c>
    </row>
    <row r="512" spans="2:18">
      <c r="B512" t="str">
        <f t="shared" si="64"/>
        <v>FILIBERTO SACUL CUCUL46284</v>
      </c>
      <c r="C512" t="s">
        <v>223</v>
      </c>
      <c r="D512" s="121">
        <v>46284</v>
      </c>
      <c r="E512" t="s">
        <v>96</v>
      </c>
      <c r="F512" t="s">
        <v>72</v>
      </c>
      <c r="G512" s="122">
        <v>0</v>
      </c>
      <c r="H512" s="122">
        <v>0</v>
      </c>
      <c r="I512" s="112">
        <v>0</v>
      </c>
      <c r="J512" s="112">
        <v>0</v>
      </c>
      <c r="K512" s="23">
        <f t="shared" si="65"/>
        <v>0</v>
      </c>
      <c r="L512" s="23">
        <f t="shared" si="66"/>
        <v>0</v>
      </c>
      <c r="M512" s="12">
        <f t="shared" si="67"/>
        <v>0</v>
      </c>
      <c r="N512" s="23">
        <f t="shared" si="68"/>
        <v>0</v>
      </c>
      <c r="O512" s="41">
        <f t="shared" si="69"/>
        <v>0</v>
      </c>
      <c r="P512" s="13" t="str">
        <f t="shared" si="70"/>
        <v>NO</v>
      </c>
      <c r="Q512" s="23">
        <f t="shared" si="71"/>
        <v>0</v>
      </c>
      <c r="R512" s="12">
        <f t="shared" si="71"/>
        <v>0</v>
      </c>
    </row>
    <row r="513" spans="2:18">
      <c r="B513" t="str">
        <f t="shared" si="64"/>
        <v>FILIBERTO SACUL CUCUL46285</v>
      </c>
      <c r="C513" t="s">
        <v>223</v>
      </c>
      <c r="D513" s="121">
        <v>46285</v>
      </c>
      <c r="E513" t="s">
        <v>97</v>
      </c>
      <c r="F513" t="s">
        <v>72</v>
      </c>
      <c r="G513" s="122">
        <v>0</v>
      </c>
      <c r="H513" s="122">
        <v>0</v>
      </c>
      <c r="I513" s="112">
        <v>0</v>
      </c>
      <c r="J513" s="112">
        <v>0</v>
      </c>
      <c r="K513" s="23">
        <f t="shared" si="65"/>
        <v>0</v>
      </c>
      <c r="L513" s="23">
        <f t="shared" si="66"/>
        <v>0</v>
      </c>
      <c r="M513" s="12">
        <f t="shared" si="67"/>
        <v>0</v>
      </c>
      <c r="N513" s="23">
        <f t="shared" si="68"/>
        <v>0</v>
      </c>
      <c r="O513" s="41">
        <f t="shared" si="69"/>
        <v>0</v>
      </c>
      <c r="P513" s="13" t="str">
        <f t="shared" si="70"/>
        <v>NO</v>
      </c>
      <c r="Q513" s="23">
        <f t="shared" si="71"/>
        <v>0</v>
      </c>
      <c r="R513" s="12">
        <f t="shared" si="71"/>
        <v>0</v>
      </c>
    </row>
    <row r="514" spans="2:18">
      <c r="B514" t="str">
        <f t="shared" si="64"/>
        <v>FILIBERTO SACUL CUCUL46286</v>
      </c>
      <c r="C514" t="s">
        <v>223</v>
      </c>
      <c r="D514" s="121">
        <v>46286</v>
      </c>
      <c r="E514" t="s">
        <v>98</v>
      </c>
      <c r="F514" t="s">
        <v>72</v>
      </c>
      <c r="G514" s="122">
        <v>0</v>
      </c>
      <c r="H514" s="122">
        <v>0</v>
      </c>
      <c r="I514" s="112">
        <v>0</v>
      </c>
      <c r="J514" s="112">
        <v>0</v>
      </c>
      <c r="K514" s="23">
        <f t="shared" si="65"/>
        <v>0</v>
      </c>
      <c r="L514" s="23">
        <f t="shared" si="66"/>
        <v>0</v>
      </c>
      <c r="M514" s="12">
        <f t="shared" si="67"/>
        <v>0</v>
      </c>
      <c r="N514" s="23">
        <f t="shared" si="68"/>
        <v>0</v>
      </c>
      <c r="O514" s="41">
        <f t="shared" si="69"/>
        <v>0</v>
      </c>
      <c r="P514" s="13" t="str">
        <f t="shared" si="70"/>
        <v>NO</v>
      </c>
      <c r="Q514" s="23">
        <f t="shared" si="71"/>
        <v>0</v>
      </c>
      <c r="R514" s="12">
        <f t="shared" si="71"/>
        <v>0</v>
      </c>
    </row>
    <row r="515" spans="2:18">
      <c r="B515" t="str">
        <f t="shared" si="64"/>
        <v>FILIBERTO SACUL CUCUL46287</v>
      </c>
      <c r="C515" t="s">
        <v>223</v>
      </c>
      <c r="D515" s="121">
        <v>46287</v>
      </c>
      <c r="E515" t="s">
        <v>99</v>
      </c>
      <c r="F515" t="s">
        <v>72</v>
      </c>
      <c r="G515" s="122">
        <v>0</v>
      </c>
      <c r="H515" s="122">
        <v>0</v>
      </c>
      <c r="I515" s="112">
        <v>0</v>
      </c>
      <c r="J515" s="112">
        <v>0</v>
      </c>
      <c r="K515" s="23">
        <f t="shared" si="65"/>
        <v>0</v>
      </c>
      <c r="L515" s="23">
        <f t="shared" si="66"/>
        <v>0</v>
      </c>
      <c r="M515" s="12">
        <f t="shared" si="67"/>
        <v>0</v>
      </c>
      <c r="N515" s="23">
        <f t="shared" si="68"/>
        <v>0</v>
      </c>
      <c r="O515" s="41">
        <f t="shared" si="69"/>
        <v>0</v>
      </c>
      <c r="P515" s="13" t="str">
        <f t="shared" si="70"/>
        <v>NO</v>
      </c>
      <c r="Q515" s="23">
        <f t="shared" si="71"/>
        <v>0</v>
      </c>
      <c r="R515" s="12">
        <f t="shared" si="71"/>
        <v>0</v>
      </c>
    </row>
    <row r="516" spans="2:18">
      <c r="B516" t="str">
        <f t="shared" si="64"/>
        <v>FILIBERTO SACUL CUCUL46288</v>
      </c>
      <c r="C516" t="s">
        <v>223</v>
      </c>
      <c r="D516" s="121">
        <v>46288</v>
      </c>
      <c r="E516" t="s">
        <v>100</v>
      </c>
      <c r="F516" t="s">
        <v>72</v>
      </c>
      <c r="G516" s="122">
        <v>0</v>
      </c>
      <c r="H516" s="122">
        <v>0</v>
      </c>
      <c r="I516" s="112">
        <v>0</v>
      </c>
      <c r="J516" s="112">
        <v>0</v>
      </c>
      <c r="K516" s="23">
        <f t="shared" si="65"/>
        <v>0</v>
      </c>
      <c r="L516" s="23">
        <f t="shared" si="66"/>
        <v>0</v>
      </c>
      <c r="M516" s="12">
        <f t="shared" si="67"/>
        <v>0</v>
      </c>
      <c r="N516" s="23">
        <f t="shared" si="68"/>
        <v>0</v>
      </c>
      <c r="O516" s="41">
        <f t="shared" si="69"/>
        <v>0</v>
      </c>
      <c r="P516" s="13" t="str">
        <f t="shared" si="70"/>
        <v>NO</v>
      </c>
      <c r="Q516" s="23">
        <f t="shared" si="71"/>
        <v>0</v>
      </c>
      <c r="R516" s="12">
        <f t="shared" si="71"/>
        <v>0</v>
      </c>
    </row>
    <row r="517" spans="2:18">
      <c r="B517" t="str">
        <f t="shared" si="64"/>
        <v>FILIBERTO SACUL CUCUL46289</v>
      </c>
      <c r="C517" t="s">
        <v>223</v>
      </c>
      <c r="D517" s="121">
        <v>46289</v>
      </c>
      <c r="E517" t="s">
        <v>101</v>
      </c>
      <c r="F517" t="s">
        <v>72</v>
      </c>
      <c r="G517" s="122">
        <v>0</v>
      </c>
      <c r="H517" s="122">
        <v>0</v>
      </c>
      <c r="I517" s="112">
        <v>0</v>
      </c>
      <c r="J517" s="112">
        <v>0</v>
      </c>
      <c r="K517" s="23">
        <f t="shared" si="65"/>
        <v>0</v>
      </c>
      <c r="L517" s="23">
        <f t="shared" si="66"/>
        <v>0</v>
      </c>
      <c r="M517" s="12">
        <f t="shared" si="67"/>
        <v>0</v>
      </c>
      <c r="N517" s="23">
        <f t="shared" si="68"/>
        <v>0</v>
      </c>
      <c r="O517" s="41">
        <f t="shared" si="69"/>
        <v>0</v>
      </c>
      <c r="P517" s="13" t="str">
        <f t="shared" si="70"/>
        <v>NO</v>
      </c>
      <c r="Q517" s="23">
        <f t="shared" si="71"/>
        <v>0</v>
      </c>
      <c r="R517" s="12">
        <f t="shared" si="71"/>
        <v>0</v>
      </c>
    </row>
    <row r="518" spans="2:18">
      <c r="B518" t="str">
        <f t="shared" si="64"/>
        <v>FILIBERTO SACUL CUCUL46290</v>
      </c>
      <c r="C518" t="s">
        <v>223</v>
      </c>
      <c r="D518" s="121">
        <v>46290</v>
      </c>
      <c r="E518" t="s">
        <v>95</v>
      </c>
      <c r="F518" t="s">
        <v>72</v>
      </c>
      <c r="G518" s="122">
        <v>0</v>
      </c>
      <c r="H518" s="122">
        <v>0</v>
      </c>
      <c r="I518" s="112">
        <v>0</v>
      </c>
      <c r="J518" s="112">
        <v>0</v>
      </c>
      <c r="K518" s="23">
        <f t="shared" si="65"/>
        <v>0</v>
      </c>
      <c r="L518" s="23">
        <f t="shared" si="66"/>
        <v>0</v>
      </c>
      <c r="M518" s="12">
        <f t="shared" si="67"/>
        <v>0</v>
      </c>
      <c r="N518" s="23">
        <f t="shared" si="68"/>
        <v>0</v>
      </c>
      <c r="O518" s="41">
        <f t="shared" si="69"/>
        <v>0</v>
      </c>
      <c r="P518" s="13" t="str">
        <f t="shared" si="70"/>
        <v>NO</v>
      </c>
      <c r="Q518" s="23">
        <f t="shared" si="71"/>
        <v>0</v>
      </c>
      <c r="R518" s="12">
        <f t="shared" si="71"/>
        <v>0</v>
      </c>
    </row>
    <row r="519" spans="2:18">
      <c r="B519" t="str">
        <f t="shared" si="64"/>
        <v>FILIBERTO SACUL CUCUL46291</v>
      </c>
      <c r="C519" t="s">
        <v>223</v>
      </c>
      <c r="D519" s="121">
        <v>46291</v>
      </c>
      <c r="E519" t="s">
        <v>96</v>
      </c>
      <c r="F519" t="s">
        <v>72</v>
      </c>
      <c r="G519" s="122">
        <v>0</v>
      </c>
      <c r="H519" s="122">
        <v>0</v>
      </c>
      <c r="I519" s="112">
        <v>0</v>
      </c>
      <c r="J519" s="112">
        <v>0</v>
      </c>
      <c r="K519" s="23">
        <f t="shared" si="65"/>
        <v>0</v>
      </c>
      <c r="L519" s="23">
        <f t="shared" si="66"/>
        <v>0</v>
      </c>
      <c r="M519" s="12">
        <f t="shared" si="67"/>
        <v>0</v>
      </c>
      <c r="N519" s="23">
        <f t="shared" si="68"/>
        <v>0</v>
      </c>
      <c r="O519" s="41">
        <f t="shared" si="69"/>
        <v>0</v>
      </c>
      <c r="P519" s="13" t="str">
        <f t="shared" si="70"/>
        <v>NO</v>
      </c>
      <c r="Q519" s="23">
        <f t="shared" si="71"/>
        <v>0</v>
      </c>
      <c r="R519" s="12">
        <f t="shared" si="71"/>
        <v>0</v>
      </c>
    </row>
    <row r="520" spans="2:18">
      <c r="B520" t="str">
        <f t="shared" si="64"/>
        <v>FILIBERTO SACUL CUCUL46292</v>
      </c>
      <c r="C520" t="s">
        <v>223</v>
      </c>
      <c r="D520" s="121">
        <v>46292</v>
      </c>
      <c r="E520" t="s">
        <v>97</v>
      </c>
      <c r="F520" t="s">
        <v>72</v>
      </c>
      <c r="G520" s="122">
        <v>0</v>
      </c>
      <c r="H520" s="122">
        <v>0</v>
      </c>
      <c r="I520" s="112">
        <v>0</v>
      </c>
      <c r="J520" s="112">
        <v>0</v>
      </c>
      <c r="K520" s="23">
        <f t="shared" si="65"/>
        <v>0</v>
      </c>
      <c r="L520" s="23">
        <f t="shared" si="66"/>
        <v>0</v>
      </c>
      <c r="M520" s="12">
        <f t="shared" si="67"/>
        <v>0</v>
      </c>
      <c r="N520" s="23">
        <f t="shared" si="68"/>
        <v>0</v>
      </c>
      <c r="O520" s="41">
        <f t="shared" si="69"/>
        <v>0</v>
      </c>
      <c r="P520" s="13" t="str">
        <f t="shared" si="70"/>
        <v>NO</v>
      </c>
      <c r="Q520" s="23">
        <f t="shared" si="71"/>
        <v>0</v>
      </c>
      <c r="R520" s="12">
        <f t="shared" si="71"/>
        <v>0</v>
      </c>
    </row>
    <row r="521" spans="2:18">
      <c r="B521" t="str">
        <f t="shared" si="64"/>
        <v>FILIBERTO SACUL CUCUL46293</v>
      </c>
      <c r="C521" t="s">
        <v>223</v>
      </c>
      <c r="D521" s="121">
        <v>46293</v>
      </c>
      <c r="E521" t="s">
        <v>98</v>
      </c>
      <c r="F521" t="s">
        <v>72</v>
      </c>
      <c r="G521" s="122">
        <v>0</v>
      </c>
      <c r="H521" s="122">
        <v>0</v>
      </c>
      <c r="I521" s="112">
        <v>0</v>
      </c>
      <c r="J521" s="112">
        <v>0</v>
      </c>
      <c r="K521" s="23">
        <f t="shared" si="65"/>
        <v>0</v>
      </c>
      <c r="L521" s="23">
        <f t="shared" si="66"/>
        <v>0</v>
      </c>
      <c r="M521" s="12">
        <f t="shared" si="67"/>
        <v>0</v>
      </c>
      <c r="N521" s="23">
        <f t="shared" si="68"/>
        <v>0</v>
      </c>
      <c r="O521" s="41">
        <f t="shared" si="69"/>
        <v>0</v>
      </c>
      <c r="P521" s="13" t="str">
        <f t="shared" si="70"/>
        <v>NO</v>
      </c>
      <c r="Q521" s="23">
        <f t="shared" si="71"/>
        <v>0</v>
      </c>
      <c r="R521" s="12">
        <f t="shared" si="71"/>
        <v>0</v>
      </c>
    </row>
    <row r="522" spans="2:18">
      <c r="B522" t="str">
        <f t="shared" si="64"/>
        <v>FILIBERTO SACUL CUCUL46294</v>
      </c>
      <c r="C522" t="s">
        <v>223</v>
      </c>
      <c r="D522" s="121">
        <v>46294</v>
      </c>
      <c r="E522" t="s">
        <v>99</v>
      </c>
      <c r="F522" t="s">
        <v>72</v>
      </c>
      <c r="G522" s="122">
        <v>0</v>
      </c>
      <c r="H522" s="122">
        <v>0</v>
      </c>
      <c r="I522" s="112">
        <v>0</v>
      </c>
      <c r="J522" s="112">
        <v>0</v>
      </c>
      <c r="K522" s="23">
        <f t="shared" si="65"/>
        <v>0</v>
      </c>
      <c r="L522" s="23">
        <f t="shared" si="66"/>
        <v>0</v>
      </c>
      <c r="M522" s="12">
        <f t="shared" si="67"/>
        <v>0</v>
      </c>
      <c r="N522" s="23">
        <f t="shared" si="68"/>
        <v>0</v>
      </c>
      <c r="O522" s="41">
        <f t="shared" si="69"/>
        <v>0</v>
      </c>
      <c r="P522" s="13" t="str">
        <f t="shared" si="70"/>
        <v>NO</v>
      </c>
      <c r="Q522" s="23">
        <f t="shared" si="71"/>
        <v>0</v>
      </c>
      <c r="R522" s="12">
        <f t="shared" si="71"/>
        <v>0</v>
      </c>
    </row>
    <row r="523" spans="2:18">
      <c r="B523" t="str">
        <f t="shared" si="64"/>
        <v>FILIBERTO SACUL CUCUL46295</v>
      </c>
      <c r="C523" t="s">
        <v>223</v>
      </c>
      <c r="D523" s="121">
        <v>46295</v>
      </c>
      <c r="E523" t="s">
        <v>100</v>
      </c>
      <c r="F523" t="s">
        <v>72</v>
      </c>
      <c r="G523" s="122">
        <v>0</v>
      </c>
      <c r="H523" s="122">
        <v>0</v>
      </c>
      <c r="I523" s="112">
        <v>0</v>
      </c>
      <c r="J523" s="112">
        <v>0</v>
      </c>
      <c r="K523" s="23">
        <f t="shared" si="65"/>
        <v>0</v>
      </c>
      <c r="L523" s="23">
        <f t="shared" si="66"/>
        <v>0</v>
      </c>
      <c r="M523" s="12">
        <f t="shared" si="67"/>
        <v>0</v>
      </c>
      <c r="N523" s="23">
        <f t="shared" si="68"/>
        <v>0</v>
      </c>
      <c r="O523" s="41">
        <f t="shared" si="69"/>
        <v>0</v>
      </c>
      <c r="P523" s="13" t="str">
        <f t="shared" si="70"/>
        <v>NO</v>
      </c>
      <c r="Q523" s="23">
        <f t="shared" si="71"/>
        <v>0</v>
      </c>
      <c r="R523" s="12">
        <f t="shared" si="71"/>
        <v>0</v>
      </c>
    </row>
    <row r="524" spans="2:18">
      <c r="B524" t="str">
        <f t="shared" si="64"/>
        <v>FILIBERTO SACUL CUCUL46296</v>
      </c>
      <c r="C524" t="s">
        <v>223</v>
      </c>
      <c r="D524" s="121">
        <v>46296</v>
      </c>
      <c r="E524" t="s">
        <v>101</v>
      </c>
      <c r="F524" t="s">
        <v>72</v>
      </c>
      <c r="G524" s="122">
        <v>0</v>
      </c>
      <c r="H524" s="122">
        <v>0</v>
      </c>
      <c r="I524" s="112">
        <v>0</v>
      </c>
      <c r="J524" s="112">
        <v>0</v>
      </c>
      <c r="K524" s="23">
        <f t="shared" si="65"/>
        <v>0</v>
      </c>
      <c r="L524" s="23">
        <f t="shared" si="66"/>
        <v>0</v>
      </c>
      <c r="M524" s="12">
        <f t="shared" si="67"/>
        <v>0</v>
      </c>
      <c r="N524" s="23">
        <f t="shared" si="68"/>
        <v>0</v>
      </c>
      <c r="O524" s="41">
        <f t="shared" si="69"/>
        <v>0</v>
      </c>
      <c r="P524" s="13" t="str">
        <f t="shared" si="70"/>
        <v>NO</v>
      </c>
      <c r="Q524" s="23">
        <f t="shared" si="71"/>
        <v>0</v>
      </c>
      <c r="R524" s="12">
        <f t="shared" si="71"/>
        <v>0</v>
      </c>
    </row>
    <row r="525" spans="2:18">
      <c r="B525" t="str">
        <f t="shared" si="64"/>
        <v>FILIBERTO SACUL CUCUL46297</v>
      </c>
      <c r="C525" t="s">
        <v>223</v>
      </c>
      <c r="D525" s="121">
        <v>46297</v>
      </c>
      <c r="E525" t="s">
        <v>95</v>
      </c>
      <c r="F525" t="s">
        <v>72</v>
      </c>
      <c r="G525" s="122">
        <v>0</v>
      </c>
      <c r="H525" s="122">
        <v>0</v>
      </c>
      <c r="I525" s="112">
        <v>0</v>
      </c>
      <c r="J525" s="112">
        <v>0</v>
      </c>
      <c r="K525" s="23">
        <f t="shared" si="65"/>
        <v>0</v>
      </c>
      <c r="L525" s="23">
        <f t="shared" si="66"/>
        <v>0</v>
      </c>
      <c r="M525" s="12">
        <f t="shared" si="67"/>
        <v>0</v>
      </c>
      <c r="N525" s="23">
        <f t="shared" si="68"/>
        <v>0</v>
      </c>
      <c r="O525" s="41">
        <f t="shared" si="69"/>
        <v>0</v>
      </c>
      <c r="P525" s="13" t="str">
        <f t="shared" si="70"/>
        <v>NO</v>
      </c>
      <c r="Q525" s="23">
        <f t="shared" si="71"/>
        <v>0</v>
      </c>
      <c r="R525" s="12">
        <f t="shared" si="71"/>
        <v>0</v>
      </c>
    </row>
    <row r="526" spans="2:18">
      <c r="B526" t="str">
        <f t="shared" si="64"/>
        <v>FILIBERTO SACUL CUCUL46298</v>
      </c>
      <c r="C526" t="s">
        <v>223</v>
      </c>
      <c r="D526" s="121">
        <v>46298</v>
      </c>
      <c r="E526" t="s">
        <v>96</v>
      </c>
      <c r="F526" t="s">
        <v>72</v>
      </c>
      <c r="G526" s="122">
        <v>0</v>
      </c>
      <c r="H526" s="122">
        <v>0</v>
      </c>
      <c r="I526" s="112">
        <v>0</v>
      </c>
      <c r="J526" s="112">
        <v>0</v>
      </c>
      <c r="K526" s="23">
        <f t="shared" si="65"/>
        <v>0</v>
      </c>
      <c r="L526" s="23">
        <f t="shared" si="66"/>
        <v>0</v>
      </c>
      <c r="M526" s="12">
        <f t="shared" si="67"/>
        <v>0</v>
      </c>
      <c r="N526" s="23">
        <f t="shared" si="68"/>
        <v>0</v>
      </c>
      <c r="O526" s="41">
        <f t="shared" si="69"/>
        <v>0</v>
      </c>
      <c r="P526" s="13" t="str">
        <f t="shared" si="70"/>
        <v>NO</v>
      </c>
      <c r="Q526" s="23">
        <f t="shared" si="71"/>
        <v>0</v>
      </c>
      <c r="R526" s="12">
        <f t="shared" si="71"/>
        <v>0</v>
      </c>
    </row>
    <row r="527" spans="2:18">
      <c r="B527" t="str">
        <f t="shared" si="64"/>
        <v>FILIBERTO SACUL CUCUL46299</v>
      </c>
      <c r="C527" t="s">
        <v>223</v>
      </c>
      <c r="D527" s="121">
        <v>46299</v>
      </c>
      <c r="E527" t="s">
        <v>97</v>
      </c>
      <c r="F527" t="s">
        <v>72</v>
      </c>
      <c r="G527" s="122">
        <v>0</v>
      </c>
      <c r="H527" s="122">
        <v>0</v>
      </c>
      <c r="I527" s="112">
        <v>0</v>
      </c>
      <c r="J527" s="112">
        <v>0</v>
      </c>
      <c r="K527" s="23">
        <f t="shared" si="65"/>
        <v>0</v>
      </c>
      <c r="L527" s="23">
        <f t="shared" si="66"/>
        <v>0</v>
      </c>
      <c r="M527" s="12">
        <f t="shared" si="67"/>
        <v>0</v>
      </c>
      <c r="N527" s="23">
        <f t="shared" si="68"/>
        <v>0</v>
      </c>
      <c r="O527" s="41">
        <f t="shared" si="69"/>
        <v>0</v>
      </c>
      <c r="P527" s="13" t="str">
        <f t="shared" si="70"/>
        <v>NO</v>
      </c>
      <c r="Q527" s="23">
        <f t="shared" si="71"/>
        <v>0</v>
      </c>
      <c r="R527" s="12">
        <f t="shared" si="71"/>
        <v>0</v>
      </c>
    </row>
    <row r="528" spans="2:18">
      <c r="B528" t="str">
        <f t="shared" si="64"/>
        <v>GUZMÁN MORALES  EDGAR RICARDO46279</v>
      </c>
      <c r="C528" t="s">
        <v>224</v>
      </c>
      <c r="D528" s="121">
        <v>46279</v>
      </c>
      <c r="E528" t="s">
        <v>98</v>
      </c>
      <c r="F528" t="s">
        <v>72</v>
      </c>
      <c r="G528" s="122">
        <v>0</v>
      </c>
      <c r="H528" s="122">
        <v>0</v>
      </c>
      <c r="I528" s="112">
        <v>0</v>
      </c>
      <c r="J528" s="112">
        <v>0</v>
      </c>
      <c r="K528" s="23">
        <f t="shared" si="65"/>
        <v>0</v>
      </c>
      <c r="L528" s="23">
        <f t="shared" si="66"/>
        <v>0</v>
      </c>
      <c r="M528" s="12">
        <f t="shared" si="67"/>
        <v>0</v>
      </c>
      <c r="N528" s="23">
        <f t="shared" si="68"/>
        <v>0</v>
      </c>
      <c r="O528" s="41">
        <f t="shared" si="69"/>
        <v>0</v>
      </c>
      <c r="P528" s="13" t="str">
        <f t="shared" si="70"/>
        <v>NO</v>
      </c>
      <c r="Q528" s="23">
        <f t="shared" si="71"/>
        <v>0</v>
      </c>
      <c r="R528" s="12">
        <f t="shared" si="71"/>
        <v>0</v>
      </c>
    </row>
    <row r="529" spans="2:18">
      <c r="B529" t="str">
        <f t="shared" si="64"/>
        <v>GUZMÁN MORALES  EDGAR RICARDO46280</v>
      </c>
      <c r="C529" t="s">
        <v>224</v>
      </c>
      <c r="D529" s="121">
        <v>46280</v>
      </c>
      <c r="E529" t="s">
        <v>99</v>
      </c>
      <c r="F529" t="s">
        <v>35</v>
      </c>
      <c r="G529" s="122">
        <v>0.33333333333333298</v>
      </c>
      <c r="H529" s="122">
        <v>0.70833333333333304</v>
      </c>
      <c r="I529" s="112">
        <v>0</v>
      </c>
      <c r="J529" s="112">
        <v>0</v>
      </c>
      <c r="K529" s="23">
        <f t="shared" si="65"/>
        <v>0.33333333333333298</v>
      </c>
      <c r="L529" s="23">
        <f t="shared" si="66"/>
        <v>0</v>
      </c>
      <c r="M529" s="12">
        <f t="shared" si="67"/>
        <v>0.33333333333333298</v>
      </c>
      <c r="N529" s="23">
        <f t="shared" si="68"/>
        <v>0.70833333333333304</v>
      </c>
      <c r="O529" s="41">
        <f t="shared" si="69"/>
        <v>0</v>
      </c>
      <c r="P529" s="13" t="str">
        <f t="shared" si="70"/>
        <v>SI</v>
      </c>
      <c r="Q529" s="23">
        <f t="shared" si="71"/>
        <v>0.33333333333333298</v>
      </c>
      <c r="R529" s="12">
        <f t="shared" si="71"/>
        <v>0.70833333333333304</v>
      </c>
    </row>
    <row r="530" spans="2:18">
      <c r="B530" t="str">
        <f t="shared" si="64"/>
        <v>GUZMÁN MORALES  EDGAR RICARDO46281</v>
      </c>
      <c r="C530" t="s">
        <v>224</v>
      </c>
      <c r="D530" s="121">
        <v>46281</v>
      </c>
      <c r="E530" t="s">
        <v>100</v>
      </c>
      <c r="F530" t="s">
        <v>35</v>
      </c>
      <c r="G530" s="122">
        <v>0.23958333333333301</v>
      </c>
      <c r="H530" s="122">
        <v>0.75</v>
      </c>
      <c r="I530" s="112">
        <v>0</v>
      </c>
      <c r="J530" s="112">
        <v>0</v>
      </c>
      <c r="K530" s="23">
        <f t="shared" si="65"/>
        <v>0.23958333333333301</v>
      </c>
      <c r="L530" s="23">
        <f t="shared" si="66"/>
        <v>0</v>
      </c>
      <c r="M530" s="12">
        <f t="shared" si="67"/>
        <v>0.23958333333333301</v>
      </c>
      <c r="N530" s="23">
        <f t="shared" si="68"/>
        <v>0.75</v>
      </c>
      <c r="O530" s="41">
        <f t="shared" si="69"/>
        <v>0</v>
      </c>
      <c r="P530" s="13" t="str">
        <f t="shared" si="70"/>
        <v>SI</v>
      </c>
      <c r="Q530" s="23">
        <f t="shared" si="71"/>
        <v>0.23958333333333301</v>
      </c>
      <c r="R530" s="12">
        <f t="shared" si="71"/>
        <v>0.75</v>
      </c>
    </row>
    <row r="531" spans="2:18">
      <c r="B531" t="str">
        <f t="shared" si="64"/>
        <v>GUZMÁN MORALES  EDGAR RICARDO46282</v>
      </c>
      <c r="C531" t="s">
        <v>224</v>
      </c>
      <c r="D531" s="121">
        <v>46282</v>
      </c>
      <c r="E531" t="s">
        <v>101</v>
      </c>
      <c r="F531" t="s">
        <v>35</v>
      </c>
      <c r="G531" s="122">
        <v>0.23958333333333301</v>
      </c>
      <c r="H531" s="122">
        <v>0.75</v>
      </c>
      <c r="I531" s="112">
        <v>0</v>
      </c>
      <c r="J531" s="112">
        <v>0</v>
      </c>
      <c r="K531" s="23">
        <f t="shared" si="65"/>
        <v>0.23958333333333301</v>
      </c>
      <c r="L531" s="23">
        <f t="shared" si="66"/>
        <v>0</v>
      </c>
      <c r="M531" s="12">
        <f t="shared" si="67"/>
        <v>0.23958333333333301</v>
      </c>
      <c r="N531" s="23">
        <f t="shared" si="68"/>
        <v>0.75</v>
      </c>
      <c r="O531" s="41">
        <f t="shared" si="69"/>
        <v>0</v>
      </c>
      <c r="P531" s="13" t="str">
        <f t="shared" si="70"/>
        <v>SI</v>
      </c>
      <c r="Q531" s="23">
        <f t="shared" si="71"/>
        <v>0.23958333333333301</v>
      </c>
      <c r="R531" s="12">
        <f t="shared" si="71"/>
        <v>0.75</v>
      </c>
    </row>
    <row r="532" spans="2:18">
      <c r="B532" t="str">
        <f t="shared" si="64"/>
        <v>GUZMÁN MORALES  EDGAR RICARDO46283</v>
      </c>
      <c r="C532" t="s">
        <v>224</v>
      </c>
      <c r="D532" s="121">
        <v>46283</v>
      </c>
      <c r="E532" t="s">
        <v>95</v>
      </c>
      <c r="F532" t="s">
        <v>35</v>
      </c>
      <c r="G532" s="122">
        <v>0.23958333333333301</v>
      </c>
      <c r="H532" s="122">
        <v>0.75</v>
      </c>
      <c r="I532" s="112">
        <v>0</v>
      </c>
      <c r="J532" s="112">
        <v>0</v>
      </c>
      <c r="K532" s="23">
        <f t="shared" si="65"/>
        <v>0.23958333333333301</v>
      </c>
      <c r="L532" s="23">
        <f t="shared" si="66"/>
        <v>0</v>
      </c>
      <c r="M532" s="12">
        <f t="shared" si="67"/>
        <v>0.23958333333333301</v>
      </c>
      <c r="N532" s="23">
        <f t="shared" si="68"/>
        <v>0.75</v>
      </c>
      <c r="O532" s="41">
        <f t="shared" si="69"/>
        <v>0</v>
      </c>
      <c r="P532" s="13" t="str">
        <f t="shared" si="70"/>
        <v>SI</v>
      </c>
      <c r="Q532" s="23">
        <f t="shared" si="71"/>
        <v>0.23958333333333301</v>
      </c>
      <c r="R532" s="12">
        <f t="shared" si="71"/>
        <v>0.75</v>
      </c>
    </row>
    <row r="533" spans="2:18">
      <c r="B533" t="str">
        <f t="shared" si="64"/>
        <v>GUZMÁN MORALES  EDGAR RICARDO46284</v>
      </c>
      <c r="C533" t="s">
        <v>224</v>
      </c>
      <c r="D533" s="121">
        <v>46284</v>
      </c>
      <c r="E533" t="s">
        <v>96</v>
      </c>
      <c r="F533" t="s">
        <v>35</v>
      </c>
      <c r="G533" s="122">
        <v>0.23958333333333301</v>
      </c>
      <c r="H533" s="122">
        <v>0.58333333333333304</v>
      </c>
      <c r="I533" s="112">
        <v>0</v>
      </c>
      <c r="J533" s="112">
        <v>0</v>
      </c>
      <c r="K533" s="23">
        <f t="shared" si="65"/>
        <v>0.23958333333333301</v>
      </c>
      <c r="L533" s="23">
        <f t="shared" si="66"/>
        <v>0</v>
      </c>
      <c r="M533" s="12">
        <f t="shared" si="67"/>
        <v>0.23958333333333301</v>
      </c>
      <c r="N533" s="23">
        <f t="shared" si="68"/>
        <v>0.58333333333333304</v>
      </c>
      <c r="O533" s="41">
        <f t="shared" si="69"/>
        <v>0</v>
      </c>
      <c r="P533" s="13" t="str">
        <f t="shared" si="70"/>
        <v>SI</v>
      </c>
      <c r="Q533" s="23">
        <f t="shared" si="71"/>
        <v>0.23958333333333301</v>
      </c>
      <c r="R533" s="12">
        <f t="shared" si="71"/>
        <v>0.58333333333333304</v>
      </c>
    </row>
    <row r="534" spans="2:18">
      <c r="B534" t="str">
        <f t="shared" si="64"/>
        <v>GUZMÁN MORALES  EDGAR RICARDO46285</v>
      </c>
      <c r="C534" t="s">
        <v>224</v>
      </c>
      <c r="D534" s="121">
        <v>46285</v>
      </c>
      <c r="E534" t="s">
        <v>97</v>
      </c>
      <c r="F534" t="s">
        <v>72</v>
      </c>
      <c r="G534" s="122">
        <v>0</v>
      </c>
      <c r="H534" s="122">
        <v>0</v>
      </c>
      <c r="I534" s="112">
        <v>0</v>
      </c>
      <c r="J534" s="112">
        <v>0</v>
      </c>
      <c r="K534" s="23">
        <f t="shared" si="65"/>
        <v>0</v>
      </c>
      <c r="L534" s="23">
        <f t="shared" si="66"/>
        <v>0</v>
      </c>
      <c r="M534" s="12">
        <f t="shared" si="67"/>
        <v>0</v>
      </c>
      <c r="N534" s="23">
        <f t="shared" si="68"/>
        <v>0</v>
      </c>
      <c r="O534" s="41">
        <f t="shared" si="69"/>
        <v>0</v>
      </c>
      <c r="P534" s="13" t="str">
        <f t="shared" si="70"/>
        <v>NO</v>
      </c>
      <c r="Q534" s="23">
        <f t="shared" si="71"/>
        <v>0</v>
      </c>
      <c r="R534" s="12">
        <f t="shared" si="71"/>
        <v>0</v>
      </c>
    </row>
    <row r="535" spans="2:18">
      <c r="B535" t="str">
        <f t="shared" si="64"/>
        <v>GUZMÁN MORALES  EDGAR RICARDO46286</v>
      </c>
      <c r="C535" t="s">
        <v>224</v>
      </c>
      <c r="D535" s="121">
        <v>46286</v>
      </c>
      <c r="E535" t="s">
        <v>98</v>
      </c>
      <c r="F535" t="s">
        <v>36</v>
      </c>
      <c r="G535" s="122">
        <v>0.73958333333333304</v>
      </c>
      <c r="H535" s="122">
        <v>0.25</v>
      </c>
      <c r="I535" s="112">
        <v>0</v>
      </c>
      <c r="J535" s="112">
        <v>0</v>
      </c>
      <c r="K535" s="23">
        <f t="shared" si="65"/>
        <v>0.73958333333333304</v>
      </c>
      <c r="L535" s="23">
        <f t="shared" si="66"/>
        <v>0</v>
      </c>
      <c r="M535" s="12">
        <f t="shared" si="67"/>
        <v>0.73958333333333304</v>
      </c>
      <c r="N535" s="23">
        <f t="shared" si="68"/>
        <v>0.25</v>
      </c>
      <c r="O535" s="41">
        <f t="shared" si="69"/>
        <v>0</v>
      </c>
      <c r="P535" s="13" t="str">
        <f t="shared" si="70"/>
        <v>SI</v>
      </c>
      <c r="Q535" s="23">
        <f t="shared" si="71"/>
        <v>0.73958333333333304</v>
      </c>
      <c r="R535" s="12">
        <f t="shared" si="71"/>
        <v>0.25</v>
      </c>
    </row>
    <row r="536" spans="2:18">
      <c r="B536" t="str">
        <f t="shared" si="64"/>
        <v>GUZMÁN MORALES  EDGAR RICARDO46287</v>
      </c>
      <c r="C536" t="s">
        <v>224</v>
      </c>
      <c r="D536" s="121">
        <v>46287</v>
      </c>
      <c r="E536" t="s">
        <v>99</v>
      </c>
      <c r="F536" t="s">
        <v>36</v>
      </c>
      <c r="G536" s="122">
        <v>0.73958333333333304</v>
      </c>
      <c r="H536" s="122">
        <v>0.25</v>
      </c>
      <c r="I536" s="112">
        <v>0</v>
      </c>
      <c r="J536" s="112">
        <v>0</v>
      </c>
      <c r="K536" s="23">
        <f t="shared" si="65"/>
        <v>0.73958333333333304</v>
      </c>
      <c r="L536" s="23">
        <f t="shared" si="66"/>
        <v>0</v>
      </c>
      <c r="M536" s="12">
        <f t="shared" si="67"/>
        <v>0.73958333333333304</v>
      </c>
      <c r="N536" s="23">
        <f t="shared" si="68"/>
        <v>0.25</v>
      </c>
      <c r="O536" s="41">
        <f t="shared" si="69"/>
        <v>0</v>
      </c>
      <c r="P536" s="13" t="str">
        <f t="shared" si="70"/>
        <v>SI</v>
      </c>
      <c r="Q536" s="23">
        <f t="shared" si="71"/>
        <v>0.73958333333333304</v>
      </c>
      <c r="R536" s="12">
        <f t="shared" si="71"/>
        <v>0.25</v>
      </c>
    </row>
    <row r="537" spans="2:18">
      <c r="B537" t="str">
        <f t="shared" ref="B537:B600" si="72">+C537&amp;D537</f>
        <v>GUZMÁN MORALES  EDGAR RICARDO46288</v>
      </c>
      <c r="C537" t="s">
        <v>224</v>
      </c>
      <c r="D537" s="121">
        <v>46288</v>
      </c>
      <c r="E537" t="s">
        <v>100</v>
      </c>
      <c r="F537" t="s">
        <v>36</v>
      </c>
      <c r="G537" s="122">
        <v>0.73958333333333304</v>
      </c>
      <c r="H537" s="122">
        <v>0.25</v>
      </c>
      <c r="I537" s="112">
        <v>0</v>
      </c>
      <c r="J537" s="112">
        <v>0</v>
      </c>
      <c r="K537" s="23">
        <f t="shared" ref="K537:K600" si="73">+IFERROR(G537,0)</f>
        <v>0.73958333333333304</v>
      </c>
      <c r="L537" s="23">
        <f t="shared" ref="L537:L600" si="74">+I537</f>
        <v>0</v>
      </c>
      <c r="M537" s="12">
        <f t="shared" si="67"/>
        <v>0.73958333333333304</v>
      </c>
      <c r="N537" s="23">
        <f t="shared" ref="N537:N600" si="75">+H537</f>
        <v>0.25</v>
      </c>
      <c r="O537" s="41">
        <f t="shared" ref="O537:O600" si="76">+J537</f>
        <v>0</v>
      </c>
      <c r="P537" s="13" t="str">
        <f t="shared" ref="P537:P600" si="77">+IF(O537&lt;N537,"SI","NO")</f>
        <v>SI</v>
      </c>
      <c r="Q537" s="23">
        <f t="shared" ref="Q537:R600" si="78">+M537</f>
        <v>0.73958333333333304</v>
      </c>
      <c r="R537" s="12">
        <f t="shared" si="78"/>
        <v>0.25</v>
      </c>
    </row>
    <row r="538" spans="2:18">
      <c r="B538" t="str">
        <f t="shared" si="72"/>
        <v>GUZMÁN MORALES  EDGAR RICARDO46289</v>
      </c>
      <c r="C538" t="s">
        <v>224</v>
      </c>
      <c r="D538" s="121">
        <v>46289</v>
      </c>
      <c r="E538" t="s">
        <v>101</v>
      </c>
      <c r="F538" t="s">
        <v>36</v>
      </c>
      <c r="G538" s="122">
        <v>0.73958333333333304</v>
      </c>
      <c r="H538" s="122">
        <v>0.25</v>
      </c>
      <c r="I538" s="112">
        <v>0</v>
      </c>
      <c r="J538" s="112">
        <v>0</v>
      </c>
      <c r="K538" s="23">
        <f t="shared" si="73"/>
        <v>0.73958333333333304</v>
      </c>
      <c r="L538" s="23">
        <f t="shared" si="74"/>
        <v>0</v>
      </c>
      <c r="M538" s="12">
        <f t="shared" ref="M538:M601" si="79">+IFERROR(MAX(K538:L538),0)</f>
        <v>0.73958333333333304</v>
      </c>
      <c r="N538" s="23">
        <f t="shared" si="75"/>
        <v>0.25</v>
      </c>
      <c r="O538" s="41">
        <f t="shared" si="76"/>
        <v>0</v>
      </c>
      <c r="P538" s="13" t="str">
        <f t="shared" si="77"/>
        <v>SI</v>
      </c>
      <c r="Q538" s="23">
        <f t="shared" si="78"/>
        <v>0.73958333333333304</v>
      </c>
      <c r="R538" s="12">
        <f t="shared" si="78"/>
        <v>0.25</v>
      </c>
    </row>
    <row r="539" spans="2:18">
      <c r="B539" t="str">
        <f t="shared" si="72"/>
        <v>GUZMÁN MORALES  EDGAR RICARDO46290</v>
      </c>
      <c r="C539" t="s">
        <v>224</v>
      </c>
      <c r="D539" s="121">
        <v>46290</v>
      </c>
      <c r="E539" t="s">
        <v>95</v>
      </c>
      <c r="F539" t="s">
        <v>36</v>
      </c>
      <c r="G539" s="122">
        <v>0.73958333333333304</v>
      </c>
      <c r="H539" s="122">
        <v>0.25</v>
      </c>
      <c r="I539" s="112">
        <v>0</v>
      </c>
      <c r="J539" s="112">
        <v>0</v>
      </c>
      <c r="K539" s="23">
        <f t="shared" si="73"/>
        <v>0.73958333333333304</v>
      </c>
      <c r="L539" s="23">
        <f t="shared" si="74"/>
        <v>0</v>
      </c>
      <c r="M539" s="12">
        <f t="shared" si="79"/>
        <v>0.73958333333333304</v>
      </c>
      <c r="N539" s="23">
        <f t="shared" si="75"/>
        <v>0.25</v>
      </c>
      <c r="O539" s="41">
        <f t="shared" si="76"/>
        <v>0</v>
      </c>
      <c r="P539" s="13" t="str">
        <f t="shared" si="77"/>
        <v>SI</v>
      </c>
      <c r="Q539" s="23">
        <f t="shared" si="78"/>
        <v>0.73958333333333304</v>
      </c>
      <c r="R539" s="12">
        <f t="shared" si="78"/>
        <v>0.25</v>
      </c>
    </row>
    <row r="540" spans="2:18">
      <c r="B540" t="str">
        <f t="shared" si="72"/>
        <v>GUZMÁN MORALES  EDGAR RICARDO46291</v>
      </c>
      <c r="C540" t="s">
        <v>224</v>
      </c>
      <c r="D540" s="121">
        <v>46291</v>
      </c>
      <c r="E540" t="s">
        <v>96</v>
      </c>
      <c r="F540" t="s">
        <v>72</v>
      </c>
      <c r="G540" s="122">
        <v>0</v>
      </c>
      <c r="H540" s="122">
        <v>0</v>
      </c>
      <c r="I540" s="112">
        <v>0</v>
      </c>
      <c r="J540" s="112">
        <v>0</v>
      </c>
      <c r="K540" s="23">
        <f t="shared" si="73"/>
        <v>0</v>
      </c>
      <c r="L540" s="23">
        <f t="shared" si="74"/>
        <v>0</v>
      </c>
      <c r="M540" s="12">
        <f t="shared" si="79"/>
        <v>0</v>
      </c>
      <c r="N540" s="23">
        <f t="shared" si="75"/>
        <v>0</v>
      </c>
      <c r="O540" s="41">
        <f t="shared" si="76"/>
        <v>0</v>
      </c>
      <c r="P540" s="13" t="str">
        <f t="shared" si="77"/>
        <v>NO</v>
      </c>
      <c r="Q540" s="23">
        <f t="shared" si="78"/>
        <v>0</v>
      </c>
      <c r="R540" s="12">
        <f t="shared" si="78"/>
        <v>0</v>
      </c>
    </row>
    <row r="541" spans="2:18">
      <c r="B541" t="str">
        <f t="shared" si="72"/>
        <v>GUZMÁN MORALES  EDGAR RICARDO46292</v>
      </c>
      <c r="C541" t="s">
        <v>224</v>
      </c>
      <c r="D541" s="121">
        <v>46292</v>
      </c>
      <c r="E541" t="s">
        <v>97</v>
      </c>
      <c r="F541" t="s">
        <v>72</v>
      </c>
      <c r="G541" s="122">
        <v>0</v>
      </c>
      <c r="H541" s="122">
        <v>0</v>
      </c>
      <c r="I541" s="112">
        <v>0</v>
      </c>
      <c r="J541" s="112">
        <v>0</v>
      </c>
      <c r="K541" s="23">
        <f t="shared" si="73"/>
        <v>0</v>
      </c>
      <c r="L541" s="23">
        <f t="shared" si="74"/>
        <v>0</v>
      </c>
      <c r="M541" s="12">
        <f t="shared" si="79"/>
        <v>0</v>
      </c>
      <c r="N541" s="23">
        <f t="shared" si="75"/>
        <v>0</v>
      </c>
      <c r="O541" s="41">
        <f t="shared" si="76"/>
        <v>0</v>
      </c>
      <c r="P541" s="13" t="str">
        <f t="shared" si="77"/>
        <v>NO</v>
      </c>
      <c r="Q541" s="23">
        <f t="shared" si="78"/>
        <v>0</v>
      </c>
      <c r="R541" s="12">
        <f t="shared" si="78"/>
        <v>0</v>
      </c>
    </row>
    <row r="542" spans="2:18">
      <c r="B542" t="str">
        <f t="shared" si="72"/>
        <v>GUZMÁN MORALES  EDGAR RICARDO46293</v>
      </c>
      <c r="C542" t="s">
        <v>224</v>
      </c>
      <c r="D542" s="121">
        <v>46293</v>
      </c>
      <c r="E542" t="s">
        <v>98</v>
      </c>
      <c r="F542" t="s">
        <v>35</v>
      </c>
      <c r="G542" s="122">
        <v>0.23958333333333301</v>
      </c>
      <c r="H542" s="122">
        <v>0.75</v>
      </c>
      <c r="I542" s="112">
        <v>0</v>
      </c>
      <c r="J542" s="112">
        <v>0</v>
      </c>
      <c r="K542" s="23">
        <f t="shared" si="73"/>
        <v>0.23958333333333301</v>
      </c>
      <c r="L542" s="23">
        <f t="shared" si="74"/>
        <v>0</v>
      </c>
      <c r="M542" s="12">
        <f t="shared" si="79"/>
        <v>0.23958333333333301</v>
      </c>
      <c r="N542" s="23">
        <f t="shared" si="75"/>
        <v>0.75</v>
      </c>
      <c r="O542" s="41">
        <f t="shared" si="76"/>
        <v>0</v>
      </c>
      <c r="P542" s="13" t="str">
        <f t="shared" si="77"/>
        <v>SI</v>
      </c>
      <c r="Q542" s="23">
        <f t="shared" si="78"/>
        <v>0.23958333333333301</v>
      </c>
      <c r="R542" s="12">
        <f t="shared" si="78"/>
        <v>0.75</v>
      </c>
    </row>
    <row r="543" spans="2:18">
      <c r="B543" t="str">
        <f t="shared" si="72"/>
        <v>GUZMÁN MORALES  EDGAR RICARDO46294</v>
      </c>
      <c r="C543" t="s">
        <v>224</v>
      </c>
      <c r="D543" s="121">
        <v>46294</v>
      </c>
      <c r="E543" t="s">
        <v>99</v>
      </c>
      <c r="F543" t="s">
        <v>35</v>
      </c>
      <c r="G543" s="122">
        <v>0.23958333333333301</v>
      </c>
      <c r="H543" s="122">
        <v>0.75</v>
      </c>
      <c r="I543" s="112">
        <v>0</v>
      </c>
      <c r="J543" s="112">
        <v>0</v>
      </c>
      <c r="K543" s="23">
        <f t="shared" si="73"/>
        <v>0.23958333333333301</v>
      </c>
      <c r="L543" s="23">
        <f t="shared" si="74"/>
        <v>0</v>
      </c>
      <c r="M543" s="12">
        <f t="shared" si="79"/>
        <v>0.23958333333333301</v>
      </c>
      <c r="N543" s="23">
        <f t="shared" si="75"/>
        <v>0.75</v>
      </c>
      <c r="O543" s="41">
        <f t="shared" si="76"/>
        <v>0</v>
      </c>
      <c r="P543" s="13" t="str">
        <f t="shared" si="77"/>
        <v>SI</v>
      </c>
      <c r="Q543" s="23">
        <f t="shared" si="78"/>
        <v>0.23958333333333301</v>
      </c>
      <c r="R543" s="12">
        <f t="shared" si="78"/>
        <v>0.75</v>
      </c>
    </row>
    <row r="544" spans="2:18">
      <c r="B544" t="str">
        <f t="shared" si="72"/>
        <v>GUZMÁN MORALES  EDGAR RICARDO46295</v>
      </c>
      <c r="C544" t="s">
        <v>224</v>
      </c>
      <c r="D544" s="121">
        <v>46295</v>
      </c>
      <c r="E544" t="s">
        <v>100</v>
      </c>
      <c r="F544" t="s">
        <v>35</v>
      </c>
      <c r="G544" s="122">
        <v>0.23958333333333301</v>
      </c>
      <c r="H544" s="122">
        <v>0.75</v>
      </c>
      <c r="I544" s="112">
        <v>0</v>
      </c>
      <c r="J544" s="112">
        <v>0</v>
      </c>
      <c r="K544" s="23">
        <f t="shared" si="73"/>
        <v>0.23958333333333301</v>
      </c>
      <c r="L544" s="23">
        <f t="shared" si="74"/>
        <v>0</v>
      </c>
      <c r="M544" s="12">
        <f t="shared" si="79"/>
        <v>0.23958333333333301</v>
      </c>
      <c r="N544" s="23">
        <f t="shared" si="75"/>
        <v>0.75</v>
      </c>
      <c r="O544" s="41">
        <f t="shared" si="76"/>
        <v>0</v>
      </c>
      <c r="P544" s="13" t="str">
        <f t="shared" si="77"/>
        <v>SI</v>
      </c>
      <c r="Q544" s="23">
        <f t="shared" si="78"/>
        <v>0.23958333333333301</v>
      </c>
      <c r="R544" s="12">
        <f t="shared" si="78"/>
        <v>0.75</v>
      </c>
    </row>
    <row r="545" spans="2:18">
      <c r="B545" t="str">
        <f t="shared" si="72"/>
        <v>GUZMÁN MORALES  EDGAR RICARDO46296</v>
      </c>
      <c r="C545" t="s">
        <v>224</v>
      </c>
      <c r="D545" s="121">
        <v>46296</v>
      </c>
      <c r="E545" t="s">
        <v>101</v>
      </c>
      <c r="F545" t="s">
        <v>35</v>
      </c>
      <c r="G545" s="122">
        <v>0.23958333333333301</v>
      </c>
      <c r="H545" s="122">
        <v>0.75</v>
      </c>
      <c r="I545" s="112">
        <v>0</v>
      </c>
      <c r="J545" s="112">
        <v>0</v>
      </c>
      <c r="K545" s="23">
        <f t="shared" si="73"/>
        <v>0.23958333333333301</v>
      </c>
      <c r="L545" s="23">
        <f t="shared" si="74"/>
        <v>0</v>
      </c>
      <c r="M545" s="12">
        <f t="shared" si="79"/>
        <v>0.23958333333333301</v>
      </c>
      <c r="N545" s="23">
        <f t="shared" si="75"/>
        <v>0.75</v>
      </c>
      <c r="O545" s="41">
        <f t="shared" si="76"/>
        <v>0</v>
      </c>
      <c r="P545" s="13" t="str">
        <f t="shared" si="77"/>
        <v>SI</v>
      </c>
      <c r="Q545" s="23">
        <f t="shared" si="78"/>
        <v>0.23958333333333301</v>
      </c>
      <c r="R545" s="12">
        <f t="shared" si="78"/>
        <v>0.75</v>
      </c>
    </row>
    <row r="546" spans="2:18">
      <c r="B546" t="str">
        <f t="shared" si="72"/>
        <v>GUZMÁN MORALES  EDGAR RICARDO46297</v>
      </c>
      <c r="C546" t="s">
        <v>224</v>
      </c>
      <c r="D546" s="121">
        <v>46297</v>
      </c>
      <c r="E546" t="s">
        <v>95</v>
      </c>
      <c r="F546" t="s">
        <v>35</v>
      </c>
      <c r="G546" s="122">
        <v>0.23958333333333301</v>
      </c>
      <c r="H546" s="122">
        <v>0.75</v>
      </c>
      <c r="I546" s="112">
        <v>0</v>
      </c>
      <c r="J546" s="112">
        <v>0</v>
      </c>
      <c r="K546" s="23">
        <f t="shared" si="73"/>
        <v>0.23958333333333301</v>
      </c>
      <c r="L546" s="23">
        <f t="shared" si="74"/>
        <v>0</v>
      </c>
      <c r="M546" s="12">
        <f t="shared" si="79"/>
        <v>0.23958333333333301</v>
      </c>
      <c r="N546" s="23">
        <f t="shared" si="75"/>
        <v>0.75</v>
      </c>
      <c r="O546" s="41">
        <f t="shared" si="76"/>
        <v>0</v>
      </c>
      <c r="P546" s="13" t="str">
        <f t="shared" si="77"/>
        <v>SI</v>
      </c>
      <c r="Q546" s="23">
        <f t="shared" si="78"/>
        <v>0.23958333333333301</v>
      </c>
      <c r="R546" s="12">
        <f t="shared" si="78"/>
        <v>0.75</v>
      </c>
    </row>
    <row r="547" spans="2:18">
      <c r="B547" t="str">
        <f t="shared" si="72"/>
        <v>GUZMÁN MORALES  EDGAR RICARDO46298</v>
      </c>
      <c r="C547" t="s">
        <v>224</v>
      </c>
      <c r="D547" s="121">
        <v>46298</v>
      </c>
      <c r="E547" t="s">
        <v>96</v>
      </c>
      <c r="F547" t="s">
        <v>35</v>
      </c>
      <c r="G547" s="122">
        <v>0.23958333333333301</v>
      </c>
      <c r="H547" s="122">
        <v>0.58333333333333304</v>
      </c>
      <c r="I547" s="112">
        <v>0</v>
      </c>
      <c r="J547" s="112">
        <v>0</v>
      </c>
      <c r="K547" s="23">
        <f t="shared" si="73"/>
        <v>0.23958333333333301</v>
      </c>
      <c r="L547" s="23">
        <f t="shared" si="74"/>
        <v>0</v>
      </c>
      <c r="M547" s="12">
        <f t="shared" si="79"/>
        <v>0.23958333333333301</v>
      </c>
      <c r="N547" s="23">
        <f t="shared" si="75"/>
        <v>0.58333333333333304</v>
      </c>
      <c r="O547" s="41">
        <f t="shared" si="76"/>
        <v>0</v>
      </c>
      <c r="P547" s="13" t="str">
        <f t="shared" si="77"/>
        <v>SI</v>
      </c>
      <c r="Q547" s="23">
        <f t="shared" si="78"/>
        <v>0.23958333333333301</v>
      </c>
      <c r="R547" s="12">
        <f t="shared" si="78"/>
        <v>0.58333333333333304</v>
      </c>
    </row>
    <row r="548" spans="2:18">
      <c r="B548" t="str">
        <f t="shared" si="72"/>
        <v>GUZMÁN MORALES  EDGAR RICARDO46299</v>
      </c>
      <c r="C548" t="s">
        <v>224</v>
      </c>
      <c r="D548" s="121">
        <v>46299</v>
      </c>
      <c r="E548" t="s">
        <v>97</v>
      </c>
      <c r="F548" t="s">
        <v>72</v>
      </c>
      <c r="G548" s="122">
        <v>0</v>
      </c>
      <c r="H548" s="122">
        <v>0</v>
      </c>
      <c r="I548" s="112">
        <v>0</v>
      </c>
      <c r="J548" s="112">
        <v>0</v>
      </c>
      <c r="K548" s="23">
        <f t="shared" si="73"/>
        <v>0</v>
      </c>
      <c r="L548" s="23">
        <f t="shared" si="74"/>
        <v>0</v>
      </c>
      <c r="M548" s="12">
        <f t="shared" si="79"/>
        <v>0</v>
      </c>
      <c r="N548" s="23">
        <f t="shared" si="75"/>
        <v>0</v>
      </c>
      <c r="O548" s="41">
        <f t="shared" si="76"/>
        <v>0</v>
      </c>
      <c r="P548" s="13" t="str">
        <f t="shared" si="77"/>
        <v>NO</v>
      </c>
      <c r="Q548" s="23">
        <f t="shared" si="78"/>
        <v>0</v>
      </c>
      <c r="R548" s="12">
        <f t="shared" si="78"/>
        <v>0</v>
      </c>
    </row>
    <row r="549" spans="2:18">
      <c r="B549" t="str">
        <f t="shared" si="72"/>
        <v>HECTOR RENE ALVIZUREZ MEJIA46279</v>
      </c>
      <c r="C549" t="s">
        <v>14</v>
      </c>
      <c r="D549" s="121">
        <v>46279</v>
      </c>
      <c r="E549" t="s">
        <v>98</v>
      </c>
      <c r="F549" t="s">
        <v>72</v>
      </c>
      <c r="G549" s="122">
        <v>0</v>
      </c>
      <c r="H549" s="122">
        <v>0</v>
      </c>
      <c r="I549" s="112">
        <v>0</v>
      </c>
      <c r="J549" s="112">
        <v>0</v>
      </c>
      <c r="K549" s="23">
        <f t="shared" si="73"/>
        <v>0</v>
      </c>
      <c r="L549" s="23">
        <f t="shared" si="74"/>
        <v>0</v>
      </c>
      <c r="M549" s="12">
        <f t="shared" si="79"/>
        <v>0</v>
      </c>
      <c r="N549" s="23">
        <f t="shared" si="75"/>
        <v>0</v>
      </c>
      <c r="O549" s="41">
        <f t="shared" si="76"/>
        <v>0</v>
      </c>
      <c r="P549" s="13" t="str">
        <f t="shared" si="77"/>
        <v>NO</v>
      </c>
      <c r="Q549" s="23">
        <f t="shared" si="78"/>
        <v>0</v>
      </c>
      <c r="R549" s="12">
        <f t="shared" si="78"/>
        <v>0</v>
      </c>
    </row>
    <row r="550" spans="2:18">
      <c r="B550" t="str">
        <f t="shared" si="72"/>
        <v>HECTOR RENE ALVIZUREZ MEJIA46280</v>
      </c>
      <c r="C550" t="s">
        <v>14</v>
      </c>
      <c r="D550" s="121">
        <v>46280</v>
      </c>
      <c r="E550" t="s">
        <v>99</v>
      </c>
      <c r="F550" t="s">
        <v>35</v>
      </c>
      <c r="G550" s="122">
        <v>0.33333333333333298</v>
      </c>
      <c r="H550" s="122">
        <v>0.70833333333333304</v>
      </c>
      <c r="I550" s="112">
        <v>0</v>
      </c>
      <c r="J550" s="112">
        <v>0</v>
      </c>
      <c r="K550" s="23">
        <f t="shared" si="73"/>
        <v>0.33333333333333298</v>
      </c>
      <c r="L550" s="23">
        <f t="shared" si="74"/>
        <v>0</v>
      </c>
      <c r="M550" s="12">
        <f t="shared" si="79"/>
        <v>0.33333333333333298</v>
      </c>
      <c r="N550" s="23">
        <f t="shared" si="75"/>
        <v>0.70833333333333304</v>
      </c>
      <c r="O550" s="41">
        <f t="shared" si="76"/>
        <v>0</v>
      </c>
      <c r="P550" s="13" t="str">
        <f t="shared" si="77"/>
        <v>SI</v>
      </c>
      <c r="Q550" s="23">
        <f t="shared" si="78"/>
        <v>0.33333333333333298</v>
      </c>
      <c r="R550" s="12">
        <f t="shared" si="78"/>
        <v>0.70833333333333304</v>
      </c>
    </row>
    <row r="551" spans="2:18">
      <c r="B551" t="str">
        <f t="shared" si="72"/>
        <v>HECTOR RENE ALVIZUREZ MEJIA46281</v>
      </c>
      <c r="C551" t="s">
        <v>14</v>
      </c>
      <c r="D551" s="121">
        <v>46281</v>
      </c>
      <c r="E551" t="s">
        <v>100</v>
      </c>
      <c r="F551" t="s">
        <v>36</v>
      </c>
      <c r="G551" s="122">
        <v>0.79166666666666696</v>
      </c>
      <c r="H551" s="122">
        <v>0.20833333333333301</v>
      </c>
      <c r="I551" s="112">
        <v>0</v>
      </c>
      <c r="J551" s="112">
        <v>0</v>
      </c>
      <c r="K551" s="23">
        <f t="shared" si="73"/>
        <v>0.79166666666666696</v>
      </c>
      <c r="L551" s="23">
        <f t="shared" si="74"/>
        <v>0</v>
      </c>
      <c r="M551" s="12">
        <f t="shared" si="79"/>
        <v>0.79166666666666696</v>
      </c>
      <c r="N551" s="23">
        <f t="shared" si="75"/>
        <v>0.20833333333333301</v>
      </c>
      <c r="O551" s="41">
        <f t="shared" si="76"/>
        <v>0</v>
      </c>
      <c r="P551" s="13" t="str">
        <f t="shared" si="77"/>
        <v>SI</v>
      </c>
      <c r="Q551" s="23">
        <f t="shared" si="78"/>
        <v>0.79166666666666696</v>
      </c>
      <c r="R551" s="12">
        <f t="shared" si="78"/>
        <v>0.20833333333333301</v>
      </c>
    </row>
    <row r="552" spans="2:18">
      <c r="B552" t="str">
        <f t="shared" si="72"/>
        <v>HECTOR RENE ALVIZUREZ MEJIA46282</v>
      </c>
      <c r="C552" t="s">
        <v>14</v>
      </c>
      <c r="D552" s="121">
        <v>46282</v>
      </c>
      <c r="E552" t="s">
        <v>101</v>
      </c>
      <c r="F552" t="s">
        <v>36</v>
      </c>
      <c r="G552" s="122">
        <v>0.79166666666666696</v>
      </c>
      <c r="H552" s="122">
        <v>0.20833333333333301</v>
      </c>
      <c r="I552" s="112">
        <v>0</v>
      </c>
      <c r="J552" s="112">
        <v>0</v>
      </c>
      <c r="K552" s="23">
        <f t="shared" si="73"/>
        <v>0.79166666666666696</v>
      </c>
      <c r="L552" s="23">
        <f t="shared" si="74"/>
        <v>0</v>
      </c>
      <c r="M552" s="12">
        <f t="shared" si="79"/>
        <v>0.79166666666666696</v>
      </c>
      <c r="N552" s="23">
        <f t="shared" si="75"/>
        <v>0.20833333333333301</v>
      </c>
      <c r="O552" s="41">
        <f t="shared" si="76"/>
        <v>0</v>
      </c>
      <c r="P552" s="13" t="str">
        <f t="shared" si="77"/>
        <v>SI</v>
      </c>
      <c r="Q552" s="23">
        <f t="shared" si="78"/>
        <v>0.79166666666666696</v>
      </c>
      <c r="R552" s="12">
        <f t="shared" si="78"/>
        <v>0.20833333333333301</v>
      </c>
    </row>
    <row r="553" spans="2:18">
      <c r="B553" t="str">
        <f t="shared" si="72"/>
        <v>HECTOR RENE ALVIZUREZ MEJIA46283</v>
      </c>
      <c r="C553" t="s">
        <v>14</v>
      </c>
      <c r="D553" s="121">
        <v>46283</v>
      </c>
      <c r="E553" t="s">
        <v>95</v>
      </c>
      <c r="F553" t="s">
        <v>72</v>
      </c>
      <c r="G553" s="122">
        <v>0</v>
      </c>
      <c r="H553" s="122">
        <v>0</v>
      </c>
      <c r="I553" s="112">
        <v>0</v>
      </c>
      <c r="J553" s="112">
        <v>0</v>
      </c>
      <c r="K553" s="23">
        <f t="shared" si="73"/>
        <v>0</v>
      </c>
      <c r="L553" s="23">
        <f t="shared" si="74"/>
        <v>0</v>
      </c>
      <c r="M553" s="12">
        <f t="shared" si="79"/>
        <v>0</v>
      </c>
      <c r="N553" s="23">
        <f t="shared" si="75"/>
        <v>0</v>
      </c>
      <c r="O553" s="41">
        <f t="shared" si="76"/>
        <v>0</v>
      </c>
      <c r="P553" s="13" t="str">
        <f t="shared" si="77"/>
        <v>NO</v>
      </c>
      <c r="Q553" s="23">
        <f t="shared" si="78"/>
        <v>0</v>
      </c>
      <c r="R553" s="12">
        <f t="shared" si="78"/>
        <v>0</v>
      </c>
    </row>
    <row r="554" spans="2:18">
      <c r="B554" t="str">
        <f t="shared" si="72"/>
        <v>HECTOR RENE ALVIZUREZ MEJIA46284</v>
      </c>
      <c r="C554" t="s">
        <v>14</v>
      </c>
      <c r="D554" s="121">
        <v>46284</v>
      </c>
      <c r="E554" t="s">
        <v>96</v>
      </c>
      <c r="F554" t="s">
        <v>35</v>
      </c>
      <c r="G554" s="122">
        <v>0.29166666666666702</v>
      </c>
      <c r="H554" s="122">
        <v>0.5</v>
      </c>
      <c r="I554" s="112">
        <v>0</v>
      </c>
      <c r="J554" s="112">
        <v>0</v>
      </c>
      <c r="K554" s="23">
        <f t="shared" si="73"/>
        <v>0.29166666666666702</v>
      </c>
      <c r="L554" s="23">
        <f t="shared" si="74"/>
        <v>0</v>
      </c>
      <c r="M554" s="12">
        <f t="shared" si="79"/>
        <v>0.29166666666666702</v>
      </c>
      <c r="N554" s="23">
        <f t="shared" si="75"/>
        <v>0.5</v>
      </c>
      <c r="O554" s="41">
        <f t="shared" si="76"/>
        <v>0</v>
      </c>
      <c r="P554" s="13" t="str">
        <f t="shared" si="77"/>
        <v>SI</v>
      </c>
      <c r="Q554" s="23">
        <f t="shared" si="78"/>
        <v>0.29166666666666702</v>
      </c>
      <c r="R554" s="12">
        <f t="shared" si="78"/>
        <v>0.5</v>
      </c>
    </row>
    <row r="555" spans="2:18">
      <c r="B555" t="str">
        <f t="shared" si="72"/>
        <v>HECTOR RENE ALVIZUREZ MEJIA46285</v>
      </c>
      <c r="C555" t="s">
        <v>14</v>
      </c>
      <c r="D555" s="121">
        <v>46285</v>
      </c>
      <c r="E555" t="s">
        <v>97</v>
      </c>
      <c r="F555" t="s">
        <v>72</v>
      </c>
      <c r="G555" s="122">
        <v>0</v>
      </c>
      <c r="H555" s="122">
        <v>0</v>
      </c>
      <c r="I555" s="112">
        <v>0</v>
      </c>
      <c r="J555" s="112">
        <v>0</v>
      </c>
      <c r="K555" s="23">
        <f t="shared" si="73"/>
        <v>0</v>
      </c>
      <c r="L555" s="23">
        <f t="shared" si="74"/>
        <v>0</v>
      </c>
      <c r="M555" s="12">
        <f t="shared" si="79"/>
        <v>0</v>
      </c>
      <c r="N555" s="23">
        <f t="shared" si="75"/>
        <v>0</v>
      </c>
      <c r="O555" s="41">
        <f t="shared" si="76"/>
        <v>0</v>
      </c>
      <c r="P555" s="13" t="str">
        <f t="shared" si="77"/>
        <v>NO</v>
      </c>
      <c r="Q555" s="23">
        <f t="shared" si="78"/>
        <v>0</v>
      </c>
      <c r="R555" s="12">
        <f t="shared" si="78"/>
        <v>0</v>
      </c>
    </row>
    <row r="556" spans="2:18">
      <c r="B556" t="str">
        <f t="shared" si="72"/>
        <v>HECTOR RENE ALVIZUREZ MEJIA46286</v>
      </c>
      <c r="C556" t="s">
        <v>14</v>
      </c>
      <c r="D556" s="121">
        <v>46286</v>
      </c>
      <c r="E556" t="s">
        <v>98</v>
      </c>
      <c r="F556" t="s">
        <v>35</v>
      </c>
      <c r="G556" s="122">
        <v>0.29166666666666702</v>
      </c>
      <c r="H556" s="122">
        <v>0.66666666666666696</v>
      </c>
      <c r="I556" s="112">
        <v>0</v>
      </c>
      <c r="J556" s="112">
        <v>0</v>
      </c>
      <c r="K556" s="23">
        <f t="shared" si="73"/>
        <v>0.29166666666666702</v>
      </c>
      <c r="L556" s="23">
        <f t="shared" si="74"/>
        <v>0</v>
      </c>
      <c r="M556" s="12">
        <f t="shared" si="79"/>
        <v>0.29166666666666702</v>
      </c>
      <c r="N556" s="23">
        <f t="shared" si="75"/>
        <v>0.66666666666666696</v>
      </c>
      <c r="O556" s="41">
        <f t="shared" si="76"/>
        <v>0</v>
      </c>
      <c r="P556" s="13" t="str">
        <f t="shared" si="77"/>
        <v>SI</v>
      </c>
      <c r="Q556" s="23">
        <f t="shared" si="78"/>
        <v>0.29166666666666702</v>
      </c>
      <c r="R556" s="12">
        <f t="shared" si="78"/>
        <v>0.66666666666666696</v>
      </c>
    </row>
    <row r="557" spans="2:18">
      <c r="B557" t="str">
        <f t="shared" si="72"/>
        <v>HECTOR RENE ALVIZUREZ MEJIA46287</v>
      </c>
      <c r="C557" t="s">
        <v>14</v>
      </c>
      <c r="D557" s="121">
        <v>46287</v>
      </c>
      <c r="E557" t="s">
        <v>99</v>
      </c>
      <c r="F557" t="s">
        <v>35</v>
      </c>
      <c r="G557" s="122">
        <v>0.29166666666666702</v>
      </c>
      <c r="H557" s="122">
        <v>0.66666666666666696</v>
      </c>
      <c r="I557" s="112">
        <v>0</v>
      </c>
      <c r="J557" s="112">
        <v>0</v>
      </c>
      <c r="K557" s="23">
        <f t="shared" si="73"/>
        <v>0.29166666666666702</v>
      </c>
      <c r="L557" s="23">
        <f t="shared" si="74"/>
        <v>0</v>
      </c>
      <c r="M557" s="12">
        <f t="shared" si="79"/>
        <v>0.29166666666666702</v>
      </c>
      <c r="N557" s="23">
        <f t="shared" si="75"/>
        <v>0.66666666666666696</v>
      </c>
      <c r="O557" s="41">
        <f t="shared" si="76"/>
        <v>0</v>
      </c>
      <c r="P557" s="13" t="str">
        <f t="shared" si="77"/>
        <v>SI</v>
      </c>
      <c r="Q557" s="23">
        <f t="shared" si="78"/>
        <v>0.29166666666666702</v>
      </c>
      <c r="R557" s="12">
        <f t="shared" si="78"/>
        <v>0.66666666666666696</v>
      </c>
    </row>
    <row r="558" spans="2:18">
      <c r="B558" t="str">
        <f t="shared" si="72"/>
        <v>HECTOR RENE ALVIZUREZ MEJIA46288</v>
      </c>
      <c r="C558" t="s">
        <v>14</v>
      </c>
      <c r="D558" s="121">
        <v>46288</v>
      </c>
      <c r="E558" t="s">
        <v>100</v>
      </c>
      <c r="F558" t="s">
        <v>35</v>
      </c>
      <c r="G558" s="122">
        <v>0.29166666666666702</v>
      </c>
      <c r="H558" s="122">
        <v>0.66666666666666696</v>
      </c>
      <c r="I558" s="112">
        <v>0</v>
      </c>
      <c r="J558" s="112">
        <v>0</v>
      </c>
      <c r="K558" s="23">
        <f t="shared" si="73"/>
        <v>0.29166666666666702</v>
      </c>
      <c r="L558" s="23">
        <f t="shared" si="74"/>
        <v>0</v>
      </c>
      <c r="M558" s="12">
        <f t="shared" si="79"/>
        <v>0.29166666666666702</v>
      </c>
      <c r="N558" s="23">
        <f t="shared" si="75"/>
        <v>0.66666666666666696</v>
      </c>
      <c r="O558" s="41">
        <f t="shared" si="76"/>
        <v>0</v>
      </c>
      <c r="P558" s="13" t="str">
        <f t="shared" si="77"/>
        <v>SI</v>
      </c>
      <c r="Q558" s="23">
        <f t="shared" si="78"/>
        <v>0.29166666666666702</v>
      </c>
      <c r="R558" s="12">
        <f t="shared" si="78"/>
        <v>0.66666666666666696</v>
      </c>
    </row>
    <row r="559" spans="2:18">
      <c r="B559" t="str">
        <f t="shared" si="72"/>
        <v>HECTOR RENE ALVIZUREZ MEJIA46289</v>
      </c>
      <c r="C559" t="s">
        <v>14</v>
      </c>
      <c r="D559" s="121">
        <v>46289</v>
      </c>
      <c r="E559" t="s">
        <v>101</v>
      </c>
      <c r="F559" t="s">
        <v>35</v>
      </c>
      <c r="G559" s="122">
        <v>0.375</v>
      </c>
      <c r="H559" s="122">
        <v>0.75</v>
      </c>
      <c r="I559" s="112">
        <v>0</v>
      </c>
      <c r="J559" s="112">
        <v>0</v>
      </c>
      <c r="K559" s="23">
        <f t="shared" si="73"/>
        <v>0.375</v>
      </c>
      <c r="L559" s="23">
        <f t="shared" si="74"/>
        <v>0</v>
      </c>
      <c r="M559" s="12">
        <f t="shared" si="79"/>
        <v>0.375</v>
      </c>
      <c r="N559" s="23">
        <f t="shared" si="75"/>
        <v>0.75</v>
      </c>
      <c r="O559" s="41">
        <f t="shared" si="76"/>
        <v>0</v>
      </c>
      <c r="P559" s="13" t="str">
        <f t="shared" si="77"/>
        <v>SI</v>
      </c>
      <c r="Q559" s="23">
        <f t="shared" si="78"/>
        <v>0.375</v>
      </c>
      <c r="R559" s="12">
        <f t="shared" si="78"/>
        <v>0.75</v>
      </c>
    </row>
    <row r="560" spans="2:18">
      <c r="B560" t="str">
        <f t="shared" si="72"/>
        <v>HECTOR RENE ALVIZUREZ MEJIA46290</v>
      </c>
      <c r="C560" t="s">
        <v>14</v>
      </c>
      <c r="D560" s="121">
        <v>46290</v>
      </c>
      <c r="E560" t="s">
        <v>95</v>
      </c>
      <c r="F560" t="s">
        <v>35</v>
      </c>
      <c r="G560" s="122">
        <v>0.29166666666666702</v>
      </c>
      <c r="H560" s="122">
        <v>0.66666666666666696</v>
      </c>
      <c r="I560" s="112">
        <v>0</v>
      </c>
      <c r="J560" s="112">
        <v>0</v>
      </c>
      <c r="K560" s="23">
        <f t="shared" si="73"/>
        <v>0.29166666666666702</v>
      </c>
      <c r="L560" s="23">
        <f t="shared" si="74"/>
        <v>0</v>
      </c>
      <c r="M560" s="12">
        <f t="shared" si="79"/>
        <v>0.29166666666666702</v>
      </c>
      <c r="N560" s="23">
        <f t="shared" si="75"/>
        <v>0.66666666666666696</v>
      </c>
      <c r="O560" s="41">
        <f t="shared" si="76"/>
        <v>0</v>
      </c>
      <c r="P560" s="13" t="str">
        <f t="shared" si="77"/>
        <v>SI</v>
      </c>
      <c r="Q560" s="23">
        <f t="shared" si="78"/>
        <v>0.29166666666666702</v>
      </c>
      <c r="R560" s="12">
        <f t="shared" si="78"/>
        <v>0.66666666666666696</v>
      </c>
    </row>
    <row r="561" spans="2:18">
      <c r="B561" t="str">
        <f t="shared" si="72"/>
        <v>HECTOR RENE ALVIZUREZ MEJIA46291</v>
      </c>
      <c r="C561" t="s">
        <v>14</v>
      </c>
      <c r="D561" s="121">
        <v>46291</v>
      </c>
      <c r="E561" t="s">
        <v>96</v>
      </c>
      <c r="F561" t="s">
        <v>35</v>
      </c>
      <c r="G561" s="122">
        <v>0.29166666666666702</v>
      </c>
      <c r="H561" s="122">
        <v>0.5</v>
      </c>
      <c r="I561" s="112">
        <v>0</v>
      </c>
      <c r="J561" s="112">
        <v>0</v>
      </c>
      <c r="K561" s="23">
        <f t="shared" si="73"/>
        <v>0.29166666666666702</v>
      </c>
      <c r="L561" s="23">
        <f t="shared" si="74"/>
        <v>0</v>
      </c>
      <c r="M561" s="12">
        <f t="shared" si="79"/>
        <v>0.29166666666666702</v>
      </c>
      <c r="N561" s="23">
        <f t="shared" si="75"/>
        <v>0.5</v>
      </c>
      <c r="O561" s="41">
        <f t="shared" si="76"/>
        <v>0</v>
      </c>
      <c r="P561" s="13" t="str">
        <f t="shared" si="77"/>
        <v>SI</v>
      </c>
      <c r="Q561" s="23">
        <f t="shared" si="78"/>
        <v>0.29166666666666702</v>
      </c>
      <c r="R561" s="12">
        <f t="shared" si="78"/>
        <v>0.5</v>
      </c>
    </row>
    <row r="562" spans="2:18">
      <c r="B562" t="str">
        <f t="shared" si="72"/>
        <v>HECTOR RENE ALVIZUREZ MEJIA46292</v>
      </c>
      <c r="C562" t="s">
        <v>14</v>
      </c>
      <c r="D562" s="121">
        <v>46292</v>
      </c>
      <c r="E562" t="s">
        <v>97</v>
      </c>
      <c r="F562" t="s">
        <v>72</v>
      </c>
      <c r="G562" s="122">
        <v>0</v>
      </c>
      <c r="H562" s="122">
        <v>0</v>
      </c>
      <c r="I562" s="112">
        <v>0</v>
      </c>
      <c r="J562" s="112">
        <v>0</v>
      </c>
      <c r="K562" s="23">
        <f t="shared" si="73"/>
        <v>0</v>
      </c>
      <c r="L562" s="23">
        <f t="shared" si="74"/>
        <v>0</v>
      </c>
      <c r="M562" s="12">
        <f t="shared" si="79"/>
        <v>0</v>
      </c>
      <c r="N562" s="23">
        <f t="shared" si="75"/>
        <v>0</v>
      </c>
      <c r="O562" s="41">
        <f t="shared" si="76"/>
        <v>0</v>
      </c>
      <c r="P562" s="13" t="str">
        <f t="shared" si="77"/>
        <v>NO</v>
      </c>
      <c r="Q562" s="23">
        <f t="shared" si="78"/>
        <v>0</v>
      </c>
      <c r="R562" s="12">
        <f t="shared" si="78"/>
        <v>0</v>
      </c>
    </row>
    <row r="563" spans="2:18">
      <c r="B563" t="str">
        <f t="shared" si="72"/>
        <v>HECTOR RENE ALVIZUREZ MEJIA46293</v>
      </c>
      <c r="C563" t="s">
        <v>14</v>
      </c>
      <c r="D563" s="121">
        <v>46293</v>
      </c>
      <c r="E563" t="s">
        <v>98</v>
      </c>
      <c r="F563" t="s">
        <v>35</v>
      </c>
      <c r="G563" s="122">
        <v>0.29166666666666702</v>
      </c>
      <c r="H563" s="122">
        <v>0.66666666666666696</v>
      </c>
      <c r="I563" s="112">
        <v>0</v>
      </c>
      <c r="J563" s="112">
        <v>0</v>
      </c>
      <c r="K563" s="23">
        <f t="shared" si="73"/>
        <v>0.29166666666666702</v>
      </c>
      <c r="L563" s="23">
        <f t="shared" si="74"/>
        <v>0</v>
      </c>
      <c r="M563" s="12">
        <f t="shared" si="79"/>
        <v>0.29166666666666702</v>
      </c>
      <c r="N563" s="23">
        <f t="shared" si="75"/>
        <v>0.66666666666666696</v>
      </c>
      <c r="O563" s="41">
        <f t="shared" si="76"/>
        <v>0</v>
      </c>
      <c r="P563" s="13" t="str">
        <f t="shared" si="77"/>
        <v>SI</v>
      </c>
      <c r="Q563" s="23">
        <f t="shared" si="78"/>
        <v>0.29166666666666702</v>
      </c>
      <c r="R563" s="12">
        <f t="shared" si="78"/>
        <v>0.66666666666666696</v>
      </c>
    </row>
    <row r="564" spans="2:18">
      <c r="B564" t="str">
        <f t="shared" si="72"/>
        <v>HECTOR RENE ALVIZUREZ MEJIA46294</v>
      </c>
      <c r="C564" t="s">
        <v>14</v>
      </c>
      <c r="D564" s="121">
        <v>46294</v>
      </c>
      <c r="E564" t="s">
        <v>99</v>
      </c>
      <c r="F564" t="s">
        <v>35</v>
      </c>
      <c r="G564" s="122">
        <v>0.29166666666666702</v>
      </c>
      <c r="H564" s="122">
        <v>0.66666666666666696</v>
      </c>
      <c r="I564" s="112">
        <v>0</v>
      </c>
      <c r="J564" s="112">
        <v>0</v>
      </c>
      <c r="K564" s="23">
        <f t="shared" si="73"/>
        <v>0.29166666666666702</v>
      </c>
      <c r="L564" s="23">
        <f t="shared" si="74"/>
        <v>0</v>
      </c>
      <c r="M564" s="12">
        <f t="shared" si="79"/>
        <v>0.29166666666666702</v>
      </c>
      <c r="N564" s="23">
        <f t="shared" si="75"/>
        <v>0.66666666666666696</v>
      </c>
      <c r="O564" s="41">
        <f t="shared" si="76"/>
        <v>0</v>
      </c>
      <c r="P564" s="13" t="str">
        <f t="shared" si="77"/>
        <v>SI</v>
      </c>
      <c r="Q564" s="23">
        <f t="shared" si="78"/>
        <v>0.29166666666666702</v>
      </c>
      <c r="R564" s="12">
        <f t="shared" si="78"/>
        <v>0.66666666666666696</v>
      </c>
    </row>
    <row r="565" spans="2:18">
      <c r="B565" t="str">
        <f t="shared" si="72"/>
        <v>HECTOR RENE ALVIZUREZ MEJIA46295</v>
      </c>
      <c r="C565" t="s">
        <v>14</v>
      </c>
      <c r="D565" s="121">
        <v>46295</v>
      </c>
      <c r="E565" t="s">
        <v>100</v>
      </c>
      <c r="F565" t="s">
        <v>35</v>
      </c>
      <c r="G565" s="122">
        <v>0.29166666666666702</v>
      </c>
      <c r="H565" s="122">
        <v>0.66666666666666696</v>
      </c>
      <c r="I565" s="112">
        <v>0</v>
      </c>
      <c r="J565" s="112">
        <v>0</v>
      </c>
      <c r="K565" s="23">
        <f t="shared" si="73"/>
        <v>0.29166666666666702</v>
      </c>
      <c r="L565" s="23">
        <f t="shared" si="74"/>
        <v>0</v>
      </c>
      <c r="M565" s="12">
        <f t="shared" si="79"/>
        <v>0.29166666666666702</v>
      </c>
      <c r="N565" s="23">
        <f t="shared" si="75"/>
        <v>0.66666666666666696</v>
      </c>
      <c r="O565" s="41">
        <f t="shared" si="76"/>
        <v>0</v>
      </c>
      <c r="P565" s="13" t="str">
        <f t="shared" si="77"/>
        <v>SI</v>
      </c>
      <c r="Q565" s="23">
        <f t="shared" si="78"/>
        <v>0.29166666666666702</v>
      </c>
      <c r="R565" s="12">
        <f t="shared" si="78"/>
        <v>0.66666666666666696</v>
      </c>
    </row>
    <row r="566" spans="2:18">
      <c r="B566" t="str">
        <f t="shared" si="72"/>
        <v>HECTOR RENE ALVIZUREZ MEJIA46296</v>
      </c>
      <c r="C566" t="s">
        <v>14</v>
      </c>
      <c r="D566" s="121">
        <v>46296</v>
      </c>
      <c r="E566" t="s">
        <v>101</v>
      </c>
      <c r="F566" t="s">
        <v>35</v>
      </c>
      <c r="G566" s="122">
        <v>0.29166666666666702</v>
      </c>
      <c r="H566" s="122">
        <v>0.70833333333333304</v>
      </c>
      <c r="I566" s="112">
        <v>0</v>
      </c>
      <c r="J566" s="112">
        <v>0</v>
      </c>
      <c r="K566" s="23">
        <f t="shared" si="73"/>
        <v>0.29166666666666702</v>
      </c>
      <c r="L566" s="23">
        <f t="shared" si="74"/>
        <v>0</v>
      </c>
      <c r="M566" s="12">
        <f t="shared" si="79"/>
        <v>0.29166666666666702</v>
      </c>
      <c r="N566" s="23">
        <f t="shared" si="75"/>
        <v>0.70833333333333304</v>
      </c>
      <c r="O566" s="41">
        <f t="shared" si="76"/>
        <v>0</v>
      </c>
      <c r="P566" s="13" t="str">
        <f t="shared" si="77"/>
        <v>SI</v>
      </c>
      <c r="Q566" s="23">
        <f t="shared" si="78"/>
        <v>0.29166666666666702</v>
      </c>
      <c r="R566" s="12">
        <f t="shared" si="78"/>
        <v>0.70833333333333304</v>
      </c>
    </row>
    <row r="567" spans="2:18">
      <c r="B567" t="str">
        <f t="shared" si="72"/>
        <v>HECTOR RENE ALVIZUREZ MEJIA46297</v>
      </c>
      <c r="C567" t="s">
        <v>14</v>
      </c>
      <c r="D567" s="121">
        <v>46297</v>
      </c>
      <c r="E567" t="s">
        <v>95</v>
      </c>
      <c r="F567" t="s">
        <v>35</v>
      </c>
      <c r="G567" s="122">
        <v>0.29166666666666702</v>
      </c>
      <c r="H567" s="122">
        <v>0.66666666666666696</v>
      </c>
      <c r="I567" s="112">
        <v>0</v>
      </c>
      <c r="J567" s="112">
        <v>0</v>
      </c>
      <c r="K567" s="23">
        <f t="shared" si="73"/>
        <v>0.29166666666666702</v>
      </c>
      <c r="L567" s="23">
        <f t="shared" si="74"/>
        <v>0</v>
      </c>
      <c r="M567" s="12">
        <f t="shared" si="79"/>
        <v>0.29166666666666702</v>
      </c>
      <c r="N567" s="23">
        <f t="shared" si="75"/>
        <v>0.66666666666666696</v>
      </c>
      <c r="O567" s="41">
        <f t="shared" si="76"/>
        <v>0</v>
      </c>
      <c r="P567" s="13" t="str">
        <f t="shared" si="77"/>
        <v>SI</v>
      </c>
      <c r="Q567" s="23">
        <f t="shared" si="78"/>
        <v>0.29166666666666702</v>
      </c>
      <c r="R567" s="12">
        <f t="shared" si="78"/>
        <v>0.66666666666666696</v>
      </c>
    </row>
    <row r="568" spans="2:18">
      <c r="B568" t="str">
        <f t="shared" si="72"/>
        <v>HECTOR RENE ALVIZUREZ MEJIA46298</v>
      </c>
      <c r="C568" t="s">
        <v>14</v>
      </c>
      <c r="D568" s="121">
        <v>46298</v>
      </c>
      <c r="E568" t="s">
        <v>96</v>
      </c>
      <c r="F568" t="s">
        <v>35</v>
      </c>
      <c r="G568" s="122">
        <v>0.29166666666666702</v>
      </c>
      <c r="H568" s="122">
        <v>0.5</v>
      </c>
      <c r="I568" s="112">
        <v>0</v>
      </c>
      <c r="J568" s="112">
        <v>0</v>
      </c>
      <c r="K568" s="23">
        <f t="shared" si="73"/>
        <v>0.29166666666666702</v>
      </c>
      <c r="L568" s="23">
        <f t="shared" si="74"/>
        <v>0</v>
      </c>
      <c r="M568" s="12">
        <f t="shared" si="79"/>
        <v>0.29166666666666702</v>
      </c>
      <c r="N568" s="23">
        <f t="shared" si="75"/>
        <v>0.5</v>
      </c>
      <c r="O568" s="41">
        <f t="shared" si="76"/>
        <v>0</v>
      </c>
      <c r="P568" s="13" t="str">
        <f t="shared" si="77"/>
        <v>SI</v>
      </c>
      <c r="Q568" s="23">
        <f t="shared" si="78"/>
        <v>0.29166666666666702</v>
      </c>
      <c r="R568" s="12">
        <f t="shared" si="78"/>
        <v>0.5</v>
      </c>
    </row>
    <row r="569" spans="2:18">
      <c r="B569" t="str">
        <f t="shared" si="72"/>
        <v>HECTOR RENE ALVIZUREZ MEJIA46299</v>
      </c>
      <c r="C569" t="s">
        <v>14</v>
      </c>
      <c r="D569" s="121">
        <v>46299</v>
      </c>
      <c r="E569" t="s">
        <v>97</v>
      </c>
      <c r="F569" t="s">
        <v>72</v>
      </c>
      <c r="G569" s="122">
        <v>0</v>
      </c>
      <c r="H569" s="122">
        <v>0</v>
      </c>
      <c r="I569" s="112">
        <v>0</v>
      </c>
      <c r="J569" s="112">
        <v>0</v>
      </c>
      <c r="K569" s="23">
        <f t="shared" si="73"/>
        <v>0</v>
      </c>
      <c r="L569" s="23">
        <f t="shared" si="74"/>
        <v>0</v>
      </c>
      <c r="M569" s="12">
        <f t="shared" si="79"/>
        <v>0</v>
      </c>
      <c r="N569" s="23">
        <f t="shared" si="75"/>
        <v>0</v>
      </c>
      <c r="O569" s="41">
        <f t="shared" si="76"/>
        <v>0</v>
      </c>
      <c r="P569" s="13" t="str">
        <f t="shared" si="77"/>
        <v>NO</v>
      </c>
      <c r="Q569" s="23">
        <f t="shared" si="78"/>
        <v>0</v>
      </c>
      <c r="R569" s="12">
        <f t="shared" si="78"/>
        <v>0</v>
      </c>
    </row>
    <row r="570" spans="2:18">
      <c r="B570" t="str">
        <f t="shared" si="72"/>
        <v>HERNÁNDEZ POCÓN ERVIN ALFONSO46279</v>
      </c>
      <c r="C570" t="s">
        <v>263</v>
      </c>
      <c r="D570" s="121">
        <v>46279</v>
      </c>
      <c r="E570" t="s">
        <v>98</v>
      </c>
      <c r="F570" t="s">
        <v>72</v>
      </c>
      <c r="G570" s="122">
        <v>0</v>
      </c>
      <c r="H570" s="122">
        <v>0</v>
      </c>
      <c r="I570" s="112">
        <v>0</v>
      </c>
      <c r="J570" s="112">
        <v>0</v>
      </c>
      <c r="K570" s="23">
        <f t="shared" si="73"/>
        <v>0</v>
      </c>
      <c r="L570" s="23">
        <f t="shared" si="74"/>
        <v>0</v>
      </c>
      <c r="M570" s="12">
        <f t="shared" si="79"/>
        <v>0</v>
      </c>
      <c r="N570" s="23">
        <f t="shared" si="75"/>
        <v>0</v>
      </c>
      <c r="O570" s="41">
        <f t="shared" si="76"/>
        <v>0</v>
      </c>
      <c r="P570" s="13" t="str">
        <f t="shared" si="77"/>
        <v>NO</v>
      </c>
      <c r="Q570" s="23">
        <f t="shared" si="78"/>
        <v>0</v>
      </c>
      <c r="R570" s="12">
        <f t="shared" si="78"/>
        <v>0</v>
      </c>
    </row>
    <row r="571" spans="2:18">
      <c r="B571" t="str">
        <f t="shared" si="72"/>
        <v>HERNÁNDEZ POCÓN ERVIN ALFONSO46280</v>
      </c>
      <c r="C571" t="s">
        <v>263</v>
      </c>
      <c r="D571" s="121">
        <v>46280</v>
      </c>
      <c r="E571" t="s">
        <v>99</v>
      </c>
      <c r="F571" t="s">
        <v>35</v>
      </c>
      <c r="G571" s="122">
        <v>0.33333333333333298</v>
      </c>
      <c r="H571" s="122">
        <v>0.70833333333333304</v>
      </c>
      <c r="I571" s="112">
        <v>0</v>
      </c>
      <c r="J571" s="112">
        <v>0</v>
      </c>
      <c r="K571" s="23">
        <f t="shared" si="73"/>
        <v>0.33333333333333298</v>
      </c>
      <c r="L571" s="23">
        <f t="shared" si="74"/>
        <v>0</v>
      </c>
      <c r="M571" s="12">
        <f t="shared" si="79"/>
        <v>0.33333333333333298</v>
      </c>
      <c r="N571" s="23">
        <f t="shared" si="75"/>
        <v>0.70833333333333304</v>
      </c>
      <c r="O571" s="41">
        <f t="shared" si="76"/>
        <v>0</v>
      </c>
      <c r="P571" s="13" t="str">
        <f t="shared" si="77"/>
        <v>SI</v>
      </c>
      <c r="Q571" s="23">
        <f t="shared" si="78"/>
        <v>0.33333333333333298</v>
      </c>
      <c r="R571" s="12">
        <f t="shared" si="78"/>
        <v>0.70833333333333304</v>
      </c>
    </row>
    <row r="572" spans="2:18">
      <c r="B572" t="str">
        <f t="shared" si="72"/>
        <v>HERNÁNDEZ POCÓN ERVIN ALFONSO46281</v>
      </c>
      <c r="C572" t="s">
        <v>263</v>
      </c>
      <c r="D572" s="121">
        <v>46281</v>
      </c>
      <c r="E572" t="s">
        <v>100</v>
      </c>
      <c r="F572" t="s">
        <v>35</v>
      </c>
      <c r="G572" s="122">
        <v>0.23958333333333301</v>
      </c>
      <c r="H572" s="122">
        <v>0.75</v>
      </c>
      <c r="I572" s="112">
        <v>0</v>
      </c>
      <c r="J572" s="112">
        <v>0</v>
      </c>
      <c r="K572" s="23">
        <f t="shared" si="73"/>
        <v>0.23958333333333301</v>
      </c>
      <c r="L572" s="23">
        <f t="shared" si="74"/>
        <v>0</v>
      </c>
      <c r="M572" s="12">
        <f t="shared" si="79"/>
        <v>0.23958333333333301</v>
      </c>
      <c r="N572" s="23">
        <f t="shared" si="75"/>
        <v>0.75</v>
      </c>
      <c r="O572" s="41">
        <f t="shared" si="76"/>
        <v>0</v>
      </c>
      <c r="P572" s="13" t="str">
        <f t="shared" si="77"/>
        <v>SI</v>
      </c>
      <c r="Q572" s="23">
        <f t="shared" si="78"/>
        <v>0.23958333333333301</v>
      </c>
      <c r="R572" s="12">
        <f t="shared" si="78"/>
        <v>0.75</v>
      </c>
    </row>
    <row r="573" spans="2:18">
      <c r="B573" t="str">
        <f t="shared" si="72"/>
        <v>HERNÁNDEZ POCÓN ERVIN ALFONSO46282</v>
      </c>
      <c r="C573" t="s">
        <v>263</v>
      </c>
      <c r="D573" s="121">
        <v>46282</v>
      </c>
      <c r="E573" t="s">
        <v>101</v>
      </c>
      <c r="F573" t="s">
        <v>35</v>
      </c>
      <c r="G573" s="122">
        <v>0.23958333333333301</v>
      </c>
      <c r="H573" s="122">
        <v>0.75</v>
      </c>
      <c r="I573" s="112">
        <v>0</v>
      </c>
      <c r="J573" s="112">
        <v>0</v>
      </c>
      <c r="K573" s="23">
        <f t="shared" si="73"/>
        <v>0.23958333333333301</v>
      </c>
      <c r="L573" s="23">
        <f t="shared" si="74"/>
        <v>0</v>
      </c>
      <c r="M573" s="12">
        <f t="shared" si="79"/>
        <v>0.23958333333333301</v>
      </c>
      <c r="N573" s="23">
        <f t="shared" si="75"/>
        <v>0.75</v>
      </c>
      <c r="O573" s="41">
        <f t="shared" si="76"/>
        <v>0</v>
      </c>
      <c r="P573" s="13" t="str">
        <f t="shared" si="77"/>
        <v>SI</v>
      </c>
      <c r="Q573" s="23">
        <f t="shared" si="78"/>
        <v>0.23958333333333301</v>
      </c>
      <c r="R573" s="12">
        <f t="shared" si="78"/>
        <v>0.75</v>
      </c>
    </row>
    <row r="574" spans="2:18">
      <c r="B574" t="str">
        <f t="shared" si="72"/>
        <v>HERNÁNDEZ POCÓN ERVIN ALFONSO46283</v>
      </c>
      <c r="C574" t="s">
        <v>263</v>
      </c>
      <c r="D574" s="121">
        <v>46283</v>
      </c>
      <c r="E574" t="s">
        <v>95</v>
      </c>
      <c r="F574" t="s">
        <v>35</v>
      </c>
      <c r="G574" s="122">
        <v>0.23958333333333301</v>
      </c>
      <c r="H574" s="122">
        <v>0.75</v>
      </c>
      <c r="I574" s="112">
        <v>0</v>
      </c>
      <c r="J574" s="112">
        <v>0</v>
      </c>
      <c r="K574" s="23">
        <f t="shared" si="73"/>
        <v>0.23958333333333301</v>
      </c>
      <c r="L574" s="23">
        <f t="shared" si="74"/>
        <v>0</v>
      </c>
      <c r="M574" s="12">
        <f t="shared" si="79"/>
        <v>0.23958333333333301</v>
      </c>
      <c r="N574" s="23">
        <f t="shared" si="75"/>
        <v>0.75</v>
      </c>
      <c r="O574" s="41">
        <f t="shared" si="76"/>
        <v>0</v>
      </c>
      <c r="P574" s="13" t="str">
        <f t="shared" si="77"/>
        <v>SI</v>
      </c>
      <c r="Q574" s="23">
        <f t="shared" si="78"/>
        <v>0.23958333333333301</v>
      </c>
      <c r="R574" s="12">
        <f t="shared" si="78"/>
        <v>0.75</v>
      </c>
    </row>
    <row r="575" spans="2:18">
      <c r="B575" t="str">
        <f t="shared" si="72"/>
        <v>HERNÁNDEZ POCÓN ERVIN ALFONSO46284</v>
      </c>
      <c r="C575" t="s">
        <v>263</v>
      </c>
      <c r="D575" s="121">
        <v>46284</v>
      </c>
      <c r="E575" t="s">
        <v>96</v>
      </c>
      <c r="F575" t="s">
        <v>35</v>
      </c>
      <c r="G575" s="122">
        <v>0.23958333333333301</v>
      </c>
      <c r="H575" s="122">
        <v>0.58333333333333304</v>
      </c>
      <c r="I575" s="112">
        <v>0</v>
      </c>
      <c r="J575" s="112">
        <v>0</v>
      </c>
      <c r="K575" s="23">
        <f t="shared" si="73"/>
        <v>0.23958333333333301</v>
      </c>
      <c r="L575" s="23">
        <f t="shared" si="74"/>
        <v>0</v>
      </c>
      <c r="M575" s="12">
        <f t="shared" si="79"/>
        <v>0.23958333333333301</v>
      </c>
      <c r="N575" s="23">
        <f t="shared" si="75"/>
        <v>0.58333333333333304</v>
      </c>
      <c r="O575" s="41">
        <f t="shared" si="76"/>
        <v>0</v>
      </c>
      <c r="P575" s="13" t="str">
        <f t="shared" si="77"/>
        <v>SI</v>
      </c>
      <c r="Q575" s="23">
        <f t="shared" si="78"/>
        <v>0.23958333333333301</v>
      </c>
      <c r="R575" s="12">
        <f t="shared" si="78"/>
        <v>0.58333333333333304</v>
      </c>
    </row>
    <row r="576" spans="2:18">
      <c r="B576" t="str">
        <f t="shared" si="72"/>
        <v>HERNÁNDEZ POCÓN ERVIN ALFONSO46285</v>
      </c>
      <c r="C576" t="s">
        <v>263</v>
      </c>
      <c r="D576" s="121">
        <v>46285</v>
      </c>
      <c r="E576" t="s">
        <v>97</v>
      </c>
      <c r="F576" t="s">
        <v>72</v>
      </c>
      <c r="G576" s="122">
        <v>0</v>
      </c>
      <c r="H576" s="122">
        <v>0</v>
      </c>
      <c r="I576" s="112">
        <v>0</v>
      </c>
      <c r="J576" s="112">
        <v>0</v>
      </c>
      <c r="K576" s="23">
        <f t="shared" si="73"/>
        <v>0</v>
      </c>
      <c r="L576" s="23">
        <f t="shared" si="74"/>
        <v>0</v>
      </c>
      <c r="M576" s="12">
        <f t="shared" si="79"/>
        <v>0</v>
      </c>
      <c r="N576" s="23">
        <f t="shared" si="75"/>
        <v>0</v>
      </c>
      <c r="O576" s="41">
        <f t="shared" si="76"/>
        <v>0</v>
      </c>
      <c r="P576" s="13" t="str">
        <f t="shared" si="77"/>
        <v>NO</v>
      </c>
      <c r="Q576" s="23">
        <f t="shared" si="78"/>
        <v>0</v>
      </c>
      <c r="R576" s="12">
        <f t="shared" si="78"/>
        <v>0</v>
      </c>
    </row>
    <row r="577" spans="2:18">
      <c r="B577" t="str">
        <f t="shared" si="72"/>
        <v>HERNÁNDEZ POCÓN ERVIN ALFONSO46286</v>
      </c>
      <c r="C577" t="s">
        <v>263</v>
      </c>
      <c r="D577" s="121">
        <v>46286</v>
      </c>
      <c r="E577" t="s">
        <v>98</v>
      </c>
      <c r="F577" t="s">
        <v>36</v>
      </c>
      <c r="G577" s="122">
        <v>0.73958333333333304</v>
      </c>
      <c r="H577" s="122">
        <v>0.25</v>
      </c>
      <c r="I577" s="112">
        <v>0</v>
      </c>
      <c r="J577" s="112">
        <v>0</v>
      </c>
      <c r="K577" s="23">
        <f t="shared" si="73"/>
        <v>0.73958333333333304</v>
      </c>
      <c r="L577" s="23">
        <f t="shared" si="74"/>
        <v>0</v>
      </c>
      <c r="M577" s="12">
        <f t="shared" si="79"/>
        <v>0.73958333333333304</v>
      </c>
      <c r="N577" s="23">
        <f t="shared" si="75"/>
        <v>0.25</v>
      </c>
      <c r="O577" s="41">
        <f t="shared" si="76"/>
        <v>0</v>
      </c>
      <c r="P577" s="13" t="str">
        <f t="shared" si="77"/>
        <v>SI</v>
      </c>
      <c r="Q577" s="23">
        <f t="shared" si="78"/>
        <v>0.73958333333333304</v>
      </c>
      <c r="R577" s="12">
        <f t="shared" si="78"/>
        <v>0.25</v>
      </c>
    </row>
    <row r="578" spans="2:18">
      <c r="B578" t="str">
        <f t="shared" si="72"/>
        <v>HERNÁNDEZ POCÓN ERVIN ALFONSO46287</v>
      </c>
      <c r="C578" t="s">
        <v>263</v>
      </c>
      <c r="D578" s="121">
        <v>46287</v>
      </c>
      <c r="E578" t="s">
        <v>99</v>
      </c>
      <c r="F578" t="s">
        <v>36</v>
      </c>
      <c r="G578" s="122">
        <v>0.73958333333333304</v>
      </c>
      <c r="H578" s="122">
        <v>0.25</v>
      </c>
      <c r="I578" s="112">
        <v>0</v>
      </c>
      <c r="J578" s="112">
        <v>0</v>
      </c>
      <c r="K578" s="23">
        <f t="shared" si="73"/>
        <v>0.73958333333333304</v>
      </c>
      <c r="L578" s="23">
        <f t="shared" si="74"/>
        <v>0</v>
      </c>
      <c r="M578" s="12">
        <f t="shared" si="79"/>
        <v>0.73958333333333304</v>
      </c>
      <c r="N578" s="23">
        <f t="shared" si="75"/>
        <v>0.25</v>
      </c>
      <c r="O578" s="41">
        <f t="shared" si="76"/>
        <v>0</v>
      </c>
      <c r="P578" s="13" t="str">
        <f t="shared" si="77"/>
        <v>SI</v>
      </c>
      <c r="Q578" s="23">
        <f t="shared" si="78"/>
        <v>0.73958333333333304</v>
      </c>
      <c r="R578" s="12">
        <f t="shared" si="78"/>
        <v>0.25</v>
      </c>
    </row>
    <row r="579" spans="2:18">
      <c r="B579" t="str">
        <f t="shared" si="72"/>
        <v>HERNÁNDEZ POCÓN ERVIN ALFONSO46288</v>
      </c>
      <c r="C579" t="s">
        <v>263</v>
      </c>
      <c r="D579" s="121">
        <v>46288</v>
      </c>
      <c r="E579" t="s">
        <v>100</v>
      </c>
      <c r="F579" t="s">
        <v>36</v>
      </c>
      <c r="G579" s="122">
        <v>0.73958333333333304</v>
      </c>
      <c r="H579" s="122">
        <v>0.25</v>
      </c>
      <c r="I579" s="112">
        <v>0</v>
      </c>
      <c r="J579" s="112">
        <v>0</v>
      </c>
      <c r="K579" s="23">
        <f t="shared" si="73"/>
        <v>0.73958333333333304</v>
      </c>
      <c r="L579" s="23">
        <f t="shared" si="74"/>
        <v>0</v>
      </c>
      <c r="M579" s="12">
        <f t="shared" si="79"/>
        <v>0.73958333333333304</v>
      </c>
      <c r="N579" s="23">
        <f t="shared" si="75"/>
        <v>0.25</v>
      </c>
      <c r="O579" s="41">
        <f t="shared" si="76"/>
        <v>0</v>
      </c>
      <c r="P579" s="13" t="str">
        <f t="shared" si="77"/>
        <v>SI</v>
      </c>
      <c r="Q579" s="23">
        <f t="shared" si="78"/>
        <v>0.73958333333333304</v>
      </c>
      <c r="R579" s="12">
        <f t="shared" si="78"/>
        <v>0.25</v>
      </c>
    </row>
    <row r="580" spans="2:18">
      <c r="B580" t="str">
        <f t="shared" si="72"/>
        <v>HERNÁNDEZ POCÓN ERVIN ALFONSO46289</v>
      </c>
      <c r="C580" t="s">
        <v>263</v>
      </c>
      <c r="D580" s="121">
        <v>46289</v>
      </c>
      <c r="E580" t="s">
        <v>101</v>
      </c>
      <c r="F580" t="s">
        <v>36</v>
      </c>
      <c r="G580" s="122">
        <v>0.73958333333333304</v>
      </c>
      <c r="H580" s="122">
        <v>0.25</v>
      </c>
      <c r="I580" s="112">
        <v>0</v>
      </c>
      <c r="J580" s="112">
        <v>0</v>
      </c>
      <c r="K580" s="23">
        <f t="shared" si="73"/>
        <v>0.73958333333333304</v>
      </c>
      <c r="L580" s="23">
        <f t="shared" si="74"/>
        <v>0</v>
      </c>
      <c r="M580" s="12">
        <f t="shared" si="79"/>
        <v>0.73958333333333304</v>
      </c>
      <c r="N580" s="23">
        <f t="shared" si="75"/>
        <v>0.25</v>
      </c>
      <c r="O580" s="41">
        <f t="shared" si="76"/>
        <v>0</v>
      </c>
      <c r="P580" s="13" t="str">
        <f t="shared" si="77"/>
        <v>SI</v>
      </c>
      <c r="Q580" s="23">
        <f t="shared" si="78"/>
        <v>0.73958333333333304</v>
      </c>
      <c r="R580" s="12">
        <f t="shared" si="78"/>
        <v>0.25</v>
      </c>
    </row>
    <row r="581" spans="2:18">
      <c r="B581" t="str">
        <f t="shared" si="72"/>
        <v>HERNÁNDEZ POCÓN ERVIN ALFONSO46290</v>
      </c>
      <c r="C581" t="s">
        <v>263</v>
      </c>
      <c r="D581" s="121">
        <v>46290</v>
      </c>
      <c r="E581" t="s">
        <v>95</v>
      </c>
      <c r="F581" t="s">
        <v>36</v>
      </c>
      <c r="G581" s="122">
        <v>0.73958333333333304</v>
      </c>
      <c r="H581" s="122">
        <v>0.25</v>
      </c>
      <c r="I581" s="112">
        <v>0</v>
      </c>
      <c r="J581" s="112">
        <v>0</v>
      </c>
      <c r="K581" s="23">
        <f t="shared" si="73"/>
        <v>0.73958333333333304</v>
      </c>
      <c r="L581" s="23">
        <f t="shared" si="74"/>
        <v>0</v>
      </c>
      <c r="M581" s="12">
        <f t="shared" si="79"/>
        <v>0.73958333333333304</v>
      </c>
      <c r="N581" s="23">
        <f t="shared" si="75"/>
        <v>0.25</v>
      </c>
      <c r="O581" s="41">
        <f t="shared" si="76"/>
        <v>0</v>
      </c>
      <c r="P581" s="13" t="str">
        <f t="shared" si="77"/>
        <v>SI</v>
      </c>
      <c r="Q581" s="23">
        <f t="shared" si="78"/>
        <v>0.73958333333333304</v>
      </c>
      <c r="R581" s="12">
        <f t="shared" si="78"/>
        <v>0.25</v>
      </c>
    </row>
    <row r="582" spans="2:18">
      <c r="B582" t="str">
        <f t="shared" si="72"/>
        <v>HERNÁNDEZ POCÓN ERVIN ALFONSO46291</v>
      </c>
      <c r="C582" t="s">
        <v>263</v>
      </c>
      <c r="D582" s="121">
        <v>46291</v>
      </c>
      <c r="E582" t="s">
        <v>96</v>
      </c>
      <c r="F582" t="s">
        <v>72</v>
      </c>
      <c r="G582" s="122">
        <v>0</v>
      </c>
      <c r="H582" s="122">
        <v>0</v>
      </c>
      <c r="I582" s="112">
        <v>0</v>
      </c>
      <c r="J582" s="112">
        <v>0</v>
      </c>
      <c r="K582" s="23">
        <f t="shared" si="73"/>
        <v>0</v>
      </c>
      <c r="L582" s="23">
        <f t="shared" si="74"/>
        <v>0</v>
      </c>
      <c r="M582" s="12">
        <f t="shared" si="79"/>
        <v>0</v>
      </c>
      <c r="N582" s="23">
        <f t="shared" si="75"/>
        <v>0</v>
      </c>
      <c r="O582" s="41">
        <f t="shared" si="76"/>
        <v>0</v>
      </c>
      <c r="P582" s="13" t="str">
        <f t="shared" si="77"/>
        <v>NO</v>
      </c>
      <c r="Q582" s="23">
        <f t="shared" si="78"/>
        <v>0</v>
      </c>
      <c r="R582" s="12">
        <f t="shared" si="78"/>
        <v>0</v>
      </c>
    </row>
    <row r="583" spans="2:18">
      <c r="B583" t="str">
        <f t="shared" si="72"/>
        <v>HERNÁNDEZ POCÓN ERVIN ALFONSO46292</v>
      </c>
      <c r="C583" t="s">
        <v>263</v>
      </c>
      <c r="D583" s="121">
        <v>46292</v>
      </c>
      <c r="E583" t="s">
        <v>97</v>
      </c>
      <c r="F583" t="s">
        <v>72</v>
      </c>
      <c r="G583" s="122">
        <v>0</v>
      </c>
      <c r="H583" s="122">
        <v>0</v>
      </c>
      <c r="I583" s="112">
        <v>0</v>
      </c>
      <c r="J583" s="112">
        <v>0</v>
      </c>
      <c r="K583" s="23">
        <f t="shared" si="73"/>
        <v>0</v>
      </c>
      <c r="L583" s="23">
        <f t="shared" si="74"/>
        <v>0</v>
      </c>
      <c r="M583" s="12">
        <f t="shared" si="79"/>
        <v>0</v>
      </c>
      <c r="N583" s="23">
        <f t="shared" si="75"/>
        <v>0</v>
      </c>
      <c r="O583" s="41">
        <f t="shared" si="76"/>
        <v>0</v>
      </c>
      <c r="P583" s="13" t="str">
        <f t="shared" si="77"/>
        <v>NO</v>
      </c>
      <c r="Q583" s="23">
        <f t="shared" si="78"/>
        <v>0</v>
      </c>
      <c r="R583" s="12">
        <f t="shared" si="78"/>
        <v>0</v>
      </c>
    </row>
    <row r="584" spans="2:18">
      <c r="B584" t="str">
        <f t="shared" si="72"/>
        <v>HERNÁNDEZ POCÓN ERVIN ALFONSO46293</v>
      </c>
      <c r="C584" t="s">
        <v>263</v>
      </c>
      <c r="D584" s="121">
        <v>46293</v>
      </c>
      <c r="E584" t="s">
        <v>98</v>
      </c>
      <c r="F584" t="s">
        <v>35</v>
      </c>
      <c r="G584" s="122">
        <v>0.23958333333333301</v>
      </c>
      <c r="H584" s="122">
        <v>0.75</v>
      </c>
      <c r="I584" s="112">
        <v>0</v>
      </c>
      <c r="J584" s="112">
        <v>0</v>
      </c>
      <c r="K584" s="23">
        <f t="shared" si="73"/>
        <v>0.23958333333333301</v>
      </c>
      <c r="L584" s="23">
        <f t="shared" si="74"/>
        <v>0</v>
      </c>
      <c r="M584" s="12">
        <f t="shared" si="79"/>
        <v>0.23958333333333301</v>
      </c>
      <c r="N584" s="23">
        <f t="shared" si="75"/>
        <v>0.75</v>
      </c>
      <c r="O584" s="41">
        <f t="shared" si="76"/>
        <v>0</v>
      </c>
      <c r="P584" s="13" t="str">
        <f t="shared" si="77"/>
        <v>SI</v>
      </c>
      <c r="Q584" s="23">
        <f t="shared" si="78"/>
        <v>0.23958333333333301</v>
      </c>
      <c r="R584" s="12">
        <f t="shared" si="78"/>
        <v>0.75</v>
      </c>
    </row>
    <row r="585" spans="2:18">
      <c r="B585" t="str">
        <f t="shared" si="72"/>
        <v>HERNÁNDEZ POCÓN ERVIN ALFONSO46294</v>
      </c>
      <c r="C585" t="s">
        <v>263</v>
      </c>
      <c r="D585" s="121">
        <v>46294</v>
      </c>
      <c r="E585" t="s">
        <v>99</v>
      </c>
      <c r="F585" t="s">
        <v>35</v>
      </c>
      <c r="G585" s="122">
        <v>0.23958333333333301</v>
      </c>
      <c r="H585" s="122">
        <v>0.75</v>
      </c>
      <c r="I585" s="112">
        <v>0</v>
      </c>
      <c r="J585" s="112">
        <v>0</v>
      </c>
      <c r="K585" s="23">
        <f t="shared" si="73"/>
        <v>0.23958333333333301</v>
      </c>
      <c r="L585" s="23">
        <f t="shared" si="74"/>
        <v>0</v>
      </c>
      <c r="M585" s="12">
        <f t="shared" si="79"/>
        <v>0.23958333333333301</v>
      </c>
      <c r="N585" s="23">
        <f t="shared" si="75"/>
        <v>0.75</v>
      </c>
      <c r="O585" s="41">
        <f t="shared" si="76"/>
        <v>0</v>
      </c>
      <c r="P585" s="13" t="str">
        <f t="shared" si="77"/>
        <v>SI</v>
      </c>
      <c r="Q585" s="23">
        <f t="shared" si="78"/>
        <v>0.23958333333333301</v>
      </c>
      <c r="R585" s="12">
        <f t="shared" si="78"/>
        <v>0.75</v>
      </c>
    </row>
    <row r="586" spans="2:18">
      <c r="B586" t="str">
        <f t="shared" si="72"/>
        <v>HERNÁNDEZ POCÓN ERVIN ALFONSO46295</v>
      </c>
      <c r="C586" t="s">
        <v>263</v>
      </c>
      <c r="D586" s="121">
        <v>46295</v>
      </c>
      <c r="E586" t="s">
        <v>100</v>
      </c>
      <c r="F586" t="s">
        <v>35</v>
      </c>
      <c r="G586" s="122">
        <v>0.23958333333333301</v>
      </c>
      <c r="H586" s="122">
        <v>0.75</v>
      </c>
      <c r="I586" s="112">
        <v>0</v>
      </c>
      <c r="J586" s="112">
        <v>0</v>
      </c>
      <c r="K586" s="23">
        <f t="shared" si="73"/>
        <v>0.23958333333333301</v>
      </c>
      <c r="L586" s="23">
        <f t="shared" si="74"/>
        <v>0</v>
      </c>
      <c r="M586" s="12">
        <f t="shared" si="79"/>
        <v>0.23958333333333301</v>
      </c>
      <c r="N586" s="23">
        <f t="shared" si="75"/>
        <v>0.75</v>
      </c>
      <c r="O586" s="41">
        <f t="shared" si="76"/>
        <v>0</v>
      </c>
      <c r="P586" s="13" t="str">
        <f t="shared" si="77"/>
        <v>SI</v>
      </c>
      <c r="Q586" s="23">
        <f t="shared" si="78"/>
        <v>0.23958333333333301</v>
      </c>
      <c r="R586" s="12">
        <f t="shared" si="78"/>
        <v>0.75</v>
      </c>
    </row>
    <row r="587" spans="2:18">
      <c r="B587" t="str">
        <f t="shared" si="72"/>
        <v>HERNÁNDEZ POCÓN ERVIN ALFONSO46296</v>
      </c>
      <c r="C587" t="s">
        <v>263</v>
      </c>
      <c r="D587" s="121">
        <v>46296</v>
      </c>
      <c r="E587" t="s">
        <v>101</v>
      </c>
      <c r="F587" t="s">
        <v>35</v>
      </c>
      <c r="G587" s="122">
        <v>0.23958333333333301</v>
      </c>
      <c r="H587" s="122">
        <v>0.75</v>
      </c>
      <c r="I587" s="112">
        <v>0</v>
      </c>
      <c r="J587" s="112">
        <v>0</v>
      </c>
      <c r="K587" s="23">
        <f t="shared" si="73"/>
        <v>0.23958333333333301</v>
      </c>
      <c r="L587" s="23">
        <f t="shared" si="74"/>
        <v>0</v>
      </c>
      <c r="M587" s="12">
        <f t="shared" si="79"/>
        <v>0.23958333333333301</v>
      </c>
      <c r="N587" s="23">
        <f t="shared" si="75"/>
        <v>0.75</v>
      </c>
      <c r="O587" s="41">
        <f t="shared" si="76"/>
        <v>0</v>
      </c>
      <c r="P587" s="13" t="str">
        <f t="shared" si="77"/>
        <v>SI</v>
      </c>
      <c r="Q587" s="23">
        <f t="shared" si="78"/>
        <v>0.23958333333333301</v>
      </c>
      <c r="R587" s="12">
        <f t="shared" si="78"/>
        <v>0.75</v>
      </c>
    </row>
    <row r="588" spans="2:18">
      <c r="B588" t="str">
        <f t="shared" si="72"/>
        <v>HERNÁNDEZ POCÓN ERVIN ALFONSO46297</v>
      </c>
      <c r="C588" t="s">
        <v>263</v>
      </c>
      <c r="D588" s="121">
        <v>46297</v>
      </c>
      <c r="E588" t="s">
        <v>95</v>
      </c>
      <c r="F588" t="s">
        <v>35</v>
      </c>
      <c r="G588" s="122">
        <v>0.23958333333333301</v>
      </c>
      <c r="H588" s="122">
        <v>0.75</v>
      </c>
      <c r="I588" s="112">
        <v>0</v>
      </c>
      <c r="J588" s="112">
        <v>0</v>
      </c>
      <c r="K588" s="23">
        <f t="shared" si="73"/>
        <v>0.23958333333333301</v>
      </c>
      <c r="L588" s="23">
        <f t="shared" si="74"/>
        <v>0</v>
      </c>
      <c r="M588" s="12">
        <f t="shared" si="79"/>
        <v>0.23958333333333301</v>
      </c>
      <c r="N588" s="23">
        <f t="shared" si="75"/>
        <v>0.75</v>
      </c>
      <c r="O588" s="41">
        <f t="shared" si="76"/>
        <v>0</v>
      </c>
      <c r="P588" s="13" t="str">
        <f t="shared" si="77"/>
        <v>SI</v>
      </c>
      <c r="Q588" s="23">
        <f t="shared" si="78"/>
        <v>0.23958333333333301</v>
      </c>
      <c r="R588" s="12">
        <f t="shared" si="78"/>
        <v>0.75</v>
      </c>
    </row>
    <row r="589" spans="2:18">
      <c r="B589" t="str">
        <f t="shared" si="72"/>
        <v>HERNÁNDEZ POCÓN ERVIN ALFONSO46298</v>
      </c>
      <c r="C589" t="s">
        <v>263</v>
      </c>
      <c r="D589" s="121">
        <v>46298</v>
      </c>
      <c r="E589" t="s">
        <v>96</v>
      </c>
      <c r="F589" t="s">
        <v>35</v>
      </c>
      <c r="G589" s="122">
        <v>0.33333333333333298</v>
      </c>
      <c r="H589" s="122">
        <v>0.70833333333333304</v>
      </c>
      <c r="I589" s="112">
        <v>0</v>
      </c>
      <c r="J589" s="112">
        <v>0</v>
      </c>
      <c r="K589" s="23">
        <f t="shared" si="73"/>
        <v>0.33333333333333298</v>
      </c>
      <c r="L589" s="23">
        <f t="shared" si="74"/>
        <v>0</v>
      </c>
      <c r="M589" s="12">
        <f t="shared" si="79"/>
        <v>0.33333333333333298</v>
      </c>
      <c r="N589" s="23">
        <f t="shared" si="75"/>
        <v>0.70833333333333304</v>
      </c>
      <c r="O589" s="41">
        <f t="shared" si="76"/>
        <v>0</v>
      </c>
      <c r="P589" s="13" t="str">
        <f t="shared" si="77"/>
        <v>SI</v>
      </c>
      <c r="Q589" s="23">
        <f t="shared" si="78"/>
        <v>0.33333333333333298</v>
      </c>
      <c r="R589" s="12">
        <f t="shared" si="78"/>
        <v>0.70833333333333304</v>
      </c>
    </row>
    <row r="590" spans="2:18">
      <c r="B590" t="str">
        <f t="shared" si="72"/>
        <v>HERNÁNDEZ POCÓN ERVIN ALFONSO46299</v>
      </c>
      <c r="C590" t="s">
        <v>263</v>
      </c>
      <c r="D590" s="121">
        <v>46299</v>
      </c>
      <c r="E590" t="s">
        <v>97</v>
      </c>
      <c r="F590" t="s">
        <v>72</v>
      </c>
      <c r="G590" s="122">
        <v>0</v>
      </c>
      <c r="H590" s="122">
        <v>0</v>
      </c>
      <c r="I590" s="112">
        <v>0</v>
      </c>
      <c r="J590" s="112">
        <v>0</v>
      </c>
      <c r="K590" s="23">
        <f t="shared" si="73"/>
        <v>0</v>
      </c>
      <c r="L590" s="23">
        <f t="shared" si="74"/>
        <v>0</v>
      </c>
      <c r="M590" s="12">
        <f t="shared" si="79"/>
        <v>0</v>
      </c>
      <c r="N590" s="23">
        <f t="shared" si="75"/>
        <v>0</v>
      </c>
      <c r="O590" s="41">
        <f t="shared" si="76"/>
        <v>0</v>
      </c>
      <c r="P590" s="13" t="str">
        <f t="shared" si="77"/>
        <v>NO</v>
      </c>
      <c r="Q590" s="23">
        <f t="shared" si="78"/>
        <v>0</v>
      </c>
      <c r="R590" s="12">
        <f t="shared" si="78"/>
        <v>0</v>
      </c>
    </row>
    <row r="591" spans="2:18">
      <c r="B591" t="str">
        <f t="shared" si="72"/>
        <v>HOSLIN HELYEL MAYORGA LOPEZ46279</v>
      </c>
      <c r="C591" t="s">
        <v>17</v>
      </c>
      <c r="D591" s="121">
        <v>46279</v>
      </c>
      <c r="E591" t="s">
        <v>98</v>
      </c>
      <c r="F591" t="s">
        <v>72</v>
      </c>
      <c r="G591" s="122">
        <v>0</v>
      </c>
      <c r="H591" s="122">
        <v>0</v>
      </c>
      <c r="I591" s="112">
        <v>0</v>
      </c>
      <c r="J591" s="112">
        <v>0</v>
      </c>
      <c r="K591" s="23">
        <f t="shared" si="73"/>
        <v>0</v>
      </c>
      <c r="L591" s="23">
        <f t="shared" si="74"/>
        <v>0</v>
      </c>
      <c r="M591" s="12">
        <f t="shared" si="79"/>
        <v>0</v>
      </c>
      <c r="N591" s="23">
        <f t="shared" si="75"/>
        <v>0</v>
      </c>
      <c r="O591" s="41">
        <f t="shared" si="76"/>
        <v>0</v>
      </c>
      <c r="P591" s="13" t="str">
        <f t="shared" si="77"/>
        <v>NO</v>
      </c>
      <c r="Q591" s="23">
        <f t="shared" si="78"/>
        <v>0</v>
      </c>
      <c r="R591" s="12">
        <f t="shared" si="78"/>
        <v>0</v>
      </c>
    </row>
    <row r="592" spans="2:18">
      <c r="B592" t="str">
        <f t="shared" si="72"/>
        <v>HOSLIN HELYEL MAYORGA LOPEZ46280</v>
      </c>
      <c r="C592" t="s">
        <v>17</v>
      </c>
      <c r="D592" s="121">
        <v>46280</v>
      </c>
      <c r="E592" t="s">
        <v>99</v>
      </c>
      <c r="F592" t="s">
        <v>35</v>
      </c>
      <c r="G592" s="122">
        <v>0.33333333333333298</v>
      </c>
      <c r="H592" s="122">
        <v>0.70833333333333304</v>
      </c>
      <c r="I592" s="112">
        <v>0</v>
      </c>
      <c r="J592" s="112">
        <v>0</v>
      </c>
      <c r="K592" s="23">
        <f t="shared" si="73"/>
        <v>0.33333333333333298</v>
      </c>
      <c r="L592" s="23">
        <f t="shared" si="74"/>
        <v>0</v>
      </c>
      <c r="M592" s="12">
        <f t="shared" si="79"/>
        <v>0.33333333333333298</v>
      </c>
      <c r="N592" s="23">
        <f t="shared" si="75"/>
        <v>0.70833333333333304</v>
      </c>
      <c r="O592" s="41">
        <f t="shared" si="76"/>
        <v>0</v>
      </c>
      <c r="P592" s="13" t="str">
        <f t="shared" si="77"/>
        <v>SI</v>
      </c>
      <c r="Q592" s="23">
        <f t="shared" si="78"/>
        <v>0.33333333333333298</v>
      </c>
      <c r="R592" s="12">
        <f t="shared" si="78"/>
        <v>0.70833333333333304</v>
      </c>
    </row>
    <row r="593" spans="2:18">
      <c r="B593" t="str">
        <f t="shared" si="72"/>
        <v>HOSLIN HELYEL MAYORGA LOPEZ46281</v>
      </c>
      <c r="C593" t="s">
        <v>17</v>
      </c>
      <c r="D593" s="121">
        <v>46281</v>
      </c>
      <c r="E593" t="s">
        <v>100</v>
      </c>
      <c r="F593" t="s">
        <v>72</v>
      </c>
      <c r="G593" s="122">
        <v>0</v>
      </c>
      <c r="H593" s="122">
        <v>0</v>
      </c>
      <c r="I593" s="112">
        <v>0</v>
      </c>
      <c r="J593" s="112">
        <v>0</v>
      </c>
      <c r="K593" s="23">
        <f t="shared" si="73"/>
        <v>0</v>
      </c>
      <c r="L593" s="23">
        <f t="shared" si="74"/>
        <v>0</v>
      </c>
      <c r="M593" s="12">
        <f t="shared" si="79"/>
        <v>0</v>
      </c>
      <c r="N593" s="23">
        <f t="shared" si="75"/>
        <v>0</v>
      </c>
      <c r="O593" s="41">
        <f t="shared" si="76"/>
        <v>0</v>
      </c>
      <c r="P593" s="13" t="str">
        <f t="shared" si="77"/>
        <v>NO</v>
      </c>
      <c r="Q593" s="23">
        <f t="shared" si="78"/>
        <v>0</v>
      </c>
      <c r="R593" s="12">
        <f t="shared" si="78"/>
        <v>0</v>
      </c>
    </row>
    <row r="594" spans="2:18">
      <c r="B594" t="str">
        <f t="shared" si="72"/>
        <v>HOSLIN HELYEL MAYORGA LOPEZ46282</v>
      </c>
      <c r="C594" t="s">
        <v>17</v>
      </c>
      <c r="D594" s="121">
        <v>46282</v>
      </c>
      <c r="E594" t="s">
        <v>101</v>
      </c>
      <c r="F594" t="s">
        <v>72</v>
      </c>
      <c r="G594" s="122">
        <v>0</v>
      </c>
      <c r="H594" s="122">
        <v>0</v>
      </c>
      <c r="I594" s="112">
        <v>0</v>
      </c>
      <c r="J594" s="112">
        <v>0</v>
      </c>
      <c r="K594" s="23">
        <f t="shared" si="73"/>
        <v>0</v>
      </c>
      <c r="L594" s="23">
        <f t="shared" si="74"/>
        <v>0</v>
      </c>
      <c r="M594" s="12">
        <f t="shared" si="79"/>
        <v>0</v>
      </c>
      <c r="N594" s="23">
        <f t="shared" si="75"/>
        <v>0</v>
      </c>
      <c r="O594" s="41">
        <f t="shared" si="76"/>
        <v>0</v>
      </c>
      <c r="P594" s="13" t="str">
        <f t="shared" si="77"/>
        <v>NO</v>
      </c>
      <c r="Q594" s="23">
        <f t="shared" si="78"/>
        <v>0</v>
      </c>
      <c r="R594" s="12">
        <f t="shared" si="78"/>
        <v>0</v>
      </c>
    </row>
    <row r="595" spans="2:18">
      <c r="B595" t="str">
        <f t="shared" si="72"/>
        <v>HOSLIN HELYEL MAYORGA LOPEZ46283</v>
      </c>
      <c r="C595" t="s">
        <v>17</v>
      </c>
      <c r="D595" s="121">
        <v>46283</v>
      </c>
      <c r="E595" t="s">
        <v>95</v>
      </c>
      <c r="F595" t="s">
        <v>72</v>
      </c>
      <c r="G595" s="122">
        <v>0</v>
      </c>
      <c r="H595" s="122">
        <v>0</v>
      </c>
      <c r="I595" s="112">
        <v>0</v>
      </c>
      <c r="J595" s="112">
        <v>0</v>
      </c>
      <c r="K595" s="23">
        <f t="shared" si="73"/>
        <v>0</v>
      </c>
      <c r="L595" s="23">
        <f t="shared" si="74"/>
        <v>0</v>
      </c>
      <c r="M595" s="12">
        <f t="shared" si="79"/>
        <v>0</v>
      </c>
      <c r="N595" s="23">
        <f t="shared" si="75"/>
        <v>0</v>
      </c>
      <c r="O595" s="41">
        <f t="shared" si="76"/>
        <v>0</v>
      </c>
      <c r="P595" s="13" t="str">
        <f t="shared" si="77"/>
        <v>NO</v>
      </c>
      <c r="Q595" s="23">
        <f t="shared" si="78"/>
        <v>0</v>
      </c>
      <c r="R595" s="12">
        <f t="shared" si="78"/>
        <v>0</v>
      </c>
    </row>
    <row r="596" spans="2:18">
      <c r="B596" t="str">
        <f t="shared" si="72"/>
        <v>HOSLIN HELYEL MAYORGA LOPEZ46284</v>
      </c>
      <c r="C596" t="s">
        <v>17</v>
      </c>
      <c r="D596" s="121">
        <v>46284</v>
      </c>
      <c r="E596" t="s">
        <v>96</v>
      </c>
      <c r="F596" t="s">
        <v>72</v>
      </c>
      <c r="G596" s="122">
        <v>0</v>
      </c>
      <c r="H596" s="122">
        <v>0</v>
      </c>
      <c r="I596" s="112">
        <v>0</v>
      </c>
      <c r="J596" s="112">
        <v>0</v>
      </c>
      <c r="K596" s="23">
        <f t="shared" si="73"/>
        <v>0</v>
      </c>
      <c r="L596" s="23">
        <f t="shared" si="74"/>
        <v>0</v>
      </c>
      <c r="M596" s="12">
        <f t="shared" si="79"/>
        <v>0</v>
      </c>
      <c r="N596" s="23">
        <f t="shared" si="75"/>
        <v>0</v>
      </c>
      <c r="O596" s="41">
        <f t="shared" si="76"/>
        <v>0</v>
      </c>
      <c r="P596" s="13" t="str">
        <f t="shared" si="77"/>
        <v>NO</v>
      </c>
      <c r="Q596" s="23">
        <f t="shared" si="78"/>
        <v>0</v>
      </c>
      <c r="R596" s="12">
        <f t="shared" si="78"/>
        <v>0</v>
      </c>
    </row>
    <row r="597" spans="2:18">
      <c r="B597" t="str">
        <f t="shared" si="72"/>
        <v>HOSLIN HELYEL MAYORGA LOPEZ46285</v>
      </c>
      <c r="C597" t="s">
        <v>17</v>
      </c>
      <c r="D597" s="121">
        <v>46285</v>
      </c>
      <c r="E597" t="s">
        <v>97</v>
      </c>
      <c r="F597" t="s">
        <v>72</v>
      </c>
      <c r="G597" s="122">
        <v>0</v>
      </c>
      <c r="H597" s="122">
        <v>0</v>
      </c>
      <c r="I597" s="112">
        <v>0</v>
      </c>
      <c r="J597" s="112">
        <v>0</v>
      </c>
      <c r="K597" s="23">
        <f t="shared" si="73"/>
        <v>0</v>
      </c>
      <c r="L597" s="23">
        <f t="shared" si="74"/>
        <v>0</v>
      </c>
      <c r="M597" s="12">
        <f t="shared" si="79"/>
        <v>0</v>
      </c>
      <c r="N597" s="23">
        <f t="shared" si="75"/>
        <v>0</v>
      </c>
      <c r="O597" s="41">
        <f t="shared" si="76"/>
        <v>0</v>
      </c>
      <c r="P597" s="13" t="str">
        <f t="shared" si="77"/>
        <v>NO</v>
      </c>
      <c r="Q597" s="23">
        <f t="shared" si="78"/>
        <v>0</v>
      </c>
      <c r="R597" s="12">
        <f t="shared" si="78"/>
        <v>0</v>
      </c>
    </row>
    <row r="598" spans="2:18">
      <c r="B598" t="str">
        <f t="shared" si="72"/>
        <v>HOSLIN HELYEL MAYORGA LOPEZ46286</v>
      </c>
      <c r="C598" t="s">
        <v>17</v>
      </c>
      <c r="D598" s="121">
        <v>46286</v>
      </c>
      <c r="E598" t="s">
        <v>98</v>
      </c>
      <c r="F598" t="s">
        <v>72</v>
      </c>
      <c r="G598" s="122">
        <v>0</v>
      </c>
      <c r="H598" s="122">
        <v>0</v>
      </c>
      <c r="I598" s="112">
        <v>0</v>
      </c>
      <c r="J598" s="112">
        <v>0</v>
      </c>
      <c r="K598" s="23">
        <f t="shared" si="73"/>
        <v>0</v>
      </c>
      <c r="L598" s="23">
        <f t="shared" si="74"/>
        <v>0</v>
      </c>
      <c r="M598" s="12">
        <f t="shared" si="79"/>
        <v>0</v>
      </c>
      <c r="N598" s="23">
        <f t="shared" si="75"/>
        <v>0</v>
      </c>
      <c r="O598" s="41">
        <f t="shared" si="76"/>
        <v>0</v>
      </c>
      <c r="P598" s="13" t="str">
        <f t="shared" si="77"/>
        <v>NO</v>
      </c>
      <c r="Q598" s="23">
        <f t="shared" si="78"/>
        <v>0</v>
      </c>
      <c r="R598" s="12">
        <f t="shared" si="78"/>
        <v>0</v>
      </c>
    </row>
    <row r="599" spans="2:18">
      <c r="B599" t="str">
        <f t="shared" si="72"/>
        <v>HOSLIN HELYEL MAYORGA LOPEZ46287</v>
      </c>
      <c r="C599" t="s">
        <v>17</v>
      </c>
      <c r="D599" s="121">
        <v>46287</v>
      </c>
      <c r="E599" t="s">
        <v>99</v>
      </c>
      <c r="F599" t="s">
        <v>72</v>
      </c>
      <c r="G599" s="122">
        <v>0</v>
      </c>
      <c r="H599" s="122">
        <v>0</v>
      </c>
      <c r="I599" s="112">
        <v>0</v>
      </c>
      <c r="J599" s="112">
        <v>0</v>
      </c>
      <c r="K599" s="23">
        <f t="shared" si="73"/>
        <v>0</v>
      </c>
      <c r="L599" s="23">
        <f t="shared" si="74"/>
        <v>0</v>
      </c>
      <c r="M599" s="12">
        <f t="shared" si="79"/>
        <v>0</v>
      </c>
      <c r="N599" s="23">
        <f t="shared" si="75"/>
        <v>0</v>
      </c>
      <c r="O599" s="41">
        <f t="shared" si="76"/>
        <v>0</v>
      </c>
      <c r="P599" s="13" t="str">
        <f t="shared" si="77"/>
        <v>NO</v>
      </c>
      <c r="Q599" s="23">
        <f t="shared" si="78"/>
        <v>0</v>
      </c>
      <c r="R599" s="12">
        <f t="shared" si="78"/>
        <v>0</v>
      </c>
    </row>
    <row r="600" spans="2:18">
      <c r="B600" t="str">
        <f t="shared" si="72"/>
        <v>HOSLIN HELYEL MAYORGA LOPEZ46288</v>
      </c>
      <c r="C600" t="s">
        <v>17</v>
      </c>
      <c r="D600" s="121">
        <v>46288</v>
      </c>
      <c r="E600" t="s">
        <v>100</v>
      </c>
      <c r="F600" t="s">
        <v>72</v>
      </c>
      <c r="G600" s="122">
        <v>0</v>
      </c>
      <c r="H600" s="122">
        <v>0</v>
      </c>
      <c r="I600" s="112">
        <v>0</v>
      </c>
      <c r="J600" s="112">
        <v>0</v>
      </c>
      <c r="K600" s="23">
        <f t="shared" si="73"/>
        <v>0</v>
      </c>
      <c r="L600" s="23">
        <f t="shared" si="74"/>
        <v>0</v>
      </c>
      <c r="M600" s="12">
        <f t="shared" si="79"/>
        <v>0</v>
      </c>
      <c r="N600" s="23">
        <f t="shared" si="75"/>
        <v>0</v>
      </c>
      <c r="O600" s="41">
        <f t="shared" si="76"/>
        <v>0</v>
      </c>
      <c r="P600" s="13" t="str">
        <f t="shared" si="77"/>
        <v>NO</v>
      </c>
      <c r="Q600" s="23">
        <f t="shared" si="78"/>
        <v>0</v>
      </c>
      <c r="R600" s="12">
        <f t="shared" si="78"/>
        <v>0</v>
      </c>
    </row>
    <row r="601" spans="2:18">
      <c r="B601" t="str">
        <f t="shared" ref="B601:B639" si="80">+C601&amp;D601</f>
        <v>HOSLIN HELYEL MAYORGA LOPEZ46289</v>
      </c>
      <c r="C601" t="s">
        <v>17</v>
      </c>
      <c r="D601" s="121">
        <v>46289</v>
      </c>
      <c r="E601" t="s">
        <v>101</v>
      </c>
      <c r="F601" t="s">
        <v>72</v>
      </c>
      <c r="G601" s="122">
        <v>0</v>
      </c>
      <c r="H601" s="122">
        <v>0</v>
      </c>
      <c r="I601" s="112">
        <v>0</v>
      </c>
      <c r="J601" s="112">
        <v>0</v>
      </c>
      <c r="K601" s="23">
        <f t="shared" ref="K601:K639" si="81">+IFERROR(G601,0)</f>
        <v>0</v>
      </c>
      <c r="L601" s="23">
        <f t="shared" ref="L601:L639" si="82">+I601</f>
        <v>0</v>
      </c>
      <c r="M601" s="12">
        <f t="shared" si="79"/>
        <v>0</v>
      </c>
      <c r="N601" s="23">
        <f t="shared" ref="N601:N639" si="83">+H601</f>
        <v>0</v>
      </c>
      <c r="O601" s="41">
        <f t="shared" ref="O601:O639" si="84">+J601</f>
        <v>0</v>
      </c>
      <c r="P601" s="13" t="str">
        <f t="shared" ref="P601:P639" si="85">+IF(O601&lt;N601,"SI","NO")</f>
        <v>NO</v>
      </c>
      <c r="Q601" s="23">
        <f t="shared" ref="Q601:R639" si="86">+M601</f>
        <v>0</v>
      </c>
      <c r="R601" s="12">
        <f t="shared" si="86"/>
        <v>0</v>
      </c>
    </row>
    <row r="602" spans="2:18">
      <c r="B602" t="str">
        <f t="shared" si="80"/>
        <v>HOSLIN HELYEL MAYORGA LOPEZ46290</v>
      </c>
      <c r="C602" t="s">
        <v>17</v>
      </c>
      <c r="D602" s="121">
        <v>46290</v>
      </c>
      <c r="E602" t="s">
        <v>95</v>
      </c>
      <c r="F602" t="s">
        <v>72</v>
      </c>
      <c r="G602" s="122">
        <v>0</v>
      </c>
      <c r="H602" s="122">
        <v>0</v>
      </c>
      <c r="I602" s="112">
        <v>0</v>
      </c>
      <c r="J602" s="112">
        <v>0</v>
      </c>
      <c r="K602" s="23">
        <f t="shared" si="81"/>
        <v>0</v>
      </c>
      <c r="L602" s="23">
        <f t="shared" si="82"/>
        <v>0</v>
      </c>
      <c r="M602" s="12">
        <f t="shared" ref="M602:M639" si="87">+IFERROR(MAX(K602:L602),0)</f>
        <v>0</v>
      </c>
      <c r="N602" s="23">
        <f t="shared" si="83"/>
        <v>0</v>
      </c>
      <c r="O602" s="41">
        <f t="shared" si="84"/>
        <v>0</v>
      </c>
      <c r="P602" s="13" t="str">
        <f t="shared" si="85"/>
        <v>NO</v>
      </c>
      <c r="Q602" s="23">
        <f t="shared" si="86"/>
        <v>0</v>
      </c>
      <c r="R602" s="12">
        <f t="shared" si="86"/>
        <v>0</v>
      </c>
    </row>
    <row r="603" spans="2:18">
      <c r="B603" t="str">
        <f t="shared" si="80"/>
        <v>HOSLIN HELYEL MAYORGA LOPEZ46291</v>
      </c>
      <c r="C603" t="s">
        <v>17</v>
      </c>
      <c r="D603" s="121">
        <v>46291</v>
      </c>
      <c r="E603" t="s">
        <v>96</v>
      </c>
      <c r="F603" t="s">
        <v>72</v>
      </c>
      <c r="G603" s="122">
        <v>0</v>
      </c>
      <c r="H603" s="122">
        <v>0</v>
      </c>
      <c r="I603" s="112">
        <v>0</v>
      </c>
      <c r="J603" s="112">
        <v>0</v>
      </c>
      <c r="K603" s="23">
        <f t="shared" si="81"/>
        <v>0</v>
      </c>
      <c r="L603" s="23">
        <f t="shared" si="82"/>
        <v>0</v>
      </c>
      <c r="M603" s="12">
        <f t="shared" si="87"/>
        <v>0</v>
      </c>
      <c r="N603" s="23">
        <f t="shared" si="83"/>
        <v>0</v>
      </c>
      <c r="O603" s="41">
        <f t="shared" si="84"/>
        <v>0</v>
      </c>
      <c r="P603" s="13" t="str">
        <f t="shared" si="85"/>
        <v>NO</v>
      </c>
      <c r="Q603" s="23">
        <f t="shared" si="86"/>
        <v>0</v>
      </c>
      <c r="R603" s="12">
        <f t="shared" si="86"/>
        <v>0</v>
      </c>
    </row>
    <row r="604" spans="2:18">
      <c r="B604" t="str">
        <f t="shared" si="80"/>
        <v>HOSLIN HELYEL MAYORGA LOPEZ46292</v>
      </c>
      <c r="C604" t="s">
        <v>17</v>
      </c>
      <c r="D604" s="121">
        <v>46292</v>
      </c>
      <c r="E604" t="s">
        <v>97</v>
      </c>
      <c r="F604" t="s">
        <v>72</v>
      </c>
      <c r="G604" s="122">
        <v>0</v>
      </c>
      <c r="H604" s="122">
        <v>0</v>
      </c>
      <c r="I604" s="112">
        <v>0</v>
      </c>
      <c r="J604" s="112">
        <v>0</v>
      </c>
      <c r="K604" s="23">
        <f t="shared" si="81"/>
        <v>0</v>
      </c>
      <c r="L604" s="23">
        <f t="shared" si="82"/>
        <v>0</v>
      </c>
      <c r="M604" s="12">
        <f t="shared" si="87"/>
        <v>0</v>
      </c>
      <c r="N604" s="23">
        <f t="shared" si="83"/>
        <v>0</v>
      </c>
      <c r="O604" s="41">
        <f t="shared" si="84"/>
        <v>0</v>
      </c>
      <c r="P604" s="13" t="str">
        <f t="shared" si="85"/>
        <v>NO</v>
      </c>
      <c r="Q604" s="23">
        <f t="shared" si="86"/>
        <v>0</v>
      </c>
      <c r="R604" s="12">
        <f t="shared" si="86"/>
        <v>0</v>
      </c>
    </row>
    <row r="605" spans="2:18">
      <c r="B605" t="str">
        <f t="shared" si="80"/>
        <v>HOSLIN HELYEL MAYORGA LOPEZ46293</v>
      </c>
      <c r="C605" t="s">
        <v>17</v>
      </c>
      <c r="D605" s="121">
        <v>46293</v>
      </c>
      <c r="E605" t="s">
        <v>98</v>
      </c>
      <c r="F605" t="s">
        <v>72</v>
      </c>
      <c r="G605" s="122">
        <v>0</v>
      </c>
      <c r="H605" s="122">
        <v>0</v>
      </c>
      <c r="I605" s="112">
        <v>0</v>
      </c>
      <c r="J605" s="112">
        <v>0</v>
      </c>
      <c r="K605" s="23">
        <f t="shared" si="81"/>
        <v>0</v>
      </c>
      <c r="L605" s="23">
        <f t="shared" si="82"/>
        <v>0</v>
      </c>
      <c r="M605" s="12">
        <f t="shared" si="87"/>
        <v>0</v>
      </c>
      <c r="N605" s="23">
        <f t="shared" si="83"/>
        <v>0</v>
      </c>
      <c r="O605" s="41">
        <f t="shared" si="84"/>
        <v>0</v>
      </c>
      <c r="P605" s="13" t="str">
        <f t="shared" si="85"/>
        <v>NO</v>
      </c>
      <c r="Q605" s="23">
        <f t="shared" si="86"/>
        <v>0</v>
      </c>
      <c r="R605" s="12">
        <f t="shared" si="86"/>
        <v>0</v>
      </c>
    </row>
    <row r="606" spans="2:18">
      <c r="B606" t="str">
        <f t="shared" si="80"/>
        <v>HOSLIN HELYEL MAYORGA LOPEZ46294</v>
      </c>
      <c r="C606" t="s">
        <v>17</v>
      </c>
      <c r="D606" s="121">
        <v>46294</v>
      </c>
      <c r="E606" t="s">
        <v>99</v>
      </c>
      <c r="F606" t="s">
        <v>72</v>
      </c>
      <c r="G606" s="122">
        <v>0</v>
      </c>
      <c r="H606" s="122">
        <v>0</v>
      </c>
      <c r="I606" s="112">
        <v>0</v>
      </c>
      <c r="J606" s="112">
        <v>0</v>
      </c>
      <c r="K606" s="23">
        <f t="shared" si="81"/>
        <v>0</v>
      </c>
      <c r="L606" s="23">
        <f t="shared" si="82"/>
        <v>0</v>
      </c>
      <c r="M606" s="12">
        <f t="shared" si="87"/>
        <v>0</v>
      </c>
      <c r="N606" s="23">
        <f t="shared" si="83"/>
        <v>0</v>
      </c>
      <c r="O606" s="41">
        <f t="shared" si="84"/>
        <v>0</v>
      </c>
      <c r="P606" s="13" t="str">
        <f t="shared" si="85"/>
        <v>NO</v>
      </c>
      <c r="Q606" s="23">
        <f t="shared" si="86"/>
        <v>0</v>
      </c>
      <c r="R606" s="12">
        <f t="shared" si="86"/>
        <v>0</v>
      </c>
    </row>
    <row r="607" spans="2:18">
      <c r="B607" t="str">
        <f t="shared" si="80"/>
        <v>HOSLIN HELYEL MAYORGA LOPEZ46295</v>
      </c>
      <c r="C607" t="s">
        <v>17</v>
      </c>
      <c r="D607" s="121">
        <v>46295</v>
      </c>
      <c r="E607" t="s">
        <v>100</v>
      </c>
      <c r="F607" t="s">
        <v>72</v>
      </c>
      <c r="G607" s="122">
        <v>0</v>
      </c>
      <c r="H607" s="122">
        <v>0</v>
      </c>
      <c r="I607" s="112">
        <v>0</v>
      </c>
      <c r="J607" s="112">
        <v>0</v>
      </c>
      <c r="K607" s="23">
        <f t="shared" si="81"/>
        <v>0</v>
      </c>
      <c r="L607" s="23">
        <f t="shared" si="82"/>
        <v>0</v>
      </c>
      <c r="M607" s="12">
        <f t="shared" si="87"/>
        <v>0</v>
      </c>
      <c r="N607" s="23">
        <f t="shared" si="83"/>
        <v>0</v>
      </c>
      <c r="O607" s="41">
        <f t="shared" si="84"/>
        <v>0</v>
      </c>
      <c r="P607" s="13" t="str">
        <f t="shared" si="85"/>
        <v>NO</v>
      </c>
      <c r="Q607" s="23">
        <f t="shared" si="86"/>
        <v>0</v>
      </c>
      <c r="R607" s="12">
        <f t="shared" si="86"/>
        <v>0</v>
      </c>
    </row>
    <row r="608" spans="2:18">
      <c r="B608" t="str">
        <f t="shared" si="80"/>
        <v>HOSLIN HELYEL MAYORGA LOPEZ46296</v>
      </c>
      <c r="C608" t="s">
        <v>17</v>
      </c>
      <c r="D608" s="121">
        <v>46296</v>
      </c>
      <c r="E608" t="s">
        <v>101</v>
      </c>
      <c r="F608" t="s">
        <v>72</v>
      </c>
      <c r="G608" s="122">
        <v>0</v>
      </c>
      <c r="H608" s="122">
        <v>0</v>
      </c>
      <c r="I608" s="112">
        <v>0</v>
      </c>
      <c r="J608" s="112">
        <v>0</v>
      </c>
      <c r="K608" s="23">
        <f t="shared" si="81"/>
        <v>0</v>
      </c>
      <c r="L608" s="23">
        <f t="shared" si="82"/>
        <v>0</v>
      </c>
      <c r="M608" s="12">
        <f t="shared" si="87"/>
        <v>0</v>
      </c>
      <c r="N608" s="23">
        <f t="shared" si="83"/>
        <v>0</v>
      </c>
      <c r="O608" s="41">
        <f t="shared" si="84"/>
        <v>0</v>
      </c>
      <c r="P608" s="13" t="str">
        <f t="shared" si="85"/>
        <v>NO</v>
      </c>
      <c r="Q608" s="23">
        <f t="shared" si="86"/>
        <v>0</v>
      </c>
      <c r="R608" s="12">
        <f t="shared" si="86"/>
        <v>0</v>
      </c>
    </row>
    <row r="609" spans="2:18">
      <c r="B609" t="str">
        <f t="shared" si="80"/>
        <v>HOSLIN HELYEL MAYORGA LOPEZ46297</v>
      </c>
      <c r="C609" t="s">
        <v>17</v>
      </c>
      <c r="D609" s="121">
        <v>46297</v>
      </c>
      <c r="E609" t="s">
        <v>95</v>
      </c>
      <c r="F609" t="s">
        <v>72</v>
      </c>
      <c r="G609" s="122">
        <v>0</v>
      </c>
      <c r="H609" s="122">
        <v>0</v>
      </c>
      <c r="I609" s="112">
        <v>0</v>
      </c>
      <c r="J609" s="112">
        <v>0</v>
      </c>
      <c r="K609" s="23">
        <f t="shared" si="81"/>
        <v>0</v>
      </c>
      <c r="L609" s="23">
        <f t="shared" si="82"/>
        <v>0</v>
      </c>
      <c r="M609" s="12">
        <f t="shared" si="87"/>
        <v>0</v>
      </c>
      <c r="N609" s="23">
        <f t="shared" si="83"/>
        <v>0</v>
      </c>
      <c r="O609" s="41">
        <f t="shared" si="84"/>
        <v>0</v>
      </c>
      <c r="P609" s="13" t="str">
        <f t="shared" si="85"/>
        <v>NO</v>
      </c>
      <c r="Q609" s="23">
        <f t="shared" si="86"/>
        <v>0</v>
      </c>
      <c r="R609" s="12">
        <f t="shared" si="86"/>
        <v>0</v>
      </c>
    </row>
    <row r="610" spans="2:18">
      <c r="B610" t="str">
        <f t="shared" si="80"/>
        <v>HOSLIN HELYEL MAYORGA LOPEZ46298</v>
      </c>
      <c r="C610" t="s">
        <v>17</v>
      </c>
      <c r="D610" s="121">
        <v>46298</v>
      </c>
      <c r="E610" t="s">
        <v>96</v>
      </c>
      <c r="F610" t="s">
        <v>72</v>
      </c>
      <c r="G610" s="122">
        <v>0</v>
      </c>
      <c r="H610" s="122">
        <v>0</v>
      </c>
      <c r="I610" s="112">
        <v>0</v>
      </c>
      <c r="J610" s="112">
        <v>0</v>
      </c>
      <c r="K610" s="23">
        <f t="shared" si="81"/>
        <v>0</v>
      </c>
      <c r="L610" s="23">
        <f t="shared" si="82"/>
        <v>0</v>
      </c>
      <c r="M610" s="12">
        <f t="shared" si="87"/>
        <v>0</v>
      </c>
      <c r="N610" s="23">
        <f t="shared" si="83"/>
        <v>0</v>
      </c>
      <c r="O610" s="41">
        <f t="shared" si="84"/>
        <v>0</v>
      </c>
      <c r="P610" s="13" t="str">
        <f t="shared" si="85"/>
        <v>NO</v>
      </c>
      <c r="Q610" s="23">
        <f t="shared" si="86"/>
        <v>0</v>
      </c>
      <c r="R610" s="12">
        <f t="shared" si="86"/>
        <v>0</v>
      </c>
    </row>
    <row r="611" spans="2:18">
      <c r="B611" t="str">
        <f t="shared" si="80"/>
        <v>HOSLIN HELYEL MAYORGA LOPEZ46299</v>
      </c>
      <c r="C611" t="s">
        <v>17</v>
      </c>
      <c r="D611" s="121">
        <v>46299</v>
      </c>
      <c r="E611" t="s">
        <v>97</v>
      </c>
      <c r="F611" t="s">
        <v>72</v>
      </c>
      <c r="G611" s="122">
        <v>0</v>
      </c>
      <c r="H611" s="122">
        <v>0</v>
      </c>
      <c r="I611" s="112">
        <v>0</v>
      </c>
      <c r="J611" s="112">
        <v>0</v>
      </c>
      <c r="K611" s="23">
        <f t="shared" si="81"/>
        <v>0</v>
      </c>
      <c r="L611" s="23">
        <f t="shared" si="82"/>
        <v>0</v>
      </c>
      <c r="M611" s="12">
        <f t="shared" si="87"/>
        <v>0</v>
      </c>
      <c r="N611" s="23">
        <f t="shared" si="83"/>
        <v>0</v>
      </c>
      <c r="O611" s="41">
        <f t="shared" si="84"/>
        <v>0</v>
      </c>
      <c r="P611" s="13" t="str">
        <f t="shared" si="85"/>
        <v>NO</v>
      </c>
      <c r="Q611" s="23">
        <f t="shared" si="86"/>
        <v>0</v>
      </c>
      <c r="R611" s="12">
        <f t="shared" si="86"/>
        <v>0</v>
      </c>
    </row>
    <row r="612" spans="2:18">
      <c r="B612" t="str">
        <f t="shared" si="80"/>
        <v>JARDIN NATANAHEL GARCIA CHAPEN46279</v>
      </c>
      <c r="C612" t="s">
        <v>15</v>
      </c>
      <c r="D612" s="121">
        <v>46279</v>
      </c>
      <c r="E612" t="s">
        <v>98</v>
      </c>
      <c r="F612" t="s">
        <v>72</v>
      </c>
      <c r="G612" s="122">
        <v>0</v>
      </c>
      <c r="H612" s="122">
        <v>0</v>
      </c>
      <c r="I612" s="112">
        <v>0</v>
      </c>
      <c r="J612" s="112">
        <v>0</v>
      </c>
      <c r="K612" s="23">
        <f t="shared" si="81"/>
        <v>0</v>
      </c>
      <c r="L612" s="23">
        <f t="shared" si="82"/>
        <v>0</v>
      </c>
      <c r="M612" s="12">
        <f t="shared" si="87"/>
        <v>0</v>
      </c>
      <c r="N612" s="23">
        <f t="shared" si="83"/>
        <v>0</v>
      </c>
      <c r="O612" s="41">
        <f t="shared" si="84"/>
        <v>0</v>
      </c>
      <c r="P612" s="13" t="str">
        <f t="shared" si="85"/>
        <v>NO</v>
      </c>
      <c r="Q612" s="23">
        <f t="shared" si="86"/>
        <v>0</v>
      </c>
      <c r="R612" s="12">
        <f t="shared" si="86"/>
        <v>0</v>
      </c>
    </row>
    <row r="613" spans="2:18">
      <c r="B613" t="str">
        <f t="shared" si="80"/>
        <v>JARDIN NATANAHEL GARCIA CHAPEN46280</v>
      </c>
      <c r="C613" t="s">
        <v>15</v>
      </c>
      <c r="D613" s="121">
        <v>46280</v>
      </c>
      <c r="E613" t="s">
        <v>99</v>
      </c>
      <c r="F613" t="s">
        <v>35</v>
      </c>
      <c r="G613" s="122">
        <v>0.33333333333333298</v>
      </c>
      <c r="H613" s="122">
        <v>0.70833333333333304</v>
      </c>
      <c r="I613" s="112">
        <v>0</v>
      </c>
      <c r="J613" s="112">
        <v>0</v>
      </c>
      <c r="K613" s="23">
        <f t="shared" si="81"/>
        <v>0.33333333333333298</v>
      </c>
      <c r="L613" s="23">
        <f t="shared" si="82"/>
        <v>0</v>
      </c>
      <c r="M613" s="12">
        <f t="shared" si="87"/>
        <v>0.33333333333333298</v>
      </c>
      <c r="N613" s="23">
        <f t="shared" si="83"/>
        <v>0.70833333333333304</v>
      </c>
      <c r="O613" s="41">
        <f t="shared" si="84"/>
        <v>0</v>
      </c>
      <c r="P613" s="13" t="str">
        <f t="shared" si="85"/>
        <v>SI</v>
      </c>
      <c r="Q613" s="23">
        <f t="shared" si="86"/>
        <v>0.33333333333333298</v>
      </c>
      <c r="R613" s="12">
        <f t="shared" si="86"/>
        <v>0.70833333333333304</v>
      </c>
    </row>
    <row r="614" spans="2:18">
      <c r="B614" t="str">
        <f t="shared" si="80"/>
        <v>JARDIN NATANAHEL GARCIA CHAPEN46281</v>
      </c>
      <c r="C614" t="s">
        <v>15</v>
      </c>
      <c r="D614" s="121">
        <v>46281</v>
      </c>
      <c r="E614" t="s">
        <v>100</v>
      </c>
      <c r="F614" t="s">
        <v>35</v>
      </c>
      <c r="G614" s="122">
        <v>0.29166666666666702</v>
      </c>
      <c r="H614" s="122">
        <v>0.66666666666666696</v>
      </c>
      <c r="I614" s="112">
        <v>0</v>
      </c>
      <c r="J614" s="112">
        <v>0</v>
      </c>
      <c r="K614" s="23">
        <f t="shared" si="81"/>
        <v>0.29166666666666702</v>
      </c>
      <c r="L614" s="23">
        <f t="shared" si="82"/>
        <v>0</v>
      </c>
      <c r="M614" s="12">
        <f t="shared" si="87"/>
        <v>0.29166666666666702</v>
      </c>
      <c r="N614" s="23">
        <f t="shared" si="83"/>
        <v>0.66666666666666696</v>
      </c>
      <c r="O614" s="41">
        <f t="shared" si="84"/>
        <v>0</v>
      </c>
      <c r="P614" s="13" t="str">
        <f t="shared" si="85"/>
        <v>SI</v>
      </c>
      <c r="Q614" s="23">
        <f t="shared" si="86"/>
        <v>0.29166666666666702</v>
      </c>
      <c r="R614" s="12">
        <f t="shared" si="86"/>
        <v>0.66666666666666696</v>
      </c>
    </row>
    <row r="615" spans="2:18">
      <c r="B615" t="str">
        <f t="shared" si="80"/>
        <v>JARDIN NATANAHEL GARCIA CHAPEN46282</v>
      </c>
      <c r="C615" t="s">
        <v>15</v>
      </c>
      <c r="D615" s="121">
        <v>46282</v>
      </c>
      <c r="E615" t="s">
        <v>101</v>
      </c>
      <c r="F615" t="s">
        <v>35</v>
      </c>
      <c r="G615" s="122">
        <v>0.375</v>
      </c>
      <c r="H615" s="122">
        <v>0.75</v>
      </c>
      <c r="I615" s="112">
        <v>0</v>
      </c>
      <c r="J615" s="112">
        <v>0</v>
      </c>
      <c r="K615" s="23">
        <f t="shared" si="81"/>
        <v>0.375</v>
      </c>
      <c r="L615" s="23">
        <f t="shared" si="82"/>
        <v>0</v>
      </c>
      <c r="M615" s="12">
        <f t="shared" si="87"/>
        <v>0.375</v>
      </c>
      <c r="N615" s="23">
        <f t="shared" si="83"/>
        <v>0.75</v>
      </c>
      <c r="O615" s="41">
        <f t="shared" si="84"/>
        <v>0</v>
      </c>
      <c r="P615" s="13" t="str">
        <f t="shared" si="85"/>
        <v>SI</v>
      </c>
      <c r="Q615" s="23">
        <f t="shared" si="86"/>
        <v>0.375</v>
      </c>
      <c r="R615" s="12">
        <f t="shared" si="86"/>
        <v>0.75</v>
      </c>
    </row>
    <row r="616" spans="2:18">
      <c r="B616" t="str">
        <f t="shared" si="80"/>
        <v>JARDIN NATANAHEL GARCIA CHAPEN46283</v>
      </c>
      <c r="C616" t="s">
        <v>15</v>
      </c>
      <c r="D616" s="121">
        <v>46283</v>
      </c>
      <c r="E616" t="s">
        <v>95</v>
      </c>
      <c r="F616" t="s">
        <v>35</v>
      </c>
      <c r="G616" s="122">
        <v>0.29166666666666702</v>
      </c>
      <c r="H616" s="122">
        <v>0.66666666666666696</v>
      </c>
      <c r="I616" s="112">
        <v>0</v>
      </c>
      <c r="J616" s="112">
        <v>0</v>
      </c>
      <c r="K616" s="23">
        <f t="shared" si="81"/>
        <v>0.29166666666666702</v>
      </c>
      <c r="L616" s="23">
        <f t="shared" si="82"/>
        <v>0</v>
      </c>
      <c r="M616" s="12">
        <f t="shared" si="87"/>
        <v>0.29166666666666702</v>
      </c>
      <c r="N616" s="23">
        <f t="shared" si="83"/>
        <v>0.66666666666666696</v>
      </c>
      <c r="O616" s="41">
        <f t="shared" si="84"/>
        <v>0</v>
      </c>
      <c r="P616" s="13" t="str">
        <f t="shared" si="85"/>
        <v>SI</v>
      </c>
      <c r="Q616" s="23">
        <f t="shared" si="86"/>
        <v>0.29166666666666702</v>
      </c>
      <c r="R616" s="12">
        <f t="shared" si="86"/>
        <v>0.66666666666666696</v>
      </c>
    </row>
    <row r="617" spans="2:18">
      <c r="B617" t="str">
        <f t="shared" si="80"/>
        <v>JARDIN NATANAHEL GARCIA CHAPEN46284</v>
      </c>
      <c r="C617" t="s">
        <v>15</v>
      </c>
      <c r="D617" s="121">
        <v>46284</v>
      </c>
      <c r="E617" t="s">
        <v>96</v>
      </c>
      <c r="F617" t="s">
        <v>35</v>
      </c>
      <c r="G617" s="122">
        <v>0.29166666666666702</v>
      </c>
      <c r="H617" s="122">
        <v>0.5</v>
      </c>
      <c r="I617" s="112">
        <v>0</v>
      </c>
      <c r="J617" s="112">
        <v>0</v>
      </c>
      <c r="K617" s="23">
        <f t="shared" si="81"/>
        <v>0.29166666666666702</v>
      </c>
      <c r="L617" s="23">
        <f t="shared" si="82"/>
        <v>0</v>
      </c>
      <c r="M617" s="12">
        <f t="shared" si="87"/>
        <v>0.29166666666666702</v>
      </c>
      <c r="N617" s="23">
        <f t="shared" si="83"/>
        <v>0.5</v>
      </c>
      <c r="O617" s="41">
        <f t="shared" si="84"/>
        <v>0</v>
      </c>
      <c r="P617" s="13" t="str">
        <f t="shared" si="85"/>
        <v>SI</v>
      </c>
      <c r="Q617" s="23">
        <f t="shared" si="86"/>
        <v>0.29166666666666702</v>
      </c>
      <c r="R617" s="12">
        <f t="shared" si="86"/>
        <v>0.5</v>
      </c>
    </row>
    <row r="618" spans="2:18">
      <c r="B618" t="str">
        <f t="shared" si="80"/>
        <v>JARDIN NATANAHEL GARCIA CHAPEN46285</v>
      </c>
      <c r="C618" t="s">
        <v>15</v>
      </c>
      <c r="D618" s="121">
        <v>46285</v>
      </c>
      <c r="E618" t="s">
        <v>97</v>
      </c>
      <c r="F618" t="s">
        <v>72</v>
      </c>
      <c r="G618" s="122">
        <v>0</v>
      </c>
      <c r="H618" s="122">
        <v>0</v>
      </c>
      <c r="I618" s="112">
        <v>0</v>
      </c>
      <c r="J618" s="112">
        <v>0</v>
      </c>
      <c r="K618" s="23">
        <f t="shared" si="81"/>
        <v>0</v>
      </c>
      <c r="L618" s="23">
        <f t="shared" si="82"/>
        <v>0</v>
      </c>
      <c r="M618" s="12">
        <f t="shared" si="87"/>
        <v>0</v>
      </c>
      <c r="N618" s="23">
        <f t="shared" si="83"/>
        <v>0</v>
      </c>
      <c r="O618" s="41">
        <f t="shared" si="84"/>
        <v>0</v>
      </c>
      <c r="P618" s="13" t="str">
        <f t="shared" si="85"/>
        <v>NO</v>
      </c>
      <c r="Q618" s="23">
        <f t="shared" si="86"/>
        <v>0</v>
      </c>
      <c r="R618" s="12">
        <f t="shared" si="86"/>
        <v>0</v>
      </c>
    </row>
    <row r="619" spans="2:18">
      <c r="B619" t="str">
        <f t="shared" si="80"/>
        <v>JARDIN NATANAHEL GARCIA CHAPEN46286</v>
      </c>
      <c r="C619" t="s">
        <v>15</v>
      </c>
      <c r="D619" s="121">
        <v>46286</v>
      </c>
      <c r="E619" t="s">
        <v>98</v>
      </c>
      <c r="F619" t="s">
        <v>35</v>
      </c>
      <c r="G619" s="122">
        <v>0.29166666666666702</v>
      </c>
      <c r="H619" s="122">
        <v>0.66666666666666696</v>
      </c>
      <c r="I619" s="112">
        <v>0</v>
      </c>
      <c r="J619" s="112">
        <v>0</v>
      </c>
      <c r="K619" s="23">
        <f t="shared" si="81"/>
        <v>0.29166666666666702</v>
      </c>
      <c r="L619" s="23">
        <f t="shared" si="82"/>
        <v>0</v>
      </c>
      <c r="M619" s="12">
        <f t="shared" si="87"/>
        <v>0.29166666666666702</v>
      </c>
      <c r="N619" s="23">
        <f t="shared" si="83"/>
        <v>0.66666666666666696</v>
      </c>
      <c r="O619" s="41">
        <f t="shared" si="84"/>
        <v>0</v>
      </c>
      <c r="P619" s="13" t="str">
        <f t="shared" si="85"/>
        <v>SI</v>
      </c>
      <c r="Q619" s="23">
        <f t="shared" si="86"/>
        <v>0.29166666666666702</v>
      </c>
      <c r="R619" s="12">
        <f t="shared" si="86"/>
        <v>0.66666666666666696</v>
      </c>
    </row>
    <row r="620" spans="2:18">
      <c r="B620" t="str">
        <f t="shared" si="80"/>
        <v>JARDIN NATANAHEL GARCIA CHAPEN46287</v>
      </c>
      <c r="C620" t="s">
        <v>15</v>
      </c>
      <c r="D620" s="121">
        <v>46287</v>
      </c>
      <c r="E620" t="s">
        <v>99</v>
      </c>
      <c r="F620" t="s">
        <v>35</v>
      </c>
      <c r="G620" s="122">
        <v>0.29166666666666702</v>
      </c>
      <c r="H620" s="122">
        <v>0.66666666666666696</v>
      </c>
      <c r="I620" s="112">
        <v>0</v>
      </c>
      <c r="J620" s="112">
        <v>0</v>
      </c>
      <c r="K620" s="23">
        <f t="shared" si="81"/>
        <v>0.29166666666666702</v>
      </c>
      <c r="L620" s="23">
        <f t="shared" si="82"/>
        <v>0</v>
      </c>
      <c r="M620" s="12">
        <f t="shared" si="87"/>
        <v>0.29166666666666702</v>
      </c>
      <c r="N620" s="23">
        <f t="shared" si="83"/>
        <v>0.66666666666666696</v>
      </c>
      <c r="O620" s="41">
        <f t="shared" si="84"/>
        <v>0</v>
      </c>
      <c r="P620" s="13" t="str">
        <f t="shared" si="85"/>
        <v>SI</v>
      </c>
      <c r="Q620" s="23">
        <f t="shared" si="86"/>
        <v>0.29166666666666702</v>
      </c>
      <c r="R620" s="12">
        <f t="shared" si="86"/>
        <v>0.66666666666666696</v>
      </c>
    </row>
    <row r="621" spans="2:18">
      <c r="B621" t="str">
        <f t="shared" si="80"/>
        <v>JARDIN NATANAHEL GARCIA CHAPEN46288</v>
      </c>
      <c r="C621" t="s">
        <v>15</v>
      </c>
      <c r="D621" s="121">
        <v>46288</v>
      </c>
      <c r="E621" t="s">
        <v>100</v>
      </c>
      <c r="F621" t="s">
        <v>35</v>
      </c>
      <c r="G621" s="122">
        <v>0.29166666666666702</v>
      </c>
      <c r="H621" s="122">
        <v>0.66666666666666696</v>
      </c>
      <c r="I621" s="112">
        <v>0</v>
      </c>
      <c r="J621" s="112">
        <v>0</v>
      </c>
      <c r="K621" s="23">
        <f t="shared" si="81"/>
        <v>0.29166666666666702</v>
      </c>
      <c r="L621" s="23">
        <f t="shared" si="82"/>
        <v>0</v>
      </c>
      <c r="M621" s="12">
        <f t="shared" si="87"/>
        <v>0.29166666666666702</v>
      </c>
      <c r="N621" s="23">
        <f t="shared" si="83"/>
        <v>0.66666666666666696</v>
      </c>
      <c r="O621" s="41">
        <f t="shared" si="84"/>
        <v>0</v>
      </c>
      <c r="P621" s="13" t="str">
        <f t="shared" si="85"/>
        <v>SI</v>
      </c>
      <c r="Q621" s="23">
        <f t="shared" si="86"/>
        <v>0.29166666666666702</v>
      </c>
      <c r="R621" s="12">
        <f t="shared" si="86"/>
        <v>0.66666666666666696</v>
      </c>
    </row>
    <row r="622" spans="2:18">
      <c r="B622" t="str">
        <f t="shared" si="80"/>
        <v>JARDIN NATANAHEL GARCIA CHAPEN46289</v>
      </c>
      <c r="C622" t="s">
        <v>15</v>
      </c>
      <c r="D622" s="121">
        <v>46289</v>
      </c>
      <c r="E622" t="s">
        <v>101</v>
      </c>
      <c r="F622" t="s">
        <v>35</v>
      </c>
      <c r="G622" s="122">
        <v>0.375</v>
      </c>
      <c r="H622" s="122">
        <v>0.75</v>
      </c>
      <c r="I622" s="112">
        <v>0</v>
      </c>
      <c r="J622" s="112">
        <v>0</v>
      </c>
      <c r="K622" s="23">
        <f t="shared" si="81"/>
        <v>0.375</v>
      </c>
      <c r="L622" s="23">
        <f t="shared" si="82"/>
        <v>0</v>
      </c>
      <c r="M622" s="12">
        <f t="shared" si="87"/>
        <v>0.375</v>
      </c>
      <c r="N622" s="23">
        <f t="shared" si="83"/>
        <v>0.75</v>
      </c>
      <c r="O622" s="41">
        <f t="shared" si="84"/>
        <v>0</v>
      </c>
      <c r="P622" s="13" t="str">
        <f t="shared" si="85"/>
        <v>SI</v>
      </c>
      <c r="Q622" s="23">
        <f t="shared" si="86"/>
        <v>0.375</v>
      </c>
      <c r="R622" s="12">
        <f t="shared" si="86"/>
        <v>0.75</v>
      </c>
    </row>
    <row r="623" spans="2:18">
      <c r="B623" t="str">
        <f t="shared" si="80"/>
        <v>JARDIN NATANAHEL GARCIA CHAPEN46290</v>
      </c>
      <c r="C623" t="s">
        <v>15</v>
      </c>
      <c r="D623" s="121">
        <v>46290</v>
      </c>
      <c r="E623" t="s">
        <v>95</v>
      </c>
      <c r="F623" t="s">
        <v>35</v>
      </c>
      <c r="G623" s="122">
        <v>0.29166666666666702</v>
      </c>
      <c r="H623" s="122">
        <v>0.66666666666666696</v>
      </c>
      <c r="I623" s="112">
        <v>0</v>
      </c>
      <c r="J623" s="112">
        <v>0</v>
      </c>
      <c r="K623" s="23">
        <f t="shared" si="81"/>
        <v>0.29166666666666702</v>
      </c>
      <c r="L623" s="23">
        <f t="shared" si="82"/>
        <v>0</v>
      </c>
      <c r="M623" s="12">
        <f t="shared" si="87"/>
        <v>0.29166666666666702</v>
      </c>
      <c r="N623" s="23">
        <f t="shared" si="83"/>
        <v>0.66666666666666696</v>
      </c>
      <c r="O623" s="41">
        <f t="shared" si="84"/>
        <v>0</v>
      </c>
      <c r="P623" s="13" t="str">
        <f t="shared" si="85"/>
        <v>SI</v>
      </c>
      <c r="Q623" s="23">
        <f t="shared" si="86"/>
        <v>0.29166666666666702</v>
      </c>
      <c r="R623" s="12">
        <f t="shared" si="86"/>
        <v>0.66666666666666696</v>
      </c>
    </row>
    <row r="624" spans="2:18">
      <c r="B624" t="str">
        <f t="shared" si="80"/>
        <v>JARDIN NATANAHEL GARCIA CHAPEN46291</v>
      </c>
      <c r="C624" t="s">
        <v>15</v>
      </c>
      <c r="D624" s="121">
        <v>46291</v>
      </c>
      <c r="E624" t="s">
        <v>96</v>
      </c>
      <c r="F624" t="s">
        <v>35</v>
      </c>
      <c r="G624" s="122">
        <v>0.29166666666666702</v>
      </c>
      <c r="H624" s="122">
        <v>0.5</v>
      </c>
      <c r="I624" s="112">
        <v>0</v>
      </c>
      <c r="J624" s="112">
        <v>0</v>
      </c>
      <c r="K624" s="23">
        <f t="shared" si="81"/>
        <v>0.29166666666666702</v>
      </c>
      <c r="L624" s="23">
        <f t="shared" si="82"/>
        <v>0</v>
      </c>
      <c r="M624" s="12">
        <f t="shared" si="87"/>
        <v>0.29166666666666702</v>
      </c>
      <c r="N624" s="23">
        <f t="shared" si="83"/>
        <v>0.5</v>
      </c>
      <c r="O624" s="41">
        <f t="shared" si="84"/>
        <v>0</v>
      </c>
      <c r="P624" s="13" t="str">
        <f t="shared" si="85"/>
        <v>SI</v>
      </c>
      <c r="Q624" s="23">
        <f t="shared" si="86"/>
        <v>0.29166666666666702</v>
      </c>
      <c r="R624" s="12">
        <f t="shared" si="86"/>
        <v>0.5</v>
      </c>
    </row>
    <row r="625" spans="2:18">
      <c r="B625" t="str">
        <f t="shared" si="80"/>
        <v>JARDIN NATANAHEL GARCIA CHAPEN46292</v>
      </c>
      <c r="C625" t="s">
        <v>15</v>
      </c>
      <c r="D625" s="121">
        <v>46292</v>
      </c>
      <c r="E625" t="s">
        <v>97</v>
      </c>
      <c r="F625" t="s">
        <v>72</v>
      </c>
      <c r="G625" s="122">
        <v>0</v>
      </c>
      <c r="H625" s="122">
        <v>0</v>
      </c>
      <c r="I625" s="112">
        <v>0</v>
      </c>
      <c r="J625" s="112">
        <v>0</v>
      </c>
      <c r="K625" s="23">
        <f t="shared" si="81"/>
        <v>0</v>
      </c>
      <c r="L625" s="23">
        <f t="shared" si="82"/>
        <v>0</v>
      </c>
      <c r="M625" s="12">
        <f t="shared" si="87"/>
        <v>0</v>
      </c>
      <c r="N625" s="23">
        <f t="shared" si="83"/>
        <v>0</v>
      </c>
      <c r="O625" s="41">
        <f t="shared" si="84"/>
        <v>0</v>
      </c>
      <c r="P625" s="13" t="str">
        <f t="shared" si="85"/>
        <v>NO</v>
      </c>
      <c r="Q625" s="23">
        <f t="shared" si="86"/>
        <v>0</v>
      </c>
      <c r="R625" s="12">
        <f t="shared" si="86"/>
        <v>0</v>
      </c>
    </row>
    <row r="626" spans="2:18">
      <c r="B626" t="str">
        <f t="shared" si="80"/>
        <v>JARDIN NATANAHEL GARCIA CHAPEN46293</v>
      </c>
      <c r="C626" t="s">
        <v>15</v>
      </c>
      <c r="D626" s="121">
        <v>46293</v>
      </c>
      <c r="E626" t="s">
        <v>98</v>
      </c>
      <c r="F626" t="s">
        <v>36</v>
      </c>
      <c r="G626" s="122">
        <v>0.79166666666666696</v>
      </c>
      <c r="H626" s="122">
        <v>0.20833333333333301</v>
      </c>
      <c r="I626" s="112">
        <v>0</v>
      </c>
      <c r="J626" s="112">
        <v>0</v>
      </c>
      <c r="K626" s="23">
        <f t="shared" si="81"/>
        <v>0.79166666666666696</v>
      </c>
      <c r="L626" s="23">
        <f t="shared" si="82"/>
        <v>0</v>
      </c>
      <c r="M626" s="12">
        <f t="shared" si="87"/>
        <v>0.79166666666666696</v>
      </c>
      <c r="N626" s="23">
        <f t="shared" si="83"/>
        <v>0.20833333333333301</v>
      </c>
      <c r="O626" s="41">
        <f t="shared" si="84"/>
        <v>0</v>
      </c>
      <c r="P626" s="13" t="str">
        <f t="shared" si="85"/>
        <v>SI</v>
      </c>
      <c r="Q626" s="23">
        <f t="shared" si="86"/>
        <v>0.79166666666666696</v>
      </c>
      <c r="R626" s="12">
        <f t="shared" si="86"/>
        <v>0.20833333333333301</v>
      </c>
    </row>
    <row r="627" spans="2:18">
      <c r="B627" t="str">
        <f t="shared" si="80"/>
        <v>JARDIN NATANAHEL GARCIA CHAPEN46294</v>
      </c>
      <c r="C627" t="s">
        <v>15</v>
      </c>
      <c r="D627" s="121">
        <v>46294</v>
      </c>
      <c r="E627" t="s">
        <v>99</v>
      </c>
      <c r="F627" t="s">
        <v>35</v>
      </c>
      <c r="G627" s="122">
        <v>0.33333333333333298</v>
      </c>
      <c r="H627" s="122">
        <v>0.70833333333333304</v>
      </c>
      <c r="I627" s="112">
        <v>0</v>
      </c>
      <c r="J627" s="112">
        <v>0</v>
      </c>
      <c r="K627" s="23">
        <f t="shared" si="81"/>
        <v>0.33333333333333298</v>
      </c>
      <c r="L627" s="23">
        <f t="shared" si="82"/>
        <v>0</v>
      </c>
      <c r="M627" s="12">
        <f t="shared" si="87"/>
        <v>0.33333333333333298</v>
      </c>
      <c r="N627" s="23">
        <f t="shared" si="83"/>
        <v>0.70833333333333304</v>
      </c>
      <c r="O627" s="41">
        <f t="shared" si="84"/>
        <v>0</v>
      </c>
      <c r="P627" s="13" t="str">
        <f t="shared" si="85"/>
        <v>SI</v>
      </c>
      <c r="Q627" s="23">
        <f t="shared" si="86"/>
        <v>0.33333333333333298</v>
      </c>
      <c r="R627" s="12">
        <f t="shared" si="86"/>
        <v>0.70833333333333304</v>
      </c>
    </row>
    <row r="628" spans="2:18">
      <c r="B628" t="str">
        <f t="shared" si="80"/>
        <v>JARDIN NATANAHEL GARCIA CHAPEN46295</v>
      </c>
      <c r="C628" t="s">
        <v>15</v>
      </c>
      <c r="D628" s="121">
        <v>46295</v>
      </c>
      <c r="E628" t="s">
        <v>100</v>
      </c>
      <c r="F628" t="s">
        <v>36</v>
      </c>
      <c r="G628" s="122">
        <v>0.79166666666666696</v>
      </c>
      <c r="H628" s="122">
        <v>0.20833333333333301</v>
      </c>
      <c r="I628" s="112">
        <v>0</v>
      </c>
      <c r="J628" s="112">
        <v>0</v>
      </c>
      <c r="K628" s="23">
        <f t="shared" si="81"/>
        <v>0.79166666666666696</v>
      </c>
      <c r="L628" s="23">
        <f t="shared" si="82"/>
        <v>0</v>
      </c>
      <c r="M628" s="12">
        <f t="shared" si="87"/>
        <v>0.79166666666666696</v>
      </c>
      <c r="N628" s="23">
        <f t="shared" si="83"/>
        <v>0.20833333333333301</v>
      </c>
      <c r="O628" s="41">
        <f t="shared" si="84"/>
        <v>0</v>
      </c>
      <c r="P628" s="13" t="str">
        <f t="shared" si="85"/>
        <v>SI</v>
      </c>
      <c r="Q628" s="23">
        <f t="shared" si="86"/>
        <v>0.79166666666666696</v>
      </c>
      <c r="R628" s="12">
        <f t="shared" si="86"/>
        <v>0.20833333333333301</v>
      </c>
    </row>
    <row r="629" spans="2:18">
      <c r="B629" t="str">
        <f t="shared" si="80"/>
        <v>JARDIN NATANAHEL GARCIA CHAPEN46296</v>
      </c>
      <c r="C629" t="s">
        <v>15</v>
      </c>
      <c r="D629" s="121">
        <v>46296</v>
      </c>
      <c r="E629" t="s">
        <v>101</v>
      </c>
      <c r="F629" t="s">
        <v>36</v>
      </c>
      <c r="G629" s="122">
        <v>0.79166666666666696</v>
      </c>
      <c r="H629" s="122">
        <v>0.20833333333333301</v>
      </c>
      <c r="I629" s="112">
        <v>0</v>
      </c>
      <c r="J629" s="112">
        <v>0</v>
      </c>
      <c r="K629" s="23">
        <f t="shared" si="81"/>
        <v>0.79166666666666696</v>
      </c>
      <c r="L629" s="23">
        <f t="shared" si="82"/>
        <v>0</v>
      </c>
      <c r="M629" s="12">
        <f t="shared" si="87"/>
        <v>0.79166666666666696</v>
      </c>
      <c r="N629" s="23">
        <f t="shared" si="83"/>
        <v>0.20833333333333301</v>
      </c>
      <c r="O629" s="41">
        <f t="shared" si="84"/>
        <v>0</v>
      </c>
      <c r="P629" s="13" t="str">
        <f t="shared" si="85"/>
        <v>SI</v>
      </c>
      <c r="Q629" s="23">
        <f t="shared" si="86"/>
        <v>0.79166666666666696</v>
      </c>
      <c r="R629" s="12">
        <f t="shared" si="86"/>
        <v>0.20833333333333301</v>
      </c>
    </row>
    <row r="630" spans="2:18">
      <c r="B630" t="str">
        <f t="shared" si="80"/>
        <v>JARDIN NATANAHEL GARCIA CHAPEN46297</v>
      </c>
      <c r="C630" t="s">
        <v>15</v>
      </c>
      <c r="D630" s="121">
        <v>46297</v>
      </c>
      <c r="E630" t="s">
        <v>95</v>
      </c>
      <c r="F630" t="s">
        <v>36</v>
      </c>
      <c r="G630" s="122">
        <v>0.79166666666666696</v>
      </c>
      <c r="H630" s="122">
        <v>0.20833333333333301</v>
      </c>
      <c r="I630" s="112">
        <v>0</v>
      </c>
      <c r="J630" s="112">
        <v>0</v>
      </c>
      <c r="K630" s="23">
        <f t="shared" si="81"/>
        <v>0.79166666666666696</v>
      </c>
      <c r="L630" s="23">
        <f t="shared" si="82"/>
        <v>0</v>
      </c>
      <c r="M630" s="12">
        <f t="shared" si="87"/>
        <v>0.79166666666666696</v>
      </c>
      <c r="N630" s="23">
        <f t="shared" si="83"/>
        <v>0.20833333333333301</v>
      </c>
      <c r="O630" s="41">
        <f t="shared" si="84"/>
        <v>0</v>
      </c>
      <c r="P630" s="13" t="str">
        <f t="shared" si="85"/>
        <v>SI</v>
      </c>
      <c r="Q630" s="23">
        <f t="shared" si="86"/>
        <v>0.79166666666666696</v>
      </c>
      <c r="R630" s="12">
        <f t="shared" si="86"/>
        <v>0.20833333333333301</v>
      </c>
    </row>
    <row r="631" spans="2:18">
      <c r="B631" t="str">
        <f t="shared" si="80"/>
        <v>JARDIN NATANAHEL GARCIA CHAPEN46298</v>
      </c>
      <c r="C631" t="s">
        <v>15</v>
      </c>
      <c r="D631" s="121">
        <v>46298</v>
      </c>
      <c r="E631" t="s">
        <v>96</v>
      </c>
      <c r="F631" t="s">
        <v>72</v>
      </c>
      <c r="G631" s="122">
        <v>0</v>
      </c>
      <c r="H631" s="122">
        <v>0</v>
      </c>
      <c r="I631" s="112">
        <v>0</v>
      </c>
      <c r="J631" s="112">
        <v>0</v>
      </c>
      <c r="K631" s="23">
        <f t="shared" si="81"/>
        <v>0</v>
      </c>
      <c r="L631" s="23">
        <f t="shared" si="82"/>
        <v>0</v>
      </c>
      <c r="M631" s="12">
        <f t="shared" si="87"/>
        <v>0</v>
      </c>
      <c r="N631" s="23">
        <f t="shared" si="83"/>
        <v>0</v>
      </c>
      <c r="O631" s="41">
        <f t="shared" si="84"/>
        <v>0</v>
      </c>
      <c r="P631" s="13" t="str">
        <f t="shared" si="85"/>
        <v>NO</v>
      </c>
      <c r="Q631" s="23">
        <f t="shared" si="86"/>
        <v>0</v>
      </c>
      <c r="R631" s="12">
        <f t="shared" si="86"/>
        <v>0</v>
      </c>
    </row>
    <row r="632" spans="2:18">
      <c r="B632" t="str">
        <f t="shared" si="80"/>
        <v>JARDIN NATANAHEL GARCIA CHAPEN46299</v>
      </c>
      <c r="C632" t="s">
        <v>15</v>
      </c>
      <c r="D632" s="121">
        <v>46299</v>
      </c>
      <c r="E632" t="s">
        <v>97</v>
      </c>
      <c r="F632" t="s">
        <v>72</v>
      </c>
      <c r="G632" s="122">
        <v>0</v>
      </c>
      <c r="H632" s="122">
        <v>0</v>
      </c>
      <c r="I632" s="112">
        <v>0</v>
      </c>
      <c r="J632" s="112">
        <v>0</v>
      </c>
      <c r="K632" s="23">
        <f t="shared" si="81"/>
        <v>0</v>
      </c>
      <c r="L632" s="23">
        <f t="shared" si="82"/>
        <v>0</v>
      </c>
      <c r="M632" s="12">
        <f t="shared" si="87"/>
        <v>0</v>
      </c>
      <c r="N632" s="23">
        <f t="shared" si="83"/>
        <v>0</v>
      </c>
      <c r="O632" s="41">
        <f t="shared" si="84"/>
        <v>0</v>
      </c>
      <c r="P632" s="13" t="str">
        <f t="shared" si="85"/>
        <v>NO</v>
      </c>
      <c r="Q632" s="23">
        <f t="shared" si="86"/>
        <v>0</v>
      </c>
      <c r="R632" s="12">
        <f t="shared" si="86"/>
        <v>0</v>
      </c>
    </row>
    <row r="633" spans="2:18">
      <c r="B633" t="str">
        <f t="shared" si="80"/>
        <v>JEREMY ELIAS JUAREZ GUZMAN46279</v>
      </c>
      <c r="C633" t="s">
        <v>225</v>
      </c>
      <c r="D633" s="121">
        <v>46279</v>
      </c>
      <c r="E633" t="s">
        <v>98</v>
      </c>
      <c r="F633" t="s">
        <v>72</v>
      </c>
      <c r="G633" s="122">
        <v>0</v>
      </c>
      <c r="H633" s="122">
        <v>0</v>
      </c>
      <c r="I633" s="112">
        <v>0</v>
      </c>
      <c r="J633" s="112">
        <v>0</v>
      </c>
      <c r="K633" s="23">
        <f t="shared" si="81"/>
        <v>0</v>
      </c>
      <c r="L633" s="23">
        <f t="shared" si="82"/>
        <v>0</v>
      </c>
      <c r="M633" s="12">
        <f t="shared" si="87"/>
        <v>0</v>
      </c>
      <c r="N633" s="23">
        <f t="shared" si="83"/>
        <v>0</v>
      </c>
      <c r="O633" s="41">
        <f t="shared" si="84"/>
        <v>0</v>
      </c>
      <c r="P633" s="13" t="str">
        <f t="shared" si="85"/>
        <v>NO</v>
      </c>
      <c r="Q633" s="23">
        <f t="shared" si="86"/>
        <v>0</v>
      </c>
      <c r="R633" s="12">
        <f t="shared" si="86"/>
        <v>0</v>
      </c>
    </row>
    <row r="634" spans="2:18">
      <c r="B634" t="str">
        <f t="shared" si="80"/>
        <v>JEREMY ELIAS JUAREZ GUZMAN46280</v>
      </c>
      <c r="C634" t="s">
        <v>225</v>
      </c>
      <c r="D634" s="121">
        <v>46280</v>
      </c>
      <c r="E634" t="s">
        <v>99</v>
      </c>
      <c r="F634" t="s">
        <v>35</v>
      </c>
      <c r="G634" s="122">
        <v>0.33333333333333298</v>
      </c>
      <c r="H634" s="122">
        <v>0.70833333333333304</v>
      </c>
      <c r="I634" s="112">
        <v>0</v>
      </c>
      <c r="J634" s="112">
        <v>0</v>
      </c>
      <c r="K634" s="23">
        <f t="shared" si="81"/>
        <v>0.33333333333333298</v>
      </c>
      <c r="L634" s="23">
        <f t="shared" si="82"/>
        <v>0</v>
      </c>
      <c r="M634" s="12">
        <f t="shared" si="87"/>
        <v>0.33333333333333298</v>
      </c>
      <c r="N634" s="23">
        <f t="shared" si="83"/>
        <v>0.70833333333333304</v>
      </c>
      <c r="O634" s="41">
        <f t="shared" si="84"/>
        <v>0</v>
      </c>
      <c r="P634" s="13" t="str">
        <f t="shared" si="85"/>
        <v>SI</v>
      </c>
      <c r="Q634" s="23">
        <f t="shared" si="86"/>
        <v>0.33333333333333298</v>
      </c>
      <c r="R634" s="12">
        <f t="shared" si="86"/>
        <v>0.70833333333333304</v>
      </c>
    </row>
    <row r="635" spans="2:18">
      <c r="B635" t="str">
        <f t="shared" si="80"/>
        <v>JEREMY ELIAS JUAREZ GUZMAN46281</v>
      </c>
      <c r="C635" t="s">
        <v>225</v>
      </c>
      <c r="D635" s="121">
        <v>46281</v>
      </c>
      <c r="E635" t="s">
        <v>100</v>
      </c>
      <c r="F635" t="s">
        <v>35</v>
      </c>
      <c r="G635" s="122">
        <v>0.25</v>
      </c>
      <c r="H635" s="122">
        <v>0.75</v>
      </c>
      <c r="I635" s="112">
        <v>0</v>
      </c>
      <c r="J635" s="112">
        <v>0</v>
      </c>
      <c r="K635" s="23">
        <f t="shared" si="81"/>
        <v>0.25</v>
      </c>
      <c r="L635" s="23">
        <f t="shared" si="82"/>
        <v>0</v>
      </c>
      <c r="M635" s="12">
        <f t="shared" si="87"/>
        <v>0.25</v>
      </c>
      <c r="N635" s="23">
        <f t="shared" si="83"/>
        <v>0.75</v>
      </c>
      <c r="O635" s="41">
        <f t="shared" si="84"/>
        <v>0</v>
      </c>
      <c r="P635" s="13" t="str">
        <f t="shared" si="85"/>
        <v>SI</v>
      </c>
      <c r="Q635" s="23">
        <f t="shared" si="86"/>
        <v>0.25</v>
      </c>
      <c r="R635" s="12">
        <f t="shared" si="86"/>
        <v>0.75</v>
      </c>
    </row>
    <row r="636" spans="2:18">
      <c r="B636" t="str">
        <f t="shared" si="80"/>
        <v>JEREMY ELIAS JUAREZ GUZMAN46282</v>
      </c>
      <c r="C636" t="s">
        <v>225</v>
      </c>
      <c r="D636" s="121">
        <v>46282</v>
      </c>
      <c r="E636" t="s">
        <v>101</v>
      </c>
      <c r="F636" t="s">
        <v>35</v>
      </c>
      <c r="G636" s="122">
        <v>0.25</v>
      </c>
      <c r="H636" s="122">
        <v>0.75</v>
      </c>
      <c r="I636" s="112">
        <v>0</v>
      </c>
      <c r="J636" s="112">
        <v>0</v>
      </c>
      <c r="K636" s="23">
        <f t="shared" si="81"/>
        <v>0.25</v>
      </c>
      <c r="L636" s="23">
        <f t="shared" si="82"/>
        <v>0</v>
      </c>
      <c r="M636" s="12">
        <f t="shared" si="87"/>
        <v>0.25</v>
      </c>
      <c r="N636" s="23">
        <f t="shared" si="83"/>
        <v>0.75</v>
      </c>
      <c r="O636" s="41">
        <f t="shared" si="84"/>
        <v>0</v>
      </c>
      <c r="P636" s="13" t="str">
        <f t="shared" si="85"/>
        <v>SI</v>
      </c>
      <c r="Q636" s="23">
        <f t="shared" si="86"/>
        <v>0.25</v>
      </c>
      <c r="R636" s="12">
        <f t="shared" si="86"/>
        <v>0.75</v>
      </c>
    </row>
    <row r="637" spans="2:18">
      <c r="B637" t="str">
        <f t="shared" si="80"/>
        <v>JEREMY ELIAS JUAREZ GUZMAN46283</v>
      </c>
      <c r="C637" t="s">
        <v>225</v>
      </c>
      <c r="D637" s="121">
        <v>46283</v>
      </c>
      <c r="E637" t="s">
        <v>95</v>
      </c>
      <c r="F637" t="s">
        <v>35</v>
      </c>
      <c r="G637" s="122">
        <v>0.25</v>
      </c>
      <c r="H637" s="122">
        <v>0.75</v>
      </c>
      <c r="I637" s="112">
        <v>0</v>
      </c>
      <c r="J637" s="112">
        <v>0</v>
      </c>
      <c r="K637" s="23">
        <f t="shared" si="81"/>
        <v>0.25</v>
      </c>
      <c r="L637" s="23">
        <f t="shared" si="82"/>
        <v>0</v>
      </c>
      <c r="M637" s="12">
        <f t="shared" si="87"/>
        <v>0.25</v>
      </c>
      <c r="N637" s="23">
        <f t="shared" si="83"/>
        <v>0.75</v>
      </c>
      <c r="O637" s="41">
        <f t="shared" si="84"/>
        <v>0</v>
      </c>
      <c r="P637" s="13" t="str">
        <f t="shared" si="85"/>
        <v>SI</v>
      </c>
      <c r="Q637" s="23">
        <f t="shared" si="86"/>
        <v>0.25</v>
      </c>
      <c r="R637" s="12">
        <f t="shared" si="86"/>
        <v>0.75</v>
      </c>
    </row>
    <row r="638" spans="2:18">
      <c r="B638" t="str">
        <f t="shared" si="80"/>
        <v>JEREMY ELIAS JUAREZ GUZMAN46284</v>
      </c>
      <c r="C638" t="s">
        <v>225</v>
      </c>
      <c r="D638" s="121">
        <v>46284</v>
      </c>
      <c r="E638" t="s">
        <v>96</v>
      </c>
      <c r="F638" t="s">
        <v>35</v>
      </c>
      <c r="G638" s="122">
        <v>0.25</v>
      </c>
      <c r="H638" s="122">
        <v>0.58333333333333304</v>
      </c>
      <c r="I638" s="112">
        <v>0</v>
      </c>
      <c r="J638" s="112">
        <v>0</v>
      </c>
      <c r="K638" s="23">
        <f t="shared" si="81"/>
        <v>0.25</v>
      </c>
      <c r="L638" s="23">
        <f t="shared" si="82"/>
        <v>0</v>
      </c>
      <c r="M638" s="12">
        <f t="shared" si="87"/>
        <v>0.25</v>
      </c>
      <c r="N638" s="23">
        <f t="shared" si="83"/>
        <v>0.58333333333333304</v>
      </c>
      <c r="O638" s="41">
        <f t="shared" si="84"/>
        <v>0</v>
      </c>
      <c r="P638" s="13" t="str">
        <f t="shared" si="85"/>
        <v>SI</v>
      </c>
      <c r="Q638" s="23">
        <f t="shared" si="86"/>
        <v>0.25</v>
      </c>
      <c r="R638" s="12">
        <f t="shared" si="86"/>
        <v>0.58333333333333304</v>
      </c>
    </row>
    <row r="639" spans="2:18">
      <c r="B639" t="str">
        <f t="shared" si="80"/>
        <v>JEREMY ELIAS JUAREZ GUZMAN46285</v>
      </c>
      <c r="C639" t="s">
        <v>225</v>
      </c>
      <c r="D639" s="121">
        <v>46285</v>
      </c>
      <c r="E639" t="s">
        <v>97</v>
      </c>
      <c r="F639" t="s">
        <v>72</v>
      </c>
      <c r="G639" s="122">
        <v>0</v>
      </c>
      <c r="H639" s="122">
        <v>0</v>
      </c>
      <c r="I639" s="112">
        <v>0</v>
      </c>
      <c r="J639" s="112">
        <v>0</v>
      </c>
      <c r="K639" s="23">
        <f t="shared" si="81"/>
        <v>0</v>
      </c>
      <c r="L639" s="23">
        <f t="shared" si="82"/>
        <v>0</v>
      </c>
      <c r="M639" s="12">
        <f t="shared" si="87"/>
        <v>0</v>
      </c>
      <c r="N639" s="23">
        <f t="shared" si="83"/>
        <v>0</v>
      </c>
      <c r="O639" s="41">
        <f t="shared" si="84"/>
        <v>0</v>
      </c>
      <c r="P639" s="13" t="str">
        <f t="shared" si="85"/>
        <v>NO</v>
      </c>
      <c r="Q639" s="23">
        <f t="shared" si="86"/>
        <v>0</v>
      </c>
      <c r="R639" s="12">
        <f t="shared" si="86"/>
        <v>0</v>
      </c>
    </row>
    <row r="640" spans="2:18">
      <c r="B640" t="str">
        <f t="shared" ref="B640:B686" si="88">+C640&amp;D640</f>
        <v>JEREMY ELIAS JUAREZ GUZMAN46286</v>
      </c>
      <c r="C640" t="s">
        <v>225</v>
      </c>
      <c r="D640" s="121">
        <v>46286</v>
      </c>
      <c r="E640" t="s">
        <v>98</v>
      </c>
      <c r="F640" t="s">
        <v>36</v>
      </c>
      <c r="G640" s="122">
        <v>0.75</v>
      </c>
      <c r="H640" s="122">
        <v>0.25</v>
      </c>
      <c r="I640" s="112">
        <v>0</v>
      </c>
      <c r="J640" s="112">
        <v>0</v>
      </c>
      <c r="K640" s="23">
        <f t="shared" ref="K640:K686" si="89">+IFERROR(G640,0)</f>
        <v>0.75</v>
      </c>
      <c r="L640" s="23">
        <f t="shared" ref="L640:L686" si="90">+I640</f>
        <v>0</v>
      </c>
      <c r="M640" s="12">
        <f t="shared" ref="M640:M687" si="91">+IFERROR(MAX(K640:L640),0)</f>
        <v>0.75</v>
      </c>
      <c r="N640" s="23">
        <f t="shared" ref="N640:N686" si="92">+H640</f>
        <v>0.25</v>
      </c>
      <c r="O640" s="41">
        <f t="shared" ref="O640:O686" si="93">+J640</f>
        <v>0</v>
      </c>
      <c r="P640" s="13" t="str">
        <f t="shared" ref="P640:P686" si="94">+IF(O640&lt;N640,"SI","NO")</f>
        <v>SI</v>
      </c>
      <c r="Q640" s="23">
        <f t="shared" ref="Q640:R686" si="95">+M640</f>
        <v>0.75</v>
      </c>
      <c r="R640" s="12">
        <f t="shared" si="95"/>
        <v>0.25</v>
      </c>
    </row>
    <row r="641" spans="2:18">
      <c r="B641" t="str">
        <f t="shared" si="88"/>
        <v>JEREMY ELIAS JUAREZ GUZMAN46287</v>
      </c>
      <c r="C641" t="s">
        <v>225</v>
      </c>
      <c r="D641" s="121">
        <v>46287</v>
      </c>
      <c r="E641" t="s">
        <v>99</v>
      </c>
      <c r="F641" t="s">
        <v>36</v>
      </c>
      <c r="G641" s="122">
        <v>0.75</v>
      </c>
      <c r="H641" s="122">
        <v>0.25</v>
      </c>
      <c r="I641" s="112">
        <v>0</v>
      </c>
      <c r="J641" s="112">
        <v>0</v>
      </c>
      <c r="K641" s="23">
        <f t="shared" si="89"/>
        <v>0.75</v>
      </c>
      <c r="L641" s="23">
        <f t="shared" si="90"/>
        <v>0</v>
      </c>
      <c r="M641" s="12">
        <f t="shared" si="91"/>
        <v>0.75</v>
      </c>
      <c r="N641" s="23">
        <f t="shared" si="92"/>
        <v>0.25</v>
      </c>
      <c r="O641" s="41">
        <f t="shared" si="93"/>
        <v>0</v>
      </c>
      <c r="P641" s="13" t="str">
        <f t="shared" si="94"/>
        <v>SI</v>
      </c>
      <c r="Q641" s="23">
        <f t="shared" si="95"/>
        <v>0.75</v>
      </c>
      <c r="R641" s="12">
        <f t="shared" si="95"/>
        <v>0.25</v>
      </c>
    </row>
    <row r="642" spans="2:18">
      <c r="B642" t="str">
        <f t="shared" si="88"/>
        <v>JEREMY ELIAS JUAREZ GUZMAN46288</v>
      </c>
      <c r="C642" t="s">
        <v>225</v>
      </c>
      <c r="D642" s="121">
        <v>46288</v>
      </c>
      <c r="E642" t="s">
        <v>100</v>
      </c>
      <c r="F642" t="s">
        <v>36</v>
      </c>
      <c r="G642" s="122">
        <v>0.75</v>
      </c>
      <c r="H642" s="122">
        <v>0.25</v>
      </c>
      <c r="I642" s="112">
        <v>0</v>
      </c>
      <c r="J642" s="112">
        <v>0</v>
      </c>
      <c r="K642" s="23">
        <f t="shared" si="89"/>
        <v>0.75</v>
      </c>
      <c r="L642" s="23">
        <f t="shared" si="90"/>
        <v>0</v>
      </c>
      <c r="M642" s="12">
        <f t="shared" si="91"/>
        <v>0.75</v>
      </c>
      <c r="N642" s="23">
        <f t="shared" si="92"/>
        <v>0.25</v>
      </c>
      <c r="O642" s="41">
        <f t="shared" si="93"/>
        <v>0</v>
      </c>
      <c r="P642" s="13" t="str">
        <f t="shared" si="94"/>
        <v>SI</v>
      </c>
      <c r="Q642" s="23">
        <f t="shared" si="95"/>
        <v>0.75</v>
      </c>
      <c r="R642" s="12">
        <f t="shared" si="95"/>
        <v>0.25</v>
      </c>
    </row>
    <row r="643" spans="2:18">
      <c r="B643" t="str">
        <f t="shared" si="88"/>
        <v>JEREMY ELIAS JUAREZ GUZMAN46289</v>
      </c>
      <c r="C643" t="s">
        <v>225</v>
      </c>
      <c r="D643" s="121">
        <v>46289</v>
      </c>
      <c r="E643" t="s">
        <v>101</v>
      </c>
      <c r="F643" t="s">
        <v>36</v>
      </c>
      <c r="G643" s="122">
        <v>0.75</v>
      </c>
      <c r="H643" s="122">
        <v>0.25</v>
      </c>
      <c r="I643" s="112">
        <v>0</v>
      </c>
      <c r="J643" s="112">
        <v>0</v>
      </c>
      <c r="K643" s="23">
        <f t="shared" si="89"/>
        <v>0.75</v>
      </c>
      <c r="L643" s="23">
        <f t="shared" si="90"/>
        <v>0</v>
      </c>
      <c r="M643" s="12">
        <f t="shared" si="91"/>
        <v>0.75</v>
      </c>
      <c r="N643" s="23">
        <f t="shared" si="92"/>
        <v>0.25</v>
      </c>
      <c r="O643" s="41">
        <f t="shared" si="93"/>
        <v>0</v>
      </c>
      <c r="P643" s="13" t="str">
        <f t="shared" si="94"/>
        <v>SI</v>
      </c>
      <c r="Q643" s="23">
        <f t="shared" si="95"/>
        <v>0.75</v>
      </c>
      <c r="R643" s="12">
        <f t="shared" si="95"/>
        <v>0.25</v>
      </c>
    </row>
    <row r="644" spans="2:18">
      <c r="B644" t="str">
        <f t="shared" si="88"/>
        <v>JEREMY ELIAS JUAREZ GUZMAN46290</v>
      </c>
      <c r="C644" t="s">
        <v>225</v>
      </c>
      <c r="D644" s="121">
        <v>46290</v>
      </c>
      <c r="E644" t="s">
        <v>95</v>
      </c>
      <c r="F644" t="s">
        <v>36</v>
      </c>
      <c r="G644" s="122">
        <v>0.75</v>
      </c>
      <c r="H644" s="122">
        <v>0.25</v>
      </c>
      <c r="I644" s="112">
        <v>0</v>
      </c>
      <c r="J644" s="112">
        <v>0</v>
      </c>
      <c r="K644" s="23">
        <f t="shared" si="89"/>
        <v>0.75</v>
      </c>
      <c r="L644" s="23">
        <f t="shared" si="90"/>
        <v>0</v>
      </c>
      <c r="M644" s="12">
        <f t="shared" si="91"/>
        <v>0.75</v>
      </c>
      <c r="N644" s="23">
        <f t="shared" si="92"/>
        <v>0.25</v>
      </c>
      <c r="O644" s="41">
        <f t="shared" si="93"/>
        <v>0</v>
      </c>
      <c r="P644" s="13" t="str">
        <f t="shared" si="94"/>
        <v>SI</v>
      </c>
      <c r="Q644" s="23">
        <f t="shared" si="95"/>
        <v>0.75</v>
      </c>
      <c r="R644" s="12">
        <f t="shared" si="95"/>
        <v>0.25</v>
      </c>
    </row>
    <row r="645" spans="2:18">
      <c r="B645" t="str">
        <f t="shared" si="88"/>
        <v>JEREMY ELIAS JUAREZ GUZMAN46291</v>
      </c>
      <c r="C645" t="s">
        <v>225</v>
      </c>
      <c r="D645" s="121">
        <v>46291</v>
      </c>
      <c r="E645" t="s">
        <v>96</v>
      </c>
      <c r="F645" t="s">
        <v>72</v>
      </c>
      <c r="G645" s="122">
        <v>0</v>
      </c>
      <c r="H645" s="122">
        <v>0</v>
      </c>
      <c r="I645" s="112">
        <v>0</v>
      </c>
      <c r="J645" s="112">
        <v>0</v>
      </c>
      <c r="K645" s="23">
        <f t="shared" si="89"/>
        <v>0</v>
      </c>
      <c r="L645" s="23">
        <f t="shared" si="90"/>
        <v>0</v>
      </c>
      <c r="M645" s="12">
        <f t="shared" si="91"/>
        <v>0</v>
      </c>
      <c r="N645" s="23">
        <f t="shared" si="92"/>
        <v>0</v>
      </c>
      <c r="O645" s="41">
        <f t="shared" si="93"/>
        <v>0</v>
      </c>
      <c r="P645" s="13" t="str">
        <f t="shared" si="94"/>
        <v>NO</v>
      </c>
      <c r="Q645" s="23">
        <f t="shared" si="95"/>
        <v>0</v>
      </c>
      <c r="R645" s="12">
        <f t="shared" si="95"/>
        <v>0</v>
      </c>
    </row>
    <row r="646" spans="2:18">
      <c r="B646" t="str">
        <f t="shared" si="88"/>
        <v>JEREMY ELIAS JUAREZ GUZMAN46292</v>
      </c>
      <c r="C646" t="s">
        <v>225</v>
      </c>
      <c r="D646" s="121">
        <v>46292</v>
      </c>
      <c r="E646" t="s">
        <v>97</v>
      </c>
      <c r="F646" t="s">
        <v>72</v>
      </c>
      <c r="G646" s="122">
        <v>0</v>
      </c>
      <c r="H646" s="122">
        <v>0</v>
      </c>
      <c r="I646" s="112">
        <v>0</v>
      </c>
      <c r="J646" s="112">
        <v>0</v>
      </c>
      <c r="K646" s="23">
        <f t="shared" si="89"/>
        <v>0</v>
      </c>
      <c r="L646" s="23">
        <f t="shared" si="90"/>
        <v>0</v>
      </c>
      <c r="M646" s="12">
        <f t="shared" si="91"/>
        <v>0</v>
      </c>
      <c r="N646" s="23">
        <f t="shared" si="92"/>
        <v>0</v>
      </c>
      <c r="O646" s="41">
        <f t="shared" si="93"/>
        <v>0</v>
      </c>
      <c r="P646" s="13" t="str">
        <f t="shared" si="94"/>
        <v>NO</v>
      </c>
      <c r="Q646" s="23">
        <f t="shared" si="95"/>
        <v>0</v>
      </c>
      <c r="R646" s="12">
        <f t="shared" si="95"/>
        <v>0</v>
      </c>
    </row>
    <row r="647" spans="2:18">
      <c r="B647" t="str">
        <f t="shared" si="88"/>
        <v>JEREMY ELIAS JUAREZ GUZMAN46293</v>
      </c>
      <c r="C647" t="s">
        <v>225</v>
      </c>
      <c r="D647" s="121">
        <v>46293</v>
      </c>
      <c r="E647" t="s">
        <v>98</v>
      </c>
      <c r="F647" t="s">
        <v>35</v>
      </c>
      <c r="G647" s="122">
        <v>0.25</v>
      </c>
      <c r="H647" s="122">
        <v>0.75</v>
      </c>
      <c r="I647" s="112">
        <v>0</v>
      </c>
      <c r="J647" s="112">
        <v>0</v>
      </c>
      <c r="K647" s="23">
        <f t="shared" si="89"/>
        <v>0.25</v>
      </c>
      <c r="L647" s="23">
        <f t="shared" si="90"/>
        <v>0</v>
      </c>
      <c r="M647" s="12">
        <f t="shared" si="91"/>
        <v>0.25</v>
      </c>
      <c r="N647" s="23">
        <f t="shared" si="92"/>
        <v>0.75</v>
      </c>
      <c r="O647" s="41">
        <f t="shared" si="93"/>
        <v>0</v>
      </c>
      <c r="P647" s="13" t="str">
        <f t="shared" si="94"/>
        <v>SI</v>
      </c>
      <c r="Q647" s="23">
        <f t="shared" si="95"/>
        <v>0.25</v>
      </c>
      <c r="R647" s="12">
        <f t="shared" si="95"/>
        <v>0.75</v>
      </c>
    </row>
    <row r="648" spans="2:18">
      <c r="B648" t="str">
        <f t="shared" si="88"/>
        <v>JEREMY ELIAS JUAREZ GUZMAN46294</v>
      </c>
      <c r="C648" t="s">
        <v>225</v>
      </c>
      <c r="D648" s="121">
        <v>46294</v>
      </c>
      <c r="E648" t="s">
        <v>99</v>
      </c>
      <c r="F648" t="s">
        <v>35</v>
      </c>
      <c r="G648" s="122">
        <v>0.25</v>
      </c>
      <c r="H648" s="122">
        <v>0.75</v>
      </c>
      <c r="I648" s="112">
        <v>0</v>
      </c>
      <c r="J648" s="112">
        <v>0</v>
      </c>
      <c r="K648" s="23">
        <f t="shared" si="89"/>
        <v>0.25</v>
      </c>
      <c r="L648" s="23">
        <f t="shared" si="90"/>
        <v>0</v>
      </c>
      <c r="M648" s="12">
        <f t="shared" si="91"/>
        <v>0.25</v>
      </c>
      <c r="N648" s="23">
        <f t="shared" si="92"/>
        <v>0.75</v>
      </c>
      <c r="O648" s="41">
        <f t="shared" si="93"/>
        <v>0</v>
      </c>
      <c r="P648" s="13" t="str">
        <f t="shared" si="94"/>
        <v>SI</v>
      </c>
      <c r="Q648" s="23">
        <f t="shared" si="95"/>
        <v>0.25</v>
      </c>
      <c r="R648" s="12">
        <f t="shared" si="95"/>
        <v>0.75</v>
      </c>
    </row>
    <row r="649" spans="2:18">
      <c r="B649" t="str">
        <f t="shared" si="88"/>
        <v>JEREMY ELIAS JUAREZ GUZMAN46295</v>
      </c>
      <c r="C649" t="s">
        <v>225</v>
      </c>
      <c r="D649" s="121">
        <v>46295</v>
      </c>
      <c r="E649" t="s">
        <v>100</v>
      </c>
      <c r="F649" t="s">
        <v>35</v>
      </c>
      <c r="G649" s="122">
        <v>0.25</v>
      </c>
      <c r="H649" s="122">
        <v>0.75</v>
      </c>
      <c r="I649" s="112">
        <v>0</v>
      </c>
      <c r="J649" s="112">
        <v>0</v>
      </c>
      <c r="K649" s="23">
        <f t="shared" si="89"/>
        <v>0.25</v>
      </c>
      <c r="L649" s="23">
        <f t="shared" si="90"/>
        <v>0</v>
      </c>
      <c r="M649" s="12">
        <f t="shared" si="91"/>
        <v>0.25</v>
      </c>
      <c r="N649" s="23">
        <f t="shared" si="92"/>
        <v>0.75</v>
      </c>
      <c r="O649" s="41">
        <f t="shared" si="93"/>
        <v>0</v>
      </c>
      <c r="P649" s="13" t="str">
        <f t="shared" si="94"/>
        <v>SI</v>
      </c>
      <c r="Q649" s="23">
        <f t="shared" si="95"/>
        <v>0.25</v>
      </c>
      <c r="R649" s="12">
        <f t="shared" si="95"/>
        <v>0.75</v>
      </c>
    </row>
    <row r="650" spans="2:18">
      <c r="B650" t="str">
        <f t="shared" si="88"/>
        <v>JEREMY ELIAS JUAREZ GUZMAN46296</v>
      </c>
      <c r="C650" t="s">
        <v>225</v>
      </c>
      <c r="D650" s="121">
        <v>46296</v>
      </c>
      <c r="E650" t="s">
        <v>101</v>
      </c>
      <c r="F650" t="s">
        <v>35</v>
      </c>
      <c r="G650" s="122">
        <v>0.25</v>
      </c>
      <c r="H650" s="122">
        <v>0.75</v>
      </c>
      <c r="I650" s="112">
        <v>0</v>
      </c>
      <c r="J650" s="112">
        <v>0</v>
      </c>
      <c r="K650" s="23">
        <f t="shared" si="89"/>
        <v>0.25</v>
      </c>
      <c r="L650" s="23">
        <f t="shared" si="90"/>
        <v>0</v>
      </c>
      <c r="M650" s="12">
        <f t="shared" si="91"/>
        <v>0.25</v>
      </c>
      <c r="N650" s="23">
        <f t="shared" si="92"/>
        <v>0.75</v>
      </c>
      <c r="O650" s="41">
        <f t="shared" si="93"/>
        <v>0</v>
      </c>
      <c r="P650" s="13" t="str">
        <f t="shared" si="94"/>
        <v>SI</v>
      </c>
      <c r="Q650" s="23">
        <f t="shared" si="95"/>
        <v>0.25</v>
      </c>
      <c r="R650" s="12">
        <f t="shared" si="95"/>
        <v>0.75</v>
      </c>
    </row>
    <row r="651" spans="2:18">
      <c r="B651" t="str">
        <f t="shared" si="88"/>
        <v>JEREMY ELIAS JUAREZ GUZMAN46297</v>
      </c>
      <c r="C651" t="s">
        <v>225</v>
      </c>
      <c r="D651" s="121">
        <v>46297</v>
      </c>
      <c r="E651" t="s">
        <v>95</v>
      </c>
      <c r="F651" t="s">
        <v>35</v>
      </c>
      <c r="G651" s="122">
        <v>0.25</v>
      </c>
      <c r="H651" s="122">
        <v>0.75</v>
      </c>
      <c r="I651" s="112">
        <v>0</v>
      </c>
      <c r="J651" s="112">
        <v>0</v>
      </c>
      <c r="K651" s="23">
        <f t="shared" si="89"/>
        <v>0.25</v>
      </c>
      <c r="L651" s="23">
        <f t="shared" si="90"/>
        <v>0</v>
      </c>
      <c r="M651" s="12">
        <f t="shared" si="91"/>
        <v>0.25</v>
      </c>
      <c r="N651" s="23">
        <f t="shared" si="92"/>
        <v>0.75</v>
      </c>
      <c r="O651" s="41">
        <f t="shared" si="93"/>
        <v>0</v>
      </c>
      <c r="P651" s="13" t="str">
        <f t="shared" si="94"/>
        <v>SI</v>
      </c>
      <c r="Q651" s="23">
        <f t="shared" si="95"/>
        <v>0.25</v>
      </c>
      <c r="R651" s="12">
        <f t="shared" si="95"/>
        <v>0.75</v>
      </c>
    </row>
    <row r="652" spans="2:18">
      <c r="B652" t="str">
        <f t="shared" si="88"/>
        <v>JEREMY ELIAS JUAREZ GUZMAN46298</v>
      </c>
      <c r="C652" t="s">
        <v>225</v>
      </c>
      <c r="D652" s="121">
        <v>46298</v>
      </c>
      <c r="E652" t="s">
        <v>96</v>
      </c>
      <c r="F652" t="s">
        <v>35</v>
      </c>
      <c r="G652" s="122">
        <v>0.25</v>
      </c>
      <c r="H652" s="122">
        <v>0.58333333333333304</v>
      </c>
      <c r="I652" s="112">
        <v>0</v>
      </c>
      <c r="J652" s="112">
        <v>0</v>
      </c>
      <c r="K652" s="23">
        <f t="shared" si="89"/>
        <v>0.25</v>
      </c>
      <c r="L652" s="23">
        <f t="shared" si="90"/>
        <v>0</v>
      </c>
      <c r="M652" s="12">
        <f t="shared" si="91"/>
        <v>0.25</v>
      </c>
      <c r="N652" s="23">
        <f t="shared" si="92"/>
        <v>0.58333333333333304</v>
      </c>
      <c r="O652" s="41">
        <f t="shared" si="93"/>
        <v>0</v>
      </c>
      <c r="P652" s="13" t="str">
        <f t="shared" si="94"/>
        <v>SI</v>
      </c>
      <c r="Q652" s="23">
        <f t="shared" si="95"/>
        <v>0.25</v>
      </c>
      <c r="R652" s="12">
        <f t="shared" si="95"/>
        <v>0.58333333333333304</v>
      </c>
    </row>
    <row r="653" spans="2:18">
      <c r="B653" t="str">
        <f t="shared" si="88"/>
        <v>JEREMY ELIAS JUAREZ GUZMAN46299</v>
      </c>
      <c r="C653" t="s">
        <v>225</v>
      </c>
      <c r="D653" s="121">
        <v>46299</v>
      </c>
      <c r="E653" t="s">
        <v>97</v>
      </c>
      <c r="F653" t="s">
        <v>72</v>
      </c>
      <c r="G653" s="122">
        <v>0</v>
      </c>
      <c r="H653" s="122">
        <v>0</v>
      </c>
      <c r="I653" s="112">
        <v>0</v>
      </c>
      <c r="J653" s="112">
        <v>0</v>
      </c>
      <c r="K653" s="23">
        <f t="shared" si="89"/>
        <v>0</v>
      </c>
      <c r="L653" s="23">
        <f t="shared" si="90"/>
        <v>0</v>
      </c>
      <c r="M653" s="12">
        <f t="shared" si="91"/>
        <v>0</v>
      </c>
      <c r="N653" s="23">
        <f t="shared" si="92"/>
        <v>0</v>
      </c>
      <c r="O653" s="41">
        <f t="shared" si="93"/>
        <v>0</v>
      </c>
      <c r="P653" s="13" t="str">
        <f t="shared" si="94"/>
        <v>NO</v>
      </c>
      <c r="Q653" s="23">
        <f t="shared" si="95"/>
        <v>0</v>
      </c>
      <c r="R653" s="12">
        <f t="shared" si="95"/>
        <v>0</v>
      </c>
    </row>
    <row r="654" spans="2:18">
      <c r="B654" t="str">
        <f t="shared" si="88"/>
        <v>JOSÈ BRAULIO NAVARRO ARCHILA46279</v>
      </c>
      <c r="C654" t="s">
        <v>264</v>
      </c>
      <c r="D654" s="121">
        <v>46279</v>
      </c>
      <c r="E654" t="s">
        <v>98</v>
      </c>
      <c r="F654" t="s">
        <v>72</v>
      </c>
      <c r="G654" s="122">
        <v>0</v>
      </c>
      <c r="H654" s="122">
        <v>0</v>
      </c>
      <c r="I654" s="112">
        <v>0</v>
      </c>
      <c r="J654" s="112">
        <v>0</v>
      </c>
      <c r="K654" s="23">
        <f t="shared" si="89"/>
        <v>0</v>
      </c>
      <c r="L654" s="23">
        <f t="shared" si="90"/>
        <v>0</v>
      </c>
      <c r="M654" s="12">
        <f t="shared" si="91"/>
        <v>0</v>
      </c>
      <c r="N654" s="23">
        <f t="shared" si="92"/>
        <v>0</v>
      </c>
      <c r="O654" s="41">
        <f t="shared" si="93"/>
        <v>0</v>
      </c>
      <c r="P654" s="13" t="str">
        <f t="shared" si="94"/>
        <v>NO</v>
      </c>
      <c r="Q654" s="23">
        <f t="shared" si="95"/>
        <v>0</v>
      </c>
      <c r="R654" s="12">
        <f t="shared" si="95"/>
        <v>0</v>
      </c>
    </row>
    <row r="655" spans="2:18">
      <c r="B655" t="str">
        <f t="shared" si="88"/>
        <v>JOSÈ BRAULIO NAVARRO ARCHILA46280</v>
      </c>
      <c r="C655" t="s">
        <v>264</v>
      </c>
      <c r="D655" s="121">
        <v>46280</v>
      </c>
      <c r="E655" t="s">
        <v>99</v>
      </c>
      <c r="F655" t="s">
        <v>35</v>
      </c>
      <c r="G655" s="122">
        <v>0.33333333333333298</v>
      </c>
      <c r="H655" s="122">
        <v>0.70833333333333304</v>
      </c>
      <c r="I655" s="112">
        <v>0</v>
      </c>
      <c r="J655" s="112">
        <v>0</v>
      </c>
      <c r="K655" s="23">
        <f t="shared" si="89"/>
        <v>0.33333333333333298</v>
      </c>
      <c r="L655" s="23">
        <f t="shared" si="90"/>
        <v>0</v>
      </c>
      <c r="M655" s="12">
        <f t="shared" si="91"/>
        <v>0.33333333333333298</v>
      </c>
      <c r="N655" s="23">
        <f t="shared" si="92"/>
        <v>0.70833333333333304</v>
      </c>
      <c r="O655" s="41">
        <f t="shared" si="93"/>
        <v>0</v>
      </c>
      <c r="P655" s="13" t="str">
        <f t="shared" si="94"/>
        <v>SI</v>
      </c>
      <c r="Q655" s="23">
        <f t="shared" si="95"/>
        <v>0.33333333333333298</v>
      </c>
      <c r="R655" s="12">
        <f t="shared" si="95"/>
        <v>0.70833333333333304</v>
      </c>
    </row>
    <row r="656" spans="2:18">
      <c r="B656" t="str">
        <f t="shared" si="88"/>
        <v>JOSÈ BRAULIO NAVARRO ARCHILA46281</v>
      </c>
      <c r="C656" t="s">
        <v>264</v>
      </c>
      <c r="D656" s="121">
        <v>46281</v>
      </c>
      <c r="E656" t="s">
        <v>100</v>
      </c>
      <c r="F656" t="s">
        <v>35</v>
      </c>
      <c r="G656" s="122">
        <v>0.29166666666666702</v>
      </c>
      <c r="H656" s="122">
        <v>0.75</v>
      </c>
      <c r="I656" s="112">
        <v>0</v>
      </c>
      <c r="J656" s="112">
        <v>0</v>
      </c>
      <c r="K656" s="23">
        <f t="shared" si="89"/>
        <v>0.29166666666666702</v>
      </c>
      <c r="L656" s="23">
        <f t="shared" si="90"/>
        <v>0</v>
      </c>
      <c r="M656" s="12">
        <f t="shared" si="91"/>
        <v>0.29166666666666702</v>
      </c>
      <c r="N656" s="23">
        <f t="shared" si="92"/>
        <v>0.75</v>
      </c>
      <c r="O656" s="41">
        <f t="shared" si="93"/>
        <v>0</v>
      </c>
      <c r="P656" s="13" t="str">
        <f t="shared" si="94"/>
        <v>SI</v>
      </c>
      <c r="Q656" s="23">
        <f t="shared" si="95"/>
        <v>0.29166666666666702</v>
      </c>
      <c r="R656" s="12">
        <f t="shared" si="95"/>
        <v>0.75</v>
      </c>
    </row>
    <row r="657" spans="2:18">
      <c r="B657" t="str">
        <f t="shared" si="88"/>
        <v>JOSÈ BRAULIO NAVARRO ARCHILA46282</v>
      </c>
      <c r="C657" t="s">
        <v>264</v>
      </c>
      <c r="D657" s="121">
        <v>46282</v>
      </c>
      <c r="E657" t="s">
        <v>101</v>
      </c>
      <c r="F657" t="s">
        <v>35</v>
      </c>
      <c r="G657" s="122">
        <v>0.29166666666666702</v>
      </c>
      <c r="H657" s="122">
        <v>0.75</v>
      </c>
      <c r="I657" s="112">
        <v>0</v>
      </c>
      <c r="J657" s="112">
        <v>0</v>
      </c>
      <c r="K657" s="23">
        <f t="shared" si="89"/>
        <v>0.29166666666666702</v>
      </c>
      <c r="L657" s="23">
        <f t="shared" si="90"/>
        <v>0</v>
      </c>
      <c r="M657" s="12">
        <f t="shared" si="91"/>
        <v>0.29166666666666702</v>
      </c>
      <c r="N657" s="23">
        <f t="shared" si="92"/>
        <v>0.75</v>
      </c>
      <c r="O657" s="41">
        <f t="shared" si="93"/>
        <v>0</v>
      </c>
      <c r="P657" s="13" t="str">
        <f t="shared" si="94"/>
        <v>SI</v>
      </c>
      <c r="Q657" s="23">
        <f t="shared" si="95"/>
        <v>0.29166666666666702</v>
      </c>
      <c r="R657" s="12">
        <f t="shared" si="95"/>
        <v>0.75</v>
      </c>
    </row>
    <row r="658" spans="2:18">
      <c r="B658" t="str">
        <f t="shared" si="88"/>
        <v>JOSÈ BRAULIO NAVARRO ARCHILA46283</v>
      </c>
      <c r="C658" t="s">
        <v>264</v>
      </c>
      <c r="D658" s="121">
        <v>46283</v>
      </c>
      <c r="E658" t="s">
        <v>95</v>
      </c>
      <c r="F658" t="s">
        <v>35</v>
      </c>
      <c r="G658" s="122">
        <v>0.29166666666666702</v>
      </c>
      <c r="H658" s="122">
        <v>0.75</v>
      </c>
      <c r="I658" s="112">
        <v>0</v>
      </c>
      <c r="J658" s="112">
        <v>0</v>
      </c>
      <c r="K658" s="23">
        <f t="shared" si="89"/>
        <v>0.29166666666666702</v>
      </c>
      <c r="L658" s="23">
        <f t="shared" si="90"/>
        <v>0</v>
      </c>
      <c r="M658" s="12">
        <f t="shared" si="91"/>
        <v>0.29166666666666702</v>
      </c>
      <c r="N658" s="23">
        <f t="shared" si="92"/>
        <v>0.75</v>
      </c>
      <c r="O658" s="41">
        <f t="shared" si="93"/>
        <v>0</v>
      </c>
      <c r="P658" s="13" t="str">
        <f t="shared" si="94"/>
        <v>SI</v>
      </c>
      <c r="Q658" s="23">
        <f t="shared" si="95"/>
        <v>0.29166666666666702</v>
      </c>
      <c r="R658" s="12">
        <f t="shared" si="95"/>
        <v>0.75</v>
      </c>
    </row>
    <row r="659" spans="2:18">
      <c r="B659" t="str">
        <f t="shared" si="88"/>
        <v>JOSÈ BRAULIO NAVARRO ARCHILA46284</v>
      </c>
      <c r="C659" t="s">
        <v>264</v>
      </c>
      <c r="D659" s="121">
        <v>46284</v>
      </c>
      <c r="E659" t="s">
        <v>96</v>
      </c>
      <c r="F659" t="s">
        <v>35</v>
      </c>
      <c r="G659" s="122">
        <v>0.29166666666666702</v>
      </c>
      <c r="H659" s="122">
        <v>0.58333333333333304</v>
      </c>
      <c r="I659" s="112">
        <v>0</v>
      </c>
      <c r="J659" s="112">
        <v>0</v>
      </c>
      <c r="K659" s="23">
        <f t="shared" si="89"/>
        <v>0.29166666666666702</v>
      </c>
      <c r="L659" s="23">
        <f t="shared" si="90"/>
        <v>0</v>
      </c>
      <c r="M659" s="12">
        <f t="shared" si="91"/>
        <v>0.29166666666666702</v>
      </c>
      <c r="N659" s="23">
        <f t="shared" si="92"/>
        <v>0.58333333333333304</v>
      </c>
      <c r="O659" s="41">
        <f t="shared" si="93"/>
        <v>0</v>
      </c>
      <c r="P659" s="13" t="str">
        <f t="shared" si="94"/>
        <v>SI</v>
      </c>
      <c r="Q659" s="23">
        <f t="shared" si="95"/>
        <v>0.29166666666666702</v>
      </c>
      <c r="R659" s="12">
        <f t="shared" si="95"/>
        <v>0.58333333333333304</v>
      </c>
    </row>
    <row r="660" spans="2:18">
      <c r="B660" t="str">
        <f t="shared" si="88"/>
        <v>JOSÈ BRAULIO NAVARRO ARCHILA46285</v>
      </c>
      <c r="C660" t="s">
        <v>264</v>
      </c>
      <c r="D660" s="121">
        <v>46285</v>
      </c>
      <c r="E660" t="s">
        <v>97</v>
      </c>
      <c r="F660" t="s">
        <v>72</v>
      </c>
      <c r="G660" s="122">
        <v>0</v>
      </c>
      <c r="H660" s="122">
        <v>0</v>
      </c>
      <c r="I660" s="112">
        <v>0</v>
      </c>
      <c r="J660" s="112">
        <v>0</v>
      </c>
      <c r="K660" s="23">
        <f t="shared" si="89"/>
        <v>0</v>
      </c>
      <c r="L660" s="23">
        <f t="shared" si="90"/>
        <v>0</v>
      </c>
      <c r="M660" s="12">
        <f t="shared" si="91"/>
        <v>0</v>
      </c>
      <c r="N660" s="23">
        <f t="shared" si="92"/>
        <v>0</v>
      </c>
      <c r="O660" s="41">
        <f t="shared" si="93"/>
        <v>0</v>
      </c>
      <c r="P660" s="13" t="str">
        <f t="shared" si="94"/>
        <v>NO</v>
      </c>
      <c r="Q660" s="23">
        <f t="shared" si="95"/>
        <v>0</v>
      </c>
      <c r="R660" s="12">
        <f t="shared" si="95"/>
        <v>0</v>
      </c>
    </row>
    <row r="661" spans="2:18">
      <c r="B661" t="str">
        <f t="shared" si="88"/>
        <v>JOSÈ BRAULIO NAVARRO ARCHILA46286</v>
      </c>
      <c r="C661" t="s">
        <v>264</v>
      </c>
      <c r="D661" s="121">
        <v>46286</v>
      </c>
      <c r="E661" t="s">
        <v>98</v>
      </c>
      <c r="F661" t="s">
        <v>36</v>
      </c>
      <c r="G661" s="122">
        <v>0.79166666666666696</v>
      </c>
      <c r="H661" s="122">
        <v>0.20833333333333301</v>
      </c>
      <c r="I661" s="112">
        <v>0</v>
      </c>
      <c r="J661" s="112">
        <v>0</v>
      </c>
      <c r="K661" s="23">
        <f t="shared" si="89"/>
        <v>0.79166666666666696</v>
      </c>
      <c r="L661" s="23">
        <f t="shared" si="90"/>
        <v>0</v>
      </c>
      <c r="M661" s="12">
        <f t="shared" si="91"/>
        <v>0.79166666666666696</v>
      </c>
      <c r="N661" s="23">
        <f t="shared" si="92"/>
        <v>0.20833333333333301</v>
      </c>
      <c r="O661" s="41">
        <f t="shared" si="93"/>
        <v>0</v>
      </c>
      <c r="P661" s="13" t="str">
        <f t="shared" si="94"/>
        <v>SI</v>
      </c>
      <c r="Q661" s="23">
        <f t="shared" si="95"/>
        <v>0.79166666666666696</v>
      </c>
      <c r="R661" s="12">
        <f t="shared" si="95"/>
        <v>0.20833333333333301</v>
      </c>
    </row>
    <row r="662" spans="2:18">
      <c r="B662" t="str">
        <f t="shared" si="88"/>
        <v>JOSÈ BRAULIO NAVARRO ARCHILA46287</v>
      </c>
      <c r="C662" t="s">
        <v>264</v>
      </c>
      <c r="D662" s="121">
        <v>46287</v>
      </c>
      <c r="E662" t="s">
        <v>99</v>
      </c>
      <c r="F662" t="s">
        <v>36</v>
      </c>
      <c r="G662" s="122">
        <v>0.79166666666666696</v>
      </c>
      <c r="H662" s="122">
        <v>0.20833333333333301</v>
      </c>
      <c r="I662" s="112">
        <v>0</v>
      </c>
      <c r="J662" s="112">
        <v>0</v>
      </c>
      <c r="K662" s="23">
        <f t="shared" si="89"/>
        <v>0.79166666666666696</v>
      </c>
      <c r="L662" s="23">
        <f t="shared" si="90"/>
        <v>0</v>
      </c>
      <c r="M662" s="12">
        <f t="shared" si="91"/>
        <v>0.79166666666666696</v>
      </c>
      <c r="N662" s="23">
        <f t="shared" si="92"/>
        <v>0.20833333333333301</v>
      </c>
      <c r="O662" s="41">
        <f t="shared" si="93"/>
        <v>0</v>
      </c>
      <c r="P662" s="13" t="str">
        <f t="shared" si="94"/>
        <v>SI</v>
      </c>
      <c r="Q662" s="23">
        <f t="shared" si="95"/>
        <v>0.79166666666666696</v>
      </c>
      <c r="R662" s="12">
        <f t="shared" si="95"/>
        <v>0.20833333333333301</v>
      </c>
    </row>
    <row r="663" spans="2:18">
      <c r="B663" t="str">
        <f t="shared" si="88"/>
        <v>JOSÈ BRAULIO NAVARRO ARCHILA46288</v>
      </c>
      <c r="C663" t="s">
        <v>264</v>
      </c>
      <c r="D663" s="121">
        <v>46288</v>
      </c>
      <c r="E663" t="s">
        <v>100</v>
      </c>
      <c r="F663" t="s">
        <v>36</v>
      </c>
      <c r="G663" s="122">
        <v>0.79166666666666696</v>
      </c>
      <c r="H663" s="122">
        <v>0.20833333333333301</v>
      </c>
      <c r="I663" s="112">
        <v>0</v>
      </c>
      <c r="J663" s="112">
        <v>0</v>
      </c>
      <c r="K663" s="23">
        <f t="shared" si="89"/>
        <v>0.79166666666666696</v>
      </c>
      <c r="L663" s="23">
        <f t="shared" si="90"/>
        <v>0</v>
      </c>
      <c r="M663" s="12">
        <f t="shared" si="91"/>
        <v>0.79166666666666696</v>
      </c>
      <c r="N663" s="23">
        <f t="shared" si="92"/>
        <v>0.20833333333333301</v>
      </c>
      <c r="O663" s="41">
        <f t="shared" si="93"/>
        <v>0</v>
      </c>
      <c r="P663" s="13" t="str">
        <f t="shared" si="94"/>
        <v>SI</v>
      </c>
      <c r="Q663" s="23">
        <f t="shared" si="95"/>
        <v>0.79166666666666696</v>
      </c>
      <c r="R663" s="12">
        <f t="shared" si="95"/>
        <v>0.20833333333333301</v>
      </c>
    </row>
    <row r="664" spans="2:18">
      <c r="B664" t="str">
        <f t="shared" si="88"/>
        <v>JOSÈ BRAULIO NAVARRO ARCHILA46289</v>
      </c>
      <c r="C664" t="s">
        <v>264</v>
      </c>
      <c r="D664" s="121">
        <v>46289</v>
      </c>
      <c r="E664" t="s">
        <v>101</v>
      </c>
      <c r="F664" t="s">
        <v>36</v>
      </c>
      <c r="G664" s="122">
        <v>0.79166666666666696</v>
      </c>
      <c r="H664" s="122">
        <v>0.20833333333333301</v>
      </c>
      <c r="I664" s="112">
        <v>0</v>
      </c>
      <c r="J664" s="112">
        <v>0</v>
      </c>
      <c r="K664" s="23">
        <f t="shared" si="89"/>
        <v>0.79166666666666696</v>
      </c>
      <c r="L664" s="23">
        <f t="shared" si="90"/>
        <v>0</v>
      </c>
      <c r="M664" s="12">
        <f t="shared" si="91"/>
        <v>0.79166666666666696</v>
      </c>
      <c r="N664" s="23">
        <f t="shared" si="92"/>
        <v>0.20833333333333301</v>
      </c>
      <c r="O664" s="41">
        <f t="shared" si="93"/>
        <v>0</v>
      </c>
      <c r="P664" s="13" t="str">
        <f t="shared" si="94"/>
        <v>SI</v>
      </c>
      <c r="Q664" s="23">
        <f t="shared" si="95"/>
        <v>0.79166666666666696</v>
      </c>
      <c r="R664" s="12">
        <f t="shared" si="95"/>
        <v>0.20833333333333301</v>
      </c>
    </row>
    <row r="665" spans="2:18">
      <c r="B665" t="str">
        <f t="shared" si="88"/>
        <v>JOSÈ BRAULIO NAVARRO ARCHILA46290</v>
      </c>
      <c r="C665" t="s">
        <v>264</v>
      </c>
      <c r="D665" s="121">
        <v>46290</v>
      </c>
      <c r="E665" t="s">
        <v>95</v>
      </c>
      <c r="F665" t="s">
        <v>36</v>
      </c>
      <c r="G665" s="122">
        <v>0.79166666666666696</v>
      </c>
      <c r="H665" s="122">
        <v>0.20833333333333301</v>
      </c>
      <c r="I665" s="112">
        <v>0</v>
      </c>
      <c r="J665" s="112">
        <v>0</v>
      </c>
      <c r="K665" s="23">
        <f t="shared" si="89"/>
        <v>0.79166666666666696</v>
      </c>
      <c r="L665" s="23">
        <f t="shared" si="90"/>
        <v>0</v>
      </c>
      <c r="M665" s="12">
        <f t="shared" si="91"/>
        <v>0.79166666666666696</v>
      </c>
      <c r="N665" s="23">
        <f t="shared" si="92"/>
        <v>0.20833333333333301</v>
      </c>
      <c r="O665" s="41">
        <f t="shared" si="93"/>
        <v>0</v>
      </c>
      <c r="P665" s="13" t="str">
        <f t="shared" si="94"/>
        <v>SI</v>
      </c>
      <c r="Q665" s="23">
        <f t="shared" si="95"/>
        <v>0.79166666666666696</v>
      </c>
      <c r="R665" s="12">
        <f t="shared" si="95"/>
        <v>0.20833333333333301</v>
      </c>
    </row>
    <row r="666" spans="2:18">
      <c r="B666" t="str">
        <f t="shared" si="88"/>
        <v>JOSÈ BRAULIO NAVARRO ARCHILA46291</v>
      </c>
      <c r="C666" t="s">
        <v>264</v>
      </c>
      <c r="D666" s="121">
        <v>46291</v>
      </c>
      <c r="E666" t="s">
        <v>96</v>
      </c>
      <c r="F666" t="s">
        <v>72</v>
      </c>
      <c r="G666" s="122">
        <v>0</v>
      </c>
      <c r="H666" s="122">
        <v>0</v>
      </c>
      <c r="I666" s="112">
        <v>0</v>
      </c>
      <c r="J666" s="112">
        <v>0</v>
      </c>
      <c r="K666" s="23">
        <f t="shared" si="89"/>
        <v>0</v>
      </c>
      <c r="L666" s="23">
        <f t="shared" si="90"/>
        <v>0</v>
      </c>
      <c r="M666" s="12">
        <f t="shared" si="91"/>
        <v>0</v>
      </c>
      <c r="N666" s="23">
        <f t="shared" si="92"/>
        <v>0</v>
      </c>
      <c r="O666" s="41">
        <f t="shared" si="93"/>
        <v>0</v>
      </c>
      <c r="P666" s="13" t="str">
        <f t="shared" si="94"/>
        <v>NO</v>
      </c>
      <c r="Q666" s="23">
        <f t="shared" si="95"/>
        <v>0</v>
      </c>
      <c r="R666" s="12">
        <f t="shared" si="95"/>
        <v>0</v>
      </c>
    </row>
    <row r="667" spans="2:18">
      <c r="B667" t="str">
        <f t="shared" si="88"/>
        <v>JOSÈ BRAULIO NAVARRO ARCHILA46292</v>
      </c>
      <c r="C667" t="s">
        <v>264</v>
      </c>
      <c r="D667" s="121">
        <v>46292</v>
      </c>
      <c r="E667" t="s">
        <v>97</v>
      </c>
      <c r="F667" t="s">
        <v>72</v>
      </c>
      <c r="G667" s="122">
        <v>0</v>
      </c>
      <c r="H667" s="122">
        <v>0</v>
      </c>
      <c r="I667" s="112">
        <v>0</v>
      </c>
      <c r="J667" s="112">
        <v>0</v>
      </c>
      <c r="K667" s="23">
        <f t="shared" si="89"/>
        <v>0</v>
      </c>
      <c r="L667" s="23">
        <f t="shared" si="90"/>
        <v>0</v>
      </c>
      <c r="M667" s="12">
        <f t="shared" si="91"/>
        <v>0</v>
      </c>
      <c r="N667" s="23">
        <f t="shared" si="92"/>
        <v>0</v>
      </c>
      <c r="O667" s="41">
        <f t="shared" si="93"/>
        <v>0</v>
      </c>
      <c r="P667" s="13" t="str">
        <f t="shared" si="94"/>
        <v>NO</v>
      </c>
      <c r="Q667" s="23">
        <f t="shared" si="95"/>
        <v>0</v>
      </c>
      <c r="R667" s="12">
        <f t="shared" si="95"/>
        <v>0</v>
      </c>
    </row>
    <row r="668" spans="2:18">
      <c r="B668" t="str">
        <f t="shared" si="88"/>
        <v>JOSÈ BRAULIO NAVARRO ARCHILA46293</v>
      </c>
      <c r="C668" t="s">
        <v>264</v>
      </c>
      <c r="D668" s="121">
        <v>46293</v>
      </c>
      <c r="E668" t="s">
        <v>98</v>
      </c>
      <c r="F668" t="s">
        <v>36</v>
      </c>
      <c r="G668" s="122">
        <v>0.79166666666666696</v>
      </c>
      <c r="H668" s="122">
        <v>0.20833333333333301</v>
      </c>
      <c r="I668" s="112">
        <v>0</v>
      </c>
      <c r="J668" s="112">
        <v>0</v>
      </c>
      <c r="K668" s="23">
        <f t="shared" si="89"/>
        <v>0.79166666666666696</v>
      </c>
      <c r="L668" s="23">
        <f t="shared" si="90"/>
        <v>0</v>
      </c>
      <c r="M668" s="12">
        <f t="shared" si="91"/>
        <v>0.79166666666666696</v>
      </c>
      <c r="N668" s="23">
        <f t="shared" si="92"/>
        <v>0.20833333333333301</v>
      </c>
      <c r="O668" s="41">
        <f t="shared" si="93"/>
        <v>0</v>
      </c>
      <c r="P668" s="13" t="str">
        <f t="shared" si="94"/>
        <v>SI</v>
      </c>
      <c r="Q668" s="23">
        <f t="shared" si="95"/>
        <v>0.79166666666666696</v>
      </c>
      <c r="R668" s="12">
        <f t="shared" si="95"/>
        <v>0.20833333333333301</v>
      </c>
    </row>
    <row r="669" spans="2:18">
      <c r="B669" t="str">
        <f t="shared" si="88"/>
        <v>JOSÈ BRAULIO NAVARRO ARCHILA46294</v>
      </c>
      <c r="C669" t="s">
        <v>264</v>
      </c>
      <c r="D669" s="121">
        <v>46294</v>
      </c>
      <c r="E669" t="s">
        <v>99</v>
      </c>
      <c r="F669" t="s">
        <v>36</v>
      </c>
      <c r="G669" s="122">
        <v>0.79166666666666696</v>
      </c>
      <c r="H669" s="122">
        <v>0.20833333333333301</v>
      </c>
      <c r="I669" s="112">
        <v>0</v>
      </c>
      <c r="J669" s="112">
        <v>0</v>
      </c>
      <c r="K669" s="23">
        <f t="shared" si="89"/>
        <v>0.79166666666666696</v>
      </c>
      <c r="L669" s="23">
        <f t="shared" si="90"/>
        <v>0</v>
      </c>
      <c r="M669" s="12">
        <f t="shared" si="91"/>
        <v>0.79166666666666696</v>
      </c>
      <c r="N669" s="23">
        <f t="shared" si="92"/>
        <v>0.20833333333333301</v>
      </c>
      <c r="O669" s="41">
        <f t="shared" si="93"/>
        <v>0</v>
      </c>
      <c r="P669" s="13" t="str">
        <f t="shared" si="94"/>
        <v>SI</v>
      </c>
      <c r="Q669" s="23">
        <f t="shared" si="95"/>
        <v>0.79166666666666696</v>
      </c>
      <c r="R669" s="12">
        <f t="shared" si="95"/>
        <v>0.20833333333333301</v>
      </c>
    </row>
    <row r="670" spans="2:18">
      <c r="B670" t="str">
        <f t="shared" si="88"/>
        <v>JOSÈ BRAULIO NAVARRO ARCHILA46295</v>
      </c>
      <c r="C670" t="s">
        <v>264</v>
      </c>
      <c r="D670" s="121">
        <v>46295</v>
      </c>
      <c r="E670" t="s">
        <v>100</v>
      </c>
      <c r="F670" t="s">
        <v>36</v>
      </c>
      <c r="G670" s="122">
        <v>0.79166666666666696</v>
      </c>
      <c r="H670" s="122">
        <v>0.20833333333333301</v>
      </c>
      <c r="I670" s="112">
        <v>0</v>
      </c>
      <c r="J670" s="112">
        <v>0</v>
      </c>
      <c r="K670" s="23">
        <f t="shared" si="89"/>
        <v>0.79166666666666696</v>
      </c>
      <c r="L670" s="23">
        <f t="shared" si="90"/>
        <v>0</v>
      </c>
      <c r="M670" s="12">
        <f t="shared" si="91"/>
        <v>0.79166666666666696</v>
      </c>
      <c r="N670" s="23">
        <f t="shared" si="92"/>
        <v>0.20833333333333301</v>
      </c>
      <c r="O670" s="41">
        <f t="shared" si="93"/>
        <v>0</v>
      </c>
      <c r="P670" s="13" t="str">
        <f t="shared" si="94"/>
        <v>SI</v>
      </c>
      <c r="Q670" s="23">
        <f t="shared" si="95"/>
        <v>0.79166666666666696</v>
      </c>
      <c r="R670" s="12">
        <f t="shared" si="95"/>
        <v>0.20833333333333301</v>
      </c>
    </row>
    <row r="671" spans="2:18">
      <c r="B671" t="str">
        <f t="shared" si="88"/>
        <v>JOSÈ BRAULIO NAVARRO ARCHILA46296</v>
      </c>
      <c r="C671" t="s">
        <v>264</v>
      </c>
      <c r="D671" s="121">
        <v>46296</v>
      </c>
      <c r="E671" t="s">
        <v>101</v>
      </c>
      <c r="F671" t="s">
        <v>36</v>
      </c>
      <c r="G671" s="122">
        <v>0.79166666666666696</v>
      </c>
      <c r="H671" s="122">
        <v>0.20833333333333301</v>
      </c>
      <c r="I671" s="112">
        <v>0</v>
      </c>
      <c r="J671" s="112">
        <v>0</v>
      </c>
      <c r="K671" s="23">
        <f t="shared" si="89"/>
        <v>0.79166666666666696</v>
      </c>
      <c r="L671" s="23">
        <f t="shared" si="90"/>
        <v>0</v>
      </c>
      <c r="M671" s="12">
        <f t="shared" si="91"/>
        <v>0.79166666666666696</v>
      </c>
      <c r="N671" s="23">
        <f t="shared" si="92"/>
        <v>0.20833333333333301</v>
      </c>
      <c r="O671" s="41">
        <f t="shared" si="93"/>
        <v>0</v>
      </c>
      <c r="P671" s="13" t="str">
        <f t="shared" si="94"/>
        <v>SI</v>
      </c>
      <c r="Q671" s="23">
        <f t="shared" si="95"/>
        <v>0.79166666666666696</v>
      </c>
      <c r="R671" s="12">
        <f t="shared" si="95"/>
        <v>0.20833333333333301</v>
      </c>
    </row>
    <row r="672" spans="2:18">
      <c r="B672" t="str">
        <f t="shared" si="88"/>
        <v>JOSÈ BRAULIO NAVARRO ARCHILA46297</v>
      </c>
      <c r="C672" t="s">
        <v>264</v>
      </c>
      <c r="D672" s="121">
        <v>46297</v>
      </c>
      <c r="E672" t="s">
        <v>95</v>
      </c>
      <c r="F672" t="s">
        <v>36</v>
      </c>
      <c r="G672" s="122">
        <v>0.79166666666666696</v>
      </c>
      <c r="H672" s="122">
        <v>0.20833333333333301</v>
      </c>
      <c r="I672" s="112">
        <v>0</v>
      </c>
      <c r="J672" s="112">
        <v>0</v>
      </c>
      <c r="K672" s="23">
        <f t="shared" si="89"/>
        <v>0.79166666666666696</v>
      </c>
      <c r="L672" s="23">
        <f t="shared" si="90"/>
        <v>0</v>
      </c>
      <c r="M672" s="12">
        <f t="shared" si="91"/>
        <v>0.79166666666666696</v>
      </c>
      <c r="N672" s="23">
        <f t="shared" si="92"/>
        <v>0.20833333333333301</v>
      </c>
      <c r="O672" s="41">
        <f t="shared" si="93"/>
        <v>0</v>
      </c>
      <c r="P672" s="13" t="str">
        <f t="shared" si="94"/>
        <v>SI</v>
      </c>
      <c r="Q672" s="23">
        <f t="shared" si="95"/>
        <v>0.79166666666666696</v>
      </c>
      <c r="R672" s="12">
        <f t="shared" si="95"/>
        <v>0.20833333333333301</v>
      </c>
    </row>
    <row r="673" spans="2:18">
      <c r="B673" t="str">
        <f t="shared" si="88"/>
        <v>JOSÈ BRAULIO NAVARRO ARCHILA46298</v>
      </c>
      <c r="C673" t="s">
        <v>264</v>
      </c>
      <c r="D673" s="121">
        <v>46298</v>
      </c>
      <c r="E673" t="s">
        <v>96</v>
      </c>
      <c r="F673" t="s">
        <v>72</v>
      </c>
      <c r="G673" s="122">
        <v>0</v>
      </c>
      <c r="H673" s="122">
        <v>0</v>
      </c>
      <c r="I673" s="112">
        <v>0</v>
      </c>
      <c r="J673" s="112">
        <v>0</v>
      </c>
      <c r="K673" s="23">
        <f t="shared" si="89"/>
        <v>0</v>
      </c>
      <c r="L673" s="23">
        <f t="shared" si="90"/>
        <v>0</v>
      </c>
      <c r="M673" s="12">
        <f t="shared" si="91"/>
        <v>0</v>
      </c>
      <c r="N673" s="23">
        <f t="shared" si="92"/>
        <v>0</v>
      </c>
      <c r="O673" s="41">
        <f t="shared" si="93"/>
        <v>0</v>
      </c>
      <c r="P673" s="13" t="str">
        <f t="shared" si="94"/>
        <v>NO</v>
      </c>
      <c r="Q673" s="23">
        <f t="shared" si="95"/>
        <v>0</v>
      </c>
      <c r="R673" s="12">
        <f t="shared" si="95"/>
        <v>0</v>
      </c>
    </row>
    <row r="674" spans="2:18">
      <c r="B674" t="str">
        <f t="shared" si="88"/>
        <v>JOSÈ BRAULIO NAVARRO ARCHILA46299</v>
      </c>
      <c r="C674" t="s">
        <v>264</v>
      </c>
      <c r="D674" s="121">
        <v>46299</v>
      </c>
      <c r="E674" t="s">
        <v>97</v>
      </c>
      <c r="F674" t="s">
        <v>72</v>
      </c>
      <c r="G674" s="122">
        <v>0</v>
      </c>
      <c r="H674" s="122">
        <v>0</v>
      </c>
      <c r="I674" s="112">
        <v>0</v>
      </c>
      <c r="J674" s="112">
        <v>0</v>
      </c>
      <c r="K674" s="23">
        <f t="shared" si="89"/>
        <v>0</v>
      </c>
      <c r="L674" s="23">
        <f t="shared" si="90"/>
        <v>0</v>
      </c>
      <c r="M674" s="12">
        <f t="shared" si="91"/>
        <v>0</v>
      </c>
      <c r="N674" s="23">
        <f t="shared" si="92"/>
        <v>0</v>
      </c>
      <c r="O674" s="41">
        <f t="shared" si="93"/>
        <v>0</v>
      </c>
      <c r="P674" s="13" t="str">
        <f t="shared" si="94"/>
        <v>NO</v>
      </c>
      <c r="Q674" s="23">
        <f t="shared" si="95"/>
        <v>0</v>
      </c>
      <c r="R674" s="12">
        <f t="shared" si="95"/>
        <v>0</v>
      </c>
    </row>
    <row r="675" spans="2:18">
      <c r="B675" t="str">
        <f t="shared" si="88"/>
        <v>José Miguel Ronquillo Pineda46279</v>
      </c>
      <c r="C675" t="s">
        <v>226</v>
      </c>
      <c r="D675" s="121">
        <v>46279</v>
      </c>
      <c r="E675" t="s">
        <v>98</v>
      </c>
      <c r="F675" t="s">
        <v>72</v>
      </c>
      <c r="G675" s="122">
        <v>0</v>
      </c>
      <c r="H675" s="122">
        <v>0</v>
      </c>
      <c r="I675" s="112">
        <v>0</v>
      </c>
      <c r="J675" s="112">
        <v>0</v>
      </c>
      <c r="K675" s="23">
        <f t="shared" si="89"/>
        <v>0</v>
      </c>
      <c r="L675" s="23">
        <f t="shared" si="90"/>
        <v>0</v>
      </c>
      <c r="M675" s="12">
        <f t="shared" si="91"/>
        <v>0</v>
      </c>
      <c r="N675" s="23">
        <f t="shared" si="92"/>
        <v>0</v>
      </c>
      <c r="O675" s="41">
        <f t="shared" si="93"/>
        <v>0</v>
      </c>
      <c r="P675" s="13" t="str">
        <f t="shared" si="94"/>
        <v>NO</v>
      </c>
      <c r="Q675" s="23">
        <f t="shared" si="95"/>
        <v>0</v>
      </c>
      <c r="R675" s="12">
        <f t="shared" si="95"/>
        <v>0</v>
      </c>
    </row>
    <row r="676" spans="2:18">
      <c r="B676" t="str">
        <f t="shared" si="88"/>
        <v>José Miguel Ronquillo Pineda46280</v>
      </c>
      <c r="C676" t="s">
        <v>226</v>
      </c>
      <c r="D676" s="121">
        <v>46280</v>
      </c>
      <c r="E676" t="s">
        <v>99</v>
      </c>
      <c r="F676" t="s">
        <v>35</v>
      </c>
      <c r="G676" s="122">
        <v>0.33333333333333298</v>
      </c>
      <c r="H676" s="122">
        <v>0.70833333333333304</v>
      </c>
      <c r="I676" s="112">
        <v>0</v>
      </c>
      <c r="J676" s="112">
        <v>0</v>
      </c>
      <c r="K676" s="23">
        <f t="shared" si="89"/>
        <v>0.33333333333333298</v>
      </c>
      <c r="L676" s="23">
        <f t="shared" si="90"/>
        <v>0</v>
      </c>
      <c r="M676" s="12">
        <f t="shared" si="91"/>
        <v>0.33333333333333298</v>
      </c>
      <c r="N676" s="23">
        <f t="shared" si="92"/>
        <v>0.70833333333333304</v>
      </c>
      <c r="O676" s="41">
        <f t="shared" si="93"/>
        <v>0</v>
      </c>
      <c r="P676" s="13" t="str">
        <f t="shared" si="94"/>
        <v>SI</v>
      </c>
      <c r="Q676" s="23">
        <f t="shared" si="95"/>
        <v>0.33333333333333298</v>
      </c>
      <c r="R676" s="12">
        <f t="shared" si="95"/>
        <v>0.70833333333333304</v>
      </c>
    </row>
    <row r="677" spans="2:18">
      <c r="B677" t="str">
        <f t="shared" si="88"/>
        <v>José Miguel Ronquillo Pineda46281</v>
      </c>
      <c r="C677" t="s">
        <v>226</v>
      </c>
      <c r="D677" s="121">
        <v>46281</v>
      </c>
      <c r="E677" t="s">
        <v>100</v>
      </c>
      <c r="F677" t="s">
        <v>35</v>
      </c>
      <c r="G677" s="122">
        <v>0.25</v>
      </c>
      <c r="H677" s="122">
        <v>0.75</v>
      </c>
      <c r="I677" s="112">
        <v>0</v>
      </c>
      <c r="J677" s="112">
        <v>0</v>
      </c>
      <c r="K677" s="23">
        <f t="shared" si="89"/>
        <v>0.25</v>
      </c>
      <c r="L677" s="23">
        <f t="shared" si="90"/>
        <v>0</v>
      </c>
      <c r="M677" s="12">
        <f t="shared" si="91"/>
        <v>0.25</v>
      </c>
      <c r="N677" s="23">
        <f t="shared" si="92"/>
        <v>0.75</v>
      </c>
      <c r="O677" s="41">
        <f t="shared" si="93"/>
        <v>0</v>
      </c>
      <c r="P677" s="13" t="str">
        <f t="shared" si="94"/>
        <v>SI</v>
      </c>
      <c r="Q677" s="23">
        <f t="shared" si="95"/>
        <v>0.25</v>
      </c>
      <c r="R677" s="12">
        <f t="shared" si="95"/>
        <v>0.75</v>
      </c>
    </row>
    <row r="678" spans="2:18">
      <c r="B678" t="str">
        <f t="shared" si="88"/>
        <v>José Miguel Ronquillo Pineda46282</v>
      </c>
      <c r="C678" t="s">
        <v>226</v>
      </c>
      <c r="D678" s="121">
        <v>46282</v>
      </c>
      <c r="E678" t="s">
        <v>101</v>
      </c>
      <c r="F678" t="s">
        <v>35</v>
      </c>
      <c r="G678" s="122">
        <v>0.25</v>
      </c>
      <c r="H678" s="122">
        <v>0.75</v>
      </c>
      <c r="I678" s="112">
        <v>0</v>
      </c>
      <c r="J678" s="112">
        <v>0</v>
      </c>
      <c r="K678" s="23">
        <f t="shared" si="89"/>
        <v>0.25</v>
      </c>
      <c r="L678" s="23">
        <f t="shared" si="90"/>
        <v>0</v>
      </c>
      <c r="M678" s="12">
        <f t="shared" si="91"/>
        <v>0.25</v>
      </c>
      <c r="N678" s="23">
        <f t="shared" si="92"/>
        <v>0.75</v>
      </c>
      <c r="O678" s="41">
        <f t="shared" si="93"/>
        <v>0</v>
      </c>
      <c r="P678" s="13" t="str">
        <f t="shared" si="94"/>
        <v>SI</v>
      </c>
      <c r="Q678" s="23">
        <f t="shared" si="95"/>
        <v>0.25</v>
      </c>
      <c r="R678" s="12">
        <f t="shared" si="95"/>
        <v>0.75</v>
      </c>
    </row>
    <row r="679" spans="2:18">
      <c r="B679" t="str">
        <f t="shared" si="88"/>
        <v>José Miguel Ronquillo Pineda46283</v>
      </c>
      <c r="C679" t="s">
        <v>226</v>
      </c>
      <c r="D679" s="121">
        <v>46283</v>
      </c>
      <c r="E679" t="s">
        <v>95</v>
      </c>
      <c r="F679" t="s">
        <v>35</v>
      </c>
      <c r="G679" s="122">
        <v>0.25</v>
      </c>
      <c r="H679" s="122">
        <v>0.75</v>
      </c>
      <c r="I679" s="112">
        <v>0</v>
      </c>
      <c r="J679" s="112">
        <v>0</v>
      </c>
      <c r="K679" s="23">
        <f t="shared" si="89"/>
        <v>0.25</v>
      </c>
      <c r="L679" s="23">
        <f t="shared" si="90"/>
        <v>0</v>
      </c>
      <c r="M679" s="12">
        <f t="shared" si="91"/>
        <v>0.25</v>
      </c>
      <c r="N679" s="23">
        <f t="shared" si="92"/>
        <v>0.75</v>
      </c>
      <c r="O679" s="41">
        <f t="shared" si="93"/>
        <v>0</v>
      </c>
      <c r="P679" s="13" t="str">
        <f t="shared" si="94"/>
        <v>SI</v>
      </c>
      <c r="Q679" s="23">
        <f t="shared" si="95"/>
        <v>0.25</v>
      </c>
      <c r="R679" s="12">
        <f t="shared" si="95"/>
        <v>0.75</v>
      </c>
    </row>
    <row r="680" spans="2:18">
      <c r="B680" t="str">
        <f t="shared" si="88"/>
        <v>José Miguel Ronquillo Pineda46284</v>
      </c>
      <c r="C680" t="s">
        <v>226</v>
      </c>
      <c r="D680" s="121">
        <v>46284</v>
      </c>
      <c r="E680" t="s">
        <v>96</v>
      </c>
      <c r="F680" t="s">
        <v>35</v>
      </c>
      <c r="G680" s="122">
        <v>0.25</v>
      </c>
      <c r="H680" s="122">
        <v>0.75</v>
      </c>
      <c r="I680" s="112">
        <v>0</v>
      </c>
      <c r="J680" s="112">
        <v>0</v>
      </c>
      <c r="K680" s="23">
        <f t="shared" si="89"/>
        <v>0.25</v>
      </c>
      <c r="L680" s="23">
        <f t="shared" si="90"/>
        <v>0</v>
      </c>
      <c r="M680" s="12">
        <f t="shared" si="91"/>
        <v>0.25</v>
      </c>
      <c r="N680" s="23">
        <f t="shared" si="92"/>
        <v>0.75</v>
      </c>
      <c r="O680" s="41">
        <f t="shared" si="93"/>
        <v>0</v>
      </c>
      <c r="P680" s="13" t="str">
        <f t="shared" si="94"/>
        <v>SI</v>
      </c>
      <c r="Q680" s="23">
        <f t="shared" si="95"/>
        <v>0.25</v>
      </c>
      <c r="R680" s="12">
        <f t="shared" si="95"/>
        <v>0.75</v>
      </c>
    </row>
    <row r="681" spans="2:18">
      <c r="B681" t="str">
        <f t="shared" si="88"/>
        <v>José Miguel Ronquillo Pineda46285</v>
      </c>
      <c r="C681" t="s">
        <v>226</v>
      </c>
      <c r="D681" s="121">
        <v>46285</v>
      </c>
      <c r="E681" t="s">
        <v>97</v>
      </c>
      <c r="F681" t="s">
        <v>72</v>
      </c>
      <c r="G681" s="122">
        <v>0</v>
      </c>
      <c r="H681" s="122">
        <v>0</v>
      </c>
      <c r="I681" s="112">
        <v>0</v>
      </c>
      <c r="J681" s="112">
        <v>0</v>
      </c>
      <c r="K681" s="23">
        <f t="shared" si="89"/>
        <v>0</v>
      </c>
      <c r="L681" s="23">
        <f t="shared" si="90"/>
        <v>0</v>
      </c>
      <c r="M681" s="12">
        <f t="shared" si="91"/>
        <v>0</v>
      </c>
      <c r="N681" s="23">
        <f t="shared" si="92"/>
        <v>0</v>
      </c>
      <c r="O681" s="41">
        <f t="shared" si="93"/>
        <v>0</v>
      </c>
      <c r="P681" s="13" t="str">
        <f t="shared" si="94"/>
        <v>NO</v>
      </c>
      <c r="Q681" s="23">
        <f t="shared" si="95"/>
        <v>0</v>
      </c>
      <c r="R681" s="12">
        <f t="shared" si="95"/>
        <v>0</v>
      </c>
    </row>
    <row r="682" spans="2:18">
      <c r="B682" t="str">
        <f t="shared" si="88"/>
        <v>José Miguel Ronquillo Pineda46286</v>
      </c>
      <c r="C682" t="s">
        <v>226</v>
      </c>
      <c r="D682" s="121">
        <v>46286</v>
      </c>
      <c r="E682" t="s">
        <v>98</v>
      </c>
      <c r="F682" t="s">
        <v>36</v>
      </c>
      <c r="G682" s="122">
        <v>0.75</v>
      </c>
      <c r="H682" s="122">
        <v>0.25</v>
      </c>
      <c r="I682" s="112">
        <v>0</v>
      </c>
      <c r="J682" s="112">
        <v>0</v>
      </c>
      <c r="K682" s="23">
        <f t="shared" si="89"/>
        <v>0.75</v>
      </c>
      <c r="L682" s="23">
        <f t="shared" si="90"/>
        <v>0</v>
      </c>
      <c r="M682" s="12">
        <f t="shared" si="91"/>
        <v>0.75</v>
      </c>
      <c r="N682" s="23">
        <f t="shared" si="92"/>
        <v>0.25</v>
      </c>
      <c r="O682" s="41">
        <f t="shared" si="93"/>
        <v>0</v>
      </c>
      <c r="P682" s="13" t="str">
        <f t="shared" si="94"/>
        <v>SI</v>
      </c>
      <c r="Q682" s="23">
        <f t="shared" si="95"/>
        <v>0.75</v>
      </c>
      <c r="R682" s="12">
        <f t="shared" si="95"/>
        <v>0.25</v>
      </c>
    </row>
    <row r="683" spans="2:18">
      <c r="B683" t="str">
        <f t="shared" si="88"/>
        <v>José Miguel Ronquillo Pineda46287</v>
      </c>
      <c r="C683" t="s">
        <v>226</v>
      </c>
      <c r="D683" s="121">
        <v>46287</v>
      </c>
      <c r="E683" t="s">
        <v>99</v>
      </c>
      <c r="F683" t="s">
        <v>36</v>
      </c>
      <c r="G683" s="122">
        <v>0.75</v>
      </c>
      <c r="H683" s="122">
        <v>0.25</v>
      </c>
      <c r="I683" s="112">
        <v>0</v>
      </c>
      <c r="J683" s="112">
        <v>0</v>
      </c>
      <c r="K683" s="23">
        <f t="shared" si="89"/>
        <v>0.75</v>
      </c>
      <c r="L683" s="23">
        <f t="shared" si="90"/>
        <v>0</v>
      </c>
      <c r="M683" s="12">
        <f t="shared" si="91"/>
        <v>0.75</v>
      </c>
      <c r="N683" s="23">
        <f t="shared" si="92"/>
        <v>0.25</v>
      </c>
      <c r="O683" s="41">
        <f t="shared" si="93"/>
        <v>0</v>
      </c>
      <c r="P683" s="13" t="str">
        <f t="shared" si="94"/>
        <v>SI</v>
      </c>
      <c r="Q683" s="23">
        <f t="shared" si="95"/>
        <v>0.75</v>
      </c>
      <c r="R683" s="12">
        <f t="shared" si="95"/>
        <v>0.25</v>
      </c>
    </row>
    <row r="684" spans="2:18">
      <c r="B684" t="str">
        <f t="shared" si="88"/>
        <v>José Miguel Ronquillo Pineda46288</v>
      </c>
      <c r="C684" t="s">
        <v>226</v>
      </c>
      <c r="D684" s="121">
        <v>46288</v>
      </c>
      <c r="E684" t="s">
        <v>100</v>
      </c>
      <c r="F684" t="s">
        <v>36</v>
      </c>
      <c r="G684" s="122">
        <v>0.75</v>
      </c>
      <c r="H684" s="122">
        <v>0.25</v>
      </c>
      <c r="I684" s="112">
        <v>0</v>
      </c>
      <c r="J684" s="112">
        <v>0</v>
      </c>
      <c r="K684" s="23">
        <f t="shared" si="89"/>
        <v>0.75</v>
      </c>
      <c r="L684" s="23">
        <f t="shared" si="90"/>
        <v>0</v>
      </c>
      <c r="M684" s="12">
        <f t="shared" si="91"/>
        <v>0.75</v>
      </c>
      <c r="N684" s="23">
        <f t="shared" si="92"/>
        <v>0.25</v>
      </c>
      <c r="O684" s="41">
        <f t="shared" si="93"/>
        <v>0</v>
      </c>
      <c r="P684" s="13" t="str">
        <f t="shared" si="94"/>
        <v>SI</v>
      </c>
      <c r="Q684" s="23">
        <f t="shared" si="95"/>
        <v>0.75</v>
      </c>
      <c r="R684" s="12">
        <f t="shared" si="95"/>
        <v>0.25</v>
      </c>
    </row>
    <row r="685" spans="2:18">
      <c r="B685" t="str">
        <f t="shared" si="88"/>
        <v>José Miguel Ronquillo Pineda46289</v>
      </c>
      <c r="C685" t="s">
        <v>226</v>
      </c>
      <c r="D685" s="121">
        <v>46289</v>
      </c>
      <c r="E685" t="s">
        <v>101</v>
      </c>
      <c r="F685" t="s">
        <v>36</v>
      </c>
      <c r="G685" s="122">
        <v>0.75</v>
      </c>
      <c r="H685" s="122">
        <v>0.25</v>
      </c>
      <c r="I685" s="112">
        <v>0</v>
      </c>
      <c r="J685" s="112">
        <v>0</v>
      </c>
      <c r="K685" s="23">
        <f t="shared" si="89"/>
        <v>0.75</v>
      </c>
      <c r="L685" s="23">
        <f t="shared" si="90"/>
        <v>0</v>
      </c>
      <c r="M685" s="12">
        <f t="shared" si="91"/>
        <v>0.75</v>
      </c>
      <c r="N685" s="23">
        <f t="shared" si="92"/>
        <v>0.25</v>
      </c>
      <c r="O685" s="41">
        <f t="shared" si="93"/>
        <v>0</v>
      </c>
      <c r="P685" s="13" t="str">
        <f t="shared" si="94"/>
        <v>SI</v>
      </c>
      <c r="Q685" s="23">
        <f t="shared" si="95"/>
        <v>0.75</v>
      </c>
      <c r="R685" s="12">
        <f t="shared" si="95"/>
        <v>0.25</v>
      </c>
    </row>
    <row r="686" spans="2:18">
      <c r="B686" t="str">
        <f t="shared" si="88"/>
        <v>José Miguel Ronquillo Pineda46290</v>
      </c>
      <c r="C686" t="s">
        <v>226</v>
      </c>
      <c r="D686" s="121">
        <v>46290</v>
      </c>
      <c r="E686" t="s">
        <v>95</v>
      </c>
      <c r="F686" t="s">
        <v>36</v>
      </c>
      <c r="G686" s="122">
        <v>0.75</v>
      </c>
      <c r="H686" s="122">
        <v>0.25</v>
      </c>
      <c r="I686" s="112">
        <v>0</v>
      </c>
      <c r="J686" s="112">
        <v>0</v>
      </c>
      <c r="K686" s="23">
        <f t="shared" si="89"/>
        <v>0.75</v>
      </c>
      <c r="L686" s="23">
        <f t="shared" si="90"/>
        <v>0</v>
      </c>
      <c r="M686" s="12">
        <f t="shared" si="91"/>
        <v>0.75</v>
      </c>
      <c r="N686" s="23">
        <f t="shared" si="92"/>
        <v>0.25</v>
      </c>
      <c r="O686" s="41">
        <f t="shared" si="93"/>
        <v>0</v>
      </c>
      <c r="P686" s="13" t="str">
        <f t="shared" si="94"/>
        <v>SI</v>
      </c>
      <c r="Q686" s="23">
        <f t="shared" si="95"/>
        <v>0.75</v>
      </c>
      <c r="R686" s="12">
        <f t="shared" si="95"/>
        <v>0.25</v>
      </c>
    </row>
    <row r="687" spans="2:18">
      <c r="B687" t="str">
        <f t="shared" ref="B687:B736" si="96">+C687&amp;D687</f>
        <v>José Miguel Ronquillo Pineda46291</v>
      </c>
      <c r="C687" t="s">
        <v>226</v>
      </c>
      <c r="D687" s="121">
        <v>46291</v>
      </c>
      <c r="E687" t="s">
        <v>96</v>
      </c>
      <c r="F687" t="s">
        <v>36</v>
      </c>
      <c r="G687" s="122">
        <v>0.75</v>
      </c>
      <c r="H687" s="122">
        <v>0.25</v>
      </c>
      <c r="I687" s="112">
        <v>0</v>
      </c>
      <c r="J687" s="112">
        <v>0</v>
      </c>
      <c r="K687" s="23">
        <f t="shared" ref="K687:K736" si="97">+IFERROR(G687,0)</f>
        <v>0.75</v>
      </c>
      <c r="L687" s="23">
        <f t="shared" ref="L687:L736" si="98">+I687</f>
        <v>0</v>
      </c>
      <c r="M687" s="12">
        <f t="shared" si="91"/>
        <v>0.75</v>
      </c>
      <c r="N687" s="23">
        <f t="shared" ref="N687:N736" si="99">+H687</f>
        <v>0.25</v>
      </c>
      <c r="O687" s="41">
        <f t="shared" ref="O687:O736" si="100">+J687</f>
        <v>0</v>
      </c>
      <c r="P687" s="13" t="str">
        <f t="shared" ref="P687:P736" si="101">+IF(O687&lt;N687,"SI","NO")</f>
        <v>SI</v>
      </c>
      <c r="Q687" s="23">
        <f t="shared" ref="Q687:R736" si="102">+M687</f>
        <v>0.75</v>
      </c>
      <c r="R687" s="12">
        <f t="shared" si="102"/>
        <v>0.25</v>
      </c>
    </row>
    <row r="688" spans="2:18">
      <c r="B688" t="str">
        <f t="shared" si="96"/>
        <v>José Miguel Ronquillo Pineda46292</v>
      </c>
      <c r="C688" t="s">
        <v>226</v>
      </c>
      <c r="D688" s="121">
        <v>46292</v>
      </c>
      <c r="E688" t="s">
        <v>97</v>
      </c>
      <c r="F688" t="s">
        <v>72</v>
      </c>
      <c r="G688" s="122">
        <v>0</v>
      </c>
      <c r="H688" s="122">
        <v>0</v>
      </c>
      <c r="I688" s="112">
        <v>0</v>
      </c>
      <c r="J688" s="112">
        <v>0</v>
      </c>
      <c r="K688" s="23">
        <f t="shared" si="97"/>
        <v>0</v>
      </c>
      <c r="L688" s="23">
        <f t="shared" si="98"/>
        <v>0</v>
      </c>
      <c r="M688" s="12">
        <f t="shared" ref="M688:M737" si="103">+IFERROR(MAX(K688:L688),0)</f>
        <v>0</v>
      </c>
      <c r="N688" s="23">
        <f t="shared" si="99"/>
        <v>0</v>
      </c>
      <c r="O688" s="41">
        <f t="shared" si="100"/>
        <v>0</v>
      </c>
      <c r="P688" s="13" t="str">
        <f t="shared" si="101"/>
        <v>NO</v>
      </c>
      <c r="Q688" s="23">
        <f t="shared" si="102"/>
        <v>0</v>
      </c>
      <c r="R688" s="12">
        <f t="shared" si="102"/>
        <v>0</v>
      </c>
    </row>
    <row r="689" spans="2:18">
      <c r="B689" t="str">
        <f t="shared" si="96"/>
        <v>José Miguel Ronquillo Pineda46293</v>
      </c>
      <c r="C689" t="s">
        <v>226</v>
      </c>
      <c r="D689" s="121">
        <v>46293</v>
      </c>
      <c r="E689" t="s">
        <v>98</v>
      </c>
      <c r="F689" t="s">
        <v>35</v>
      </c>
      <c r="G689" s="122">
        <v>0.25</v>
      </c>
      <c r="H689" s="122">
        <v>0.75</v>
      </c>
      <c r="I689" s="112">
        <v>0</v>
      </c>
      <c r="J689" s="112">
        <v>0</v>
      </c>
      <c r="K689" s="23">
        <f t="shared" si="97"/>
        <v>0.25</v>
      </c>
      <c r="L689" s="23">
        <f t="shared" si="98"/>
        <v>0</v>
      </c>
      <c r="M689" s="12">
        <f t="shared" si="103"/>
        <v>0.25</v>
      </c>
      <c r="N689" s="23">
        <f t="shared" si="99"/>
        <v>0.75</v>
      </c>
      <c r="O689" s="41">
        <f t="shared" si="100"/>
        <v>0</v>
      </c>
      <c r="P689" s="13" t="str">
        <f t="shared" si="101"/>
        <v>SI</v>
      </c>
      <c r="Q689" s="23">
        <f t="shared" si="102"/>
        <v>0.25</v>
      </c>
      <c r="R689" s="12">
        <f t="shared" si="102"/>
        <v>0.75</v>
      </c>
    </row>
    <row r="690" spans="2:18">
      <c r="B690" t="str">
        <f t="shared" si="96"/>
        <v>José Miguel Ronquillo Pineda46294</v>
      </c>
      <c r="C690" t="s">
        <v>226</v>
      </c>
      <c r="D690" s="121">
        <v>46294</v>
      </c>
      <c r="E690" t="s">
        <v>99</v>
      </c>
      <c r="F690" t="s">
        <v>35</v>
      </c>
      <c r="G690" s="122">
        <v>0.25</v>
      </c>
      <c r="H690" s="122">
        <v>0.75</v>
      </c>
      <c r="I690" s="112">
        <v>0</v>
      </c>
      <c r="J690" s="112">
        <v>0</v>
      </c>
      <c r="K690" s="23">
        <f t="shared" si="97"/>
        <v>0.25</v>
      </c>
      <c r="L690" s="23">
        <f t="shared" si="98"/>
        <v>0</v>
      </c>
      <c r="M690" s="12">
        <f t="shared" si="103"/>
        <v>0.25</v>
      </c>
      <c r="N690" s="23">
        <f t="shared" si="99"/>
        <v>0.75</v>
      </c>
      <c r="O690" s="41">
        <f t="shared" si="100"/>
        <v>0</v>
      </c>
      <c r="P690" s="13" t="str">
        <f t="shared" si="101"/>
        <v>SI</v>
      </c>
      <c r="Q690" s="23">
        <f t="shared" si="102"/>
        <v>0.25</v>
      </c>
      <c r="R690" s="12">
        <f t="shared" si="102"/>
        <v>0.75</v>
      </c>
    </row>
    <row r="691" spans="2:18">
      <c r="B691" t="str">
        <f t="shared" si="96"/>
        <v>José Miguel Ronquillo Pineda46295</v>
      </c>
      <c r="C691" t="s">
        <v>226</v>
      </c>
      <c r="D691" s="121">
        <v>46295</v>
      </c>
      <c r="E691" t="s">
        <v>100</v>
      </c>
      <c r="F691" t="s">
        <v>35</v>
      </c>
      <c r="G691" s="122">
        <v>0.25</v>
      </c>
      <c r="H691" s="122">
        <v>0.75</v>
      </c>
      <c r="I691" s="112">
        <v>0</v>
      </c>
      <c r="J691" s="112">
        <v>0</v>
      </c>
      <c r="K691" s="23">
        <f t="shared" si="97"/>
        <v>0.25</v>
      </c>
      <c r="L691" s="23">
        <f t="shared" si="98"/>
        <v>0</v>
      </c>
      <c r="M691" s="12">
        <f t="shared" si="103"/>
        <v>0.25</v>
      </c>
      <c r="N691" s="23">
        <f t="shared" si="99"/>
        <v>0.75</v>
      </c>
      <c r="O691" s="41">
        <f t="shared" si="100"/>
        <v>0</v>
      </c>
      <c r="P691" s="13" t="str">
        <f t="shared" si="101"/>
        <v>SI</v>
      </c>
      <c r="Q691" s="23">
        <f t="shared" si="102"/>
        <v>0.25</v>
      </c>
      <c r="R691" s="12">
        <f t="shared" si="102"/>
        <v>0.75</v>
      </c>
    </row>
    <row r="692" spans="2:18">
      <c r="B692" t="str">
        <f t="shared" si="96"/>
        <v>José Miguel Ronquillo Pineda46296</v>
      </c>
      <c r="C692" t="s">
        <v>226</v>
      </c>
      <c r="D692" s="121">
        <v>46296</v>
      </c>
      <c r="E692" t="s">
        <v>101</v>
      </c>
      <c r="F692" t="s">
        <v>35</v>
      </c>
      <c r="G692" s="122">
        <v>0.25</v>
      </c>
      <c r="H692" s="122">
        <v>0.75</v>
      </c>
      <c r="I692" s="112">
        <v>0</v>
      </c>
      <c r="J692" s="112">
        <v>0</v>
      </c>
      <c r="K692" s="23">
        <f t="shared" si="97"/>
        <v>0.25</v>
      </c>
      <c r="L692" s="23">
        <f t="shared" si="98"/>
        <v>0</v>
      </c>
      <c r="M692" s="12">
        <f t="shared" si="103"/>
        <v>0.25</v>
      </c>
      <c r="N692" s="23">
        <f t="shared" si="99"/>
        <v>0.75</v>
      </c>
      <c r="O692" s="41">
        <f t="shared" si="100"/>
        <v>0</v>
      </c>
      <c r="P692" s="13" t="str">
        <f t="shared" si="101"/>
        <v>SI</v>
      </c>
      <c r="Q692" s="23">
        <f t="shared" si="102"/>
        <v>0.25</v>
      </c>
      <c r="R692" s="12">
        <f t="shared" si="102"/>
        <v>0.75</v>
      </c>
    </row>
    <row r="693" spans="2:18">
      <c r="B693" t="str">
        <f t="shared" si="96"/>
        <v>José Miguel Ronquillo Pineda46297</v>
      </c>
      <c r="C693" t="s">
        <v>226</v>
      </c>
      <c r="D693" s="121">
        <v>46297</v>
      </c>
      <c r="E693" t="s">
        <v>95</v>
      </c>
      <c r="F693" t="s">
        <v>35</v>
      </c>
      <c r="G693" s="122">
        <v>0.25</v>
      </c>
      <c r="H693" s="122">
        <v>0.75</v>
      </c>
      <c r="I693" s="112">
        <v>0</v>
      </c>
      <c r="J693" s="112">
        <v>0</v>
      </c>
      <c r="K693" s="23">
        <f t="shared" si="97"/>
        <v>0.25</v>
      </c>
      <c r="L693" s="23">
        <f t="shared" si="98"/>
        <v>0</v>
      </c>
      <c r="M693" s="12">
        <f t="shared" si="103"/>
        <v>0.25</v>
      </c>
      <c r="N693" s="23">
        <f t="shared" si="99"/>
        <v>0.75</v>
      </c>
      <c r="O693" s="41">
        <f t="shared" si="100"/>
        <v>0</v>
      </c>
      <c r="P693" s="13" t="str">
        <f t="shared" si="101"/>
        <v>SI</v>
      </c>
      <c r="Q693" s="23">
        <f t="shared" si="102"/>
        <v>0.25</v>
      </c>
      <c r="R693" s="12">
        <f t="shared" si="102"/>
        <v>0.75</v>
      </c>
    </row>
    <row r="694" spans="2:18">
      <c r="B694" t="str">
        <f t="shared" si="96"/>
        <v>José Miguel Ronquillo Pineda46298</v>
      </c>
      <c r="C694" t="s">
        <v>226</v>
      </c>
      <c r="D694" s="121">
        <v>46298</v>
      </c>
      <c r="E694" t="s">
        <v>96</v>
      </c>
      <c r="F694" t="s">
        <v>35</v>
      </c>
      <c r="G694" s="122">
        <v>0.25</v>
      </c>
      <c r="H694" s="122">
        <v>0.75</v>
      </c>
      <c r="I694" s="112">
        <v>0</v>
      </c>
      <c r="J694" s="112">
        <v>0</v>
      </c>
      <c r="K694" s="23">
        <f t="shared" si="97"/>
        <v>0.25</v>
      </c>
      <c r="L694" s="23">
        <f t="shared" si="98"/>
        <v>0</v>
      </c>
      <c r="M694" s="12">
        <f t="shared" si="103"/>
        <v>0.25</v>
      </c>
      <c r="N694" s="23">
        <f t="shared" si="99"/>
        <v>0.75</v>
      </c>
      <c r="O694" s="41">
        <f t="shared" si="100"/>
        <v>0</v>
      </c>
      <c r="P694" s="13" t="str">
        <f t="shared" si="101"/>
        <v>SI</v>
      </c>
      <c r="Q694" s="23">
        <f t="shared" si="102"/>
        <v>0.25</v>
      </c>
      <c r="R694" s="12">
        <f t="shared" si="102"/>
        <v>0.75</v>
      </c>
    </row>
    <row r="695" spans="2:18">
      <c r="B695" t="str">
        <f t="shared" si="96"/>
        <v>José Miguel Ronquillo Pineda46299</v>
      </c>
      <c r="C695" t="s">
        <v>226</v>
      </c>
      <c r="D695" s="121">
        <v>46299</v>
      </c>
      <c r="E695" t="s">
        <v>97</v>
      </c>
      <c r="F695" t="s">
        <v>72</v>
      </c>
      <c r="G695" s="122">
        <v>0</v>
      </c>
      <c r="H695" s="122">
        <v>0</v>
      </c>
      <c r="I695" s="112">
        <v>0</v>
      </c>
      <c r="J695" s="112">
        <v>0</v>
      </c>
      <c r="K695" s="23">
        <f t="shared" si="97"/>
        <v>0</v>
      </c>
      <c r="L695" s="23">
        <f t="shared" si="98"/>
        <v>0</v>
      </c>
      <c r="M695" s="12">
        <f t="shared" si="103"/>
        <v>0</v>
      </c>
      <c r="N695" s="23">
        <f t="shared" si="99"/>
        <v>0</v>
      </c>
      <c r="O695" s="41">
        <f t="shared" si="100"/>
        <v>0</v>
      </c>
      <c r="P695" s="13" t="str">
        <f t="shared" si="101"/>
        <v>NO</v>
      </c>
      <c r="Q695" s="23">
        <f t="shared" si="102"/>
        <v>0</v>
      </c>
      <c r="R695" s="12">
        <f t="shared" si="102"/>
        <v>0</v>
      </c>
    </row>
    <row r="696" spans="2:18">
      <c r="B696" t="str">
        <f t="shared" si="96"/>
        <v>KEVIN ALEJANDRO RODRIGUEZ ARGUETA46279</v>
      </c>
      <c r="C696" t="s">
        <v>227</v>
      </c>
      <c r="D696" s="121">
        <v>46279</v>
      </c>
      <c r="E696" t="s">
        <v>98</v>
      </c>
      <c r="F696" t="s">
        <v>72</v>
      </c>
      <c r="G696" s="122">
        <v>0</v>
      </c>
      <c r="H696" s="122">
        <v>0</v>
      </c>
      <c r="I696" s="112">
        <v>0</v>
      </c>
      <c r="J696" s="112">
        <v>0</v>
      </c>
      <c r="K696" s="23">
        <f t="shared" si="97"/>
        <v>0</v>
      </c>
      <c r="L696" s="23">
        <f t="shared" si="98"/>
        <v>0</v>
      </c>
      <c r="M696" s="12">
        <f t="shared" si="103"/>
        <v>0</v>
      </c>
      <c r="N696" s="23">
        <f t="shared" si="99"/>
        <v>0</v>
      </c>
      <c r="O696" s="41">
        <f t="shared" si="100"/>
        <v>0</v>
      </c>
      <c r="P696" s="13" t="str">
        <f t="shared" si="101"/>
        <v>NO</v>
      </c>
      <c r="Q696" s="23">
        <f t="shared" si="102"/>
        <v>0</v>
      </c>
      <c r="R696" s="12">
        <f t="shared" si="102"/>
        <v>0</v>
      </c>
    </row>
    <row r="697" spans="2:18">
      <c r="B697" t="str">
        <f t="shared" si="96"/>
        <v>KEVIN ALEJANDRO RODRIGUEZ ARGUETA46280</v>
      </c>
      <c r="C697" t="s">
        <v>227</v>
      </c>
      <c r="D697" s="121">
        <v>46280</v>
      </c>
      <c r="E697" t="s">
        <v>99</v>
      </c>
      <c r="F697" t="s">
        <v>35</v>
      </c>
      <c r="G697" s="122">
        <v>0.33333333333333298</v>
      </c>
      <c r="H697" s="122">
        <v>0.70833333333333304</v>
      </c>
      <c r="I697" s="112">
        <v>0</v>
      </c>
      <c r="J697" s="112">
        <v>0</v>
      </c>
      <c r="K697" s="23">
        <f t="shared" si="97"/>
        <v>0.33333333333333298</v>
      </c>
      <c r="L697" s="23">
        <f t="shared" si="98"/>
        <v>0</v>
      </c>
      <c r="M697" s="12">
        <f t="shared" si="103"/>
        <v>0.33333333333333298</v>
      </c>
      <c r="N697" s="23">
        <f t="shared" si="99"/>
        <v>0.70833333333333304</v>
      </c>
      <c r="O697" s="41">
        <f t="shared" si="100"/>
        <v>0</v>
      </c>
      <c r="P697" s="13" t="str">
        <f t="shared" si="101"/>
        <v>SI</v>
      </c>
      <c r="Q697" s="23">
        <f t="shared" si="102"/>
        <v>0.33333333333333298</v>
      </c>
      <c r="R697" s="12">
        <f t="shared" si="102"/>
        <v>0.70833333333333304</v>
      </c>
    </row>
    <row r="698" spans="2:18">
      <c r="B698" t="str">
        <f t="shared" si="96"/>
        <v>KEVIN ALEJANDRO RODRIGUEZ ARGUETA46281</v>
      </c>
      <c r="C698" t="s">
        <v>227</v>
      </c>
      <c r="D698" s="121">
        <v>46281</v>
      </c>
      <c r="E698" t="s">
        <v>100</v>
      </c>
      <c r="F698" t="s">
        <v>35</v>
      </c>
      <c r="G698" s="122">
        <v>0.25</v>
      </c>
      <c r="H698" s="122">
        <v>0.75</v>
      </c>
      <c r="I698" s="112">
        <v>0</v>
      </c>
      <c r="J698" s="112">
        <v>0</v>
      </c>
      <c r="K698" s="23">
        <f t="shared" si="97"/>
        <v>0.25</v>
      </c>
      <c r="L698" s="23">
        <f t="shared" si="98"/>
        <v>0</v>
      </c>
      <c r="M698" s="12">
        <f t="shared" si="103"/>
        <v>0.25</v>
      </c>
      <c r="N698" s="23">
        <f t="shared" si="99"/>
        <v>0.75</v>
      </c>
      <c r="O698" s="41">
        <f t="shared" si="100"/>
        <v>0</v>
      </c>
      <c r="P698" s="13" t="str">
        <f t="shared" si="101"/>
        <v>SI</v>
      </c>
      <c r="Q698" s="23">
        <f t="shared" si="102"/>
        <v>0.25</v>
      </c>
      <c r="R698" s="12">
        <f t="shared" si="102"/>
        <v>0.75</v>
      </c>
    </row>
    <row r="699" spans="2:18">
      <c r="B699" t="str">
        <f t="shared" si="96"/>
        <v>KEVIN ALEJANDRO RODRIGUEZ ARGUETA46282</v>
      </c>
      <c r="C699" t="s">
        <v>227</v>
      </c>
      <c r="D699" s="121">
        <v>46282</v>
      </c>
      <c r="E699" t="s">
        <v>101</v>
      </c>
      <c r="F699" t="s">
        <v>35</v>
      </c>
      <c r="G699" s="122">
        <v>0.25</v>
      </c>
      <c r="H699" s="122">
        <v>0.75</v>
      </c>
      <c r="I699" s="112">
        <v>0</v>
      </c>
      <c r="J699" s="112">
        <v>0</v>
      </c>
      <c r="K699" s="23">
        <f t="shared" si="97"/>
        <v>0.25</v>
      </c>
      <c r="L699" s="23">
        <f t="shared" si="98"/>
        <v>0</v>
      </c>
      <c r="M699" s="12">
        <f t="shared" si="103"/>
        <v>0.25</v>
      </c>
      <c r="N699" s="23">
        <f t="shared" si="99"/>
        <v>0.75</v>
      </c>
      <c r="O699" s="41">
        <f t="shared" si="100"/>
        <v>0</v>
      </c>
      <c r="P699" s="13" t="str">
        <f t="shared" si="101"/>
        <v>SI</v>
      </c>
      <c r="Q699" s="23">
        <f t="shared" si="102"/>
        <v>0.25</v>
      </c>
      <c r="R699" s="12">
        <f t="shared" si="102"/>
        <v>0.75</v>
      </c>
    </row>
    <row r="700" spans="2:18">
      <c r="B700" t="str">
        <f t="shared" si="96"/>
        <v>KEVIN ALEJANDRO RODRIGUEZ ARGUETA46283</v>
      </c>
      <c r="C700" t="s">
        <v>227</v>
      </c>
      <c r="D700" s="121">
        <v>46283</v>
      </c>
      <c r="E700" t="s">
        <v>95</v>
      </c>
      <c r="F700" t="s">
        <v>35</v>
      </c>
      <c r="G700" s="122">
        <v>0.25</v>
      </c>
      <c r="H700" s="122">
        <v>0.75</v>
      </c>
      <c r="I700" s="112">
        <v>0</v>
      </c>
      <c r="J700" s="112">
        <v>0</v>
      </c>
      <c r="K700" s="23">
        <f t="shared" si="97"/>
        <v>0.25</v>
      </c>
      <c r="L700" s="23">
        <f t="shared" si="98"/>
        <v>0</v>
      </c>
      <c r="M700" s="12">
        <f t="shared" si="103"/>
        <v>0.25</v>
      </c>
      <c r="N700" s="23">
        <f t="shared" si="99"/>
        <v>0.75</v>
      </c>
      <c r="O700" s="41">
        <f t="shared" si="100"/>
        <v>0</v>
      </c>
      <c r="P700" s="13" t="str">
        <f t="shared" si="101"/>
        <v>SI</v>
      </c>
      <c r="Q700" s="23">
        <f t="shared" si="102"/>
        <v>0.25</v>
      </c>
      <c r="R700" s="12">
        <f t="shared" si="102"/>
        <v>0.75</v>
      </c>
    </row>
    <row r="701" spans="2:18">
      <c r="B701" t="str">
        <f t="shared" si="96"/>
        <v>KEVIN ALEJANDRO RODRIGUEZ ARGUETA46284</v>
      </c>
      <c r="C701" t="s">
        <v>227</v>
      </c>
      <c r="D701" s="121">
        <v>46284</v>
      </c>
      <c r="E701" t="s">
        <v>96</v>
      </c>
      <c r="F701" t="s">
        <v>35</v>
      </c>
      <c r="G701" s="122">
        <v>0.25</v>
      </c>
      <c r="H701" s="122">
        <v>0.58333333333333304</v>
      </c>
      <c r="I701" s="112">
        <v>0</v>
      </c>
      <c r="J701" s="112">
        <v>0</v>
      </c>
      <c r="K701" s="23">
        <f t="shared" si="97"/>
        <v>0.25</v>
      </c>
      <c r="L701" s="23">
        <f t="shared" si="98"/>
        <v>0</v>
      </c>
      <c r="M701" s="12">
        <f t="shared" si="103"/>
        <v>0.25</v>
      </c>
      <c r="N701" s="23">
        <f t="shared" si="99"/>
        <v>0.58333333333333304</v>
      </c>
      <c r="O701" s="41">
        <f t="shared" si="100"/>
        <v>0</v>
      </c>
      <c r="P701" s="13" t="str">
        <f t="shared" si="101"/>
        <v>SI</v>
      </c>
      <c r="Q701" s="23">
        <f t="shared" si="102"/>
        <v>0.25</v>
      </c>
      <c r="R701" s="12">
        <f t="shared" si="102"/>
        <v>0.58333333333333304</v>
      </c>
    </row>
    <row r="702" spans="2:18">
      <c r="B702" t="str">
        <f t="shared" si="96"/>
        <v>KEVIN ALEJANDRO RODRIGUEZ ARGUETA46285</v>
      </c>
      <c r="C702" t="s">
        <v>227</v>
      </c>
      <c r="D702" s="121">
        <v>46285</v>
      </c>
      <c r="E702" t="s">
        <v>97</v>
      </c>
      <c r="F702" t="s">
        <v>72</v>
      </c>
      <c r="G702" s="122">
        <v>0</v>
      </c>
      <c r="H702" s="122">
        <v>0</v>
      </c>
      <c r="I702" s="112">
        <v>0</v>
      </c>
      <c r="J702" s="112">
        <v>0</v>
      </c>
      <c r="K702" s="23">
        <f t="shared" si="97"/>
        <v>0</v>
      </c>
      <c r="L702" s="23">
        <f t="shared" si="98"/>
        <v>0</v>
      </c>
      <c r="M702" s="12">
        <f t="shared" si="103"/>
        <v>0</v>
      </c>
      <c r="N702" s="23">
        <f t="shared" si="99"/>
        <v>0</v>
      </c>
      <c r="O702" s="41">
        <f t="shared" si="100"/>
        <v>0</v>
      </c>
      <c r="P702" s="13" t="str">
        <f t="shared" si="101"/>
        <v>NO</v>
      </c>
      <c r="Q702" s="23">
        <f t="shared" si="102"/>
        <v>0</v>
      </c>
      <c r="R702" s="12">
        <f t="shared" si="102"/>
        <v>0</v>
      </c>
    </row>
    <row r="703" spans="2:18">
      <c r="B703" t="str">
        <f t="shared" si="96"/>
        <v>KEVIN ALEJANDRO RODRIGUEZ ARGUETA46286</v>
      </c>
      <c r="C703" t="s">
        <v>227</v>
      </c>
      <c r="D703" s="121">
        <v>46286</v>
      </c>
      <c r="E703" t="s">
        <v>98</v>
      </c>
      <c r="F703" t="s">
        <v>36</v>
      </c>
      <c r="G703" s="122">
        <v>0.75</v>
      </c>
      <c r="H703" s="122">
        <v>0.25</v>
      </c>
      <c r="I703" s="112">
        <v>0</v>
      </c>
      <c r="J703" s="112">
        <v>0</v>
      </c>
      <c r="K703" s="23">
        <f t="shared" si="97"/>
        <v>0.75</v>
      </c>
      <c r="L703" s="23">
        <f t="shared" si="98"/>
        <v>0</v>
      </c>
      <c r="M703" s="12">
        <f t="shared" si="103"/>
        <v>0.75</v>
      </c>
      <c r="N703" s="23">
        <f t="shared" si="99"/>
        <v>0.25</v>
      </c>
      <c r="O703" s="41">
        <f t="shared" si="100"/>
        <v>0</v>
      </c>
      <c r="P703" s="13" t="str">
        <f t="shared" si="101"/>
        <v>SI</v>
      </c>
      <c r="Q703" s="23">
        <f t="shared" si="102"/>
        <v>0.75</v>
      </c>
      <c r="R703" s="12">
        <f t="shared" si="102"/>
        <v>0.25</v>
      </c>
    </row>
    <row r="704" spans="2:18">
      <c r="B704" t="str">
        <f t="shared" si="96"/>
        <v>KEVIN ALEJANDRO RODRIGUEZ ARGUETA46287</v>
      </c>
      <c r="C704" t="s">
        <v>227</v>
      </c>
      <c r="D704" s="121">
        <v>46287</v>
      </c>
      <c r="E704" t="s">
        <v>99</v>
      </c>
      <c r="F704" t="s">
        <v>36</v>
      </c>
      <c r="G704" s="122">
        <v>0.75</v>
      </c>
      <c r="H704" s="122">
        <v>0.25</v>
      </c>
      <c r="I704" s="112">
        <v>0</v>
      </c>
      <c r="J704" s="112">
        <v>0</v>
      </c>
      <c r="K704" s="23">
        <f t="shared" si="97"/>
        <v>0.75</v>
      </c>
      <c r="L704" s="23">
        <f t="shared" si="98"/>
        <v>0</v>
      </c>
      <c r="M704" s="12">
        <f t="shared" si="103"/>
        <v>0.75</v>
      </c>
      <c r="N704" s="23">
        <f t="shared" si="99"/>
        <v>0.25</v>
      </c>
      <c r="O704" s="41">
        <f t="shared" si="100"/>
        <v>0</v>
      </c>
      <c r="P704" s="13" t="str">
        <f t="shared" si="101"/>
        <v>SI</v>
      </c>
      <c r="Q704" s="23">
        <f t="shared" si="102"/>
        <v>0.75</v>
      </c>
      <c r="R704" s="12">
        <f t="shared" si="102"/>
        <v>0.25</v>
      </c>
    </row>
    <row r="705" spans="2:18">
      <c r="B705" t="str">
        <f t="shared" si="96"/>
        <v>KEVIN ALEJANDRO RODRIGUEZ ARGUETA46288</v>
      </c>
      <c r="C705" t="s">
        <v>227</v>
      </c>
      <c r="D705" s="121">
        <v>46288</v>
      </c>
      <c r="E705" t="s">
        <v>100</v>
      </c>
      <c r="F705" t="s">
        <v>36</v>
      </c>
      <c r="G705" s="122">
        <v>0.75</v>
      </c>
      <c r="H705" s="122">
        <v>0.25</v>
      </c>
      <c r="I705" s="112">
        <v>0</v>
      </c>
      <c r="J705" s="112">
        <v>0</v>
      </c>
      <c r="K705" s="23">
        <f t="shared" si="97"/>
        <v>0.75</v>
      </c>
      <c r="L705" s="23">
        <f t="shared" si="98"/>
        <v>0</v>
      </c>
      <c r="M705" s="12">
        <f t="shared" si="103"/>
        <v>0.75</v>
      </c>
      <c r="N705" s="23">
        <f t="shared" si="99"/>
        <v>0.25</v>
      </c>
      <c r="O705" s="41">
        <f t="shared" si="100"/>
        <v>0</v>
      </c>
      <c r="P705" s="13" t="str">
        <f t="shared" si="101"/>
        <v>SI</v>
      </c>
      <c r="Q705" s="23">
        <f t="shared" si="102"/>
        <v>0.75</v>
      </c>
      <c r="R705" s="12">
        <f t="shared" si="102"/>
        <v>0.25</v>
      </c>
    </row>
    <row r="706" spans="2:18">
      <c r="B706" t="str">
        <f t="shared" si="96"/>
        <v>KEVIN ALEJANDRO RODRIGUEZ ARGUETA46289</v>
      </c>
      <c r="C706" t="s">
        <v>227</v>
      </c>
      <c r="D706" s="121">
        <v>46289</v>
      </c>
      <c r="E706" t="s">
        <v>101</v>
      </c>
      <c r="F706" t="s">
        <v>36</v>
      </c>
      <c r="G706" s="122">
        <v>0.75</v>
      </c>
      <c r="H706" s="122">
        <v>0.25</v>
      </c>
      <c r="I706" s="112">
        <v>0</v>
      </c>
      <c r="J706" s="112">
        <v>0</v>
      </c>
      <c r="K706" s="23">
        <f t="shared" si="97"/>
        <v>0.75</v>
      </c>
      <c r="L706" s="23">
        <f t="shared" si="98"/>
        <v>0</v>
      </c>
      <c r="M706" s="12">
        <f t="shared" si="103"/>
        <v>0.75</v>
      </c>
      <c r="N706" s="23">
        <f t="shared" si="99"/>
        <v>0.25</v>
      </c>
      <c r="O706" s="41">
        <f t="shared" si="100"/>
        <v>0</v>
      </c>
      <c r="P706" s="13" t="str">
        <f t="shared" si="101"/>
        <v>SI</v>
      </c>
      <c r="Q706" s="23">
        <f t="shared" si="102"/>
        <v>0.75</v>
      </c>
      <c r="R706" s="12">
        <f t="shared" si="102"/>
        <v>0.25</v>
      </c>
    </row>
    <row r="707" spans="2:18">
      <c r="B707" t="str">
        <f t="shared" si="96"/>
        <v>KEVIN ALEJANDRO RODRIGUEZ ARGUETA46290</v>
      </c>
      <c r="C707" t="s">
        <v>227</v>
      </c>
      <c r="D707" s="121">
        <v>46290</v>
      </c>
      <c r="E707" t="s">
        <v>95</v>
      </c>
      <c r="F707" t="s">
        <v>36</v>
      </c>
      <c r="G707" s="122">
        <v>0.75</v>
      </c>
      <c r="H707" s="122">
        <v>0.25</v>
      </c>
      <c r="I707" s="112">
        <v>0</v>
      </c>
      <c r="J707" s="112">
        <v>0</v>
      </c>
      <c r="K707" s="23">
        <f t="shared" si="97"/>
        <v>0.75</v>
      </c>
      <c r="L707" s="23">
        <f t="shared" si="98"/>
        <v>0</v>
      </c>
      <c r="M707" s="12">
        <f t="shared" si="103"/>
        <v>0.75</v>
      </c>
      <c r="N707" s="23">
        <f t="shared" si="99"/>
        <v>0.25</v>
      </c>
      <c r="O707" s="41">
        <f t="shared" si="100"/>
        <v>0</v>
      </c>
      <c r="P707" s="13" t="str">
        <f t="shared" si="101"/>
        <v>SI</v>
      </c>
      <c r="Q707" s="23">
        <f t="shared" si="102"/>
        <v>0.75</v>
      </c>
      <c r="R707" s="12">
        <f t="shared" si="102"/>
        <v>0.25</v>
      </c>
    </row>
    <row r="708" spans="2:18">
      <c r="B708" t="str">
        <f t="shared" si="96"/>
        <v>KEVIN ALEJANDRO RODRIGUEZ ARGUETA46291</v>
      </c>
      <c r="C708" t="s">
        <v>227</v>
      </c>
      <c r="D708" s="121">
        <v>46291</v>
      </c>
      <c r="E708" t="s">
        <v>96</v>
      </c>
      <c r="F708" t="s">
        <v>72</v>
      </c>
      <c r="G708" s="122">
        <v>0</v>
      </c>
      <c r="H708" s="122">
        <v>0</v>
      </c>
      <c r="I708" s="112">
        <v>0</v>
      </c>
      <c r="J708" s="112">
        <v>0</v>
      </c>
      <c r="K708" s="23">
        <f t="shared" si="97"/>
        <v>0</v>
      </c>
      <c r="L708" s="23">
        <f t="shared" si="98"/>
        <v>0</v>
      </c>
      <c r="M708" s="12">
        <f t="shared" si="103"/>
        <v>0</v>
      </c>
      <c r="N708" s="23">
        <f t="shared" si="99"/>
        <v>0</v>
      </c>
      <c r="O708" s="41">
        <f t="shared" si="100"/>
        <v>0</v>
      </c>
      <c r="P708" s="13" t="str">
        <f t="shared" si="101"/>
        <v>NO</v>
      </c>
      <c r="Q708" s="23">
        <f t="shared" si="102"/>
        <v>0</v>
      </c>
      <c r="R708" s="12">
        <f t="shared" si="102"/>
        <v>0</v>
      </c>
    </row>
    <row r="709" spans="2:18">
      <c r="B709" t="str">
        <f t="shared" si="96"/>
        <v>KEVIN ALEJANDRO RODRIGUEZ ARGUETA46292</v>
      </c>
      <c r="C709" t="s">
        <v>227</v>
      </c>
      <c r="D709" s="121">
        <v>46292</v>
      </c>
      <c r="E709" t="s">
        <v>97</v>
      </c>
      <c r="F709" t="s">
        <v>72</v>
      </c>
      <c r="G709" s="122">
        <v>0</v>
      </c>
      <c r="H709" s="122">
        <v>0</v>
      </c>
      <c r="I709" s="112">
        <v>0</v>
      </c>
      <c r="J709" s="112">
        <v>0</v>
      </c>
      <c r="K709" s="23">
        <f t="shared" si="97"/>
        <v>0</v>
      </c>
      <c r="L709" s="23">
        <f t="shared" si="98"/>
        <v>0</v>
      </c>
      <c r="M709" s="12">
        <f t="shared" si="103"/>
        <v>0</v>
      </c>
      <c r="N709" s="23">
        <f t="shared" si="99"/>
        <v>0</v>
      </c>
      <c r="O709" s="41">
        <f t="shared" si="100"/>
        <v>0</v>
      </c>
      <c r="P709" s="13" t="str">
        <f t="shared" si="101"/>
        <v>NO</v>
      </c>
      <c r="Q709" s="23">
        <f t="shared" si="102"/>
        <v>0</v>
      </c>
      <c r="R709" s="12">
        <f t="shared" si="102"/>
        <v>0</v>
      </c>
    </row>
    <row r="710" spans="2:18">
      <c r="B710" t="str">
        <f t="shared" si="96"/>
        <v>KEVIN ALEJANDRO RODRIGUEZ ARGUETA46293</v>
      </c>
      <c r="C710" t="s">
        <v>227</v>
      </c>
      <c r="D710" s="121">
        <v>46293</v>
      </c>
      <c r="E710" t="s">
        <v>98</v>
      </c>
      <c r="F710" t="s">
        <v>35</v>
      </c>
      <c r="G710" s="122">
        <v>0.25</v>
      </c>
      <c r="H710" s="122">
        <v>0.75</v>
      </c>
      <c r="I710" s="112">
        <v>0</v>
      </c>
      <c r="J710" s="112">
        <v>0</v>
      </c>
      <c r="K710" s="23">
        <f t="shared" si="97"/>
        <v>0.25</v>
      </c>
      <c r="L710" s="23">
        <f t="shared" si="98"/>
        <v>0</v>
      </c>
      <c r="M710" s="12">
        <f t="shared" si="103"/>
        <v>0.25</v>
      </c>
      <c r="N710" s="23">
        <f t="shared" si="99"/>
        <v>0.75</v>
      </c>
      <c r="O710" s="41">
        <f t="shared" si="100"/>
        <v>0</v>
      </c>
      <c r="P710" s="13" t="str">
        <f t="shared" si="101"/>
        <v>SI</v>
      </c>
      <c r="Q710" s="23">
        <f t="shared" si="102"/>
        <v>0.25</v>
      </c>
      <c r="R710" s="12">
        <f t="shared" si="102"/>
        <v>0.75</v>
      </c>
    </row>
    <row r="711" spans="2:18">
      <c r="B711" t="str">
        <f t="shared" si="96"/>
        <v>KEVIN ALEJANDRO RODRIGUEZ ARGUETA46294</v>
      </c>
      <c r="C711" t="s">
        <v>227</v>
      </c>
      <c r="D711" s="121">
        <v>46294</v>
      </c>
      <c r="E711" t="s">
        <v>99</v>
      </c>
      <c r="F711" t="s">
        <v>35</v>
      </c>
      <c r="G711" s="122">
        <v>0.25</v>
      </c>
      <c r="H711" s="122">
        <v>0.75</v>
      </c>
      <c r="I711" s="112">
        <v>0</v>
      </c>
      <c r="J711" s="112">
        <v>0</v>
      </c>
      <c r="K711" s="23">
        <f t="shared" si="97"/>
        <v>0.25</v>
      </c>
      <c r="L711" s="23">
        <f t="shared" si="98"/>
        <v>0</v>
      </c>
      <c r="M711" s="12">
        <f t="shared" si="103"/>
        <v>0.25</v>
      </c>
      <c r="N711" s="23">
        <f t="shared" si="99"/>
        <v>0.75</v>
      </c>
      <c r="O711" s="41">
        <f t="shared" si="100"/>
        <v>0</v>
      </c>
      <c r="P711" s="13" t="str">
        <f t="shared" si="101"/>
        <v>SI</v>
      </c>
      <c r="Q711" s="23">
        <f t="shared" si="102"/>
        <v>0.25</v>
      </c>
      <c r="R711" s="12">
        <f t="shared" si="102"/>
        <v>0.75</v>
      </c>
    </row>
    <row r="712" spans="2:18">
      <c r="B712" t="str">
        <f t="shared" si="96"/>
        <v>KEVIN ALEJANDRO RODRIGUEZ ARGUETA46295</v>
      </c>
      <c r="C712" t="s">
        <v>227</v>
      </c>
      <c r="D712" s="121">
        <v>46295</v>
      </c>
      <c r="E712" t="s">
        <v>100</v>
      </c>
      <c r="F712" t="s">
        <v>35</v>
      </c>
      <c r="G712" s="122">
        <v>0.33333333333333298</v>
      </c>
      <c r="H712" s="122">
        <v>0.70833333333333304</v>
      </c>
      <c r="I712" s="112">
        <v>0</v>
      </c>
      <c r="J712" s="112">
        <v>0</v>
      </c>
      <c r="K712" s="23">
        <f t="shared" si="97"/>
        <v>0.33333333333333298</v>
      </c>
      <c r="L712" s="23">
        <f t="shared" si="98"/>
        <v>0</v>
      </c>
      <c r="M712" s="12">
        <f t="shared" si="103"/>
        <v>0.33333333333333298</v>
      </c>
      <c r="N712" s="23">
        <f t="shared" si="99"/>
        <v>0.70833333333333304</v>
      </c>
      <c r="O712" s="41">
        <f t="shared" si="100"/>
        <v>0</v>
      </c>
      <c r="P712" s="13" t="str">
        <f t="shared" si="101"/>
        <v>SI</v>
      </c>
      <c r="Q712" s="23">
        <f t="shared" si="102"/>
        <v>0.33333333333333298</v>
      </c>
      <c r="R712" s="12">
        <f t="shared" si="102"/>
        <v>0.70833333333333304</v>
      </c>
    </row>
    <row r="713" spans="2:18">
      <c r="B713" t="str">
        <f t="shared" si="96"/>
        <v>KEVIN ALEJANDRO RODRIGUEZ ARGUETA46296</v>
      </c>
      <c r="C713" t="s">
        <v>227</v>
      </c>
      <c r="D713" s="121">
        <v>46296</v>
      </c>
      <c r="E713" t="s">
        <v>101</v>
      </c>
      <c r="F713" t="s">
        <v>35</v>
      </c>
      <c r="G713" s="122">
        <v>0.25</v>
      </c>
      <c r="H713" s="122">
        <v>0.75</v>
      </c>
      <c r="I713" s="112">
        <v>0</v>
      </c>
      <c r="J713" s="112">
        <v>0</v>
      </c>
      <c r="K713" s="23">
        <f t="shared" si="97"/>
        <v>0.25</v>
      </c>
      <c r="L713" s="23">
        <f t="shared" si="98"/>
        <v>0</v>
      </c>
      <c r="M713" s="12">
        <f t="shared" si="103"/>
        <v>0.25</v>
      </c>
      <c r="N713" s="23">
        <f t="shared" si="99"/>
        <v>0.75</v>
      </c>
      <c r="O713" s="41">
        <f t="shared" si="100"/>
        <v>0</v>
      </c>
      <c r="P713" s="13" t="str">
        <f t="shared" si="101"/>
        <v>SI</v>
      </c>
      <c r="Q713" s="23">
        <f t="shared" si="102"/>
        <v>0.25</v>
      </c>
      <c r="R713" s="12">
        <f t="shared" si="102"/>
        <v>0.75</v>
      </c>
    </row>
    <row r="714" spans="2:18">
      <c r="B714" t="str">
        <f t="shared" si="96"/>
        <v>KEVIN ALEJANDRO RODRIGUEZ ARGUETA46297</v>
      </c>
      <c r="C714" t="s">
        <v>227</v>
      </c>
      <c r="D714" s="121">
        <v>46297</v>
      </c>
      <c r="E714" t="s">
        <v>95</v>
      </c>
      <c r="F714" t="s">
        <v>35</v>
      </c>
      <c r="G714" s="122">
        <v>0.25</v>
      </c>
      <c r="H714" s="122">
        <v>0.75</v>
      </c>
      <c r="I714" s="112">
        <v>0</v>
      </c>
      <c r="J714" s="112">
        <v>0</v>
      </c>
      <c r="K714" s="23">
        <f t="shared" si="97"/>
        <v>0.25</v>
      </c>
      <c r="L714" s="23">
        <f t="shared" si="98"/>
        <v>0</v>
      </c>
      <c r="M714" s="12">
        <f t="shared" si="103"/>
        <v>0.25</v>
      </c>
      <c r="N714" s="23">
        <f t="shared" si="99"/>
        <v>0.75</v>
      </c>
      <c r="O714" s="41">
        <f t="shared" si="100"/>
        <v>0</v>
      </c>
      <c r="P714" s="13" t="str">
        <f t="shared" si="101"/>
        <v>SI</v>
      </c>
      <c r="Q714" s="23">
        <f t="shared" si="102"/>
        <v>0.25</v>
      </c>
      <c r="R714" s="12">
        <f t="shared" si="102"/>
        <v>0.75</v>
      </c>
    </row>
    <row r="715" spans="2:18">
      <c r="B715" t="str">
        <f t="shared" si="96"/>
        <v>KEVIN ALEJANDRO RODRIGUEZ ARGUETA46298</v>
      </c>
      <c r="C715" t="s">
        <v>227</v>
      </c>
      <c r="D715" s="121">
        <v>46298</v>
      </c>
      <c r="E715" t="s">
        <v>96</v>
      </c>
      <c r="F715" t="s">
        <v>35</v>
      </c>
      <c r="G715" s="122">
        <v>0.25</v>
      </c>
      <c r="H715" s="122">
        <v>0.58333333333333304</v>
      </c>
      <c r="I715" s="112">
        <v>0</v>
      </c>
      <c r="J715" s="112">
        <v>0</v>
      </c>
      <c r="K715" s="23">
        <f t="shared" si="97"/>
        <v>0.25</v>
      </c>
      <c r="L715" s="23">
        <f t="shared" si="98"/>
        <v>0</v>
      </c>
      <c r="M715" s="12">
        <f t="shared" si="103"/>
        <v>0.25</v>
      </c>
      <c r="N715" s="23">
        <f t="shared" si="99"/>
        <v>0.58333333333333304</v>
      </c>
      <c r="O715" s="41">
        <f t="shared" si="100"/>
        <v>0</v>
      </c>
      <c r="P715" s="13" t="str">
        <f t="shared" si="101"/>
        <v>SI</v>
      </c>
      <c r="Q715" s="23">
        <f t="shared" si="102"/>
        <v>0.25</v>
      </c>
      <c r="R715" s="12">
        <f t="shared" si="102"/>
        <v>0.58333333333333304</v>
      </c>
    </row>
    <row r="716" spans="2:18">
      <c r="B716" t="str">
        <f t="shared" si="96"/>
        <v>KEVIN ALEJANDRO RODRIGUEZ ARGUETA46299</v>
      </c>
      <c r="C716" t="s">
        <v>227</v>
      </c>
      <c r="D716" s="121">
        <v>46299</v>
      </c>
      <c r="E716" t="s">
        <v>97</v>
      </c>
      <c r="F716" t="s">
        <v>72</v>
      </c>
      <c r="G716" s="122">
        <v>0</v>
      </c>
      <c r="H716" s="122">
        <v>0</v>
      </c>
      <c r="I716" s="112">
        <v>0</v>
      </c>
      <c r="J716" s="112">
        <v>0</v>
      </c>
      <c r="K716" s="23">
        <f t="shared" si="97"/>
        <v>0</v>
      </c>
      <c r="L716" s="23">
        <f t="shared" si="98"/>
        <v>0</v>
      </c>
      <c r="M716" s="12">
        <f t="shared" si="103"/>
        <v>0</v>
      </c>
      <c r="N716" s="23">
        <f t="shared" si="99"/>
        <v>0</v>
      </c>
      <c r="O716" s="41">
        <f t="shared" si="100"/>
        <v>0</v>
      </c>
      <c r="P716" s="13" t="str">
        <f t="shared" si="101"/>
        <v>NO</v>
      </c>
      <c r="Q716" s="23">
        <f t="shared" si="102"/>
        <v>0</v>
      </c>
      <c r="R716" s="12">
        <f t="shared" si="102"/>
        <v>0</v>
      </c>
    </row>
    <row r="717" spans="2:18">
      <c r="B717" t="str">
        <f t="shared" si="96"/>
        <v>LUIS ESTUARDO GARCIA BARILLAS46279</v>
      </c>
      <c r="C717" t="s">
        <v>228</v>
      </c>
      <c r="D717" s="121">
        <v>46279</v>
      </c>
      <c r="E717" t="s">
        <v>98</v>
      </c>
      <c r="F717" t="s">
        <v>72</v>
      </c>
      <c r="G717" s="122">
        <v>0</v>
      </c>
      <c r="H717" s="122">
        <v>0</v>
      </c>
      <c r="I717" s="112">
        <v>0</v>
      </c>
      <c r="J717" s="112">
        <v>0</v>
      </c>
      <c r="K717" s="23">
        <f t="shared" si="97"/>
        <v>0</v>
      </c>
      <c r="L717" s="23">
        <f t="shared" si="98"/>
        <v>0</v>
      </c>
      <c r="M717" s="12">
        <f t="shared" si="103"/>
        <v>0</v>
      </c>
      <c r="N717" s="23">
        <f t="shared" si="99"/>
        <v>0</v>
      </c>
      <c r="O717" s="41">
        <f t="shared" si="100"/>
        <v>0</v>
      </c>
      <c r="P717" s="13" t="str">
        <f t="shared" si="101"/>
        <v>NO</v>
      </c>
      <c r="Q717" s="23">
        <f t="shared" si="102"/>
        <v>0</v>
      </c>
      <c r="R717" s="12">
        <f t="shared" si="102"/>
        <v>0</v>
      </c>
    </row>
    <row r="718" spans="2:18">
      <c r="B718" t="str">
        <f t="shared" si="96"/>
        <v>LUIS ESTUARDO GARCIA BARILLAS46280</v>
      </c>
      <c r="C718" t="s">
        <v>228</v>
      </c>
      <c r="D718" s="121">
        <v>46280</v>
      </c>
      <c r="E718" t="s">
        <v>99</v>
      </c>
      <c r="F718" t="s">
        <v>35</v>
      </c>
      <c r="G718" s="122">
        <v>0.33333333333333298</v>
      </c>
      <c r="H718" s="122">
        <v>0.70833333333333304</v>
      </c>
      <c r="I718" s="112">
        <v>0</v>
      </c>
      <c r="J718" s="112">
        <v>0</v>
      </c>
      <c r="K718" s="23">
        <f t="shared" si="97"/>
        <v>0.33333333333333298</v>
      </c>
      <c r="L718" s="23">
        <f t="shared" si="98"/>
        <v>0</v>
      </c>
      <c r="M718" s="12">
        <f t="shared" si="103"/>
        <v>0.33333333333333298</v>
      </c>
      <c r="N718" s="23">
        <f t="shared" si="99"/>
        <v>0.70833333333333304</v>
      </c>
      <c r="O718" s="41">
        <f t="shared" si="100"/>
        <v>0</v>
      </c>
      <c r="P718" s="13" t="str">
        <f t="shared" si="101"/>
        <v>SI</v>
      </c>
      <c r="Q718" s="23">
        <f t="shared" si="102"/>
        <v>0.33333333333333298</v>
      </c>
      <c r="R718" s="12">
        <f t="shared" si="102"/>
        <v>0.70833333333333304</v>
      </c>
    </row>
    <row r="719" spans="2:18">
      <c r="B719" t="str">
        <f t="shared" si="96"/>
        <v>LUIS ESTUARDO GARCIA BARILLAS46281</v>
      </c>
      <c r="C719" t="s">
        <v>228</v>
      </c>
      <c r="D719" s="121">
        <v>46281</v>
      </c>
      <c r="E719" t="s">
        <v>100</v>
      </c>
      <c r="F719" t="s">
        <v>35</v>
      </c>
      <c r="G719" s="122">
        <v>0.25</v>
      </c>
      <c r="H719" s="122">
        <v>0.75</v>
      </c>
      <c r="I719" s="112">
        <v>0</v>
      </c>
      <c r="J719" s="112">
        <v>0</v>
      </c>
      <c r="K719" s="23">
        <f t="shared" si="97"/>
        <v>0.25</v>
      </c>
      <c r="L719" s="23">
        <f t="shared" si="98"/>
        <v>0</v>
      </c>
      <c r="M719" s="12">
        <f t="shared" si="103"/>
        <v>0.25</v>
      </c>
      <c r="N719" s="23">
        <f t="shared" si="99"/>
        <v>0.75</v>
      </c>
      <c r="O719" s="41">
        <f t="shared" si="100"/>
        <v>0</v>
      </c>
      <c r="P719" s="13" t="str">
        <f t="shared" si="101"/>
        <v>SI</v>
      </c>
      <c r="Q719" s="23">
        <f t="shared" si="102"/>
        <v>0.25</v>
      </c>
      <c r="R719" s="12">
        <f t="shared" si="102"/>
        <v>0.75</v>
      </c>
    </row>
    <row r="720" spans="2:18">
      <c r="B720" t="str">
        <f t="shared" si="96"/>
        <v>LUIS ESTUARDO GARCIA BARILLAS46282</v>
      </c>
      <c r="C720" t="s">
        <v>228</v>
      </c>
      <c r="D720" s="121">
        <v>46282</v>
      </c>
      <c r="E720" t="s">
        <v>101</v>
      </c>
      <c r="F720" t="s">
        <v>35</v>
      </c>
      <c r="G720" s="122">
        <v>0.25</v>
      </c>
      <c r="H720" s="122">
        <v>0.75</v>
      </c>
      <c r="I720" s="112">
        <v>0</v>
      </c>
      <c r="J720" s="112">
        <v>0</v>
      </c>
      <c r="K720" s="23">
        <f t="shared" si="97"/>
        <v>0.25</v>
      </c>
      <c r="L720" s="23">
        <f t="shared" si="98"/>
        <v>0</v>
      </c>
      <c r="M720" s="12">
        <f t="shared" si="103"/>
        <v>0.25</v>
      </c>
      <c r="N720" s="23">
        <f t="shared" si="99"/>
        <v>0.75</v>
      </c>
      <c r="O720" s="41">
        <f t="shared" si="100"/>
        <v>0</v>
      </c>
      <c r="P720" s="13" t="str">
        <f t="shared" si="101"/>
        <v>SI</v>
      </c>
      <c r="Q720" s="23">
        <f t="shared" si="102"/>
        <v>0.25</v>
      </c>
      <c r="R720" s="12">
        <f t="shared" si="102"/>
        <v>0.75</v>
      </c>
    </row>
    <row r="721" spans="2:18">
      <c r="B721" t="str">
        <f t="shared" si="96"/>
        <v>LUIS ESTUARDO GARCIA BARILLAS46283</v>
      </c>
      <c r="C721" t="s">
        <v>228</v>
      </c>
      <c r="D721" s="121">
        <v>46283</v>
      </c>
      <c r="E721" t="s">
        <v>95</v>
      </c>
      <c r="F721" t="s">
        <v>35</v>
      </c>
      <c r="G721" s="122">
        <v>0.25</v>
      </c>
      <c r="H721" s="122">
        <v>0.75</v>
      </c>
      <c r="I721" s="112">
        <v>0</v>
      </c>
      <c r="J721" s="112">
        <v>0</v>
      </c>
      <c r="K721" s="23">
        <f t="shared" si="97"/>
        <v>0.25</v>
      </c>
      <c r="L721" s="23">
        <f t="shared" si="98"/>
        <v>0</v>
      </c>
      <c r="M721" s="12">
        <f t="shared" si="103"/>
        <v>0.25</v>
      </c>
      <c r="N721" s="23">
        <f t="shared" si="99"/>
        <v>0.75</v>
      </c>
      <c r="O721" s="41">
        <f t="shared" si="100"/>
        <v>0</v>
      </c>
      <c r="P721" s="13" t="str">
        <f t="shared" si="101"/>
        <v>SI</v>
      </c>
      <c r="Q721" s="23">
        <f t="shared" si="102"/>
        <v>0.25</v>
      </c>
      <c r="R721" s="12">
        <f t="shared" si="102"/>
        <v>0.75</v>
      </c>
    </row>
    <row r="722" spans="2:18">
      <c r="B722" t="str">
        <f t="shared" si="96"/>
        <v>LUIS ESTUARDO GARCIA BARILLAS46284</v>
      </c>
      <c r="C722" t="s">
        <v>228</v>
      </c>
      <c r="D722" s="121">
        <v>46284</v>
      </c>
      <c r="E722" t="s">
        <v>96</v>
      </c>
      <c r="F722" t="s">
        <v>35</v>
      </c>
      <c r="G722" s="122">
        <v>0.25</v>
      </c>
      <c r="H722" s="122">
        <v>0.58333333333333304</v>
      </c>
      <c r="I722" s="112">
        <v>0</v>
      </c>
      <c r="J722" s="112">
        <v>0</v>
      </c>
      <c r="K722" s="23">
        <f t="shared" si="97"/>
        <v>0.25</v>
      </c>
      <c r="L722" s="23">
        <f t="shared" si="98"/>
        <v>0</v>
      </c>
      <c r="M722" s="12">
        <f t="shared" si="103"/>
        <v>0.25</v>
      </c>
      <c r="N722" s="23">
        <f t="shared" si="99"/>
        <v>0.58333333333333304</v>
      </c>
      <c r="O722" s="41">
        <f t="shared" si="100"/>
        <v>0</v>
      </c>
      <c r="P722" s="13" t="str">
        <f t="shared" si="101"/>
        <v>SI</v>
      </c>
      <c r="Q722" s="23">
        <f t="shared" si="102"/>
        <v>0.25</v>
      </c>
      <c r="R722" s="12">
        <f t="shared" si="102"/>
        <v>0.58333333333333304</v>
      </c>
    </row>
    <row r="723" spans="2:18">
      <c r="B723" t="str">
        <f t="shared" si="96"/>
        <v>LUIS ESTUARDO GARCIA BARILLAS46285</v>
      </c>
      <c r="C723" t="s">
        <v>228</v>
      </c>
      <c r="D723" s="121">
        <v>46285</v>
      </c>
      <c r="E723" t="s">
        <v>97</v>
      </c>
      <c r="F723" t="s">
        <v>72</v>
      </c>
      <c r="G723" s="122">
        <v>0</v>
      </c>
      <c r="H723" s="122">
        <v>0</v>
      </c>
      <c r="I723" s="112">
        <v>0</v>
      </c>
      <c r="J723" s="112">
        <v>0</v>
      </c>
      <c r="K723" s="23">
        <f t="shared" si="97"/>
        <v>0</v>
      </c>
      <c r="L723" s="23">
        <f t="shared" si="98"/>
        <v>0</v>
      </c>
      <c r="M723" s="12">
        <f t="shared" si="103"/>
        <v>0</v>
      </c>
      <c r="N723" s="23">
        <f t="shared" si="99"/>
        <v>0</v>
      </c>
      <c r="O723" s="41">
        <f t="shared" si="100"/>
        <v>0</v>
      </c>
      <c r="P723" s="13" t="str">
        <f t="shared" si="101"/>
        <v>NO</v>
      </c>
      <c r="Q723" s="23">
        <f t="shared" si="102"/>
        <v>0</v>
      </c>
      <c r="R723" s="12">
        <f t="shared" si="102"/>
        <v>0</v>
      </c>
    </row>
    <row r="724" spans="2:18">
      <c r="B724" t="str">
        <f t="shared" si="96"/>
        <v>LUIS ESTUARDO GARCIA BARILLAS46286</v>
      </c>
      <c r="C724" t="s">
        <v>228</v>
      </c>
      <c r="D724" s="121">
        <v>46286</v>
      </c>
      <c r="E724" t="s">
        <v>98</v>
      </c>
      <c r="F724" t="s">
        <v>36</v>
      </c>
      <c r="G724" s="122">
        <v>0.75</v>
      </c>
      <c r="H724" s="122">
        <v>0.25</v>
      </c>
      <c r="I724" s="112">
        <v>0</v>
      </c>
      <c r="J724" s="112">
        <v>0</v>
      </c>
      <c r="K724" s="23">
        <f t="shared" si="97"/>
        <v>0.75</v>
      </c>
      <c r="L724" s="23">
        <f t="shared" si="98"/>
        <v>0</v>
      </c>
      <c r="M724" s="12">
        <f t="shared" si="103"/>
        <v>0.75</v>
      </c>
      <c r="N724" s="23">
        <f t="shared" si="99"/>
        <v>0.25</v>
      </c>
      <c r="O724" s="41">
        <f t="shared" si="100"/>
        <v>0</v>
      </c>
      <c r="P724" s="13" t="str">
        <f t="shared" si="101"/>
        <v>SI</v>
      </c>
      <c r="Q724" s="23">
        <f t="shared" si="102"/>
        <v>0.75</v>
      </c>
      <c r="R724" s="12">
        <f t="shared" si="102"/>
        <v>0.25</v>
      </c>
    </row>
    <row r="725" spans="2:18">
      <c r="B725" t="str">
        <f t="shared" si="96"/>
        <v>LUIS ESTUARDO GARCIA BARILLAS46287</v>
      </c>
      <c r="C725" t="s">
        <v>228</v>
      </c>
      <c r="D725" s="121">
        <v>46287</v>
      </c>
      <c r="E725" t="s">
        <v>99</v>
      </c>
      <c r="F725" t="s">
        <v>36</v>
      </c>
      <c r="G725" s="122">
        <v>0.75</v>
      </c>
      <c r="H725" s="122">
        <v>0.25</v>
      </c>
      <c r="I725" s="112">
        <v>0</v>
      </c>
      <c r="J725" s="112">
        <v>0</v>
      </c>
      <c r="K725" s="23">
        <f t="shared" si="97"/>
        <v>0.75</v>
      </c>
      <c r="L725" s="23">
        <f t="shared" si="98"/>
        <v>0</v>
      </c>
      <c r="M725" s="12">
        <f t="shared" si="103"/>
        <v>0.75</v>
      </c>
      <c r="N725" s="23">
        <f t="shared" si="99"/>
        <v>0.25</v>
      </c>
      <c r="O725" s="41">
        <f t="shared" si="100"/>
        <v>0</v>
      </c>
      <c r="P725" s="13" t="str">
        <f t="shared" si="101"/>
        <v>SI</v>
      </c>
      <c r="Q725" s="23">
        <f t="shared" si="102"/>
        <v>0.75</v>
      </c>
      <c r="R725" s="12">
        <f t="shared" si="102"/>
        <v>0.25</v>
      </c>
    </row>
    <row r="726" spans="2:18">
      <c r="B726" t="str">
        <f t="shared" si="96"/>
        <v>LUIS ESTUARDO GARCIA BARILLAS46288</v>
      </c>
      <c r="C726" t="s">
        <v>228</v>
      </c>
      <c r="D726" s="121">
        <v>46288</v>
      </c>
      <c r="E726" t="s">
        <v>100</v>
      </c>
      <c r="F726" t="s">
        <v>36</v>
      </c>
      <c r="G726" s="122">
        <v>0.75</v>
      </c>
      <c r="H726" s="122">
        <v>0.25</v>
      </c>
      <c r="I726" s="112">
        <v>0</v>
      </c>
      <c r="J726" s="112">
        <v>0</v>
      </c>
      <c r="K726" s="23">
        <f t="shared" si="97"/>
        <v>0.75</v>
      </c>
      <c r="L726" s="23">
        <f t="shared" si="98"/>
        <v>0</v>
      </c>
      <c r="M726" s="12">
        <f t="shared" si="103"/>
        <v>0.75</v>
      </c>
      <c r="N726" s="23">
        <f t="shared" si="99"/>
        <v>0.25</v>
      </c>
      <c r="O726" s="41">
        <f t="shared" si="100"/>
        <v>0</v>
      </c>
      <c r="P726" s="13" t="str">
        <f t="shared" si="101"/>
        <v>SI</v>
      </c>
      <c r="Q726" s="23">
        <f t="shared" si="102"/>
        <v>0.75</v>
      </c>
      <c r="R726" s="12">
        <f t="shared" si="102"/>
        <v>0.25</v>
      </c>
    </row>
    <row r="727" spans="2:18">
      <c r="B727" t="str">
        <f t="shared" si="96"/>
        <v>LUIS ESTUARDO GARCIA BARILLAS46289</v>
      </c>
      <c r="C727" t="s">
        <v>228</v>
      </c>
      <c r="D727" s="121">
        <v>46289</v>
      </c>
      <c r="E727" t="s">
        <v>101</v>
      </c>
      <c r="F727" t="s">
        <v>36</v>
      </c>
      <c r="G727" s="122">
        <v>0.75</v>
      </c>
      <c r="H727" s="122">
        <v>0.25</v>
      </c>
      <c r="I727" s="112">
        <v>0</v>
      </c>
      <c r="J727" s="112">
        <v>0</v>
      </c>
      <c r="K727" s="23">
        <f t="shared" si="97"/>
        <v>0.75</v>
      </c>
      <c r="L727" s="23">
        <f t="shared" si="98"/>
        <v>0</v>
      </c>
      <c r="M727" s="12">
        <f t="shared" si="103"/>
        <v>0.75</v>
      </c>
      <c r="N727" s="23">
        <f t="shared" si="99"/>
        <v>0.25</v>
      </c>
      <c r="O727" s="41">
        <f t="shared" si="100"/>
        <v>0</v>
      </c>
      <c r="P727" s="13" t="str">
        <f t="shared" si="101"/>
        <v>SI</v>
      </c>
      <c r="Q727" s="23">
        <f t="shared" si="102"/>
        <v>0.75</v>
      </c>
      <c r="R727" s="12">
        <f t="shared" si="102"/>
        <v>0.25</v>
      </c>
    </row>
    <row r="728" spans="2:18">
      <c r="B728" t="str">
        <f t="shared" si="96"/>
        <v>LUIS ESTUARDO GARCIA BARILLAS46290</v>
      </c>
      <c r="C728" t="s">
        <v>228</v>
      </c>
      <c r="D728" s="121">
        <v>46290</v>
      </c>
      <c r="E728" t="s">
        <v>95</v>
      </c>
      <c r="F728" t="s">
        <v>36</v>
      </c>
      <c r="G728" s="122">
        <v>0.75</v>
      </c>
      <c r="H728" s="122">
        <v>0.25</v>
      </c>
      <c r="I728" s="112">
        <v>0</v>
      </c>
      <c r="J728" s="112">
        <v>0</v>
      </c>
      <c r="K728" s="23">
        <f t="shared" si="97"/>
        <v>0.75</v>
      </c>
      <c r="L728" s="23">
        <f t="shared" si="98"/>
        <v>0</v>
      </c>
      <c r="M728" s="12">
        <f t="shared" si="103"/>
        <v>0.75</v>
      </c>
      <c r="N728" s="23">
        <f t="shared" si="99"/>
        <v>0.25</v>
      </c>
      <c r="O728" s="41">
        <f t="shared" si="100"/>
        <v>0</v>
      </c>
      <c r="P728" s="13" t="str">
        <f t="shared" si="101"/>
        <v>SI</v>
      </c>
      <c r="Q728" s="23">
        <f t="shared" si="102"/>
        <v>0.75</v>
      </c>
      <c r="R728" s="12">
        <f t="shared" si="102"/>
        <v>0.25</v>
      </c>
    </row>
    <row r="729" spans="2:18">
      <c r="B729" t="str">
        <f t="shared" si="96"/>
        <v>LUIS ESTUARDO GARCIA BARILLAS46291</v>
      </c>
      <c r="C729" t="s">
        <v>228</v>
      </c>
      <c r="D729" s="121">
        <v>46291</v>
      </c>
      <c r="E729" t="s">
        <v>96</v>
      </c>
      <c r="F729" t="s">
        <v>72</v>
      </c>
      <c r="G729" s="122">
        <v>0</v>
      </c>
      <c r="H729" s="122">
        <v>0</v>
      </c>
      <c r="I729" s="112">
        <v>0</v>
      </c>
      <c r="J729" s="112">
        <v>0</v>
      </c>
      <c r="K729" s="23">
        <f t="shared" si="97"/>
        <v>0</v>
      </c>
      <c r="L729" s="23">
        <f t="shared" si="98"/>
        <v>0</v>
      </c>
      <c r="M729" s="12">
        <f t="shared" si="103"/>
        <v>0</v>
      </c>
      <c r="N729" s="23">
        <f t="shared" si="99"/>
        <v>0</v>
      </c>
      <c r="O729" s="41">
        <f t="shared" si="100"/>
        <v>0</v>
      </c>
      <c r="P729" s="13" t="str">
        <f t="shared" si="101"/>
        <v>NO</v>
      </c>
      <c r="Q729" s="23">
        <f t="shared" si="102"/>
        <v>0</v>
      </c>
      <c r="R729" s="12">
        <f t="shared" si="102"/>
        <v>0</v>
      </c>
    </row>
    <row r="730" spans="2:18">
      <c r="B730" t="str">
        <f t="shared" si="96"/>
        <v>LUIS ESTUARDO GARCIA BARILLAS46292</v>
      </c>
      <c r="C730" t="s">
        <v>228</v>
      </c>
      <c r="D730" s="121">
        <v>46292</v>
      </c>
      <c r="E730" t="s">
        <v>97</v>
      </c>
      <c r="F730" t="s">
        <v>72</v>
      </c>
      <c r="G730" s="122">
        <v>0</v>
      </c>
      <c r="H730" s="122">
        <v>0</v>
      </c>
      <c r="I730" s="112">
        <v>0</v>
      </c>
      <c r="J730" s="112">
        <v>0</v>
      </c>
      <c r="K730" s="23">
        <f t="shared" si="97"/>
        <v>0</v>
      </c>
      <c r="L730" s="23">
        <f t="shared" si="98"/>
        <v>0</v>
      </c>
      <c r="M730" s="12">
        <f t="shared" si="103"/>
        <v>0</v>
      </c>
      <c r="N730" s="23">
        <f t="shared" si="99"/>
        <v>0</v>
      </c>
      <c r="O730" s="41">
        <f t="shared" si="100"/>
        <v>0</v>
      </c>
      <c r="P730" s="13" t="str">
        <f t="shared" si="101"/>
        <v>NO</v>
      </c>
      <c r="Q730" s="23">
        <f t="shared" si="102"/>
        <v>0</v>
      </c>
      <c r="R730" s="12">
        <f t="shared" si="102"/>
        <v>0</v>
      </c>
    </row>
    <row r="731" spans="2:18">
      <c r="B731" t="str">
        <f t="shared" si="96"/>
        <v>LUIS ESTUARDO GARCIA BARILLAS46293</v>
      </c>
      <c r="C731" t="s">
        <v>228</v>
      </c>
      <c r="D731" s="121">
        <v>46293</v>
      </c>
      <c r="E731" t="s">
        <v>98</v>
      </c>
      <c r="F731" t="s">
        <v>35</v>
      </c>
      <c r="G731" s="122">
        <v>0.25</v>
      </c>
      <c r="H731" s="122">
        <v>0.75</v>
      </c>
      <c r="I731" s="112">
        <v>0</v>
      </c>
      <c r="J731" s="112">
        <v>0</v>
      </c>
      <c r="K731" s="23">
        <f t="shared" si="97"/>
        <v>0.25</v>
      </c>
      <c r="L731" s="23">
        <f t="shared" si="98"/>
        <v>0</v>
      </c>
      <c r="M731" s="12">
        <f t="shared" si="103"/>
        <v>0.25</v>
      </c>
      <c r="N731" s="23">
        <f t="shared" si="99"/>
        <v>0.75</v>
      </c>
      <c r="O731" s="41">
        <f t="shared" si="100"/>
        <v>0</v>
      </c>
      <c r="P731" s="13" t="str">
        <f t="shared" si="101"/>
        <v>SI</v>
      </c>
      <c r="Q731" s="23">
        <f t="shared" si="102"/>
        <v>0.25</v>
      </c>
      <c r="R731" s="12">
        <f t="shared" si="102"/>
        <v>0.75</v>
      </c>
    </row>
    <row r="732" spans="2:18">
      <c r="B732" t="str">
        <f t="shared" si="96"/>
        <v>LUIS ESTUARDO GARCIA BARILLAS46294</v>
      </c>
      <c r="C732" t="s">
        <v>228</v>
      </c>
      <c r="D732" s="121">
        <v>46294</v>
      </c>
      <c r="E732" t="s">
        <v>99</v>
      </c>
      <c r="F732" t="s">
        <v>35</v>
      </c>
      <c r="G732" s="122">
        <v>0.25</v>
      </c>
      <c r="H732" s="122">
        <v>0.75</v>
      </c>
      <c r="I732" s="112">
        <v>0</v>
      </c>
      <c r="J732" s="112">
        <v>0</v>
      </c>
      <c r="K732" s="23">
        <f t="shared" si="97"/>
        <v>0.25</v>
      </c>
      <c r="L732" s="23">
        <f t="shared" si="98"/>
        <v>0</v>
      </c>
      <c r="M732" s="12">
        <f t="shared" si="103"/>
        <v>0.25</v>
      </c>
      <c r="N732" s="23">
        <f t="shared" si="99"/>
        <v>0.75</v>
      </c>
      <c r="O732" s="41">
        <f t="shared" si="100"/>
        <v>0</v>
      </c>
      <c r="P732" s="13" t="str">
        <f t="shared" si="101"/>
        <v>SI</v>
      </c>
      <c r="Q732" s="23">
        <f t="shared" si="102"/>
        <v>0.25</v>
      </c>
      <c r="R732" s="12">
        <f t="shared" si="102"/>
        <v>0.75</v>
      </c>
    </row>
    <row r="733" spans="2:18">
      <c r="B733" t="str">
        <f t="shared" si="96"/>
        <v>LUIS ESTUARDO GARCIA BARILLAS46295</v>
      </c>
      <c r="C733" t="s">
        <v>228</v>
      </c>
      <c r="D733" s="121">
        <v>46295</v>
      </c>
      <c r="E733" t="s">
        <v>100</v>
      </c>
      <c r="F733" t="s">
        <v>35</v>
      </c>
      <c r="G733" s="122">
        <v>0.25</v>
      </c>
      <c r="H733" s="122">
        <v>0.75</v>
      </c>
      <c r="I733" s="112">
        <v>0</v>
      </c>
      <c r="J733" s="112">
        <v>0</v>
      </c>
      <c r="K733" s="23">
        <f t="shared" si="97"/>
        <v>0.25</v>
      </c>
      <c r="L733" s="23">
        <f t="shared" si="98"/>
        <v>0</v>
      </c>
      <c r="M733" s="12">
        <f t="shared" si="103"/>
        <v>0.25</v>
      </c>
      <c r="N733" s="23">
        <f t="shared" si="99"/>
        <v>0.75</v>
      </c>
      <c r="O733" s="41">
        <f t="shared" si="100"/>
        <v>0</v>
      </c>
      <c r="P733" s="13" t="str">
        <f t="shared" si="101"/>
        <v>SI</v>
      </c>
      <c r="Q733" s="23">
        <f t="shared" si="102"/>
        <v>0.25</v>
      </c>
      <c r="R733" s="12">
        <f t="shared" si="102"/>
        <v>0.75</v>
      </c>
    </row>
    <row r="734" spans="2:18">
      <c r="B734" t="str">
        <f t="shared" si="96"/>
        <v>LUIS ESTUARDO GARCIA BARILLAS46296</v>
      </c>
      <c r="C734" t="s">
        <v>228</v>
      </c>
      <c r="D734" s="121">
        <v>46296</v>
      </c>
      <c r="E734" t="s">
        <v>101</v>
      </c>
      <c r="F734" t="s">
        <v>35</v>
      </c>
      <c r="G734" s="122">
        <v>0.25</v>
      </c>
      <c r="H734" s="122">
        <v>0.75</v>
      </c>
      <c r="I734" s="112">
        <v>0</v>
      </c>
      <c r="J734" s="112">
        <v>0</v>
      </c>
      <c r="K734" s="23">
        <f t="shared" si="97"/>
        <v>0.25</v>
      </c>
      <c r="L734" s="23">
        <f t="shared" si="98"/>
        <v>0</v>
      </c>
      <c r="M734" s="12">
        <f t="shared" si="103"/>
        <v>0.25</v>
      </c>
      <c r="N734" s="23">
        <f t="shared" si="99"/>
        <v>0.75</v>
      </c>
      <c r="O734" s="41">
        <f t="shared" si="100"/>
        <v>0</v>
      </c>
      <c r="P734" s="13" t="str">
        <f t="shared" si="101"/>
        <v>SI</v>
      </c>
      <c r="Q734" s="23">
        <f t="shared" si="102"/>
        <v>0.25</v>
      </c>
      <c r="R734" s="12">
        <f t="shared" si="102"/>
        <v>0.75</v>
      </c>
    </row>
    <row r="735" spans="2:18">
      <c r="B735" t="str">
        <f t="shared" si="96"/>
        <v>LUIS ESTUARDO GARCIA BARILLAS46297</v>
      </c>
      <c r="C735" t="s">
        <v>228</v>
      </c>
      <c r="D735" s="121">
        <v>46297</v>
      </c>
      <c r="E735" t="s">
        <v>95</v>
      </c>
      <c r="F735" t="s">
        <v>35</v>
      </c>
      <c r="G735" s="122">
        <v>0.25</v>
      </c>
      <c r="H735" s="122">
        <v>0.75</v>
      </c>
      <c r="I735" s="112">
        <v>0</v>
      </c>
      <c r="J735" s="112">
        <v>0</v>
      </c>
      <c r="K735" s="23">
        <f t="shared" si="97"/>
        <v>0.25</v>
      </c>
      <c r="L735" s="23">
        <f t="shared" si="98"/>
        <v>0</v>
      </c>
      <c r="M735" s="12">
        <f t="shared" si="103"/>
        <v>0.25</v>
      </c>
      <c r="N735" s="23">
        <f t="shared" si="99"/>
        <v>0.75</v>
      </c>
      <c r="O735" s="41">
        <f t="shared" si="100"/>
        <v>0</v>
      </c>
      <c r="P735" s="13" t="str">
        <f t="shared" si="101"/>
        <v>SI</v>
      </c>
      <c r="Q735" s="23">
        <f t="shared" si="102"/>
        <v>0.25</v>
      </c>
      <c r="R735" s="12">
        <f t="shared" si="102"/>
        <v>0.75</v>
      </c>
    </row>
    <row r="736" spans="2:18">
      <c r="B736" t="str">
        <f t="shared" si="96"/>
        <v>LUIS ESTUARDO GARCIA BARILLAS46298</v>
      </c>
      <c r="C736" t="s">
        <v>228</v>
      </c>
      <c r="D736" s="121">
        <v>46298</v>
      </c>
      <c r="E736" t="s">
        <v>96</v>
      </c>
      <c r="F736" t="s">
        <v>35</v>
      </c>
      <c r="G736" s="122">
        <v>0.33333333333333298</v>
      </c>
      <c r="H736" s="122">
        <v>0.70833333333333304</v>
      </c>
      <c r="I736" s="112">
        <v>0</v>
      </c>
      <c r="J736" s="112">
        <v>0</v>
      </c>
      <c r="K736" s="23">
        <f t="shared" si="97"/>
        <v>0.33333333333333298</v>
      </c>
      <c r="L736" s="23">
        <f t="shared" si="98"/>
        <v>0</v>
      </c>
      <c r="M736" s="12">
        <f t="shared" si="103"/>
        <v>0.33333333333333298</v>
      </c>
      <c r="N736" s="23">
        <f t="shared" si="99"/>
        <v>0.70833333333333304</v>
      </c>
      <c r="O736" s="41">
        <f t="shared" si="100"/>
        <v>0</v>
      </c>
      <c r="P736" s="13" t="str">
        <f t="shared" si="101"/>
        <v>SI</v>
      </c>
      <c r="Q736" s="23">
        <f t="shared" si="102"/>
        <v>0.33333333333333298</v>
      </c>
      <c r="R736" s="12">
        <f t="shared" si="102"/>
        <v>0.70833333333333304</v>
      </c>
    </row>
    <row r="737" spans="2:18">
      <c r="B737" t="str">
        <f t="shared" ref="B737:B800" si="104">+C737&amp;D737</f>
        <v>LUIS ESTUARDO GARCIA BARILLAS46299</v>
      </c>
      <c r="C737" t="s">
        <v>228</v>
      </c>
      <c r="D737" s="121">
        <v>46299</v>
      </c>
      <c r="E737" t="s">
        <v>97</v>
      </c>
      <c r="F737" t="s">
        <v>72</v>
      </c>
      <c r="G737" s="122">
        <v>0</v>
      </c>
      <c r="H737" s="122">
        <v>0</v>
      </c>
      <c r="I737" s="112">
        <v>0</v>
      </c>
      <c r="J737" s="112">
        <v>0</v>
      </c>
      <c r="K737" s="23">
        <f t="shared" ref="K737:K800" si="105">+IFERROR(G737,0)</f>
        <v>0</v>
      </c>
      <c r="L737" s="23">
        <f t="shared" ref="L737:L800" si="106">+I737</f>
        <v>0</v>
      </c>
      <c r="M737" s="12">
        <f t="shared" si="103"/>
        <v>0</v>
      </c>
      <c r="N737" s="23">
        <f t="shared" ref="N737:N800" si="107">+H737</f>
        <v>0</v>
      </c>
      <c r="O737" s="41">
        <f t="shared" ref="O737:O800" si="108">+J737</f>
        <v>0</v>
      </c>
      <c r="P737" s="13" t="str">
        <f t="shared" ref="P737:P800" si="109">+IF(O737&lt;N737,"SI","NO")</f>
        <v>NO</v>
      </c>
      <c r="Q737" s="23">
        <f t="shared" ref="Q737:R800" si="110">+M737</f>
        <v>0</v>
      </c>
      <c r="R737" s="12">
        <f t="shared" si="110"/>
        <v>0</v>
      </c>
    </row>
    <row r="738" spans="2:18">
      <c r="B738" t="str">
        <f t="shared" si="104"/>
        <v>Lusvin Ardani Alvizures46279</v>
      </c>
      <c r="C738" t="s">
        <v>229</v>
      </c>
      <c r="D738" s="121">
        <v>46279</v>
      </c>
      <c r="E738" t="s">
        <v>98</v>
      </c>
      <c r="F738" t="s">
        <v>72</v>
      </c>
      <c r="G738" s="122">
        <v>0</v>
      </c>
      <c r="H738" s="122">
        <v>0</v>
      </c>
      <c r="I738" s="112">
        <v>0</v>
      </c>
      <c r="J738" s="112">
        <v>0</v>
      </c>
      <c r="K738" s="23">
        <f t="shared" si="105"/>
        <v>0</v>
      </c>
      <c r="L738" s="23">
        <f t="shared" si="106"/>
        <v>0</v>
      </c>
      <c r="M738" s="12">
        <f t="shared" ref="M738:M801" si="111">+IFERROR(MAX(K738:L738),0)</f>
        <v>0</v>
      </c>
      <c r="N738" s="23">
        <f t="shared" si="107"/>
        <v>0</v>
      </c>
      <c r="O738" s="41">
        <f t="shared" si="108"/>
        <v>0</v>
      </c>
      <c r="P738" s="13" t="str">
        <f t="shared" si="109"/>
        <v>NO</v>
      </c>
      <c r="Q738" s="23">
        <f t="shared" si="110"/>
        <v>0</v>
      </c>
      <c r="R738" s="12">
        <f t="shared" si="110"/>
        <v>0</v>
      </c>
    </row>
    <row r="739" spans="2:18">
      <c r="B739" t="str">
        <f t="shared" si="104"/>
        <v>Lusvin Ardani Alvizures46280</v>
      </c>
      <c r="C739" t="s">
        <v>229</v>
      </c>
      <c r="D739" s="121">
        <v>46280</v>
      </c>
      <c r="E739" t="s">
        <v>99</v>
      </c>
      <c r="F739" t="s">
        <v>35</v>
      </c>
      <c r="G739" s="122">
        <v>0.33333333333333298</v>
      </c>
      <c r="H739" s="122">
        <v>0.70833333333333304</v>
      </c>
      <c r="I739" s="112">
        <v>0</v>
      </c>
      <c r="J739" s="112">
        <v>0</v>
      </c>
      <c r="K739" s="23">
        <f t="shared" si="105"/>
        <v>0.33333333333333298</v>
      </c>
      <c r="L739" s="23">
        <f t="shared" si="106"/>
        <v>0</v>
      </c>
      <c r="M739" s="12">
        <f t="shared" si="111"/>
        <v>0.33333333333333298</v>
      </c>
      <c r="N739" s="23">
        <f t="shared" si="107"/>
        <v>0.70833333333333304</v>
      </c>
      <c r="O739" s="41">
        <f t="shared" si="108"/>
        <v>0</v>
      </c>
      <c r="P739" s="13" t="str">
        <f t="shared" si="109"/>
        <v>SI</v>
      </c>
      <c r="Q739" s="23">
        <f t="shared" si="110"/>
        <v>0.33333333333333298</v>
      </c>
      <c r="R739" s="12">
        <f t="shared" si="110"/>
        <v>0.70833333333333304</v>
      </c>
    </row>
    <row r="740" spans="2:18">
      <c r="B740" t="str">
        <f t="shared" si="104"/>
        <v>Lusvin Ardani Alvizures46281</v>
      </c>
      <c r="C740" t="s">
        <v>229</v>
      </c>
      <c r="D740" s="121">
        <v>46281</v>
      </c>
      <c r="E740" t="s">
        <v>100</v>
      </c>
      <c r="F740" t="s">
        <v>35</v>
      </c>
      <c r="G740" s="122">
        <v>0.33333333333333298</v>
      </c>
      <c r="H740" s="122">
        <v>0.70833333333333304</v>
      </c>
      <c r="I740" s="112">
        <v>0</v>
      </c>
      <c r="J740" s="112">
        <v>0</v>
      </c>
      <c r="K740" s="23">
        <f t="shared" si="105"/>
        <v>0.33333333333333298</v>
      </c>
      <c r="L740" s="23">
        <f t="shared" si="106"/>
        <v>0</v>
      </c>
      <c r="M740" s="12">
        <f t="shared" si="111"/>
        <v>0.33333333333333298</v>
      </c>
      <c r="N740" s="23">
        <f t="shared" si="107"/>
        <v>0.70833333333333304</v>
      </c>
      <c r="O740" s="41">
        <f t="shared" si="108"/>
        <v>0</v>
      </c>
      <c r="P740" s="13" t="str">
        <f t="shared" si="109"/>
        <v>SI</v>
      </c>
      <c r="Q740" s="23">
        <f t="shared" si="110"/>
        <v>0.33333333333333298</v>
      </c>
      <c r="R740" s="12">
        <f t="shared" si="110"/>
        <v>0.70833333333333304</v>
      </c>
    </row>
    <row r="741" spans="2:18">
      <c r="B741" t="str">
        <f t="shared" si="104"/>
        <v>Lusvin Ardani Alvizures46282</v>
      </c>
      <c r="C741" t="s">
        <v>229</v>
      </c>
      <c r="D741" s="121">
        <v>46282</v>
      </c>
      <c r="E741" t="s">
        <v>101</v>
      </c>
      <c r="F741" t="s">
        <v>35</v>
      </c>
      <c r="G741" s="122">
        <v>0.33333333333333298</v>
      </c>
      <c r="H741" s="122">
        <v>0.70833333333333304</v>
      </c>
      <c r="I741" s="112">
        <v>0</v>
      </c>
      <c r="J741" s="112">
        <v>0</v>
      </c>
      <c r="K741" s="23">
        <f t="shared" si="105"/>
        <v>0.33333333333333298</v>
      </c>
      <c r="L741" s="23">
        <f t="shared" si="106"/>
        <v>0</v>
      </c>
      <c r="M741" s="12">
        <f t="shared" si="111"/>
        <v>0.33333333333333298</v>
      </c>
      <c r="N741" s="23">
        <f t="shared" si="107"/>
        <v>0.70833333333333304</v>
      </c>
      <c r="O741" s="41">
        <f t="shared" si="108"/>
        <v>0</v>
      </c>
      <c r="P741" s="13" t="str">
        <f t="shared" si="109"/>
        <v>SI</v>
      </c>
      <c r="Q741" s="23">
        <f t="shared" si="110"/>
        <v>0.33333333333333298</v>
      </c>
      <c r="R741" s="12">
        <f t="shared" si="110"/>
        <v>0.70833333333333304</v>
      </c>
    </row>
    <row r="742" spans="2:18">
      <c r="B742" t="str">
        <f t="shared" si="104"/>
        <v>Lusvin Ardani Alvizures46283</v>
      </c>
      <c r="C742" t="s">
        <v>229</v>
      </c>
      <c r="D742" s="121">
        <v>46283</v>
      </c>
      <c r="E742" t="s">
        <v>95</v>
      </c>
      <c r="F742" t="s">
        <v>35</v>
      </c>
      <c r="G742" s="122">
        <v>0.33333333333333298</v>
      </c>
      <c r="H742" s="122">
        <v>0.70833333333333304</v>
      </c>
      <c r="I742" s="112">
        <v>0</v>
      </c>
      <c r="J742" s="112">
        <v>0</v>
      </c>
      <c r="K742" s="23">
        <f t="shared" si="105"/>
        <v>0.33333333333333298</v>
      </c>
      <c r="L742" s="23">
        <f t="shared" si="106"/>
        <v>0</v>
      </c>
      <c r="M742" s="12">
        <f t="shared" si="111"/>
        <v>0.33333333333333298</v>
      </c>
      <c r="N742" s="23">
        <f t="shared" si="107"/>
        <v>0.70833333333333304</v>
      </c>
      <c r="O742" s="41">
        <f t="shared" si="108"/>
        <v>0</v>
      </c>
      <c r="P742" s="13" t="str">
        <f t="shared" si="109"/>
        <v>SI</v>
      </c>
      <c r="Q742" s="23">
        <f t="shared" si="110"/>
        <v>0.33333333333333298</v>
      </c>
      <c r="R742" s="12">
        <f t="shared" si="110"/>
        <v>0.70833333333333304</v>
      </c>
    </row>
    <row r="743" spans="2:18">
      <c r="B743" t="str">
        <f t="shared" si="104"/>
        <v>Lusvin Ardani Alvizures46284</v>
      </c>
      <c r="C743" t="s">
        <v>229</v>
      </c>
      <c r="D743" s="121">
        <v>46284</v>
      </c>
      <c r="E743" t="s">
        <v>96</v>
      </c>
      <c r="F743" t="s">
        <v>35</v>
      </c>
      <c r="G743" s="122">
        <v>0.33333333333333298</v>
      </c>
      <c r="H743" s="122">
        <v>0.70833333333333304</v>
      </c>
      <c r="I743" s="112">
        <v>0</v>
      </c>
      <c r="J743" s="112">
        <v>0</v>
      </c>
      <c r="K743" s="23">
        <f t="shared" si="105"/>
        <v>0.33333333333333298</v>
      </c>
      <c r="L743" s="23">
        <f t="shared" si="106"/>
        <v>0</v>
      </c>
      <c r="M743" s="12">
        <f t="shared" si="111"/>
        <v>0.33333333333333298</v>
      </c>
      <c r="N743" s="23">
        <f t="shared" si="107"/>
        <v>0.70833333333333304</v>
      </c>
      <c r="O743" s="41">
        <f t="shared" si="108"/>
        <v>0</v>
      </c>
      <c r="P743" s="13" t="str">
        <f t="shared" si="109"/>
        <v>SI</v>
      </c>
      <c r="Q743" s="23">
        <f t="shared" si="110"/>
        <v>0.33333333333333298</v>
      </c>
      <c r="R743" s="12">
        <f t="shared" si="110"/>
        <v>0.70833333333333304</v>
      </c>
    </row>
    <row r="744" spans="2:18">
      <c r="B744" t="str">
        <f t="shared" si="104"/>
        <v>Lusvin Ardani Alvizures46285</v>
      </c>
      <c r="C744" t="s">
        <v>229</v>
      </c>
      <c r="D744" s="121">
        <v>46285</v>
      </c>
      <c r="E744" t="s">
        <v>97</v>
      </c>
      <c r="F744" t="s">
        <v>72</v>
      </c>
      <c r="G744" s="122">
        <v>0</v>
      </c>
      <c r="H744" s="122">
        <v>0</v>
      </c>
      <c r="I744" s="112">
        <v>0</v>
      </c>
      <c r="J744" s="112">
        <v>0</v>
      </c>
      <c r="K744" s="23">
        <f t="shared" si="105"/>
        <v>0</v>
      </c>
      <c r="L744" s="23">
        <f t="shared" si="106"/>
        <v>0</v>
      </c>
      <c r="M744" s="12">
        <f t="shared" si="111"/>
        <v>0</v>
      </c>
      <c r="N744" s="23">
        <f t="shared" si="107"/>
        <v>0</v>
      </c>
      <c r="O744" s="41">
        <f t="shared" si="108"/>
        <v>0</v>
      </c>
      <c r="P744" s="13" t="str">
        <f t="shared" si="109"/>
        <v>NO</v>
      </c>
      <c r="Q744" s="23">
        <f t="shared" si="110"/>
        <v>0</v>
      </c>
      <c r="R744" s="12">
        <f t="shared" si="110"/>
        <v>0</v>
      </c>
    </row>
    <row r="745" spans="2:18">
      <c r="B745" t="str">
        <f t="shared" si="104"/>
        <v>Lusvin Ardani Alvizures46286</v>
      </c>
      <c r="C745" t="s">
        <v>229</v>
      </c>
      <c r="D745" s="121">
        <v>46286</v>
      </c>
      <c r="E745" t="s">
        <v>98</v>
      </c>
      <c r="F745" t="s">
        <v>35</v>
      </c>
      <c r="G745" s="122">
        <v>0.29166666666666702</v>
      </c>
      <c r="H745" s="122">
        <v>0.66666666666666696</v>
      </c>
      <c r="I745" s="112">
        <v>0</v>
      </c>
      <c r="J745" s="112">
        <v>0</v>
      </c>
      <c r="K745" s="23">
        <f t="shared" si="105"/>
        <v>0.29166666666666702</v>
      </c>
      <c r="L745" s="23">
        <f t="shared" si="106"/>
        <v>0</v>
      </c>
      <c r="M745" s="12">
        <f t="shared" si="111"/>
        <v>0.29166666666666702</v>
      </c>
      <c r="N745" s="23">
        <f t="shared" si="107"/>
        <v>0.66666666666666696</v>
      </c>
      <c r="O745" s="41">
        <f t="shared" si="108"/>
        <v>0</v>
      </c>
      <c r="P745" s="13" t="str">
        <f t="shared" si="109"/>
        <v>SI</v>
      </c>
      <c r="Q745" s="23">
        <f t="shared" si="110"/>
        <v>0.29166666666666702</v>
      </c>
      <c r="R745" s="12">
        <f t="shared" si="110"/>
        <v>0.66666666666666696</v>
      </c>
    </row>
    <row r="746" spans="2:18">
      <c r="B746" t="str">
        <f t="shared" si="104"/>
        <v>Lusvin Ardani Alvizures46287</v>
      </c>
      <c r="C746" t="s">
        <v>229</v>
      </c>
      <c r="D746" s="121">
        <v>46287</v>
      </c>
      <c r="E746" t="s">
        <v>99</v>
      </c>
      <c r="F746" t="s">
        <v>35</v>
      </c>
      <c r="G746" s="122">
        <v>0.29166666666666702</v>
      </c>
      <c r="H746" s="122">
        <v>0.70833333333333304</v>
      </c>
      <c r="I746" s="112">
        <v>0</v>
      </c>
      <c r="J746" s="112">
        <v>0</v>
      </c>
      <c r="K746" s="23">
        <f t="shared" si="105"/>
        <v>0.29166666666666702</v>
      </c>
      <c r="L746" s="23">
        <f t="shared" si="106"/>
        <v>0</v>
      </c>
      <c r="M746" s="12">
        <f t="shared" si="111"/>
        <v>0.29166666666666702</v>
      </c>
      <c r="N746" s="23">
        <f t="shared" si="107"/>
        <v>0.70833333333333304</v>
      </c>
      <c r="O746" s="41">
        <f t="shared" si="108"/>
        <v>0</v>
      </c>
      <c r="P746" s="13" t="str">
        <f t="shared" si="109"/>
        <v>SI</v>
      </c>
      <c r="Q746" s="23">
        <f t="shared" si="110"/>
        <v>0.29166666666666702</v>
      </c>
      <c r="R746" s="12">
        <f t="shared" si="110"/>
        <v>0.70833333333333304</v>
      </c>
    </row>
    <row r="747" spans="2:18">
      <c r="B747" t="str">
        <f t="shared" si="104"/>
        <v>Lusvin Ardani Alvizures46288</v>
      </c>
      <c r="C747" t="s">
        <v>229</v>
      </c>
      <c r="D747" s="121">
        <v>46288</v>
      </c>
      <c r="E747" t="s">
        <v>100</v>
      </c>
      <c r="F747" t="s">
        <v>35</v>
      </c>
      <c r="G747" s="122">
        <v>0.25</v>
      </c>
      <c r="H747" s="122">
        <v>0.75</v>
      </c>
      <c r="I747" s="112">
        <v>0</v>
      </c>
      <c r="J747" s="112">
        <v>0</v>
      </c>
      <c r="K747" s="23">
        <f t="shared" si="105"/>
        <v>0.25</v>
      </c>
      <c r="L747" s="23">
        <f t="shared" si="106"/>
        <v>0</v>
      </c>
      <c r="M747" s="12">
        <f t="shared" si="111"/>
        <v>0.25</v>
      </c>
      <c r="N747" s="23">
        <f t="shared" si="107"/>
        <v>0.75</v>
      </c>
      <c r="O747" s="41">
        <f t="shared" si="108"/>
        <v>0</v>
      </c>
      <c r="P747" s="13" t="str">
        <f t="shared" si="109"/>
        <v>SI</v>
      </c>
      <c r="Q747" s="23">
        <f t="shared" si="110"/>
        <v>0.25</v>
      </c>
      <c r="R747" s="12">
        <f t="shared" si="110"/>
        <v>0.75</v>
      </c>
    </row>
    <row r="748" spans="2:18">
      <c r="B748" t="str">
        <f t="shared" si="104"/>
        <v>Lusvin Ardani Alvizures46289</v>
      </c>
      <c r="C748" t="s">
        <v>229</v>
      </c>
      <c r="D748" s="121">
        <v>46289</v>
      </c>
      <c r="E748" t="s">
        <v>101</v>
      </c>
      <c r="F748" t="s">
        <v>35</v>
      </c>
      <c r="G748" s="122">
        <v>0.25</v>
      </c>
      <c r="H748" s="122">
        <v>0.75</v>
      </c>
      <c r="I748" s="112">
        <v>0</v>
      </c>
      <c r="J748" s="112">
        <v>0</v>
      </c>
      <c r="K748" s="23">
        <f t="shared" si="105"/>
        <v>0.25</v>
      </c>
      <c r="L748" s="23">
        <f t="shared" si="106"/>
        <v>0</v>
      </c>
      <c r="M748" s="12">
        <f t="shared" si="111"/>
        <v>0.25</v>
      </c>
      <c r="N748" s="23">
        <f t="shared" si="107"/>
        <v>0.75</v>
      </c>
      <c r="O748" s="41">
        <f t="shared" si="108"/>
        <v>0</v>
      </c>
      <c r="P748" s="13" t="str">
        <f t="shared" si="109"/>
        <v>SI</v>
      </c>
      <c r="Q748" s="23">
        <f t="shared" si="110"/>
        <v>0.25</v>
      </c>
      <c r="R748" s="12">
        <f t="shared" si="110"/>
        <v>0.75</v>
      </c>
    </row>
    <row r="749" spans="2:18">
      <c r="B749" t="str">
        <f t="shared" si="104"/>
        <v>Lusvin Ardani Alvizures46290</v>
      </c>
      <c r="C749" t="s">
        <v>229</v>
      </c>
      <c r="D749" s="121">
        <v>46290</v>
      </c>
      <c r="E749" t="s">
        <v>95</v>
      </c>
      <c r="F749" t="s">
        <v>35</v>
      </c>
      <c r="G749" s="122">
        <v>0.29166666666666702</v>
      </c>
      <c r="H749" s="122">
        <v>0.66666666666666696</v>
      </c>
      <c r="I749" s="112">
        <v>0</v>
      </c>
      <c r="J749" s="112">
        <v>0</v>
      </c>
      <c r="K749" s="23">
        <f t="shared" si="105"/>
        <v>0.29166666666666702</v>
      </c>
      <c r="L749" s="23">
        <f t="shared" si="106"/>
        <v>0</v>
      </c>
      <c r="M749" s="12">
        <f t="shared" si="111"/>
        <v>0.29166666666666702</v>
      </c>
      <c r="N749" s="23">
        <f t="shared" si="107"/>
        <v>0.66666666666666696</v>
      </c>
      <c r="O749" s="41">
        <f t="shared" si="108"/>
        <v>0</v>
      </c>
      <c r="P749" s="13" t="str">
        <f t="shared" si="109"/>
        <v>SI</v>
      </c>
      <c r="Q749" s="23">
        <f t="shared" si="110"/>
        <v>0.29166666666666702</v>
      </c>
      <c r="R749" s="12">
        <f t="shared" si="110"/>
        <v>0.66666666666666696</v>
      </c>
    </row>
    <row r="750" spans="2:18">
      <c r="B750" t="str">
        <f t="shared" si="104"/>
        <v>Lusvin Ardani Alvizures46291</v>
      </c>
      <c r="C750" t="s">
        <v>229</v>
      </c>
      <c r="D750" s="121">
        <v>46291</v>
      </c>
      <c r="E750" t="s">
        <v>96</v>
      </c>
      <c r="F750" t="s">
        <v>35</v>
      </c>
      <c r="G750" s="122">
        <v>0.29166666666666702</v>
      </c>
      <c r="H750" s="122">
        <v>0.45833333333333298</v>
      </c>
      <c r="I750" s="112">
        <v>0</v>
      </c>
      <c r="J750" s="112">
        <v>0</v>
      </c>
      <c r="K750" s="23">
        <f t="shared" si="105"/>
        <v>0.29166666666666702</v>
      </c>
      <c r="L750" s="23">
        <f t="shared" si="106"/>
        <v>0</v>
      </c>
      <c r="M750" s="12">
        <f t="shared" si="111"/>
        <v>0.29166666666666702</v>
      </c>
      <c r="N750" s="23">
        <f t="shared" si="107"/>
        <v>0.45833333333333298</v>
      </c>
      <c r="O750" s="41">
        <f t="shared" si="108"/>
        <v>0</v>
      </c>
      <c r="P750" s="13" t="str">
        <f t="shared" si="109"/>
        <v>SI</v>
      </c>
      <c r="Q750" s="23">
        <f t="shared" si="110"/>
        <v>0.29166666666666702</v>
      </c>
      <c r="R750" s="12">
        <f t="shared" si="110"/>
        <v>0.45833333333333298</v>
      </c>
    </row>
    <row r="751" spans="2:18">
      <c r="B751" t="str">
        <f t="shared" si="104"/>
        <v>Lusvin Ardani Alvizures46292</v>
      </c>
      <c r="C751" t="s">
        <v>229</v>
      </c>
      <c r="D751" s="121">
        <v>46292</v>
      </c>
      <c r="E751" t="s">
        <v>97</v>
      </c>
      <c r="F751" t="s">
        <v>72</v>
      </c>
      <c r="G751" s="122">
        <v>0</v>
      </c>
      <c r="H751" s="122">
        <v>0</v>
      </c>
      <c r="I751" s="112">
        <v>0</v>
      </c>
      <c r="J751" s="112">
        <v>0</v>
      </c>
      <c r="K751" s="23">
        <f t="shared" si="105"/>
        <v>0</v>
      </c>
      <c r="L751" s="23">
        <f t="shared" si="106"/>
        <v>0</v>
      </c>
      <c r="M751" s="12">
        <f t="shared" si="111"/>
        <v>0</v>
      </c>
      <c r="N751" s="23">
        <f t="shared" si="107"/>
        <v>0</v>
      </c>
      <c r="O751" s="41">
        <f t="shared" si="108"/>
        <v>0</v>
      </c>
      <c r="P751" s="13" t="str">
        <f t="shared" si="109"/>
        <v>NO</v>
      </c>
      <c r="Q751" s="23">
        <f t="shared" si="110"/>
        <v>0</v>
      </c>
      <c r="R751" s="12">
        <f t="shared" si="110"/>
        <v>0</v>
      </c>
    </row>
    <row r="752" spans="2:18">
      <c r="B752" t="str">
        <f t="shared" si="104"/>
        <v>Lusvin Ardani Alvizures46293</v>
      </c>
      <c r="C752" t="s">
        <v>229</v>
      </c>
      <c r="D752" s="121">
        <v>46293</v>
      </c>
      <c r="E752" t="s">
        <v>98</v>
      </c>
      <c r="F752" t="s">
        <v>35</v>
      </c>
      <c r="G752" s="122">
        <v>0.29166666666666702</v>
      </c>
      <c r="H752" s="122">
        <v>0.75</v>
      </c>
      <c r="I752" s="112">
        <v>0</v>
      </c>
      <c r="J752" s="112">
        <v>0</v>
      </c>
      <c r="K752" s="23">
        <f t="shared" si="105"/>
        <v>0.29166666666666702</v>
      </c>
      <c r="L752" s="23">
        <f t="shared" si="106"/>
        <v>0</v>
      </c>
      <c r="M752" s="12">
        <f t="shared" si="111"/>
        <v>0.29166666666666702</v>
      </c>
      <c r="N752" s="23">
        <f t="shared" si="107"/>
        <v>0.75</v>
      </c>
      <c r="O752" s="41">
        <f t="shared" si="108"/>
        <v>0</v>
      </c>
      <c r="P752" s="13" t="str">
        <f t="shared" si="109"/>
        <v>SI</v>
      </c>
      <c r="Q752" s="23">
        <f t="shared" si="110"/>
        <v>0.29166666666666702</v>
      </c>
      <c r="R752" s="12">
        <f t="shared" si="110"/>
        <v>0.75</v>
      </c>
    </row>
    <row r="753" spans="2:18">
      <c r="B753" t="str">
        <f t="shared" si="104"/>
        <v>Lusvin Ardani Alvizures46294</v>
      </c>
      <c r="C753" t="s">
        <v>229</v>
      </c>
      <c r="D753" s="121">
        <v>46294</v>
      </c>
      <c r="E753" t="s">
        <v>99</v>
      </c>
      <c r="F753" t="s">
        <v>35</v>
      </c>
      <c r="G753" s="122">
        <v>0.25</v>
      </c>
      <c r="H753" s="122">
        <v>0.75</v>
      </c>
      <c r="I753" s="112">
        <v>0</v>
      </c>
      <c r="J753" s="112">
        <v>0</v>
      </c>
      <c r="K753" s="23">
        <f t="shared" si="105"/>
        <v>0.25</v>
      </c>
      <c r="L753" s="23">
        <f t="shared" si="106"/>
        <v>0</v>
      </c>
      <c r="M753" s="12">
        <f t="shared" si="111"/>
        <v>0.25</v>
      </c>
      <c r="N753" s="23">
        <f t="shared" si="107"/>
        <v>0.75</v>
      </c>
      <c r="O753" s="41">
        <f t="shared" si="108"/>
        <v>0</v>
      </c>
      <c r="P753" s="13" t="str">
        <f t="shared" si="109"/>
        <v>SI</v>
      </c>
      <c r="Q753" s="23">
        <f t="shared" si="110"/>
        <v>0.25</v>
      </c>
      <c r="R753" s="12">
        <f t="shared" si="110"/>
        <v>0.75</v>
      </c>
    </row>
    <row r="754" spans="2:18">
      <c r="B754" t="str">
        <f t="shared" si="104"/>
        <v>Lusvin Ardani Alvizures46295</v>
      </c>
      <c r="C754" t="s">
        <v>229</v>
      </c>
      <c r="D754" s="121">
        <v>46295</v>
      </c>
      <c r="E754" t="s">
        <v>100</v>
      </c>
      <c r="F754" t="s">
        <v>35</v>
      </c>
      <c r="G754" s="122">
        <v>0.25</v>
      </c>
      <c r="H754" s="122">
        <v>0.75</v>
      </c>
      <c r="I754" s="112">
        <v>0</v>
      </c>
      <c r="J754" s="112">
        <v>0</v>
      </c>
      <c r="K754" s="23">
        <f t="shared" si="105"/>
        <v>0.25</v>
      </c>
      <c r="L754" s="23">
        <f t="shared" si="106"/>
        <v>0</v>
      </c>
      <c r="M754" s="12">
        <f t="shared" si="111"/>
        <v>0.25</v>
      </c>
      <c r="N754" s="23">
        <f t="shared" si="107"/>
        <v>0.75</v>
      </c>
      <c r="O754" s="41">
        <f t="shared" si="108"/>
        <v>0</v>
      </c>
      <c r="P754" s="13" t="str">
        <f t="shared" si="109"/>
        <v>SI</v>
      </c>
      <c r="Q754" s="23">
        <f t="shared" si="110"/>
        <v>0.25</v>
      </c>
      <c r="R754" s="12">
        <f t="shared" si="110"/>
        <v>0.75</v>
      </c>
    </row>
    <row r="755" spans="2:18">
      <c r="B755" t="str">
        <f t="shared" si="104"/>
        <v>Lusvin Ardani Alvizures46296</v>
      </c>
      <c r="C755" t="s">
        <v>229</v>
      </c>
      <c r="D755" s="121">
        <v>46296</v>
      </c>
      <c r="E755" t="s">
        <v>101</v>
      </c>
      <c r="F755" t="s">
        <v>35</v>
      </c>
      <c r="G755" s="122">
        <v>0.25</v>
      </c>
      <c r="H755" s="122">
        <v>0.75</v>
      </c>
      <c r="I755" s="112">
        <v>0</v>
      </c>
      <c r="J755" s="112">
        <v>0</v>
      </c>
      <c r="K755" s="23">
        <f t="shared" si="105"/>
        <v>0.25</v>
      </c>
      <c r="L755" s="23">
        <f t="shared" si="106"/>
        <v>0</v>
      </c>
      <c r="M755" s="12">
        <f t="shared" si="111"/>
        <v>0.25</v>
      </c>
      <c r="N755" s="23">
        <f t="shared" si="107"/>
        <v>0.75</v>
      </c>
      <c r="O755" s="41">
        <f t="shared" si="108"/>
        <v>0</v>
      </c>
      <c r="P755" s="13" t="str">
        <f t="shared" si="109"/>
        <v>SI</v>
      </c>
      <c r="Q755" s="23">
        <f t="shared" si="110"/>
        <v>0.25</v>
      </c>
      <c r="R755" s="12">
        <f t="shared" si="110"/>
        <v>0.75</v>
      </c>
    </row>
    <row r="756" spans="2:18">
      <c r="B756" t="str">
        <f t="shared" si="104"/>
        <v>Lusvin Ardani Alvizures46297</v>
      </c>
      <c r="C756" t="s">
        <v>229</v>
      </c>
      <c r="D756" s="121">
        <v>46297</v>
      </c>
      <c r="E756" t="s">
        <v>95</v>
      </c>
      <c r="F756" t="s">
        <v>35</v>
      </c>
      <c r="G756" s="122">
        <v>0.25</v>
      </c>
      <c r="H756" s="122">
        <v>0.75</v>
      </c>
      <c r="I756" s="112">
        <v>0</v>
      </c>
      <c r="J756" s="112">
        <v>0</v>
      </c>
      <c r="K756" s="23">
        <f t="shared" si="105"/>
        <v>0.25</v>
      </c>
      <c r="L756" s="23">
        <f t="shared" si="106"/>
        <v>0</v>
      </c>
      <c r="M756" s="12">
        <f t="shared" si="111"/>
        <v>0.25</v>
      </c>
      <c r="N756" s="23">
        <f t="shared" si="107"/>
        <v>0.75</v>
      </c>
      <c r="O756" s="41">
        <f t="shared" si="108"/>
        <v>0</v>
      </c>
      <c r="P756" s="13" t="str">
        <f t="shared" si="109"/>
        <v>SI</v>
      </c>
      <c r="Q756" s="23">
        <f t="shared" si="110"/>
        <v>0.25</v>
      </c>
      <c r="R756" s="12">
        <f t="shared" si="110"/>
        <v>0.75</v>
      </c>
    </row>
    <row r="757" spans="2:18">
      <c r="B757" t="str">
        <f t="shared" si="104"/>
        <v>Lusvin Ardani Alvizures46298</v>
      </c>
      <c r="C757" t="s">
        <v>229</v>
      </c>
      <c r="D757" s="121">
        <v>46298</v>
      </c>
      <c r="E757" t="s">
        <v>96</v>
      </c>
      <c r="F757" t="s">
        <v>35</v>
      </c>
      <c r="G757" s="122">
        <v>0.25</v>
      </c>
      <c r="H757" s="122">
        <v>0.75</v>
      </c>
      <c r="I757" s="112">
        <v>0</v>
      </c>
      <c r="J757" s="112">
        <v>0</v>
      </c>
      <c r="K757" s="23">
        <f t="shared" si="105"/>
        <v>0.25</v>
      </c>
      <c r="L757" s="23">
        <f t="shared" si="106"/>
        <v>0</v>
      </c>
      <c r="M757" s="12">
        <f t="shared" si="111"/>
        <v>0.25</v>
      </c>
      <c r="N757" s="23">
        <f t="shared" si="107"/>
        <v>0.75</v>
      </c>
      <c r="O757" s="41">
        <f t="shared" si="108"/>
        <v>0</v>
      </c>
      <c r="P757" s="13" t="str">
        <f t="shared" si="109"/>
        <v>SI</v>
      </c>
      <c r="Q757" s="23">
        <f t="shared" si="110"/>
        <v>0.25</v>
      </c>
      <c r="R757" s="12">
        <f t="shared" si="110"/>
        <v>0.75</v>
      </c>
    </row>
    <row r="758" spans="2:18">
      <c r="B758" t="str">
        <f t="shared" si="104"/>
        <v>Lusvin Ardani Alvizures46299</v>
      </c>
      <c r="C758" t="s">
        <v>229</v>
      </c>
      <c r="D758" s="121">
        <v>46299</v>
      </c>
      <c r="E758" t="s">
        <v>97</v>
      </c>
      <c r="F758" t="s">
        <v>72</v>
      </c>
      <c r="G758" s="122">
        <v>0</v>
      </c>
      <c r="H758" s="122">
        <v>0</v>
      </c>
      <c r="I758" s="112">
        <v>0</v>
      </c>
      <c r="J758" s="112">
        <v>0</v>
      </c>
      <c r="K758" s="23">
        <f t="shared" si="105"/>
        <v>0</v>
      </c>
      <c r="L758" s="23">
        <f t="shared" si="106"/>
        <v>0</v>
      </c>
      <c r="M758" s="12">
        <f t="shared" si="111"/>
        <v>0</v>
      </c>
      <c r="N758" s="23">
        <f t="shared" si="107"/>
        <v>0</v>
      </c>
      <c r="O758" s="41">
        <f t="shared" si="108"/>
        <v>0</v>
      </c>
      <c r="P758" s="13" t="str">
        <f t="shared" si="109"/>
        <v>NO</v>
      </c>
      <c r="Q758" s="23">
        <f t="shared" si="110"/>
        <v>0</v>
      </c>
      <c r="R758" s="12">
        <f t="shared" si="110"/>
        <v>0</v>
      </c>
    </row>
    <row r="759" spans="2:18">
      <c r="B759" t="str">
        <f t="shared" si="104"/>
        <v>LÁZARO CHOCHÉ46279</v>
      </c>
      <c r="C759" t="s">
        <v>265</v>
      </c>
      <c r="D759" s="121">
        <v>46279</v>
      </c>
      <c r="E759" t="s">
        <v>98</v>
      </c>
      <c r="F759" t="s">
        <v>72</v>
      </c>
      <c r="G759" s="122">
        <v>0</v>
      </c>
      <c r="H759" s="122">
        <v>0</v>
      </c>
      <c r="I759" s="112">
        <v>0</v>
      </c>
      <c r="J759" s="112">
        <v>0</v>
      </c>
      <c r="K759" s="23">
        <f t="shared" si="105"/>
        <v>0</v>
      </c>
      <c r="L759" s="23">
        <f t="shared" si="106"/>
        <v>0</v>
      </c>
      <c r="M759" s="12">
        <f t="shared" si="111"/>
        <v>0</v>
      </c>
      <c r="N759" s="23">
        <f t="shared" si="107"/>
        <v>0</v>
      </c>
      <c r="O759" s="41">
        <f t="shared" si="108"/>
        <v>0</v>
      </c>
      <c r="P759" s="13" t="str">
        <f t="shared" si="109"/>
        <v>NO</v>
      </c>
      <c r="Q759" s="23">
        <f t="shared" si="110"/>
        <v>0</v>
      </c>
      <c r="R759" s="12">
        <f t="shared" si="110"/>
        <v>0</v>
      </c>
    </row>
    <row r="760" spans="2:18">
      <c r="B760" t="str">
        <f t="shared" si="104"/>
        <v>LÁZARO CHOCHÉ46280</v>
      </c>
      <c r="C760" t="s">
        <v>265</v>
      </c>
      <c r="D760" s="121">
        <v>46280</v>
      </c>
      <c r="E760" t="s">
        <v>99</v>
      </c>
      <c r="F760" t="s">
        <v>35</v>
      </c>
      <c r="G760" s="122">
        <v>0.33333333333333298</v>
      </c>
      <c r="H760" s="122">
        <v>0.70833333333333304</v>
      </c>
      <c r="I760" s="112">
        <v>0</v>
      </c>
      <c r="J760" s="112">
        <v>0</v>
      </c>
      <c r="K760" s="23">
        <f t="shared" si="105"/>
        <v>0.33333333333333298</v>
      </c>
      <c r="L760" s="23">
        <f t="shared" si="106"/>
        <v>0</v>
      </c>
      <c r="M760" s="12">
        <f t="shared" si="111"/>
        <v>0.33333333333333298</v>
      </c>
      <c r="N760" s="23">
        <f t="shared" si="107"/>
        <v>0.70833333333333304</v>
      </c>
      <c r="O760" s="41">
        <f t="shared" si="108"/>
        <v>0</v>
      </c>
      <c r="P760" s="13" t="str">
        <f t="shared" si="109"/>
        <v>SI</v>
      </c>
      <c r="Q760" s="23">
        <f t="shared" si="110"/>
        <v>0.33333333333333298</v>
      </c>
      <c r="R760" s="12">
        <f t="shared" si="110"/>
        <v>0.70833333333333304</v>
      </c>
    </row>
    <row r="761" spans="2:18">
      <c r="B761" t="str">
        <f t="shared" si="104"/>
        <v>LÁZARO CHOCHÉ46281</v>
      </c>
      <c r="C761" t="s">
        <v>265</v>
      </c>
      <c r="D761" s="121">
        <v>46281</v>
      </c>
      <c r="E761" t="s">
        <v>100</v>
      </c>
      <c r="F761" t="s">
        <v>35</v>
      </c>
      <c r="G761" s="122">
        <v>0.28125</v>
      </c>
      <c r="H761" s="122">
        <v>0.66666666666666696</v>
      </c>
      <c r="I761" s="112">
        <v>0</v>
      </c>
      <c r="J761" s="112">
        <v>0</v>
      </c>
      <c r="K761" s="23">
        <f t="shared" si="105"/>
        <v>0.28125</v>
      </c>
      <c r="L761" s="23">
        <f t="shared" si="106"/>
        <v>0</v>
      </c>
      <c r="M761" s="12">
        <f t="shared" si="111"/>
        <v>0.28125</v>
      </c>
      <c r="N761" s="23">
        <f t="shared" si="107"/>
        <v>0.66666666666666696</v>
      </c>
      <c r="O761" s="41">
        <f t="shared" si="108"/>
        <v>0</v>
      </c>
      <c r="P761" s="13" t="str">
        <f t="shared" si="109"/>
        <v>SI</v>
      </c>
      <c r="Q761" s="23">
        <f t="shared" si="110"/>
        <v>0.28125</v>
      </c>
      <c r="R761" s="12">
        <f t="shared" si="110"/>
        <v>0.66666666666666696</v>
      </c>
    </row>
    <row r="762" spans="2:18">
      <c r="B762" t="str">
        <f t="shared" si="104"/>
        <v>LÁZARO CHOCHÉ46282</v>
      </c>
      <c r="C762" t="s">
        <v>265</v>
      </c>
      <c r="D762" s="121">
        <v>46282</v>
      </c>
      <c r="E762" t="s">
        <v>101</v>
      </c>
      <c r="F762" t="s">
        <v>35</v>
      </c>
      <c r="G762" s="122">
        <v>0.28125</v>
      </c>
      <c r="H762" s="122">
        <v>0.66666666666666696</v>
      </c>
      <c r="I762" s="112">
        <v>0</v>
      </c>
      <c r="J762" s="112">
        <v>0</v>
      </c>
      <c r="K762" s="23">
        <f t="shared" si="105"/>
        <v>0.28125</v>
      </c>
      <c r="L762" s="23">
        <f t="shared" si="106"/>
        <v>0</v>
      </c>
      <c r="M762" s="12">
        <f t="shared" si="111"/>
        <v>0.28125</v>
      </c>
      <c r="N762" s="23">
        <f t="shared" si="107"/>
        <v>0.66666666666666696</v>
      </c>
      <c r="O762" s="41">
        <f t="shared" si="108"/>
        <v>0</v>
      </c>
      <c r="P762" s="13" t="str">
        <f t="shared" si="109"/>
        <v>SI</v>
      </c>
      <c r="Q762" s="23">
        <f t="shared" si="110"/>
        <v>0.28125</v>
      </c>
      <c r="R762" s="12">
        <f t="shared" si="110"/>
        <v>0.66666666666666696</v>
      </c>
    </row>
    <row r="763" spans="2:18">
      <c r="B763" t="str">
        <f t="shared" si="104"/>
        <v>LÁZARO CHOCHÉ46283</v>
      </c>
      <c r="C763" t="s">
        <v>265</v>
      </c>
      <c r="D763" s="121">
        <v>46283</v>
      </c>
      <c r="E763" t="s">
        <v>95</v>
      </c>
      <c r="F763" t="s">
        <v>35</v>
      </c>
      <c r="G763" s="122">
        <v>0.28125</v>
      </c>
      <c r="H763" s="122">
        <v>0.66666666666666696</v>
      </c>
      <c r="I763" s="112">
        <v>0</v>
      </c>
      <c r="J763" s="112">
        <v>0</v>
      </c>
      <c r="K763" s="23">
        <f t="shared" si="105"/>
        <v>0.28125</v>
      </c>
      <c r="L763" s="23">
        <f t="shared" si="106"/>
        <v>0</v>
      </c>
      <c r="M763" s="12">
        <f t="shared" si="111"/>
        <v>0.28125</v>
      </c>
      <c r="N763" s="23">
        <f t="shared" si="107"/>
        <v>0.66666666666666696</v>
      </c>
      <c r="O763" s="41">
        <f t="shared" si="108"/>
        <v>0</v>
      </c>
      <c r="P763" s="13" t="str">
        <f t="shared" si="109"/>
        <v>SI</v>
      </c>
      <c r="Q763" s="23">
        <f t="shared" si="110"/>
        <v>0.28125</v>
      </c>
      <c r="R763" s="12">
        <f t="shared" si="110"/>
        <v>0.66666666666666696</v>
      </c>
    </row>
    <row r="764" spans="2:18">
      <c r="B764" t="str">
        <f t="shared" si="104"/>
        <v>LÁZARO CHOCHÉ46284</v>
      </c>
      <c r="C764" t="s">
        <v>265</v>
      </c>
      <c r="D764" s="121">
        <v>46284</v>
      </c>
      <c r="E764" t="s">
        <v>96</v>
      </c>
      <c r="F764" t="s">
        <v>35</v>
      </c>
      <c r="G764" s="122">
        <v>0.28125</v>
      </c>
      <c r="H764" s="122">
        <v>0.58333333333333304</v>
      </c>
      <c r="I764" s="112">
        <v>0</v>
      </c>
      <c r="J764" s="112">
        <v>0</v>
      </c>
      <c r="K764" s="23">
        <f t="shared" si="105"/>
        <v>0.28125</v>
      </c>
      <c r="L764" s="23">
        <f t="shared" si="106"/>
        <v>0</v>
      </c>
      <c r="M764" s="12">
        <f t="shared" si="111"/>
        <v>0.28125</v>
      </c>
      <c r="N764" s="23">
        <f t="shared" si="107"/>
        <v>0.58333333333333304</v>
      </c>
      <c r="O764" s="41">
        <f t="shared" si="108"/>
        <v>0</v>
      </c>
      <c r="P764" s="13" t="str">
        <f t="shared" si="109"/>
        <v>SI</v>
      </c>
      <c r="Q764" s="23">
        <f t="shared" si="110"/>
        <v>0.28125</v>
      </c>
      <c r="R764" s="12">
        <f t="shared" si="110"/>
        <v>0.58333333333333304</v>
      </c>
    </row>
    <row r="765" spans="2:18">
      <c r="B765" t="str">
        <f t="shared" si="104"/>
        <v>LÁZARO CHOCHÉ46285</v>
      </c>
      <c r="C765" t="s">
        <v>265</v>
      </c>
      <c r="D765" s="121">
        <v>46285</v>
      </c>
      <c r="E765" t="s">
        <v>97</v>
      </c>
      <c r="F765" t="s">
        <v>72</v>
      </c>
      <c r="G765" s="122">
        <v>0</v>
      </c>
      <c r="H765" s="122">
        <v>0</v>
      </c>
      <c r="I765" s="112">
        <v>0</v>
      </c>
      <c r="J765" s="112">
        <v>0</v>
      </c>
      <c r="K765" s="23">
        <f t="shared" si="105"/>
        <v>0</v>
      </c>
      <c r="L765" s="23">
        <f t="shared" si="106"/>
        <v>0</v>
      </c>
      <c r="M765" s="12">
        <f t="shared" si="111"/>
        <v>0</v>
      </c>
      <c r="N765" s="23">
        <f t="shared" si="107"/>
        <v>0</v>
      </c>
      <c r="O765" s="41">
        <f t="shared" si="108"/>
        <v>0</v>
      </c>
      <c r="P765" s="13" t="str">
        <f t="shared" si="109"/>
        <v>NO</v>
      </c>
      <c r="Q765" s="23">
        <f t="shared" si="110"/>
        <v>0</v>
      </c>
      <c r="R765" s="12">
        <f t="shared" si="110"/>
        <v>0</v>
      </c>
    </row>
    <row r="766" spans="2:18">
      <c r="B766" t="str">
        <f t="shared" si="104"/>
        <v>LÁZARO CHOCHÉ46286</v>
      </c>
      <c r="C766" t="s">
        <v>265</v>
      </c>
      <c r="D766" s="121">
        <v>46286</v>
      </c>
      <c r="E766" t="s">
        <v>98</v>
      </c>
      <c r="F766" t="s">
        <v>35</v>
      </c>
      <c r="G766" s="122">
        <v>0.23958333333333301</v>
      </c>
      <c r="H766" s="122">
        <v>0.75</v>
      </c>
      <c r="I766" s="112">
        <v>0</v>
      </c>
      <c r="J766" s="112">
        <v>0</v>
      </c>
      <c r="K766" s="23">
        <f t="shared" si="105"/>
        <v>0.23958333333333301</v>
      </c>
      <c r="L766" s="23">
        <f t="shared" si="106"/>
        <v>0</v>
      </c>
      <c r="M766" s="12">
        <f t="shared" si="111"/>
        <v>0.23958333333333301</v>
      </c>
      <c r="N766" s="23">
        <f t="shared" si="107"/>
        <v>0.75</v>
      </c>
      <c r="O766" s="41">
        <f t="shared" si="108"/>
        <v>0</v>
      </c>
      <c r="P766" s="13" t="str">
        <f t="shared" si="109"/>
        <v>SI</v>
      </c>
      <c r="Q766" s="23">
        <f t="shared" si="110"/>
        <v>0.23958333333333301</v>
      </c>
      <c r="R766" s="12">
        <f t="shared" si="110"/>
        <v>0.75</v>
      </c>
    </row>
    <row r="767" spans="2:18">
      <c r="B767" t="str">
        <f t="shared" si="104"/>
        <v>LÁZARO CHOCHÉ46287</v>
      </c>
      <c r="C767" t="s">
        <v>265</v>
      </c>
      <c r="D767" s="121">
        <v>46287</v>
      </c>
      <c r="E767" t="s">
        <v>99</v>
      </c>
      <c r="F767" t="s">
        <v>35</v>
      </c>
      <c r="G767" s="122">
        <v>0.23958333333333301</v>
      </c>
      <c r="H767" s="122">
        <v>0.75</v>
      </c>
      <c r="I767" s="112">
        <v>0</v>
      </c>
      <c r="J767" s="112">
        <v>0</v>
      </c>
      <c r="K767" s="23">
        <f t="shared" si="105"/>
        <v>0.23958333333333301</v>
      </c>
      <c r="L767" s="23">
        <f t="shared" si="106"/>
        <v>0</v>
      </c>
      <c r="M767" s="12">
        <f t="shared" si="111"/>
        <v>0.23958333333333301</v>
      </c>
      <c r="N767" s="23">
        <f t="shared" si="107"/>
        <v>0.75</v>
      </c>
      <c r="O767" s="41">
        <f t="shared" si="108"/>
        <v>0</v>
      </c>
      <c r="P767" s="13" t="str">
        <f t="shared" si="109"/>
        <v>SI</v>
      </c>
      <c r="Q767" s="23">
        <f t="shared" si="110"/>
        <v>0.23958333333333301</v>
      </c>
      <c r="R767" s="12">
        <f t="shared" si="110"/>
        <v>0.75</v>
      </c>
    </row>
    <row r="768" spans="2:18">
      <c r="B768" t="str">
        <f t="shared" si="104"/>
        <v>LÁZARO CHOCHÉ46288</v>
      </c>
      <c r="C768" t="s">
        <v>265</v>
      </c>
      <c r="D768" s="121">
        <v>46288</v>
      </c>
      <c r="E768" t="s">
        <v>100</v>
      </c>
      <c r="F768" t="s">
        <v>35</v>
      </c>
      <c r="G768" s="122">
        <v>0.23958333333333301</v>
      </c>
      <c r="H768" s="122">
        <v>0.75</v>
      </c>
      <c r="I768" s="112">
        <v>0</v>
      </c>
      <c r="J768" s="112">
        <v>0</v>
      </c>
      <c r="K768" s="23">
        <f t="shared" si="105"/>
        <v>0.23958333333333301</v>
      </c>
      <c r="L768" s="23">
        <f t="shared" si="106"/>
        <v>0</v>
      </c>
      <c r="M768" s="12">
        <f t="shared" si="111"/>
        <v>0.23958333333333301</v>
      </c>
      <c r="N768" s="23">
        <f t="shared" si="107"/>
        <v>0.75</v>
      </c>
      <c r="O768" s="41">
        <f t="shared" si="108"/>
        <v>0</v>
      </c>
      <c r="P768" s="13" t="str">
        <f t="shared" si="109"/>
        <v>SI</v>
      </c>
      <c r="Q768" s="23">
        <f t="shared" si="110"/>
        <v>0.23958333333333301</v>
      </c>
      <c r="R768" s="12">
        <f t="shared" si="110"/>
        <v>0.75</v>
      </c>
    </row>
    <row r="769" spans="2:18">
      <c r="B769" t="str">
        <f t="shared" si="104"/>
        <v>LÁZARO CHOCHÉ46289</v>
      </c>
      <c r="C769" t="s">
        <v>265</v>
      </c>
      <c r="D769" s="121">
        <v>46289</v>
      </c>
      <c r="E769" t="s">
        <v>101</v>
      </c>
      <c r="F769" t="s">
        <v>35</v>
      </c>
      <c r="G769" s="122">
        <v>0.23958333333333301</v>
      </c>
      <c r="H769" s="122">
        <v>0.75</v>
      </c>
      <c r="I769" s="112">
        <v>0</v>
      </c>
      <c r="J769" s="112">
        <v>0</v>
      </c>
      <c r="K769" s="23">
        <f t="shared" si="105"/>
        <v>0.23958333333333301</v>
      </c>
      <c r="L769" s="23">
        <f t="shared" si="106"/>
        <v>0</v>
      </c>
      <c r="M769" s="12">
        <f t="shared" si="111"/>
        <v>0.23958333333333301</v>
      </c>
      <c r="N769" s="23">
        <f t="shared" si="107"/>
        <v>0.75</v>
      </c>
      <c r="O769" s="41">
        <f t="shared" si="108"/>
        <v>0</v>
      </c>
      <c r="P769" s="13" t="str">
        <f t="shared" si="109"/>
        <v>SI</v>
      </c>
      <c r="Q769" s="23">
        <f t="shared" si="110"/>
        <v>0.23958333333333301</v>
      </c>
      <c r="R769" s="12">
        <f t="shared" si="110"/>
        <v>0.75</v>
      </c>
    </row>
    <row r="770" spans="2:18">
      <c r="B770" t="str">
        <f t="shared" si="104"/>
        <v>LÁZARO CHOCHÉ46290</v>
      </c>
      <c r="C770" t="s">
        <v>265</v>
      </c>
      <c r="D770" s="121">
        <v>46290</v>
      </c>
      <c r="E770" t="s">
        <v>95</v>
      </c>
      <c r="F770" t="s">
        <v>35</v>
      </c>
      <c r="G770" s="122">
        <v>0.23958333333333301</v>
      </c>
      <c r="H770" s="122">
        <v>0.75</v>
      </c>
      <c r="I770" s="112">
        <v>0</v>
      </c>
      <c r="J770" s="112">
        <v>0</v>
      </c>
      <c r="K770" s="23">
        <f t="shared" si="105"/>
        <v>0.23958333333333301</v>
      </c>
      <c r="L770" s="23">
        <f t="shared" si="106"/>
        <v>0</v>
      </c>
      <c r="M770" s="12">
        <f t="shared" si="111"/>
        <v>0.23958333333333301</v>
      </c>
      <c r="N770" s="23">
        <f t="shared" si="107"/>
        <v>0.75</v>
      </c>
      <c r="O770" s="41">
        <f t="shared" si="108"/>
        <v>0</v>
      </c>
      <c r="P770" s="13" t="str">
        <f t="shared" si="109"/>
        <v>SI</v>
      </c>
      <c r="Q770" s="23">
        <f t="shared" si="110"/>
        <v>0.23958333333333301</v>
      </c>
      <c r="R770" s="12">
        <f t="shared" si="110"/>
        <v>0.75</v>
      </c>
    </row>
    <row r="771" spans="2:18">
      <c r="B771" t="str">
        <f t="shared" si="104"/>
        <v>LÁZARO CHOCHÉ46291</v>
      </c>
      <c r="C771" t="s">
        <v>265</v>
      </c>
      <c r="D771" s="121">
        <v>46291</v>
      </c>
      <c r="E771" t="s">
        <v>96</v>
      </c>
      <c r="F771" t="s">
        <v>35</v>
      </c>
      <c r="G771" s="122">
        <v>0.23958333333333301</v>
      </c>
      <c r="H771" s="122">
        <v>0.58333333333333304</v>
      </c>
      <c r="I771" s="112">
        <v>0</v>
      </c>
      <c r="J771" s="112">
        <v>0</v>
      </c>
      <c r="K771" s="23">
        <f t="shared" si="105"/>
        <v>0.23958333333333301</v>
      </c>
      <c r="L771" s="23">
        <f t="shared" si="106"/>
        <v>0</v>
      </c>
      <c r="M771" s="12">
        <f t="shared" si="111"/>
        <v>0.23958333333333301</v>
      </c>
      <c r="N771" s="23">
        <f t="shared" si="107"/>
        <v>0.58333333333333304</v>
      </c>
      <c r="O771" s="41">
        <f t="shared" si="108"/>
        <v>0</v>
      </c>
      <c r="P771" s="13" t="str">
        <f t="shared" si="109"/>
        <v>SI</v>
      </c>
      <c r="Q771" s="23">
        <f t="shared" si="110"/>
        <v>0.23958333333333301</v>
      </c>
      <c r="R771" s="12">
        <f t="shared" si="110"/>
        <v>0.58333333333333304</v>
      </c>
    </row>
    <row r="772" spans="2:18">
      <c r="B772" t="str">
        <f t="shared" si="104"/>
        <v>LÁZARO CHOCHÉ46292</v>
      </c>
      <c r="C772" t="s">
        <v>265</v>
      </c>
      <c r="D772" s="121">
        <v>46292</v>
      </c>
      <c r="E772" t="s">
        <v>97</v>
      </c>
      <c r="F772" t="s">
        <v>72</v>
      </c>
      <c r="G772" s="122">
        <v>0</v>
      </c>
      <c r="H772" s="122">
        <v>0</v>
      </c>
      <c r="I772" s="112">
        <v>0</v>
      </c>
      <c r="J772" s="112">
        <v>0</v>
      </c>
      <c r="K772" s="23">
        <f t="shared" si="105"/>
        <v>0</v>
      </c>
      <c r="L772" s="23">
        <f t="shared" si="106"/>
        <v>0</v>
      </c>
      <c r="M772" s="12">
        <f t="shared" si="111"/>
        <v>0</v>
      </c>
      <c r="N772" s="23">
        <f t="shared" si="107"/>
        <v>0</v>
      </c>
      <c r="O772" s="41">
        <f t="shared" si="108"/>
        <v>0</v>
      </c>
      <c r="P772" s="13" t="str">
        <f t="shared" si="109"/>
        <v>NO</v>
      </c>
      <c r="Q772" s="23">
        <f t="shared" si="110"/>
        <v>0</v>
      </c>
      <c r="R772" s="12">
        <f t="shared" si="110"/>
        <v>0</v>
      </c>
    </row>
    <row r="773" spans="2:18">
      <c r="B773" t="str">
        <f t="shared" si="104"/>
        <v>LÁZARO CHOCHÉ46293</v>
      </c>
      <c r="C773" t="s">
        <v>265</v>
      </c>
      <c r="D773" s="121">
        <v>46293</v>
      </c>
      <c r="E773" t="s">
        <v>98</v>
      </c>
      <c r="F773" t="s">
        <v>35</v>
      </c>
      <c r="G773" s="122">
        <v>0.25</v>
      </c>
      <c r="H773" s="122">
        <v>0.75</v>
      </c>
      <c r="I773" s="112">
        <v>0</v>
      </c>
      <c r="J773" s="112">
        <v>0</v>
      </c>
      <c r="K773" s="23">
        <f t="shared" si="105"/>
        <v>0.25</v>
      </c>
      <c r="L773" s="23">
        <f t="shared" si="106"/>
        <v>0</v>
      </c>
      <c r="M773" s="12">
        <f t="shared" si="111"/>
        <v>0.25</v>
      </c>
      <c r="N773" s="23">
        <f t="shared" si="107"/>
        <v>0.75</v>
      </c>
      <c r="O773" s="41">
        <f t="shared" si="108"/>
        <v>0</v>
      </c>
      <c r="P773" s="13" t="str">
        <f t="shared" si="109"/>
        <v>SI</v>
      </c>
      <c r="Q773" s="23">
        <f t="shared" si="110"/>
        <v>0.25</v>
      </c>
      <c r="R773" s="12">
        <f t="shared" si="110"/>
        <v>0.75</v>
      </c>
    </row>
    <row r="774" spans="2:18">
      <c r="B774" t="str">
        <f t="shared" si="104"/>
        <v>LÁZARO CHOCHÉ46294</v>
      </c>
      <c r="C774" t="s">
        <v>265</v>
      </c>
      <c r="D774" s="121">
        <v>46294</v>
      </c>
      <c r="E774" t="s">
        <v>99</v>
      </c>
      <c r="F774" t="s">
        <v>35</v>
      </c>
      <c r="G774" s="122">
        <v>0.25</v>
      </c>
      <c r="H774" s="122">
        <v>0.75</v>
      </c>
      <c r="I774" s="112">
        <v>0</v>
      </c>
      <c r="J774" s="112">
        <v>0</v>
      </c>
      <c r="K774" s="23">
        <f t="shared" si="105"/>
        <v>0.25</v>
      </c>
      <c r="L774" s="23">
        <f t="shared" si="106"/>
        <v>0</v>
      </c>
      <c r="M774" s="12">
        <f t="shared" si="111"/>
        <v>0.25</v>
      </c>
      <c r="N774" s="23">
        <f t="shared" si="107"/>
        <v>0.75</v>
      </c>
      <c r="O774" s="41">
        <f t="shared" si="108"/>
        <v>0</v>
      </c>
      <c r="P774" s="13" t="str">
        <f t="shared" si="109"/>
        <v>SI</v>
      </c>
      <c r="Q774" s="23">
        <f t="shared" si="110"/>
        <v>0.25</v>
      </c>
      <c r="R774" s="12">
        <f t="shared" si="110"/>
        <v>0.75</v>
      </c>
    </row>
    <row r="775" spans="2:18">
      <c r="B775" t="str">
        <f t="shared" si="104"/>
        <v>LÁZARO CHOCHÉ46295</v>
      </c>
      <c r="C775" t="s">
        <v>265</v>
      </c>
      <c r="D775" s="121">
        <v>46295</v>
      </c>
      <c r="E775" t="s">
        <v>100</v>
      </c>
      <c r="F775" t="s">
        <v>35</v>
      </c>
      <c r="G775" s="122">
        <v>0.25</v>
      </c>
      <c r="H775" s="122">
        <v>0.75</v>
      </c>
      <c r="I775" s="112">
        <v>0</v>
      </c>
      <c r="J775" s="112">
        <v>0</v>
      </c>
      <c r="K775" s="23">
        <f t="shared" si="105"/>
        <v>0.25</v>
      </c>
      <c r="L775" s="23">
        <f t="shared" si="106"/>
        <v>0</v>
      </c>
      <c r="M775" s="12">
        <f t="shared" si="111"/>
        <v>0.25</v>
      </c>
      <c r="N775" s="23">
        <f t="shared" si="107"/>
        <v>0.75</v>
      </c>
      <c r="O775" s="41">
        <f t="shared" si="108"/>
        <v>0</v>
      </c>
      <c r="P775" s="13" t="str">
        <f t="shared" si="109"/>
        <v>SI</v>
      </c>
      <c r="Q775" s="23">
        <f t="shared" si="110"/>
        <v>0.25</v>
      </c>
      <c r="R775" s="12">
        <f t="shared" si="110"/>
        <v>0.75</v>
      </c>
    </row>
    <row r="776" spans="2:18">
      <c r="B776" t="str">
        <f t="shared" si="104"/>
        <v>LÁZARO CHOCHÉ46296</v>
      </c>
      <c r="C776" t="s">
        <v>265</v>
      </c>
      <c r="D776" s="121">
        <v>46296</v>
      </c>
      <c r="E776" t="s">
        <v>101</v>
      </c>
      <c r="F776" t="s">
        <v>35</v>
      </c>
      <c r="G776" s="122">
        <v>0.25</v>
      </c>
      <c r="H776" s="122">
        <v>0.75</v>
      </c>
      <c r="I776" s="112">
        <v>0</v>
      </c>
      <c r="J776" s="112">
        <v>0</v>
      </c>
      <c r="K776" s="23">
        <f t="shared" si="105"/>
        <v>0.25</v>
      </c>
      <c r="L776" s="23">
        <f t="shared" si="106"/>
        <v>0</v>
      </c>
      <c r="M776" s="12">
        <f t="shared" si="111"/>
        <v>0.25</v>
      </c>
      <c r="N776" s="23">
        <f t="shared" si="107"/>
        <v>0.75</v>
      </c>
      <c r="O776" s="41">
        <f t="shared" si="108"/>
        <v>0</v>
      </c>
      <c r="P776" s="13" t="str">
        <f t="shared" si="109"/>
        <v>SI</v>
      </c>
      <c r="Q776" s="23">
        <f t="shared" si="110"/>
        <v>0.25</v>
      </c>
      <c r="R776" s="12">
        <f t="shared" si="110"/>
        <v>0.75</v>
      </c>
    </row>
    <row r="777" spans="2:18">
      <c r="B777" t="str">
        <f t="shared" si="104"/>
        <v>LÁZARO CHOCHÉ46297</v>
      </c>
      <c r="C777" t="s">
        <v>265</v>
      </c>
      <c r="D777" s="121">
        <v>46297</v>
      </c>
      <c r="E777" t="s">
        <v>95</v>
      </c>
      <c r="F777" t="s">
        <v>35</v>
      </c>
      <c r="G777" s="122">
        <v>0.25</v>
      </c>
      <c r="H777" s="122">
        <v>0.75</v>
      </c>
      <c r="I777" s="112">
        <v>0</v>
      </c>
      <c r="J777" s="112">
        <v>0</v>
      </c>
      <c r="K777" s="23">
        <f t="shared" si="105"/>
        <v>0.25</v>
      </c>
      <c r="L777" s="23">
        <f t="shared" si="106"/>
        <v>0</v>
      </c>
      <c r="M777" s="12">
        <f t="shared" si="111"/>
        <v>0.25</v>
      </c>
      <c r="N777" s="23">
        <f t="shared" si="107"/>
        <v>0.75</v>
      </c>
      <c r="O777" s="41">
        <f t="shared" si="108"/>
        <v>0</v>
      </c>
      <c r="P777" s="13" t="str">
        <f t="shared" si="109"/>
        <v>SI</v>
      </c>
      <c r="Q777" s="23">
        <f t="shared" si="110"/>
        <v>0.25</v>
      </c>
      <c r="R777" s="12">
        <f t="shared" si="110"/>
        <v>0.75</v>
      </c>
    </row>
    <row r="778" spans="2:18">
      <c r="B778" t="str">
        <f t="shared" si="104"/>
        <v>LÁZARO CHOCHÉ46298</v>
      </c>
      <c r="C778" t="s">
        <v>265</v>
      </c>
      <c r="D778" s="121">
        <v>46298</v>
      </c>
      <c r="E778" t="s">
        <v>96</v>
      </c>
      <c r="F778" t="s">
        <v>35</v>
      </c>
      <c r="G778" s="122">
        <v>0.25</v>
      </c>
      <c r="H778" s="122">
        <v>0.58333333333333304</v>
      </c>
      <c r="I778" s="112">
        <v>0</v>
      </c>
      <c r="J778" s="112">
        <v>0</v>
      </c>
      <c r="K778" s="23">
        <f t="shared" si="105"/>
        <v>0.25</v>
      </c>
      <c r="L778" s="23">
        <f t="shared" si="106"/>
        <v>0</v>
      </c>
      <c r="M778" s="12">
        <f t="shared" si="111"/>
        <v>0.25</v>
      </c>
      <c r="N778" s="23">
        <f t="shared" si="107"/>
        <v>0.58333333333333304</v>
      </c>
      <c r="O778" s="41">
        <f t="shared" si="108"/>
        <v>0</v>
      </c>
      <c r="P778" s="13" t="str">
        <f t="shared" si="109"/>
        <v>SI</v>
      </c>
      <c r="Q778" s="23">
        <f t="shared" si="110"/>
        <v>0.25</v>
      </c>
      <c r="R778" s="12">
        <f t="shared" si="110"/>
        <v>0.58333333333333304</v>
      </c>
    </row>
    <row r="779" spans="2:18">
      <c r="B779" t="str">
        <f t="shared" si="104"/>
        <v>LÁZARO CHOCHÉ46299</v>
      </c>
      <c r="C779" t="s">
        <v>265</v>
      </c>
      <c r="D779" s="121">
        <v>46299</v>
      </c>
      <c r="E779" t="s">
        <v>97</v>
      </c>
      <c r="F779" t="s">
        <v>72</v>
      </c>
      <c r="G779" s="122">
        <v>0</v>
      </c>
      <c r="H779" s="122">
        <v>0</v>
      </c>
      <c r="I779" s="112">
        <v>0</v>
      </c>
      <c r="J779" s="112">
        <v>0</v>
      </c>
      <c r="K779" s="23">
        <f t="shared" si="105"/>
        <v>0</v>
      </c>
      <c r="L779" s="23">
        <f t="shared" si="106"/>
        <v>0</v>
      </c>
      <c r="M779" s="12">
        <f t="shared" si="111"/>
        <v>0</v>
      </c>
      <c r="N779" s="23">
        <f t="shared" si="107"/>
        <v>0</v>
      </c>
      <c r="O779" s="41">
        <f t="shared" si="108"/>
        <v>0</v>
      </c>
      <c r="P779" s="13" t="str">
        <f t="shared" si="109"/>
        <v>NO</v>
      </c>
      <c r="Q779" s="23">
        <f t="shared" si="110"/>
        <v>0</v>
      </c>
      <c r="R779" s="12">
        <f t="shared" si="110"/>
        <v>0</v>
      </c>
    </row>
    <row r="780" spans="2:18">
      <c r="B780" t="str">
        <f t="shared" si="104"/>
        <v>MANUEL ALEJANDRO OSORIO CAHUEC46279</v>
      </c>
      <c r="C780" t="s">
        <v>20</v>
      </c>
      <c r="D780" s="121">
        <v>46279</v>
      </c>
      <c r="E780" t="s">
        <v>98</v>
      </c>
      <c r="F780" t="s">
        <v>72</v>
      </c>
      <c r="G780" s="122">
        <v>0</v>
      </c>
      <c r="H780" s="122">
        <v>0</v>
      </c>
      <c r="I780" s="112">
        <v>0</v>
      </c>
      <c r="J780" s="112">
        <v>0</v>
      </c>
      <c r="K780" s="23">
        <f t="shared" si="105"/>
        <v>0</v>
      </c>
      <c r="L780" s="23">
        <f t="shared" si="106"/>
        <v>0</v>
      </c>
      <c r="M780" s="12">
        <f t="shared" si="111"/>
        <v>0</v>
      </c>
      <c r="N780" s="23">
        <f t="shared" si="107"/>
        <v>0</v>
      </c>
      <c r="O780" s="41">
        <f t="shared" si="108"/>
        <v>0</v>
      </c>
      <c r="P780" s="13" t="str">
        <f t="shared" si="109"/>
        <v>NO</v>
      </c>
      <c r="Q780" s="23">
        <f t="shared" si="110"/>
        <v>0</v>
      </c>
      <c r="R780" s="12">
        <f t="shared" si="110"/>
        <v>0</v>
      </c>
    </row>
    <row r="781" spans="2:18">
      <c r="B781" t="str">
        <f t="shared" si="104"/>
        <v>MANUEL ALEJANDRO OSORIO CAHUEC46280</v>
      </c>
      <c r="C781" t="s">
        <v>20</v>
      </c>
      <c r="D781" s="121">
        <v>46280</v>
      </c>
      <c r="E781" t="s">
        <v>99</v>
      </c>
      <c r="F781" t="s">
        <v>35</v>
      </c>
      <c r="G781" s="122">
        <v>0.33333333333333298</v>
      </c>
      <c r="H781" s="122">
        <v>0.70833333333333304</v>
      </c>
      <c r="I781" s="112">
        <v>0</v>
      </c>
      <c r="J781" s="112">
        <v>0</v>
      </c>
      <c r="K781" s="23">
        <f t="shared" si="105"/>
        <v>0.33333333333333298</v>
      </c>
      <c r="L781" s="23">
        <f t="shared" si="106"/>
        <v>0</v>
      </c>
      <c r="M781" s="12">
        <f t="shared" si="111"/>
        <v>0.33333333333333298</v>
      </c>
      <c r="N781" s="23">
        <f t="shared" si="107"/>
        <v>0.70833333333333304</v>
      </c>
      <c r="O781" s="41">
        <f t="shared" si="108"/>
        <v>0</v>
      </c>
      <c r="P781" s="13" t="str">
        <f t="shared" si="109"/>
        <v>SI</v>
      </c>
      <c r="Q781" s="23">
        <f t="shared" si="110"/>
        <v>0.33333333333333298</v>
      </c>
      <c r="R781" s="12">
        <f t="shared" si="110"/>
        <v>0.70833333333333304</v>
      </c>
    </row>
    <row r="782" spans="2:18">
      <c r="B782" t="str">
        <f t="shared" si="104"/>
        <v>MANUEL ALEJANDRO OSORIO CAHUEC46281</v>
      </c>
      <c r="C782" t="s">
        <v>20</v>
      </c>
      <c r="D782" s="121">
        <v>46281</v>
      </c>
      <c r="E782" t="s">
        <v>100</v>
      </c>
      <c r="F782" t="s">
        <v>36</v>
      </c>
      <c r="G782" s="122">
        <v>0.79166666666666696</v>
      </c>
      <c r="H782" s="122">
        <v>0.20833333333333301</v>
      </c>
      <c r="I782" s="112">
        <v>0</v>
      </c>
      <c r="J782" s="112">
        <v>0</v>
      </c>
      <c r="K782" s="23">
        <f t="shared" si="105"/>
        <v>0.79166666666666696</v>
      </c>
      <c r="L782" s="23">
        <f t="shared" si="106"/>
        <v>0</v>
      </c>
      <c r="M782" s="12">
        <f t="shared" si="111"/>
        <v>0.79166666666666696</v>
      </c>
      <c r="N782" s="23">
        <f t="shared" si="107"/>
        <v>0.20833333333333301</v>
      </c>
      <c r="O782" s="41">
        <f t="shared" si="108"/>
        <v>0</v>
      </c>
      <c r="P782" s="13" t="str">
        <f t="shared" si="109"/>
        <v>SI</v>
      </c>
      <c r="Q782" s="23">
        <f t="shared" si="110"/>
        <v>0.79166666666666696</v>
      </c>
      <c r="R782" s="12">
        <f t="shared" si="110"/>
        <v>0.20833333333333301</v>
      </c>
    </row>
    <row r="783" spans="2:18">
      <c r="B783" t="str">
        <f t="shared" si="104"/>
        <v>MANUEL ALEJANDRO OSORIO CAHUEC46282</v>
      </c>
      <c r="C783" t="s">
        <v>20</v>
      </c>
      <c r="D783" s="121">
        <v>46282</v>
      </c>
      <c r="E783" t="s">
        <v>101</v>
      </c>
      <c r="F783" t="s">
        <v>36</v>
      </c>
      <c r="G783" s="122">
        <v>0.79166666666666696</v>
      </c>
      <c r="H783" s="122">
        <v>0.20833333333333301</v>
      </c>
      <c r="I783" s="112">
        <v>0</v>
      </c>
      <c r="J783" s="112">
        <v>0</v>
      </c>
      <c r="K783" s="23">
        <f t="shared" si="105"/>
        <v>0.79166666666666696</v>
      </c>
      <c r="L783" s="23">
        <f t="shared" si="106"/>
        <v>0</v>
      </c>
      <c r="M783" s="12">
        <f t="shared" si="111"/>
        <v>0.79166666666666696</v>
      </c>
      <c r="N783" s="23">
        <f t="shared" si="107"/>
        <v>0.20833333333333301</v>
      </c>
      <c r="O783" s="41">
        <f t="shared" si="108"/>
        <v>0</v>
      </c>
      <c r="P783" s="13" t="str">
        <f t="shared" si="109"/>
        <v>SI</v>
      </c>
      <c r="Q783" s="23">
        <f t="shared" si="110"/>
        <v>0.79166666666666696</v>
      </c>
      <c r="R783" s="12">
        <f t="shared" si="110"/>
        <v>0.20833333333333301</v>
      </c>
    </row>
    <row r="784" spans="2:18">
      <c r="B784" t="str">
        <f t="shared" si="104"/>
        <v>MANUEL ALEJANDRO OSORIO CAHUEC46283</v>
      </c>
      <c r="C784" t="s">
        <v>20</v>
      </c>
      <c r="D784" s="121">
        <v>46283</v>
      </c>
      <c r="E784" t="s">
        <v>95</v>
      </c>
      <c r="F784" t="s">
        <v>72</v>
      </c>
      <c r="G784" s="122">
        <v>0</v>
      </c>
      <c r="H784" s="122">
        <v>0</v>
      </c>
      <c r="I784" s="112">
        <v>0</v>
      </c>
      <c r="J784" s="112">
        <v>0</v>
      </c>
      <c r="K784" s="23">
        <f t="shared" si="105"/>
        <v>0</v>
      </c>
      <c r="L784" s="23">
        <f t="shared" si="106"/>
        <v>0</v>
      </c>
      <c r="M784" s="12">
        <f t="shared" si="111"/>
        <v>0</v>
      </c>
      <c r="N784" s="23">
        <f t="shared" si="107"/>
        <v>0</v>
      </c>
      <c r="O784" s="41">
        <f t="shared" si="108"/>
        <v>0</v>
      </c>
      <c r="P784" s="13" t="str">
        <f t="shared" si="109"/>
        <v>NO</v>
      </c>
      <c r="Q784" s="23">
        <f t="shared" si="110"/>
        <v>0</v>
      </c>
      <c r="R784" s="12">
        <f t="shared" si="110"/>
        <v>0</v>
      </c>
    </row>
    <row r="785" spans="2:18">
      <c r="B785" t="str">
        <f t="shared" si="104"/>
        <v>MANUEL ALEJANDRO OSORIO CAHUEC46284</v>
      </c>
      <c r="C785" t="s">
        <v>20</v>
      </c>
      <c r="D785" s="121">
        <v>46284</v>
      </c>
      <c r="E785" t="s">
        <v>96</v>
      </c>
      <c r="F785" t="s">
        <v>35</v>
      </c>
      <c r="G785" s="122">
        <v>0.29166666666666702</v>
      </c>
      <c r="H785" s="122">
        <v>0.5</v>
      </c>
      <c r="I785" s="112">
        <v>0</v>
      </c>
      <c r="J785" s="112">
        <v>0</v>
      </c>
      <c r="K785" s="23">
        <f t="shared" si="105"/>
        <v>0.29166666666666702</v>
      </c>
      <c r="L785" s="23">
        <f t="shared" si="106"/>
        <v>0</v>
      </c>
      <c r="M785" s="12">
        <f t="shared" si="111"/>
        <v>0.29166666666666702</v>
      </c>
      <c r="N785" s="23">
        <f t="shared" si="107"/>
        <v>0.5</v>
      </c>
      <c r="O785" s="41">
        <f t="shared" si="108"/>
        <v>0</v>
      </c>
      <c r="P785" s="13" t="str">
        <f t="shared" si="109"/>
        <v>SI</v>
      </c>
      <c r="Q785" s="23">
        <f t="shared" si="110"/>
        <v>0.29166666666666702</v>
      </c>
      <c r="R785" s="12">
        <f t="shared" si="110"/>
        <v>0.5</v>
      </c>
    </row>
    <row r="786" spans="2:18">
      <c r="B786" t="str">
        <f t="shared" si="104"/>
        <v>MANUEL ALEJANDRO OSORIO CAHUEC46285</v>
      </c>
      <c r="C786" t="s">
        <v>20</v>
      </c>
      <c r="D786" s="121">
        <v>46285</v>
      </c>
      <c r="E786" t="s">
        <v>97</v>
      </c>
      <c r="F786" t="s">
        <v>72</v>
      </c>
      <c r="G786" s="122">
        <v>0</v>
      </c>
      <c r="H786" s="122">
        <v>0</v>
      </c>
      <c r="I786" s="112">
        <v>0</v>
      </c>
      <c r="J786" s="112">
        <v>0</v>
      </c>
      <c r="K786" s="23">
        <f t="shared" si="105"/>
        <v>0</v>
      </c>
      <c r="L786" s="23">
        <f t="shared" si="106"/>
        <v>0</v>
      </c>
      <c r="M786" s="12">
        <f t="shared" si="111"/>
        <v>0</v>
      </c>
      <c r="N786" s="23">
        <f t="shared" si="107"/>
        <v>0</v>
      </c>
      <c r="O786" s="41">
        <f t="shared" si="108"/>
        <v>0</v>
      </c>
      <c r="P786" s="13" t="str">
        <f t="shared" si="109"/>
        <v>NO</v>
      </c>
      <c r="Q786" s="23">
        <f t="shared" si="110"/>
        <v>0</v>
      </c>
      <c r="R786" s="12">
        <f t="shared" si="110"/>
        <v>0</v>
      </c>
    </row>
    <row r="787" spans="2:18">
      <c r="B787" t="str">
        <f t="shared" si="104"/>
        <v>MANUEL ALEJANDRO OSORIO CAHUEC46286</v>
      </c>
      <c r="C787" t="s">
        <v>20</v>
      </c>
      <c r="D787" s="121">
        <v>46286</v>
      </c>
      <c r="E787" t="s">
        <v>98</v>
      </c>
      <c r="F787" t="s">
        <v>35</v>
      </c>
      <c r="G787" s="122">
        <v>0.29166666666666702</v>
      </c>
      <c r="H787" s="122">
        <v>0.66666666666666696</v>
      </c>
      <c r="I787" s="112">
        <v>0</v>
      </c>
      <c r="J787" s="112">
        <v>0</v>
      </c>
      <c r="K787" s="23">
        <f t="shared" si="105"/>
        <v>0.29166666666666702</v>
      </c>
      <c r="L787" s="23">
        <f t="shared" si="106"/>
        <v>0</v>
      </c>
      <c r="M787" s="12">
        <f>+IFERROR(MAX(K787:L787),0)</f>
        <v>0.29166666666666702</v>
      </c>
      <c r="N787" s="23">
        <f t="shared" si="107"/>
        <v>0.66666666666666696</v>
      </c>
      <c r="O787" s="41">
        <f t="shared" si="108"/>
        <v>0</v>
      </c>
      <c r="P787" s="13" t="str">
        <f t="shared" si="109"/>
        <v>SI</v>
      </c>
      <c r="Q787" s="23">
        <f t="shared" si="110"/>
        <v>0.29166666666666702</v>
      </c>
      <c r="R787" s="12">
        <f t="shared" si="110"/>
        <v>0.66666666666666696</v>
      </c>
    </row>
    <row r="788" spans="2:18">
      <c r="B788" t="str">
        <f t="shared" si="104"/>
        <v>MANUEL ALEJANDRO OSORIO CAHUEC46287</v>
      </c>
      <c r="C788" t="s">
        <v>20</v>
      </c>
      <c r="D788" s="121">
        <v>46287</v>
      </c>
      <c r="E788" t="s">
        <v>99</v>
      </c>
      <c r="F788" t="s">
        <v>35</v>
      </c>
      <c r="G788" s="122">
        <v>0.29166666666666702</v>
      </c>
      <c r="H788" s="122">
        <v>0.66666666666666696</v>
      </c>
      <c r="I788" s="112">
        <v>0</v>
      </c>
      <c r="J788" s="112">
        <v>0</v>
      </c>
      <c r="K788" s="23">
        <f t="shared" si="105"/>
        <v>0.29166666666666702</v>
      </c>
      <c r="L788" s="23">
        <f t="shared" si="106"/>
        <v>0</v>
      </c>
      <c r="M788" s="12">
        <f t="shared" si="111"/>
        <v>0.29166666666666702</v>
      </c>
      <c r="N788" s="23">
        <f t="shared" si="107"/>
        <v>0.66666666666666696</v>
      </c>
      <c r="O788" s="41">
        <f t="shared" si="108"/>
        <v>0</v>
      </c>
      <c r="P788" s="13" t="str">
        <f t="shared" si="109"/>
        <v>SI</v>
      </c>
      <c r="Q788" s="23">
        <f t="shared" si="110"/>
        <v>0.29166666666666702</v>
      </c>
      <c r="R788" s="12">
        <f t="shared" si="110"/>
        <v>0.66666666666666696</v>
      </c>
    </row>
    <row r="789" spans="2:18">
      <c r="B789" t="str">
        <f t="shared" si="104"/>
        <v>MANUEL ALEJANDRO OSORIO CAHUEC46288</v>
      </c>
      <c r="C789" t="s">
        <v>20</v>
      </c>
      <c r="D789" s="121">
        <v>46288</v>
      </c>
      <c r="E789" t="s">
        <v>100</v>
      </c>
      <c r="F789" t="s">
        <v>35</v>
      </c>
      <c r="G789" s="122">
        <v>0.29166666666666702</v>
      </c>
      <c r="H789" s="122">
        <v>0.66666666666666696</v>
      </c>
      <c r="I789" s="112">
        <v>0</v>
      </c>
      <c r="J789" s="112">
        <v>0</v>
      </c>
      <c r="K789" s="23">
        <f t="shared" si="105"/>
        <v>0.29166666666666702</v>
      </c>
      <c r="L789" s="23">
        <f t="shared" si="106"/>
        <v>0</v>
      </c>
      <c r="M789" s="12">
        <f t="shared" si="111"/>
        <v>0.29166666666666702</v>
      </c>
      <c r="N789" s="23">
        <f t="shared" si="107"/>
        <v>0.66666666666666696</v>
      </c>
      <c r="O789" s="41">
        <f t="shared" si="108"/>
        <v>0</v>
      </c>
      <c r="P789" s="13" t="str">
        <f t="shared" si="109"/>
        <v>SI</v>
      </c>
      <c r="Q789" s="23">
        <f t="shared" si="110"/>
        <v>0.29166666666666702</v>
      </c>
      <c r="R789" s="12">
        <f t="shared" si="110"/>
        <v>0.66666666666666696</v>
      </c>
    </row>
    <row r="790" spans="2:18">
      <c r="B790" t="str">
        <f t="shared" si="104"/>
        <v>MANUEL ALEJANDRO OSORIO CAHUEC46289</v>
      </c>
      <c r="C790" t="s">
        <v>20</v>
      </c>
      <c r="D790" s="121">
        <v>46289</v>
      </c>
      <c r="E790" t="s">
        <v>101</v>
      </c>
      <c r="F790" t="s">
        <v>35</v>
      </c>
      <c r="G790" s="122">
        <v>0.375</v>
      </c>
      <c r="H790" s="122">
        <v>0.75</v>
      </c>
      <c r="I790" s="112">
        <v>0</v>
      </c>
      <c r="J790" s="112">
        <v>0</v>
      </c>
      <c r="K790" s="23">
        <f t="shared" si="105"/>
        <v>0.375</v>
      </c>
      <c r="L790" s="23">
        <f t="shared" si="106"/>
        <v>0</v>
      </c>
      <c r="M790" s="12">
        <f t="shared" si="111"/>
        <v>0.375</v>
      </c>
      <c r="N790" s="23">
        <f t="shared" si="107"/>
        <v>0.75</v>
      </c>
      <c r="O790" s="41">
        <f t="shared" si="108"/>
        <v>0</v>
      </c>
      <c r="P790" s="13" t="str">
        <f t="shared" si="109"/>
        <v>SI</v>
      </c>
      <c r="Q790" s="23">
        <f t="shared" si="110"/>
        <v>0.375</v>
      </c>
      <c r="R790" s="12">
        <f t="shared" si="110"/>
        <v>0.75</v>
      </c>
    </row>
    <row r="791" spans="2:18">
      <c r="B791" t="str">
        <f t="shared" si="104"/>
        <v>MANUEL ALEJANDRO OSORIO CAHUEC46290</v>
      </c>
      <c r="C791" t="s">
        <v>20</v>
      </c>
      <c r="D791" s="121">
        <v>46290</v>
      </c>
      <c r="E791" t="s">
        <v>95</v>
      </c>
      <c r="F791" t="s">
        <v>35</v>
      </c>
      <c r="G791" s="122">
        <v>0.29166666666666702</v>
      </c>
      <c r="H791" s="122">
        <v>0.66666666666666696</v>
      </c>
      <c r="I791" s="112">
        <v>0</v>
      </c>
      <c r="J791" s="112">
        <v>0</v>
      </c>
      <c r="K791" s="23">
        <f t="shared" si="105"/>
        <v>0.29166666666666702</v>
      </c>
      <c r="L791" s="23">
        <f t="shared" si="106"/>
        <v>0</v>
      </c>
      <c r="M791" s="12">
        <f t="shared" si="111"/>
        <v>0.29166666666666702</v>
      </c>
      <c r="N791" s="23">
        <f t="shared" si="107"/>
        <v>0.66666666666666696</v>
      </c>
      <c r="O791" s="41">
        <f t="shared" si="108"/>
        <v>0</v>
      </c>
      <c r="P791" s="13" t="str">
        <f t="shared" si="109"/>
        <v>SI</v>
      </c>
      <c r="Q791" s="23">
        <f t="shared" si="110"/>
        <v>0.29166666666666702</v>
      </c>
      <c r="R791" s="12">
        <f t="shared" si="110"/>
        <v>0.66666666666666696</v>
      </c>
    </row>
    <row r="792" spans="2:18">
      <c r="B792" t="str">
        <f t="shared" si="104"/>
        <v>MANUEL ALEJANDRO OSORIO CAHUEC46291</v>
      </c>
      <c r="C792" t="s">
        <v>20</v>
      </c>
      <c r="D792" s="121">
        <v>46291</v>
      </c>
      <c r="E792" t="s">
        <v>96</v>
      </c>
      <c r="F792" t="s">
        <v>35</v>
      </c>
      <c r="G792" s="122">
        <v>0.29166666666666702</v>
      </c>
      <c r="H792" s="122">
        <v>0.5</v>
      </c>
      <c r="I792" s="112">
        <v>0</v>
      </c>
      <c r="J792" s="112">
        <v>0</v>
      </c>
      <c r="K792" s="23">
        <f t="shared" si="105"/>
        <v>0.29166666666666702</v>
      </c>
      <c r="L792" s="23">
        <f t="shared" si="106"/>
        <v>0</v>
      </c>
      <c r="M792" s="12">
        <f t="shared" si="111"/>
        <v>0.29166666666666702</v>
      </c>
      <c r="N792" s="23">
        <f t="shared" si="107"/>
        <v>0.5</v>
      </c>
      <c r="O792" s="41">
        <f t="shared" si="108"/>
        <v>0</v>
      </c>
      <c r="P792" s="13" t="str">
        <f t="shared" si="109"/>
        <v>SI</v>
      </c>
      <c r="Q792" s="23">
        <f t="shared" si="110"/>
        <v>0.29166666666666702</v>
      </c>
      <c r="R792" s="12">
        <f t="shared" si="110"/>
        <v>0.5</v>
      </c>
    </row>
    <row r="793" spans="2:18">
      <c r="B793" t="str">
        <f t="shared" si="104"/>
        <v>MANUEL ALEJANDRO OSORIO CAHUEC46292</v>
      </c>
      <c r="C793" t="s">
        <v>20</v>
      </c>
      <c r="D793" s="121">
        <v>46292</v>
      </c>
      <c r="E793" t="s">
        <v>97</v>
      </c>
      <c r="F793" t="s">
        <v>72</v>
      </c>
      <c r="G793" s="122">
        <v>0</v>
      </c>
      <c r="H793" s="122">
        <v>0</v>
      </c>
      <c r="I793" s="112">
        <v>0</v>
      </c>
      <c r="J793" s="112">
        <v>0</v>
      </c>
      <c r="K793" s="23">
        <f t="shared" si="105"/>
        <v>0</v>
      </c>
      <c r="L793" s="23">
        <f t="shared" si="106"/>
        <v>0</v>
      </c>
      <c r="M793" s="12">
        <f t="shared" si="111"/>
        <v>0</v>
      </c>
      <c r="N793" s="23">
        <f t="shared" si="107"/>
        <v>0</v>
      </c>
      <c r="O793" s="41">
        <f t="shared" si="108"/>
        <v>0</v>
      </c>
      <c r="P793" s="13" t="str">
        <f t="shared" si="109"/>
        <v>NO</v>
      </c>
      <c r="Q793" s="23">
        <f t="shared" si="110"/>
        <v>0</v>
      </c>
      <c r="R793" s="12">
        <f t="shared" si="110"/>
        <v>0</v>
      </c>
    </row>
    <row r="794" spans="2:18">
      <c r="B794" t="str">
        <f t="shared" si="104"/>
        <v>MANUEL ALEJANDRO OSORIO CAHUEC46293</v>
      </c>
      <c r="C794" t="s">
        <v>20</v>
      </c>
      <c r="D794" s="121">
        <v>46293</v>
      </c>
      <c r="E794" t="s">
        <v>98</v>
      </c>
      <c r="F794" t="s">
        <v>35</v>
      </c>
      <c r="G794" s="122">
        <v>0.33333333333333298</v>
      </c>
      <c r="H794" s="122">
        <v>0.70833333333333304</v>
      </c>
      <c r="I794" s="112">
        <v>0</v>
      </c>
      <c r="J794" s="112">
        <v>0</v>
      </c>
      <c r="K794" s="23">
        <f t="shared" si="105"/>
        <v>0.33333333333333298</v>
      </c>
      <c r="L794" s="23">
        <f t="shared" si="106"/>
        <v>0</v>
      </c>
      <c r="M794" s="12">
        <f t="shared" si="111"/>
        <v>0.33333333333333298</v>
      </c>
      <c r="N794" s="23">
        <f t="shared" si="107"/>
        <v>0.70833333333333304</v>
      </c>
      <c r="O794" s="41">
        <f t="shared" si="108"/>
        <v>0</v>
      </c>
      <c r="P794" s="13" t="str">
        <f t="shared" si="109"/>
        <v>SI</v>
      </c>
      <c r="Q794" s="23">
        <f t="shared" si="110"/>
        <v>0.33333333333333298</v>
      </c>
      <c r="R794" s="12">
        <f t="shared" si="110"/>
        <v>0.70833333333333304</v>
      </c>
    </row>
    <row r="795" spans="2:18">
      <c r="B795" t="str">
        <f t="shared" si="104"/>
        <v>MANUEL ALEJANDRO OSORIO CAHUEC46294</v>
      </c>
      <c r="C795" t="s">
        <v>20</v>
      </c>
      <c r="D795" s="121">
        <v>46294</v>
      </c>
      <c r="E795" t="s">
        <v>99</v>
      </c>
      <c r="F795" t="s">
        <v>35</v>
      </c>
      <c r="G795" s="122">
        <v>0.29166666666666702</v>
      </c>
      <c r="H795" s="122">
        <v>0.66666666666666696</v>
      </c>
      <c r="I795" s="112">
        <v>0</v>
      </c>
      <c r="J795" s="112">
        <v>0</v>
      </c>
      <c r="K795" s="23">
        <f t="shared" si="105"/>
        <v>0.29166666666666702</v>
      </c>
      <c r="L795" s="23">
        <f t="shared" si="106"/>
        <v>0</v>
      </c>
      <c r="M795" s="12">
        <f t="shared" si="111"/>
        <v>0.29166666666666702</v>
      </c>
      <c r="N795" s="23">
        <f t="shared" si="107"/>
        <v>0.66666666666666696</v>
      </c>
      <c r="O795" s="41">
        <f t="shared" si="108"/>
        <v>0</v>
      </c>
      <c r="P795" s="13" t="str">
        <f t="shared" si="109"/>
        <v>SI</v>
      </c>
      <c r="Q795" s="23">
        <f t="shared" si="110"/>
        <v>0.29166666666666702</v>
      </c>
      <c r="R795" s="12">
        <f t="shared" si="110"/>
        <v>0.66666666666666696</v>
      </c>
    </row>
    <row r="796" spans="2:18">
      <c r="B796" t="str">
        <f t="shared" si="104"/>
        <v>MANUEL ALEJANDRO OSORIO CAHUEC46295</v>
      </c>
      <c r="C796" t="s">
        <v>20</v>
      </c>
      <c r="D796" s="121">
        <v>46295</v>
      </c>
      <c r="E796" t="s">
        <v>100</v>
      </c>
      <c r="F796" t="s">
        <v>36</v>
      </c>
      <c r="G796" s="122">
        <v>0.79166666666666696</v>
      </c>
      <c r="H796" s="122">
        <v>0.20833333333333301</v>
      </c>
      <c r="I796" s="112">
        <v>0</v>
      </c>
      <c r="J796" s="112">
        <v>0</v>
      </c>
      <c r="K796" s="23">
        <f t="shared" si="105"/>
        <v>0.79166666666666696</v>
      </c>
      <c r="L796" s="23">
        <f t="shared" si="106"/>
        <v>0</v>
      </c>
      <c r="M796" s="12">
        <f t="shared" si="111"/>
        <v>0.79166666666666696</v>
      </c>
      <c r="N796" s="23">
        <f t="shared" si="107"/>
        <v>0.20833333333333301</v>
      </c>
      <c r="O796" s="41">
        <f t="shared" si="108"/>
        <v>0</v>
      </c>
      <c r="P796" s="13" t="str">
        <f t="shared" si="109"/>
        <v>SI</v>
      </c>
      <c r="Q796" s="23">
        <f t="shared" si="110"/>
        <v>0.79166666666666696</v>
      </c>
      <c r="R796" s="12">
        <f t="shared" si="110"/>
        <v>0.20833333333333301</v>
      </c>
    </row>
    <row r="797" spans="2:18">
      <c r="B797" t="str">
        <f t="shared" si="104"/>
        <v>MANUEL ALEJANDRO OSORIO CAHUEC46296</v>
      </c>
      <c r="C797" t="s">
        <v>20</v>
      </c>
      <c r="D797" s="121">
        <v>46296</v>
      </c>
      <c r="E797" t="s">
        <v>101</v>
      </c>
      <c r="F797" t="s">
        <v>36</v>
      </c>
      <c r="G797" s="122">
        <v>0.79166666666666696</v>
      </c>
      <c r="H797" s="122">
        <v>0.20833333333333301</v>
      </c>
      <c r="I797" s="112">
        <v>0</v>
      </c>
      <c r="J797" s="112">
        <v>0</v>
      </c>
      <c r="K797" s="23">
        <f t="shared" si="105"/>
        <v>0.79166666666666696</v>
      </c>
      <c r="L797" s="23">
        <f t="shared" si="106"/>
        <v>0</v>
      </c>
      <c r="M797" s="12">
        <f t="shared" si="111"/>
        <v>0.79166666666666696</v>
      </c>
      <c r="N797" s="23">
        <f t="shared" si="107"/>
        <v>0.20833333333333301</v>
      </c>
      <c r="O797" s="41">
        <f t="shared" si="108"/>
        <v>0</v>
      </c>
      <c r="P797" s="13" t="str">
        <f t="shared" si="109"/>
        <v>SI</v>
      </c>
      <c r="Q797" s="23">
        <f t="shared" si="110"/>
        <v>0.79166666666666696</v>
      </c>
      <c r="R797" s="12">
        <f t="shared" si="110"/>
        <v>0.20833333333333301</v>
      </c>
    </row>
    <row r="798" spans="2:18">
      <c r="B798" t="str">
        <f t="shared" si="104"/>
        <v>MANUEL ALEJANDRO OSORIO CAHUEC46297</v>
      </c>
      <c r="C798" t="s">
        <v>20</v>
      </c>
      <c r="D798" s="121">
        <v>46297</v>
      </c>
      <c r="E798" t="s">
        <v>95</v>
      </c>
      <c r="F798" t="s">
        <v>36</v>
      </c>
      <c r="G798" s="122">
        <v>0.79166666666666696</v>
      </c>
      <c r="H798" s="122">
        <v>0.20833333333333301</v>
      </c>
      <c r="I798" s="112">
        <v>0</v>
      </c>
      <c r="J798" s="112">
        <v>0</v>
      </c>
      <c r="K798" s="23">
        <f t="shared" si="105"/>
        <v>0.79166666666666696</v>
      </c>
      <c r="L798" s="23">
        <f t="shared" si="106"/>
        <v>0</v>
      </c>
      <c r="M798" s="12">
        <f t="shared" si="111"/>
        <v>0.79166666666666696</v>
      </c>
      <c r="N798" s="23">
        <f t="shared" si="107"/>
        <v>0.20833333333333301</v>
      </c>
      <c r="O798" s="41">
        <f t="shared" si="108"/>
        <v>0</v>
      </c>
      <c r="P798" s="13" t="str">
        <f t="shared" si="109"/>
        <v>SI</v>
      </c>
      <c r="Q798" s="23">
        <f t="shared" si="110"/>
        <v>0.79166666666666696</v>
      </c>
      <c r="R798" s="12">
        <f t="shared" si="110"/>
        <v>0.20833333333333301</v>
      </c>
    </row>
    <row r="799" spans="2:18">
      <c r="B799" t="str">
        <f t="shared" si="104"/>
        <v>MANUEL ALEJANDRO OSORIO CAHUEC46298</v>
      </c>
      <c r="C799" t="s">
        <v>20</v>
      </c>
      <c r="D799" s="121">
        <v>46298</v>
      </c>
      <c r="E799" t="s">
        <v>96</v>
      </c>
      <c r="F799" t="s">
        <v>72</v>
      </c>
      <c r="G799" s="122">
        <v>0</v>
      </c>
      <c r="H799" s="122">
        <v>0</v>
      </c>
      <c r="I799" s="112">
        <v>0</v>
      </c>
      <c r="J799" s="112">
        <v>0</v>
      </c>
      <c r="K799" s="23">
        <f t="shared" si="105"/>
        <v>0</v>
      </c>
      <c r="L799" s="23">
        <f t="shared" si="106"/>
        <v>0</v>
      </c>
      <c r="M799" s="12">
        <f t="shared" si="111"/>
        <v>0</v>
      </c>
      <c r="N799" s="23">
        <f t="shared" si="107"/>
        <v>0</v>
      </c>
      <c r="O799" s="41">
        <f t="shared" si="108"/>
        <v>0</v>
      </c>
      <c r="P799" s="13" t="str">
        <f t="shared" si="109"/>
        <v>NO</v>
      </c>
      <c r="Q799" s="23">
        <f t="shared" si="110"/>
        <v>0</v>
      </c>
      <c r="R799" s="12">
        <f t="shared" si="110"/>
        <v>0</v>
      </c>
    </row>
    <row r="800" spans="2:18">
      <c r="B800" t="str">
        <f t="shared" si="104"/>
        <v>MANUEL ALEJANDRO OSORIO CAHUEC46299</v>
      </c>
      <c r="C800" t="s">
        <v>20</v>
      </c>
      <c r="D800" s="121">
        <v>46299</v>
      </c>
      <c r="E800" t="s">
        <v>97</v>
      </c>
      <c r="F800" t="s">
        <v>72</v>
      </c>
      <c r="G800" s="122">
        <v>0</v>
      </c>
      <c r="H800" s="122">
        <v>0</v>
      </c>
      <c r="I800" s="112">
        <v>0</v>
      </c>
      <c r="J800" s="112">
        <v>0</v>
      </c>
      <c r="K800" s="23">
        <f t="shared" si="105"/>
        <v>0</v>
      </c>
      <c r="L800" s="23">
        <f t="shared" si="106"/>
        <v>0</v>
      </c>
      <c r="M800" s="12">
        <f t="shared" si="111"/>
        <v>0</v>
      </c>
      <c r="N800" s="23">
        <f t="shared" si="107"/>
        <v>0</v>
      </c>
      <c r="O800" s="41">
        <f t="shared" si="108"/>
        <v>0</v>
      </c>
      <c r="P800" s="13" t="str">
        <f t="shared" si="109"/>
        <v>NO</v>
      </c>
      <c r="Q800" s="23">
        <f t="shared" si="110"/>
        <v>0</v>
      </c>
      <c r="R800" s="12">
        <f t="shared" si="110"/>
        <v>0</v>
      </c>
    </row>
    <row r="801" spans="2:18">
      <c r="B801" t="str">
        <f t="shared" ref="B801:B864" si="112">+C801&amp;D801</f>
        <v>MARROQIN HERNANDEZ WILLIAM ERNESTO46279</v>
      </c>
      <c r="C801" t="s">
        <v>266</v>
      </c>
      <c r="D801" s="121">
        <v>46279</v>
      </c>
      <c r="E801" t="s">
        <v>98</v>
      </c>
      <c r="F801" t="s">
        <v>72</v>
      </c>
      <c r="G801" s="122">
        <v>0</v>
      </c>
      <c r="H801" s="122">
        <v>0</v>
      </c>
      <c r="I801" s="112">
        <v>0</v>
      </c>
      <c r="J801" s="112">
        <v>0</v>
      </c>
      <c r="K801" s="23">
        <f t="shared" ref="K801:K864" si="113">+IFERROR(G801,0)</f>
        <v>0</v>
      </c>
      <c r="L801" s="23">
        <f t="shared" ref="L801:L864" si="114">+I801</f>
        <v>0</v>
      </c>
      <c r="M801" s="12">
        <f t="shared" si="111"/>
        <v>0</v>
      </c>
      <c r="N801" s="23">
        <f t="shared" ref="N801:N864" si="115">+H801</f>
        <v>0</v>
      </c>
      <c r="O801" s="41">
        <f t="shared" ref="O801:O864" si="116">+J801</f>
        <v>0</v>
      </c>
      <c r="P801" s="13" t="str">
        <f t="shared" ref="P801:P864" si="117">+IF(O801&lt;N801,"SI","NO")</f>
        <v>NO</v>
      </c>
      <c r="Q801" s="23">
        <f t="shared" ref="Q801:R864" si="118">+M801</f>
        <v>0</v>
      </c>
      <c r="R801" s="12">
        <f t="shared" si="118"/>
        <v>0</v>
      </c>
    </row>
    <row r="802" spans="2:18">
      <c r="B802" t="str">
        <f t="shared" si="112"/>
        <v>MARROQIN HERNANDEZ WILLIAM ERNESTO46280</v>
      </c>
      <c r="C802" t="s">
        <v>266</v>
      </c>
      <c r="D802" s="121">
        <v>46280</v>
      </c>
      <c r="E802" t="s">
        <v>99</v>
      </c>
      <c r="F802" t="s">
        <v>35</v>
      </c>
      <c r="G802" s="122">
        <v>0.33333333333333298</v>
      </c>
      <c r="H802" s="122">
        <v>0.70833333333333304</v>
      </c>
      <c r="I802" s="112">
        <v>0</v>
      </c>
      <c r="J802" s="112">
        <v>0</v>
      </c>
      <c r="K802" s="23">
        <f t="shared" si="113"/>
        <v>0.33333333333333298</v>
      </c>
      <c r="L802" s="23">
        <f t="shared" si="114"/>
        <v>0</v>
      </c>
      <c r="M802" s="12">
        <f t="shared" ref="M802:M865" si="119">+IFERROR(MAX(K802:L802),0)</f>
        <v>0.33333333333333298</v>
      </c>
      <c r="N802" s="23">
        <f t="shared" si="115"/>
        <v>0.70833333333333304</v>
      </c>
      <c r="O802" s="41">
        <f t="shared" si="116"/>
        <v>0</v>
      </c>
      <c r="P802" s="13" t="str">
        <f t="shared" si="117"/>
        <v>SI</v>
      </c>
      <c r="Q802" s="23">
        <f t="shared" si="118"/>
        <v>0.33333333333333298</v>
      </c>
      <c r="R802" s="12">
        <f t="shared" si="118"/>
        <v>0.70833333333333304</v>
      </c>
    </row>
    <row r="803" spans="2:18">
      <c r="B803" t="str">
        <f t="shared" si="112"/>
        <v>MARROQIN HERNANDEZ WILLIAM ERNESTO46281</v>
      </c>
      <c r="C803" t="s">
        <v>266</v>
      </c>
      <c r="D803" s="121">
        <v>46281</v>
      </c>
      <c r="E803" t="s">
        <v>100</v>
      </c>
      <c r="F803" t="s">
        <v>36</v>
      </c>
      <c r="G803" s="122">
        <v>0.75</v>
      </c>
      <c r="H803" s="122">
        <v>0.20833333333333301</v>
      </c>
      <c r="I803" s="112">
        <v>0</v>
      </c>
      <c r="J803" s="112">
        <v>0</v>
      </c>
      <c r="K803" s="23">
        <f t="shared" si="113"/>
        <v>0.75</v>
      </c>
      <c r="L803" s="23">
        <f t="shared" si="114"/>
        <v>0</v>
      </c>
      <c r="M803" s="12">
        <f t="shared" si="119"/>
        <v>0.75</v>
      </c>
      <c r="N803" s="23">
        <f t="shared" si="115"/>
        <v>0.20833333333333301</v>
      </c>
      <c r="O803" s="41">
        <f t="shared" si="116"/>
        <v>0</v>
      </c>
      <c r="P803" s="13" t="str">
        <f t="shared" si="117"/>
        <v>SI</v>
      </c>
      <c r="Q803" s="23">
        <f t="shared" si="118"/>
        <v>0.75</v>
      </c>
      <c r="R803" s="12">
        <f t="shared" si="118"/>
        <v>0.20833333333333301</v>
      </c>
    </row>
    <row r="804" spans="2:18">
      <c r="B804" t="str">
        <f t="shared" si="112"/>
        <v>MARROQIN HERNANDEZ WILLIAM ERNESTO46282</v>
      </c>
      <c r="C804" t="s">
        <v>266</v>
      </c>
      <c r="D804" s="121">
        <v>46282</v>
      </c>
      <c r="E804" t="s">
        <v>101</v>
      </c>
      <c r="F804" t="s">
        <v>36</v>
      </c>
      <c r="G804" s="122">
        <v>0.75</v>
      </c>
      <c r="H804" s="122">
        <v>0.20833333333333301</v>
      </c>
      <c r="I804" s="112">
        <v>0</v>
      </c>
      <c r="J804" s="112">
        <v>0</v>
      </c>
      <c r="K804" s="23">
        <f t="shared" si="113"/>
        <v>0.75</v>
      </c>
      <c r="L804" s="23">
        <f t="shared" si="114"/>
        <v>0</v>
      </c>
      <c r="M804" s="12">
        <f t="shared" si="119"/>
        <v>0.75</v>
      </c>
      <c r="N804" s="23">
        <f t="shared" si="115"/>
        <v>0.20833333333333301</v>
      </c>
      <c r="O804" s="41">
        <f t="shared" si="116"/>
        <v>0</v>
      </c>
      <c r="P804" s="13" t="str">
        <f t="shared" si="117"/>
        <v>SI</v>
      </c>
      <c r="Q804" s="23">
        <f t="shared" si="118"/>
        <v>0.75</v>
      </c>
      <c r="R804" s="12">
        <f t="shared" si="118"/>
        <v>0.20833333333333301</v>
      </c>
    </row>
    <row r="805" spans="2:18">
      <c r="B805" t="str">
        <f t="shared" si="112"/>
        <v>MARROQIN HERNANDEZ WILLIAM ERNESTO46283</v>
      </c>
      <c r="C805" t="s">
        <v>266</v>
      </c>
      <c r="D805" s="121">
        <v>46283</v>
      </c>
      <c r="E805" t="s">
        <v>95</v>
      </c>
      <c r="F805" t="s">
        <v>36</v>
      </c>
      <c r="G805" s="122">
        <v>0.75</v>
      </c>
      <c r="H805" s="122">
        <v>0.20833333333333301</v>
      </c>
      <c r="I805" s="112">
        <v>0</v>
      </c>
      <c r="J805" s="112">
        <v>0</v>
      </c>
      <c r="K805" s="23">
        <f t="shared" si="113"/>
        <v>0.75</v>
      </c>
      <c r="L805" s="23">
        <f t="shared" si="114"/>
        <v>0</v>
      </c>
      <c r="M805" s="12">
        <f t="shared" si="119"/>
        <v>0.75</v>
      </c>
      <c r="N805" s="23">
        <f t="shared" si="115"/>
        <v>0.20833333333333301</v>
      </c>
      <c r="O805" s="41">
        <f t="shared" si="116"/>
        <v>0</v>
      </c>
      <c r="P805" s="13" t="str">
        <f t="shared" si="117"/>
        <v>SI</v>
      </c>
      <c r="Q805" s="23">
        <f t="shared" si="118"/>
        <v>0.75</v>
      </c>
      <c r="R805" s="12">
        <f t="shared" si="118"/>
        <v>0.20833333333333301</v>
      </c>
    </row>
    <row r="806" spans="2:18">
      <c r="B806" t="str">
        <f t="shared" si="112"/>
        <v>MARROQIN HERNANDEZ WILLIAM ERNESTO46284</v>
      </c>
      <c r="C806" t="s">
        <v>266</v>
      </c>
      <c r="D806" s="121">
        <v>46284</v>
      </c>
      <c r="E806" t="s">
        <v>96</v>
      </c>
      <c r="F806" t="s">
        <v>72</v>
      </c>
      <c r="G806" s="122">
        <v>0</v>
      </c>
      <c r="H806" s="122">
        <v>0</v>
      </c>
      <c r="I806" s="112">
        <v>0</v>
      </c>
      <c r="J806" s="112">
        <v>0</v>
      </c>
      <c r="K806" s="23">
        <f t="shared" si="113"/>
        <v>0</v>
      </c>
      <c r="L806" s="23">
        <f t="shared" si="114"/>
        <v>0</v>
      </c>
      <c r="M806" s="12">
        <f t="shared" si="119"/>
        <v>0</v>
      </c>
      <c r="N806" s="23">
        <f t="shared" si="115"/>
        <v>0</v>
      </c>
      <c r="O806" s="41">
        <f t="shared" si="116"/>
        <v>0</v>
      </c>
      <c r="P806" s="13" t="str">
        <f t="shared" si="117"/>
        <v>NO</v>
      </c>
      <c r="Q806" s="23">
        <f t="shared" si="118"/>
        <v>0</v>
      </c>
      <c r="R806" s="12">
        <f t="shared" si="118"/>
        <v>0</v>
      </c>
    </row>
    <row r="807" spans="2:18">
      <c r="B807" t="str">
        <f t="shared" si="112"/>
        <v>MARROQIN HERNANDEZ WILLIAM ERNESTO46285</v>
      </c>
      <c r="C807" t="s">
        <v>266</v>
      </c>
      <c r="D807" s="121">
        <v>46285</v>
      </c>
      <c r="E807" t="s">
        <v>97</v>
      </c>
      <c r="F807" t="s">
        <v>72</v>
      </c>
      <c r="G807" s="122">
        <v>0</v>
      </c>
      <c r="H807" s="122">
        <v>0</v>
      </c>
      <c r="I807" s="112">
        <v>0</v>
      </c>
      <c r="J807" s="112">
        <v>0</v>
      </c>
      <c r="K807" s="23">
        <f t="shared" si="113"/>
        <v>0</v>
      </c>
      <c r="L807" s="23">
        <f t="shared" si="114"/>
        <v>0</v>
      </c>
      <c r="M807" s="12">
        <f t="shared" si="119"/>
        <v>0</v>
      </c>
      <c r="N807" s="23">
        <f t="shared" si="115"/>
        <v>0</v>
      </c>
      <c r="O807" s="41">
        <f t="shared" si="116"/>
        <v>0</v>
      </c>
      <c r="P807" s="13" t="str">
        <f t="shared" si="117"/>
        <v>NO</v>
      </c>
      <c r="Q807" s="23">
        <f t="shared" si="118"/>
        <v>0</v>
      </c>
      <c r="R807" s="12">
        <f t="shared" si="118"/>
        <v>0</v>
      </c>
    </row>
    <row r="808" spans="2:18">
      <c r="B808" t="str">
        <f t="shared" si="112"/>
        <v>MARROQIN HERNANDEZ WILLIAM ERNESTO46286</v>
      </c>
      <c r="C808" t="s">
        <v>266</v>
      </c>
      <c r="D808" s="121">
        <v>46286</v>
      </c>
      <c r="E808" t="s">
        <v>98</v>
      </c>
      <c r="F808" t="s">
        <v>35</v>
      </c>
      <c r="G808" s="122">
        <v>0.22916666666666699</v>
      </c>
      <c r="H808" s="122">
        <v>0.6875</v>
      </c>
      <c r="I808" s="112">
        <v>0</v>
      </c>
      <c r="J808" s="112">
        <v>0</v>
      </c>
      <c r="K808" s="23">
        <f t="shared" si="113"/>
        <v>0.22916666666666699</v>
      </c>
      <c r="L808" s="23">
        <f t="shared" si="114"/>
        <v>0</v>
      </c>
      <c r="M808" s="12">
        <f t="shared" si="119"/>
        <v>0.22916666666666699</v>
      </c>
      <c r="N808" s="23">
        <f t="shared" si="115"/>
        <v>0.6875</v>
      </c>
      <c r="O808" s="41">
        <f t="shared" si="116"/>
        <v>0</v>
      </c>
      <c r="P808" s="13" t="str">
        <f t="shared" si="117"/>
        <v>SI</v>
      </c>
      <c r="Q808" s="23">
        <f t="shared" si="118"/>
        <v>0.22916666666666699</v>
      </c>
      <c r="R808" s="12">
        <f t="shared" si="118"/>
        <v>0.6875</v>
      </c>
    </row>
    <row r="809" spans="2:18">
      <c r="B809" t="str">
        <f t="shared" si="112"/>
        <v>MARROQIN HERNANDEZ WILLIAM ERNESTO46287</v>
      </c>
      <c r="C809" t="s">
        <v>266</v>
      </c>
      <c r="D809" s="121">
        <v>46287</v>
      </c>
      <c r="E809" t="s">
        <v>99</v>
      </c>
      <c r="F809" t="s">
        <v>35</v>
      </c>
      <c r="G809" s="122">
        <v>0.25</v>
      </c>
      <c r="H809" s="122">
        <v>0.70833333333333304</v>
      </c>
      <c r="I809" s="112">
        <v>0</v>
      </c>
      <c r="J809" s="112">
        <v>0</v>
      </c>
      <c r="K809" s="23">
        <f t="shared" si="113"/>
        <v>0.25</v>
      </c>
      <c r="L809" s="23">
        <f t="shared" si="114"/>
        <v>0</v>
      </c>
      <c r="M809" s="12">
        <f t="shared" si="119"/>
        <v>0.25</v>
      </c>
      <c r="N809" s="23">
        <f t="shared" si="115"/>
        <v>0.70833333333333304</v>
      </c>
      <c r="O809" s="41">
        <f t="shared" si="116"/>
        <v>0</v>
      </c>
      <c r="P809" s="13" t="str">
        <f t="shared" si="117"/>
        <v>SI</v>
      </c>
      <c r="Q809" s="23">
        <f t="shared" si="118"/>
        <v>0.25</v>
      </c>
      <c r="R809" s="12">
        <f t="shared" si="118"/>
        <v>0.70833333333333304</v>
      </c>
    </row>
    <row r="810" spans="2:18">
      <c r="B810" t="str">
        <f t="shared" si="112"/>
        <v>MARROQIN HERNANDEZ WILLIAM ERNESTO46288</v>
      </c>
      <c r="C810" t="s">
        <v>266</v>
      </c>
      <c r="D810" s="121">
        <v>46288</v>
      </c>
      <c r="E810" t="s">
        <v>100</v>
      </c>
      <c r="F810" t="s">
        <v>35</v>
      </c>
      <c r="G810" s="122">
        <v>0.25</v>
      </c>
      <c r="H810" s="122">
        <v>0.70833333333333304</v>
      </c>
      <c r="I810" s="112">
        <v>0</v>
      </c>
      <c r="J810" s="112">
        <v>0</v>
      </c>
      <c r="K810" s="23">
        <f t="shared" si="113"/>
        <v>0.25</v>
      </c>
      <c r="L810" s="23">
        <f t="shared" si="114"/>
        <v>0</v>
      </c>
      <c r="M810" s="12">
        <f t="shared" si="119"/>
        <v>0.25</v>
      </c>
      <c r="N810" s="23">
        <f t="shared" si="115"/>
        <v>0.70833333333333304</v>
      </c>
      <c r="O810" s="41">
        <f t="shared" si="116"/>
        <v>0</v>
      </c>
      <c r="P810" s="13" t="str">
        <f t="shared" si="117"/>
        <v>SI</v>
      </c>
      <c r="Q810" s="23">
        <f t="shared" si="118"/>
        <v>0.25</v>
      </c>
      <c r="R810" s="12">
        <f t="shared" si="118"/>
        <v>0.70833333333333304</v>
      </c>
    </row>
    <row r="811" spans="2:18">
      <c r="B811" t="str">
        <f t="shared" si="112"/>
        <v>MARROQIN HERNANDEZ WILLIAM ERNESTO46289</v>
      </c>
      <c r="C811" t="s">
        <v>266</v>
      </c>
      <c r="D811" s="121">
        <v>46289</v>
      </c>
      <c r="E811" t="s">
        <v>101</v>
      </c>
      <c r="F811" t="s">
        <v>35</v>
      </c>
      <c r="G811" s="122">
        <v>0.25</v>
      </c>
      <c r="H811" s="122">
        <v>0.70833333333333304</v>
      </c>
      <c r="I811" s="112">
        <v>0</v>
      </c>
      <c r="J811" s="112">
        <v>0</v>
      </c>
      <c r="K811" s="23">
        <f t="shared" si="113"/>
        <v>0.25</v>
      </c>
      <c r="L811" s="23">
        <f t="shared" si="114"/>
        <v>0</v>
      </c>
      <c r="M811" s="12">
        <f t="shared" si="119"/>
        <v>0.25</v>
      </c>
      <c r="N811" s="23">
        <f t="shared" si="115"/>
        <v>0.70833333333333304</v>
      </c>
      <c r="O811" s="41">
        <f t="shared" si="116"/>
        <v>0</v>
      </c>
      <c r="P811" s="13" t="str">
        <f t="shared" si="117"/>
        <v>SI</v>
      </c>
      <c r="Q811" s="23">
        <f t="shared" si="118"/>
        <v>0.25</v>
      </c>
      <c r="R811" s="12">
        <f t="shared" si="118"/>
        <v>0.70833333333333304</v>
      </c>
    </row>
    <row r="812" spans="2:18">
      <c r="B812" t="str">
        <f t="shared" si="112"/>
        <v>MARROQIN HERNANDEZ WILLIAM ERNESTO46290</v>
      </c>
      <c r="C812" t="s">
        <v>266</v>
      </c>
      <c r="D812" s="121">
        <v>46290</v>
      </c>
      <c r="E812" t="s">
        <v>95</v>
      </c>
      <c r="F812" t="s">
        <v>35</v>
      </c>
      <c r="G812" s="122">
        <v>0.25</v>
      </c>
      <c r="H812" s="122">
        <v>0.70833333333333304</v>
      </c>
      <c r="I812" s="112">
        <v>0</v>
      </c>
      <c r="J812" s="112">
        <v>0</v>
      </c>
      <c r="K812" s="23">
        <f t="shared" si="113"/>
        <v>0.25</v>
      </c>
      <c r="L812" s="23">
        <f t="shared" si="114"/>
        <v>0</v>
      </c>
      <c r="M812" s="12">
        <f t="shared" si="119"/>
        <v>0.25</v>
      </c>
      <c r="N812" s="23">
        <f t="shared" si="115"/>
        <v>0.70833333333333304</v>
      </c>
      <c r="O812" s="41">
        <f t="shared" si="116"/>
        <v>0</v>
      </c>
      <c r="P812" s="13" t="str">
        <f t="shared" si="117"/>
        <v>SI</v>
      </c>
      <c r="Q812" s="23">
        <f t="shared" si="118"/>
        <v>0.25</v>
      </c>
      <c r="R812" s="12">
        <f t="shared" si="118"/>
        <v>0.70833333333333304</v>
      </c>
    </row>
    <row r="813" spans="2:18">
      <c r="B813" t="str">
        <f t="shared" si="112"/>
        <v>MARROQIN HERNANDEZ WILLIAM ERNESTO46291</v>
      </c>
      <c r="C813" t="s">
        <v>266</v>
      </c>
      <c r="D813" s="121">
        <v>46291</v>
      </c>
      <c r="E813" t="s">
        <v>96</v>
      </c>
      <c r="F813" t="s">
        <v>35</v>
      </c>
      <c r="G813" s="122">
        <v>0.25</v>
      </c>
      <c r="H813" s="122">
        <v>0.54166666666666696</v>
      </c>
      <c r="I813" s="112">
        <v>0</v>
      </c>
      <c r="J813" s="112">
        <v>0</v>
      </c>
      <c r="K813" s="23">
        <f t="shared" si="113"/>
        <v>0.25</v>
      </c>
      <c r="L813" s="23">
        <f t="shared" si="114"/>
        <v>0</v>
      </c>
      <c r="M813" s="12">
        <f t="shared" si="119"/>
        <v>0.25</v>
      </c>
      <c r="N813" s="23">
        <f t="shared" si="115"/>
        <v>0.54166666666666696</v>
      </c>
      <c r="O813" s="41">
        <f t="shared" si="116"/>
        <v>0</v>
      </c>
      <c r="P813" s="13" t="str">
        <f t="shared" si="117"/>
        <v>SI</v>
      </c>
      <c r="Q813" s="23">
        <f t="shared" si="118"/>
        <v>0.25</v>
      </c>
      <c r="R813" s="12">
        <f t="shared" si="118"/>
        <v>0.54166666666666696</v>
      </c>
    </row>
    <row r="814" spans="2:18">
      <c r="B814" t="str">
        <f t="shared" si="112"/>
        <v>MARROQIN HERNANDEZ WILLIAM ERNESTO46292</v>
      </c>
      <c r="C814" t="s">
        <v>266</v>
      </c>
      <c r="D814" s="121">
        <v>46292</v>
      </c>
      <c r="E814" t="s">
        <v>97</v>
      </c>
      <c r="F814" t="s">
        <v>72</v>
      </c>
      <c r="G814" s="122">
        <v>0</v>
      </c>
      <c r="H814" s="122">
        <v>0</v>
      </c>
      <c r="I814" s="112">
        <v>0</v>
      </c>
      <c r="J814" s="112">
        <v>0</v>
      </c>
      <c r="K814" s="23">
        <f t="shared" si="113"/>
        <v>0</v>
      </c>
      <c r="L814" s="23">
        <f t="shared" si="114"/>
        <v>0</v>
      </c>
      <c r="M814" s="12">
        <f t="shared" si="119"/>
        <v>0</v>
      </c>
      <c r="N814" s="23">
        <f t="shared" si="115"/>
        <v>0</v>
      </c>
      <c r="O814" s="41">
        <f t="shared" si="116"/>
        <v>0</v>
      </c>
      <c r="P814" s="13" t="str">
        <f t="shared" si="117"/>
        <v>NO</v>
      </c>
      <c r="Q814" s="23">
        <f t="shared" si="118"/>
        <v>0</v>
      </c>
      <c r="R814" s="12">
        <f t="shared" si="118"/>
        <v>0</v>
      </c>
    </row>
    <row r="815" spans="2:18">
      <c r="B815" t="str">
        <f t="shared" si="112"/>
        <v>MARROQIN HERNANDEZ WILLIAM ERNESTO46293</v>
      </c>
      <c r="C815" t="s">
        <v>266</v>
      </c>
      <c r="D815" s="121">
        <v>46293</v>
      </c>
      <c r="E815" t="s">
        <v>98</v>
      </c>
      <c r="F815" t="s">
        <v>72</v>
      </c>
      <c r="G815" s="122">
        <v>0</v>
      </c>
      <c r="H815" s="122">
        <v>0</v>
      </c>
      <c r="I815" s="112">
        <v>0</v>
      </c>
      <c r="J815" s="112">
        <v>0</v>
      </c>
      <c r="K815" s="23">
        <f t="shared" si="113"/>
        <v>0</v>
      </c>
      <c r="L815" s="23">
        <f t="shared" si="114"/>
        <v>0</v>
      </c>
      <c r="M815" s="12">
        <f t="shared" si="119"/>
        <v>0</v>
      </c>
      <c r="N815" s="23">
        <f t="shared" si="115"/>
        <v>0</v>
      </c>
      <c r="O815" s="41">
        <f t="shared" si="116"/>
        <v>0</v>
      </c>
      <c r="P815" s="13" t="str">
        <f t="shared" si="117"/>
        <v>NO</v>
      </c>
      <c r="Q815" s="23">
        <f t="shared" si="118"/>
        <v>0</v>
      </c>
      <c r="R815" s="12">
        <f t="shared" si="118"/>
        <v>0</v>
      </c>
    </row>
    <row r="816" spans="2:18">
      <c r="B816" t="str">
        <f t="shared" si="112"/>
        <v>MARROQIN HERNANDEZ WILLIAM ERNESTO46294</v>
      </c>
      <c r="C816" t="s">
        <v>266</v>
      </c>
      <c r="D816" s="121">
        <v>46294</v>
      </c>
      <c r="E816" t="s">
        <v>99</v>
      </c>
      <c r="F816" t="s">
        <v>72</v>
      </c>
      <c r="G816" s="122">
        <v>0</v>
      </c>
      <c r="H816" s="122">
        <v>0</v>
      </c>
      <c r="I816" s="112">
        <v>0</v>
      </c>
      <c r="J816" s="112">
        <v>0</v>
      </c>
      <c r="K816" s="23">
        <f t="shared" si="113"/>
        <v>0</v>
      </c>
      <c r="L816" s="23">
        <f t="shared" si="114"/>
        <v>0</v>
      </c>
      <c r="M816" s="12">
        <f t="shared" si="119"/>
        <v>0</v>
      </c>
      <c r="N816" s="23">
        <f t="shared" si="115"/>
        <v>0</v>
      </c>
      <c r="O816" s="41">
        <f t="shared" si="116"/>
        <v>0</v>
      </c>
      <c r="P816" s="13" t="str">
        <f t="shared" si="117"/>
        <v>NO</v>
      </c>
      <c r="Q816" s="23">
        <f t="shared" si="118"/>
        <v>0</v>
      </c>
      <c r="R816" s="12">
        <f t="shared" si="118"/>
        <v>0</v>
      </c>
    </row>
    <row r="817" spans="2:18">
      <c r="B817" t="str">
        <f t="shared" si="112"/>
        <v>MARROQIN HERNANDEZ WILLIAM ERNESTO46295</v>
      </c>
      <c r="C817" t="s">
        <v>266</v>
      </c>
      <c r="D817" s="121">
        <v>46295</v>
      </c>
      <c r="E817" t="s">
        <v>100</v>
      </c>
      <c r="F817" t="s">
        <v>72</v>
      </c>
      <c r="G817" s="122">
        <v>0</v>
      </c>
      <c r="H817" s="122">
        <v>0</v>
      </c>
      <c r="I817" s="112">
        <v>0</v>
      </c>
      <c r="J817" s="112">
        <v>0</v>
      </c>
      <c r="K817" s="23">
        <f t="shared" si="113"/>
        <v>0</v>
      </c>
      <c r="L817" s="23">
        <f t="shared" si="114"/>
        <v>0</v>
      </c>
      <c r="M817" s="12">
        <f t="shared" si="119"/>
        <v>0</v>
      </c>
      <c r="N817" s="23">
        <f t="shared" si="115"/>
        <v>0</v>
      </c>
      <c r="O817" s="41">
        <f t="shared" si="116"/>
        <v>0</v>
      </c>
      <c r="P817" s="13" t="str">
        <f t="shared" si="117"/>
        <v>NO</v>
      </c>
      <c r="Q817" s="23">
        <f t="shared" si="118"/>
        <v>0</v>
      </c>
      <c r="R817" s="12">
        <f t="shared" si="118"/>
        <v>0</v>
      </c>
    </row>
    <row r="818" spans="2:18">
      <c r="B818" t="str">
        <f t="shared" si="112"/>
        <v>MARROQIN HERNANDEZ WILLIAM ERNESTO46296</v>
      </c>
      <c r="C818" t="s">
        <v>266</v>
      </c>
      <c r="D818" s="121">
        <v>46296</v>
      </c>
      <c r="E818" t="s">
        <v>101</v>
      </c>
      <c r="F818" t="s">
        <v>72</v>
      </c>
      <c r="G818" s="122">
        <v>0</v>
      </c>
      <c r="H818" s="122">
        <v>0</v>
      </c>
      <c r="I818" s="112">
        <v>0</v>
      </c>
      <c r="J818" s="112">
        <v>0</v>
      </c>
      <c r="K818" s="23">
        <f t="shared" si="113"/>
        <v>0</v>
      </c>
      <c r="L818" s="23">
        <f t="shared" si="114"/>
        <v>0</v>
      </c>
      <c r="M818" s="12">
        <f t="shared" si="119"/>
        <v>0</v>
      </c>
      <c r="N818" s="23">
        <f t="shared" si="115"/>
        <v>0</v>
      </c>
      <c r="O818" s="41">
        <f t="shared" si="116"/>
        <v>0</v>
      </c>
      <c r="P818" s="13" t="str">
        <f t="shared" si="117"/>
        <v>NO</v>
      </c>
      <c r="Q818" s="23">
        <f t="shared" si="118"/>
        <v>0</v>
      </c>
      <c r="R818" s="12">
        <f t="shared" si="118"/>
        <v>0</v>
      </c>
    </row>
    <row r="819" spans="2:18">
      <c r="B819" t="str">
        <f t="shared" si="112"/>
        <v>MARROQIN HERNANDEZ WILLIAM ERNESTO46297</v>
      </c>
      <c r="C819" t="s">
        <v>266</v>
      </c>
      <c r="D819" s="121">
        <v>46297</v>
      </c>
      <c r="E819" t="s">
        <v>95</v>
      </c>
      <c r="F819" t="s">
        <v>72</v>
      </c>
      <c r="G819" s="122">
        <v>0</v>
      </c>
      <c r="H819" s="122">
        <v>0</v>
      </c>
      <c r="I819" s="112">
        <v>0</v>
      </c>
      <c r="J819" s="112">
        <v>0</v>
      </c>
      <c r="K819" s="23">
        <f t="shared" si="113"/>
        <v>0</v>
      </c>
      <c r="L819" s="23">
        <f t="shared" si="114"/>
        <v>0</v>
      </c>
      <c r="M819" s="12">
        <f t="shared" si="119"/>
        <v>0</v>
      </c>
      <c r="N819" s="23">
        <f t="shared" si="115"/>
        <v>0</v>
      </c>
      <c r="O819" s="41">
        <f t="shared" si="116"/>
        <v>0</v>
      </c>
      <c r="P819" s="13" t="str">
        <f t="shared" si="117"/>
        <v>NO</v>
      </c>
      <c r="Q819" s="23">
        <f t="shared" si="118"/>
        <v>0</v>
      </c>
      <c r="R819" s="12">
        <f t="shared" si="118"/>
        <v>0</v>
      </c>
    </row>
    <row r="820" spans="2:18">
      <c r="B820" t="str">
        <f t="shared" si="112"/>
        <v>MARROQIN HERNANDEZ WILLIAM ERNESTO46298</v>
      </c>
      <c r="C820" t="s">
        <v>266</v>
      </c>
      <c r="D820" s="121">
        <v>46298</v>
      </c>
      <c r="E820" t="s">
        <v>96</v>
      </c>
      <c r="F820" t="s">
        <v>72</v>
      </c>
      <c r="G820" s="122">
        <v>0</v>
      </c>
      <c r="H820" s="122">
        <v>0</v>
      </c>
      <c r="I820" s="112">
        <v>0</v>
      </c>
      <c r="J820" s="112">
        <v>0</v>
      </c>
      <c r="K820" s="23">
        <f t="shared" si="113"/>
        <v>0</v>
      </c>
      <c r="L820" s="23">
        <f t="shared" si="114"/>
        <v>0</v>
      </c>
      <c r="M820" s="12">
        <f t="shared" si="119"/>
        <v>0</v>
      </c>
      <c r="N820" s="23">
        <f t="shared" si="115"/>
        <v>0</v>
      </c>
      <c r="O820" s="41">
        <f t="shared" si="116"/>
        <v>0</v>
      </c>
      <c r="P820" s="13" t="str">
        <f t="shared" si="117"/>
        <v>NO</v>
      </c>
      <c r="Q820" s="23">
        <f t="shared" si="118"/>
        <v>0</v>
      </c>
      <c r="R820" s="12">
        <f t="shared" si="118"/>
        <v>0</v>
      </c>
    </row>
    <row r="821" spans="2:18">
      <c r="B821" t="str">
        <f t="shared" si="112"/>
        <v>MARROQIN HERNANDEZ WILLIAM ERNESTO46299</v>
      </c>
      <c r="C821" t="s">
        <v>266</v>
      </c>
      <c r="D821" s="121">
        <v>46299</v>
      </c>
      <c r="E821" t="s">
        <v>97</v>
      </c>
      <c r="F821" t="s">
        <v>72</v>
      </c>
      <c r="G821" s="122">
        <v>0</v>
      </c>
      <c r="H821" s="122">
        <v>0</v>
      </c>
      <c r="I821" s="112">
        <v>0</v>
      </c>
      <c r="J821" s="112">
        <v>0</v>
      </c>
      <c r="K821" s="23">
        <f t="shared" si="113"/>
        <v>0</v>
      </c>
      <c r="L821" s="23">
        <f t="shared" si="114"/>
        <v>0</v>
      </c>
      <c r="M821" s="12">
        <f t="shared" si="119"/>
        <v>0</v>
      </c>
      <c r="N821" s="23">
        <f t="shared" si="115"/>
        <v>0</v>
      </c>
      <c r="O821" s="41">
        <f t="shared" si="116"/>
        <v>0</v>
      </c>
      <c r="P821" s="13" t="str">
        <f t="shared" si="117"/>
        <v>NO</v>
      </c>
      <c r="Q821" s="23">
        <f t="shared" si="118"/>
        <v>0</v>
      </c>
      <c r="R821" s="12">
        <f t="shared" si="118"/>
        <v>0</v>
      </c>
    </row>
    <row r="822" spans="2:18">
      <c r="B822" t="str">
        <f t="shared" si="112"/>
        <v>MARROQUIN HERNANDEZ WILLIAM ERNESTO46279</v>
      </c>
      <c r="C822" t="s">
        <v>250</v>
      </c>
      <c r="D822" s="121">
        <v>46279</v>
      </c>
      <c r="E822" t="s">
        <v>98</v>
      </c>
      <c r="F822" t="s">
        <v>72</v>
      </c>
      <c r="G822" s="122">
        <v>0</v>
      </c>
      <c r="H822" s="122">
        <v>0</v>
      </c>
      <c r="I822" s="112">
        <v>0</v>
      </c>
      <c r="J822" s="112">
        <v>0</v>
      </c>
      <c r="K822" s="23">
        <f t="shared" si="113"/>
        <v>0</v>
      </c>
      <c r="L822" s="23">
        <f t="shared" si="114"/>
        <v>0</v>
      </c>
      <c r="M822" s="12">
        <f t="shared" si="119"/>
        <v>0</v>
      </c>
      <c r="N822" s="23">
        <f t="shared" si="115"/>
        <v>0</v>
      </c>
      <c r="O822" s="41">
        <f t="shared" si="116"/>
        <v>0</v>
      </c>
      <c r="P822" s="13" t="str">
        <f t="shared" si="117"/>
        <v>NO</v>
      </c>
      <c r="Q822" s="23">
        <f t="shared" si="118"/>
        <v>0</v>
      </c>
      <c r="R822" s="12">
        <f t="shared" si="118"/>
        <v>0</v>
      </c>
    </row>
    <row r="823" spans="2:18">
      <c r="B823" t="str">
        <f t="shared" si="112"/>
        <v>MARROQUIN HERNANDEZ WILLIAM ERNESTO46280</v>
      </c>
      <c r="C823" t="s">
        <v>250</v>
      </c>
      <c r="D823" s="121">
        <v>46280</v>
      </c>
      <c r="E823" t="s">
        <v>99</v>
      </c>
      <c r="F823" t="s">
        <v>72</v>
      </c>
      <c r="G823" s="122">
        <v>0</v>
      </c>
      <c r="H823" s="122">
        <v>0</v>
      </c>
      <c r="I823" s="112">
        <v>0</v>
      </c>
      <c r="J823" s="112">
        <v>0</v>
      </c>
      <c r="K823" s="23">
        <f t="shared" si="113"/>
        <v>0</v>
      </c>
      <c r="L823" s="23">
        <f t="shared" si="114"/>
        <v>0</v>
      </c>
      <c r="M823" s="12">
        <f t="shared" si="119"/>
        <v>0</v>
      </c>
      <c r="N823" s="23">
        <f t="shared" si="115"/>
        <v>0</v>
      </c>
      <c r="O823" s="41">
        <f t="shared" si="116"/>
        <v>0</v>
      </c>
      <c r="P823" s="13" t="str">
        <f t="shared" si="117"/>
        <v>NO</v>
      </c>
      <c r="Q823" s="23">
        <f t="shared" si="118"/>
        <v>0</v>
      </c>
      <c r="R823" s="12">
        <f t="shared" si="118"/>
        <v>0</v>
      </c>
    </row>
    <row r="824" spans="2:18">
      <c r="B824" t="str">
        <f t="shared" si="112"/>
        <v>MARROQUIN HERNANDEZ WILLIAM ERNESTO46281</v>
      </c>
      <c r="C824" t="s">
        <v>250</v>
      </c>
      <c r="D824" s="121">
        <v>46281</v>
      </c>
      <c r="E824" t="s">
        <v>100</v>
      </c>
      <c r="F824" t="s">
        <v>72</v>
      </c>
      <c r="G824" s="122">
        <v>0</v>
      </c>
      <c r="H824" s="122">
        <v>0</v>
      </c>
      <c r="I824" s="112">
        <v>0</v>
      </c>
      <c r="J824" s="112">
        <v>0</v>
      </c>
      <c r="K824" s="23">
        <f t="shared" si="113"/>
        <v>0</v>
      </c>
      <c r="L824" s="23">
        <f t="shared" si="114"/>
        <v>0</v>
      </c>
      <c r="M824" s="12">
        <f t="shared" si="119"/>
        <v>0</v>
      </c>
      <c r="N824" s="23">
        <f t="shared" si="115"/>
        <v>0</v>
      </c>
      <c r="O824" s="41">
        <f t="shared" si="116"/>
        <v>0</v>
      </c>
      <c r="P824" s="13" t="str">
        <f t="shared" si="117"/>
        <v>NO</v>
      </c>
      <c r="Q824" s="23">
        <f t="shared" si="118"/>
        <v>0</v>
      </c>
      <c r="R824" s="12">
        <f t="shared" si="118"/>
        <v>0</v>
      </c>
    </row>
    <row r="825" spans="2:18">
      <c r="B825" t="str">
        <f t="shared" si="112"/>
        <v>MARROQUIN HERNANDEZ WILLIAM ERNESTO46282</v>
      </c>
      <c r="C825" t="s">
        <v>250</v>
      </c>
      <c r="D825" s="121">
        <v>46282</v>
      </c>
      <c r="E825" t="s">
        <v>101</v>
      </c>
      <c r="F825" t="s">
        <v>72</v>
      </c>
      <c r="G825" s="122">
        <v>0</v>
      </c>
      <c r="H825" s="122">
        <v>0</v>
      </c>
      <c r="I825" s="112">
        <v>0</v>
      </c>
      <c r="J825" s="112">
        <v>0</v>
      </c>
      <c r="K825" s="23">
        <f t="shared" si="113"/>
        <v>0</v>
      </c>
      <c r="L825" s="23">
        <f t="shared" si="114"/>
        <v>0</v>
      </c>
      <c r="M825" s="12">
        <f t="shared" si="119"/>
        <v>0</v>
      </c>
      <c r="N825" s="23">
        <f t="shared" si="115"/>
        <v>0</v>
      </c>
      <c r="O825" s="41">
        <f t="shared" si="116"/>
        <v>0</v>
      </c>
      <c r="P825" s="13" t="str">
        <f t="shared" si="117"/>
        <v>NO</v>
      </c>
      <c r="Q825" s="23">
        <f t="shared" si="118"/>
        <v>0</v>
      </c>
      <c r="R825" s="12">
        <f t="shared" si="118"/>
        <v>0</v>
      </c>
    </row>
    <row r="826" spans="2:18">
      <c r="B826" t="str">
        <f t="shared" si="112"/>
        <v>MARROQUIN HERNANDEZ WILLIAM ERNESTO46283</v>
      </c>
      <c r="C826" t="s">
        <v>250</v>
      </c>
      <c r="D826" s="121">
        <v>46283</v>
      </c>
      <c r="E826" t="s">
        <v>95</v>
      </c>
      <c r="F826" t="s">
        <v>72</v>
      </c>
      <c r="G826" s="122">
        <v>0</v>
      </c>
      <c r="H826" s="122">
        <v>0</v>
      </c>
      <c r="I826" s="112">
        <v>0</v>
      </c>
      <c r="J826" s="112">
        <v>0</v>
      </c>
      <c r="K826" s="23">
        <f t="shared" si="113"/>
        <v>0</v>
      </c>
      <c r="L826" s="23">
        <f t="shared" si="114"/>
        <v>0</v>
      </c>
      <c r="M826" s="12">
        <f t="shared" si="119"/>
        <v>0</v>
      </c>
      <c r="N826" s="23">
        <f t="shared" si="115"/>
        <v>0</v>
      </c>
      <c r="O826" s="41">
        <f t="shared" si="116"/>
        <v>0</v>
      </c>
      <c r="P826" s="13" t="str">
        <f t="shared" si="117"/>
        <v>NO</v>
      </c>
      <c r="Q826" s="23">
        <f t="shared" si="118"/>
        <v>0</v>
      </c>
      <c r="R826" s="12">
        <f t="shared" si="118"/>
        <v>0</v>
      </c>
    </row>
    <row r="827" spans="2:18">
      <c r="B827" t="str">
        <f t="shared" si="112"/>
        <v>MARROQUIN HERNANDEZ WILLIAM ERNESTO46284</v>
      </c>
      <c r="C827" t="s">
        <v>250</v>
      </c>
      <c r="D827" s="121">
        <v>46284</v>
      </c>
      <c r="E827" t="s">
        <v>96</v>
      </c>
      <c r="F827" t="s">
        <v>72</v>
      </c>
      <c r="G827" s="122">
        <v>0</v>
      </c>
      <c r="H827" s="122">
        <v>0</v>
      </c>
      <c r="I827" s="112">
        <v>0</v>
      </c>
      <c r="J827" s="112">
        <v>0</v>
      </c>
      <c r="K827" s="23">
        <f t="shared" si="113"/>
        <v>0</v>
      </c>
      <c r="L827" s="23">
        <f t="shared" si="114"/>
        <v>0</v>
      </c>
      <c r="M827" s="12">
        <f t="shared" si="119"/>
        <v>0</v>
      </c>
      <c r="N827" s="23">
        <f t="shared" si="115"/>
        <v>0</v>
      </c>
      <c r="O827" s="41">
        <f t="shared" si="116"/>
        <v>0</v>
      </c>
      <c r="P827" s="13" t="str">
        <f t="shared" si="117"/>
        <v>NO</v>
      </c>
      <c r="Q827" s="23">
        <f t="shared" si="118"/>
        <v>0</v>
      </c>
      <c r="R827" s="12">
        <f t="shared" si="118"/>
        <v>0</v>
      </c>
    </row>
    <row r="828" spans="2:18">
      <c r="B828" t="str">
        <f t="shared" si="112"/>
        <v>MARROQUIN HERNANDEZ WILLIAM ERNESTO46285</v>
      </c>
      <c r="C828" t="s">
        <v>250</v>
      </c>
      <c r="D828" s="121">
        <v>46285</v>
      </c>
      <c r="E828" t="s">
        <v>97</v>
      </c>
      <c r="F828" t="s">
        <v>72</v>
      </c>
      <c r="G828" s="122">
        <v>0</v>
      </c>
      <c r="H828" s="122">
        <v>0</v>
      </c>
      <c r="I828" s="112">
        <v>0</v>
      </c>
      <c r="J828" s="112">
        <v>0</v>
      </c>
      <c r="K828" s="23">
        <f t="shared" si="113"/>
        <v>0</v>
      </c>
      <c r="L828" s="23">
        <f t="shared" si="114"/>
        <v>0</v>
      </c>
      <c r="M828" s="12">
        <f t="shared" si="119"/>
        <v>0</v>
      </c>
      <c r="N828" s="23">
        <f t="shared" si="115"/>
        <v>0</v>
      </c>
      <c r="O828" s="41">
        <f t="shared" si="116"/>
        <v>0</v>
      </c>
      <c r="P828" s="13" t="str">
        <f t="shared" si="117"/>
        <v>NO</v>
      </c>
      <c r="Q828" s="23">
        <f t="shared" si="118"/>
        <v>0</v>
      </c>
      <c r="R828" s="12">
        <f t="shared" si="118"/>
        <v>0</v>
      </c>
    </row>
    <row r="829" spans="2:18">
      <c r="B829" t="str">
        <f t="shared" si="112"/>
        <v>MARROQUIN HERNANDEZ WILLIAM ERNESTO46286</v>
      </c>
      <c r="C829" t="s">
        <v>250</v>
      </c>
      <c r="D829" s="121">
        <v>46286</v>
      </c>
      <c r="E829" t="s">
        <v>98</v>
      </c>
      <c r="F829" t="s">
        <v>72</v>
      </c>
      <c r="G829" s="122">
        <v>0</v>
      </c>
      <c r="H829" s="122">
        <v>0</v>
      </c>
      <c r="I829" s="112">
        <v>0</v>
      </c>
      <c r="J829" s="112">
        <v>0</v>
      </c>
      <c r="K829" s="23">
        <f t="shared" si="113"/>
        <v>0</v>
      </c>
      <c r="L829" s="23">
        <f t="shared" si="114"/>
        <v>0</v>
      </c>
      <c r="M829" s="12">
        <f t="shared" si="119"/>
        <v>0</v>
      </c>
      <c r="N829" s="23">
        <f t="shared" si="115"/>
        <v>0</v>
      </c>
      <c r="O829" s="41">
        <f t="shared" si="116"/>
        <v>0</v>
      </c>
      <c r="P829" s="13" t="str">
        <f t="shared" si="117"/>
        <v>NO</v>
      </c>
      <c r="Q829" s="23">
        <f t="shared" si="118"/>
        <v>0</v>
      </c>
      <c r="R829" s="12">
        <f t="shared" si="118"/>
        <v>0</v>
      </c>
    </row>
    <row r="830" spans="2:18">
      <c r="B830" t="str">
        <f t="shared" si="112"/>
        <v>MARROQUIN HERNANDEZ WILLIAM ERNESTO46287</v>
      </c>
      <c r="C830" t="s">
        <v>250</v>
      </c>
      <c r="D830" s="121">
        <v>46287</v>
      </c>
      <c r="E830" t="s">
        <v>99</v>
      </c>
      <c r="F830" t="s">
        <v>72</v>
      </c>
      <c r="G830" s="122">
        <v>0</v>
      </c>
      <c r="H830" s="122">
        <v>0</v>
      </c>
      <c r="I830" s="112">
        <v>0</v>
      </c>
      <c r="J830" s="112">
        <v>0</v>
      </c>
      <c r="K830" s="23">
        <f t="shared" si="113"/>
        <v>0</v>
      </c>
      <c r="L830" s="23">
        <f t="shared" si="114"/>
        <v>0</v>
      </c>
      <c r="M830" s="12">
        <f t="shared" si="119"/>
        <v>0</v>
      </c>
      <c r="N830" s="23">
        <f t="shared" si="115"/>
        <v>0</v>
      </c>
      <c r="O830" s="41">
        <f t="shared" si="116"/>
        <v>0</v>
      </c>
      <c r="P830" s="13" t="str">
        <f t="shared" si="117"/>
        <v>NO</v>
      </c>
      <c r="Q830" s="23">
        <f t="shared" si="118"/>
        <v>0</v>
      </c>
      <c r="R830" s="12">
        <f t="shared" si="118"/>
        <v>0</v>
      </c>
    </row>
    <row r="831" spans="2:18">
      <c r="B831" t="str">
        <f t="shared" si="112"/>
        <v>MARROQUIN HERNANDEZ WILLIAM ERNESTO46288</v>
      </c>
      <c r="C831" t="s">
        <v>250</v>
      </c>
      <c r="D831" s="121">
        <v>46288</v>
      </c>
      <c r="E831" t="s">
        <v>100</v>
      </c>
      <c r="F831" t="s">
        <v>72</v>
      </c>
      <c r="G831" s="122">
        <v>0</v>
      </c>
      <c r="H831" s="122">
        <v>0</v>
      </c>
      <c r="I831" s="112">
        <v>0</v>
      </c>
      <c r="J831" s="112">
        <v>0</v>
      </c>
      <c r="K831" s="23">
        <f t="shared" si="113"/>
        <v>0</v>
      </c>
      <c r="L831" s="23">
        <f t="shared" si="114"/>
        <v>0</v>
      </c>
      <c r="M831" s="12">
        <f t="shared" si="119"/>
        <v>0</v>
      </c>
      <c r="N831" s="23">
        <f t="shared" si="115"/>
        <v>0</v>
      </c>
      <c r="O831" s="41">
        <f t="shared" si="116"/>
        <v>0</v>
      </c>
      <c r="P831" s="13" t="str">
        <f t="shared" si="117"/>
        <v>NO</v>
      </c>
      <c r="Q831" s="23">
        <f t="shared" si="118"/>
        <v>0</v>
      </c>
      <c r="R831" s="12">
        <f t="shared" si="118"/>
        <v>0</v>
      </c>
    </row>
    <row r="832" spans="2:18">
      <c r="B832" t="str">
        <f t="shared" si="112"/>
        <v>MARROQUIN HERNANDEZ WILLIAM ERNESTO46289</v>
      </c>
      <c r="C832" t="s">
        <v>250</v>
      </c>
      <c r="D832" s="121">
        <v>46289</v>
      </c>
      <c r="E832" t="s">
        <v>101</v>
      </c>
      <c r="F832" t="s">
        <v>72</v>
      </c>
      <c r="G832" s="122">
        <v>0</v>
      </c>
      <c r="H832" s="122">
        <v>0</v>
      </c>
      <c r="I832" s="112">
        <v>0</v>
      </c>
      <c r="J832" s="112">
        <v>0</v>
      </c>
      <c r="K832" s="23">
        <f t="shared" si="113"/>
        <v>0</v>
      </c>
      <c r="L832" s="23">
        <f t="shared" si="114"/>
        <v>0</v>
      </c>
      <c r="M832" s="12">
        <f t="shared" si="119"/>
        <v>0</v>
      </c>
      <c r="N832" s="23">
        <f t="shared" si="115"/>
        <v>0</v>
      </c>
      <c r="O832" s="41">
        <f t="shared" si="116"/>
        <v>0</v>
      </c>
      <c r="P832" s="13" t="str">
        <f t="shared" si="117"/>
        <v>NO</v>
      </c>
      <c r="Q832" s="23">
        <f t="shared" si="118"/>
        <v>0</v>
      </c>
      <c r="R832" s="12">
        <f t="shared" si="118"/>
        <v>0</v>
      </c>
    </row>
    <row r="833" spans="2:18">
      <c r="B833" t="str">
        <f t="shared" si="112"/>
        <v>MARROQUIN HERNANDEZ WILLIAM ERNESTO46290</v>
      </c>
      <c r="C833" t="s">
        <v>250</v>
      </c>
      <c r="D833" s="121">
        <v>46290</v>
      </c>
      <c r="E833" t="s">
        <v>95</v>
      </c>
      <c r="F833" t="s">
        <v>72</v>
      </c>
      <c r="G833" s="122">
        <v>0</v>
      </c>
      <c r="H833" s="122">
        <v>0</v>
      </c>
      <c r="I833" s="112">
        <v>0</v>
      </c>
      <c r="J833" s="112">
        <v>0</v>
      </c>
      <c r="K833" s="23">
        <f t="shared" si="113"/>
        <v>0</v>
      </c>
      <c r="L833" s="23">
        <f t="shared" si="114"/>
        <v>0</v>
      </c>
      <c r="M833" s="12">
        <f t="shared" si="119"/>
        <v>0</v>
      </c>
      <c r="N833" s="23">
        <f t="shared" si="115"/>
        <v>0</v>
      </c>
      <c r="O833" s="41">
        <f t="shared" si="116"/>
        <v>0</v>
      </c>
      <c r="P833" s="13" t="str">
        <f t="shared" si="117"/>
        <v>NO</v>
      </c>
      <c r="Q833" s="23">
        <f t="shared" si="118"/>
        <v>0</v>
      </c>
      <c r="R833" s="12">
        <f t="shared" si="118"/>
        <v>0</v>
      </c>
    </row>
    <row r="834" spans="2:18">
      <c r="B834" t="str">
        <f t="shared" si="112"/>
        <v>MARROQUIN HERNANDEZ WILLIAM ERNESTO46291</v>
      </c>
      <c r="C834" t="s">
        <v>250</v>
      </c>
      <c r="D834" s="121">
        <v>46291</v>
      </c>
      <c r="E834" t="s">
        <v>96</v>
      </c>
      <c r="F834" t="s">
        <v>72</v>
      </c>
      <c r="G834" s="122">
        <v>0</v>
      </c>
      <c r="H834" s="122">
        <v>0</v>
      </c>
      <c r="I834" s="112">
        <v>0</v>
      </c>
      <c r="J834" s="112">
        <v>0</v>
      </c>
      <c r="K834" s="23">
        <f t="shared" si="113"/>
        <v>0</v>
      </c>
      <c r="L834" s="23">
        <f t="shared" si="114"/>
        <v>0</v>
      </c>
      <c r="M834" s="12">
        <f t="shared" si="119"/>
        <v>0</v>
      </c>
      <c r="N834" s="23">
        <f t="shared" si="115"/>
        <v>0</v>
      </c>
      <c r="O834" s="41">
        <f t="shared" si="116"/>
        <v>0</v>
      </c>
      <c r="P834" s="13" t="str">
        <f t="shared" si="117"/>
        <v>NO</v>
      </c>
      <c r="Q834" s="23">
        <f t="shared" si="118"/>
        <v>0</v>
      </c>
      <c r="R834" s="12">
        <f t="shared" si="118"/>
        <v>0</v>
      </c>
    </row>
    <row r="835" spans="2:18">
      <c r="B835" t="str">
        <f t="shared" si="112"/>
        <v>MARROQUIN HERNANDEZ WILLIAM ERNESTO46292</v>
      </c>
      <c r="C835" t="s">
        <v>250</v>
      </c>
      <c r="D835" s="121">
        <v>46292</v>
      </c>
      <c r="E835" t="s">
        <v>97</v>
      </c>
      <c r="F835" t="s">
        <v>72</v>
      </c>
      <c r="G835" s="122">
        <v>0</v>
      </c>
      <c r="H835" s="122">
        <v>0</v>
      </c>
      <c r="I835" s="112">
        <v>0</v>
      </c>
      <c r="J835" s="112">
        <v>0</v>
      </c>
      <c r="K835" s="23">
        <f t="shared" si="113"/>
        <v>0</v>
      </c>
      <c r="L835" s="23">
        <f t="shared" si="114"/>
        <v>0</v>
      </c>
      <c r="M835" s="12">
        <f t="shared" si="119"/>
        <v>0</v>
      </c>
      <c r="N835" s="23">
        <f t="shared" si="115"/>
        <v>0</v>
      </c>
      <c r="O835" s="41">
        <f t="shared" si="116"/>
        <v>0</v>
      </c>
      <c r="P835" s="13" t="str">
        <f t="shared" si="117"/>
        <v>NO</v>
      </c>
      <c r="Q835" s="23">
        <f t="shared" si="118"/>
        <v>0</v>
      </c>
      <c r="R835" s="12">
        <f t="shared" si="118"/>
        <v>0</v>
      </c>
    </row>
    <row r="836" spans="2:18">
      <c r="B836" t="str">
        <f t="shared" si="112"/>
        <v>MARROQUIN HERNANDEZ WILLIAM ERNESTO46293</v>
      </c>
      <c r="C836" t="s">
        <v>250</v>
      </c>
      <c r="D836" s="121">
        <v>46293</v>
      </c>
      <c r="E836" t="s">
        <v>98</v>
      </c>
      <c r="F836" t="s">
        <v>36</v>
      </c>
      <c r="G836" s="122">
        <v>0.75</v>
      </c>
      <c r="H836" s="122">
        <v>0.16666666666666699</v>
      </c>
      <c r="I836" s="112">
        <v>0</v>
      </c>
      <c r="J836" s="112">
        <v>0</v>
      </c>
      <c r="K836" s="23">
        <f t="shared" si="113"/>
        <v>0.75</v>
      </c>
      <c r="L836" s="23">
        <f t="shared" si="114"/>
        <v>0</v>
      </c>
      <c r="M836" s="12">
        <f t="shared" si="119"/>
        <v>0.75</v>
      </c>
      <c r="N836" s="23">
        <f t="shared" si="115"/>
        <v>0.16666666666666699</v>
      </c>
      <c r="O836" s="41">
        <f t="shared" si="116"/>
        <v>0</v>
      </c>
      <c r="P836" s="13" t="str">
        <f t="shared" si="117"/>
        <v>SI</v>
      </c>
      <c r="Q836" s="23">
        <f t="shared" si="118"/>
        <v>0.75</v>
      </c>
      <c r="R836" s="12">
        <f t="shared" si="118"/>
        <v>0.16666666666666699</v>
      </c>
    </row>
    <row r="837" spans="2:18">
      <c r="B837" t="str">
        <f t="shared" si="112"/>
        <v>MARROQUIN HERNANDEZ WILLIAM ERNESTO46294</v>
      </c>
      <c r="C837" t="s">
        <v>250</v>
      </c>
      <c r="D837" s="121">
        <v>46294</v>
      </c>
      <c r="E837" t="s">
        <v>99</v>
      </c>
      <c r="F837" t="s">
        <v>36</v>
      </c>
      <c r="G837" s="122">
        <v>0.75</v>
      </c>
      <c r="H837" s="122">
        <v>0.16666666666666699</v>
      </c>
      <c r="I837" s="112">
        <v>0</v>
      </c>
      <c r="J837" s="112">
        <v>0</v>
      </c>
      <c r="K837" s="23">
        <f t="shared" si="113"/>
        <v>0.75</v>
      </c>
      <c r="L837" s="23">
        <f t="shared" si="114"/>
        <v>0</v>
      </c>
      <c r="M837" s="12">
        <f t="shared" si="119"/>
        <v>0.75</v>
      </c>
      <c r="N837" s="23">
        <f t="shared" si="115"/>
        <v>0.16666666666666699</v>
      </c>
      <c r="O837" s="41">
        <f t="shared" si="116"/>
        <v>0</v>
      </c>
      <c r="P837" s="13" t="str">
        <f t="shared" si="117"/>
        <v>SI</v>
      </c>
      <c r="Q837" s="23">
        <f t="shared" si="118"/>
        <v>0.75</v>
      </c>
      <c r="R837" s="12">
        <f t="shared" si="118"/>
        <v>0.16666666666666699</v>
      </c>
    </row>
    <row r="838" spans="2:18">
      <c r="B838" t="str">
        <f t="shared" si="112"/>
        <v>MARROQUIN HERNANDEZ WILLIAM ERNESTO46295</v>
      </c>
      <c r="C838" t="s">
        <v>250</v>
      </c>
      <c r="D838" s="121">
        <v>46295</v>
      </c>
      <c r="E838" t="s">
        <v>100</v>
      </c>
      <c r="F838" t="s">
        <v>36</v>
      </c>
      <c r="G838" s="122">
        <v>0.75</v>
      </c>
      <c r="H838" s="122">
        <v>0.16666666666666699</v>
      </c>
      <c r="I838" s="112">
        <v>0</v>
      </c>
      <c r="J838" s="112">
        <v>0</v>
      </c>
      <c r="K838" s="23">
        <f t="shared" si="113"/>
        <v>0.75</v>
      </c>
      <c r="L838" s="23">
        <f t="shared" si="114"/>
        <v>0</v>
      </c>
      <c r="M838" s="12">
        <f t="shared" si="119"/>
        <v>0.75</v>
      </c>
      <c r="N838" s="23">
        <f t="shared" si="115"/>
        <v>0.16666666666666699</v>
      </c>
      <c r="O838" s="41">
        <f t="shared" si="116"/>
        <v>0</v>
      </c>
      <c r="P838" s="13" t="str">
        <f t="shared" si="117"/>
        <v>SI</v>
      </c>
      <c r="Q838" s="23">
        <f t="shared" si="118"/>
        <v>0.75</v>
      </c>
      <c r="R838" s="12">
        <f t="shared" si="118"/>
        <v>0.16666666666666699</v>
      </c>
    </row>
    <row r="839" spans="2:18">
      <c r="B839" t="str">
        <f t="shared" si="112"/>
        <v>MARROQUIN HERNANDEZ WILLIAM ERNESTO46296</v>
      </c>
      <c r="C839" t="s">
        <v>250</v>
      </c>
      <c r="D839" s="121">
        <v>46296</v>
      </c>
      <c r="E839" t="s">
        <v>101</v>
      </c>
      <c r="F839" t="s">
        <v>36</v>
      </c>
      <c r="G839" s="122">
        <v>0.75</v>
      </c>
      <c r="H839" s="122">
        <v>0.16666666666666699</v>
      </c>
      <c r="I839" s="112">
        <v>0</v>
      </c>
      <c r="J839" s="112">
        <v>0</v>
      </c>
      <c r="K839" s="23">
        <f t="shared" si="113"/>
        <v>0.75</v>
      </c>
      <c r="L839" s="23">
        <f t="shared" si="114"/>
        <v>0</v>
      </c>
      <c r="M839" s="12">
        <f t="shared" si="119"/>
        <v>0.75</v>
      </c>
      <c r="N839" s="23">
        <f t="shared" si="115"/>
        <v>0.16666666666666699</v>
      </c>
      <c r="O839" s="41">
        <f t="shared" si="116"/>
        <v>0</v>
      </c>
      <c r="P839" s="13" t="str">
        <f t="shared" si="117"/>
        <v>SI</v>
      </c>
      <c r="Q839" s="23">
        <f t="shared" si="118"/>
        <v>0.75</v>
      </c>
      <c r="R839" s="12">
        <f t="shared" si="118"/>
        <v>0.16666666666666699</v>
      </c>
    </row>
    <row r="840" spans="2:18">
      <c r="B840" t="str">
        <f t="shared" si="112"/>
        <v>MARROQUIN HERNANDEZ WILLIAM ERNESTO46297</v>
      </c>
      <c r="C840" t="s">
        <v>250</v>
      </c>
      <c r="D840" s="121">
        <v>46297</v>
      </c>
      <c r="E840" t="s">
        <v>95</v>
      </c>
      <c r="F840" t="s">
        <v>36</v>
      </c>
      <c r="G840" s="122">
        <v>0.75</v>
      </c>
      <c r="H840" s="122">
        <v>0.16666666666666699</v>
      </c>
      <c r="I840" s="112">
        <v>0</v>
      </c>
      <c r="J840" s="112">
        <v>0</v>
      </c>
      <c r="K840" s="23">
        <f t="shared" si="113"/>
        <v>0.75</v>
      </c>
      <c r="L840" s="23">
        <f t="shared" si="114"/>
        <v>0</v>
      </c>
      <c r="M840" s="12">
        <f t="shared" si="119"/>
        <v>0.75</v>
      </c>
      <c r="N840" s="23">
        <f t="shared" si="115"/>
        <v>0.16666666666666699</v>
      </c>
      <c r="O840" s="41">
        <f t="shared" si="116"/>
        <v>0</v>
      </c>
      <c r="P840" s="13" t="str">
        <f t="shared" si="117"/>
        <v>SI</v>
      </c>
      <c r="Q840" s="23">
        <f t="shared" si="118"/>
        <v>0.75</v>
      </c>
      <c r="R840" s="12">
        <f t="shared" si="118"/>
        <v>0.16666666666666699</v>
      </c>
    </row>
    <row r="841" spans="2:18">
      <c r="B841" t="str">
        <f t="shared" si="112"/>
        <v>MARROQUIN HERNANDEZ WILLIAM ERNESTO46298</v>
      </c>
      <c r="C841" t="s">
        <v>250</v>
      </c>
      <c r="D841" s="121">
        <v>46298</v>
      </c>
      <c r="E841" t="s">
        <v>96</v>
      </c>
      <c r="F841" t="s">
        <v>72</v>
      </c>
      <c r="G841" s="122">
        <v>0</v>
      </c>
      <c r="H841" s="122">
        <v>0</v>
      </c>
      <c r="I841" s="112">
        <v>0</v>
      </c>
      <c r="J841" s="112">
        <v>0</v>
      </c>
      <c r="K841" s="23">
        <f t="shared" si="113"/>
        <v>0</v>
      </c>
      <c r="L841" s="23">
        <f t="shared" si="114"/>
        <v>0</v>
      </c>
      <c r="M841" s="12">
        <f t="shared" si="119"/>
        <v>0</v>
      </c>
      <c r="N841" s="23">
        <f t="shared" si="115"/>
        <v>0</v>
      </c>
      <c r="O841" s="41">
        <f t="shared" si="116"/>
        <v>0</v>
      </c>
      <c r="P841" s="13" t="str">
        <f t="shared" si="117"/>
        <v>NO</v>
      </c>
      <c r="Q841" s="23">
        <f t="shared" si="118"/>
        <v>0</v>
      </c>
      <c r="R841" s="12">
        <f t="shared" si="118"/>
        <v>0</v>
      </c>
    </row>
    <row r="842" spans="2:18">
      <c r="B842" t="str">
        <f t="shared" si="112"/>
        <v>MARROQUIN HERNANDEZ WILLIAM ERNESTO46299</v>
      </c>
      <c r="C842" t="s">
        <v>250</v>
      </c>
      <c r="D842" s="121">
        <v>46299</v>
      </c>
      <c r="E842" t="s">
        <v>97</v>
      </c>
      <c r="F842" t="s">
        <v>72</v>
      </c>
      <c r="G842" s="122">
        <v>0</v>
      </c>
      <c r="H842" s="122">
        <v>0</v>
      </c>
      <c r="I842" s="112">
        <v>0</v>
      </c>
      <c r="J842" s="112">
        <v>0</v>
      </c>
      <c r="K842" s="23">
        <f t="shared" si="113"/>
        <v>0</v>
      </c>
      <c r="L842" s="23">
        <f t="shared" si="114"/>
        <v>0</v>
      </c>
      <c r="M842" s="12">
        <f t="shared" si="119"/>
        <v>0</v>
      </c>
      <c r="N842" s="23">
        <f t="shared" si="115"/>
        <v>0</v>
      </c>
      <c r="O842" s="41">
        <f t="shared" si="116"/>
        <v>0</v>
      </c>
      <c r="P842" s="13" t="str">
        <f t="shared" si="117"/>
        <v>NO</v>
      </c>
      <c r="Q842" s="23">
        <f t="shared" si="118"/>
        <v>0</v>
      </c>
      <c r="R842" s="12">
        <f t="shared" si="118"/>
        <v>0</v>
      </c>
    </row>
    <row r="843" spans="2:18">
      <c r="B843" t="str">
        <f t="shared" si="112"/>
        <v>Marcos Hosdualvi Hernadez Obando46279</v>
      </c>
      <c r="C843" t="s">
        <v>190</v>
      </c>
      <c r="D843" s="121">
        <v>46279</v>
      </c>
      <c r="E843" t="s">
        <v>98</v>
      </c>
      <c r="F843" t="s">
        <v>72</v>
      </c>
      <c r="G843" s="122">
        <v>0</v>
      </c>
      <c r="H843" s="122">
        <v>0</v>
      </c>
      <c r="I843" s="112">
        <v>0</v>
      </c>
      <c r="J843" s="112">
        <v>0</v>
      </c>
      <c r="K843" s="23">
        <f t="shared" si="113"/>
        <v>0</v>
      </c>
      <c r="L843" s="23">
        <f t="shared" si="114"/>
        <v>0</v>
      </c>
      <c r="M843" s="12">
        <f t="shared" si="119"/>
        <v>0</v>
      </c>
      <c r="N843" s="23">
        <f t="shared" si="115"/>
        <v>0</v>
      </c>
      <c r="O843" s="41">
        <f t="shared" si="116"/>
        <v>0</v>
      </c>
      <c r="P843" s="13" t="str">
        <f t="shared" si="117"/>
        <v>NO</v>
      </c>
      <c r="Q843" s="23">
        <f t="shared" si="118"/>
        <v>0</v>
      </c>
      <c r="R843" s="12">
        <f t="shared" si="118"/>
        <v>0</v>
      </c>
    </row>
    <row r="844" spans="2:18">
      <c r="B844" t="str">
        <f t="shared" si="112"/>
        <v>Marcos Hosdualvi Hernadez Obando46280</v>
      </c>
      <c r="C844" t="s">
        <v>190</v>
      </c>
      <c r="D844" s="121">
        <v>46280</v>
      </c>
      <c r="E844" t="s">
        <v>99</v>
      </c>
      <c r="F844" t="s">
        <v>35</v>
      </c>
      <c r="G844" s="122">
        <v>0.33333333333333298</v>
      </c>
      <c r="H844" s="122">
        <v>0.70833333333333304</v>
      </c>
      <c r="I844" s="112">
        <v>0</v>
      </c>
      <c r="J844" s="112">
        <v>0</v>
      </c>
      <c r="K844" s="23">
        <f t="shared" si="113"/>
        <v>0.33333333333333298</v>
      </c>
      <c r="L844" s="23">
        <f t="shared" si="114"/>
        <v>0</v>
      </c>
      <c r="M844" s="12">
        <f t="shared" si="119"/>
        <v>0.33333333333333298</v>
      </c>
      <c r="N844" s="23">
        <f t="shared" si="115"/>
        <v>0.70833333333333304</v>
      </c>
      <c r="O844" s="41">
        <f t="shared" si="116"/>
        <v>0</v>
      </c>
      <c r="P844" s="13" t="str">
        <f t="shared" si="117"/>
        <v>SI</v>
      </c>
      <c r="Q844" s="23">
        <f t="shared" si="118"/>
        <v>0.33333333333333298</v>
      </c>
      <c r="R844" s="12">
        <f t="shared" si="118"/>
        <v>0.70833333333333304</v>
      </c>
    </row>
    <row r="845" spans="2:18">
      <c r="B845" t="str">
        <f t="shared" si="112"/>
        <v>Marcos Hosdualvi Hernadez Obando46281</v>
      </c>
      <c r="C845" t="s">
        <v>190</v>
      </c>
      <c r="D845" s="121">
        <v>46281</v>
      </c>
      <c r="E845" t="s">
        <v>100</v>
      </c>
      <c r="F845" t="s">
        <v>35</v>
      </c>
      <c r="G845" s="122">
        <v>0.33333333333333298</v>
      </c>
      <c r="H845" s="122">
        <v>0.70833333333333304</v>
      </c>
      <c r="I845" s="112">
        <v>0</v>
      </c>
      <c r="J845" s="112">
        <v>0</v>
      </c>
      <c r="K845" s="23">
        <f t="shared" si="113"/>
        <v>0.33333333333333298</v>
      </c>
      <c r="L845" s="23">
        <f t="shared" si="114"/>
        <v>0</v>
      </c>
      <c r="M845" s="12">
        <f t="shared" si="119"/>
        <v>0.33333333333333298</v>
      </c>
      <c r="N845" s="23">
        <f t="shared" si="115"/>
        <v>0.70833333333333304</v>
      </c>
      <c r="O845" s="41">
        <f t="shared" si="116"/>
        <v>0</v>
      </c>
      <c r="P845" s="13" t="str">
        <f t="shared" si="117"/>
        <v>SI</v>
      </c>
      <c r="Q845" s="23">
        <f t="shared" si="118"/>
        <v>0.33333333333333298</v>
      </c>
      <c r="R845" s="12">
        <f t="shared" si="118"/>
        <v>0.70833333333333304</v>
      </c>
    </row>
    <row r="846" spans="2:18">
      <c r="B846" t="str">
        <f t="shared" si="112"/>
        <v>Marcos Hosdualvi Hernadez Obando46282</v>
      </c>
      <c r="C846" t="s">
        <v>190</v>
      </c>
      <c r="D846" s="121">
        <v>46282</v>
      </c>
      <c r="E846" t="s">
        <v>101</v>
      </c>
      <c r="F846" t="s">
        <v>35</v>
      </c>
      <c r="G846" s="122">
        <v>0.33333333333333298</v>
      </c>
      <c r="H846" s="122">
        <v>0.70833333333333304</v>
      </c>
      <c r="I846" s="112">
        <v>0</v>
      </c>
      <c r="J846" s="112">
        <v>0</v>
      </c>
      <c r="K846" s="23">
        <f t="shared" si="113"/>
        <v>0.33333333333333298</v>
      </c>
      <c r="L846" s="23">
        <f t="shared" si="114"/>
        <v>0</v>
      </c>
      <c r="M846" s="12">
        <f t="shared" si="119"/>
        <v>0.33333333333333298</v>
      </c>
      <c r="N846" s="23">
        <f t="shared" si="115"/>
        <v>0.70833333333333304</v>
      </c>
      <c r="O846" s="41">
        <f t="shared" si="116"/>
        <v>0</v>
      </c>
      <c r="P846" s="13" t="str">
        <f t="shared" si="117"/>
        <v>SI</v>
      </c>
      <c r="Q846" s="23">
        <f t="shared" si="118"/>
        <v>0.33333333333333298</v>
      </c>
      <c r="R846" s="12">
        <f t="shared" si="118"/>
        <v>0.70833333333333304</v>
      </c>
    </row>
    <row r="847" spans="2:18">
      <c r="B847" t="str">
        <f t="shared" si="112"/>
        <v>Marcos Hosdualvi Hernadez Obando46283</v>
      </c>
      <c r="C847" t="s">
        <v>190</v>
      </c>
      <c r="D847" s="121">
        <v>46283</v>
      </c>
      <c r="E847" t="s">
        <v>95</v>
      </c>
      <c r="F847" t="s">
        <v>35</v>
      </c>
      <c r="G847" s="122">
        <v>0.33333333333333298</v>
      </c>
      <c r="H847" s="122">
        <v>0.70833333333333304</v>
      </c>
      <c r="I847" s="112">
        <v>0</v>
      </c>
      <c r="J847" s="112">
        <v>0</v>
      </c>
      <c r="K847" s="23">
        <f t="shared" si="113"/>
        <v>0.33333333333333298</v>
      </c>
      <c r="L847" s="23">
        <f t="shared" si="114"/>
        <v>0</v>
      </c>
      <c r="M847" s="12">
        <f t="shared" si="119"/>
        <v>0.33333333333333298</v>
      </c>
      <c r="N847" s="23">
        <f t="shared" si="115"/>
        <v>0.70833333333333304</v>
      </c>
      <c r="O847" s="41">
        <f t="shared" si="116"/>
        <v>0</v>
      </c>
      <c r="P847" s="13" t="str">
        <f t="shared" si="117"/>
        <v>SI</v>
      </c>
      <c r="Q847" s="23">
        <f t="shared" si="118"/>
        <v>0.33333333333333298</v>
      </c>
      <c r="R847" s="12">
        <f t="shared" si="118"/>
        <v>0.70833333333333304</v>
      </c>
    </row>
    <row r="848" spans="2:18">
      <c r="B848" t="str">
        <f t="shared" si="112"/>
        <v>Marcos Hosdualvi Hernadez Obando46284</v>
      </c>
      <c r="C848" t="s">
        <v>190</v>
      </c>
      <c r="D848" s="121">
        <v>46284</v>
      </c>
      <c r="E848" t="s">
        <v>96</v>
      </c>
      <c r="F848" t="s">
        <v>72</v>
      </c>
      <c r="G848" s="122">
        <v>0</v>
      </c>
      <c r="H848" s="122">
        <v>0</v>
      </c>
      <c r="I848" s="112">
        <v>0</v>
      </c>
      <c r="J848" s="112">
        <v>0</v>
      </c>
      <c r="K848" s="23">
        <f t="shared" si="113"/>
        <v>0</v>
      </c>
      <c r="L848" s="23">
        <f t="shared" si="114"/>
        <v>0</v>
      </c>
      <c r="M848" s="12">
        <f t="shared" si="119"/>
        <v>0</v>
      </c>
      <c r="N848" s="23">
        <f t="shared" si="115"/>
        <v>0</v>
      </c>
      <c r="O848" s="41">
        <f t="shared" si="116"/>
        <v>0</v>
      </c>
      <c r="P848" s="13" t="str">
        <f t="shared" si="117"/>
        <v>NO</v>
      </c>
      <c r="Q848" s="23">
        <f t="shared" si="118"/>
        <v>0</v>
      </c>
      <c r="R848" s="12">
        <f t="shared" si="118"/>
        <v>0</v>
      </c>
    </row>
    <row r="849" spans="2:18">
      <c r="B849" t="str">
        <f t="shared" si="112"/>
        <v>Marcos Hosdualvi Hernadez Obando46285</v>
      </c>
      <c r="C849" t="s">
        <v>190</v>
      </c>
      <c r="D849" s="121">
        <v>46285</v>
      </c>
      <c r="E849" t="s">
        <v>97</v>
      </c>
      <c r="F849" t="s">
        <v>72</v>
      </c>
      <c r="G849" s="122">
        <v>0</v>
      </c>
      <c r="H849" s="122">
        <v>0</v>
      </c>
      <c r="I849" s="112">
        <v>0</v>
      </c>
      <c r="J849" s="112">
        <v>0</v>
      </c>
      <c r="K849" s="23">
        <f t="shared" si="113"/>
        <v>0</v>
      </c>
      <c r="L849" s="23">
        <f t="shared" si="114"/>
        <v>0</v>
      </c>
      <c r="M849" s="12">
        <f t="shared" si="119"/>
        <v>0</v>
      </c>
      <c r="N849" s="23">
        <f t="shared" si="115"/>
        <v>0</v>
      </c>
      <c r="O849" s="41">
        <f t="shared" si="116"/>
        <v>0</v>
      </c>
      <c r="P849" s="13" t="str">
        <f t="shared" si="117"/>
        <v>NO</v>
      </c>
      <c r="Q849" s="23">
        <f t="shared" si="118"/>
        <v>0</v>
      </c>
      <c r="R849" s="12">
        <f t="shared" si="118"/>
        <v>0</v>
      </c>
    </row>
    <row r="850" spans="2:18">
      <c r="B850" t="str">
        <f t="shared" si="112"/>
        <v>Marcos Hosdualvi Hernadez Obando46286</v>
      </c>
      <c r="C850" t="s">
        <v>190</v>
      </c>
      <c r="D850" s="121">
        <v>46286</v>
      </c>
      <c r="E850" t="s">
        <v>98</v>
      </c>
      <c r="F850" t="s">
        <v>35</v>
      </c>
      <c r="G850" s="122">
        <v>0.25</v>
      </c>
      <c r="H850" s="122">
        <v>0.75</v>
      </c>
      <c r="I850" s="112">
        <v>0</v>
      </c>
      <c r="J850" s="112">
        <v>0</v>
      </c>
      <c r="K850" s="23">
        <f t="shared" si="113"/>
        <v>0.25</v>
      </c>
      <c r="L850" s="23">
        <f t="shared" si="114"/>
        <v>0</v>
      </c>
      <c r="M850" s="12">
        <f t="shared" si="119"/>
        <v>0.25</v>
      </c>
      <c r="N850" s="23">
        <f t="shared" si="115"/>
        <v>0.75</v>
      </c>
      <c r="O850" s="41">
        <f t="shared" si="116"/>
        <v>0</v>
      </c>
      <c r="P850" s="13" t="str">
        <f t="shared" si="117"/>
        <v>SI</v>
      </c>
      <c r="Q850" s="23">
        <f t="shared" si="118"/>
        <v>0.25</v>
      </c>
      <c r="R850" s="12">
        <f t="shared" si="118"/>
        <v>0.75</v>
      </c>
    </row>
    <row r="851" spans="2:18">
      <c r="B851" t="str">
        <f t="shared" si="112"/>
        <v>Marcos Hosdualvi Hernadez Obando46287</v>
      </c>
      <c r="C851" t="s">
        <v>190</v>
      </c>
      <c r="D851" s="121">
        <v>46287</v>
      </c>
      <c r="E851" t="s">
        <v>99</v>
      </c>
      <c r="F851" t="s">
        <v>72</v>
      </c>
      <c r="G851" s="122">
        <v>0</v>
      </c>
      <c r="H851" s="122">
        <v>0</v>
      </c>
      <c r="I851" s="112">
        <v>0</v>
      </c>
      <c r="J851" s="112">
        <v>0</v>
      </c>
      <c r="K851" s="23">
        <f t="shared" si="113"/>
        <v>0</v>
      </c>
      <c r="L851" s="23">
        <f t="shared" si="114"/>
        <v>0</v>
      </c>
      <c r="M851" s="12">
        <f t="shared" si="119"/>
        <v>0</v>
      </c>
      <c r="N851" s="23">
        <f t="shared" si="115"/>
        <v>0</v>
      </c>
      <c r="O851" s="41">
        <f t="shared" si="116"/>
        <v>0</v>
      </c>
      <c r="P851" s="13" t="str">
        <f t="shared" si="117"/>
        <v>NO</v>
      </c>
      <c r="Q851" s="23">
        <f t="shared" si="118"/>
        <v>0</v>
      </c>
      <c r="R851" s="12">
        <f t="shared" si="118"/>
        <v>0</v>
      </c>
    </row>
    <row r="852" spans="2:18">
      <c r="B852" t="str">
        <f t="shared" si="112"/>
        <v>Marcos Hosdualvi Hernadez Obando46288</v>
      </c>
      <c r="C852" t="s">
        <v>190</v>
      </c>
      <c r="D852" s="121">
        <v>46288</v>
      </c>
      <c r="E852" t="s">
        <v>100</v>
      </c>
      <c r="F852" t="s">
        <v>72</v>
      </c>
      <c r="G852" s="122">
        <v>0</v>
      </c>
      <c r="H852" s="122">
        <v>0</v>
      </c>
      <c r="I852" s="112">
        <v>0</v>
      </c>
      <c r="J852" s="112">
        <v>0</v>
      </c>
      <c r="K852" s="23">
        <f t="shared" si="113"/>
        <v>0</v>
      </c>
      <c r="L852" s="23">
        <f t="shared" si="114"/>
        <v>0</v>
      </c>
      <c r="M852" s="12">
        <f t="shared" si="119"/>
        <v>0</v>
      </c>
      <c r="N852" s="23">
        <f t="shared" si="115"/>
        <v>0</v>
      </c>
      <c r="O852" s="41">
        <f t="shared" si="116"/>
        <v>0</v>
      </c>
      <c r="P852" s="13" t="str">
        <f t="shared" si="117"/>
        <v>NO</v>
      </c>
      <c r="Q852" s="23">
        <f t="shared" si="118"/>
        <v>0</v>
      </c>
      <c r="R852" s="12">
        <f t="shared" si="118"/>
        <v>0</v>
      </c>
    </row>
    <row r="853" spans="2:18">
      <c r="B853" t="str">
        <f t="shared" si="112"/>
        <v>Marcos Hosdualvi Hernadez Obando46289</v>
      </c>
      <c r="C853" t="s">
        <v>190</v>
      </c>
      <c r="D853" s="121">
        <v>46289</v>
      </c>
      <c r="E853" t="s">
        <v>101</v>
      </c>
      <c r="F853" t="s">
        <v>35</v>
      </c>
      <c r="G853" s="122">
        <v>0.33333333333333298</v>
      </c>
      <c r="H853" s="122">
        <v>0.70833333333333304</v>
      </c>
      <c r="I853" s="112">
        <v>0</v>
      </c>
      <c r="J853" s="112">
        <v>0</v>
      </c>
      <c r="K853" s="23">
        <f t="shared" si="113"/>
        <v>0.33333333333333298</v>
      </c>
      <c r="L853" s="23">
        <f t="shared" si="114"/>
        <v>0</v>
      </c>
      <c r="M853" s="12">
        <f t="shared" si="119"/>
        <v>0.33333333333333298</v>
      </c>
      <c r="N853" s="23">
        <f t="shared" si="115"/>
        <v>0.70833333333333304</v>
      </c>
      <c r="O853" s="41">
        <f t="shared" si="116"/>
        <v>0</v>
      </c>
      <c r="P853" s="13" t="str">
        <f t="shared" si="117"/>
        <v>SI</v>
      </c>
      <c r="Q853" s="23">
        <f t="shared" si="118"/>
        <v>0.33333333333333298</v>
      </c>
      <c r="R853" s="12">
        <f t="shared" si="118"/>
        <v>0.70833333333333304</v>
      </c>
    </row>
    <row r="854" spans="2:18">
      <c r="B854" t="str">
        <f t="shared" si="112"/>
        <v>Marcos Hosdualvi Hernadez Obando46290</v>
      </c>
      <c r="C854" t="s">
        <v>190</v>
      </c>
      <c r="D854" s="121">
        <v>46290</v>
      </c>
      <c r="E854" t="s">
        <v>95</v>
      </c>
      <c r="F854" t="s">
        <v>35</v>
      </c>
      <c r="G854" s="122">
        <v>0.25</v>
      </c>
      <c r="H854" s="122">
        <v>0.75</v>
      </c>
      <c r="I854" s="112">
        <v>0</v>
      </c>
      <c r="J854" s="112">
        <v>0</v>
      </c>
      <c r="K854" s="23">
        <f t="shared" si="113"/>
        <v>0.25</v>
      </c>
      <c r="L854" s="23">
        <f t="shared" si="114"/>
        <v>0</v>
      </c>
      <c r="M854" s="12">
        <f t="shared" si="119"/>
        <v>0.25</v>
      </c>
      <c r="N854" s="23">
        <f t="shared" si="115"/>
        <v>0.75</v>
      </c>
      <c r="O854" s="41">
        <f t="shared" si="116"/>
        <v>0</v>
      </c>
      <c r="P854" s="13" t="str">
        <f t="shared" si="117"/>
        <v>SI</v>
      </c>
      <c r="Q854" s="23">
        <f t="shared" si="118"/>
        <v>0.25</v>
      </c>
      <c r="R854" s="12">
        <f t="shared" si="118"/>
        <v>0.75</v>
      </c>
    </row>
    <row r="855" spans="2:18">
      <c r="B855" t="str">
        <f t="shared" si="112"/>
        <v>Marcos Hosdualvi Hernadez Obando46291</v>
      </c>
      <c r="C855" t="s">
        <v>190</v>
      </c>
      <c r="D855" s="121">
        <v>46291</v>
      </c>
      <c r="E855" t="s">
        <v>96</v>
      </c>
      <c r="F855" t="s">
        <v>35</v>
      </c>
      <c r="G855" s="122">
        <v>0.25</v>
      </c>
      <c r="H855" s="122">
        <v>0.75</v>
      </c>
      <c r="I855" s="112">
        <v>0</v>
      </c>
      <c r="J855" s="112">
        <v>0</v>
      </c>
      <c r="K855" s="23">
        <f t="shared" si="113"/>
        <v>0.25</v>
      </c>
      <c r="L855" s="23">
        <f t="shared" si="114"/>
        <v>0</v>
      </c>
      <c r="M855" s="12">
        <f t="shared" si="119"/>
        <v>0.25</v>
      </c>
      <c r="N855" s="23">
        <f t="shared" si="115"/>
        <v>0.75</v>
      </c>
      <c r="O855" s="41">
        <f t="shared" si="116"/>
        <v>0</v>
      </c>
      <c r="P855" s="13" t="str">
        <f t="shared" si="117"/>
        <v>SI</v>
      </c>
      <c r="Q855" s="23">
        <f t="shared" si="118"/>
        <v>0.25</v>
      </c>
      <c r="R855" s="12">
        <f t="shared" si="118"/>
        <v>0.75</v>
      </c>
    </row>
    <row r="856" spans="2:18">
      <c r="B856" t="str">
        <f t="shared" si="112"/>
        <v>Marcos Hosdualvi Hernadez Obando46292</v>
      </c>
      <c r="C856" t="s">
        <v>190</v>
      </c>
      <c r="D856" s="121">
        <v>46292</v>
      </c>
      <c r="E856" t="s">
        <v>97</v>
      </c>
      <c r="F856" t="s">
        <v>72</v>
      </c>
      <c r="G856" s="122">
        <v>0</v>
      </c>
      <c r="H856" s="122">
        <v>0</v>
      </c>
      <c r="I856" s="112">
        <v>0</v>
      </c>
      <c r="J856" s="112">
        <v>0</v>
      </c>
      <c r="K856" s="23">
        <f t="shared" si="113"/>
        <v>0</v>
      </c>
      <c r="L856" s="23">
        <f t="shared" si="114"/>
        <v>0</v>
      </c>
      <c r="M856" s="12">
        <f t="shared" si="119"/>
        <v>0</v>
      </c>
      <c r="N856" s="23">
        <f t="shared" si="115"/>
        <v>0</v>
      </c>
      <c r="O856" s="41">
        <f t="shared" si="116"/>
        <v>0</v>
      </c>
      <c r="P856" s="13" t="str">
        <f t="shared" si="117"/>
        <v>NO</v>
      </c>
      <c r="Q856" s="23">
        <f t="shared" si="118"/>
        <v>0</v>
      </c>
      <c r="R856" s="12">
        <f t="shared" si="118"/>
        <v>0</v>
      </c>
    </row>
    <row r="857" spans="2:18">
      <c r="B857" t="str">
        <f t="shared" si="112"/>
        <v>Marcos Hosdualvi Hernadez Obando46293</v>
      </c>
      <c r="C857" t="s">
        <v>190</v>
      </c>
      <c r="D857" s="121">
        <v>46293</v>
      </c>
      <c r="E857" t="s">
        <v>98</v>
      </c>
      <c r="F857" t="s">
        <v>36</v>
      </c>
      <c r="G857" s="122">
        <v>0.75</v>
      </c>
      <c r="H857" s="122">
        <v>0.25</v>
      </c>
      <c r="I857" s="112">
        <v>0</v>
      </c>
      <c r="J857" s="112">
        <v>0</v>
      </c>
      <c r="K857" s="23">
        <f t="shared" si="113"/>
        <v>0.75</v>
      </c>
      <c r="L857" s="23">
        <f t="shared" si="114"/>
        <v>0</v>
      </c>
      <c r="M857" s="12">
        <f t="shared" si="119"/>
        <v>0.75</v>
      </c>
      <c r="N857" s="23">
        <f t="shared" si="115"/>
        <v>0.25</v>
      </c>
      <c r="O857" s="41">
        <f t="shared" si="116"/>
        <v>0</v>
      </c>
      <c r="P857" s="13" t="str">
        <f t="shared" si="117"/>
        <v>SI</v>
      </c>
      <c r="Q857" s="23">
        <f t="shared" si="118"/>
        <v>0.75</v>
      </c>
      <c r="R857" s="12">
        <f t="shared" si="118"/>
        <v>0.25</v>
      </c>
    </row>
    <row r="858" spans="2:18">
      <c r="B858" t="str">
        <f t="shared" si="112"/>
        <v>Marcos Hosdualvi Hernadez Obando46294</v>
      </c>
      <c r="C858" t="s">
        <v>190</v>
      </c>
      <c r="D858" s="121">
        <v>46294</v>
      </c>
      <c r="E858" t="s">
        <v>99</v>
      </c>
      <c r="F858" t="s">
        <v>36</v>
      </c>
      <c r="G858" s="122">
        <v>0.75</v>
      </c>
      <c r="H858" s="122">
        <v>0.25</v>
      </c>
      <c r="I858" s="112">
        <v>0</v>
      </c>
      <c r="J858" s="112">
        <v>0</v>
      </c>
      <c r="K858" s="23">
        <f t="shared" si="113"/>
        <v>0.75</v>
      </c>
      <c r="L858" s="23">
        <f t="shared" si="114"/>
        <v>0</v>
      </c>
      <c r="M858" s="12">
        <f t="shared" si="119"/>
        <v>0.75</v>
      </c>
      <c r="N858" s="23">
        <f t="shared" si="115"/>
        <v>0.25</v>
      </c>
      <c r="O858" s="41">
        <f t="shared" si="116"/>
        <v>0</v>
      </c>
      <c r="P858" s="13" t="str">
        <f t="shared" si="117"/>
        <v>SI</v>
      </c>
      <c r="Q858" s="23">
        <f t="shared" si="118"/>
        <v>0.75</v>
      </c>
      <c r="R858" s="12">
        <f t="shared" si="118"/>
        <v>0.25</v>
      </c>
    </row>
    <row r="859" spans="2:18">
      <c r="B859" t="str">
        <f t="shared" si="112"/>
        <v>Marcos Hosdualvi Hernadez Obando46295</v>
      </c>
      <c r="C859" t="s">
        <v>190</v>
      </c>
      <c r="D859" s="121">
        <v>46295</v>
      </c>
      <c r="E859" t="s">
        <v>100</v>
      </c>
      <c r="F859" t="s">
        <v>36</v>
      </c>
      <c r="G859" s="122">
        <v>0.75</v>
      </c>
      <c r="H859" s="122">
        <v>0.25</v>
      </c>
      <c r="I859" s="112">
        <v>0</v>
      </c>
      <c r="J859" s="112">
        <v>0</v>
      </c>
      <c r="K859" s="23">
        <f t="shared" si="113"/>
        <v>0.75</v>
      </c>
      <c r="L859" s="23">
        <f t="shared" si="114"/>
        <v>0</v>
      </c>
      <c r="M859" s="12">
        <f t="shared" si="119"/>
        <v>0.75</v>
      </c>
      <c r="N859" s="23">
        <f t="shared" si="115"/>
        <v>0.25</v>
      </c>
      <c r="O859" s="41">
        <f t="shared" si="116"/>
        <v>0</v>
      </c>
      <c r="P859" s="13" t="str">
        <f t="shared" si="117"/>
        <v>SI</v>
      </c>
      <c r="Q859" s="23">
        <f t="shared" si="118"/>
        <v>0.75</v>
      </c>
      <c r="R859" s="12">
        <f t="shared" si="118"/>
        <v>0.25</v>
      </c>
    </row>
    <row r="860" spans="2:18">
      <c r="B860" t="str">
        <f t="shared" si="112"/>
        <v>Marcos Hosdualvi Hernadez Obando46296</v>
      </c>
      <c r="C860" t="s">
        <v>190</v>
      </c>
      <c r="D860" s="121">
        <v>46296</v>
      </c>
      <c r="E860" t="s">
        <v>101</v>
      </c>
      <c r="F860" t="s">
        <v>36</v>
      </c>
      <c r="G860" s="122">
        <v>0.75</v>
      </c>
      <c r="H860" s="122">
        <v>0.25</v>
      </c>
      <c r="I860" s="112">
        <v>0</v>
      </c>
      <c r="J860" s="112">
        <v>0</v>
      </c>
      <c r="K860" s="23">
        <f t="shared" si="113"/>
        <v>0.75</v>
      </c>
      <c r="L860" s="23">
        <f t="shared" si="114"/>
        <v>0</v>
      </c>
      <c r="M860" s="12">
        <f t="shared" si="119"/>
        <v>0.75</v>
      </c>
      <c r="N860" s="23">
        <f t="shared" si="115"/>
        <v>0.25</v>
      </c>
      <c r="O860" s="41">
        <f t="shared" si="116"/>
        <v>0</v>
      </c>
      <c r="P860" s="13" t="str">
        <f t="shared" si="117"/>
        <v>SI</v>
      </c>
      <c r="Q860" s="23">
        <f t="shared" si="118"/>
        <v>0.75</v>
      </c>
      <c r="R860" s="12">
        <f t="shared" si="118"/>
        <v>0.25</v>
      </c>
    </row>
    <row r="861" spans="2:18">
      <c r="B861" t="str">
        <f t="shared" si="112"/>
        <v>Marcos Hosdualvi Hernadez Obando46297</v>
      </c>
      <c r="C861" t="s">
        <v>190</v>
      </c>
      <c r="D861" s="121">
        <v>46297</v>
      </c>
      <c r="E861" t="s">
        <v>95</v>
      </c>
      <c r="F861" t="s">
        <v>36</v>
      </c>
      <c r="G861" s="122">
        <v>0.75</v>
      </c>
      <c r="H861" s="122">
        <v>0.25</v>
      </c>
      <c r="I861" s="112">
        <v>0</v>
      </c>
      <c r="J861" s="112">
        <v>0</v>
      </c>
      <c r="K861" s="23">
        <f t="shared" si="113"/>
        <v>0.75</v>
      </c>
      <c r="L861" s="23">
        <f t="shared" si="114"/>
        <v>0</v>
      </c>
      <c r="M861" s="12">
        <f t="shared" si="119"/>
        <v>0.75</v>
      </c>
      <c r="N861" s="23">
        <f t="shared" si="115"/>
        <v>0.25</v>
      </c>
      <c r="O861" s="41">
        <f t="shared" si="116"/>
        <v>0</v>
      </c>
      <c r="P861" s="13" t="str">
        <f t="shared" si="117"/>
        <v>SI</v>
      </c>
      <c r="Q861" s="23">
        <f t="shared" si="118"/>
        <v>0.75</v>
      </c>
      <c r="R861" s="12">
        <f t="shared" si="118"/>
        <v>0.25</v>
      </c>
    </row>
    <row r="862" spans="2:18">
      <c r="B862" t="str">
        <f t="shared" si="112"/>
        <v>Marcos Hosdualvi Hernadez Obando46298</v>
      </c>
      <c r="C862" t="s">
        <v>190</v>
      </c>
      <c r="D862" s="121">
        <v>46298</v>
      </c>
      <c r="E862" t="s">
        <v>96</v>
      </c>
      <c r="F862" t="s">
        <v>72</v>
      </c>
      <c r="G862" s="122">
        <v>0</v>
      </c>
      <c r="H862" s="122">
        <v>0</v>
      </c>
      <c r="I862" s="112">
        <v>0</v>
      </c>
      <c r="J862" s="112">
        <v>0</v>
      </c>
      <c r="K862" s="23">
        <f t="shared" si="113"/>
        <v>0</v>
      </c>
      <c r="L862" s="23">
        <f t="shared" si="114"/>
        <v>0</v>
      </c>
      <c r="M862" s="12">
        <f t="shared" si="119"/>
        <v>0</v>
      </c>
      <c r="N862" s="23">
        <f t="shared" si="115"/>
        <v>0</v>
      </c>
      <c r="O862" s="41">
        <f t="shared" si="116"/>
        <v>0</v>
      </c>
      <c r="P862" s="13" t="str">
        <f t="shared" si="117"/>
        <v>NO</v>
      </c>
      <c r="Q862" s="23">
        <f t="shared" si="118"/>
        <v>0</v>
      </c>
      <c r="R862" s="12">
        <f t="shared" si="118"/>
        <v>0</v>
      </c>
    </row>
    <row r="863" spans="2:18">
      <c r="B863" t="str">
        <f t="shared" si="112"/>
        <v>Marcos Hosdualvi Hernadez Obando46299</v>
      </c>
      <c r="C863" t="s">
        <v>190</v>
      </c>
      <c r="D863" s="121">
        <v>46299</v>
      </c>
      <c r="E863" t="s">
        <v>97</v>
      </c>
      <c r="F863" t="s">
        <v>72</v>
      </c>
      <c r="G863" s="122">
        <v>0</v>
      </c>
      <c r="H863" s="122">
        <v>0</v>
      </c>
      <c r="I863" s="112">
        <v>0</v>
      </c>
      <c r="J863" s="112">
        <v>0</v>
      </c>
      <c r="K863" s="23">
        <f t="shared" si="113"/>
        <v>0</v>
      </c>
      <c r="L863" s="23">
        <f t="shared" si="114"/>
        <v>0</v>
      </c>
      <c r="M863" s="12">
        <f t="shared" si="119"/>
        <v>0</v>
      </c>
      <c r="N863" s="23">
        <f t="shared" si="115"/>
        <v>0</v>
      </c>
      <c r="O863" s="41">
        <f t="shared" si="116"/>
        <v>0</v>
      </c>
      <c r="P863" s="13" t="str">
        <f t="shared" si="117"/>
        <v>NO</v>
      </c>
      <c r="Q863" s="23">
        <f t="shared" si="118"/>
        <v>0</v>
      </c>
      <c r="R863" s="12">
        <f t="shared" si="118"/>
        <v>0</v>
      </c>
    </row>
    <row r="864" spans="2:18">
      <c r="B864" t="str">
        <f t="shared" si="112"/>
        <v>Marvin Alexander Flores Fuentes46279</v>
      </c>
      <c r="C864" t="s">
        <v>192</v>
      </c>
      <c r="D864" s="121">
        <v>46279</v>
      </c>
      <c r="E864" t="s">
        <v>98</v>
      </c>
      <c r="F864" t="s">
        <v>72</v>
      </c>
      <c r="G864" s="122">
        <v>0</v>
      </c>
      <c r="H864" s="122">
        <v>0</v>
      </c>
      <c r="I864" s="112">
        <v>0</v>
      </c>
      <c r="J864" s="112">
        <v>0</v>
      </c>
      <c r="K864" s="23">
        <f t="shared" si="113"/>
        <v>0</v>
      </c>
      <c r="L864" s="23">
        <f t="shared" si="114"/>
        <v>0</v>
      </c>
      <c r="M864" s="12">
        <f t="shared" si="119"/>
        <v>0</v>
      </c>
      <c r="N864" s="23">
        <f t="shared" si="115"/>
        <v>0</v>
      </c>
      <c r="O864" s="41">
        <f t="shared" si="116"/>
        <v>0</v>
      </c>
      <c r="P864" s="13" t="str">
        <f t="shared" si="117"/>
        <v>NO</v>
      </c>
      <c r="Q864" s="23">
        <f t="shared" si="118"/>
        <v>0</v>
      </c>
      <c r="R864" s="12">
        <f t="shared" si="118"/>
        <v>0</v>
      </c>
    </row>
    <row r="865" spans="2:18">
      <c r="B865" t="str">
        <f t="shared" ref="B865:B907" si="120">+C865&amp;D865</f>
        <v>Marvin Alexander Flores Fuentes46280</v>
      </c>
      <c r="C865" t="s">
        <v>192</v>
      </c>
      <c r="D865" s="121">
        <v>46280</v>
      </c>
      <c r="E865" t="s">
        <v>99</v>
      </c>
      <c r="F865" t="s">
        <v>35</v>
      </c>
      <c r="G865" s="122">
        <v>0.33333333333333298</v>
      </c>
      <c r="H865" s="122">
        <v>0.70833333333333304</v>
      </c>
      <c r="I865" s="112">
        <v>0</v>
      </c>
      <c r="J865" s="112">
        <v>0</v>
      </c>
      <c r="K865" s="23">
        <f t="shared" ref="K865:K907" si="121">+IFERROR(G865,0)</f>
        <v>0.33333333333333298</v>
      </c>
      <c r="L865" s="23">
        <f t="shared" ref="L865:L907" si="122">+I865</f>
        <v>0</v>
      </c>
      <c r="M865" s="12">
        <f t="shared" si="119"/>
        <v>0.33333333333333298</v>
      </c>
      <c r="N865" s="23">
        <f t="shared" ref="N865:N907" si="123">+H865</f>
        <v>0.70833333333333304</v>
      </c>
      <c r="O865" s="41">
        <f t="shared" ref="O865:O907" si="124">+J865</f>
        <v>0</v>
      </c>
      <c r="P865" s="13" t="str">
        <f t="shared" ref="P865:P907" si="125">+IF(O865&lt;N865,"SI","NO")</f>
        <v>SI</v>
      </c>
      <c r="Q865" s="23">
        <f t="shared" ref="Q865:R907" si="126">+M865</f>
        <v>0.33333333333333298</v>
      </c>
      <c r="R865" s="12">
        <f t="shared" si="126"/>
        <v>0.70833333333333304</v>
      </c>
    </row>
    <row r="866" spans="2:18">
      <c r="B866" t="str">
        <f t="shared" si="120"/>
        <v>Marvin Alexander Flores Fuentes46281</v>
      </c>
      <c r="C866" t="s">
        <v>192</v>
      </c>
      <c r="D866" s="121">
        <v>46281</v>
      </c>
      <c r="E866" t="s">
        <v>100</v>
      </c>
      <c r="F866" t="s">
        <v>35</v>
      </c>
      <c r="G866" s="122">
        <v>0.25</v>
      </c>
      <c r="H866" s="122">
        <v>0.75</v>
      </c>
      <c r="I866" s="112">
        <v>0</v>
      </c>
      <c r="J866" s="112">
        <v>0</v>
      </c>
      <c r="K866" s="23">
        <f t="shared" si="121"/>
        <v>0.25</v>
      </c>
      <c r="L866" s="23">
        <f t="shared" si="122"/>
        <v>0</v>
      </c>
      <c r="M866" s="12">
        <f t="shared" ref="M866:M908" si="127">+IFERROR(MAX(K866:L866),0)</f>
        <v>0.25</v>
      </c>
      <c r="N866" s="23">
        <f t="shared" si="123"/>
        <v>0.75</v>
      </c>
      <c r="O866" s="41">
        <f t="shared" si="124"/>
        <v>0</v>
      </c>
      <c r="P866" s="13" t="str">
        <f t="shared" si="125"/>
        <v>SI</v>
      </c>
      <c r="Q866" s="23">
        <f t="shared" si="126"/>
        <v>0.25</v>
      </c>
      <c r="R866" s="12">
        <f t="shared" si="126"/>
        <v>0.75</v>
      </c>
    </row>
    <row r="867" spans="2:18">
      <c r="B867" t="str">
        <f t="shared" si="120"/>
        <v>Marvin Alexander Flores Fuentes46282</v>
      </c>
      <c r="C867" t="s">
        <v>192</v>
      </c>
      <c r="D867" s="121">
        <v>46282</v>
      </c>
      <c r="E867" t="s">
        <v>101</v>
      </c>
      <c r="F867" t="s">
        <v>35</v>
      </c>
      <c r="G867" s="122">
        <v>0.25</v>
      </c>
      <c r="H867" s="122">
        <v>0.75</v>
      </c>
      <c r="I867" s="112">
        <v>0</v>
      </c>
      <c r="J867" s="112">
        <v>0</v>
      </c>
      <c r="K867" s="23">
        <f t="shared" si="121"/>
        <v>0.25</v>
      </c>
      <c r="L867" s="23">
        <f t="shared" si="122"/>
        <v>0</v>
      </c>
      <c r="M867" s="12">
        <f t="shared" si="127"/>
        <v>0.25</v>
      </c>
      <c r="N867" s="23">
        <f t="shared" si="123"/>
        <v>0.75</v>
      </c>
      <c r="O867" s="41">
        <f t="shared" si="124"/>
        <v>0</v>
      </c>
      <c r="P867" s="13" t="str">
        <f t="shared" si="125"/>
        <v>SI</v>
      </c>
      <c r="Q867" s="23">
        <f t="shared" si="126"/>
        <v>0.25</v>
      </c>
      <c r="R867" s="12">
        <f t="shared" si="126"/>
        <v>0.75</v>
      </c>
    </row>
    <row r="868" spans="2:18">
      <c r="B868" t="str">
        <f t="shared" si="120"/>
        <v>Marvin Alexander Flores Fuentes46283</v>
      </c>
      <c r="C868" t="s">
        <v>192</v>
      </c>
      <c r="D868" s="121">
        <v>46283</v>
      </c>
      <c r="E868" t="s">
        <v>95</v>
      </c>
      <c r="F868" t="s">
        <v>35</v>
      </c>
      <c r="G868" s="122">
        <v>0.25</v>
      </c>
      <c r="H868" s="122">
        <v>0.75</v>
      </c>
      <c r="I868" s="112">
        <v>0</v>
      </c>
      <c r="J868" s="112">
        <v>0</v>
      </c>
      <c r="K868" s="23">
        <f t="shared" si="121"/>
        <v>0.25</v>
      </c>
      <c r="L868" s="23">
        <f t="shared" si="122"/>
        <v>0</v>
      </c>
      <c r="M868" s="12">
        <f t="shared" si="127"/>
        <v>0.25</v>
      </c>
      <c r="N868" s="23">
        <f t="shared" si="123"/>
        <v>0.75</v>
      </c>
      <c r="O868" s="41">
        <f t="shared" si="124"/>
        <v>0</v>
      </c>
      <c r="P868" s="13" t="str">
        <f t="shared" si="125"/>
        <v>SI</v>
      </c>
      <c r="Q868" s="23">
        <f t="shared" si="126"/>
        <v>0.25</v>
      </c>
      <c r="R868" s="12">
        <f t="shared" si="126"/>
        <v>0.75</v>
      </c>
    </row>
    <row r="869" spans="2:18">
      <c r="B869" t="str">
        <f t="shared" si="120"/>
        <v>Marvin Alexander Flores Fuentes46284</v>
      </c>
      <c r="C869" t="s">
        <v>192</v>
      </c>
      <c r="D869" s="121">
        <v>46284</v>
      </c>
      <c r="E869" t="s">
        <v>96</v>
      </c>
      <c r="F869" t="s">
        <v>35</v>
      </c>
      <c r="G869" s="122">
        <v>0.25</v>
      </c>
      <c r="H869" s="122">
        <v>0.75</v>
      </c>
      <c r="I869" s="112">
        <v>0</v>
      </c>
      <c r="J869" s="112">
        <v>0</v>
      </c>
      <c r="K869" s="23">
        <f t="shared" si="121"/>
        <v>0.25</v>
      </c>
      <c r="L869" s="23">
        <f t="shared" si="122"/>
        <v>0</v>
      </c>
      <c r="M869" s="12">
        <f t="shared" si="127"/>
        <v>0.25</v>
      </c>
      <c r="N869" s="23">
        <f t="shared" si="123"/>
        <v>0.75</v>
      </c>
      <c r="O869" s="41">
        <f t="shared" si="124"/>
        <v>0</v>
      </c>
      <c r="P869" s="13" t="str">
        <f t="shared" si="125"/>
        <v>SI</v>
      </c>
      <c r="Q869" s="23">
        <f t="shared" si="126"/>
        <v>0.25</v>
      </c>
      <c r="R869" s="12">
        <f t="shared" si="126"/>
        <v>0.75</v>
      </c>
    </row>
    <row r="870" spans="2:18">
      <c r="B870" t="str">
        <f t="shared" si="120"/>
        <v>Marvin Alexander Flores Fuentes46285</v>
      </c>
      <c r="C870" t="s">
        <v>192</v>
      </c>
      <c r="D870" s="121">
        <v>46285</v>
      </c>
      <c r="E870" t="s">
        <v>97</v>
      </c>
      <c r="F870" t="s">
        <v>72</v>
      </c>
      <c r="G870" s="122">
        <v>0</v>
      </c>
      <c r="H870" s="122">
        <v>0</v>
      </c>
      <c r="I870" s="112">
        <v>0</v>
      </c>
      <c r="J870" s="112">
        <v>0</v>
      </c>
      <c r="K870" s="23">
        <f t="shared" si="121"/>
        <v>0</v>
      </c>
      <c r="L870" s="23">
        <f t="shared" si="122"/>
        <v>0</v>
      </c>
      <c r="M870" s="12">
        <f t="shared" si="127"/>
        <v>0</v>
      </c>
      <c r="N870" s="23">
        <f t="shared" si="123"/>
        <v>0</v>
      </c>
      <c r="O870" s="41">
        <f t="shared" si="124"/>
        <v>0</v>
      </c>
      <c r="P870" s="13" t="str">
        <f t="shared" si="125"/>
        <v>NO</v>
      </c>
      <c r="Q870" s="23">
        <f t="shared" si="126"/>
        <v>0</v>
      </c>
      <c r="R870" s="12">
        <f t="shared" si="126"/>
        <v>0</v>
      </c>
    </row>
    <row r="871" spans="2:18">
      <c r="B871" t="str">
        <f t="shared" si="120"/>
        <v>Marvin Alexander Flores Fuentes46286</v>
      </c>
      <c r="C871" t="s">
        <v>192</v>
      </c>
      <c r="D871" s="121">
        <v>46286</v>
      </c>
      <c r="E871" t="s">
        <v>98</v>
      </c>
      <c r="F871" t="s">
        <v>72</v>
      </c>
      <c r="G871" s="122">
        <v>0</v>
      </c>
      <c r="H871" s="122">
        <v>0</v>
      </c>
      <c r="I871" s="112">
        <v>0</v>
      </c>
      <c r="J871" s="112">
        <v>0</v>
      </c>
      <c r="K871" s="23">
        <f t="shared" si="121"/>
        <v>0</v>
      </c>
      <c r="L871" s="23">
        <f t="shared" si="122"/>
        <v>0</v>
      </c>
      <c r="M871" s="12">
        <f t="shared" si="127"/>
        <v>0</v>
      </c>
      <c r="N871" s="23">
        <f t="shared" si="123"/>
        <v>0</v>
      </c>
      <c r="O871" s="41">
        <f t="shared" si="124"/>
        <v>0</v>
      </c>
      <c r="P871" s="13" t="str">
        <f t="shared" si="125"/>
        <v>NO</v>
      </c>
      <c r="Q871" s="23">
        <f t="shared" si="126"/>
        <v>0</v>
      </c>
      <c r="R871" s="12">
        <f t="shared" si="126"/>
        <v>0</v>
      </c>
    </row>
    <row r="872" spans="2:18">
      <c r="B872" t="str">
        <f t="shared" si="120"/>
        <v>Marvin Alexander Flores Fuentes46287</v>
      </c>
      <c r="C872" t="s">
        <v>192</v>
      </c>
      <c r="D872" s="121">
        <v>46287</v>
      </c>
      <c r="E872" t="s">
        <v>99</v>
      </c>
      <c r="F872" t="s">
        <v>72</v>
      </c>
      <c r="G872" s="122">
        <v>0</v>
      </c>
      <c r="H872" s="122">
        <v>0</v>
      </c>
      <c r="I872" s="112">
        <v>0</v>
      </c>
      <c r="J872" s="112">
        <v>0</v>
      </c>
      <c r="K872" s="23">
        <f t="shared" si="121"/>
        <v>0</v>
      </c>
      <c r="L872" s="23">
        <f t="shared" si="122"/>
        <v>0</v>
      </c>
      <c r="M872" s="12">
        <f t="shared" si="127"/>
        <v>0</v>
      </c>
      <c r="N872" s="23">
        <f t="shared" si="123"/>
        <v>0</v>
      </c>
      <c r="O872" s="41">
        <f t="shared" si="124"/>
        <v>0</v>
      </c>
      <c r="P872" s="13" t="str">
        <f t="shared" si="125"/>
        <v>NO</v>
      </c>
      <c r="Q872" s="23">
        <f t="shared" si="126"/>
        <v>0</v>
      </c>
      <c r="R872" s="12">
        <f t="shared" si="126"/>
        <v>0</v>
      </c>
    </row>
    <row r="873" spans="2:18">
      <c r="B873" t="str">
        <f t="shared" si="120"/>
        <v>Marvin Alexander Flores Fuentes46288</v>
      </c>
      <c r="C873" t="s">
        <v>192</v>
      </c>
      <c r="D873" s="121">
        <v>46288</v>
      </c>
      <c r="E873" t="s">
        <v>100</v>
      </c>
      <c r="F873" t="s">
        <v>72</v>
      </c>
      <c r="G873" s="122">
        <v>0</v>
      </c>
      <c r="H873" s="122">
        <v>0</v>
      </c>
      <c r="I873" s="112">
        <v>0</v>
      </c>
      <c r="J873" s="112">
        <v>0</v>
      </c>
      <c r="K873" s="23">
        <f t="shared" si="121"/>
        <v>0</v>
      </c>
      <c r="L873" s="23">
        <f t="shared" si="122"/>
        <v>0</v>
      </c>
      <c r="M873" s="12">
        <f t="shared" si="127"/>
        <v>0</v>
      </c>
      <c r="N873" s="23">
        <f t="shared" si="123"/>
        <v>0</v>
      </c>
      <c r="O873" s="41">
        <f t="shared" si="124"/>
        <v>0</v>
      </c>
      <c r="P873" s="13" t="str">
        <f t="shared" si="125"/>
        <v>NO</v>
      </c>
      <c r="Q873" s="23">
        <f t="shared" si="126"/>
        <v>0</v>
      </c>
      <c r="R873" s="12">
        <f t="shared" si="126"/>
        <v>0</v>
      </c>
    </row>
    <row r="874" spans="2:18">
      <c r="B874" t="str">
        <f t="shared" si="120"/>
        <v>Marvin Alexander Flores Fuentes46289</v>
      </c>
      <c r="C874" t="s">
        <v>192</v>
      </c>
      <c r="D874" s="121">
        <v>46289</v>
      </c>
      <c r="E874" t="s">
        <v>101</v>
      </c>
      <c r="F874" t="s">
        <v>36</v>
      </c>
      <c r="G874" s="122">
        <v>0.75</v>
      </c>
      <c r="H874" s="122">
        <v>0.25</v>
      </c>
      <c r="I874" s="112">
        <v>0</v>
      </c>
      <c r="J874" s="112">
        <v>0</v>
      </c>
      <c r="K874" s="23">
        <f t="shared" si="121"/>
        <v>0.75</v>
      </c>
      <c r="L874" s="23">
        <f t="shared" si="122"/>
        <v>0</v>
      </c>
      <c r="M874" s="12">
        <f t="shared" si="127"/>
        <v>0.75</v>
      </c>
      <c r="N874" s="23">
        <f t="shared" si="123"/>
        <v>0.25</v>
      </c>
      <c r="O874" s="41">
        <f t="shared" si="124"/>
        <v>0</v>
      </c>
      <c r="P874" s="13" t="str">
        <f t="shared" si="125"/>
        <v>SI</v>
      </c>
      <c r="Q874" s="23">
        <f t="shared" si="126"/>
        <v>0.75</v>
      </c>
      <c r="R874" s="12">
        <f t="shared" si="126"/>
        <v>0.25</v>
      </c>
    </row>
    <row r="875" spans="2:18">
      <c r="B875" t="str">
        <f t="shared" si="120"/>
        <v>Marvin Alexander Flores Fuentes46290</v>
      </c>
      <c r="C875" t="s">
        <v>192</v>
      </c>
      <c r="D875" s="121">
        <v>46290</v>
      </c>
      <c r="E875" t="s">
        <v>95</v>
      </c>
      <c r="F875" t="s">
        <v>36</v>
      </c>
      <c r="G875" s="122">
        <v>0.75</v>
      </c>
      <c r="H875" s="122">
        <v>0.25</v>
      </c>
      <c r="I875" s="112">
        <v>0</v>
      </c>
      <c r="J875" s="112">
        <v>0</v>
      </c>
      <c r="K875" s="23">
        <f t="shared" si="121"/>
        <v>0.75</v>
      </c>
      <c r="L875" s="23">
        <f t="shared" si="122"/>
        <v>0</v>
      </c>
      <c r="M875" s="12">
        <f t="shared" si="127"/>
        <v>0.75</v>
      </c>
      <c r="N875" s="23">
        <f t="shared" si="123"/>
        <v>0.25</v>
      </c>
      <c r="O875" s="41">
        <f t="shared" si="124"/>
        <v>0</v>
      </c>
      <c r="P875" s="13" t="str">
        <f t="shared" si="125"/>
        <v>SI</v>
      </c>
      <c r="Q875" s="23">
        <f t="shared" si="126"/>
        <v>0.75</v>
      </c>
      <c r="R875" s="12">
        <f t="shared" si="126"/>
        <v>0.25</v>
      </c>
    </row>
    <row r="876" spans="2:18">
      <c r="B876" t="str">
        <f t="shared" si="120"/>
        <v>Marvin Alexander Flores Fuentes46291</v>
      </c>
      <c r="C876" t="s">
        <v>192</v>
      </c>
      <c r="D876" s="121">
        <v>46291</v>
      </c>
      <c r="E876" t="s">
        <v>96</v>
      </c>
      <c r="F876" t="s">
        <v>36</v>
      </c>
      <c r="G876" s="122">
        <v>0.75</v>
      </c>
      <c r="H876" s="122">
        <v>0.25</v>
      </c>
      <c r="I876" s="112">
        <v>0</v>
      </c>
      <c r="J876" s="112">
        <v>0</v>
      </c>
      <c r="K876" s="23">
        <f t="shared" si="121"/>
        <v>0.75</v>
      </c>
      <c r="L876" s="23">
        <f t="shared" si="122"/>
        <v>0</v>
      </c>
      <c r="M876" s="12">
        <f t="shared" si="127"/>
        <v>0.75</v>
      </c>
      <c r="N876" s="23">
        <f t="shared" si="123"/>
        <v>0.25</v>
      </c>
      <c r="O876" s="41">
        <f t="shared" si="124"/>
        <v>0</v>
      </c>
      <c r="P876" s="13" t="str">
        <f t="shared" si="125"/>
        <v>SI</v>
      </c>
      <c r="Q876" s="23">
        <f t="shared" si="126"/>
        <v>0.75</v>
      </c>
      <c r="R876" s="12">
        <f t="shared" si="126"/>
        <v>0.25</v>
      </c>
    </row>
    <row r="877" spans="2:18">
      <c r="B877" t="str">
        <f t="shared" si="120"/>
        <v>Marvin Alexander Flores Fuentes46292</v>
      </c>
      <c r="C877" t="s">
        <v>192</v>
      </c>
      <c r="D877" s="121">
        <v>46292</v>
      </c>
      <c r="E877" t="s">
        <v>97</v>
      </c>
      <c r="F877" t="s">
        <v>72</v>
      </c>
      <c r="G877" s="122">
        <v>0</v>
      </c>
      <c r="H877" s="122">
        <v>0</v>
      </c>
      <c r="I877" s="112">
        <v>0</v>
      </c>
      <c r="J877" s="112">
        <v>0</v>
      </c>
      <c r="K877" s="23">
        <f t="shared" si="121"/>
        <v>0</v>
      </c>
      <c r="L877" s="23">
        <f t="shared" si="122"/>
        <v>0</v>
      </c>
      <c r="M877" s="12">
        <f t="shared" si="127"/>
        <v>0</v>
      </c>
      <c r="N877" s="23">
        <f t="shared" si="123"/>
        <v>0</v>
      </c>
      <c r="O877" s="41">
        <f t="shared" si="124"/>
        <v>0</v>
      </c>
      <c r="P877" s="13" t="str">
        <f t="shared" si="125"/>
        <v>NO</v>
      </c>
      <c r="Q877" s="23">
        <f t="shared" si="126"/>
        <v>0</v>
      </c>
      <c r="R877" s="12">
        <f t="shared" si="126"/>
        <v>0</v>
      </c>
    </row>
    <row r="878" spans="2:18">
      <c r="B878" t="str">
        <f t="shared" si="120"/>
        <v>Marvin Alexander Flores Fuentes46293</v>
      </c>
      <c r="C878" t="s">
        <v>192</v>
      </c>
      <c r="D878" s="121">
        <v>46293</v>
      </c>
      <c r="E878" t="s">
        <v>98</v>
      </c>
      <c r="F878" t="s">
        <v>35</v>
      </c>
      <c r="G878" s="122">
        <v>0.25</v>
      </c>
      <c r="H878" s="122">
        <v>0.75</v>
      </c>
      <c r="I878" s="112">
        <v>0</v>
      </c>
      <c r="J878" s="112">
        <v>0</v>
      </c>
      <c r="K878" s="23">
        <f t="shared" si="121"/>
        <v>0.25</v>
      </c>
      <c r="L878" s="23">
        <f t="shared" si="122"/>
        <v>0</v>
      </c>
      <c r="M878" s="12">
        <f t="shared" si="127"/>
        <v>0.25</v>
      </c>
      <c r="N878" s="23">
        <f t="shared" si="123"/>
        <v>0.75</v>
      </c>
      <c r="O878" s="41">
        <f t="shared" si="124"/>
        <v>0</v>
      </c>
      <c r="P878" s="13" t="str">
        <f t="shared" si="125"/>
        <v>SI</v>
      </c>
      <c r="Q878" s="23">
        <f t="shared" si="126"/>
        <v>0.25</v>
      </c>
      <c r="R878" s="12">
        <f t="shared" si="126"/>
        <v>0.75</v>
      </c>
    </row>
    <row r="879" spans="2:18">
      <c r="B879" t="str">
        <f t="shared" si="120"/>
        <v>Marvin Alexander Flores Fuentes46294</v>
      </c>
      <c r="C879" t="s">
        <v>192</v>
      </c>
      <c r="D879" s="121">
        <v>46294</v>
      </c>
      <c r="E879" t="s">
        <v>99</v>
      </c>
      <c r="F879" t="s">
        <v>35</v>
      </c>
      <c r="G879" s="122">
        <v>0.25</v>
      </c>
      <c r="H879" s="122">
        <v>0.75</v>
      </c>
      <c r="I879" s="112">
        <v>0</v>
      </c>
      <c r="J879" s="112">
        <v>0</v>
      </c>
      <c r="K879" s="23">
        <f t="shared" si="121"/>
        <v>0.25</v>
      </c>
      <c r="L879" s="23">
        <f t="shared" si="122"/>
        <v>0</v>
      </c>
      <c r="M879" s="12">
        <f t="shared" si="127"/>
        <v>0.25</v>
      </c>
      <c r="N879" s="23">
        <f t="shared" si="123"/>
        <v>0.75</v>
      </c>
      <c r="O879" s="41">
        <f t="shared" si="124"/>
        <v>0</v>
      </c>
      <c r="P879" s="13" t="str">
        <f t="shared" si="125"/>
        <v>SI</v>
      </c>
      <c r="Q879" s="23">
        <f t="shared" si="126"/>
        <v>0.25</v>
      </c>
      <c r="R879" s="12">
        <f t="shared" si="126"/>
        <v>0.75</v>
      </c>
    </row>
    <row r="880" spans="2:18">
      <c r="B880" t="str">
        <f t="shared" si="120"/>
        <v>Marvin Alexander Flores Fuentes46295</v>
      </c>
      <c r="C880" t="s">
        <v>192</v>
      </c>
      <c r="D880" s="121">
        <v>46295</v>
      </c>
      <c r="E880" t="s">
        <v>100</v>
      </c>
      <c r="F880" t="s">
        <v>35</v>
      </c>
      <c r="G880" s="122">
        <v>0.25</v>
      </c>
      <c r="H880" s="122">
        <v>0.75</v>
      </c>
      <c r="I880" s="112">
        <v>0</v>
      </c>
      <c r="J880" s="112">
        <v>0</v>
      </c>
      <c r="K880" s="23">
        <f t="shared" si="121"/>
        <v>0.25</v>
      </c>
      <c r="L880" s="23">
        <f t="shared" si="122"/>
        <v>0</v>
      </c>
      <c r="M880" s="12">
        <f t="shared" si="127"/>
        <v>0.25</v>
      </c>
      <c r="N880" s="23">
        <f t="shared" si="123"/>
        <v>0.75</v>
      </c>
      <c r="O880" s="41">
        <f t="shared" si="124"/>
        <v>0</v>
      </c>
      <c r="P880" s="13" t="str">
        <f t="shared" si="125"/>
        <v>SI</v>
      </c>
      <c r="Q880" s="23">
        <f t="shared" si="126"/>
        <v>0.25</v>
      </c>
      <c r="R880" s="12">
        <f t="shared" si="126"/>
        <v>0.75</v>
      </c>
    </row>
    <row r="881" spans="2:18">
      <c r="B881" t="str">
        <f t="shared" si="120"/>
        <v>Marvin Alexander Flores Fuentes46296</v>
      </c>
      <c r="C881" t="s">
        <v>192</v>
      </c>
      <c r="D881" s="121">
        <v>46296</v>
      </c>
      <c r="E881" t="s">
        <v>101</v>
      </c>
      <c r="F881" t="s">
        <v>35</v>
      </c>
      <c r="G881" s="122">
        <v>0.33333333333333298</v>
      </c>
      <c r="H881" s="122">
        <v>0.70833333333333304</v>
      </c>
      <c r="I881" s="112">
        <v>0</v>
      </c>
      <c r="J881" s="112">
        <v>0</v>
      </c>
      <c r="K881" s="23">
        <f t="shared" si="121"/>
        <v>0.33333333333333298</v>
      </c>
      <c r="L881" s="23">
        <f t="shared" si="122"/>
        <v>0</v>
      </c>
      <c r="M881" s="12">
        <f t="shared" si="127"/>
        <v>0.33333333333333298</v>
      </c>
      <c r="N881" s="23">
        <f t="shared" si="123"/>
        <v>0.70833333333333304</v>
      </c>
      <c r="O881" s="41">
        <f t="shared" si="124"/>
        <v>0</v>
      </c>
      <c r="P881" s="13" t="str">
        <f t="shared" si="125"/>
        <v>SI</v>
      </c>
      <c r="Q881" s="23">
        <f t="shared" si="126"/>
        <v>0.33333333333333298</v>
      </c>
      <c r="R881" s="12">
        <f t="shared" si="126"/>
        <v>0.70833333333333304</v>
      </c>
    </row>
    <row r="882" spans="2:18">
      <c r="B882" t="str">
        <f t="shared" si="120"/>
        <v>Marvin Alexander Flores Fuentes46297</v>
      </c>
      <c r="C882" t="s">
        <v>192</v>
      </c>
      <c r="D882" s="121">
        <v>46297</v>
      </c>
      <c r="E882" t="s">
        <v>95</v>
      </c>
      <c r="F882" t="s">
        <v>35</v>
      </c>
      <c r="G882" s="122">
        <v>0.33333333333333298</v>
      </c>
      <c r="H882" s="122">
        <v>0.70833333333333304</v>
      </c>
      <c r="I882" s="112">
        <v>0</v>
      </c>
      <c r="J882" s="112">
        <v>0</v>
      </c>
      <c r="K882" s="23">
        <f t="shared" si="121"/>
        <v>0.33333333333333298</v>
      </c>
      <c r="L882" s="23">
        <f t="shared" si="122"/>
        <v>0</v>
      </c>
      <c r="M882" s="12">
        <f t="shared" si="127"/>
        <v>0.33333333333333298</v>
      </c>
      <c r="N882" s="23">
        <f t="shared" si="123"/>
        <v>0.70833333333333304</v>
      </c>
      <c r="O882" s="41">
        <f t="shared" si="124"/>
        <v>0</v>
      </c>
      <c r="P882" s="13" t="str">
        <f t="shared" si="125"/>
        <v>SI</v>
      </c>
      <c r="Q882" s="23">
        <f t="shared" si="126"/>
        <v>0.33333333333333298</v>
      </c>
      <c r="R882" s="12">
        <f t="shared" si="126"/>
        <v>0.70833333333333304</v>
      </c>
    </row>
    <row r="883" spans="2:18">
      <c r="B883" t="str">
        <f t="shared" si="120"/>
        <v>Marvin Alexander Flores Fuentes46298</v>
      </c>
      <c r="C883" t="s">
        <v>192</v>
      </c>
      <c r="D883" s="121">
        <v>46298</v>
      </c>
      <c r="E883" t="s">
        <v>96</v>
      </c>
      <c r="F883" t="s">
        <v>35</v>
      </c>
      <c r="G883" s="122">
        <v>0.33333333333333298</v>
      </c>
      <c r="H883" s="122">
        <v>0.70833333333333304</v>
      </c>
      <c r="I883" s="112">
        <v>0</v>
      </c>
      <c r="J883" s="112">
        <v>0</v>
      </c>
      <c r="K883" s="23">
        <f t="shared" si="121"/>
        <v>0.33333333333333298</v>
      </c>
      <c r="L883" s="23">
        <f t="shared" si="122"/>
        <v>0</v>
      </c>
      <c r="M883" s="12">
        <f t="shared" si="127"/>
        <v>0.33333333333333298</v>
      </c>
      <c r="N883" s="23">
        <f t="shared" si="123"/>
        <v>0.70833333333333304</v>
      </c>
      <c r="O883" s="41">
        <f t="shared" si="124"/>
        <v>0</v>
      </c>
      <c r="P883" s="13" t="str">
        <f t="shared" si="125"/>
        <v>SI</v>
      </c>
      <c r="Q883" s="23">
        <f t="shared" si="126"/>
        <v>0.33333333333333298</v>
      </c>
      <c r="R883" s="12">
        <f t="shared" si="126"/>
        <v>0.70833333333333304</v>
      </c>
    </row>
    <row r="884" spans="2:18">
      <c r="B884" t="str">
        <f t="shared" si="120"/>
        <v>Marvin Alexander Flores Fuentes46299</v>
      </c>
      <c r="C884" t="s">
        <v>192</v>
      </c>
      <c r="D884" s="121">
        <v>46299</v>
      </c>
      <c r="E884" t="s">
        <v>97</v>
      </c>
      <c r="F884" t="s">
        <v>72</v>
      </c>
      <c r="G884" s="122">
        <v>0</v>
      </c>
      <c r="H884" s="122">
        <v>0</v>
      </c>
      <c r="I884" s="112">
        <v>0</v>
      </c>
      <c r="J884" s="112">
        <v>0</v>
      </c>
      <c r="K884" s="23">
        <f t="shared" si="121"/>
        <v>0</v>
      </c>
      <c r="L884" s="23">
        <f t="shared" si="122"/>
        <v>0</v>
      </c>
      <c r="M884" s="12">
        <f t="shared" si="127"/>
        <v>0</v>
      </c>
      <c r="N884" s="23">
        <f t="shared" si="123"/>
        <v>0</v>
      </c>
      <c r="O884" s="41">
        <f t="shared" si="124"/>
        <v>0</v>
      </c>
      <c r="P884" s="13" t="str">
        <f t="shared" si="125"/>
        <v>NO</v>
      </c>
      <c r="Q884" s="23">
        <f t="shared" si="126"/>
        <v>0</v>
      </c>
      <c r="R884" s="12">
        <f t="shared" si="126"/>
        <v>0</v>
      </c>
    </row>
    <row r="885" spans="2:18">
      <c r="B885" t="str">
        <f t="shared" si="120"/>
        <v>OSCAR GERARDO ASTURIAS RUIZ46279</v>
      </c>
      <c r="C885" t="s">
        <v>230</v>
      </c>
      <c r="D885" s="121">
        <v>46279</v>
      </c>
      <c r="E885" t="s">
        <v>98</v>
      </c>
      <c r="F885" t="s">
        <v>72</v>
      </c>
      <c r="G885" s="122">
        <v>0</v>
      </c>
      <c r="H885" s="122">
        <v>0</v>
      </c>
      <c r="I885" s="112">
        <v>0</v>
      </c>
      <c r="J885" s="112">
        <v>0</v>
      </c>
      <c r="K885" s="23">
        <f t="shared" si="121"/>
        <v>0</v>
      </c>
      <c r="L885" s="23">
        <f t="shared" si="122"/>
        <v>0</v>
      </c>
      <c r="M885" s="12">
        <f t="shared" si="127"/>
        <v>0</v>
      </c>
      <c r="N885" s="23">
        <f t="shared" si="123"/>
        <v>0</v>
      </c>
      <c r="O885" s="41">
        <f t="shared" si="124"/>
        <v>0</v>
      </c>
      <c r="P885" s="13" t="str">
        <f t="shared" si="125"/>
        <v>NO</v>
      </c>
      <c r="Q885" s="23">
        <f t="shared" si="126"/>
        <v>0</v>
      </c>
      <c r="R885" s="12">
        <f t="shared" si="126"/>
        <v>0</v>
      </c>
    </row>
    <row r="886" spans="2:18">
      <c r="B886" t="str">
        <f t="shared" si="120"/>
        <v>OSCAR GERARDO ASTURIAS RUIZ46280</v>
      </c>
      <c r="C886" t="s">
        <v>230</v>
      </c>
      <c r="D886" s="121">
        <v>46280</v>
      </c>
      <c r="E886" t="s">
        <v>99</v>
      </c>
      <c r="F886" t="s">
        <v>35</v>
      </c>
      <c r="G886" s="122">
        <v>0.33333333333333298</v>
      </c>
      <c r="H886" s="122">
        <v>0.70833333333333304</v>
      </c>
      <c r="I886" s="112">
        <v>0</v>
      </c>
      <c r="J886" s="112">
        <v>0</v>
      </c>
      <c r="K886" s="23">
        <f t="shared" si="121"/>
        <v>0.33333333333333298</v>
      </c>
      <c r="L886" s="23">
        <f t="shared" si="122"/>
        <v>0</v>
      </c>
      <c r="M886" s="12">
        <f t="shared" si="127"/>
        <v>0.33333333333333298</v>
      </c>
      <c r="N886" s="23">
        <f t="shared" si="123"/>
        <v>0.70833333333333304</v>
      </c>
      <c r="O886" s="41">
        <f t="shared" si="124"/>
        <v>0</v>
      </c>
      <c r="P886" s="13" t="str">
        <f t="shared" si="125"/>
        <v>SI</v>
      </c>
      <c r="Q886" s="23">
        <f t="shared" si="126"/>
        <v>0.33333333333333298</v>
      </c>
      <c r="R886" s="12">
        <f t="shared" si="126"/>
        <v>0.70833333333333304</v>
      </c>
    </row>
    <row r="887" spans="2:18">
      <c r="B887" t="str">
        <f t="shared" si="120"/>
        <v>OSCAR GERARDO ASTURIAS RUIZ46281</v>
      </c>
      <c r="C887" t="s">
        <v>230</v>
      </c>
      <c r="D887" s="121">
        <v>46281</v>
      </c>
      <c r="E887" t="s">
        <v>100</v>
      </c>
      <c r="F887" t="s">
        <v>36</v>
      </c>
      <c r="G887" s="122">
        <v>0.79166666666666696</v>
      </c>
      <c r="H887" s="122">
        <v>0.20833333333333301</v>
      </c>
      <c r="I887" s="112">
        <v>0</v>
      </c>
      <c r="J887" s="112">
        <v>0</v>
      </c>
      <c r="K887" s="23">
        <f t="shared" si="121"/>
        <v>0.79166666666666696</v>
      </c>
      <c r="L887" s="23">
        <f t="shared" si="122"/>
        <v>0</v>
      </c>
      <c r="M887" s="12">
        <f t="shared" si="127"/>
        <v>0.79166666666666696</v>
      </c>
      <c r="N887" s="23">
        <f t="shared" si="123"/>
        <v>0.20833333333333301</v>
      </c>
      <c r="O887" s="41">
        <f t="shared" si="124"/>
        <v>0</v>
      </c>
      <c r="P887" s="13" t="str">
        <f t="shared" si="125"/>
        <v>SI</v>
      </c>
      <c r="Q887" s="23">
        <f t="shared" si="126"/>
        <v>0.79166666666666696</v>
      </c>
      <c r="R887" s="12">
        <f t="shared" si="126"/>
        <v>0.20833333333333301</v>
      </c>
    </row>
    <row r="888" spans="2:18">
      <c r="B888" t="str">
        <f t="shared" si="120"/>
        <v>OSCAR GERARDO ASTURIAS RUIZ46282</v>
      </c>
      <c r="C888" t="s">
        <v>230</v>
      </c>
      <c r="D888" s="121">
        <v>46282</v>
      </c>
      <c r="E888" t="s">
        <v>101</v>
      </c>
      <c r="F888" t="s">
        <v>36</v>
      </c>
      <c r="G888" s="122">
        <v>0.79166666666666696</v>
      </c>
      <c r="H888" s="122">
        <v>0.20833333333333301</v>
      </c>
      <c r="I888" s="112">
        <v>0</v>
      </c>
      <c r="J888" s="112">
        <v>0</v>
      </c>
      <c r="K888" s="23">
        <f t="shared" si="121"/>
        <v>0.79166666666666696</v>
      </c>
      <c r="L888" s="23">
        <f t="shared" si="122"/>
        <v>0</v>
      </c>
      <c r="M888" s="12">
        <f t="shared" si="127"/>
        <v>0.79166666666666696</v>
      </c>
      <c r="N888" s="23">
        <f t="shared" si="123"/>
        <v>0.20833333333333301</v>
      </c>
      <c r="O888" s="41">
        <f t="shared" si="124"/>
        <v>0</v>
      </c>
      <c r="P888" s="13" t="str">
        <f t="shared" si="125"/>
        <v>SI</v>
      </c>
      <c r="Q888" s="23">
        <f t="shared" si="126"/>
        <v>0.79166666666666696</v>
      </c>
      <c r="R888" s="12">
        <f t="shared" si="126"/>
        <v>0.20833333333333301</v>
      </c>
    </row>
    <row r="889" spans="2:18">
      <c r="B889" t="str">
        <f t="shared" si="120"/>
        <v>OSCAR GERARDO ASTURIAS RUIZ46283</v>
      </c>
      <c r="C889" t="s">
        <v>230</v>
      </c>
      <c r="D889" s="121">
        <v>46283</v>
      </c>
      <c r="E889" t="s">
        <v>95</v>
      </c>
      <c r="F889" t="s">
        <v>72</v>
      </c>
      <c r="G889" s="122">
        <v>0</v>
      </c>
      <c r="H889" s="122">
        <v>0</v>
      </c>
      <c r="I889" s="112">
        <v>0</v>
      </c>
      <c r="J889" s="112">
        <v>0</v>
      </c>
      <c r="K889" s="23">
        <f t="shared" si="121"/>
        <v>0</v>
      </c>
      <c r="L889" s="23">
        <f t="shared" si="122"/>
        <v>0</v>
      </c>
      <c r="M889" s="12">
        <f t="shared" si="127"/>
        <v>0</v>
      </c>
      <c r="N889" s="23">
        <f t="shared" si="123"/>
        <v>0</v>
      </c>
      <c r="O889" s="41">
        <f t="shared" si="124"/>
        <v>0</v>
      </c>
      <c r="P889" s="13" t="str">
        <f t="shared" si="125"/>
        <v>NO</v>
      </c>
      <c r="Q889" s="23">
        <f t="shared" si="126"/>
        <v>0</v>
      </c>
      <c r="R889" s="12">
        <f t="shared" si="126"/>
        <v>0</v>
      </c>
    </row>
    <row r="890" spans="2:18">
      <c r="B890" t="str">
        <f t="shared" si="120"/>
        <v>OSCAR GERARDO ASTURIAS RUIZ46284</v>
      </c>
      <c r="C890" t="s">
        <v>230</v>
      </c>
      <c r="D890" s="121">
        <v>46284</v>
      </c>
      <c r="E890" t="s">
        <v>96</v>
      </c>
      <c r="F890" t="s">
        <v>35</v>
      </c>
      <c r="G890" s="122">
        <v>0.29166666666666702</v>
      </c>
      <c r="H890" s="122">
        <v>0.5</v>
      </c>
      <c r="I890" s="112">
        <v>0</v>
      </c>
      <c r="J890" s="112">
        <v>0</v>
      </c>
      <c r="K890" s="23">
        <f t="shared" si="121"/>
        <v>0.29166666666666702</v>
      </c>
      <c r="L890" s="23">
        <f t="shared" si="122"/>
        <v>0</v>
      </c>
      <c r="M890" s="12">
        <f t="shared" si="127"/>
        <v>0.29166666666666702</v>
      </c>
      <c r="N890" s="23">
        <f t="shared" si="123"/>
        <v>0.5</v>
      </c>
      <c r="O890" s="41">
        <f t="shared" si="124"/>
        <v>0</v>
      </c>
      <c r="P890" s="13" t="str">
        <f t="shared" si="125"/>
        <v>SI</v>
      </c>
      <c r="Q890" s="23">
        <f t="shared" si="126"/>
        <v>0.29166666666666702</v>
      </c>
      <c r="R890" s="12">
        <f t="shared" si="126"/>
        <v>0.5</v>
      </c>
    </row>
    <row r="891" spans="2:18">
      <c r="B891" t="str">
        <f t="shared" si="120"/>
        <v>OSCAR GERARDO ASTURIAS RUIZ46285</v>
      </c>
      <c r="C891" t="s">
        <v>230</v>
      </c>
      <c r="D891" s="121">
        <v>46285</v>
      </c>
      <c r="E891" t="s">
        <v>97</v>
      </c>
      <c r="F891" t="s">
        <v>72</v>
      </c>
      <c r="G891" s="122">
        <v>0</v>
      </c>
      <c r="H891" s="122">
        <v>0</v>
      </c>
      <c r="I891" s="112">
        <v>0</v>
      </c>
      <c r="J891" s="112">
        <v>0</v>
      </c>
      <c r="K891" s="23">
        <f t="shared" si="121"/>
        <v>0</v>
      </c>
      <c r="L891" s="23">
        <f t="shared" si="122"/>
        <v>0</v>
      </c>
      <c r="M891" s="12">
        <f t="shared" si="127"/>
        <v>0</v>
      </c>
      <c r="N891" s="23">
        <f t="shared" si="123"/>
        <v>0</v>
      </c>
      <c r="O891" s="41">
        <f t="shared" si="124"/>
        <v>0</v>
      </c>
      <c r="P891" s="13" t="str">
        <f t="shared" si="125"/>
        <v>NO</v>
      </c>
      <c r="Q891" s="23">
        <f t="shared" si="126"/>
        <v>0</v>
      </c>
      <c r="R891" s="12">
        <f t="shared" si="126"/>
        <v>0</v>
      </c>
    </row>
    <row r="892" spans="2:18">
      <c r="B892" t="str">
        <f t="shared" si="120"/>
        <v>OSCAR GERARDO ASTURIAS RUIZ46286</v>
      </c>
      <c r="C892" t="s">
        <v>230</v>
      </c>
      <c r="D892" s="121">
        <v>46286</v>
      </c>
      <c r="E892" t="s">
        <v>98</v>
      </c>
      <c r="F892" t="s">
        <v>35</v>
      </c>
      <c r="G892" s="122">
        <v>0.29166666666666702</v>
      </c>
      <c r="H892" s="122">
        <v>0.66666666666666696</v>
      </c>
      <c r="I892" s="112">
        <v>0</v>
      </c>
      <c r="J892" s="112">
        <v>0</v>
      </c>
      <c r="K892" s="23">
        <f t="shared" si="121"/>
        <v>0.29166666666666702</v>
      </c>
      <c r="L892" s="23">
        <f t="shared" si="122"/>
        <v>0</v>
      </c>
      <c r="M892" s="12">
        <f t="shared" si="127"/>
        <v>0.29166666666666702</v>
      </c>
      <c r="N892" s="23">
        <f t="shared" si="123"/>
        <v>0.66666666666666696</v>
      </c>
      <c r="O892" s="41">
        <f t="shared" si="124"/>
        <v>0</v>
      </c>
      <c r="P892" s="13" t="str">
        <f t="shared" si="125"/>
        <v>SI</v>
      </c>
      <c r="Q892" s="23">
        <f t="shared" si="126"/>
        <v>0.29166666666666702</v>
      </c>
      <c r="R892" s="12">
        <f t="shared" si="126"/>
        <v>0.66666666666666696</v>
      </c>
    </row>
    <row r="893" spans="2:18">
      <c r="B893" t="str">
        <f t="shared" si="120"/>
        <v>OSCAR GERARDO ASTURIAS RUIZ46287</v>
      </c>
      <c r="C893" t="s">
        <v>230</v>
      </c>
      <c r="D893" s="121">
        <v>46287</v>
      </c>
      <c r="E893" t="s">
        <v>99</v>
      </c>
      <c r="F893" t="s">
        <v>35</v>
      </c>
      <c r="G893" s="122">
        <v>0.29166666666666702</v>
      </c>
      <c r="H893" s="122">
        <v>0.66666666666666696</v>
      </c>
      <c r="I893" s="112">
        <v>0</v>
      </c>
      <c r="J893" s="112">
        <v>0</v>
      </c>
      <c r="K893" s="23">
        <f t="shared" si="121"/>
        <v>0.29166666666666702</v>
      </c>
      <c r="L893" s="23">
        <f t="shared" si="122"/>
        <v>0</v>
      </c>
      <c r="M893" s="12">
        <f t="shared" si="127"/>
        <v>0.29166666666666702</v>
      </c>
      <c r="N893" s="23">
        <f t="shared" si="123"/>
        <v>0.66666666666666696</v>
      </c>
      <c r="O893" s="41">
        <f t="shared" si="124"/>
        <v>0</v>
      </c>
      <c r="P893" s="13" t="str">
        <f t="shared" si="125"/>
        <v>SI</v>
      </c>
      <c r="Q893" s="23">
        <f t="shared" si="126"/>
        <v>0.29166666666666702</v>
      </c>
      <c r="R893" s="12">
        <f t="shared" si="126"/>
        <v>0.66666666666666696</v>
      </c>
    </row>
    <row r="894" spans="2:18">
      <c r="B894" t="str">
        <f t="shared" si="120"/>
        <v>OSCAR GERARDO ASTURIAS RUIZ46288</v>
      </c>
      <c r="C894" t="s">
        <v>230</v>
      </c>
      <c r="D894" s="121">
        <v>46288</v>
      </c>
      <c r="E894" t="s">
        <v>100</v>
      </c>
      <c r="F894" t="s">
        <v>35</v>
      </c>
      <c r="G894" s="122">
        <v>0.29166666666666702</v>
      </c>
      <c r="H894" s="122">
        <v>0.66666666666666696</v>
      </c>
      <c r="I894" s="112">
        <v>0</v>
      </c>
      <c r="J894" s="112">
        <v>0</v>
      </c>
      <c r="K894" s="23">
        <f t="shared" si="121"/>
        <v>0.29166666666666702</v>
      </c>
      <c r="L894" s="23">
        <f t="shared" si="122"/>
        <v>0</v>
      </c>
      <c r="M894" s="12">
        <f t="shared" si="127"/>
        <v>0.29166666666666702</v>
      </c>
      <c r="N894" s="23">
        <f t="shared" si="123"/>
        <v>0.66666666666666696</v>
      </c>
      <c r="O894" s="41">
        <f t="shared" si="124"/>
        <v>0</v>
      </c>
      <c r="P894" s="13" t="str">
        <f t="shared" si="125"/>
        <v>SI</v>
      </c>
      <c r="Q894" s="23">
        <f t="shared" si="126"/>
        <v>0.29166666666666702</v>
      </c>
      <c r="R894" s="12">
        <f t="shared" si="126"/>
        <v>0.66666666666666696</v>
      </c>
    </row>
    <row r="895" spans="2:18">
      <c r="B895" t="str">
        <f t="shared" si="120"/>
        <v>OSCAR GERARDO ASTURIAS RUIZ46289</v>
      </c>
      <c r="C895" t="s">
        <v>230</v>
      </c>
      <c r="D895" s="121">
        <v>46289</v>
      </c>
      <c r="E895" t="s">
        <v>101</v>
      </c>
      <c r="F895" t="s">
        <v>35</v>
      </c>
      <c r="G895" s="122">
        <v>0.375</v>
      </c>
      <c r="H895" s="122">
        <v>0.75</v>
      </c>
      <c r="I895" s="112">
        <v>0</v>
      </c>
      <c r="J895" s="112">
        <v>0</v>
      </c>
      <c r="K895" s="23">
        <f t="shared" si="121"/>
        <v>0.375</v>
      </c>
      <c r="L895" s="23">
        <f t="shared" si="122"/>
        <v>0</v>
      </c>
      <c r="M895" s="12">
        <f t="shared" si="127"/>
        <v>0.375</v>
      </c>
      <c r="N895" s="23">
        <f t="shared" si="123"/>
        <v>0.75</v>
      </c>
      <c r="O895" s="41">
        <f t="shared" si="124"/>
        <v>0</v>
      </c>
      <c r="P895" s="13" t="str">
        <f t="shared" si="125"/>
        <v>SI</v>
      </c>
      <c r="Q895" s="23">
        <f t="shared" si="126"/>
        <v>0.375</v>
      </c>
      <c r="R895" s="12">
        <f t="shared" si="126"/>
        <v>0.75</v>
      </c>
    </row>
    <row r="896" spans="2:18">
      <c r="B896" t="str">
        <f t="shared" si="120"/>
        <v>OSCAR GERARDO ASTURIAS RUIZ46290</v>
      </c>
      <c r="C896" t="s">
        <v>230</v>
      </c>
      <c r="D896" s="121">
        <v>46290</v>
      </c>
      <c r="E896" t="s">
        <v>95</v>
      </c>
      <c r="F896" t="s">
        <v>35</v>
      </c>
      <c r="G896" s="122">
        <v>0.29166666666666702</v>
      </c>
      <c r="H896" s="122">
        <v>0.66666666666666696</v>
      </c>
      <c r="I896" s="112">
        <v>0</v>
      </c>
      <c r="J896" s="112">
        <v>0</v>
      </c>
      <c r="K896" s="23">
        <f t="shared" si="121"/>
        <v>0.29166666666666702</v>
      </c>
      <c r="L896" s="23">
        <f t="shared" si="122"/>
        <v>0</v>
      </c>
      <c r="M896" s="12">
        <f t="shared" si="127"/>
        <v>0.29166666666666702</v>
      </c>
      <c r="N896" s="23">
        <f t="shared" si="123"/>
        <v>0.66666666666666696</v>
      </c>
      <c r="O896" s="41">
        <f t="shared" si="124"/>
        <v>0</v>
      </c>
      <c r="P896" s="13" t="str">
        <f t="shared" si="125"/>
        <v>SI</v>
      </c>
      <c r="Q896" s="23">
        <f t="shared" si="126"/>
        <v>0.29166666666666702</v>
      </c>
      <c r="R896" s="12">
        <f t="shared" si="126"/>
        <v>0.66666666666666696</v>
      </c>
    </row>
    <row r="897" spans="2:18">
      <c r="B897" t="str">
        <f t="shared" si="120"/>
        <v>OSCAR GERARDO ASTURIAS RUIZ46291</v>
      </c>
      <c r="C897" t="s">
        <v>230</v>
      </c>
      <c r="D897" s="121">
        <v>46291</v>
      </c>
      <c r="E897" t="s">
        <v>96</v>
      </c>
      <c r="F897" t="s">
        <v>35</v>
      </c>
      <c r="G897" s="122">
        <v>0.29166666666666702</v>
      </c>
      <c r="H897" s="122">
        <v>0.5</v>
      </c>
      <c r="I897" s="112">
        <v>0</v>
      </c>
      <c r="J897" s="112">
        <v>0</v>
      </c>
      <c r="K897" s="23">
        <f t="shared" si="121"/>
        <v>0.29166666666666702</v>
      </c>
      <c r="L897" s="23">
        <f t="shared" si="122"/>
        <v>0</v>
      </c>
      <c r="M897" s="12">
        <f t="shared" si="127"/>
        <v>0.29166666666666702</v>
      </c>
      <c r="N897" s="23">
        <f t="shared" si="123"/>
        <v>0.5</v>
      </c>
      <c r="O897" s="41">
        <f t="shared" si="124"/>
        <v>0</v>
      </c>
      <c r="P897" s="13" t="str">
        <f t="shared" si="125"/>
        <v>SI</v>
      </c>
      <c r="Q897" s="23">
        <f t="shared" si="126"/>
        <v>0.29166666666666702</v>
      </c>
      <c r="R897" s="12">
        <f t="shared" si="126"/>
        <v>0.5</v>
      </c>
    </row>
    <row r="898" spans="2:18">
      <c r="B898" t="str">
        <f t="shared" si="120"/>
        <v>OSCAR GERARDO ASTURIAS RUIZ46292</v>
      </c>
      <c r="C898" t="s">
        <v>230</v>
      </c>
      <c r="D898" s="121">
        <v>46292</v>
      </c>
      <c r="E898" t="s">
        <v>97</v>
      </c>
      <c r="F898" t="s">
        <v>72</v>
      </c>
      <c r="G898" s="122">
        <v>0</v>
      </c>
      <c r="H898" s="122">
        <v>0</v>
      </c>
      <c r="I898" s="112">
        <v>0</v>
      </c>
      <c r="J898" s="112">
        <v>0</v>
      </c>
      <c r="K898" s="23">
        <f t="shared" si="121"/>
        <v>0</v>
      </c>
      <c r="L898" s="23">
        <f t="shared" si="122"/>
        <v>0</v>
      </c>
      <c r="M898" s="12">
        <f t="shared" si="127"/>
        <v>0</v>
      </c>
      <c r="N898" s="23">
        <f t="shared" si="123"/>
        <v>0</v>
      </c>
      <c r="O898" s="41">
        <f t="shared" si="124"/>
        <v>0</v>
      </c>
      <c r="P898" s="13" t="str">
        <f t="shared" si="125"/>
        <v>NO</v>
      </c>
      <c r="Q898" s="23">
        <f t="shared" si="126"/>
        <v>0</v>
      </c>
      <c r="R898" s="12">
        <f t="shared" si="126"/>
        <v>0</v>
      </c>
    </row>
    <row r="899" spans="2:18">
      <c r="B899" t="str">
        <f t="shared" si="120"/>
        <v>OSCAR GERARDO ASTURIAS RUIZ46293</v>
      </c>
      <c r="C899" t="s">
        <v>230</v>
      </c>
      <c r="D899" s="121">
        <v>46293</v>
      </c>
      <c r="E899" t="s">
        <v>98</v>
      </c>
      <c r="F899" t="s">
        <v>36</v>
      </c>
      <c r="G899" s="122">
        <v>0.79166666666666696</v>
      </c>
      <c r="H899" s="122">
        <v>0.20833333333333301</v>
      </c>
      <c r="I899" s="112">
        <v>0</v>
      </c>
      <c r="J899" s="112">
        <v>0</v>
      </c>
      <c r="K899" s="23">
        <f t="shared" si="121"/>
        <v>0.79166666666666696</v>
      </c>
      <c r="L899" s="23">
        <f t="shared" si="122"/>
        <v>0</v>
      </c>
      <c r="M899" s="12">
        <f t="shared" si="127"/>
        <v>0.79166666666666696</v>
      </c>
      <c r="N899" s="23">
        <f t="shared" si="123"/>
        <v>0.20833333333333301</v>
      </c>
      <c r="O899" s="41">
        <f t="shared" si="124"/>
        <v>0</v>
      </c>
      <c r="P899" s="13" t="str">
        <f t="shared" si="125"/>
        <v>SI</v>
      </c>
      <c r="Q899" s="23">
        <f t="shared" si="126"/>
        <v>0.79166666666666696</v>
      </c>
      <c r="R899" s="12">
        <f t="shared" si="126"/>
        <v>0.20833333333333301</v>
      </c>
    </row>
    <row r="900" spans="2:18">
      <c r="B900" t="str">
        <f t="shared" si="120"/>
        <v>OSCAR GERARDO ASTURIAS RUIZ46294</v>
      </c>
      <c r="C900" t="s">
        <v>230</v>
      </c>
      <c r="D900" s="121">
        <v>46294</v>
      </c>
      <c r="E900" t="s">
        <v>99</v>
      </c>
      <c r="F900" t="s">
        <v>35</v>
      </c>
      <c r="G900" s="122">
        <v>0.33333333333333298</v>
      </c>
      <c r="H900" s="122">
        <v>0.70833333333333304</v>
      </c>
      <c r="I900" s="112">
        <v>0</v>
      </c>
      <c r="J900" s="112">
        <v>0</v>
      </c>
      <c r="K900" s="23">
        <f t="shared" si="121"/>
        <v>0.33333333333333298</v>
      </c>
      <c r="L900" s="23">
        <f t="shared" si="122"/>
        <v>0</v>
      </c>
      <c r="M900" s="12">
        <f t="shared" si="127"/>
        <v>0.33333333333333298</v>
      </c>
      <c r="N900" s="23">
        <f t="shared" si="123"/>
        <v>0.70833333333333304</v>
      </c>
      <c r="O900" s="41">
        <f t="shared" si="124"/>
        <v>0</v>
      </c>
      <c r="P900" s="13" t="str">
        <f t="shared" si="125"/>
        <v>SI</v>
      </c>
      <c r="Q900" s="23">
        <f t="shared" si="126"/>
        <v>0.33333333333333298</v>
      </c>
      <c r="R900" s="12">
        <f t="shared" si="126"/>
        <v>0.70833333333333304</v>
      </c>
    </row>
    <row r="901" spans="2:18">
      <c r="B901" t="str">
        <f t="shared" si="120"/>
        <v>OSCAR GERARDO ASTURIAS RUIZ46295</v>
      </c>
      <c r="C901" t="s">
        <v>230</v>
      </c>
      <c r="D901" s="121">
        <v>46295</v>
      </c>
      <c r="E901" t="s">
        <v>100</v>
      </c>
      <c r="F901" t="s">
        <v>36</v>
      </c>
      <c r="G901" s="122">
        <v>0.79166666666666696</v>
      </c>
      <c r="H901" s="122">
        <v>0.20833333333333301</v>
      </c>
      <c r="I901" s="112">
        <v>0</v>
      </c>
      <c r="J901" s="112">
        <v>0</v>
      </c>
      <c r="K901" s="23">
        <f t="shared" si="121"/>
        <v>0.79166666666666696</v>
      </c>
      <c r="L901" s="23">
        <f t="shared" si="122"/>
        <v>0</v>
      </c>
      <c r="M901" s="12">
        <f t="shared" si="127"/>
        <v>0.79166666666666696</v>
      </c>
      <c r="N901" s="23">
        <f t="shared" si="123"/>
        <v>0.20833333333333301</v>
      </c>
      <c r="O901" s="41">
        <f t="shared" si="124"/>
        <v>0</v>
      </c>
      <c r="P901" s="13" t="str">
        <f t="shared" si="125"/>
        <v>SI</v>
      </c>
      <c r="Q901" s="23">
        <f t="shared" si="126"/>
        <v>0.79166666666666696</v>
      </c>
      <c r="R901" s="12">
        <f t="shared" si="126"/>
        <v>0.20833333333333301</v>
      </c>
    </row>
    <row r="902" spans="2:18">
      <c r="B902" t="str">
        <f t="shared" si="120"/>
        <v>OSCAR GERARDO ASTURIAS RUIZ46296</v>
      </c>
      <c r="C902" t="s">
        <v>230</v>
      </c>
      <c r="D902" s="121">
        <v>46296</v>
      </c>
      <c r="E902" t="s">
        <v>101</v>
      </c>
      <c r="F902" t="s">
        <v>36</v>
      </c>
      <c r="G902" s="122">
        <v>0.79166666666666696</v>
      </c>
      <c r="H902" s="122">
        <v>0.20833333333333301</v>
      </c>
      <c r="I902" s="112">
        <v>0</v>
      </c>
      <c r="J902" s="112">
        <v>0</v>
      </c>
      <c r="K902" s="23">
        <f t="shared" si="121"/>
        <v>0.79166666666666696</v>
      </c>
      <c r="L902" s="23">
        <f t="shared" si="122"/>
        <v>0</v>
      </c>
      <c r="M902" s="12">
        <f t="shared" si="127"/>
        <v>0.79166666666666696</v>
      </c>
      <c r="N902" s="23">
        <f t="shared" si="123"/>
        <v>0.20833333333333301</v>
      </c>
      <c r="O902" s="41">
        <f t="shared" si="124"/>
        <v>0</v>
      </c>
      <c r="P902" s="13" t="str">
        <f t="shared" si="125"/>
        <v>SI</v>
      </c>
      <c r="Q902" s="23">
        <f t="shared" si="126"/>
        <v>0.79166666666666696</v>
      </c>
      <c r="R902" s="12">
        <f t="shared" si="126"/>
        <v>0.20833333333333301</v>
      </c>
    </row>
    <row r="903" spans="2:18">
      <c r="B903" t="str">
        <f t="shared" si="120"/>
        <v>OSCAR GERARDO ASTURIAS RUIZ46297</v>
      </c>
      <c r="C903" t="s">
        <v>230</v>
      </c>
      <c r="D903" s="121">
        <v>46297</v>
      </c>
      <c r="E903" t="s">
        <v>95</v>
      </c>
      <c r="F903" t="s">
        <v>36</v>
      </c>
      <c r="G903" s="122">
        <v>0.79166666666666696</v>
      </c>
      <c r="H903" s="122">
        <v>0.20833333333333301</v>
      </c>
      <c r="I903" s="112">
        <v>0</v>
      </c>
      <c r="J903" s="112">
        <v>0</v>
      </c>
      <c r="K903" s="23">
        <f t="shared" si="121"/>
        <v>0.79166666666666696</v>
      </c>
      <c r="L903" s="23">
        <f t="shared" si="122"/>
        <v>0</v>
      </c>
      <c r="M903" s="12">
        <f t="shared" si="127"/>
        <v>0.79166666666666696</v>
      </c>
      <c r="N903" s="23">
        <f t="shared" si="123"/>
        <v>0.20833333333333301</v>
      </c>
      <c r="O903" s="41">
        <f t="shared" si="124"/>
        <v>0</v>
      </c>
      <c r="P903" s="13" t="str">
        <f t="shared" si="125"/>
        <v>SI</v>
      </c>
      <c r="Q903" s="23">
        <f t="shared" si="126"/>
        <v>0.79166666666666696</v>
      </c>
      <c r="R903" s="12">
        <f t="shared" si="126"/>
        <v>0.20833333333333301</v>
      </c>
    </row>
    <row r="904" spans="2:18">
      <c r="B904" t="str">
        <f t="shared" si="120"/>
        <v>OSCAR GERARDO ASTURIAS RUIZ46298</v>
      </c>
      <c r="C904" t="s">
        <v>230</v>
      </c>
      <c r="D904" s="121">
        <v>46298</v>
      </c>
      <c r="E904" t="s">
        <v>96</v>
      </c>
      <c r="F904" t="s">
        <v>72</v>
      </c>
      <c r="G904" s="122">
        <v>0</v>
      </c>
      <c r="H904" s="122">
        <v>0</v>
      </c>
      <c r="I904" s="112">
        <v>0</v>
      </c>
      <c r="J904" s="112">
        <v>0</v>
      </c>
      <c r="K904" s="23">
        <f t="shared" si="121"/>
        <v>0</v>
      </c>
      <c r="L904" s="23">
        <f t="shared" si="122"/>
        <v>0</v>
      </c>
      <c r="M904" s="12">
        <f t="shared" si="127"/>
        <v>0</v>
      </c>
      <c r="N904" s="23">
        <f t="shared" si="123"/>
        <v>0</v>
      </c>
      <c r="O904" s="41">
        <f t="shared" si="124"/>
        <v>0</v>
      </c>
      <c r="P904" s="13" t="str">
        <f t="shared" si="125"/>
        <v>NO</v>
      </c>
      <c r="Q904" s="23">
        <f t="shared" si="126"/>
        <v>0</v>
      </c>
      <c r="R904" s="12">
        <f t="shared" si="126"/>
        <v>0</v>
      </c>
    </row>
    <row r="905" spans="2:18">
      <c r="B905" t="str">
        <f t="shared" si="120"/>
        <v>OSCAR GERARDO ASTURIAS RUIZ46299</v>
      </c>
      <c r="C905" t="s">
        <v>230</v>
      </c>
      <c r="D905" s="121">
        <v>46299</v>
      </c>
      <c r="E905" t="s">
        <v>97</v>
      </c>
      <c r="F905" t="s">
        <v>72</v>
      </c>
      <c r="G905" s="122">
        <v>0</v>
      </c>
      <c r="H905" s="122">
        <v>0</v>
      </c>
      <c r="I905" s="112">
        <v>0</v>
      </c>
      <c r="J905" s="112">
        <v>0</v>
      </c>
      <c r="K905" s="23">
        <f t="shared" si="121"/>
        <v>0</v>
      </c>
      <c r="L905" s="23">
        <f t="shared" si="122"/>
        <v>0</v>
      </c>
      <c r="M905" s="12">
        <f t="shared" si="127"/>
        <v>0</v>
      </c>
      <c r="N905" s="23">
        <f t="shared" si="123"/>
        <v>0</v>
      </c>
      <c r="O905" s="41">
        <f t="shared" si="124"/>
        <v>0</v>
      </c>
      <c r="P905" s="13" t="str">
        <f t="shared" si="125"/>
        <v>NO</v>
      </c>
      <c r="Q905" s="23">
        <f t="shared" si="126"/>
        <v>0</v>
      </c>
      <c r="R905" s="12">
        <f t="shared" si="126"/>
        <v>0</v>
      </c>
    </row>
    <row r="906" spans="2:18">
      <c r="B906" t="str">
        <f t="shared" si="120"/>
        <v>RIXTUN MELGAR CARLOS LEONEL46279</v>
      </c>
      <c r="C906" t="s">
        <v>5</v>
      </c>
      <c r="D906" s="121">
        <v>46279</v>
      </c>
      <c r="E906" t="s">
        <v>98</v>
      </c>
      <c r="F906" t="s">
        <v>72</v>
      </c>
      <c r="G906" s="122">
        <v>0</v>
      </c>
      <c r="H906" s="122">
        <v>0</v>
      </c>
      <c r="I906" s="112">
        <v>0</v>
      </c>
      <c r="J906" s="112">
        <v>0</v>
      </c>
      <c r="K906" s="23">
        <f t="shared" si="121"/>
        <v>0</v>
      </c>
      <c r="L906" s="23">
        <f t="shared" si="122"/>
        <v>0</v>
      </c>
      <c r="M906" s="12">
        <f t="shared" si="127"/>
        <v>0</v>
      </c>
      <c r="N906" s="23">
        <f t="shared" si="123"/>
        <v>0</v>
      </c>
      <c r="O906" s="41">
        <f t="shared" si="124"/>
        <v>0</v>
      </c>
      <c r="P906" s="13" t="str">
        <f t="shared" si="125"/>
        <v>NO</v>
      </c>
      <c r="Q906" s="23">
        <f t="shared" si="126"/>
        <v>0</v>
      </c>
      <c r="R906" s="12">
        <f t="shared" si="126"/>
        <v>0</v>
      </c>
    </row>
    <row r="907" spans="2:18">
      <c r="B907" t="str">
        <f t="shared" si="120"/>
        <v>RIXTUN MELGAR CARLOS LEONEL46280</v>
      </c>
      <c r="C907" t="s">
        <v>5</v>
      </c>
      <c r="D907" s="121">
        <v>46280</v>
      </c>
      <c r="E907" t="s">
        <v>99</v>
      </c>
      <c r="F907" t="s">
        <v>35</v>
      </c>
      <c r="G907" s="122">
        <v>0.33333333333333298</v>
      </c>
      <c r="H907" s="122">
        <v>0.70833333333333304</v>
      </c>
      <c r="I907" s="112">
        <v>0</v>
      </c>
      <c r="J907" s="112">
        <v>0</v>
      </c>
      <c r="K907" s="23">
        <f t="shared" si="121"/>
        <v>0.33333333333333298</v>
      </c>
      <c r="L907" s="23">
        <f t="shared" si="122"/>
        <v>0</v>
      </c>
      <c r="M907" s="12">
        <f t="shared" si="127"/>
        <v>0.33333333333333298</v>
      </c>
      <c r="N907" s="23">
        <f t="shared" si="123"/>
        <v>0.70833333333333304</v>
      </c>
      <c r="O907" s="41">
        <f t="shared" si="124"/>
        <v>0</v>
      </c>
      <c r="P907" s="13" t="str">
        <f t="shared" si="125"/>
        <v>SI</v>
      </c>
      <c r="Q907" s="23">
        <f t="shared" si="126"/>
        <v>0.33333333333333298</v>
      </c>
      <c r="R907" s="12">
        <f t="shared" si="126"/>
        <v>0.70833333333333304</v>
      </c>
    </row>
    <row r="908" spans="2:18">
      <c r="B908" t="str">
        <f t="shared" ref="B908:B964" si="128">+C908&amp;D908</f>
        <v>RIXTUN MELGAR CARLOS LEONEL46281</v>
      </c>
      <c r="C908" t="s">
        <v>5</v>
      </c>
      <c r="D908" s="121">
        <v>46281</v>
      </c>
      <c r="E908" t="s">
        <v>100</v>
      </c>
      <c r="F908" t="s">
        <v>35</v>
      </c>
      <c r="G908" s="122">
        <v>0.22916666666666699</v>
      </c>
      <c r="H908" s="122">
        <v>0.6875</v>
      </c>
      <c r="I908" s="112">
        <v>0</v>
      </c>
      <c r="J908" s="112">
        <v>0</v>
      </c>
      <c r="K908" s="23">
        <f t="shared" ref="K908:K964" si="129">+IFERROR(G908,0)</f>
        <v>0.22916666666666699</v>
      </c>
      <c r="L908" s="23">
        <f t="shared" ref="L908:L964" si="130">+I908</f>
        <v>0</v>
      </c>
      <c r="M908" s="12">
        <f t="shared" si="127"/>
        <v>0.22916666666666699</v>
      </c>
      <c r="N908" s="23">
        <f t="shared" ref="N908:N964" si="131">+H908</f>
        <v>0.6875</v>
      </c>
      <c r="O908" s="41">
        <f t="shared" ref="O908:O964" si="132">+J908</f>
        <v>0</v>
      </c>
      <c r="P908" s="13" t="str">
        <f t="shared" ref="P908:P964" si="133">+IF(O908&lt;N908,"SI","NO")</f>
        <v>SI</v>
      </c>
      <c r="Q908" s="23">
        <f t="shared" ref="Q908:R964" si="134">+M908</f>
        <v>0.22916666666666699</v>
      </c>
      <c r="R908" s="12">
        <f t="shared" si="134"/>
        <v>0.6875</v>
      </c>
    </row>
    <row r="909" spans="2:18">
      <c r="B909" t="str">
        <f t="shared" si="128"/>
        <v>RIXTUN MELGAR CARLOS LEONEL46282</v>
      </c>
      <c r="C909" t="s">
        <v>5</v>
      </c>
      <c r="D909" s="121">
        <v>46282</v>
      </c>
      <c r="E909" t="s">
        <v>101</v>
      </c>
      <c r="F909" t="s">
        <v>35</v>
      </c>
      <c r="G909" s="122">
        <v>0.25</v>
      </c>
      <c r="H909" s="122">
        <v>0.70833333333333304</v>
      </c>
      <c r="I909" s="112">
        <v>0</v>
      </c>
      <c r="J909" s="112">
        <v>0</v>
      </c>
      <c r="K909" s="23">
        <f t="shared" si="129"/>
        <v>0.25</v>
      </c>
      <c r="L909" s="23">
        <f t="shared" si="130"/>
        <v>0</v>
      </c>
      <c r="M909" s="12">
        <f t="shared" ref="M909:M965" si="135">+IFERROR(MAX(K909:L909),0)</f>
        <v>0.25</v>
      </c>
      <c r="N909" s="23">
        <f t="shared" si="131"/>
        <v>0.70833333333333304</v>
      </c>
      <c r="O909" s="41">
        <f t="shared" si="132"/>
        <v>0</v>
      </c>
      <c r="P909" s="13" t="str">
        <f t="shared" si="133"/>
        <v>SI</v>
      </c>
      <c r="Q909" s="23">
        <f t="shared" si="134"/>
        <v>0.25</v>
      </c>
      <c r="R909" s="12">
        <f t="shared" si="134"/>
        <v>0.70833333333333304</v>
      </c>
    </row>
    <row r="910" spans="2:18">
      <c r="B910" t="str">
        <f t="shared" si="128"/>
        <v>RIXTUN MELGAR CARLOS LEONEL46283</v>
      </c>
      <c r="C910" t="s">
        <v>5</v>
      </c>
      <c r="D910" s="121">
        <v>46283</v>
      </c>
      <c r="E910" t="s">
        <v>95</v>
      </c>
      <c r="F910" t="s">
        <v>35</v>
      </c>
      <c r="G910" s="122">
        <v>0.25</v>
      </c>
      <c r="H910" s="122">
        <v>0.70833333333333304</v>
      </c>
      <c r="I910" s="112">
        <v>0</v>
      </c>
      <c r="J910" s="112">
        <v>0</v>
      </c>
      <c r="K910" s="23">
        <f t="shared" si="129"/>
        <v>0.25</v>
      </c>
      <c r="L910" s="23">
        <f t="shared" si="130"/>
        <v>0</v>
      </c>
      <c r="M910" s="12">
        <f t="shared" si="135"/>
        <v>0.25</v>
      </c>
      <c r="N910" s="23">
        <f t="shared" si="131"/>
        <v>0.70833333333333304</v>
      </c>
      <c r="O910" s="41">
        <f t="shared" si="132"/>
        <v>0</v>
      </c>
      <c r="P910" s="13" t="str">
        <f t="shared" si="133"/>
        <v>SI</v>
      </c>
      <c r="Q910" s="23">
        <f t="shared" si="134"/>
        <v>0.25</v>
      </c>
      <c r="R910" s="12">
        <f t="shared" si="134"/>
        <v>0.70833333333333304</v>
      </c>
    </row>
    <row r="911" spans="2:18">
      <c r="B911" t="str">
        <f t="shared" si="128"/>
        <v>RIXTUN MELGAR CARLOS LEONEL46284</v>
      </c>
      <c r="C911" t="s">
        <v>5</v>
      </c>
      <c r="D911" s="121">
        <v>46284</v>
      </c>
      <c r="E911" t="s">
        <v>96</v>
      </c>
      <c r="F911" t="s">
        <v>35</v>
      </c>
      <c r="G911" s="122">
        <v>0.25</v>
      </c>
      <c r="H911" s="122">
        <v>0.58333333333333304</v>
      </c>
      <c r="I911" s="112">
        <v>0</v>
      </c>
      <c r="J911" s="112">
        <v>0</v>
      </c>
      <c r="K911" s="23">
        <f t="shared" si="129"/>
        <v>0.25</v>
      </c>
      <c r="L911" s="23">
        <f t="shared" si="130"/>
        <v>0</v>
      </c>
      <c r="M911" s="12">
        <f t="shared" si="135"/>
        <v>0.25</v>
      </c>
      <c r="N911" s="23">
        <f t="shared" si="131"/>
        <v>0.58333333333333304</v>
      </c>
      <c r="O911" s="41">
        <f t="shared" si="132"/>
        <v>0</v>
      </c>
      <c r="P911" s="13" t="str">
        <f t="shared" si="133"/>
        <v>SI</v>
      </c>
      <c r="Q911" s="23">
        <f t="shared" si="134"/>
        <v>0.25</v>
      </c>
      <c r="R911" s="12">
        <f t="shared" si="134"/>
        <v>0.58333333333333304</v>
      </c>
    </row>
    <row r="912" spans="2:18">
      <c r="B912" t="str">
        <f t="shared" si="128"/>
        <v>RIXTUN MELGAR CARLOS LEONEL46285</v>
      </c>
      <c r="C912" t="s">
        <v>5</v>
      </c>
      <c r="D912" s="121">
        <v>46285</v>
      </c>
      <c r="E912" t="s">
        <v>97</v>
      </c>
      <c r="F912" t="s">
        <v>72</v>
      </c>
      <c r="G912" s="122">
        <v>0</v>
      </c>
      <c r="H912" s="122">
        <v>0</v>
      </c>
      <c r="I912" s="112">
        <v>0</v>
      </c>
      <c r="J912" s="112">
        <v>0</v>
      </c>
      <c r="K912" s="23">
        <f t="shared" si="129"/>
        <v>0</v>
      </c>
      <c r="L912" s="23">
        <f t="shared" si="130"/>
        <v>0</v>
      </c>
      <c r="M912" s="12">
        <f t="shared" si="135"/>
        <v>0</v>
      </c>
      <c r="N912" s="23">
        <f t="shared" si="131"/>
        <v>0</v>
      </c>
      <c r="O912" s="41">
        <f t="shared" si="132"/>
        <v>0</v>
      </c>
      <c r="P912" s="13" t="str">
        <f t="shared" si="133"/>
        <v>NO</v>
      </c>
      <c r="Q912" s="23">
        <f t="shared" si="134"/>
        <v>0</v>
      </c>
      <c r="R912" s="12">
        <f t="shared" si="134"/>
        <v>0</v>
      </c>
    </row>
    <row r="913" spans="2:18">
      <c r="B913" t="str">
        <f t="shared" si="128"/>
        <v>RIXTUN MELGAR CARLOS LEONEL46286</v>
      </c>
      <c r="C913" t="s">
        <v>5</v>
      </c>
      <c r="D913" s="121">
        <v>46286</v>
      </c>
      <c r="E913" t="s">
        <v>98</v>
      </c>
      <c r="F913" t="s">
        <v>36</v>
      </c>
      <c r="G913" s="122">
        <v>0.75</v>
      </c>
      <c r="H913" s="122">
        <v>0.16666666666666699</v>
      </c>
      <c r="I913" s="112">
        <v>0</v>
      </c>
      <c r="J913" s="112">
        <v>0</v>
      </c>
      <c r="K913" s="23">
        <f t="shared" si="129"/>
        <v>0.75</v>
      </c>
      <c r="L913" s="23">
        <f t="shared" si="130"/>
        <v>0</v>
      </c>
      <c r="M913" s="12">
        <f t="shared" si="135"/>
        <v>0.75</v>
      </c>
      <c r="N913" s="23">
        <f t="shared" si="131"/>
        <v>0.16666666666666699</v>
      </c>
      <c r="O913" s="41">
        <f t="shared" si="132"/>
        <v>0</v>
      </c>
      <c r="P913" s="13" t="str">
        <f t="shared" si="133"/>
        <v>SI</v>
      </c>
      <c r="Q913" s="23">
        <f t="shared" si="134"/>
        <v>0.75</v>
      </c>
      <c r="R913" s="12">
        <f t="shared" si="134"/>
        <v>0.16666666666666699</v>
      </c>
    </row>
    <row r="914" spans="2:18">
      <c r="B914" t="str">
        <f t="shared" si="128"/>
        <v>RIXTUN MELGAR CARLOS LEONEL46287</v>
      </c>
      <c r="C914" t="s">
        <v>5</v>
      </c>
      <c r="D914" s="121">
        <v>46287</v>
      </c>
      <c r="E914" t="s">
        <v>99</v>
      </c>
      <c r="F914" t="s">
        <v>36</v>
      </c>
      <c r="G914" s="122">
        <v>0.75</v>
      </c>
      <c r="H914" s="122">
        <v>0.16666666666666699</v>
      </c>
      <c r="I914" s="112">
        <v>0</v>
      </c>
      <c r="J914" s="112">
        <v>0</v>
      </c>
      <c r="K914" s="23">
        <f t="shared" si="129"/>
        <v>0.75</v>
      </c>
      <c r="L914" s="23">
        <f t="shared" si="130"/>
        <v>0</v>
      </c>
      <c r="M914" s="12">
        <f t="shared" si="135"/>
        <v>0.75</v>
      </c>
      <c r="N914" s="23">
        <f t="shared" si="131"/>
        <v>0.16666666666666699</v>
      </c>
      <c r="O914" s="41">
        <f t="shared" si="132"/>
        <v>0</v>
      </c>
      <c r="P914" s="13" t="str">
        <f t="shared" si="133"/>
        <v>SI</v>
      </c>
      <c r="Q914" s="23">
        <f t="shared" si="134"/>
        <v>0.75</v>
      </c>
      <c r="R914" s="12">
        <f t="shared" si="134"/>
        <v>0.16666666666666699</v>
      </c>
    </row>
    <row r="915" spans="2:18">
      <c r="B915" t="str">
        <f t="shared" si="128"/>
        <v>RIXTUN MELGAR CARLOS LEONEL46288</v>
      </c>
      <c r="C915" t="s">
        <v>5</v>
      </c>
      <c r="D915" s="121">
        <v>46288</v>
      </c>
      <c r="E915" t="s">
        <v>100</v>
      </c>
      <c r="F915" t="s">
        <v>36</v>
      </c>
      <c r="G915" s="122">
        <v>0.75</v>
      </c>
      <c r="H915" s="122">
        <v>0.16666666666666699</v>
      </c>
      <c r="I915" s="112">
        <v>0</v>
      </c>
      <c r="J915" s="112">
        <v>0</v>
      </c>
      <c r="K915" s="23">
        <f t="shared" si="129"/>
        <v>0.75</v>
      </c>
      <c r="L915" s="23">
        <f t="shared" si="130"/>
        <v>0</v>
      </c>
      <c r="M915" s="12">
        <f t="shared" si="135"/>
        <v>0.75</v>
      </c>
      <c r="N915" s="23">
        <f t="shared" si="131"/>
        <v>0.16666666666666699</v>
      </c>
      <c r="O915" s="41">
        <f t="shared" si="132"/>
        <v>0</v>
      </c>
      <c r="P915" s="13" t="str">
        <f t="shared" si="133"/>
        <v>SI</v>
      </c>
      <c r="Q915" s="23">
        <f t="shared" si="134"/>
        <v>0.75</v>
      </c>
      <c r="R915" s="12">
        <f t="shared" si="134"/>
        <v>0.16666666666666699</v>
      </c>
    </row>
    <row r="916" spans="2:18">
      <c r="B916" t="str">
        <f t="shared" si="128"/>
        <v>RIXTUN MELGAR CARLOS LEONEL46289</v>
      </c>
      <c r="C916" t="s">
        <v>5</v>
      </c>
      <c r="D916" s="121">
        <v>46289</v>
      </c>
      <c r="E916" t="s">
        <v>101</v>
      </c>
      <c r="F916" t="s">
        <v>36</v>
      </c>
      <c r="G916" s="122">
        <v>0.75</v>
      </c>
      <c r="H916" s="122">
        <v>0.16666666666666699</v>
      </c>
      <c r="I916" s="112">
        <v>0</v>
      </c>
      <c r="J916" s="112">
        <v>0</v>
      </c>
      <c r="K916" s="23">
        <f t="shared" si="129"/>
        <v>0.75</v>
      </c>
      <c r="L916" s="23">
        <f t="shared" si="130"/>
        <v>0</v>
      </c>
      <c r="M916" s="12">
        <f t="shared" si="135"/>
        <v>0.75</v>
      </c>
      <c r="N916" s="23">
        <f t="shared" si="131"/>
        <v>0.16666666666666699</v>
      </c>
      <c r="O916" s="41">
        <f t="shared" si="132"/>
        <v>0</v>
      </c>
      <c r="P916" s="13" t="str">
        <f t="shared" si="133"/>
        <v>SI</v>
      </c>
      <c r="Q916" s="23">
        <f t="shared" si="134"/>
        <v>0.75</v>
      </c>
      <c r="R916" s="12">
        <f t="shared" si="134"/>
        <v>0.16666666666666699</v>
      </c>
    </row>
    <row r="917" spans="2:18">
      <c r="B917" t="str">
        <f t="shared" si="128"/>
        <v>RIXTUN MELGAR CARLOS LEONEL46290</v>
      </c>
      <c r="C917" t="s">
        <v>5</v>
      </c>
      <c r="D917" s="121">
        <v>46290</v>
      </c>
      <c r="E917" t="s">
        <v>95</v>
      </c>
      <c r="F917" t="s">
        <v>36</v>
      </c>
      <c r="G917" s="122">
        <v>0.75</v>
      </c>
      <c r="H917" s="122">
        <v>0.16666666666666699</v>
      </c>
      <c r="I917" s="112">
        <v>0</v>
      </c>
      <c r="J917" s="112">
        <v>0</v>
      </c>
      <c r="K917" s="23">
        <f t="shared" si="129"/>
        <v>0.75</v>
      </c>
      <c r="L917" s="23">
        <f t="shared" si="130"/>
        <v>0</v>
      </c>
      <c r="M917" s="12">
        <f t="shared" si="135"/>
        <v>0.75</v>
      </c>
      <c r="N917" s="23">
        <f t="shared" si="131"/>
        <v>0.16666666666666699</v>
      </c>
      <c r="O917" s="41">
        <f t="shared" si="132"/>
        <v>0</v>
      </c>
      <c r="P917" s="13" t="str">
        <f t="shared" si="133"/>
        <v>SI</v>
      </c>
      <c r="Q917" s="23">
        <f t="shared" si="134"/>
        <v>0.75</v>
      </c>
      <c r="R917" s="12">
        <f t="shared" si="134"/>
        <v>0.16666666666666699</v>
      </c>
    </row>
    <row r="918" spans="2:18">
      <c r="B918" t="str">
        <f t="shared" si="128"/>
        <v>RIXTUN MELGAR CARLOS LEONEL46291</v>
      </c>
      <c r="C918" t="s">
        <v>5</v>
      </c>
      <c r="D918" s="121">
        <v>46291</v>
      </c>
      <c r="E918" t="s">
        <v>96</v>
      </c>
      <c r="F918" t="s">
        <v>72</v>
      </c>
      <c r="G918" s="122">
        <v>0</v>
      </c>
      <c r="H918" s="122">
        <v>0</v>
      </c>
      <c r="I918" s="112">
        <v>0</v>
      </c>
      <c r="J918" s="112">
        <v>0</v>
      </c>
      <c r="K918" s="23">
        <f t="shared" si="129"/>
        <v>0</v>
      </c>
      <c r="L918" s="23">
        <f t="shared" si="130"/>
        <v>0</v>
      </c>
      <c r="M918" s="12">
        <f t="shared" si="135"/>
        <v>0</v>
      </c>
      <c r="N918" s="23">
        <f t="shared" si="131"/>
        <v>0</v>
      </c>
      <c r="O918" s="41">
        <f t="shared" si="132"/>
        <v>0</v>
      </c>
      <c r="P918" s="13" t="str">
        <f t="shared" si="133"/>
        <v>NO</v>
      </c>
      <c r="Q918" s="23">
        <f t="shared" si="134"/>
        <v>0</v>
      </c>
      <c r="R918" s="12">
        <f t="shared" si="134"/>
        <v>0</v>
      </c>
    </row>
    <row r="919" spans="2:18">
      <c r="B919" t="str">
        <f t="shared" si="128"/>
        <v>RIXTUN MELGAR CARLOS LEONEL46292</v>
      </c>
      <c r="C919" t="s">
        <v>5</v>
      </c>
      <c r="D919" s="121">
        <v>46292</v>
      </c>
      <c r="E919" t="s">
        <v>97</v>
      </c>
      <c r="F919" t="s">
        <v>72</v>
      </c>
      <c r="G919" s="122">
        <v>0</v>
      </c>
      <c r="H919" s="122">
        <v>0</v>
      </c>
      <c r="I919" s="112">
        <v>0</v>
      </c>
      <c r="J919" s="112">
        <v>0</v>
      </c>
      <c r="K919" s="23">
        <f t="shared" si="129"/>
        <v>0</v>
      </c>
      <c r="L919" s="23">
        <f t="shared" si="130"/>
        <v>0</v>
      </c>
      <c r="M919" s="12">
        <f t="shared" si="135"/>
        <v>0</v>
      </c>
      <c r="N919" s="23">
        <f t="shared" si="131"/>
        <v>0</v>
      </c>
      <c r="O919" s="41">
        <f t="shared" si="132"/>
        <v>0</v>
      </c>
      <c r="P919" s="13" t="str">
        <f t="shared" si="133"/>
        <v>NO</v>
      </c>
      <c r="Q919" s="23">
        <f t="shared" si="134"/>
        <v>0</v>
      </c>
      <c r="R919" s="12">
        <f t="shared" si="134"/>
        <v>0</v>
      </c>
    </row>
    <row r="920" spans="2:18">
      <c r="B920" t="str">
        <f t="shared" si="128"/>
        <v>RIXTUN MELGAR CARLOS LEONEL46293</v>
      </c>
      <c r="C920" t="s">
        <v>5</v>
      </c>
      <c r="D920" s="121">
        <v>46293</v>
      </c>
      <c r="E920" t="s">
        <v>98</v>
      </c>
      <c r="F920" t="s">
        <v>35</v>
      </c>
      <c r="G920" s="122">
        <v>0.22916666666666699</v>
      </c>
      <c r="H920" s="122">
        <v>0.6875</v>
      </c>
      <c r="I920" s="112">
        <v>0</v>
      </c>
      <c r="J920" s="112">
        <v>0</v>
      </c>
      <c r="K920" s="23">
        <f t="shared" si="129"/>
        <v>0.22916666666666699</v>
      </c>
      <c r="L920" s="23">
        <f t="shared" si="130"/>
        <v>0</v>
      </c>
      <c r="M920" s="12">
        <f t="shared" si="135"/>
        <v>0.22916666666666699</v>
      </c>
      <c r="N920" s="23">
        <f t="shared" si="131"/>
        <v>0.6875</v>
      </c>
      <c r="O920" s="41">
        <f t="shared" si="132"/>
        <v>0</v>
      </c>
      <c r="P920" s="13" t="str">
        <f t="shared" si="133"/>
        <v>SI</v>
      </c>
      <c r="Q920" s="23">
        <f t="shared" si="134"/>
        <v>0.22916666666666699</v>
      </c>
      <c r="R920" s="12">
        <f t="shared" si="134"/>
        <v>0.6875</v>
      </c>
    </row>
    <row r="921" spans="2:18">
      <c r="B921" t="str">
        <f t="shared" si="128"/>
        <v>RIXTUN MELGAR CARLOS LEONEL46294</v>
      </c>
      <c r="C921" t="s">
        <v>5</v>
      </c>
      <c r="D921" s="121">
        <v>46294</v>
      </c>
      <c r="E921" t="s">
        <v>99</v>
      </c>
      <c r="F921" t="s">
        <v>35</v>
      </c>
      <c r="G921" s="122">
        <v>0.25</v>
      </c>
      <c r="H921" s="122">
        <v>0.70833333333333304</v>
      </c>
      <c r="I921" s="112">
        <v>0</v>
      </c>
      <c r="J921" s="112">
        <v>0</v>
      </c>
      <c r="K921" s="23">
        <f t="shared" si="129"/>
        <v>0.25</v>
      </c>
      <c r="L921" s="23">
        <f t="shared" si="130"/>
        <v>0</v>
      </c>
      <c r="M921" s="12">
        <f t="shared" si="135"/>
        <v>0.25</v>
      </c>
      <c r="N921" s="23">
        <f t="shared" si="131"/>
        <v>0.70833333333333304</v>
      </c>
      <c r="O921" s="41">
        <f t="shared" si="132"/>
        <v>0</v>
      </c>
      <c r="P921" s="13" t="str">
        <f t="shared" si="133"/>
        <v>SI</v>
      </c>
      <c r="Q921" s="23">
        <f t="shared" si="134"/>
        <v>0.25</v>
      </c>
      <c r="R921" s="12">
        <f t="shared" si="134"/>
        <v>0.70833333333333304</v>
      </c>
    </row>
    <row r="922" spans="2:18">
      <c r="B922" t="str">
        <f t="shared" si="128"/>
        <v>RIXTUN MELGAR CARLOS LEONEL46295</v>
      </c>
      <c r="C922" t="s">
        <v>5</v>
      </c>
      <c r="D922" s="121">
        <v>46295</v>
      </c>
      <c r="E922" t="s">
        <v>100</v>
      </c>
      <c r="F922" t="s">
        <v>35</v>
      </c>
      <c r="G922" s="122">
        <v>0.25</v>
      </c>
      <c r="H922" s="122">
        <v>0.70833333333333304</v>
      </c>
      <c r="I922" s="112">
        <v>0</v>
      </c>
      <c r="J922" s="112">
        <v>0</v>
      </c>
      <c r="K922" s="23">
        <f t="shared" si="129"/>
        <v>0.25</v>
      </c>
      <c r="L922" s="23">
        <f t="shared" si="130"/>
        <v>0</v>
      </c>
      <c r="M922" s="12">
        <f t="shared" si="135"/>
        <v>0.25</v>
      </c>
      <c r="N922" s="23">
        <f t="shared" si="131"/>
        <v>0.70833333333333304</v>
      </c>
      <c r="O922" s="41">
        <f t="shared" si="132"/>
        <v>0</v>
      </c>
      <c r="P922" s="13" t="str">
        <f t="shared" si="133"/>
        <v>SI</v>
      </c>
      <c r="Q922" s="23">
        <f t="shared" si="134"/>
        <v>0.25</v>
      </c>
      <c r="R922" s="12">
        <f t="shared" si="134"/>
        <v>0.70833333333333304</v>
      </c>
    </row>
    <row r="923" spans="2:18">
      <c r="B923" t="str">
        <f t="shared" si="128"/>
        <v>RIXTUN MELGAR CARLOS LEONEL46296</v>
      </c>
      <c r="C923" t="s">
        <v>5</v>
      </c>
      <c r="D923" s="121">
        <v>46296</v>
      </c>
      <c r="E923" t="s">
        <v>101</v>
      </c>
      <c r="F923" t="s">
        <v>35</v>
      </c>
      <c r="G923" s="122">
        <v>0.25</v>
      </c>
      <c r="H923" s="122">
        <v>0.70833333333333304</v>
      </c>
      <c r="I923" s="112">
        <v>0</v>
      </c>
      <c r="J923" s="112">
        <v>0</v>
      </c>
      <c r="K923" s="23">
        <f t="shared" si="129"/>
        <v>0.25</v>
      </c>
      <c r="L923" s="23">
        <f t="shared" si="130"/>
        <v>0</v>
      </c>
      <c r="M923" s="12">
        <f t="shared" si="135"/>
        <v>0.25</v>
      </c>
      <c r="N923" s="23">
        <f t="shared" si="131"/>
        <v>0.70833333333333304</v>
      </c>
      <c r="O923" s="41">
        <f t="shared" si="132"/>
        <v>0</v>
      </c>
      <c r="P923" s="13" t="str">
        <f t="shared" si="133"/>
        <v>SI</v>
      </c>
      <c r="Q923" s="23">
        <f t="shared" si="134"/>
        <v>0.25</v>
      </c>
      <c r="R923" s="12">
        <f t="shared" si="134"/>
        <v>0.70833333333333304</v>
      </c>
    </row>
    <row r="924" spans="2:18">
      <c r="B924" t="str">
        <f t="shared" si="128"/>
        <v>RIXTUN MELGAR CARLOS LEONEL46297</v>
      </c>
      <c r="C924" t="s">
        <v>5</v>
      </c>
      <c r="D924" s="121">
        <v>46297</v>
      </c>
      <c r="E924" t="s">
        <v>95</v>
      </c>
      <c r="F924" t="s">
        <v>35</v>
      </c>
      <c r="G924" s="122">
        <v>0.25</v>
      </c>
      <c r="H924" s="122">
        <v>0.70833333333333304</v>
      </c>
      <c r="I924" s="112">
        <v>0</v>
      </c>
      <c r="J924" s="112">
        <v>0</v>
      </c>
      <c r="K924" s="23">
        <f t="shared" si="129"/>
        <v>0.25</v>
      </c>
      <c r="L924" s="23">
        <f t="shared" si="130"/>
        <v>0</v>
      </c>
      <c r="M924" s="12">
        <f t="shared" si="135"/>
        <v>0.25</v>
      </c>
      <c r="N924" s="23">
        <f t="shared" si="131"/>
        <v>0.70833333333333304</v>
      </c>
      <c r="O924" s="41">
        <f t="shared" si="132"/>
        <v>0</v>
      </c>
      <c r="P924" s="13" t="str">
        <f t="shared" si="133"/>
        <v>SI</v>
      </c>
      <c r="Q924" s="23">
        <f t="shared" si="134"/>
        <v>0.25</v>
      </c>
      <c r="R924" s="12">
        <f t="shared" si="134"/>
        <v>0.70833333333333304</v>
      </c>
    </row>
    <row r="925" spans="2:18">
      <c r="B925" t="str">
        <f t="shared" si="128"/>
        <v>RIXTUN MELGAR CARLOS LEONEL46298</v>
      </c>
      <c r="C925" t="s">
        <v>5</v>
      </c>
      <c r="D925" s="121">
        <v>46298</v>
      </c>
      <c r="E925" t="s">
        <v>96</v>
      </c>
      <c r="F925" t="s">
        <v>35</v>
      </c>
      <c r="G925" s="122">
        <v>0.25</v>
      </c>
      <c r="H925" s="122">
        <v>0.54166666666666696</v>
      </c>
      <c r="I925" s="112">
        <v>0</v>
      </c>
      <c r="J925" s="112">
        <v>0</v>
      </c>
      <c r="K925" s="23">
        <f t="shared" si="129"/>
        <v>0.25</v>
      </c>
      <c r="L925" s="23">
        <f t="shared" si="130"/>
        <v>0</v>
      </c>
      <c r="M925" s="12">
        <f t="shared" si="135"/>
        <v>0.25</v>
      </c>
      <c r="N925" s="23">
        <f t="shared" si="131"/>
        <v>0.54166666666666696</v>
      </c>
      <c r="O925" s="41">
        <f t="shared" si="132"/>
        <v>0</v>
      </c>
      <c r="P925" s="13" t="str">
        <f t="shared" si="133"/>
        <v>SI</v>
      </c>
      <c r="Q925" s="23">
        <f t="shared" si="134"/>
        <v>0.25</v>
      </c>
      <c r="R925" s="12">
        <f t="shared" si="134"/>
        <v>0.54166666666666696</v>
      </c>
    </row>
    <row r="926" spans="2:18">
      <c r="B926" t="str">
        <f t="shared" si="128"/>
        <v>RIXTUN MELGAR CARLOS LEONEL46299</v>
      </c>
      <c r="C926" t="s">
        <v>5</v>
      </c>
      <c r="D926" s="121">
        <v>46299</v>
      </c>
      <c r="E926" t="s">
        <v>97</v>
      </c>
      <c r="F926" t="s">
        <v>72</v>
      </c>
      <c r="G926" s="122">
        <v>0</v>
      </c>
      <c r="H926" s="122">
        <v>0</v>
      </c>
      <c r="I926" s="112">
        <v>0</v>
      </c>
      <c r="J926" s="112">
        <v>0</v>
      </c>
      <c r="K926" s="23">
        <f t="shared" si="129"/>
        <v>0</v>
      </c>
      <c r="L926" s="23">
        <f t="shared" si="130"/>
        <v>0</v>
      </c>
      <c r="M926" s="12">
        <f t="shared" si="135"/>
        <v>0</v>
      </c>
      <c r="N926" s="23">
        <f t="shared" si="131"/>
        <v>0</v>
      </c>
      <c r="O926" s="41">
        <f t="shared" si="132"/>
        <v>0</v>
      </c>
      <c r="P926" s="13" t="str">
        <f t="shared" si="133"/>
        <v>NO</v>
      </c>
      <c r="Q926" s="23">
        <f t="shared" si="134"/>
        <v>0</v>
      </c>
      <c r="R926" s="12">
        <f t="shared" si="134"/>
        <v>0</v>
      </c>
    </row>
    <row r="927" spans="2:18">
      <c r="B927" t="str">
        <f t="shared" si="128"/>
        <v>ROGER EVENOR ALONZO DIAZ46279</v>
      </c>
      <c r="C927" t="s">
        <v>256</v>
      </c>
      <c r="D927" s="121">
        <v>46279</v>
      </c>
      <c r="E927" t="s">
        <v>98</v>
      </c>
      <c r="F927" t="s">
        <v>35</v>
      </c>
      <c r="G927" s="122">
        <v>0.29166666666666702</v>
      </c>
      <c r="H927" s="122">
        <v>0.66666666666666696</v>
      </c>
      <c r="I927" s="112">
        <v>0</v>
      </c>
      <c r="J927" s="112">
        <v>0</v>
      </c>
      <c r="K927" s="23">
        <f t="shared" si="129"/>
        <v>0.29166666666666702</v>
      </c>
      <c r="L927" s="23">
        <f t="shared" si="130"/>
        <v>0</v>
      </c>
      <c r="M927" s="12">
        <f t="shared" si="135"/>
        <v>0.29166666666666702</v>
      </c>
      <c r="N927" s="23">
        <f t="shared" si="131"/>
        <v>0.66666666666666696</v>
      </c>
      <c r="O927" s="41">
        <f t="shared" si="132"/>
        <v>0</v>
      </c>
      <c r="P927" s="13" t="str">
        <f t="shared" si="133"/>
        <v>SI</v>
      </c>
      <c r="Q927" s="23">
        <f t="shared" si="134"/>
        <v>0.29166666666666702</v>
      </c>
      <c r="R927" s="12">
        <f t="shared" si="134"/>
        <v>0.66666666666666696</v>
      </c>
    </row>
    <row r="928" spans="2:18">
      <c r="B928" t="str">
        <f t="shared" si="128"/>
        <v>ROGER EVENOR ALONZO DIAZ46280</v>
      </c>
      <c r="C928" t="s">
        <v>256</v>
      </c>
      <c r="D928" s="121">
        <v>46280</v>
      </c>
      <c r="E928" t="s">
        <v>99</v>
      </c>
      <c r="F928" t="s">
        <v>35</v>
      </c>
      <c r="G928" s="122">
        <v>0.29166666666666702</v>
      </c>
      <c r="H928" s="122">
        <v>0.66666666666666696</v>
      </c>
      <c r="I928" s="112">
        <v>0</v>
      </c>
      <c r="J928" s="112">
        <v>0</v>
      </c>
      <c r="K928" s="23">
        <f t="shared" si="129"/>
        <v>0.29166666666666702</v>
      </c>
      <c r="L928" s="23">
        <f t="shared" si="130"/>
        <v>0</v>
      </c>
      <c r="M928" s="12">
        <f t="shared" si="135"/>
        <v>0.29166666666666702</v>
      </c>
      <c r="N928" s="23">
        <f t="shared" si="131"/>
        <v>0.66666666666666696</v>
      </c>
      <c r="O928" s="41">
        <f t="shared" si="132"/>
        <v>0</v>
      </c>
      <c r="P928" s="13" t="str">
        <f t="shared" si="133"/>
        <v>SI</v>
      </c>
      <c r="Q928" s="23">
        <f t="shared" si="134"/>
        <v>0.29166666666666702</v>
      </c>
      <c r="R928" s="12">
        <f t="shared" si="134"/>
        <v>0.66666666666666696</v>
      </c>
    </row>
    <row r="929" spans="2:18">
      <c r="B929" t="str">
        <f t="shared" si="128"/>
        <v>ROGER EVENOR ALONZO DIAZ46281</v>
      </c>
      <c r="C929" t="s">
        <v>256</v>
      </c>
      <c r="D929" s="121">
        <v>46281</v>
      </c>
      <c r="E929" t="s">
        <v>100</v>
      </c>
      <c r="F929" t="s">
        <v>35</v>
      </c>
      <c r="G929" s="122">
        <v>0.29166666666666702</v>
      </c>
      <c r="H929" s="122">
        <v>0.66666666666666696</v>
      </c>
      <c r="I929" s="112">
        <v>0</v>
      </c>
      <c r="J929" s="112">
        <v>0</v>
      </c>
      <c r="K929" s="23">
        <f t="shared" si="129"/>
        <v>0.29166666666666702</v>
      </c>
      <c r="L929" s="23">
        <f t="shared" si="130"/>
        <v>0</v>
      </c>
      <c r="M929" s="12">
        <f t="shared" si="135"/>
        <v>0.29166666666666702</v>
      </c>
      <c r="N929" s="23">
        <f t="shared" si="131"/>
        <v>0.66666666666666696</v>
      </c>
      <c r="O929" s="41">
        <f t="shared" si="132"/>
        <v>0</v>
      </c>
      <c r="P929" s="13" t="str">
        <f t="shared" si="133"/>
        <v>SI</v>
      </c>
      <c r="Q929" s="23">
        <f t="shared" si="134"/>
        <v>0.29166666666666702</v>
      </c>
      <c r="R929" s="12">
        <f t="shared" si="134"/>
        <v>0.66666666666666696</v>
      </c>
    </row>
    <row r="930" spans="2:18">
      <c r="B930" t="str">
        <f t="shared" si="128"/>
        <v>ROGER EVENOR ALONZO DIAZ46282</v>
      </c>
      <c r="C930" t="s">
        <v>256</v>
      </c>
      <c r="D930" s="121">
        <v>46282</v>
      </c>
      <c r="E930" t="s">
        <v>101</v>
      </c>
      <c r="F930" t="s">
        <v>35</v>
      </c>
      <c r="G930" s="122">
        <v>0.29166666666666702</v>
      </c>
      <c r="H930" s="122">
        <v>0.66666666666666696</v>
      </c>
      <c r="I930" s="112">
        <v>0</v>
      </c>
      <c r="J930" s="112">
        <v>0</v>
      </c>
      <c r="K930" s="23">
        <f t="shared" si="129"/>
        <v>0.29166666666666702</v>
      </c>
      <c r="L930" s="23">
        <f t="shared" si="130"/>
        <v>0</v>
      </c>
      <c r="M930" s="12">
        <f t="shared" si="135"/>
        <v>0.29166666666666702</v>
      </c>
      <c r="N930" s="23">
        <f t="shared" si="131"/>
        <v>0.66666666666666696</v>
      </c>
      <c r="O930" s="41">
        <f t="shared" si="132"/>
        <v>0</v>
      </c>
      <c r="P930" s="13" t="str">
        <f t="shared" si="133"/>
        <v>SI</v>
      </c>
      <c r="Q930" s="23">
        <f t="shared" si="134"/>
        <v>0.29166666666666702</v>
      </c>
      <c r="R930" s="12">
        <f t="shared" si="134"/>
        <v>0.66666666666666696</v>
      </c>
    </row>
    <row r="931" spans="2:18">
      <c r="B931" t="str">
        <f t="shared" si="128"/>
        <v>ROGER EVENOR ALONZO DIAZ46283</v>
      </c>
      <c r="C931" t="s">
        <v>256</v>
      </c>
      <c r="D931" s="121">
        <v>46283</v>
      </c>
      <c r="E931" t="s">
        <v>95</v>
      </c>
      <c r="F931" t="s">
        <v>35</v>
      </c>
      <c r="G931" s="122">
        <v>0.29166666666666702</v>
      </c>
      <c r="H931" s="122">
        <v>0.66666666666666696</v>
      </c>
      <c r="I931" s="112">
        <v>0</v>
      </c>
      <c r="J931" s="112">
        <v>0</v>
      </c>
      <c r="K931" s="23">
        <f t="shared" si="129"/>
        <v>0.29166666666666702</v>
      </c>
      <c r="L931" s="23">
        <f t="shared" si="130"/>
        <v>0</v>
      </c>
      <c r="M931" s="12">
        <f t="shared" si="135"/>
        <v>0.29166666666666702</v>
      </c>
      <c r="N931" s="23">
        <f t="shared" si="131"/>
        <v>0.66666666666666696</v>
      </c>
      <c r="O931" s="41">
        <f t="shared" si="132"/>
        <v>0</v>
      </c>
      <c r="P931" s="13" t="str">
        <f t="shared" si="133"/>
        <v>SI</v>
      </c>
      <c r="Q931" s="23">
        <f t="shared" si="134"/>
        <v>0.29166666666666702</v>
      </c>
      <c r="R931" s="12">
        <f t="shared" si="134"/>
        <v>0.66666666666666696</v>
      </c>
    </row>
    <row r="932" spans="2:18">
      <c r="B932" t="str">
        <f t="shared" si="128"/>
        <v>ROGER EVENOR ALONZO DIAZ46284</v>
      </c>
      <c r="C932" t="s">
        <v>256</v>
      </c>
      <c r="D932" s="121">
        <v>46284</v>
      </c>
      <c r="E932" t="s">
        <v>96</v>
      </c>
      <c r="F932" t="s">
        <v>36</v>
      </c>
      <c r="G932" s="122">
        <v>0.29166666666666702</v>
      </c>
      <c r="H932" s="122">
        <v>0.45833333333333298</v>
      </c>
      <c r="I932" s="112">
        <v>0</v>
      </c>
      <c r="J932" s="112">
        <v>0</v>
      </c>
      <c r="K932" s="23">
        <f t="shared" si="129"/>
        <v>0.29166666666666702</v>
      </c>
      <c r="L932" s="23">
        <f t="shared" si="130"/>
        <v>0</v>
      </c>
      <c r="M932" s="12">
        <f t="shared" si="135"/>
        <v>0.29166666666666702</v>
      </c>
      <c r="N932" s="23">
        <f t="shared" si="131"/>
        <v>0.45833333333333298</v>
      </c>
      <c r="O932" s="41">
        <f t="shared" si="132"/>
        <v>0</v>
      </c>
      <c r="P932" s="13" t="str">
        <f t="shared" si="133"/>
        <v>SI</v>
      </c>
      <c r="Q932" s="23">
        <f t="shared" si="134"/>
        <v>0.29166666666666702</v>
      </c>
      <c r="R932" s="12">
        <f t="shared" si="134"/>
        <v>0.45833333333333298</v>
      </c>
    </row>
    <row r="933" spans="2:18">
      <c r="B933" t="str">
        <f t="shared" si="128"/>
        <v>ROGER EVENOR ALONZO DIAZ46285</v>
      </c>
      <c r="C933" t="s">
        <v>256</v>
      </c>
      <c r="D933" s="121">
        <v>46285</v>
      </c>
      <c r="E933" t="s">
        <v>97</v>
      </c>
      <c r="F933" t="s">
        <v>72</v>
      </c>
      <c r="G933" s="122">
        <v>0</v>
      </c>
      <c r="H933" s="122">
        <v>0</v>
      </c>
      <c r="I933" s="112">
        <v>0</v>
      </c>
      <c r="J933" s="112">
        <v>0</v>
      </c>
      <c r="K933" s="23">
        <f t="shared" si="129"/>
        <v>0</v>
      </c>
      <c r="L933" s="23">
        <f t="shared" si="130"/>
        <v>0</v>
      </c>
      <c r="M933" s="12">
        <f t="shared" si="135"/>
        <v>0</v>
      </c>
      <c r="N933" s="23">
        <f t="shared" si="131"/>
        <v>0</v>
      </c>
      <c r="O933" s="41">
        <f t="shared" si="132"/>
        <v>0</v>
      </c>
      <c r="P933" s="13" t="str">
        <f t="shared" si="133"/>
        <v>NO</v>
      </c>
      <c r="Q933" s="23">
        <f t="shared" si="134"/>
        <v>0</v>
      </c>
      <c r="R933" s="12">
        <f t="shared" si="134"/>
        <v>0</v>
      </c>
    </row>
    <row r="934" spans="2:18">
      <c r="B934" t="str">
        <f t="shared" si="128"/>
        <v>ROGER EVENOR ALONZO DIAZ46286</v>
      </c>
      <c r="C934" t="s">
        <v>256</v>
      </c>
      <c r="D934" s="121">
        <v>46286</v>
      </c>
      <c r="E934" t="s">
        <v>98</v>
      </c>
      <c r="F934" t="s">
        <v>35</v>
      </c>
      <c r="G934" s="122">
        <v>0.29166666666666702</v>
      </c>
      <c r="H934" s="122">
        <v>0.66666666666666696</v>
      </c>
      <c r="I934" s="112">
        <v>0</v>
      </c>
      <c r="J934" s="112">
        <v>0</v>
      </c>
      <c r="K934" s="23">
        <f t="shared" si="129"/>
        <v>0.29166666666666702</v>
      </c>
      <c r="L934" s="23">
        <f t="shared" si="130"/>
        <v>0</v>
      </c>
      <c r="M934" s="12">
        <f t="shared" si="135"/>
        <v>0.29166666666666702</v>
      </c>
      <c r="N934" s="23">
        <f t="shared" si="131"/>
        <v>0.66666666666666696</v>
      </c>
      <c r="O934" s="41">
        <f t="shared" si="132"/>
        <v>0</v>
      </c>
      <c r="P934" s="13" t="str">
        <f t="shared" si="133"/>
        <v>SI</v>
      </c>
      <c r="Q934" s="23">
        <f t="shared" si="134"/>
        <v>0.29166666666666702</v>
      </c>
      <c r="R934" s="12">
        <f t="shared" si="134"/>
        <v>0.66666666666666696</v>
      </c>
    </row>
    <row r="935" spans="2:18">
      <c r="B935" t="str">
        <f t="shared" si="128"/>
        <v>ROGER EVENOR ALONZO DIAZ46287</v>
      </c>
      <c r="C935" t="s">
        <v>256</v>
      </c>
      <c r="D935" s="121">
        <v>46287</v>
      </c>
      <c r="E935" t="s">
        <v>99</v>
      </c>
      <c r="F935" t="s">
        <v>35</v>
      </c>
      <c r="G935" s="122">
        <v>0.29166666666666702</v>
      </c>
      <c r="H935" s="122">
        <v>0.66666666666666696</v>
      </c>
      <c r="I935" s="112">
        <v>0</v>
      </c>
      <c r="J935" s="112">
        <v>0</v>
      </c>
      <c r="K935" s="23">
        <f t="shared" si="129"/>
        <v>0.29166666666666702</v>
      </c>
      <c r="L935" s="23">
        <f t="shared" si="130"/>
        <v>0</v>
      </c>
      <c r="M935" s="12">
        <f t="shared" si="135"/>
        <v>0.29166666666666702</v>
      </c>
      <c r="N935" s="23">
        <f t="shared" si="131"/>
        <v>0.66666666666666696</v>
      </c>
      <c r="O935" s="41">
        <f t="shared" si="132"/>
        <v>0</v>
      </c>
      <c r="P935" s="13" t="str">
        <f t="shared" si="133"/>
        <v>SI</v>
      </c>
      <c r="Q935" s="23">
        <f t="shared" si="134"/>
        <v>0.29166666666666702</v>
      </c>
      <c r="R935" s="12">
        <f t="shared" si="134"/>
        <v>0.66666666666666696</v>
      </c>
    </row>
    <row r="936" spans="2:18">
      <c r="B936" t="str">
        <f t="shared" si="128"/>
        <v>ROGER EVENOR ALONZO DIAZ46288</v>
      </c>
      <c r="C936" t="s">
        <v>256</v>
      </c>
      <c r="D936" s="121">
        <v>46288</v>
      </c>
      <c r="E936" t="s">
        <v>100</v>
      </c>
      <c r="F936" t="s">
        <v>35</v>
      </c>
      <c r="G936" s="122">
        <v>0.29166666666666702</v>
      </c>
      <c r="H936" s="122">
        <v>0.66666666666666696</v>
      </c>
      <c r="I936" s="112">
        <v>0</v>
      </c>
      <c r="J936" s="112">
        <v>0</v>
      </c>
      <c r="K936" s="23">
        <f t="shared" si="129"/>
        <v>0.29166666666666702</v>
      </c>
      <c r="L936" s="23">
        <f t="shared" si="130"/>
        <v>0</v>
      </c>
      <c r="M936" s="12">
        <f t="shared" si="135"/>
        <v>0.29166666666666702</v>
      </c>
      <c r="N936" s="23">
        <f t="shared" si="131"/>
        <v>0.66666666666666696</v>
      </c>
      <c r="O936" s="41">
        <f t="shared" si="132"/>
        <v>0</v>
      </c>
      <c r="P936" s="13" t="str">
        <f t="shared" si="133"/>
        <v>SI</v>
      </c>
      <c r="Q936" s="23">
        <f t="shared" si="134"/>
        <v>0.29166666666666702</v>
      </c>
      <c r="R936" s="12">
        <f t="shared" si="134"/>
        <v>0.66666666666666696</v>
      </c>
    </row>
    <row r="937" spans="2:18">
      <c r="B937" t="str">
        <f t="shared" si="128"/>
        <v>ROGER EVENOR ALONZO DIAZ46289</v>
      </c>
      <c r="C937" t="s">
        <v>256</v>
      </c>
      <c r="D937" s="121">
        <v>46289</v>
      </c>
      <c r="E937" t="s">
        <v>101</v>
      </c>
      <c r="F937" t="s">
        <v>35</v>
      </c>
      <c r="G937" s="122">
        <v>0.29166666666666702</v>
      </c>
      <c r="H937" s="122">
        <v>0.66666666666666696</v>
      </c>
      <c r="I937" s="112">
        <v>0</v>
      </c>
      <c r="J937" s="112">
        <v>0</v>
      </c>
      <c r="K937" s="23">
        <f t="shared" si="129"/>
        <v>0.29166666666666702</v>
      </c>
      <c r="L937" s="23">
        <f t="shared" si="130"/>
        <v>0</v>
      </c>
      <c r="M937" s="12">
        <f t="shared" si="135"/>
        <v>0.29166666666666702</v>
      </c>
      <c r="N937" s="23">
        <f t="shared" si="131"/>
        <v>0.66666666666666696</v>
      </c>
      <c r="O937" s="41">
        <f t="shared" si="132"/>
        <v>0</v>
      </c>
      <c r="P937" s="13" t="str">
        <f t="shared" si="133"/>
        <v>SI</v>
      </c>
      <c r="Q937" s="23">
        <f t="shared" si="134"/>
        <v>0.29166666666666702</v>
      </c>
      <c r="R937" s="12">
        <f t="shared" si="134"/>
        <v>0.66666666666666696</v>
      </c>
    </row>
    <row r="938" spans="2:18">
      <c r="B938" t="str">
        <f t="shared" si="128"/>
        <v>ROGER EVENOR ALONZO DIAZ46290</v>
      </c>
      <c r="C938" t="s">
        <v>256</v>
      </c>
      <c r="D938" s="121">
        <v>46290</v>
      </c>
      <c r="E938" t="s">
        <v>95</v>
      </c>
      <c r="F938" t="s">
        <v>35</v>
      </c>
      <c r="G938" s="122">
        <v>0.29166666666666702</v>
      </c>
      <c r="H938" s="122">
        <v>0.66666666666666696</v>
      </c>
      <c r="I938" s="112">
        <v>0</v>
      </c>
      <c r="J938" s="112">
        <v>0</v>
      </c>
      <c r="K938" s="23">
        <f t="shared" si="129"/>
        <v>0.29166666666666702</v>
      </c>
      <c r="L938" s="23">
        <f t="shared" si="130"/>
        <v>0</v>
      </c>
      <c r="M938" s="12">
        <f t="shared" si="135"/>
        <v>0.29166666666666702</v>
      </c>
      <c r="N938" s="23">
        <f t="shared" si="131"/>
        <v>0.66666666666666696</v>
      </c>
      <c r="O938" s="41">
        <f t="shared" si="132"/>
        <v>0</v>
      </c>
      <c r="P938" s="13" t="str">
        <f t="shared" si="133"/>
        <v>SI</v>
      </c>
      <c r="Q938" s="23">
        <f t="shared" si="134"/>
        <v>0.29166666666666702</v>
      </c>
      <c r="R938" s="12">
        <f t="shared" si="134"/>
        <v>0.66666666666666696</v>
      </c>
    </row>
    <row r="939" spans="2:18">
      <c r="B939" t="str">
        <f t="shared" si="128"/>
        <v>ROGER EVENOR ALONZO DIAZ46291</v>
      </c>
      <c r="C939" t="s">
        <v>256</v>
      </c>
      <c r="D939" s="121">
        <v>46291</v>
      </c>
      <c r="E939" t="s">
        <v>96</v>
      </c>
      <c r="F939" t="s">
        <v>36</v>
      </c>
      <c r="G939" s="122">
        <v>0.29166666666666702</v>
      </c>
      <c r="H939" s="122">
        <v>0.45833333333333298</v>
      </c>
      <c r="I939" s="112">
        <v>0</v>
      </c>
      <c r="J939" s="112">
        <v>0</v>
      </c>
      <c r="K939" s="23">
        <f t="shared" si="129"/>
        <v>0.29166666666666702</v>
      </c>
      <c r="L939" s="23">
        <f t="shared" si="130"/>
        <v>0</v>
      </c>
      <c r="M939" s="12">
        <f t="shared" si="135"/>
        <v>0.29166666666666702</v>
      </c>
      <c r="N939" s="23">
        <f t="shared" si="131"/>
        <v>0.45833333333333298</v>
      </c>
      <c r="O939" s="41">
        <f t="shared" si="132"/>
        <v>0</v>
      </c>
      <c r="P939" s="13" t="str">
        <f t="shared" si="133"/>
        <v>SI</v>
      </c>
      <c r="Q939" s="23">
        <f t="shared" si="134"/>
        <v>0.29166666666666702</v>
      </c>
      <c r="R939" s="12">
        <f t="shared" si="134"/>
        <v>0.45833333333333298</v>
      </c>
    </row>
    <row r="940" spans="2:18">
      <c r="B940" t="str">
        <f t="shared" si="128"/>
        <v>ROGER EVENOR ALONZO DIAZ46292</v>
      </c>
      <c r="C940" t="s">
        <v>256</v>
      </c>
      <c r="D940" s="121">
        <v>46292</v>
      </c>
      <c r="E940" t="s">
        <v>97</v>
      </c>
      <c r="F940" t="s">
        <v>72</v>
      </c>
      <c r="G940" s="122">
        <v>0</v>
      </c>
      <c r="H940" s="122">
        <v>0</v>
      </c>
      <c r="I940" s="112">
        <v>0</v>
      </c>
      <c r="J940" s="112">
        <v>0</v>
      </c>
      <c r="K940" s="23">
        <f t="shared" si="129"/>
        <v>0</v>
      </c>
      <c r="L940" s="23">
        <f t="shared" si="130"/>
        <v>0</v>
      </c>
      <c r="M940" s="12">
        <f t="shared" si="135"/>
        <v>0</v>
      </c>
      <c r="N940" s="23">
        <f t="shared" si="131"/>
        <v>0</v>
      </c>
      <c r="O940" s="41">
        <f t="shared" si="132"/>
        <v>0</v>
      </c>
      <c r="P940" s="13" t="str">
        <f t="shared" si="133"/>
        <v>NO</v>
      </c>
      <c r="Q940" s="23">
        <f t="shared" si="134"/>
        <v>0</v>
      </c>
      <c r="R940" s="12">
        <f t="shared" si="134"/>
        <v>0</v>
      </c>
    </row>
    <row r="941" spans="2:18">
      <c r="B941" t="str">
        <f t="shared" si="128"/>
        <v>ROGER EVENOR ALONZO DIAZ46293</v>
      </c>
      <c r="C941" t="s">
        <v>256</v>
      </c>
      <c r="D941" s="121">
        <v>46293</v>
      </c>
      <c r="E941" t="s">
        <v>98</v>
      </c>
      <c r="F941" t="s">
        <v>35</v>
      </c>
      <c r="G941" s="122">
        <v>0.29166666666666702</v>
      </c>
      <c r="H941" s="122">
        <v>0.66666666666666696</v>
      </c>
      <c r="I941" s="112">
        <v>0</v>
      </c>
      <c r="J941" s="112">
        <v>0</v>
      </c>
      <c r="K941" s="23">
        <f t="shared" si="129"/>
        <v>0.29166666666666702</v>
      </c>
      <c r="L941" s="23">
        <f t="shared" si="130"/>
        <v>0</v>
      </c>
      <c r="M941" s="12">
        <f t="shared" si="135"/>
        <v>0.29166666666666702</v>
      </c>
      <c r="N941" s="23">
        <f t="shared" si="131"/>
        <v>0.66666666666666696</v>
      </c>
      <c r="O941" s="41">
        <f t="shared" si="132"/>
        <v>0</v>
      </c>
      <c r="P941" s="13" t="str">
        <f t="shared" si="133"/>
        <v>SI</v>
      </c>
      <c r="Q941" s="23">
        <f t="shared" si="134"/>
        <v>0.29166666666666702</v>
      </c>
      <c r="R941" s="12">
        <f t="shared" si="134"/>
        <v>0.66666666666666696</v>
      </c>
    </row>
    <row r="942" spans="2:18">
      <c r="B942" t="str">
        <f t="shared" si="128"/>
        <v>ROGER EVENOR ALONZO DIAZ46294</v>
      </c>
      <c r="C942" t="s">
        <v>256</v>
      </c>
      <c r="D942" s="121">
        <v>46294</v>
      </c>
      <c r="E942" t="s">
        <v>99</v>
      </c>
      <c r="F942" t="s">
        <v>35</v>
      </c>
      <c r="G942" s="122">
        <v>0.29166666666666702</v>
      </c>
      <c r="H942" s="122">
        <v>0.66666666666666696</v>
      </c>
      <c r="I942" s="112">
        <v>0</v>
      </c>
      <c r="J942" s="112">
        <v>0</v>
      </c>
      <c r="K942" s="23">
        <f t="shared" si="129"/>
        <v>0.29166666666666702</v>
      </c>
      <c r="L942" s="23">
        <f t="shared" si="130"/>
        <v>0</v>
      </c>
      <c r="M942" s="12">
        <f t="shared" si="135"/>
        <v>0.29166666666666702</v>
      </c>
      <c r="N942" s="23">
        <f t="shared" si="131"/>
        <v>0.66666666666666696</v>
      </c>
      <c r="O942" s="41">
        <f t="shared" si="132"/>
        <v>0</v>
      </c>
      <c r="P942" s="13" t="str">
        <f t="shared" si="133"/>
        <v>SI</v>
      </c>
      <c r="Q942" s="23">
        <f t="shared" si="134"/>
        <v>0.29166666666666702</v>
      </c>
      <c r="R942" s="12">
        <f t="shared" si="134"/>
        <v>0.66666666666666696</v>
      </c>
    </row>
    <row r="943" spans="2:18">
      <c r="B943" t="str">
        <f t="shared" si="128"/>
        <v>ROGER EVENOR ALONZO DIAZ46295</v>
      </c>
      <c r="C943" t="s">
        <v>256</v>
      </c>
      <c r="D943" s="121">
        <v>46295</v>
      </c>
      <c r="E943" t="s">
        <v>100</v>
      </c>
      <c r="F943" t="s">
        <v>35</v>
      </c>
      <c r="G943" s="122">
        <v>0.29166666666666702</v>
      </c>
      <c r="H943" s="122">
        <v>0.66666666666666696</v>
      </c>
      <c r="I943" s="112">
        <v>0</v>
      </c>
      <c r="J943" s="112">
        <v>0</v>
      </c>
      <c r="K943" s="23">
        <f t="shared" si="129"/>
        <v>0.29166666666666702</v>
      </c>
      <c r="L943" s="23">
        <f t="shared" si="130"/>
        <v>0</v>
      </c>
      <c r="M943" s="12">
        <f t="shared" si="135"/>
        <v>0.29166666666666702</v>
      </c>
      <c r="N943" s="23">
        <f t="shared" si="131"/>
        <v>0.66666666666666696</v>
      </c>
      <c r="O943" s="41">
        <f t="shared" si="132"/>
        <v>0</v>
      </c>
      <c r="P943" s="13" t="str">
        <f t="shared" si="133"/>
        <v>SI</v>
      </c>
      <c r="Q943" s="23">
        <f t="shared" si="134"/>
        <v>0.29166666666666702</v>
      </c>
      <c r="R943" s="12">
        <f t="shared" si="134"/>
        <v>0.66666666666666696</v>
      </c>
    </row>
    <row r="944" spans="2:18">
      <c r="B944" t="str">
        <f t="shared" si="128"/>
        <v>ROGER EVENOR ALONZO DIAZ46296</v>
      </c>
      <c r="C944" t="s">
        <v>256</v>
      </c>
      <c r="D944" s="121">
        <v>46296</v>
      </c>
      <c r="E944" t="s">
        <v>101</v>
      </c>
      <c r="F944" t="s">
        <v>35</v>
      </c>
      <c r="G944" s="122">
        <v>0.29166666666666702</v>
      </c>
      <c r="H944" s="122">
        <v>0.66666666666666696</v>
      </c>
      <c r="I944" s="112">
        <v>0</v>
      </c>
      <c r="J944" s="112">
        <v>0</v>
      </c>
      <c r="K944" s="23">
        <f t="shared" si="129"/>
        <v>0.29166666666666702</v>
      </c>
      <c r="L944" s="23">
        <f t="shared" si="130"/>
        <v>0</v>
      </c>
      <c r="M944" s="12">
        <f t="shared" si="135"/>
        <v>0.29166666666666702</v>
      </c>
      <c r="N944" s="23">
        <f t="shared" si="131"/>
        <v>0.66666666666666696</v>
      </c>
      <c r="O944" s="41">
        <f t="shared" si="132"/>
        <v>0</v>
      </c>
      <c r="P944" s="13" t="str">
        <f t="shared" si="133"/>
        <v>SI</v>
      </c>
      <c r="Q944" s="23">
        <f t="shared" si="134"/>
        <v>0.29166666666666702</v>
      </c>
      <c r="R944" s="12">
        <f t="shared" si="134"/>
        <v>0.66666666666666696</v>
      </c>
    </row>
    <row r="945" spans="2:18">
      <c r="B945" t="str">
        <f t="shared" si="128"/>
        <v>ROGER EVENOR ALONZO DIAZ46297</v>
      </c>
      <c r="C945" t="s">
        <v>256</v>
      </c>
      <c r="D945" s="121">
        <v>46297</v>
      </c>
      <c r="E945" t="s">
        <v>95</v>
      </c>
      <c r="F945" t="s">
        <v>35</v>
      </c>
      <c r="G945" s="122">
        <v>0.29166666666666702</v>
      </c>
      <c r="H945" s="122">
        <v>0.66666666666666696</v>
      </c>
      <c r="I945" s="112">
        <v>0</v>
      </c>
      <c r="J945" s="112">
        <v>0</v>
      </c>
      <c r="K945" s="23">
        <f t="shared" si="129"/>
        <v>0.29166666666666702</v>
      </c>
      <c r="L945" s="23">
        <f t="shared" si="130"/>
        <v>0</v>
      </c>
      <c r="M945" s="12">
        <f t="shared" si="135"/>
        <v>0.29166666666666702</v>
      </c>
      <c r="N945" s="23">
        <f t="shared" si="131"/>
        <v>0.66666666666666696</v>
      </c>
      <c r="O945" s="41">
        <f t="shared" si="132"/>
        <v>0</v>
      </c>
      <c r="P945" s="13" t="str">
        <f t="shared" si="133"/>
        <v>SI</v>
      </c>
      <c r="Q945" s="23">
        <f t="shared" si="134"/>
        <v>0.29166666666666702</v>
      </c>
      <c r="R945" s="12">
        <f t="shared" si="134"/>
        <v>0.66666666666666696</v>
      </c>
    </row>
    <row r="946" spans="2:18">
      <c r="B946" t="str">
        <f t="shared" si="128"/>
        <v>ROGER EVENOR ALONZO DIAZ46298</v>
      </c>
      <c r="C946" t="s">
        <v>256</v>
      </c>
      <c r="D946" s="121">
        <v>46298</v>
      </c>
      <c r="E946" t="s">
        <v>96</v>
      </c>
      <c r="F946" t="s">
        <v>36</v>
      </c>
      <c r="G946" s="122">
        <v>0.29166666666666702</v>
      </c>
      <c r="H946" s="122">
        <v>0.45833333333333298</v>
      </c>
      <c r="I946" s="112">
        <v>0</v>
      </c>
      <c r="J946" s="112">
        <v>0</v>
      </c>
      <c r="K946" s="23">
        <f t="shared" si="129"/>
        <v>0.29166666666666702</v>
      </c>
      <c r="L946" s="23">
        <f t="shared" si="130"/>
        <v>0</v>
      </c>
      <c r="M946" s="12">
        <f t="shared" si="135"/>
        <v>0.29166666666666702</v>
      </c>
      <c r="N946" s="23">
        <f t="shared" si="131"/>
        <v>0.45833333333333298</v>
      </c>
      <c r="O946" s="41">
        <f t="shared" si="132"/>
        <v>0</v>
      </c>
      <c r="P946" s="13" t="str">
        <f t="shared" si="133"/>
        <v>SI</v>
      </c>
      <c r="Q946" s="23">
        <f t="shared" si="134"/>
        <v>0.29166666666666702</v>
      </c>
      <c r="R946" s="12">
        <f t="shared" si="134"/>
        <v>0.45833333333333298</v>
      </c>
    </row>
    <row r="947" spans="2:18">
      <c r="B947" t="str">
        <f t="shared" si="128"/>
        <v>ROGER EVENOR ALONZO DIAZ46299</v>
      </c>
      <c r="C947" t="s">
        <v>256</v>
      </c>
      <c r="D947" s="121">
        <v>46299</v>
      </c>
      <c r="E947" t="s">
        <v>97</v>
      </c>
      <c r="F947" t="s">
        <v>72</v>
      </c>
      <c r="G947" s="122">
        <v>0</v>
      </c>
      <c r="H947" s="122">
        <v>0</v>
      </c>
      <c r="I947" s="112">
        <v>0</v>
      </c>
      <c r="J947" s="112">
        <v>0</v>
      </c>
      <c r="K947" s="23">
        <f t="shared" si="129"/>
        <v>0</v>
      </c>
      <c r="L947" s="23">
        <f t="shared" si="130"/>
        <v>0</v>
      </c>
      <c r="M947" s="12">
        <f t="shared" si="135"/>
        <v>0</v>
      </c>
      <c r="N947" s="23">
        <f t="shared" si="131"/>
        <v>0</v>
      </c>
      <c r="O947" s="41">
        <f t="shared" si="132"/>
        <v>0</v>
      </c>
      <c r="P947" s="13" t="str">
        <f t="shared" si="133"/>
        <v>NO</v>
      </c>
      <c r="Q947" s="23">
        <f t="shared" si="134"/>
        <v>0</v>
      </c>
      <c r="R947" s="12">
        <f t="shared" si="134"/>
        <v>0</v>
      </c>
    </row>
    <row r="948" spans="2:18">
      <c r="B948" t="str">
        <f t="shared" si="128"/>
        <v>RUBEN DARIO RAXON SOTO46279</v>
      </c>
      <c r="C948" t="s">
        <v>7</v>
      </c>
      <c r="D948" s="121">
        <v>46279</v>
      </c>
      <c r="E948" t="s">
        <v>98</v>
      </c>
      <c r="F948" t="s">
        <v>72</v>
      </c>
      <c r="G948" s="122">
        <v>0</v>
      </c>
      <c r="H948" s="122">
        <v>0</v>
      </c>
      <c r="I948" s="112">
        <v>0</v>
      </c>
      <c r="J948" s="112">
        <v>0</v>
      </c>
      <c r="K948" s="23">
        <f t="shared" si="129"/>
        <v>0</v>
      </c>
      <c r="L948" s="23">
        <f t="shared" si="130"/>
        <v>0</v>
      </c>
      <c r="M948" s="12">
        <f t="shared" si="135"/>
        <v>0</v>
      </c>
      <c r="N948" s="23">
        <f t="shared" si="131"/>
        <v>0</v>
      </c>
      <c r="O948" s="41">
        <f t="shared" si="132"/>
        <v>0</v>
      </c>
      <c r="P948" s="13" t="str">
        <f t="shared" si="133"/>
        <v>NO</v>
      </c>
      <c r="Q948" s="23">
        <f t="shared" si="134"/>
        <v>0</v>
      </c>
      <c r="R948" s="12">
        <f t="shared" si="134"/>
        <v>0</v>
      </c>
    </row>
    <row r="949" spans="2:18">
      <c r="B949" t="str">
        <f t="shared" si="128"/>
        <v>RUBEN DARIO RAXON SOTO46280</v>
      </c>
      <c r="C949" t="s">
        <v>7</v>
      </c>
      <c r="D949" s="121">
        <v>46280</v>
      </c>
      <c r="E949" t="s">
        <v>99</v>
      </c>
      <c r="F949" t="s">
        <v>35</v>
      </c>
      <c r="G949" s="122">
        <v>0.33333333333333298</v>
      </c>
      <c r="H949" s="122">
        <v>0.70833333333333304</v>
      </c>
      <c r="I949" s="112">
        <v>0</v>
      </c>
      <c r="J949" s="112">
        <v>0</v>
      </c>
      <c r="K949" s="23">
        <f t="shared" si="129"/>
        <v>0.33333333333333298</v>
      </c>
      <c r="L949" s="23">
        <f t="shared" si="130"/>
        <v>0</v>
      </c>
      <c r="M949" s="12">
        <f t="shared" si="135"/>
        <v>0.33333333333333298</v>
      </c>
      <c r="N949" s="23">
        <f t="shared" si="131"/>
        <v>0.70833333333333304</v>
      </c>
      <c r="O949" s="41">
        <f t="shared" si="132"/>
        <v>0</v>
      </c>
      <c r="P949" s="13" t="str">
        <f t="shared" si="133"/>
        <v>SI</v>
      </c>
      <c r="Q949" s="23">
        <f t="shared" si="134"/>
        <v>0.33333333333333298</v>
      </c>
      <c r="R949" s="12">
        <f t="shared" si="134"/>
        <v>0.70833333333333304</v>
      </c>
    </row>
    <row r="950" spans="2:18">
      <c r="B950" t="str">
        <f t="shared" si="128"/>
        <v>RUBEN DARIO RAXON SOTO46281</v>
      </c>
      <c r="C950" t="s">
        <v>7</v>
      </c>
      <c r="D950" s="121">
        <v>46281</v>
      </c>
      <c r="E950" t="s">
        <v>100</v>
      </c>
      <c r="F950" t="s">
        <v>35</v>
      </c>
      <c r="G950" s="122">
        <v>0.33333333333333298</v>
      </c>
      <c r="H950" s="122">
        <v>0.70833333333333304</v>
      </c>
      <c r="I950" s="112">
        <v>0</v>
      </c>
      <c r="J950" s="112">
        <v>0</v>
      </c>
      <c r="K950" s="23">
        <f t="shared" si="129"/>
        <v>0.33333333333333298</v>
      </c>
      <c r="L950" s="23">
        <f t="shared" si="130"/>
        <v>0</v>
      </c>
      <c r="M950" s="12">
        <f t="shared" si="135"/>
        <v>0.33333333333333298</v>
      </c>
      <c r="N950" s="23">
        <f t="shared" si="131"/>
        <v>0.70833333333333304</v>
      </c>
      <c r="O950" s="41">
        <f t="shared" si="132"/>
        <v>0</v>
      </c>
      <c r="P950" s="13" t="str">
        <f t="shared" si="133"/>
        <v>SI</v>
      </c>
      <c r="Q950" s="23">
        <f t="shared" si="134"/>
        <v>0.33333333333333298</v>
      </c>
      <c r="R950" s="12">
        <f t="shared" si="134"/>
        <v>0.70833333333333304</v>
      </c>
    </row>
    <row r="951" spans="2:18">
      <c r="B951" t="str">
        <f t="shared" si="128"/>
        <v>RUBEN DARIO RAXON SOTO46282</v>
      </c>
      <c r="C951" t="s">
        <v>7</v>
      </c>
      <c r="D951" s="121">
        <v>46282</v>
      </c>
      <c r="E951" t="s">
        <v>101</v>
      </c>
      <c r="F951" t="s">
        <v>36</v>
      </c>
      <c r="G951" s="122">
        <v>0.73958333333333304</v>
      </c>
      <c r="H951" s="122">
        <v>0.25</v>
      </c>
      <c r="I951" s="112">
        <v>0</v>
      </c>
      <c r="J951" s="112">
        <v>0</v>
      </c>
      <c r="K951" s="23">
        <f t="shared" si="129"/>
        <v>0.73958333333333304</v>
      </c>
      <c r="L951" s="23">
        <f t="shared" si="130"/>
        <v>0</v>
      </c>
      <c r="M951" s="12">
        <f t="shared" si="135"/>
        <v>0.73958333333333304</v>
      </c>
      <c r="N951" s="23">
        <f t="shared" si="131"/>
        <v>0.25</v>
      </c>
      <c r="O951" s="41">
        <f t="shared" si="132"/>
        <v>0</v>
      </c>
      <c r="P951" s="13" t="str">
        <f t="shared" si="133"/>
        <v>SI</v>
      </c>
      <c r="Q951" s="23">
        <f t="shared" si="134"/>
        <v>0.73958333333333304</v>
      </c>
      <c r="R951" s="12">
        <f t="shared" si="134"/>
        <v>0.25</v>
      </c>
    </row>
    <row r="952" spans="2:18">
      <c r="B952" t="str">
        <f t="shared" si="128"/>
        <v>RUBEN DARIO RAXON SOTO46283</v>
      </c>
      <c r="C952" t="s">
        <v>7</v>
      </c>
      <c r="D952" s="121">
        <v>46283</v>
      </c>
      <c r="E952" t="s">
        <v>95</v>
      </c>
      <c r="F952" t="s">
        <v>36</v>
      </c>
      <c r="G952" s="122">
        <v>0.73958333333333304</v>
      </c>
      <c r="H952" s="122">
        <v>0.25</v>
      </c>
      <c r="I952" s="112">
        <v>0</v>
      </c>
      <c r="J952" s="112">
        <v>0</v>
      </c>
      <c r="K952" s="23">
        <f t="shared" si="129"/>
        <v>0.73958333333333304</v>
      </c>
      <c r="L952" s="23">
        <f t="shared" si="130"/>
        <v>0</v>
      </c>
      <c r="M952" s="12">
        <f t="shared" si="135"/>
        <v>0.73958333333333304</v>
      </c>
      <c r="N952" s="23">
        <f t="shared" si="131"/>
        <v>0.25</v>
      </c>
      <c r="O952" s="41">
        <f t="shared" si="132"/>
        <v>0</v>
      </c>
      <c r="P952" s="13" t="str">
        <f t="shared" si="133"/>
        <v>SI</v>
      </c>
      <c r="Q952" s="23">
        <f t="shared" si="134"/>
        <v>0.73958333333333304</v>
      </c>
      <c r="R952" s="12">
        <f t="shared" si="134"/>
        <v>0.25</v>
      </c>
    </row>
    <row r="953" spans="2:18">
      <c r="B953" t="str">
        <f t="shared" si="128"/>
        <v>RUBEN DARIO RAXON SOTO46284</v>
      </c>
      <c r="C953" t="s">
        <v>7</v>
      </c>
      <c r="D953" s="121">
        <v>46284</v>
      </c>
      <c r="E953" t="s">
        <v>96</v>
      </c>
      <c r="F953" t="s">
        <v>72</v>
      </c>
      <c r="G953" s="122">
        <v>0</v>
      </c>
      <c r="H953" s="122">
        <v>0</v>
      </c>
      <c r="I953" s="112">
        <v>0</v>
      </c>
      <c r="J953" s="112">
        <v>0</v>
      </c>
      <c r="K953" s="23">
        <f t="shared" si="129"/>
        <v>0</v>
      </c>
      <c r="L953" s="23">
        <f t="shared" si="130"/>
        <v>0</v>
      </c>
      <c r="M953" s="12">
        <f t="shared" si="135"/>
        <v>0</v>
      </c>
      <c r="N953" s="23">
        <f t="shared" si="131"/>
        <v>0</v>
      </c>
      <c r="O953" s="41">
        <f t="shared" si="132"/>
        <v>0</v>
      </c>
      <c r="P953" s="13" t="str">
        <f t="shared" si="133"/>
        <v>NO</v>
      </c>
      <c r="Q953" s="23">
        <f t="shared" si="134"/>
        <v>0</v>
      </c>
      <c r="R953" s="12">
        <f t="shared" si="134"/>
        <v>0</v>
      </c>
    </row>
    <row r="954" spans="2:18">
      <c r="B954" t="str">
        <f t="shared" si="128"/>
        <v>RUBEN DARIO RAXON SOTO46285</v>
      </c>
      <c r="C954" t="s">
        <v>7</v>
      </c>
      <c r="D954" s="121">
        <v>46285</v>
      </c>
      <c r="E954" t="s">
        <v>97</v>
      </c>
      <c r="F954" t="s">
        <v>72</v>
      </c>
      <c r="G954" s="122">
        <v>0</v>
      </c>
      <c r="H954" s="122">
        <v>0</v>
      </c>
      <c r="I954" s="112">
        <v>0</v>
      </c>
      <c r="J954" s="112">
        <v>0</v>
      </c>
      <c r="K954" s="23">
        <f t="shared" si="129"/>
        <v>0</v>
      </c>
      <c r="L954" s="23">
        <f t="shared" si="130"/>
        <v>0</v>
      </c>
      <c r="M954" s="12">
        <f t="shared" si="135"/>
        <v>0</v>
      </c>
      <c r="N954" s="23">
        <f t="shared" si="131"/>
        <v>0</v>
      </c>
      <c r="O954" s="41">
        <f t="shared" si="132"/>
        <v>0</v>
      </c>
      <c r="P954" s="13" t="str">
        <f t="shared" si="133"/>
        <v>NO</v>
      </c>
      <c r="Q954" s="23">
        <f t="shared" si="134"/>
        <v>0</v>
      </c>
      <c r="R954" s="12">
        <f t="shared" si="134"/>
        <v>0</v>
      </c>
    </row>
    <row r="955" spans="2:18">
      <c r="B955" t="str">
        <f t="shared" si="128"/>
        <v>RUBEN DARIO RAXON SOTO46286</v>
      </c>
      <c r="C955" t="s">
        <v>7</v>
      </c>
      <c r="D955" s="121">
        <v>46286</v>
      </c>
      <c r="E955" t="s">
        <v>98</v>
      </c>
      <c r="F955" t="s">
        <v>35</v>
      </c>
      <c r="G955" s="122">
        <v>0.23958333333333301</v>
      </c>
      <c r="H955" s="122">
        <v>0.75</v>
      </c>
      <c r="I955" s="112">
        <v>0</v>
      </c>
      <c r="J955" s="112">
        <v>0</v>
      </c>
      <c r="K955" s="23">
        <f t="shared" si="129"/>
        <v>0.23958333333333301</v>
      </c>
      <c r="L955" s="23">
        <f t="shared" si="130"/>
        <v>0</v>
      </c>
      <c r="M955" s="12">
        <f t="shared" si="135"/>
        <v>0.23958333333333301</v>
      </c>
      <c r="N955" s="23">
        <f t="shared" si="131"/>
        <v>0.75</v>
      </c>
      <c r="O955" s="41">
        <f t="shared" si="132"/>
        <v>0</v>
      </c>
      <c r="P955" s="13" t="str">
        <f t="shared" si="133"/>
        <v>SI</v>
      </c>
      <c r="Q955" s="23">
        <f t="shared" si="134"/>
        <v>0.23958333333333301</v>
      </c>
      <c r="R955" s="12">
        <f t="shared" si="134"/>
        <v>0.75</v>
      </c>
    </row>
    <row r="956" spans="2:18">
      <c r="B956" t="str">
        <f t="shared" si="128"/>
        <v>RUBEN DARIO RAXON SOTO46287</v>
      </c>
      <c r="C956" t="s">
        <v>7</v>
      </c>
      <c r="D956" s="121">
        <v>46287</v>
      </c>
      <c r="E956" t="s">
        <v>99</v>
      </c>
      <c r="F956" t="s">
        <v>35</v>
      </c>
      <c r="G956" s="122">
        <v>0.23958333333333301</v>
      </c>
      <c r="H956" s="122">
        <v>0.75</v>
      </c>
      <c r="I956" s="112">
        <v>0</v>
      </c>
      <c r="J956" s="112">
        <v>0</v>
      </c>
      <c r="K956" s="23">
        <f t="shared" si="129"/>
        <v>0.23958333333333301</v>
      </c>
      <c r="L956" s="23">
        <f t="shared" si="130"/>
        <v>0</v>
      </c>
      <c r="M956" s="12">
        <f t="shared" si="135"/>
        <v>0.23958333333333301</v>
      </c>
      <c r="N956" s="23">
        <f t="shared" si="131"/>
        <v>0.75</v>
      </c>
      <c r="O956" s="41">
        <f t="shared" si="132"/>
        <v>0</v>
      </c>
      <c r="P956" s="13" t="str">
        <f t="shared" si="133"/>
        <v>SI</v>
      </c>
      <c r="Q956" s="23">
        <f t="shared" si="134"/>
        <v>0.23958333333333301</v>
      </c>
      <c r="R956" s="12">
        <f t="shared" si="134"/>
        <v>0.75</v>
      </c>
    </row>
    <row r="957" spans="2:18">
      <c r="B957" t="str">
        <f t="shared" si="128"/>
        <v>RUBEN DARIO RAXON SOTO46288</v>
      </c>
      <c r="C957" t="s">
        <v>7</v>
      </c>
      <c r="D957" s="121">
        <v>46288</v>
      </c>
      <c r="E957" t="s">
        <v>100</v>
      </c>
      <c r="F957" t="s">
        <v>35</v>
      </c>
      <c r="G957" s="122">
        <v>0.23958333333333301</v>
      </c>
      <c r="H957" s="122">
        <v>0.75</v>
      </c>
      <c r="I957" s="112">
        <v>0</v>
      </c>
      <c r="J957" s="112">
        <v>0</v>
      </c>
      <c r="K957" s="23">
        <f t="shared" si="129"/>
        <v>0.23958333333333301</v>
      </c>
      <c r="L957" s="23">
        <f t="shared" si="130"/>
        <v>0</v>
      </c>
      <c r="M957" s="12">
        <f t="shared" si="135"/>
        <v>0.23958333333333301</v>
      </c>
      <c r="N957" s="23">
        <f t="shared" si="131"/>
        <v>0.75</v>
      </c>
      <c r="O957" s="41">
        <f t="shared" si="132"/>
        <v>0</v>
      </c>
      <c r="P957" s="13" t="str">
        <f t="shared" si="133"/>
        <v>SI</v>
      </c>
      <c r="Q957" s="23">
        <f t="shared" si="134"/>
        <v>0.23958333333333301</v>
      </c>
      <c r="R957" s="12">
        <f t="shared" si="134"/>
        <v>0.75</v>
      </c>
    </row>
    <row r="958" spans="2:18">
      <c r="B958" t="str">
        <f t="shared" si="128"/>
        <v>RUBEN DARIO RAXON SOTO46289</v>
      </c>
      <c r="C958" t="s">
        <v>7</v>
      </c>
      <c r="D958" s="121">
        <v>46289</v>
      </c>
      <c r="E958" t="s">
        <v>101</v>
      </c>
      <c r="F958" t="s">
        <v>35</v>
      </c>
      <c r="G958" s="122">
        <v>0.23958333333333301</v>
      </c>
      <c r="H958" s="122">
        <v>0.75</v>
      </c>
      <c r="I958" s="112">
        <v>0</v>
      </c>
      <c r="J958" s="112">
        <v>0</v>
      </c>
      <c r="K958" s="23">
        <f t="shared" si="129"/>
        <v>0.23958333333333301</v>
      </c>
      <c r="L958" s="23">
        <f t="shared" si="130"/>
        <v>0</v>
      </c>
      <c r="M958" s="12">
        <f t="shared" si="135"/>
        <v>0.23958333333333301</v>
      </c>
      <c r="N958" s="23">
        <f t="shared" si="131"/>
        <v>0.75</v>
      </c>
      <c r="O958" s="41">
        <f t="shared" si="132"/>
        <v>0</v>
      </c>
      <c r="P958" s="13" t="str">
        <f t="shared" si="133"/>
        <v>SI</v>
      </c>
      <c r="Q958" s="23">
        <f t="shared" si="134"/>
        <v>0.23958333333333301</v>
      </c>
      <c r="R958" s="12">
        <f t="shared" si="134"/>
        <v>0.75</v>
      </c>
    </row>
    <row r="959" spans="2:18">
      <c r="B959" t="str">
        <f t="shared" si="128"/>
        <v>RUBEN DARIO RAXON SOTO46290</v>
      </c>
      <c r="C959" t="s">
        <v>7</v>
      </c>
      <c r="D959" s="121">
        <v>46290</v>
      </c>
      <c r="E959" t="s">
        <v>95</v>
      </c>
      <c r="F959" t="s">
        <v>35</v>
      </c>
      <c r="G959" s="122">
        <v>0.23958333333333301</v>
      </c>
      <c r="H959" s="122">
        <v>0.75</v>
      </c>
      <c r="I959" s="112">
        <v>0</v>
      </c>
      <c r="J959" s="112">
        <v>0</v>
      </c>
      <c r="K959" s="23">
        <f t="shared" si="129"/>
        <v>0.23958333333333301</v>
      </c>
      <c r="L959" s="23">
        <f t="shared" si="130"/>
        <v>0</v>
      </c>
      <c r="M959" s="12">
        <f t="shared" si="135"/>
        <v>0.23958333333333301</v>
      </c>
      <c r="N959" s="23">
        <f t="shared" si="131"/>
        <v>0.75</v>
      </c>
      <c r="O959" s="41">
        <f t="shared" si="132"/>
        <v>0</v>
      </c>
      <c r="P959" s="13" t="str">
        <f t="shared" si="133"/>
        <v>SI</v>
      </c>
      <c r="Q959" s="23">
        <f t="shared" si="134"/>
        <v>0.23958333333333301</v>
      </c>
      <c r="R959" s="12">
        <f t="shared" si="134"/>
        <v>0.75</v>
      </c>
    </row>
    <row r="960" spans="2:18">
      <c r="B960" t="str">
        <f t="shared" si="128"/>
        <v>RUBEN DARIO RAXON SOTO46291</v>
      </c>
      <c r="C960" t="s">
        <v>7</v>
      </c>
      <c r="D960" s="121">
        <v>46291</v>
      </c>
      <c r="E960" t="s">
        <v>96</v>
      </c>
      <c r="F960" t="s">
        <v>35</v>
      </c>
      <c r="G960" s="122">
        <v>0.23958333333333301</v>
      </c>
      <c r="H960" s="122">
        <v>0.58333333333333304</v>
      </c>
      <c r="I960" s="112">
        <v>0</v>
      </c>
      <c r="J960" s="112">
        <v>0</v>
      </c>
      <c r="K960" s="23">
        <f t="shared" si="129"/>
        <v>0.23958333333333301</v>
      </c>
      <c r="L960" s="23">
        <f t="shared" si="130"/>
        <v>0</v>
      </c>
      <c r="M960" s="12">
        <f t="shared" si="135"/>
        <v>0.23958333333333301</v>
      </c>
      <c r="N960" s="23">
        <f t="shared" si="131"/>
        <v>0.58333333333333304</v>
      </c>
      <c r="O960" s="41">
        <f t="shared" si="132"/>
        <v>0</v>
      </c>
      <c r="P960" s="13" t="str">
        <f t="shared" si="133"/>
        <v>SI</v>
      </c>
      <c r="Q960" s="23">
        <f t="shared" si="134"/>
        <v>0.23958333333333301</v>
      </c>
      <c r="R960" s="12">
        <f t="shared" si="134"/>
        <v>0.58333333333333304</v>
      </c>
    </row>
    <row r="961" spans="2:18">
      <c r="B961" t="str">
        <f t="shared" si="128"/>
        <v>RUBEN DARIO RAXON SOTO46292</v>
      </c>
      <c r="C961" t="s">
        <v>7</v>
      </c>
      <c r="D961" s="121">
        <v>46292</v>
      </c>
      <c r="E961" t="s">
        <v>97</v>
      </c>
      <c r="F961" t="s">
        <v>72</v>
      </c>
      <c r="G961" s="122">
        <v>0</v>
      </c>
      <c r="H961" s="122">
        <v>0</v>
      </c>
      <c r="I961" s="112">
        <v>0</v>
      </c>
      <c r="J961" s="112">
        <v>0</v>
      </c>
      <c r="K961" s="23">
        <f t="shared" si="129"/>
        <v>0</v>
      </c>
      <c r="L961" s="23">
        <f t="shared" si="130"/>
        <v>0</v>
      </c>
      <c r="M961" s="12">
        <f t="shared" si="135"/>
        <v>0</v>
      </c>
      <c r="N961" s="23">
        <f t="shared" si="131"/>
        <v>0</v>
      </c>
      <c r="O961" s="41">
        <f t="shared" si="132"/>
        <v>0</v>
      </c>
      <c r="P961" s="13" t="str">
        <f t="shared" si="133"/>
        <v>NO</v>
      </c>
      <c r="Q961" s="23">
        <f t="shared" si="134"/>
        <v>0</v>
      </c>
      <c r="R961" s="12">
        <f t="shared" si="134"/>
        <v>0</v>
      </c>
    </row>
    <row r="962" spans="2:18">
      <c r="B962" t="str">
        <f t="shared" si="128"/>
        <v>RUBEN DARIO RAXON SOTO46293</v>
      </c>
      <c r="C962" t="s">
        <v>7</v>
      </c>
      <c r="D962" s="121">
        <v>46293</v>
      </c>
      <c r="E962" t="s">
        <v>98</v>
      </c>
      <c r="F962" t="s">
        <v>36</v>
      </c>
      <c r="G962" s="122">
        <v>0.73958333333333304</v>
      </c>
      <c r="H962" s="122">
        <v>0.25</v>
      </c>
      <c r="I962" s="112">
        <v>0</v>
      </c>
      <c r="J962" s="112">
        <v>0</v>
      </c>
      <c r="K962" s="23">
        <f t="shared" si="129"/>
        <v>0.73958333333333304</v>
      </c>
      <c r="L962" s="23">
        <f t="shared" si="130"/>
        <v>0</v>
      </c>
      <c r="M962" s="12">
        <f t="shared" si="135"/>
        <v>0.73958333333333304</v>
      </c>
      <c r="N962" s="23">
        <f t="shared" si="131"/>
        <v>0.25</v>
      </c>
      <c r="O962" s="41">
        <f t="shared" si="132"/>
        <v>0</v>
      </c>
      <c r="P962" s="13" t="str">
        <f t="shared" si="133"/>
        <v>SI</v>
      </c>
      <c r="Q962" s="23">
        <f t="shared" si="134"/>
        <v>0.73958333333333304</v>
      </c>
      <c r="R962" s="12">
        <f t="shared" si="134"/>
        <v>0.25</v>
      </c>
    </row>
    <row r="963" spans="2:18">
      <c r="B963" t="str">
        <f t="shared" si="128"/>
        <v>RUBEN DARIO RAXON SOTO46294</v>
      </c>
      <c r="C963" t="s">
        <v>7</v>
      </c>
      <c r="D963" s="121">
        <v>46294</v>
      </c>
      <c r="E963" t="s">
        <v>99</v>
      </c>
      <c r="F963" t="s">
        <v>36</v>
      </c>
      <c r="G963" s="122">
        <v>0.73958333333333304</v>
      </c>
      <c r="H963" s="122">
        <v>0.25</v>
      </c>
      <c r="I963" s="112">
        <v>0</v>
      </c>
      <c r="J963" s="112">
        <v>0</v>
      </c>
      <c r="K963" s="23">
        <f t="shared" si="129"/>
        <v>0.73958333333333304</v>
      </c>
      <c r="L963" s="23">
        <f t="shared" si="130"/>
        <v>0</v>
      </c>
      <c r="M963" s="12">
        <f t="shared" si="135"/>
        <v>0.73958333333333304</v>
      </c>
      <c r="N963" s="23">
        <f t="shared" si="131"/>
        <v>0.25</v>
      </c>
      <c r="O963" s="41">
        <f t="shared" si="132"/>
        <v>0</v>
      </c>
      <c r="P963" s="13" t="str">
        <f t="shared" si="133"/>
        <v>SI</v>
      </c>
      <c r="Q963" s="23">
        <f t="shared" si="134"/>
        <v>0.73958333333333304</v>
      </c>
      <c r="R963" s="12">
        <f t="shared" si="134"/>
        <v>0.25</v>
      </c>
    </row>
    <row r="964" spans="2:18">
      <c r="B964" t="str">
        <f t="shared" si="128"/>
        <v>RUBEN DARIO RAXON SOTO46295</v>
      </c>
      <c r="C964" t="s">
        <v>7</v>
      </c>
      <c r="D964" s="121">
        <v>46295</v>
      </c>
      <c r="E964" t="s">
        <v>100</v>
      </c>
      <c r="F964" t="s">
        <v>36</v>
      </c>
      <c r="G964" s="122">
        <v>0.73958333333333304</v>
      </c>
      <c r="H964" s="122">
        <v>0.25</v>
      </c>
      <c r="I964" s="112">
        <v>0</v>
      </c>
      <c r="J964" s="112">
        <v>0</v>
      </c>
      <c r="K964" s="23">
        <f t="shared" si="129"/>
        <v>0.73958333333333304</v>
      </c>
      <c r="L964" s="23">
        <f t="shared" si="130"/>
        <v>0</v>
      </c>
      <c r="M964" s="12">
        <f t="shared" si="135"/>
        <v>0.73958333333333304</v>
      </c>
      <c r="N964" s="23">
        <f t="shared" si="131"/>
        <v>0.25</v>
      </c>
      <c r="O964" s="41">
        <f t="shared" si="132"/>
        <v>0</v>
      </c>
      <c r="P964" s="13" t="str">
        <f t="shared" si="133"/>
        <v>SI</v>
      </c>
      <c r="Q964" s="23">
        <f t="shared" si="134"/>
        <v>0.73958333333333304</v>
      </c>
      <c r="R964" s="12">
        <f t="shared" si="134"/>
        <v>0.25</v>
      </c>
    </row>
    <row r="965" spans="2:18">
      <c r="B965" t="str">
        <f t="shared" ref="B965:B1014" si="136">+C965&amp;D965</f>
        <v>RUBEN DARIO RAXON SOTO46296</v>
      </c>
      <c r="C965" t="s">
        <v>7</v>
      </c>
      <c r="D965" s="121">
        <v>46296</v>
      </c>
      <c r="E965" t="s">
        <v>101</v>
      </c>
      <c r="F965" t="s">
        <v>36</v>
      </c>
      <c r="G965" s="122">
        <v>0.73958333333333304</v>
      </c>
      <c r="H965" s="122">
        <v>0.25</v>
      </c>
      <c r="I965" s="112">
        <v>0</v>
      </c>
      <c r="J965" s="112">
        <v>0</v>
      </c>
      <c r="K965" s="23">
        <f t="shared" ref="K965:K1014" si="137">+IFERROR(G965,0)</f>
        <v>0.73958333333333304</v>
      </c>
      <c r="L965" s="23">
        <f t="shared" ref="L965:L1014" si="138">+I965</f>
        <v>0</v>
      </c>
      <c r="M965" s="12">
        <f t="shared" si="135"/>
        <v>0.73958333333333304</v>
      </c>
      <c r="N965" s="23">
        <f t="shared" ref="N965:N1014" si="139">+H965</f>
        <v>0.25</v>
      </c>
      <c r="O965" s="41">
        <f t="shared" ref="O965:O1014" si="140">+J965</f>
        <v>0</v>
      </c>
      <c r="P965" s="13" t="str">
        <f t="shared" ref="P965:P1014" si="141">+IF(O965&lt;N965,"SI","NO")</f>
        <v>SI</v>
      </c>
      <c r="Q965" s="23">
        <f t="shared" ref="Q965:R1014" si="142">+M965</f>
        <v>0.73958333333333304</v>
      </c>
      <c r="R965" s="12">
        <f t="shared" si="142"/>
        <v>0.25</v>
      </c>
    </row>
    <row r="966" spans="2:18">
      <c r="B966" t="str">
        <f t="shared" si="136"/>
        <v>RUBEN DARIO RAXON SOTO46297</v>
      </c>
      <c r="C966" t="s">
        <v>7</v>
      </c>
      <c r="D966" s="121">
        <v>46297</v>
      </c>
      <c r="E966" t="s">
        <v>95</v>
      </c>
      <c r="F966" t="s">
        <v>36</v>
      </c>
      <c r="G966" s="122">
        <v>0.73958333333333304</v>
      </c>
      <c r="H966" s="122">
        <v>0.25</v>
      </c>
      <c r="I966" s="112">
        <v>0</v>
      </c>
      <c r="J966" s="112">
        <v>0</v>
      </c>
      <c r="K966" s="23">
        <f t="shared" si="137"/>
        <v>0.73958333333333304</v>
      </c>
      <c r="L966" s="23">
        <f t="shared" si="138"/>
        <v>0</v>
      </c>
      <c r="M966" s="12">
        <f t="shared" ref="M966:M1015" si="143">+IFERROR(MAX(K966:L966),0)</f>
        <v>0.73958333333333304</v>
      </c>
      <c r="N966" s="23">
        <f t="shared" si="139"/>
        <v>0.25</v>
      </c>
      <c r="O966" s="41">
        <f t="shared" si="140"/>
        <v>0</v>
      </c>
      <c r="P966" s="13" t="str">
        <f t="shared" si="141"/>
        <v>SI</v>
      </c>
      <c r="Q966" s="23">
        <f t="shared" si="142"/>
        <v>0.73958333333333304</v>
      </c>
      <c r="R966" s="12">
        <f t="shared" si="142"/>
        <v>0.25</v>
      </c>
    </row>
    <row r="967" spans="2:18">
      <c r="B967" t="str">
        <f t="shared" si="136"/>
        <v>RUBEN DARIO RAXON SOTO46298</v>
      </c>
      <c r="C967" t="s">
        <v>7</v>
      </c>
      <c r="D967" s="121">
        <v>46298</v>
      </c>
      <c r="E967" t="s">
        <v>96</v>
      </c>
      <c r="F967" t="s">
        <v>72</v>
      </c>
      <c r="G967" s="122">
        <v>0</v>
      </c>
      <c r="H967" s="122">
        <v>0</v>
      </c>
      <c r="I967" s="112">
        <v>0</v>
      </c>
      <c r="J967" s="112">
        <v>0</v>
      </c>
      <c r="K967" s="23">
        <f t="shared" si="137"/>
        <v>0</v>
      </c>
      <c r="L967" s="23">
        <f t="shared" si="138"/>
        <v>0</v>
      </c>
      <c r="M967" s="12">
        <f t="shared" si="143"/>
        <v>0</v>
      </c>
      <c r="N967" s="23">
        <f t="shared" si="139"/>
        <v>0</v>
      </c>
      <c r="O967" s="41">
        <f t="shared" si="140"/>
        <v>0</v>
      </c>
      <c r="P967" s="13" t="str">
        <f t="shared" si="141"/>
        <v>NO</v>
      </c>
      <c r="Q967" s="23">
        <f t="shared" si="142"/>
        <v>0</v>
      </c>
      <c r="R967" s="12">
        <f t="shared" si="142"/>
        <v>0</v>
      </c>
    </row>
    <row r="968" spans="2:18">
      <c r="B968" t="str">
        <f t="shared" si="136"/>
        <v>RUBEN DARIO RAXON SOTO46299</v>
      </c>
      <c r="C968" t="s">
        <v>7</v>
      </c>
      <c r="D968" s="121">
        <v>46299</v>
      </c>
      <c r="E968" t="s">
        <v>97</v>
      </c>
      <c r="F968" t="s">
        <v>72</v>
      </c>
      <c r="G968" s="122">
        <v>0</v>
      </c>
      <c r="H968" s="122">
        <v>0</v>
      </c>
      <c r="I968" s="112">
        <v>0</v>
      </c>
      <c r="J968" s="112">
        <v>0</v>
      </c>
      <c r="K968" s="23">
        <f t="shared" si="137"/>
        <v>0</v>
      </c>
      <c r="L968" s="23">
        <f t="shared" si="138"/>
        <v>0</v>
      </c>
      <c r="M968" s="12">
        <f t="shared" si="143"/>
        <v>0</v>
      </c>
      <c r="N968" s="23">
        <f t="shared" si="139"/>
        <v>0</v>
      </c>
      <c r="O968" s="41">
        <f t="shared" si="140"/>
        <v>0</v>
      </c>
      <c r="P968" s="13" t="str">
        <f t="shared" si="141"/>
        <v>NO</v>
      </c>
      <c r="Q968" s="23">
        <f t="shared" si="142"/>
        <v>0</v>
      </c>
      <c r="R968" s="12">
        <f t="shared" si="142"/>
        <v>0</v>
      </c>
    </row>
    <row r="969" spans="2:18">
      <c r="B969" t="str">
        <f t="shared" si="136"/>
        <v>RUDY ALEXANDER RODRIGUEZ ORTEGA46279</v>
      </c>
      <c r="C969" t="s">
        <v>16</v>
      </c>
      <c r="D969" s="121">
        <v>46279</v>
      </c>
      <c r="E969" t="s">
        <v>98</v>
      </c>
      <c r="F969" t="s">
        <v>72</v>
      </c>
      <c r="G969" s="122">
        <v>0</v>
      </c>
      <c r="H969" s="122">
        <v>0</v>
      </c>
      <c r="I969" s="112">
        <v>0</v>
      </c>
      <c r="J969" s="112">
        <v>0</v>
      </c>
      <c r="K969" s="23">
        <f t="shared" si="137"/>
        <v>0</v>
      </c>
      <c r="L969" s="23">
        <f t="shared" si="138"/>
        <v>0</v>
      </c>
      <c r="M969" s="12">
        <f t="shared" si="143"/>
        <v>0</v>
      </c>
      <c r="N969" s="23">
        <f t="shared" si="139"/>
        <v>0</v>
      </c>
      <c r="O969" s="41">
        <f t="shared" si="140"/>
        <v>0</v>
      </c>
      <c r="P969" s="13" t="str">
        <f t="shared" si="141"/>
        <v>NO</v>
      </c>
      <c r="Q969" s="23">
        <f t="shared" si="142"/>
        <v>0</v>
      </c>
      <c r="R969" s="12">
        <f t="shared" si="142"/>
        <v>0</v>
      </c>
    </row>
    <row r="970" spans="2:18">
      <c r="B970" t="str">
        <f t="shared" si="136"/>
        <v>RUDY ALEXANDER RODRIGUEZ ORTEGA46280</v>
      </c>
      <c r="C970" t="s">
        <v>16</v>
      </c>
      <c r="D970" s="121">
        <v>46280</v>
      </c>
      <c r="E970" t="s">
        <v>99</v>
      </c>
      <c r="F970" t="s">
        <v>35</v>
      </c>
      <c r="G970" s="122">
        <v>0.33333333333333298</v>
      </c>
      <c r="H970" s="122">
        <v>0.70833333333333304</v>
      </c>
      <c r="I970" s="112">
        <v>0</v>
      </c>
      <c r="J970" s="112">
        <v>0</v>
      </c>
      <c r="K970" s="23">
        <f t="shared" si="137"/>
        <v>0.33333333333333298</v>
      </c>
      <c r="L970" s="23">
        <f t="shared" si="138"/>
        <v>0</v>
      </c>
      <c r="M970" s="12">
        <f t="shared" si="143"/>
        <v>0.33333333333333298</v>
      </c>
      <c r="N970" s="23">
        <f t="shared" si="139"/>
        <v>0.70833333333333304</v>
      </c>
      <c r="O970" s="41">
        <f t="shared" si="140"/>
        <v>0</v>
      </c>
      <c r="P970" s="13" t="str">
        <f t="shared" si="141"/>
        <v>SI</v>
      </c>
      <c r="Q970" s="23">
        <f t="shared" si="142"/>
        <v>0.33333333333333298</v>
      </c>
      <c r="R970" s="12">
        <f t="shared" si="142"/>
        <v>0.70833333333333304</v>
      </c>
    </row>
    <row r="971" spans="2:18">
      <c r="B971" t="str">
        <f t="shared" si="136"/>
        <v>RUDY ALEXANDER RODRIGUEZ ORTEGA46281</v>
      </c>
      <c r="C971" t="s">
        <v>16</v>
      </c>
      <c r="D971" s="121">
        <v>46281</v>
      </c>
      <c r="E971" t="s">
        <v>100</v>
      </c>
      <c r="F971" t="s">
        <v>36</v>
      </c>
      <c r="G971" s="122">
        <v>0.79166666666666696</v>
      </c>
      <c r="H971" s="122">
        <v>0.20833333333333301</v>
      </c>
      <c r="I971" s="112">
        <v>0</v>
      </c>
      <c r="J971" s="112">
        <v>0</v>
      </c>
      <c r="K971" s="23">
        <f t="shared" si="137"/>
        <v>0.79166666666666696</v>
      </c>
      <c r="L971" s="23">
        <f t="shared" si="138"/>
        <v>0</v>
      </c>
      <c r="M971" s="12">
        <f t="shared" si="143"/>
        <v>0.79166666666666696</v>
      </c>
      <c r="N971" s="23">
        <f t="shared" si="139"/>
        <v>0.20833333333333301</v>
      </c>
      <c r="O971" s="41">
        <f t="shared" si="140"/>
        <v>0</v>
      </c>
      <c r="P971" s="13" t="str">
        <f t="shared" si="141"/>
        <v>SI</v>
      </c>
      <c r="Q971" s="23">
        <f t="shared" si="142"/>
        <v>0.79166666666666696</v>
      </c>
      <c r="R971" s="12">
        <f t="shared" si="142"/>
        <v>0.20833333333333301</v>
      </c>
    </row>
    <row r="972" spans="2:18">
      <c r="B972" t="str">
        <f t="shared" si="136"/>
        <v>RUDY ALEXANDER RODRIGUEZ ORTEGA46282</v>
      </c>
      <c r="C972" t="s">
        <v>16</v>
      </c>
      <c r="D972" s="121">
        <v>46282</v>
      </c>
      <c r="E972" t="s">
        <v>101</v>
      </c>
      <c r="F972" t="s">
        <v>36</v>
      </c>
      <c r="G972" s="122">
        <v>0.79166666666666696</v>
      </c>
      <c r="H972" s="122">
        <v>0.20833333333333301</v>
      </c>
      <c r="I972" s="112">
        <v>0</v>
      </c>
      <c r="J972" s="112">
        <v>0</v>
      </c>
      <c r="K972" s="23">
        <f t="shared" si="137"/>
        <v>0.79166666666666696</v>
      </c>
      <c r="L972" s="23">
        <f t="shared" si="138"/>
        <v>0</v>
      </c>
      <c r="M972" s="12">
        <f t="shared" si="143"/>
        <v>0.79166666666666696</v>
      </c>
      <c r="N972" s="23">
        <f t="shared" si="139"/>
        <v>0.20833333333333301</v>
      </c>
      <c r="O972" s="41">
        <f t="shared" si="140"/>
        <v>0</v>
      </c>
      <c r="P972" s="13" t="str">
        <f t="shared" si="141"/>
        <v>SI</v>
      </c>
      <c r="Q972" s="23">
        <f t="shared" si="142"/>
        <v>0.79166666666666696</v>
      </c>
      <c r="R972" s="12">
        <f t="shared" si="142"/>
        <v>0.20833333333333301</v>
      </c>
    </row>
    <row r="973" spans="2:18">
      <c r="B973" t="str">
        <f t="shared" si="136"/>
        <v>RUDY ALEXANDER RODRIGUEZ ORTEGA46283</v>
      </c>
      <c r="C973" t="s">
        <v>16</v>
      </c>
      <c r="D973" s="121">
        <v>46283</v>
      </c>
      <c r="E973" t="s">
        <v>95</v>
      </c>
      <c r="F973" t="s">
        <v>72</v>
      </c>
      <c r="G973" s="122">
        <v>0</v>
      </c>
      <c r="H973" s="122">
        <v>0</v>
      </c>
      <c r="I973" s="112">
        <v>0</v>
      </c>
      <c r="J973" s="112">
        <v>0</v>
      </c>
      <c r="K973" s="23">
        <f t="shared" si="137"/>
        <v>0</v>
      </c>
      <c r="L973" s="23">
        <f t="shared" si="138"/>
        <v>0</v>
      </c>
      <c r="M973" s="12">
        <f t="shared" si="143"/>
        <v>0</v>
      </c>
      <c r="N973" s="23">
        <f t="shared" si="139"/>
        <v>0</v>
      </c>
      <c r="O973" s="41">
        <f t="shared" si="140"/>
        <v>0</v>
      </c>
      <c r="P973" s="13" t="str">
        <f t="shared" si="141"/>
        <v>NO</v>
      </c>
      <c r="Q973" s="23">
        <f t="shared" si="142"/>
        <v>0</v>
      </c>
      <c r="R973" s="12">
        <f t="shared" si="142"/>
        <v>0</v>
      </c>
    </row>
    <row r="974" spans="2:18">
      <c r="B974" t="str">
        <f t="shared" si="136"/>
        <v>RUDY ALEXANDER RODRIGUEZ ORTEGA46284</v>
      </c>
      <c r="C974" t="s">
        <v>16</v>
      </c>
      <c r="D974" s="121">
        <v>46284</v>
      </c>
      <c r="E974" t="s">
        <v>96</v>
      </c>
      <c r="F974" t="s">
        <v>35</v>
      </c>
      <c r="G974" s="122">
        <v>0.29166666666666702</v>
      </c>
      <c r="H974" s="122">
        <v>0.5</v>
      </c>
      <c r="I974" s="112">
        <v>0</v>
      </c>
      <c r="J974" s="112">
        <v>0</v>
      </c>
      <c r="K974" s="23">
        <f t="shared" si="137"/>
        <v>0.29166666666666702</v>
      </c>
      <c r="L974" s="23">
        <f t="shared" si="138"/>
        <v>0</v>
      </c>
      <c r="M974" s="12">
        <f t="shared" si="143"/>
        <v>0.29166666666666702</v>
      </c>
      <c r="N974" s="23">
        <f t="shared" si="139"/>
        <v>0.5</v>
      </c>
      <c r="O974" s="41">
        <f t="shared" si="140"/>
        <v>0</v>
      </c>
      <c r="P974" s="13" t="str">
        <f t="shared" si="141"/>
        <v>SI</v>
      </c>
      <c r="Q974" s="23">
        <f t="shared" si="142"/>
        <v>0.29166666666666702</v>
      </c>
      <c r="R974" s="12">
        <f t="shared" si="142"/>
        <v>0.5</v>
      </c>
    </row>
    <row r="975" spans="2:18">
      <c r="B975" t="str">
        <f t="shared" si="136"/>
        <v>RUDY ALEXANDER RODRIGUEZ ORTEGA46285</v>
      </c>
      <c r="C975" t="s">
        <v>16</v>
      </c>
      <c r="D975" s="121">
        <v>46285</v>
      </c>
      <c r="E975" t="s">
        <v>97</v>
      </c>
      <c r="F975" t="s">
        <v>72</v>
      </c>
      <c r="G975" s="122">
        <v>0</v>
      </c>
      <c r="H975" s="122">
        <v>0</v>
      </c>
      <c r="I975" s="112">
        <v>0</v>
      </c>
      <c r="J975" s="112">
        <v>0</v>
      </c>
      <c r="K975" s="23">
        <f t="shared" si="137"/>
        <v>0</v>
      </c>
      <c r="L975" s="23">
        <f t="shared" si="138"/>
        <v>0</v>
      </c>
      <c r="M975" s="12">
        <f t="shared" si="143"/>
        <v>0</v>
      </c>
      <c r="N975" s="23">
        <f t="shared" si="139"/>
        <v>0</v>
      </c>
      <c r="O975" s="41">
        <f t="shared" si="140"/>
        <v>0</v>
      </c>
      <c r="P975" s="13" t="str">
        <f t="shared" si="141"/>
        <v>NO</v>
      </c>
      <c r="Q975" s="23">
        <f t="shared" si="142"/>
        <v>0</v>
      </c>
      <c r="R975" s="12">
        <f t="shared" si="142"/>
        <v>0</v>
      </c>
    </row>
    <row r="976" spans="2:18">
      <c r="B976" t="str">
        <f t="shared" si="136"/>
        <v>RUDY ALEXANDER RODRIGUEZ ORTEGA46286</v>
      </c>
      <c r="C976" t="s">
        <v>16</v>
      </c>
      <c r="D976" s="121">
        <v>46286</v>
      </c>
      <c r="E976" t="s">
        <v>98</v>
      </c>
      <c r="F976" t="s">
        <v>35</v>
      </c>
      <c r="G976" s="122">
        <v>0.29166666666666702</v>
      </c>
      <c r="H976" s="122">
        <v>0.75</v>
      </c>
      <c r="I976" s="112">
        <v>0</v>
      </c>
      <c r="J976" s="112">
        <v>0</v>
      </c>
      <c r="K976" s="23">
        <f t="shared" si="137"/>
        <v>0.29166666666666702</v>
      </c>
      <c r="L976" s="23">
        <f t="shared" si="138"/>
        <v>0</v>
      </c>
      <c r="M976" s="12">
        <f t="shared" si="143"/>
        <v>0.29166666666666702</v>
      </c>
      <c r="N976" s="23">
        <f t="shared" si="139"/>
        <v>0.75</v>
      </c>
      <c r="O976" s="41">
        <f t="shared" si="140"/>
        <v>0</v>
      </c>
      <c r="P976" s="13" t="str">
        <f t="shared" si="141"/>
        <v>SI</v>
      </c>
      <c r="Q976" s="23">
        <f t="shared" si="142"/>
        <v>0.29166666666666702</v>
      </c>
      <c r="R976" s="12">
        <f t="shared" si="142"/>
        <v>0.75</v>
      </c>
    </row>
    <row r="977" spans="2:18">
      <c r="B977" t="str">
        <f t="shared" si="136"/>
        <v>RUDY ALEXANDER RODRIGUEZ ORTEGA46287</v>
      </c>
      <c r="C977" t="s">
        <v>16</v>
      </c>
      <c r="D977" s="121">
        <v>46287</v>
      </c>
      <c r="E977" t="s">
        <v>99</v>
      </c>
      <c r="F977" t="s">
        <v>35</v>
      </c>
      <c r="G977" s="122">
        <v>0.29166666666666702</v>
      </c>
      <c r="H977" s="122">
        <v>0.75</v>
      </c>
      <c r="I977" s="112">
        <v>0</v>
      </c>
      <c r="J977" s="112">
        <v>0</v>
      </c>
      <c r="K977" s="23">
        <f t="shared" si="137"/>
        <v>0.29166666666666702</v>
      </c>
      <c r="L977" s="23">
        <f t="shared" si="138"/>
        <v>0</v>
      </c>
      <c r="M977" s="12">
        <f t="shared" si="143"/>
        <v>0.29166666666666702</v>
      </c>
      <c r="N977" s="23">
        <f t="shared" si="139"/>
        <v>0.75</v>
      </c>
      <c r="O977" s="41">
        <f t="shared" si="140"/>
        <v>0</v>
      </c>
      <c r="P977" s="13" t="str">
        <f t="shared" si="141"/>
        <v>SI</v>
      </c>
      <c r="Q977" s="23">
        <f t="shared" si="142"/>
        <v>0.29166666666666702</v>
      </c>
      <c r="R977" s="12">
        <f t="shared" si="142"/>
        <v>0.75</v>
      </c>
    </row>
    <row r="978" spans="2:18">
      <c r="B978" t="str">
        <f t="shared" si="136"/>
        <v>RUDY ALEXANDER RODRIGUEZ ORTEGA46288</v>
      </c>
      <c r="C978" t="s">
        <v>16</v>
      </c>
      <c r="D978" s="121">
        <v>46288</v>
      </c>
      <c r="E978" t="s">
        <v>100</v>
      </c>
      <c r="F978" t="s">
        <v>35</v>
      </c>
      <c r="G978" s="122">
        <v>0.29166666666666702</v>
      </c>
      <c r="H978" s="122">
        <v>0.75</v>
      </c>
      <c r="I978" s="112">
        <v>0</v>
      </c>
      <c r="J978" s="112">
        <v>0</v>
      </c>
      <c r="K978" s="23">
        <f t="shared" si="137"/>
        <v>0.29166666666666702</v>
      </c>
      <c r="L978" s="23">
        <f t="shared" si="138"/>
        <v>0</v>
      </c>
      <c r="M978" s="12">
        <f t="shared" si="143"/>
        <v>0.29166666666666702</v>
      </c>
      <c r="N978" s="23">
        <f t="shared" si="139"/>
        <v>0.75</v>
      </c>
      <c r="O978" s="41">
        <f t="shared" si="140"/>
        <v>0</v>
      </c>
      <c r="P978" s="13" t="str">
        <f t="shared" si="141"/>
        <v>SI</v>
      </c>
      <c r="Q978" s="23">
        <f t="shared" si="142"/>
        <v>0.29166666666666702</v>
      </c>
      <c r="R978" s="12">
        <f t="shared" si="142"/>
        <v>0.75</v>
      </c>
    </row>
    <row r="979" spans="2:18">
      <c r="B979" t="str">
        <f t="shared" si="136"/>
        <v>RUDY ALEXANDER RODRIGUEZ ORTEGA46289</v>
      </c>
      <c r="C979" t="s">
        <v>16</v>
      </c>
      <c r="D979" s="121">
        <v>46289</v>
      </c>
      <c r="E979" t="s">
        <v>101</v>
      </c>
      <c r="F979" t="s">
        <v>35</v>
      </c>
      <c r="G979" s="122">
        <v>0.29166666666666702</v>
      </c>
      <c r="H979" s="122">
        <v>0.75</v>
      </c>
      <c r="I979" s="112">
        <v>0</v>
      </c>
      <c r="J979" s="112">
        <v>0</v>
      </c>
      <c r="K979" s="23">
        <f t="shared" si="137"/>
        <v>0.29166666666666702</v>
      </c>
      <c r="L979" s="23">
        <f t="shared" si="138"/>
        <v>0</v>
      </c>
      <c r="M979" s="12">
        <f t="shared" si="143"/>
        <v>0.29166666666666702</v>
      </c>
      <c r="N979" s="23">
        <f t="shared" si="139"/>
        <v>0.75</v>
      </c>
      <c r="O979" s="41">
        <f t="shared" si="140"/>
        <v>0</v>
      </c>
      <c r="P979" s="13" t="str">
        <f t="shared" si="141"/>
        <v>SI</v>
      </c>
      <c r="Q979" s="23">
        <f t="shared" si="142"/>
        <v>0.29166666666666702</v>
      </c>
      <c r="R979" s="12">
        <f t="shared" si="142"/>
        <v>0.75</v>
      </c>
    </row>
    <row r="980" spans="2:18">
      <c r="B980" t="str">
        <f t="shared" si="136"/>
        <v>RUDY ALEXANDER RODRIGUEZ ORTEGA46290</v>
      </c>
      <c r="C980" t="s">
        <v>16</v>
      </c>
      <c r="D980" s="121">
        <v>46290</v>
      </c>
      <c r="E980" t="s">
        <v>95</v>
      </c>
      <c r="F980" t="s">
        <v>35</v>
      </c>
      <c r="G980" s="122">
        <v>0.29166666666666702</v>
      </c>
      <c r="H980" s="122">
        <v>0.75</v>
      </c>
      <c r="I980" s="112">
        <v>0</v>
      </c>
      <c r="J980" s="112">
        <v>0</v>
      </c>
      <c r="K980" s="23">
        <f t="shared" si="137"/>
        <v>0.29166666666666702</v>
      </c>
      <c r="L980" s="23">
        <f t="shared" si="138"/>
        <v>0</v>
      </c>
      <c r="M980" s="12">
        <f t="shared" si="143"/>
        <v>0.29166666666666702</v>
      </c>
      <c r="N980" s="23">
        <f t="shared" si="139"/>
        <v>0.75</v>
      </c>
      <c r="O980" s="41">
        <f t="shared" si="140"/>
        <v>0</v>
      </c>
      <c r="P980" s="13" t="str">
        <f t="shared" si="141"/>
        <v>SI</v>
      </c>
      <c r="Q980" s="23">
        <f t="shared" si="142"/>
        <v>0.29166666666666702</v>
      </c>
      <c r="R980" s="12">
        <f t="shared" si="142"/>
        <v>0.75</v>
      </c>
    </row>
    <row r="981" spans="2:18">
      <c r="B981" t="str">
        <f t="shared" si="136"/>
        <v>RUDY ALEXANDER RODRIGUEZ ORTEGA46291</v>
      </c>
      <c r="C981" t="s">
        <v>16</v>
      </c>
      <c r="D981" s="121">
        <v>46291</v>
      </c>
      <c r="E981" t="s">
        <v>96</v>
      </c>
      <c r="F981" t="s">
        <v>35</v>
      </c>
      <c r="G981" s="122">
        <v>0.29166666666666702</v>
      </c>
      <c r="H981" s="122">
        <v>0.58333333333333304</v>
      </c>
      <c r="I981" s="112">
        <v>0</v>
      </c>
      <c r="J981" s="112">
        <v>0</v>
      </c>
      <c r="K981" s="23">
        <f t="shared" si="137"/>
        <v>0.29166666666666702</v>
      </c>
      <c r="L981" s="23">
        <f t="shared" si="138"/>
        <v>0</v>
      </c>
      <c r="M981" s="12">
        <f t="shared" si="143"/>
        <v>0.29166666666666702</v>
      </c>
      <c r="N981" s="23">
        <f t="shared" si="139"/>
        <v>0.58333333333333304</v>
      </c>
      <c r="O981" s="41">
        <f t="shared" si="140"/>
        <v>0</v>
      </c>
      <c r="P981" s="13" t="str">
        <f t="shared" si="141"/>
        <v>SI</v>
      </c>
      <c r="Q981" s="23">
        <f t="shared" si="142"/>
        <v>0.29166666666666702</v>
      </c>
      <c r="R981" s="12">
        <f t="shared" si="142"/>
        <v>0.58333333333333304</v>
      </c>
    </row>
    <row r="982" spans="2:18">
      <c r="B982" t="str">
        <f t="shared" si="136"/>
        <v>RUDY ALEXANDER RODRIGUEZ ORTEGA46292</v>
      </c>
      <c r="C982" t="s">
        <v>16</v>
      </c>
      <c r="D982" s="121">
        <v>46292</v>
      </c>
      <c r="E982" t="s">
        <v>97</v>
      </c>
      <c r="F982" t="s">
        <v>72</v>
      </c>
      <c r="G982" s="122">
        <v>0</v>
      </c>
      <c r="H982" s="122">
        <v>0</v>
      </c>
      <c r="I982" s="112">
        <v>0</v>
      </c>
      <c r="J982" s="112">
        <v>0</v>
      </c>
      <c r="K982" s="23">
        <f t="shared" si="137"/>
        <v>0</v>
      </c>
      <c r="L982" s="23">
        <f t="shared" si="138"/>
        <v>0</v>
      </c>
      <c r="M982" s="12">
        <f t="shared" si="143"/>
        <v>0</v>
      </c>
      <c r="N982" s="23">
        <f t="shared" si="139"/>
        <v>0</v>
      </c>
      <c r="O982" s="41">
        <f t="shared" si="140"/>
        <v>0</v>
      </c>
      <c r="P982" s="13" t="str">
        <f t="shared" si="141"/>
        <v>NO</v>
      </c>
      <c r="Q982" s="23">
        <f t="shared" si="142"/>
        <v>0</v>
      </c>
      <c r="R982" s="12">
        <f t="shared" si="142"/>
        <v>0</v>
      </c>
    </row>
    <row r="983" spans="2:18">
      <c r="B983" t="str">
        <f t="shared" si="136"/>
        <v>RUDY ALEXANDER RODRIGUEZ ORTEGA46293</v>
      </c>
      <c r="C983" t="s">
        <v>16</v>
      </c>
      <c r="D983" s="121">
        <v>46293</v>
      </c>
      <c r="E983" t="s">
        <v>98</v>
      </c>
      <c r="F983" t="s">
        <v>35</v>
      </c>
      <c r="G983" s="122">
        <v>0.29166666666666702</v>
      </c>
      <c r="H983" s="122">
        <v>0.66666666666666696</v>
      </c>
      <c r="I983" s="112">
        <v>0</v>
      </c>
      <c r="J983" s="112">
        <v>0</v>
      </c>
      <c r="K983" s="23">
        <f t="shared" si="137"/>
        <v>0.29166666666666702</v>
      </c>
      <c r="L983" s="23">
        <f t="shared" si="138"/>
        <v>0</v>
      </c>
      <c r="M983" s="12">
        <f t="shared" si="143"/>
        <v>0.29166666666666702</v>
      </c>
      <c r="N983" s="23">
        <f t="shared" si="139"/>
        <v>0.66666666666666696</v>
      </c>
      <c r="O983" s="41">
        <f t="shared" si="140"/>
        <v>0</v>
      </c>
      <c r="P983" s="13" t="str">
        <f t="shared" si="141"/>
        <v>SI</v>
      </c>
      <c r="Q983" s="23">
        <f t="shared" si="142"/>
        <v>0.29166666666666702</v>
      </c>
      <c r="R983" s="12">
        <f t="shared" si="142"/>
        <v>0.66666666666666696</v>
      </c>
    </row>
    <row r="984" spans="2:18">
      <c r="B984" t="str">
        <f t="shared" si="136"/>
        <v>RUDY ALEXANDER RODRIGUEZ ORTEGA46294</v>
      </c>
      <c r="C984" t="s">
        <v>16</v>
      </c>
      <c r="D984" s="121">
        <v>46294</v>
      </c>
      <c r="E984" t="s">
        <v>99</v>
      </c>
      <c r="F984" t="s">
        <v>35</v>
      </c>
      <c r="G984" s="122">
        <v>0.29166666666666702</v>
      </c>
      <c r="H984" s="122">
        <v>0.66666666666666696</v>
      </c>
      <c r="I984" s="112">
        <v>0</v>
      </c>
      <c r="J984" s="112">
        <v>0</v>
      </c>
      <c r="K984" s="23">
        <f t="shared" si="137"/>
        <v>0.29166666666666702</v>
      </c>
      <c r="L984" s="23">
        <f t="shared" si="138"/>
        <v>0</v>
      </c>
      <c r="M984" s="12">
        <f t="shared" si="143"/>
        <v>0.29166666666666702</v>
      </c>
      <c r="N984" s="23">
        <f t="shared" si="139"/>
        <v>0.66666666666666696</v>
      </c>
      <c r="O984" s="41">
        <f t="shared" si="140"/>
        <v>0</v>
      </c>
      <c r="P984" s="13" t="str">
        <f t="shared" si="141"/>
        <v>SI</v>
      </c>
      <c r="Q984" s="23">
        <f t="shared" si="142"/>
        <v>0.29166666666666702</v>
      </c>
      <c r="R984" s="12">
        <f t="shared" si="142"/>
        <v>0.66666666666666696</v>
      </c>
    </row>
    <row r="985" spans="2:18">
      <c r="B985" t="str">
        <f t="shared" si="136"/>
        <v>RUDY ALEXANDER RODRIGUEZ ORTEGA46295</v>
      </c>
      <c r="C985" t="s">
        <v>16</v>
      </c>
      <c r="D985" s="121">
        <v>46295</v>
      </c>
      <c r="E985" t="s">
        <v>100</v>
      </c>
      <c r="F985" t="s">
        <v>35</v>
      </c>
      <c r="G985" s="122">
        <v>0.29166666666666702</v>
      </c>
      <c r="H985" s="122">
        <v>0.66666666666666696</v>
      </c>
      <c r="I985" s="112">
        <v>0</v>
      </c>
      <c r="J985" s="112">
        <v>0</v>
      </c>
      <c r="K985" s="23">
        <f t="shared" si="137"/>
        <v>0.29166666666666702</v>
      </c>
      <c r="L985" s="23">
        <f t="shared" si="138"/>
        <v>0</v>
      </c>
      <c r="M985" s="12">
        <f t="shared" si="143"/>
        <v>0.29166666666666702</v>
      </c>
      <c r="N985" s="23">
        <f t="shared" si="139"/>
        <v>0.66666666666666696</v>
      </c>
      <c r="O985" s="41">
        <f t="shared" si="140"/>
        <v>0</v>
      </c>
      <c r="P985" s="13" t="str">
        <f t="shared" si="141"/>
        <v>SI</v>
      </c>
      <c r="Q985" s="23">
        <f t="shared" si="142"/>
        <v>0.29166666666666702</v>
      </c>
      <c r="R985" s="12">
        <f t="shared" si="142"/>
        <v>0.66666666666666696</v>
      </c>
    </row>
    <row r="986" spans="2:18">
      <c r="B986" t="str">
        <f t="shared" si="136"/>
        <v>RUDY ALEXANDER RODRIGUEZ ORTEGA46296</v>
      </c>
      <c r="C986" t="s">
        <v>16</v>
      </c>
      <c r="D986" s="121">
        <v>46296</v>
      </c>
      <c r="E986" t="s">
        <v>101</v>
      </c>
      <c r="F986" t="s">
        <v>35</v>
      </c>
      <c r="G986" s="122">
        <v>0.29166666666666702</v>
      </c>
      <c r="H986" s="122">
        <v>0.66666666666666696</v>
      </c>
      <c r="I986" s="112">
        <v>0</v>
      </c>
      <c r="J986" s="112">
        <v>0</v>
      </c>
      <c r="K986" s="23">
        <f t="shared" si="137"/>
        <v>0.29166666666666702</v>
      </c>
      <c r="L986" s="23">
        <f t="shared" si="138"/>
        <v>0</v>
      </c>
      <c r="M986" s="12">
        <f t="shared" si="143"/>
        <v>0.29166666666666702</v>
      </c>
      <c r="N986" s="23">
        <f t="shared" si="139"/>
        <v>0.66666666666666696</v>
      </c>
      <c r="O986" s="41">
        <f t="shared" si="140"/>
        <v>0</v>
      </c>
      <c r="P986" s="13" t="str">
        <f t="shared" si="141"/>
        <v>SI</v>
      </c>
      <c r="Q986" s="23">
        <f t="shared" si="142"/>
        <v>0.29166666666666702</v>
      </c>
      <c r="R986" s="12">
        <f t="shared" si="142"/>
        <v>0.66666666666666696</v>
      </c>
    </row>
    <row r="987" spans="2:18">
      <c r="B987" t="str">
        <f t="shared" si="136"/>
        <v>RUDY ALEXANDER RODRIGUEZ ORTEGA46297</v>
      </c>
      <c r="C987" t="s">
        <v>16</v>
      </c>
      <c r="D987" s="121">
        <v>46297</v>
      </c>
      <c r="E987" t="s">
        <v>95</v>
      </c>
      <c r="F987" t="s">
        <v>35</v>
      </c>
      <c r="G987" s="122">
        <v>0.29166666666666702</v>
      </c>
      <c r="H987" s="122">
        <v>0.66666666666666696</v>
      </c>
      <c r="I987" s="112">
        <v>0</v>
      </c>
      <c r="J987" s="112">
        <v>0</v>
      </c>
      <c r="K987" s="23">
        <f t="shared" si="137"/>
        <v>0.29166666666666702</v>
      </c>
      <c r="L987" s="23">
        <f t="shared" si="138"/>
        <v>0</v>
      </c>
      <c r="M987" s="12">
        <f t="shared" si="143"/>
        <v>0.29166666666666702</v>
      </c>
      <c r="N987" s="23">
        <f t="shared" si="139"/>
        <v>0.66666666666666696</v>
      </c>
      <c r="O987" s="41">
        <f t="shared" si="140"/>
        <v>0</v>
      </c>
      <c r="P987" s="13" t="str">
        <f t="shared" si="141"/>
        <v>SI</v>
      </c>
      <c r="Q987" s="23">
        <f t="shared" si="142"/>
        <v>0.29166666666666702</v>
      </c>
      <c r="R987" s="12">
        <f t="shared" si="142"/>
        <v>0.66666666666666696</v>
      </c>
    </row>
    <row r="988" spans="2:18">
      <c r="B988" t="str">
        <f t="shared" si="136"/>
        <v>RUDY ALEXANDER RODRIGUEZ ORTEGA46298</v>
      </c>
      <c r="C988" t="s">
        <v>16</v>
      </c>
      <c r="D988" s="121">
        <v>46298</v>
      </c>
      <c r="E988" t="s">
        <v>96</v>
      </c>
      <c r="F988" t="s">
        <v>35</v>
      </c>
      <c r="G988" s="122">
        <v>0.29166666666666702</v>
      </c>
      <c r="H988" s="122">
        <v>0.5</v>
      </c>
      <c r="I988" s="112">
        <v>0</v>
      </c>
      <c r="J988" s="112">
        <v>0</v>
      </c>
      <c r="K988" s="23">
        <f t="shared" si="137"/>
        <v>0.29166666666666702</v>
      </c>
      <c r="L988" s="23">
        <f t="shared" si="138"/>
        <v>0</v>
      </c>
      <c r="M988" s="12">
        <f t="shared" si="143"/>
        <v>0.29166666666666702</v>
      </c>
      <c r="N988" s="23">
        <f t="shared" si="139"/>
        <v>0.5</v>
      </c>
      <c r="O988" s="41">
        <f t="shared" si="140"/>
        <v>0</v>
      </c>
      <c r="P988" s="13" t="str">
        <f t="shared" si="141"/>
        <v>SI</v>
      </c>
      <c r="Q988" s="23">
        <f t="shared" si="142"/>
        <v>0.29166666666666702</v>
      </c>
      <c r="R988" s="12">
        <f t="shared" si="142"/>
        <v>0.5</v>
      </c>
    </row>
    <row r="989" spans="2:18">
      <c r="B989" t="str">
        <f t="shared" si="136"/>
        <v>RUDY ALEXANDER RODRIGUEZ ORTEGA46299</v>
      </c>
      <c r="C989" t="s">
        <v>16</v>
      </c>
      <c r="D989" s="121">
        <v>46299</v>
      </c>
      <c r="E989" t="s">
        <v>97</v>
      </c>
      <c r="F989" t="s">
        <v>72</v>
      </c>
      <c r="G989" s="122">
        <v>0</v>
      </c>
      <c r="H989" s="122">
        <v>0</v>
      </c>
      <c r="I989" s="112">
        <v>0</v>
      </c>
      <c r="J989" s="112">
        <v>0</v>
      </c>
      <c r="K989" s="23">
        <f t="shared" si="137"/>
        <v>0</v>
      </c>
      <c r="L989" s="23">
        <f t="shared" si="138"/>
        <v>0</v>
      </c>
      <c r="M989" s="12">
        <f t="shared" si="143"/>
        <v>0</v>
      </c>
      <c r="N989" s="23">
        <f t="shared" si="139"/>
        <v>0</v>
      </c>
      <c r="O989" s="41">
        <f t="shared" si="140"/>
        <v>0</v>
      </c>
      <c r="P989" s="13" t="str">
        <f t="shared" si="141"/>
        <v>NO</v>
      </c>
      <c r="Q989" s="23">
        <f t="shared" si="142"/>
        <v>0</v>
      </c>
      <c r="R989" s="12">
        <f t="shared" si="142"/>
        <v>0</v>
      </c>
    </row>
    <row r="990" spans="2:18">
      <c r="B990" t="str">
        <f t="shared" si="136"/>
        <v>RUIZ GARCIA  CARLOS RENE46279</v>
      </c>
      <c r="C990" t="s">
        <v>140</v>
      </c>
      <c r="D990" s="121">
        <v>46279</v>
      </c>
      <c r="E990" t="s">
        <v>98</v>
      </c>
      <c r="F990" t="s">
        <v>72</v>
      </c>
      <c r="G990" s="122">
        <v>0</v>
      </c>
      <c r="H990" s="122">
        <v>0</v>
      </c>
      <c r="I990" s="112">
        <v>0</v>
      </c>
      <c r="J990" s="112">
        <v>0</v>
      </c>
      <c r="K990" s="23">
        <f t="shared" si="137"/>
        <v>0</v>
      </c>
      <c r="L990" s="23">
        <f t="shared" si="138"/>
        <v>0</v>
      </c>
      <c r="M990" s="12">
        <f t="shared" si="143"/>
        <v>0</v>
      </c>
      <c r="N990" s="23">
        <f t="shared" si="139"/>
        <v>0</v>
      </c>
      <c r="O990" s="41">
        <f t="shared" si="140"/>
        <v>0</v>
      </c>
      <c r="P990" s="13" t="str">
        <f t="shared" si="141"/>
        <v>NO</v>
      </c>
      <c r="Q990" s="23">
        <f t="shared" si="142"/>
        <v>0</v>
      </c>
      <c r="R990" s="12">
        <f t="shared" si="142"/>
        <v>0</v>
      </c>
    </row>
    <row r="991" spans="2:18">
      <c r="B991" t="str">
        <f t="shared" si="136"/>
        <v>RUIZ GARCIA  CARLOS RENE46280</v>
      </c>
      <c r="C991" t="s">
        <v>140</v>
      </c>
      <c r="D991" s="121">
        <v>46280</v>
      </c>
      <c r="E991" t="s">
        <v>99</v>
      </c>
      <c r="F991" t="s">
        <v>35</v>
      </c>
      <c r="G991" s="122">
        <v>0.33333333333333298</v>
      </c>
      <c r="H991" s="122">
        <v>0.70833333333333304</v>
      </c>
      <c r="I991" s="112">
        <v>0</v>
      </c>
      <c r="J991" s="112">
        <v>0</v>
      </c>
      <c r="K991" s="23">
        <f t="shared" si="137"/>
        <v>0.33333333333333298</v>
      </c>
      <c r="L991" s="23">
        <f t="shared" si="138"/>
        <v>0</v>
      </c>
      <c r="M991" s="12">
        <f t="shared" si="143"/>
        <v>0.33333333333333298</v>
      </c>
      <c r="N991" s="23">
        <f t="shared" si="139"/>
        <v>0.70833333333333304</v>
      </c>
      <c r="O991" s="41">
        <f t="shared" si="140"/>
        <v>0</v>
      </c>
      <c r="P991" s="13" t="str">
        <f t="shared" si="141"/>
        <v>SI</v>
      </c>
      <c r="Q991" s="23">
        <f t="shared" si="142"/>
        <v>0.33333333333333298</v>
      </c>
      <c r="R991" s="12">
        <f t="shared" si="142"/>
        <v>0.70833333333333304</v>
      </c>
    </row>
    <row r="992" spans="2:18">
      <c r="B992" t="str">
        <f t="shared" si="136"/>
        <v>RUIZ GARCIA  CARLOS RENE46281</v>
      </c>
      <c r="C992" t="s">
        <v>140</v>
      </c>
      <c r="D992" s="121">
        <v>46281</v>
      </c>
      <c r="E992" t="s">
        <v>100</v>
      </c>
      <c r="F992" t="s">
        <v>35</v>
      </c>
      <c r="G992" s="122">
        <v>0.33333333333333298</v>
      </c>
      <c r="H992" s="122">
        <v>0.70833333333333304</v>
      </c>
      <c r="I992" s="112">
        <v>0</v>
      </c>
      <c r="J992" s="112">
        <v>0</v>
      </c>
      <c r="K992" s="23">
        <f t="shared" si="137"/>
        <v>0.33333333333333298</v>
      </c>
      <c r="L992" s="23">
        <f t="shared" si="138"/>
        <v>0</v>
      </c>
      <c r="M992" s="12">
        <f t="shared" si="143"/>
        <v>0.33333333333333298</v>
      </c>
      <c r="N992" s="23">
        <f t="shared" si="139"/>
        <v>0.70833333333333304</v>
      </c>
      <c r="O992" s="41">
        <f t="shared" si="140"/>
        <v>0</v>
      </c>
      <c r="P992" s="13" t="str">
        <f t="shared" si="141"/>
        <v>SI</v>
      </c>
      <c r="Q992" s="23">
        <f t="shared" si="142"/>
        <v>0.33333333333333298</v>
      </c>
      <c r="R992" s="12">
        <f t="shared" si="142"/>
        <v>0.70833333333333304</v>
      </c>
    </row>
    <row r="993" spans="2:18">
      <c r="B993" t="str">
        <f t="shared" si="136"/>
        <v>RUIZ GARCIA  CARLOS RENE46282</v>
      </c>
      <c r="C993" t="s">
        <v>140</v>
      </c>
      <c r="D993" s="121">
        <v>46282</v>
      </c>
      <c r="E993" t="s">
        <v>101</v>
      </c>
      <c r="F993" t="s">
        <v>35</v>
      </c>
      <c r="G993" s="122">
        <v>0.23958333333333301</v>
      </c>
      <c r="H993" s="122">
        <v>0.75</v>
      </c>
      <c r="I993" s="112">
        <v>0</v>
      </c>
      <c r="J993" s="112">
        <v>0</v>
      </c>
      <c r="K993" s="23">
        <f t="shared" si="137"/>
        <v>0.23958333333333301</v>
      </c>
      <c r="L993" s="23">
        <f t="shared" si="138"/>
        <v>0</v>
      </c>
      <c r="M993" s="12">
        <f t="shared" si="143"/>
        <v>0.23958333333333301</v>
      </c>
      <c r="N993" s="23">
        <f t="shared" si="139"/>
        <v>0.75</v>
      </c>
      <c r="O993" s="41">
        <f t="shared" si="140"/>
        <v>0</v>
      </c>
      <c r="P993" s="13" t="str">
        <f t="shared" si="141"/>
        <v>SI</v>
      </c>
      <c r="Q993" s="23">
        <f t="shared" si="142"/>
        <v>0.23958333333333301</v>
      </c>
      <c r="R993" s="12">
        <f t="shared" si="142"/>
        <v>0.75</v>
      </c>
    </row>
    <row r="994" spans="2:18">
      <c r="B994" t="str">
        <f t="shared" si="136"/>
        <v>RUIZ GARCIA  CARLOS RENE46283</v>
      </c>
      <c r="C994" t="s">
        <v>140</v>
      </c>
      <c r="D994" s="121">
        <v>46283</v>
      </c>
      <c r="E994" t="s">
        <v>95</v>
      </c>
      <c r="F994" t="s">
        <v>35</v>
      </c>
      <c r="G994" s="122">
        <v>0.23958333333333301</v>
      </c>
      <c r="H994" s="122">
        <v>0.75</v>
      </c>
      <c r="I994" s="112">
        <v>0</v>
      </c>
      <c r="J994" s="112">
        <v>0</v>
      </c>
      <c r="K994" s="23">
        <f t="shared" si="137"/>
        <v>0.23958333333333301</v>
      </c>
      <c r="L994" s="23">
        <f t="shared" si="138"/>
        <v>0</v>
      </c>
      <c r="M994" s="12">
        <f t="shared" si="143"/>
        <v>0.23958333333333301</v>
      </c>
      <c r="N994" s="23">
        <f t="shared" si="139"/>
        <v>0.75</v>
      </c>
      <c r="O994" s="41">
        <f t="shared" si="140"/>
        <v>0</v>
      </c>
      <c r="P994" s="13" t="str">
        <f t="shared" si="141"/>
        <v>SI</v>
      </c>
      <c r="Q994" s="23">
        <f t="shared" si="142"/>
        <v>0.23958333333333301</v>
      </c>
      <c r="R994" s="12">
        <f t="shared" si="142"/>
        <v>0.75</v>
      </c>
    </row>
    <row r="995" spans="2:18">
      <c r="B995" t="str">
        <f t="shared" si="136"/>
        <v>RUIZ GARCIA  CARLOS RENE46284</v>
      </c>
      <c r="C995" t="s">
        <v>140</v>
      </c>
      <c r="D995" s="121">
        <v>46284</v>
      </c>
      <c r="E995" t="s">
        <v>96</v>
      </c>
      <c r="F995" t="s">
        <v>72</v>
      </c>
      <c r="G995" s="122">
        <v>0</v>
      </c>
      <c r="H995" s="122">
        <v>0</v>
      </c>
      <c r="I995" s="112">
        <v>0</v>
      </c>
      <c r="J995" s="112">
        <v>0</v>
      </c>
      <c r="K995" s="23">
        <f t="shared" si="137"/>
        <v>0</v>
      </c>
      <c r="L995" s="23">
        <f t="shared" si="138"/>
        <v>0</v>
      </c>
      <c r="M995" s="12">
        <f t="shared" si="143"/>
        <v>0</v>
      </c>
      <c r="N995" s="23">
        <f t="shared" si="139"/>
        <v>0</v>
      </c>
      <c r="O995" s="41">
        <f t="shared" si="140"/>
        <v>0</v>
      </c>
      <c r="P995" s="13" t="str">
        <f t="shared" si="141"/>
        <v>NO</v>
      </c>
      <c r="Q995" s="23">
        <f t="shared" si="142"/>
        <v>0</v>
      </c>
      <c r="R995" s="12">
        <f t="shared" si="142"/>
        <v>0</v>
      </c>
    </row>
    <row r="996" spans="2:18">
      <c r="B996" t="str">
        <f t="shared" si="136"/>
        <v>RUIZ GARCIA  CARLOS RENE46285</v>
      </c>
      <c r="C996" t="s">
        <v>140</v>
      </c>
      <c r="D996" s="121">
        <v>46285</v>
      </c>
      <c r="E996" t="s">
        <v>97</v>
      </c>
      <c r="F996" t="s">
        <v>72</v>
      </c>
      <c r="G996" s="122">
        <v>0</v>
      </c>
      <c r="H996" s="122">
        <v>0</v>
      </c>
      <c r="I996" s="112">
        <v>0</v>
      </c>
      <c r="J996" s="112">
        <v>0</v>
      </c>
      <c r="K996" s="23">
        <f t="shared" si="137"/>
        <v>0</v>
      </c>
      <c r="L996" s="23">
        <f t="shared" si="138"/>
        <v>0</v>
      </c>
      <c r="M996" s="12">
        <f t="shared" si="143"/>
        <v>0</v>
      </c>
      <c r="N996" s="23">
        <f t="shared" si="139"/>
        <v>0</v>
      </c>
      <c r="O996" s="41">
        <f t="shared" si="140"/>
        <v>0</v>
      </c>
      <c r="P996" s="13" t="str">
        <f t="shared" si="141"/>
        <v>NO</v>
      </c>
      <c r="Q996" s="23">
        <f t="shared" si="142"/>
        <v>0</v>
      </c>
      <c r="R996" s="12">
        <f t="shared" si="142"/>
        <v>0</v>
      </c>
    </row>
    <row r="997" spans="2:18">
      <c r="B997" t="str">
        <f t="shared" si="136"/>
        <v>RUIZ GARCIA  CARLOS RENE46286</v>
      </c>
      <c r="C997" t="s">
        <v>140</v>
      </c>
      <c r="D997" s="121">
        <v>46286</v>
      </c>
      <c r="E997" t="s">
        <v>98</v>
      </c>
      <c r="F997" t="s">
        <v>35</v>
      </c>
      <c r="G997" s="122">
        <v>0.23958333333333301</v>
      </c>
      <c r="H997" s="122">
        <v>0.75</v>
      </c>
      <c r="I997" s="112">
        <v>0</v>
      </c>
      <c r="J997" s="112">
        <v>0</v>
      </c>
      <c r="K997" s="23">
        <f t="shared" si="137"/>
        <v>0.23958333333333301</v>
      </c>
      <c r="L997" s="23">
        <f t="shared" si="138"/>
        <v>0</v>
      </c>
      <c r="M997" s="12">
        <f t="shared" si="143"/>
        <v>0.23958333333333301</v>
      </c>
      <c r="N997" s="23">
        <f t="shared" si="139"/>
        <v>0.75</v>
      </c>
      <c r="O997" s="41">
        <f t="shared" si="140"/>
        <v>0</v>
      </c>
      <c r="P997" s="13" t="str">
        <f t="shared" si="141"/>
        <v>SI</v>
      </c>
      <c r="Q997" s="23">
        <f t="shared" si="142"/>
        <v>0.23958333333333301</v>
      </c>
      <c r="R997" s="12">
        <f t="shared" si="142"/>
        <v>0.75</v>
      </c>
    </row>
    <row r="998" spans="2:18">
      <c r="B998" t="str">
        <f t="shared" si="136"/>
        <v>RUIZ GARCIA  CARLOS RENE46287</v>
      </c>
      <c r="C998" t="s">
        <v>140</v>
      </c>
      <c r="D998" s="121">
        <v>46287</v>
      </c>
      <c r="E998" t="s">
        <v>99</v>
      </c>
      <c r="F998" t="s">
        <v>35</v>
      </c>
      <c r="G998" s="122">
        <v>0.23958333333333301</v>
      </c>
      <c r="H998" s="122">
        <v>0.75</v>
      </c>
      <c r="I998" s="112">
        <v>0</v>
      </c>
      <c r="J998" s="112">
        <v>0</v>
      </c>
      <c r="K998" s="23">
        <f t="shared" si="137"/>
        <v>0.23958333333333301</v>
      </c>
      <c r="L998" s="23">
        <f t="shared" si="138"/>
        <v>0</v>
      </c>
      <c r="M998" s="12">
        <f t="shared" si="143"/>
        <v>0.23958333333333301</v>
      </c>
      <c r="N998" s="23">
        <f t="shared" si="139"/>
        <v>0.75</v>
      </c>
      <c r="O998" s="41">
        <f t="shared" si="140"/>
        <v>0</v>
      </c>
      <c r="P998" s="13" t="str">
        <f t="shared" si="141"/>
        <v>SI</v>
      </c>
      <c r="Q998" s="23">
        <f t="shared" si="142"/>
        <v>0.23958333333333301</v>
      </c>
      <c r="R998" s="12">
        <f t="shared" si="142"/>
        <v>0.75</v>
      </c>
    </row>
    <row r="999" spans="2:18">
      <c r="B999" t="str">
        <f t="shared" si="136"/>
        <v>RUIZ GARCIA  CARLOS RENE46288</v>
      </c>
      <c r="C999" t="s">
        <v>140</v>
      </c>
      <c r="D999" s="121">
        <v>46288</v>
      </c>
      <c r="E999" t="s">
        <v>100</v>
      </c>
      <c r="F999" t="s">
        <v>35</v>
      </c>
      <c r="G999" s="122">
        <v>0.23958333333333301</v>
      </c>
      <c r="H999" s="122">
        <v>0.75</v>
      </c>
      <c r="I999" s="112">
        <v>0</v>
      </c>
      <c r="J999" s="112">
        <v>0</v>
      </c>
      <c r="K999" s="23">
        <f t="shared" si="137"/>
        <v>0.23958333333333301</v>
      </c>
      <c r="L999" s="23">
        <f t="shared" si="138"/>
        <v>0</v>
      </c>
      <c r="M999" s="12">
        <f t="shared" si="143"/>
        <v>0.23958333333333301</v>
      </c>
      <c r="N999" s="23">
        <f t="shared" si="139"/>
        <v>0.75</v>
      </c>
      <c r="O999" s="41">
        <f t="shared" si="140"/>
        <v>0</v>
      </c>
      <c r="P999" s="13" t="str">
        <f t="shared" si="141"/>
        <v>SI</v>
      </c>
      <c r="Q999" s="23">
        <f t="shared" si="142"/>
        <v>0.23958333333333301</v>
      </c>
      <c r="R999" s="12">
        <f t="shared" si="142"/>
        <v>0.75</v>
      </c>
    </row>
    <row r="1000" spans="2:18">
      <c r="B1000" t="str">
        <f t="shared" si="136"/>
        <v>RUIZ GARCIA  CARLOS RENE46289</v>
      </c>
      <c r="C1000" t="s">
        <v>140</v>
      </c>
      <c r="D1000" s="121">
        <v>46289</v>
      </c>
      <c r="E1000" t="s">
        <v>101</v>
      </c>
      <c r="F1000" t="s">
        <v>35</v>
      </c>
      <c r="G1000" s="122">
        <v>0.23958333333333301</v>
      </c>
      <c r="H1000" s="122">
        <v>0.75</v>
      </c>
      <c r="I1000" s="112">
        <v>0</v>
      </c>
      <c r="J1000" s="112">
        <v>0</v>
      </c>
      <c r="K1000" s="23">
        <f t="shared" si="137"/>
        <v>0.23958333333333301</v>
      </c>
      <c r="L1000" s="23">
        <f t="shared" si="138"/>
        <v>0</v>
      </c>
      <c r="M1000" s="12">
        <f t="shared" si="143"/>
        <v>0.23958333333333301</v>
      </c>
      <c r="N1000" s="23">
        <f t="shared" si="139"/>
        <v>0.75</v>
      </c>
      <c r="O1000" s="41">
        <f t="shared" si="140"/>
        <v>0</v>
      </c>
      <c r="P1000" s="13" t="str">
        <f t="shared" si="141"/>
        <v>SI</v>
      </c>
      <c r="Q1000" s="23">
        <f t="shared" si="142"/>
        <v>0.23958333333333301</v>
      </c>
      <c r="R1000" s="12">
        <f t="shared" si="142"/>
        <v>0.75</v>
      </c>
    </row>
    <row r="1001" spans="2:18">
      <c r="B1001" t="str">
        <f t="shared" si="136"/>
        <v>RUIZ GARCIA  CARLOS RENE46290</v>
      </c>
      <c r="C1001" t="s">
        <v>140</v>
      </c>
      <c r="D1001" s="121">
        <v>46290</v>
      </c>
      <c r="E1001" t="s">
        <v>95</v>
      </c>
      <c r="F1001" t="s">
        <v>35</v>
      </c>
      <c r="G1001" s="122">
        <v>0.23958333333333301</v>
      </c>
      <c r="H1001" s="122">
        <v>0.75</v>
      </c>
      <c r="I1001" s="112">
        <v>0</v>
      </c>
      <c r="J1001" s="112">
        <v>0</v>
      </c>
      <c r="K1001" s="23">
        <f t="shared" si="137"/>
        <v>0.23958333333333301</v>
      </c>
      <c r="L1001" s="23">
        <f t="shared" si="138"/>
        <v>0</v>
      </c>
      <c r="M1001" s="12">
        <f t="shared" si="143"/>
        <v>0.23958333333333301</v>
      </c>
      <c r="N1001" s="23">
        <f t="shared" si="139"/>
        <v>0.75</v>
      </c>
      <c r="O1001" s="41">
        <f t="shared" si="140"/>
        <v>0</v>
      </c>
      <c r="P1001" s="13" t="str">
        <f t="shared" si="141"/>
        <v>SI</v>
      </c>
      <c r="Q1001" s="23">
        <f t="shared" si="142"/>
        <v>0.23958333333333301</v>
      </c>
      <c r="R1001" s="12">
        <f t="shared" si="142"/>
        <v>0.75</v>
      </c>
    </row>
    <row r="1002" spans="2:18">
      <c r="B1002" t="str">
        <f t="shared" si="136"/>
        <v>RUIZ GARCIA  CARLOS RENE46291</v>
      </c>
      <c r="C1002" t="s">
        <v>140</v>
      </c>
      <c r="D1002" s="121">
        <v>46291</v>
      </c>
      <c r="E1002" t="s">
        <v>96</v>
      </c>
      <c r="F1002" t="s">
        <v>35</v>
      </c>
      <c r="G1002" s="122">
        <v>0.23958333333333301</v>
      </c>
      <c r="H1002" s="122">
        <v>0.58333333333333304</v>
      </c>
      <c r="I1002" s="112">
        <v>0</v>
      </c>
      <c r="J1002" s="112">
        <v>0</v>
      </c>
      <c r="K1002" s="23">
        <f t="shared" si="137"/>
        <v>0.23958333333333301</v>
      </c>
      <c r="L1002" s="23">
        <f t="shared" si="138"/>
        <v>0</v>
      </c>
      <c r="M1002" s="12">
        <f t="shared" si="143"/>
        <v>0.23958333333333301</v>
      </c>
      <c r="N1002" s="23">
        <f t="shared" si="139"/>
        <v>0.58333333333333304</v>
      </c>
      <c r="O1002" s="41">
        <f t="shared" si="140"/>
        <v>0</v>
      </c>
      <c r="P1002" s="13" t="str">
        <f t="shared" si="141"/>
        <v>SI</v>
      </c>
      <c r="Q1002" s="23">
        <f t="shared" si="142"/>
        <v>0.23958333333333301</v>
      </c>
      <c r="R1002" s="12">
        <f t="shared" si="142"/>
        <v>0.58333333333333304</v>
      </c>
    </row>
    <row r="1003" spans="2:18">
      <c r="B1003" t="str">
        <f t="shared" si="136"/>
        <v>RUIZ GARCIA  CARLOS RENE46292</v>
      </c>
      <c r="C1003" t="s">
        <v>140</v>
      </c>
      <c r="D1003" s="121">
        <v>46292</v>
      </c>
      <c r="E1003" t="s">
        <v>97</v>
      </c>
      <c r="F1003" t="s">
        <v>72</v>
      </c>
      <c r="G1003" s="122">
        <v>0</v>
      </c>
      <c r="H1003" s="122">
        <v>0</v>
      </c>
      <c r="I1003" s="112">
        <v>0</v>
      </c>
      <c r="J1003" s="112">
        <v>0</v>
      </c>
      <c r="K1003" s="23">
        <f t="shared" si="137"/>
        <v>0</v>
      </c>
      <c r="L1003" s="23">
        <f t="shared" si="138"/>
        <v>0</v>
      </c>
      <c r="M1003" s="12">
        <f t="shared" si="143"/>
        <v>0</v>
      </c>
      <c r="N1003" s="23">
        <f t="shared" si="139"/>
        <v>0</v>
      </c>
      <c r="O1003" s="41">
        <f t="shared" si="140"/>
        <v>0</v>
      </c>
      <c r="P1003" s="13" t="str">
        <f t="shared" si="141"/>
        <v>NO</v>
      </c>
      <c r="Q1003" s="23">
        <f t="shared" si="142"/>
        <v>0</v>
      </c>
      <c r="R1003" s="12">
        <f t="shared" si="142"/>
        <v>0</v>
      </c>
    </row>
    <row r="1004" spans="2:18">
      <c r="B1004" t="str">
        <f t="shared" si="136"/>
        <v>RUIZ GARCIA  CARLOS RENE46293</v>
      </c>
      <c r="C1004" t="s">
        <v>140</v>
      </c>
      <c r="D1004" s="121">
        <v>46293</v>
      </c>
      <c r="E1004" t="s">
        <v>98</v>
      </c>
      <c r="F1004" t="s">
        <v>36</v>
      </c>
      <c r="G1004" s="122">
        <v>0.73958333333333304</v>
      </c>
      <c r="H1004" s="122">
        <v>0.25</v>
      </c>
      <c r="I1004" s="112">
        <v>0</v>
      </c>
      <c r="J1004" s="112">
        <v>0</v>
      </c>
      <c r="K1004" s="23">
        <f t="shared" si="137"/>
        <v>0.73958333333333304</v>
      </c>
      <c r="L1004" s="23">
        <f t="shared" si="138"/>
        <v>0</v>
      </c>
      <c r="M1004" s="12">
        <f t="shared" si="143"/>
        <v>0.73958333333333304</v>
      </c>
      <c r="N1004" s="23">
        <f t="shared" si="139"/>
        <v>0.25</v>
      </c>
      <c r="O1004" s="41">
        <f t="shared" si="140"/>
        <v>0</v>
      </c>
      <c r="P1004" s="13" t="str">
        <f t="shared" si="141"/>
        <v>SI</v>
      </c>
      <c r="Q1004" s="23">
        <f t="shared" si="142"/>
        <v>0.73958333333333304</v>
      </c>
      <c r="R1004" s="12">
        <f t="shared" si="142"/>
        <v>0.25</v>
      </c>
    </row>
    <row r="1005" spans="2:18">
      <c r="B1005" t="str">
        <f t="shared" si="136"/>
        <v>RUIZ GARCIA  CARLOS RENE46294</v>
      </c>
      <c r="C1005" t="s">
        <v>140</v>
      </c>
      <c r="D1005" s="121">
        <v>46294</v>
      </c>
      <c r="E1005" t="s">
        <v>99</v>
      </c>
      <c r="F1005" t="s">
        <v>36</v>
      </c>
      <c r="G1005" s="122">
        <v>0.73958333333333304</v>
      </c>
      <c r="H1005" s="122">
        <v>0.25</v>
      </c>
      <c r="I1005" s="112">
        <v>0</v>
      </c>
      <c r="J1005" s="112">
        <v>0</v>
      </c>
      <c r="K1005" s="23">
        <f t="shared" si="137"/>
        <v>0.73958333333333304</v>
      </c>
      <c r="L1005" s="23">
        <f t="shared" si="138"/>
        <v>0</v>
      </c>
      <c r="M1005" s="12">
        <f t="shared" si="143"/>
        <v>0.73958333333333304</v>
      </c>
      <c r="N1005" s="23">
        <f t="shared" si="139"/>
        <v>0.25</v>
      </c>
      <c r="O1005" s="41">
        <f t="shared" si="140"/>
        <v>0</v>
      </c>
      <c r="P1005" s="13" t="str">
        <f t="shared" si="141"/>
        <v>SI</v>
      </c>
      <c r="Q1005" s="23">
        <f t="shared" si="142"/>
        <v>0.73958333333333304</v>
      </c>
      <c r="R1005" s="12">
        <f t="shared" si="142"/>
        <v>0.25</v>
      </c>
    </row>
    <row r="1006" spans="2:18">
      <c r="B1006" t="str">
        <f t="shared" si="136"/>
        <v>RUIZ GARCIA  CARLOS RENE46295</v>
      </c>
      <c r="C1006" t="s">
        <v>140</v>
      </c>
      <c r="D1006" s="121">
        <v>46295</v>
      </c>
      <c r="E1006" t="s">
        <v>100</v>
      </c>
      <c r="F1006" t="s">
        <v>36</v>
      </c>
      <c r="G1006" s="122">
        <v>0.73958333333333304</v>
      </c>
      <c r="H1006" s="122">
        <v>0.25</v>
      </c>
      <c r="I1006" s="112">
        <v>0</v>
      </c>
      <c r="J1006" s="112">
        <v>0</v>
      </c>
      <c r="K1006" s="23">
        <f t="shared" si="137"/>
        <v>0.73958333333333304</v>
      </c>
      <c r="L1006" s="23">
        <f t="shared" si="138"/>
        <v>0</v>
      </c>
      <c r="M1006" s="12">
        <f t="shared" si="143"/>
        <v>0.73958333333333304</v>
      </c>
      <c r="N1006" s="23">
        <f t="shared" si="139"/>
        <v>0.25</v>
      </c>
      <c r="O1006" s="41">
        <f t="shared" si="140"/>
        <v>0</v>
      </c>
      <c r="P1006" s="13" t="str">
        <f t="shared" si="141"/>
        <v>SI</v>
      </c>
      <c r="Q1006" s="23">
        <f t="shared" si="142"/>
        <v>0.73958333333333304</v>
      </c>
      <c r="R1006" s="12">
        <f t="shared" si="142"/>
        <v>0.25</v>
      </c>
    </row>
    <row r="1007" spans="2:18">
      <c r="B1007" t="str">
        <f t="shared" si="136"/>
        <v>RUIZ GARCIA  CARLOS RENE46296</v>
      </c>
      <c r="C1007" t="s">
        <v>140</v>
      </c>
      <c r="D1007" s="121">
        <v>46296</v>
      </c>
      <c r="E1007" t="s">
        <v>101</v>
      </c>
      <c r="F1007" t="s">
        <v>36</v>
      </c>
      <c r="G1007" s="122">
        <v>0.73958333333333304</v>
      </c>
      <c r="H1007" s="122">
        <v>0.25</v>
      </c>
      <c r="I1007" s="112">
        <v>0</v>
      </c>
      <c r="J1007" s="112">
        <v>0</v>
      </c>
      <c r="K1007" s="23">
        <f t="shared" si="137"/>
        <v>0.73958333333333304</v>
      </c>
      <c r="L1007" s="23">
        <f t="shared" si="138"/>
        <v>0</v>
      </c>
      <c r="M1007" s="12">
        <f t="shared" si="143"/>
        <v>0.73958333333333304</v>
      </c>
      <c r="N1007" s="23">
        <f t="shared" si="139"/>
        <v>0.25</v>
      </c>
      <c r="O1007" s="41">
        <f t="shared" si="140"/>
        <v>0</v>
      </c>
      <c r="P1007" s="13" t="str">
        <f t="shared" si="141"/>
        <v>SI</v>
      </c>
      <c r="Q1007" s="23">
        <f t="shared" si="142"/>
        <v>0.73958333333333304</v>
      </c>
      <c r="R1007" s="12">
        <f t="shared" si="142"/>
        <v>0.25</v>
      </c>
    </row>
    <row r="1008" spans="2:18">
      <c r="B1008" t="str">
        <f t="shared" si="136"/>
        <v>RUIZ GARCIA  CARLOS RENE46297</v>
      </c>
      <c r="C1008" t="s">
        <v>140</v>
      </c>
      <c r="D1008" s="121">
        <v>46297</v>
      </c>
      <c r="E1008" t="s">
        <v>95</v>
      </c>
      <c r="F1008" t="s">
        <v>36</v>
      </c>
      <c r="G1008" s="122">
        <v>0.73958333333333304</v>
      </c>
      <c r="H1008" s="122">
        <v>0.25</v>
      </c>
      <c r="I1008" s="112">
        <v>0</v>
      </c>
      <c r="J1008" s="112">
        <v>0</v>
      </c>
      <c r="K1008" s="23">
        <f t="shared" si="137"/>
        <v>0.73958333333333304</v>
      </c>
      <c r="L1008" s="23">
        <f t="shared" si="138"/>
        <v>0</v>
      </c>
      <c r="M1008" s="12">
        <f t="shared" si="143"/>
        <v>0.73958333333333304</v>
      </c>
      <c r="N1008" s="23">
        <f t="shared" si="139"/>
        <v>0.25</v>
      </c>
      <c r="O1008" s="41">
        <f t="shared" si="140"/>
        <v>0</v>
      </c>
      <c r="P1008" s="13" t="str">
        <f t="shared" si="141"/>
        <v>SI</v>
      </c>
      <c r="Q1008" s="23">
        <f t="shared" si="142"/>
        <v>0.73958333333333304</v>
      </c>
      <c r="R1008" s="12">
        <f t="shared" si="142"/>
        <v>0.25</v>
      </c>
    </row>
    <row r="1009" spans="2:18">
      <c r="B1009" t="str">
        <f t="shared" si="136"/>
        <v>RUIZ GARCIA  CARLOS RENE46298</v>
      </c>
      <c r="C1009" t="s">
        <v>140</v>
      </c>
      <c r="D1009" s="121">
        <v>46298</v>
      </c>
      <c r="E1009" t="s">
        <v>96</v>
      </c>
      <c r="F1009" t="s">
        <v>72</v>
      </c>
      <c r="G1009" s="122">
        <v>0</v>
      </c>
      <c r="H1009" s="122">
        <v>0</v>
      </c>
      <c r="I1009" s="112">
        <v>0</v>
      </c>
      <c r="J1009" s="112">
        <v>0</v>
      </c>
      <c r="K1009" s="23">
        <f t="shared" si="137"/>
        <v>0</v>
      </c>
      <c r="L1009" s="23">
        <f t="shared" si="138"/>
        <v>0</v>
      </c>
      <c r="M1009" s="12">
        <f t="shared" si="143"/>
        <v>0</v>
      </c>
      <c r="N1009" s="23">
        <f t="shared" si="139"/>
        <v>0</v>
      </c>
      <c r="O1009" s="41">
        <f t="shared" si="140"/>
        <v>0</v>
      </c>
      <c r="P1009" s="13" t="str">
        <f t="shared" si="141"/>
        <v>NO</v>
      </c>
      <c r="Q1009" s="23">
        <f t="shared" si="142"/>
        <v>0</v>
      </c>
      <c r="R1009" s="12">
        <f t="shared" si="142"/>
        <v>0</v>
      </c>
    </row>
    <row r="1010" spans="2:18">
      <c r="B1010" t="str">
        <f t="shared" si="136"/>
        <v>RUIZ GARCIA  CARLOS RENE46299</v>
      </c>
      <c r="C1010" t="s">
        <v>140</v>
      </c>
      <c r="D1010" s="121">
        <v>46299</v>
      </c>
      <c r="E1010" t="s">
        <v>97</v>
      </c>
      <c r="F1010" t="s">
        <v>72</v>
      </c>
      <c r="G1010" s="122">
        <v>0</v>
      </c>
      <c r="H1010" s="122">
        <v>0</v>
      </c>
      <c r="I1010" s="112">
        <v>0</v>
      </c>
      <c r="J1010" s="112">
        <v>0</v>
      </c>
      <c r="K1010" s="23">
        <f t="shared" si="137"/>
        <v>0</v>
      </c>
      <c r="L1010" s="23">
        <f t="shared" si="138"/>
        <v>0</v>
      </c>
      <c r="M1010" s="12">
        <f t="shared" si="143"/>
        <v>0</v>
      </c>
      <c r="N1010" s="23">
        <f t="shared" si="139"/>
        <v>0</v>
      </c>
      <c r="O1010" s="41">
        <f t="shared" si="140"/>
        <v>0</v>
      </c>
      <c r="P1010" s="13" t="str">
        <f t="shared" si="141"/>
        <v>NO</v>
      </c>
      <c r="Q1010" s="23">
        <f t="shared" si="142"/>
        <v>0</v>
      </c>
      <c r="R1010" s="12">
        <f t="shared" si="142"/>
        <v>0</v>
      </c>
    </row>
    <row r="1011" spans="2:18">
      <c r="B1011" t="str">
        <f t="shared" si="136"/>
        <v>Roberto Misael Aceituno46279</v>
      </c>
      <c r="C1011" t="s">
        <v>231</v>
      </c>
      <c r="D1011" s="121">
        <v>46279</v>
      </c>
      <c r="E1011" t="s">
        <v>98</v>
      </c>
      <c r="F1011" t="s">
        <v>72</v>
      </c>
      <c r="G1011" s="122">
        <v>0</v>
      </c>
      <c r="H1011" s="122">
        <v>0</v>
      </c>
      <c r="I1011" s="112">
        <v>0</v>
      </c>
      <c r="J1011" s="112">
        <v>0</v>
      </c>
      <c r="K1011" s="23">
        <f t="shared" si="137"/>
        <v>0</v>
      </c>
      <c r="L1011" s="23">
        <f t="shared" si="138"/>
        <v>0</v>
      </c>
      <c r="M1011" s="12">
        <f t="shared" si="143"/>
        <v>0</v>
      </c>
      <c r="N1011" s="23">
        <f t="shared" si="139"/>
        <v>0</v>
      </c>
      <c r="O1011" s="41">
        <f t="shared" si="140"/>
        <v>0</v>
      </c>
      <c r="P1011" s="13" t="str">
        <f t="shared" si="141"/>
        <v>NO</v>
      </c>
      <c r="Q1011" s="23">
        <f t="shared" si="142"/>
        <v>0</v>
      </c>
      <c r="R1011" s="12">
        <f t="shared" si="142"/>
        <v>0</v>
      </c>
    </row>
    <row r="1012" spans="2:18">
      <c r="B1012" t="str">
        <f t="shared" si="136"/>
        <v>Roberto Misael Aceituno46280</v>
      </c>
      <c r="C1012" t="s">
        <v>231</v>
      </c>
      <c r="D1012" s="121">
        <v>46280</v>
      </c>
      <c r="E1012" t="s">
        <v>99</v>
      </c>
      <c r="F1012" t="s">
        <v>35</v>
      </c>
      <c r="G1012" s="122">
        <v>0.33333333333333298</v>
      </c>
      <c r="H1012" s="122">
        <v>0.70833333333333304</v>
      </c>
      <c r="I1012" s="112">
        <v>0</v>
      </c>
      <c r="J1012" s="112">
        <v>0</v>
      </c>
      <c r="K1012" s="23">
        <f t="shared" si="137"/>
        <v>0.33333333333333298</v>
      </c>
      <c r="L1012" s="23">
        <f t="shared" si="138"/>
        <v>0</v>
      </c>
      <c r="M1012" s="12">
        <f t="shared" si="143"/>
        <v>0.33333333333333298</v>
      </c>
      <c r="N1012" s="23">
        <f t="shared" si="139"/>
        <v>0.70833333333333304</v>
      </c>
      <c r="O1012" s="41">
        <f t="shared" si="140"/>
        <v>0</v>
      </c>
      <c r="P1012" s="13" t="str">
        <f t="shared" si="141"/>
        <v>SI</v>
      </c>
      <c r="Q1012" s="23">
        <f t="shared" si="142"/>
        <v>0.33333333333333298</v>
      </c>
      <c r="R1012" s="12">
        <f t="shared" si="142"/>
        <v>0.70833333333333304</v>
      </c>
    </row>
    <row r="1013" spans="2:18">
      <c r="B1013" t="str">
        <f t="shared" si="136"/>
        <v>Roberto Misael Aceituno46281</v>
      </c>
      <c r="C1013" t="s">
        <v>231</v>
      </c>
      <c r="D1013" s="121">
        <v>46281</v>
      </c>
      <c r="E1013" t="s">
        <v>100</v>
      </c>
      <c r="F1013" t="s">
        <v>36</v>
      </c>
      <c r="G1013" s="122">
        <v>0.75</v>
      </c>
      <c r="H1013" s="122">
        <v>0.25</v>
      </c>
      <c r="I1013" s="112">
        <v>0</v>
      </c>
      <c r="J1013" s="112">
        <v>0</v>
      </c>
      <c r="K1013" s="23">
        <f t="shared" si="137"/>
        <v>0.75</v>
      </c>
      <c r="L1013" s="23">
        <f t="shared" si="138"/>
        <v>0</v>
      </c>
      <c r="M1013" s="12">
        <f t="shared" si="143"/>
        <v>0.75</v>
      </c>
      <c r="N1013" s="23">
        <f t="shared" si="139"/>
        <v>0.25</v>
      </c>
      <c r="O1013" s="41">
        <f t="shared" si="140"/>
        <v>0</v>
      </c>
      <c r="P1013" s="13" t="str">
        <f t="shared" si="141"/>
        <v>SI</v>
      </c>
      <c r="Q1013" s="23">
        <f t="shared" si="142"/>
        <v>0.75</v>
      </c>
      <c r="R1013" s="12">
        <f t="shared" si="142"/>
        <v>0.25</v>
      </c>
    </row>
    <row r="1014" spans="2:18">
      <c r="B1014" t="str">
        <f t="shared" si="136"/>
        <v>Roberto Misael Aceituno46282</v>
      </c>
      <c r="C1014" t="s">
        <v>231</v>
      </c>
      <c r="D1014" s="121">
        <v>46282</v>
      </c>
      <c r="E1014" t="s">
        <v>101</v>
      </c>
      <c r="F1014" t="s">
        <v>36</v>
      </c>
      <c r="G1014" s="122">
        <v>0.75</v>
      </c>
      <c r="H1014" s="122">
        <v>0.25</v>
      </c>
      <c r="I1014" s="112">
        <v>0</v>
      </c>
      <c r="J1014" s="112">
        <v>0</v>
      </c>
      <c r="K1014" s="23">
        <f t="shared" si="137"/>
        <v>0.75</v>
      </c>
      <c r="L1014" s="23">
        <f t="shared" si="138"/>
        <v>0</v>
      </c>
      <c r="M1014" s="12">
        <f t="shared" si="143"/>
        <v>0.75</v>
      </c>
      <c r="N1014" s="23">
        <f t="shared" si="139"/>
        <v>0.25</v>
      </c>
      <c r="O1014" s="41">
        <f t="shared" si="140"/>
        <v>0</v>
      </c>
      <c r="P1014" s="13" t="str">
        <f t="shared" si="141"/>
        <v>SI</v>
      </c>
      <c r="Q1014" s="23">
        <f t="shared" si="142"/>
        <v>0.75</v>
      </c>
      <c r="R1014" s="12">
        <f t="shared" si="142"/>
        <v>0.25</v>
      </c>
    </row>
    <row r="1015" spans="2:18">
      <c r="B1015" t="str">
        <f t="shared" ref="B1015:B1078" si="144">+C1015&amp;D1015</f>
        <v>Roberto Misael Aceituno46283</v>
      </c>
      <c r="C1015" t="s">
        <v>231</v>
      </c>
      <c r="D1015" s="121">
        <v>46283</v>
      </c>
      <c r="E1015" t="s">
        <v>95</v>
      </c>
      <c r="F1015" t="s">
        <v>36</v>
      </c>
      <c r="G1015" s="122">
        <v>0.75</v>
      </c>
      <c r="H1015" s="122">
        <v>0.25</v>
      </c>
      <c r="I1015" s="112">
        <v>0</v>
      </c>
      <c r="J1015" s="112">
        <v>0</v>
      </c>
      <c r="K1015" s="23">
        <f t="shared" ref="K1015:K1078" si="145">+IFERROR(G1015,0)</f>
        <v>0.75</v>
      </c>
      <c r="L1015" s="23">
        <f t="shared" ref="L1015:L1078" si="146">+I1015</f>
        <v>0</v>
      </c>
      <c r="M1015" s="12">
        <f t="shared" si="143"/>
        <v>0.75</v>
      </c>
      <c r="N1015" s="23">
        <f t="shared" ref="N1015:N1078" si="147">+H1015</f>
        <v>0.25</v>
      </c>
      <c r="O1015" s="41">
        <f t="shared" ref="O1015:O1078" si="148">+J1015</f>
        <v>0</v>
      </c>
      <c r="P1015" s="13" t="str">
        <f t="shared" ref="P1015:P1078" si="149">+IF(O1015&lt;N1015,"SI","NO")</f>
        <v>SI</v>
      </c>
      <c r="Q1015" s="23">
        <f t="shared" ref="Q1015:R1078" si="150">+M1015</f>
        <v>0.75</v>
      </c>
      <c r="R1015" s="12">
        <f t="shared" si="150"/>
        <v>0.25</v>
      </c>
    </row>
    <row r="1016" spans="2:18">
      <c r="B1016" t="str">
        <f t="shared" si="144"/>
        <v>Roberto Misael Aceituno46284</v>
      </c>
      <c r="C1016" t="s">
        <v>231</v>
      </c>
      <c r="D1016" s="121">
        <v>46284</v>
      </c>
      <c r="E1016" t="s">
        <v>96</v>
      </c>
      <c r="F1016" t="s">
        <v>36</v>
      </c>
      <c r="G1016" s="122">
        <v>0.75</v>
      </c>
      <c r="H1016" s="122">
        <v>0.25</v>
      </c>
      <c r="I1016" s="112">
        <v>0</v>
      </c>
      <c r="J1016" s="112">
        <v>0</v>
      </c>
      <c r="K1016" s="23">
        <f t="shared" si="145"/>
        <v>0.75</v>
      </c>
      <c r="L1016" s="23">
        <f t="shared" si="146"/>
        <v>0</v>
      </c>
      <c r="M1016" s="12">
        <f t="shared" ref="M1016:M1079" si="151">+IFERROR(MAX(K1016:L1016),0)</f>
        <v>0.75</v>
      </c>
      <c r="N1016" s="23">
        <f t="shared" si="147"/>
        <v>0.25</v>
      </c>
      <c r="O1016" s="41">
        <f t="shared" si="148"/>
        <v>0</v>
      </c>
      <c r="P1016" s="13" t="str">
        <f t="shared" si="149"/>
        <v>SI</v>
      </c>
      <c r="Q1016" s="23">
        <f t="shared" si="150"/>
        <v>0.75</v>
      </c>
      <c r="R1016" s="12">
        <f t="shared" si="150"/>
        <v>0.25</v>
      </c>
    </row>
    <row r="1017" spans="2:18">
      <c r="B1017" t="str">
        <f t="shared" si="144"/>
        <v>Roberto Misael Aceituno46285</v>
      </c>
      <c r="C1017" t="s">
        <v>231</v>
      </c>
      <c r="D1017" s="121">
        <v>46285</v>
      </c>
      <c r="E1017" t="s">
        <v>97</v>
      </c>
      <c r="F1017" t="s">
        <v>72</v>
      </c>
      <c r="G1017" s="122">
        <v>0</v>
      </c>
      <c r="H1017" s="122">
        <v>0</v>
      </c>
      <c r="I1017" s="112">
        <v>0</v>
      </c>
      <c r="J1017" s="112">
        <v>0</v>
      </c>
      <c r="K1017" s="23">
        <f t="shared" si="145"/>
        <v>0</v>
      </c>
      <c r="L1017" s="23">
        <f t="shared" si="146"/>
        <v>0</v>
      </c>
      <c r="M1017" s="12">
        <f t="shared" si="151"/>
        <v>0</v>
      </c>
      <c r="N1017" s="23">
        <f t="shared" si="147"/>
        <v>0</v>
      </c>
      <c r="O1017" s="41">
        <f t="shared" si="148"/>
        <v>0</v>
      </c>
      <c r="P1017" s="13" t="str">
        <f t="shared" si="149"/>
        <v>NO</v>
      </c>
      <c r="Q1017" s="23">
        <f t="shared" si="150"/>
        <v>0</v>
      </c>
      <c r="R1017" s="12">
        <f t="shared" si="150"/>
        <v>0</v>
      </c>
    </row>
    <row r="1018" spans="2:18">
      <c r="B1018" t="str">
        <f t="shared" si="144"/>
        <v>Roberto Misael Aceituno46286</v>
      </c>
      <c r="C1018" t="s">
        <v>231</v>
      </c>
      <c r="D1018" s="121">
        <v>46286</v>
      </c>
      <c r="E1018" t="s">
        <v>98</v>
      </c>
      <c r="F1018" t="s">
        <v>35</v>
      </c>
      <c r="G1018" s="122">
        <v>0.29166666666666702</v>
      </c>
      <c r="H1018" s="122">
        <v>0.70833333333333304</v>
      </c>
      <c r="I1018" s="112">
        <v>0</v>
      </c>
      <c r="J1018" s="112">
        <v>0</v>
      </c>
      <c r="K1018" s="23">
        <f t="shared" si="145"/>
        <v>0.29166666666666702</v>
      </c>
      <c r="L1018" s="23">
        <f t="shared" si="146"/>
        <v>0</v>
      </c>
      <c r="M1018" s="12">
        <f t="shared" si="151"/>
        <v>0.29166666666666702</v>
      </c>
      <c r="N1018" s="23">
        <f t="shared" si="147"/>
        <v>0.70833333333333304</v>
      </c>
      <c r="O1018" s="41">
        <f t="shared" si="148"/>
        <v>0</v>
      </c>
      <c r="P1018" s="13" t="str">
        <f t="shared" si="149"/>
        <v>SI</v>
      </c>
      <c r="Q1018" s="23">
        <f t="shared" si="150"/>
        <v>0.29166666666666702</v>
      </c>
      <c r="R1018" s="12">
        <f t="shared" si="150"/>
        <v>0.70833333333333304</v>
      </c>
    </row>
    <row r="1019" spans="2:18">
      <c r="B1019" t="str">
        <f t="shared" si="144"/>
        <v>Roberto Misael Aceituno46287</v>
      </c>
      <c r="C1019" t="s">
        <v>231</v>
      </c>
      <c r="D1019" s="121">
        <v>46287</v>
      </c>
      <c r="E1019" t="s">
        <v>99</v>
      </c>
      <c r="F1019" t="s">
        <v>35</v>
      </c>
      <c r="G1019" s="122">
        <v>0.29166666666666702</v>
      </c>
      <c r="H1019" s="122">
        <v>0.70833333333333304</v>
      </c>
      <c r="I1019" s="112">
        <v>0</v>
      </c>
      <c r="J1019" s="112">
        <v>0</v>
      </c>
      <c r="K1019" s="23">
        <f t="shared" si="145"/>
        <v>0.29166666666666702</v>
      </c>
      <c r="L1019" s="23">
        <f t="shared" si="146"/>
        <v>0</v>
      </c>
      <c r="M1019" s="12">
        <f t="shared" si="151"/>
        <v>0.29166666666666702</v>
      </c>
      <c r="N1019" s="23">
        <f t="shared" si="147"/>
        <v>0.70833333333333304</v>
      </c>
      <c r="O1019" s="41">
        <f t="shared" si="148"/>
        <v>0</v>
      </c>
      <c r="P1019" s="13" t="str">
        <f t="shared" si="149"/>
        <v>SI</v>
      </c>
      <c r="Q1019" s="23">
        <f t="shared" si="150"/>
        <v>0.29166666666666702</v>
      </c>
      <c r="R1019" s="12">
        <f t="shared" si="150"/>
        <v>0.70833333333333304</v>
      </c>
    </row>
    <row r="1020" spans="2:18">
      <c r="B1020" t="str">
        <f t="shared" si="144"/>
        <v>Roberto Misael Aceituno46288</v>
      </c>
      <c r="C1020" t="s">
        <v>231</v>
      </c>
      <c r="D1020" s="121">
        <v>46288</v>
      </c>
      <c r="E1020" t="s">
        <v>100</v>
      </c>
      <c r="F1020" t="s">
        <v>35</v>
      </c>
      <c r="G1020" s="122">
        <v>0.29166666666666702</v>
      </c>
      <c r="H1020" s="122">
        <v>0.70833333333333304</v>
      </c>
      <c r="I1020" s="112">
        <v>0</v>
      </c>
      <c r="J1020" s="112">
        <v>0</v>
      </c>
      <c r="K1020" s="23">
        <f t="shared" si="145"/>
        <v>0.29166666666666702</v>
      </c>
      <c r="L1020" s="23">
        <f t="shared" si="146"/>
        <v>0</v>
      </c>
      <c r="M1020" s="12">
        <f t="shared" si="151"/>
        <v>0.29166666666666702</v>
      </c>
      <c r="N1020" s="23">
        <f t="shared" si="147"/>
        <v>0.70833333333333304</v>
      </c>
      <c r="O1020" s="41">
        <f t="shared" si="148"/>
        <v>0</v>
      </c>
      <c r="P1020" s="13" t="str">
        <f t="shared" si="149"/>
        <v>SI</v>
      </c>
      <c r="Q1020" s="23">
        <f t="shared" si="150"/>
        <v>0.29166666666666702</v>
      </c>
      <c r="R1020" s="12">
        <f t="shared" si="150"/>
        <v>0.70833333333333304</v>
      </c>
    </row>
    <row r="1021" spans="2:18">
      <c r="B1021" t="str">
        <f t="shared" si="144"/>
        <v>Roberto Misael Aceituno46289</v>
      </c>
      <c r="C1021" t="s">
        <v>231</v>
      </c>
      <c r="D1021" s="121">
        <v>46289</v>
      </c>
      <c r="E1021" t="s">
        <v>101</v>
      </c>
      <c r="F1021" t="s">
        <v>35</v>
      </c>
      <c r="G1021" s="122">
        <v>0.29166666666666702</v>
      </c>
      <c r="H1021" s="122">
        <v>0.70833333333333304</v>
      </c>
      <c r="I1021" s="112">
        <v>0</v>
      </c>
      <c r="J1021" s="112">
        <v>0</v>
      </c>
      <c r="K1021" s="23">
        <f t="shared" si="145"/>
        <v>0.29166666666666702</v>
      </c>
      <c r="L1021" s="23">
        <f t="shared" si="146"/>
        <v>0</v>
      </c>
      <c r="M1021" s="12">
        <f t="shared" si="151"/>
        <v>0.29166666666666702</v>
      </c>
      <c r="N1021" s="23">
        <f t="shared" si="147"/>
        <v>0.70833333333333304</v>
      </c>
      <c r="O1021" s="41">
        <f t="shared" si="148"/>
        <v>0</v>
      </c>
      <c r="P1021" s="13" t="str">
        <f t="shared" si="149"/>
        <v>SI</v>
      </c>
      <c r="Q1021" s="23">
        <f t="shared" si="150"/>
        <v>0.29166666666666702</v>
      </c>
      <c r="R1021" s="12">
        <f t="shared" si="150"/>
        <v>0.70833333333333304</v>
      </c>
    </row>
    <row r="1022" spans="2:18">
      <c r="B1022" t="str">
        <f t="shared" si="144"/>
        <v>Roberto Misael Aceituno46290</v>
      </c>
      <c r="C1022" t="s">
        <v>231</v>
      </c>
      <c r="D1022" s="121">
        <v>46290</v>
      </c>
      <c r="E1022" t="s">
        <v>95</v>
      </c>
      <c r="F1022" t="s">
        <v>35</v>
      </c>
      <c r="G1022" s="122">
        <v>0.29166666666666702</v>
      </c>
      <c r="H1022" s="122">
        <v>0.66666666666666696</v>
      </c>
      <c r="I1022" s="112">
        <v>0</v>
      </c>
      <c r="J1022" s="112">
        <v>0</v>
      </c>
      <c r="K1022" s="23">
        <f t="shared" si="145"/>
        <v>0.29166666666666702</v>
      </c>
      <c r="L1022" s="23">
        <f t="shared" si="146"/>
        <v>0</v>
      </c>
      <c r="M1022" s="12">
        <f t="shared" si="151"/>
        <v>0.29166666666666702</v>
      </c>
      <c r="N1022" s="23">
        <f t="shared" si="147"/>
        <v>0.66666666666666696</v>
      </c>
      <c r="O1022" s="41">
        <f t="shared" si="148"/>
        <v>0</v>
      </c>
      <c r="P1022" s="13" t="str">
        <f t="shared" si="149"/>
        <v>SI</v>
      </c>
      <c r="Q1022" s="23">
        <f t="shared" si="150"/>
        <v>0.29166666666666702</v>
      </c>
      <c r="R1022" s="12">
        <f t="shared" si="150"/>
        <v>0.66666666666666696</v>
      </c>
    </row>
    <row r="1023" spans="2:18">
      <c r="B1023" t="str">
        <f t="shared" si="144"/>
        <v>Roberto Misael Aceituno46291</v>
      </c>
      <c r="C1023" t="s">
        <v>231</v>
      </c>
      <c r="D1023" s="121">
        <v>46291</v>
      </c>
      <c r="E1023" t="s">
        <v>96</v>
      </c>
      <c r="F1023" t="s">
        <v>72</v>
      </c>
      <c r="G1023" s="122">
        <v>0</v>
      </c>
      <c r="H1023" s="122">
        <v>0</v>
      </c>
      <c r="I1023" s="112">
        <v>0</v>
      </c>
      <c r="J1023" s="112">
        <v>0</v>
      </c>
      <c r="K1023" s="23">
        <f t="shared" si="145"/>
        <v>0</v>
      </c>
      <c r="L1023" s="23">
        <f t="shared" si="146"/>
        <v>0</v>
      </c>
      <c r="M1023" s="12">
        <f t="shared" si="151"/>
        <v>0</v>
      </c>
      <c r="N1023" s="23">
        <f t="shared" si="147"/>
        <v>0</v>
      </c>
      <c r="O1023" s="41">
        <f t="shared" si="148"/>
        <v>0</v>
      </c>
      <c r="P1023" s="13" t="str">
        <f t="shared" si="149"/>
        <v>NO</v>
      </c>
      <c r="Q1023" s="23">
        <f t="shared" si="150"/>
        <v>0</v>
      </c>
      <c r="R1023" s="12">
        <f t="shared" si="150"/>
        <v>0</v>
      </c>
    </row>
    <row r="1024" spans="2:18">
      <c r="B1024" t="str">
        <f t="shared" si="144"/>
        <v>Roberto Misael Aceituno46292</v>
      </c>
      <c r="C1024" t="s">
        <v>231</v>
      </c>
      <c r="D1024" s="121">
        <v>46292</v>
      </c>
      <c r="E1024" t="s">
        <v>97</v>
      </c>
      <c r="F1024" t="s">
        <v>72</v>
      </c>
      <c r="G1024" s="122">
        <v>0</v>
      </c>
      <c r="H1024" s="122">
        <v>0</v>
      </c>
      <c r="I1024" s="112">
        <v>0</v>
      </c>
      <c r="J1024" s="112">
        <v>0</v>
      </c>
      <c r="K1024" s="23">
        <f t="shared" si="145"/>
        <v>0</v>
      </c>
      <c r="L1024" s="23">
        <f t="shared" si="146"/>
        <v>0</v>
      </c>
      <c r="M1024" s="12">
        <f t="shared" si="151"/>
        <v>0</v>
      </c>
      <c r="N1024" s="23">
        <f t="shared" si="147"/>
        <v>0</v>
      </c>
      <c r="O1024" s="41">
        <f t="shared" si="148"/>
        <v>0</v>
      </c>
      <c r="P1024" s="13" t="str">
        <f t="shared" si="149"/>
        <v>NO</v>
      </c>
      <c r="Q1024" s="23">
        <f t="shared" si="150"/>
        <v>0</v>
      </c>
      <c r="R1024" s="12">
        <f t="shared" si="150"/>
        <v>0</v>
      </c>
    </row>
    <row r="1025" spans="2:18">
      <c r="B1025" t="str">
        <f t="shared" si="144"/>
        <v>Roberto Misael Aceituno46293</v>
      </c>
      <c r="C1025" t="s">
        <v>231</v>
      </c>
      <c r="D1025" s="121">
        <v>46293</v>
      </c>
      <c r="E1025" t="s">
        <v>98</v>
      </c>
      <c r="F1025" t="s">
        <v>36</v>
      </c>
      <c r="G1025" s="122">
        <v>0.75</v>
      </c>
      <c r="H1025" s="122">
        <v>0.25</v>
      </c>
      <c r="I1025" s="112">
        <v>0</v>
      </c>
      <c r="J1025" s="112">
        <v>0</v>
      </c>
      <c r="K1025" s="23">
        <f t="shared" si="145"/>
        <v>0.75</v>
      </c>
      <c r="L1025" s="23">
        <f t="shared" si="146"/>
        <v>0</v>
      </c>
      <c r="M1025" s="12">
        <f t="shared" si="151"/>
        <v>0.75</v>
      </c>
      <c r="N1025" s="23">
        <f t="shared" si="147"/>
        <v>0.25</v>
      </c>
      <c r="O1025" s="41">
        <f t="shared" si="148"/>
        <v>0</v>
      </c>
      <c r="P1025" s="13" t="str">
        <f t="shared" si="149"/>
        <v>SI</v>
      </c>
      <c r="Q1025" s="23">
        <f t="shared" si="150"/>
        <v>0.75</v>
      </c>
      <c r="R1025" s="12">
        <f t="shared" si="150"/>
        <v>0.25</v>
      </c>
    </row>
    <row r="1026" spans="2:18">
      <c r="B1026" t="str">
        <f t="shared" si="144"/>
        <v>Roberto Misael Aceituno46294</v>
      </c>
      <c r="C1026" t="s">
        <v>231</v>
      </c>
      <c r="D1026" s="121">
        <v>46294</v>
      </c>
      <c r="E1026" t="s">
        <v>99</v>
      </c>
      <c r="F1026" t="s">
        <v>36</v>
      </c>
      <c r="G1026" s="122">
        <v>0.75</v>
      </c>
      <c r="H1026" s="122">
        <v>0.25</v>
      </c>
      <c r="I1026" s="112">
        <v>0</v>
      </c>
      <c r="J1026" s="112">
        <v>0</v>
      </c>
      <c r="K1026" s="23">
        <f t="shared" si="145"/>
        <v>0.75</v>
      </c>
      <c r="L1026" s="23">
        <f t="shared" si="146"/>
        <v>0</v>
      </c>
      <c r="M1026" s="12">
        <f t="shared" si="151"/>
        <v>0.75</v>
      </c>
      <c r="N1026" s="23">
        <f t="shared" si="147"/>
        <v>0.25</v>
      </c>
      <c r="O1026" s="41">
        <f t="shared" si="148"/>
        <v>0</v>
      </c>
      <c r="P1026" s="13" t="str">
        <f t="shared" si="149"/>
        <v>SI</v>
      </c>
      <c r="Q1026" s="23">
        <f t="shared" si="150"/>
        <v>0.75</v>
      </c>
      <c r="R1026" s="12">
        <f t="shared" si="150"/>
        <v>0.25</v>
      </c>
    </row>
    <row r="1027" spans="2:18">
      <c r="B1027" t="str">
        <f t="shared" si="144"/>
        <v>Roberto Misael Aceituno46295</v>
      </c>
      <c r="C1027" t="s">
        <v>231</v>
      </c>
      <c r="D1027" s="121">
        <v>46295</v>
      </c>
      <c r="E1027" t="s">
        <v>100</v>
      </c>
      <c r="F1027" t="s">
        <v>36</v>
      </c>
      <c r="G1027" s="122">
        <v>0.75</v>
      </c>
      <c r="H1027" s="122">
        <v>0.25</v>
      </c>
      <c r="I1027" s="112">
        <v>0</v>
      </c>
      <c r="J1027" s="112">
        <v>0</v>
      </c>
      <c r="K1027" s="23">
        <f t="shared" si="145"/>
        <v>0.75</v>
      </c>
      <c r="L1027" s="23">
        <f t="shared" si="146"/>
        <v>0</v>
      </c>
      <c r="M1027" s="12">
        <f t="shared" si="151"/>
        <v>0.75</v>
      </c>
      <c r="N1027" s="23">
        <f t="shared" si="147"/>
        <v>0.25</v>
      </c>
      <c r="O1027" s="41">
        <f t="shared" si="148"/>
        <v>0</v>
      </c>
      <c r="P1027" s="13" t="str">
        <f t="shared" si="149"/>
        <v>SI</v>
      </c>
      <c r="Q1027" s="23">
        <f t="shared" si="150"/>
        <v>0.75</v>
      </c>
      <c r="R1027" s="12">
        <f t="shared" si="150"/>
        <v>0.25</v>
      </c>
    </row>
    <row r="1028" spans="2:18">
      <c r="B1028" t="str">
        <f t="shared" si="144"/>
        <v>Roberto Misael Aceituno46296</v>
      </c>
      <c r="C1028" t="s">
        <v>231</v>
      </c>
      <c r="D1028" s="121">
        <v>46296</v>
      </c>
      <c r="E1028" t="s">
        <v>101</v>
      </c>
      <c r="F1028" t="s">
        <v>36</v>
      </c>
      <c r="G1028" s="122">
        <v>0.75</v>
      </c>
      <c r="H1028" s="122">
        <v>0.25</v>
      </c>
      <c r="I1028" s="112">
        <v>0</v>
      </c>
      <c r="J1028" s="112">
        <v>0</v>
      </c>
      <c r="K1028" s="23">
        <f t="shared" si="145"/>
        <v>0.75</v>
      </c>
      <c r="L1028" s="23">
        <f t="shared" si="146"/>
        <v>0</v>
      </c>
      <c r="M1028" s="12">
        <f t="shared" si="151"/>
        <v>0.75</v>
      </c>
      <c r="N1028" s="23">
        <f t="shared" si="147"/>
        <v>0.25</v>
      </c>
      <c r="O1028" s="41">
        <f t="shared" si="148"/>
        <v>0</v>
      </c>
      <c r="P1028" s="13" t="str">
        <f t="shared" si="149"/>
        <v>SI</v>
      </c>
      <c r="Q1028" s="23">
        <f t="shared" si="150"/>
        <v>0.75</v>
      </c>
      <c r="R1028" s="12">
        <f t="shared" si="150"/>
        <v>0.25</v>
      </c>
    </row>
    <row r="1029" spans="2:18">
      <c r="B1029" t="str">
        <f t="shared" si="144"/>
        <v>Roberto Misael Aceituno46297</v>
      </c>
      <c r="C1029" t="s">
        <v>231</v>
      </c>
      <c r="D1029" s="121">
        <v>46297</v>
      </c>
      <c r="E1029" t="s">
        <v>95</v>
      </c>
      <c r="F1029" t="s">
        <v>36</v>
      </c>
      <c r="G1029" s="122">
        <v>0.75</v>
      </c>
      <c r="H1029" s="122">
        <v>0.25</v>
      </c>
      <c r="I1029" s="112">
        <v>0</v>
      </c>
      <c r="J1029" s="112">
        <v>0</v>
      </c>
      <c r="K1029" s="23">
        <f t="shared" si="145"/>
        <v>0.75</v>
      </c>
      <c r="L1029" s="23">
        <f t="shared" si="146"/>
        <v>0</v>
      </c>
      <c r="M1029" s="12">
        <f t="shared" si="151"/>
        <v>0.75</v>
      </c>
      <c r="N1029" s="23">
        <f t="shared" si="147"/>
        <v>0.25</v>
      </c>
      <c r="O1029" s="41">
        <f t="shared" si="148"/>
        <v>0</v>
      </c>
      <c r="P1029" s="13" t="str">
        <f t="shared" si="149"/>
        <v>SI</v>
      </c>
      <c r="Q1029" s="23">
        <f t="shared" si="150"/>
        <v>0.75</v>
      </c>
      <c r="R1029" s="12">
        <f t="shared" si="150"/>
        <v>0.25</v>
      </c>
    </row>
    <row r="1030" spans="2:18">
      <c r="B1030" t="str">
        <f t="shared" si="144"/>
        <v>Roberto Misael Aceituno46298</v>
      </c>
      <c r="C1030" t="s">
        <v>231</v>
      </c>
      <c r="D1030" s="121">
        <v>46298</v>
      </c>
      <c r="E1030" t="s">
        <v>96</v>
      </c>
      <c r="F1030" t="s">
        <v>72</v>
      </c>
      <c r="G1030" s="122">
        <v>0</v>
      </c>
      <c r="H1030" s="122">
        <v>0</v>
      </c>
      <c r="I1030" s="112">
        <v>0</v>
      </c>
      <c r="J1030" s="112">
        <v>0</v>
      </c>
      <c r="K1030" s="23">
        <f t="shared" si="145"/>
        <v>0</v>
      </c>
      <c r="L1030" s="23">
        <f t="shared" si="146"/>
        <v>0</v>
      </c>
      <c r="M1030" s="12">
        <f t="shared" si="151"/>
        <v>0</v>
      </c>
      <c r="N1030" s="23">
        <f t="shared" si="147"/>
        <v>0</v>
      </c>
      <c r="O1030" s="41">
        <f t="shared" si="148"/>
        <v>0</v>
      </c>
      <c r="P1030" s="13" t="str">
        <f t="shared" si="149"/>
        <v>NO</v>
      </c>
      <c r="Q1030" s="23">
        <f t="shared" si="150"/>
        <v>0</v>
      </c>
      <c r="R1030" s="12">
        <f t="shared" si="150"/>
        <v>0</v>
      </c>
    </row>
    <row r="1031" spans="2:18">
      <c r="B1031" t="str">
        <f t="shared" si="144"/>
        <v>Roberto Misael Aceituno46299</v>
      </c>
      <c r="C1031" t="s">
        <v>231</v>
      </c>
      <c r="D1031" s="121">
        <v>46299</v>
      </c>
      <c r="E1031" t="s">
        <v>97</v>
      </c>
      <c r="F1031" t="s">
        <v>72</v>
      </c>
      <c r="G1031" s="122">
        <v>0</v>
      </c>
      <c r="H1031" s="122">
        <v>0</v>
      </c>
      <c r="I1031" s="112">
        <v>0</v>
      </c>
      <c r="J1031" s="112">
        <v>0</v>
      </c>
      <c r="K1031" s="23">
        <f t="shared" si="145"/>
        <v>0</v>
      </c>
      <c r="L1031" s="23">
        <f t="shared" si="146"/>
        <v>0</v>
      </c>
      <c r="M1031" s="12">
        <f t="shared" si="151"/>
        <v>0</v>
      </c>
      <c r="N1031" s="23">
        <f t="shared" si="147"/>
        <v>0</v>
      </c>
      <c r="O1031" s="41">
        <f t="shared" si="148"/>
        <v>0</v>
      </c>
      <c r="P1031" s="13" t="str">
        <f t="shared" si="149"/>
        <v>NO</v>
      </c>
      <c r="Q1031" s="23">
        <f t="shared" si="150"/>
        <v>0</v>
      </c>
      <c r="R1031" s="12">
        <f t="shared" si="150"/>
        <v>0</v>
      </c>
    </row>
    <row r="1032" spans="2:18">
      <c r="B1032" t="str">
        <f t="shared" si="144"/>
        <v>SARA ABIGAIL CHACÓN PARADA46279</v>
      </c>
      <c r="C1032" t="s">
        <v>267</v>
      </c>
      <c r="D1032" s="121">
        <v>46279</v>
      </c>
      <c r="E1032" t="s">
        <v>98</v>
      </c>
      <c r="F1032" t="s">
        <v>72</v>
      </c>
      <c r="G1032" s="122">
        <v>0</v>
      </c>
      <c r="H1032" s="122">
        <v>0</v>
      </c>
      <c r="I1032" s="112">
        <v>0</v>
      </c>
      <c r="J1032" s="112">
        <v>0</v>
      </c>
      <c r="K1032" s="23">
        <f t="shared" si="145"/>
        <v>0</v>
      </c>
      <c r="L1032" s="23">
        <f t="shared" si="146"/>
        <v>0</v>
      </c>
      <c r="M1032" s="12">
        <f t="shared" si="151"/>
        <v>0</v>
      </c>
      <c r="N1032" s="23">
        <f t="shared" si="147"/>
        <v>0</v>
      </c>
      <c r="O1032" s="41">
        <f t="shared" si="148"/>
        <v>0</v>
      </c>
      <c r="P1032" s="13" t="str">
        <f t="shared" si="149"/>
        <v>NO</v>
      </c>
      <c r="Q1032" s="23">
        <f t="shared" si="150"/>
        <v>0</v>
      </c>
      <c r="R1032" s="12">
        <f t="shared" si="150"/>
        <v>0</v>
      </c>
    </row>
    <row r="1033" spans="2:18">
      <c r="B1033" t="str">
        <f t="shared" si="144"/>
        <v>SARA ABIGAIL CHACÓN PARADA46280</v>
      </c>
      <c r="C1033" t="s">
        <v>267</v>
      </c>
      <c r="D1033" s="121">
        <v>46280</v>
      </c>
      <c r="E1033" t="s">
        <v>99</v>
      </c>
      <c r="F1033" t="s">
        <v>35</v>
      </c>
      <c r="G1033" s="122">
        <v>0.33333333333333298</v>
      </c>
      <c r="H1033" s="122">
        <v>0.70833333333333304</v>
      </c>
      <c r="I1033" s="112">
        <v>0</v>
      </c>
      <c r="J1033" s="112">
        <v>0</v>
      </c>
      <c r="K1033" s="23">
        <f t="shared" si="145"/>
        <v>0.33333333333333298</v>
      </c>
      <c r="L1033" s="23">
        <f t="shared" si="146"/>
        <v>0</v>
      </c>
      <c r="M1033" s="12">
        <f t="shared" si="151"/>
        <v>0.33333333333333298</v>
      </c>
      <c r="N1033" s="23">
        <f t="shared" si="147"/>
        <v>0.70833333333333304</v>
      </c>
      <c r="O1033" s="41">
        <f t="shared" si="148"/>
        <v>0</v>
      </c>
      <c r="P1033" s="13" t="str">
        <f t="shared" si="149"/>
        <v>SI</v>
      </c>
      <c r="Q1033" s="23">
        <f t="shared" si="150"/>
        <v>0.33333333333333298</v>
      </c>
      <c r="R1033" s="12">
        <f t="shared" si="150"/>
        <v>0.70833333333333304</v>
      </c>
    </row>
    <row r="1034" spans="2:18">
      <c r="B1034" t="str">
        <f t="shared" si="144"/>
        <v>SARA ABIGAIL CHACÓN PARADA46281</v>
      </c>
      <c r="C1034" t="s">
        <v>267</v>
      </c>
      <c r="D1034" s="121">
        <v>46281</v>
      </c>
      <c r="E1034" t="s">
        <v>100</v>
      </c>
      <c r="F1034" t="s">
        <v>35</v>
      </c>
      <c r="G1034" s="122">
        <v>0.29166666666666702</v>
      </c>
      <c r="H1034" s="122">
        <v>0.66666666666666696</v>
      </c>
      <c r="I1034" s="112">
        <v>0</v>
      </c>
      <c r="J1034" s="112">
        <v>0</v>
      </c>
      <c r="K1034" s="23">
        <f t="shared" si="145"/>
        <v>0.29166666666666702</v>
      </c>
      <c r="L1034" s="23">
        <f t="shared" si="146"/>
        <v>0</v>
      </c>
      <c r="M1034" s="12">
        <f t="shared" si="151"/>
        <v>0.29166666666666702</v>
      </c>
      <c r="N1034" s="23">
        <f t="shared" si="147"/>
        <v>0.66666666666666696</v>
      </c>
      <c r="O1034" s="41">
        <f t="shared" si="148"/>
        <v>0</v>
      </c>
      <c r="P1034" s="13" t="str">
        <f t="shared" si="149"/>
        <v>SI</v>
      </c>
      <c r="Q1034" s="23">
        <f t="shared" si="150"/>
        <v>0.29166666666666702</v>
      </c>
      <c r="R1034" s="12">
        <f t="shared" si="150"/>
        <v>0.66666666666666696</v>
      </c>
    </row>
    <row r="1035" spans="2:18">
      <c r="B1035" t="str">
        <f t="shared" si="144"/>
        <v>SARA ABIGAIL CHACÓN PARADA46282</v>
      </c>
      <c r="C1035" t="s">
        <v>267</v>
      </c>
      <c r="D1035" s="121">
        <v>46282</v>
      </c>
      <c r="E1035" t="s">
        <v>101</v>
      </c>
      <c r="F1035" t="s">
        <v>35</v>
      </c>
      <c r="G1035" s="122">
        <v>0.375</v>
      </c>
      <c r="H1035" s="122">
        <v>0.75</v>
      </c>
      <c r="I1035" s="112">
        <v>0</v>
      </c>
      <c r="J1035" s="112">
        <v>0</v>
      </c>
      <c r="K1035" s="23">
        <f t="shared" si="145"/>
        <v>0.375</v>
      </c>
      <c r="L1035" s="23">
        <f t="shared" si="146"/>
        <v>0</v>
      </c>
      <c r="M1035" s="12">
        <f t="shared" si="151"/>
        <v>0.375</v>
      </c>
      <c r="N1035" s="23">
        <f t="shared" si="147"/>
        <v>0.75</v>
      </c>
      <c r="O1035" s="41">
        <f t="shared" si="148"/>
        <v>0</v>
      </c>
      <c r="P1035" s="13" t="str">
        <f t="shared" si="149"/>
        <v>SI</v>
      </c>
      <c r="Q1035" s="23">
        <f t="shared" si="150"/>
        <v>0.375</v>
      </c>
      <c r="R1035" s="12">
        <f t="shared" si="150"/>
        <v>0.75</v>
      </c>
    </row>
    <row r="1036" spans="2:18">
      <c r="B1036" t="str">
        <f t="shared" si="144"/>
        <v>SARA ABIGAIL CHACÓN PARADA46283</v>
      </c>
      <c r="C1036" t="s">
        <v>267</v>
      </c>
      <c r="D1036" s="121">
        <v>46283</v>
      </c>
      <c r="E1036" t="s">
        <v>95</v>
      </c>
      <c r="F1036" t="s">
        <v>35</v>
      </c>
      <c r="G1036" s="122">
        <v>0.29166666666666702</v>
      </c>
      <c r="H1036" s="122">
        <v>0.66666666666666696</v>
      </c>
      <c r="I1036" s="112">
        <v>0</v>
      </c>
      <c r="J1036" s="112">
        <v>0</v>
      </c>
      <c r="K1036" s="23">
        <f t="shared" si="145"/>
        <v>0.29166666666666702</v>
      </c>
      <c r="L1036" s="23">
        <f t="shared" si="146"/>
        <v>0</v>
      </c>
      <c r="M1036" s="12">
        <f t="shared" si="151"/>
        <v>0.29166666666666702</v>
      </c>
      <c r="N1036" s="23">
        <f t="shared" si="147"/>
        <v>0.66666666666666696</v>
      </c>
      <c r="O1036" s="41">
        <f t="shared" si="148"/>
        <v>0</v>
      </c>
      <c r="P1036" s="13" t="str">
        <f t="shared" si="149"/>
        <v>SI</v>
      </c>
      <c r="Q1036" s="23">
        <f t="shared" si="150"/>
        <v>0.29166666666666702</v>
      </c>
      <c r="R1036" s="12">
        <f t="shared" si="150"/>
        <v>0.66666666666666696</v>
      </c>
    </row>
    <row r="1037" spans="2:18">
      <c r="B1037" t="str">
        <f t="shared" si="144"/>
        <v>SARA ABIGAIL CHACÓN PARADA46284</v>
      </c>
      <c r="C1037" t="s">
        <v>267</v>
      </c>
      <c r="D1037" s="121">
        <v>46284</v>
      </c>
      <c r="E1037" t="s">
        <v>96</v>
      </c>
      <c r="F1037" t="s">
        <v>35</v>
      </c>
      <c r="G1037" s="122">
        <v>0.29166666666666702</v>
      </c>
      <c r="H1037" s="122">
        <v>0.5</v>
      </c>
      <c r="I1037" s="112">
        <v>0</v>
      </c>
      <c r="J1037" s="112">
        <v>0</v>
      </c>
      <c r="K1037" s="23">
        <f t="shared" si="145"/>
        <v>0.29166666666666702</v>
      </c>
      <c r="L1037" s="23">
        <f t="shared" si="146"/>
        <v>0</v>
      </c>
      <c r="M1037" s="12">
        <f t="shared" si="151"/>
        <v>0.29166666666666702</v>
      </c>
      <c r="N1037" s="23">
        <f t="shared" si="147"/>
        <v>0.5</v>
      </c>
      <c r="O1037" s="41">
        <f t="shared" si="148"/>
        <v>0</v>
      </c>
      <c r="P1037" s="13" t="str">
        <f t="shared" si="149"/>
        <v>SI</v>
      </c>
      <c r="Q1037" s="23">
        <f t="shared" si="150"/>
        <v>0.29166666666666702</v>
      </c>
      <c r="R1037" s="12">
        <f t="shared" si="150"/>
        <v>0.5</v>
      </c>
    </row>
    <row r="1038" spans="2:18">
      <c r="B1038" t="str">
        <f t="shared" si="144"/>
        <v>SARA ABIGAIL CHACÓN PARADA46285</v>
      </c>
      <c r="C1038" t="s">
        <v>267</v>
      </c>
      <c r="D1038" s="121">
        <v>46285</v>
      </c>
      <c r="E1038" t="s">
        <v>97</v>
      </c>
      <c r="F1038" t="s">
        <v>72</v>
      </c>
      <c r="G1038" s="122">
        <v>0</v>
      </c>
      <c r="H1038" s="122">
        <v>0</v>
      </c>
      <c r="I1038" s="112">
        <v>0</v>
      </c>
      <c r="J1038" s="112">
        <v>0</v>
      </c>
      <c r="K1038" s="23">
        <f t="shared" si="145"/>
        <v>0</v>
      </c>
      <c r="L1038" s="23">
        <f t="shared" si="146"/>
        <v>0</v>
      </c>
      <c r="M1038" s="12">
        <f t="shared" si="151"/>
        <v>0</v>
      </c>
      <c r="N1038" s="23">
        <f t="shared" si="147"/>
        <v>0</v>
      </c>
      <c r="O1038" s="41">
        <f t="shared" si="148"/>
        <v>0</v>
      </c>
      <c r="P1038" s="13" t="str">
        <f t="shared" si="149"/>
        <v>NO</v>
      </c>
      <c r="Q1038" s="23">
        <f t="shared" si="150"/>
        <v>0</v>
      </c>
      <c r="R1038" s="12">
        <f t="shared" si="150"/>
        <v>0</v>
      </c>
    </row>
    <row r="1039" spans="2:18">
      <c r="B1039" t="str">
        <f t="shared" si="144"/>
        <v>SARA ABIGAIL CHACÓN PARADA46286</v>
      </c>
      <c r="C1039" t="s">
        <v>267</v>
      </c>
      <c r="D1039" s="121">
        <v>46286</v>
      </c>
      <c r="E1039" t="s">
        <v>98</v>
      </c>
      <c r="F1039" t="s">
        <v>35</v>
      </c>
      <c r="G1039" s="122">
        <v>0.29166666666666702</v>
      </c>
      <c r="H1039" s="122">
        <v>0.66666666666666696</v>
      </c>
      <c r="I1039" s="112">
        <v>0</v>
      </c>
      <c r="J1039" s="112">
        <v>0</v>
      </c>
      <c r="K1039" s="23">
        <f t="shared" si="145"/>
        <v>0.29166666666666702</v>
      </c>
      <c r="L1039" s="23">
        <f t="shared" si="146"/>
        <v>0</v>
      </c>
      <c r="M1039" s="12">
        <f t="shared" si="151"/>
        <v>0.29166666666666702</v>
      </c>
      <c r="N1039" s="23">
        <f t="shared" si="147"/>
        <v>0.66666666666666696</v>
      </c>
      <c r="O1039" s="41">
        <f t="shared" si="148"/>
        <v>0</v>
      </c>
      <c r="P1039" s="13" t="str">
        <f t="shared" si="149"/>
        <v>SI</v>
      </c>
      <c r="Q1039" s="23">
        <f t="shared" si="150"/>
        <v>0.29166666666666702</v>
      </c>
      <c r="R1039" s="12">
        <f t="shared" si="150"/>
        <v>0.66666666666666696</v>
      </c>
    </row>
    <row r="1040" spans="2:18">
      <c r="B1040" t="str">
        <f t="shared" si="144"/>
        <v>SARA ABIGAIL CHACÓN PARADA46287</v>
      </c>
      <c r="C1040" t="s">
        <v>267</v>
      </c>
      <c r="D1040" s="121">
        <v>46287</v>
      </c>
      <c r="E1040" t="s">
        <v>99</v>
      </c>
      <c r="F1040" t="s">
        <v>35</v>
      </c>
      <c r="G1040" s="122">
        <v>0.29166666666666702</v>
      </c>
      <c r="H1040" s="122">
        <v>0.66666666666666696</v>
      </c>
      <c r="I1040" s="112">
        <v>0</v>
      </c>
      <c r="J1040" s="112">
        <v>0</v>
      </c>
      <c r="K1040" s="23">
        <f t="shared" si="145"/>
        <v>0.29166666666666702</v>
      </c>
      <c r="L1040" s="23">
        <f t="shared" si="146"/>
        <v>0</v>
      </c>
      <c r="M1040" s="12">
        <f t="shared" si="151"/>
        <v>0.29166666666666702</v>
      </c>
      <c r="N1040" s="23">
        <f t="shared" si="147"/>
        <v>0.66666666666666696</v>
      </c>
      <c r="O1040" s="41">
        <f t="shared" si="148"/>
        <v>0</v>
      </c>
      <c r="P1040" s="13" t="str">
        <f t="shared" si="149"/>
        <v>SI</v>
      </c>
      <c r="Q1040" s="23">
        <f t="shared" si="150"/>
        <v>0.29166666666666702</v>
      </c>
      <c r="R1040" s="12">
        <f t="shared" si="150"/>
        <v>0.66666666666666696</v>
      </c>
    </row>
    <row r="1041" spans="2:18">
      <c r="B1041" t="str">
        <f t="shared" si="144"/>
        <v>SARA ABIGAIL CHACÓN PARADA46288</v>
      </c>
      <c r="C1041" t="s">
        <v>267</v>
      </c>
      <c r="D1041" s="121">
        <v>46288</v>
      </c>
      <c r="E1041" t="s">
        <v>100</v>
      </c>
      <c r="F1041" t="s">
        <v>35</v>
      </c>
      <c r="G1041" s="122">
        <v>0.29166666666666702</v>
      </c>
      <c r="H1041" s="122">
        <v>0.66666666666666696</v>
      </c>
      <c r="I1041" s="112">
        <v>0</v>
      </c>
      <c r="J1041" s="112">
        <v>0</v>
      </c>
      <c r="K1041" s="23">
        <f t="shared" si="145"/>
        <v>0.29166666666666702</v>
      </c>
      <c r="L1041" s="23">
        <f t="shared" si="146"/>
        <v>0</v>
      </c>
      <c r="M1041" s="12">
        <f t="shared" si="151"/>
        <v>0.29166666666666702</v>
      </c>
      <c r="N1041" s="23">
        <f t="shared" si="147"/>
        <v>0.66666666666666696</v>
      </c>
      <c r="O1041" s="41">
        <f t="shared" si="148"/>
        <v>0</v>
      </c>
      <c r="P1041" s="13" t="str">
        <f t="shared" si="149"/>
        <v>SI</v>
      </c>
      <c r="Q1041" s="23">
        <f t="shared" si="150"/>
        <v>0.29166666666666702</v>
      </c>
      <c r="R1041" s="12">
        <f t="shared" si="150"/>
        <v>0.66666666666666696</v>
      </c>
    </row>
    <row r="1042" spans="2:18">
      <c r="B1042" t="str">
        <f t="shared" si="144"/>
        <v>SARA ABIGAIL CHACÓN PARADA46289</v>
      </c>
      <c r="C1042" t="s">
        <v>267</v>
      </c>
      <c r="D1042" s="121">
        <v>46289</v>
      </c>
      <c r="E1042" t="s">
        <v>101</v>
      </c>
      <c r="F1042" t="s">
        <v>35</v>
      </c>
      <c r="G1042" s="122">
        <v>0.375</v>
      </c>
      <c r="H1042" s="122">
        <v>0.75</v>
      </c>
      <c r="I1042" s="112">
        <v>0</v>
      </c>
      <c r="J1042" s="112">
        <v>0</v>
      </c>
      <c r="K1042" s="23">
        <f t="shared" si="145"/>
        <v>0.375</v>
      </c>
      <c r="L1042" s="23">
        <f t="shared" si="146"/>
        <v>0</v>
      </c>
      <c r="M1042" s="12">
        <f t="shared" si="151"/>
        <v>0.375</v>
      </c>
      <c r="N1042" s="23">
        <f t="shared" si="147"/>
        <v>0.75</v>
      </c>
      <c r="O1042" s="41">
        <f t="shared" si="148"/>
        <v>0</v>
      </c>
      <c r="P1042" s="13" t="str">
        <f t="shared" si="149"/>
        <v>SI</v>
      </c>
      <c r="Q1042" s="23">
        <f t="shared" si="150"/>
        <v>0.375</v>
      </c>
      <c r="R1042" s="12">
        <f t="shared" si="150"/>
        <v>0.75</v>
      </c>
    </row>
    <row r="1043" spans="2:18">
      <c r="B1043" t="str">
        <f t="shared" si="144"/>
        <v>SARA ABIGAIL CHACÓN PARADA46290</v>
      </c>
      <c r="C1043" t="s">
        <v>267</v>
      </c>
      <c r="D1043" s="121">
        <v>46290</v>
      </c>
      <c r="E1043" t="s">
        <v>95</v>
      </c>
      <c r="F1043" t="s">
        <v>35</v>
      </c>
      <c r="G1043" s="122">
        <v>0.33333333333333298</v>
      </c>
      <c r="H1043" s="122">
        <v>0.70833333333333304</v>
      </c>
      <c r="I1043" s="112">
        <v>0</v>
      </c>
      <c r="J1043" s="112">
        <v>0</v>
      </c>
      <c r="K1043" s="23">
        <f t="shared" si="145"/>
        <v>0.33333333333333298</v>
      </c>
      <c r="L1043" s="23">
        <f t="shared" si="146"/>
        <v>0</v>
      </c>
      <c r="M1043" s="12">
        <f t="shared" si="151"/>
        <v>0.33333333333333298</v>
      </c>
      <c r="N1043" s="23">
        <f t="shared" si="147"/>
        <v>0.70833333333333304</v>
      </c>
      <c r="O1043" s="41">
        <f t="shared" si="148"/>
        <v>0</v>
      </c>
      <c r="P1043" s="13" t="str">
        <f t="shared" si="149"/>
        <v>SI</v>
      </c>
      <c r="Q1043" s="23">
        <f t="shared" si="150"/>
        <v>0.33333333333333298</v>
      </c>
      <c r="R1043" s="12">
        <f t="shared" si="150"/>
        <v>0.70833333333333304</v>
      </c>
    </row>
    <row r="1044" spans="2:18">
      <c r="B1044" t="str">
        <f t="shared" si="144"/>
        <v>SARA ABIGAIL CHACÓN PARADA46291</v>
      </c>
      <c r="C1044" t="s">
        <v>267</v>
      </c>
      <c r="D1044" s="121">
        <v>46291</v>
      </c>
      <c r="E1044" t="s">
        <v>96</v>
      </c>
      <c r="F1044" t="s">
        <v>35</v>
      </c>
      <c r="G1044" s="122">
        <v>0.29166666666666702</v>
      </c>
      <c r="H1044" s="122">
        <v>0.5</v>
      </c>
      <c r="I1044" s="112">
        <v>0</v>
      </c>
      <c r="J1044" s="112">
        <v>0</v>
      </c>
      <c r="K1044" s="23">
        <f t="shared" si="145"/>
        <v>0.29166666666666702</v>
      </c>
      <c r="L1044" s="23">
        <f t="shared" si="146"/>
        <v>0</v>
      </c>
      <c r="M1044" s="12">
        <f t="shared" si="151"/>
        <v>0.29166666666666702</v>
      </c>
      <c r="N1044" s="23">
        <f t="shared" si="147"/>
        <v>0.5</v>
      </c>
      <c r="O1044" s="41">
        <f t="shared" si="148"/>
        <v>0</v>
      </c>
      <c r="P1044" s="13" t="str">
        <f t="shared" si="149"/>
        <v>SI</v>
      </c>
      <c r="Q1044" s="23">
        <f t="shared" si="150"/>
        <v>0.29166666666666702</v>
      </c>
      <c r="R1044" s="12">
        <f t="shared" si="150"/>
        <v>0.5</v>
      </c>
    </row>
    <row r="1045" spans="2:18">
      <c r="B1045" t="str">
        <f t="shared" si="144"/>
        <v>SARA ABIGAIL CHACÓN PARADA46292</v>
      </c>
      <c r="C1045" t="s">
        <v>267</v>
      </c>
      <c r="D1045" s="121">
        <v>46292</v>
      </c>
      <c r="E1045" t="s">
        <v>97</v>
      </c>
      <c r="F1045" t="s">
        <v>72</v>
      </c>
      <c r="G1045" s="122">
        <v>0</v>
      </c>
      <c r="H1045" s="122">
        <v>0</v>
      </c>
      <c r="I1045" s="112">
        <v>0</v>
      </c>
      <c r="J1045" s="112">
        <v>0</v>
      </c>
      <c r="K1045" s="23">
        <f t="shared" si="145"/>
        <v>0</v>
      </c>
      <c r="L1045" s="23">
        <f t="shared" si="146"/>
        <v>0</v>
      </c>
      <c r="M1045" s="12">
        <f t="shared" si="151"/>
        <v>0</v>
      </c>
      <c r="N1045" s="23">
        <f t="shared" si="147"/>
        <v>0</v>
      </c>
      <c r="O1045" s="41">
        <f t="shared" si="148"/>
        <v>0</v>
      </c>
      <c r="P1045" s="13" t="str">
        <f t="shared" si="149"/>
        <v>NO</v>
      </c>
      <c r="Q1045" s="23">
        <f t="shared" si="150"/>
        <v>0</v>
      </c>
      <c r="R1045" s="12">
        <f t="shared" si="150"/>
        <v>0</v>
      </c>
    </row>
    <row r="1046" spans="2:18">
      <c r="B1046" t="str">
        <f t="shared" si="144"/>
        <v>SARA ABIGAIL CHACÓN PARADA46293</v>
      </c>
      <c r="C1046" t="s">
        <v>267</v>
      </c>
      <c r="D1046" s="121">
        <v>46293</v>
      </c>
      <c r="E1046" t="s">
        <v>98</v>
      </c>
      <c r="F1046" t="s">
        <v>35</v>
      </c>
      <c r="G1046" s="122">
        <v>0.29166666666666702</v>
      </c>
      <c r="H1046" s="122">
        <v>0.66666666666666696</v>
      </c>
      <c r="I1046" s="112">
        <v>0</v>
      </c>
      <c r="J1046" s="112">
        <v>0</v>
      </c>
      <c r="K1046" s="23">
        <f t="shared" si="145"/>
        <v>0.29166666666666702</v>
      </c>
      <c r="L1046" s="23">
        <f t="shared" si="146"/>
        <v>0</v>
      </c>
      <c r="M1046" s="12">
        <f t="shared" si="151"/>
        <v>0.29166666666666702</v>
      </c>
      <c r="N1046" s="23">
        <f t="shared" si="147"/>
        <v>0.66666666666666696</v>
      </c>
      <c r="O1046" s="41">
        <f t="shared" si="148"/>
        <v>0</v>
      </c>
      <c r="P1046" s="13" t="str">
        <f t="shared" si="149"/>
        <v>SI</v>
      </c>
      <c r="Q1046" s="23">
        <f t="shared" si="150"/>
        <v>0.29166666666666702</v>
      </c>
      <c r="R1046" s="12">
        <f t="shared" si="150"/>
        <v>0.66666666666666696</v>
      </c>
    </row>
    <row r="1047" spans="2:18">
      <c r="B1047" t="str">
        <f t="shared" si="144"/>
        <v>SARA ABIGAIL CHACÓN PARADA46294</v>
      </c>
      <c r="C1047" t="s">
        <v>267</v>
      </c>
      <c r="D1047" s="121">
        <v>46294</v>
      </c>
      <c r="E1047" t="s">
        <v>99</v>
      </c>
      <c r="F1047" t="s">
        <v>35</v>
      </c>
      <c r="G1047" s="122">
        <v>0.29166666666666702</v>
      </c>
      <c r="H1047" s="122">
        <v>0.66666666666666696</v>
      </c>
      <c r="I1047" s="112">
        <v>0</v>
      </c>
      <c r="J1047" s="112">
        <v>0</v>
      </c>
      <c r="K1047" s="23">
        <f t="shared" si="145"/>
        <v>0.29166666666666702</v>
      </c>
      <c r="L1047" s="23">
        <f t="shared" si="146"/>
        <v>0</v>
      </c>
      <c r="M1047" s="12">
        <f t="shared" si="151"/>
        <v>0.29166666666666702</v>
      </c>
      <c r="N1047" s="23">
        <f t="shared" si="147"/>
        <v>0.66666666666666696</v>
      </c>
      <c r="O1047" s="41">
        <f t="shared" si="148"/>
        <v>0</v>
      </c>
      <c r="P1047" s="13" t="str">
        <f t="shared" si="149"/>
        <v>SI</v>
      </c>
      <c r="Q1047" s="23">
        <f t="shared" si="150"/>
        <v>0.29166666666666702</v>
      </c>
      <c r="R1047" s="12">
        <f t="shared" si="150"/>
        <v>0.66666666666666696</v>
      </c>
    </row>
    <row r="1048" spans="2:18">
      <c r="B1048" t="str">
        <f t="shared" si="144"/>
        <v>SARA ABIGAIL CHACÓN PARADA46295</v>
      </c>
      <c r="C1048" t="s">
        <v>267</v>
      </c>
      <c r="D1048" s="121">
        <v>46295</v>
      </c>
      <c r="E1048" t="s">
        <v>100</v>
      </c>
      <c r="F1048" t="s">
        <v>35</v>
      </c>
      <c r="G1048" s="122">
        <v>0.29166666666666702</v>
      </c>
      <c r="H1048" s="122">
        <v>0.66666666666666696</v>
      </c>
      <c r="I1048" s="112">
        <v>0</v>
      </c>
      <c r="J1048" s="112">
        <v>0</v>
      </c>
      <c r="K1048" s="23">
        <f t="shared" si="145"/>
        <v>0.29166666666666702</v>
      </c>
      <c r="L1048" s="23">
        <f t="shared" si="146"/>
        <v>0</v>
      </c>
      <c r="M1048" s="12">
        <f t="shared" si="151"/>
        <v>0.29166666666666702</v>
      </c>
      <c r="N1048" s="23">
        <f t="shared" si="147"/>
        <v>0.66666666666666696</v>
      </c>
      <c r="O1048" s="41">
        <f t="shared" si="148"/>
        <v>0</v>
      </c>
      <c r="P1048" s="13" t="str">
        <f t="shared" si="149"/>
        <v>SI</v>
      </c>
      <c r="Q1048" s="23">
        <f t="shared" si="150"/>
        <v>0.29166666666666702</v>
      </c>
      <c r="R1048" s="12">
        <f t="shared" si="150"/>
        <v>0.66666666666666696</v>
      </c>
    </row>
    <row r="1049" spans="2:18">
      <c r="B1049" t="str">
        <f t="shared" si="144"/>
        <v>SARA ABIGAIL CHACÓN PARADA46296</v>
      </c>
      <c r="C1049" t="s">
        <v>267</v>
      </c>
      <c r="D1049" s="121">
        <v>46296</v>
      </c>
      <c r="E1049" t="s">
        <v>101</v>
      </c>
      <c r="F1049" t="s">
        <v>35</v>
      </c>
      <c r="G1049" s="122">
        <v>0.375</v>
      </c>
      <c r="H1049" s="122">
        <v>0.75</v>
      </c>
      <c r="I1049" s="112">
        <v>0</v>
      </c>
      <c r="J1049" s="112">
        <v>0</v>
      </c>
      <c r="K1049" s="23">
        <f t="shared" si="145"/>
        <v>0.375</v>
      </c>
      <c r="L1049" s="23">
        <f t="shared" si="146"/>
        <v>0</v>
      </c>
      <c r="M1049" s="12">
        <f t="shared" si="151"/>
        <v>0.375</v>
      </c>
      <c r="N1049" s="23">
        <f t="shared" si="147"/>
        <v>0.75</v>
      </c>
      <c r="O1049" s="41">
        <f t="shared" si="148"/>
        <v>0</v>
      </c>
      <c r="P1049" s="13" t="str">
        <f t="shared" si="149"/>
        <v>SI</v>
      </c>
      <c r="Q1049" s="23">
        <f t="shared" si="150"/>
        <v>0.375</v>
      </c>
      <c r="R1049" s="12">
        <f t="shared" si="150"/>
        <v>0.75</v>
      </c>
    </row>
    <row r="1050" spans="2:18">
      <c r="B1050" t="str">
        <f t="shared" si="144"/>
        <v>SARA ABIGAIL CHACÓN PARADA46297</v>
      </c>
      <c r="C1050" t="s">
        <v>267</v>
      </c>
      <c r="D1050" s="121">
        <v>46297</v>
      </c>
      <c r="E1050" t="s">
        <v>95</v>
      </c>
      <c r="F1050" t="s">
        <v>35</v>
      </c>
      <c r="G1050" s="122">
        <v>0.29166666666666702</v>
      </c>
      <c r="H1050" s="122">
        <v>0.66666666666666696</v>
      </c>
      <c r="I1050" s="112">
        <v>0</v>
      </c>
      <c r="J1050" s="112">
        <v>0</v>
      </c>
      <c r="K1050" s="23">
        <f t="shared" si="145"/>
        <v>0.29166666666666702</v>
      </c>
      <c r="L1050" s="23">
        <f t="shared" si="146"/>
        <v>0</v>
      </c>
      <c r="M1050" s="12">
        <f t="shared" si="151"/>
        <v>0.29166666666666702</v>
      </c>
      <c r="N1050" s="23">
        <f t="shared" si="147"/>
        <v>0.66666666666666696</v>
      </c>
      <c r="O1050" s="41">
        <f t="shared" si="148"/>
        <v>0</v>
      </c>
      <c r="P1050" s="13" t="str">
        <f t="shared" si="149"/>
        <v>SI</v>
      </c>
      <c r="Q1050" s="23">
        <f t="shared" si="150"/>
        <v>0.29166666666666702</v>
      </c>
      <c r="R1050" s="12">
        <f t="shared" si="150"/>
        <v>0.66666666666666696</v>
      </c>
    </row>
    <row r="1051" spans="2:18">
      <c r="B1051" t="str">
        <f t="shared" si="144"/>
        <v>SARA ABIGAIL CHACÓN PARADA46298</v>
      </c>
      <c r="C1051" t="s">
        <v>267</v>
      </c>
      <c r="D1051" s="121">
        <v>46298</v>
      </c>
      <c r="E1051" t="s">
        <v>96</v>
      </c>
      <c r="F1051" t="s">
        <v>35</v>
      </c>
      <c r="G1051" s="122">
        <v>0.29166666666666702</v>
      </c>
      <c r="H1051" s="122">
        <v>0.5</v>
      </c>
      <c r="I1051" s="112">
        <v>0</v>
      </c>
      <c r="J1051" s="112">
        <v>0</v>
      </c>
      <c r="K1051" s="23">
        <f t="shared" si="145"/>
        <v>0.29166666666666702</v>
      </c>
      <c r="L1051" s="23">
        <f t="shared" si="146"/>
        <v>0</v>
      </c>
      <c r="M1051" s="12">
        <f t="shared" si="151"/>
        <v>0.29166666666666702</v>
      </c>
      <c r="N1051" s="23">
        <f t="shared" si="147"/>
        <v>0.5</v>
      </c>
      <c r="O1051" s="41">
        <f t="shared" si="148"/>
        <v>0</v>
      </c>
      <c r="P1051" s="13" t="str">
        <f t="shared" si="149"/>
        <v>SI</v>
      </c>
      <c r="Q1051" s="23">
        <f t="shared" si="150"/>
        <v>0.29166666666666702</v>
      </c>
      <c r="R1051" s="12">
        <f t="shared" si="150"/>
        <v>0.5</v>
      </c>
    </row>
    <row r="1052" spans="2:18">
      <c r="B1052" t="str">
        <f t="shared" si="144"/>
        <v>SARA ABIGAIL CHACÓN PARADA46299</v>
      </c>
      <c r="C1052" t="s">
        <v>267</v>
      </c>
      <c r="D1052" s="121">
        <v>46299</v>
      </c>
      <c r="E1052" t="s">
        <v>97</v>
      </c>
      <c r="F1052" t="s">
        <v>72</v>
      </c>
      <c r="G1052" s="122">
        <v>0</v>
      </c>
      <c r="H1052" s="122">
        <v>0</v>
      </c>
      <c r="I1052" s="112">
        <v>0</v>
      </c>
      <c r="J1052" s="112">
        <v>0</v>
      </c>
      <c r="K1052" s="23">
        <f t="shared" si="145"/>
        <v>0</v>
      </c>
      <c r="L1052" s="23">
        <f t="shared" si="146"/>
        <v>0</v>
      </c>
      <c r="M1052" s="12">
        <f t="shared" si="151"/>
        <v>0</v>
      </c>
      <c r="N1052" s="23">
        <f t="shared" si="147"/>
        <v>0</v>
      </c>
      <c r="O1052" s="41">
        <f t="shared" si="148"/>
        <v>0</v>
      </c>
      <c r="P1052" s="13" t="str">
        <f t="shared" si="149"/>
        <v>NO</v>
      </c>
      <c r="Q1052" s="23">
        <f t="shared" si="150"/>
        <v>0</v>
      </c>
      <c r="R1052" s="12">
        <f t="shared" si="150"/>
        <v>0</v>
      </c>
    </row>
    <row r="1053" spans="2:18">
      <c r="B1053" t="str">
        <f t="shared" si="144"/>
        <v>SAZO DE LA CRUZ SELINA ROSSANA46279</v>
      </c>
      <c r="C1053" t="s">
        <v>1</v>
      </c>
      <c r="D1053" s="121">
        <v>46279</v>
      </c>
      <c r="E1053" t="s">
        <v>98</v>
      </c>
      <c r="F1053" t="s">
        <v>72</v>
      </c>
      <c r="G1053" s="122">
        <v>0</v>
      </c>
      <c r="H1053" s="122">
        <v>0</v>
      </c>
      <c r="I1053" s="112">
        <v>0</v>
      </c>
      <c r="J1053" s="112">
        <v>0</v>
      </c>
      <c r="K1053" s="23">
        <f t="shared" si="145"/>
        <v>0</v>
      </c>
      <c r="L1053" s="23">
        <f t="shared" si="146"/>
        <v>0</v>
      </c>
      <c r="M1053" s="12">
        <f t="shared" si="151"/>
        <v>0</v>
      </c>
      <c r="N1053" s="23">
        <f t="shared" si="147"/>
        <v>0</v>
      </c>
      <c r="O1053" s="41">
        <f t="shared" si="148"/>
        <v>0</v>
      </c>
      <c r="P1053" s="13" t="str">
        <f t="shared" si="149"/>
        <v>NO</v>
      </c>
      <c r="Q1053" s="23">
        <f t="shared" si="150"/>
        <v>0</v>
      </c>
      <c r="R1053" s="12">
        <f t="shared" si="150"/>
        <v>0</v>
      </c>
    </row>
    <row r="1054" spans="2:18">
      <c r="B1054" t="str">
        <f t="shared" si="144"/>
        <v>SAZO DE LA CRUZ SELINA ROSSANA46280</v>
      </c>
      <c r="C1054" t="s">
        <v>1</v>
      </c>
      <c r="D1054" s="121">
        <v>46280</v>
      </c>
      <c r="E1054" t="s">
        <v>99</v>
      </c>
      <c r="F1054" t="s">
        <v>35</v>
      </c>
      <c r="G1054" s="122">
        <v>0.33333333333333298</v>
      </c>
      <c r="H1054" s="122">
        <v>0.70833333333333304</v>
      </c>
      <c r="I1054" s="112">
        <v>0</v>
      </c>
      <c r="J1054" s="112">
        <v>0</v>
      </c>
      <c r="K1054" s="23">
        <f t="shared" si="145"/>
        <v>0.33333333333333298</v>
      </c>
      <c r="L1054" s="23">
        <f t="shared" si="146"/>
        <v>0</v>
      </c>
      <c r="M1054" s="12">
        <f t="shared" si="151"/>
        <v>0.33333333333333298</v>
      </c>
      <c r="N1054" s="23">
        <f t="shared" si="147"/>
        <v>0.70833333333333304</v>
      </c>
      <c r="O1054" s="41">
        <f t="shared" si="148"/>
        <v>0</v>
      </c>
      <c r="P1054" s="13" t="str">
        <f t="shared" si="149"/>
        <v>SI</v>
      </c>
      <c r="Q1054" s="23">
        <f t="shared" si="150"/>
        <v>0.33333333333333298</v>
      </c>
      <c r="R1054" s="12">
        <f t="shared" si="150"/>
        <v>0.70833333333333304</v>
      </c>
    </row>
    <row r="1055" spans="2:18">
      <c r="B1055" t="str">
        <f t="shared" si="144"/>
        <v>SAZO DE LA CRUZ SELINA ROSSANA46281</v>
      </c>
      <c r="C1055" t="s">
        <v>1</v>
      </c>
      <c r="D1055" s="121">
        <v>46281</v>
      </c>
      <c r="E1055" t="s">
        <v>100</v>
      </c>
      <c r="F1055" t="s">
        <v>35</v>
      </c>
      <c r="G1055" s="122">
        <v>0.29166666666666702</v>
      </c>
      <c r="H1055" s="122">
        <v>0.66666666666666696</v>
      </c>
      <c r="I1055" s="112">
        <v>0</v>
      </c>
      <c r="J1055" s="112">
        <v>0</v>
      </c>
      <c r="K1055" s="23">
        <f t="shared" si="145"/>
        <v>0.29166666666666702</v>
      </c>
      <c r="L1055" s="23">
        <f t="shared" si="146"/>
        <v>0</v>
      </c>
      <c r="M1055" s="12">
        <f t="shared" si="151"/>
        <v>0.29166666666666702</v>
      </c>
      <c r="N1055" s="23">
        <f t="shared" si="147"/>
        <v>0.66666666666666696</v>
      </c>
      <c r="O1055" s="41">
        <f t="shared" si="148"/>
        <v>0</v>
      </c>
      <c r="P1055" s="13" t="str">
        <f t="shared" si="149"/>
        <v>SI</v>
      </c>
      <c r="Q1055" s="23">
        <f t="shared" si="150"/>
        <v>0.29166666666666702</v>
      </c>
      <c r="R1055" s="12">
        <f t="shared" si="150"/>
        <v>0.66666666666666696</v>
      </c>
    </row>
    <row r="1056" spans="2:18">
      <c r="B1056" t="str">
        <f t="shared" si="144"/>
        <v>SAZO DE LA CRUZ SELINA ROSSANA46282</v>
      </c>
      <c r="C1056" t="s">
        <v>1</v>
      </c>
      <c r="D1056" s="121">
        <v>46282</v>
      </c>
      <c r="E1056" t="s">
        <v>101</v>
      </c>
      <c r="F1056" t="s">
        <v>35</v>
      </c>
      <c r="G1056" s="122">
        <v>0.375</v>
      </c>
      <c r="H1056" s="122">
        <v>0.75</v>
      </c>
      <c r="I1056" s="112">
        <v>0</v>
      </c>
      <c r="J1056" s="112">
        <v>0</v>
      </c>
      <c r="K1056" s="23">
        <f t="shared" si="145"/>
        <v>0.375</v>
      </c>
      <c r="L1056" s="23">
        <f t="shared" si="146"/>
        <v>0</v>
      </c>
      <c r="M1056" s="12">
        <f t="shared" si="151"/>
        <v>0.375</v>
      </c>
      <c r="N1056" s="23">
        <f t="shared" si="147"/>
        <v>0.75</v>
      </c>
      <c r="O1056" s="41">
        <f t="shared" si="148"/>
        <v>0</v>
      </c>
      <c r="P1056" s="13" t="str">
        <f t="shared" si="149"/>
        <v>SI</v>
      </c>
      <c r="Q1056" s="23">
        <f t="shared" si="150"/>
        <v>0.375</v>
      </c>
      <c r="R1056" s="12">
        <f t="shared" si="150"/>
        <v>0.75</v>
      </c>
    </row>
    <row r="1057" spans="2:18">
      <c r="B1057" t="str">
        <f t="shared" si="144"/>
        <v>SAZO DE LA CRUZ SELINA ROSSANA46283</v>
      </c>
      <c r="C1057" t="s">
        <v>1</v>
      </c>
      <c r="D1057" s="121">
        <v>46283</v>
      </c>
      <c r="E1057" t="s">
        <v>95</v>
      </c>
      <c r="F1057" t="s">
        <v>35</v>
      </c>
      <c r="G1057" s="122">
        <v>0.29166666666666702</v>
      </c>
      <c r="H1057" s="122">
        <v>0.66666666666666696</v>
      </c>
      <c r="I1057" s="112">
        <v>0</v>
      </c>
      <c r="J1057" s="112">
        <v>0</v>
      </c>
      <c r="K1057" s="23">
        <f t="shared" si="145"/>
        <v>0.29166666666666702</v>
      </c>
      <c r="L1057" s="23">
        <f t="shared" si="146"/>
        <v>0</v>
      </c>
      <c r="M1057" s="12">
        <f t="shared" si="151"/>
        <v>0.29166666666666702</v>
      </c>
      <c r="N1057" s="23">
        <f t="shared" si="147"/>
        <v>0.66666666666666696</v>
      </c>
      <c r="O1057" s="41">
        <f t="shared" si="148"/>
        <v>0</v>
      </c>
      <c r="P1057" s="13" t="str">
        <f t="shared" si="149"/>
        <v>SI</v>
      </c>
      <c r="Q1057" s="23">
        <f t="shared" si="150"/>
        <v>0.29166666666666702</v>
      </c>
      <c r="R1057" s="12">
        <f t="shared" si="150"/>
        <v>0.66666666666666696</v>
      </c>
    </row>
    <row r="1058" spans="2:18">
      <c r="B1058" t="str">
        <f t="shared" si="144"/>
        <v>SAZO DE LA CRUZ SELINA ROSSANA46284</v>
      </c>
      <c r="C1058" t="s">
        <v>1</v>
      </c>
      <c r="D1058" s="121">
        <v>46284</v>
      </c>
      <c r="E1058" t="s">
        <v>96</v>
      </c>
      <c r="F1058" t="s">
        <v>35</v>
      </c>
      <c r="G1058" s="122">
        <v>0.29166666666666702</v>
      </c>
      <c r="H1058" s="122">
        <v>0.5</v>
      </c>
      <c r="I1058" s="112">
        <v>0</v>
      </c>
      <c r="J1058" s="112">
        <v>0</v>
      </c>
      <c r="K1058" s="23">
        <f t="shared" si="145"/>
        <v>0.29166666666666702</v>
      </c>
      <c r="L1058" s="23">
        <f t="shared" si="146"/>
        <v>0</v>
      </c>
      <c r="M1058" s="12">
        <f t="shared" si="151"/>
        <v>0.29166666666666702</v>
      </c>
      <c r="N1058" s="23">
        <f t="shared" si="147"/>
        <v>0.5</v>
      </c>
      <c r="O1058" s="41">
        <f t="shared" si="148"/>
        <v>0</v>
      </c>
      <c r="P1058" s="13" t="str">
        <f t="shared" si="149"/>
        <v>SI</v>
      </c>
      <c r="Q1058" s="23">
        <f t="shared" si="150"/>
        <v>0.29166666666666702</v>
      </c>
      <c r="R1058" s="12">
        <f t="shared" si="150"/>
        <v>0.5</v>
      </c>
    </row>
    <row r="1059" spans="2:18">
      <c r="B1059" t="str">
        <f t="shared" si="144"/>
        <v>SAZO DE LA CRUZ SELINA ROSSANA46285</v>
      </c>
      <c r="C1059" t="s">
        <v>1</v>
      </c>
      <c r="D1059" s="121">
        <v>46285</v>
      </c>
      <c r="E1059" t="s">
        <v>97</v>
      </c>
      <c r="F1059" t="s">
        <v>72</v>
      </c>
      <c r="G1059" s="122">
        <v>0</v>
      </c>
      <c r="H1059" s="122">
        <v>0</v>
      </c>
      <c r="I1059" s="112">
        <v>0</v>
      </c>
      <c r="J1059" s="112">
        <v>0</v>
      </c>
      <c r="K1059" s="23">
        <f t="shared" si="145"/>
        <v>0</v>
      </c>
      <c r="L1059" s="23">
        <f t="shared" si="146"/>
        <v>0</v>
      </c>
      <c r="M1059" s="12">
        <f t="shared" si="151"/>
        <v>0</v>
      </c>
      <c r="N1059" s="23">
        <f t="shared" si="147"/>
        <v>0</v>
      </c>
      <c r="O1059" s="41">
        <f t="shared" si="148"/>
        <v>0</v>
      </c>
      <c r="P1059" s="13" t="str">
        <f t="shared" si="149"/>
        <v>NO</v>
      </c>
      <c r="Q1059" s="23">
        <f t="shared" si="150"/>
        <v>0</v>
      </c>
      <c r="R1059" s="12">
        <f t="shared" si="150"/>
        <v>0</v>
      </c>
    </row>
    <row r="1060" spans="2:18">
      <c r="B1060" t="str">
        <f t="shared" si="144"/>
        <v>SAZO DE LA CRUZ SELINA ROSSANA46286</v>
      </c>
      <c r="C1060" t="s">
        <v>1</v>
      </c>
      <c r="D1060" s="121">
        <v>46286</v>
      </c>
      <c r="E1060" t="s">
        <v>98</v>
      </c>
      <c r="F1060" t="s">
        <v>35</v>
      </c>
      <c r="G1060" s="122">
        <v>0.29166666666666702</v>
      </c>
      <c r="H1060" s="122">
        <v>0.66666666666666696</v>
      </c>
      <c r="I1060" s="112">
        <v>0</v>
      </c>
      <c r="J1060" s="112">
        <v>0</v>
      </c>
      <c r="K1060" s="23">
        <f t="shared" si="145"/>
        <v>0.29166666666666702</v>
      </c>
      <c r="L1060" s="23">
        <f t="shared" si="146"/>
        <v>0</v>
      </c>
      <c r="M1060" s="12">
        <f t="shared" si="151"/>
        <v>0.29166666666666702</v>
      </c>
      <c r="N1060" s="23">
        <f t="shared" si="147"/>
        <v>0.66666666666666696</v>
      </c>
      <c r="O1060" s="41">
        <f t="shared" si="148"/>
        <v>0</v>
      </c>
      <c r="P1060" s="13" t="str">
        <f t="shared" si="149"/>
        <v>SI</v>
      </c>
      <c r="Q1060" s="23">
        <f t="shared" si="150"/>
        <v>0.29166666666666702</v>
      </c>
      <c r="R1060" s="12">
        <f t="shared" si="150"/>
        <v>0.66666666666666696</v>
      </c>
    </row>
    <row r="1061" spans="2:18">
      <c r="B1061" t="str">
        <f t="shared" si="144"/>
        <v>SAZO DE LA CRUZ SELINA ROSSANA46287</v>
      </c>
      <c r="C1061" t="s">
        <v>1</v>
      </c>
      <c r="D1061" s="121">
        <v>46287</v>
      </c>
      <c r="E1061" t="s">
        <v>99</v>
      </c>
      <c r="F1061" t="s">
        <v>35</v>
      </c>
      <c r="G1061" s="122">
        <v>0.29166666666666702</v>
      </c>
      <c r="H1061" s="122">
        <v>0.66666666666666696</v>
      </c>
      <c r="I1061" s="112">
        <v>0</v>
      </c>
      <c r="J1061" s="112">
        <v>0</v>
      </c>
      <c r="K1061" s="23">
        <f t="shared" si="145"/>
        <v>0.29166666666666702</v>
      </c>
      <c r="L1061" s="23">
        <f t="shared" si="146"/>
        <v>0</v>
      </c>
      <c r="M1061" s="12">
        <f t="shared" si="151"/>
        <v>0.29166666666666702</v>
      </c>
      <c r="N1061" s="23">
        <f t="shared" si="147"/>
        <v>0.66666666666666696</v>
      </c>
      <c r="O1061" s="41">
        <f t="shared" si="148"/>
        <v>0</v>
      </c>
      <c r="P1061" s="13" t="str">
        <f t="shared" si="149"/>
        <v>SI</v>
      </c>
      <c r="Q1061" s="23">
        <f t="shared" si="150"/>
        <v>0.29166666666666702</v>
      </c>
      <c r="R1061" s="12">
        <f t="shared" si="150"/>
        <v>0.66666666666666696</v>
      </c>
    </row>
    <row r="1062" spans="2:18">
      <c r="B1062" t="str">
        <f t="shared" si="144"/>
        <v>SAZO DE LA CRUZ SELINA ROSSANA46288</v>
      </c>
      <c r="C1062" t="s">
        <v>1</v>
      </c>
      <c r="D1062" s="121">
        <v>46288</v>
      </c>
      <c r="E1062" t="s">
        <v>100</v>
      </c>
      <c r="F1062" t="s">
        <v>35</v>
      </c>
      <c r="G1062" s="122">
        <v>0.29166666666666702</v>
      </c>
      <c r="H1062" s="122">
        <v>0.66666666666666696</v>
      </c>
      <c r="I1062" s="112">
        <v>0</v>
      </c>
      <c r="J1062" s="112">
        <v>0</v>
      </c>
      <c r="K1062" s="23">
        <f t="shared" si="145"/>
        <v>0.29166666666666702</v>
      </c>
      <c r="L1062" s="23">
        <f t="shared" si="146"/>
        <v>0</v>
      </c>
      <c r="M1062" s="12">
        <f t="shared" si="151"/>
        <v>0.29166666666666702</v>
      </c>
      <c r="N1062" s="23">
        <f t="shared" si="147"/>
        <v>0.66666666666666696</v>
      </c>
      <c r="O1062" s="41">
        <f t="shared" si="148"/>
        <v>0</v>
      </c>
      <c r="P1062" s="13" t="str">
        <f t="shared" si="149"/>
        <v>SI</v>
      </c>
      <c r="Q1062" s="23">
        <f t="shared" si="150"/>
        <v>0.29166666666666702</v>
      </c>
      <c r="R1062" s="12">
        <f t="shared" si="150"/>
        <v>0.66666666666666696</v>
      </c>
    </row>
    <row r="1063" spans="2:18">
      <c r="B1063" t="str">
        <f t="shared" si="144"/>
        <v>SAZO DE LA CRUZ SELINA ROSSANA46289</v>
      </c>
      <c r="C1063" t="s">
        <v>1</v>
      </c>
      <c r="D1063" s="121">
        <v>46289</v>
      </c>
      <c r="E1063" t="s">
        <v>101</v>
      </c>
      <c r="F1063" t="s">
        <v>35</v>
      </c>
      <c r="G1063" s="122">
        <v>0.375</v>
      </c>
      <c r="H1063" s="122">
        <v>0.75</v>
      </c>
      <c r="I1063" s="112">
        <v>0</v>
      </c>
      <c r="J1063" s="112">
        <v>0</v>
      </c>
      <c r="K1063" s="23">
        <f t="shared" si="145"/>
        <v>0.375</v>
      </c>
      <c r="L1063" s="23">
        <f t="shared" si="146"/>
        <v>0</v>
      </c>
      <c r="M1063" s="12">
        <f t="shared" si="151"/>
        <v>0.375</v>
      </c>
      <c r="N1063" s="23">
        <f t="shared" si="147"/>
        <v>0.75</v>
      </c>
      <c r="O1063" s="41">
        <f t="shared" si="148"/>
        <v>0</v>
      </c>
      <c r="P1063" s="13" t="str">
        <f t="shared" si="149"/>
        <v>SI</v>
      </c>
      <c r="Q1063" s="23">
        <f t="shared" si="150"/>
        <v>0.375</v>
      </c>
      <c r="R1063" s="12">
        <f t="shared" si="150"/>
        <v>0.75</v>
      </c>
    </row>
    <row r="1064" spans="2:18">
      <c r="B1064" t="str">
        <f t="shared" si="144"/>
        <v>SAZO DE LA CRUZ SELINA ROSSANA46290</v>
      </c>
      <c r="C1064" t="s">
        <v>1</v>
      </c>
      <c r="D1064" s="121">
        <v>46290</v>
      </c>
      <c r="E1064" t="s">
        <v>95</v>
      </c>
      <c r="F1064" t="s">
        <v>35</v>
      </c>
      <c r="G1064" s="122">
        <v>0.29166666666666702</v>
      </c>
      <c r="H1064" s="122">
        <v>0.66666666666666696</v>
      </c>
      <c r="I1064" s="112">
        <v>0</v>
      </c>
      <c r="J1064" s="112">
        <v>0</v>
      </c>
      <c r="K1064" s="23">
        <f t="shared" si="145"/>
        <v>0.29166666666666702</v>
      </c>
      <c r="L1064" s="23">
        <f t="shared" si="146"/>
        <v>0</v>
      </c>
      <c r="M1064" s="12">
        <f t="shared" si="151"/>
        <v>0.29166666666666702</v>
      </c>
      <c r="N1064" s="23">
        <f t="shared" si="147"/>
        <v>0.66666666666666696</v>
      </c>
      <c r="O1064" s="41">
        <f t="shared" si="148"/>
        <v>0</v>
      </c>
      <c r="P1064" s="13" t="str">
        <f t="shared" si="149"/>
        <v>SI</v>
      </c>
      <c r="Q1064" s="23">
        <f t="shared" si="150"/>
        <v>0.29166666666666702</v>
      </c>
      <c r="R1064" s="12">
        <f t="shared" si="150"/>
        <v>0.66666666666666696</v>
      </c>
    </row>
    <row r="1065" spans="2:18">
      <c r="B1065" t="str">
        <f t="shared" si="144"/>
        <v>SAZO DE LA CRUZ SELINA ROSSANA46291</v>
      </c>
      <c r="C1065" t="s">
        <v>1</v>
      </c>
      <c r="D1065" s="121">
        <v>46291</v>
      </c>
      <c r="E1065" t="s">
        <v>96</v>
      </c>
      <c r="F1065" t="s">
        <v>35</v>
      </c>
      <c r="G1065" s="122">
        <v>0.29166666666666702</v>
      </c>
      <c r="H1065" s="122">
        <v>0.5</v>
      </c>
      <c r="I1065" s="112">
        <v>0</v>
      </c>
      <c r="J1065" s="112">
        <v>0</v>
      </c>
      <c r="K1065" s="23">
        <f t="shared" si="145"/>
        <v>0.29166666666666702</v>
      </c>
      <c r="L1065" s="23">
        <f t="shared" si="146"/>
        <v>0</v>
      </c>
      <c r="M1065" s="12">
        <f t="shared" si="151"/>
        <v>0.29166666666666702</v>
      </c>
      <c r="N1065" s="23">
        <f t="shared" si="147"/>
        <v>0.5</v>
      </c>
      <c r="O1065" s="41">
        <f t="shared" si="148"/>
        <v>0</v>
      </c>
      <c r="P1065" s="13" t="str">
        <f t="shared" si="149"/>
        <v>SI</v>
      </c>
      <c r="Q1065" s="23">
        <f t="shared" si="150"/>
        <v>0.29166666666666702</v>
      </c>
      <c r="R1065" s="12">
        <f t="shared" si="150"/>
        <v>0.5</v>
      </c>
    </row>
    <row r="1066" spans="2:18">
      <c r="B1066" t="str">
        <f t="shared" si="144"/>
        <v>SAZO DE LA CRUZ SELINA ROSSANA46292</v>
      </c>
      <c r="C1066" t="s">
        <v>1</v>
      </c>
      <c r="D1066" s="121">
        <v>46292</v>
      </c>
      <c r="E1066" t="s">
        <v>97</v>
      </c>
      <c r="F1066" t="s">
        <v>72</v>
      </c>
      <c r="G1066" s="122">
        <v>0</v>
      </c>
      <c r="H1066" s="122">
        <v>0</v>
      </c>
      <c r="I1066" s="112">
        <v>0</v>
      </c>
      <c r="J1066" s="112">
        <v>0</v>
      </c>
      <c r="K1066" s="23">
        <f t="shared" si="145"/>
        <v>0</v>
      </c>
      <c r="L1066" s="23">
        <f t="shared" si="146"/>
        <v>0</v>
      </c>
      <c r="M1066" s="12">
        <f t="shared" si="151"/>
        <v>0</v>
      </c>
      <c r="N1066" s="23">
        <f t="shared" si="147"/>
        <v>0</v>
      </c>
      <c r="O1066" s="41">
        <f t="shared" si="148"/>
        <v>0</v>
      </c>
      <c r="P1066" s="13" t="str">
        <f t="shared" si="149"/>
        <v>NO</v>
      </c>
      <c r="Q1066" s="23">
        <f t="shared" si="150"/>
        <v>0</v>
      </c>
      <c r="R1066" s="12">
        <f t="shared" si="150"/>
        <v>0</v>
      </c>
    </row>
    <row r="1067" spans="2:18">
      <c r="B1067" t="str">
        <f t="shared" si="144"/>
        <v>SAZO DE LA CRUZ SELINA ROSSANA46293</v>
      </c>
      <c r="C1067" t="s">
        <v>1</v>
      </c>
      <c r="D1067" s="121">
        <v>46293</v>
      </c>
      <c r="E1067" t="s">
        <v>98</v>
      </c>
      <c r="F1067" t="s">
        <v>35</v>
      </c>
      <c r="G1067" s="122">
        <v>0.29166666666666702</v>
      </c>
      <c r="H1067" s="122">
        <v>0.66666666666666696</v>
      </c>
      <c r="I1067" s="112">
        <v>0</v>
      </c>
      <c r="J1067" s="112">
        <v>0</v>
      </c>
      <c r="K1067" s="23">
        <f t="shared" si="145"/>
        <v>0.29166666666666702</v>
      </c>
      <c r="L1067" s="23">
        <f t="shared" si="146"/>
        <v>0</v>
      </c>
      <c r="M1067" s="12">
        <f t="shared" si="151"/>
        <v>0.29166666666666702</v>
      </c>
      <c r="N1067" s="23">
        <f t="shared" si="147"/>
        <v>0.66666666666666696</v>
      </c>
      <c r="O1067" s="41">
        <f t="shared" si="148"/>
        <v>0</v>
      </c>
      <c r="P1067" s="13" t="str">
        <f t="shared" si="149"/>
        <v>SI</v>
      </c>
      <c r="Q1067" s="23">
        <f t="shared" si="150"/>
        <v>0.29166666666666702</v>
      </c>
      <c r="R1067" s="12">
        <f t="shared" si="150"/>
        <v>0.66666666666666696</v>
      </c>
    </row>
    <row r="1068" spans="2:18">
      <c r="B1068" t="str">
        <f t="shared" si="144"/>
        <v>SAZO DE LA CRUZ SELINA ROSSANA46294</v>
      </c>
      <c r="C1068" t="s">
        <v>1</v>
      </c>
      <c r="D1068" s="121">
        <v>46294</v>
      </c>
      <c r="E1068" t="s">
        <v>99</v>
      </c>
      <c r="F1068" t="s">
        <v>35</v>
      </c>
      <c r="G1068" s="122">
        <v>0.29166666666666702</v>
      </c>
      <c r="H1068" s="122">
        <v>0.66666666666666696</v>
      </c>
      <c r="I1068" s="112">
        <v>0</v>
      </c>
      <c r="J1068" s="112">
        <v>0</v>
      </c>
      <c r="K1068" s="23">
        <f t="shared" si="145"/>
        <v>0.29166666666666702</v>
      </c>
      <c r="L1068" s="23">
        <f t="shared" si="146"/>
        <v>0</v>
      </c>
      <c r="M1068" s="12">
        <f t="shared" si="151"/>
        <v>0.29166666666666702</v>
      </c>
      <c r="N1068" s="23">
        <f t="shared" si="147"/>
        <v>0.66666666666666696</v>
      </c>
      <c r="O1068" s="41">
        <f t="shared" si="148"/>
        <v>0</v>
      </c>
      <c r="P1068" s="13" t="str">
        <f t="shared" si="149"/>
        <v>SI</v>
      </c>
      <c r="Q1068" s="23">
        <f t="shared" si="150"/>
        <v>0.29166666666666702</v>
      </c>
      <c r="R1068" s="12">
        <f t="shared" si="150"/>
        <v>0.66666666666666696</v>
      </c>
    </row>
    <row r="1069" spans="2:18">
      <c r="B1069" t="str">
        <f t="shared" si="144"/>
        <v>SAZO DE LA CRUZ SELINA ROSSANA46295</v>
      </c>
      <c r="C1069" t="s">
        <v>1</v>
      </c>
      <c r="D1069" s="121">
        <v>46295</v>
      </c>
      <c r="E1069" t="s">
        <v>100</v>
      </c>
      <c r="F1069" t="s">
        <v>35</v>
      </c>
      <c r="G1069" s="122">
        <v>0.29166666666666702</v>
      </c>
      <c r="H1069" s="122">
        <v>0.66666666666666696</v>
      </c>
      <c r="I1069" s="112">
        <v>0</v>
      </c>
      <c r="J1069" s="112">
        <v>0</v>
      </c>
      <c r="K1069" s="23">
        <f t="shared" si="145"/>
        <v>0.29166666666666702</v>
      </c>
      <c r="L1069" s="23">
        <f t="shared" si="146"/>
        <v>0</v>
      </c>
      <c r="M1069" s="12">
        <f t="shared" si="151"/>
        <v>0.29166666666666702</v>
      </c>
      <c r="N1069" s="23">
        <f t="shared" si="147"/>
        <v>0.66666666666666696</v>
      </c>
      <c r="O1069" s="41">
        <f t="shared" si="148"/>
        <v>0</v>
      </c>
      <c r="P1069" s="13" t="str">
        <f t="shared" si="149"/>
        <v>SI</v>
      </c>
      <c r="Q1069" s="23">
        <f t="shared" si="150"/>
        <v>0.29166666666666702</v>
      </c>
      <c r="R1069" s="12">
        <f t="shared" si="150"/>
        <v>0.66666666666666696</v>
      </c>
    </row>
    <row r="1070" spans="2:18">
      <c r="B1070" t="str">
        <f t="shared" si="144"/>
        <v>SAZO DE LA CRUZ SELINA ROSSANA46296</v>
      </c>
      <c r="C1070" t="s">
        <v>1</v>
      </c>
      <c r="D1070" s="121">
        <v>46296</v>
      </c>
      <c r="E1070" t="s">
        <v>101</v>
      </c>
      <c r="F1070" t="s">
        <v>35</v>
      </c>
      <c r="G1070" s="122">
        <v>0.375</v>
      </c>
      <c r="H1070" s="122">
        <v>0.75</v>
      </c>
      <c r="I1070" s="112">
        <v>0</v>
      </c>
      <c r="J1070" s="112">
        <v>0</v>
      </c>
      <c r="K1070" s="23">
        <f t="shared" si="145"/>
        <v>0.375</v>
      </c>
      <c r="L1070" s="23">
        <f t="shared" si="146"/>
        <v>0</v>
      </c>
      <c r="M1070" s="12">
        <f t="shared" si="151"/>
        <v>0.375</v>
      </c>
      <c r="N1070" s="23">
        <f t="shared" si="147"/>
        <v>0.75</v>
      </c>
      <c r="O1070" s="41">
        <f t="shared" si="148"/>
        <v>0</v>
      </c>
      <c r="P1070" s="13" t="str">
        <f t="shared" si="149"/>
        <v>SI</v>
      </c>
      <c r="Q1070" s="23">
        <f t="shared" si="150"/>
        <v>0.375</v>
      </c>
      <c r="R1070" s="12">
        <f t="shared" si="150"/>
        <v>0.75</v>
      </c>
    </row>
    <row r="1071" spans="2:18">
      <c r="B1071" t="str">
        <f t="shared" si="144"/>
        <v>SAZO DE LA CRUZ SELINA ROSSANA46297</v>
      </c>
      <c r="C1071" t="s">
        <v>1</v>
      </c>
      <c r="D1071" s="121">
        <v>46297</v>
      </c>
      <c r="E1071" t="s">
        <v>95</v>
      </c>
      <c r="F1071" t="s">
        <v>35</v>
      </c>
      <c r="G1071" s="122">
        <v>0.29166666666666702</v>
      </c>
      <c r="H1071" s="122">
        <v>0.66666666666666696</v>
      </c>
      <c r="I1071" s="112">
        <v>0</v>
      </c>
      <c r="J1071" s="112">
        <v>0</v>
      </c>
      <c r="K1071" s="23">
        <f t="shared" si="145"/>
        <v>0.29166666666666702</v>
      </c>
      <c r="L1071" s="23">
        <f t="shared" si="146"/>
        <v>0</v>
      </c>
      <c r="M1071" s="12">
        <f t="shared" si="151"/>
        <v>0.29166666666666702</v>
      </c>
      <c r="N1071" s="23">
        <f t="shared" si="147"/>
        <v>0.66666666666666696</v>
      </c>
      <c r="O1071" s="41">
        <f t="shared" si="148"/>
        <v>0</v>
      </c>
      <c r="P1071" s="13" t="str">
        <f t="shared" si="149"/>
        <v>SI</v>
      </c>
      <c r="Q1071" s="23">
        <f t="shared" si="150"/>
        <v>0.29166666666666702</v>
      </c>
      <c r="R1071" s="12">
        <f t="shared" si="150"/>
        <v>0.66666666666666696</v>
      </c>
    </row>
    <row r="1072" spans="2:18">
      <c r="B1072" t="str">
        <f t="shared" si="144"/>
        <v>SAZO DE LA CRUZ SELINA ROSSANA46298</v>
      </c>
      <c r="C1072" t="s">
        <v>1</v>
      </c>
      <c r="D1072" s="121">
        <v>46298</v>
      </c>
      <c r="E1072" t="s">
        <v>96</v>
      </c>
      <c r="F1072" t="s">
        <v>35</v>
      </c>
      <c r="G1072" s="122">
        <v>0.29166666666666702</v>
      </c>
      <c r="H1072" s="122">
        <v>0.5</v>
      </c>
      <c r="I1072" s="112">
        <v>0</v>
      </c>
      <c r="J1072" s="112">
        <v>0</v>
      </c>
      <c r="K1072" s="23">
        <f t="shared" si="145"/>
        <v>0.29166666666666702</v>
      </c>
      <c r="L1072" s="23">
        <f t="shared" si="146"/>
        <v>0</v>
      </c>
      <c r="M1072" s="12">
        <f t="shared" si="151"/>
        <v>0.29166666666666702</v>
      </c>
      <c r="N1072" s="23">
        <f t="shared" si="147"/>
        <v>0.5</v>
      </c>
      <c r="O1072" s="41">
        <f t="shared" si="148"/>
        <v>0</v>
      </c>
      <c r="P1072" s="13" t="str">
        <f t="shared" si="149"/>
        <v>SI</v>
      </c>
      <c r="Q1072" s="23">
        <f t="shared" si="150"/>
        <v>0.29166666666666702</v>
      </c>
      <c r="R1072" s="12">
        <f t="shared" si="150"/>
        <v>0.5</v>
      </c>
    </row>
    <row r="1073" spans="2:18">
      <c r="B1073" t="str">
        <f t="shared" si="144"/>
        <v>SAZO DE LA CRUZ SELINA ROSSANA46299</v>
      </c>
      <c r="C1073" t="s">
        <v>1</v>
      </c>
      <c r="D1073" s="121">
        <v>46299</v>
      </c>
      <c r="E1073" t="s">
        <v>97</v>
      </c>
      <c r="F1073" t="s">
        <v>72</v>
      </c>
      <c r="G1073" s="122">
        <v>0</v>
      </c>
      <c r="H1073" s="122">
        <v>0</v>
      </c>
      <c r="I1073" s="112">
        <v>0</v>
      </c>
      <c r="J1073" s="112">
        <v>0</v>
      </c>
      <c r="K1073" s="23">
        <f t="shared" si="145"/>
        <v>0</v>
      </c>
      <c r="L1073" s="23">
        <f t="shared" si="146"/>
        <v>0</v>
      </c>
      <c r="M1073" s="12">
        <f t="shared" si="151"/>
        <v>0</v>
      </c>
      <c r="N1073" s="23">
        <f t="shared" si="147"/>
        <v>0</v>
      </c>
      <c r="O1073" s="41">
        <f t="shared" si="148"/>
        <v>0</v>
      </c>
      <c r="P1073" s="13" t="str">
        <f t="shared" si="149"/>
        <v>NO</v>
      </c>
      <c r="Q1073" s="23">
        <f t="shared" si="150"/>
        <v>0</v>
      </c>
      <c r="R1073" s="12">
        <f t="shared" si="150"/>
        <v>0</v>
      </c>
    </row>
    <row r="1074" spans="2:18">
      <c r="B1074" t="str">
        <f t="shared" si="144"/>
        <v>STEFAN GABRIEL ALVARADO DE LA ROSA46279</v>
      </c>
      <c r="C1074" t="s">
        <v>19</v>
      </c>
      <c r="D1074" s="121">
        <v>46279</v>
      </c>
      <c r="E1074" t="s">
        <v>98</v>
      </c>
      <c r="F1074" t="s">
        <v>72</v>
      </c>
      <c r="G1074" s="122">
        <v>0</v>
      </c>
      <c r="H1074" s="122">
        <v>0</v>
      </c>
      <c r="I1074" s="112">
        <v>0</v>
      </c>
      <c r="J1074" s="112">
        <v>0</v>
      </c>
      <c r="K1074" s="23">
        <f t="shared" si="145"/>
        <v>0</v>
      </c>
      <c r="L1074" s="23">
        <f t="shared" si="146"/>
        <v>0</v>
      </c>
      <c r="M1074" s="12">
        <f t="shared" si="151"/>
        <v>0</v>
      </c>
      <c r="N1074" s="23">
        <f t="shared" si="147"/>
        <v>0</v>
      </c>
      <c r="O1074" s="41">
        <f t="shared" si="148"/>
        <v>0</v>
      </c>
      <c r="P1074" s="13" t="str">
        <f t="shared" si="149"/>
        <v>NO</v>
      </c>
      <c r="Q1074" s="23">
        <f t="shared" si="150"/>
        <v>0</v>
      </c>
      <c r="R1074" s="12">
        <f t="shared" si="150"/>
        <v>0</v>
      </c>
    </row>
    <row r="1075" spans="2:18">
      <c r="B1075" t="str">
        <f t="shared" si="144"/>
        <v>STEFAN GABRIEL ALVARADO DE LA ROSA46280</v>
      </c>
      <c r="C1075" t="s">
        <v>19</v>
      </c>
      <c r="D1075" s="121">
        <v>46280</v>
      </c>
      <c r="E1075" t="s">
        <v>99</v>
      </c>
      <c r="F1075" t="s">
        <v>35</v>
      </c>
      <c r="G1075" s="122">
        <v>0.33333333333333298</v>
      </c>
      <c r="H1075" s="122">
        <v>0.70833333333333304</v>
      </c>
      <c r="I1075" s="112">
        <v>0</v>
      </c>
      <c r="J1075" s="112">
        <v>0</v>
      </c>
      <c r="K1075" s="23">
        <f t="shared" si="145"/>
        <v>0.33333333333333298</v>
      </c>
      <c r="L1075" s="23">
        <f t="shared" si="146"/>
        <v>0</v>
      </c>
      <c r="M1075" s="12">
        <f t="shared" si="151"/>
        <v>0.33333333333333298</v>
      </c>
      <c r="N1075" s="23">
        <f t="shared" si="147"/>
        <v>0.70833333333333304</v>
      </c>
      <c r="O1075" s="41">
        <f t="shared" si="148"/>
        <v>0</v>
      </c>
      <c r="P1075" s="13" t="str">
        <f t="shared" si="149"/>
        <v>SI</v>
      </c>
      <c r="Q1075" s="23">
        <f t="shared" si="150"/>
        <v>0.33333333333333298</v>
      </c>
      <c r="R1075" s="12">
        <f t="shared" si="150"/>
        <v>0.70833333333333304</v>
      </c>
    </row>
    <row r="1076" spans="2:18">
      <c r="B1076" t="str">
        <f t="shared" si="144"/>
        <v>STEFAN GABRIEL ALVARADO DE LA ROSA46281</v>
      </c>
      <c r="C1076" t="s">
        <v>19</v>
      </c>
      <c r="D1076" s="121">
        <v>46281</v>
      </c>
      <c r="E1076" t="s">
        <v>100</v>
      </c>
      <c r="F1076" t="s">
        <v>35</v>
      </c>
      <c r="G1076" s="122">
        <v>0.29166666666666702</v>
      </c>
      <c r="H1076" s="122">
        <v>0.66666666666666696</v>
      </c>
      <c r="I1076" s="112">
        <v>0</v>
      </c>
      <c r="J1076" s="112">
        <v>0</v>
      </c>
      <c r="K1076" s="23">
        <f t="shared" si="145"/>
        <v>0.29166666666666702</v>
      </c>
      <c r="L1076" s="23">
        <f t="shared" si="146"/>
        <v>0</v>
      </c>
      <c r="M1076" s="12">
        <f t="shared" si="151"/>
        <v>0.29166666666666702</v>
      </c>
      <c r="N1076" s="23">
        <f t="shared" si="147"/>
        <v>0.66666666666666696</v>
      </c>
      <c r="O1076" s="41">
        <f t="shared" si="148"/>
        <v>0</v>
      </c>
      <c r="P1076" s="13" t="str">
        <f t="shared" si="149"/>
        <v>SI</v>
      </c>
      <c r="Q1076" s="23">
        <f t="shared" si="150"/>
        <v>0.29166666666666702</v>
      </c>
      <c r="R1076" s="12">
        <f t="shared" si="150"/>
        <v>0.66666666666666696</v>
      </c>
    </row>
    <row r="1077" spans="2:18">
      <c r="B1077" t="str">
        <f t="shared" si="144"/>
        <v>STEFAN GABRIEL ALVARADO DE LA ROSA46282</v>
      </c>
      <c r="C1077" t="s">
        <v>19</v>
      </c>
      <c r="D1077" s="121">
        <v>46282</v>
      </c>
      <c r="E1077" t="s">
        <v>101</v>
      </c>
      <c r="F1077" t="s">
        <v>35</v>
      </c>
      <c r="G1077" s="122">
        <v>0.375</v>
      </c>
      <c r="H1077" s="122">
        <v>0.75</v>
      </c>
      <c r="I1077" s="112">
        <v>0</v>
      </c>
      <c r="J1077" s="112">
        <v>0</v>
      </c>
      <c r="K1077" s="23">
        <f t="shared" si="145"/>
        <v>0.375</v>
      </c>
      <c r="L1077" s="23">
        <f t="shared" si="146"/>
        <v>0</v>
      </c>
      <c r="M1077" s="12">
        <f t="shared" si="151"/>
        <v>0.375</v>
      </c>
      <c r="N1077" s="23">
        <f t="shared" si="147"/>
        <v>0.75</v>
      </c>
      <c r="O1077" s="41">
        <f t="shared" si="148"/>
        <v>0</v>
      </c>
      <c r="P1077" s="13" t="str">
        <f t="shared" si="149"/>
        <v>SI</v>
      </c>
      <c r="Q1077" s="23">
        <f t="shared" si="150"/>
        <v>0.375</v>
      </c>
      <c r="R1077" s="12">
        <f t="shared" si="150"/>
        <v>0.75</v>
      </c>
    </row>
    <row r="1078" spans="2:18">
      <c r="B1078" t="str">
        <f t="shared" si="144"/>
        <v>STEFAN GABRIEL ALVARADO DE LA ROSA46283</v>
      </c>
      <c r="C1078" t="s">
        <v>19</v>
      </c>
      <c r="D1078" s="121">
        <v>46283</v>
      </c>
      <c r="E1078" t="s">
        <v>95</v>
      </c>
      <c r="F1078" t="s">
        <v>35</v>
      </c>
      <c r="G1078" s="122">
        <v>0.29166666666666702</v>
      </c>
      <c r="H1078" s="122">
        <v>0.66666666666666696</v>
      </c>
      <c r="I1078" s="112">
        <v>0</v>
      </c>
      <c r="J1078" s="112">
        <v>0</v>
      </c>
      <c r="K1078" s="23">
        <f t="shared" si="145"/>
        <v>0.29166666666666702</v>
      </c>
      <c r="L1078" s="23">
        <f t="shared" si="146"/>
        <v>0</v>
      </c>
      <c r="M1078" s="12">
        <f t="shared" si="151"/>
        <v>0.29166666666666702</v>
      </c>
      <c r="N1078" s="23">
        <f t="shared" si="147"/>
        <v>0.66666666666666696</v>
      </c>
      <c r="O1078" s="41">
        <f t="shared" si="148"/>
        <v>0</v>
      </c>
      <c r="P1078" s="13" t="str">
        <f t="shared" si="149"/>
        <v>SI</v>
      </c>
      <c r="Q1078" s="23">
        <f t="shared" si="150"/>
        <v>0.29166666666666702</v>
      </c>
      <c r="R1078" s="12">
        <f t="shared" si="150"/>
        <v>0.66666666666666696</v>
      </c>
    </row>
    <row r="1079" spans="2:18">
      <c r="B1079" t="str">
        <f t="shared" ref="B1079:B1142" si="152">+C1079&amp;D1079</f>
        <v>STEFAN GABRIEL ALVARADO DE LA ROSA46284</v>
      </c>
      <c r="C1079" t="s">
        <v>19</v>
      </c>
      <c r="D1079" s="121">
        <v>46284</v>
      </c>
      <c r="E1079" t="s">
        <v>96</v>
      </c>
      <c r="F1079" t="s">
        <v>35</v>
      </c>
      <c r="G1079" s="122">
        <v>0.29166666666666702</v>
      </c>
      <c r="H1079" s="122">
        <v>0.5</v>
      </c>
      <c r="I1079" s="112">
        <v>0</v>
      </c>
      <c r="J1079" s="112">
        <v>0</v>
      </c>
      <c r="K1079" s="23">
        <f t="shared" ref="K1079:K1142" si="153">+IFERROR(G1079,0)</f>
        <v>0.29166666666666702</v>
      </c>
      <c r="L1079" s="23">
        <f t="shared" ref="L1079:L1142" si="154">+I1079</f>
        <v>0</v>
      </c>
      <c r="M1079" s="12">
        <f t="shared" si="151"/>
        <v>0.29166666666666702</v>
      </c>
      <c r="N1079" s="23">
        <f t="shared" ref="N1079:N1142" si="155">+H1079</f>
        <v>0.5</v>
      </c>
      <c r="O1079" s="41">
        <f t="shared" ref="O1079:O1142" si="156">+J1079</f>
        <v>0</v>
      </c>
      <c r="P1079" s="13" t="str">
        <f t="shared" ref="P1079:P1142" si="157">+IF(O1079&lt;N1079,"SI","NO")</f>
        <v>SI</v>
      </c>
      <c r="Q1079" s="23">
        <f t="shared" ref="Q1079:R1142" si="158">+M1079</f>
        <v>0.29166666666666702</v>
      </c>
      <c r="R1079" s="12">
        <f t="shared" si="158"/>
        <v>0.5</v>
      </c>
    </row>
    <row r="1080" spans="2:18">
      <c r="B1080" t="str">
        <f t="shared" si="152"/>
        <v>STEFAN GABRIEL ALVARADO DE LA ROSA46285</v>
      </c>
      <c r="C1080" t="s">
        <v>19</v>
      </c>
      <c r="D1080" s="121">
        <v>46285</v>
      </c>
      <c r="E1080" t="s">
        <v>97</v>
      </c>
      <c r="F1080" t="s">
        <v>72</v>
      </c>
      <c r="G1080" s="122">
        <v>0</v>
      </c>
      <c r="H1080" s="122">
        <v>0</v>
      </c>
      <c r="I1080" s="112">
        <v>0</v>
      </c>
      <c r="J1080" s="112">
        <v>0</v>
      </c>
      <c r="K1080" s="23">
        <f t="shared" si="153"/>
        <v>0</v>
      </c>
      <c r="L1080" s="23">
        <f t="shared" si="154"/>
        <v>0</v>
      </c>
      <c r="M1080" s="12">
        <f t="shared" ref="M1080:M1143" si="159">+IFERROR(MAX(K1080:L1080),0)</f>
        <v>0</v>
      </c>
      <c r="N1080" s="23">
        <f t="shared" si="155"/>
        <v>0</v>
      </c>
      <c r="O1080" s="41">
        <f t="shared" si="156"/>
        <v>0</v>
      </c>
      <c r="P1080" s="13" t="str">
        <f t="shared" si="157"/>
        <v>NO</v>
      </c>
      <c r="Q1080" s="23">
        <f t="shared" si="158"/>
        <v>0</v>
      </c>
      <c r="R1080" s="12">
        <f t="shared" si="158"/>
        <v>0</v>
      </c>
    </row>
    <row r="1081" spans="2:18">
      <c r="B1081" t="str">
        <f t="shared" si="152"/>
        <v>STEFAN GABRIEL ALVARADO DE LA ROSA46286</v>
      </c>
      <c r="C1081" t="s">
        <v>19</v>
      </c>
      <c r="D1081" s="121">
        <v>46286</v>
      </c>
      <c r="E1081" t="s">
        <v>98</v>
      </c>
      <c r="F1081" t="s">
        <v>36</v>
      </c>
      <c r="G1081" s="122">
        <v>0.79166666666666696</v>
      </c>
      <c r="H1081" s="122">
        <v>0.20833333333333301</v>
      </c>
      <c r="I1081" s="112">
        <v>0</v>
      </c>
      <c r="J1081" s="112">
        <v>0</v>
      </c>
      <c r="K1081" s="23">
        <f t="shared" si="153"/>
        <v>0.79166666666666696</v>
      </c>
      <c r="L1081" s="23">
        <f t="shared" si="154"/>
        <v>0</v>
      </c>
      <c r="M1081" s="12">
        <f t="shared" si="159"/>
        <v>0.79166666666666696</v>
      </c>
      <c r="N1081" s="23">
        <f t="shared" si="155"/>
        <v>0.20833333333333301</v>
      </c>
      <c r="O1081" s="41">
        <f t="shared" si="156"/>
        <v>0</v>
      </c>
      <c r="P1081" s="13" t="str">
        <f t="shared" si="157"/>
        <v>SI</v>
      </c>
      <c r="Q1081" s="23">
        <f t="shared" si="158"/>
        <v>0.79166666666666696</v>
      </c>
      <c r="R1081" s="12">
        <f t="shared" si="158"/>
        <v>0.20833333333333301</v>
      </c>
    </row>
    <row r="1082" spans="2:18">
      <c r="B1082" t="str">
        <f t="shared" si="152"/>
        <v>STEFAN GABRIEL ALVARADO DE LA ROSA46287</v>
      </c>
      <c r="C1082" t="s">
        <v>19</v>
      </c>
      <c r="D1082" s="121">
        <v>46287</v>
      </c>
      <c r="E1082" t="s">
        <v>99</v>
      </c>
      <c r="F1082" t="s">
        <v>36</v>
      </c>
      <c r="G1082" s="122">
        <v>0.79166666666666696</v>
      </c>
      <c r="H1082" s="122">
        <v>0.20833333333333301</v>
      </c>
      <c r="I1082" s="112">
        <v>0</v>
      </c>
      <c r="J1082" s="112">
        <v>0</v>
      </c>
      <c r="K1082" s="23">
        <f t="shared" si="153"/>
        <v>0.79166666666666696</v>
      </c>
      <c r="L1082" s="23">
        <f t="shared" si="154"/>
        <v>0</v>
      </c>
      <c r="M1082" s="12">
        <f t="shared" si="159"/>
        <v>0.79166666666666696</v>
      </c>
      <c r="N1082" s="23">
        <f t="shared" si="155"/>
        <v>0.20833333333333301</v>
      </c>
      <c r="O1082" s="41">
        <f t="shared" si="156"/>
        <v>0</v>
      </c>
      <c r="P1082" s="13" t="str">
        <f t="shared" si="157"/>
        <v>SI</v>
      </c>
      <c r="Q1082" s="23">
        <f t="shared" si="158"/>
        <v>0.79166666666666696</v>
      </c>
      <c r="R1082" s="12">
        <f t="shared" si="158"/>
        <v>0.20833333333333301</v>
      </c>
    </row>
    <row r="1083" spans="2:18">
      <c r="B1083" t="str">
        <f t="shared" si="152"/>
        <v>STEFAN GABRIEL ALVARADO DE LA ROSA46288</v>
      </c>
      <c r="C1083" t="s">
        <v>19</v>
      </c>
      <c r="D1083" s="121">
        <v>46288</v>
      </c>
      <c r="E1083" t="s">
        <v>100</v>
      </c>
      <c r="F1083" t="s">
        <v>36</v>
      </c>
      <c r="G1083" s="122">
        <v>0.79166666666666696</v>
      </c>
      <c r="H1083" s="122">
        <v>0.20833333333333301</v>
      </c>
      <c r="I1083" s="112">
        <v>0</v>
      </c>
      <c r="J1083" s="112">
        <v>0</v>
      </c>
      <c r="K1083" s="23">
        <f t="shared" si="153"/>
        <v>0.79166666666666696</v>
      </c>
      <c r="L1083" s="23">
        <f t="shared" si="154"/>
        <v>0</v>
      </c>
      <c r="M1083" s="12">
        <f t="shared" si="159"/>
        <v>0.79166666666666696</v>
      </c>
      <c r="N1083" s="23">
        <f t="shared" si="155"/>
        <v>0.20833333333333301</v>
      </c>
      <c r="O1083" s="41">
        <f t="shared" si="156"/>
        <v>0</v>
      </c>
      <c r="P1083" s="13" t="str">
        <f t="shared" si="157"/>
        <v>SI</v>
      </c>
      <c r="Q1083" s="23">
        <f t="shared" si="158"/>
        <v>0.79166666666666696</v>
      </c>
      <c r="R1083" s="12">
        <f t="shared" si="158"/>
        <v>0.20833333333333301</v>
      </c>
    </row>
    <row r="1084" spans="2:18">
      <c r="B1084" t="str">
        <f t="shared" si="152"/>
        <v>STEFAN GABRIEL ALVARADO DE LA ROSA46289</v>
      </c>
      <c r="C1084" t="s">
        <v>19</v>
      </c>
      <c r="D1084" s="121">
        <v>46289</v>
      </c>
      <c r="E1084" t="s">
        <v>101</v>
      </c>
      <c r="F1084" t="s">
        <v>36</v>
      </c>
      <c r="G1084" s="122">
        <v>0.79166666666666696</v>
      </c>
      <c r="H1084" s="122">
        <v>0.20833333333333301</v>
      </c>
      <c r="I1084" s="112">
        <v>0</v>
      </c>
      <c r="J1084" s="112">
        <v>0</v>
      </c>
      <c r="K1084" s="23">
        <f t="shared" si="153"/>
        <v>0.79166666666666696</v>
      </c>
      <c r="L1084" s="23">
        <f t="shared" si="154"/>
        <v>0</v>
      </c>
      <c r="M1084" s="12">
        <f t="shared" si="159"/>
        <v>0.79166666666666696</v>
      </c>
      <c r="N1084" s="23">
        <f t="shared" si="155"/>
        <v>0.20833333333333301</v>
      </c>
      <c r="O1084" s="41">
        <f t="shared" si="156"/>
        <v>0</v>
      </c>
      <c r="P1084" s="13" t="str">
        <f t="shared" si="157"/>
        <v>SI</v>
      </c>
      <c r="Q1084" s="23">
        <f t="shared" si="158"/>
        <v>0.79166666666666696</v>
      </c>
      <c r="R1084" s="12">
        <f t="shared" si="158"/>
        <v>0.20833333333333301</v>
      </c>
    </row>
    <row r="1085" spans="2:18">
      <c r="B1085" t="str">
        <f t="shared" si="152"/>
        <v>STEFAN GABRIEL ALVARADO DE LA ROSA46290</v>
      </c>
      <c r="C1085" t="s">
        <v>19</v>
      </c>
      <c r="D1085" s="121">
        <v>46290</v>
      </c>
      <c r="E1085" t="s">
        <v>95</v>
      </c>
      <c r="F1085" t="s">
        <v>36</v>
      </c>
      <c r="G1085" s="122">
        <v>0.79166666666666696</v>
      </c>
      <c r="H1085" s="122">
        <v>0.20833333333333301</v>
      </c>
      <c r="I1085" s="112">
        <v>0</v>
      </c>
      <c r="J1085" s="112">
        <v>0</v>
      </c>
      <c r="K1085" s="23">
        <f t="shared" si="153"/>
        <v>0.79166666666666696</v>
      </c>
      <c r="L1085" s="23">
        <f t="shared" si="154"/>
        <v>0</v>
      </c>
      <c r="M1085" s="12">
        <f t="shared" si="159"/>
        <v>0.79166666666666696</v>
      </c>
      <c r="N1085" s="23">
        <f t="shared" si="155"/>
        <v>0.20833333333333301</v>
      </c>
      <c r="O1085" s="41">
        <f t="shared" si="156"/>
        <v>0</v>
      </c>
      <c r="P1085" s="13" t="str">
        <f t="shared" si="157"/>
        <v>SI</v>
      </c>
      <c r="Q1085" s="23">
        <f t="shared" si="158"/>
        <v>0.79166666666666696</v>
      </c>
      <c r="R1085" s="12">
        <f t="shared" si="158"/>
        <v>0.20833333333333301</v>
      </c>
    </row>
    <row r="1086" spans="2:18">
      <c r="B1086" t="str">
        <f t="shared" si="152"/>
        <v>STEFAN GABRIEL ALVARADO DE LA ROSA46291</v>
      </c>
      <c r="C1086" t="s">
        <v>19</v>
      </c>
      <c r="D1086" s="121">
        <v>46291</v>
      </c>
      <c r="E1086" t="s">
        <v>96</v>
      </c>
      <c r="F1086" t="s">
        <v>72</v>
      </c>
      <c r="G1086" s="122">
        <v>0</v>
      </c>
      <c r="H1086" s="122">
        <v>0</v>
      </c>
      <c r="I1086" s="112">
        <v>0</v>
      </c>
      <c r="J1086" s="112">
        <v>0</v>
      </c>
      <c r="K1086" s="23">
        <f t="shared" si="153"/>
        <v>0</v>
      </c>
      <c r="L1086" s="23">
        <f t="shared" si="154"/>
        <v>0</v>
      </c>
      <c r="M1086" s="12">
        <f t="shared" si="159"/>
        <v>0</v>
      </c>
      <c r="N1086" s="23">
        <f t="shared" si="155"/>
        <v>0</v>
      </c>
      <c r="O1086" s="41">
        <f t="shared" si="156"/>
        <v>0</v>
      </c>
      <c r="P1086" s="13" t="str">
        <f t="shared" si="157"/>
        <v>NO</v>
      </c>
      <c r="Q1086" s="23">
        <f t="shared" si="158"/>
        <v>0</v>
      </c>
      <c r="R1086" s="12">
        <f t="shared" si="158"/>
        <v>0</v>
      </c>
    </row>
    <row r="1087" spans="2:18">
      <c r="B1087" t="str">
        <f t="shared" si="152"/>
        <v>STEFAN GABRIEL ALVARADO DE LA ROSA46292</v>
      </c>
      <c r="C1087" t="s">
        <v>19</v>
      </c>
      <c r="D1087" s="121">
        <v>46292</v>
      </c>
      <c r="E1087" t="s">
        <v>97</v>
      </c>
      <c r="F1087" t="s">
        <v>72</v>
      </c>
      <c r="G1087" s="122">
        <v>0</v>
      </c>
      <c r="H1087" s="122">
        <v>0</v>
      </c>
      <c r="I1087" s="112">
        <v>0</v>
      </c>
      <c r="J1087" s="112">
        <v>0</v>
      </c>
      <c r="K1087" s="23">
        <f t="shared" si="153"/>
        <v>0</v>
      </c>
      <c r="L1087" s="23">
        <f t="shared" si="154"/>
        <v>0</v>
      </c>
      <c r="M1087" s="12">
        <f t="shared" si="159"/>
        <v>0</v>
      </c>
      <c r="N1087" s="23">
        <f t="shared" si="155"/>
        <v>0</v>
      </c>
      <c r="O1087" s="41">
        <f t="shared" si="156"/>
        <v>0</v>
      </c>
      <c r="P1087" s="13" t="str">
        <f t="shared" si="157"/>
        <v>NO</v>
      </c>
      <c r="Q1087" s="23">
        <f t="shared" si="158"/>
        <v>0</v>
      </c>
      <c r="R1087" s="12">
        <f t="shared" si="158"/>
        <v>0</v>
      </c>
    </row>
    <row r="1088" spans="2:18">
      <c r="B1088" t="str">
        <f t="shared" si="152"/>
        <v>STEFAN GABRIEL ALVARADO DE LA ROSA46293</v>
      </c>
      <c r="C1088" t="s">
        <v>19</v>
      </c>
      <c r="D1088" s="121">
        <v>46293</v>
      </c>
      <c r="E1088" t="s">
        <v>98</v>
      </c>
      <c r="F1088" t="s">
        <v>35</v>
      </c>
      <c r="G1088" s="122">
        <v>0.29166666666666702</v>
      </c>
      <c r="H1088" s="122">
        <v>0.66666666666666696</v>
      </c>
      <c r="I1088" s="112">
        <v>0</v>
      </c>
      <c r="J1088" s="112">
        <v>0</v>
      </c>
      <c r="K1088" s="23">
        <f t="shared" si="153"/>
        <v>0.29166666666666702</v>
      </c>
      <c r="L1088" s="23">
        <f t="shared" si="154"/>
        <v>0</v>
      </c>
      <c r="M1088" s="12">
        <f t="shared" si="159"/>
        <v>0.29166666666666702</v>
      </c>
      <c r="N1088" s="23">
        <f t="shared" si="155"/>
        <v>0.66666666666666696</v>
      </c>
      <c r="O1088" s="41">
        <f t="shared" si="156"/>
        <v>0</v>
      </c>
      <c r="P1088" s="13" t="str">
        <f t="shared" si="157"/>
        <v>SI</v>
      </c>
      <c r="Q1088" s="23">
        <f t="shared" si="158"/>
        <v>0.29166666666666702</v>
      </c>
      <c r="R1088" s="12">
        <f t="shared" si="158"/>
        <v>0.66666666666666696</v>
      </c>
    </row>
    <row r="1089" spans="2:18">
      <c r="B1089" t="str">
        <f t="shared" si="152"/>
        <v>STEFAN GABRIEL ALVARADO DE LA ROSA46294</v>
      </c>
      <c r="C1089" t="s">
        <v>19</v>
      </c>
      <c r="D1089" s="121">
        <v>46294</v>
      </c>
      <c r="E1089" t="s">
        <v>99</v>
      </c>
      <c r="F1089" t="s">
        <v>35</v>
      </c>
      <c r="G1089" s="122">
        <v>0.29166666666666702</v>
      </c>
      <c r="H1089" s="122">
        <v>0.66666666666666696</v>
      </c>
      <c r="I1089" s="112">
        <v>0</v>
      </c>
      <c r="J1089" s="112">
        <v>0</v>
      </c>
      <c r="K1089" s="23">
        <f t="shared" si="153"/>
        <v>0.29166666666666702</v>
      </c>
      <c r="L1089" s="23">
        <f t="shared" si="154"/>
        <v>0</v>
      </c>
      <c r="M1089" s="12">
        <f t="shared" si="159"/>
        <v>0.29166666666666702</v>
      </c>
      <c r="N1089" s="23">
        <f t="shared" si="155"/>
        <v>0.66666666666666696</v>
      </c>
      <c r="O1089" s="41">
        <f t="shared" si="156"/>
        <v>0</v>
      </c>
      <c r="P1089" s="13" t="str">
        <f t="shared" si="157"/>
        <v>SI</v>
      </c>
      <c r="Q1089" s="23">
        <f t="shared" si="158"/>
        <v>0.29166666666666702</v>
      </c>
      <c r="R1089" s="12">
        <f t="shared" si="158"/>
        <v>0.66666666666666696</v>
      </c>
    </row>
    <row r="1090" spans="2:18">
      <c r="B1090" t="str">
        <f t="shared" si="152"/>
        <v>STEFAN GABRIEL ALVARADO DE LA ROSA46295</v>
      </c>
      <c r="C1090" t="s">
        <v>19</v>
      </c>
      <c r="D1090" s="121">
        <v>46295</v>
      </c>
      <c r="E1090" t="s">
        <v>100</v>
      </c>
      <c r="F1090" t="s">
        <v>36</v>
      </c>
      <c r="G1090" s="122">
        <v>0.79166666666666696</v>
      </c>
      <c r="H1090" s="122">
        <v>0.20833333333333301</v>
      </c>
      <c r="I1090" s="112">
        <v>0</v>
      </c>
      <c r="J1090" s="112">
        <v>0</v>
      </c>
      <c r="K1090" s="23">
        <f t="shared" si="153"/>
        <v>0.79166666666666696</v>
      </c>
      <c r="L1090" s="23">
        <f t="shared" si="154"/>
        <v>0</v>
      </c>
      <c r="M1090" s="12">
        <f t="shared" si="159"/>
        <v>0.79166666666666696</v>
      </c>
      <c r="N1090" s="23">
        <f t="shared" si="155"/>
        <v>0.20833333333333301</v>
      </c>
      <c r="O1090" s="41">
        <f t="shared" si="156"/>
        <v>0</v>
      </c>
      <c r="P1090" s="13" t="str">
        <f t="shared" si="157"/>
        <v>SI</v>
      </c>
      <c r="Q1090" s="23">
        <f t="shared" si="158"/>
        <v>0.79166666666666696</v>
      </c>
      <c r="R1090" s="12">
        <f t="shared" si="158"/>
        <v>0.20833333333333301</v>
      </c>
    </row>
    <row r="1091" spans="2:18">
      <c r="B1091" t="str">
        <f t="shared" si="152"/>
        <v>STEFAN GABRIEL ALVARADO DE LA ROSA46296</v>
      </c>
      <c r="C1091" t="s">
        <v>19</v>
      </c>
      <c r="D1091" s="121">
        <v>46296</v>
      </c>
      <c r="E1091" t="s">
        <v>101</v>
      </c>
      <c r="F1091" t="s">
        <v>36</v>
      </c>
      <c r="G1091" s="122">
        <v>0.79166666666666696</v>
      </c>
      <c r="H1091" s="122">
        <v>0.20833333333333301</v>
      </c>
      <c r="I1091" s="112">
        <v>0</v>
      </c>
      <c r="J1091" s="112">
        <v>0</v>
      </c>
      <c r="K1091" s="23">
        <f t="shared" si="153"/>
        <v>0.79166666666666696</v>
      </c>
      <c r="L1091" s="23">
        <f t="shared" si="154"/>
        <v>0</v>
      </c>
      <c r="M1091" s="12">
        <f t="shared" si="159"/>
        <v>0.79166666666666696</v>
      </c>
      <c r="N1091" s="23">
        <f t="shared" si="155"/>
        <v>0.20833333333333301</v>
      </c>
      <c r="O1091" s="41">
        <f t="shared" si="156"/>
        <v>0</v>
      </c>
      <c r="P1091" s="13" t="str">
        <f t="shared" si="157"/>
        <v>SI</v>
      </c>
      <c r="Q1091" s="23">
        <f t="shared" si="158"/>
        <v>0.79166666666666696</v>
      </c>
      <c r="R1091" s="12">
        <f t="shared" si="158"/>
        <v>0.20833333333333301</v>
      </c>
    </row>
    <row r="1092" spans="2:18">
      <c r="B1092" t="str">
        <f t="shared" si="152"/>
        <v>STEFAN GABRIEL ALVARADO DE LA ROSA46297</v>
      </c>
      <c r="C1092" t="s">
        <v>19</v>
      </c>
      <c r="D1092" s="121">
        <v>46297</v>
      </c>
      <c r="E1092" t="s">
        <v>95</v>
      </c>
      <c r="F1092" t="s">
        <v>36</v>
      </c>
      <c r="G1092" s="122">
        <v>0.79166666666666696</v>
      </c>
      <c r="H1092" s="122">
        <v>0.20833333333333301</v>
      </c>
      <c r="I1092" s="112">
        <v>0</v>
      </c>
      <c r="J1092" s="112">
        <v>0</v>
      </c>
      <c r="K1092" s="23">
        <f t="shared" si="153"/>
        <v>0.79166666666666696</v>
      </c>
      <c r="L1092" s="23">
        <f t="shared" si="154"/>
        <v>0</v>
      </c>
      <c r="M1092" s="12">
        <f t="shared" si="159"/>
        <v>0.79166666666666696</v>
      </c>
      <c r="N1092" s="23">
        <f t="shared" si="155"/>
        <v>0.20833333333333301</v>
      </c>
      <c r="O1092" s="41">
        <f t="shared" si="156"/>
        <v>0</v>
      </c>
      <c r="P1092" s="13" t="str">
        <f t="shared" si="157"/>
        <v>SI</v>
      </c>
      <c r="Q1092" s="23">
        <f t="shared" si="158"/>
        <v>0.79166666666666696</v>
      </c>
      <c r="R1092" s="12">
        <f t="shared" si="158"/>
        <v>0.20833333333333301</v>
      </c>
    </row>
    <row r="1093" spans="2:18">
      <c r="B1093" t="str">
        <f t="shared" si="152"/>
        <v>STEFAN GABRIEL ALVARADO DE LA ROSA46298</v>
      </c>
      <c r="C1093" t="s">
        <v>19</v>
      </c>
      <c r="D1093" s="121">
        <v>46298</v>
      </c>
      <c r="E1093" t="s">
        <v>96</v>
      </c>
      <c r="F1093" t="s">
        <v>72</v>
      </c>
      <c r="G1093" s="122">
        <v>0</v>
      </c>
      <c r="H1093" s="122">
        <v>0</v>
      </c>
      <c r="I1093" s="112">
        <v>0</v>
      </c>
      <c r="J1093" s="112">
        <v>0</v>
      </c>
      <c r="K1093" s="23">
        <f t="shared" si="153"/>
        <v>0</v>
      </c>
      <c r="L1093" s="23">
        <f t="shared" si="154"/>
        <v>0</v>
      </c>
      <c r="M1093" s="12">
        <f t="shared" si="159"/>
        <v>0</v>
      </c>
      <c r="N1093" s="23">
        <f t="shared" si="155"/>
        <v>0</v>
      </c>
      <c r="O1093" s="41">
        <f t="shared" si="156"/>
        <v>0</v>
      </c>
      <c r="P1093" s="13" t="str">
        <f t="shared" si="157"/>
        <v>NO</v>
      </c>
      <c r="Q1093" s="23">
        <f t="shared" si="158"/>
        <v>0</v>
      </c>
      <c r="R1093" s="12">
        <f t="shared" si="158"/>
        <v>0</v>
      </c>
    </row>
    <row r="1094" spans="2:18">
      <c r="B1094" t="str">
        <f t="shared" si="152"/>
        <v>STEFAN GABRIEL ALVARADO DE LA ROSA46299</v>
      </c>
      <c r="C1094" t="s">
        <v>19</v>
      </c>
      <c r="D1094" s="121">
        <v>46299</v>
      </c>
      <c r="E1094" t="s">
        <v>97</v>
      </c>
      <c r="F1094" t="s">
        <v>72</v>
      </c>
      <c r="G1094" s="122">
        <v>0</v>
      </c>
      <c r="H1094" s="122">
        <v>0</v>
      </c>
      <c r="I1094" s="112">
        <v>0</v>
      </c>
      <c r="J1094" s="112">
        <v>0</v>
      </c>
      <c r="K1094" s="23">
        <f t="shared" si="153"/>
        <v>0</v>
      </c>
      <c r="L1094" s="23">
        <f t="shared" si="154"/>
        <v>0</v>
      </c>
      <c r="M1094" s="12">
        <f t="shared" si="159"/>
        <v>0</v>
      </c>
      <c r="N1094" s="23">
        <f t="shared" si="155"/>
        <v>0</v>
      </c>
      <c r="O1094" s="41">
        <f t="shared" si="156"/>
        <v>0</v>
      </c>
      <c r="P1094" s="13" t="str">
        <f t="shared" si="157"/>
        <v>NO</v>
      </c>
      <c r="Q1094" s="23">
        <f t="shared" si="158"/>
        <v>0</v>
      </c>
      <c r="R1094" s="12">
        <f t="shared" si="158"/>
        <v>0</v>
      </c>
    </row>
    <row r="1095" spans="2:18">
      <c r="B1095" t="str">
        <f t="shared" si="152"/>
        <v>Sergio Enrique Rodriguez de Paz46279</v>
      </c>
      <c r="C1095" t="s">
        <v>257</v>
      </c>
      <c r="D1095" s="121">
        <v>46279</v>
      </c>
      <c r="E1095" t="s">
        <v>98</v>
      </c>
      <c r="F1095" t="s">
        <v>72</v>
      </c>
      <c r="G1095" s="122">
        <v>0</v>
      </c>
      <c r="H1095" s="122">
        <v>0</v>
      </c>
      <c r="I1095" s="112">
        <v>0</v>
      </c>
      <c r="J1095" s="112">
        <v>0</v>
      </c>
      <c r="K1095" s="23">
        <f t="shared" si="153"/>
        <v>0</v>
      </c>
      <c r="L1095" s="23">
        <f t="shared" si="154"/>
        <v>0</v>
      </c>
      <c r="M1095" s="12">
        <f t="shared" si="159"/>
        <v>0</v>
      </c>
      <c r="N1095" s="23">
        <f t="shared" si="155"/>
        <v>0</v>
      </c>
      <c r="O1095" s="41">
        <f t="shared" si="156"/>
        <v>0</v>
      </c>
      <c r="P1095" s="13" t="str">
        <f t="shared" si="157"/>
        <v>NO</v>
      </c>
      <c r="Q1095" s="23">
        <f t="shared" si="158"/>
        <v>0</v>
      </c>
      <c r="R1095" s="12">
        <f t="shared" si="158"/>
        <v>0</v>
      </c>
    </row>
    <row r="1096" spans="2:18">
      <c r="B1096" t="str">
        <f t="shared" si="152"/>
        <v>Sergio Enrique Rodriguez de Paz46280</v>
      </c>
      <c r="C1096" t="s">
        <v>257</v>
      </c>
      <c r="D1096" s="121">
        <v>46280</v>
      </c>
      <c r="E1096" t="s">
        <v>99</v>
      </c>
      <c r="F1096" t="s">
        <v>35</v>
      </c>
      <c r="G1096" s="122">
        <v>0.33333333333333298</v>
      </c>
      <c r="H1096" s="122">
        <v>0.70833333333333304</v>
      </c>
      <c r="I1096" s="112">
        <v>0</v>
      </c>
      <c r="J1096" s="112">
        <v>0</v>
      </c>
      <c r="K1096" s="23">
        <f t="shared" si="153"/>
        <v>0.33333333333333298</v>
      </c>
      <c r="L1096" s="23">
        <f t="shared" si="154"/>
        <v>0</v>
      </c>
      <c r="M1096" s="12">
        <f t="shared" si="159"/>
        <v>0.33333333333333298</v>
      </c>
      <c r="N1096" s="23">
        <f t="shared" si="155"/>
        <v>0.70833333333333304</v>
      </c>
      <c r="O1096" s="41">
        <f t="shared" si="156"/>
        <v>0</v>
      </c>
      <c r="P1096" s="13" t="str">
        <f t="shared" si="157"/>
        <v>SI</v>
      </c>
      <c r="Q1096" s="23">
        <f t="shared" si="158"/>
        <v>0.33333333333333298</v>
      </c>
      <c r="R1096" s="12">
        <f t="shared" si="158"/>
        <v>0.70833333333333304</v>
      </c>
    </row>
    <row r="1097" spans="2:18">
      <c r="B1097" t="str">
        <f t="shared" si="152"/>
        <v>Sergio Enrique Rodriguez de Paz46281</v>
      </c>
      <c r="C1097" t="s">
        <v>257</v>
      </c>
      <c r="D1097" s="121">
        <v>46281</v>
      </c>
      <c r="E1097" t="s">
        <v>100</v>
      </c>
      <c r="F1097" t="s">
        <v>35</v>
      </c>
      <c r="G1097" s="122">
        <v>0.25</v>
      </c>
      <c r="H1097" s="122">
        <v>0.75</v>
      </c>
      <c r="I1097" s="112">
        <v>0</v>
      </c>
      <c r="J1097" s="112">
        <v>0</v>
      </c>
      <c r="K1097" s="23">
        <f t="shared" si="153"/>
        <v>0.25</v>
      </c>
      <c r="L1097" s="23">
        <f t="shared" si="154"/>
        <v>0</v>
      </c>
      <c r="M1097" s="12">
        <f t="shared" si="159"/>
        <v>0.25</v>
      </c>
      <c r="N1097" s="23">
        <f t="shared" si="155"/>
        <v>0.75</v>
      </c>
      <c r="O1097" s="41">
        <f t="shared" si="156"/>
        <v>0</v>
      </c>
      <c r="P1097" s="13" t="str">
        <f t="shared" si="157"/>
        <v>SI</v>
      </c>
      <c r="Q1097" s="23">
        <f t="shared" si="158"/>
        <v>0.25</v>
      </c>
      <c r="R1097" s="12">
        <f t="shared" si="158"/>
        <v>0.75</v>
      </c>
    </row>
    <row r="1098" spans="2:18">
      <c r="B1098" t="str">
        <f t="shared" si="152"/>
        <v>Sergio Enrique Rodriguez de Paz46282</v>
      </c>
      <c r="C1098" t="s">
        <v>257</v>
      </c>
      <c r="D1098" s="121">
        <v>46282</v>
      </c>
      <c r="E1098" t="s">
        <v>101</v>
      </c>
      <c r="F1098" t="s">
        <v>35</v>
      </c>
      <c r="G1098" s="122">
        <v>0.25</v>
      </c>
      <c r="H1098" s="122">
        <v>0.75</v>
      </c>
      <c r="I1098" s="112">
        <v>0</v>
      </c>
      <c r="J1098" s="112">
        <v>0</v>
      </c>
      <c r="K1098" s="23">
        <f t="shared" si="153"/>
        <v>0.25</v>
      </c>
      <c r="L1098" s="23">
        <f t="shared" si="154"/>
        <v>0</v>
      </c>
      <c r="M1098" s="12">
        <f t="shared" si="159"/>
        <v>0.25</v>
      </c>
      <c r="N1098" s="23">
        <f t="shared" si="155"/>
        <v>0.75</v>
      </c>
      <c r="O1098" s="41">
        <f t="shared" si="156"/>
        <v>0</v>
      </c>
      <c r="P1098" s="13" t="str">
        <f t="shared" si="157"/>
        <v>SI</v>
      </c>
      <c r="Q1098" s="23">
        <f t="shared" si="158"/>
        <v>0.25</v>
      </c>
      <c r="R1098" s="12">
        <f t="shared" si="158"/>
        <v>0.75</v>
      </c>
    </row>
    <row r="1099" spans="2:18">
      <c r="B1099" t="str">
        <f t="shared" si="152"/>
        <v>Sergio Enrique Rodriguez de Paz46283</v>
      </c>
      <c r="C1099" t="s">
        <v>257</v>
      </c>
      <c r="D1099" s="121">
        <v>46283</v>
      </c>
      <c r="E1099" t="s">
        <v>95</v>
      </c>
      <c r="F1099" t="s">
        <v>35</v>
      </c>
      <c r="G1099" s="122">
        <v>0.25</v>
      </c>
      <c r="H1099" s="122">
        <v>0.75</v>
      </c>
      <c r="I1099" s="112">
        <v>0</v>
      </c>
      <c r="J1099" s="112">
        <v>0</v>
      </c>
      <c r="K1099" s="23">
        <f t="shared" si="153"/>
        <v>0.25</v>
      </c>
      <c r="L1099" s="23">
        <f t="shared" si="154"/>
        <v>0</v>
      </c>
      <c r="M1099" s="12">
        <f t="shared" si="159"/>
        <v>0.25</v>
      </c>
      <c r="N1099" s="23">
        <f t="shared" si="155"/>
        <v>0.75</v>
      </c>
      <c r="O1099" s="41">
        <f t="shared" si="156"/>
        <v>0</v>
      </c>
      <c r="P1099" s="13" t="str">
        <f t="shared" si="157"/>
        <v>SI</v>
      </c>
      <c r="Q1099" s="23">
        <f t="shared" si="158"/>
        <v>0.25</v>
      </c>
      <c r="R1099" s="12">
        <f t="shared" si="158"/>
        <v>0.75</v>
      </c>
    </row>
    <row r="1100" spans="2:18">
      <c r="B1100" t="str">
        <f t="shared" si="152"/>
        <v>Sergio Enrique Rodriguez de Paz46284</v>
      </c>
      <c r="C1100" t="s">
        <v>257</v>
      </c>
      <c r="D1100" s="121">
        <v>46284</v>
      </c>
      <c r="E1100" t="s">
        <v>96</v>
      </c>
      <c r="F1100" t="s">
        <v>35</v>
      </c>
      <c r="G1100" s="122">
        <v>0.25</v>
      </c>
      <c r="H1100" s="122">
        <v>0.58333333333333304</v>
      </c>
      <c r="I1100" s="112">
        <v>0</v>
      </c>
      <c r="J1100" s="112">
        <v>0</v>
      </c>
      <c r="K1100" s="23">
        <f t="shared" si="153"/>
        <v>0.25</v>
      </c>
      <c r="L1100" s="23">
        <f t="shared" si="154"/>
        <v>0</v>
      </c>
      <c r="M1100" s="12">
        <f t="shared" si="159"/>
        <v>0.25</v>
      </c>
      <c r="N1100" s="23">
        <f t="shared" si="155"/>
        <v>0.58333333333333304</v>
      </c>
      <c r="O1100" s="41">
        <f t="shared" si="156"/>
        <v>0</v>
      </c>
      <c r="P1100" s="13" t="str">
        <f t="shared" si="157"/>
        <v>SI</v>
      </c>
      <c r="Q1100" s="23">
        <f t="shared" si="158"/>
        <v>0.25</v>
      </c>
      <c r="R1100" s="12">
        <f t="shared" si="158"/>
        <v>0.58333333333333304</v>
      </c>
    </row>
    <row r="1101" spans="2:18">
      <c r="B1101" t="str">
        <f t="shared" si="152"/>
        <v>Sergio Enrique Rodriguez de Paz46285</v>
      </c>
      <c r="C1101" t="s">
        <v>257</v>
      </c>
      <c r="D1101" s="121">
        <v>46285</v>
      </c>
      <c r="E1101" t="s">
        <v>97</v>
      </c>
      <c r="F1101" t="s">
        <v>72</v>
      </c>
      <c r="G1101" s="122">
        <v>0</v>
      </c>
      <c r="H1101" s="122">
        <v>0</v>
      </c>
      <c r="I1101" s="112">
        <v>0</v>
      </c>
      <c r="J1101" s="112">
        <v>0</v>
      </c>
      <c r="K1101" s="23">
        <f t="shared" si="153"/>
        <v>0</v>
      </c>
      <c r="L1101" s="23">
        <f t="shared" si="154"/>
        <v>0</v>
      </c>
      <c r="M1101" s="12">
        <f t="shared" si="159"/>
        <v>0</v>
      </c>
      <c r="N1101" s="23">
        <f t="shared" si="155"/>
        <v>0</v>
      </c>
      <c r="O1101" s="41">
        <f t="shared" si="156"/>
        <v>0</v>
      </c>
      <c r="P1101" s="13" t="str">
        <f t="shared" si="157"/>
        <v>NO</v>
      </c>
      <c r="Q1101" s="23">
        <f t="shared" si="158"/>
        <v>0</v>
      </c>
      <c r="R1101" s="12">
        <f t="shared" si="158"/>
        <v>0</v>
      </c>
    </row>
    <row r="1102" spans="2:18">
      <c r="B1102" t="str">
        <f t="shared" si="152"/>
        <v>Sergio Enrique Rodriguez de Paz46286</v>
      </c>
      <c r="C1102" t="s">
        <v>257</v>
      </c>
      <c r="D1102" s="121">
        <v>46286</v>
      </c>
      <c r="E1102" t="s">
        <v>98</v>
      </c>
      <c r="F1102" t="s">
        <v>36</v>
      </c>
      <c r="G1102" s="122">
        <v>0.75</v>
      </c>
      <c r="H1102" s="122">
        <v>0.25</v>
      </c>
      <c r="I1102" s="112">
        <v>0</v>
      </c>
      <c r="J1102" s="112">
        <v>0</v>
      </c>
      <c r="K1102" s="23">
        <f t="shared" si="153"/>
        <v>0.75</v>
      </c>
      <c r="L1102" s="23">
        <f t="shared" si="154"/>
        <v>0</v>
      </c>
      <c r="M1102" s="12">
        <f t="shared" si="159"/>
        <v>0.75</v>
      </c>
      <c r="N1102" s="23">
        <f t="shared" si="155"/>
        <v>0.25</v>
      </c>
      <c r="O1102" s="41">
        <f t="shared" si="156"/>
        <v>0</v>
      </c>
      <c r="P1102" s="13" t="str">
        <f t="shared" si="157"/>
        <v>SI</v>
      </c>
      <c r="Q1102" s="23">
        <f t="shared" si="158"/>
        <v>0.75</v>
      </c>
      <c r="R1102" s="12">
        <f t="shared" si="158"/>
        <v>0.25</v>
      </c>
    </row>
    <row r="1103" spans="2:18">
      <c r="B1103" t="str">
        <f t="shared" si="152"/>
        <v>Sergio Enrique Rodriguez de Paz46287</v>
      </c>
      <c r="C1103" t="s">
        <v>257</v>
      </c>
      <c r="D1103" s="121">
        <v>46287</v>
      </c>
      <c r="E1103" t="s">
        <v>99</v>
      </c>
      <c r="F1103" t="s">
        <v>36</v>
      </c>
      <c r="G1103" s="122">
        <v>0.75</v>
      </c>
      <c r="H1103" s="122">
        <v>0.25</v>
      </c>
      <c r="I1103" s="112">
        <v>0</v>
      </c>
      <c r="J1103" s="112">
        <v>0</v>
      </c>
      <c r="K1103" s="23">
        <f t="shared" si="153"/>
        <v>0.75</v>
      </c>
      <c r="L1103" s="23">
        <f t="shared" si="154"/>
        <v>0</v>
      </c>
      <c r="M1103" s="12">
        <f t="shared" si="159"/>
        <v>0.75</v>
      </c>
      <c r="N1103" s="23">
        <f t="shared" si="155"/>
        <v>0.25</v>
      </c>
      <c r="O1103" s="41">
        <f t="shared" si="156"/>
        <v>0</v>
      </c>
      <c r="P1103" s="13" t="str">
        <f t="shared" si="157"/>
        <v>SI</v>
      </c>
      <c r="Q1103" s="23">
        <f t="shared" si="158"/>
        <v>0.75</v>
      </c>
      <c r="R1103" s="12">
        <f t="shared" si="158"/>
        <v>0.25</v>
      </c>
    </row>
    <row r="1104" spans="2:18">
      <c r="B1104" t="str">
        <f t="shared" si="152"/>
        <v>Sergio Enrique Rodriguez de Paz46288</v>
      </c>
      <c r="C1104" t="s">
        <v>257</v>
      </c>
      <c r="D1104" s="121">
        <v>46288</v>
      </c>
      <c r="E1104" t="s">
        <v>100</v>
      </c>
      <c r="F1104" t="s">
        <v>36</v>
      </c>
      <c r="G1104" s="122">
        <v>0.75</v>
      </c>
      <c r="H1104" s="122">
        <v>0.25</v>
      </c>
      <c r="I1104" s="112">
        <v>0</v>
      </c>
      <c r="J1104" s="112">
        <v>0</v>
      </c>
      <c r="K1104" s="23">
        <f t="shared" si="153"/>
        <v>0.75</v>
      </c>
      <c r="L1104" s="23">
        <f t="shared" si="154"/>
        <v>0</v>
      </c>
      <c r="M1104" s="12">
        <f t="shared" si="159"/>
        <v>0.75</v>
      </c>
      <c r="N1104" s="23">
        <f t="shared" si="155"/>
        <v>0.25</v>
      </c>
      <c r="O1104" s="41">
        <f t="shared" si="156"/>
        <v>0</v>
      </c>
      <c r="P1104" s="13" t="str">
        <f t="shared" si="157"/>
        <v>SI</v>
      </c>
      <c r="Q1104" s="23">
        <f t="shared" si="158"/>
        <v>0.75</v>
      </c>
      <c r="R1104" s="12">
        <f t="shared" si="158"/>
        <v>0.25</v>
      </c>
    </row>
    <row r="1105" spans="2:18">
      <c r="B1105" t="str">
        <f t="shared" si="152"/>
        <v>Sergio Enrique Rodriguez de Paz46289</v>
      </c>
      <c r="C1105" t="s">
        <v>257</v>
      </c>
      <c r="D1105" s="121">
        <v>46289</v>
      </c>
      <c r="E1105" t="s">
        <v>101</v>
      </c>
      <c r="F1105" t="s">
        <v>36</v>
      </c>
      <c r="G1105" s="122">
        <v>0.75</v>
      </c>
      <c r="H1105" s="122">
        <v>0.25</v>
      </c>
      <c r="I1105" s="112">
        <v>0</v>
      </c>
      <c r="J1105" s="112">
        <v>0</v>
      </c>
      <c r="K1105" s="23">
        <f t="shared" si="153"/>
        <v>0.75</v>
      </c>
      <c r="L1105" s="23">
        <f t="shared" si="154"/>
        <v>0</v>
      </c>
      <c r="M1105" s="12">
        <f t="shared" si="159"/>
        <v>0.75</v>
      </c>
      <c r="N1105" s="23">
        <f t="shared" si="155"/>
        <v>0.25</v>
      </c>
      <c r="O1105" s="41">
        <f t="shared" si="156"/>
        <v>0</v>
      </c>
      <c r="P1105" s="13" t="str">
        <f t="shared" si="157"/>
        <v>SI</v>
      </c>
      <c r="Q1105" s="23">
        <f t="shared" si="158"/>
        <v>0.75</v>
      </c>
      <c r="R1105" s="12">
        <f t="shared" si="158"/>
        <v>0.25</v>
      </c>
    </row>
    <row r="1106" spans="2:18">
      <c r="B1106" t="str">
        <f t="shared" si="152"/>
        <v>Sergio Enrique Rodriguez de Paz46290</v>
      </c>
      <c r="C1106" t="s">
        <v>257</v>
      </c>
      <c r="D1106" s="121">
        <v>46290</v>
      </c>
      <c r="E1106" t="s">
        <v>95</v>
      </c>
      <c r="F1106" t="s">
        <v>36</v>
      </c>
      <c r="G1106" s="122">
        <v>0.75</v>
      </c>
      <c r="H1106" s="122">
        <v>0.25</v>
      </c>
      <c r="I1106" s="112">
        <v>0</v>
      </c>
      <c r="J1106" s="112">
        <v>0</v>
      </c>
      <c r="K1106" s="23">
        <f t="shared" si="153"/>
        <v>0.75</v>
      </c>
      <c r="L1106" s="23">
        <f t="shared" si="154"/>
        <v>0</v>
      </c>
      <c r="M1106" s="12">
        <f t="shared" si="159"/>
        <v>0.75</v>
      </c>
      <c r="N1106" s="23">
        <f t="shared" si="155"/>
        <v>0.25</v>
      </c>
      <c r="O1106" s="41">
        <f t="shared" si="156"/>
        <v>0</v>
      </c>
      <c r="P1106" s="13" t="str">
        <f t="shared" si="157"/>
        <v>SI</v>
      </c>
      <c r="Q1106" s="23">
        <f t="shared" si="158"/>
        <v>0.75</v>
      </c>
      <c r="R1106" s="12">
        <f t="shared" si="158"/>
        <v>0.25</v>
      </c>
    </row>
    <row r="1107" spans="2:18">
      <c r="B1107" t="str">
        <f t="shared" si="152"/>
        <v>Sergio Enrique Rodriguez de Paz46291</v>
      </c>
      <c r="C1107" t="s">
        <v>257</v>
      </c>
      <c r="D1107" s="121">
        <v>46291</v>
      </c>
      <c r="E1107" t="s">
        <v>96</v>
      </c>
      <c r="F1107" t="s">
        <v>72</v>
      </c>
      <c r="G1107" s="122">
        <v>0</v>
      </c>
      <c r="H1107" s="122">
        <v>0</v>
      </c>
      <c r="I1107" s="112">
        <v>0</v>
      </c>
      <c r="J1107" s="112">
        <v>0</v>
      </c>
      <c r="K1107" s="23">
        <f t="shared" si="153"/>
        <v>0</v>
      </c>
      <c r="L1107" s="23">
        <f t="shared" si="154"/>
        <v>0</v>
      </c>
      <c r="M1107" s="12">
        <f t="shared" si="159"/>
        <v>0</v>
      </c>
      <c r="N1107" s="23">
        <f t="shared" si="155"/>
        <v>0</v>
      </c>
      <c r="O1107" s="41">
        <f t="shared" si="156"/>
        <v>0</v>
      </c>
      <c r="P1107" s="13" t="str">
        <f t="shared" si="157"/>
        <v>NO</v>
      </c>
      <c r="Q1107" s="23">
        <f t="shared" si="158"/>
        <v>0</v>
      </c>
      <c r="R1107" s="12">
        <f t="shared" si="158"/>
        <v>0</v>
      </c>
    </row>
    <row r="1108" spans="2:18">
      <c r="B1108" t="str">
        <f t="shared" si="152"/>
        <v>Sergio Enrique Rodriguez de Paz46292</v>
      </c>
      <c r="C1108" t="s">
        <v>257</v>
      </c>
      <c r="D1108" s="121">
        <v>46292</v>
      </c>
      <c r="E1108" t="s">
        <v>97</v>
      </c>
      <c r="F1108" t="s">
        <v>72</v>
      </c>
      <c r="G1108" s="122">
        <v>0</v>
      </c>
      <c r="H1108" s="122">
        <v>0</v>
      </c>
      <c r="I1108" s="112">
        <v>0</v>
      </c>
      <c r="J1108" s="112">
        <v>0</v>
      </c>
      <c r="K1108" s="23">
        <f t="shared" si="153"/>
        <v>0</v>
      </c>
      <c r="L1108" s="23">
        <f t="shared" si="154"/>
        <v>0</v>
      </c>
      <c r="M1108" s="12">
        <f t="shared" si="159"/>
        <v>0</v>
      </c>
      <c r="N1108" s="23">
        <f t="shared" si="155"/>
        <v>0</v>
      </c>
      <c r="O1108" s="41">
        <f t="shared" si="156"/>
        <v>0</v>
      </c>
      <c r="P1108" s="13" t="str">
        <f t="shared" si="157"/>
        <v>NO</v>
      </c>
      <c r="Q1108" s="23">
        <f t="shared" si="158"/>
        <v>0</v>
      </c>
      <c r="R1108" s="12">
        <f t="shared" si="158"/>
        <v>0</v>
      </c>
    </row>
    <row r="1109" spans="2:18">
      <c r="B1109" t="str">
        <f t="shared" si="152"/>
        <v>Sergio Enrique Rodriguez de Paz46293</v>
      </c>
      <c r="C1109" t="s">
        <v>257</v>
      </c>
      <c r="D1109" s="121">
        <v>46293</v>
      </c>
      <c r="E1109" t="s">
        <v>98</v>
      </c>
      <c r="F1109" t="s">
        <v>35</v>
      </c>
      <c r="G1109" s="122">
        <v>0.25</v>
      </c>
      <c r="H1109" s="122">
        <v>0.75</v>
      </c>
      <c r="I1109" s="112">
        <v>0</v>
      </c>
      <c r="J1109" s="112">
        <v>0</v>
      </c>
      <c r="K1109" s="23">
        <f t="shared" si="153"/>
        <v>0.25</v>
      </c>
      <c r="L1109" s="23">
        <f t="shared" si="154"/>
        <v>0</v>
      </c>
      <c r="M1109" s="12">
        <f t="shared" si="159"/>
        <v>0.25</v>
      </c>
      <c r="N1109" s="23">
        <f t="shared" si="155"/>
        <v>0.75</v>
      </c>
      <c r="O1109" s="41">
        <f t="shared" si="156"/>
        <v>0</v>
      </c>
      <c r="P1109" s="13" t="str">
        <f t="shared" si="157"/>
        <v>SI</v>
      </c>
      <c r="Q1109" s="23">
        <f t="shared" si="158"/>
        <v>0.25</v>
      </c>
      <c r="R1109" s="12">
        <f t="shared" si="158"/>
        <v>0.75</v>
      </c>
    </row>
    <row r="1110" spans="2:18">
      <c r="B1110" t="str">
        <f t="shared" si="152"/>
        <v>Sergio Enrique Rodriguez de Paz46294</v>
      </c>
      <c r="C1110" t="s">
        <v>257</v>
      </c>
      <c r="D1110" s="121">
        <v>46294</v>
      </c>
      <c r="E1110" t="s">
        <v>99</v>
      </c>
      <c r="F1110" t="s">
        <v>35</v>
      </c>
      <c r="G1110" s="122">
        <v>0.25</v>
      </c>
      <c r="H1110" s="122">
        <v>0.75</v>
      </c>
      <c r="I1110" s="112">
        <v>0</v>
      </c>
      <c r="J1110" s="112">
        <v>0</v>
      </c>
      <c r="K1110" s="23">
        <f t="shared" si="153"/>
        <v>0.25</v>
      </c>
      <c r="L1110" s="23">
        <f t="shared" si="154"/>
        <v>0</v>
      </c>
      <c r="M1110" s="12">
        <f t="shared" si="159"/>
        <v>0.25</v>
      </c>
      <c r="N1110" s="23">
        <f t="shared" si="155"/>
        <v>0.75</v>
      </c>
      <c r="O1110" s="41">
        <f t="shared" si="156"/>
        <v>0</v>
      </c>
      <c r="P1110" s="13" t="str">
        <f t="shared" si="157"/>
        <v>SI</v>
      </c>
      <c r="Q1110" s="23">
        <f t="shared" si="158"/>
        <v>0.25</v>
      </c>
      <c r="R1110" s="12">
        <f t="shared" si="158"/>
        <v>0.75</v>
      </c>
    </row>
    <row r="1111" spans="2:18">
      <c r="B1111" t="str">
        <f t="shared" si="152"/>
        <v>Sergio Enrique Rodriguez de Paz46295</v>
      </c>
      <c r="C1111" t="s">
        <v>257</v>
      </c>
      <c r="D1111" s="121">
        <v>46295</v>
      </c>
      <c r="E1111" t="s">
        <v>100</v>
      </c>
      <c r="F1111" t="s">
        <v>35</v>
      </c>
      <c r="G1111" s="122">
        <v>0.25</v>
      </c>
      <c r="H1111" s="122">
        <v>0.75</v>
      </c>
      <c r="I1111" s="112">
        <v>0</v>
      </c>
      <c r="J1111" s="112">
        <v>0</v>
      </c>
      <c r="K1111" s="23">
        <f t="shared" si="153"/>
        <v>0.25</v>
      </c>
      <c r="L1111" s="23">
        <f t="shared" si="154"/>
        <v>0</v>
      </c>
      <c r="M1111" s="12">
        <f t="shared" si="159"/>
        <v>0.25</v>
      </c>
      <c r="N1111" s="23">
        <f t="shared" si="155"/>
        <v>0.75</v>
      </c>
      <c r="O1111" s="41">
        <f t="shared" si="156"/>
        <v>0</v>
      </c>
      <c r="P1111" s="13" t="str">
        <f t="shared" si="157"/>
        <v>SI</v>
      </c>
      <c r="Q1111" s="23">
        <f t="shared" si="158"/>
        <v>0.25</v>
      </c>
      <c r="R1111" s="12">
        <f t="shared" si="158"/>
        <v>0.75</v>
      </c>
    </row>
    <row r="1112" spans="2:18">
      <c r="B1112" t="str">
        <f t="shared" si="152"/>
        <v>Sergio Enrique Rodriguez de Paz46296</v>
      </c>
      <c r="C1112" t="s">
        <v>257</v>
      </c>
      <c r="D1112" s="121">
        <v>46296</v>
      </c>
      <c r="E1112" t="s">
        <v>101</v>
      </c>
      <c r="F1112" t="s">
        <v>35</v>
      </c>
      <c r="G1112" s="122">
        <v>0.25</v>
      </c>
      <c r="H1112" s="122">
        <v>0.75</v>
      </c>
      <c r="I1112" s="112">
        <v>0</v>
      </c>
      <c r="J1112" s="112">
        <v>0</v>
      </c>
      <c r="K1112" s="23">
        <f t="shared" si="153"/>
        <v>0.25</v>
      </c>
      <c r="L1112" s="23">
        <f t="shared" si="154"/>
        <v>0</v>
      </c>
      <c r="M1112" s="12">
        <f t="shared" si="159"/>
        <v>0.25</v>
      </c>
      <c r="N1112" s="23">
        <f t="shared" si="155"/>
        <v>0.75</v>
      </c>
      <c r="O1112" s="41">
        <f t="shared" si="156"/>
        <v>0</v>
      </c>
      <c r="P1112" s="13" t="str">
        <f t="shared" si="157"/>
        <v>SI</v>
      </c>
      <c r="Q1112" s="23">
        <f t="shared" si="158"/>
        <v>0.25</v>
      </c>
      <c r="R1112" s="12">
        <f t="shared" si="158"/>
        <v>0.75</v>
      </c>
    </row>
    <row r="1113" spans="2:18">
      <c r="B1113" t="str">
        <f t="shared" si="152"/>
        <v>Sergio Enrique Rodriguez de Paz46297</v>
      </c>
      <c r="C1113" t="s">
        <v>257</v>
      </c>
      <c r="D1113" s="121">
        <v>46297</v>
      </c>
      <c r="E1113" t="s">
        <v>95</v>
      </c>
      <c r="F1113" t="s">
        <v>35</v>
      </c>
      <c r="G1113" s="122">
        <v>0.25</v>
      </c>
      <c r="H1113" s="122">
        <v>0.75</v>
      </c>
      <c r="I1113" s="112">
        <v>0</v>
      </c>
      <c r="J1113" s="112">
        <v>0</v>
      </c>
      <c r="K1113" s="23">
        <f t="shared" si="153"/>
        <v>0.25</v>
      </c>
      <c r="L1113" s="23">
        <f t="shared" si="154"/>
        <v>0</v>
      </c>
      <c r="M1113" s="12">
        <f t="shared" si="159"/>
        <v>0.25</v>
      </c>
      <c r="N1113" s="23">
        <f t="shared" si="155"/>
        <v>0.75</v>
      </c>
      <c r="O1113" s="41">
        <f t="shared" si="156"/>
        <v>0</v>
      </c>
      <c r="P1113" s="13" t="str">
        <f t="shared" si="157"/>
        <v>SI</v>
      </c>
      <c r="Q1113" s="23">
        <f t="shared" si="158"/>
        <v>0.25</v>
      </c>
      <c r="R1113" s="12">
        <f t="shared" si="158"/>
        <v>0.75</v>
      </c>
    </row>
    <row r="1114" spans="2:18">
      <c r="B1114" t="str">
        <f t="shared" si="152"/>
        <v>Sergio Enrique Rodriguez de Paz46298</v>
      </c>
      <c r="C1114" t="s">
        <v>257</v>
      </c>
      <c r="D1114" s="121">
        <v>46298</v>
      </c>
      <c r="E1114" t="s">
        <v>96</v>
      </c>
      <c r="F1114" t="s">
        <v>35</v>
      </c>
      <c r="G1114" s="122">
        <v>0.25</v>
      </c>
      <c r="H1114" s="122">
        <v>0.58333333333333304</v>
      </c>
      <c r="I1114" s="112">
        <v>0</v>
      </c>
      <c r="J1114" s="112">
        <v>0</v>
      </c>
      <c r="K1114" s="23">
        <f t="shared" si="153"/>
        <v>0.25</v>
      </c>
      <c r="L1114" s="23">
        <f t="shared" si="154"/>
        <v>0</v>
      </c>
      <c r="M1114" s="12">
        <f t="shared" si="159"/>
        <v>0.25</v>
      </c>
      <c r="N1114" s="23">
        <f t="shared" si="155"/>
        <v>0.58333333333333304</v>
      </c>
      <c r="O1114" s="41">
        <f t="shared" si="156"/>
        <v>0</v>
      </c>
      <c r="P1114" s="13" t="str">
        <f t="shared" si="157"/>
        <v>SI</v>
      </c>
      <c r="Q1114" s="23">
        <f t="shared" si="158"/>
        <v>0.25</v>
      </c>
      <c r="R1114" s="12">
        <f t="shared" si="158"/>
        <v>0.58333333333333304</v>
      </c>
    </row>
    <row r="1115" spans="2:18">
      <c r="B1115" t="str">
        <f t="shared" si="152"/>
        <v>Sergio Enrique Rodriguez de Paz46299</v>
      </c>
      <c r="C1115" t="s">
        <v>257</v>
      </c>
      <c r="D1115" s="121">
        <v>46299</v>
      </c>
      <c r="E1115" t="s">
        <v>97</v>
      </c>
      <c r="F1115" t="s">
        <v>72</v>
      </c>
      <c r="G1115" s="122">
        <v>0</v>
      </c>
      <c r="H1115" s="122">
        <v>0</v>
      </c>
      <c r="I1115" s="112">
        <v>0</v>
      </c>
      <c r="J1115" s="112">
        <v>0</v>
      </c>
      <c r="K1115" s="23">
        <f t="shared" si="153"/>
        <v>0</v>
      </c>
      <c r="L1115" s="23">
        <f t="shared" si="154"/>
        <v>0</v>
      </c>
      <c r="M1115" s="12">
        <f t="shared" si="159"/>
        <v>0</v>
      </c>
      <c r="N1115" s="23">
        <f t="shared" si="155"/>
        <v>0</v>
      </c>
      <c r="O1115" s="41">
        <f t="shared" si="156"/>
        <v>0</v>
      </c>
      <c r="P1115" s="13" t="str">
        <f t="shared" si="157"/>
        <v>NO</v>
      </c>
      <c r="Q1115" s="23">
        <f t="shared" si="158"/>
        <v>0</v>
      </c>
      <c r="R1115" s="12">
        <f t="shared" si="158"/>
        <v>0</v>
      </c>
    </row>
    <row r="1116" spans="2:18">
      <c r="B1116" t="str">
        <f t="shared" si="152"/>
        <v>Smith Dario Reyes Tintilla46279</v>
      </c>
      <c r="C1116" t="s">
        <v>268</v>
      </c>
      <c r="D1116" s="121">
        <v>46279</v>
      </c>
      <c r="E1116" t="s">
        <v>98</v>
      </c>
      <c r="F1116" t="s">
        <v>72</v>
      </c>
      <c r="G1116" s="122">
        <v>0</v>
      </c>
      <c r="H1116" s="122">
        <v>0</v>
      </c>
      <c r="I1116" s="112">
        <v>0</v>
      </c>
      <c r="J1116" s="112">
        <v>0</v>
      </c>
      <c r="K1116" s="23">
        <f t="shared" si="153"/>
        <v>0</v>
      </c>
      <c r="L1116" s="23">
        <f t="shared" si="154"/>
        <v>0</v>
      </c>
      <c r="M1116" s="12">
        <f t="shared" si="159"/>
        <v>0</v>
      </c>
      <c r="N1116" s="23">
        <f t="shared" si="155"/>
        <v>0</v>
      </c>
      <c r="O1116" s="41">
        <f t="shared" si="156"/>
        <v>0</v>
      </c>
      <c r="P1116" s="13" t="str">
        <f t="shared" si="157"/>
        <v>NO</v>
      </c>
      <c r="Q1116" s="23">
        <f t="shared" si="158"/>
        <v>0</v>
      </c>
      <c r="R1116" s="12">
        <f t="shared" si="158"/>
        <v>0</v>
      </c>
    </row>
    <row r="1117" spans="2:18">
      <c r="B1117" t="str">
        <f t="shared" si="152"/>
        <v>Smith Dario Reyes Tintilla46280</v>
      </c>
      <c r="C1117" t="s">
        <v>268</v>
      </c>
      <c r="D1117" s="121">
        <v>46280</v>
      </c>
      <c r="E1117" t="s">
        <v>99</v>
      </c>
      <c r="F1117" t="s">
        <v>72</v>
      </c>
      <c r="G1117" s="122">
        <v>0</v>
      </c>
      <c r="H1117" s="122">
        <v>0</v>
      </c>
      <c r="I1117" s="112">
        <v>0</v>
      </c>
      <c r="J1117" s="112">
        <v>0</v>
      </c>
      <c r="K1117" s="23">
        <f t="shared" si="153"/>
        <v>0</v>
      </c>
      <c r="L1117" s="23">
        <f t="shared" si="154"/>
        <v>0</v>
      </c>
      <c r="M1117" s="12">
        <f t="shared" si="159"/>
        <v>0</v>
      </c>
      <c r="N1117" s="23">
        <f t="shared" si="155"/>
        <v>0</v>
      </c>
      <c r="O1117" s="41">
        <f t="shared" si="156"/>
        <v>0</v>
      </c>
      <c r="P1117" s="13" t="str">
        <f t="shared" si="157"/>
        <v>NO</v>
      </c>
      <c r="Q1117" s="23">
        <f t="shared" si="158"/>
        <v>0</v>
      </c>
      <c r="R1117" s="12">
        <f t="shared" si="158"/>
        <v>0</v>
      </c>
    </row>
    <row r="1118" spans="2:18">
      <c r="B1118" t="str">
        <f t="shared" si="152"/>
        <v>Smith Dario Reyes Tintilla46281</v>
      </c>
      <c r="C1118" t="s">
        <v>268</v>
      </c>
      <c r="D1118" s="121">
        <v>46281</v>
      </c>
      <c r="E1118" t="s">
        <v>100</v>
      </c>
      <c r="F1118" t="s">
        <v>72</v>
      </c>
      <c r="G1118" s="122">
        <v>0</v>
      </c>
      <c r="H1118" s="122">
        <v>0</v>
      </c>
      <c r="I1118" s="112">
        <v>0</v>
      </c>
      <c r="J1118" s="112">
        <v>0</v>
      </c>
      <c r="K1118" s="23">
        <f t="shared" si="153"/>
        <v>0</v>
      </c>
      <c r="L1118" s="23">
        <f t="shared" si="154"/>
        <v>0</v>
      </c>
      <c r="M1118" s="12">
        <f t="shared" si="159"/>
        <v>0</v>
      </c>
      <c r="N1118" s="23">
        <f t="shared" si="155"/>
        <v>0</v>
      </c>
      <c r="O1118" s="41">
        <f t="shared" si="156"/>
        <v>0</v>
      </c>
      <c r="P1118" s="13" t="str">
        <f t="shared" si="157"/>
        <v>NO</v>
      </c>
      <c r="Q1118" s="23">
        <f t="shared" si="158"/>
        <v>0</v>
      </c>
      <c r="R1118" s="12">
        <f t="shared" si="158"/>
        <v>0</v>
      </c>
    </row>
    <row r="1119" spans="2:18">
      <c r="B1119" t="str">
        <f t="shared" si="152"/>
        <v>Smith Dario Reyes Tintilla46282</v>
      </c>
      <c r="C1119" t="s">
        <v>268</v>
      </c>
      <c r="D1119" s="121">
        <v>46282</v>
      </c>
      <c r="E1119" t="s">
        <v>101</v>
      </c>
      <c r="F1119" t="s">
        <v>72</v>
      </c>
      <c r="G1119" s="122">
        <v>0</v>
      </c>
      <c r="H1119" s="122">
        <v>0</v>
      </c>
      <c r="I1119" s="112">
        <v>0</v>
      </c>
      <c r="J1119" s="112">
        <v>0</v>
      </c>
      <c r="K1119" s="23">
        <f t="shared" si="153"/>
        <v>0</v>
      </c>
      <c r="L1119" s="23">
        <f t="shared" si="154"/>
        <v>0</v>
      </c>
      <c r="M1119" s="12">
        <f t="shared" si="159"/>
        <v>0</v>
      </c>
      <c r="N1119" s="23">
        <f t="shared" si="155"/>
        <v>0</v>
      </c>
      <c r="O1119" s="41">
        <f t="shared" si="156"/>
        <v>0</v>
      </c>
      <c r="P1119" s="13" t="str">
        <f t="shared" si="157"/>
        <v>NO</v>
      </c>
      <c r="Q1119" s="23">
        <f t="shared" si="158"/>
        <v>0</v>
      </c>
      <c r="R1119" s="12">
        <f t="shared" si="158"/>
        <v>0</v>
      </c>
    </row>
    <row r="1120" spans="2:18">
      <c r="B1120" t="str">
        <f t="shared" si="152"/>
        <v>Smith Dario Reyes Tintilla46283</v>
      </c>
      <c r="C1120" t="s">
        <v>268</v>
      </c>
      <c r="D1120" s="121">
        <v>46283</v>
      </c>
      <c r="E1120" t="s">
        <v>95</v>
      </c>
      <c r="F1120" t="s">
        <v>72</v>
      </c>
      <c r="G1120" s="122">
        <v>0</v>
      </c>
      <c r="H1120" s="122">
        <v>0</v>
      </c>
      <c r="I1120" s="112">
        <v>0</v>
      </c>
      <c r="J1120" s="112">
        <v>0</v>
      </c>
      <c r="K1120" s="23">
        <f t="shared" si="153"/>
        <v>0</v>
      </c>
      <c r="L1120" s="23">
        <f t="shared" si="154"/>
        <v>0</v>
      </c>
      <c r="M1120" s="12">
        <f t="shared" si="159"/>
        <v>0</v>
      </c>
      <c r="N1120" s="23">
        <f t="shared" si="155"/>
        <v>0</v>
      </c>
      <c r="O1120" s="41">
        <f t="shared" si="156"/>
        <v>0</v>
      </c>
      <c r="P1120" s="13" t="str">
        <f t="shared" si="157"/>
        <v>NO</v>
      </c>
      <c r="Q1120" s="23">
        <f t="shared" si="158"/>
        <v>0</v>
      </c>
      <c r="R1120" s="12">
        <f t="shared" si="158"/>
        <v>0</v>
      </c>
    </row>
    <row r="1121" spans="2:18">
      <c r="B1121" t="str">
        <f t="shared" si="152"/>
        <v>Smith Dario Reyes Tintilla46284</v>
      </c>
      <c r="C1121" t="s">
        <v>268</v>
      </c>
      <c r="D1121" s="121">
        <v>46284</v>
      </c>
      <c r="E1121" t="s">
        <v>96</v>
      </c>
      <c r="F1121" t="s">
        <v>72</v>
      </c>
      <c r="G1121" s="122">
        <v>0</v>
      </c>
      <c r="H1121" s="122">
        <v>0</v>
      </c>
      <c r="I1121" s="112">
        <v>0</v>
      </c>
      <c r="J1121" s="112">
        <v>0</v>
      </c>
      <c r="K1121" s="23">
        <f t="shared" si="153"/>
        <v>0</v>
      </c>
      <c r="L1121" s="23">
        <f t="shared" si="154"/>
        <v>0</v>
      </c>
      <c r="M1121" s="12">
        <f t="shared" si="159"/>
        <v>0</v>
      </c>
      <c r="N1121" s="23">
        <f t="shared" si="155"/>
        <v>0</v>
      </c>
      <c r="O1121" s="41">
        <f t="shared" si="156"/>
        <v>0</v>
      </c>
      <c r="P1121" s="13" t="str">
        <f t="shared" si="157"/>
        <v>NO</v>
      </c>
      <c r="Q1121" s="23">
        <f t="shared" si="158"/>
        <v>0</v>
      </c>
      <c r="R1121" s="12">
        <f t="shared" si="158"/>
        <v>0</v>
      </c>
    </row>
    <row r="1122" spans="2:18">
      <c r="B1122" t="str">
        <f t="shared" si="152"/>
        <v>Smith Dario Reyes Tintilla46285</v>
      </c>
      <c r="C1122" t="s">
        <v>268</v>
      </c>
      <c r="D1122" s="121">
        <v>46285</v>
      </c>
      <c r="E1122" t="s">
        <v>97</v>
      </c>
      <c r="F1122" t="s">
        <v>72</v>
      </c>
      <c r="G1122" s="122">
        <v>0</v>
      </c>
      <c r="H1122" s="122">
        <v>0</v>
      </c>
      <c r="I1122" s="112">
        <v>0</v>
      </c>
      <c r="J1122" s="112">
        <v>0</v>
      </c>
      <c r="K1122" s="23">
        <f t="shared" si="153"/>
        <v>0</v>
      </c>
      <c r="L1122" s="23">
        <f t="shared" si="154"/>
        <v>0</v>
      </c>
      <c r="M1122" s="12">
        <f t="shared" si="159"/>
        <v>0</v>
      </c>
      <c r="N1122" s="23">
        <f t="shared" si="155"/>
        <v>0</v>
      </c>
      <c r="O1122" s="41">
        <f t="shared" si="156"/>
        <v>0</v>
      </c>
      <c r="P1122" s="13" t="str">
        <f t="shared" si="157"/>
        <v>NO</v>
      </c>
      <c r="Q1122" s="23">
        <f t="shared" si="158"/>
        <v>0</v>
      </c>
      <c r="R1122" s="12">
        <f t="shared" si="158"/>
        <v>0</v>
      </c>
    </row>
    <row r="1123" spans="2:18">
      <c r="B1123" t="str">
        <f t="shared" si="152"/>
        <v>Smith Dario Reyes Tintilla46286</v>
      </c>
      <c r="C1123" t="s">
        <v>268</v>
      </c>
      <c r="D1123" s="121">
        <v>46286</v>
      </c>
      <c r="E1123" t="s">
        <v>98</v>
      </c>
      <c r="F1123" t="s">
        <v>72</v>
      </c>
      <c r="G1123" s="122">
        <v>0</v>
      </c>
      <c r="H1123" s="122">
        <v>0</v>
      </c>
      <c r="I1123" s="112">
        <v>0</v>
      </c>
      <c r="J1123" s="112">
        <v>0</v>
      </c>
      <c r="K1123" s="23">
        <f t="shared" si="153"/>
        <v>0</v>
      </c>
      <c r="L1123" s="23">
        <f t="shared" si="154"/>
        <v>0</v>
      </c>
      <c r="M1123" s="12">
        <f t="shared" si="159"/>
        <v>0</v>
      </c>
      <c r="N1123" s="23">
        <f t="shared" si="155"/>
        <v>0</v>
      </c>
      <c r="O1123" s="41">
        <f t="shared" si="156"/>
        <v>0</v>
      </c>
      <c r="P1123" s="13" t="str">
        <f t="shared" si="157"/>
        <v>NO</v>
      </c>
      <c r="Q1123" s="23">
        <f t="shared" si="158"/>
        <v>0</v>
      </c>
      <c r="R1123" s="12">
        <f t="shared" si="158"/>
        <v>0</v>
      </c>
    </row>
    <row r="1124" spans="2:18">
      <c r="B1124" t="str">
        <f t="shared" si="152"/>
        <v>Smith Dario Reyes Tintilla46287</v>
      </c>
      <c r="C1124" t="s">
        <v>268</v>
      </c>
      <c r="D1124" s="121">
        <v>46287</v>
      </c>
      <c r="E1124" t="s">
        <v>99</v>
      </c>
      <c r="F1124" t="s">
        <v>72</v>
      </c>
      <c r="G1124" s="122">
        <v>0</v>
      </c>
      <c r="H1124" s="122">
        <v>0</v>
      </c>
      <c r="I1124" s="112">
        <v>0</v>
      </c>
      <c r="J1124" s="112">
        <v>0</v>
      </c>
      <c r="K1124" s="23">
        <f t="shared" si="153"/>
        <v>0</v>
      </c>
      <c r="L1124" s="23">
        <f t="shared" si="154"/>
        <v>0</v>
      </c>
      <c r="M1124" s="12">
        <f t="shared" si="159"/>
        <v>0</v>
      </c>
      <c r="N1124" s="23">
        <f t="shared" si="155"/>
        <v>0</v>
      </c>
      <c r="O1124" s="41">
        <f t="shared" si="156"/>
        <v>0</v>
      </c>
      <c r="P1124" s="13" t="str">
        <f t="shared" si="157"/>
        <v>NO</v>
      </c>
      <c r="Q1124" s="23">
        <f t="shared" si="158"/>
        <v>0</v>
      </c>
      <c r="R1124" s="12">
        <f t="shared" si="158"/>
        <v>0</v>
      </c>
    </row>
    <row r="1125" spans="2:18">
      <c r="B1125" t="str">
        <f t="shared" si="152"/>
        <v>Smith Dario Reyes Tintilla46288</v>
      </c>
      <c r="C1125" t="s">
        <v>268</v>
      </c>
      <c r="D1125" s="121">
        <v>46288</v>
      </c>
      <c r="E1125" t="s">
        <v>100</v>
      </c>
      <c r="F1125" t="s">
        <v>72</v>
      </c>
      <c r="G1125" s="122">
        <v>0</v>
      </c>
      <c r="H1125" s="122">
        <v>0</v>
      </c>
      <c r="I1125" s="112">
        <v>0</v>
      </c>
      <c r="J1125" s="112">
        <v>0</v>
      </c>
      <c r="K1125" s="23">
        <f t="shared" si="153"/>
        <v>0</v>
      </c>
      <c r="L1125" s="23">
        <f t="shared" si="154"/>
        <v>0</v>
      </c>
      <c r="M1125" s="12">
        <f t="shared" si="159"/>
        <v>0</v>
      </c>
      <c r="N1125" s="23">
        <f t="shared" si="155"/>
        <v>0</v>
      </c>
      <c r="O1125" s="41">
        <f t="shared" si="156"/>
        <v>0</v>
      </c>
      <c r="P1125" s="13" t="str">
        <f t="shared" si="157"/>
        <v>NO</v>
      </c>
      <c r="Q1125" s="23">
        <f t="shared" si="158"/>
        <v>0</v>
      </c>
      <c r="R1125" s="12">
        <f t="shared" si="158"/>
        <v>0</v>
      </c>
    </row>
    <row r="1126" spans="2:18">
      <c r="B1126" t="str">
        <f t="shared" si="152"/>
        <v>Smith Dario Reyes Tintilla46289</v>
      </c>
      <c r="C1126" t="s">
        <v>268</v>
      </c>
      <c r="D1126" s="121">
        <v>46289</v>
      </c>
      <c r="E1126" t="s">
        <v>101</v>
      </c>
      <c r="F1126" t="s">
        <v>72</v>
      </c>
      <c r="G1126" s="122">
        <v>0</v>
      </c>
      <c r="H1126" s="122">
        <v>0</v>
      </c>
      <c r="I1126" s="112">
        <v>0</v>
      </c>
      <c r="J1126" s="112">
        <v>0</v>
      </c>
      <c r="K1126" s="23">
        <f t="shared" si="153"/>
        <v>0</v>
      </c>
      <c r="L1126" s="23">
        <f t="shared" si="154"/>
        <v>0</v>
      </c>
      <c r="M1126" s="12">
        <f t="shared" si="159"/>
        <v>0</v>
      </c>
      <c r="N1126" s="23">
        <f t="shared" si="155"/>
        <v>0</v>
      </c>
      <c r="O1126" s="41">
        <f t="shared" si="156"/>
        <v>0</v>
      </c>
      <c r="P1126" s="13" t="str">
        <f t="shared" si="157"/>
        <v>NO</v>
      </c>
      <c r="Q1126" s="23">
        <f t="shared" si="158"/>
        <v>0</v>
      </c>
      <c r="R1126" s="12">
        <f t="shared" si="158"/>
        <v>0</v>
      </c>
    </row>
    <row r="1127" spans="2:18">
      <c r="B1127" t="str">
        <f t="shared" si="152"/>
        <v>Smith Dario Reyes Tintilla46290</v>
      </c>
      <c r="C1127" t="s">
        <v>268</v>
      </c>
      <c r="D1127" s="121">
        <v>46290</v>
      </c>
      <c r="E1127" t="s">
        <v>95</v>
      </c>
      <c r="F1127" t="s">
        <v>72</v>
      </c>
      <c r="G1127" s="122">
        <v>0</v>
      </c>
      <c r="H1127" s="122">
        <v>0</v>
      </c>
      <c r="I1127" s="112">
        <v>0</v>
      </c>
      <c r="J1127" s="112">
        <v>0</v>
      </c>
      <c r="K1127" s="23">
        <f t="shared" si="153"/>
        <v>0</v>
      </c>
      <c r="L1127" s="23">
        <f t="shared" si="154"/>
        <v>0</v>
      </c>
      <c r="M1127" s="12">
        <f t="shared" si="159"/>
        <v>0</v>
      </c>
      <c r="N1127" s="23">
        <f t="shared" si="155"/>
        <v>0</v>
      </c>
      <c r="O1127" s="41">
        <f t="shared" si="156"/>
        <v>0</v>
      </c>
      <c r="P1127" s="13" t="str">
        <f t="shared" si="157"/>
        <v>NO</v>
      </c>
      <c r="Q1127" s="23">
        <f t="shared" si="158"/>
        <v>0</v>
      </c>
      <c r="R1127" s="12">
        <f t="shared" si="158"/>
        <v>0</v>
      </c>
    </row>
    <row r="1128" spans="2:18">
      <c r="B1128" t="str">
        <f t="shared" si="152"/>
        <v>Smith Dario Reyes Tintilla46291</v>
      </c>
      <c r="C1128" t="s">
        <v>268</v>
      </c>
      <c r="D1128" s="121">
        <v>46291</v>
      </c>
      <c r="E1128" t="s">
        <v>96</v>
      </c>
      <c r="F1128" t="s">
        <v>72</v>
      </c>
      <c r="G1128" s="122">
        <v>0</v>
      </c>
      <c r="H1128" s="122">
        <v>0</v>
      </c>
      <c r="I1128" s="112">
        <v>0</v>
      </c>
      <c r="J1128" s="112">
        <v>0</v>
      </c>
      <c r="K1128" s="23">
        <f t="shared" si="153"/>
        <v>0</v>
      </c>
      <c r="L1128" s="23">
        <f t="shared" si="154"/>
        <v>0</v>
      </c>
      <c r="M1128" s="12">
        <f t="shared" si="159"/>
        <v>0</v>
      </c>
      <c r="N1128" s="23">
        <f t="shared" si="155"/>
        <v>0</v>
      </c>
      <c r="O1128" s="41">
        <f t="shared" si="156"/>
        <v>0</v>
      </c>
      <c r="P1128" s="13" t="str">
        <f t="shared" si="157"/>
        <v>NO</v>
      </c>
      <c r="Q1128" s="23">
        <f t="shared" si="158"/>
        <v>0</v>
      </c>
      <c r="R1128" s="12">
        <f t="shared" si="158"/>
        <v>0</v>
      </c>
    </row>
    <row r="1129" spans="2:18">
      <c r="B1129" t="str">
        <f t="shared" si="152"/>
        <v>Smith Dario Reyes Tintilla46292</v>
      </c>
      <c r="C1129" t="s">
        <v>268</v>
      </c>
      <c r="D1129" s="121">
        <v>46292</v>
      </c>
      <c r="E1129" t="s">
        <v>97</v>
      </c>
      <c r="F1129" t="s">
        <v>72</v>
      </c>
      <c r="G1129" s="122">
        <v>0</v>
      </c>
      <c r="H1129" s="122">
        <v>0</v>
      </c>
      <c r="I1129" s="112">
        <v>0</v>
      </c>
      <c r="J1129" s="112">
        <v>0</v>
      </c>
      <c r="K1129" s="23">
        <f t="shared" si="153"/>
        <v>0</v>
      </c>
      <c r="L1129" s="23">
        <f t="shared" si="154"/>
        <v>0</v>
      </c>
      <c r="M1129" s="12">
        <f t="shared" si="159"/>
        <v>0</v>
      </c>
      <c r="N1129" s="23">
        <f t="shared" si="155"/>
        <v>0</v>
      </c>
      <c r="O1129" s="41">
        <f t="shared" si="156"/>
        <v>0</v>
      </c>
      <c r="P1129" s="13" t="str">
        <f t="shared" si="157"/>
        <v>NO</v>
      </c>
      <c r="Q1129" s="23">
        <f t="shared" si="158"/>
        <v>0</v>
      </c>
      <c r="R1129" s="12">
        <f t="shared" si="158"/>
        <v>0</v>
      </c>
    </row>
    <row r="1130" spans="2:18">
      <c r="B1130" t="str">
        <f t="shared" si="152"/>
        <v>Smith Dario Reyes Tintilla46293</v>
      </c>
      <c r="C1130" t="s">
        <v>268</v>
      </c>
      <c r="D1130" s="121">
        <v>46293</v>
      </c>
      <c r="E1130" t="s">
        <v>98</v>
      </c>
      <c r="F1130" t="s">
        <v>35</v>
      </c>
      <c r="G1130" s="122">
        <v>0.33333333333333298</v>
      </c>
      <c r="H1130" s="122">
        <v>0.70833333333333304</v>
      </c>
      <c r="I1130" s="112">
        <v>0</v>
      </c>
      <c r="J1130" s="112">
        <v>0</v>
      </c>
      <c r="K1130" s="23">
        <f t="shared" si="153"/>
        <v>0.33333333333333298</v>
      </c>
      <c r="L1130" s="23">
        <f t="shared" si="154"/>
        <v>0</v>
      </c>
      <c r="M1130" s="12">
        <f t="shared" si="159"/>
        <v>0.33333333333333298</v>
      </c>
      <c r="N1130" s="23">
        <f t="shared" si="155"/>
        <v>0.70833333333333304</v>
      </c>
      <c r="O1130" s="41">
        <f t="shared" si="156"/>
        <v>0</v>
      </c>
      <c r="P1130" s="13" t="str">
        <f t="shared" si="157"/>
        <v>SI</v>
      </c>
      <c r="Q1130" s="23">
        <f t="shared" si="158"/>
        <v>0.33333333333333298</v>
      </c>
      <c r="R1130" s="12">
        <f t="shared" si="158"/>
        <v>0.70833333333333304</v>
      </c>
    </row>
    <row r="1131" spans="2:18">
      <c r="B1131" t="str">
        <f t="shared" si="152"/>
        <v>Smith Dario Reyes Tintilla46294</v>
      </c>
      <c r="C1131" t="s">
        <v>268</v>
      </c>
      <c r="D1131" s="121">
        <v>46294</v>
      </c>
      <c r="E1131" t="s">
        <v>99</v>
      </c>
      <c r="F1131" t="s">
        <v>35</v>
      </c>
      <c r="G1131" s="122">
        <v>0.33333333333333298</v>
      </c>
      <c r="H1131" s="122">
        <v>0.70833333333333304</v>
      </c>
      <c r="I1131" s="112">
        <v>0</v>
      </c>
      <c r="J1131" s="112">
        <v>0</v>
      </c>
      <c r="K1131" s="23">
        <f t="shared" si="153"/>
        <v>0.33333333333333298</v>
      </c>
      <c r="L1131" s="23">
        <f t="shared" si="154"/>
        <v>0</v>
      </c>
      <c r="M1131" s="12">
        <f t="shared" si="159"/>
        <v>0.33333333333333298</v>
      </c>
      <c r="N1131" s="23">
        <f t="shared" si="155"/>
        <v>0.70833333333333304</v>
      </c>
      <c r="O1131" s="41">
        <f t="shared" si="156"/>
        <v>0</v>
      </c>
      <c r="P1131" s="13" t="str">
        <f t="shared" si="157"/>
        <v>SI</v>
      </c>
      <c r="Q1131" s="23">
        <f t="shared" si="158"/>
        <v>0.33333333333333298</v>
      </c>
      <c r="R1131" s="12">
        <f t="shared" si="158"/>
        <v>0.70833333333333304</v>
      </c>
    </row>
    <row r="1132" spans="2:18">
      <c r="B1132" t="str">
        <f t="shared" si="152"/>
        <v>Smith Dario Reyes Tintilla46295</v>
      </c>
      <c r="C1132" t="s">
        <v>268</v>
      </c>
      <c r="D1132" s="121">
        <v>46295</v>
      </c>
      <c r="E1132" t="s">
        <v>100</v>
      </c>
      <c r="F1132" t="s">
        <v>35</v>
      </c>
      <c r="G1132" s="122">
        <v>0.33333333333333298</v>
      </c>
      <c r="H1132" s="122">
        <v>0.70833333333333304</v>
      </c>
      <c r="I1132" s="112">
        <v>0</v>
      </c>
      <c r="J1132" s="112">
        <v>0</v>
      </c>
      <c r="K1132" s="23">
        <f t="shared" si="153"/>
        <v>0.33333333333333298</v>
      </c>
      <c r="L1132" s="23">
        <f t="shared" si="154"/>
        <v>0</v>
      </c>
      <c r="M1132" s="12">
        <f t="shared" si="159"/>
        <v>0.33333333333333298</v>
      </c>
      <c r="N1132" s="23">
        <f t="shared" si="155"/>
        <v>0.70833333333333304</v>
      </c>
      <c r="O1132" s="41">
        <f t="shared" si="156"/>
        <v>0</v>
      </c>
      <c r="P1132" s="13" t="str">
        <f t="shared" si="157"/>
        <v>SI</v>
      </c>
      <c r="Q1132" s="23">
        <f t="shared" si="158"/>
        <v>0.33333333333333298</v>
      </c>
      <c r="R1132" s="12">
        <f t="shared" si="158"/>
        <v>0.70833333333333304</v>
      </c>
    </row>
    <row r="1133" spans="2:18">
      <c r="B1133" t="str">
        <f t="shared" si="152"/>
        <v>Smith Dario Reyes Tintilla46296</v>
      </c>
      <c r="C1133" t="s">
        <v>268</v>
      </c>
      <c r="D1133" s="121">
        <v>46296</v>
      </c>
      <c r="E1133" t="s">
        <v>101</v>
      </c>
      <c r="F1133" t="s">
        <v>35</v>
      </c>
      <c r="G1133" s="122">
        <v>0.33333333333333298</v>
      </c>
      <c r="H1133" s="122">
        <v>0.70833333333333304</v>
      </c>
      <c r="I1133" s="112">
        <v>0</v>
      </c>
      <c r="J1133" s="112">
        <v>0</v>
      </c>
      <c r="K1133" s="23">
        <f t="shared" si="153"/>
        <v>0.33333333333333298</v>
      </c>
      <c r="L1133" s="23">
        <f t="shared" si="154"/>
        <v>0</v>
      </c>
      <c r="M1133" s="12">
        <f t="shared" si="159"/>
        <v>0.33333333333333298</v>
      </c>
      <c r="N1133" s="23">
        <f t="shared" si="155"/>
        <v>0.70833333333333304</v>
      </c>
      <c r="O1133" s="41">
        <f t="shared" si="156"/>
        <v>0</v>
      </c>
      <c r="P1133" s="13" t="str">
        <f t="shared" si="157"/>
        <v>SI</v>
      </c>
      <c r="Q1133" s="23">
        <f t="shared" si="158"/>
        <v>0.33333333333333298</v>
      </c>
      <c r="R1133" s="12">
        <f t="shared" si="158"/>
        <v>0.70833333333333304</v>
      </c>
    </row>
    <row r="1134" spans="2:18">
      <c r="B1134" t="str">
        <f t="shared" si="152"/>
        <v>Smith Dario Reyes Tintilla46297</v>
      </c>
      <c r="C1134" t="s">
        <v>268</v>
      </c>
      <c r="D1134" s="121">
        <v>46297</v>
      </c>
      <c r="E1134" t="s">
        <v>95</v>
      </c>
      <c r="F1134" t="s">
        <v>35</v>
      </c>
      <c r="G1134" s="122">
        <v>0.33333333333333298</v>
      </c>
      <c r="H1134" s="122">
        <v>0.70833333333333304</v>
      </c>
      <c r="I1134" s="112">
        <v>0</v>
      </c>
      <c r="J1134" s="112">
        <v>0</v>
      </c>
      <c r="K1134" s="23">
        <f t="shared" si="153"/>
        <v>0.33333333333333298</v>
      </c>
      <c r="L1134" s="23">
        <f t="shared" si="154"/>
        <v>0</v>
      </c>
      <c r="M1134" s="12">
        <f t="shared" si="159"/>
        <v>0.33333333333333298</v>
      </c>
      <c r="N1134" s="23">
        <f t="shared" si="155"/>
        <v>0.70833333333333304</v>
      </c>
      <c r="O1134" s="41">
        <f t="shared" si="156"/>
        <v>0</v>
      </c>
      <c r="P1134" s="13" t="str">
        <f t="shared" si="157"/>
        <v>SI</v>
      </c>
      <c r="Q1134" s="23">
        <f t="shared" si="158"/>
        <v>0.33333333333333298</v>
      </c>
      <c r="R1134" s="12">
        <f t="shared" si="158"/>
        <v>0.70833333333333304</v>
      </c>
    </row>
    <row r="1135" spans="2:18">
      <c r="B1135" t="str">
        <f t="shared" si="152"/>
        <v>Smith Dario Reyes Tintilla46298</v>
      </c>
      <c r="C1135" t="s">
        <v>268</v>
      </c>
      <c r="D1135" s="121">
        <v>46298</v>
      </c>
      <c r="E1135" t="s">
        <v>96</v>
      </c>
      <c r="F1135" t="s">
        <v>35</v>
      </c>
      <c r="G1135" s="122">
        <v>0.33333333333333298</v>
      </c>
      <c r="H1135" s="122">
        <v>0.5</v>
      </c>
      <c r="I1135" s="112">
        <v>0</v>
      </c>
      <c r="J1135" s="112">
        <v>0</v>
      </c>
      <c r="K1135" s="23">
        <f t="shared" si="153"/>
        <v>0.33333333333333298</v>
      </c>
      <c r="L1135" s="23">
        <f t="shared" si="154"/>
        <v>0</v>
      </c>
      <c r="M1135" s="12">
        <f t="shared" si="159"/>
        <v>0.33333333333333298</v>
      </c>
      <c r="N1135" s="23">
        <f t="shared" si="155"/>
        <v>0.5</v>
      </c>
      <c r="O1135" s="41">
        <f t="shared" si="156"/>
        <v>0</v>
      </c>
      <c r="P1135" s="13" t="str">
        <f t="shared" si="157"/>
        <v>SI</v>
      </c>
      <c r="Q1135" s="23">
        <f t="shared" si="158"/>
        <v>0.33333333333333298</v>
      </c>
      <c r="R1135" s="12">
        <f t="shared" si="158"/>
        <v>0.5</v>
      </c>
    </row>
    <row r="1136" spans="2:18">
      <c r="B1136" t="str">
        <f t="shared" si="152"/>
        <v>Smith Dario Reyes Tintilla46299</v>
      </c>
      <c r="C1136" t="s">
        <v>268</v>
      </c>
      <c r="D1136" s="121">
        <v>46299</v>
      </c>
      <c r="E1136" t="s">
        <v>97</v>
      </c>
      <c r="F1136" t="s">
        <v>72</v>
      </c>
      <c r="G1136" s="122">
        <v>0</v>
      </c>
      <c r="H1136" s="122">
        <v>0</v>
      </c>
      <c r="I1136" s="112">
        <v>0</v>
      </c>
      <c r="J1136" s="112">
        <v>0</v>
      </c>
      <c r="K1136" s="23">
        <f t="shared" si="153"/>
        <v>0</v>
      </c>
      <c r="L1136" s="23">
        <f t="shared" si="154"/>
        <v>0</v>
      </c>
      <c r="M1136" s="12">
        <f t="shared" si="159"/>
        <v>0</v>
      </c>
      <c r="N1136" s="23">
        <f t="shared" si="155"/>
        <v>0</v>
      </c>
      <c r="O1136" s="41">
        <f t="shared" si="156"/>
        <v>0</v>
      </c>
      <c r="P1136" s="13" t="str">
        <f t="shared" si="157"/>
        <v>NO</v>
      </c>
      <c r="Q1136" s="23">
        <f t="shared" si="158"/>
        <v>0</v>
      </c>
      <c r="R1136" s="12">
        <f t="shared" si="158"/>
        <v>0</v>
      </c>
    </row>
    <row r="1137" spans="2:18">
      <c r="B1137" t="str">
        <f t="shared" si="152"/>
        <v>WINDER ALEXANDER BOLVITO ESTRADA46279</v>
      </c>
      <c r="C1137" t="s">
        <v>252</v>
      </c>
      <c r="D1137" s="121">
        <v>46279</v>
      </c>
      <c r="E1137" t="s">
        <v>98</v>
      </c>
      <c r="F1137" t="s">
        <v>72</v>
      </c>
      <c r="G1137" s="122">
        <v>0</v>
      </c>
      <c r="H1137" s="122">
        <v>0</v>
      </c>
      <c r="I1137" s="112">
        <v>0</v>
      </c>
      <c r="J1137" s="112">
        <v>0</v>
      </c>
      <c r="K1137" s="23">
        <f t="shared" si="153"/>
        <v>0</v>
      </c>
      <c r="L1137" s="23">
        <f t="shared" si="154"/>
        <v>0</v>
      </c>
      <c r="M1137" s="12">
        <f t="shared" si="159"/>
        <v>0</v>
      </c>
      <c r="N1137" s="23">
        <f t="shared" si="155"/>
        <v>0</v>
      </c>
      <c r="O1137" s="41">
        <f t="shared" si="156"/>
        <v>0</v>
      </c>
      <c r="P1137" s="13" t="str">
        <f t="shared" si="157"/>
        <v>NO</v>
      </c>
      <c r="Q1137" s="23">
        <f t="shared" si="158"/>
        <v>0</v>
      </c>
      <c r="R1137" s="12">
        <f t="shared" si="158"/>
        <v>0</v>
      </c>
    </row>
    <row r="1138" spans="2:18">
      <c r="B1138" t="str">
        <f t="shared" si="152"/>
        <v>WINDER ALEXANDER BOLVITO ESTRADA46280</v>
      </c>
      <c r="C1138" t="s">
        <v>252</v>
      </c>
      <c r="D1138" s="121">
        <v>46280</v>
      </c>
      <c r="E1138" t="s">
        <v>99</v>
      </c>
      <c r="F1138" t="s">
        <v>35</v>
      </c>
      <c r="G1138" s="122">
        <v>0.33333333333333298</v>
      </c>
      <c r="H1138" s="122">
        <v>0.70833333333333304</v>
      </c>
      <c r="I1138" s="112">
        <v>0</v>
      </c>
      <c r="J1138" s="112">
        <v>0</v>
      </c>
      <c r="K1138" s="23">
        <f t="shared" si="153"/>
        <v>0.33333333333333298</v>
      </c>
      <c r="L1138" s="23">
        <f t="shared" si="154"/>
        <v>0</v>
      </c>
      <c r="M1138" s="12">
        <f t="shared" si="159"/>
        <v>0.33333333333333298</v>
      </c>
      <c r="N1138" s="23">
        <f t="shared" si="155"/>
        <v>0.70833333333333304</v>
      </c>
      <c r="O1138" s="41">
        <f t="shared" si="156"/>
        <v>0</v>
      </c>
      <c r="P1138" s="13" t="str">
        <f t="shared" si="157"/>
        <v>SI</v>
      </c>
      <c r="Q1138" s="23">
        <f t="shared" si="158"/>
        <v>0.33333333333333298</v>
      </c>
      <c r="R1138" s="12">
        <f t="shared" si="158"/>
        <v>0.70833333333333304</v>
      </c>
    </row>
    <row r="1139" spans="2:18">
      <c r="B1139" t="str">
        <f t="shared" si="152"/>
        <v>WINDER ALEXANDER BOLVITO ESTRADA46281</v>
      </c>
      <c r="C1139" t="s">
        <v>252</v>
      </c>
      <c r="D1139" s="121">
        <v>46281</v>
      </c>
      <c r="E1139" t="s">
        <v>100</v>
      </c>
      <c r="F1139" t="s">
        <v>35</v>
      </c>
      <c r="G1139" s="122">
        <v>0.33333333333333298</v>
      </c>
      <c r="H1139" s="122">
        <v>0.5</v>
      </c>
      <c r="I1139" s="112">
        <v>0</v>
      </c>
      <c r="J1139" s="112">
        <v>0</v>
      </c>
      <c r="K1139" s="23">
        <f t="shared" si="153"/>
        <v>0.33333333333333298</v>
      </c>
      <c r="L1139" s="23">
        <f t="shared" si="154"/>
        <v>0</v>
      </c>
      <c r="M1139" s="12">
        <f t="shared" si="159"/>
        <v>0.33333333333333298</v>
      </c>
      <c r="N1139" s="23">
        <f t="shared" si="155"/>
        <v>0.5</v>
      </c>
      <c r="O1139" s="41">
        <f t="shared" si="156"/>
        <v>0</v>
      </c>
      <c r="P1139" s="13" t="str">
        <f t="shared" si="157"/>
        <v>SI</v>
      </c>
      <c r="Q1139" s="23">
        <f t="shared" si="158"/>
        <v>0.33333333333333298</v>
      </c>
      <c r="R1139" s="12">
        <f t="shared" si="158"/>
        <v>0.5</v>
      </c>
    </row>
    <row r="1140" spans="2:18">
      <c r="B1140" t="str">
        <f t="shared" si="152"/>
        <v>WINDER ALEXANDER BOLVITO ESTRADA46282</v>
      </c>
      <c r="C1140" t="s">
        <v>252</v>
      </c>
      <c r="D1140" s="121">
        <v>46282</v>
      </c>
      <c r="E1140" t="s">
        <v>101</v>
      </c>
      <c r="F1140" t="s">
        <v>35</v>
      </c>
      <c r="G1140" s="122">
        <v>0.29166666666666702</v>
      </c>
      <c r="H1140" s="122">
        <v>0.70833333333333304</v>
      </c>
      <c r="I1140" s="112">
        <v>0</v>
      </c>
      <c r="J1140" s="112">
        <v>0</v>
      </c>
      <c r="K1140" s="23">
        <f t="shared" si="153"/>
        <v>0.29166666666666702</v>
      </c>
      <c r="L1140" s="23">
        <f t="shared" si="154"/>
        <v>0</v>
      </c>
      <c r="M1140" s="12">
        <f t="shared" si="159"/>
        <v>0.29166666666666702</v>
      </c>
      <c r="N1140" s="23">
        <f t="shared" si="155"/>
        <v>0.70833333333333304</v>
      </c>
      <c r="O1140" s="41">
        <f t="shared" si="156"/>
        <v>0</v>
      </c>
      <c r="P1140" s="13" t="str">
        <f t="shared" si="157"/>
        <v>SI</v>
      </c>
      <c r="Q1140" s="23">
        <f t="shared" si="158"/>
        <v>0.29166666666666702</v>
      </c>
      <c r="R1140" s="12">
        <f t="shared" si="158"/>
        <v>0.70833333333333304</v>
      </c>
    </row>
    <row r="1141" spans="2:18">
      <c r="B1141" t="str">
        <f t="shared" si="152"/>
        <v>WINDER ALEXANDER BOLVITO ESTRADA46283</v>
      </c>
      <c r="C1141" t="s">
        <v>252</v>
      </c>
      <c r="D1141" s="121">
        <v>46283</v>
      </c>
      <c r="E1141" t="s">
        <v>95</v>
      </c>
      <c r="F1141" t="s">
        <v>35</v>
      </c>
      <c r="G1141" s="122">
        <v>0.29166666666666702</v>
      </c>
      <c r="H1141" s="122">
        <v>0.70833333333333304</v>
      </c>
      <c r="I1141" s="112">
        <v>0</v>
      </c>
      <c r="J1141" s="112">
        <v>0</v>
      </c>
      <c r="K1141" s="23">
        <f t="shared" si="153"/>
        <v>0.29166666666666702</v>
      </c>
      <c r="L1141" s="23">
        <f t="shared" si="154"/>
        <v>0</v>
      </c>
      <c r="M1141" s="12">
        <f t="shared" si="159"/>
        <v>0.29166666666666702</v>
      </c>
      <c r="N1141" s="23">
        <f t="shared" si="155"/>
        <v>0.70833333333333304</v>
      </c>
      <c r="O1141" s="41">
        <f t="shared" si="156"/>
        <v>0</v>
      </c>
      <c r="P1141" s="13" t="str">
        <f t="shared" si="157"/>
        <v>SI</v>
      </c>
      <c r="Q1141" s="23">
        <f t="shared" si="158"/>
        <v>0.29166666666666702</v>
      </c>
      <c r="R1141" s="12">
        <f t="shared" si="158"/>
        <v>0.70833333333333304</v>
      </c>
    </row>
    <row r="1142" spans="2:18">
      <c r="B1142" t="str">
        <f t="shared" si="152"/>
        <v>WINDER ALEXANDER BOLVITO ESTRADA46284</v>
      </c>
      <c r="C1142" t="s">
        <v>252</v>
      </c>
      <c r="D1142" s="121">
        <v>46284</v>
      </c>
      <c r="E1142" t="s">
        <v>96</v>
      </c>
      <c r="F1142" t="s">
        <v>35</v>
      </c>
      <c r="G1142" s="122">
        <v>0.29166666666666702</v>
      </c>
      <c r="H1142" s="122">
        <v>0.58333333333333304</v>
      </c>
      <c r="I1142" s="112">
        <v>0</v>
      </c>
      <c r="J1142" s="112">
        <v>0</v>
      </c>
      <c r="K1142" s="23">
        <f t="shared" si="153"/>
        <v>0.29166666666666702</v>
      </c>
      <c r="L1142" s="23">
        <f t="shared" si="154"/>
        <v>0</v>
      </c>
      <c r="M1142" s="12">
        <f t="shared" si="159"/>
        <v>0.29166666666666702</v>
      </c>
      <c r="N1142" s="23">
        <f t="shared" si="155"/>
        <v>0.58333333333333304</v>
      </c>
      <c r="O1142" s="41">
        <f t="shared" si="156"/>
        <v>0</v>
      </c>
      <c r="P1142" s="13" t="str">
        <f t="shared" si="157"/>
        <v>SI</v>
      </c>
      <c r="Q1142" s="23">
        <f t="shared" si="158"/>
        <v>0.29166666666666702</v>
      </c>
      <c r="R1142" s="12">
        <f t="shared" si="158"/>
        <v>0.58333333333333304</v>
      </c>
    </row>
    <row r="1143" spans="2:18">
      <c r="B1143" t="str">
        <f t="shared" ref="B1143:B1206" si="160">+C1143&amp;D1143</f>
        <v>WINDER ALEXANDER BOLVITO ESTRADA46285</v>
      </c>
      <c r="C1143" t="s">
        <v>252</v>
      </c>
      <c r="D1143" s="121">
        <v>46285</v>
      </c>
      <c r="E1143" t="s">
        <v>97</v>
      </c>
      <c r="F1143" t="s">
        <v>72</v>
      </c>
      <c r="G1143" s="122">
        <v>0</v>
      </c>
      <c r="H1143" s="122">
        <v>0</v>
      </c>
      <c r="I1143" s="112">
        <v>0</v>
      </c>
      <c r="J1143" s="112">
        <v>0</v>
      </c>
      <c r="K1143" s="23">
        <f t="shared" ref="K1143:K1206" si="161">+IFERROR(G1143,0)</f>
        <v>0</v>
      </c>
      <c r="L1143" s="23">
        <f t="shared" ref="L1143:L1206" si="162">+I1143</f>
        <v>0</v>
      </c>
      <c r="M1143" s="12">
        <f t="shared" si="159"/>
        <v>0</v>
      </c>
      <c r="N1143" s="23">
        <f t="shared" ref="N1143:N1206" si="163">+H1143</f>
        <v>0</v>
      </c>
      <c r="O1143" s="41">
        <f t="shared" ref="O1143:O1206" si="164">+J1143</f>
        <v>0</v>
      </c>
      <c r="P1143" s="13" t="str">
        <f t="shared" ref="P1143:P1206" si="165">+IF(O1143&lt;N1143,"SI","NO")</f>
        <v>NO</v>
      </c>
      <c r="Q1143" s="23">
        <f t="shared" ref="Q1143:R1206" si="166">+M1143</f>
        <v>0</v>
      </c>
      <c r="R1143" s="12">
        <f t="shared" si="166"/>
        <v>0</v>
      </c>
    </row>
    <row r="1144" spans="2:18">
      <c r="B1144" t="str">
        <f t="shared" si="160"/>
        <v>WINDER ALEXANDER BOLVITO ESTRADA46286</v>
      </c>
      <c r="C1144" t="s">
        <v>252</v>
      </c>
      <c r="D1144" s="121">
        <v>46286</v>
      </c>
      <c r="E1144" t="s">
        <v>98</v>
      </c>
      <c r="F1144" t="s">
        <v>35</v>
      </c>
      <c r="G1144" s="122">
        <v>0.29166666666666702</v>
      </c>
      <c r="H1144" s="122">
        <v>0.70833333333333304</v>
      </c>
      <c r="I1144" s="112">
        <v>0</v>
      </c>
      <c r="J1144" s="112">
        <v>0</v>
      </c>
      <c r="K1144" s="23">
        <f t="shared" si="161"/>
        <v>0.29166666666666702</v>
      </c>
      <c r="L1144" s="23">
        <f t="shared" si="162"/>
        <v>0</v>
      </c>
      <c r="M1144" s="12">
        <f t="shared" ref="M1144:M1207" si="167">+IFERROR(MAX(K1144:L1144),0)</f>
        <v>0.29166666666666702</v>
      </c>
      <c r="N1144" s="23">
        <f t="shared" si="163"/>
        <v>0.70833333333333304</v>
      </c>
      <c r="O1144" s="41">
        <f t="shared" si="164"/>
        <v>0</v>
      </c>
      <c r="P1144" s="13" t="str">
        <f t="shared" si="165"/>
        <v>SI</v>
      </c>
      <c r="Q1144" s="23">
        <f t="shared" si="166"/>
        <v>0.29166666666666702</v>
      </c>
      <c r="R1144" s="12">
        <f t="shared" si="166"/>
        <v>0.70833333333333304</v>
      </c>
    </row>
    <row r="1145" spans="2:18">
      <c r="B1145" t="str">
        <f t="shared" si="160"/>
        <v>WINDER ALEXANDER BOLVITO ESTRADA46287</v>
      </c>
      <c r="C1145" t="s">
        <v>252</v>
      </c>
      <c r="D1145" s="121">
        <v>46287</v>
      </c>
      <c r="E1145" t="s">
        <v>99</v>
      </c>
      <c r="F1145" t="s">
        <v>35</v>
      </c>
      <c r="G1145" s="122">
        <v>0.29166666666666702</v>
      </c>
      <c r="H1145" s="122">
        <v>0.70833333333333304</v>
      </c>
      <c r="I1145" s="112">
        <v>0</v>
      </c>
      <c r="J1145" s="112">
        <v>0</v>
      </c>
      <c r="K1145" s="23">
        <f t="shared" si="161"/>
        <v>0.29166666666666702</v>
      </c>
      <c r="L1145" s="23">
        <f t="shared" si="162"/>
        <v>0</v>
      </c>
      <c r="M1145" s="12">
        <f t="shared" si="167"/>
        <v>0.29166666666666702</v>
      </c>
      <c r="N1145" s="23">
        <f t="shared" si="163"/>
        <v>0.70833333333333304</v>
      </c>
      <c r="O1145" s="41">
        <f t="shared" si="164"/>
        <v>0</v>
      </c>
      <c r="P1145" s="13" t="str">
        <f t="shared" si="165"/>
        <v>SI</v>
      </c>
      <c r="Q1145" s="23">
        <f t="shared" si="166"/>
        <v>0.29166666666666702</v>
      </c>
      <c r="R1145" s="12">
        <f t="shared" si="166"/>
        <v>0.70833333333333304</v>
      </c>
    </row>
    <row r="1146" spans="2:18">
      <c r="B1146" t="str">
        <f t="shared" si="160"/>
        <v>WINDER ALEXANDER BOLVITO ESTRADA46288</v>
      </c>
      <c r="C1146" t="s">
        <v>252</v>
      </c>
      <c r="D1146" s="121">
        <v>46288</v>
      </c>
      <c r="E1146" t="s">
        <v>100</v>
      </c>
      <c r="F1146" t="s">
        <v>35</v>
      </c>
      <c r="G1146" s="122">
        <v>0.29166666666666702</v>
      </c>
      <c r="H1146" s="122">
        <v>0.70833333333333304</v>
      </c>
      <c r="I1146" s="112">
        <v>0</v>
      </c>
      <c r="J1146" s="112">
        <v>0</v>
      </c>
      <c r="K1146" s="23">
        <f t="shared" si="161"/>
        <v>0.29166666666666702</v>
      </c>
      <c r="L1146" s="23">
        <f t="shared" si="162"/>
        <v>0</v>
      </c>
      <c r="M1146" s="12">
        <f t="shared" si="167"/>
        <v>0.29166666666666702</v>
      </c>
      <c r="N1146" s="23">
        <f t="shared" si="163"/>
        <v>0.70833333333333304</v>
      </c>
      <c r="O1146" s="41">
        <f t="shared" si="164"/>
        <v>0</v>
      </c>
      <c r="P1146" s="13" t="str">
        <f t="shared" si="165"/>
        <v>SI</v>
      </c>
      <c r="Q1146" s="23">
        <f t="shared" si="166"/>
        <v>0.29166666666666702</v>
      </c>
      <c r="R1146" s="12">
        <f t="shared" si="166"/>
        <v>0.70833333333333304</v>
      </c>
    </row>
    <row r="1147" spans="2:18">
      <c r="B1147" t="str">
        <f t="shared" si="160"/>
        <v>WINDER ALEXANDER BOLVITO ESTRADA46289</v>
      </c>
      <c r="C1147" t="s">
        <v>252</v>
      </c>
      <c r="D1147" s="121">
        <v>46289</v>
      </c>
      <c r="E1147" t="s">
        <v>101</v>
      </c>
      <c r="F1147" t="s">
        <v>35</v>
      </c>
      <c r="G1147" s="122">
        <v>0.29166666666666702</v>
      </c>
      <c r="H1147" s="122">
        <v>0.70833333333333304</v>
      </c>
      <c r="I1147" s="112">
        <v>0</v>
      </c>
      <c r="J1147" s="112">
        <v>0</v>
      </c>
      <c r="K1147" s="23">
        <f t="shared" si="161"/>
        <v>0.29166666666666702</v>
      </c>
      <c r="L1147" s="23">
        <f t="shared" si="162"/>
        <v>0</v>
      </c>
      <c r="M1147" s="12">
        <f t="shared" si="167"/>
        <v>0.29166666666666702</v>
      </c>
      <c r="N1147" s="23">
        <f t="shared" si="163"/>
        <v>0.70833333333333304</v>
      </c>
      <c r="O1147" s="41">
        <f t="shared" si="164"/>
        <v>0</v>
      </c>
      <c r="P1147" s="13" t="str">
        <f t="shared" si="165"/>
        <v>SI</v>
      </c>
      <c r="Q1147" s="23">
        <f t="shared" si="166"/>
        <v>0.29166666666666702</v>
      </c>
      <c r="R1147" s="12">
        <f t="shared" si="166"/>
        <v>0.70833333333333304</v>
      </c>
    </row>
    <row r="1148" spans="2:18">
      <c r="B1148" t="str">
        <f t="shared" si="160"/>
        <v>WINDER ALEXANDER BOLVITO ESTRADA46290</v>
      </c>
      <c r="C1148" t="s">
        <v>252</v>
      </c>
      <c r="D1148" s="121">
        <v>46290</v>
      </c>
      <c r="E1148" t="s">
        <v>95</v>
      </c>
      <c r="F1148" t="s">
        <v>35</v>
      </c>
      <c r="G1148" s="122">
        <v>0.29166666666666702</v>
      </c>
      <c r="H1148" s="122">
        <v>0.70833333333333304</v>
      </c>
      <c r="I1148" s="112">
        <v>0</v>
      </c>
      <c r="J1148" s="112">
        <v>0</v>
      </c>
      <c r="K1148" s="23">
        <f t="shared" si="161"/>
        <v>0.29166666666666702</v>
      </c>
      <c r="L1148" s="23">
        <f t="shared" si="162"/>
        <v>0</v>
      </c>
      <c r="M1148" s="12">
        <f t="shared" si="167"/>
        <v>0.29166666666666702</v>
      </c>
      <c r="N1148" s="23">
        <f t="shared" si="163"/>
        <v>0.70833333333333304</v>
      </c>
      <c r="O1148" s="41">
        <f t="shared" si="164"/>
        <v>0</v>
      </c>
      <c r="P1148" s="13" t="str">
        <f t="shared" si="165"/>
        <v>SI</v>
      </c>
      <c r="Q1148" s="23">
        <f t="shared" si="166"/>
        <v>0.29166666666666702</v>
      </c>
      <c r="R1148" s="12">
        <f t="shared" si="166"/>
        <v>0.70833333333333304</v>
      </c>
    </row>
    <row r="1149" spans="2:18">
      <c r="B1149" t="str">
        <f t="shared" si="160"/>
        <v>WINDER ALEXANDER BOLVITO ESTRADA46291</v>
      </c>
      <c r="C1149" t="s">
        <v>252</v>
      </c>
      <c r="D1149" s="121">
        <v>46291</v>
      </c>
      <c r="E1149" t="s">
        <v>96</v>
      </c>
      <c r="F1149" t="s">
        <v>35</v>
      </c>
      <c r="G1149" s="122">
        <v>0.33333333333333298</v>
      </c>
      <c r="H1149" s="122">
        <v>0.5</v>
      </c>
      <c r="I1149" s="112">
        <v>0</v>
      </c>
      <c r="J1149" s="112">
        <v>0</v>
      </c>
      <c r="K1149" s="23">
        <f t="shared" si="161"/>
        <v>0.33333333333333298</v>
      </c>
      <c r="L1149" s="23">
        <f t="shared" si="162"/>
        <v>0</v>
      </c>
      <c r="M1149" s="12">
        <f t="shared" si="167"/>
        <v>0.33333333333333298</v>
      </c>
      <c r="N1149" s="23">
        <f t="shared" si="163"/>
        <v>0.5</v>
      </c>
      <c r="O1149" s="41">
        <f t="shared" si="164"/>
        <v>0</v>
      </c>
      <c r="P1149" s="13" t="str">
        <f t="shared" si="165"/>
        <v>SI</v>
      </c>
      <c r="Q1149" s="23">
        <f t="shared" si="166"/>
        <v>0.33333333333333298</v>
      </c>
      <c r="R1149" s="12">
        <f t="shared" si="166"/>
        <v>0.5</v>
      </c>
    </row>
    <row r="1150" spans="2:18">
      <c r="B1150" t="str">
        <f t="shared" si="160"/>
        <v>WINDER ALEXANDER BOLVITO ESTRADA46292</v>
      </c>
      <c r="C1150" t="s">
        <v>252</v>
      </c>
      <c r="D1150" s="121">
        <v>46292</v>
      </c>
      <c r="E1150" t="s">
        <v>97</v>
      </c>
      <c r="F1150" t="s">
        <v>72</v>
      </c>
      <c r="G1150" s="122">
        <v>0</v>
      </c>
      <c r="H1150" s="122">
        <v>0</v>
      </c>
      <c r="I1150" s="112">
        <v>0</v>
      </c>
      <c r="J1150" s="112">
        <v>0</v>
      </c>
      <c r="K1150" s="23">
        <f t="shared" si="161"/>
        <v>0</v>
      </c>
      <c r="L1150" s="23">
        <f t="shared" si="162"/>
        <v>0</v>
      </c>
      <c r="M1150" s="12">
        <f t="shared" si="167"/>
        <v>0</v>
      </c>
      <c r="N1150" s="23">
        <f t="shared" si="163"/>
        <v>0</v>
      </c>
      <c r="O1150" s="41">
        <f t="shared" si="164"/>
        <v>0</v>
      </c>
      <c r="P1150" s="13" t="str">
        <f t="shared" si="165"/>
        <v>NO</v>
      </c>
      <c r="Q1150" s="23">
        <f t="shared" si="166"/>
        <v>0</v>
      </c>
      <c r="R1150" s="12">
        <f t="shared" si="166"/>
        <v>0</v>
      </c>
    </row>
    <row r="1151" spans="2:18">
      <c r="B1151" t="str">
        <f t="shared" si="160"/>
        <v>WINDER ALEXANDER BOLVITO ESTRADA46293</v>
      </c>
      <c r="C1151" t="s">
        <v>252</v>
      </c>
      <c r="D1151" s="121">
        <v>46293</v>
      </c>
      <c r="E1151" t="s">
        <v>98</v>
      </c>
      <c r="F1151" t="s">
        <v>35</v>
      </c>
      <c r="G1151" s="122">
        <v>0.29166666666666702</v>
      </c>
      <c r="H1151" s="122">
        <v>0.70833333333333304</v>
      </c>
      <c r="I1151" s="112">
        <v>0</v>
      </c>
      <c r="J1151" s="112">
        <v>0</v>
      </c>
      <c r="K1151" s="23">
        <f t="shared" si="161"/>
        <v>0.29166666666666702</v>
      </c>
      <c r="L1151" s="23">
        <f t="shared" si="162"/>
        <v>0</v>
      </c>
      <c r="M1151" s="12">
        <f t="shared" si="167"/>
        <v>0.29166666666666702</v>
      </c>
      <c r="N1151" s="23">
        <f t="shared" si="163"/>
        <v>0.70833333333333304</v>
      </c>
      <c r="O1151" s="41">
        <f t="shared" si="164"/>
        <v>0</v>
      </c>
      <c r="P1151" s="13" t="str">
        <f t="shared" si="165"/>
        <v>SI</v>
      </c>
      <c r="Q1151" s="23">
        <f t="shared" si="166"/>
        <v>0.29166666666666702</v>
      </c>
      <c r="R1151" s="12">
        <f t="shared" si="166"/>
        <v>0.70833333333333304</v>
      </c>
    </row>
    <row r="1152" spans="2:18">
      <c r="B1152" t="str">
        <f t="shared" si="160"/>
        <v>WINDER ALEXANDER BOLVITO ESTRADA46294</v>
      </c>
      <c r="C1152" t="s">
        <v>252</v>
      </c>
      <c r="D1152" s="121">
        <v>46294</v>
      </c>
      <c r="E1152" t="s">
        <v>99</v>
      </c>
      <c r="F1152" t="s">
        <v>35</v>
      </c>
      <c r="G1152" s="122">
        <v>0.29166666666666702</v>
      </c>
      <c r="H1152" s="122">
        <v>0.70833333333333304</v>
      </c>
      <c r="I1152" s="112">
        <v>0</v>
      </c>
      <c r="J1152" s="112">
        <v>0</v>
      </c>
      <c r="K1152" s="23">
        <f t="shared" si="161"/>
        <v>0.29166666666666702</v>
      </c>
      <c r="L1152" s="23">
        <f t="shared" si="162"/>
        <v>0</v>
      </c>
      <c r="M1152" s="12">
        <f t="shared" si="167"/>
        <v>0.29166666666666702</v>
      </c>
      <c r="N1152" s="23">
        <f t="shared" si="163"/>
        <v>0.70833333333333304</v>
      </c>
      <c r="O1152" s="41">
        <f t="shared" si="164"/>
        <v>0</v>
      </c>
      <c r="P1152" s="13" t="str">
        <f t="shared" si="165"/>
        <v>SI</v>
      </c>
      <c r="Q1152" s="23">
        <f t="shared" si="166"/>
        <v>0.29166666666666702</v>
      </c>
      <c r="R1152" s="12">
        <f t="shared" si="166"/>
        <v>0.70833333333333304</v>
      </c>
    </row>
    <row r="1153" spans="2:18">
      <c r="B1153" t="str">
        <f t="shared" si="160"/>
        <v>WINDER ALEXANDER BOLVITO ESTRADA46295</v>
      </c>
      <c r="C1153" t="s">
        <v>252</v>
      </c>
      <c r="D1153" s="121">
        <v>46295</v>
      </c>
      <c r="E1153" t="s">
        <v>100</v>
      </c>
      <c r="F1153" t="s">
        <v>35</v>
      </c>
      <c r="G1153" s="122">
        <v>0.29166666666666702</v>
      </c>
      <c r="H1153" s="122">
        <v>0.70833333333333304</v>
      </c>
      <c r="I1153" s="112">
        <v>0</v>
      </c>
      <c r="J1153" s="112">
        <v>0</v>
      </c>
      <c r="K1153" s="23">
        <f t="shared" si="161"/>
        <v>0.29166666666666702</v>
      </c>
      <c r="L1153" s="23">
        <f t="shared" si="162"/>
        <v>0</v>
      </c>
      <c r="M1153" s="12">
        <f t="shared" si="167"/>
        <v>0.29166666666666702</v>
      </c>
      <c r="N1153" s="23">
        <f t="shared" si="163"/>
        <v>0.70833333333333304</v>
      </c>
      <c r="O1153" s="41">
        <f t="shared" si="164"/>
        <v>0</v>
      </c>
      <c r="P1153" s="13" t="str">
        <f t="shared" si="165"/>
        <v>SI</v>
      </c>
      <c r="Q1153" s="23">
        <f t="shared" si="166"/>
        <v>0.29166666666666702</v>
      </c>
      <c r="R1153" s="12">
        <f t="shared" si="166"/>
        <v>0.70833333333333304</v>
      </c>
    </row>
    <row r="1154" spans="2:18">
      <c r="B1154" t="str">
        <f t="shared" si="160"/>
        <v>WINDER ALEXANDER BOLVITO ESTRADA46296</v>
      </c>
      <c r="C1154" t="s">
        <v>252</v>
      </c>
      <c r="D1154" s="121">
        <v>46296</v>
      </c>
      <c r="E1154" t="s">
        <v>101</v>
      </c>
      <c r="F1154" t="s">
        <v>35</v>
      </c>
      <c r="G1154" s="122">
        <v>0.29166666666666702</v>
      </c>
      <c r="H1154" s="122">
        <v>0.70833333333333304</v>
      </c>
      <c r="I1154" s="112">
        <v>0</v>
      </c>
      <c r="J1154" s="112">
        <v>0</v>
      </c>
      <c r="K1154" s="23">
        <f t="shared" si="161"/>
        <v>0.29166666666666702</v>
      </c>
      <c r="L1154" s="23">
        <f t="shared" si="162"/>
        <v>0</v>
      </c>
      <c r="M1154" s="12">
        <f t="shared" si="167"/>
        <v>0.29166666666666702</v>
      </c>
      <c r="N1154" s="23">
        <f t="shared" si="163"/>
        <v>0.70833333333333304</v>
      </c>
      <c r="O1154" s="41">
        <f t="shared" si="164"/>
        <v>0</v>
      </c>
      <c r="P1154" s="13" t="str">
        <f t="shared" si="165"/>
        <v>SI</v>
      </c>
      <c r="Q1154" s="23">
        <f t="shared" si="166"/>
        <v>0.29166666666666702</v>
      </c>
      <c r="R1154" s="12">
        <f t="shared" si="166"/>
        <v>0.70833333333333304</v>
      </c>
    </row>
    <row r="1155" spans="2:18">
      <c r="B1155" t="str">
        <f t="shared" si="160"/>
        <v>WINDER ALEXANDER BOLVITO ESTRADA46297</v>
      </c>
      <c r="C1155" t="s">
        <v>252</v>
      </c>
      <c r="D1155" s="121">
        <v>46297</v>
      </c>
      <c r="E1155" t="s">
        <v>95</v>
      </c>
      <c r="F1155" t="s">
        <v>35</v>
      </c>
      <c r="G1155" s="122">
        <v>0.29166666666666702</v>
      </c>
      <c r="H1155" s="122">
        <v>0.70833333333333304</v>
      </c>
      <c r="I1155" s="112">
        <v>0</v>
      </c>
      <c r="J1155" s="112">
        <v>0</v>
      </c>
      <c r="K1155" s="23">
        <f t="shared" si="161"/>
        <v>0.29166666666666702</v>
      </c>
      <c r="L1155" s="23">
        <f t="shared" si="162"/>
        <v>0</v>
      </c>
      <c r="M1155" s="12">
        <f t="shared" si="167"/>
        <v>0.29166666666666702</v>
      </c>
      <c r="N1155" s="23">
        <f t="shared" si="163"/>
        <v>0.70833333333333304</v>
      </c>
      <c r="O1155" s="41">
        <f t="shared" si="164"/>
        <v>0</v>
      </c>
      <c r="P1155" s="13" t="str">
        <f t="shared" si="165"/>
        <v>SI</v>
      </c>
      <c r="Q1155" s="23">
        <f t="shared" si="166"/>
        <v>0.29166666666666702</v>
      </c>
      <c r="R1155" s="12">
        <f t="shared" si="166"/>
        <v>0.70833333333333304</v>
      </c>
    </row>
    <row r="1156" spans="2:18">
      <c r="B1156" t="str">
        <f t="shared" si="160"/>
        <v>WINDER ALEXANDER BOLVITO ESTRADA46298</v>
      </c>
      <c r="C1156" t="s">
        <v>252</v>
      </c>
      <c r="D1156" s="121">
        <v>46298</v>
      </c>
      <c r="E1156" t="s">
        <v>96</v>
      </c>
      <c r="F1156" t="s">
        <v>35</v>
      </c>
      <c r="G1156" s="122">
        <v>0.33333333333333298</v>
      </c>
      <c r="H1156" s="122">
        <v>0.5</v>
      </c>
      <c r="I1156" s="112">
        <v>0</v>
      </c>
      <c r="J1156" s="112">
        <v>0</v>
      </c>
      <c r="K1156" s="23">
        <f t="shared" si="161"/>
        <v>0.33333333333333298</v>
      </c>
      <c r="L1156" s="23">
        <f t="shared" si="162"/>
        <v>0</v>
      </c>
      <c r="M1156" s="12">
        <f t="shared" si="167"/>
        <v>0.33333333333333298</v>
      </c>
      <c r="N1156" s="23">
        <f t="shared" si="163"/>
        <v>0.5</v>
      </c>
      <c r="O1156" s="41">
        <f t="shared" si="164"/>
        <v>0</v>
      </c>
      <c r="P1156" s="13" t="str">
        <f t="shared" si="165"/>
        <v>SI</v>
      </c>
      <c r="Q1156" s="23">
        <f t="shared" si="166"/>
        <v>0.33333333333333298</v>
      </c>
      <c r="R1156" s="12">
        <f t="shared" si="166"/>
        <v>0.5</v>
      </c>
    </row>
    <row r="1157" spans="2:18">
      <c r="B1157" t="str">
        <f t="shared" si="160"/>
        <v>WINDER ALEXANDER BOLVITO ESTRADA46299</v>
      </c>
      <c r="C1157" t="s">
        <v>252</v>
      </c>
      <c r="D1157" s="121">
        <v>46299</v>
      </c>
      <c r="E1157" t="s">
        <v>97</v>
      </c>
      <c r="F1157" t="s">
        <v>72</v>
      </c>
      <c r="G1157" s="122">
        <v>0</v>
      </c>
      <c r="H1157" s="122">
        <v>0</v>
      </c>
      <c r="I1157" s="112">
        <v>0</v>
      </c>
      <c r="J1157" s="112">
        <v>0</v>
      </c>
      <c r="K1157" s="23">
        <f t="shared" si="161"/>
        <v>0</v>
      </c>
      <c r="L1157" s="23">
        <f t="shared" si="162"/>
        <v>0</v>
      </c>
      <c r="M1157" s="12">
        <f t="shared" si="167"/>
        <v>0</v>
      </c>
      <c r="N1157" s="23">
        <f t="shared" si="163"/>
        <v>0</v>
      </c>
      <c r="O1157" s="41">
        <f t="shared" si="164"/>
        <v>0</v>
      </c>
      <c r="P1157" s="13" t="str">
        <f t="shared" si="165"/>
        <v>NO</v>
      </c>
      <c r="Q1157" s="23">
        <f t="shared" si="166"/>
        <v>0</v>
      </c>
      <c r="R1157" s="12">
        <f t="shared" si="166"/>
        <v>0</v>
      </c>
    </row>
    <row r="1158" spans="2:18">
      <c r="B1158" t="str">
        <f t="shared" si="160"/>
        <v>Wilber Alexader Jimenez Luna46279</v>
      </c>
      <c r="C1158" t="s">
        <v>232</v>
      </c>
      <c r="D1158" s="121">
        <v>46279</v>
      </c>
      <c r="E1158" t="s">
        <v>98</v>
      </c>
      <c r="F1158" t="s">
        <v>72</v>
      </c>
      <c r="G1158" s="122">
        <v>0</v>
      </c>
      <c r="H1158" s="122">
        <v>0</v>
      </c>
      <c r="I1158" s="112">
        <v>0</v>
      </c>
      <c r="J1158" s="112">
        <v>0</v>
      </c>
      <c r="K1158" s="23">
        <f t="shared" si="161"/>
        <v>0</v>
      </c>
      <c r="L1158" s="23">
        <f t="shared" si="162"/>
        <v>0</v>
      </c>
      <c r="M1158" s="12">
        <f t="shared" si="167"/>
        <v>0</v>
      </c>
      <c r="N1158" s="23">
        <f t="shared" si="163"/>
        <v>0</v>
      </c>
      <c r="O1158" s="41">
        <f t="shared" si="164"/>
        <v>0</v>
      </c>
      <c r="P1158" s="13" t="str">
        <f t="shared" si="165"/>
        <v>NO</v>
      </c>
      <c r="Q1158" s="23">
        <f t="shared" si="166"/>
        <v>0</v>
      </c>
      <c r="R1158" s="12">
        <f t="shared" si="166"/>
        <v>0</v>
      </c>
    </row>
    <row r="1159" spans="2:18">
      <c r="B1159" t="str">
        <f t="shared" si="160"/>
        <v>Wilber Alexader Jimenez Luna46280</v>
      </c>
      <c r="C1159" t="s">
        <v>232</v>
      </c>
      <c r="D1159" s="121">
        <v>46280</v>
      </c>
      <c r="E1159" t="s">
        <v>99</v>
      </c>
      <c r="F1159" t="s">
        <v>35</v>
      </c>
      <c r="G1159" s="122">
        <v>0.33333333333333298</v>
      </c>
      <c r="H1159" s="122">
        <v>0.70833333333333304</v>
      </c>
      <c r="I1159" s="112">
        <v>0</v>
      </c>
      <c r="J1159" s="112">
        <v>0</v>
      </c>
      <c r="K1159" s="23">
        <f t="shared" si="161"/>
        <v>0.33333333333333298</v>
      </c>
      <c r="L1159" s="23">
        <f t="shared" si="162"/>
        <v>0</v>
      </c>
      <c r="M1159" s="12">
        <f t="shared" si="167"/>
        <v>0.33333333333333298</v>
      </c>
      <c r="N1159" s="23">
        <f t="shared" si="163"/>
        <v>0.70833333333333304</v>
      </c>
      <c r="O1159" s="41">
        <f t="shared" si="164"/>
        <v>0</v>
      </c>
      <c r="P1159" s="13" t="str">
        <f t="shared" si="165"/>
        <v>SI</v>
      </c>
      <c r="Q1159" s="23">
        <f t="shared" si="166"/>
        <v>0.33333333333333298</v>
      </c>
      <c r="R1159" s="12">
        <f t="shared" si="166"/>
        <v>0.70833333333333304</v>
      </c>
    </row>
    <row r="1160" spans="2:18">
      <c r="B1160" t="str">
        <f t="shared" si="160"/>
        <v>Wilber Alexader Jimenez Luna46281</v>
      </c>
      <c r="C1160" t="s">
        <v>232</v>
      </c>
      <c r="D1160" s="121">
        <v>46281</v>
      </c>
      <c r="E1160" t="s">
        <v>100</v>
      </c>
      <c r="F1160" t="s">
        <v>35</v>
      </c>
      <c r="G1160" s="122">
        <v>0.25</v>
      </c>
      <c r="H1160" s="122">
        <v>0.75</v>
      </c>
      <c r="I1160" s="112">
        <v>0</v>
      </c>
      <c r="J1160" s="112">
        <v>0</v>
      </c>
      <c r="K1160" s="23">
        <f t="shared" si="161"/>
        <v>0.25</v>
      </c>
      <c r="L1160" s="23">
        <f t="shared" si="162"/>
        <v>0</v>
      </c>
      <c r="M1160" s="12">
        <f t="shared" si="167"/>
        <v>0.25</v>
      </c>
      <c r="N1160" s="23">
        <f t="shared" si="163"/>
        <v>0.75</v>
      </c>
      <c r="O1160" s="41">
        <f t="shared" si="164"/>
        <v>0</v>
      </c>
      <c r="P1160" s="13" t="str">
        <f t="shared" si="165"/>
        <v>SI</v>
      </c>
      <c r="Q1160" s="23">
        <f t="shared" si="166"/>
        <v>0.25</v>
      </c>
      <c r="R1160" s="12">
        <f t="shared" si="166"/>
        <v>0.75</v>
      </c>
    </row>
    <row r="1161" spans="2:18">
      <c r="B1161" t="str">
        <f t="shared" si="160"/>
        <v>Wilber Alexader Jimenez Luna46282</v>
      </c>
      <c r="C1161" t="s">
        <v>232</v>
      </c>
      <c r="D1161" s="121">
        <v>46282</v>
      </c>
      <c r="E1161" t="s">
        <v>101</v>
      </c>
      <c r="F1161" t="s">
        <v>35</v>
      </c>
      <c r="G1161" s="122">
        <v>0.29166666666666702</v>
      </c>
      <c r="H1161" s="122">
        <v>0.75</v>
      </c>
      <c r="I1161" s="112">
        <v>0</v>
      </c>
      <c r="J1161" s="112">
        <v>0</v>
      </c>
      <c r="K1161" s="23">
        <f t="shared" si="161"/>
        <v>0.29166666666666702</v>
      </c>
      <c r="L1161" s="23">
        <f t="shared" si="162"/>
        <v>0</v>
      </c>
      <c r="M1161" s="12">
        <f t="shared" si="167"/>
        <v>0.29166666666666702</v>
      </c>
      <c r="N1161" s="23">
        <f t="shared" si="163"/>
        <v>0.75</v>
      </c>
      <c r="O1161" s="41">
        <f t="shared" si="164"/>
        <v>0</v>
      </c>
      <c r="P1161" s="13" t="str">
        <f t="shared" si="165"/>
        <v>SI</v>
      </c>
      <c r="Q1161" s="23">
        <f t="shared" si="166"/>
        <v>0.29166666666666702</v>
      </c>
      <c r="R1161" s="12">
        <f t="shared" si="166"/>
        <v>0.75</v>
      </c>
    </row>
    <row r="1162" spans="2:18">
      <c r="B1162" t="str">
        <f t="shared" si="160"/>
        <v>Wilber Alexader Jimenez Luna46283</v>
      </c>
      <c r="C1162" t="s">
        <v>232</v>
      </c>
      <c r="D1162" s="121">
        <v>46283</v>
      </c>
      <c r="E1162" t="s">
        <v>95</v>
      </c>
      <c r="F1162" t="s">
        <v>35</v>
      </c>
      <c r="G1162" s="122">
        <v>0.33333333333333298</v>
      </c>
      <c r="H1162" s="122">
        <v>0.70833333333333304</v>
      </c>
      <c r="I1162" s="112">
        <v>0</v>
      </c>
      <c r="J1162" s="112">
        <v>0</v>
      </c>
      <c r="K1162" s="23">
        <f t="shared" si="161"/>
        <v>0.33333333333333298</v>
      </c>
      <c r="L1162" s="23">
        <f t="shared" si="162"/>
        <v>0</v>
      </c>
      <c r="M1162" s="12">
        <f t="shared" si="167"/>
        <v>0.33333333333333298</v>
      </c>
      <c r="N1162" s="23">
        <f t="shared" si="163"/>
        <v>0.70833333333333304</v>
      </c>
      <c r="O1162" s="41">
        <f t="shared" si="164"/>
        <v>0</v>
      </c>
      <c r="P1162" s="13" t="str">
        <f t="shared" si="165"/>
        <v>SI</v>
      </c>
      <c r="Q1162" s="23">
        <f t="shared" si="166"/>
        <v>0.33333333333333298</v>
      </c>
      <c r="R1162" s="12">
        <f t="shared" si="166"/>
        <v>0.70833333333333304</v>
      </c>
    </row>
    <row r="1163" spans="2:18">
      <c r="B1163" t="str">
        <f t="shared" si="160"/>
        <v>Wilber Alexader Jimenez Luna46284</v>
      </c>
      <c r="C1163" t="s">
        <v>232</v>
      </c>
      <c r="D1163" s="121">
        <v>46284</v>
      </c>
      <c r="E1163" t="s">
        <v>96</v>
      </c>
      <c r="F1163" t="s">
        <v>35</v>
      </c>
      <c r="G1163" s="122">
        <v>0.25</v>
      </c>
      <c r="H1163" s="122">
        <v>0.75</v>
      </c>
      <c r="I1163" s="112">
        <v>0</v>
      </c>
      <c r="J1163" s="112">
        <v>0</v>
      </c>
      <c r="K1163" s="23">
        <f t="shared" si="161"/>
        <v>0.25</v>
      </c>
      <c r="L1163" s="23">
        <f t="shared" si="162"/>
        <v>0</v>
      </c>
      <c r="M1163" s="12">
        <f t="shared" si="167"/>
        <v>0.25</v>
      </c>
      <c r="N1163" s="23">
        <f t="shared" si="163"/>
        <v>0.75</v>
      </c>
      <c r="O1163" s="41">
        <f t="shared" si="164"/>
        <v>0</v>
      </c>
      <c r="P1163" s="13" t="str">
        <f t="shared" si="165"/>
        <v>SI</v>
      </c>
      <c r="Q1163" s="23">
        <f t="shared" si="166"/>
        <v>0.25</v>
      </c>
      <c r="R1163" s="12">
        <f t="shared" si="166"/>
        <v>0.75</v>
      </c>
    </row>
    <row r="1164" spans="2:18">
      <c r="B1164" t="str">
        <f t="shared" si="160"/>
        <v>Wilber Alexader Jimenez Luna46285</v>
      </c>
      <c r="C1164" t="s">
        <v>232</v>
      </c>
      <c r="D1164" s="121">
        <v>46285</v>
      </c>
      <c r="E1164" t="s">
        <v>97</v>
      </c>
      <c r="F1164" t="s">
        <v>72</v>
      </c>
      <c r="G1164" s="122">
        <v>0</v>
      </c>
      <c r="H1164" s="122">
        <v>0</v>
      </c>
      <c r="I1164" s="112">
        <v>0</v>
      </c>
      <c r="J1164" s="112">
        <v>0</v>
      </c>
      <c r="K1164" s="23">
        <f t="shared" si="161"/>
        <v>0</v>
      </c>
      <c r="L1164" s="23">
        <f t="shared" si="162"/>
        <v>0</v>
      </c>
      <c r="M1164" s="12">
        <f t="shared" si="167"/>
        <v>0</v>
      </c>
      <c r="N1164" s="23">
        <f t="shared" si="163"/>
        <v>0</v>
      </c>
      <c r="O1164" s="41">
        <f t="shared" si="164"/>
        <v>0</v>
      </c>
      <c r="P1164" s="13" t="str">
        <f t="shared" si="165"/>
        <v>NO</v>
      </c>
      <c r="Q1164" s="23">
        <f t="shared" si="166"/>
        <v>0</v>
      </c>
      <c r="R1164" s="12">
        <f t="shared" si="166"/>
        <v>0</v>
      </c>
    </row>
    <row r="1165" spans="2:18">
      <c r="B1165" t="str">
        <f t="shared" si="160"/>
        <v>Wilber Alexader Jimenez Luna46286</v>
      </c>
      <c r="C1165" t="s">
        <v>232</v>
      </c>
      <c r="D1165" s="121">
        <v>46286</v>
      </c>
      <c r="E1165" t="s">
        <v>98</v>
      </c>
      <c r="F1165" t="s">
        <v>72</v>
      </c>
      <c r="G1165" s="122">
        <v>0</v>
      </c>
      <c r="H1165" s="122">
        <v>0</v>
      </c>
      <c r="I1165" s="112">
        <v>0</v>
      </c>
      <c r="J1165" s="112">
        <v>0</v>
      </c>
      <c r="K1165" s="23">
        <f t="shared" si="161"/>
        <v>0</v>
      </c>
      <c r="L1165" s="23">
        <f t="shared" si="162"/>
        <v>0</v>
      </c>
      <c r="M1165" s="12">
        <f t="shared" si="167"/>
        <v>0</v>
      </c>
      <c r="N1165" s="23">
        <f t="shared" si="163"/>
        <v>0</v>
      </c>
      <c r="O1165" s="41">
        <f t="shared" si="164"/>
        <v>0</v>
      </c>
      <c r="P1165" s="13" t="str">
        <f t="shared" si="165"/>
        <v>NO</v>
      </c>
      <c r="Q1165" s="23">
        <f t="shared" si="166"/>
        <v>0</v>
      </c>
      <c r="R1165" s="12">
        <f t="shared" si="166"/>
        <v>0</v>
      </c>
    </row>
    <row r="1166" spans="2:18">
      <c r="B1166" t="str">
        <f t="shared" si="160"/>
        <v>Wilber Alexader Jimenez Luna46287</v>
      </c>
      <c r="C1166" t="s">
        <v>232</v>
      </c>
      <c r="D1166" s="121">
        <v>46287</v>
      </c>
      <c r="E1166" t="s">
        <v>99</v>
      </c>
      <c r="F1166" t="s">
        <v>72</v>
      </c>
      <c r="G1166" s="122">
        <v>0</v>
      </c>
      <c r="H1166" s="122">
        <v>0</v>
      </c>
      <c r="I1166" s="112">
        <v>0</v>
      </c>
      <c r="J1166" s="112">
        <v>0</v>
      </c>
      <c r="K1166" s="23">
        <f t="shared" si="161"/>
        <v>0</v>
      </c>
      <c r="L1166" s="23">
        <f t="shared" si="162"/>
        <v>0</v>
      </c>
      <c r="M1166" s="12">
        <f t="shared" si="167"/>
        <v>0</v>
      </c>
      <c r="N1166" s="23">
        <f t="shared" si="163"/>
        <v>0</v>
      </c>
      <c r="O1166" s="41">
        <f t="shared" si="164"/>
        <v>0</v>
      </c>
      <c r="P1166" s="13" t="str">
        <f t="shared" si="165"/>
        <v>NO</v>
      </c>
      <c r="Q1166" s="23">
        <f t="shared" si="166"/>
        <v>0</v>
      </c>
      <c r="R1166" s="12">
        <f t="shared" si="166"/>
        <v>0</v>
      </c>
    </row>
    <row r="1167" spans="2:18">
      <c r="B1167" t="str">
        <f t="shared" si="160"/>
        <v>Wilber Alexader Jimenez Luna46288</v>
      </c>
      <c r="C1167" t="s">
        <v>232</v>
      </c>
      <c r="D1167" s="121">
        <v>46288</v>
      </c>
      <c r="E1167" t="s">
        <v>100</v>
      </c>
      <c r="F1167" t="s">
        <v>72</v>
      </c>
      <c r="G1167" s="122">
        <v>0</v>
      </c>
      <c r="H1167" s="122">
        <v>0</v>
      </c>
      <c r="I1167" s="112">
        <v>0</v>
      </c>
      <c r="J1167" s="112">
        <v>0</v>
      </c>
      <c r="K1167" s="23">
        <f t="shared" si="161"/>
        <v>0</v>
      </c>
      <c r="L1167" s="23">
        <f t="shared" si="162"/>
        <v>0</v>
      </c>
      <c r="M1167" s="12">
        <f t="shared" si="167"/>
        <v>0</v>
      </c>
      <c r="N1167" s="23">
        <f t="shared" si="163"/>
        <v>0</v>
      </c>
      <c r="O1167" s="41">
        <f t="shared" si="164"/>
        <v>0</v>
      </c>
      <c r="P1167" s="13" t="str">
        <f t="shared" si="165"/>
        <v>NO</v>
      </c>
      <c r="Q1167" s="23">
        <f t="shared" si="166"/>
        <v>0</v>
      </c>
      <c r="R1167" s="12">
        <f t="shared" si="166"/>
        <v>0</v>
      </c>
    </row>
    <row r="1168" spans="2:18">
      <c r="B1168" t="str">
        <f t="shared" si="160"/>
        <v>Wilber Alexader Jimenez Luna46289</v>
      </c>
      <c r="C1168" t="s">
        <v>232</v>
      </c>
      <c r="D1168" s="121">
        <v>46289</v>
      </c>
      <c r="E1168" t="s">
        <v>101</v>
      </c>
      <c r="F1168" t="s">
        <v>36</v>
      </c>
      <c r="G1168" s="122">
        <v>0.75</v>
      </c>
      <c r="H1168" s="122">
        <v>0.25</v>
      </c>
      <c r="I1168" s="112">
        <v>0</v>
      </c>
      <c r="J1168" s="112">
        <v>0</v>
      </c>
      <c r="K1168" s="23">
        <f t="shared" si="161"/>
        <v>0.75</v>
      </c>
      <c r="L1168" s="23">
        <f t="shared" si="162"/>
        <v>0</v>
      </c>
      <c r="M1168" s="12">
        <f t="shared" si="167"/>
        <v>0.75</v>
      </c>
      <c r="N1168" s="23">
        <f t="shared" si="163"/>
        <v>0.25</v>
      </c>
      <c r="O1168" s="41">
        <f t="shared" si="164"/>
        <v>0</v>
      </c>
      <c r="P1168" s="13" t="str">
        <f t="shared" si="165"/>
        <v>SI</v>
      </c>
      <c r="Q1168" s="23">
        <f t="shared" si="166"/>
        <v>0.75</v>
      </c>
      <c r="R1168" s="12">
        <f t="shared" si="166"/>
        <v>0.25</v>
      </c>
    </row>
    <row r="1169" spans="2:18">
      <c r="B1169" t="str">
        <f t="shared" si="160"/>
        <v>Wilber Alexader Jimenez Luna46290</v>
      </c>
      <c r="C1169" t="s">
        <v>232</v>
      </c>
      <c r="D1169" s="121">
        <v>46290</v>
      </c>
      <c r="E1169" t="s">
        <v>95</v>
      </c>
      <c r="F1169" t="s">
        <v>36</v>
      </c>
      <c r="G1169" s="122">
        <v>0.75</v>
      </c>
      <c r="H1169" s="122">
        <v>0.25</v>
      </c>
      <c r="I1169" s="112">
        <v>0</v>
      </c>
      <c r="J1169" s="112">
        <v>0</v>
      </c>
      <c r="K1169" s="23">
        <f t="shared" si="161"/>
        <v>0.75</v>
      </c>
      <c r="L1169" s="23">
        <f t="shared" si="162"/>
        <v>0</v>
      </c>
      <c r="M1169" s="12">
        <f t="shared" si="167"/>
        <v>0.75</v>
      </c>
      <c r="N1169" s="23">
        <f t="shared" si="163"/>
        <v>0.25</v>
      </c>
      <c r="O1169" s="41">
        <f t="shared" si="164"/>
        <v>0</v>
      </c>
      <c r="P1169" s="13" t="str">
        <f t="shared" si="165"/>
        <v>SI</v>
      </c>
      <c r="Q1169" s="23">
        <f t="shared" si="166"/>
        <v>0.75</v>
      </c>
      <c r="R1169" s="12">
        <f t="shared" si="166"/>
        <v>0.25</v>
      </c>
    </row>
    <row r="1170" spans="2:18">
      <c r="B1170" t="str">
        <f t="shared" si="160"/>
        <v>Wilber Alexader Jimenez Luna46291</v>
      </c>
      <c r="C1170" t="s">
        <v>232</v>
      </c>
      <c r="D1170" s="121">
        <v>46291</v>
      </c>
      <c r="E1170" t="s">
        <v>96</v>
      </c>
      <c r="F1170" t="s">
        <v>36</v>
      </c>
      <c r="G1170" s="122">
        <v>0.75</v>
      </c>
      <c r="H1170" s="122">
        <v>0.25</v>
      </c>
      <c r="I1170" s="112">
        <v>0</v>
      </c>
      <c r="J1170" s="112">
        <v>0</v>
      </c>
      <c r="K1170" s="23">
        <f t="shared" si="161"/>
        <v>0.75</v>
      </c>
      <c r="L1170" s="23">
        <f t="shared" si="162"/>
        <v>0</v>
      </c>
      <c r="M1170" s="12">
        <f t="shared" si="167"/>
        <v>0.75</v>
      </c>
      <c r="N1170" s="23">
        <f t="shared" si="163"/>
        <v>0.25</v>
      </c>
      <c r="O1170" s="41">
        <f t="shared" si="164"/>
        <v>0</v>
      </c>
      <c r="P1170" s="13" t="str">
        <f t="shared" si="165"/>
        <v>SI</v>
      </c>
      <c r="Q1170" s="23">
        <f t="shared" si="166"/>
        <v>0.75</v>
      </c>
      <c r="R1170" s="12">
        <f t="shared" si="166"/>
        <v>0.25</v>
      </c>
    </row>
    <row r="1171" spans="2:18">
      <c r="B1171" t="str">
        <f t="shared" si="160"/>
        <v>Wilber Alexader Jimenez Luna46292</v>
      </c>
      <c r="C1171" t="s">
        <v>232</v>
      </c>
      <c r="D1171" s="121">
        <v>46292</v>
      </c>
      <c r="E1171" t="s">
        <v>97</v>
      </c>
      <c r="F1171" t="s">
        <v>72</v>
      </c>
      <c r="G1171" s="122">
        <v>0</v>
      </c>
      <c r="H1171" s="122">
        <v>0</v>
      </c>
      <c r="I1171" s="112">
        <v>0</v>
      </c>
      <c r="J1171" s="112">
        <v>0</v>
      </c>
      <c r="K1171" s="23">
        <f t="shared" si="161"/>
        <v>0</v>
      </c>
      <c r="L1171" s="23">
        <f t="shared" si="162"/>
        <v>0</v>
      </c>
      <c r="M1171" s="12">
        <f t="shared" si="167"/>
        <v>0</v>
      </c>
      <c r="N1171" s="23">
        <f t="shared" si="163"/>
        <v>0</v>
      </c>
      <c r="O1171" s="41">
        <f t="shared" si="164"/>
        <v>0</v>
      </c>
      <c r="P1171" s="13" t="str">
        <f t="shared" si="165"/>
        <v>NO</v>
      </c>
      <c r="Q1171" s="23">
        <f t="shared" si="166"/>
        <v>0</v>
      </c>
      <c r="R1171" s="12">
        <f t="shared" si="166"/>
        <v>0</v>
      </c>
    </row>
    <row r="1172" spans="2:18">
      <c r="B1172" t="str">
        <f t="shared" si="160"/>
        <v>Wilber Alexader Jimenez Luna46293</v>
      </c>
      <c r="C1172" t="s">
        <v>232</v>
      </c>
      <c r="D1172" s="121">
        <v>46293</v>
      </c>
      <c r="E1172" t="s">
        <v>98</v>
      </c>
      <c r="F1172" t="s">
        <v>35</v>
      </c>
      <c r="G1172" s="122">
        <v>0.25</v>
      </c>
      <c r="H1172" s="122">
        <v>0.75</v>
      </c>
      <c r="I1172" s="112">
        <v>0</v>
      </c>
      <c r="J1172" s="112">
        <v>0</v>
      </c>
      <c r="K1172" s="23">
        <f t="shared" si="161"/>
        <v>0.25</v>
      </c>
      <c r="L1172" s="23">
        <f t="shared" si="162"/>
        <v>0</v>
      </c>
      <c r="M1172" s="12">
        <f t="shared" si="167"/>
        <v>0.25</v>
      </c>
      <c r="N1172" s="23">
        <f t="shared" si="163"/>
        <v>0.75</v>
      </c>
      <c r="O1172" s="41">
        <f t="shared" si="164"/>
        <v>0</v>
      </c>
      <c r="P1172" s="13" t="str">
        <f t="shared" si="165"/>
        <v>SI</v>
      </c>
      <c r="Q1172" s="23">
        <f t="shared" si="166"/>
        <v>0.25</v>
      </c>
      <c r="R1172" s="12">
        <f t="shared" si="166"/>
        <v>0.75</v>
      </c>
    </row>
    <row r="1173" spans="2:18">
      <c r="B1173" t="str">
        <f t="shared" si="160"/>
        <v>Wilber Alexader Jimenez Luna46294</v>
      </c>
      <c r="C1173" t="s">
        <v>232</v>
      </c>
      <c r="D1173" s="121">
        <v>46294</v>
      </c>
      <c r="E1173" t="s">
        <v>99</v>
      </c>
      <c r="F1173" t="s">
        <v>35</v>
      </c>
      <c r="G1173" s="122">
        <v>0.33333333333333298</v>
      </c>
      <c r="H1173" s="122">
        <v>0.75</v>
      </c>
      <c r="I1173" s="112">
        <v>0</v>
      </c>
      <c r="J1173" s="112">
        <v>0</v>
      </c>
      <c r="K1173" s="23">
        <f t="shared" si="161"/>
        <v>0.33333333333333298</v>
      </c>
      <c r="L1173" s="23">
        <f t="shared" si="162"/>
        <v>0</v>
      </c>
      <c r="M1173" s="12">
        <f t="shared" si="167"/>
        <v>0.33333333333333298</v>
      </c>
      <c r="N1173" s="23">
        <f t="shared" si="163"/>
        <v>0.75</v>
      </c>
      <c r="O1173" s="41">
        <f t="shared" si="164"/>
        <v>0</v>
      </c>
      <c r="P1173" s="13" t="str">
        <f t="shared" si="165"/>
        <v>SI</v>
      </c>
      <c r="Q1173" s="23">
        <f t="shared" si="166"/>
        <v>0.33333333333333298</v>
      </c>
      <c r="R1173" s="12">
        <f t="shared" si="166"/>
        <v>0.75</v>
      </c>
    </row>
    <row r="1174" spans="2:18">
      <c r="B1174" t="str">
        <f t="shared" si="160"/>
        <v>Wilber Alexader Jimenez Luna46295</v>
      </c>
      <c r="C1174" t="s">
        <v>232</v>
      </c>
      <c r="D1174" s="121">
        <v>46295</v>
      </c>
      <c r="E1174" t="s">
        <v>100</v>
      </c>
      <c r="F1174" t="s">
        <v>35</v>
      </c>
      <c r="G1174" s="122">
        <v>0.25</v>
      </c>
      <c r="H1174" s="122">
        <v>0.75</v>
      </c>
      <c r="I1174" s="112">
        <v>0</v>
      </c>
      <c r="J1174" s="112">
        <v>0</v>
      </c>
      <c r="K1174" s="23">
        <f t="shared" si="161"/>
        <v>0.25</v>
      </c>
      <c r="L1174" s="23">
        <f t="shared" si="162"/>
        <v>0</v>
      </c>
      <c r="M1174" s="12">
        <f t="shared" si="167"/>
        <v>0.25</v>
      </c>
      <c r="N1174" s="23">
        <f t="shared" si="163"/>
        <v>0.75</v>
      </c>
      <c r="O1174" s="41">
        <f t="shared" si="164"/>
        <v>0</v>
      </c>
      <c r="P1174" s="13" t="str">
        <f t="shared" si="165"/>
        <v>SI</v>
      </c>
      <c r="Q1174" s="23">
        <f t="shared" si="166"/>
        <v>0.25</v>
      </c>
      <c r="R1174" s="12">
        <f t="shared" si="166"/>
        <v>0.75</v>
      </c>
    </row>
    <row r="1175" spans="2:18">
      <c r="B1175" t="str">
        <f t="shared" si="160"/>
        <v>Wilber Alexader Jimenez Luna46296</v>
      </c>
      <c r="C1175" t="s">
        <v>232</v>
      </c>
      <c r="D1175" s="121">
        <v>46296</v>
      </c>
      <c r="E1175" t="s">
        <v>101</v>
      </c>
      <c r="F1175" t="s">
        <v>35</v>
      </c>
      <c r="G1175" s="122">
        <v>0.25</v>
      </c>
      <c r="H1175" s="122">
        <v>0.75</v>
      </c>
      <c r="I1175" s="112">
        <v>0</v>
      </c>
      <c r="J1175" s="112">
        <v>0</v>
      </c>
      <c r="K1175" s="23">
        <f t="shared" si="161"/>
        <v>0.25</v>
      </c>
      <c r="L1175" s="23">
        <f t="shared" si="162"/>
        <v>0</v>
      </c>
      <c r="M1175" s="12">
        <f t="shared" si="167"/>
        <v>0.25</v>
      </c>
      <c r="N1175" s="23">
        <f t="shared" si="163"/>
        <v>0.75</v>
      </c>
      <c r="O1175" s="41">
        <f t="shared" si="164"/>
        <v>0</v>
      </c>
      <c r="P1175" s="13" t="str">
        <f t="shared" si="165"/>
        <v>SI</v>
      </c>
      <c r="Q1175" s="23">
        <f t="shared" si="166"/>
        <v>0.25</v>
      </c>
      <c r="R1175" s="12">
        <f t="shared" si="166"/>
        <v>0.75</v>
      </c>
    </row>
    <row r="1176" spans="2:18">
      <c r="B1176" t="str">
        <f t="shared" si="160"/>
        <v>Wilber Alexader Jimenez Luna46297</v>
      </c>
      <c r="C1176" t="s">
        <v>232</v>
      </c>
      <c r="D1176" s="121">
        <v>46297</v>
      </c>
      <c r="E1176" t="s">
        <v>95</v>
      </c>
      <c r="F1176" t="s">
        <v>35</v>
      </c>
      <c r="G1176" s="122">
        <v>0.25</v>
      </c>
      <c r="H1176" s="122">
        <v>0.75</v>
      </c>
      <c r="I1176" s="112">
        <v>0</v>
      </c>
      <c r="J1176" s="112">
        <v>0</v>
      </c>
      <c r="K1176" s="23">
        <f t="shared" si="161"/>
        <v>0.25</v>
      </c>
      <c r="L1176" s="23">
        <f t="shared" si="162"/>
        <v>0</v>
      </c>
      <c r="M1176" s="12">
        <f t="shared" si="167"/>
        <v>0.25</v>
      </c>
      <c r="N1176" s="23">
        <f t="shared" si="163"/>
        <v>0.75</v>
      </c>
      <c r="O1176" s="41">
        <f t="shared" si="164"/>
        <v>0</v>
      </c>
      <c r="P1176" s="13" t="str">
        <f t="shared" si="165"/>
        <v>SI</v>
      </c>
      <c r="Q1176" s="23">
        <f t="shared" si="166"/>
        <v>0.25</v>
      </c>
      <c r="R1176" s="12">
        <f t="shared" si="166"/>
        <v>0.75</v>
      </c>
    </row>
    <row r="1177" spans="2:18">
      <c r="B1177" t="str">
        <f t="shared" si="160"/>
        <v>Wilber Alexader Jimenez Luna46298</v>
      </c>
      <c r="C1177" t="s">
        <v>232</v>
      </c>
      <c r="D1177" s="121">
        <v>46298</v>
      </c>
      <c r="E1177" t="s">
        <v>96</v>
      </c>
      <c r="F1177" t="s">
        <v>35</v>
      </c>
      <c r="G1177" s="122">
        <v>0.29166666666666702</v>
      </c>
      <c r="H1177" s="122">
        <v>0.75</v>
      </c>
      <c r="I1177" s="112">
        <v>0</v>
      </c>
      <c r="J1177" s="112">
        <v>0</v>
      </c>
      <c r="K1177" s="23">
        <f t="shared" si="161"/>
        <v>0.29166666666666702</v>
      </c>
      <c r="L1177" s="23">
        <f t="shared" si="162"/>
        <v>0</v>
      </c>
      <c r="M1177" s="12">
        <f t="shared" si="167"/>
        <v>0.29166666666666702</v>
      </c>
      <c r="N1177" s="23">
        <f t="shared" si="163"/>
        <v>0.75</v>
      </c>
      <c r="O1177" s="41">
        <f t="shared" si="164"/>
        <v>0</v>
      </c>
      <c r="P1177" s="13" t="str">
        <f t="shared" si="165"/>
        <v>SI</v>
      </c>
      <c r="Q1177" s="23">
        <f t="shared" si="166"/>
        <v>0.29166666666666702</v>
      </c>
      <c r="R1177" s="12">
        <f t="shared" si="166"/>
        <v>0.75</v>
      </c>
    </row>
    <row r="1178" spans="2:18">
      <c r="B1178" t="str">
        <f t="shared" si="160"/>
        <v>Wilber Alexader Jimenez Luna46299</v>
      </c>
      <c r="C1178" t="s">
        <v>232</v>
      </c>
      <c r="D1178" s="121">
        <v>46299</v>
      </c>
      <c r="E1178" t="s">
        <v>97</v>
      </c>
      <c r="F1178" t="s">
        <v>72</v>
      </c>
      <c r="G1178" s="122">
        <v>0</v>
      </c>
      <c r="H1178" s="122">
        <v>0</v>
      </c>
      <c r="I1178" s="112">
        <v>0</v>
      </c>
      <c r="J1178" s="112">
        <v>0</v>
      </c>
      <c r="K1178" s="23">
        <f t="shared" si="161"/>
        <v>0</v>
      </c>
      <c r="L1178" s="23">
        <f t="shared" si="162"/>
        <v>0</v>
      </c>
      <c r="M1178" s="12">
        <f t="shared" si="167"/>
        <v>0</v>
      </c>
      <c r="N1178" s="23">
        <f t="shared" si="163"/>
        <v>0</v>
      </c>
      <c r="O1178" s="41">
        <f t="shared" si="164"/>
        <v>0</v>
      </c>
      <c r="P1178" s="13" t="str">
        <f t="shared" si="165"/>
        <v>NO</v>
      </c>
      <c r="Q1178" s="23">
        <f t="shared" si="166"/>
        <v>0</v>
      </c>
      <c r="R1178" s="12">
        <f t="shared" si="166"/>
        <v>0</v>
      </c>
    </row>
    <row r="1179" spans="2:18">
      <c r="B1179" t="str">
        <f t="shared" si="160"/>
        <v>YORMAN ALEJANDRO PEREZ CHAJON46279</v>
      </c>
      <c r="C1179" t="s">
        <v>13</v>
      </c>
      <c r="D1179" s="121">
        <v>46279</v>
      </c>
      <c r="E1179" t="s">
        <v>98</v>
      </c>
      <c r="F1179" t="s">
        <v>72</v>
      </c>
      <c r="G1179" s="122">
        <v>0</v>
      </c>
      <c r="H1179" s="122">
        <v>0</v>
      </c>
      <c r="I1179" s="112">
        <v>0</v>
      </c>
      <c r="J1179" s="112">
        <v>0</v>
      </c>
      <c r="K1179" s="23">
        <f t="shared" si="161"/>
        <v>0</v>
      </c>
      <c r="L1179" s="23">
        <f t="shared" si="162"/>
        <v>0</v>
      </c>
      <c r="M1179" s="12">
        <f t="shared" si="167"/>
        <v>0</v>
      </c>
      <c r="N1179" s="23">
        <f t="shared" si="163"/>
        <v>0</v>
      </c>
      <c r="O1179" s="41">
        <f t="shared" si="164"/>
        <v>0</v>
      </c>
      <c r="P1179" s="13" t="str">
        <f t="shared" si="165"/>
        <v>NO</v>
      </c>
      <c r="Q1179" s="23">
        <f t="shared" si="166"/>
        <v>0</v>
      </c>
      <c r="R1179" s="12">
        <f t="shared" si="166"/>
        <v>0</v>
      </c>
    </row>
    <row r="1180" spans="2:18">
      <c r="B1180" t="str">
        <f t="shared" si="160"/>
        <v>YORMAN ALEJANDRO PEREZ CHAJON46280</v>
      </c>
      <c r="C1180" t="s">
        <v>13</v>
      </c>
      <c r="D1180" s="121">
        <v>46280</v>
      </c>
      <c r="E1180" t="s">
        <v>99</v>
      </c>
      <c r="F1180" t="s">
        <v>35</v>
      </c>
      <c r="G1180" s="122">
        <v>0.33333333333333298</v>
      </c>
      <c r="H1180" s="122">
        <v>0.70833333333333304</v>
      </c>
      <c r="I1180" s="112">
        <v>0</v>
      </c>
      <c r="J1180" s="112">
        <v>0</v>
      </c>
      <c r="K1180" s="23">
        <f t="shared" si="161"/>
        <v>0.33333333333333298</v>
      </c>
      <c r="L1180" s="23">
        <f t="shared" si="162"/>
        <v>0</v>
      </c>
      <c r="M1180" s="12">
        <f t="shared" si="167"/>
        <v>0.33333333333333298</v>
      </c>
      <c r="N1180" s="23">
        <f t="shared" si="163"/>
        <v>0.70833333333333304</v>
      </c>
      <c r="O1180" s="41">
        <f t="shared" si="164"/>
        <v>0</v>
      </c>
      <c r="P1180" s="13" t="str">
        <f t="shared" si="165"/>
        <v>SI</v>
      </c>
      <c r="Q1180" s="23">
        <f t="shared" si="166"/>
        <v>0.33333333333333298</v>
      </c>
      <c r="R1180" s="12">
        <f t="shared" si="166"/>
        <v>0.70833333333333304</v>
      </c>
    </row>
    <row r="1181" spans="2:18">
      <c r="B1181" t="str">
        <f t="shared" si="160"/>
        <v>YORMAN ALEJANDRO PEREZ CHAJON46281</v>
      </c>
      <c r="C1181" t="s">
        <v>13</v>
      </c>
      <c r="D1181" s="121">
        <v>46281</v>
      </c>
      <c r="E1181" t="s">
        <v>100</v>
      </c>
      <c r="F1181" t="s">
        <v>35</v>
      </c>
      <c r="G1181" s="122">
        <v>0.29166666666666702</v>
      </c>
      <c r="H1181" s="122">
        <v>0.66666666666666696</v>
      </c>
      <c r="I1181" s="112">
        <v>0</v>
      </c>
      <c r="J1181" s="112">
        <v>0</v>
      </c>
      <c r="K1181" s="23">
        <f t="shared" si="161"/>
        <v>0.29166666666666702</v>
      </c>
      <c r="L1181" s="23">
        <f t="shared" si="162"/>
        <v>0</v>
      </c>
      <c r="M1181" s="12">
        <f t="shared" si="167"/>
        <v>0.29166666666666702</v>
      </c>
      <c r="N1181" s="23">
        <f t="shared" si="163"/>
        <v>0.66666666666666696</v>
      </c>
      <c r="O1181" s="41">
        <f t="shared" si="164"/>
        <v>0</v>
      </c>
      <c r="P1181" s="13" t="str">
        <f t="shared" si="165"/>
        <v>SI</v>
      </c>
      <c r="Q1181" s="23">
        <f t="shared" si="166"/>
        <v>0.29166666666666702</v>
      </c>
      <c r="R1181" s="12">
        <f t="shared" si="166"/>
        <v>0.66666666666666696</v>
      </c>
    </row>
    <row r="1182" spans="2:18">
      <c r="B1182" t="str">
        <f t="shared" si="160"/>
        <v>YORMAN ALEJANDRO PEREZ CHAJON46282</v>
      </c>
      <c r="C1182" t="s">
        <v>13</v>
      </c>
      <c r="D1182" s="121">
        <v>46282</v>
      </c>
      <c r="E1182" t="s">
        <v>101</v>
      </c>
      <c r="F1182" t="s">
        <v>35</v>
      </c>
      <c r="G1182" s="122">
        <v>0.375</v>
      </c>
      <c r="H1182" s="122">
        <v>0.75</v>
      </c>
      <c r="I1182" s="112">
        <v>0</v>
      </c>
      <c r="J1182" s="112">
        <v>0</v>
      </c>
      <c r="K1182" s="23">
        <f t="shared" si="161"/>
        <v>0.375</v>
      </c>
      <c r="L1182" s="23">
        <f t="shared" si="162"/>
        <v>0</v>
      </c>
      <c r="M1182" s="12">
        <f t="shared" si="167"/>
        <v>0.375</v>
      </c>
      <c r="N1182" s="23">
        <f t="shared" si="163"/>
        <v>0.75</v>
      </c>
      <c r="O1182" s="41">
        <f t="shared" si="164"/>
        <v>0</v>
      </c>
      <c r="P1182" s="13" t="str">
        <f t="shared" si="165"/>
        <v>SI</v>
      </c>
      <c r="Q1182" s="23">
        <f t="shared" si="166"/>
        <v>0.375</v>
      </c>
      <c r="R1182" s="12">
        <f t="shared" si="166"/>
        <v>0.75</v>
      </c>
    </row>
    <row r="1183" spans="2:18">
      <c r="B1183" t="str">
        <f t="shared" si="160"/>
        <v>YORMAN ALEJANDRO PEREZ CHAJON46283</v>
      </c>
      <c r="C1183" t="s">
        <v>13</v>
      </c>
      <c r="D1183" s="121">
        <v>46283</v>
      </c>
      <c r="E1183" t="s">
        <v>95</v>
      </c>
      <c r="F1183" t="s">
        <v>35</v>
      </c>
      <c r="G1183" s="122">
        <v>0.29166666666666702</v>
      </c>
      <c r="H1183" s="122">
        <v>0.66666666666666696</v>
      </c>
      <c r="I1183" s="112">
        <v>0</v>
      </c>
      <c r="J1183" s="112">
        <v>0</v>
      </c>
      <c r="K1183" s="23">
        <f t="shared" si="161"/>
        <v>0.29166666666666702</v>
      </c>
      <c r="L1183" s="23">
        <f t="shared" si="162"/>
        <v>0</v>
      </c>
      <c r="M1183" s="12">
        <f t="shared" si="167"/>
        <v>0.29166666666666702</v>
      </c>
      <c r="N1183" s="23">
        <f t="shared" si="163"/>
        <v>0.66666666666666696</v>
      </c>
      <c r="O1183" s="41">
        <f t="shared" si="164"/>
        <v>0</v>
      </c>
      <c r="P1183" s="13" t="str">
        <f t="shared" si="165"/>
        <v>SI</v>
      </c>
      <c r="Q1183" s="23">
        <f t="shared" si="166"/>
        <v>0.29166666666666702</v>
      </c>
      <c r="R1183" s="12">
        <f t="shared" si="166"/>
        <v>0.66666666666666696</v>
      </c>
    </row>
    <row r="1184" spans="2:18">
      <c r="B1184" t="str">
        <f t="shared" si="160"/>
        <v>YORMAN ALEJANDRO PEREZ CHAJON46284</v>
      </c>
      <c r="C1184" t="s">
        <v>13</v>
      </c>
      <c r="D1184" s="121">
        <v>46284</v>
      </c>
      <c r="E1184" t="s">
        <v>96</v>
      </c>
      <c r="F1184" t="s">
        <v>35</v>
      </c>
      <c r="G1184" s="122">
        <v>0.29166666666666702</v>
      </c>
      <c r="H1184" s="122">
        <v>0.5</v>
      </c>
      <c r="I1184" s="112">
        <v>0</v>
      </c>
      <c r="J1184" s="112">
        <v>0</v>
      </c>
      <c r="K1184" s="23">
        <f t="shared" si="161"/>
        <v>0.29166666666666702</v>
      </c>
      <c r="L1184" s="23">
        <f t="shared" si="162"/>
        <v>0</v>
      </c>
      <c r="M1184" s="12">
        <f t="shared" si="167"/>
        <v>0.29166666666666702</v>
      </c>
      <c r="N1184" s="23">
        <f t="shared" si="163"/>
        <v>0.5</v>
      </c>
      <c r="O1184" s="41">
        <f t="shared" si="164"/>
        <v>0</v>
      </c>
      <c r="P1184" s="13" t="str">
        <f t="shared" si="165"/>
        <v>SI</v>
      </c>
      <c r="Q1184" s="23">
        <f t="shared" si="166"/>
        <v>0.29166666666666702</v>
      </c>
      <c r="R1184" s="12">
        <f t="shared" si="166"/>
        <v>0.5</v>
      </c>
    </row>
    <row r="1185" spans="2:18">
      <c r="B1185" t="str">
        <f t="shared" si="160"/>
        <v>YORMAN ALEJANDRO PEREZ CHAJON46285</v>
      </c>
      <c r="C1185" t="s">
        <v>13</v>
      </c>
      <c r="D1185" s="121">
        <v>46285</v>
      </c>
      <c r="E1185" t="s">
        <v>97</v>
      </c>
      <c r="F1185" t="s">
        <v>72</v>
      </c>
      <c r="G1185" s="122">
        <v>0</v>
      </c>
      <c r="H1185" s="122">
        <v>0</v>
      </c>
      <c r="I1185" s="112">
        <v>0</v>
      </c>
      <c r="J1185" s="112">
        <v>0</v>
      </c>
      <c r="K1185" s="23">
        <f t="shared" si="161"/>
        <v>0</v>
      </c>
      <c r="L1185" s="23">
        <f t="shared" si="162"/>
        <v>0</v>
      </c>
      <c r="M1185" s="12">
        <f t="shared" si="167"/>
        <v>0</v>
      </c>
      <c r="N1185" s="23">
        <f t="shared" si="163"/>
        <v>0</v>
      </c>
      <c r="O1185" s="41">
        <f t="shared" si="164"/>
        <v>0</v>
      </c>
      <c r="P1185" s="13" t="str">
        <f t="shared" si="165"/>
        <v>NO</v>
      </c>
      <c r="Q1185" s="23">
        <f t="shared" si="166"/>
        <v>0</v>
      </c>
      <c r="R1185" s="12">
        <f t="shared" si="166"/>
        <v>0</v>
      </c>
    </row>
    <row r="1186" spans="2:18">
      <c r="B1186" t="str">
        <f t="shared" si="160"/>
        <v>YORMAN ALEJANDRO PEREZ CHAJON46286</v>
      </c>
      <c r="C1186" t="s">
        <v>13</v>
      </c>
      <c r="D1186" s="121">
        <v>46286</v>
      </c>
      <c r="E1186" t="s">
        <v>98</v>
      </c>
      <c r="F1186" t="s">
        <v>36</v>
      </c>
      <c r="G1186" s="122">
        <v>0.79166666666666696</v>
      </c>
      <c r="H1186" s="122">
        <v>0.20833333333333301</v>
      </c>
      <c r="I1186" s="112">
        <v>0</v>
      </c>
      <c r="J1186" s="112">
        <v>0</v>
      </c>
      <c r="K1186" s="23">
        <f t="shared" si="161"/>
        <v>0.79166666666666696</v>
      </c>
      <c r="L1186" s="23">
        <f t="shared" si="162"/>
        <v>0</v>
      </c>
      <c r="M1186" s="12">
        <f t="shared" si="167"/>
        <v>0.79166666666666696</v>
      </c>
      <c r="N1186" s="23">
        <f t="shared" si="163"/>
        <v>0.20833333333333301</v>
      </c>
      <c r="O1186" s="41">
        <f t="shared" si="164"/>
        <v>0</v>
      </c>
      <c r="P1186" s="13" t="str">
        <f t="shared" si="165"/>
        <v>SI</v>
      </c>
      <c r="Q1186" s="23">
        <f t="shared" si="166"/>
        <v>0.79166666666666696</v>
      </c>
      <c r="R1186" s="12">
        <f t="shared" si="166"/>
        <v>0.20833333333333301</v>
      </c>
    </row>
    <row r="1187" spans="2:18">
      <c r="B1187" t="str">
        <f t="shared" si="160"/>
        <v>YORMAN ALEJANDRO PEREZ CHAJON46287</v>
      </c>
      <c r="C1187" t="s">
        <v>13</v>
      </c>
      <c r="D1187" s="121">
        <v>46287</v>
      </c>
      <c r="E1187" t="s">
        <v>99</v>
      </c>
      <c r="F1187" t="s">
        <v>36</v>
      </c>
      <c r="G1187" s="122">
        <v>0.79166666666666696</v>
      </c>
      <c r="H1187" s="122">
        <v>0.20833333333333301</v>
      </c>
      <c r="I1187" s="112">
        <v>0</v>
      </c>
      <c r="J1187" s="112">
        <v>0</v>
      </c>
      <c r="K1187" s="23">
        <f t="shared" si="161"/>
        <v>0.79166666666666696</v>
      </c>
      <c r="L1187" s="23">
        <f t="shared" si="162"/>
        <v>0</v>
      </c>
      <c r="M1187" s="12">
        <f t="shared" si="167"/>
        <v>0.79166666666666696</v>
      </c>
      <c r="N1187" s="23">
        <f t="shared" si="163"/>
        <v>0.20833333333333301</v>
      </c>
      <c r="O1187" s="41">
        <f t="shared" si="164"/>
        <v>0</v>
      </c>
      <c r="P1187" s="13" t="str">
        <f t="shared" si="165"/>
        <v>SI</v>
      </c>
      <c r="Q1187" s="23">
        <f t="shared" si="166"/>
        <v>0.79166666666666696</v>
      </c>
      <c r="R1187" s="12">
        <f t="shared" si="166"/>
        <v>0.20833333333333301</v>
      </c>
    </row>
    <row r="1188" spans="2:18">
      <c r="B1188" t="str">
        <f t="shared" si="160"/>
        <v>YORMAN ALEJANDRO PEREZ CHAJON46288</v>
      </c>
      <c r="C1188" t="s">
        <v>13</v>
      </c>
      <c r="D1188" s="121">
        <v>46288</v>
      </c>
      <c r="E1188" t="s">
        <v>100</v>
      </c>
      <c r="F1188" t="s">
        <v>36</v>
      </c>
      <c r="G1188" s="122">
        <v>0.79166666666666696</v>
      </c>
      <c r="H1188" s="122">
        <v>0.20833333333333301</v>
      </c>
      <c r="I1188" s="112">
        <v>0</v>
      </c>
      <c r="J1188" s="112">
        <v>0</v>
      </c>
      <c r="K1188" s="23">
        <f t="shared" si="161"/>
        <v>0.79166666666666696</v>
      </c>
      <c r="L1188" s="23">
        <f t="shared" si="162"/>
        <v>0</v>
      </c>
      <c r="M1188" s="12">
        <f t="shared" si="167"/>
        <v>0.79166666666666696</v>
      </c>
      <c r="N1188" s="23">
        <f t="shared" si="163"/>
        <v>0.20833333333333301</v>
      </c>
      <c r="O1188" s="41">
        <f t="shared" si="164"/>
        <v>0</v>
      </c>
      <c r="P1188" s="13" t="str">
        <f t="shared" si="165"/>
        <v>SI</v>
      </c>
      <c r="Q1188" s="23">
        <f t="shared" si="166"/>
        <v>0.79166666666666696</v>
      </c>
      <c r="R1188" s="12">
        <f t="shared" si="166"/>
        <v>0.20833333333333301</v>
      </c>
    </row>
    <row r="1189" spans="2:18">
      <c r="B1189" t="str">
        <f t="shared" si="160"/>
        <v>YORMAN ALEJANDRO PEREZ CHAJON46289</v>
      </c>
      <c r="C1189" t="s">
        <v>13</v>
      </c>
      <c r="D1189" s="121">
        <v>46289</v>
      </c>
      <c r="E1189" t="s">
        <v>101</v>
      </c>
      <c r="F1189" t="s">
        <v>36</v>
      </c>
      <c r="G1189" s="122">
        <v>0.79166666666666696</v>
      </c>
      <c r="H1189" s="122">
        <v>0.20833333333333301</v>
      </c>
      <c r="I1189" s="112">
        <v>0</v>
      </c>
      <c r="J1189" s="112">
        <v>0</v>
      </c>
      <c r="K1189" s="23">
        <f t="shared" si="161"/>
        <v>0.79166666666666696</v>
      </c>
      <c r="L1189" s="23">
        <f t="shared" si="162"/>
        <v>0</v>
      </c>
      <c r="M1189" s="12">
        <f t="shared" si="167"/>
        <v>0.79166666666666696</v>
      </c>
      <c r="N1189" s="23">
        <f t="shared" si="163"/>
        <v>0.20833333333333301</v>
      </c>
      <c r="O1189" s="41">
        <f t="shared" si="164"/>
        <v>0</v>
      </c>
      <c r="P1189" s="13" t="str">
        <f t="shared" si="165"/>
        <v>SI</v>
      </c>
      <c r="Q1189" s="23">
        <f t="shared" si="166"/>
        <v>0.79166666666666696</v>
      </c>
      <c r="R1189" s="12">
        <f t="shared" si="166"/>
        <v>0.20833333333333301</v>
      </c>
    </row>
    <row r="1190" spans="2:18">
      <c r="B1190" t="str">
        <f t="shared" si="160"/>
        <v>YORMAN ALEJANDRO PEREZ CHAJON46290</v>
      </c>
      <c r="C1190" t="s">
        <v>13</v>
      </c>
      <c r="D1190" s="121">
        <v>46290</v>
      </c>
      <c r="E1190" t="s">
        <v>95</v>
      </c>
      <c r="F1190" t="s">
        <v>36</v>
      </c>
      <c r="G1190" s="122">
        <v>0.79166666666666696</v>
      </c>
      <c r="H1190" s="122">
        <v>0.20833333333333301</v>
      </c>
      <c r="I1190" s="112">
        <v>0</v>
      </c>
      <c r="J1190" s="112">
        <v>0</v>
      </c>
      <c r="K1190" s="23">
        <f t="shared" si="161"/>
        <v>0.79166666666666696</v>
      </c>
      <c r="L1190" s="23">
        <f t="shared" si="162"/>
        <v>0</v>
      </c>
      <c r="M1190" s="12">
        <f t="shared" si="167"/>
        <v>0.79166666666666696</v>
      </c>
      <c r="N1190" s="23">
        <f t="shared" si="163"/>
        <v>0.20833333333333301</v>
      </c>
      <c r="O1190" s="41">
        <f t="shared" si="164"/>
        <v>0</v>
      </c>
      <c r="P1190" s="13" t="str">
        <f t="shared" si="165"/>
        <v>SI</v>
      </c>
      <c r="Q1190" s="23">
        <f t="shared" si="166"/>
        <v>0.79166666666666696</v>
      </c>
      <c r="R1190" s="12">
        <f t="shared" si="166"/>
        <v>0.20833333333333301</v>
      </c>
    </row>
    <row r="1191" spans="2:18">
      <c r="B1191" t="str">
        <f t="shared" si="160"/>
        <v>YORMAN ALEJANDRO PEREZ CHAJON46291</v>
      </c>
      <c r="C1191" t="s">
        <v>13</v>
      </c>
      <c r="D1191" s="121">
        <v>46291</v>
      </c>
      <c r="E1191" t="s">
        <v>96</v>
      </c>
      <c r="F1191" t="s">
        <v>72</v>
      </c>
      <c r="G1191" s="122">
        <v>0</v>
      </c>
      <c r="H1191" s="122">
        <v>0</v>
      </c>
      <c r="I1191" s="112">
        <v>0</v>
      </c>
      <c r="J1191" s="112">
        <v>0</v>
      </c>
      <c r="K1191" s="23">
        <f t="shared" si="161"/>
        <v>0</v>
      </c>
      <c r="L1191" s="23">
        <f t="shared" si="162"/>
        <v>0</v>
      </c>
      <c r="M1191" s="12">
        <f t="shared" si="167"/>
        <v>0</v>
      </c>
      <c r="N1191" s="23">
        <f t="shared" si="163"/>
        <v>0</v>
      </c>
      <c r="O1191" s="41">
        <f t="shared" si="164"/>
        <v>0</v>
      </c>
      <c r="P1191" s="13" t="str">
        <f t="shared" si="165"/>
        <v>NO</v>
      </c>
      <c r="Q1191" s="23">
        <f t="shared" si="166"/>
        <v>0</v>
      </c>
      <c r="R1191" s="12">
        <f t="shared" si="166"/>
        <v>0</v>
      </c>
    </row>
    <row r="1192" spans="2:18">
      <c r="B1192" t="str">
        <f t="shared" si="160"/>
        <v>YORMAN ALEJANDRO PEREZ CHAJON46292</v>
      </c>
      <c r="C1192" t="s">
        <v>13</v>
      </c>
      <c r="D1192" s="121">
        <v>46292</v>
      </c>
      <c r="E1192" t="s">
        <v>97</v>
      </c>
      <c r="F1192" t="s">
        <v>72</v>
      </c>
      <c r="G1192" s="122">
        <v>0</v>
      </c>
      <c r="H1192" s="122">
        <v>0</v>
      </c>
      <c r="I1192" s="112">
        <v>0</v>
      </c>
      <c r="J1192" s="112">
        <v>0</v>
      </c>
      <c r="K1192" s="23">
        <f t="shared" si="161"/>
        <v>0</v>
      </c>
      <c r="L1192" s="23">
        <f t="shared" si="162"/>
        <v>0</v>
      </c>
      <c r="M1192" s="12">
        <f t="shared" si="167"/>
        <v>0</v>
      </c>
      <c r="N1192" s="23">
        <f t="shared" si="163"/>
        <v>0</v>
      </c>
      <c r="O1192" s="41">
        <f t="shared" si="164"/>
        <v>0</v>
      </c>
      <c r="P1192" s="13" t="str">
        <f t="shared" si="165"/>
        <v>NO</v>
      </c>
      <c r="Q1192" s="23">
        <f t="shared" si="166"/>
        <v>0</v>
      </c>
      <c r="R1192" s="12">
        <f t="shared" si="166"/>
        <v>0</v>
      </c>
    </row>
    <row r="1193" spans="2:18">
      <c r="B1193" t="str">
        <f t="shared" si="160"/>
        <v>YORMAN ALEJANDRO PEREZ CHAJON46293</v>
      </c>
      <c r="C1193" t="s">
        <v>13</v>
      </c>
      <c r="D1193" s="121">
        <v>46293</v>
      </c>
      <c r="E1193" t="s">
        <v>98</v>
      </c>
      <c r="F1193" t="s">
        <v>35</v>
      </c>
      <c r="G1193" s="122">
        <v>0.29166666666666702</v>
      </c>
      <c r="H1193" s="122">
        <v>0.66666666666666696</v>
      </c>
      <c r="I1193" s="112">
        <v>0</v>
      </c>
      <c r="J1193" s="112">
        <v>0</v>
      </c>
      <c r="K1193" s="23">
        <f t="shared" si="161"/>
        <v>0.29166666666666702</v>
      </c>
      <c r="L1193" s="23">
        <f t="shared" si="162"/>
        <v>0</v>
      </c>
      <c r="M1193" s="12">
        <f t="shared" si="167"/>
        <v>0.29166666666666702</v>
      </c>
      <c r="N1193" s="23">
        <f t="shared" si="163"/>
        <v>0.66666666666666696</v>
      </c>
      <c r="O1193" s="41">
        <f t="shared" si="164"/>
        <v>0</v>
      </c>
      <c r="P1193" s="13" t="str">
        <f t="shared" si="165"/>
        <v>SI</v>
      </c>
      <c r="Q1193" s="23">
        <f t="shared" si="166"/>
        <v>0.29166666666666702</v>
      </c>
      <c r="R1193" s="12">
        <f t="shared" si="166"/>
        <v>0.66666666666666696</v>
      </c>
    </row>
    <row r="1194" spans="2:18">
      <c r="B1194" t="str">
        <f t="shared" si="160"/>
        <v>YORMAN ALEJANDRO PEREZ CHAJON46294</v>
      </c>
      <c r="C1194" t="s">
        <v>13</v>
      </c>
      <c r="D1194" s="121">
        <v>46294</v>
      </c>
      <c r="E1194" t="s">
        <v>99</v>
      </c>
      <c r="F1194" t="s">
        <v>35</v>
      </c>
      <c r="G1194" s="122">
        <v>0.29166666666666702</v>
      </c>
      <c r="H1194" s="122">
        <v>0.66666666666666696</v>
      </c>
      <c r="I1194" s="112">
        <v>0</v>
      </c>
      <c r="J1194" s="112">
        <v>0</v>
      </c>
      <c r="K1194" s="23">
        <f t="shared" si="161"/>
        <v>0.29166666666666702</v>
      </c>
      <c r="L1194" s="23">
        <f t="shared" si="162"/>
        <v>0</v>
      </c>
      <c r="M1194" s="12">
        <f t="shared" si="167"/>
        <v>0.29166666666666702</v>
      </c>
      <c r="N1194" s="23">
        <f t="shared" si="163"/>
        <v>0.66666666666666696</v>
      </c>
      <c r="O1194" s="41">
        <f t="shared" si="164"/>
        <v>0</v>
      </c>
      <c r="P1194" s="13" t="str">
        <f t="shared" si="165"/>
        <v>SI</v>
      </c>
      <c r="Q1194" s="23">
        <f t="shared" si="166"/>
        <v>0.29166666666666702</v>
      </c>
      <c r="R1194" s="12">
        <f t="shared" si="166"/>
        <v>0.66666666666666696</v>
      </c>
    </row>
    <row r="1195" spans="2:18">
      <c r="B1195" t="str">
        <f t="shared" si="160"/>
        <v>YORMAN ALEJANDRO PEREZ CHAJON46295</v>
      </c>
      <c r="C1195" t="s">
        <v>13</v>
      </c>
      <c r="D1195" s="121">
        <v>46295</v>
      </c>
      <c r="E1195" t="s">
        <v>100</v>
      </c>
      <c r="F1195" t="s">
        <v>35</v>
      </c>
      <c r="G1195" s="122">
        <v>0.29166666666666702</v>
      </c>
      <c r="H1195" s="122">
        <v>0.66666666666666696</v>
      </c>
      <c r="I1195" s="112">
        <v>0</v>
      </c>
      <c r="J1195" s="112">
        <v>0</v>
      </c>
      <c r="K1195" s="23">
        <f t="shared" si="161"/>
        <v>0.29166666666666702</v>
      </c>
      <c r="L1195" s="23">
        <f t="shared" si="162"/>
        <v>0</v>
      </c>
      <c r="M1195" s="12">
        <f t="shared" si="167"/>
        <v>0.29166666666666702</v>
      </c>
      <c r="N1195" s="23">
        <f t="shared" si="163"/>
        <v>0.66666666666666696</v>
      </c>
      <c r="O1195" s="41">
        <f t="shared" si="164"/>
        <v>0</v>
      </c>
      <c r="P1195" s="13" t="str">
        <f t="shared" si="165"/>
        <v>SI</v>
      </c>
      <c r="Q1195" s="23">
        <f t="shared" si="166"/>
        <v>0.29166666666666702</v>
      </c>
      <c r="R1195" s="12">
        <f t="shared" si="166"/>
        <v>0.66666666666666696</v>
      </c>
    </row>
    <row r="1196" spans="2:18">
      <c r="B1196" t="str">
        <f t="shared" si="160"/>
        <v>YORMAN ALEJANDRO PEREZ CHAJON46296</v>
      </c>
      <c r="C1196" t="s">
        <v>13</v>
      </c>
      <c r="D1196" s="121">
        <v>46296</v>
      </c>
      <c r="E1196" t="s">
        <v>101</v>
      </c>
      <c r="F1196" t="s">
        <v>35</v>
      </c>
      <c r="G1196" s="122">
        <v>0.375</v>
      </c>
      <c r="H1196" s="122">
        <v>0.75</v>
      </c>
      <c r="I1196" s="112">
        <v>0</v>
      </c>
      <c r="J1196" s="112">
        <v>0</v>
      </c>
      <c r="K1196" s="23">
        <f t="shared" si="161"/>
        <v>0.375</v>
      </c>
      <c r="L1196" s="23">
        <f t="shared" si="162"/>
        <v>0</v>
      </c>
      <c r="M1196" s="12">
        <f t="shared" si="167"/>
        <v>0.375</v>
      </c>
      <c r="N1196" s="23">
        <f t="shared" si="163"/>
        <v>0.75</v>
      </c>
      <c r="O1196" s="41">
        <f t="shared" si="164"/>
        <v>0</v>
      </c>
      <c r="P1196" s="13" t="str">
        <f t="shared" si="165"/>
        <v>SI</v>
      </c>
      <c r="Q1196" s="23">
        <f t="shared" si="166"/>
        <v>0.375</v>
      </c>
      <c r="R1196" s="12">
        <f t="shared" si="166"/>
        <v>0.75</v>
      </c>
    </row>
    <row r="1197" spans="2:18">
      <c r="B1197" t="str">
        <f t="shared" si="160"/>
        <v>YORMAN ALEJANDRO PEREZ CHAJON46297</v>
      </c>
      <c r="C1197" t="s">
        <v>13</v>
      </c>
      <c r="D1197" s="121">
        <v>46297</v>
      </c>
      <c r="E1197" t="s">
        <v>95</v>
      </c>
      <c r="F1197" t="s">
        <v>35</v>
      </c>
      <c r="G1197" s="122">
        <v>0.29166666666666702</v>
      </c>
      <c r="H1197" s="122">
        <v>0.66666666666666696</v>
      </c>
      <c r="I1197" s="112">
        <v>0</v>
      </c>
      <c r="J1197" s="112">
        <v>0</v>
      </c>
      <c r="K1197" s="23">
        <f t="shared" si="161"/>
        <v>0.29166666666666702</v>
      </c>
      <c r="L1197" s="23">
        <f t="shared" si="162"/>
        <v>0</v>
      </c>
      <c r="M1197" s="12">
        <f t="shared" si="167"/>
        <v>0.29166666666666702</v>
      </c>
      <c r="N1197" s="23">
        <f t="shared" si="163"/>
        <v>0.66666666666666696</v>
      </c>
      <c r="O1197" s="41">
        <f t="shared" si="164"/>
        <v>0</v>
      </c>
      <c r="P1197" s="13" t="str">
        <f t="shared" si="165"/>
        <v>SI</v>
      </c>
      <c r="Q1197" s="23">
        <f t="shared" si="166"/>
        <v>0.29166666666666702</v>
      </c>
      <c r="R1197" s="12">
        <f t="shared" si="166"/>
        <v>0.66666666666666696</v>
      </c>
    </row>
    <row r="1198" spans="2:18">
      <c r="B1198" t="str">
        <f t="shared" si="160"/>
        <v>YORMAN ALEJANDRO PEREZ CHAJON46298</v>
      </c>
      <c r="C1198" t="s">
        <v>13</v>
      </c>
      <c r="D1198" s="121">
        <v>46298</v>
      </c>
      <c r="E1198" t="s">
        <v>96</v>
      </c>
      <c r="F1198" t="s">
        <v>35</v>
      </c>
      <c r="G1198" s="122">
        <v>0.29166666666666702</v>
      </c>
      <c r="H1198" s="122">
        <v>0.5</v>
      </c>
      <c r="I1198" s="112">
        <v>0</v>
      </c>
      <c r="J1198" s="112">
        <v>0</v>
      </c>
      <c r="K1198" s="23">
        <f t="shared" si="161"/>
        <v>0.29166666666666702</v>
      </c>
      <c r="L1198" s="23">
        <f t="shared" si="162"/>
        <v>0</v>
      </c>
      <c r="M1198" s="12">
        <f t="shared" si="167"/>
        <v>0.29166666666666702</v>
      </c>
      <c r="N1198" s="23">
        <f t="shared" si="163"/>
        <v>0.5</v>
      </c>
      <c r="O1198" s="41">
        <f t="shared" si="164"/>
        <v>0</v>
      </c>
      <c r="P1198" s="13" t="str">
        <f t="shared" si="165"/>
        <v>SI</v>
      </c>
      <c r="Q1198" s="23">
        <f t="shared" si="166"/>
        <v>0.29166666666666702</v>
      </c>
      <c r="R1198" s="12">
        <f t="shared" si="166"/>
        <v>0.5</v>
      </c>
    </row>
    <row r="1199" spans="2:18">
      <c r="B1199" t="str">
        <f t="shared" si="160"/>
        <v>YORMAN ALEJANDRO PEREZ CHAJON46299</v>
      </c>
      <c r="C1199" t="s">
        <v>13</v>
      </c>
      <c r="D1199" s="121">
        <v>46299</v>
      </c>
      <c r="E1199" t="s">
        <v>97</v>
      </c>
      <c r="F1199" t="s">
        <v>72</v>
      </c>
      <c r="G1199" s="122">
        <v>0</v>
      </c>
      <c r="H1199" s="122">
        <v>0</v>
      </c>
      <c r="I1199" s="112">
        <v>0</v>
      </c>
      <c r="J1199" s="112">
        <v>0</v>
      </c>
      <c r="K1199" s="23">
        <f t="shared" si="161"/>
        <v>0</v>
      </c>
      <c r="L1199" s="23">
        <f t="shared" si="162"/>
        <v>0</v>
      </c>
      <c r="M1199" s="12">
        <f t="shared" si="167"/>
        <v>0</v>
      </c>
      <c r="N1199" s="23">
        <f t="shared" si="163"/>
        <v>0</v>
      </c>
      <c r="O1199" s="41">
        <f t="shared" si="164"/>
        <v>0</v>
      </c>
      <c r="P1199" s="13" t="str">
        <f t="shared" si="165"/>
        <v>NO</v>
      </c>
      <c r="Q1199" s="23">
        <f t="shared" si="166"/>
        <v>0</v>
      </c>
      <c r="R1199" s="12">
        <f t="shared" si="166"/>
        <v>0</v>
      </c>
    </row>
    <row r="1200" spans="2:18">
      <c r="B1200" t="str">
        <f t="shared" si="160"/>
        <v>kenneth Eduardo otzin López46279</v>
      </c>
      <c r="C1200" t="s">
        <v>233</v>
      </c>
      <c r="D1200" s="121">
        <v>46279</v>
      </c>
      <c r="E1200" t="s">
        <v>98</v>
      </c>
      <c r="F1200" t="s">
        <v>72</v>
      </c>
      <c r="G1200" s="122">
        <v>0</v>
      </c>
      <c r="H1200" s="122">
        <v>0</v>
      </c>
      <c r="I1200" s="112">
        <v>0</v>
      </c>
      <c r="J1200" s="112">
        <v>0</v>
      </c>
      <c r="K1200" s="23">
        <f t="shared" si="161"/>
        <v>0</v>
      </c>
      <c r="L1200" s="23">
        <f t="shared" si="162"/>
        <v>0</v>
      </c>
      <c r="M1200" s="12">
        <f t="shared" si="167"/>
        <v>0</v>
      </c>
      <c r="N1200" s="23">
        <f t="shared" si="163"/>
        <v>0</v>
      </c>
      <c r="O1200" s="41">
        <f t="shared" si="164"/>
        <v>0</v>
      </c>
      <c r="P1200" s="13" t="str">
        <f t="shared" si="165"/>
        <v>NO</v>
      </c>
      <c r="Q1200" s="23">
        <f t="shared" si="166"/>
        <v>0</v>
      </c>
      <c r="R1200" s="12">
        <f t="shared" si="166"/>
        <v>0</v>
      </c>
    </row>
    <row r="1201" spans="2:18">
      <c r="B1201" t="str">
        <f t="shared" si="160"/>
        <v>kenneth Eduardo otzin López46280</v>
      </c>
      <c r="C1201" t="s">
        <v>233</v>
      </c>
      <c r="D1201" s="121">
        <v>46280</v>
      </c>
      <c r="E1201" t="s">
        <v>99</v>
      </c>
      <c r="F1201" t="s">
        <v>35</v>
      </c>
      <c r="G1201" s="122">
        <v>0.33333333333333298</v>
      </c>
      <c r="H1201" s="122">
        <v>0.70833333333333304</v>
      </c>
      <c r="I1201" s="112">
        <v>0</v>
      </c>
      <c r="J1201" s="112">
        <v>0</v>
      </c>
      <c r="K1201" s="23">
        <f t="shared" si="161"/>
        <v>0.33333333333333298</v>
      </c>
      <c r="L1201" s="23">
        <f t="shared" si="162"/>
        <v>0</v>
      </c>
      <c r="M1201" s="12">
        <f t="shared" si="167"/>
        <v>0.33333333333333298</v>
      </c>
      <c r="N1201" s="23">
        <f t="shared" si="163"/>
        <v>0.70833333333333304</v>
      </c>
      <c r="O1201" s="41">
        <f t="shared" si="164"/>
        <v>0</v>
      </c>
      <c r="P1201" s="13" t="str">
        <f t="shared" si="165"/>
        <v>SI</v>
      </c>
      <c r="Q1201" s="23">
        <f t="shared" si="166"/>
        <v>0.33333333333333298</v>
      </c>
      <c r="R1201" s="12">
        <f t="shared" si="166"/>
        <v>0.70833333333333304</v>
      </c>
    </row>
    <row r="1202" spans="2:18">
      <c r="B1202" t="str">
        <f t="shared" si="160"/>
        <v>kenneth Eduardo otzin López46281</v>
      </c>
      <c r="C1202" t="s">
        <v>233</v>
      </c>
      <c r="D1202" s="121">
        <v>46281</v>
      </c>
      <c r="E1202" t="s">
        <v>100</v>
      </c>
      <c r="F1202" t="s">
        <v>36</v>
      </c>
      <c r="G1202" s="122">
        <v>0.75</v>
      </c>
      <c r="H1202" s="122">
        <v>0.25</v>
      </c>
      <c r="I1202" s="112">
        <v>0</v>
      </c>
      <c r="J1202" s="112">
        <v>0</v>
      </c>
      <c r="K1202" s="23">
        <f t="shared" si="161"/>
        <v>0.75</v>
      </c>
      <c r="L1202" s="23">
        <f t="shared" si="162"/>
        <v>0</v>
      </c>
      <c r="M1202" s="12">
        <f t="shared" si="167"/>
        <v>0.75</v>
      </c>
      <c r="N1202" s="23">
        <f t="shared" si="163"/>
        <v>0.25</v>
      </c>
      <c r="O1202" s="41">
        <f t="shared" si="164"/>
        <v>0</v>
      </c>
      <c r="P1202" s="13" t="str">
        <f t="shared" si="165"/>
        <v>SI</v>
      </c>
      <c r="Q1202" s="23">
        <f t="shared" si="166"/>
        <v>0.75</v>
      </c>
      <c r="R1202" s="12">
        <f t="shared" si="166"/>
        <v>0.25</v>
      </c>
    </row>
    <row r="1203" spans="2:18">
      <c r="B1203" t="str">
        <f t="shared" si="160"/>
        <v>kenneth Eduardo otzin López46282</v>
      </c>
      <c r="C1203" t="s">
        <v>233</v>
      </c>
      <c r="D1203" s="121">
        <v>46282</v>
      </c>
      <c r="E1203" t="s">
        <v>101</v>
      </c>
      <c r="F1203" t="s">
        <v>36</v>
      </c>
      <c r="G1203" s="122">
        <v>0.75</v>
      </c>
      <c r="H1203" s="122">
        <v>0.25</v>
      </c>
      <c r="I1203" s="112">
        <v>0</v>
      </c>
      <c r="J1203" s="112">
        <v>0</v>
      </c>
      <c r="K1203" s="23">
        <f t="shared" si="161"/>
        <v>0.75</v>
      </c>
      <c r="L1203" s="23">
        <f t="shared" si="162"/>
        <v>0</v>
      </c>
      <c r="M1203" s="12">
        <f t="shared" si="167"/>
        <v>0.75</v>
      </c>
      <c r="N1203" s="23">
        <f t="shared" si="163"/>
        <v>0.25</v>
      </c>
      <c r="O1203" s="41">
        <f t="shared" si="164"/>
        <v>0</v>
      </c>
      <c r="P1203" s="13" t="str">
        <f t="shared" si="165"/>
        <v>SI</v>
      </c>
      <c r="Q1203" s="23">
        <f t="shared" si="166"/>
        <v>0.75</v>
      </c>
      <c r="R1203" s="12">
        <f t="shared" si="166"/>
        <v>0.25</v>
      </c>
    </row>
    <row r="1204" spans="2:18">
      <c r="B1204" t="str">
        <f t="shared" si="160"/>
        <v>kenneth Eduardo otzin López46283</v>
      </c>
      <c r="C1204" t="s">
        <v>233</v>
      </c>
      <c r="D1204" s="121">
        <v>46283</v>
      </c>
      <c r="E1204" t="s">
        <v>95</v>
      </c>
      <c r="F1204" t="s">
        <v>36</v>
      </c>
      <c r="G1204" s="122">
        <v>0.75</v>
      </c>
      <c r="H1204" s="122">
        <v>0.25</v>
      </c>
      <c r="I1204" s="112">
        <v>0</v>
      </c>
      <c r="J1204" s="112">
        <v>0</v>
      </c>
      <c r="K1204" s="23">
        <f t="shared" si="161"/>
        <v>0.75</v>
      </c>
      <c r="L1204" s="23">
        <f t="shared" si="162"/>
        <v>0</v>
      </c>
      <c r="M1204" s="12">
        <f t="shared" si="167"/>
        <v>0.75</v>
      </c>
      <c r="N1204" s="23">
        <f t="shared" si="163"/>
        <v>0.25</v>
      </c>
      <c r="O1204" s="41">
        <f t="shared" si="164"/>
        <v>0</v>
      </c>
      <c r="P1204" s="13" t="str">
        <f t="shared" si="165"/>
        <v>SI</v>
      </c>
      <c r="Q1204" s="23">
        <f t="shared" si="166"/>
        <v>0.75</v>
      </c>
      <c r="R1204" s="12">
        <f t="shared" si="166"/>
        <v>0.25</v>
      </c>
    </row>
    <row r="1205" spans="2:18">
      <c r="B1205" t="str">
        <f t="shared" si="160"/>
        <v>kenneth Eduardo otzin López46284</v>
      </c>
      <c r="C1205" t="s">
        <v>233</v>
      </c>
      <c r="D1205" s="121">
        <v>46284</v>
      </c>
      <c r="E1205" t="s">
        <v>96</v>
      </c>
      <c r="F1205" t="s">
        <v>36</v>
      </c>
      <c r="G1205" s="122">
        <v>0.75</v>
      </c>
      <c r="H1205" s="122">
        <v>0.25</v>
      </c>
      <c r="I1205" s="112">
        <v>0</v>
      </c>
      <c r="J1205" s="112">
        <v>0</v>
      </c>
      <c r="K1205" s="23">
        <f t="shared" si="161"/>
        <v>0.75</v>
      </c>
      <c r="L1205" s="23">
        <f t="shared" si="162"/>
        <v>0</v>
      </c>
      <c r="M1205" s="12">
        <f t="shared" si="167"/>
        <v>0.75</v>
      </c>
      <c r="N1205" s="23">
        <f t="shared" si="163"/>
        <v>0.25</v>
      </c>
      <c r="O1205" s="41">
        <f t="shared" si="164"/>
        <v>0</v>
      </c>
      <c r="P1205" s="13" t="str">
        <f t="shared" si="165"/>
        <v>SI</v>
      </c>
      <c r="Q1205" s="23">
        <f t="shared" si="166"/>
        <v>0.75</v>
      </c>
      <c r="R1205" s="12">
        <f t="shared" si="166"/>
        <v>0.25</v>
      </c>
    </row>
    <row r="1206" spans="2:18">
      <c r="B1206" t="str">
        <f t="shared" si="160"/>
        <v>kenneth Eduardo otzin López46285</v>
      </c>
      <c r="C1206" t="s">
        <v>233</v>
      </c>
      <c r="D1206" s="121">
        <v>46285</v>
      </c>
      <c r="E1206" t="s">
        <v>97</v>
      </c>
      <c r="F1206" t="s">
        <v>72</v>
      </c>
      <c r="G1206" s="122">
        <v>0</v>
      </c>
      <c r="H1206" s="122">
        <v>0</v>
      </c>
      <c r="I1206" s="112">
        <v>0</v>
      </c>
      <c r="J1206" s="112">
        <v>0</v>
      </c>
      <c r="K1206" s="23">
        <f t="shared" si="161"/>
        <v>0</v>
      </c>
      <c r="L1206" s="23">
        <f t="shared" si="162"/>
        <v>0</v>
      </c>
      <c r="M1206" s="12">
        <f t="shared" si="167"/>
        <v>0</v>
      </c>
      <c r="N1206" s="23">
        <f t="shared" si="163"/>
        <v>0</v>
      </c>
      <c r="O1206" s="41">
        <f t="shared" si="164"/>
        <v>0</v>
      </c>
      <c r="P1206" s="13" t="str">
        <f t="shared" si="165"/>
        <v>NO</v>
      </c>
      <c r="Q1206" s="23">
        <f t="shared" si="166"/>
        <v>0</v>
      </c>
      <c r="R1206" s="12">
        <f t="shared" si="166"/>
        <v>0</v>
      </c>
    </row>
    <row r="1207" spans="2:18">
      <c r="B1207" t="str">
        <f t="shared" ref="B1207:B1270" si="168">+C1207&amp;D1207</f>
        <v>kenneth Eduardo otzin López46286</v>
      </c>
      <c r="C1207" t="s">
        <v>233</v>
      </c>
      <c r="D1207" s="121">
        <v>46286</v>
      </c>
      <c r="E1207" t="s">
        <v>98</v>
      </c>
      <c r="F1207" t="s">
        <v>35</v>
      </c>
      <c r="G1207" s="122">
        <v>0.25</v>
      </c>
      <c r="H1207" s="122">
        <v>0.75</v>
      </c>
      <c r="I1207" s="112">
        <v>0</v>
      </c>
      <c r="J1207" s="112">
        <v>0</v>
      </c>
      <c r="K1207" s="23">
        <f t="shared" ref="K1207:K1270" si="169">+IFERROR(G1207,0)</f>
        <v>0.25</v>
      </c>
      <c r="L1207" s="23">
        <f t="shared" ref="L1207:L1270" si="170">+I1207</f>
        <v>0</v>
      </c>
      <c r="M1207" s="12">
        <f t="shared" si="167"/>
        <v>0.25</v>
      </c>
      <c r="N1207" s="23">
        <f t="shared" ref="N1207:N1270" si="171">+H1207</f>
        <v>0.75</v>
      </c>
      <c r="O1207" s="41">
        <f t="shared" ref="O1207:O1270" si="172">+J1207</f>
        <v>0</v>
      </c>
      <c r="P1207" s="13" t="str">
        <f t="shared" ref="P1207:P1270" si="173">+IF(O1207&lt;N1207,"SI","NO")</f>
        <v>SI</v>
      </c>
      <c r="Q1207" s="23">
        <f t="shared" ref="Q1207:R1270" si="174">+M1207</f>
        <v>0.25</v>
      </c>
      <c r="R1207" s="12">
        <f t="shared" si="174"/>
        <v>0.75</v>
      </c>
    </row>
    <row r="1208" spans="2:18">
      <c r="B1208" t="str">
        <f t="shared" si="168"/>
        <v>kenneth Eduardo otzin López46287</v>
      </c>
      <c r="C1208" t="s">
        <v>233</v>
      </c>
      <c r="D1208" s="121">
        <v>46287</v>
      </c>
      <c r="E1208" t="s">
        <v>99</v>
      </c>
      <c r="F1208" t="s">
        <v>72</v>
      </c>
      <c r="G1208" s="122">
        <v>0</v>
      </c>
      <c r="H1208" s="122">
        <v>0</v>
      </c>
      <c r="I1208" s="112">
        <v>0</v>
      </c>
      <c r="J1208" s="112">
        <v>0</v>
      </c>
      <c r="K1208" s="23">
        <f t="shared" si="169"/>
        <v>0</v>
      </c>
      <c r="L1208" s="23">
        <f t="shared" si="170"/>
        <v>0</v>
      </c>
      <c r="M1208" s="12">
        <f t="shared" ref="M1208:M1271" si="175">+IFERROR(MAX(K1208:L1208),0)</f>
        <v>0</v>
      </c>
      <c r="N1208" s="23">
        <f t="shared" si="171"/>
        <v>0</v>
      </c>
      <c r="O1208" s="41">
        <f t="shared" si="172"/>
        <v>0</v>
      </c>
      <c r="P1208" s="13" t="str">
        <f t="shared" si="173"/>
        <v>NO</v>
      </c>
      <c r="Q1208" s="23">
        <f t="shared" si="174"/>
        <v>0</v>
      </c>
      <c r="R1208" s="12">
        <f t="shared" si="174"/>
        <v>0</v>
      </c>
    </row>
    <row r="1209" spans="2:18">
      <c r="B1209" t="str">
        <f t="shared" si="168"/>
        <v>kenneth Eduardo otzin López46288</v>
      </c>
      <c r="C1209" t="s">
        <v>233</v>
      </c>
      <c r="D1209" s="121">
        <v>46288</v>
      </c>
      <c r="E1209" t="s">
        <v>100</v>
      </c>
      <c r="F1209" t="s">
        <v>72</v>
      </c>
      <c r="G1209" s="122">
        <v>0</v>
      </c>
      <c r="H1209" s="122">
        <v>0</v>
      </c>
      <c r="I1209" s="112">
        <v>0</v>
      </c>
      <c r="J1209" s="112">
        <v>0</v>
      </c>
      <c r="K1209" s="23">
        <f t="shared" si="169"/>
        <v>0</v>
      </c>
      <c r="L1209" s="23">
        <f t="shared" si="170"/>
        <v>0</v>
      </c>
      <c r="M1209" s="12">
        <f t="shared" si="175"/>
        <v>0</v>
      </c>
      <c r="N1209" s="23">
        <f t="shared" si="171"/>
        <v>0</v>
      </c>
      <c r="O1209" s="41">
        <f t="shared" si="172"/>
        <v>0</v>
      </c>
      <c r="P1209" s="13" t="str">
        <f t="shared" si="173"/>
        <v>NO</v>
      </c>
      <c r="Q1209" s="23">
        <f t="shared" si="174"/>
        <v>0</v>
      </c>
      <c r="R1209" s="12">
        <f t="shared" si="174"/>
        <v>0</v>
      </c>
    </row>
    <row r="1210" spans="2:18">
      <c r="B1210" t="str">
        <f t="shared" si="168"/>
        <v>kenneth Eduardo otzin López46289</v>
      </c>
      <c r="C1210" t="s">
        <v>233</v>
      </c>
      <c r="D1210" s="121">
        <v>46289</v>
      </c>
      <c r="E1210" t="s">
        <v>101</v>
      </c>
      <c r="F1210" t="s">
        <v>35</v>
      </c>
      <c r="G1210" s="122">
        <v>0.33333333333333298</v>
      </c>
      <c r="H1210" s="122">
        <v>0.70833333333333304</v>
      </c>
      <c r="I1210" s="112">
        <v>0</v>
      </c>
      <c r="J1210" s="112">
        <v>0</v>
      </c>
      <c r="K1210" s="23">
        <f t="shared" si="169"/>
        <v>0.33333333333333298</v>
      </c>
      <c r="L1210" s="23">
        <f t="shared" si="170"/>
        <v>0</v>
      </c>
      <c r="M1210" s="12">
        <f t="shared" si="175"/>
        <v>0.33333333333333298</v>
      </c>
      <c r="N1210" s="23">
        <f t="shared" si="171"/>
        <v>0.70833333333333304</v>
      </c>
      <c r="O1210" s="41">
        <f t="shared" si="172"/>
        <v>0</v>
      </c>
      <c r="P1210" s="13" t="str">
        <f t="shared" si="173"/>
        <v>SI</v>
      </c>
      <c r="Q1210" s="23">
        <f t="shared" si="174"/>
        <v>0.33333333333333298</v>
      </c>
      <c r="R1210" s="12">
        <f t="shared" si="174"/>
        <v>0.70833333333333304</v>
      </c>
    </row>
    <row r="1211" spans="2:18">
      <c r="B1211" t="str">
        <f t="shared" si="168"/>
        <v>kenneth Eduardo otzin López46290</v>
      </c>
      <c r="C1211" t="s">
        <v>233</v>
      </c>
      <c r="D1211" s="121">
        <v>46290</v>
      </c>
      <c r="E1211" t="s">
        <v>95</v>
      </c>
      <c r="F1211" t="s">
        <v>35</v>
      </c>
      <c r="G1211" s="122">
        <v>0.25</v>
      </c>
      <c r="H1211" s="122">
        <v>0.75</v>
      </c>
      <c r="I1211" s="112">
        <v>0</v>
      </c>
      <c r="J1211" s="112">
        <v>0</v>
      </c>
      <c r="K1211" s="23">
        <f t="shared" si="169"/>
        <v>0.25</v>
      </c>
      <c r="L1211" s="23">
        <f t="shared" si="170"/>
        <v>0</v>
      </c>
      <c r="M1211" s="12">
        <f t="shared" si="175"/>
        <v>0.25</v>
      </c>
      <c r="N1211" s="23">
        <f t="shared" si="171"/>
        <v>0.75</v>
      </c>
      <c r="O1211" s="41">
        <f t="shared" si="172"/>
        <v>0</v>
      </c>
      <c r="P1211" s="13" t="str">
        <f t="shared" si="173"/>
        <v>SI</v>
      </c>
      <c r="Q1211" s="23">
        <f t="shared" si="174"/>
        <v>0.25</v>
      </c>
      <c r="R1211" s="12">
        <f t="shared" si="174"/>
        <v>0.75</v>
      </c>
    </row>
    <row r="1212" spans="2:18">
      <c r="B1212" t="str">
        <f t="shared" si="168"/>
        <v>kenneth Eduardo otzin López46291</v>
      </c>
      <c r="C1212" t="s">
        <v>233</v>
      </c>
      <c r="D1212" s="121">
        <v>46291</v>
      </c>
      <c r="E1212" t="s">
        <v>96</v>
      </c>
      <c r="F1212" t="s">
        <v>35</v>
      </c>
      <c r="G1212" s="122">
        <v>0.25</v>
      </c>
      <c r="H1212" s="122">
        <v>0.75</v>
      </c>
      <c r="I1212" s="112">
        <v>0</v>
      </c>
      <c r="J1212" s="112">
        <v>0</v>
      </c>
      <c r="K1212" s="23">
        <f t="shared" si="169"/>
        <v>0.25</v>
      </c>
      <c r="L1212" s="23">
        <f t="shared" si="170"/>
        <v>0</v>
      </c>
      <c r="M1212" s="12">
        <f t="shared" si="175"/>
        <v>0.25</v>
      </c>
      <c r="N1212" s="23">
        <f t="shared" si="171"/>
        <v>0.75</v>
      </c>
      <c r="O1212" s="41">
        <f t="shared" si="172"/>
        <v>0</v>
      </c>
      <c r="P1212" s="13" t="str">
        <f t="shared" si="173"/>
        <v>SI</v>
      </c>
      <c r="Q1212" s="23">
        <f t="shared" si="174"/>
        <v>0.25</v>
      </c>
      <c r="R1212" s="12">
        <f t="shared" si="174"/>
        <v>0.75</v>
      </c>
    </row>
    <row r="1213" spans="2:18">
      <c r="B1213" t="str">
        <f t="shared" si="168"/>
        <v>kenneth Eduardo otzin López46292</v>
      </c>
      <c r="C1213" t="s">
        <v>233</v>
      </c>
      <c r="D1213" s="121">
        <v>46292</v>
      </c>
      <c r="E1213" t="s">
        <v>97</v>
      </c>
      <c r="F1213" t="s">
        <v>72</v>
      </c>
      <c r="G1213" s="122">
        <v>0</v>
      </c>
      <c r="H1213" s="122">
        <v>0</v>
      </c>
      <c r="I1213" s="112">
        <v>0</v>
      </c>
      <c r="J1213" s="112">
        <v>0</v>
      </c>
      <c r="K1213" s="23">
        <f t="shared" si="169"/>
        <v>0</v>
      </c>
      <c r="L1213" s="23">
        <f t="shared" si="170"/>
        <v>0</v>
      </c>
      <c r="M1213" s="12">
        <f t="shared" si="175"/>
        <v>0</v>
      </c>
      <c r="N1213" s="23">
        <f t="shared" si="171"/>
        <v>0</v>
      </c>
      <c r="O1213" s="41">
        <f t="shared" si="172"/>
        <v>0</v>
      </c>
      <c r="P1213" s="13" t="str">
        <f t="shared" si="173"/>
        <v>NO</v>
      </c>
      <c r="Q1213" s="23">
        <f t="shared" si="174"/>
        <v>0</v>
      </c>
      <c r="R1213" s="12">
        <f t="shared" si="174"/>
        <v>0</v>
      </c>
    </row>
    <row r="1214" spans="2:18">
      <c r="B1214" t="str">
        <f t="shared" si="168"/>
        <v>kenneth Eduardo otzin López46293</v>
      </c>
      <c r="C1214" t="s">
        <v>233</v>
      </c>
      <c r="D1214" s="121">
        <v>46293</v>
      </c>
      <c r="E1214" t="s">
        <v>98</v>
      </c>
      <c r="F1214" t="s">
        <v>36</v>
      </c>
      <c r="G1214" s="122">
        <v>0.75</v>
      </c>
      <c r="H1214" s="122">
        <v>0.25</v>
      </c>
      <c r="I1214" s="112">
        <v>0</v>
      </c>
      <c r="J1214" s="112">
        <v>0</v>
      </c>
      <c r="K1214" s="23">
        <f t="shared" si="169"/>
        <v>0.75</v>
      </c>
      <c r="L1214" s="23">
        <f t="shared" si="170"/>
        <v>0</v>
      </c>
      <c r="M1214" s="12">
        <f t="shared" si="175"/>
        <v>0.75</v>
      </c>
      <c r="N1214" s="23">
        <f t="shared" si="171"/>
        <v>0.25</v>
      </c>
      <c r="O1214" s="41">
        <f t="shared" si="172"/>
        <v>0</v>
      </c>
      <c r="P1214" s="13" t="str">
        <f t="shared" si="173"/>
        <v>SI</v>
      </c>
      <c r="Q1214" s="23">
        <f t="shared" si="174"/>
        <v>0.75</v>
      </c>
      <c r="R1214" s="12">
        <f t="shared" si="174"/>
        <v>0.25</v>
      </c>
    </row>
    <row r="1215" spans="2:18">
      <c r="B1215" t="str">
        <f t="shared" si="168"/>
        <v>kenneth Eduardo otzin López46294</v>
      </c>
      <c r="C1215" t="s">
        <v>233</v>
      </c>
      <c r="D1215" s="121">
        <v>46294</v>
      </c>
      <c r="E1215" t="s">
        <v>99</v>
      </c>
      <c r="F1215" t="s">
        <v>36</v>
      </c>
      <c r="G1215" s="122">
        <v>0.75</v>
      </c>
      <c r="H1215" s="122">
        <v>0.25</v>
      </c>
      <c r="I1215" s="112">
        <v>0</v>
      </c>
      <c r="J1215" s="112">
        <v>0</v>
      </c>
      <c r="K1215" s="23">
        <f t="shared" si="169"/>
        <v>0.75</v>
      </c>
      <c r="L1215" s="23">
        <f t="shared" si="170"/>
        <v>0</v>
      </c>
      <c r="M1215" s="12">
        <f t="shared" si="175"/>
        <v>0.75</v>
      </c>
      <c r="N1215" s="23">
        <f t="shared" si="171"/>
        <v>0.25</v>
      </c>
      <c r="O1215" s="41">
        <f t="shared" si="172"/>
        <v>0</v>
      </c>
      <c r="P1215" s="13" t="str">
        <f t="shared" si="173"/>
        <v>SI</v>
      </c>
      <c r="Q1215" s="23">
        <f t="shared" si="174"/>
        <v>0.75</v>
      </c>
      <c r="R1215" s="12">
        <f t="shared" si="174"/>
        <v>0.25</v>
      </c>
    </row>
    <row r="1216" spans="2:18">
      <c r="B1216" t="str">
        <f t="shared" si="168"/>
        <v>kenneth Eduardo otzin López46295</v>
      </c>
      <c r="C1216" t="s">
        <v>233</v>
      </c>
      <c r="D1216" s="121">
        <v>46295</v>
      </c>
      <c r="E1216" t="s">
        <v>100</v>
      </c>
      <c r="F1216" t="s">
        <v>36</v>
      </c>
      <c r="G1216" s="122">
        <v>0.75</v>
      </c>
      <c r="H1216" s="122">
        <v>0.25</v>
      </c>
      <c r="I1216" s="112">
        <v>0</v>
      </c>
      <c r="J1216" s="112">
        <v>0</v>
      </c>
      <c r="K1216" s="23">
        <f t="shared" si="169"/>
        <v>0.75</v>
      </c>
      <c r="L1216" s="23">
        <f t="shared" si="170"/>
        <v>0</v>
      </c>
      <c r="M1216" s="12">
        <f t="shared" si="175"/>
        <v>0.75</v>
      </c>
      <c r="N1216" s="23">
        <f t="shared" si="171"/>
        <v>0.25</v>
      </c>
      <c r="O1216" s="41">
        <f t="shared" si="172"/>
        <v>0</v>
      </c>
      <c r="P1216" s="13" t="str">
        <f t="shared" si="173"/>
        <v>SI</v>
      </c>
      <c r="Q1216" s="23">
        <f t="shared" si="174"/>
        <v>0.75</v>
      </c>
      <c r="R1216" s="12">
        <f t="shared" si="174"/>
        <v>0.25</v>
      </c>
    </row>
    <row r="1217" spans="2:18">
      <c r="B1217" t="str">
        <f t="shared" si="168"/>
        <v>kenneth Eduardo otzin López46296</v>
      </c>
      <c r="C1217" t="s">
        <v>233</v>
      </c>
      <c r="D1217" s="121">
        <v>46296</v>
      </c>
      <c r="E1217" t="s">
        <v>101</v>
      </c>
      <c r="F1217" t="s">
        <v>36</v>
      </c>
      <c r="G1217" s="122">
        <v>0.75</v>
      </c>
      <c r="H1217" s="122">
        <v>0.25</v>
      </c>
      <c r="I1217" s="112">
        <v>0</v>
      </c>
      <c r="J1217" s="112">
        <v>0</v>
      </c>
      <c r="K1217" s="23">
        <f t="shared" si="169"/>
        <v>0.75</v>
      </c>
      <c r="L1217" s="23">
        <f t="shared" si="170"/>
        <v>0</v>
      </c>
      <c r="M1217" s="12">
        <f t="shared" si="175"/>
        <v>0.75</v>
      </c>
      <c r="N1217" s="23">
        <f t="shared" si="171"/>
        <v>0.25</v>
      </c>
      <c r="O1217" s="41">
        <f t="shared" si="172"/>
        <v>0</v>
      </c>
      <c r="P1217" s="13" t="str">
        <f t="shared" si="173"/>
        <v>SI</v>
      </c>
      <c r="Q1217" s="23">
        <f t="shared" si="174"/>
        <v>0.75</v>
      </c>
      <c r="R1217" s="12">
        <f t="shared" si="174"/>
        <v>0.25</v>
      </c>
    </row>
    <row r="1218" spans="2:18">
      <c r="B1218" t="str">
        <f t="shared" si="168"/>
        <v>kenneth Eduardo otzin López46297</v>
      </c>
      <c r="C1218" t="s">
        <v>233</v>
      </c>
      <c r="D1218" s="121">
        <v>46297</v>
      </c>
      <c r="E1218" t="s">
        <v>95</v>
      </c>
      <c r="F1218" t="s">
        <v>36</v>
      </c>
      <c r="G1218" s="122">
        <v>0.75</v>
      </c>
      <c r="H1218" s="122">
        <v>0.25</v>
      </c>
      <c r="I1218" s="112">
        <v>0</v>
      </c>
      <c r="J1218" s="112">
        <v>0</v>
      </c>
      <c r="K1218" s="23">
        <f t="shared" si="169"/>
        <v>0.75</v>
      </c>
      <c r="L1218" s="23">
        <f t="shared" si="170"/>
        <v>0</v>
      </c>
      <c r="M1218" s="12">
        <f t="shared" si="175"/>
        <v>0.75</v>
      </c>
      <c r="N1218" s="23">
        <f t="shared" si="171"/>
        <v>0.25</v>
      </c>
      <c r="O1218" s="41">
        <f t="shared" si="172"/>
        <v>0</v>
      </c>
      <c r="P1218" s="13" t="str">
        <f t="shared" si="173"/>
        <v>SI</v>
      </c>
      <c r="Q1218" s="23">
        <f t="shared" si="174"/>
        <v>0.75</v>
      </c>
      <c r="R1218" s="12">
        <f t="shared" si="174"/>
        <v>0.25</v>
      </c>
    </row>
    <row r="1219" spans="2:18">
      <c r="B1219" t="str">
        <f t="shared" si="168"/>
        <v>kenneth Eduardo otzin López46298</v>
      </c>
      <c r="C1219" t="s">
        <v>233</v>
      </c>
      <c r="D1219" s="121">
        <v>46298</v>
      </c>
      <c r="E1219" t="s">
        <v>96</v>
      </c>
      <c r="F1219" t="s">
        <v>72</v>
      </c>
      <c r="G1219" s="122">
        <v>0</v>
      </c>
      <c r="H1219" s="122">
        <v>0</v>
      </c>
      <c r="I1219" s="112">
        <v>0</v>
      </c>
      <c r="J1219" s="112">
        <v>0</v>
      </c>
      <c r="K1219" s="23">
        <f t="shared" si="169"/>
        <v>0</v>
      </c>
      <c r="L1219" s="23">
        <f t="shared" si="170"/>
        <v>0</v>
      </c>
      <c r="M1219" s="12">
        <f t="shared" si="175"/>
        <v>0</v>
      </c>
      <c r="N1219" s="23">
        <f t="shared" si="171"/>
        <v>0</v>
      </c>
      <c r="O1219" s="41">
        <f t="shared" si="172"/>
        <v>0</v>
      </c>
      <c r="P1219" s="13" t="str">
        <f t="shared" si="173"/>
        <v>NO</v>
      </c>
      <c r="Q1219" s="23">
        <f t="shared" si="174"/>
        <v>0</v>
      </c>
      <c r="R1219" s="12">
        <f t="shared" si="174"/>
        <v>0</v>
      </c>
    </row>
    <row r="1220" spans="2:18">
      <c r="B1220" t="str">
        <f t="shared" si="168"/>
        <v>kenneth Eduardo otzin López46299</v>
      </c>
      <c r="C1220" t="s">
        <v>233</v>
      </c>
      <c r="D1220" s="121">
        <v>46299</v>
      </c>
      <c r="E1220" t="s">
        <v>97</v>
      </c>
      <c r="F1220" t="s">
        <v>72</v>
      </c>
      <c r="G1220" s="122">
        <v>0</v>
      </c>
      <c r="H1220" s="122">
        <v>0</v>
      </c>
      <c r="I1220" s="112">
        <v>0</v>
      </c>
      <c r="J1220" s="112">
        <v>0</v>
      </c>
      <c r="K1220" s="23">
        <f t="shared" si="169"/>
        <v>0</v>
      </c>
      <c r="L1220" s="23">
        <f t="shared" si="170"/>
        <v>0</v>
      </c>
      <c r="M1220" s="12">
        <f t="shared" si="175"/>
        <v>0</v>
      </c>
      <c r="N1220" s="23">
        <f t="shared" si="171"/>
        <v>0</v>
      </c>
      <c r="O1220" s="41">
        <f t="shared" si="172"/>
        <v>0</v>
      </c>
      <c r="P1220" s="13" t="str">
        <f t="shared" si="173"/>
        <v>NO</v>
      </c>
      <c r="Q1220" s="23">
        <f t="shared" si="174"/>
        <v>0</v>
      </c>
      <c r="R1220" s="12">
        <f t="shared" si="174"/>
        <v>0</v>
      </c>
    </row>
    <row r="1221" spans="2:18">
      <c r="B1221" t="str">
        <f t="shared" si="168"/>
        <v/>
      </c>
      <c r="D1221" s="121"/>
      <c r="G1221" s="122"/>
      <c r="H1221" s="122"/>
      <c r="I1221" s="112">
        <v>0</v>
      </c>
      <c r="J1221" s="112">
        <v>0</v>
      </c>
      <c r="K1221" s="23">
        <f t="shared" si="169"/>
        <v>0</v>
      </c>
      <c r="L1221" s="23">
        <f t="shared" si="170"/>
        <v>0</v>
      </c>
      <c r="M1221" s="12">
        <f t="shared" si="175"/>
        <v>0</v>
      </c>
      <c r="N1221" s="23">
        <f t="shared" si="171"/>
        <v>0</v>
      </c>
      <c r="O1221" s="41">
        <f t="shared" si="172"/>
        <v>0</v>
      </c>
      <c r="P1221" s="13" t="str">
        <f t="shared" si="173"/>
        <v>NO</v>
      </c>
      <c r="Q1221" s="23">
        <f t="shared" si="174"/>
        <v>0</v>
      </c>
      <c r="R1221" s="12">
        <f t="shared" si="174"/>
        <v>0</v>
      </c>
    </row>
    <row r="1222" spans="2:18">
      <c r="B1222" t="str">
        <f t="shared" si="168"/>
        <v/>
      </c>
      <c r="D1222" s="121"/>
      <c r="G1222" s="122"/>
      <c r="H1222" s="122"/>
      <c r="I1222" s="112">
        <v>0</v>
      </c>
      <c r="J1222" s="112">
        <v>0</v>
      </c>
      <c r="K1222" s="23">
        <f t="shared" si="169"/>
        <v>0</v>
      </c>
      <c r="L1222" s="23">
        <f t="shared" si="170"/>
        <v>0</v>
      </c>
      <c r="M1222" s="12">
        <f t="shared" si="175"/>
        <v>0</v>
      </c>
      <c r="N1222" s="23">
        <f t="shared" si="171"/>
        <v>0</v>
      </c>
      <c r="O1222" s="41">
        <f t="shared" si="172"/>
        <v>0</v>
      </c>
      <c r="P1222" s="13" t="str">
        <f t="shared" si="173"/>
        <v>NO</v>
      </c>
      <c r="Q1222" s="23">
        <f t="shared" si="174"/>
        <v>0</v>
      </c>
      <c r="R1222" s="12">
        <f t="shared" si="174"/>
        <v>0</v>
      </c>
    </row>
    <row r="1223" spans="2:18">
      <c r="B1223" t="str">
        <f t="shared" si="168"/>
        <v/>
      </c>
      <c r="D1223" s="121"/>
      <c r="G1223" s="122"/>
      <c r="H1223" s="122"/>
      <c r="I1223" s="112">
        <v>0</v>
      </c>
      <c r="J1223" s="112">
        <v>0</v>
      </c>
      <c r="K1223" s="23">
        <f t="shared" si="169"/>
        <v>0</v>
      </c>
      <c r="L1223" s="23">
        <f t="shared" si="170"/>
        <v>0</v>
      </c>
      <c r="M1223" s="12">
        <f t="shared" si="175"/>
        <v>0</v>
      </c>
      <c r="N1223" s="23">
        <f t="shared" si="171"/>
        <v>0</v>
      </c>
      <c r="O1223" s="41">
        <f t="shared" si="172"/>
        <v>0</v>
      </c>
      <c r="P1223" s="13" t="str">
        <f t="shared" si="173"/>
        <v>NO</v>
      </c>
      <c r="Q1223" s="23">
        <f t="shared" si="174"/>
        <v>0</v>
      </c>
      <c r="R1223" s="12">
        <f t="shared" si="174"/>
        <v>0</v>
      </c>
    </row>
    <row r="1224" spans="2:18">
      <c r="B1224" t="str">
        <f t="shared" si="168"/>
        <v/>
      </c>
      <c r="D1224" s="121"/>
      <c r="G1224" s="122"/>
      <c r="H1224" s="122"/>
      <c r="I1224" s="112">
        <v>0</v>
      </c>
      <c r="J1224" s="112">
        <v>0</v>
      </c>
      <c r="K1224" s="23">
        <f t="shared" si="169"/>
        <v>0</v>
      </c>
      <c r="L1224" s="23">
        <f t="shared" si="170"/>
        <v>0</v>
      </c>
      <c r="M1224" s="12">
        <f t="shared" si="175"/>
        <v>0</v>
      </c>
      <c r="N1224" s="23">
        <f t="shared" si="171"/>
        <v>0</v>
      </c>
      <c r="O1224" s="41">
        <f t="shared" si="172"/>
        <v>0</v>
      </c>
      <c r="P1224" s="13" t="str">
        <f t="shared" si="173"/>
        <v>NO</v>
      </c>
      <c r="Q1224" s="23">
        <f t="shared" si="174"/>
        <v>0</v>
      </c>
      <c r="R1224" s="12">
        <f t="shared" si="174"/>
        <v>0</v>
      </c>
    </row>
    <row r="1225" spans="2:18">
      <c r="B1225" t="str">
        <f t="shared" si="168"/>
        <v/>
      </c>
      <c r="D1225" s="121"/>
      <c r="G1225" s="122"/>
      <c r="H1225" s="122"/>
      <c r="I1225" s="112">
        <v>0</v>
      </c>
      <c r="J1225" s="112">
        <v>0</v>
      </c>
      <c r="K1225" s="23">
        <f t="shared" si="169"/>
        <v>0</v>
      </c>
      <c r="L1225" s="23">
        <f t="shared" si="170"/>
        <v>0</v>
      </c>
      <c r="M1225" s="12">
        <f t="shared" si="175"/>
        <v>0</v>
      </c>
      <c r="N1225" s="23">
        <f t="shared" si="171"/>
        <v>0</v>
      </c>
      <c r="O1225" s="41">
        <f t="shared" si="172"/>
        <v>0</v>
      </c>
      <c r="P1225" s="13" t="str">
        <f t="shared" si="173"/>
        <v>NO</v>
      </c>
      <c r="Q1225" s="23">
        <f t="shared" si="174"/>
        <v>0</v>
      </c>
      <c r="R1225" s="12">
        <f t="shared" si="174"/>
        <v>0</v>
      </c>
    </row>
    <row r="1226" spans="2:18">
      <c r="B1226" t="str">
        <f t="shared" si="168"/>
        <v/>
      </c>
      <c r="D1226" s="121"/>
      <c r="G1226" s="122"/>
      <c r="H1226" s="122"/>
      <c r="I1226" s="112">
        <v>0</v>
      </c>
      <c r="J1226" s="112">
        <v>0</v>
      </c>
      <c r="K1226" s="23">
        <f t="shared" si="169"/>
        <v>0</v>
      </c>
      <c r="L1226" s="23">
        <f t="shared" si="170"/>
        <v>0</v>
      </c>
      <c r="M1226" s="12">
        <f t="shared" si="175"/>
        <v>0</v>
      </c>
      <c r="N1226" s="23">
        <f t="shared" si="171"/>
        <v>0</v>
      </c>
      <c r="O1226" s="41">
        <f t="shared" si="172"/>
        <v>0</v>
      </c>
      <c r="P1226" s="13" t="str">
        <f t="shared" si="173"/>
        <v>NO</v>
      </c>
      <c r="Q1226" s="23">
        <f t="shared" si="174"/>
        <v>0</v>
      </c>
      <c r="R1226" s="12">
        <f t="shared" si="174"/>
        <v>0</v>
      </c>
    </row>
    <row r="1227" spans="2:18">
      <c r="B1227" t="str">
        <f t="shared" si="168"/>
        <v/>
      </c>
      <c r="D1227" s="121"/>
      <c r="G1227" s="122"/>
      <c r="H1227" s="122"/>
      <c r="I1227" s="112">
        <v>0</v>
      </c>
      <c r="J1227" s="112">
        <v>0</v>
      </c>
      <c r="K1227" s="23">
        <f t="shared" si="169"/>
        <v>0</v>
      </c>
      <c r="L1227" s="23">
        <f t="shared" si="170"/>
        <v>0</v>
      </c>
      <c r="M1227" s="12">
        <f t="shared" si="175"/>
        <v>0</v>
      </c>
      <c r="N1227" s="23">
        <f t="shared" si="171"/>
        <v>0</v>
      </c>
      <c r="O1227" s="41">
        <f t="shared" si="172"/>
        <v>0</v>
      </c>
      <c r="P1227" s="13" t="str">
        <f t="shared" si="173"/>
        <v>NO</v>
      </c>
      <c r="Q1227" s="23">
        <f t="shared" si="174"/>
        <v>0</v>
      </c>
      <c r="R1227" s="12">
        <f t="shared" si="174"/>
        <v>0</v>
      </c>
    </row>
    <row r="1228" spans="2:18">
      <c r="B1228" t="str">
        <f t="shared" si="168"/>
        <v/>
      </c>
      <c r="D1228" s="121"/>
      <c r="G1228" s="122"/>
      <c r="H1228" s="122"/>
      <c r="I1228" s="112">
        <v>0</v>
      </c>
      <c r="J1228" s="112">
        <v>0</v>
      </c>
      <c r="K1228" s="23">
        <f t="shared" si="169"/>
        <v>0</v>
      </c>
      <c r="L1228" s="23">
        <f t="shared" si="170"/>
        <v>0</v>
      </c>
      <c r="M1228" s="12">
        <f t="shared" si="175"/>
        <v>0</v>
      </c>
      <c r="N1228" s="23">
        <f t="shared" si="171"/>
        <v>0</v>
      </c>
      <c r="O1228" s="41">
        <f t="shared" si="172"/>
        <v>0</v>
      </c>
      <c r="P1228" s="13" t="str">
        <f t="shared" si="173"/>
        <v>NO</v>
      </c>
      <c r="Q1228" s="23">
        <f t="shared" si="174"/>
        <v>0</v>
      </c>
      <c r="R1228" s="12">
        <f t="shared" si="174"/>
        <v>0</v>
      </c>
    </row>
    <row r="1229" spans="2:18">
      <c r="B1229" t="str">
        <f t="shared" si="168"/>
        <v/>
      </c>
      <c r="D1229" s="121"/>
      <c r="G1229" s="122"/>
      <c r="H1229" s="122"/>
      <c r="I1229" s="112">
        <v>0</v>
      </c>
      <c r="J1229" s="112">
        <v>0</v>
      </c>
      <c r="K1229" s="23">
        <f t="shared" si="169"/>
        <v>0</v>
      </c>
      <c r="L1229" s="23">
        <f t="shared" si="170"/>
        <v>0</v>
      </c>
      <c r="M1229" s="12">
        <f t="shared" si="175"/>
        <v>0</v>
      </c>
      <c r="N1229" s="23">
        <f t="shared" si="171"/>
        <v>0</v>
      </c>
      <c r="O1229" s="41">
        <f t="shared" si="172"/>
        <v>0</v>
      </c>
      <c r="P1229" s="13" t="str">
        <f t="shared" si="173"/>
        <v>NO</v>
      </c>
      <c r="Q1229" s="23">
        <f t="shared" si="174"/>
        <v>0</v>
      </c>
      <c r="R1229" s="12">
        <f t="shared" si="174"/>
        <v>0</v>
      </c>
    </row>
    <row r="1230" spans="2:18">
      <c r="B1230" t="str">
        <f t="shared" si="168"/>
        <v/>
      </c>
      <c r="D1230" s="121"/>
      <c r="G1230" s="122"/>
      <c r="H1230" s="122"/>
      <c r="I1230" s="112">
        <v>0</v>
      </c>
      <c r="J1230" s="112">
        <v>0</v>
      </c>
      <c r="K1230" s="23">
        <f t="shared" si="169"/>
        <v>0</v>
      </c>
      <c r="L1230" s="23">
        <f t="shared" si="170"/>
        <v>0</v>
      </c>
      <c r="M1230" s="12">
        <f t="shared" si="175"/>
        <v>0</v>
      </c>
      <c r="N1230" s="23">
        <f t="shared" si="171"/>
        <v>0</v>
      </c>
      <c r="O1230" s="41">
        <f t="shared" si="172"/>
        <v>0</v>
      </c>
      <c r="P1230" s="13" t="str">
        <f t="shared" si="173"/>
        <v>NO</v>
      </c>
      <c r="Q1230" s="23">
        <f t="shared" si="174"/>
        <v>0</v>
      </c>
      <c r="R1230" s="12">
        <f t="shared" si="174"/>
        <v>0</v>
      </c>
    </row>
    <row r="1231" spans="2:18">
      <c r="B1231" t="str">
        <f t="shared" si="168"/>
        <v/>
      </c>
      <c r="D1231" s="121"/>
      <c r="G1231" s="122"/>
      <c r="H1231" s="122"/>
      <c r="I1231" s="112">
        <v>0</v>
      </c>
      <c r="J1231" s="112">
        <v>0</v>
      </c>
      <c r="K1231" s="23">
        <f t="shared" si="169"/>
        <v>0</v>
      </c>
      <c r="L1231" s="23">
        <f t="shared" si="170"/>
        <v>0</v>
      </c>
      <c r="M1231" s="12">
        <f t="shared" si="175"/>
        <v>0</v>
      </c>
      <c r="N1231" s="23">
        <f t="shared" si="171"/>
        <v>0</v>
      </c>
      <c r="O1231" s="41">
        <f t="shared" si="172"/>
        <v>0</v>
      </c>
      <c r="P1231" s="13" t="str">
        <f t="shared" si="173"/>
        <v>NO</v>
      </c>
      <c r="Q1231" s="23">
        <f t="shared" si="174"/>
        <v>0</v>
      </c>
      <c r="R1231" s="12">
        <f t="shared" si="174"/>
        <v>0</v>
      </c>
    </row>
    <row r="1232" spans="2:18">
      <c r="B1232" t="str">
        <f t="shared" si="168"/>
        <v/>
      </c>
      <c r="D1232" s="121"/>
      <c r="G1232" s="122"/>
      <c r="H1232" s="122"/>
      <c r="I1232" s="112">
        <v>0</v>
      </c>
      <c r="J1232" s="112">
        <v>0</v>
      </c>
      <c r="K1232" s="23">
        <f t="shared" si="169"/>
        <v>0</v>
      </c>
      <c r="L1232" s="23">
        <f t="shared" si="170"/>
        <v>0</v>
      </c>
      <c r="M1232" s="12">
        <f t="shared" si="175"/>
        <v>0</v>
      </c>
      <c r="N1232" s="23">
        <f t="shared" si="171"/>
        <v>0</v>
      </c>
      <c r="O1232" s="41">
        <f t="shared" si="172"/>
        <v>0</v>
      </c>
      <c r="P1232" s="13" t="str">
        <f t="shared" si="173"/>
        <v>NO</v>
      </c>
      <c r="Q1232" s="23">
        <f t="shared" si="174"/>
        <v>0</v>
      </c>
      <c r="R1232" s="12">
        <f t="shared" si="174"/>
        <v>0</v>
      </c>
    </row>
    <row r="1233" spans="2:18">
      <c r="B1233" t="str">
        <f t="shared" si="168"/>
        <v/>
      </c>
      <c r="D1233" s="121"/>
      <c r="G1233" s="122"/>
      <c r="H1233" s="122"/>
      <c r="I1233" s="112">
        <v>0</v>
      </c>
      <c r="J1233" s="112">
        <v>0</v>
      </c>
      <c r="K1233" s="23">
        <f t="shared" si="169"/>
        <v>0</v>
      </c>
      <c r="L1233" s="23">
        <f t="shared" si="170"/>
        <v>0</v>
      </c>
      <c r="M1233" s="12">
        <f t="shared" si="175"/>
        <v>0</v>
      </c>
      <c r="N1233" s="23">
        <f t="shared" si="171"/>
        <v>0</v>
      </c>
      <c r="O1233" s="41">
        <f t="shared" si="172"/>
        <v>0</v>
      </c>
      <c r="P1233" s="13" t="str">
        <f t="shared" si="173"/>
        <v>NO</v>
      </c>
      <c r="Q1233" s="23">
        <f t="shared" si="174"/>
        <v>0</v>
      </c>
      <c r="R1233" s="12">
        <f t="shared" si="174"/>
        <v>0</v>
      </c>
    </row>
    <row r="1234" spans="2:18">
      <c r="B1234" t="str">
        <f t="shared" si="168"/>
        <v/>
      </c>
      <c r="D1234" s="121"/>
      <c r="G1234" s="122"/>
      <c r="H1234" s="122"/>
      <c r="I1234" s="112">
        <v>0</v>
      </c>
      <c r="J1234" s="112">
        <v>0</v>
      </c>
      <c r="K1234" s="23">
        <f t="shared" si="169"/>
        <v>0</v>
      </c>
      <c r="L1234" s="23">
        <f t="shared" si="170"/>
        <v>0</v>
      </c>
      <c r="M1234" s="12">
        <f t="shared" si="175"/>
        <v>0</v>
      </c>
      <c r="N1234" s="23">
        <f t="shared" si="171"/>
        <v>0</v>
      </c>
      <c r="O1234" s="41">
        <f t="shared" si="172"/>
        <v>0</v>
      </c>
      <c r="P1234" s="13" t="str">
        <f t="shared" si="173"/>
        <v>NO</v>
      </c>
      <c r="Q1234" s="23">
        <f t="shared" si="174"/>
        <v>0</v>
      </c>
      <c r="R1234" s="12">
        <f t="shared" si="174"/>
        <v>0</v>
      </c>
    </row>
    <row r="1235" spans="2:18">
      <c r="B1235" t="str">
        <f t="shared" si="168"/>
        <v/>
      </c>
      <c r="D1235" s="121"/>
      <c r="G1235" s="122"/>
      <c r="H1235" s="122"/>
      <c r="I1235" s="112">
        <v>0</v>
      </c>
      <c r="J1235" s="112">
        <v>0</v>
      </c>
      <c r="K1235" s="23">
        <f t="shared" si="169"/>
        <v>0</v>
      </c>
      <c r="L1235" s="23">
        <f t="shared" si="170"/>
        <v>0</v>
      </c>
      <c r="M1235" s="12">
        <f t="shared" si="175"/>
        <v>0</v>
      </c>
      <c r="N1235" s="23">
        <f t="shared" si="171"/>
        <v>0</v>
      </c>
      <c r="O1235" s="41">
        <f t="shared" si="172"/>
        <v>0</v>
      </c>
      <c r="P1235" s="13" t="str">
        <f t="shared" si="173"/>
        <v>NO</v>
      </c>
      <c r="Q1235" s="23">
        <f t="shared" si="174"/>
        <v>0</v>
      </c>
      <c r="R1235" s="12">
        <f t="shared" si="174"/>
        <v>0</v>
      </c>
    </row>
    <row r="1236" spans="2:18">
      <c r="B1236" t="str">
        <f t="shared" si="168"/>
        <v/>
      </c>
      <c r="D1236" s="121"/>
      <c r="G1236" s="122"/>
      <c r="H1236" s="122"/>
      <c r="I1236" s="112">
        <v>0</v>
      </c>
      <c r="J1236" s="112">
        <v>0</v>
      </c>
      <c r="K1236" s="23">
        <f t="shared" si="169"/>
        <v>0</v>
      </c>
      <c r="L1236" s="23">
        <f t="shared" si="170"/>
        <v>0</v>
      </c>
      <c r="M1236" s="12">
        <f t="shared" si="175"/>
        <v>0</v>
      </c>
      <c r="N1236" s="23">
        <f t="shared" si="171"/>
        <v>0</v>
      </c>
      <c r="O1236" s="41">
        <f t="shared" si="172"/>
        <v>0</v>
      </c>
      <c r="P1236" s="13" t="str">
        <f t="shared" si="173"/>
        <v>NO</v>
      </c>
      <c r="Q1236" s="23">
        <f t="shared" si="174"/>
        <v>0</v>
      </c>
      <c r="R1236" s="12">
        <f t="shared" si="174"/>
        <v>0</v>
      </c>
    </row>
    <row r="1237" spans="2:18">
      <c r="B1237" t="str">
        <f t="shared" si="168"/>
        <v/>
      </c>
      <c r="D1237" s="121"/>
      <c r="G1237" s="122"/>
      <c r="H1237" s="122"/>
      <c r="I1237" s="112">
        <v>0</v>
      </c>
      <c r="J1237" s="112">
        <v>0</v>
      </c>
      <c r="K1237" s="23">
        <f t="shared" si="169"/>
        <v>0</v>
      </c>
      <c r="L1237" s="23">
        <f t="shared" si="170"/>
        <v>0</v>
      </c>
      <c r="M1237" s="12">
        <f t="shared" si="175"/>
        <v>0</v>
      </c>
      <c r="N1237" s="23">
        <f t="shared" si="171"/>
        <v>0</v>
      </c>
      <c r="O1237" s="41">
        <f t="shared" si="172"/>
        <v>0</v>
      </c>
      <c r="P1237" s="13" t="str">
        <f t="shared" si="173"/>
        <v>NO</v>
      </c>
      <c r="Q1237" s="23">
        <f t="shared" si="174"/>
        <v>0</v>
      </c>
      <c r="R1237" s="12">
        <f t="shared" si="174"/>
        <v>0</v>
      </c>
    </row>
    <row r="1238" spans="2:18">
      <c r="B1238" t="str">
        <f t="shared" si="168"/>
        <v/>
      </c>
      <c r="D1238" s="121"/>
      <c r="G1238" s="122"/>
      <c r="H1238" s="122"/>
      <c r="I1238" s="112">
        <v>0</v>
      </c>
      <c r="J1238" s="112">
        <v>0</v>
      </c>
      <c r="K1238" s="23">
        <f t="shared" si="169"/>
        <v>0</v>
      </c>
      <c r="L1238" s="23">
        <f t="shared" si="170"/>
        <v>0</v>
      </c>
      <c r="M1238" s="12">
        <f t="shared" si="175"/>
        <v>0</v>
      </c>
      <c r="N1238" s="23">
        <f t="shared" si="171"/>
        <v>0</v>
      </c>
      <c r="O1238" s="41">
        <f t="shared" si="172"/>
        <v>0</v>
      </c>
      <c r="P1238" s="13" t="str">
        <f t="shared" si="173"/>
        <v>NO</v>
      </c>
      <c r="Q1238" s="23">
        <f t="shared" si="174"/>
        <v>0</v>
      </c>
      <c r="R1238" s="12">
        <f t="shared" si="174"/>
        <v>0</v>
      </c>
    </row>
    <row r="1239" spans="2:18">
      <c r="B1239" t="str">
        <f t="shared" si="168"/>
        <v/>
      </c>
      <c r="D1239" s="121"/>
      <c r="G1239" s="122"/>
      <c r="H1239" s="122"/>
      <c r="I1239" s="112">
        <v>0</v>
      </c>
      <c r="J1239" s="112">
        <v>0</v>
      </c>
      <c r="K1239" s="23">
        <f t="shared" si="169"/>
        <v>0</v>
      </c>
      <c r="L1239" s="23">
        <f t="shared" si="170"/>
        <v>0</v>
      </c>
      <c r="M1239" s="12">
        <f t="shared" si="175"/>
        <v>0</v>
      </c>
      <c r="N1239" s="23">
        <f t="shared" si="171"/>
        <v>0</v>
      </c>
      <c r="O1239" s="41">
        <f t="shared" si="172"/>
        <v>0</v>
      </c>
      <c r="P1239" s="13" t="str">
        <f t="shared" si="173"/>
        <v>NO</v>
      </c>
      <c r="Q1239" s="23">
        <f t="shared" si="174"/>
        <v>0</v>
      </c>
      <c r="R1239" s="12">
        <f t="shared" si="174"/>
        <v>0</v>
      </c>
    </row>
    <row r="1240" spans="2:18">
      <c r="B1240" t="str">
        <f t="shared" si="168"/>
        <v/>
      </c>
      <c r="D1240" s="121"/>
      <c r="G1240" s="122"/>
      <c r="H1240" s="122"/>
      <c r="I1240" s="112">
        <v>0</v>
      </c>
      <c r="J1240" s="112">
        <v>0</v>
      </c>
      <c r="K1240" s="23">
        <f t="shared" si="169"/>
        <v>0</v>
      </c>
      <c r="L1240" s="23">
        <f t="shared" si="170"/>
        <v>0</v>
      </c>
      <c r="M1240" s="12">
        <f t="shared" si="175"/>
        <v>0</v>
      </c>
      <c r="N1240" s="23">
        <f t="shared" si="171"/>
        <v>0</v>
      </c>
      <c r="O1240" s="41">
        <f t="shared" si="172"/>
        <v>0</v>
      </c>
      <c r="P1240" s="13" t="str">
        <f t="shared" si="173"/>
        <v>NO</v>
      </c>
      <c r="Q1240" s="23">
        <f t="shared" si="174"/>
        <v>0</v>
      </c>
      <c r="R1240" s="12">
        <f t="shared" si="174"/>
        <v>0</v>
      </c>
    </row>
    <row r="1241" spans="2:18">
      <c r="B1241" t="str">
        <f t="shared" si="168"/>
        <v/>
      </c>
      <c r="D1241" s="121"/>
      <c r="G1241" s="122"/>
      <c r="H1241" s="122"/>
      <c r="I1241" s="112">
        <v>0</v>
      </c>
      <c r="J1241" s="112">
        <v>0</v>
      </c>
      <c r="K1241" s="23">
        <f t="shared" si="169"/>
        <v>0</v>
      </c>
      <c r="L1241" s="23">
        <f t="shared" si="170"/>
        <v>0</v>
      </c>
      <c r="M1241" s="12">
        <f t="shared" si="175"/>
        <v>0</v>
      </c>
      <c r="N1241" s="23">
        <f t="shared" si="171"/>
        <v>0</v>
      </c>
      <c r="O1241" s="41">
        <f t="shared" si="172"/>
        <v>0</v>
      </c>
      <c r="P1241" s="13" t="str">
        <f t="shared" si="173"/>
        <v>NO</v>
      </c>
      <c r="Q1241" s="23">
        <f t="shared" si="174"/>
        <v>0</v>
      </c>
      <c r="R1241" s="12">
        <f t="shared" si="174"/>
        <v>0</v>
      </c>
    </row>
    <row r="1242" spans="2:18">
      <c r="B1242" t="str">
        <f t="shared" si="168"/>
        <v/>
      </c>
      <c r="D1242" s="121"/>
      <c r="G1242" s="122"/>
      <c r="H1242" s="122"/>
      <c r="I1242" s="112">
        <v>0</v>
      </c>
      <c r="J1242" s="112">
        <v>0</v>
      </c>
      <c r="K1242" s="23">
        <f t="shared" si="169"/>
        <v>0</v>
      </c>
      <c r="L1242" s="23">
        <f t="shared" si="170"/>
        <v>0</v>
      </c>
      <c r="M1242" s="12">
        <f t="shared" si="175"/>
        <v>0</v>
      </c>
      <c r="N1242" s="23">
        <f t="shared" si="171"/>
        <v>0</v>
      </c>
      <c r="O1242" s="41">
        <f t="shared" si="172"/>
        <v>0</v>
      </c>
      <c r="P1242" s="13" t="str">
        <f t="shared" si="173"/>
        <v>NO</v>
      </c>
      <c r="Q1242" s="23">
        <f t="shared" si="174"/>
        <v>0</v>
      </c>
      <c r="R1242" s="12">
        <f t="shared" si="174"/>
        <v>0</v>
      </c>
    </row>
    <row r="1243" spans="2:18">
      <c r="B1243" t="str">
        <f t="shared" si="168"/>
        <v/>
      </c>
      <c r="D1243" s="121"/>
      <c r="G1243" s="122"/>
      <c r="H1243" s="122"/>
      <c r="I1243" s="112">
        <v>0</v>
      </c>
      <c r="J1243" s="112">
        <v>0</v>
      </c>
      <c r="K1243" s="23">
        <f t="shared" si="169"/>
        <v>0</v>
      </c>
      <c r="L1243" s="23">
        <f t="shared" si="170"/>
        <v>0</v>
      </c>
      <c r="M1243" s="12">
        <f t="shared" si="175"/>
        <v>0</v>
      </c>
      <c r="N1243" s="23">
        <f t="shared" si="171"/>
        <v>0</v>
      </c>
      <c r="O1243" s="41">
        <f t="shared" si="172"/>
        <v>0</v>
      </c>
      <c r="P1243" s="13" t="str">
        <f t="shared" si="173"/>
        <v>NO</v>
      </c>
      <c r="Q1243" s="23">
        <f t="shared" si="174"/>
        <v>0</v>
      </c>
      <c r="R1243" s="12">
        <f t="shared" si="174"/>
        <v>0</v>
      </c>
    </row>
    <row r="1244" spans="2:18">
      <c r="B1244" t="str">
        <f t="shared" si="168"/>
        <v/>
      </c>
      <c r="D1244" s="121"/>
      <c r="G1244" s="122"/>
      <c r="H1244" s="122"/>
      <c r="I1244" s="112">
        <v>0</v>
      </c>
      <c r="J1244" s="112">
        <v>0</v>
      </c>
      <c r="K1244" s="23">
        <f t="shared" si="169"/>
        <v>0</v>
      </c>
      <c r="L1244" s="23">
        <f t="shared" si="170"/>
        <v>0</v>
      </c>
      <c r="M1244" s="12">
        <f t="shared" si="175"/>
        <v>0</v>
      </c>
      <c r="N1244" s="23">
        <f t="shared" si="171"/>
        <v>0</v>
      </c>
      <c r="O1244" s="41">
        <f t="shared" si="172"/>
        <v>0</v>
      </c>
      <c r="P1244" s="13" t="str">
        <f t="shared" si="173"/>
        <v>NO</v>
      </c>
      <c r="Q1244" s="23">
        <f t="shared" si="174"/>
        <v>0</v>
      </c>
      <c r="R1244" s="12">
        <f t="shared" si="174"/>
        <v>0</v>
      </c>
    </row>
    <row r="1245" spans="2:18">
      <c r="B1245" t="str">
        <f t="shared" si="168"/>
        <v/>
      </c>
      <c r="D1245" s="121"/>
      <c r="G1245" s="122"/>
      <c r="H1245" s="122"/>
      <c r="I1245" s="112">
        <v>0</v>
      </c>
      <c r="J1245" s="112">
        <v>0</v>
      </c>
      <c r="K1245" s="23">
        <f t="shared" si="169"/>
        <v>0</v>
      </c>
      <c r="L1245" s="23">
        <f t="shared" si="170"/>
        <v>0</v>
      </c>
      <c r="M1245" s="12">
        <f t="shared" si="175"/>
        <v>0</v>
      </c>
      <c r="N1245" s="23">
        <f t="shared" si="171"/>
        <v>0</v>
      </c>
      <c r="O1245" s="41">
        <f t="shared" si="172"/>
        <v>0</v>
      </c>
      <c r="P1245" s="13" t="str">
        <f t="shared" si="173"/>
        <v>NO</v>
      </c>
      <c r="Q1245" s="23">
        <f t="shared" si="174"/>
        <v>0</v>
      </c>
      <c r="R1245" s="12">
        <f t="shared" si="174"/>
        <v>0</v>
      </c>
    </row>
    <row r="1246" spans="2:18">
      <c r="B1246" t="str">
        <f t="shared" si="168"/>
        <v/>
      </c>
      <c r="D1246" s="121"/>
      <c r="G1246" s="122"/>
      <c r="H1246" s="122"/>
      <c r="I1246" s="112">
        <v>0</v>
      </c>
      <c r="J1246" s="112">
        <v>0</v>
      </c>
      <c r="K1246" s="23">
        <f t="shared" si="169"/>
        <v>0</v>
      </c>
      <c r="L1246" s="23">
        <f t="shared" si="170"/>
        <v>0</v>
      </c>
      <c r="M1246" s="12">
        <f t="shared" si="175"/>
        <v>0</v>
      </c>
      <c r="N1246" s="23">
        <f t="shared" si="171"/>
        <v>0</v>
      </c>
      <c r="O1246" s="41">
        <f t="shared" si="172"/>
        <v>0</v>
      </c>
      <c r="P1246" s="13" t="str">
        <f t="shared" si="173"/>
        <v>NO</v>
      </c>
      <c r="Q1246" s="23">
        <f t="shared" si="174"/>
        <v>0</v>
      </c>
      <c r="R1246" s="12">
        <f t="shared" si="174"/>
        <v>0</v>
      </c>
    </row>
    <row r="1247" spans="2:18">
      <c r="B1247" t="str">
        <f t="shared" si="168"/>
        <v/>
      </c>
      <c r="D1247" s="121"/>
      <c r="G1247" s="122"/>
      <c r="H1247" s="122"/>
      <c r="I1247" s="112">
        <v>0</v>
      </c>
      <c r="J1247" s="112">
        <v>0</v>
      </c>
      <c r="K1247" s="23">
        <f t="shared" si="169"/>
        <v>0</v>
      </c>
      <c r="L1247" s="23">
        <f t="shared" si="170"/>
        <v>0</v>
      </c>
      <c r="M1247" s="12">
        <f t="shared" si="175"/>
        <v>0</v>
      </c>
      <c r="N1247" s="23">
        <f t="shared" si="171"/>
        <v>0</v>
      </c>
      <c r="O1247" s="41">
        <f t="shared" si="172"/>
        <v>0</v>
      </c>
      <c r="P1247" s="13" t="str">
        <f t="shared" si="173"/>
        <v>NO</v>
      </c>
      <c r="Q1247" s="23">
        <f t="shared" si="174"/>
        <v>0</v>
      </c>
      <c r="R1247" s="12">
        <f t="shared" si="174"/>
        <v>0</v>
      </c>
    </row>
    <row r="1248" spans="2:18">
      <c r="B1248" t="str">
        <f t="shared" si="168"/>
        <v/>
      </c>
      <c r="D1248" s="121"/>
      <c r="G1248" s="122"/>
      <c r="H1248" s="122"/>
      <c r="I1248" s="112">
        <v>0</v>
      </c>
      <c r="J1248" s="112">
        <v>0</v>
      </c>
      <c r="K1248" s="23">
        <f t="shared" si="169"/>
        <v>0</v>
      </c>
      <c r="L1248" s="23">
        <f t="shared" si="170"/>
        <v>0</v>
      </c>
      <c r="M1248" s="12">
        <f t="shared" si="175"/>
        <v>0</v>
      </c>
      <c r="N1248" s="23">
        <f t="shared" si="171"/>
        <v>0</v>
      </c>
      <c r="O1248" s="41">
        <f t="shared" si="172"/>
        <v>0</v>
      </c>
      <c r="P1248" s="13" t="str">
        <f t="shared" si="173"/>
        <v>NO</v>
      </c>
      <c r="Q1248" s="23">
        <f t="shared" si="174"/>
        <v>0</v>
      </c>
      <c r="R1248" s="12">
        <f t="shared" si="174"/>
        <v>0</v>
      </c>
    </row>
    <row r="1249" spans="2:18">
      <c r="B1249" t="str">
        <f t="shared" si="168"/>
        <v/>
      </c>
      <c r="D1249" s="121"/>
      <c r="G1249" s="122"/>
      <c r="H1249" s="122"/>
      <c r="I1249" s="112">
        <v>0</v>
      </c>
      <c r="J1249" s="112">
        <v>0</v>
      </c>
      <c r="K1249" s="23">
        <f t="shared" si="169"/>
        <v>0</v>
      </c>
      <c r="L1249" s="23">
        <f t="shared" si="170"/>
        <v>0</v>
      </c>
      <c r="M1249" s="12">
        <f t="shared" si="175"/>
        <v>0</v>
      </c>
      <c r="N1249" s="23">
        <f t="shared" si="171"/>
        <v>0</v>
      </c>
      <c r="O1249" s="41">
        <f t="shared" si="172"/>
        <v>0</v>
      </c>
      <c r="P1249" s="13" t="str">
        <f t="shared" si="173"/>
        <v>NO</v>
      </c>
      <c r="Q1249" s="23">
        <f t="shared" si="174"/>
        <v>0</v>
      </c>
      <c r="R1249" s="12">
        <f t="shared" si="174"/>
        <v>0</v>
      </c>
    </row>
    <row r="1250" spans="2:18">
      <c r="B1250" t="str">
        <f t="shared" si="168"/>
        <v/>
      </c>
      <c r="D1250" s="121"/>
      <c r="G1250" s="122"/>
      <c r="H1250" s="122"/>
      <c r="I1250" s="112">
        <v>0</v>
      </c>
      <c r="J1250" s="112">
        <v>0</v>
      </c>
      <c r="K1250" s="23">
        <f t="shared" si="169"/>
        <v>0</v>
      </c>
      <c r="L1250" s="23">
        <f t="shared" si="170"/>
        <v>0</v>
      </c>
      <c r="M1250" s="12">
        <f t="shared" si="175"/>
        <v>0</v>
      </c>
      <c r="N1250" s="23">
        <f t="shared" si="171"/>
        <v>0</v>
      </c>
      <c r="O1250" s="41">
        <f t="shared" si="172"/>
        <v>0</v>
      </c>
      <c r="P1250" s="13" t="str">
        <f t="shared" si="173"/>
        <v>NO</v>
      </c>
      <c r="Q1250" s="23">
        <f t="shared" si="174"/>
        <v>0</v>
      </c>
      <c r="R1250" s="12">
        <f t="shared" si="174"/>
        <v>0</v>
      </c>
    </row>
    <row r="1251" spans="2:18">
      <c r="B1251" t="str">
        <f t="shared" si="168"/>
        <v/>
      </c>
      <c r="D1251" s="121"/>
      <c r="G1251" s="122"/>
      <c r="H1251" s="122"/>
      <c r="I1251" s="112">
        <v>0</v>
      </c>
      <c r="J1251" s="112">
        <v>0</v>
      </c>
      <c r="K1251" s="23">
        <f t="shared" si="169"/>
        <v>0</v>
      </c>
      <c r="L1251" s="23">
        <f t="shared" si="170"/>
        <v>0</v>
      </c>
      <c r="M1251" s="12">
        <f t="shared" si="175"/>
        <v>0</v>
      </c>
      <c r="N1251" s="23">
        <f t="shared" si="171"/>
        <v>0</v>
      </c>
      <c r="O1251" s="41">
        <f t="shared" si="172"/>
        <v>0</v>
      </c>
      <c r="P1251" s="13" t="str">
        <f t="shared" si="173"/>
        <v>NO</v>
      </c>
      <c r="Q1251" s="23">
        <f t="shared" si="174"/>
        <v>0</v>
      </c>
      <c r="R1251" s="12">
        <f t="shared" si="174"/>
        <v>0</v>
      </c>
    </row>
    <row r="1252" spans="2:18">
      <c r="B1252" t="str">
        <f t="shared" si="168"/>
        <v/>
      </c>
      <c r="D1252" s="121"/>
      <c r="G1252" s="122"/>
      <c r="H1252" s="122"/>
      <c r="I1252" s="112">
        <v>0</v>
      </c>
      <c r="J1252" s="112">
        <v>0</v>
      </c>
      <c r="K1252" s="23">
        <f t="shared" si="169"/>
        <v>0</v>
      </c>
      <c r="L1252" s="23">
        <f t="shared" si="170"/>
        <v>0</v>
      </c>
      <c r="M1252" s="12">
        <f t="shared" si="175"/>
        <v>0</v>
      </c>
      <c r="N1252" s="23">
        <f t="shared" si="171"/>
        <v>0</v>
      </c>
      <c r="O1252" s="41">
        <f t="shared" si="172"/>
        <v>0</v>
      </c>
      <c r="P1252" s="13" t="str">
        <f t="shared" si="173"/>
        <v>NO</v>
      </c>
      <c r="Q1252" s="23">
        <f t="shared" si="174"/>
        <v>0</v>
      </c>
      <c r="R1252" s="12">
        <f t="shared" si="174"/>
        <v>0</v>
      </c>
    </row>
    <row r="1253" spans="2:18">
      <c r="B1253" t="str">
        <f t="shared" si="168"/>
        <v/>
      </c>
      <c r="D1253" s="121"/>
      <c r="G1253" s="122"/>
      <c r="H1253" s="122"/>
      <c r="I1253" s="112">
        <v>0</v>
      </c>
      <c r="J1253" s="112">
        <v>0</v>
      </c>
      <c r="K1253" s="23">
        <f t="shared" si="169"/>
        <v>0</v>
      </c>
      <c r="L1253" s="23">
        <f t="shared" si="170"/>
        <v>0</v>
      </c>
      <c r="M1253" s="12">
        <f t="shared" si="175"/>
        <v>0</v>
      </c>
      <c r="N1253" s="23">
        <f t="shared" si="171"/>
        <v>0</v>
      </c>
      <c r="O1253" s="41">
        <f t="shared" si="172"/>
        <v>0</v>
      </c>
      <c r="P1253" s="13" t="str">
        <f t="shared" si="173"/>
        <v>NO</v>
      </c>
      <c r="Q1253" s="23">
        <f t="shared" si="174"/>
        <v>0</v>
      </c>
      <c r="R1253" s="12">
        <f t="shared" si="174"/>
        <v>0</v>
      </c>
    </row>
    <row r="1254" spans="2:18">
      <c r="B1254" t="str">
        <f t="shared" si="168"/>
        <v/>
      </c>
      <c r="D1254" s="121"/>
      <c r="G1254" s="122"/>
      <c r="H1254" s="122"/>
      <c r="I1254" s="112">
        <v>0</v>
      </c>
      <c r="J1254" s="112">
        <v>0</v>
      </c>
      <c r="K1254" s="23">
        <f t="shared" si="169"/>
        <v>0</v>
      </c>
      <c r="L1254" s="23">
        <f t="shared" si="170"/>
        <v>0</v>
      </c>
      <c r="M1254" s="12">
        <f t="shared" si="175"/>
        <v>0</v>
      </c>
      <c r="N1254" s="23">
        <f t="shared" si="171"/>
        <v>0</v>
      </c>
      <c r="O1254" s="41">
        <f t="shared" si="172"/>
        <v>0</v>
      </c>
      <c r="P1254" s="13" t="str">
        <f t="shared" si="173"/>
        <v>NO</v>
      </c>
      <c r="Q1254" s="23">
        <f t="shared" si="174"/>
        <v>0</v>
      </c>
      <c r="R1254" s="12">
        <f t="shared" si="174"/>
        <v>0</v>
      </c>
    </row>
    <row r="1255" spans="2:18">
      <c r="B1255" t="str">
        <f t="shared" si="168"/>
        <v/>
      </c>
      <c r="D1255" s="121"/>
      <c r="G1255" s="122"/>
      <c r="H1255" s="122"/>
      <c r="I1255" s="112">
        <v>0</v>
      </c>
      <c r="J1255" s="112">
        <v>0</v>
      </c>
      <c r="K1255" s="23">
        <f t="shared" si="169"/>
        <v>0</v>
      </c>
      <c r="L1255" s="23">
        <f t="shared" si="170"/>
        <v>0</v>
      </c>
      <c r="M1255" s="12">
        <f t="shared" si="175"/>
        <v>0</v>
      </c>
      <c r="N1255" s="23">
        <f t="shared" si="171"/>
        <v>0</v>
      </c>
      <c r="O1255" s="41">
        <f t="shared" si="172"/>
        <v>0</v>
      </c>
      <c r="P1255" s="13" t="str">
        <f t="shared" si="173"/>
        <v>NO</v>
      </c>
      <c r="Q1255" s="23">
        <f t="shared" si="174"/>
        <v>0</v>
      </c>
      <c r="R1255" s="12">
        <f t="shared" si="174"/>
        <v>0</v>
      </c>
    </row>
    <row r="1256" spans="2:18">
      <c r="B1256" t="str">
        <f t="shared" si="168"/>
        <v/>
      </c>
      <c r="D1256" s="121"/>
      <c r="G1256" s="122"/>
      <c r="H1256" s="122"/>
      <c r="I1256" s="112">
        <v>0</v>
      </c>
      <c r="J1256" s="112">
        <v>0</v>
      </c>
      <c r="K1256" s="23">
        <f t="shared" si="169"/>
        <v>0</v>
      </c>
      <c r="L1256" s="23">
        <f t="shared" si="170"/>
        <v>0</v>
      </c>
      <c r="M1256" s="12">
        <f t="shared" si="175"/>
        <v>0</v>
      </c>
      <c r="N1256" s="23">
        <f t="shared" si="171"/>
        <v>0</v>
      </c>
      <c r="O1256" s="41">
        <f t="shared" si="172"/>
        <v>0</v>
      </c>
      <c r="P1256" s="13" t="str">
        <f t="shared" si="173"/>
        <v>NO</v>
      </c>
      <c r="Q1256" s="23">
        <f t="shared" si="174"/>
        <v>0</v>
      </c>
      <c r="R1256" s="12">
        <f t="shared" si="174"/>
        <v>0</v>
      </c>
    </row>
    <row r="1257" spans="2:18">
      <c r="B1257" t="str">
        <f t="shared" si="168"/>
        <v/>
      </c>
      <c r="D1257" s="121"/>
      <c r="G1257" s="122"/>
      <c r="H1257" s="122"/>
      <c r="I1257" s="112">
        <v>0</v>
      </c>
      <c r="J1257" s="112">
        <v>0</v>
      </c>
      <c r="K1257" s="23">
        <f t="shared" si="169"/>
        <v>0</v>
      </c>
      <c r="L1257" s="23">
        <f t="shared" si="170"/>
        <v>0</v>
      </c>
      <c r="M1257" s="12">
        <f t="shared" si="175"/>
        <v>0</v>
      </c>
      <c r="N1257" s="23">
        <f t="shared" si="171"/>
        <v>0</v>
      </c>
      <c r="O1257" s="41">
        <f t="shared" si="172"/>
        <v>0</v>
      </c>
      <c r="P1257" s="13" t="str">
        <f t="shared" si="173"/>
        <v>NO</v>
      </c>
      <c r="Q1257" s="23">
        <f t="shared" si="174"/>
        <v>0</v>
      </c>
      <c r="R1257" s="12">
        <f t="shared" si="174"/>
        <v>0</v>
      </c>
    </row>
    <row r="1258" spans="2:18">
      <c r="B1258" t="str">
        <f t="shared" si="168"/>
        <v/>
      </c>
      <c r="D1258" s="121"/>
      <c r="G1258" s="122"/>
      <c r="H1258" s="122"/>
      <c r="I1258" s="112">
        <v>0</v>
      </c>
      <c r="J1258" s="112">
        <v>0</v>
      </c>
      <c r="K1258" s="23">
        <f t="shared" si="169"/>
        <v>0</v>
      </c>
      <c r="L1258" s="23">
        <f t="shared" si="170"/>
        <v>0</v>
      </c>
      <c r="M1258" s="12">
        <f t="shared" si="175"/>
        <v>0</v>
      </c>
      <c r="N1258" s="23">
        <f t="shared" si="171"/>
        <v>0</v>
      </c>
      <c r="O1258" s="41">
        <f t="shared" si="172"/>
        <v>0</v>
      </c>
      <c r="P1258" s="13" t="str">
        <f t="shared" si="173"/>
        <v>NO</v>
      </c>
      <c r="Q1258" s="23">
        <f t="shared" si="174"/>
        <v>0</v>
      </c>
      <c r="R1258" s="12">
        <f t="shared" si="174"/>
        <v>0</v>
      </c>
    </row>
    <row r="1259" spans="2:18">
      <c r="B1259" t="str">
        <f t="shared" si="168"/>
        <v/>
      </c>
      <c r="D1259" s="121"/>
      <c r="G1259" s="122"/>
      <c r="H1259" s="122"/>
      <c r="I1259" s="112">
        <v>0</v>
      </c>
      <c r="J1259" s="112">
        <v>0</v>
      </c>
      <c r="K1259" s="23">
        <f t="shared" si="169"/>
        <v>0</v>
      </c>
      <c r="L1259" s="23">
        <f t="shared" si="170"/>
        <v>0</v>
      </c>
      <c r="M1259" s="12">
        <f t="shared" si="175"/>
        <v>0</v>
      </c>
      <c r="N1259" s="23">
        <f t="shared" si="171"/>
        <v>0</v>
      </c>
      <c r="O1259" s="41">
        <f t="shared" si="172"/>
        <v>0</v>
      </c>
      <c r="P1259" s="13" t="str">
        <f t="shared" si="173"/>
        <v>NO</v>
      </c>
      <c r="Q1259" s="23">
        <f t="shared" si="174"/>
        <v>0</v>
      </c>
      <c r="R1259" s="12">
        <f t="shared" si="174"/>
        <v>0</v>
      </c>
    </row>
    <row r="1260" spans="2:18">
      <c r="B1260" t="str">
        <f t="shared" si="168"/>
        <v/>
      </c>
      <c r="D1260" s="121"/>
      <c r="G1260" s="122"/>
      <c r="H1260" s="122"/>
      <c r="I1260" s="112">
        <v>0</v>
      </c>
      <c r="J1260" s="112">
        <v>0</v>
      </c>
      <c r="K1260" s="23">
        <f t="shared" si="169"/>
        <v>0</v>
      </c>
      <c r="L1260" s="23">
        <f t="shared" si="170"/>
        <v>0</v>
      </c>
      <c r="M1260" s="12">
        <f t="shared" si="175"/>
        <v>0</v>
      </c>
      <c r="N1260" s="23">
        <f t="shared" si="171"/>
        <v>0</v>
      </c>
      <c r="O1260" s="41">
        <f t="shared" si="172"/>
        <v>0</v>
      </c>
      <c r="P1260" s="13" t="str">
        <f t="shared" si="173"/>
        <v>NO</v>
      </c>
      <c r="Q1260" s="23">
        <f t="shared" si="174"/>
        <v>0</v>
      </c>
      <c r="R1260" s="12">
        <f t="shared" si="174"/>
        <v>0</v>
      </c>
    </row>
    <row r="1261" spans="2:18">
      <c r="B1261" t="str">
        <f t="shared" si="168"/>
        <v/>
      </c>
      <c r="D1261" s="121"/>
      <c r="G1261" s="122"/>
      <c r="H1261" s="122"/>
      <c r="I1261" s="112">
        <v>0</v>
      </c>
      <c r="J1261" s="112">
        <v>0</v>
      </c>
      <c r="K1261" s="23">
        <f t="shared" si="169"/>
        <v>0</v>
      </c>
      <c r="L1261" s="23">
        <f t="shared" si="170"/>
        <v>0</v>
      </c>
      <c r="M1261" s="12">
        <f t="shared" si="175"/>
        <v>0</v>
      </c>
      <c r="N1261" s="23">
        <f t="shared" si="171"/>
        <v>0</v>
      </c>
      <c r="O1261" s="41">
        <f t="shared" si="172"/>
        <v>0</v>
      </c>
      <c r="P1261" s="13" t="str">
        <f t="shared" si="173"/>
        <v>NO</v>
      </c>
      <c r="Q1261" s="23">
        <f t="shared" si="174"/>
        <v>0</v>
      </c>
      <c r="R1261" s="12">
        <f t="shared" si="174"/>
        <v>0</v>
      </c>
    </row>
    <row r="1262" spans="2:18">
      <c r="B1262" t="str">
        <f t="shared" si="168"/>
        <v/>
      </c>
      <c r="D1262" s="121"/>
      <c r="G1262" s="122"/>
      <c r="H1262" s="122"/>
      <c r="I1262" s="112">
        <v>0</v>
      </c>
      <c r="J1262" s="112">
        <v>0</v>
      </c>
      <c r="K1262" s="23">
        <f t="shared" si="169"/>
        <v>0</v>
      </c>
      <c r="L1262" s="23">
        <f t="shared" si="170"/>
        <v>0</v>
      </c>
      <c r="M1262" s="12">
        <f t="shared" si="175"/>
        <v>0</v>
      </c>
      <c r="N1262" s="23">
        <f t="shared" si="171"/>
        <v>0</v>
      </c>
      <c r="O1262" s="41">
        <f t="shared" si="172"/>
        <v>0</v>
      </c>
      <c r="P1262" s="13" t="str">
        <f t="shared" si="173"/>
        <v>NO</v>
      </c>
      <c r="Q1262" s="23">
        <f t="shared" si="174"/>
        <v>0</v>
      </c>
      <c r="R1262" s="12">
        <f t="shared" si="174"/>
        <v>0</v>
      </c>
    </row>
    <row r="1263" spans="2:18">
      <c r="B1263" t="str">
        <f t="shared" si="168"/>
        <v/>
      </c>
      <c r="D1263" s="121"/>
      <c r="G1263" s="122"/>
      <c r="H1263" s="122"/>
      <c r="I1263" s="112">
        <v>0</v>
      </c>
      <c r="J1263" s="112">
        <v>0</v>
      </c>
      <c r="K1263" s="23">
        <f t="shared" si="169"/>
        <v>0</v>
      </c>
      <c r="L1263" s="23">
        <f t="shared" si="170"/>
        <v>0</v>
      </c>
      <c r="M1263" s="12">
        <f t="shared" si="175"/>
        <v>0</v>
      </c>
      <c r="N1263" s="23">
        <f t="shared" si="171"/>
        <v>0</v>
      </c>
      <c r="O1263" s="41">
        <f t="shared" si="172"/>
        <v>0</v>
      </c>
      <c r="P1263" s="13" t="str">
        <f t="shared" si="173"/>
        <v>NO</v>
      </c>
      <c r="Q1263" s="23">
        <f t="shared" si="174"/>
        <v>0</v>
      </c>
      <c r="R1263" s="12">
        <f t="shared" si="174"/>
        <v>0</v>
      </c>
    </row>
    <row r="1264" spans="2:18">
      <c r="B1264" t="str">
        <f t="shared" si="168"/>
        <v/>
      </c>
      <c r="D1264" s="121"/>
      <c r="G1264" s="122"/>
      <c r="H1264" s="122"/>
      <c r="I1264" s="112">
        <v>0</v>
      </c>
      <c r="J1264" s="112">
        <v>0</v>
      </c>
      <c r="K1264" s="23">
        <f t="shared" si="169"/>
        <v>0</v>
      </c>
      <c r="L1264" s="23">
        <f t="shared" si="170"/>
        <v>0</v>
      </c>
      <c r="M1264" s="12">
        <f t="shared" si="175"/>
        <v>0</v>
      </c>
      <c r="N1264" s="23">
        <f t="shared" si="171"/>
        <v>0</v>
      </c>
      <c r="O1264" s="41">
        <f t="shared" si="172"/>
        <v>0</v>
      </c>
      <c r="P1264" s="13" t="str">
        <f t="shared" si="173"/>
        <v>NO</v>
      </c>
      <c r="Q1264" s="23">
        <f t="shared" si="174"/>
        <v>0</v>
      </c>
      <c r="R1264" s="12">
        <f t="shared" si="174"/>
        <v>0</v>
      </c>
    </row>
    <row r="1265" spans="2:18">
      <c r="B1265" t="str">
        <f t="shared" si="168"/>
        <v/>
      </c>
      <c r="D1265" s="121"/>
      <c r="G1265" s="122"/>
      <c r="H1265" s="122"/>
      <c r="I1265" s="112">
        <v>0</v>
      </c>
      <c r="J1265" s="112">
        <v>0</v>
      </c>
      <c r="K1265" s="23">
        <f t="shared" si="169"/>
        <v>0</v>
      </c>
      <c r="L1265" s="23">
        <f t="shared" si="170"/>
        <v>0</v>
      </c>
      <c r="M1265" s="12">
        <f t="shared" si="175"/>
        <v>0</v>
      </c>
      <c r="N1265" s="23">
        <f t="shared" si="171"/>
        <v>0</v>
      </c>
      <c r="O1265" s="41">
        <f t="shared" si="172"/>
        <v>0</v>
      </c>
      <c r="P1265" s="13" t="str">
        <f t="shared" si="173"/>
        <v>NO</v>
      </c>
      <c r="Q1265" s="23">
        <f t="shared" si="174"/>
        <v>0</v>
      </c>
      <c r="R1265" s="12">
        <f t="shared" si="174"/>
        <v>0</v>
      </c>
    </row>
    <row r="1266" spans="2:18">
      <c r="B1266" t="str">
        <f t="shared" si="168"/>
        <v/>
      </c>
      <c r="D1266" s="121"/>
      <c r="G1266" s="122"/>
      <c r="H1266" s="122"/>
      <c r="I1266" s="112">
        <v>0</v>
      </c>
      <c r="J1266" s="112">
        <v>0</v>
      </c>
      <c r="K1266" s="23">
        <f t="shared" si="169"/>
        <v>0</v>
      </c>
      <c r="L1266" s="23">
        <f t="shared" si="170"/>
        <v>0</v>
      </c>
      <c r="M1266" s="12">
        <f t="shared" si="175"/>
        <v>0</v>
      </c>
      <c r="N1266" s="23">
        <f t="shared" si="171"/>
        <v>0</v>
      </c>
      <c r="O1266" s="41">
        <f t="shared" si="172"/>
        <v>0</v>
      </c>
      <c r="P1266" s="13" t="str">
        <f t="shared" si="173"/>
        <v>NO</v>
      </c>
      <c r="Q1266" s="23">
        <f t="shared" si="174"/>
        <v>0</v>
      </c>
      <c r="R1266" s="12">
        <f t="shared" si="174"/>
        <v>0</v>
      </c>
    </row>
    <row r="1267" spans="2:18">
      <c r="B1267" t="str">
        <f t="shared" si="168"/>
        <v/>
      </c>
      <c r="D1267" s="121"/>
      <c r="G1267" s="122"/>
      <c r="H1267" s="122"/>
      <c r="I1267" s="112">
        <v>0</v>
      </c>
      <c r="J1267" s="112">
        <v>0</v>
      </c>
      <c r="K1267" s="23">
        <f t="shared" si="169"/>
        <v>0</v>
      </c>
      <c r="L1267" s="23">
        <f t="shared" si="170"/>
        <v>0</v>
      </c>
      <c r="M1267" s="12">
        <f t="shared" si="175"/>
        <v>0</v>
      </c>
      <c r="N1267" s="23">
        <f t="shared" si="171"/>
        <v>0</v>
      </c>
      <c r="O1267" s="41">
        <f t="shared" si="172"/>
        <v>0</v>
      </c>
      <c r="P1267" s="13" t="str">
        <f t="shared" si="173"/>
        <v>NO</v>
      </c>
      <c r="Q1267" s="23">
        <f t="shared" si="174"/>
        <v>0</v>
      </c>
      <c r="R1267" s="12">
        <f t="shared" si="174"/>
        <v>0</v>
      </c>
    </row>
    <row r="1268" spans="2:18">
      <c r="B1268" t="str">
        <f t="shared" si="168"/>
        <v/>
      </c>
      <c r="D1268" s="121"/>
      <c r="G1268" s="122"/>
      <c r="H1268" s="122"/>
      <c r="I1268" s="112">
        <v>0</v>
      </c>
      <c r="J1268" s="112">
        <v>0</v>
      </c>
      <c r="K1268" s="23">
        <f t="shared" si="169"/>
        <v>0</v>
      </c>
      <c r="L1268" s="23">
        <f t="shared" si="170"/>
        <v>0</v>
      </c>
      <c r="M1268" s="12">
        <f t="shared" si="175"/>
        <v>0</v>
      </c>
      <c r="N1268" s="23">
        <f t="shared" si="171"/>
        <v>0</v>
      </c>
      <c r="O1268" s="41">
        <f t="shared" si="172"/>
        <v>0</v>
      </c>
      <c r="P1268" s="13" t="str">
        <f t="shared" si="173"/>
        <v>NO</v>
      </c>
      <c r="Q1268" s="23">
        <f t="shared" si="174"/>
        <v>0</v>
      </c>
      <c r="R1268" s="12">
        <f t="shared" si="174"/>
        <v>0</v>
      </c>
    </row>
    <row r="1269" spans="2:18">
      <c r="B1269" t="str">
        <f t="shared" si="168"/>
        <v/>
      </c>
      <c r="D1269" s="121"/>
      <c r="G1269" s="122"/>
      <c r="H1269" s="122"/>
      <c r="I1269" s="112">
        <v>0</v>
      </c>
      <c r="J1269" s="112">
        <v>0</v>
      </c>
      <c r="K1269" s="23">
        <f t="shared" si="169"/>
        <v>0</v>
      </c>
      <c r="L1269" s="23">
        <f t="shared" si="170"/>
        <v>0</v>
      </c>
      <c r="M1269" s="12">
        <f t="shared" si="175"/>
        <v>0</v>
      </c>
      <c r="N1269" s="23">
        <f t="shared" si="171"/>
        <v>0</v>
      </c>
      <c r="O1269" s="41">
        <f t="shared" si="172"/>
        <v>0</v>
      </c>
      <c r="P1269" s="13" t="str">
        <f t="shared" si="173"/>
        <v>NO</v>
      </c>
      <c r="Q1269" s="23">
        <f t="shared" si="174"/>
        <v>0</v>
      </c>
      <c r="R1269" s="12">
        <f t="shared" si="174"/>
        <v>0</v>
      </c>
    </row>
    <row r="1270" spans="2:18">
      <c r="B1270" t="str">
        <f t="shared" si="168"/>
        <v/>
      </c>
      <c r="D1270" s="121"/>
      <c r="G1270" s="122"/>
      <c r="H1270" s="122"/>
      <c r="I1270" s="112">
        <v>0</v>
      </c>
      <c r="J1270" s="112">
        <v>0</v>
      </c>
      <c r="K1270" s="23">
        <f t="shared" si="169"/>
        <v>0</v>
      </c>
      <c r="L1270" s="23">
        <f t="shared" si="170"/>
        <v>0</v>
      </c>
      <c r="M1270" s="12">
        <f t="shared" si="175"/>
        <v>0</v>
      </c>
      <c r="N1270" s="23">
        <f t="shared" si="171"/>
        <v>0</v>
      </c>
      <c r="O1270" s="41">
        <f t="shared" si="172"/>
        <v>0</v>
      </c>
      <c r="P1270" s="13" t="str">
        <f t="shared" si="173"/>
        <v>NO</v>
      </c>
      <c r="Q1270" s="23">
        <f t="shared" si="174"/>
        <v>0</v>
      </c>
      <c r="R1270" s="12">
        <f t="shared" si="174"/>
        <v>0</v>
      </c>
    </row>
    <row r="1271" spans="2:18">
      <c r="B1271" t="str">
        <f t="shared" ref="B1271:B1334" si="176">+C1271&amp;D1271</f>
        <v/>
      </c>
      <c r="D1271" s="121"/>
      <c r="G1271" s="122"/>
      <c r="H1271" s="122"/>
      <c r="I1271" s="112">
        <v>0</v>
      </c>
      <c r="J1271" s="112">
        <v>0</v>
      </c>
      <c r="K1271" s="23">
        <f t="shared" ref="K1271:K1334" si="177">+IFERROR(G1271,0)</f>
        <v>0</v>
      </c>
      <c r="L1271" s="23">
        <f t="shared" ref="L1271:L1334" si="178">+I1271</f>
        <v>0</v>
      </c>
      <c r="M1271" s="12">
        <f t="shared" si="175"/>
        <v>0</v>
      </c>
      <c r="N1271" s="23">
        <f t="shared" ref="N1271:N1334" si="179">+H1271</f>
        <v>0</v>
      </c>
      <c r="O1271" s="41">
        <f t="shared" ref="O1271:O1334" si="180">+J1271</f>
        <v>0</v>
      </c>
      <c r="P1271" s="13" t="str">
        <f t="shared" ref="P1271:P1334" si="181">+IF(O1271&lt;N1271,"SI","NO")</f>
        <v>NO</v>
      </c>
      <c r="Q1271" s="23">
        <f t="shared" ref="Q1271:R1334" si="182">+M1271</f>
        <v>0</v>
      </c>
      <c r="R1271" s="12">
        <f t="shared" si="182"/>
        <v>0</v>
      </c>
    </row>
    <row r="1272" spans="2:18">
      <c r="B1272" t="str">
        <f t="shared" si="176"/>
        <v/>
      </c>
      <c r="D1272" s="121"/>
      <c r="G1272" s="122"/>
      <c r="H1272" s="122"/>
      <c r="I1272" s="112">
        <v>0</v>
      </c>
      <c r="J1272" s="112">
        <v>0</v>
      </c>
      <c r="K1272" s="23">
        <f t="shared" si="177"/>
        <v>0</v>
      </c>
      <c r="L1272" s="23">
        <f t="shared" si="178"/>
        <v>0</v>
      </c>
      <c r="M1272" s="12">
        <f t="shared" ref="M1272:M1335" si="183">+IFERROR(MAX(K1272:L1272),0)</f>
        <v>0</v>
      </c>
      <c r="N1272" s="23">
        <f t="shared" si="179"/>
        <v>0</v>
      </c>
      <c r="O1272" s="41">
        <f t="shared" si="180"/>
        <v>0</v>
      </c>
      <c r="P1272" s="13" t="str">
        <f t="shared" si="181"/>
        <v>NO</v>
      </c>
      <c r="Q1272" s="23">
        <f t="shared" si="182"/>
        <v>0</v>
      </c>
      <c r="R1272" s="12">
        <f t="shared" si="182"/>
        <v>0</v>
      </c>
    </row>
    <row r="1273" spans="2:18">
      <c r="B1273" t="str">
        <f t="shared" si="176"/>
        <v/>
      </c>
      <c r="D1273" s="121"/>
      <c r="G1273" s="122"/>
      <c r="H1273" s="122"/>
      <c r="I1273" s="112">
        <v>0</v>
      </c>
      <c r="J1273" s="112">
        <v>0</v>
      </c>
      <c r="K1273" s="23">
        <f t="shared" si="177"/>
        <v>0</v>
      </c>
      <c r="L1273" s="23">
        <f t="shared" si="178"/>
        <v>0</v>
      </c>
      <c r="M1273" s="12">
        <f t="shared" si="183"/>
        <v>0</v>
      </c>
      <c r="N1273" s="23">
        <f t="shared" si="179"/>
        <v>0</v>
      </c>
      <c r="O1273" s="41">
        <f t="shared" si="180"/>
        <v>0</v>
      </c>
      <c r="P1273" s="13" t="str">
        <f t="shared" si="181"/>
        <v>NO</v>
      </c>
      <c r="Q1273" s="23">
        <f t="shared" si="182"/>
        <v>0</v>
      </c>
      <c r="R1273" s="12">
        <f t="shared" si="182"/>
        <v>0</v>
      </c>
    </row>
    <row r="1274" spans="2:18">
      <c r="B1274" t="str">
        <f t="shared" si="176"/>
        <v/>
      </c>
      <c r="D1274" s="121"/>
      <c r="G1274" s="122"/>
      <c r="H1274" s="122"/>
      <c r="I1274" s="112">
        <v>0</v>
      </c>
      <c r="J1274" s="112">
        <v>0</v>
      </c>
      <c r="K1274" s="23">
        <f t="shared" si="177"/>
        <v>0</v>
      </c>
      <c r="L1274" s="23">
        <f t="shared" si="178"/>
        <v>0</v>
      </c>
      <c r="M1274" s="12">
        <f t="shared" si="183"/>
        <v>0</v>
      </c>
      <c r="N1274" s="23">
        <f t="shared" si="179"/>
        <v>0</v>
      </c>
      <c r="O1274" s="41">
        <f t="shared" si="180"/>
        <v>0</v>
      </c>
      <c r="P1274" s="13" t="str">
        <f t="shared" si="181"/>
        <v>NO</v>
      </c>
      <c r="Q1274" s="23">
        <f t="shared" si="182"/>
        <v>0</v>
      </c>
      <c r="R1274" s="12">
        <f t="shared" si="182"/>
        <v>0</v>
      </c>
    </row>
    <row r="1275" spans="2:18">
      <c r="B1275" t="str">
        <f t="shared" si="176"/>
        <v/>
      </c>
      <c r="D1275" s="121"/>
      <c r="G1275" s="122"/>
      <c r="H1275" s="122"/>
      <c r="I1275" s="112">
        <v>0</v>
      </c>
      <c r="J1275" s="112">
        <v>0</v>
      </c>
      <c r="K1275" s="23">
        <f t="shared" si="177"/>
        <v>0</v>
      </c>
      <c r="L1275" s="23">
        <f t="shared" si="178"/>
        <v>0</v>
      </c>
      <c r="M1275" s="12">
        <f t="shared" si="183"/>
        <v>0</v>
      </c>
      <c r="N1275" s="23">
        <f t="shared" si="179"/>
        <v>0</v>
      </c>
      <c r="O1275" s="41">
        <f t="shared" si="180"/>
        <v>0</v>
      </c>
      <c r="P1275" s="13" t="str">
        <f t="shared" si="181"/>
        <v>NO</v>
      </c>
      <c r="Q1275" s="23">
        <f t="shared" si="182"/>
        <v>0</v>
      </c>
      <c r="R1275" s="12">
        <f t="shared" si="182"/>
        <v>0</v>
      </c>
    </row>
    <row r="1276" spans="2:18">
      <c r="B1276" t="str">
        <f t="shared" si="176"/>
        <v/>
      </c>
      <c r="D1276" s="121"/>
      <c r="G1276" s="122"/>
      <c r="H1276" s="122"/>
      <c r="I1276" s="112">
        <v>0</v>
      </c>
      <c r="J1276" s="112">
        <v>0</v>
      </c>
      <c r="K1276" s="23">
        <f t="shared" si="177"/>
        <v>0</v>
      </c>
      <c r="L1276" s="23">
        <f t="shared" si="178"/>
        <v>0</v>
      </c>
      <c r="M1276" s="12">
        <f t="shared" si="183"/>
        <v>0</v>
      </c>
      <c r="N1276" s="23">
        <f t="shared" si="179"/>
        <v>0</v>
      </c>
      <c r="O1276" s="41">
        <f t="shared" si="180"/>
        <v>0</v>
      </c>
      <c r="P1276" s="13" t="str">
        <f t="shared" si="181"/>
        <v>NO</v>
      </c>
      <c r="Q1276" s="23">
        <f t="shared" si="182"/>
        <v>0</v>
      </c>
      <c r="R1276" s="12">
        <f t="shared" si="182"/>
        <v>0</v>
      </c>
    </row>
    <row r="1277" spans="2:18">
      <c r="B1277" t="str">
        <f t="shared" si="176"/>
        <v/>
      </c>
      <c r="D1277" s="121"/>
      <c r="G1277" s="122"/>
      <c r="H1277" s="122"/>
      <c r="I1277" s="112">
        <v>0</v>
      </c>
      <c r="J1277" s="112">
        <v>0</v>
      </c>
      <c r="K1277" s="23">
        <f t="shared" si="177"/>
        <v>0</v>
      </c>
      <c r="L1277" s="23">
        <f t="shared" si="178"/>
        <v>0</v>
      </c>
      <c r="M1277" s="12">
        <f t="shared" si="183"/>
        <v>0</v>
      </c>
      <c r="N1277" s="23">
        <f t="shared" si="179"/>
        <v>0</v>
      </c>
      <c r="O1277" s="41">
        <f t="shared" si="180"/>
        <v>0</v>
      </c>
      <c r="P1277" s="13" t="str">
        <f t="shared" si="181"/>
        <v>NO</v>
      </c>
      <c r="Q1277" s="23">
        <f t="shared" si="182"/>
        <v>0</v>
      </c>
      <c r="R1277" s="12">
        <f t="shared" si="182"/>
        <v>0</v>
      </c>
    </row>
    <row r="1278" spans="2:18">
      <c r="B1278" t="str">
        <f t="shared" si="176"/>
        <v/>
      </c>
      <c r="D1278" s="121"/>
      <c r="G1278" s="122"/>
      <c r="H1278" s="122"/>
      <c r="I1278" s="112">
        <v>0</v>
      </c>
      <c r="J1278" s="112">
        <v>0</v>
      </c>
      <c r="K1278" s="23">
        <f t="shared" si="177"/>
        <v>0</v>
      </c>
      <c r="L1278" s="23">
        <f t="shared" si="178"/>
        <v>0</v>
      </c>
      <c r="M1278" s="12">
        <f t="shared" si="183"/>
        <v>0</v>
      </c>
      <c r="N1278" s="23">
        <f t="shared" si="179"/>
        <v>0</v>
      </c>
      <c r="O1278" s="41">
        <f t="shared" si="180"/>
        <v>0</v>
      </c>
      <c r="P1278" s="13" t="str">
        <f t="shared" si="181"/>
        <v>NO</v>
      </c>
      <c r="Q1278" s="23">
        <f t="shared" si="182"/>
        <v>0</v>
      </c>
      <c r="R1278" s="12">
        <f t="shared" si="182"/>
        <v>0</v>
      </c>
    </row>
    <row r="1279" spans="2:18">
      <c r="B1279" t="str">
        <f t="shared" si="176"/>
        <v/>
      </c>
      <c r="D1279" s="121"/>
      <c r="G1279" s="122"/>
      <c r="H1279" s="122"/>
      <c r="I1279" s="112">
        <v>0</v>
      </c>
      <c r="J1279" s="112">
        <v>0</v>
      </c>
      <c r="K1279" s="23">
        <f t="shared" si="177"/>
        <v>0</v>
      </c>
      <c r="L1279" s="23">
        <f t="shared" si="178"/>
        <v>0</v>
      </c>
      <c r="M1279" s="12">
        <f t="shared" si="183"/>
        <v>0</v>
      </c>
      <c r="N1279" s="23">
        <f t="shared" si="179"/>
        <v>0</v>
      </c>
      <c r="O1279" s="41">
        <f t="shared" si="180"/>
        <v>0</v>
      </c>
      <c r="P1279" s="13" t="str">
        <f t="shared" si="181"/>
        <v>NO</v>
      </c>
      <c r="Q1279" s="23">
        <f t="shared" si="182"/>
        <v>0</v>
      </c>
      <c r="R1279" s="12">
        <f t="shared" si="182"/>
        <v>0</v>
      </c>
    </row>
    <row r="1280" spans="2:18">
      <c r="B1280" t="str">
        <f t="shared" si="176"/>
        <v/>
      </c>
      <c r="D1280" s="121"/>
      <c r="G1280" s="122"/>
      <c r="H1280" s="122"/>
      <c r="I1280" s="112">
        <v>0</v>
      </c>
      <c r="J1280" s="112">
        <v>0</v>
      </c>
      <c r="K1280" s="23">
        <f t="shared" si="177"/>
        <v>0</v>
      </c>
      <c r="L1280" s="23">
        <f t="shared" si="178"/>
        <v>0</v>
      </c>
      <c r="M1280" s="12">
        <f t="shared" si="183"/>
        <v>0</v>
      </c>
      <c r="N1280" s="23">
        <f t="shared" si="179"/>
        <v>0</v>
      </c>
      <c r="O1280" s="41">
        <f t="shared" si="180"/>
        <v>0</v>
      </c>
      <c r="P1280" s="13" t="str">
        <f t="shared" si="181"/>
        <v>NO</v>
      </c>
      <c r="Q1280" s="23">
        <f t="shared" si="182"/>
        <v>0</v>
      </c>
      <c r="R1280" s="12">
        <f t="shared" si="182"/>
        <v>0</v>
      </c>
    </row>
    <row r="1281" spans="2:18">
      <c r="B1281" t="str">
        <f t="shared" si="176"/>
        <v/>
      </c>
      <c r="D1281" s="121"/>
      <c r="G1281" s="122"/>
      <c r="H1281" s="122"/>
      <c r="I1281" s="112">
        <v>0</v>
      </c>
      <c r="J1281" s="112">
        <v>0</v>
      </c>
      <c r="K1281" s="23">
        <f t="shared" si="177"/>
        <v>0</v>
      </c>
      <c r="L1281" s="23">
        <f t="shared" si="178"/>
        <v>0</v>
      </c>
      <c r="M1281" s="12">
        <f t="shared" si="183"/>
        <v>0</v>
      </c>
      <c r="N1281" s="23">
        <f t="shared" si="179"/>
        <v>0</v>
      </c>
      <c r="O1281" s="41">
        <f t="shared" si="180"/>
        <v>0</v>
      </c>
      <c r="P1281" s="13" t="str">
        <f t="shared" si="181"/>
        <v>NO</v>
      </c>
      <c r="Q1281" s="23">
        <f t="shared" si="182"/>
        <v>0</v>
      </c>
      <c r="R1281" s="12">
        <f t="shared" si="182"/>
        <v>0</v>
      </c>
    </row>
    <row r="1282" spans="2:18">
      <c r="B1282" t="str">
        <f t="shared" si="176"/>
        <v/>
      </c>
      <c r="D1282" s="121"/>
      <c r="G1282" s="122"/>
      <c r="H1282" s="122"/>
      <c r="I1282" s="112">
        <v>0</v>
      </c>
      <c r="J1282" s="112">
        <v>0</v>
      </c>
      <c r="K1282" s="23">
        <f t="shared" si="177"/>
        <v>0</v>
      </c>
      <c r="L1282" s="23">
        <f t="shared" si="178"/>
        <v>0</v>
      </c>
      <c r="M1282" s="12">
        <f t="shared" si="183"/>
        <v>0</v>
      </c>
      <c r="N1282" s="23">
        <f t="shared" si="179"/>
        <v>0</v>
      </c>
      <c r="O1282" s="41">
        <f t="shared" si="180"/>
        <v>0</v>
      </c>
      <c r="P1282" s="13" t="str">
        <f t="shared" si="181"/>
        <v>NO</v>
      </c>
      <c r="Q1282" s="23">
        <f t="shared" si="182"/>
        <v>0</v>
      </c>
      <c r="R1282" s="12">
        <f t="shared" si="182"/>
        <v>0</v>
      </c>
    </row>
    <row r="1283" spans="2:18">
      <c r="B1283" t="str">
        <f t="shared" si="176"/>
        <v/>
      </c>
      <c r="D1283" s="121"/>
      <c r="G1283" s="122"/>
      <c r="H1283" s="122"/>
      <c r="I1283" s="112">
        <v>0</v>
      </c>
      <c r="J1283" s="112">
        <v>0</v>
      </c>
      <c r="K1283" s="23">
        <f t="shared" si="177"/>
        <v>0</v>
      </c>
      <c r="L1283" s="23">
        <f t="shared" si="178"/>
        <v>0</v>
      </c>
      <c r="M1283" s="12">
        <f t="shared" si="183"/>
        <v>0</v>
      </c>
      <c r="N1283" s="23">
        <f t="shared" si="179"/>
        <v>0</v>
      </c>
      <c r="O1283" s="41">
        <f t="shared" si="180"/>
        <v>0</v>
      </c>
      <c r="P1283" s="13" t="str">
        <f t="shared" si="181"/>
        <v>NO</v>
      </c>
      <c r="Q1283" s="23">
        <f t="shared" si="182"/>
        <v>0</v>
      </c>
      <c r="R1283" s="12">
        <f t="shared" si="182"/>
        <v>0</v>
      </c>
    </row>
    <row r="1284" spans="2:18">
      <c r="B1284" t="str">
        <f t="shared" si="176"/>
        <v/>
      </c>
      <c r="D1284" s="121"/>
      <c r="G1284" s="122"/>
      <c r="H1284" s="122"/>
      <c r="I1284" s="112">
        <v>0</v>
      </c>
      <c r="J1284" s="112">
        <v>0</v>
      </c>
      <c r="K1284" s="23">
        <f t="shared" si="177"/>
        <v>0</v>
      </c>
      <c r="L1284" s="23">
        <f t="shared" si="178"/>
        <v>0</v>
      </c>
      <c r="M1284" s="12">
        <f t="shared" si="183"/>
        <v>0</v>
      </c>
      <c r="N1284" s="23">
        <f t="shared" si="179"/>
        <v>0</v>
      </c>
      <c r="O1284" s="41">
        <f t="shared" si="180"/>
        <v>0</v>
      </c>
      <c r="P1284" s="13" t="str">
        <f t="shared" si="181"/>
        <v>NO</v>
      </c>
      <c r="Q1284" s="23">
        <f t="shared" si="182"/>
        <v>0</v>
      </c>
      <c r="R1284" s="12">
        <f t="shared" si="182"/>
        <v>0</v>
      </c>
    </row>
    <row r="1285" spans="2:18">
      <c r="B1285" t="str">
        <f t="shared" si="176"/>
        <v/>
      </c>
      <c r="D1285" s="121"/>
      <c r="G1285" s="122"/>
      <c r="H1285" s="122"/>
      <c r="I1285" s="112">
        <v>0</v>
      </c>
      <c r="J1285" s="112">
        <v>0</v>
      </c>
      <c r="K1285" s="23">
        <f t="shared" si="177"/>
        <v>0</v>
      </c>
      <c r="L1285" s="23">
        <f t="shared" si="178"/>
        <v>0</v>
      </c>
      <c r="M1285" s="12">
        <f t="shared" si="183"/>
        <v>0</v>
      </c>
      <c r="N1285" s="23">
        <f t="shared" si="179"/>
        <v>0</v>
      </c>
      <c r="O1285" s="41">
        <f t="shared" si="180"/>
        <v>0</v>
      </c>
      <c r="P1285" s="13" t="str">
        <f t="shared" si="181"/>
        <v>NO</v>
      </c>
      <c r="Q1285" s="23">
        <f t="shared" si="182"/>
        <v>0</v>
      </c>
      <c r="R1285" s="12">
        <f t="shared" si="182"/>
        <v>0</v>
      </c>
    </row>
    <row r="1286" spans="2:18">
      <c r="B1286" t="str">
        <f t="shared" si="176"/>
        <v/>
      </c>
      <c r="D1286" s="121"/>
      <c r="G1286" s="122"/>
      <c r="H1286" s="122"/>
      <c r="I1286" s="112">
        <v>0</v>
      </c>
      <c r="J1286" s="112">
        <v>0</v>
      </c>
      <c r="K1286" s="23">
        <f t="shared" si="177"/>
        <v>0</v>
      </c>
      <c r="L1286" s="23">
        <f t="shared" si="178"/>
        <v>0</v>
      </c>
      <c r="M1286" s="12">
        <f t="shared" si="183"/>
        <v>0</v>
      </c>
      <c r="N1286" s="23">
        <f t="shared" si="179"/>
        <v>0</v>
      </c>
      <c r="O1286" s="41">
        <f t="shared" si="180"/>
        <v>0</v>
      </c>
      <c r="P1286" s="13" t="str">
        <f t="shared" si="181"/>
        <v>NO</v>
      </c>
      <c r="Q1286" s="23">
        <f t="shared" si="182"/>
        <v>0</v>
      </c>
      <c r="R1286" s="12">
        <f t="shared" si="182"/>
        <v>0</v>
      </c>
    </row>
    <row r="1287" spans="2:18">
      <c r="B1287" t="str">
        <f t="shared" si="176"/>
        <v/>
      </c>
      <c r="D1287" s="121"/>
      <c r="G1287" s="122"/>
      <c r="H1287" s="122"/>
      <c r="I1287" s="112">
        <v>0</v>
      </c>
      <c r="J1287" s="112">
        <v>0</v>
      </c>
      <c r="K1287" s="23">
        <f t="shared" si="177"/>
        <v>0</v>
      </c>
      <c r="L1287" s="23">
        <f t="shared" si="178"/>
        <v>0</v>
      </c>
      <c r="M1287" s="12">
        <f t="shared" si="183"/>
        <v>0</v>
      </c>
      <c r="N1287" s="23">
        <f t="shared" si="179"/>
        <v>0</v>
      </c>
      <c r="O1287" s="41">
        <f t="shared" si="180"/>
        <v>0</v>
      </c>
      <c r="P1287" s="13" t="str">
        <f t="shared" si="181"/>
        <v>NO</v>
      </c>
      <c r="Q1287" s="23">
        <f t="shared" si="182"/>
        <v>0</v>
      </c>
      <c r="R1287" s="12">
        <f t="shared" si="182"/>
        <v>0</v>
      </c>
    </row>
    <row r="1288" spans="2:18">
      <c r="B1288" t="str">
        <f t="shared" si="176"/>
        <v/>
      </c>
      <c r="D1288" s="121"/>
      <c r="G1288" s="122"/>
      <c r="H1288" s="122"/>
      <c r="I1288" s="112">
        <v>0</v>
      </c>
      <c r="J1288" s="112">
        <v>0</v>
      </c>
      <c r="K1288" s="23">
        <f t="shared" si="177"/>
        <v>0</v>
      </c>
      <c r="L1288" s="23">
        <f t="shared" si="178"/>
        <v>0</v>
      </c>
      <c r="M1288" s="12">
        <f t="shared" si="183"/>
        <v>0</v>
      </c>
      <c r="N1288" s="23">
        <f t="shared" si="179"/>
        <v>0</v>
      </c>
      <c r="O1288" s="41">
        <f t="shared" si="180"/>
        <v>0</v>
      </c>
      <c r="P1288" s="13" t="str">
        <f t="shared" si="181"/>
        <v>NO</v>
      </c>
      <c r="Q1288" s="23">
        <f t="shared" si="182"/>
        <v>0</v>
      </c>
      <c r="R1288" s="12">
        <f t="shared" si="182"/>
        <v>0</v>
      </c>
    </row>
    <row r="1289" spans="2:18">
      <c r="B1289" t="str">
        <f t="shared" si="176"/>
        <v/>
      </c>
      <c r="D1289" s="121"/>
      <c r="G1289" s="122"/>
      <c r="H1289" s="122"/>
      <c r="I1289" s="112">
        <v>0</v>
      </c>
      <c r="J1289" s="112">
        <v>0</v>
      </c>
      <c r="K1289" s="23">
        <f t="shared" si="177"/>
        <v>0</v>
      </c>
      <c r="L1289" s="23">
        <f t="shared" si="178"/>
        <v>0</v>
      </c>
      <c r="M1289" s="12">
        <f t="shared" si="183"/>
        <v>0</v>
      </c>
      <c r="N1289" s="23">
        <f t="shared" si="179"/>
        <v>0</v>
      </c>
      <c r="O1289" s="41">
        <f t="shared" si="180"/>
        <v>0</v>
      </c>
      <c r="P1289" s="13" t="str">
        <f t="shared" si="181"/>
        <v>NO</v>
      </c>
      <c r="Q1289" s="23">
        <f t="shared" si="182"/>
        <v>0</v>
      </c>
      <c r="R1289" s="12">
        <f t="shared" si="182"/>
        <v>0</v>
      </c>
    </row>
    <row r="1290" spans="2:18">
      <c r="B1290" t="str">
        <f t="shared" si="176"/>
        <v/>
      </c>
      <c r="D1290" s="121"/>
      <c r="G1290" s="122"/>
      <c r="H1290" s="122"/>
      <c r="I1290" s="112">
        <v>0</v>
      </c>
      <c r="J1290" s="112">
        <v>0</v>
      </c>
      <c r="K1290" s="23">
        <f t="shared" si="177"/>
        <v>0</v>
      </c>
      <c r="L1290" s="23">
        <f t="shared" si="178"/>
        <v>0</v>
      </c>
      <c r="M1290" s="12">
        <f t="shared" si="183"/>
        <v>0</v>
      </c>
      <c r="N1290" s="23">
        <f t="shared" si="179"/>
        <v>0</v>
      </c>
      <c r="O1290" s="41">
        <f t="shared" si="180"/>
        <v>0</v>
      </c>
      <c r="P1290" s="13" t="str">
        <f t="shared" si="181"/>
        <v>NO</v>
      </c>
      <c r="Q1290" s="23">
        <f t="shared" si="182"/>
        <v>0</v>
      </c>
      <c r="R1290" s="12">
        <f t="shared" si="182"/>
        <v>0</v>
      </c>
    </row>
    <row r="1291" spans="2:18">
      <c r="B1291" t="str">
        <f t="shared" si="176"/>
        <v/>
      </c>
      <c r="D1291" s="121"/>
      <c r="G1291" s="122"/>
      <c r="H1291" s="122"/>
      <c r="I1291" s="112">
        <v>0</v>
      </c>
      <c r="J1291" s="112">
        <v>0</v>
      </c>
      <c r="K1291" s="23">
        <f t="shared" si="177"/>
        <v>0</v>
      </c>
      <c r="L1291" s="23">
        <f t="shared" si="178"/>
        <v>0</v>
      </c>
      <c r="M1291" s="12">
        <f t="shared" si="183"/>
        <v>0</v>
      </c>
      <c r="N1291" s="23">
        <f t="shared" si="179"/>
        <v>0</v>
      </c>
      <c r="O1291" s="41">
        <f t="shared" si="180"/>
        <v>0</v>
      </c>
      <c r="P1291" s="13" t="str">
        <f t="shared" si="181"/>
        <v>NO</v>
      </c>
      <c r="Q1291" s="23">
        <f t="shared" si="182"/>
        <v>0</v>
      </c>
      <c r="R1291" s="12">
        <f t="shared" si="182"/>
        <v>0</v>
      </c>
    </row>
    <row r="1292" spans="2:18">
      <c r="B1292" t="str">
        <f t="shared" si="176"/>
        <v/>
      </c>
      <c r="D1292" s="121"/>
      <c r="G1292" s="122"/>
      <c r="H1292" s="122"/>
      <c r="I1292" s="112">
        <v>0</v>
      </c>
      <c r="J1292" s="112">
        <v>0</v>
      </c>
      <c r="K1292" s="23">
        <f t="shared" si="177"/>
        <v>0</v>
      </c>
      <c r="L1292" s="23">
        <f t="shared" si="178"/>
        <v>0</v>
      </c>
      <c r="M1292" s="12">
        <f t="shared" si="183"/>
        <v>0</v>
      </c>
      <c r="N1292" s="23">
        <f t="shared" si="179"/>
        <v>0</v>
      </c>
      <c r="O1292" s="41">
        <f t="shared" si="180"/>
        <v>0</v>
      </c>
      <c r="P1292" s="13" t="str">
        <f t="shared" si="181"/>
        <v>NO</v>
      </c>
      <c r="Q1292" s="23">
        <f t="shared" si="182"/>
        <v>0</v>
      </c>
      <c r="R1292" s="12">
        <f t="shared" si="182"/>
        <v>0</v>
      </c>
    </row>
    <row r="1293" spans="2:18">
      <c r="B1293" t="str">
        <f t="shared" si="176"/>
        <v/>
      </c>
      <c r="D1293" s="121"/>
      <c r="G1293" s="122"/>
      <c r="H1293" s="122"/>
      <c r="I1293" s="112">
        <v>0</v>
      </c>
      <c r="J1293" s="112">
        <v>0</v>
      </c>
      <c r="K1293" s="23">
        <f t="shared" si="177"/>
        <v>0</v>
      </c>
      <c r="L1293" s="23">
        <f t="shared" si="178"/>
        <v>0</v>
      </c>
      <c r="M1293" s="12">
        <f t="shared" si="183"/>
        <v>0</v>
      </c>
      <c r="N1293" s="23">
        <f t="shared" si="179"/>
        <v>0</v>
      </c>
      <c r="O1293" s="41">
        <f t="shared" si="180"/>
        <v>0</v>
      </c>
      <c r="P1293" s="13" t="str">
        <f t="shared" si="181"/>
        <v>NO</v>
      </c>
      <c r="Q1293" s="23">
        <f t="shared" si="182"/>
        <v>0</v>
      </c>
      <c r="R1293" s="12">
        <f t="shared" si="182"/>
        <v>0</v>
      </c>
    </row>
    <row r="1294" spans="2:18">
      <c r="B1294" t="str">
        <f t="shared" si="176"/>
        <v/>
      </c>
      <c r="D1294" s="121"/>
      <c r="G1294" s="122"/>
      <c r="H1294" s="122"/>
      <c r="I1294" s="112">
        <v>0</v>
      </c>
      <c r="J1294" s="112">
        <v>0</v>
      </c>
      <c r="K1294" s="23">
        <f t="shared" si="177"/>
        <v>0</v>
      </c>
      <c r="L1294" s="23">
        <f t="shared" si="178"/>
        <v>0</v>
      </c>
      <c r="M1294" s="12">
        <f t="shared" si="183"/>
        <v>0</v>
      </c>
      <c r="N1294" s="23">
        <f t="shared" si="179"/>
        <v>0</v>
      </c>
      <c r="O1294" s="41">
        <f t="shared" si="180"/>
        <v>0</v>
      </c>
      <c r="P1294" s="13" t="str">
        <f t="shared" si="181"/>
        <v>NO</v>
      </c>
      <c r="Q1294" s="23">
        <f t="shared" si="182"/>
        <v>0</v>
      </c>
      <c r="R1294" s="12">
        <f t="shared" si="182"/>
        <v>0</v>
      </c>
    </row>
    <row r="1295" spans="2:18">
      <c r="B1295" t="str">
        <f t="shared" si="176"/>
        <v/>
      </c>
      <c r="D1295" s="121"/>
      <c r="G1295" s="122"/>
      <c r="H1295" s="122"/>
      <c r="I1295" s="112">
        <v>0</v>
      </c>
      <c r="J1295" s="112">
        <v>0</v>
      </c>
      <c r="K1295" s="23">
        <f t="shared" si="177"/>
        <v>0</v>
      </c>
      <c r="L1295" s="23">
        <f t="shared" si="178"/>
        <v>0</v>
      </c>
      <c r="M1295" s="12">
        <f t="shared" si="183"/>
        <v>0</v>
      </c>
      <c r="N1295" s="23">
        <f t="shared" si="179"/>
        <v>0</v>
      </c>
      <c r="O1295" s="41">
        <f t="shared" si="180"/>
        <v>0</v>
      </c>
      <c r="P1295" s="13" t="str">
        <f t="shared" si="181"/>
        <v>NO</v>
      </c>
      <c r="Q1295" s="23">
        <f t="shared" si="182"/>
        <v>0</v>
      </c>
      <c r="R1295" s="12">
        <f t="shared" si="182"/>
        <v>0</v>
      </c>
    </row>
    <row r="1296" spans="2:18">
      <c r="B1296" t="str">
        <f t="shared" si="176"/>
        <v/>
      </c>
      <c r="D1296" s="121"/>
      <c r="G1296" s="122"/>
      <c r="H1296" s="122"/>
      <c r="I1296" s="112">
        <v>0</v>
      </c>
      <c r="J1296" s="112">
        <v>0</v>
      </c>
      <c r="K1296" s="23">
        <f t="shared" si="177"/>
        <v>0</v>
      </c>
      <c r="L1296" s="23">
        <f t="shared" si="178"/>
        <v>0</v>
      </c>
      <c r="M1296" s="12">
        <f t="shared" si="183"/>
        <v>0</v>
      </c>
      <c r="N1296" s="23">
        <f t="shared" si="179"/>
        <v>0</v>
      </c>
      <c r="O1296" s="41">
        <f t="shared" si="180"/>
        <v>0</v>
      </c>
      <c r="P1296" s="13" t="str">
        <f t="shared" si="181"/>
        <v>NO</v>
      </c>
      <c r="Q1296" s="23">
        <f t="shared" si="182"/>
        <v>0</v>
      </c>
      <c r="R1296" s="12">
        <f t="shared" si="182"/>
        <v>0</v>
      </c>
    </row>
    <row r="1297" spans="2:18">
      <c r="B1297" t="str">
        <f t="shared" si="176"/>
        <v/>
      </c>
      <c r="D1297" s="121"/>
      <c r="G1297" s="122"/>
      <c r="H1297" s="122"/>
      <c r="I1297" s="112">
        <v>0</v>
      </c>
      <c r="J1297" s="112">
        <v>0</v>
      </c>
      <c r="K1297" s="23">
        <f t="shared" si="177"/>
        <v>0</v>
      </c>
      <c r="L1297" s="23">
        <f t="shared" si="178"/>
        <v>0</v>
      </c>
      <c r="M1297" s="12">
        <f t="shared" si="183"/>
        <v>0</v>
      </c>
      <c r="N1297" s="23">
        <f t="shared" si="179"/>
        <v>0</v>
      </c>
      <c r="O1297" s="41">
        <f t="shared" si="180"/>
        <v>0</v>
      </c>
      <c r="P1297" s="13" t="str">
        <f t="shared" si="181"/>
        <v>NO</v>
      </c>
      <c r="Q1297" s="23">
        <f t="shared" si="182"/>
        <v>0</v>
      </c>
      <c r="R1297" s="12">
        <f t="shared" si="182"/>
        <v>0</v>
      </c>
    </row>
    <row r="1298" spans="2:18">
      <c r="B1298" t="str">
        <f t="shared" si="176"/>
        <v/>
      </c>
      <c r="D1298" s="121"/>
      <c r="G1298" s="122"/>
      <c r="H1298" s="122"/>
      <c r="I1298" s="112">
        <v>0</v>
      </c>
      <c r="J1298" s="112">
        <v>0</v>
      </c>
      <c r="K1298" s="23">
        <f t="shared" si="177"/>
        <v>0</v>
      </c>
      <c r="L1298" s="23">
        <f t="shared" si="178"/>
        <v>0</v>
      </c>
      <c r="M1298" s="12">
        <f t="shared" si="183"/>
        <v>0</v>
      </c>
      <c r="N1298" s="23">
        <f t="shared" si="179"/>
        <v>0</v>
      </c>
      <c r="O1298" s="41">
        <f t="shared" si="180"/>
        <v>0</v>
      </c>
      <c r="P1298" s="13" t="str">
        <f t="shared" si="181"/>
        <v>NO</v>
      </c>
      <c r="Q1298" s="23">
        <f t="shared" si="182"/>
        <v>0</v>
      </c>
      <c r="R1298" s="12">
        <f t="shared" si="182"/>
        <v>0</v>
      </c>
    </row>
    <row r="1299" spans="2:18">
      <c r="B1299" t="str">
        <f t="shared" si="176"/>
        <v/>
      </c>
      <c r="D1299" s="121"/>
      <c r="G1299" s="122"/>
      <c r="H1299" s="122"/>
      <c r="I1299" s="112">
        <v>0</v>
      </c>
      <c r="J1299" s="112">
        <v>0</v>
      </c>
      <c r="K1299" s="23">
        <f t="shared" si="177"/>
        <v>0</v>
      </c>
      <c r="L1299" s="23">
        <f t="shared" si="178"/>
        <v>0</v>
      </c>
      <c r="M1299" s="12">
        <f t="shared" si="183"/>
        <v>0</v>
      </c>
      <c r="N1299" s="23">
        <f t="shared" si="179"/>
        <v>0</v>
      </c>
      <c r="O1299" s="41">
        <f t="shared" si="180"/>
        <v>0</v>
      </c>
      <c r="P1299" s="13" t="str">
        <f t="shared" si="181"/>
        <v>NO</v>
      </c>
      <c r="Q1299" s="23">
        <f t="shared" si="182"/>
        <v>0</v>
      </c>
      <c r="R1299" s="12">
        <f t="shared" si="182"/>
        <v>0</v>
      </c>
    </row>
    <row r="1300" spans="2:18">
      <c r="B1300" t="str">
        <f t="shared" si="176"/>
        <v/>
      </c>
      <c r="D1300" s="121"/>
      <c r="G1300" s="122"/>
      <c r="H1300" s="122"/>
      <c r="I1300" s="112">
        <v>0</v>
      </c>
      <c r="J1300" s="112">
        <v>0</v>
      </c>
      <c r="K1300" s="23">
        <f t="shared" si="177"/>
        <v>0</v>
      </c>
      <c r="L1300" s="23">
        <f t="shared" si="178"/>
        <v>0</v>
      </c>
      <c r="M1300" s="12">
        <f t="shared" si="183"/>
        <v>0</v>
      </c>
      <c r="N1300" s="23">
        <f t="shared" si="179"/>
        <v>0</v>
      </c>
      <c r="O1300" s="41">
        <f t="shared" si="180"/>
        <v>0</v>
      </c>
      <c r="P1300" s="13" t="str">
        <f t="shared" si="181"/>
        <v>NO</v>
      </c>
      <c r="Q1300" s="23">
        <f t="shared" si="182"/>
        <v>0</v>
      </c>
      <c r="R1300" s="12">
        <f t="shared" si="182"/>
        <v>0</v>
      </c>
    </row>
    <row r="1301" spans="2:18">
      <c r="B1301" t="str">
        <f t="shared" si="176"/>
        <v/>
      </c>
      <c r="D1301" s="121"/>
      <c r="G1301" s="122"/>
      <c r="H1301" s="122"/>
      <c r="I1301" s="112">
        <v>0</v>
      </c>
      <c r="J1301" s="112">
        <v>0</v>
      </c>
      <c r="K1301" s="23">
        <f t="shared" si="177"/>
        <v>0</v>
      </c>
      <c r="L1301" s="23">
        <f t="shared" si="178"/>
        <v>0</v>
      </c>
      <c r="M1301" s="12">
        <f t="shared" si="183"/>
        <v>0</v>
      </c>
      <c r="N1301" s="23">
        <f t="shared" si="179"/>
        <v>0</v>
      </c>
      <c r="O1301" s="41">
        <f t="shared" si="180"/>
        <v>0</v>
      </c>
      <c r="P1301" s="13" t="str">
        <f t="shared" si="181"/>
        <v>NO</v>
      </c>
      <c r="Q1301" s="23">
        <f t="shared" si="182"/>
        <v>0</v>
      </c>
      <c r="R1301" s="12">
        <f t="shared" si="182"/>
        <v>0</v>
      </c>
    </row>
    <row r="1302" spans="2:18">
      <c r="B1302" t="str">
        <f t="shared" si="176"/>
        <v/>
      </c>
      <c r="D1302" s="121"/>
      <c r="G1302" s="122"/>
      <c r="H1302" s="122"/>
      <c r="I1302" s="112">
        <v>0</v>
      </c>
      <c r="J1302" s="112">
        <v>0</v>
      </c>
      <c r="K1302" s="23">
        <f t="shared" si="177"/>
        <v>0</v>
      </c>
      <c r="L1302" s="23">
        <f t="shared" si="178"/>
        <v>0</v>
      </c>
      <c r="M1302" s="12">
        <f t="shared" si="183"/>
        <v>0</v>
      </c>
      <c r="N1302" s="23">
        <f t="shared" si="179"/>
        <v>0</v>
      </c>
      <c r="O1302" s="41">
        <f t="shared" si="180"/>
        <v>0</v>
      </c>
      <c r="P1302" s="13" t="str">
        <f t="shared" si="181"/>
        <v>NO</v>
      </c>
      <c r="Q1302" s="23">
        <f t="shared" si="182"/>
        <v>0</v>
      </c>
      <c r="R1302" s="12">
        <f t="shared" si="182"/>
        <v>0</v>
      </c>
    </row>
    <row r="1303" spans="2:18">
      <c r="B1303" t="str">
        <f t="shared" si="176"/>
        <v/>
      </c>
      <c r="D1303" s="121"/>
      <c r="G1303" s="122"/>
      <c r="H1303" s="122"/>
      <c r="I1303" s="112">
        <v>0</v>
      </c>
      <c r="J1303" s="112">
        <v>0</v>
      </c>
      <c r="K1303" s="23">
        <f t="shared" si="177"/>
        <v>0</v>
      </c>
      <c r="L1303" s="23">
        <f t="shared" si="178"/>
        <v>0</v>
      </c>
      <c r="M1303" s="12">
        <f t="shared" si="183"/>
        <v>0</v>
      </c>
      <c r="N1303" s="23">
        <f t="shared" si="179"/>
        <v>0</v>
      </c>
      <c r="O1303" s="41">
        <f t="shared" si="180"/>
        <v>0</v>
      </c>
      <c r="P1303" s="13" t="str">
        <f t="shared" si="181"/>
        <v>NO</v>
      </c>
      <c r="Q1303" s="23">
        <f t="shared" si="182"/>
        <v>0</v>
      </c>
      <c r="R1303" s="12">
        <f t="shared" si="182"/>
        <v>0</v>
      </c>
    </row>
    <row r="1304" spans="2:18">
      <c r="B1304" t="str">
        <f t="shared" si="176"/>
        <v/>
      </c>
      <c r="D1304" s="121"/>
      <c r="G1304" s="122"/>
      <c r="H1304" s="122"/>
      <c r="I1304" s="112">
        <v>0</v>
      </c>
      <c r="J1304" s="112">
        <v>0</v>
      </c>
      <c r="K1304" s="23">
        <f t="shared" si="177"/>
        <v>0</v>
      </c>
      <c r="L1304" s="23">
        <f t="shared" si="178"/>
        <v>0</v>
      </c>
      <c r="M1304" s="12">
        <f t="shared" si="183"/>
        <v>0</v>
      </c>
      <c r="N1304" s="23">
        <f t="shared" si="179"/>
        <v>0</v>
      </c>
      <c r="O1304" s="41">
        <f t="shared" si="180"/>
        <v>0</v>
      </c>
      <c r="P1304" s="13" t="str">
        <f t="shared" si="181"/>
        <v>NO</v>
      </c>
      <c r="Q1304" s="23">
        <f t="shared" si="182"/>
        <v>0</v>
      </c>
      <c r="R1304" s="12">
        <f t="shared" si="182"/>
        <v>0</v>
      </c>
    </row>
    <row r="1305" spans="2:18">
      <c r="B1305" t="str">
        <f t="shared" si="176"/>
        <v/>
      </c>
      <c r="D1305" s="121"/>
      <c r="G1305" s="122"/>
      <c r="H1305" s="122"/>
      <c r="I1305" s="112">
        <v>0</v>
      </c>
      <c r="J1305" s="112">
        <v>0</v>
      </c>
      <c r="K1305" s="23">
        <f t="shared" si="177"/>
        <v>0</v>
      </c>
      <c r="L1305" s="23">
        <f t="shared" si="178"/>
        <v>0</v>
      </c>
      <c r="M1305" s="12">
        <f t="shared" si="183"/>
        <v>0</v>
      </c>
      <c r="N1305" s="23">
        <f t="shared" si="179"/>
        <v>0</v>
      </c>
      <c r="O1305" s="41">
        <f t="shared" si="180"/>
        <v>0</v>
      </c>
      <c r="P1305" s="13" t="str">
        <f t="shared" si="181"/>
        <v>NO</v>
      </c>
      <c r="Q1305" s="23">
        <f t="shared" si="182"/>
        <v>0</v>
      </c>
      <c r="R1305" s="12">
        <f t="shared" si="182"/>
        <v>0</v>
      </c>
    </row>
    <row r="1306" spans="2:18">
      <c r="B1306" t="str">
        <f t="shared" si="176"/>
        <v/>
      </c>
      <c r="D1306" s="121"/>
      <c r="G1306" s="122"/>
      <c r="H1306" s="122"/>
      <c r="I1306" s="112">
        <v>0</v>
      </c>
      <c r="J1306" s="112">
        <v>0</v>
      </c>
      <c r="K1306" s="23">
        <f t="shared" si="177"/>
        <v>0</v>
      </c>
      <c r="L1306" s="23">
        <f t="shared" si="178"/>
        <v>0</v>
      </c>
      <c r="M1306" s="12">
        <f t="shared" si="183"/>
        <v>0</v>
      </c>
      <c r="N1306" s="23">
        <f t="shared" si="179"/>
        <v>0</v>
      </c>
      <c r="O1306" s="41">
        <f t="shared" si="180"/>
        <v>0</v>
      </c>
      <c r="P1306" s="13" t="str">
        <f t="shared" si="181"/>
        <v>NO</v>
      </c>
      <c r="Q1306" s="23">
        <f t="shared" si="182"/>
        <v>0</v>
      </c>
      <c r="R1306" s="12">
        <f t="shared" si="182"/>
        <v>0</v>
      </c>
    </row>
    <row r="1307" spans="2:18">
      <c r="B1307" t="str">
        <f t="shared" si="176"/>
        <v/>
      </c>
      <c r="D1307" s="121"/>
      <c r="G1307" s="122"/>
      <c r="H1307" s="122"/>
      <c r="I1307" s="112">
        <v>0</v>
      </c>
      <c r="J1307" s="112">
        <v>0</v>
      </c>
      <c r="K1307" s="23">
        <f t="shared" si="177"/>
        <v>0</v>
      </c>
      <c r="L1307" s="23">
        <f t="shared" si="178"/>
        <v>0</v>
      </c>
      <c r="M1307" s="12">
        <f t="shared" si="183"/>
        <v>0</v>
      </c>
      <c r="N1307" s="23">
        <f t="shared" si="179"/>
        <v>0</v>
      </c>
      <c r="O1307" s="41">
        <f t="shared" si="180"/>
        <v>0</v>
      </c>
      <c r="P1307" s="13" t="str">
        <f t="shared" si="181"/>
        <v>NO</v>
      </c>
      <c r="Q1307" s="23">
        <f t="shared" si="182"/>
        <v>0</v>
      </c>
      <c r="R1307" s="12">
        <f t="shared" si="182"/>
        <v>0</v>
      </c>
    </row>
    <row r="1308" spans="2:18">
      <c r="B1308" t="str">
        <f t="shared" si="176"/>
        <v/>
      </c>
      <c r="D1308" s="121"/>
      <c r="G1308" s="122"/>
      <c r="H1308" s="122"/>
      <c r="I1308" s="112">
        <v>0</v>
      </c>
      <c r="J1308" s="112">
        <v>0</v>
      </c>
      <c r="K1308" s="23">
        <f t="shared" si="177"/>
        <v>0</v>
      </c>
      <c r="L1308" s="23">
        <f t="shared" si="178"/>
        <v>0</v>
      </c>
      <c r="M1308" s="12">
        <f t="shared" si="183"/>
        <v>0</v>
      </c>
      <c r="N1308" s="23">
        <f t="shared" si="179"/>
        <v>0</v>
      </c>
      <c r="O1308" s="41">
        <f t="shared" si="180"/>
        <v>0</v>
      </c>
      <c r="P1308" s="13" t="str">
        <f t="shared" si="181"/>
        <v>NO</v>
      </c>
      <c r="Q1308" s="23">
        <f t="shared" si="182"/>
        <v>0</v>
      </c>
      <c r="R1308" s="12">
        <f t="shared" si="182"/>
        <v>0</v>
      </c>
    </row>
    <row r="1309" spans="2:18">
      <c r="B1309" t="str">
        <f t="shared" si="176"/>
        <v/>
      </c>
      <c r="D1309" s="121"/>
      <c r="G1309" s="122"/>
      <c r="H1309" s="122"/>
      <c r="I1309" s="112">
        <v>0</v>
      </c>
      <c r="J1309" s="112">
        <v>0</v>
      </c>
      <c r="K1309" s="23">
        <f t="shared" si="177"/>
        <v>0</v>
      </c>
      <c r="L1309" s="23">
        <f t="shared" si="178"/>
        <v>0</v>
      </c>
      <c r="M1309" s="12">
        <f t="shared" si="183"/>
        <v>0</v>
      </c>
      <c r="N1309" s="23">
        <f t="shared" si="179"/>
        <v>0</v>
      </c>
      <c r="O1309" s="41">
        <f t="shared" si="180"/>
        <v>0</v>
      </c>
      <c r="P1309" s="13" t="str">
        <f t="shared" si="181"/>
        <v>NO</v>
      </c>
      <c r="Q1309" s="23">
        <f t="shared" si="182"/>
        <v>0</v>
      </c>
      <c r="R1309" s="12">
        <f t="shared" si="182"/>
        <v>0</v>
      </c>
    </row>
    <row r="1310" spans="2:18">
      <c r="B1310" t="str">
        <f t="shared" si="176"/>
        <v/>
      </c>
      <c r="D1310" s="121"/>
      <c r="G1310" s="122"/>
      <c r="H1310" s="122"/>
      <c r="I1310" s="112">
        <v>0</v>
      </c>
      <c r="J1310" s="112">
        <v>0</v>
      </c>
      <c r="K1310" s="23">
        <f t="shared" si="177"/>
        <v>0</v>
      </c>
      <c r="L1310" s="23">
        <f t="shared" si="178"/>
        <v>0</v>
      </c>
      <c r="M1310" s="12">
        <f t="shared" si="183"/>
        <v>0</v>
      </c>
      <c r="N1310" s="23">
        <f t="shared" si="179"/>
        <v>0</v>
      </c>
      <c r="O1310" s="41">
        <f t="shared" si="180"/>
        <v>0</v>
      </c>
      <c r="P1310" s="13" t="str">
        <f t="shared" si="181"/>
        <v>NO</v>
      </c>
      <c r="Q1310" s="23">
        <f t="shared" si="182"/>
        <v>0</v>
      </c>
      <c r="R1310" s="12">
        <f t="shared" si="182"/>
        <v>0</v>
      </c>
    </row>
    <row r="1311" spans="2:18">
      <c r="B1311" t="str">
        <f t="shared" si="176"/>
        <v/>
      </c>
      <c r="D1311" s="121"/>
      <c r="G1311" s="122"/>
      <c r="H1311" s="122"/>
      <c r="I1311" s="112">
        <v>0</v>
      </c>
      <c r="J1311" s="112">
        <v>0</v>
      </c>
      <c r="K1311" s="23">
        <f t="shared" si="177"/>
        <v>0</v>
      </c>
      <c r="L1311" s="23">
        <f t="shared" si="178"/>
        <v>0</v>
      </c>
      <c r="M1311" s="12">
        <f t="shared" si="183"/>
        <v>0</v>
      </c>
      <c r="N1311" s="23">
        <f t="shared" si="179"/>
        <v>0</v>
      </c>
      <c r="O1311" s="41">
        <f t="shared" si="180"/>
        <v>0</v>
      </c>
      <c r="P1311" s="13" t="str">
        <f t="shared" si="181"/>
        <v>NO</v>
      </c>
      <c r="Q1311" s="23">
        <f t="shared" si="182"/>
        <v>0</v>
      </c>
      <c r="R1311" s="12">
        <f t="shared" si="182"/>
        <v>0</v>
      </c>
    </row>
    <row r="1312" spans="2:18">
      <c r="B1312" t="str">
        <f t="shared" si="176"/>
        <v/>
      </c>
      <c r="D1312" s="121"/>
      <c r="G1312" s="122"/>
      <c r="H1312" s="122"/>
      <c r="I1312" s="112">
        <v>0</v>
      </c>
      <c r="J1312" s="112">
        <v>0</v>
      </c>
      <c r="K1312" s="23">
        <f t="shared" si="177"/>
        <v>0</v>
      </c>
      <c r="L1312" s="23">
        <f t="shared" si="178"/>
        <v>0</v>
      </c>
      <c r="M1312" s="12">
        <f t="shared" si="183"/>
        <v>0</v>
      </c>
      <c r="N1312" s="23">
        <f t="shared" si="179"/>
        <v>0</v>
      </c>
      <c r="O1312" s="41">
        <f t="shared" si="180"/>
        <v>0</v>
      </c>
      <c r="P1312" s="13" t="str">
        <f t="shared" si="181"/>
        <v>NO</v>
      </c>
      <c r="Q1312" s="23">
        <f t="shared" si="182"/>
        <v>0</v>
      </c>
      <c r="R1312" s="12">
        <f t="shared" si="182"/>
        <v>0</v>
      </c>
    </row>
    <row r="1313" spans="2:18">
      <c r="B1313" t="str">
        <f t="shared" si="176"/>
        <v/>
      </c>
      <c r="D1313" s="121"/>
      <c r="G1313" s="122"/>
      <c r="H1313" s="122"/>
      <c r="I1313" s="112">
        <v>0</v>
      </c>
      <c r="J1313" s="112">
        <v>0</v>
      </c>
      <c r="K1313" s="23">
        <f t="shared" si="177"/>
        <v>0</v>
      </c>
      <c r="L1313" s="23">
        <f t="shared" si="178"/>
        <v>0</v>
      </c>
      <c r="M1313" s="12">
        <f t="shared" si="183"/>
        <v>0</v>
      </c>
      <c r="N1313" s="23">
        <f t="shared" si="179"/>
        <v>0</v>
      </c>
      <c r="O1313" s="41">
        <f t="shared" si="180"/>
        <v>0</v>
      </c>
      <c r="P1313" s="13" t="str">
        <f t="shared" si="181"/>
        <v>NO</v>
      </c>
      <c r="Q1313" s="23">
        <f t="shared" si="182"/>
        <v>0</v>
      </c>
      <c r="R1313" s="12">
        <f t="shared" si="182"/>
        <v>0</v>
      </c>
    </row>
    <row r="1314" spans="2:18">
      <c r="B1314" t="str">
        <f t="shared" si="176"/>
        <v/>
      </c>
      <c r="D1314" s="121"/>
      <c r="G1314" s="122"/>
      <c r="H1314" s="122"/>
      <c r="I1314" s="112">
        <v>0</v>
      </c>
      <c r="J1314" s="112">
        <v>0</v>
      </c>
      <c r="K1314" s="23">
        <f t="shared" si="177"/>
        <v>0</v>
      </c>
      <c r="L1314" s="23">
        <f t="shared" si="178"/>
        <v>0</v>
      </c>
      <c r="M1314" s="12">
        <f t="shared" si="183"/>
        <v>0</v>
      </c>
      <c r="N1314" s="23">
        <f t="shared" si="179"/>
        <v>0</v>
      </c>
      <c r="O1314" s="41">
        <f t="shared" si="180"/>
        <v>0</v>
      </c>
      <c r="P1314" s="13" t="str">
        <f t="shared" si="181"/>
        <v>NO</v>
      </c>
      <c r="Q1314" s="23">
        <f t="shared" si="182"/>
        <v>0</v>
      </c>
      <c r="R1314" s="12">
        <f t="shared" si="182"/>
        <v>0</v>
      </c>
    </row>
    <row r="1315" spans="2:18">
      <c r="B1315" t="str">
        <f t="shared" si="176"/>
        <v/>
      </c>
      <c r="D1315" s="121"/>
      <c r="G1315" s="122"/>
      <c r="H1315" s="122"/>
      <c r="I1315" s="112">
        <v>0</v>
      </c>
      <c r="J1315" s="112">
        <v>0</v>
      </c>
      <c r="K1315" s="23">
        <f t="shared" si="177"/>
        <v>0</v>
      </c>
      <c r="L1315" s="23">
        <f t="shared" si="178"/>
        <v>0</v>
      </c>
      <c r="M1315" s="12">
        <f t="shared" si="183"/>
        <v>0</v>
      </c>
      <c r="N1315" s="23">
        <f t="shared" si="179"/>
        <v>0</v>
      </c>
      <c r="O1315" s="41">
        <f t="shared" si="180"/>
        <v>0</v>
      </c>
      <c r="P1315" s="13" t="str">
        <f t="shared" si="181"/>
        <v>NO</v>
      </c>
      <c r="Q1315" s="23">
        <f t="shared" si="182"/>
        <v>0</v>
      </c>
      <c r="R1315" s="12">
        <f t="shared" si="182"/>
        <v>0</v>
      </c>
    </row>
    <row r="1316" spans="2:18">
      <c r="B1316" t="str">
        <f t="shared" si="176"/>
        <v/>
      </c>
      <c r="D1316" s="121"/>
      <c r="G1316" s="122"/>
      <c r="H1316" s="122"/>
      <c r="I1316" s="112">
        <v>0</v>
      </c>
      <c r="J1316" s="112">
        <v>0</v>
      </c>
      <c r="K1316" s="23">
        <f t="shared" si="177"/>
        <v>0</v>
      </c>
      <c r="L1316" s="23">
        <f t="shared" si="178"/>
        <v>0</v>
      </c>
      <c r="M1316" s="12">
        <f t="shared" si="183"/>
        <v>0</v>
      </c>
      <c r="N1316" s="23">
        <f t="shared" si="179"/>
        <v>0</v>
      </c>
      <c r="O1316" s="41">
        <f t="shared" si="180"/>
        <v>0</v>
      </c>
      <c r="P1316" s="13" t="str">
        <f t="shared" si="181"/>
        <v>NO</v>
      </c>
      <c r="Q1316" s="23">
        <f t="shared" si="182"/>
        <v>0</v>
      </c>
      <c r="R1316" s="12">
        <f t="shared" si="182"/>
        <v>0</v>
      </c>
    </row>
    <row r="1317" spans="2:18">
      <c r="B1317" t="str">
        <f t="shared" si="176"/>
        <v/>
      </c>
      <c r="D1317" s="121"/>
      <c r="G1317" s="122"/>
      <c r="H1317" s="122"/>
      <c r="I1317" s="112">
        <v>0</v>
      </c>
      <c r="J1317" s="112">
        <v>0</v>
      </c>
      <c r="K1317" s="23">
        <f t="shared" si="177"/>
        <v>0</v>
      </c>
      <c r="L1317" s="23">
        <f t="shared" si="178"/>
        <v>0</v>
      </c>
      <c r="M1317" s="12">
        <f t="shared" si="183"/>
        <v>0</v>
      </c>
      <c r="N1317" s="23">
        <f t="shared" si="179"/>
        <v>0</v>
      </c>
      <c r="O1317" s="41">
        <f t="shared" si="180"/>
        <v>0</v>
      </c>
      <c r="P1317" s="13" t="str">
        <f t="shared" si="181"/>
        <v>NO</v>
      </c>
      <c r="Q1317" s="23">
        <f t="shared" si="182"/>
        <v>0</v>
      </c>
      <c r="R1317" s="12">
        <f t="shared" si="182"/>
        <v>0</v>
      </c>
    </row>
    <row r="1318" spans="2:18">
      <c r="B1318" t="str">
        <f t="shared" si="176"/>
        <v/>
      </c>
      <c r="D1318" s="121"/>
      <c r="G1318" s="122"/>
      <c r="H1318" s="122"/>
      <c r="I1318" s="112">
        <v>0</v>
      </c>
      <c r="J1318" s="112">
        <v>0</v>
      </c>
      <c r="K1318" s="23">
        <f t="shared" si="177"/>
        <v>0</v>
      </c>
      <c r="L1318" s="23">
        <f t="shared" si="178"/>
        <v>0</v>
      </c>
      <c r="M1318" s="12">
        <f t="shared" si="183"/>
        <v>0</v>
      </c>
      <c r="N1318" s="23">
        <f t="shared" si="179"/>
        <v>0</v>
      </c>
      <c r="O1318" s="41">
        <f t="shared" si="180"/>
        <v>0</v>
      </c>
      <c r="P1318" s="13" t="str">
        <f t="shared" si="181"/>
        <v>NO</v>
      </c>
      <c r="Q1318" s="23">
        <f t="shared" si="182"/>
        <v>0</v>
      </c>
      <c r="R1318" s="12">
        <f t="shared" si="182"/>
        <v>0</v>
      </c>
    </row>
    <row r="1319" spans="2:18">
      <c r="B1319" t="str">
        <f t="shared" si="176"/>
        <v/>
      </c>
      <c r="D1319" s="121"/>
      <c r="G1319" s="122"/>
      <c r="H1319" s="122"/>
      <c r="I1319" s="112">
        <v>0</v>
      </c>
      <c r="J1319" s="112">
        <v>0</v>
      </c>
      <c r="K1319" s="23">
        <f t="shared" si="177"/>
        <v>0</v>
      </c>
      <c r="L1319" s="23">
        <f t="shared" si="178"/>
        <v>0</v>
      </c>
      <c r="M1319" s="12">
        <f t="shared" si="183"/>
        <v>0</v>
      </c>
      <c r="N1319" s="23">
        <f t="shared" si="179"/>
        <v>0</v>
      </c>
      <c r="O1319" s="41">
        <f t="shared" si="180"/>
        <v>0</v>
      </c>
      <c r="P1319" s="13" t="str">
        <f t="shared" si="181"/>
        <v>NO</v>
      </c>
      <c r="Q1319" s="23">
        <f t="shared" si="182"/>
        <v>0</v>
      </c>
      <c r="R1319" s="12">
        <f t="shared" si="182"/>
        <v>0</v>
      </c>
    </row>
    <row r="1320" spans="2:18">
      <c r="B1320" t="str">
        <f t="shared" si="176"/>
        <v/>
      </c>
      <c r="D1320" s="121"/>
      <c r="G1320" s="122"/>
      <c r="H1320" s="122"/>
      <c r="I1320" s="112">
        <v>0</v>
      </c>
      <c r="J1320" s="112">
        <v>0</v>
      </c>
      <c r="K1320" s="23">
        <f t="shared" si="177"/>
        <v>0</v>
      </c>
      <c r="L1320" s="23">
        <f t="shared" si="178"/>
        <v>0</v>
      </c>
      <c r="M1320" s="12">
        <f t="shared" si="183"/>
        <v>0</v>
      </c>
      <c r="N1320" s="23">
        <f t="shared" si="179"/>
        <v>0</v>
      </c>
      <c r="O1320" s="41">
        <f t="shared" si="180"/>
        <v>0</v>
      </c>
      <c r="P1320" s="13" t="str">
        <f t="shared" si="181"/>
        <v>NO</v>
      </c>
      <c r="Q1320" s="23">
        <f t="shared" si="182"/>
        <v>0</v>
      </c>
      <c r="R1320" s="12">
        <f t="shared" si="182"/>
        <v>0</v>
      </c>
    </row>
    <row r="1321" spans="2:18">
      <c r="B1321" t="str">
        <f t="shared" si="176"/>
        <v/>
      </c>
      <c r="D1321" s="121"/>
      <c r="G1321" s="122"/>
      <c r="H1321" s="122"/>
      <c r="I1321" s="112">
        <v>0</v>
      </c>
      <c r="J1321" s="112">
        <v>0</v>
      </c>
      <c r="K1321" s="23">
        <f t="shared" si="177"/>
        <v>0</v>
      </c>
      <c r="L1321" s="23">
        <f t="shared" si="178"/>
        <v>0</v>
      </c>
      <c r="M1321" s="12">
        <f t="shared" si="183"/>
        <v>0</v>
      </c>
      <c r="N1321" s="23">
        <f t="shared" si="179"/>
        <v>0</v>
      </c>
      <c r="O1321" s="41">
        <f t="shared" si="180"/>
        <v>0</v>
      </c>
      <c r="P1321" s="13" t="str">
        <f t="shared" si="181"/>
        <v>NO</v>
      </c>
      <c r="Q1321" s="23">
        <f t="shared" si="182"/>
        <v>0</v>
      </c>
      <c r="R1321" s="12">
        <f t="shared" si="182"/>
        <v>0</v>
      </c>
    </row>
    <row r="1322" spans="2:18">
      <c r="B1322" t="str">
        <f t="shared" si="176"/>
        <v/>
      </c>
      <c r="D1322" s="121"/>
      <c r="G1322" s="122"/>
      <c r="H1322" s="122"/>
      <c r="I1322" s="112">
        <v>0</v>
      </c>
      <c r="J1322" s="112">
        <v>0</v>
      </c>
      <c r="K1322" s="23">
        <f t="shared" si="177"/>
        <v>0</v>
      </c>
      <c r="L1322" s="23">
        <f t="shared" si="178"/>
        <v>0</v>
      </c>
      <c r="M1322" s="12">
        <f t="shared" si="183"/>
        <v>0</v>
      </c>
      <c r="N1322" s="23">
        <f t="shared" si="179"/>
        <v>0</v>
      </c>
      <c r="O1322" s="41">
        <f t="shared" si="180"/>
        <v>0</v>
      </c>
      <c r="P1322" s="13" t="str">
        <f t="shared" si="181"/>
        <v>NO</v>
      </c>
      <c r="Q1322" s="23">
        <f t="shared" si="182"/>
        <v>0</v>
      </c>
      <c r="R1322" s="12">
        <f t="shared" si="182"/>
        <v>0</v>
      </c>
    </row>
    <row r="1323" spans="2:18">
      <c r="B1323" t="str">
        <f t="shared" si="176"/>
        <v/>
      </c>
      <c r="D1323" s="121"/>
      <c r="G1323" s="122"/>
      <c r="H1323" s="122"/>
      <c r="I1323" s="112">
        <v>0</v>
      </c>
      <c r="J1323" s="112">
        <v>0</v>
      </c>
      <c r="K1323" s="23">
        <f t="shared" si="177"/>
        <v>0</v>
      </c>
      <c r="L1323" s="23">
        <f t="shared" si="178"/>
        <v>0</v>
      </c>
      <c r="M1323" s="12">
        <f t="shared" si="183"/>
        <v>0</v>
      </c>
      <c r="N1323" s="23">
        <f t="shared" si="179"/>
        <v>0</v>
      </c>
      <c r="O1323" s="41">
        <f t="shared" si="180"/>
        <v>0</v>
      </c>
      <c r="P1323" s="13" t="str">
        <f t="shared" si="181"/>
        <v>NO</v>
      </c>
      <c r="Q1323" s="23">
        <f t="shared" si="182"/>
        <v>0</v>
      </c>
      <c r="R1323" s="12">
        <f t="shared" si="182"/>
        <v>0</v>
      </c>
    </row>
    <row r="1324" spans="2:18">
      <c r="B1324" t="str">
        <f t="shared" si="176"/>
        <v/>
      </c>
      <c r="D1324" s="121"/>
      <c r="G1324" s="122"/>
      <c r="H1324" s="122"/>
      <c r="I1324" s="112">
        <v>0</v>
      </c>
      <c r="J1324" s="112">
        <v>0</v>
      </c>
      <c r="K1324" s="23">
        <f t="shared" si="177"/>
        <v>0</v>
      </c>
      <c r="L1324" s="23">
        <f t="shared" si="178"/>
        <v>0</v>
      </c>
      <c r="M1324" s="12">
        <f t="shared" si="183"/>
        <v>0</v>
      </c>
      <c r="N1324" s="23">
        <f t="shared" si="179"/>
        <v>0</v>
      </c>
      <c r="O1324" s="41">
        <f t="shared" si="180"/>
        <v>0</v>
      </c>
      <c r="P1324" s="13" t="str">
        <f t="shared" si="181"/>
        <v>NO</v>
      </c>
      <c r="Q1324" s="23">
        <f t="shared" si="182"/>
        <v>0</v>
      </c>
      <c r="R1324" s="12">
        <f t="shared" si="182"/>
        <v>0</v>
      </c>
    </row>
    <row r="1325" spans="2:18">
      <c r="B1325" t="str">
        <f t="shared" si="176"/>
        <v/>
      </c>
      <c r="D1325" s="121"/>
      <c r="G1325" s="122"/>
      <c r="H1325" s="122"/>
      <c r="I1325" s="112">
        <v>0</v>
      </c>
      <c r="J1325" s="112">
        <v>0</v>
      </c>
      <c r="K1325" s="23">
        <f t="shared" si="177"/>
        <v>0</v>
      </c>
      <c r="L1325" s="23">
        <f t="shared" si="178"/>
        <v>0</v>
      </c>
      <c r="M1325" s="12">
        <f t="shared" si="183"/>
        <v>0</v>
      </c>
      <c r="N1325" s="23">
        <f t="shared" si="179"/>
        <v>0</v>
      </c>
      <c r="O1325" s="41">
        <f t="shared" si="180"/>
        <v>0</v>
      </c>
      <c r="P1325" s="13" t="str">
        <f t="shared" si="181"/>
        <v>NO</v>
      </c>
      <c r="Q1325" s="23">
        <f t="shared" si="182"/>
        <v>0</v>
      </c>
      <c r="R1325" s="12">
        <f t="shared" si="182"/>
        <v>0</v>
      </c>
    </row>
    <row r="1326" spans="2:18">
      <c r="B1326" t="str">
        <f t="shared" si="176"/>
        <v/>
      </c>
      <c r="D1326" s="121"/>
      <c r="G1326" s="122"/>
      <c r="H1326" s="122"/>
      <c r="I1326" s="112">
        <v>0</v>
      </c>
      <c r="J1326" s="112">
        <v>0</v>
      </c>
      <c r="K1326" s="23">
        <f t="shared" si="177"/>
        <v>0</v>
      </c>
      <c r="L1326" s="23">
        <f t="shared" si="178"/>
        <v>0</v>
      </c>
      <c r="M1326" s="12">
        <f t="shared" si="183"/>
        <v>0</v>
      </c>
      <c r="N1326" s="23">
        <f t="shared" si="179"/>
        <v>0</v>
      </c>
      <c r="O1326" s="41">
        <f t="shared" si="180"/>
        <v>0</v>
      </c>
      <c r="P1326" s="13" t="str">
        <f t="shared" si="181"/>
        <v>NO</v>
      </c>
      <c r="Q1326" s="23">
        <f t="shared" si="182"/>
        <v>0</v>
      </c>
      <c r="R1326" s="12">
        <f t="shared" si="182"/>
        <v>0</v>
      </c>
    </row>
    <row r="1327" spans="2:18">
      <c r="B1327" t="str">
        <f t="shared" si="176"/>
        <v/>
      </c>
      <c r="D1327" s="121"/>
      <c r="G1327" s="122"/>
      <c r="H1327" s="122"/>
      <c r="I1327" s="112">
        <v>0</v>
      </c>
      <c r="J1327" s="112">
        <v>0</v>
      </c>
      <c r="K1327" s="23">
        <f t="shared" si="177"/>
        <v>0</v>
      </c>
      <c r="L1327" s="23">
        <f t="shared" si="178"/>
        <v>0</v>
      </c>
      <c r="M1327" s="12">
        <f t="shared" si="183"/>
        <v>0</v>
      </c>
      <c r="N1327" s="23">
        <f t="shared" si="179"/>
        <v>0</v>
      </c>
      <c r="O1327" s="41">
        <f t="shared" si="180"/>
        <v>0</v>
      </c>
      <c r="P1327" s="13" t="str">
        <f t="shared" si="181"/>
        <v>NO</v>
      </c>
      <c r="Q1327" s="23">
        <f t="shared" si="182"/>
        <v>0</v>
      </c>
      <c r="R1327" s="12">
        <f t="shared" si="182"/>
        <v>0</v>
      </c>
    </row>
    <row r="1328" spans="2:18">
      <c r="B1328" t="str">
        <f t="shared" si="176"/>
        <v/>
      </c>
      <c r="D1328" s="121"/>
      <c r="G1328" s="122"/>
      <c r="H1328" s="122"/>
      <c r="I1328" s="112">
        <v>0</v>
      </c>
      <c r="J1328" s="112">
        <v>0</v>
      </c>
      <c r="K1328" s="23">
        <f t="shared" si="177"/>
        <v>0</v>
      </c>
      <c r="L1328" s="23">
        <f t="shared" si="178"/>
        <v>0</v>
      </c>
      <c r="M1328" s="12">
        <f t="shared" si="183"/>
        <v>0</v>
      </c>
      <c r="N1328" s="23">
        <f t="shared" si="179"/>
        <v>0</v>
      </c>
      <c r="O1328" s="41">
        <f t="shared" si="180"/>
        <v>0</v>
      </c>
      <c r="P1328" s="13" t="str">
        <f t="shared" si="181"/>
        <v>NO</v>
      </c>
      <c r="Q1328" s="23">
        <f t="shared" si="182"/>
        <v>0</v>
      </c>
      <c r="R1328" s="12">
        <f t="shared" si="182"/>
        <v>0</v>
      </c>
    </row>
    <row r="1329" spans="2:18">
      <c r="B1329" t="str">
        <f t="shared" si="176"/>
        <v/>
      </c>
      <c r="D1329" s="121"/>
      <c r="G1329" s="122"/>
      <c r="H1329" s="122"/>
      <c r="I1329" s="112">
        <v>0</v>
      </c>
      <c r="J1329" s="112">
        <v>0</v>
      </c>
      <c r="K1329" s="23">
        <f t="shared" si="177"/>
        <v>0</v>
      </c>
      <c r="L1329" s="23">
        <f t="shared" si="178"/>
        <v>0</v>
      </c>
      <c r="M1329" s="12">
        <f t="shared" si="183"/>
        <v>0</v>
      </c>
      <c r="N1329" s="23">
        <f t="shared" si="179"/>
        <v>0</v>
      </c>
      <c r="O1329" s="41">
        <f t="shared" si="180"/>
        <v>0</v>
      </c>
      <c r="P1329" s="13" t="str">
        <f t="shared" si="181"/>
        <v>NO</v>
      </c>
      <c r="Q1329" s="23">
        <f t="shared" si="182"/>
        <v>0</v>
      </c>
      <c r="R1329" s="12">
        <f t="shared" si="182"/>
        <v>0</v>
      </c>
    </row>
    <row r="1330" spans="2:18">
      <c r="B1330" t="str">
        <f t="shared" si="176"/>
        <v/>
      </c>
      <c r="D1330" s="121"/>
      <c r="G1330" s="122"/>
      <c r="H1330" s="122"/>
      <c r="I1330" s="112">
        <v>0</v>
      </c>
      <c r="J1330" s="112">
        <v>0</v>
      </c>
      <c r="K1330" s="23">
        <f t="shared" si="177"/>
        <v>0</v>
      </c>
      <c r="L1330" s="23">
        <f t="shared" si="178"/>
        <v>0</v>
      </c>
      <c r="M1330" s="12">
        <f t="shared" si="183"/>
        <v>0</v>
      </c>
      <c r="N1330" s="23">
        <f t="shared" si="179"/>
        <v>0</v>
      </c>
      <c r="O1330" s="41">
        <f t="shared" si="180"/>
        <v>0</v>
      </c>
      <c r="P1330" s="13" t="str">
        <f t="shared" si="181"/>
        <v>NO</v>
      </c>
      <c r="Q1330" s="23">
        <f t="shared" si="182"/>
        <v>0</v>
      </c>
      <c r="R1330" s="12">
        <f t="shared" si="182"/>
        <v>0</v>
      </c>
    </row>
    <row r="1331" spans="2:18">
      <c r="B1331" t="str">
        <f t="shared" si="176"/>
        <v/>
      </c>
      <c r="D1331" s="121"/>
      <c r="G1331" s="122"/>
      <c r="H1331" s="122"/>
      <c r="I1331" s="112">
        <v>0</v>
      </c>
      <c r="J1331" s="112">
        <v>0</v>
      </c>
      <c r="K1331" s="23">
        <f t="shared" si="177"/>
        <v>0</v>
      </c>
      <c r="L1331" s="23">
        <f t="shared" si="178"/>
        <v>0</v>
      </c>
      <c r="M1331" s="12">
        <f t="shared" si="183"/>
        <v>0</v>
      </c>
      <c r="N1331" s="23">
        <f t="shared" si="179"/>
        <v>0</v>
      </c>
      <c r="O1331" s="41">
        <f t="shared" si="180"/>
        <v>0</v>
      </c>
      <c r="P1331" s="13" t="str">
        <f t="shared" si="181"/>
        <v>NO</v>
      </c>
      <c r="Q1331" s="23">
        <f t="shared" si="182"/>
        <v>0</v>
      </c>
      <c r="R1331" s="12">
        <f t="shared" si="182"/>
        <v>0</v>
      </c>
    </row>
    <row r="1332" spans="2:18">
      <c r="B1332" t="str">
        <f t="shared" si="176"/>
        <v/>
      </c>
      <c r="D1332" s="121"/>
      <c r="G1332" s="122"/>
      <c r="H1332" s="122"/>
      <c r="I1332" s="112">
        <v>0</v>
      </c>
      <c r="J1332" s="112">
        <v>0</v>
      </c>
      <c r="K1332" s="23">
        <f t="shared" si="177"/>
        <v>0</v>
      </c>
      <c r="L1332" s="23">
        <f t="shared" si="178"/>
        <v>0</v>
      </c>
      <c r="M1332" s="12">
        <f t="shared" si="183"/>
        <v>0</v>
      </c>
      <c r="N1332" s="23">
        <f t="shared" si="179"/>
        <v>0</v>
      </c>
      <c r="O1332" s="41">
        <f t="shared" si="180"/>
        <v>0</v>
      </c>
      <c r="P1332" s="13" t="str">
        <f t="shared" si="181"/>
        <v>NO</v>
      </c>
      <c r="Q1332" s="23">
        <f t="shared" si="182"/>
        <v>0</v>
      </c>
      <c r="R1332" s="12">
        <f t="shared" si="182"/>
        <v>0</v>
      </c>
    </row>
    <row r="1333" spans="2:18">
      <c r="B1333" t="str">
        <f t="shared" si="176"/>
        <v/>
      </c>
      <c r="D1333" s="121"/>
      <c r="G1333" s="122"/>
      <c r="H1333" s="122"/>
      <c r="I1333" s="112">
        <v>0</v>
      </c>
      <c r="J1333" s="112">
        <v>0</v>
      </c>
      <c r="K1333" s="23">
        <f t="shared" si="177"/>
        <v>0</v>
      </c>
      <c r="L1333" s="23">
        <f t="shared" si="178"/>
        <v>0</v>
      </c>
      <c r="M1333" s="12">
        <f t="shared" si="183"/>
        <v>0</v>
      </c>
      <c r="N1333" s="23">
        <f t="shared" si="179"/>
        <v>0</v>
      </c>
      <c r="O1333" s="41">
        <f t="shared" si="180"/>
        <v>0</v>
      </c>
      <c r="P1333" s="13" t="str">
        <f t="shared" si="181"/>
        <v>NO</v>
      </c>
      <c r="Q1333" s="23">
        <f t="shared" si="182"/>
        <v>0</v>
      </c>
      <c r="R1333" s="12">
        <f t="shared" si="182"/>
        <v>0</v>
      </c>
    </row>
    <row r="1334" spans="2:18">
      <c r="B1334" t="str">
        <f t="shared" si="176"/>
        <v/>
      </c>
      <c r="D1334" s="121"/>
      <c r="G1334" s="122"/>
      <c r="H1334" s="122"/>
      <c r="I1334" s="112">
        <v>0</v>
      </c>
      <c r="J1334" s="112">
        <v>0</v>
      </c>
      <c r="K1334" s="23">
        <f t="shared" si="177"/>
        <v>0</v>
      </c>
      <c r="L1334" s="23">
        <f t="shared" si="178"/>
        <v>0</v>
      </c>
      <c r="M1334" s="12">
        <f t="shared" si="183"/>
        <v>0</v>
      </c>
      <c r="N1334" s="23">
        <f t="shared" si="179"/>
        <v>0</v>
      </c>
      <c r="O1334" s="41">
        <f t="shared" si="180"/>
        <v>0</v>
      </c>
      <c r="P1334" s="13" t="str">
        <f t="shared" si="181"/>
        <v>NO</v>
      </c>
      <c r="Q1334" s="23">
        <f t="shared" si="182"/>
        <v>0</v>
      </c>
      <c r="R1334" s="12">
        <f t="shared" si="182"/>
        <v>0</v>
      </c>
    </row>
    <row r="1335" spans="2:18">
      <c r="B1335" t="str">
        <f t="shared" ref="B1335:B1398" si="184">+C1335&amp;D1335</f>
        <v/>
      </c>
      <c r="D1335" s="121"/>
      <c r="G1335" s="122"/>
      <c r="H1335" s="122"/>
      <c r="I1335" s="112">
        <v>0</v>
      </c>
      <c r="J1335" s="112">
        <v>0</v>
      </c>
      <c r="K1335" s="23">
        <f t="shared" ref="K1335:K1398" si="185">+IFERROR(G1335,0)</f>
        <v>0</v>
      </c>
      <c r="L1335" s="23">
        <f t="shared" ref="L1335:L1398" si="186">+I1335</f>
        <v>0</v>
      </c>
      <c r="M1335" s="12">
        <f t="shared" si="183"/>
        <v>0</v>
      </c>
      <c r="N1335" s="23">
        <f t="shared" ref="N1335:N1398" si="187">+H1335</f>
        <v>0</v>
      </c>
      <c r="O1335" s="41">
        <f t="shared" ref="O1335:O1398" si="188">+J1335</f>
        <v>0</v>
      </c>
      <c r="P1335" s="13" t="str">
        <f t="shared" ref="P1335:P1398" si="189">+IF(O1335&lt;N1335,"SI","NO")</f>
        <v>NO</v>
      </c>
      <c r="Q1335" s="23">
        <f t="shared" ref="Q1335:R1398" si="190">+M1335</f>
        <v>0</v>
      </c>
      <c r="R1335" s="12">
        <f t="shared" si="190"/>
        <v>0</v>
      </c>
    </row>
    <row r="1336" spans="2:18">
      <c r="B1336" t="str">
        <f t="shared" si="184"/>
        <v/>
      </c>
      <c r="D1336" s="121"/>
      <c r="G1336" s="122"/>
      <c r="H1336" s="122"/>
      <c r="I1336" s="112">
        <v>0</v>
      </c>
      <c r="J1336" s="112">
        <v>0</v>
      </c>
      <c r="K1336" s="23">
        <f t="shared" si="185"/>
        <v>0</v>
      </c>
      <c r="L1336" s="23">
        <f t="shared" si="186"/>
        <v>0</v>
      </c>
      <c r="M1336" s="12">
        <f t="shared" ref="M1336:M1399" si="191">+IFERROR(MAX(K1336:L1336),0)</f>
        <v>0</v>
      </c>
      <c r="N1336" s="23">
        <f t="shared" si="187"/>
        <v>0</v>
      </c>
      <c r="O1336" s="41">
        <f t="shared" si="188"/>
        <v>0</v>
      </c>
      <c r="P1336" s="13" t="str">
        <f t="shared" si="189"/>
        <v>NO</v>
      </c>
      <c r="Q1336" s="23">
        <f t="shared" si="190"/>
        <v>0</v>
      </c>
      <c r="R1336" s="12">
        <f t="shared" si="190"/>
        <v>0</v>
      </c>
    </row>
    <row r="1337" spans="2:18">
      <c r="B1337" t="str">
        <f t="shared" si="184"/>
        <v/>
      </c>
      <c r="D1337" s="121"/>
      <c r="G1337" s="122"/>
      <c r="H1337" s="122"/>
      <c r="I1337" s="112">
        <v>0</v>
      </c>
      <c r="J1337" s="112">
        <v>0</v>
      </c>
      <c r="K1337" s="23">
        <f t="shared" si="185"/>
        <v>0</v>
      </c>
      <c r="L1337" s="23">
        <f t="shared" si="186"/>
        <v>0</v>
      </c>
      <c r="M1337" s="12">
        <f t="shared" si="191"/>
        <v>0</v>
      </c>
      <c r="N1337" s="23">
        <f t="shared" si="187"/>
        <v>0</v>
      </c>
      <c r="O1337" s="41">
        <f t="shared" si="188"/>
        <v>0</v>
      </c>
      <c r="P1337" s="13" t="str">
        <f t="shared" si="189"/>
        <v>NO</v>
      </c>
      <c r="Q1337" s="23">
        <f t="shared" si="190"/>
        <v>0</v>
      </c>
      <c r="R1337" s="12">
        <f t="shared" si="190"/>
        <v>0</v>
      </c>
    </row>
    <row r="1338" spans="2:18">
      <c r="B1338" t="str">
        <f t="shared" si="184"/>
        <v/>
      </c>
      <c r="D1338" s="121"/>
      <c r="G1338" s="122"/>
      <c r="H1338" s="122"/>
      <c r="I1338" s="112">
        <v>0</v>
      </c>
      <c r="J1338" s="112">
        <v>0</v>
      </c>
      <c r="K1338" s="23">
        <f t="shared" si="185"/>
        <v>0</v>
      </c>
      <c r="L1338" s="23">
        <f t="shared" si="186"/>
        <v>0</v>
      </c>
      <c r="M1338" s="12">
        <f t="shared" si="191"/>
        <v>0</v>
      </c>
      <c r="N1338" s="23">
        <f t="shared" si="187"/>
        <v>0</v>
      </c>
      <c r="O1338" s="41">
        <f t="shared" si="188"/>
        <v>0</v>
      </c>
      <c r="P1338" s="13" t="str">
        <f t="shared" si="189"/>
        <v>NO</v>
      </c>
      <c r="Q1338" s="23">
        <f t="shared" si="190"/>
        <v>0</v>
      </c>
      <c r="R1338" s="12">
        <f t="shared" si="190"/>
        <v>0</v>
      </c>
    </row>
    <row r="1339" spans="2:18">
      <c r="B1339" t="str">
        <f t="shared" si="184"/>
        <v/>
      </c>
      <c r="D1339" s="121"/>
      <c r="G1339" s="122"/>
      <c r="H1339" s="122"/>
      <c r="I1339" s="112">
        <v>0</v>
      </c>
      <c r="J1339" s="112">
        <v>0</v>
      </c>
      <c r="K1339" s="23">
        <f t="shared" si="185"/>
        <v>0</v>
      </c>
      <c r="L1339" s="23">
        <f t="shared" si="186"/>
        <v>0</v>
      </c>
      <c r="M1339" s="12">
        <f t="shared" si="191"/>
        <v>0</v>
      </c>
      <c r="N1339" s="23">
        <f t="shared" si="187"/>
        <v>0</v>
      </c>
      <c r="O1339" s="41">
        <f t="shared" si="188"/>
        <v>0</v>
      </c>
      <c r="P1339" s="13" t="str">
        <f t="shared" si="189"/>
        <v>NO</v>
      </c>
      <c r="Q1339" s="23">
        <f t="shared" si="190"/>
        <v>0</v>
      </c>
      <c r="R1339" s="12">
        <f t="shared" si="190"/>
        <v>0</v>
      </c>
    </row>
    <row r="1340" spans="2:18">
      <c r="B1340" t="str">
        <f t="shared" si="184"/>
        <v/>
      </c>
      <c r="D1340" s="121"/>
      <c r="G1340" s="122"/>
      <c r="H1340" s="122"/>
      <c r="I1340" s="112">
        <v>0</v>
      </c>
      <c r="J1340" s="112">
        <v>0</v>
      </c>
      <c r="K1340" s="23">
        <f t="shared" si="185"/>
        <v>0</v>
      </c>
      <c r="L1340" s="23">
        <f t="shared" si="186"/>
        <v>0</v>
      </c>
      <c r="M1340" s="12">
        <f t="shared" si="191"/>
        <v>0</v>
      </c>
      <c r="N1340" s="23">
        <f t="shared" si="187"/>
        <v>0</v>
      </c>
      <c r="O1340" s="41">
        <f t="shared" si="188"/>
        <v>0</v>
      </c>
      <c r="P1340" s="13" t="str">
        <f t="shared" si="189"/>
        <v>NO</v>
      </c>
      <c r="Q1340" s="23">
        <f t="shared" si="190"/>
        <v>0</v>
      </c>
      <c r="R1340" s="12">
        <f t="shared" si="190"/>
        <v>0</v>
      </c>
    </row>
    <row r="1341" spans="2:18">
      <c r="B1341" t="str">
        <f t="shared" si="184"/>
        <v/>
      </c>
      <c r="D1341" s="121"/>
      <c r="G1341" s="122"/>
      <c r="H1341" s="122"/>
      <c r="I1341" s="112">
        <v>0</v>
      </c>
      <c r="J1341" s="112">
        <v>0</v>
      </c>
      <c r="K1341" s="23">
        <f t="shared" si="185"/>
        <v>0</v>
      </c>
      <c r="L1341" s="23">
        <f t="shared" si="186"/>
        <v>0</v>
      </c>
      <c r="M1341" s="12">
        <f t="shared" si="191"/>
        <v>0</v>
      </c>
      <c r="N1341" s="23">
        <f t="shared" si="187"/>
        <v>0</v>
      </c>
      <c r="O1341" s="41">
        <f t="shared" si="188"/>
        <v>0</v>
      </c>
      <c r="P1341" s="13" t="str">
        <f t="shared" si="189"/>
        <v>NO</v>
      </c>
      <c r="Q1341" s="23">
        <f t="shared" si="190"/>
        <v>0</v>
      </c>
      <c r="R1341" s="12">
        <f t="shared" si="190"/>
        <v>0</v>
      </c>
    </row>
    <row r="1342" spans="2:18">
      <c r="B1342" t="str">
        <f t="shared" si="184"/>
        <v/>
      </c>
      <c r="D1342" s="121"/>
      <c r="G1342" s="122"/>
      <c r="H1342" s="122"/>
      <c r="I1342" s="112">
        <v>0</v>
      </c>
      <c r="J1342" s="112">
        <v>0</v>
      </c>
      <c r="K1342" s="23">
        <f t="shared" si="185"/>
        <v>0</v>
      </c>
      <c r="L1342" s="23">
        <f t="shared" si="186"/>
        <v>0</v>
      </c>
      <c r="M1342" s="12">
        <f t="shared" si="191"/>
        <v>0</v>
      </c>
      <c r="N1342" s="23">
        <f t="shared" si="187"/>
        <v>0</v>
      </c>
      <c r="O1342" s="41">
        <f t="shared" si="188"/>
        <v>0</v>
      </c>
      <c r="P1342" s="13" t="str">
        <f t="shared" si="189"/>
        <v>NO</v>
      </c>
      <c r="Q1342" s="23">
        <f t="shared" si="190"/>
        <v>0</v>
      </c>
      <c r="R1342" s="12">
        <f t="shared" si="190"/>
        <v>0</v>
      </c>
    </row>
    <row r="1343" spans="2:18">
      <c r="B1343" t="str">
        <f t="shared" si="184"/>
        <v/>
      </c>
      <c r="D1343" s="121"/>
      <c r="G1343" s="122"/>
      <c r="H1343" s="122"/>
      <c r="I1343" s="112">
        <v>0</v>
      </c>
      <c r="J1343" s="112">
        <v>0</v>
      </c>
      <c r="K1343" s="23">
        <f t="shared" si="185"/>
        <v>0</v>
      </c>
      <c r="L1343" s="23">
        <f t="shared" si="186"/>
        <v>0</v>
      </c>
      <c r="M1343" s="12">
        <f t="shared" si="191"/>
        <v>0</v>
      </c>
      <c r="N1343" s="23">
        <f t="shared" si="187"/>
        <v>0</v>
      </c>
      <c r="O1343" s="41">
        <f t="shared" si="188"/>
        <v>0</v>
      </c>
      <c r="P1343" s="13" t="str">
        <f t="shared" si="189"/>
        <v>NO</v>
      </c>
      <c r="Q1343" s="23">
        <f t="shared" si="190"/>
        <v>0</v>
      </c>
      <c r="R1343" s="12">
        <f t="shared" si="190"/>
        <v>0</v>
      </c>
    </row>
    <row r="1344" spans="2:18">
      <c r="B1344" t="str">
        <f t="shared" si="184"/>
        <v/>
      </c>
      <c r="D1344" s="121"/>
      <c r="G1344" s="122"/>
      <c r="H1344" s="122"/>
      <c r="I1344" s="112">
        <v>0</v>
      </c>
      <c r="J1344" s="112">
        <v>0</v>
      </c>
      <c r="K1344" s="23">
        <f t="shared" si="185"/>
        <v>0</v>
      </c>
      <c r="L1344" s="23">
        <f t="shared" si="186"/>
        <v>0</v>
      </c>
      <c r="M1344" s="12">
        <f t="shared" si="191"/>
        <v>0</v>
      </c>
      <c r="N1344" s="23">
        <f t="shared" si="187"/>
        <v>0</v>
      </c>
      <c r="O1344" s="41">
        <f t="shared" si="188"/>
        <v>0</v>
      </c>
      <c r="P1344" s="13" t="str">
        <f t="shared" si="189"/>
        <v>NO</v>
      </c>
      <c r="Q1344" s="23">
        <f t="shared" si="190"/>
        <v>0</v>
      </c>
      <c r="R1344" s="12">
        <f t="shared" si="190"/>
        <v>0</v>
      </c>
    </row>
    <row r="1345" spans="2:18">
      <c r="B1345" t="str">
        <f t="shared" si="184"/>
        <v/>
      </c>
      <c r="D1345" s="121"/>
      <c r="G1345" s="122"/>
      <c r="H1345" s="122"/>
      <c r="I1345" s="112">
        <v>0</v>
      </c>
      <c r="J1345" s="112">
        <v>0</v>
      </c>
      <c r="K1345" s="23">
        <f t="shared" si="185"/>
        <v>0</v>
      </c>
      <c r="L1345" s="23">
        <f t="shared" si="186"/>
        <v>0</v>
      </c>
      <c r="M1345" s="12">
        <f t="shared" si="191"/>
        <v>0</v>
      </c>
      <c r="N1345" s="23">
        <f t="shared" si="187"/>
        <v>0</v>
      </c>
      <c r="O1345" s="41">
        <f t="shared" si="188"/>
        <v>0</v>
      </c>
      <c r="P1345" s="13" t="str">
        <f t="shared" si="189"/>
        <v>NO</v>
      </c>
      <c r="Q1345" s="23">
        <f t="shared" si="190"/>
        <v>0</v>
      </c>
      <c r="R1345" s="12">
        <f t="shared" si="190"/>
        <v>0</v>
      </c>
    </row>
    <row r="1346" spans="2:18">
      <c r="B1346" t="str">
        <f t="shared" si="184"/>
        <v/>
      </c>
      <c r="D1346" s="121"/>
      <c r="G1346" s="122"/>
      <c r="H1346" s="122"/>
      <c r="I1346" s="112">
        <v>0</v>
      </c>
      <c r="J1346" s="112">
        <v>0</v>
      </c>
      <c r="K1346" s="23">
        <f t="shared" si="185"/>
        <v>0</v>
      </c>
      <c r="L1346" s="23">
        <f t="shared" si="186"/>
        <v>0</v>
      </c>
      <c r="M1346" s="12">
        <f t="shared" si="191"/>
        <v>0</v>
      </c>
      <c r="N1346" s="23">
        <f t="shared" si="187"/>
        <v>0</v>
      </c>
      <c r="O1346" s="41">
        <f t="shared" si="188"/>
        <v>0</v>
      </c>
      <c r="P1346" s="13" t="str">
        <f t="shared" si="189"/>
        <v>NO</v>
      </c>
      <c r="Q1346" s="23">
        <f t="shared" si="190"/>
        <v>0</v>
      </c>
      <c r="R1346" s="12">
        <f t="shared" si="190"/>
        <v>0</v>
      </c>
    </row>
    <row r="1347" spans="2:18">
      <c r="B1347" t="str">
        <f t="shared" si="184"/>
        <v/>
      </c>
      <c r="D1347" s="121"/>
      <c r="G1347" s="122"/>
      <c r="H1347" s="122"/>
      <c r="I1347" s="112">
        <v>0</v>
      </c>
      <c r="J1347" s="112">
        <v>0</v>
      </c>
      <c r="K1347" s="23">
        <f t="shared" si="185"/>
        <v>0</v>
      </c>
      <c r="L1347" s="23">
        <f t="shared" si="186"/>
        <v>0</v>
      </c>
      <c r="M1347" s="12">
        <f t="shared" si="191"/>
        <v>0</v>
      </c>
      <c r="N1347" s="23">
        <f t="shared" si="187"/>
        <v>0</v>
      </c>
      <c r="O1347" s="41">
        <f t="shared" si="188"/>
        <v>0</v>
      </c>
      <c r="P1347" s="13" t="str">
        <f t="shared" si="189"/>
        <v>NO</v>
      </c>
      <c r="Q1347" s="23">
        <f t="shared" si="190"/>
        <v>0</v>
      </c>
      <c r="R1347" s="12">
        <f t="shared" si="190"/>
        <v>0</v>
      </c>
    </row>
    <row r="1348" spans="2:18">
      <c r="B1348" t="str">
        <f t="shared" si="184"/>
        <v/>
      </c>
      <c r="D1348" s="121"/>
      <c r="G1348" s="122"/>
      <c r="H1348" s="122"/>
      <c r="I1348" s="112">
        <v>0</v>
      </c>
      <c r="J1348" s="112">
        <v>0</v>
      </c>
      <c r="K1348" s="23">
        <f t="shared" si="185"/>
        <v>0</v>
      </c>
      <c r="L1348" s="23">
        <f t="shared" si="186"/>
        <v>0</v>
      </c>
      <c r="M1348" s="12">
        <f t="shared" si="191"/>
        <v>0</v>
      </c>
      <c r="N1348" s="23">
        <f t="shared" si="187"/>
        <v>0</v>
      </c>
      <c r="O1348" s="41">
        <f t="shared" si="188"/>
        <v>0</v>
      </c>
      <c r="P1348" s="13" t="str">
        <f t="shared" si="189"/>
        <v>NO</v>
      </c>
      <c r="Q1348" s="23">
        <f t="shared" si="190"/>
        <v>0</v>
      </c>
      <c r="R1348" s="12">
        <f t="shared" si="190"/>
        <v>0</v>
      </c>
    </row>
    <row r="1349" spans="2:18">
      <c r="B1349" t="str">
        <f t="shared" si="184"/>
        <v/>
      </c>
      <c r="D1349" s="121"/>
      <c r="G1349" s="122"/>
      <c r="H1349" s="122"/>
      <c r="I1349" s="112">
        <v>0</v>
      </c>
      <c r="J1349" s="112">
        <v>0</v>
      </c>
      <c r="K1349" s="23">
        <f t="shared" si="185"/>
        <v>0</v>
      </c>
      <c r="L1349" s="23">
        <f t="shared" si="186"/>
        <v>0</v>
      </c>
      <c r="M1349" s="12">
        <f t="shared" si="191"/>
        <v>0</v>
      </c>
      <c r="N1349" s="23">
        <f t="shared" si="187"/>
        <v>0</v>
      </c>
      <c r="O1349" s="41">
        <f t="shared" si="188"/>
        <v>0</v>
      </c>
      <c r="P1349" s="13" t="str">
        <f t="shared" si="189"/>
        <v>NO</v>
      </c>
      <c r="Q1349" s="23">
        <f t="shared" si="190"/>
        <v>0</v>
      </c>
      <c r="R1349" s="12">
        <f t="shared" si="190"/>
        <v>0</v>
      </c>
    </row>
    <row r="1350" spans="2:18">
      <c r="B1350" t="str">
        <f t="shared" si="184"/>
        <v/>
      </c>
      <c r="D1350" s="121"/>
      <c r="G1350" s="122"/>
      <c r="H1350" s="122"/>
      <c r="I1350" s="112">
        <v>0</v>
      </c>
      <c r="J1350" s="112">
        <v>0</v>
      </c>
      <c r="K1350" s="23">
        <f t="shared" si="185"/>
        <v>0</v>
      </c>
      <c r="L1350" s="23">
        <f t="shared" si="186"/>
        <v>0</v>
      </c>
      <c r="M1350" s="12">
        <f t="shared" si="191"/>
        <v>0</v>
      </c>
      <c r="N1350" s="23">
        <f t="shared" si="187"/>
        <v>0</v>
      </c>
      <c r="O1350" s="41">
        <f t="shared" si="188"/>
        <v>0</v>
      </c>
      <c r="P1350" s="13" t="str">
        <f t="shared" si="189"/>
        <v>NO</v>
      </c>
      <c r="Q1350" s="23">
        <f t="shared" si="190"/>
        <v>0</v>
      </c>
      <c r="R1350" s="12">
        <f t="shared" si="190"/>
        <v>0</v>
      </c>
    </row>
    <row r="1351" spans="2:18">
      <c r="B1351" t="str">
        <f t="shared" si="184"/>
        <v/>
      </c>
      <c r="D1351" s="121"/>
      <c r="G1351" s="122"/>
      <c r="H1351" s="122"/>
      <c r="I1351" s="112">
        <v>0</v>
      </c>
      <c r="J1351" s="112">
        <v>0</v>
      </c>
      <c r="K1351" s="23">
        <f t="shared" si="185"/>
        <v>0</v>
      </c>
      <c r="L1351" s="23">
        <f t="shared" si="186"/>
        <v>0</v>
      </c>
      <c r="M1351" s="12">
        <f t="shared" si="191"/>
        <v>0</v>
      </c>
      <c r="N1351" s="23">
        <f t="shared" si="187"/>
        <v>0</v>
      </c>
      <c r="O1351" s="41">
        <f t="shared" si="188"/>
        <v>0</v>
      </c>
      <c r="P1351" s="13" t="str">
        <f t="shared" si="189"/>
        <v>NO</v>
      </c>
      <c r="Q1351" s="23">
        <f t="shared" si="190"/>
        <v>0</v>
      </c>
      <c r="R1351" s="12">
        <f t="shared" si="190"/>
        <v>0</v>
      </c>
    </row>
    <row r="1352" spans="2:18">
      <c r="B1352" t="str">
        <f t="shared" si="184"/>
        <v/>
      </c>
      <c r="D1352" s="121"/>
      <c r="G1352" s="122"/>
      <c r="H1352" s="122"/>
      <c r="I1352" s="112">
        <v>0</v>
      </c>
      <c r="J1352" s="112">
        <v>0</v>
      </c>
      <c r="K1352" s="23">
        <f t="shared" si="185"/>
        <v>0</v>
      </c>
      <c r="L1352" s="23">
        <f t="shared" si="186"/>
        <v>0</v>
      </c>
      <c r="M1352" s="12">
        <f t="shared" si="191"/>
        <v>0</v>
      </c>
      <c r="N1352" s="23">
        <f t="shared" si="187"/>
        <v>0</v>
      </c>
      <c r="O1352" s="41">
        <f t="shared" si="188"/>
        <v>0</v>
      </c>
      <c r="P1352" s="13" t="str">
        <f t="shared" si="189"/>
        <v>NO</v>
      </c>
      <c r="Q1352" s="23">
        <f t="shared" si="190"/>
        <v>0</v>
      </c>
      <c r="R1352" s="12">
        <f t="shared" si="190"/>
        <v>0</v>
      </c>
    </row>
    <row r="1353" spans="2:18">
      <c r="B1353" t="str">
        <f t="shared" si="184"/>
        <v/>
      </c>
      <c r="D1353" s="121"/>
      <c r="G1353" s="122"/>
      <c r="H1353" s="122"/>
      <c r="I1353" s="112">
        <v>0</v>
      </c>
      <c r="J1353" s="112">
        <v>0</v>
      </c>
      <c r="K1353" s="23">
        <f t="shared" si="185"/>
        <v>0</v>
      </c>
      <c r="L1353" s="23">
        <f t="shared" si="186"/>
        <v>0</v>
      </c>
      <c r="M1353" s="12">
        <f t="shared" si="191"/>
        <v>0</v>
      </c>
      <c r="N1353" s="23">
        <f t="shared" si="187"/>
        <v>0</v>
      </c>
      <c r="O1353" s="41">
        <f t="shared" si="188"/>
        <v>0</v>
      </c>
      <c r="P1353" s="13" t="str">
        <f t="shared" si="189"/>
        <v>NO</v>
      </c>
      <c r="Q1353" s="23">
        <f t="shared" si="190"/>
        <v>0</v>
      </c>
      <c r="R1353" s="12">
        <f t="shared" si="190"/>
        <v>0</v>
      </c>
    </row>
    <row r="1354" spans="2:18">
      <c r="B1354" t="str">
        <f t="shared" si="184"/>
        <v/>
      </c>
      <c r="D1354" s="121"/>
      <c r="G1354" s="122"/>
      <c r="H1354" s="122"/>
      <c r="I1354" s="112">
        <v>0</v>
      </c>
      <c r="J1354" s="112">
        <v>0</v>
      </c>
      <c r="K1354" s="23">
        <f t="shared" si="185"/>
        <v>0</v>
      </c>
      <c r="L1354" s="23">
        <f t="shared" si="186"/>
        <v>0</v>
      </c>
      <c r="M1354" s="12">
        <f t="shared" si="191"/>
        <v>0</v>
      </c>
      <c r="N1354" s="23">
        <f t="shared" si="187"/>
        <v>0</v>
      </c>
      <c r="O1354" s="41">
        <f t="shared" si="188"/>
        <v>0</v>
      </c>
      <c r="P1354" s="13" t="str">
        <f t="shared" si="189"/>
        <v>NO</v>
      </c>
      <c r="Q1354" s="23">
        <f t="shared" si="190"/>
        <v>0</v>
      </c>
      <c r="R1354" s="12">
        <f t="shared" si="190"/>
        <v>0</v>
      </c>
    </row>
    <row r="1355" spans="2:18">
      <c r="B1355" t="str">
        <f t="shared" si="184"/>
        <v/>
      </c>
      <c r="D1355" s="121"/>
      <c r="G1355" s="122"/>
      <c r="H1355" s="122"/>
      <c r="I1355" s="112">
        <v>0</v>
      </c>
      <c r="J1355" s="112">
        <v>0</v>
      </c>
      <c r="K1355" s="23">
        <f t="shared" si="185"/>
        <v>0</v>
      </c>
      <c r="L1355" s="23">
        <f t="shared" si="186"/>
        <v>0</v>
      </c>
      <c r="M1355" s="12">
        <f t="shared" si="191"/>
        <v>0</v>
      </c>
      <c r="N1355" s="23">
        <f t="shared" si="187"/>
        <v>0</v>
      </c>
      <c r="O1355" s="41">
        <f t="shared" si="188"/>
        <v>0</v>
      </c>
      <c r="P1355" s="13" t="str">
        <f t="shared" si="189"/>
        <v>NO</v>
      </c>
      <c r="Q1355" s="23">
        <f t="shared" si="190"/>
        <v>0</v>
      </c>
      <c r="R1355" s="12">
        <f t="shared" si="190"/>
        <v>0</v>
      </c>
    </row>
    <row r="1356" spans="2:18">
      <c r="B1356" t="str">
        <f t="shared" si="184"/>
        <v/>
      </c>
      <c r="D1356" s="121"/>
      <c r="G1356" s="122"/>
      <c r="H1356" s="122"/>
      <c r="I1356" s="112">
        <v>0</v>
      </c>
      <c r="J1356" s="112">
        <v>0</v>
      </c>
      <c r="K1356" s="23">
        <f t="shared" si="185"/>
        <v>0</v>
      </c>
      <c r="L1356" s="23">
        <f t="shared" si="186"/>
        <v>0</v>
      </c>
      <c r="M1356" s="12">
        <f t="shared" si="191"/>
        <v>0</v>
      </c>
      <c r="N1356" s="23">
        <f t="shared" si="187"/>
        <v>0</v>
      </c>
      <c r="O1356" s="41">
        <f t="shared" si="188"/>
        <v>0</v>
      </c>
      <c r="P1356" s="13" t="str">
        <f t="shared" si="189"/>
        <v>NO</v>
      </c>
      <c r="Q1356" s="23">
        <f t="shared" si="190"/>
        <v>0</v>
      </c>
      <c r="R1356" s="12">
        <f t="shared" si="190"/>
        <v>0</v>
      </c>
    </row>
    <row r="1357" spans="2:18">
      <c r="B1357" t="str">
        <f t="shared" si="184"/>
        <v/>
      </c>
      <c r="D1357" s="121"/>
      <c r="G1357" s="122"/>
      <c r="H1357" s="122"/>
      <c r="I1357" s="112">
        <v>0</v>
      </c>
      <c r="J1357" s="112">
        <v>0</v>
      </c>
      <c r="K1357" s="23">
        <f t="shared" si="185"/>
        <v>0</v>
      </c>
      <c r="L1357" s="23">
        <f t="shared" si="186"/>
        <v>0</v>
      </c>
      <c r="M1357" s="12">
        <f t="shared" si="191"/>
        <v>0</v>
      </c>
      <c r="N1357" s="23">
        <f t="shared" si="187"/>
        <v>0</v>
      </c>
      <c r="O1357" s="41">
        <f t="shared" si="188"/>
        <v>0</v>
      </c>
      <c r="P1357" s="13" t="str">
        <f t="shared" si="189"/>
        <v>NO</v>
      </c>
      <c r="Q1357" s="23">
        <f t="shared" si="190"/>
        <v>0</v>
      </c>
      <c r="R1357" s="12">
        <f t="shared" si="190"/>
        <v>0</v>
      </c>
    </row>
    <row r="1358" spans="2:18">
      <c r="B1358" t="str">
        <f t="shared" si="184"/>
        <v/>
      </c>
      <c r="D1358" s="121"/>
      <c r="G1358" s="122"/>
      <c r="H1358" s="122"/>
      <c r="I1358" s="112">
        <v>0</v>
      </c>
      <c r="J1358" s="112">
        <v>0</v>
      </c>
      <c r="K1358" s="23">
        <f t="shared" si="185"/>
        <v>0</v>
      </c>
      <c r="L1358" s="23">
        <f t="shared" si="186"/>
        <v>0</v>
      </c>
      <c r="M1358" s="12">
        <f t="shared" si="191"/>
        <v>0</v>
      </c>
      <c r="N1358" s="23">
        <f t="shared" si="187"/>
        <v>0</v>
      </c>
      <c r="O1358" s="41">
        <f t="shared" si="188"/>
        <v>0</v>
      </c>
      <c r="P1358" s="13" t="str">
        <f t="shared" si="189"/>
        <v>NO</v>
      </c>
      <c r="Q1358" s="23">
        <f t="shared" si="190"/>
        <v>0</v>
      </c>
      <c r="R1358" s="12">
        <f t="shared" si="190"/>
        <v>0</v>
      </c>
    </row>
    <row r="1359" spans="2:18">
      <c r="B1359" t="str">
        <f t="shared" si="184"/>
        <v/>
      </c>
      <c r="D1359" s="121"/>
      <c r="G1359" s="122"/>
      <c r="H1359" s="122"/>
      <c r="I1359" s="112">
        <v>0</v>
      </c>
      <c r="J1359" s="112">
        <v>0</v>
      </c>
      <c r="K1359" s="23">
        <f t="shared" si="185"/>
        <v>0</v>
      </c>
      <c r="L1359" s="23">
        <f t="shared" si="186"/>
        <v>0</v>
      </c>
      <c r="M1359" s="12">
        <f t="shared" si="191"/>
        <v>0</v>
      </c>
      <c r="N1359" s="23">
        <f t="shared" si="187"/>
        <v>0</v>
      </c>
      <c r="O1359" s="41">
        <f t="shared" si="188"/>
        <v>0</v>
      </c>
      <c r="P1359" s="13" t="str">
        <f t="shared" si="189"/>
        <v>NO</v>
      </c>
      <c r="Q1359" s="23">
        <f t="shared" si="190"/>
        <v>0</v>
      </c>
      <c r="R1359" s="12">
        <f t="shared" si="190"/>
        <v>0</v>
      </c>
    </row>
    <row r="1360" spans="2:18">
      <c r="B1360" t="str">
        <f t="shared" si="184"/>
        <v/>
      </c>
      <c r="D1360" s="121"/>
      <c r="G1360" s="122"/>
      <c r="H1360" s="122"/>
      <c r="I1360" s="112">
        <v>0</v>
      </c>
      <c r="J1360" s="112">
        <v>0</v>
      </c>
      <c r="K1360" s="23">
        <f t="shared" si="185"/>
        <v>0</v>
      </c>
      <c r="L1360" s="23">
        <f t="shared" si="186"/>
        <v>0</v>
      </c>
      <c r="M1360" s="12">
        <f t="shared" si="191"/>
        <v>0</v>
      </c>
      <c r="N1360" s="23">
        <f t="shared" si="187"/>
        <v>0</v>
      </c>
      <c r="O1360" s="41">
        <f t="shared" si="188"/>
        <v>0</v>
      </c>
      <c r="P1360" s="13" t="str">
        <f t="shared" si="189"/>
        <v>NO</v>
      </c>
      <c r="Q1360" s="23">
        <f t="shared" si="190"/>
        <v>0</v>
      </c>
      <c r="R1360" s="12">
        <f t="shared" si="190"/>
        <v>0</v>
      </c>
    </row>
    <row r="1361" spans="2:18">
      <c r="B1361" t="str">
        <f t="shared" si="184"/>
        <v/>
      </c>
      <c r="D1361" s="121"/>
      <c r="G1361" s="122"/>
      <c r="H1361" s="122"/>
      <c r="I1361" s="112">
        <v>0</v>
      </c>
      <c r="J1361" s="112">
        <v>0</v>
      </c>
      <c r="K1361" s="23">
        <f t="shared" si="185"/>
        <v>0</v>
      </c>
      <c r="L1361" s="23">
        <f t="shared" si="186"/>
        <v>0</v>
      </c>
      <c r="M1361" s="12">
        <f t="shared" si="191"/>
        <v>0</v>
      </c>
      <c r="N1361" s="23">
        <f t="shared" si="187"/>
        <v>0</v>
      </c>
      <c r="O1361" s="41">
        <f t="shared" si="188"/>
        <v>0</v>
      </c>
      <c r="P1361" s="13" t="str">
        <f t="shared" si="189"/>
        <v>NO</v>
      </c>
      <c r="Q1361" s="23">
        <f t="shared" si="190"/>
        <v>0</v>
      </c>
      <c r="R1361" s="12">
        <f t="shared" si="190"/>
        <v>0</v>
      </c>
    </row>
    <row r="1362" spans="2:18">
      <c r="B1362" t="str">
        <f t="shared" si="184"/>
        <v/>
      </c>
      <c r="D1362" s="121"/>
      <c r="G1362" s="122"/>
      <c r="H1362" s="122"/>
      <c r="I1362" s="112">
        <v>0</v>
      </c>
      <c r="J1362" s="112">
        <v>0</v>
      </c>
      <c r="K1362" s="23">
        <f t="shared" si="185"/>
        <v>0</v>
      </c>
      <c r="L1362" s="23">
        <f t="shared" si="186"/>
        <v>0</v>
      </c>
      <c r="M1362" s="12">
        <f t="shared" si="191"/>
        <v>0</v>
      </c>
      <c r="N1362" s="23">
        <f t="shared" si="187"/>
        <v>0</v>
      </c>
      <c r="O1362" s="41">
        <f t="shared" si="188"/>
        <v>0</v>
      </c>
      <c r="P1362" s="13" t="str">
        <f t="shared" si="189"/>
        <v>NO</v>
      </c>
      <c r="Q1362" s="23">
        <f t="shared" si="190"/>
        <v>0</v>
      </c>
      <c r="R1362" s="12">
        <f t="shared" si="190"/>
        <v>0</v>
      </c>
    </row>
    <row r="1363" spans="2:18">
      <c r="B1363" t="str">
        <f t="shared" si="184"/>
        <v/>
      </c>
      <c r="D1363" s="121"/>
      <c r="G1363" s="122"/>
      <c r="H1363" s="122"/>
      <c r="I1363" s="112">
        <v>0</v>
      </c>
      <c r="J1363" s="112">
        <v>0</v>
      </c>
      <c r="K1363" s="23">
        <f t="shared" si="185"/>
        <v>0</v>
      </c>
      <c r="L1363" s="23">
        <f t="shared" si="186"/>
        <v>0</v>
      </c>
      <c r="M1363" s="12">
        <f t="shared" si="191"/>
        <v>0</v>
      </c>
      <c r="N1363" s="23">
        <f t="shared" si="187"/>
        <v>0</v>
      </c>
      <c r="O1363" s="41">
        <f t="shared" si="188"/>
        <v>0</v>
      </c>
      <c r="P1363" s="13" t="str">
        <f t="shared" si="189"/>
        <v>NO</v>
      </c>
      <c r="Q1363" s="23">
        <f t="shared" si="190"/>
        <v>0</v>
      </c>
      <c r="R1363" s="12">
        <f t="shared" si="190"/>
        <v>0</v>
      </c>
    </row>
    <row r="1364" spans="2:18">
      <c r="B1364" t="str">
        <f t="shared" si="184"/>
        <v/>
      </c>
      <c r="D1364" s="121"/>
      <c r="G1364" s="122"/>
      <c r="H1364" s="122"/>
      <c r="I1364" s="112">
        <v>0</v>
      </c>
      <c r="J1364" s="112">
        <v>0</v>
      </c>
      <c r="K1364" s="23">
        <f t="shared" si="185"/>
        <v>0</v>
      </c>
      <c r="L1364" s="23">
        <f t="shared" si="186"/>
        <v>0</v>
      </c>
      <c r="M1364" s="12">
        <f t="shared" si="191"/>
        <v>0</v>
      </c>
      <c r="N1364" s="23">
        <f t="shared" si="187"/>
        <v>0</v>
      </c>
      <c r="O1364" s="41">
        <f t="shared" si="188"/>
        <v>0</v>
      </c>
      <c r="P1364" s="13" t="str">
        <f t="shared" si="189"/>
        <v>NO</v>
      </c>
      <c r="Q1364" s="23">
        <f t="shared" si="190"/>
        <v>0</v>
      </c>
      <c r="R1364" s="12">
        <f t="shared" si="190"/>
        <v>0</v>
      </c>
    </row>
    <row r="1365" spans="2:18">
      <c r="B1365" t="str">
        <f t="shared" si="184"/>
        <v/>
      </c>
      <c r="D1365" s="121"/>
      <c r="G1365" s="122"/>
      <c r="H1365" s="122"/>
      <c r="I1365" s="112">
        <v>0</v>
      </c>
      <c r="J1365" s="112">
        <v>0</v>
      </c>
      <c r="K1365" s="23">
        <f t="shared" si="185"/>
        <v>0</v>
      </c>
      <c r="L1365" s="23">
        <f t="shared" si="186"/>
        <v>0</v>
      </c>
      <c r="M1365" s="12">
        <f t="shared" si="191"/>
        <v>0</v>
      </c>
      <c r="N1365" s="23">
        <f t="shared" si="187"/>
        <v>0</v>
      </c>
      <c r="O1365" s="41">
        <f t="shared" si="188"/>
        <v>0</v>
      </c>
      <c r="P1365" s="13" t="str">
        <f t="shared" si="189"/>
        <v>NO</v>
      </c>
      <c r="Q1365" s="23">
        <f t="shared" si="190"/>
        <v>0</v>
      </c>
      <c r="R1365" s="12">
        <f t="shared" si="190"/>
        <v>0</v>
      </c>
    </row>
    <row r="1366" spans="2:18">
      <c r="B1366" t="str">
        <f t="shared" si="184"/>
        <v/>
      </c>
      <c r="D1366" s="121"/>
      <c r="G1366" s="122"/>
      <c r="H1366" s="122"/>
      <c r="I1366" s="112">
        <v>0</v>
      </c>
      <c r="J1366" s="112">
        <v>0</v>
      </c>
      <c r="K1366" s="23">
        <f t="shared" si="185"/>
        <v>0</v>
      </c>
      <c r="L1366" s="23">
        <f t="shared" si="186"/>
        <v>0</v>
      </c>
      <c r="M1366" s="12">
        <f t="shared" si="191"/>
        <v>0</v>
      </c>
      <c r="N1366" s="23">
        <f t="shared" si="187"/>
        <v>0</v>
      </c>
      <c r="O1366" s="41">
        <f t="shared" si="188"/>
        <v>0</v>
      </c>
      <c r="P1366" s="13" t="str">
        <f t="shared" si="189"/>
        <v>NO</v>
      </c>
      <c r="Q1366" s="23">
        <f t="shared" si="190"/>
        <v>0</v>
      </c>
      <c r="R1366" s="12">
        <f t="shared" si="190"/>
        <v>0</v>
      </c>
    </row>
    <row r="1367" spans="2:18">
      <c r="B1367" t="str">
        <f t="shared" si="184"/>
        <v/>
      </c>
      <c r="D1367" s="121"/>
      <c r="G1367" s="122"/>
      <c r="H1367" s="122"/>
      <c r="I1367" s="112">
        <v>0</v>
      </c>
      <c r="J1367" s="112">
        <v>0</v>
      </c>
      <c r="K1367" s="23">
        <f t="shared" si="185"/>
        <v>0</v>
      </c>
      <c r="L1367" s="23">
        <f t="shared" si="186"/>
        <v>0</v>
      </c>
      <c r="M1367" s="12">
        <f t="shared" si="191"/>
        <v>0</v>
      </c>
      <c r="N1367" s="23">
        <f t="shared" si="187"/>
        <v>0</v>
      </c>
      <c r="O1367" s="41">
        <f t="shared" si="188"/>
        <v>0</v>
      </c>
      <c r="P1367" s="13" t="str">
        <f t="shared" si="189"/>
        <v>NO</v>
      </c>
      <c r="Q1367" s="23">
        <f t="shared" si="190"/>
        <v>0</v>
      </c>
      <c r="R1367" s="12">
        <f t="shared" si="190"/>
        <v>0</v>
      </c>
    </row>
    <row r="1368" spans="2:18">
      <c r="B1368" t="str">
        <f t="shared" si="184"/>
        <v/>
      </c>
      <c r="D1368" s="121"/>
      <c r="G1368" s="122"/>
      <c r="H1368" s="122"/>
      <c r="I1368" s="112">
        <v>0</v>
      </c>
      <c r="J1368" s="112">
        <v>0</v>
      </c>
      <c r="K1368" s="23">
        <f t="shared" si="185"/>
        <v>0</v>
      </c>
      <c r="L1368" s="23">
        <f t="shared" si="186"/>
        <v>0</v>
      </c>
      <c r="M1368" s="12">
        <f t="shared" si="191"/>
        <v>0</v>
      </c>
      <c r="N1368" s="23">
        <f t="shared" si="187"/>
        <v>0</v>
      </c>
      <c r="O1368" s="41">
        <f t="shared" si="188"/>
        <v>0</v>
      </c>
      <c r="P1368" s="13" t="str">
        <f t="shared" si="189"/>
        <v>NO</v>
      </c>
      <c r="Q1368" s="23">
        <f t="shared" si="190"/>
        <v>0</v>
      </c>
      <c r="R1368" s="12">
        <f t="shared" si="190"/>
        <v>0</v>
      </c>
    </row>
    <row r="1369" spans="2:18">
      <c r="B1369" t="str">
        <f t="shared" si="184"/>
        <v/>
      </c>
      <c r="D1369" s="121"/>
      <c r="G1369" s="122"/>
      <c r="H1369" s="122"/>
      <c r="I1369" s="112">
        <v>0</v>
      </c>
      <c r="J1369" s="112">
        <v>0</v>
      </c>
      <c r="K1369" s="23">
        <f t="shared" si="185"/>
        <v>0</v>
      </c>
      <c r="L1369" s="23">
        <f t="shared" si="186"/>
        <v>0</v>
      </c>
      <c r="M1369" s="12">
        <f t="shared" si="191"/>
        <v>0</v>
      </c>
      <c r="N1369" s="23">
        <f t="shared" si="187"/>
        <v>0</v>
      </c>
      <c r="O1369" s="41">
        <f t="shared" si="188"/>
        <v>0</v>
      </c>
      <c r="P1369" s="13" t="str">
        <f t="shared" si="189"/>
        <v>NO</v>
      </c>
      <c r="Q1369" s="23">
        <f t="shared" si="190"/>
        <v>0</v>
      </c>
      <c r="R1369" s="12">
        <f t="shared" si="190"/>
        <v>0</v>
      </c>
    </row>
    <row r="1370" spans="2:18">
      <c r="B1370" t="str">
        <f t="shared" si="184"/>
        <v/>
      </c>
      <c r="D1370" s="121"/>
      <c r="G1370" s="122"/>
      <c r="H1370" s="122"/>
      <c r="I1370" s="112">
        <v>0</v>
      </c>
      <c r="J1370" s="112">
        <v>0</v>
      </c>
      <c r="K1370" s="23">
        <f t="shared" si="185"/>
        <v>0</v>
      </c>
      <c r="L1370" s="23">
        <f t="shared" si="186"/>
        <v>0</v>
      </c>
      <c r="M1370" s="12">
        <f t="shared" si="191"/>
        <v>0</v>
      </c>
      <c r="N1370" s="23">
        <f t="shared" si="187"/>
        <v>0</v>
      </c>
      <c r="O1370" s="41">
        <f t="shared" si="188"/>
        <v>0</v>
      </c>
      <c r="P1370" s="13" t="str">
        <f t="shared" si="189"/>
        <v>NO</v>
      </c>
      <c r="Q1370" s="23">
        <f t="shared" si="190"/>
        <v>0</v>
      </c>
      <c r="R1370" s="12">
        <f t="shared" si="190"/>
        <v>0</v>
      </c>
    </row>
    <row r="1371" spans="2:18">
      <c r="B1371" t="str">
        <f t="shared" si="184"/>
        <v/>
      </c>
      <c r="D1371" s="121"/>
      <c r="G1371" s="122"/>
      <c r="H1371" s="122"/>
      <c r="I1371" s="112">
        <v>0</v>
      </c>
      <c r="J1371" s="112">
        <v>0</v>
      </c>
      <c r="K1371" s="23">
        <f t="shared" si="185"/>
        <v>0</v>
      </c>
      <c r="L1371" s="23">
        <f t="shared" si="186"/>
        <v>0</v>
      </c>
      <c r="M1371" s="12">
        <f t="shared" si="191"/>
        <v>0</v>
      </c>
      <c r="N1371" s="23">
        <f t="shared" si="187"/>
        <v>0</v>
      </c>
      <c r="O1371" s="41">
        <f t="shared" si="188"/>
        <v>0</v>
      </c>
      <c r="P1371" s="13" t="str">
        <f t="shared" si="189"/>
        <v>NO</v>
      </c>
      <c r="Q1371" s="23">
        <f t="shared" si="190"/>
        <v>0</v>
      </c>
      <c r="R1371" s="12">
        <f t="shared" si="190"/>
        <v>0</v>
      </c>
    </row>
    <row r="1372" spans="2:18">
      <c r="B1372" t="str">
        <f t="shared" si="184"/>
        <v/>
      </c>
      <c r="D1372" s="121"/>
      <c r="G1372" s="122"/>
      <c r="H1372" s="122"/>
      <c r="I1372" s="112">
        <v>0</v>
      </c>
      <c r="J1372" s="112">
        <v>0</v>
      </c>
      <c r="K1372" s="23">
        <f t="shared" si="185"/>
        <v>0</v>
      </c>
      <c r="L1372" s="23">
        <f t="shared" si="186"/>
        <v>0</v>
      </c>
      <c r="M1372" s="12">
        <f t="shared" si="191"/>
        <v>0</v>
      </c>
      <c r="N1372" s="23">
        <f t="shared" si="187"/>
        <v>0</v>
      </c>
      <c r="O1372" s="41">
        <f t="shared" si="188"/>
        <v>0</v>
      </c>
      <c r="P1372" s="13" t="str">
        <f t="shared" si="189"/>
        <v>NO</v>
      </c>
      <c r="Q1372" s="23">
        <f t="shared" si="190"/>
        <v>0</v>
      </c>
      <c r="R1372" s="12">
        <f t="shared" si="190"/>
        <v>0</v>
      </c>
    </row>
    <row r="1373" spans="2:18">
      <c r="B1373" t="str">
        <f t="shared" si="184"/>
        <v/>
      </c>
      <c r="D1373" s="121"/>
      <c r="G1373" s="122"/>
      <c r="H1373" s="122"/>
      <c r="I1373" s="112">
        <v>0</v>
      </c>
      <c r="J1373" s="112">
        <v>0</v>
      </c>
      <c r="K1373" s="23">
        <f t="shared" si="185"/>
        <v>0</v>
      </c>
      <c r="L1373" s="23">
        <f t="shared" si="186"/>
        <v>0</v>
      </c>
      <c r="M1373" s="12">
        <f t="shared" si="191"/>
        <v>0</v>
      </c>
      <c r="N1373" s="23">
        <f t="shared" si="187"/>
        <v>0</v>
      </c>
      <c r="O1373" s="41">
        <f t="shared" si="188"/>
        <v>0</v>
      </c>
      <c r="P1373" s="13" t="str">
        <f t="shared" si="189"/>
        <v>NO</v>
      </c>
      <c r="Q1373" s="23">
        <f t="shared" si="190"/>
        <v>0</v>
      </c>
      <c r="R1373" s="12">
        <f t="shared" si="190"/>
        <v>0</v>
      </c>
    </row>
    <row r="1374" spans="2:18">
      <c r="B1374" t="str">
        <f t="shared" si="184"/>
        <v/>
      </c>
      <c r="D1374" s="121"/>
      <c r="G1374" s="122"/>
      <c r="H1374" s="122"/>
      <c r="I1374" s="112">
        <v>0</v>
      </c>
      <c r="J1374" s="112">
        <v>0</v>
      </c>
      <c r="K1374" s="23">
        <f t="shared" si="185"/>
        <v>0</v>
      </c>
      <c r="L1374" s="23">
        <f t="shared" si="186"/>
        <v>0</v>
      </c>
      <c r="M1374" s="12">
        <f t="shared" si="191"/>
        <v>0</v>
      </c>
      <c r="N1374" s="23">
        <f t="shared" si="187"/>
        <v>0</v>
      </c>
      <c r="O1374" s="41">
        <f t="shared" si="188"/>
        <v>0</v>
      </c>
      <c r="P1374" s="13" t="str">
        <f t="shared" si="189"/>
        <v>NO</v>
      </c>
      <c r="Q1374" s="23">
        <f t="shared" si="190"/>
        <v>0</v>
      </c>
      <c r="R1374" s="12">
        <f t="shared" si="190"/>
        <v>0</v>
      </c>
    </row>
    <row r="1375" spans="2:18">
      <c r="B1375" t="str">
        <f t="shared" si="184"/>
        <v/>
      </c>
      <c r="D1375" s="121"/>
      <c r="G1375" s="122"/>
      <c r="H1375" s="122"/>
      <c r="I1375" s="112">
        <v>0</v>
      </c>
      <c r="J1375" s="112">
        <v>0</v>
      </c>
      <c r="K1375" s="23">
        <f t="shared" si="185"/>
        <v>0</v>
      </c>
      <c r="L1375" s="23">
        <f t="shared" si="186"/>
        <v>0</v>
      </c>
      <c r="M1375" s="12">
        <f t="shared" si="191"/>
        <v>0</v>
      </c>
      <c r="N1375" s="23">
        <f t="shared" si="187"/>
        <v>0</v>
      </c>
      <c r="O1375" s="41">
        <f t="shared" si="188"/>
        <v>0</v>
      </c>
      <c r="P1375" s="13" t="str">
        <f t="shared" si="189"/>
        <v>NO</v>
      </c>
      <c r="Q1375" s="23">
        <f t="shared" si="190"/>
        <v>0</v>
      </c>
      <c r="R1375" s="12">
        <f t="shared" si="190"/>
        <v>0</v>
      </c>
    </row>
    <row r="1376" spans="2:18">
      <c r="B1376" t="str">
        <f t="shared" si="184"/>
        <v/>
      </c>
      <c r="D1376" s="121"/>
      <c r="G1376" s="122"/>
      <c r="H1376" s="122"/>
      <c r="I1376" s="112">
        <v>0</v>
      </c>
      <c r="J1376" s="112">
        <v>0</v>
      </c>
      <c r="K1376" s="23">
        <f t="shared" si="185"/>
        <v>0</v>
      </c>
      <c r="L1376" s="23">
        <f t="shared" si="186"/>
        <v>0</v>
      </c>
      <c r="M1376" s="12">
        <f t="shared" si="191"/>
        <v>0</v>
      </c>
      <c r="N1376" s="23">
        <f t="shared" si="187"/>
        <v>0</v>
      </c>
      <c r="O1376" s="41">
        <f t="shared" si="188"/>
        <v>0</v>
      </c>
      <c r="P1376" s="13" t="str">
        <f t="shared" si="189"/>
        <v>NO</v>
      </c>
      <c r="Q1376" s="23">
        <f t="shared" si="190"/>
        <v>0</v>
      </c>
      <c r="R1376" s="12">
        <f t="shared" si="190"/>
        <v>0</v>
      </c>
    </row>
    <row r="1377" spans="2:18">
      <c r="B1377" t="str">
        <f t="shared" si="184"/>
        <v/>
      </c>
      <c r="D1377" s="121"/>
      <c r="G1377" s="122"/>
      <c r="H1377" s="122"/>
      <c r="I1377" s="112">
        <v>0</v>
      </c>
      <c r="J1377" s="112">
        <v>0</v>
      </c>
      <c r="K1377" s="23">
        <f t="shared" si="185"/>
        <v>0</v>
      </c>
      <c r="L1377" s="23">
        <f t="shared" si="186"/>
        <v>0</v>
      </c>
      <c r="M1377" s="12">
        <f t="shared" si="191"/>
        <v>0</v>
      </c>
      <c r="N1377" s="23">
        <f t="shared" si="187"/>
        <v>0</v>
      </c>
      <c r="O1377" s="41">
        <f t="shared" si="188"/>
        <v>0</v>
      </c>
      <c r="P1377" s="13" t="str">
        <f t="shared" si="189"/>
        <v>NO</v>
      </c>
      <c r="Q1377" s="23">
        <f t="shared" si="190"/>
        <v>0</v>
      </c>
      <c r="R1377" s="12">
        <f t="shared" si="190"/>
        <v>0</v>
      </c>
    </row>
    <row r="1378" spans="2:18">
      <c r="B1378" t="str">
        <f t="shared" si="184"/>
        <v/>
      </c>
      <c r="D1378" s="121"/>
      <c r="G1378" s="122"/>
      <c r="H1378" s="122"/>
      <c r="I1378" s="112">
        <v>0</v>
      </c>
      <c r="J1378" s="112">
        <v>0</v>
      </c>
      <c r="K1378" s="23">
        <f t="shared" si="185"/>
        <v>0</v>
      </c>
      <c r="L1378" s="23">
        <f t="shared" si="186"/>
        <v>0</v>
      </c>
      <c r="M1378" s="12">
        <f t="shared" si="191"/>
        <v>0</v>
      </c>
      <c r="N1378" s="23">
        <f t="shared" si="187"/>
        <v>0</v>
      </c>
      <c r="O1378" s="41">
        <f t="shared" si="188"/>
        <v>0</v>
      </c>
      <c r="P1378" s="13" t="str">
        <f t="shared" si="189"/>
        <v>NO</v>
      </c>
      <c r="Q1378" s="23">
        <f t="shared" si="190"/>
        <v>0</v>
      </c>
      <c r="R1378" s="12">
        <f t="shared" si="190"/>
        <v>0</v>
      </c>
    </row>
    <row r="1379" spans="2:18">
      <c r="B1379" t="str">
        <f t="shared" si="184"/>
        <v/>
      </c>
      <c r="D1379" s="121"/>
      <c r="G1379" s="122"/>
      <c r="H1379" s="122"/>
      <c r="I1379" s="112">
        <v>0</v>
      </c>
      <c r="J1379" s="112">
        <v>0</v>
      </c>
      <c r="K1379" s="23">
        <f t="shared" si="185"/>
        <v>0</v>
      </c>
      <c r="L1379" s="23">
        <f t="shared" si="186"/>
        <v>0</v>
      </c>
      <c r="M1379" s="12">
        <f t="shared" si="191"/>
        <v>0</v>
      </c>
      <c r="N1379" s="23">
        <f t="shared" si="187"/>
        <v>0</v>
      </c>
      <c r="O1379" s="41">
        <f t="shared" si="188"/>
        <v>0</v>
      </c>
      <c r="P1379" s="13" t="str">
        <f t="shared" si="189"/>
        <v>NO</v>
      </c>
      <c r="Q1379" s="23">
        <f t="shared" si="190"/>
        <v>0</v>
      </c>
      <c r="R1379" s="12">
        <f t="shared" si="190"/>
        <v>0</v>
      </c>
    </row>
    <row r="1380" spans="2:18">
      <c r="B1380" t="str">
        <f t="shared" si="184"/>
        <v/>
      </c>
      <c r="D1380" s="121"/>
      <c r="G1380" s="122"/>
      <c r="H1380" s="122"/>
      <c r="I1380" s="112">
        <v>0</v>
      </c>
      <c r="J1380" s="112">
        <v>0</v>
      </c>
      <c r="K1380" s="23">
        <f t="shared" si="185"/>
        <v>0</v>
      </c>
      <c r="L1380" s="23">
        <f t="shared" si="186"/>
        <v>0</v>
      </c>
      <c r="M1380" s="12">
        <f t="shared" si="191"/>
        <v>0</v>
      </c>
      <c r="N1380" s="23">
        <f t="shared" si="187"/>
        <v>0</v>
      </c>
      <c r="O1380" s="41">
        <f t="shared" si="188"/>
        <v>0</v>
      </c>
      <c r="P1380" s="13" t="str">
        <f t="shared" si="189"/>
        <v>NO</v>
      </c>
      <c r="Q1380" s="23">
        <f t="shared" si="190"/>
        <v>0</v>
      </c>
      <c r="R1380" s="12">
        <f t="shared" si="190"/>
        <v>0</v>
      </c>
    </row>
    <row r="1381" spans="2:18">
      <c r="B1381" t="str">
        <f t="shared" si="184"/>
        <v/>
      </c>
      <c r="D1381" s="121"/>
      <c r="G1381" s="122"/>
      <c r="H1381" s="122"/>
      <c r="I1381" s="112">
        <v>0</v>
      </c>
      <c r="J1381" s="112">
        <v>0</v>
      </c>
      <c r="K1381" s="23">
        <f t="shared" si="185"/>
        <v>0</v>
      </c>
      <c r="L1381" s="23">
        <f t="shared" si="186"/>
        <v>0</v>
      </c>
      <c r="M1381" s="12">
        <f t="shared" si="191"/>
        <v>0</v>
      </c>
      <c r="N1381" s="23">
        <f t="shared" si="187"/>
        <v>0</v>
      </c>
      <c r="O1381" s="41">
        <f t="shared" si="188"/>
        <v>0</v>
      </c>
      <c r="P1381" s="13" t="str">
        <f t="shared" si="189"/>
        <v>NO</v>
      </c>
      <c r="Q1381" s="23">
        <f t="shared" si="190"/>
        <v>0</v>
      </c>
      <c r="R1381" s="12">
        <f t="shared" si="190"/>
        <v>0</v>
      </c>
    </row>
    <row r="1382" spans="2:18">
      <c r="B1382" t="str">
        <f t="shared" si="184"/>
        <v/>
      </c>
      <c r="D1382" s="121"/>
      <c r="G1382" s="122"/>
      <c r="H1382" s="122"/>
      <c r="I1382" s="112">
        <v>0</v>
      </c>
      <c r="J1382" s="112">
        <v>0</v>
      </c>
      <c r="K1382" s="23">
        <f t="shared" si="185"/>
        <v>0</v>
      </c>
      <c r="L1382" s="23">
        <f t="shared" si="186"/>
        <v>0</v>
      </c>
      <c r="M1382" s="12">
        <f t="shared" si="191"/>
        <v>0</v>
      </c>
      <c r="N1382" s="23">
        <f t="shared" si="187"/>
        <v>0</v>
      </c>
      <c r="O1382" s="41">
        <f t="shared" si="188"/>
        <v>0</v>
      </c>
      <c r="P1382" s="13" t="str">
        <f t="shared" si="189"/>
        <v>NO</v>
      </c>
      <c r="Q1382" s="23">
        <f t="shared" si="190"/>
        <v>0</v>
      </c>
      <c r="R1382" s="12">
        <f t="shared" si="190"/>
        <v>0</v>
      </c>
    </row>
    <row r="1383" spans="2:18">
      <c r="B1383" t="str">
        <f t="shared" si="184"/>
        <v/>
      </c>
      <c r="D1383" s="121"/>
      <c r="G1383" s="122"/>
      <c r="H1383" s="122"/>
      <c r="I1383" s="112">
        <v>0</v>
      </c>
      <c r="J1383" s="112">
        <v>0</v>
      </c>
      <c r="K1383" s="23">
        <f t="shared" si="185"/>
        <v>0</v>
      </c>
      <c r="L1383" s="23">
        <f t="shared" si="186"/>
        <v>0</v>
      </c>
      <c r="M1383" s="12">
        <f t="shared" si="191"/>
        <v>0</v>
      </c>
      <c r="N1383" s="23">
        <f t="shared" si="187"/>
        <v>0</v>
      </c>
      <c r="O1383" s="41">
        <f t="shared" si="188"/>
        <v>0</v>
      </c>
      <c r="P1383" s="13" t="str">
        <f t="shared" si="189"/>
        <v>NO</v>
      </c>
      <c r="Q1383" s="23">
        <f t="shared" si="190"/>
        <v>0</v>
      </c>
      <c r="R1383" s="12">
        <f t="shared" si="190"/>
        <v>0</v>
      </c>
    </row>
    <row r="1384" spans="2:18">
      <c r="B1384" t="str">
        <f t="shared" si="184"/>
        <v/>
      </c>
      <c r="D1384" s="121"/>
      <c r="G1384" s="122"/>
      <c r="H1384" s="122"/>
      <c r="I1384" s="112">
        <v>0</v>
      </c>
      <c r="J1384" s="112">
        <v>0</v>
      </c>
      <c r="K1384" s="23">
        <f t="shared" si="185"/>
        <v>0</v>
      </c>
      <c r="L1384" s="23">
        <f t="shared" si="186"/>
        <v>0</v>
      </c>
      <c r="M1384" s="12">
        <f t="shared" si="191"/>
        <v>0</v>
      </c>
      <c r="N1384" s="23">
        <f t="shared" si="187"/>
        <v>0</v>
      </c>
      <c r="O1384" s="41">
        <f t="shared" si="188"/>
        <v>0</v>
      </c>
      <c r="P1384" s="13" t="str">
        <f t="shared" si="189"/>
        <v>NO</v>
      </c>
      <c r="Q1384" s="23">
        <f t="shared" si="190"/>
        <v>0</v>
      </c>
      <c r="R1384" s="12">
        <f t="shared" si="190"/>
        <v>0</v>
      </c>
    </row>
    <row r="1385" spans="2:18">
      <c r="B1385" t="str">
        <f t="shared" si="184"/>
        <v/>
      </c>
      <c r="D1385" s="121"/>
      <c r="G1385" s="122"/>
      <c r="H1385" s="122"/>
      <c r="I1385" s="112">
        <v>0</v>
      </c>
      <c r="J1385" s="112">
        <v>0</v>
      </c>
      <c r="K1385" s="23">
        <f t="shared" si="185"/>
        <v>0</v>
      </c>
      <c r="L1385" s="23">
        <f t="shared" si="186"/>
        <v>0</v>
      </c>
      <c r="M1385" s="12">
        <f t="shared" si="191"/>
        <v>0</v>
      </c>
      <c r="N1385" s="23">
        <f t="shared" si="187"/>
        <v>0</v>
      </c>
      <c r="O1385" s="41">
        <f t="shared" si="188"/>
        <v>0</v>
      </c>
      <c r="P1385" s="13" t="str">
        <f t="shared" si="189"/>
        <v>NO</v>
      </c>
      <c r="Q1385" s="23">
        <f t="shared" si="190"/>
        <v>0</v>
      </c>
      <c r="R1385" s="12">
        <f t="shared" si="190"/>
        <v>0</v>
      </c>
    </row>
    <row r="1386" spans="2:18">
      <c r="B1386" t="str">
        <f t="shared" si="184"/>
        <v/>
      </c>
      <c r="D1386" s="121"/>
      <c r="G1386" s="122"/>
      <c r="H1386" s="122"/>
      <c r="I1386" s="112">
        <v>0</v>
      </c>
      <c r="J1386" s="112">
        <v>0</v>
      </c>
      <c r="K1386" s="23">
        <f t="shared" si="185"/>
        <v>0</v>
      </c>
      <c r="L1386" s="23">
        <f t="shared" si="186"/>
        <v>0</v>
      </c>
      <c r="M1386" s="12">
        <f t="shared" si="191"/>
        <v>0</v>
      </c>
      <c r="N1386" s="23">
        <f t="shared" si="187"/>
        <v>0</v>
      </c>
      <c r="O1386" s="41">
        <f t="shared" si="188"/>
        <v>0</v>
      </c>
      <c r="P1386" s="13" t="str">
        <f t="shared" si="189"/>
        <v>NO</v>
      </c>
      <c r="Q1386" s="23">
        <f t="shared" si="190"/>
        <v>0</v>
      </c>
      <c r="R1386" s="12">
        <f t="shared" si="190"/>
        <v>0</v>
      </c>
    </row>
    <row r="1387" spans="2:18">
      <c r="B1387" t="str">
        <f t="shared" si="184"/>
        <v/>
      </c>
      <c r="D1387" s="121"/>
      <c r="G1387" s="122"/>
      <c r="H1387" s="122"/>
      <c r="I1387" s="112">
        <v>0</v>
      </c>
      <c r="J1387" s="112">
        <v>0</v>
      </c>
      <c r="K1387" s="23">
        <f t="shared" si="185"/>
        <v>0</v>
      </c>
      <c r="L1387" s="23">
        <f t="shared" si="186"/>
        <v>0</v>
      </c>
      <c r="M1387" s="12">
        <f t="shared" si="191"/>
        <v>0</v>
      </c>
      <c r="N1387" s="23">
        <f t="shared" si="187"/>
        <v>0</v>
      </c>
      <c r="O1387" s="41">
        <f t="shared" si="188"/>
        <v>0</v>
      </c>
      <c r="P1387" s="13" t="str">
        <f t="shared" si="189"/>
        <v>NO</v>
      </c>
      <c r="Q1387" s="23">
        <f t="shared" si="190"/>
        <v>0</v>
      </c>
      <c r="R1387" s="12">
        <f t="shared" si="190"/>
        <v>0</v>
      </c>
    </row>
    <row r="1388" spans="2:18">
      <c r="B1388" t="str">
        <f t="shared" si="184"/>
        <v/>
      </c>
      <c r="D1388" s="121"/>
      <c r="G1388" s="122"/>
      <c r="H1388" s="122"/>
      <c r="I1388" s="112">
        <v>0</v>
      </c>
      <c r="J1388" s="112">
        <v>0</v>
      </c>
      <c r="K1388" s="23">
        <f t="shared" si="185"/>
        <v>0</v>
      </c>
      <c r="L1388" s="23">
        <f t="shared" si="186"/>
        <v>0</v>
      </c>
      <c r="M1388" s="12">
        <f t="shared" si="191"/>
        <v>0</v>
      </c>
      <c r="N1388" s="23">
        <f t="shared" si="187"/>
        <v>0</v>
      </c>
      <c r="O1388" s="41">
        <f t="shared" si="188"/>
        <v>0</v>
      </c>
      <c r="P1388" s="13" t="str">
        <f t="shared" si="189"/>
        <v>NO</v>
      </c>
      <c r="Q1388" s="23">
        <f t="shared" si="190"/>
        <v>0</v>
      </c>
      <c r="R1388" s="12">
        <f t="shared" si="190"/>
        <v>0</v>
      </c>
    </row>
    <row r="1389" spans="2:18">
      <c r="B1389" t="str">
        <f t="shared" si="184"/>
        <v/>
      </c>
      <c r="D1389" s="121"/>
      <c r="G1389" s="122"/>
      <c r="H1389" s="122"/>
      <c r="I1389" s="112">
        <v>0</v>
      </c>
      <c r="J1389" s="112">
        <v>0</v>
      </c>
      <c r="K1389" s="23">
        <f t="shared" si="185"/>
        <v>0</v>
      </c>
      <c r="L1389" s="23">
        <f t="shared" si="186"/>
        <v>0</v>
      </c>
      <c r="M1389" s="12">
        <f t="shared" si="191"/>
        <v>0</v>
      </c>
      <c r="N1389" s="23">
        <f t="shared" si="187"/>
        <v>0</v>
      </c>
      <c r="O1389" s="41">
        <f t="shared" si="188"/>
        <v>0</v>
      </c>
      <c r="P1389" s="13" t="str">
        <f t="shared" si="189"/>
        <v>NO</v>
      </c>
      <c r="Q1389" s="23">
        <f t="shared" si="190"/>
        <v>0</v>
      </c>
      <c r="R1389" s="12">
        <f t="shared" si="190"/>
        <v>0</v>
      </c>
    </row>
    <row r="1390" spans="2:18">
      <c r="B1390" t="str">
        <f t="shared" si="184"/>
        <v/>
      </c>
      <c r="D1390" s="121"/>
      <c r="G1390" s="122"/>
      <c r="H1390" s="122"/>
      <c r="I1390" s="112">
        <v>0</v>
      </c>
      <c r="J1390" s="112">
        <v>0</v>
      </c>
      <c r="K1390" s="23">
        <f t="shared" si="185"/>
        <v>0</v>
      </c>
      <c r="L1390" s="23">
        <f t="shared" si="186"/>
        <v>0</v>
      </c>
      <c r="M1390" s="12">
        <f t="shared" si="191"/>
        <v>0</v>
      </c>
      <c r="N1390" s="23">
        <f t="shared" si="187"/>
        <v>0</v>
      </c>
      <c r="O1390" s="41">
        <f t="shared" si="188"/>
        <v>0</v>
      </c>
      <c r="P1390" s="13" t="str">
        <f t="shared" si="189"/>
        <v>NO</v>
      </c>
      <c r="Q1390" s="23">
        <f t="shared" si="190"/>
        <v>0</v>
      </c>
      <c r="R1390" s="12">
        <f t="shared" si="190"/>
        <v>0</v>
      </c>
    </row>
    <row r="1391" spans="2:18">
      <c r="B1391" t="str">
        <f t="shared" si="184"/>
        <v/>
      </c>
      <c r="D1391" s="121"/>
      <c r="G1391" s="122"/>
      <c r="H1391" s="122"/>
      <c r="I1391" s="112">
        <v>0</v>
      </c>
      <c r="J1391" s="112">
        <v>0</v>
      </c>
      <c r="K1391" s="23">
        <f t="shared" si="185"/>
        <v>0</v>
      </c>
      <c r="L1391" s="23">
        <f t="shared" si="186"/>
        <v>0</v>
      </c>
      <c r="M1391" s="12">
        <f t="shared" si="191"/>
        <v>0</v>
      </c>
      <c r="N1391" s="23">
        <f t="shared" si="187"/>
        <v>0</v>
      </c>
      <c r="O1391" s="41">
        <f t="shared" si="188"/>
        <v>0</v>
      </c>
      <c r="P1391" s="13" t="str">
        <f t="shared" si="189"/>
        <v>NO</v>
      </c>
      <c r="Q1391" s="23">
        <f t="shared" si="190"/>
        <v>0</v>
      </c>
      <c r="R1391" s="12">
        <f t="shared" si="190"/>
        <v>0</v>
      </c>
    </row>
    <row r="1392" spans="2:18">
      <c r="B1392" t="str">
        <f t="shared" si="184"/>
        <v/>
      </c>
      <c r="D1392" s="121"/>
      <c r="G1392" s="122"/>
      <c r="H1392" s="122"/>
      <c r="I1392" s="112">
        <v>0</v>
      </c>
      <c r="J1392" s="112">
        <v>0</v>
      </c>
      <c r="K1392" s="23">
        <f t="shared" si="185"/>
        <v>0</v>
      </c>
      <c r="L1392" s="23">
        <f t="shared" si="186"/>
        <v>0</v>
      </c>
      <c r="M1392" s="12">
        <f t="shared" si="191"/>
        <v>0</v>
      </c>
      <c r="N1392" s="23">
        <f t="shared" si="187"/>
        <v>0</v>
      </c>
      <c r="O1392" s="41">
        <f t="shared" si="188"/>
        <v>0</v>
      </c>
      <c r="P1392" s="13" t="str">
        <f t="shared" si="189"/>
        <v>NO</v>
      </c>
      <c r="Q1392" s="23">
        <f t="shared" si="190"/>
        <v>0</v>
      </c>
      <c r="R1392" s="12">
        <f t="shared" si="190"/>
        <v>0</v>
      </c>
    </row>
    <row r="1393" spans="2:18">
      <c r="B1393" t="str">
        <f t="shared" si="184"/>
        <v/>
      </c>
      <c r="D1393" s="121"/>
      <c r="G1393" s="122"/>
      <c r="H1393" s="122"/>
      <c r="I1393" s="112">
        <v>0</v>
      </c>
      <c r="J1393" s="112">
        <v>0</v>
      </c>
      <c r="K1393" s="23">
        <f t="shared" si="185"/>
        <v>0</v>
      </c>
      <c r="L1393" s="23">
        <f t="shared" si="186"/>
        <v>0</v>
      </c>
      <c r="M1393" s="12">
        <f t="shared" si="191"/>
        <v>0</v>
      </c>
      <c r="N1393" s="23">
        <f t="shared" si="187"/>
        <v>0</v>
      </c>
      <c r="O1393" s="41">
        <f t="shared" si="188"/>
        <v>0</v>
      </c>
      <c r="P1393" s="13" t="str">
        <f t="shared" si="189"/>
        <v>NO</v>
      </c>
      <c r="Q1393" s="23">
        <f t="shared" si="190"/>
        <v>0</v>
      </c>
      <c r="R1393" s="12">
        <f t="shared" si="190"/>
        <v>0</v>
      </c>
    </row>
    <row r="1394" spans="2:18">
      <c r="B1394" t="str">
        <f t="shared" si="184"/>
        <v/>
      </c>
      <c r="D1394" s="121"/>
      <c r="G1394" s="122"/>
      <c r="H1394" s="122"/>
      <c r="I1394" s="112">
        <v>0</v>
      </c>
      <c r="J1394" s="112">
        <v>0</v>
      </c>
      <c r="K1394" s="23">
        <f t="shared" si="185"/>
        <v>0</v>
      </c>
      <c r="L1394" s="23">
        <f t="shared" si="186"/>
        <v>0</v>
      </c>
      <c r="M1394" s="12">
        <f t="shared" si="191"/>
        <v>0</v>
      </c>
      <c r="N1394" s="23">
        <f t="shared" si="187"/>
        <v>0</v>
      </c>
      <c r="O1394" s="41">
        <f t="shared" si="188"/>
        <v>0</v>
      </c>
      <c r="P1394" s="13" t="str">
        <f t="shared" si="189"/>
        <v>NO</v>
      </c>
      <c r="Q1394" s="23">
        <f t="shared" si="190"/>
        <v>0</v>
      </c>
      <c r="R1394" s="12">
        <f t="shared" si="190"/>
        <v>0</v>
      </c>
    </row>
    <row r="1395" spans="2:18">
      <c r="B1395" t="str">
        <f t="shared" si="184"/>
        <v/>
      </c>
      <c r="D1395" s="121"/>
      <c r="G1395" s="122"/>
      <c r="H1395" s="122"/>
      <c r="I1395" s="112">
        <v>0</v>
      </c>
      <c r="J1395" s="112">
        <v>0</v>
      </c>
      <c r="K1395" s="23">
        <f t="shared" si="185"/>
        <v>0</v>
      </c>
      <c r="L1395" s="23">
        <f t="shared" si="186"/>
        <v>0</v>
      </c>
      <c r="M1395" s="12">
        <f t="shared" si="191"/>
        <v>0</v>
      </c>
      <c r="N1395" s="23">
        <f t="shared" si="187"/>
        <v>0</v>
      </c>
      <c r="O1395" s="41">
        <f t="shared" si="188"/>
        <v>0</v>
      </c>
      <c r="P1395" s="13" t="str">
        <f t="shared" si="189"/>
        <v>NO</v>
      </c>
      <c r="Q1395" s="23">
        <f t="shared" si="190"/>
        <v>0</v>
      </c>
      <c r="R1395" s="12">
        <f t="shared" si="190"/>
        <v>0</v>
      </c>
    </row>
    <row r="1396" spans="2:18">
      <c r="B1396" t="str">
        <f t="shared" si="184"/>
        <v/>
      </c>
      <c r="D1396" s="121"/>
      <c r="G1396" s="122"/>
      <c r="H1396" s="122"/>
      <c r="I1396" s="112">
        <v>0</v>
      </c>
      <c r="J1396" s="112">
        <v>0</v>
      </c>
      <c r="K1396" s="23">
        <f t="shared" si="185"/>
        <v>0</v>
      </c>
      <c r="L1396" s="23">
        <f t="shared" si="186"/>
        <v>0</v>
      </c>
      <c r="M1396" s="12">
        <f t="shared" si="191"/>
        <v>0</v>
      </c>
      <c r="N1396" s="23">
        <f t="shared" si="187"/>
        <v>0</v>
      </c>
      <c r="O1396" s="41">
        <f t="shared" si="188"/>
        <v>0</v>
      </c>
      <c r="P1396" s="13" t="str">
        <f t="shared" si="189"/>
        <v>NO</v>
      </c>
      <c r="Q1396" s="23">
        <f t="shared" si="190"/>
        <v>0</v>
      </c>
      <c r="R1396" s="12">
        <f t="shared" si="190"/>
        <v>0</v>
      </c>
    </row>
    <row r="1397" spans="2:18">
      <c r="B1397" t="str">
        <f t="shared" si="184"/>
        <v/>
      </c>
      <c r="D1397" s="121"/>
      <c r="G1397" s="122"/>
      <c r="H1397" s="122"/>
      <c r="I1397" s="112">
        <v>0</v>
      </c>
      <c r="J1397" s="112">
        <v>0</v>
      </c>
      <c r="K1397" s="23">
        <f t="shared" si="185"/>
        <v>0</v>
      </c>
      <c r="L1397" s="23">
        <f t="shared" si="186"/>
        <v>0</v>
      </c>
      <c r="M1397" s="12">
        <f t="shared" si="191"/>
        <v>0</v>
      </c>
      <c r="N1397" s="23">
        <f t="shared" si="187"/>
        <v>0</v>
      </c>
      <c r="O1397" s="41">
        <f t="shared" si="188"/>
        <v>0</v>
      </c>
      <c r="P1397" s="13" t="str">
        <f t="shared" si="189"/>
        <v>NO</v>
      </c>
      <c r="Q1397" s="23">
        <f t="shared" si="190"/>
        <v>0</v>
      </c>
      <c r="R1397" s="12">
        <f t="shared" si="190"/>
        <v>0</v>
      </c>
    </row>
    <row r="1398" spans="2:18">
      <c r="B1398" t="str">
        <f t="shared" si="184"/>
        <v/>
      </c>
      <c r="D1398" s="121"/>
      <c r="G1398" s="122"/>
      <c r="H1398" s="122"/>
      <c r="I1398" s="112">
        <v>0</v>
      </c>
      <c r="J1398" s="112">
        <v>0</v>
      </c>
      <c r="K1398" s="23">
        <f t="shared" si="185"/>
        <v>0</v>
      </c>
      <c r="L1398" s="23">
        <f t="shared" si="186"/>
        <v>0</v>
      </c>
      <c r="M1398" s="12">
        <f t="shared" si="191"/>
        <v>0</v>
      </c>
      <c r="N1398" s="23">
        <f t="shared" si="187"/>
        <v>0</v>
      </c>
      <c r="O1398" s="41">
        <f t="shared" si="188"/>
        <v>0</v>
      </c>
      <c r="P1398" s="13" t="str">
        <f t="shared" si="189"/>
        <v>NO</v>
      </c>
      <c r="Q1398" s="23">
        <f t="shared" si="190"/>
        <v>0</v>
      </c>
      <c r="R1398" s="12">
        <f t="shared" si="190"/>
        <v>0</v>
      </c>
    </row>
    <row r="1399" spans="2:18">
      <c r="B1399" t="str">
        <f t="shared" ref="B1399:B1462" si="192">+C1399&amp;D1399</f>
        <v/>
      </c>
      <c r="D1399" s="121"/>
      <c r="G1399" s="122"/>
      <c r="H1399" s="122"/>
      <c r="I1399" s="112">
        <v>0</v>
      </c>
      <c r="J1399" s="112">
        <v>0</v>
      </c>
      <c r="K1399" s="23">
        <f t="shared" ref="K1399:K1462" si="193">+IFERROR(G1399,0)</f>
        <v>0</v>
      </c>
      <c r="L1399" s="23">
        <f t="shared" ref="L1399:L1462" si="194">+I1399</f>
        <v>0</v>
      </c>
      <c r="M1399" s="12">
        <f t="shared" si="191"/>
        <v>0</v>
      </c>
      <c r="N1399" s="23">
        <f t="shared" ref="N1399:N1462" si="195">+H1399</f>
        <v>0</v>
      </c>
      <c r="O1399" s="41">
        <f t="shared" ref="O1399:O1462" si="196">+J1399</f>
        <v>0</v>
      </c>
      <c r="P1399" s="13" t="str">
        <f t="shared" ref="P1399:P1462" si="197">+IF(O1399&lt;N1399,"SI","NO")</f>
        <v>NO</v>
      </c>
      <c r="Q1399" s="23">
        <f t="shared" ref="Q1399:R1462" si="198">+M1399</f>
        <v>0</v>
      </c>
      <c r="R1399" s="12">
        <f t="shared" si="198"/>
        <v>0</v>
      </c>
    </row>
    <row r="1400" spans="2:18">
      <c r="B1400" t="str">
        <f t="shared" si="192"/>
        <v/>
      </c>
      <c r="D1400" s="121"/>
      <c r="G1400" s="122"/>
      <c r="H1400" s="122"/>
      <c r="I1400" s="112">
        <v>0</v>
      </c>
      <c r="J1400" s="112">
        <v>0</v>
      </c>
      <c r="K1400" s="23">
        <f t="shared" si="193"/>
        <v>0</v>
      </c>
      <c r="L1400" s="23">
        <f t="shared" si="194"/>
        <v>0</v>
      </c>
      <c r="M1400" s="12">
        <f t="shared" ref="M1400:M1463" si="199">+IFERROR(MAX(K1400:L1400),0)</f>
        <v>0</v>
      </c>
      <c r="N1400" s="23">
        <f t="shared" si="195"/>
        <v>0</v>
      </c>
      <c r="O1400" s="41">
        <f t="shared" si="196"/>
        <v>0</v>
      </c>
      <c r="P1400" s="13" t="str">
        <f t="shared" si="197"/>
        <v>NO</v>
      </c>
      <c r="Q1400" s="23">
        <f t="shared" si="198"/>
        <v>0</v>
      </c>
      <c r="R1400" s="12">
        <f t="shared" si="198"/>
        <v>0</v>
      </c>
    </row>
    <row r="1401" spans="2:18">
      <c r="B1401" t="str">
        <f t="shared" si="192"/>
        <v/>
      </c>
      <c r="D1401" s="121"/>
      <c r="G1401" s="122"/>
      <c r="H1401" s="122"/>
      <c r="I1401" s="112">
        <v>0</v>
      </c>
      <c r="J1401" s="112">
        <v>0</v>
      </c>
      <c r="K1401" s="23">
        <f t="shared" si="193"/>
        <v>0</v>
      </c>
      <c r="L1401" s="23">
        <f t="shared" si="194"/>
        <v>0</v>
      </c>
      <c r="M1401" s="12">
        <f t="shared" si="199"/>
        <v>0</v>
      </c>
      <c r="N1401" s="23">
        <f t="shared" si="195"/>
        <v>0</v>
      </c>
      <c r="O1401" s="41">
        <f t="shared" si="196"/>
        <v>0</v>
      </c>
      <c r="P1401" s="13" t="str">
        <f t="shared" si="197"/>
        <v>NO</v>
      </c>
      <c r="Q1401" s="23">
        <f t="shared" si="198"/>
        <v>0</v>
      </c>
      <c r="R1401" s="12">
        <f t="shared" si="198"/>
        <v>0</v>
      </c>
    </row>
    <row r="1402" spans="2:18">
      <c r="B1402" t="str">
        <f t="shared" si="192"/>
        <v/>
      </c>
      <c r="D1402" s="121"/>
      <c r="G1402" s="122"/>
      <c r="H1402" s="122"/>
      <c r="I1402" s="112">
        <v>0</v>
      </c>
      <c r="J1402" s="112">
        <v>0</v>
      </c>
      <c r="K1402" s="23">
        <f t="shared" si="193"/>
        <v>0</v>
      </c>
      <c r="L1402" s="23">
        <f t="shared" si="194"/>
        <v>0</v>
      </c>
      <c r="M1402" s="12">
        <f t="shared" si="199"/>
        <v>0</v>
      </c>
      <c r="N1402" s="23">
        <f t="shared" si="195"/>
        <v>0</v>
      </c>
      <c r="O1402" s="41">
        <f t="shared" si="196"/>
        <v>0</v>
      </c>
      <c r="P1402" s="13" t="str">
        <f t="shared" si="197"/>
        <v>NO</v>
      </c>
      <c r="Q1402" s="23">
        <f t="shared" si="198"/>
        <v>0</v>
      </c>
      <c r="R1402" s="12">
        <f t="shared" si="198"/>
        <v>0</v>
      </c>
    </row>
    <row r="1403" spans="2:18">
      <c r="B1403" t="str">
        <f t="shared" si="192"/>
        <v/>
      </c>
      <c r="D1403" s="121"/>
      <c r="G1403" s="122"/>
      <c r="H1403" s="122"/>
      <c r="I1403" s="112">
        <v>0</v>
      </c>
      <c r="J1403" s="112">
        <v>0</v>
      </c>
      <c r="K1403" s="23">
        <f t="shared" si="193"/>
        <v>0</v>
      </c>
      <c r="L1403" s="23">
        <f t="shared" si="194"/>
        <v>0</v>
      </c>
      <c r="M1403" s="12">
        <f t="shared" si="199"/>
        <v>0</v>
      </c>
      <c r="N1403" s="23">
        <f t="shared" si="195"/>
        <v>0</v>
      </c>
      <c r="O1403" s="41">
        <f t="shared" si="196"/>
        <v>0</v>
      </c>
      <c r="P1403" s="13" t="str">
        <f t="shared" si="197"/>
        <v>NO</v>
      </c>
      <c r="Q1403" s="23">
        <f t="shared" si="198"/>
        <v>0</v>
      </c>
      <c r="R1403" s="12">
        <f t="shared" si="198"/>
        <v>0</v>
      </c>
    </row>
    <row r="1404" spans="2:18">
      <c r="B1404" t="str">
        <f t="shared" si="192"/>
        <v/>
      </c>
      <c r="D1404" s="121"/>
      <c r="G1404" s="122"/>
      <c r="H1404" s="122"/>
      <c r="I1404" s="112">
        <v>0</v>
      </c>
      <c r="J1404" s="112">
        <v>0</v>
      </c>
      <c r="K1404" s="23">
        <f t="shared" si="193"/>
        <v>0</v>
      </c>
      <c r="L1404" s="23">
        <f t="shared" si="194"/>
        <v>0</v>
      </c>
      <c r="M1404" s="12">
        <f t="shared" si="199"/>
        <v>0</v>
      </c>
      <c r="N1404" s="23">
        <f t="shared" si="195"/>
        <v>0</v>
      </c>
      <c r="O1404" s="41">
        <f t="shared" si="196"/>
        <v>0</v>
      </c>
      <c r="P1404" s="13" t="str">
        <f t="shared" si="197"/>
        <v>NO</v>
      </c>
      <c r="Q1404" s="23">
        <f t="shared" si="198"/>
        <v>0</v>
      </c>
      <c r="R1404" s="12">
        <f t="shared" si="198"/>
        <v>0</v>
      </c>
    </row>
    <row r="1405" spans="2:18">
      <c r="B1405" t="str">
        <f t="shared" si="192"/>
        <v/>
      </c>
      <c r="D1405" s="121"/>
      <c r="G1405" s="122"/>
      <c r="H1405" s="122"/>
      <c r="I1405" s="112">
        <v>0</v>
      </c>
      <c r="J1405" s="112">
        <v>0</v>
      </c>
      <c r="K1405" s="23">
        <f t="shared" si="193"/>
        <v>0</v>
      </c>
      <c r="L1405" s="23">
        <f t="shared" si="194"/>
        <v>0</v>
      </c>
      <c r="M1405" s="12">
        <f t="shared" si="199"/>
        <v>0</v>
      </c>
      <c r="N1405" s="23">
        <f t="shared" si="195"/>
        <v>0</v>
      </c>
      <c r="O1405" s="41">
        <f t="shared" si="196"/>
        <v>0</v>
      </c>
      <c r="P1405" s="13" t="str">
        <f t="shared" si="197"/>
        <v>NO</v>
      </c>
      <c r="Q1405" s="23">
        <f t="shared" si="198"/>
        <v>0</v>
      </c>
      <c r="R1405" s="12">
        <f t="shared" si="198"/>
        <v>0</v>
      </c>
    </row>
    <row r="1406" spans="2:18">
      <c r="B1406" t="str">
        <f t="shared" si="192"/>
        <v/>
      </c>
      <c r="D1406" s="121"/>
      <c r="G1406" s="122"/>
      <c r="H1406" s="122"/>
      <c r="I1406" s="112">
        <v>0</v>
      </c>
      <c r="J1406" s="112">
        <v>0</v>
      </c>
      <c r="K1406" s="23">
        <f t="shared" si="193"/>
        <v>0</v>
      </c>
      <c r="L1406" s="23">
        <f t="shared" si="194"/>
        <v>0</v>
      </c>
      <c r="M1406" s="12">
        <f t="shared" si="199"/>
        <v>0</v>
      </c>
      <c r="N1406" s="23">
        <f t="shared" si="195"/>
        <v>0</v>
      </c>
      <c r="O1406" s="41">
        <f t="shared" si="196"/>
        <v>0</v>
      </c>
      <c r="P1406" s="13" t="str">
        <f t="shared" si="197"/>
        <v>NO</v>
      </c>
      <c r="Q1406" s="23">
        <f t="shared" si="198"/>
        <v>0</v>
      </c>
      <c r="R1406" s="12">
        <f t="shared" si="198"/>
        <v>0</v>
      </c>
    </row>
    <row r="1407" spans="2:18">
      <c r="B1407" t="str">
        <f t="shared" si="192"/>
        <v/>
      </c>
      <c r="D1407" s="121"/>
      <c r="G1407" s="122"/>
      <c r="H1407" s="122"/>
      <c r="I1407" s="112">
        <v>0</v>
      </c>
      <c r="J1407" s="112">
        <v>0</v>
      </c>
      <c r="K1407" s="23">
        <f t="shared" si="193"/>
        <v>0</v>
      </c>
      <c r="L1407" s="23">
        <f t="shared" si="194"/>
        <v>0</v>
      </c>
      <c r="M1407" s="12">
        <f t="shared" si="199"/>
        <v>0</v>
      </c>
      <c r="N1407" s="23">
        <f t="shared" si="195"/>
        <v>0</v>
      </c>
      <c r="O1407" s="41">
        <f t="shared" si="196"/>
        <v>0</v>
      </c>
      <c r="P1407" s="13" t="str">
        <f t="shared" si="197"/>
        <v>NO</v>
      </c>
      <c r="Q1407" s="23">
        <f t="shared" si="198"/>
        <v>0</v>
      </c>
      <c r="R1407" s="12">
        <f t="shared" si="198"/>
        <v>0</v>
      </c>
    </row>
    <row r="1408" spans="2:18">
      <c r="B1408" t="str">
        <f t="shared" si="192"/>
        <v/>
      </c>
      <c r="D1408" s="121"/>
      <c r="G1408" s="122"/>
      <c r="H1408" s="122"/>
      <c r="I1408" s="112">
        <v>0</v>
      </c>
      <c r="J1408" s="112">
        <v>0</v>
      </c>
      <c r="K1408" s="23">
        <f t="shared" si="193"/>
        <v>0</v>
      </c>
      <c r="L1408" s="23">
        <f t="shared" si="194"/>
        <v>0</v>
      </c>
      <c r="M1408" s="12">
        <f t="shared" si="199"/>
        <v>0</v>
      </c>
      <c r="N1408" s="23">
        <f t="shared" si="195"/>
        <v>0</v>
      </c>
      <c r="O1408" s="41">
        <f t="shared" si="196"/>
        <v>0</v>
      </c>
      <c r="P1408" s="13" t="str">
        <f t="shared" si="197"/>
        <v>NO</v>
      </c>
      <c r="Q1408" s="23">
        <f t="shared" si="198"/>
        <v>0</v>
      </c>
      <c r="R1408" s="12">
        <f t="shared" si="198"/>
        <v>0</v>
      </c>
    </row>
    <row r="1409" spans="2:18">
      <c r="B1409" t="str">
        <f t="shared" si="192"/>
        <v/>
      </c>
      <c r="D1409" s="121"/>
      <c r="G1409" s="122"/>
      <c r="H1409" s="122"/>
      <c r="I1409" s="112">
        <v>0</v>
      </c>
      <c r="J1409" s="112">
        <v>0</v>
      </c>
      <c r="K1409" s="23">
        <f t="shared" si="193"/>
        <v>0</v>
      </c>
      <c r="L1409" s="23">
        <f t="shared" si="194"/>
        <v>0</v>
      </c>
      <c r="M1409" s="12">
        <f t="shared" si="199"/>
        <v>0</v>
      </c>
      <c r="N1409" s="23">
        <f t="shared" si="195"/>
        <v>0</v>
      </c>
      <c r="O1409" s="41">
        <f t="shared" si="196"/>
        <v>0</v>
      </c>
      <c r="P1409" s="13" t="str">
        <f t="shared" si="197"/>
        <v>NO</v>
      </c>
      <c r="Q1409" s="23">
        <f t="shared" si="198"/>
        <v>0</v>
      </c>
      <c r="R1409" s="12">
        <f t="shared" si="198"/>
        <v>0</v>
      </c>
    </row>
    <row r="1410" spans="2:18">
      <c r="B1410" t="str">
        <f t="shared" si="192"/>
        <v/>
      </c>
      <c r="D1410" s="121"/>
      <c r="G1410" s="122"/>
      <c r="H1410" s="122"/>
      <c r="I1410" s="112">
        <v>0</v>
      </c>
      <c r="J1410" s="112">
        <v>0</v>
      </c>
      <c r="K1410" s="23">
        <f t="shared" si="193"/>
        <v>0</v>
      </c>
      <c r="L1410" s="23">
        <f t="shared" si="194"/>
        <v>0</v>
      </c>
      <c r="M1410" s="12">
        <f t="shared" si="199"/>
        <v>0</v>
      </c>
      <c r="N1410" s="23">
        <f t="shared" si="195"/>
        <v>0</v>
      </c>
      <c r="O1410" s="41">
        <f t="shared" si="196"/>
        <v>0</v>
      </c>
      <c r="P1410" s="13" t="str">
        <f t="shared" si="197"/>
        <v>NO</v>
      </c>
      <c r="Q1410" s="23">
        <f t="shared" si="198"/>
        <v>0</v>
      </c>
      <c r="R1410" s="12">
        <f t="shared" si="198"/>
        <v>0</v>
      </c>
    </row>
    <row r="1411" spans="2:18">
      <c r="B1411" t="str">
        <f t="shared" si="192"/>
        <v/>
      </c>
      <c r="D1411" s="121"/>
      <c r="G1411" s="122"/>
      <c r="H1411" s="122"/>
      <c r="I1411" s="112">
        <v>0</v>
      </c>
      <c r="J1411" s="112">
        <v>0</v>
      </c>
      <c r="K1411" s="23">
        <f t="shared" si="193"/>
        <v>0</v>
      </c>
      <c r="L1411" s="23">
        <f t="shared" si="194"/>
        <v>0</v>
      </c>
      <c r="M1411" s="12">
        <f t="shared" si="199"/>
        <v>0</v>
      </c>
      <c r="N1411" s="23">
        <f t="shared" si="195"/>
        <v>0</v>
      </c>
      <c r="O1411" s="41">
        <f t="shared" si="196"/>
        <v>0</v>
      </c>
      <c r="P1411" s="13" t="str">
        <f t="shared" si="197"/>
        <v>NO</v>
      </c>
      <c r="Q1411" s="23">
        <f t="shared" si="198"/>
        <v>0</v>
      </c>
      <c r="R1411" s="12">
        <f t="shared" si="198"/>
        <v>0</v>
      </c>
    </row>
    <row r="1412" spans="2:18">
      <c r="B1412" t="str">
        <f t="shared" si="192"/>
        <v/>
      </c>
      <c r="D1412" s="121"/>
      <c r="G1412" s="122"/>
      <c r="H1412" s="122"/>
      <c r="I1412" s="112">
        <v>0</v>
      </c>
      <c r="J1412" s="112">
        <v>0</v>
      </c>
      <c r="K1412" s="23">
        <f t="shared" si="193"/>
        <v>0</v>
      </c>
      <c r="L1412" s="23">
        <f t="shared" si="194"/>
        <v>0</v>
      </c>
      <c r="M1412" s="12">
        <f t="shared" si="199"/>
        <v>0</v>
      </c>
      <c r="N1412" s="23">
        <f t="shared" si="195"/>
        <v>0</v>
      </c>
      <c r="O1412" s="41">
        <f t="shared" si="196"/>
        <v>0</v>
      </c>
      <c r="P1412" s="13" t="str">
        <f t="shared" si="197"/>
        <v>NO</v>
      </c>
      <c r="Q1412" s="23">
        <f t="shared" si="198"/>
        <v>0</v>
      </c>
      <c r="R1412" s="12">
        <f t="shared" si="198"/>
        <v>0</v>
      </c>
    </row>
    <row r="1413" spans="2:18">
      <c r="B1413" t="str">
        <f t="shared" si="192"/>
        <v/>
      </c>
      <c r="D1413" s="121"/>
      <c r="G1413" s="122"/>
      <c r="H1413" s="122"/>
      <c r="I1413" s="112">
        <v>0</v>
      </c>
      <c r="J1413" s="112">
        <v>0</v>
      </c>
      <c r="K1413" s="23">
        <f t="shared" si="193"/>
        <v>0</v>
      </c>
      <c r="L1413" s="23">
        <f t="shared" si="194"/>
        <v>0</v>
      </c>
      <c r="M1413" s="12">
        <f t="shared" si="199"/>
        <v>0</v>
      </c>
      <c r="N1413" s="23">
        <f t="shared" si="195"/>
        <v>0</v>
      </c>
      <c r="O1413" s="41">
        <f t="shared" si="196"/>
        <v>0</v>
      </c>
      <c r="P1413" s="13" t="str">
        <f t="shared" si="197"/>
        <v>NO</v>
      </c>
      <c r="Q1413" s="23">
        <f t="shared" si="198"/>
        <v>0</v>
      </c>
      <c r="R1413" s="12">
        <f t="shared" si="198"/>
        <v>0</v>
      </c>
    </row>
    <row r="1414" spans="2:18">
      <c r="B1414" t="str">
        <f t="shared" si="192"/>
        <v/>
      </c>
      <c r="D1414" s="121"/>
      <c r="G1414" s="122"/>
      <c r="H1414" s="122"/>
      <c r="I1414" s="112">
        <v>0</v>
      </c>
      <c r="J1414" s="112">
        <v>0</v>
      </c>
      <c r="K1414" s="23">
        <f t="shared" si="193"/>
        <v>0</v>
      </c>
      <c r="L1414" s="23">
        <f t="shared" si="194"/>
        <v>0</v>
      </c>
      <c r="M1414" s="12">
        <f t="shared" si="199"/>
        <v>0</v>
      </c>
      <c r="N1414" s="23">
        <f t="shared" si="195"/>
        <v>0</v>
      </c>
      <c r="O1414" s="41">
        <f t="shared" si="196"/>
        <v>0</v>
      </c>
      <c r="P1414" s="13" t="str">
        <f t="shared" si="197"/>
        <v>NO</v>
      </c>
      <c r="Q1414" s="23">
        <f t="shared" si="198"/>
        <v>0</v>
      </c>
      <c r="R1414" s="12">
        <f t="shared" si="198"/>
        <v>0</v>
      </c>
    </row>
    <row r="1415" spans="2:18">
      <c r="B1415" t="str">
        <f t="shared" si="192"/>
        <v/>
      </c>
      <c r="D1415" s="121"/>
      <c r="G1415" s="122"/>
      <c r="H1415" s="122"/>
      <c r="I1415" s="112">
        <v>0</v>
      </c>
      <c r="J1415" s="112">
        <v>0</v>
      </c>
      <c r="K1415" s="23">
        <f t="shared" si="193"/>
        <v>0</v>
      </c>
      <c r="L1415" s="23">
        <f t="shared" si="194"/>
        <v>0</v>
      </c>
      <c r="M1415" s="12">
        <f t="shared" si="199"/>
        <v>0</v>
      </c>
      <c r="N1415" s="23">
        <f t="shared" si="195"/>
        <v>0</v>
      </c>
      <c r="O1415" s="41">
        <f t="shared" si="196"/>
        <v>0</v>
      </c>
      <c r="P1415" s="13" t="str">
        <f t="shared" si="197"/>
        <v>NO</v>
      </c>
      <c r="Q1415" s="23">
        <f t="shared" si="198"/>
        <v>0</v>
      </c>
      <c r="R1415" s="12">
        <f t="shared" si="198"/>
        <v>0</v>
      </c>
    </row>
    <row r="1416" spans="2:18">
      <c r="B1416" t="str">
        <f t="shared" si="192"/>
        <v/>
      </c>
      <c r="D1416" s="121"/>
      <c r="G1416" s="122"/>
      <c r="H1416" s="122"/>
      <c r="I1416" s="112">
        <v>0</v>
      </c>
      <c r="J1416" s="112">
        <v>0</v>
      </c>
      <c r="K1416" s="23">
        <f t="shared" si="193"/>
        <v>0</v>
      </c>
      <c r="L1416" s="23">
        <f t="shared" si="194"/>
        <v>0</v>
      </c>
      <c r="M1416" s="12">
        <f t="shared" si="199"/>
        <v>0</v>
      </c>
      <c r="N1416" s="23">
        <f t="shared" si="195"/>
        <v>0</v>
      </c>
      <c r="O1416" s="41">
        <f t="shared" si="196"/>
        <v>0</v>
      </c>
      <c r="P1416" s="13" t="str">
        <f t="shared" si="197"/>
        <v>NO</v>
      </c>
      <c r="Q1416" s="23">
        <f t="shared" si="198"/>
        <v>0</v>
      </c>
      <c r="R1416" s="12">
        <f t="shared" si="198"/>
        <v>0</v>
      </c>
    </row>
    <row r="1417" spans="2:18">
      <c r="B1417" t="str">
        <f t="shared" si="192"/>
        <v/>
      </c>
      <c r="C1417" s="110"/>
      <c r="D1417" s="121"/>
      <c r="E1417" s="111"/>
      <c r="F1417" s="111"/>
      <c r="G1417" s="122"/>
      <c r="H1417" s="122"/>
      <c r="I1417" s="112">
        <v>0</v>
      </c>
      <c r="J1417" s="112">
        <v>0</v>
      </c>
      <c r="K1417" s="23">
        <f t="shared" si="193"/>
        <v>0</v>
      </c>
      <c r="L1417" s="23">
        <f t="shared" si="194"/>
        <v>0</v>
      </c>
      <c r="M1417" s="12">
        <f t="shared" si="199"/>
        <v>0</v>
      </c>
      <c r="N1417" s="23">
        <f t="shared" si="195"/>
        <v>0</v>
      </c>
      <c r="O1417" s="41">
        <f t="shared" si="196"/>
        <v>0</v>
      </c>
      <c r="P1417" s="13" t="str">
        <f t="shared" si="197"/>
        <v>NO</v>
      </c>
      <c r="Q1417" s="23">
        <f t="shared" si="198"/>
        <v>0</v>
      </c>
      <c r="R1417" s="12">
        <f t="shared" si="198"/>
        <v>0</v>
      </c>
    </row>
    <row r="1418" spans="2:18">
      <c r="B1418" t="str">
        <f t="shared" si="192"/>
        <v/>
      </c>
      <c r="C1418" s="110"/>
      <c r="D1418" s="121"/>
      <c r="E1418" s="111"/>
      <c r="F1418" s="111"/>
      <c r="G1418" s="122"/>
      <c r="H1418" s="122"/>
      <c r="I1418" s="112">
        <v>0</v>
      </c>
      <c r="J1418" s="112">
        <v>0</v>
      </c>
      <c r="K1418" s="23">
        <f t="shared" si="193"/>
        <v>0</v>
      </c>
      <c r="L1418" s="23">
        <f t="shared" si="194"/>
        <v>0</v>
      </c>
      <c r="M1418" s="12">
        <f t="shared" si="199"/>
        <v>0</v>
      </c>
      <c r="N1418" s="23">
        <f t="shared" si="195"/>
        <v>0</v>
      </c>
      <c r="O1418" s="41">
        <f t="shared" si="196"/>
        <v>0</v>
      </c>
      <c r="P1418" s="13" t="str">
        <f t="shared" si="197"/>
        <v>NO</v>
      </c>
      <c r="Q1418" s="23">
        <f t="shared" si="198"/>
        <v>0</v>
      </c>
      <c r="R1418" s="12">
        <f t="shared" si="198"/>
        <v>0</v>
      </c>
    </row>
    <row r="1419" spans="2:18">
      <c r="B1419" t="str">
        <f t="shared" si="192"/>
        <v/>
      </c>
      <c r="C1419" s="110"/>
      <c r="D1419" s="121"/>
      <c r="E1419" s="111"/>
      <c r="F1419" s="111"/>
      <c r="G1419" s="122"/>
      <c r="H1419" s="122"/>
      <c r="I1419" s="112">
        <v>0</v>
      </c>
      <c r="J1419" s="112">
        <v>0</v>
      </c>
      <c r="K1419" s="23">
        <f t="shared" si="193"/>
        <v>0</v>
      </c>
      <c r="L1419" s="23">
        <f t="shared" si="194"/>
        <v>0</v>
      </c>
      <c r="M1419" s="12">
        <f t="shared" si="199"/>
        <v>0</v>
      </c>
      <c r="N1419" s="23">
        <f t="shared" si="195"/>
        <v>0</v>
      </c>
      <c r="O1419" s="41">
        <f t="shared" si="196"/>
        <v>0</v>
      </c>
      <c r="P1419" s="13" t="str">
        <f t="shared" si="197"/>
        <v>NO</v>
      </c>
      <c r="Q1419" s="23">
        <f t="shared" si="198"/>
        <v>0</v>
      </c>
      <c r="R1419" s="12">
        <f t="shared" si="198"/>
        <v>0</v>
      </c>
    </row>
    <row r="1420" spans="2:18">
      <c r="B1420" t="str">
        <f t="shared" si="192"/>
        <v/>
      </c>
      <c r="C1420" s="110"/>
      <c r="D1420" s="121"/>
      <c r="E1420" s="111"/>
      <c r="F1420" s="111"/>
      <c r="G1420" s="122"/>
      <c r="H1420" s="122"/>
      <c r="I1420" s="112">
        <v>0</v>
      </c>
      <c r="J1420" s="112">
        <v>0</v>
      </c>
      <c r="K1420" s="23">
        <f t="shared" si="193"/>
        <v>0</v>
      </c>
      <c r="L1420" s="23">
        <f t="shared" si="194"/>
        <v>0</v>
      </c>
      <c r="M1420" s="12">
        <f t="shared" si="199"/>
        <v>0</v>
      </c>
      <c r="N1420" s="23">
        <f t="shared" si="195"/>
        <v>0</v>
      </c>
      <c r="O1420" s="41">
        <f t="shared" si="196"/>
        <v>0</v>
      </c>
      <c r="P1420" s="13" t="str">
        <f t="shared" si="197"/>
        <v>NO</v>
      </c>
      <c r="Q1420" s="23">
        <f t="shared" si="198"/>
        <v>0</v>
      </c>
      <c r="R1420" s="12">
        <f t="shared" si="198"/>
        <v>0</v>
      </c>
    </row>
    <row r="1421" spans="2:18">
      <c r="B1421" t="str">
        <f t="shared" si="192"/>
        <v/>
      </c>
      <c r="C1421" s="110"/>
      <c r="D1421" s="121"/>
      <c r="E1421" s="111"/>
      <c r="F1421" s="111"/>
      <c r="G1421" s="122"/>
      <c r="H1421" s="122"/>
      <c r="I1421" s="112">
        <v>0</v>
      </c>
      <c r="J1421" s="112">
        <v>0</v>
      </c>
      <c r="K1421" s="23">
        <f t="shared" si="193"/>
        <v>0</v>
      </c>
      <c r="L1421" s="23">
        <f t="shared" si="194"/>
        <v>0</v>
      </c>
      <c r="M1421" s="12">
        <f t="shared" si="199"/>
        <v>0</v>
      </c>
      <c r="N1421" s="23">
        <f t="shared" si="195"/>
        <v>0</v>
      </c>
      <c r="O1421" s="41">
        <f t="shared" si="196"/>
        <v>0</v>
      </c>
      <c r="P1421" s="13" t="str">
        <f t="shared" si="197"/>
        <v>NO</v>
      </c>
      <c r="Q1421" s="23">
        <f t="shared" si="198"/>
        <v>0</v>
      </c>
      <c r="R1421" s="12">
        <f t="shared" si="198"/>
        <v>0</v>
      </c>
    </row>
    <row r="1422" spans="2:18">
      <c r="B1422" t="str">
        <f t="shared" si="192"/>
        <v/>
      </c>
      <c r="C1422" s="110"/>
      <c r="D1422" s="121"/>
      <c r="E1422" s="111"/>
      <c r="F1422" s="111"/>
      <c r="G1422" s="122"/>
      <c r="H1422" s="122"/>
      <c r="I1422" s="112">
        <v>0</v>
      </c>
      <c r="J1422" s="112">
        <v>0</v>
      </c>
      <c r="K1422" s="23">
        <f t="shared" si="193"/>
        <v>0</v>
      </c>
      <c r="L1422" s="23">
        <f t="shared" si="194"/>
        <v>0</v>
      </c>
      <c r="M1422" s="12">
        <f t="shared" si="199"/>
        <v>0</v>
      </c>
      <c r="N1422" s="23">
        <f t="shared" si="195"/>
        <v>0</v>
      </c>
      <c r="O1422" s="41">
        <f t="shared" si="196"/>
        <v>0</v>
      </c>
      <c r="P1422" s="13" t="str">
        <f t="shared" si="197"/>
        <v>NO</v>
      </c>
      <c r="Q1422" s="23">
        <f t="shared" si="198"/>
        <v>0</v>
      </c>
      <c r="R1422" s="12">
        <f t="shared" si="198"/>
        <v>0</v>
      </c>
    </row>
    <row r="1423" spans="2:18">
      <c r="B1423" t="str">
        <f t="shared" si="192"/>
        <v/>
      </c>
      <c r="C1423" s="110"/>
      <c r="D1423" s="121"/>
      <c r="E1423" s="111"/>
      <c r="F1423" s="111"/>
      <c r="G1423" s="122"/>
      <c r="H1423" s="122"/>
      <c r="I1423" s="112">
        <v>0</v>
      </c>
      <c r="J1423" s="112">
        <v>0</v>
      </c>
      <c r="K1423" s="23">
        <f t="shared" si="193"/>
        <v>0</v>
      </c>
      <c r="L1423" s="23">
        <f t="shared" si="194"/>
        <v>0</v>
      </c>
      <c r="M1423" s="12">
        <f t="shared" si="199"/>
        <v>0</v>
      </c>
      <c r="N1423" s="23">
        <f t="shared" si="195"/>
        <v>0</v>
      </c>
      <c r="O1423" s="41">
        <f t="shared" si="196"/>
        <v>0</v>
      </c>
      <c r="P1423" s="13" t="str">
        <f t="shared" si="197"/>
        <v>NO</v>
      </c>
      <c r="Q1423" s="23">
        <f t="shared" si="198"/>
        <v>0</v>
      </c>
      <c r="R1423" s="12">
        <f t="shared" si="198"/>
        <v>0</v>
      </c>
    </row>
    <row r="1424" spans="2:18">
      <c r="B1424" t="str">
        <f t="shared" si="192"/>
        <v/>
      </c>
      <c r="C1424" s="110"/>
      <c r="D1424" s="121"/>
      <c r="E1424" s="111"/>
      <c r="F1424" s="111"/>
      <c r="G1424" s="122"/>
      <c r="H1424" s="122"/>
      <c r="I1424" s="112">
        <v>0</v>
      </c>
      <c r="J1424" s="112">
        <v>0</v>
      </c>
      <c r="K1424" s="23">
        <f t="shared" si="193"/>
        <v>0</v>
      </c>
      <c r="L1424" s="23">
        <f t="shared" si="194"/>
        <v>0</v>
      </c>
      <c r="M1424" s="12">
        <f t="shared" si="199"/>
        <v>0</v>
      </c>
      <c r="N1424" s="23">
        <f t="shared" si="195"/>
        <v>0</v>
      </c>
      <c r="O1424" s="41">
        <f t="shared" si="196"/>
        <v>0</v>
      </c>
      <c r="P1424" s="13" t="str">
        <f t="shared" si="197"/>
        <v>NO</v>
      </c>
      <c r="Q1424" s="23">
        <f t="shared" si="198"/>
        <v>0</v>
      </c>
      <c r="R1424" s="12">
        <f t="shared" si="198"/>
        <v>0</v>
      </c>
    </row>
    <row r="1425" spans="2:18">
      <c r="B1425" t="str">
        <f t="shared" si="192"/>
        <v/>
      </c>
      <c r="C1425" s="110"/>
      <c r="D1425" s="121"/>
      <c r="E1425" s="111"/>
      <c r="F1425" s="111"/>
      <c r="G1425" s="122"/>
      <c r="H1425" s="122"/>
      <c r="I1425" s="112">
        <v>0</v>
      </c>
      <c r="J1425" s="112">
        <v>0</v>
      </c>
      <c r="K1425" s="23">
        <f t="shared" si="193"/>
        <v>0</v>
      </c>
      <c r="L1425" s="23">
        <f t="shared" si="194"/>
        <v>0</v>
      </c>
      <c r="M1425" s="12">
        <f t="shared" si="199"/>
        <v>0</v>
      </c>
      <c r="N1425" s="23">
        <f t="shared" si="195"/>
        <v>0</v>
      </c>
      <c r="O1425" s="41">
        <f t="shared" si="196"/>
        <v>0</v>
      </c>
      <c r="P1425" s="13" t="str">
        <f t="shared" si="197"/>
        <v>NO</v>
      </c>
      <c r="Q1425" s="23">
        <f t="shared" si="198"/>
        <v>0</v>
      </c>
      <c r="R1425" s="12">
        <f t="shared" si="198"/>
        <v>0</v>
      </c>
    </row>
    <row r="1426" spans="2:18">
      <c r="B1426" t="str">
        <f t="shared" si="192"/>
        <v/>
      </c>
      <c r="C1426" s="110"/>
      <c r="D1426" s="121"/>
      <c r="E1426" s="111"/>
      <c r="F1426" s="111"/>
      <c r="G1426" s="122"/>
      <c r="H1426" s="122"/>
      <c r="I1426" s="112">
        <v>0</v>
      </c>
      <c r="J1426" s="112">
        <v>0</v>
      </c>
      <c r="K1426" s="23">
        <f t="shared" si="193"/>
        <v>0</v>
      </c>
      <c r="L1426" s="23">
        <f t="shared" si="194"/>
        <v>0</v>
      </c>
      <c r="M1426" s="12">
        <f t="shared" si="199"/>
        <v>0</v>
      </c>
      <c r="N1426" s="23">
        <f t="shared" si="195"/>
        <v>0</v>
      </c>
      <c r="O1426" s="41">
        <f t="shared" si="196"/>
        <v>0</v>
      </c>
      <c r="P1426" s="13" t="str">
        <f t="shared" si="197"/>
        <v>NO</v>
      </c>
      <c r="Q1426" s="23">
        <f t="shared" si="198"/>
        <v>0</v>
      </c>
      <c r="R1426" s="12">
        <f t="shared" si="198"/>
        <v>0</v>
      </c>
    </row>
    <row r="1427" spans="2:18">
      <c r="B1427" t="str">
        <f t="shared" si="192"/>
        <v/>
      </c>
      <c r="C1427" s="110"/>
      <c r="D1427" s="121"/>
      <c r="E1427" s="111"/>
      <c r="F1427" s="111"/>
      <c r="G1427" s="122"/>
      <c r="H1427" s="122"/>
      <c r="I1427" s="112">
        <v>0</v>
      </c>
      <c r="J1427" s="112">
        <v>0</v>
      </c>
      <c r="K1427" s="23">
        <f t="shared" si="193"/>
        <v>0</v>
      </c>
      <c r="L1427" s="23">
        <f t="shared" si="194"/>
        <v>0</v>
      </c>
      <c r="M1427" s="12">
        <f t="shared" si="199"/>
        <v>0</v>
      </c>
      <c r="N1427" s="23">
        <f t="shared" si="195"/>
        <v>0</v>
      </c>
      <c r="O1427" s="41">
        <f t="shared" si="196"/>
        <v>0</v>
      </c>
      <c r="P1427" s="13" t="str">
        <f t="shared" si="197"/>
        <v>NO</v>
      </c>
      <c r="Q1427" s="23">
        <f t="shared" si="198"/>
        <v>0</v>
      </c>
      <c r="R1427" s="12">
        <f t="shared" si="198"/>
        <v>0</v>
      </c>
    </row>
    <row r="1428" spans="2:18">
      <c r="B1428" t="str">
        <f t="shared" si="192"/>
        <v/>
      </c>
      <c r="C1428" s="110"/>
      <c r="D1428" s="121"/>
      <c r="E1428" s="111"/>
      <c r="F1428" s="111"/>
      <c r="G1428" s="122"/>
      <c r="H1428" s="122"/>
      <c r="I1428" s="112">
        <v>0</v>
      </c>
      <c r="J1428" s="112">
        <v>0</v>
      </c>
      <c r="K1428" s="23">
        <f t="shared" si="193"/>
        <v>0</v>
      </c>
      <c r="L1428" s="23">
        <f t="shared" si="194"/>
        <v>0</v>
      </c>
      <c r="M1428" s="12">
        <f t="shared" si="199"/>
        <v>0</v>
      </c>
      <c r="N1428" s="23">
        <f t="shared" si="195"/>
        <v>0</v>
      </c>
      <c r="O1428" s="41">
        <f t="shared" si="196"/>
        <v>0</v>
      </c>
      <c r="P1428" s="13" t="str">
        <f t="shared" si="197"/>
        <v>NO</v>
      </c>
      <c r="Q1428" s="23">
        <f t="shared" si="198"/>
        <v>0</v>
      </c>
      <c r="R1428" s="12">
        <f t="shared" si="198"/>
        <v>0</v>
      </c>
    </row>
    <row r="1429" spans="2:18">
      <c r="B1429" t="str">
        <f t="shared" si="192"/>
        <v/>
      </c>
      <c r="C1429" s="110"/>
      <c r="D1429" s="121"/>
      <c r="E1429" s="111"/>
      <c r="F1429" s="111"/>
      <c r="G1429" s="122"/>
      <c r="H1429" s="122"/>
      <c r="I1429" s="112">
        <v>0</v>
      </c>
      <c r="J1429" s="112">
        <v>0</v>
      </c>
      <c r="K1429" s="23">
        <f t="shared" si="193"/>
        <v>0</v>
      </c>
      <c r="L1429" s="23">
        <f t="shared" si="194"/>
        <v>0</v>
      </c>
      <c r="M1429" s="12">
        <f t="shared" si="199"/>
        <v>0</v>
      </c>
      <c r="N1429" s="23">
        <f t="shared" si="195"/>
        <v>0</v>
      </c>
      <c r="O1429" s="41">
        <f t="shared" si="196"/>
        <v>0</v>
      </c>
      <c r="P1429" s="13" t="str">
        <f t="shared" si="197"/>
        <v>NO</v>
      </c>
      <c r="Q1429" s="23">
        <f t="shared" si="198"/>
        <v>0</v>
      </c>
      <c r="R1429" s="12">
        <f t="shared" si="198"/>
        <v>0</v>
      </c>
    </row>
    <row r="1430" spans="2:18">
      <c r="B1430" t="str">
        <f t="shared" si="192"/>
        <v/>
      </c>
      <c r="C1430" s="110"/>
      <c r="D1430" s="121"/>
      <c r="E1430" s="111"/>
      <c r="F1430" s="111"/>
      <c r="G1430" s="122"/>
      <c r="H1430" s="122"/>
      <c r="I1430" s="112">
        <v>0</v>
      </c>
      <c r="J1430" s="112">
        <v>0</v>
      </c>
      <c r="K1430" s="23">
        <f t="shared" si="193"/>
        <v>0</v>
      </c>
      <c r="L1430" s="23">
        <f t="shared" si="194"/>
        <v>0</v>
      </c>
      <c r="M1430" s="12">
        <f t="shared" si="199"/>
        <v>0</v>
      </c>
      <c r="N1430" s="23">
        <f t="shared" si="195"/>
        <v>0</v>
      </c>
      <c r="O1430" s="41">
        <f t="shared" si="196"/>
        <v>0</v>
      </c>
      <c r="P1430" s="13" t="str">
        <f t="shared" si="197"/>
        <v>NO</v>
      </c>
      <c r="Q1430" s="23">
        <f t="shared" si="198"/>
        <v>0</v>
      </c>
      <c r="R1430" s="12">
        <f t="shared" si="198"/>
        <v>0</v>
      </c>
    </row>
    <row r="1431" spans="2:18">
      <c r="B1431" t="str">
        <f t="shared" si="192"/>
        <v/>
      </c>
      <c r="C1431" s="110"/>
      <c r="D1431" s="121"/>
      <c r="E1431" s="111"/>
      <c r="F1431" s="111"/>
      <c r="G1431" s="122"/>
      <c r="H1431" s="122"/>
      <c r="I1431" s="112">
        <v>0</v>
      </c>
      <c r="J1431" s="112">
        <v>0</v>
      </c>
      <c r="K1431" s="23">
        <f t="shared" si="193"/>
        <v>0</v>
      </c>
      <c r="L1431" s="23">
        <f t="shared" si="194"/>
        <v>0</v>
      </c>
      <c r="M1431" s="12">
        <f t="shared" si="199"/>
        <v>0</v>
      </c>
      <c r="N1431" s="23">
        <f t="shared" si="195"/>
        <v>0</v>
      </c>
      <c r="O1431" s="41">
        <f t="shared" si="196"/>
        <v>0</v>
      </c>
      <c r="P1431" s="13" t="str">
        <f t="shared" si="197"/>
        <v>NO</v>
      </c>
      <c r="Q1431" s="23">
        <f t="shared" si="198"/>
        <v>0</v>
      </c>
      <c r="R1431" s="12">
        <f t="shared" si="198"/>
        <v>0</v>
      </c>
    </row>
    <row r="1432" spans="2:18">
      <c r="B1432" t="str">
        <f t="shared" si="192"/>
        <v/>
      </c>
      <c r="C1432" s="110"/>
      <c r="D1432" s="121"/>
      <c r="E1432" s="111"/>
      <c r="F1432" s="111"/>
      <c r="G1432" s="122"/>
      <c r="H1432" s="122"/>
      <c r="I1432" s="112">
        <v>0</v>
      </c>
      <c r="J1432" s="112">
        <v>0</v>
      </c>
      <c r="K1432" s="23">
        <f t="shared" si="193"/>
        <v>0</v>
      </c>
      <c r="L1432" s="23">
        <f t="shared" si="194"/>
        <v>0</v>
      </c>
      <c r="M1432" s="12">
        <f t="shared" si="199"/>
        <v>0</v>
      </c>
      <c r="N1432" s="23">
        <f t="shared" si="195"/>
        <v>0</v>
      </c>
      <c r="O1432" s="41">
        <f t="shared" si="196"/>
        <v>0</v>
      </c>
      <c r="P1432" s="13" t="str">
        <f t="shared" si="197"/>
        <v>NO</v>
      </c>
      <c r="Q1432" s="23">
        <f t="shared" si="198"/>
        <v>0</v>
      </c>
      <c r="R1432" s="12">
        <f t="shared" si="198"/>
        <v>0</v>
      </c>
    </row>
    <row r="1433" spans="2:18">
      <c r="B1433" t="str">
        <f t="shared" si="192"/>
        <v/>
      </c>
      <c r="C1433" s="110"/>
      <c r="D1433" s="121"/>
      <c r="E1433" s="111"/>
      <c r="F1433" s="111"/>
      <c r="G1433" s="122"/>
      <c r="H1433" s="122"/>
      <c r="I1433" s="112">
        <v>0</v>
      </c>
      <c r="J1433" s="112">
        <v>0</v>
      </c>
      <c r="K1433" s="23">
        <f t="shared" si="193"/>
        <v>0</v>
      </c>
      <c r="L1433" s="23">
        <f t="shared" si="194"/>
        <v>0</v>
      </c>
      <c r="M1433" s="12">
        <f t="shared" si="199"/>
        <v>0</v>
      </c>
      <c r="N1433" s="23">
        <f t="shared" si="195"/>
        <v>0</v>
      </c>
      <c r="O1433" s="41">
        <f t="shared" si="196"/>
        <v>0</v>
      </c>
      <c r="P1433" s="13" t="str">
        <f t="shared" si="197"/>
        <v>NO</v>
      </c>
      <c r="Q1433" s="23">
        <f t="shared" si="198"/>
        <v>0</v>
      </c>
      <c r="R1433" s="12">
        <f t="shared" si="198"/>
        <v>0</v>
      </c>
    </row>
    <row r="1434" spans="2:18">
      <c r="B1434" t="str">
        <f t="shared" si="192"/>
        <v/>
      </c>
      <c r="C1434" s="110"/>
      <c r="D1434" s="121"/>
      <c r="E1434" s="111"/>
      <c r="F1434" s="111"/>
      <c r="G1434" s="122"/>
      <c r="H1434" s="122"/>
      <c r="I1434" s="112">
        <v>0</v>
      </c>
      <c r="J1434" s="112">
        <v>0</v>
      </c>
      <c r="K1434" s="23">
        <f t="shared" si="193"/>
        <v>0</v>
      </c>
      <c r="L1434" s="23">
        <f t="shared" si="194"/>
        <v>0</v>
      </c>
      <c r="M1434" s="12">
        <f t="shared" si="199"/>
        <v>0</v>
      </c>
      <c r="N1434" s="23">
        <f t="shared" si="195"/>
        <v>0</v>
      </c>
      <c r="O1434" s="41">
        <f t="shared" si="196"/>
        <v>0</v>
      </c>
      <c r="P1434" s="13" t="str">
        <f t="shared" si="197"/>
        <v>NO</v>
      </c>
      <c r="Q1434" s="23">
        <f t="shared" si="198"/>
        <v>0</v>
      </c>
      <c r="R1434" s="12">
        <f t="shared" si="198"/>
        <v>0</v>
      </c>
    </row>
    <row r="1435" spans="2:18">
      <c r="B1435" t="str">
        <f t="shared" si="192"/>
        <v/>
      </c>
      <c r="C1435" s="110"/>
      <c r="D1435" s="121"/>
      <c r="E1435" s="111"/>
      <c r="F1435" s="111"/>
      <c r="G1435" s="122"/>
      <c r="H1435" s="122"/>
      <c r="I1435" s="112">
        <v>0</v>
      </c>
      <c r="J1435" s="112">
        <v>0</v>
      </c>
      <c r="K1435" s="23">
        <f t="shared" si="193"/>
        <v>0</v>
      </c>
      <c r="L1435" s="23">
        <f t="shared" si="194"/>
        <v>0</v>
      </c>
      <c r="M1435" s="12">
        <f t="shared" si="199"/>
        <v>0</v>
      </c>
      <c r="N1435" s="23">
        <f t="shared" si="195"/>
        <v>0</v>
      </c>
      <c r="O1435" s="41">
        <f t="shared" si="196"/>
        <v>0</v>
      </c>
      <c r="P1435" s="13" t="str">
        <f t="shared" si="197"/>
        <v>NO</v>
      </c>
      <c r="Q1435" s="23">
        <f t="shared" si="198"/>
        <v>0</v>
      </c>
      <c r="R1435" s="12">
        <f t="shared" si="198"/>
        <v>0</v>
      </c>
    </row>
    <row r="1436" spans="2:18">
      <c r="B1436" t="str">
        <f t="shared" si="192"/>
        <v/>
      </c>
      <c r="C1436" s="110"/>
      <c r="D1436" s="121"/>
      <c r="E1436" s="111"/>
      <c r="F1436" s="111"/>
      <c r="G1436" s="122"/>
      <c r="H1436" s="122"/>
      <c r="I1436" s="112">
        <v>0</v>
      </c>
      <c r="J1436" s="112">
        <v>0</v>
      </c>
      <c r="K1436" s="23">
        <f t="shared" si="193"/>
        <v>0</v>
      </c>
      <c r="L1436" s="23">
        <f t="shared" si="194"/>
        <v>0</v>
      </c>
      <c r="M1436" s="12">
        <f t="shared" si="199"/>
        <v>0</v>
      </c>
      <c r="N1436" s="23">
        <f t="shared" si="195"/>
        <v>0</v>
      </c>
      <c r="O1436" s="41">
        <f t="shared" si="196"/>
        <v>0</v>
      </c>
      <c r="P1436" s="13" t="str">
        <f t="shared" si="197"/>
        <v>NO</v>
      </c>
      <c r="Q1436" s="23">
        <f t="shared" si="198"/>
        <v>0</v>
      </c>
      <c r="R1436" s="12">
        <f t="shared" si="198"/>
        <v>0</v>
      </c>
    </row>
    <row r="1437" spans="2:18">
      <c r="B1437" t="str">
        <f t="shared" si="192"/>
        <v/>
      </c>
      <c r="C1437" s="110"/>
      <c r="D1437" s="121"/>
      <c r="E1437" s="111"/>
      <c r="F1437" s="111"/>
      <c r="G1437" s="122"/>
      <c r="H1437" s="122"/>
      <c r="I1437" s="112">
        <v>0</v>
      </c>
      <c r="J1437" s="112">
        <v>0</v>
      </c>
      <c r="K1437" s="23">
        <f t="shared" si="193"/>
        <v>0</v>
      </c>
      <c r="L1437" s="23">
        <f t="shared" si="194"/>
        <v>0</v>
      </c>
      <c r="M1437" s="12">
        <f t="shared" si="199"/>
        <v>0</v>
      </c>
      <c r="N1437" s="23">
        <f t="shared" si="195"/>
        <v>0</v>
      </c>
      <c r="O1437" s="41">
        <f t="shared" si="196"/>
        <v>0</v>
      </c>
      <c r="P1437" s="13" t="str">
        <f t="shared" si="197"/>
        <v>NO</v>
      </c>
      <c r="Q1437" s="23">
        <f t="shared" si="198"/>
        <v>0</v>
      </c>
      <c r="R1437" s="12">
        <f t="shared" si="198"/>
        <v>0</v>
      </c>
    </row>
    <row r="1438" spans="2:18">
      <c r="B1438" t="str">
        <f t="shared" si="192"/>
        <v/>
      </c>
      <c r="C1438" s="110"/>
      <c r="D1438" s="121"/>
      <c r="E1438" s="111"/>
      <c r="F1438" s="111"/>
      <c r="G1438" s="122"/>
      <c r="H1438" s="122"/>
      <c r="I1438" s="112">
        <v>0</v>
      </c>
      <c r="J1438" s="112">
        <v>0</v>
      </c>
      <c r="K1438" s="23">
        <f t="shared" si="193"/>
        <v>0</v>
      </c>
      <c r="L1438" s="23">
        <f t="shared" si="194"/>
        <v>0</v>
      </c>
      <c r="M1438" s="12">
        <f t="shared" si="199"/>
        <v>0</v>
      </c>
      <c r="N1438" s="23">
        <f t="shared" si="195"/>
        <v>0</v>
      </c>
      <c r="O1438" s="41">
        <f t="shared" si="196"/>
        <v>0</v>
      </c>
      <c r="P1438" s="13" t="str">
        <f t="shared" si="197"/>
        <v>NO</v>
      </c>
      <c r="Q1438" s="23">
        <f t="shared" si="198"/>
        <v>0</v>
      </c>
      <c r="R1438" s="12">
        <f t="shared" si="198"/>
        <v>0</v>
      </c>
    </row>
    <row r="1439" spans="2:18">
      <c r="B1439" t="str">
        <f t="shared" si="192"/>
        <v/>
      </c>
      <c r="C1439" s="110"/>
      <c r="D1439" s="121"/>
      <c r="E1439" s="111"/>
      <c r="F1439" s="111"/>
      <c r="G1439" s="122"/>
      <c r="H1439" s="122"/>
      <c r="I1439" s="112">
        <v>0</v>
      </c>
      <c r="J1439" s="112">
        <v>0</v>
      </c>
      <c r="K1439" s="23">
        <f t="shared" si="193"/>
        <v>0</v>
      </c>
      <c r="L1439" s="23">
        <f t="shared" si="194"/>
        <v>0</v>
      </c>
      <c r="M1439" s="12">
        <f t="shared" si="199"/>
        <v>0</v>
      </c>
      <c r="N1439" s="23">
        <f t="shared" si="195"/>
        <v>0</v>
      </c>
      <c r="O1439" s="41">
        <f t="shared" si="196"/>
        <v>0</v>
      </c>
      <c r="P1439" s="13" t="str">
        <f t="shared" si="197"/>
        <v>NO</v>
      </c>
      <c r="Q1439" s="23">
        <f t="shared" si="198"/>
        <v>0</v>
      </c>
      <c r="R1439" s="12">
        <f t="shared" si="198"/>
        <v>0</v>
      </c>
    </row>
    <row r="1440" spans="2:18">
      <c r="B1440" t="str">
        <f t="shared" si="192"/>
        <v/>
      </c>
      <c r="C1440" s="110"/>
      <c r="D1440" s="121"/>
      <c r="E1440" s="111"/>
      <c r="F1440" s="111"/>
      <c r="G1440" s="122"/>
      <c r="H1440" s="122"/>
      <c r="I1440" s="112">
        <v>0</v>
      </c>
      <c r="J1440" s="112">
        <v>0</v>
      </c>
      <c r="K1440" s="23">
        <f t="shared" si="193"/>
        <v>0</v>
      </c>
      <c r="L1440" s="23">
        <f t="shared" si="194"/>
        <v>0</v>
      </c>
      <c r="M1440" s="12">
        <f t="shared" si="199"/>
        <v>0</v>
      </c>
      <c r="N1440" s="23">
        <f t="shared" si="195"/>
        <v>0</v>
      </c>
      <c r="O1440" s="41">
        <f t="shared" si="196"/>
        <v>0</v>
      </c>
      <c r="P1440" s="13" t="str">
        <f t="shared" si="197"/>
        <v>NO</v>
      </c>
      <c r="Q1440" s="23">
        <f t="shared" si="198"/>
        <v>0</v>
      </c>
      <c r="R1440" s="12">
        <f t="shared" si="198"/>
        <v>0</v>
      </c>
    </row>
    <row r="1441" spans="2:18">
      <c r="B1441" t="str">
        <f t="shared" si="192"/>
        <v/>
      </c>
      <c r="C1441" s="110"/>
      <c r="D1441" s="121"/>
      <c r="E1441" s="111"/>
      <c r="F1441" s="111"/>
      <c r="G1441" s="122"/>
      <c r="H1441" s="122"/>
      <c r="I1441" s="112">
        <v>0</v>
      </c>
      <c r="J1441" s="112">
        <v>0</v>
      </c>
      <c r="K1441" s="23">
        <f t="shared" si="193"/>
        <v>0</v>
      </c>
      <c r="L1441" s="23">
        <f t="shared" si="194"/>
        <v>0</v>
      </c>
      <c r="M1441" s="12">
        <f t="shared" si="199"/>
        <v>0</v>
      </c>
      <c r="N1441" s="23">
        <f t="shared" si="195"/>
        <v>0</v>
      </c>
      <c r="O1441" s="41">
        <f t="shared" si="196"/>
        <v>0</v>
      </c>
      <c r="P1441" s="13" t="str">
        <f t="shared" si="197"/>
        <v>NO</v>
      </c>
      <c r="Q1441" s="23">
        <f t="shared" si="198"/>
        <v>0</v>
      </c>
      <c r="R1441" s="12">
        <f t="shared" si="198"/>
        <v>0</v>
      </c>
    </row>
    <row r="1442" spans="2:18">
      <c r="B1442" t="str">
        <f t="shared" si="192"/>
        <v/>
      </c>
      <c r="C1442" s="110"/>
      <c r="D1442" s="121"/>
      <c r="E1442" s="111"/>
      <c r="F1442" s="111"/>
      <c r="G1442" s="122"/>
      <c r="H1442" s="122"/>
      <c r="I1442" s="112">
        <v>0</v>
      </c>
      <c r="J1442" s="112">
        <v>0</v>
      </c>
      <c r="K1442" s="23">
        <f t="shared" si="193"/>
        <v>0</v>
      </c>
      <c r="L1442" s="23">
        <f t="shared" si="194"/>
        <v>0</v>
      </c>
      <c r="M1442" s="12">
        <f t="shared" si="199"/>
        <v>0</v>
      </c>
      <c r="N1442" s="23">
        <f t="shared" si="195"/>
        <v>0</v>
      </c>
      <c r="O1442" s="41">
        <f t="shared" si="196"/>
        <v>0</v>
      </c>
      <c r="P1442" s="13" t="str">
        <f t="shared" si="197"/>
        <v>NO</v>
      </c>
      <c r="Q1442" s="23">
        <f t="shared" si="198"/>
        <v>0</v>
      </c>
      <c r="R1442" s="12">
        <f t="shared" si="198"/>
        <v>0</v>
      </c>
    </row>
    <row r="1443" spans="2:18">
      <c r="B1443" t="str">
        <f t="shared" si="192"/>
        <v/>
      </c>
      <c r="C1443" s="110"/>
      <c r="D1443" s="121"/>
      <c r="E1443" s="111"/>
      <c r="F1443" s="111"/>
      <c r="G1443" s="122"/>
      <c r="H1443" s="122"/>
      <c r="I1443" s="112">
        <v>0</v>
      </c>
      <c r="J1443" s="112">
        <v>0</v>
      </c>
      <c r="K1443" s="23">
        <f t="shared" si="193"/>
        <v>0</v>
      </c>
      <c r="L1443" s="23">
        <f t="shared" si="194"/>
        <v>0</v>
      </c>
      <c r="M1443" s="12">
        <f t="shared" si="199"/>
        <v>0</v>
      </c>
      <c r="N1443" s="23">
        <f t="shared" si="195"/>
        <v>0</v>
      </c>
      <c r="O1443" s="41">
        <f t="shared" si="196"/>
        <v>0</v>
      </c>
      <c r="P1443" s="13" t="str">
        <f t="shared" si="197"/>
        <v>NO</v>
      </c>
      <c r="Q1443" s="23">
        <f t="shared" si="198"/>
        <v>0</v>
      </c>
      <c r="R1443" s="12">
        <f t="shared" si="198"/>
        <v>0</v>
      </c>
    </row>
    <row r="1444" spans="2:18">
      <c r="B1444" t="str">
        <f t="shared" si="192"/>
        <v/>
      </c>
      <c r="C1444" s="110"/>
      <c r="D1444" s="121"/>
      <c r="E1444" s="111"/>
      <c r="F1444" s="111"/>
      <c r="G1444" s="122"/>
      <c r="H1444" s="122"/>
      <c r="I1444" s="112">
        <v>0</v>
      </c>
      <c r="J1444" s="112">
        <v>0</v>
      </c>
      <c r="K1444" s="23">
        <f t="shared" si="193"/>
        <v>0</v>
      </c>
      <c r="L1444" s="23">
        <f t="shared" si="194"/>
        <v>0</v>
      </c>
      <c r="M1444" s="12">
        <f t="shared" si="199"/>
        <v>0</v>
      </c>
      <c r="N1444" s="23">
        <f t="shared" si="195"/>
        <v>0</v>
      </c>
      <c r="O1444" s="41">
        <f t="shared" si="196"/>
        <v>0</v>
      </c>
      <c r="P1444" s="13" t="str">
        <f t="shared" si="197"/>
        <v>NO</v>
      </c>
      <c r="Q1444" s="23">
        <f t="shared" si="198"/>
        <v>0</v>
      </c>
      <c r="R1444" s="12">
        <f t="shared" si="198"/>
        <v>0</v>
      </c>
    </row>
    <row r="1445" spans="2:18">
      <c r="B1445" t="str">
        <f t="shared" si="192"/>
        <v/>
      </c>
      <c r="C1445" s="110"/>
      <c r="D1445" s="121"/>
      <c r="E1445" s="111"/>
      <c r="F1445" s="111"/>
      <c r="G1445" s="122"/>
      <c r="H1445" s="122"/>
      <c r="I1445" s="112">
        <v>0</v>
      </c>
      <c r="J1445" s="112">
        <v>0</v>
      </c>
      <c r="K1445" s="23">
        <f t="shared" si="193"/>
        <v>0</v>
      </c>
      <c r="L1445" s="23">
        <f t="shared" si="194"/>
        <v>0</v>
      </c>
      <c r="M1445" s="12">
        <f t="shared" si="199"/>
        <v>0</v>
      </c>
      <c r="N1445" s="23">
        <f t="shared" si="195"/>
        <v>0</v>
      </c>
      <c r="O1445" s="41">
        <f t="shared" si="196"/>
        <v>0</v>
      </c>
      <c r="P1445" s="13" t="str">
        <f t="shared" si="197"/>
        <v>NO</v>
      </c>
      <c r="Q1445" s="23">
        <f t="shared" si="198"/>
        <v>0</v>
      </c>
      <c r="R1445" s="12">
        <f t="shared" si="198"/>
        <v>0</v>
      </c>
    </row>
    <row r="1446" spans="2:18">
      <c r="B1446" t="str">
        <f t="shared" si="192"/>
        <v/>
      </c>
      <c r="C1446" s="110"/>
      <c r="D1446" s="121"/>
      <c r="E1446" s="111"/>
      <c r="F1446" s="111"/>
      <c r="G1446" s="122"/>
      <c r="H1446" s="122"/>
      <c r="I1446" s="112">
        <v>0</v>
      </c>
      <c r="J1446" s="112">
        <v>0</v>
      </c>
      <c r="K1446" s="23">
        <f t="shared" si="193"/>
        <v>0</v>
      </c>
      <c r="L1446" s="23">
        <f t="shared" si="194"/>
        <v>0</v>
      </c>
      <c r="M1446" s="12">
        <f t="shared" si="199"/>
        <v>0</v>
      </c>
      <c r="N1446" s="23">
        <f t="shared" si="195"/>
        <v>0</v>
      </c>
      <c r="O1446" s="41">
        <f t="shared" si="196"/>
        <v>0</v>
      </c>
      <c r="P1446" s="13" t="str">
        <f t="shared" si="197"/>
        <v>NO</v>
      </c>
      <c r="Q1446" s="23">
        <f t="shared" si="198"/>
        <v>0</v>
      </c>
      <c r="R1446" s="12">
        <f t="shared" si="198"/>
        <v>0</v>
      </c>
    </row>
    <row r="1447" spans="2:18">
      <c r="B1447" t="str">
        <f t="shared" si="192"/>
        <v/>
      </c>
      <c r="C1447" s="110"/>
      <c r="D1447" s="121"/>
      <c r="E1447" s="111"/>
      <c r="F1447" s="111"/>
      <c r="G1447" s="122"/>
      <c r="H1447" s="122"/>
      <c r="I1447" s="112">
        <v>0</v>
      </c>
      <c r="J1447" s="112">
        <v>0</v>
      </c>
      <c r="K1447" s="23">
        <f t="shared" si="193"/>
        <v>0</v>
      </c>
      <c r="L1447" s="23">
        <f t="shared" si="194"/>
        <v>0</v>
      </c>
      <c r="M1447" s="12">
        <f t="shared" si="199"/>
        <v>0</v>
      </c>
      <c r="N1447" s="23">
        <f t="shared" si="195"/>
        <v>0</v>
      </c>
      <c r="O1447" s="41">
        <f t="shared" si="196"/>
        <v>0</v>
      </c>
      <c r="P1447" s="13" t="str">
        <f t="shared" si="197"/>
        <v>NO</v>
      </c>
      <c r="Q1447" s="23">
        <f t="shared" si="198"/>
        <v>0</v>
      </c>
      <c r="R1447" s="12">
        <f t="shared" si="198"/>
        <v>0</v>
      </c>
    </row>
    <row r="1448" spans="2:18">
      <c r="B1448" t="str">
        <f t="shared" si="192"/>
        <v/>
      </c>
      <c r="C1448" s="110"/>
      <c r="D1448" s="121"/>
      <c r="E1448" s="111"/>
      <c r="F1448" s="111"/>
      <c r="G1448" s="122"/>
      <c r="H1448" s="122"/>
      <c r="I1448" s="112">
        <v>0</v>
      </c>
      <c r="J1448" s="112">
        <v>0</v>
      </c>
      <c r="K1448" s="23">
        <f t="shared" si="193"/>
        <v>0</v>
      </c>
      <c r="L1448" s="23">
        <f t="shared" si="194"/>
        <v>0</v>
      </c>
      <c r="M1448" s="12">
        <f t="shared" si="199"/>
        <v>0</v>
      </c>
      <c r="N1448" s="23">
        <f t="shared" si="195"/>
        <v>0</v>
      </c>
      <c r="O1448" s="41">
        <f t="shared" si="196"/>
        <v>0</v>
      </c>
      <c r="P1448" s="13" t="str">
        <f t="shared" si="197"/>
        <v>NO</v>
      </c>
      <c r="Q1448" s="23">
        <f t="shared" si="198"/>
        <v>0</v>
      </c>
      <c r="R1448" s="12">
        <f t="shared" si="198"/>
        <v>0</v>
      </c>
    </row>
    <row r="1449" spans="2:18">
      <c r="B1449" t="str">
        <f t="shared" si="192"/>
        <v/>
      </c>
      <c r="C1449" s="110"/>
      <c r="D1449" s="121"/>
      <c r="E1449" s="111"/>
      <c r="F1449" s="111"/>
      <c r="G1449" s="122"/>
      <c r="H1449" s="122"/>
      <c r="I1449" s="112">
        <v>0</v>
      </c>
      <c r="J1449" s="112">
        <v>0</v>
      </c>
      <c r="K1449" s="23">
        <f t="shared" si="193"/>
        <v>0</v>
      </c>
      <c r="L1449" s="23">
        <f t="shared" si="194"/>
        <v>0</v>
      </c>
      <c r="M1449" s="12">
        <f t="shared" si="199"/>
        <v>0</v>
      </c>
      <c r="N1449" s="23">
        <f t="shared" si="195"/>
        <v>0</v>
      </c>
      <c r="O1449" s="41">
        <f t="shared" si="196"/>
        <v>0</v>
      </c>
      <c r="P1449" s="13" t="str">
        <f t="shared" si="197"/>
        <v>NO</v>
      </c>
      <c r="Q1449" s="23">
        <f t="shared" si="198"/>
        <v>0</v>
      </c>
      <c r="R1449" s="12">
        <f t="shared" si="198"/>
        <v>0</v>
      </c>
    </row>
    <row r="1450" spans="2:18">
      <c r="B1450" t="str">
        <f t="shared" si="192"/>
        <v/>
      </c>
      <c r="C1450" s="110"/>
      <c r="D1450" s="121"/>
      <c r="E1450" s="111"/>
      <c r="F1450" s="111"/>
      <c r="G1450" s="122"/>
      <c r="H1450" s="122"/>
      <c r="I1450" s="112">
        <v>0</v>
      </c>
      <c r="J1450" s="112">
        <v>0</v>
      </c>
      <c r="K1450" s="23">
        <f t="shared" si="193"/>
        <v>0</v>
      </c>
      <c r="L1450" s="23">
        <f t="shared" si="194"/>
        <v>0</v>
      </c>
      <c r="M1450" s="12">
        <f t="shared" si="199"/>
        <v>0</v>
      </c>
      <c r="N1450" s="23">
        <f t="shared" si="195"/>
        <v>0</v>
      </c>
      <c r="O1450" s="41">
        <f t="shared" si="196"/>
        <v>0</v>
      </c>
      <c r="P1450" s="13" t="str">
        <f t="shared" si="197"/>
        <v>NO</v>
      </c>
      <c r="Q1450" s="23">
        <f t="shared" si="198"/>
        <v>0</v>
      </c>
      <c r="R1450" s="12">
        <f t="shared" si="198"/>
        <v>0</v>
      </c>
    </row>
    <row r="1451" spans="2:18">
      <c r="B1451" t="str">
        <f t="shared" si="192"/>
        <v/>
      </c>
      <c r="C1451" s="110"/>
      <c r="D1451" s="121"/>
      <c r="E1451" s="111"/>
      <c r="F1451" s="111"/>
      <c r="G1451" s="122"/>
      <c r="H1451" s="122"/>
      <c r="I1451" s="112">
        <v>0</v>
      </c>
      <c r="J1451" s="112">
        <v>0</v>
      </c>
      <c r="K1451" s="23">
        <f t="shared" si="193"/>
        <v>0</v>
      </c>
      <c r="L1451" s="23">
        <f t="shared" si="194"/>
        <v>0</v>
      </c>
      <c r="M1451" s="12">
        <f t="shared" si="199"/>
        <v>0</v>
      </c>
      <c r="N1451" s="23">
        <f t="shared" si="195"/>
        <v>0</v>
      </c>
      <c r="O1451" s="41">
        <f t="shared" si="196"/>
        <v>0</v>
      </c>
      <c r="P1451" s="13" t="str">
        <f t="shared" si="197"/>
        <v>NO</v>
      </c>
      <c r="Q1451" s="23">
        <f t="shared" si="198"/>
        <v>0</v>
      </c>
      <c r="R1451" s="12">
        <f t="shared" si="198"/>
        <v>0</v>
      </c>
    </row>
    <row r="1452" spans="2:18">
      <c r="B1452" t="str">
        <f t="shared" si="192"/>
        <v/>
      </c>
      <c r="C1452" s="110"/>
      <c r="D1452" s="121"/>
      <c r="E1452" s="111"/>
      <c r="F1452" s="111"/>
      <c r="G1452" s="122"/>
      <c r="H1452" s="122"/>
      <c r="I1452" s="112">
        <v>0</v>
      </c>
      <c r="J1452" s="112">
        <v>0</v>
      </c>
      <c r="K1452" s="23">
        <f t="shared" si="193"/>
        <v>0</v>
      </c>
      <c r="L1452" s="23">
        <f t="shared" si="194"/>
        <v>0</v>
      </c>
      <c r="M1452" s="12">
        <f t="shared" si="199"/>
        <v>0</v>
      </c>
      <c r="N1452" s="23">
        <f t="shared" si="195"/>
        <v>0</v>
      </c>
      <c r="O1452" s="41">
        <f t="shared" si="196"/>
        <v>0</v>
      </c>
      <c r="P1452" s="13" t="str">
        <f t="shared" si="197"/>
        <v>NO</v>
      </c>
      <c r="Q1452" s="23">
        <f t="shared" si="198"/>
        <v>0</v>
      </c>
      <c r="R1452" s="12">
        <f t="shared" si="198"/>
        <v>0</v>
      </c>
    </row>
    <row r="1453" spans="2:18">
      <c r="B1453" t="str">
        <f t="shared" si="192"/>
        <v/>
      </c>
      <c r="C1453" s="110"/>
      <c r="D1453" s="121"/>
      <c r="E1453" s="111"/>
      <c r="F1453" s="111"/>
      <c r="G1453" s="122"/>
      <c r="H1453" s="122"/>
      <c r="I1453" s="112">
        <v>0</v>
      </c>
      <c r="J1453" s="112">
        <v>0</v>
      </c>
      <c r="K1453" s="23">
        <f t="shared" si="193"/>
        <v>0</v>
      </c>
      <c r="L1453" s="23">
        <f t="shared" si="194"/>
        <v>0</v>
      </c>
      <c r="M1453" s="12">
        <f t="shared" si="199"/>
        <v>0</v>
      </c>
      <c r="N1453" s="23">
        <f t="shared" si="195"/>
        <v>0</v>
      </c>
      <c r="O1453" s="41">
        <f t="shared" si="196"/>
        <v>0</v>
      </c>
      <c r="P1453" s="13" t="str">
        <f t="shared" si="197"/>
        <v>NO</v>
      </c>
      <c r="Q1453" s="23">
        <f t="shared" si="198"/>
        <v>0</v>
      </c>
      <c r="R1453" s="12">
        <f t="shared" si="198"/>
        <v>0</v>
      </c>
    </row>
    <row r="1454" spans="2:18">
      <c r="B1454" t="str">
        <f t="shared" si="192"/>
        <v/>
      </c>
      <c r="C1454" s="110"/>
      <c r="D1454" s="121"/>
      <c r="E1454" s="111"/>
      <c r="F1454" s="111"/>
      <c r="G1454" s="122"/>
      <c r="H1454" s="122"/>
      <c r="I1454" s="112">
        <v>0</v>
      </c>
      <c r="J1454" s="112">
        <v>0</v>
      </c>
      <c r="K1454" s="23">
        <f t="shared" si="193"/>
        <v>0</v>
      </c>
      <c r="L1454" s="23">
        <f t="shared" si="194"/>
        <v>0</v>
      </c>
      <c r="M1454" s="12">
        <f t="shared" si="199"/>
        <v>0</v>
      </c>
      <c r="N1454" s="23">
        <f t="shared" si="195"/>
        <v>0</v>
      </c>
      <c r="O1454" s="41">
        <f t="shared" si="196"/>
        <v>0</v>
      </c>
      <c r="P1454" s="13" t="str">
        <f t="shared" si="197"/>
        <v>NO</v>
      </c>
      <c r="Q1454" s="23">
        <f t="shared" si="198"/>
        <v>0</v>
      </c>
      <c r="R1454" s="12">
        <f t="shared" si="198"/>
        <v>0</v>
      </c>
    </row>
    <row r="1455" spans="2:18">
      <c r="B1455" t="str">
        <f t="shared" si="192"/>
        <v/>
      </c>
      <c r="C1455" s="110"/>
      <c r="D1455" s="121"/>
      <c r="E1455" s="111"/>
      <c r="F1455" s="111"/>
      <c r="G1455" s="122"/>
      <c r="H1455" s="122"/>
      <c r="I1455" s="112">
        <v>0</v>
      </c>
      <c r="J1455" s="112">
        <v>0</v>
      </c>
      <c r="K1455" s="23">
        <f t="shared" si="193"/>
        <v>0</v>
      </c>
      <c r="L1455" s="23">
        <f t="shared" si="194"/>
        <v>0</v>
      </c>
      <c r="M1455" s="12">
        <f t="shared" si="199"/>
        <v>0</v>
      </c>
      <c r="N1455" s="23">
        <f t="shared" si="195"/>
        <v>0</v>
      </c>
      <c r="O1455" s="41">
        <f t="shared" si="196"/>
        <v>0</v>
      </c>
      <c r="P1455" s="13" t="str">
        <f t="shared" si="197"/>
        <v>NO</v>
      </c>
      <c r="Q1455" s="23">
        <f t="shared" si="198"/>
        <v>0</v>
      </c>
      <c r="R1455" s="12">
        <f t="shared" si="198"/>
        <v>0</v>
      </c>
    </row>
    <row r="1456" spans="2:18">
      <c r="B1456" t="str">
        <f t="shared" si="192"/>
        <v/>
      </c>
      <c r="C1456" s="110"/>
      <c r="D1456" s="121"/>
      <c r="E1456" s="111"/>
      <c r="F1456" s="111"/>
      <c r="G1456" s="122"/>
      <c r="H1456" s="122"/>
      <c r="I1456" s="112">
        <v>0</v>
      </c>
      <c r="J1456" s="112">
        <v>0</v>
      </c>
      <c r="K1456" s="23">
        <f t="shared" si="193"/>
        <v>0</v>
      </c>
      <c r="L1456" s="23">
        <f t="shared" si="194"/>
        <v>0</v>
      </c>
      <c r="M1456" s="12">
        <f t="shared" si="199"/>
        <v>0</v>
      </c>
      <c r="N1456" s="23">
        <f t="shared" si="195"/>
        <v>0</v>
      </c>
      <c r="O1456" s="41">
        <f t="shared" si="196"/>
        <v>0</v>
      </c>
      <c r="P1456" s="13" t="str">
        <f t="shared" si="197"/>
        <v>NO</v>
      </c>
      <c r="Q1456" s="23">
        <f t="shared" si="198"/>
        <v>0</v>
      </c>
      <c r="R1456" s="12">
        <f t="shared" si="198"/>
        <v>0</v>
      </c>
    </row>
    <row r="1457" spans="2:18">
      <c r="B1457" t="str">
        <f t="shared" si="192"/>
        <v/>
      </c>
      <c r="C1457" s="110"/>
      <c r="D1457" s="121"/>
      <c r="E1457" s="111"/>
      <c r="F1457" s="111"/>
      <c r="G1457" s="122"/>
      <c r="H1457" s="122"/>
      <c r="I1457" s="112">
        <v>0</v>
      </c>
      <c r="J1457" s="112">
        <v>0</v>
      </c>
      <c r="K1457" s="23">
        <f t="shared" si="193"/>
        <v>0</v>
      </c>
      <c r="L1457" s="23">
        <f t="shared" si="194"/>
        <v>0</v>
      </c>
      <c r="M1457" s="12">
        <f t="shared" si="199"/>
        <v>0</v>
      </c>
      <c r="N1457" s="23">
        <f t="shared" si="195"/>
        <v>0</v>
      </c>
      <c r="O1457" s="41">
        <f t="shared" si="196"/>
        <v>0</v>
      </c>
      <c r="P1457" s="13" t="str">
        <f t="shared" si="197"/>
        <v>NO</v>
      </c>
      <c r="Q1457" s="23">
        <f t="shared" si="198"/>
        <v>0</v>
      </c>
      <c r="R1457" s="12">
        <f t="shared" si="198"/>
        <v>0</v>
      </c>
    </row>
    <row r="1458" spans="2:18">
      <c r="B1458" t="str">
        <f t="shared" si="192"/>
        <v/>
      </c>
      <c r="C1458" s="110"/>
      <c r="D1458" s="121"/>
      <c r="E1458" s="111"/>
      <c r="F1458" s="111"/>
      <c r="G1458" s="122"/>
      <c r="H1458" s="122"/>
      <c r="I1458" s="112">
        <v>0</v>
      </c>
      <c r="J1458" s="112">
        <v>0</v>
      </c>
      <c r="K1458" s="23">
        <f t="shared" si="193"/>
        <v>0</v>
      </c>
      <c r="L1458" s="23">
        <f t="shared" si="194"/>
        <v>0</v>
      </c>
      <c r="M1458" s="12">
        <f t="shared" si="199"/>
        <v>0</v>
      </c>
      <c r="N1458" s="23">
        <f t="shared" si="195"/>
        <v>0</v>
      </c>
      <c r="O1458" s="41">
        <f t="shared" si="196"/>
        <v>0</v>
      </c>
      <c r="P1458" s="13" t="str">
        <f t="shared" si="197"/>
        <v>NO</v>
      </c>
      <c r="Q1458" s="23">
        <f t="shared" si="198"/>
        <v>0</v>
      </c>
      <c r="R1458" s="12">
        <f t="shared" si="198"/>
        <v>0</v>
      </c>
    </row>
    <row r="1459" spans="2:18">
      <c r="B1459" t="str">
        <f t="shared" si="192"/>
        <v/>
      </c>
      <c r="C1459" s="110"/>
      <c r="D1459" s="121"/>
      <c r="E1459" s="111"/>
      <c r="F1459" s="111"/>
      <c r="G1459" s="122"/>
      <c r="H1459" s="122"/>
      <c r="I1459" s="112">
        <v>0</v>
      </c>
      <c r="J1459" s="112">
        <v>0</v>
      </c>
      <c r="K1459" s="23">
        <f t="shared" si="193"/>
        <v>0</v>
      </c>
      <c r="L1459" s="23">
        <f t="shared" si="194"/>
        <v>0</v>
      </c>
      <c r="M1459" s="12">
        <f t="shared" si="199"/>
        <v>0</v>
      </c>
      <c r="N1459" s="23">
        <f t="shared" si="195"/>
        <v>0</v>
      </c>
      <c r="O1459" s="41">
        <f t="shared" si="196"/>
        <v>0</v>
      </c>
      <c r="P1459" s="13" t="str">
        <f t="shared" si="197"/>
        <v>NO</v>
      </c>
      <c r="Q1459" s="23">
        <f t="shared" si="198"/>
        <v>0</v>
      </c>
      <c r="R1459" s="12">
        <f t="shared" si="198"/>
        <v>0</v>
      </c>
    </row>
    <row r="1460" spans="2:18">
      <c r="B1460" t="str">
        <f t="shared" si="192"/>
        <v/>
      </c>
      <c r="C1460" s="110"/>
      <c r="D1460" s="121"/>
      <c r="E1460" s="111"/>
      <c r="F1460" s="111"/>
      <c r="G1460" s="122"/>
      <c r="H1460" s="122"/>
      <c r="I1460" s="112">
        <v>0</v>
      </c>
      <c r="J1460" s="112">
        <v>0</v>
      </c>
      <c r="K1460" s="23">
        <f t="shared" si="193"/>
        <v>0</v>
      </c>
      <c r="L1460" s="23">
        <f t="shared" si="194"/>
        <v>0</v>
      </c>
      <c r="M1460" s="12">
        <f t="shared" si="199"/>
        <v>0</v>
      </c>
      <c r="N1460" s="23">
        <f t="shared" si="195"/>
        <v>0</v>
      </c>
      <c r="O1460" s="41">
        <f t="shared" si="196"/>
        <v>0</v>
      </c>
      <c r="P1460" s="13" t="str">
        <f t="shared" si="197"/>
        <v>NO</v>
      </c>
      <c r="Q1460" s="23">
        <f t="shared" si="198"/>
        <v>0</v>
      </c>
      <c r="R1460" s="12">
        <f t="shared" si="198"/>
        <v>0</v>
      </c>
    </row>
    <row r="1461" spans="2:18">
      <c r="B1461" t="str">
        <f t="shared" si="192"/>
        <v/>
      </c>
      <c r="C1461" s="110"/>
      <c r="D1461" s="121"/>
      <c r="E1461" s="111"/>
      <c r="F1461" s="111"/>
      <c r="G1461" s="122"/>
      <c r="H1461" s="122"/>
      <c r="I1461" s="112">
        <v>0</v>
      </c>
      <c r="J1461" s="112">
        <v>0</v>
      </c>
      <c r="K1461" s="23">
        <f t="shared" si="193"/>
        <v>0</v>
      </c>
      <c r="L1461" s="23">
        <f t="shared" si="194"/>
        <v>0</v>
      </c>
      <c r="M1461" s="12">
        <f t="shared" si="199"/>
        <v>0</v>
      </c>
      <c r="N1461" s="23">
        <f t="shared" si="195"/>
        <v>0</v>
      </c>
      <c r="O1461" s="41">
        <f t="shared" si="196"/>
        <v>0</v>
      </c>
      <c r="P1461" s="13" t="str">
        <f t="shared" si="197"/>
        <v>NO</v>
      </c>
      <c r="Q1461" s="23">
        <f t="shared" si="198"/>
        <v>0</v>
      </c>
      <c r="R1461" s="12">
        <f t="shared" si="198"/>
        <v>0</v>
      </c>
    </row>
    <row r="1462" spans="2:18">
      <c r="B1462" t="str">
        <f t="shared" si="192"/>
        <v/>
      </c>
      <c r="C1462" s="110"/>
      <c r="D1462" s="121"/>
      <c r="E1462" s="111"/>
      <c r="F1462" s="111"/>
      <c r="G1462" s="122"/>
      <c r="H1462" s="122"/>
      <c r="I1462" s="112">
        <v>0</v>
      </c>
      <c r="J1462" s="112">
        <v>0</v>
      </c>
      <c r="K1462" s="23">
        <f t="shared" si="193"/>
        <v>0</v>
      </c>
      <c r="L1462" s="23">
        <f t="shared" si="194"/>
        <v>0</v>
      </c>
      <c r="M1462" s="12">
        <f t="shared" si="199"/>
        <v>0</v>
      </c>
      <c r="N1462" s="23">
        <f t="shared" si="195"/>
        <v>0</v>
      </c>
      <c r="O1462" s="41">
        <f t="shared" si="196"/>
        <v>0</v>
      </c>
      <c r="P1462" s="13" t="str">
        <f t="shared" si="197"/>
        <v>NO</v>
      </c>
      <c r="Q1462" s="23">
        <f t="shared" si="198"/>
        <v>0</v>
      </c>
      <c r="R1462" s="12">
        <f t="shared" si="198"/>
        <v>0</v>
      </c>
    </row>
    <row r="1463" spans="2:18">
      <c r="B1463" t="str">
        <f t="shared" ref="B1463:B1526" si="200">+C1463&amp;D1463</f>
        <v/>
      </c>
      <c r="C1463" s="110"/>
      <c r="D1463" s="121"/>
      <c r="E1463" s="111"/>
      <c r="F1463" s="111"/>
      <c r="G1463" s="122"/>
      <c r="H1463" s="122"/>
      <c r="I1463" s="112">
        <v>0</v>
      </c>
      <c r="J1463" s="112">
        <v>0</v>
      </c>
      <c r="K1463" s="23">
        <f t="shared" ref="K1463:K1500" si="201">+IFERROR(G1463,0)</f>
        <v>0</v>
      </c>
      <c r="L1463" s="23">
        <f t="shared" ref="L1463:L1500" si="202">+I1463</f>
        <v>0</v>
      </c>
      <c r="M1463" s="12">
        <f t="shared" si="199"/>
        <v>0</v>
      </c>
      <c r="N1463" s="23">
        <f t="shared" ref="N1463:N1500" si="203">+H1463</f>
        <v>0</v>
      </c>
      <c r="O1463" s="41">
        <f t="shared" ref="O1463:O1500" si="204">+J1463</f>
        <v>0</v>
      </c>
      <c r="P1463" s="13" t="str">
        <f t="shared" ref="P1463:P1500" si="205">+IF(O1463&lt;N1463,"SI","NO")</f>
        <v>NO</v>
      </c>
      <c r="Q1463" s="23">
        <f t="shared" ref="Q1463:R1500" si="206">+M1463</f>
        <v>0</v>
      </c>
      <c r="R1463" s="12">
        <f t="shared" si="206"/>
        <v>0</v>
      </c>
    </row>
    <row r="1464" spans="2:18">
      <c r="B1464" t="str">
        <f t="shared" si="200"/>
        <v/>
      </c>
      <c r="C1464" s="110"/>
      <c r="D1464" s="121"/>
      <c r="E1464" s="111"/>
      <c r="F1464" s="111"/>
      <c r="G1464" s="122"/>
      <c r="H1464" s="122"/>
      <c r="I1464" s="112">
        <v>0</v>
      </c>
      <c r="J1464" s="112">
        <v>0</v>
      </c>
      <c r="K1464" s="23">
        <f t="shared" si="201"/>
        <v>0</v>
      </c>
      <c r="L1464" s="23">
        <f t="shared" si="202"/>
        <v>0</v>
      </c>
      <c r="M1464" s="12">
        <f t="shared" ref="M1464:M1500" si="207">+IFERROR(MAX(K1464:L1464),0)</f>
        <v>0</v>
      </c>
      <c r="N1464" s="23">
        <f t="shared" si="203"/>
        <v>0</v>
      </c>
      <c r="O1464" s="41">
        <f t="shared" si="204"/>
        <v>0</v>
      </c>
      <c r="P1464" s="13" t="str">
        <f t="shared" si="205"/>
        <v>NO</v>
      </c>
      <c r="Q1464" s="23">
        <f t="shared" si="206"/>
        <v>0</v>
      </c>
      <c r="R1464" s="12">
        <f t="shared" si="206"/>
        <v>0</v>
      </c>
    </row>
    <row r="1465" spans="2:18">
      <c r="B1465" t="str">
        <f t="shared" si="200"/>
        <v/>
      </c>
      <c r="C1465" s="110"/>
      <c r="D1465" s="121"/>
      <c r="E1465" s="111"/>
      <c r="F1465" s="111"/>
      <c r="G1465" s="122"/>
      <c r="H1465" s="122"/>
      <c r="I1465" s="112">
        <v>0</v>
      </c>
      <c r="J1465" s="112">
        <v>0</v>
      </c>
      <c r="K1465" s="23">
        <f t="shared" si="201"/>
        <v>0</v>
      </c>
      <c r="L1465" s="23">
        <f t="shared" si="202"/>
        <v>0</v>
      </c>
      <c r="M1465" s="12">
        <f t="shared" si="207"/>
        <v>0</v>
      </c>
      <c r="N1465" s="23">
        <f t="shared" si="203"/>
        <v>0</v>
      </c>
      <c r="O1465" s="41">
        <f t="shared" si="204"/>
        <v>0</v>
      </c>
      <c r="P1465" s="13" t="str">
        <f t="shared" si="205"/>
        <v>NO</v>
      </c>
      <c r="Q1465" s="23">
        <f t="shared" si="206"/>
        <v>0</v>
      </c>
      <c r="R1465" s="12">
        <f t="shared" si="206"/>
        <v>0</v>
      </c>
    </row>
    <row r="1466" spans="2:18">
      <c r="B1466" t="str">
        <f t="shared" si="200"/>
        <v/>
      </c>
      <c r="C1466" s="110"/>
      <c r="D1466" s="121"/>
      <c r="E1466" s="111"/>
      <c r="F1466" s="111"/>
      <c r="G1466" s="122"/>
      <c r="H1466" s="122"/>
      <c r="I1466" s="112">
        <v>0</v>
      </c>
      <c r="J1466" s="112">
        <v>0</v>
      </c>
      <c r="K1466" s="23">
        <f t="shared" si="201"/>
        <v>0</v>
      </c>
      <c r="L1466" s="23">
        <f t="shared" si="202"/>
        <v>0</v>
      </c>
      <c r="M1466" s="12">
        <f t="shared" si="207"/>
        <v>0</v>
      </c>
      <c r="N1466" s="23">
        <f t="shared" si="203"/>
        <v>0</v>
      </c>
      <c r="O1466" s="41">
        <f t="shared" si="204"/>
        <v>0</v>
      </c>
      <c r="P1466" s="13" t="str">
        <f t="shared" si="205"/>
        <v>NO</v>
      </c>
      <c r="Q1466" s="23">
        <f t="shared" si="206"/>
        <v>0</v>
      </c>
      <c r="R1466" s="12">
        <f t="shared" si="206"/>
        <v>0</v>
      </c>
    </row>
    <row r="1467" spans="2:18">
      <c r="B1467" t="str">
        <f t="shared" si="200"/>
        <v/>
      </c>
      <c r="C1467" s="110"/>
      <c r="D1467" s="121"/>
      <c r="E1467" s="111"/>
      <c r="F1467" s="111"/>
      <c r="G1467" s="122"/>
      <c r="H1467" s="122"/>
      <c r="I1467" s="112">
        <v>0</v>
      </c>
      <c r="J1467" s="112">
        <v>0</v>
      </c>
      <c r="K1467" s="23">
        <f t="shared" si="201"/>
        <v>0</v>
      </c>
      <c r="L1467" s="23">
        <f t="shared" si="202"/>
        <v>0</v>
      </c>
      <c r="M1467" s="12">
        <f t="shared" si="207"/>
        <v>0</v>
      </c>
      <c r="N1467" s="23">
        <f t="shared" si="203"/>
        <v>0</v>
      </c>
      <c r="O1467" s="41">
        <f t="shared" si="204"/>
        <v>0</v>
      </c>
      <c r="P1467" s="13" t="str">
        <f t="shared" si="205"/>
        <v>NO</v>
      </c>
      <c r="Q1467" s="23">
        <f t="shared" si="206"/>
        <v>0</v>
      </c>
      <c r="R1467" s="12">
        <f t="shared" si="206"/>
        <v>0</v>
      </c>
    </row>
    <row r="1468" spans="2:18">
      <c r="B1468" t="str">
        <f t="shared" si="200"/>
        <v/>
      </c>
      <c r="C1468" s="110"/>
      <c r="D1468" s="121"/>
      <c r="E1468" s="111"/>
      <c r="F1468" s="111"/>
      <c r="G1468" s="122"/>
      <c r="H1468" s="122"/>
      <c r="I1468" s="112">
        <v>0</v>
      </c>
      <c r="J1468" s="112">
        <v>0</v>
      </c>
      <c r="K1468" s="23">
        <f t="shared" si="201"/>
        <v>0</v>
      </c>
      <c r="L1468" s="23">
        <f t="shared" si="202"/>
        <v>0</v>
      </c>
      <c r="M1468" s="12">
        <f t="shared" si="207"/>
        <v>0</v>
      </c>
      <c r="N1468" s="23">
        <f t="shared" si="203"/>
        <v>0</v>
      </c>
      <c r="O1468" s="41">
        <f t="shared" si="204"/>
        <v>0</v>
      </c>
      <c r="P1468" s="13" t="str">
        <f t="shared" si="205"/>
        <v>NO</v>
      </c>
      <c r="Q1468" s="23">
        <f t="shared" si="206"/>
        <v>0</v>
      </c>
      <c r="R1468" s="12">
        <f t="shared" si="206"/>
        <v>0</v>
      </c>
    </row>
    <row r="1469" spans="2:18">
      <c r="B1469" t="str">
        <f t="shared" si="200"/>
        <v/>
      </c>
      <c r="C1469" s="110"/>
      <c r="D1469" s="121"/>
      <c r="E1469" s="111"/>
      <c r="F1469" s="111"/>
      <c r="G1469" s="122"/>
      <c r="H1469" s="122"/>
      <c r="I1469" s="112">
        <v>0</v>
      </c>
      <c r="J1469" s="112">
        <v>0</v>
      </c>
      <c r="K1469" s="23">
        <f t="shared" si="201"/>
        <v>0</v>
      </c>
      <c r="L1469" s="23">
        <f t="shared" si="202"/>
        <v>0</v>
      </c>
      <c r="M1469" s="12">
        <f t="shared" si="207"/>
        <v>0</v>
      </c>
      <c r="N1469" s="23">
        <f t="shared" si="203"/>
        <v>0</v>
      </c>
      <c r="O1469" s="41">
        <f t="shared" si="204"/>
        <v>0</v>
      </c>
      <c r="P1469" s="13" t="str">
        <f t="shared" si="205"/>
        <v>NO</v>
      </c>
      <c r="Q1469" s="23">
        <f t="shared" si="206"/>
        <v>0</v>
      </c>
      <c r="R1469" s="12">
        <f t="shared" si="206"/>
        <v>0</v>
      </c>
    </row>
    <row r="1470" spans="2:18">
      <c r="B1470" t="str">
        <f t="shared" si="200"/>
        <v/>
      </c>
      <c r="C1470" s="110"/>
      <c r="D1470" s="121"/>
      <c r="E1470" s="111"/>
      <c r="F1470" s="111"/>
      <c r="G1470" s="122"/>
      <c r="H1470" s="122"/>
      <c r="I1470" s="112">
        <v>0</v>
      </c>
      <c r="J1470" s="112">
        <v>0</v>
      </c>
      <c r="K1470" s="23">
        <f t="shared" si="201"/>
        <v>0</v>
      </c>
      <c r="L1470" s="23">
        <f t="shared" si="202"/>
        <v>0</v>
      </c>
      <c r="M1470" s="12">
        <f t="shared" si="207"/>
        <v>0</v>
      </c>
      <c r="N1470" s="23">
        <f t="shared" si="203"/>
        <v>0</v>
      </c>
      <c r="O1470" s="41">
        <f t="shared" si="204"/>
        <v>0</v>
      </c>
      <c r="P1470" s="13" t="str">
        <f t="shared" si="205"/>
        <v>NO</v>
      </c>
      <c r="Q1470" s="23">
        <f t="shared" si="206"/>
        <v>0</v>
      </c>
      <c r="R1470" s="12">
        <f t="shared" si="206"/>
        <v>0</v>
      </c>
    </row>
    <row r="1471" spans="2:18">
      <c r="B1471" t="str">
        <f t="shared" si="200"/>
        <v/>
      </c>
      <c r="C1471" s="110"/>
      <c r="D1471" s="121"/>
      <c r="E1471" s="111"/>
      <c r="F1471" s="111"/>
      <c r="G1471" s="122"/>
      <c r="H1471" s="122"/>
      <c r="I1471" s="112">
        <v>0</v>
      </c>
      <c r="J1471" s="112">
        <v>0</v>
      </c>
      <c r="K1471" s="23">
        <f t="shared" si="201"/>
        <v>0</v>
      </c>
      <c r="L1471" s="23">
        <f t="shared" si="202"/>
        <v>0</v>
      </c>
      <c r="M1471" s="12">
        <f t="shared" si="207"/>
        <v>0</v>
      </c>
      <c r="N1471" s="23">
        <f t="shared" si="203"/>
        <v>0</v>
      </c>
      <c r="O1471" s="41">
        <f t="shared" si="204"/>
        <v>0</v>
      </c>
      <c r="P1471" s="13" t="str">
        <f t="shared" si="205"/>
        <v>NO</v>
      </c>
      <c r="Q1471" s="23">
        <f t="shared" si="206"/>
        <v>0</v>
      </c>
      <c r="R1471" s="12">
        <f t="shared" si="206"/>
        <v>0</v>
      </c>
    </row>
    <row r="1472" spans="2:18">
      <c r="B1472" t="str">
        <f t="shared" si="200"/>
        <v/>
      </c>
      <c r="C1472" s="110"/>
      <c r="D1472" s="121"/>
      <c r="E1472" s="111"/>
      <c r="F1472" s="111"/>
      <c r="G1472" s="122"/>
      <c r="H1472" s="122"/>
      <c r="I1472" s="112">
        <v>0</v>
      </c>
      <c r="J1472" s="112">
        <v>0</v>
      </c>
      <c r="K1472" s="23">
        <f t="shared" si="201"/>
        <v>0</v>
      </c>
      <c r="L1472" s="23">
        <f t="shared" si="202"/>
        <v>0</v>
      </c>
      <c r="M1472" s="12">
        <f t="shared" si="207"/>
        <v>0</v>
      </c>
      <c r="N1472" s="23">
        <f t="shared" si="203"/>
        <v>0</v>
      </c>
      <c r="O1472" s="41">
        <f t="shared" si="204"/>
        <v>0</v>
      </c>
      <c r="P1472" s="13" t="str">
        <f t="shared" si="205"/>
        <v>NO</v>
      </c>
      <c r="Q1472" s="23">
        <f t="shared" si="206"/>
        <v>0</v>
      </c>
      <c r="R1472" s="12">
        <f t="shared" si="206"/>
        <v>0</v>
      </c>
    </row>
    <row r="1473" spans="2:18">
      <c r="B1473" t="str">
        <f t="shared" si="200"/>
        <v/>
      </c>
      <c r="C1473" s="110"/>
      <c r="D1473" s="121"/>
      <c r="E1473" s="111"/>
      <c r="F1473" s="111"/>
      <c r="G1473" s="122"/>
      <c r="H1473" s="122"/>
      <c r="I1473" s="112">
        <v>0</v>
      </c>
      <c r="J1473" s="112">
        <v>0</v>
      </c>
      <c r="K1473" s="23">
        <f t="shared" si="201"/>
        <v>0</v>
      </c>
      <c r="L1473" s="23">
        <f t="shared" si="202"/>
        <v>0</v>
      </c>
      <c r="M1473" s="12">
        <f t="shared" si="207"/>
        <v>0</v>
      </c>
      <c r="N1473" s="23">
        <f t="shared" si="203"/>
        <v>0</v>
      </c>
      <c r="O1473" s="41">
        <f t="shared" si="204"/>
        <v>0</v>
      </c>
      <c r="P1473" s="13" t="str">
        <f t="shared" si="205"/>
        <v>NO</v>
      </c>
      <c r="Q1473" s="23">
        <f t="shared" si="206"/>
        <v>0</v>
      </c>
      <c r="R1473" s="12">
        <f t="shared" si="206"/>
        <v>0</v>
      </c>
    </row>
    <row r="1474" spans="2:18">
      <c r="B1474" t="str">
        <f t="shared" si="200"/>
        <v/>
      </c>
      <c r="C1474" s="110"/>
      <c r="D1474" s="121"/>
      <c r="E1474" s="111"/>
      <c r="F1474" s="111"/>
      <c r="G1474" s="122"/>
      <c r="H1474" s="122"/>
      <c r="I1474" s="112">
        <v>0</v>
      </c>
      <c r="J1474" s="112">
        <v>0</v>
      </c>
      <c r="K1474" s="23">
        <f t="shared" si="201"/>
        <v>0</v>
      </c>
      <c r="L1474" s="23">
        <f t="shared" si="202"/>
        <v>0</v>
      </c>
      <c r="M1474" s="12">
        <f t="shared" si="207"/>
        <v>0</v>
      </c>
      <c r="N1474" s="23">
        <f t="shared" si="203"/>
        <v>0</v>
      </c>
      <c r="O1474" s="41">
        <f t="shared" si="204"/>
        <v>0</v>
      </c>
      <c r="P1474" s="13" t="str">
        <f t="shared" si="205"/>
        <v>NO</v>
      </c>
      <c r="Q1474" s="23">
        <f t="shared" si="206"/>
        <v>0</v>
      </c>
      <c r="R1474" s="12">
        <f t="shared" si="206"/>
        <v>0</v>
      </c>
    </row>
    <row r="1475" spans="2:18">
      <c r="B1475" t="str">
        <f t="shared" si="200"/>
        <v/>
      </c>
      <c r="C1475" s="110"/>
      <c r="D1475" s="121"/>
      <c r="E1475" s="111"/>
      <c r="F1475" s="111"/>
      <c r="G1475" s="122"/>
      <c r="H1475" s="122"/>
      <c r="I1475" s="112">
        <v>0</v>
      </c>
      <c r="J1475" s="112">
        <v>0</v>
      </c>
      <c r="K1475" s="23">
        <f t="shared" si="201"/>
        <v>0</v>
      </c>
      <c r="L1475" s="23">
        <f t="shared" si="202"/>
        <v>0</v>
      </c>
      <c r="M1475" s="12">
        <f t="shared" si="207"/>
        <v>0</v>
      </c>
      <c r="N1475" s="23">
        <f t="shared" si="203"/>
        <v>0</v>
      </c>
      <c r="O1475" s="41">
        <f t="shared" si="204"/>
        <v>0</v>
      </c>
      <c r="P1475" s="13" t="str">
        <f t="shared" si="205"/>
        <v>NO</v>
      </c>
      <c r="Q1475" s="23">
        <f t="shared" si="206"/>
        <v>0</v>
      </c>
      <c r="R1475" s="12">
        <f t="shared" si="206"/>
        <v>0</v>
      </c>
    </row>
    <row r="1476" spans="2:18">
      <c r="B1476" t="str">
        <f t="shared" si="200"/>
        <v/>
      </c>
      <c r="C1476" s="110"/>
      <c r="D1476" s="121"/>
      <c r="E1476" s="111"/>
      <c r="F1476" s="111"/>
      <c r="G1476" s="122"/>
      <c r="H1476" s="122"/>
      <c r="I1476" s="112">
        <v>0</v>
      </c>
      <c r="J1476" s="112">
        <v>0</v>
      </c>
      <c r="K1476" s="23">
        <f t="shared" si="201"/>
        <v>0</v>
      </c>
      <c r="L1476" s="23">
        <f t="shared" si="202"/>
        <v>0</v>
      </c>
      <c r="M1476" s="12">
        <f t="shared" si="207"/>
        <v>0</v>
      </c>
      <c r="N1476" s="23">
        <f t="shared" si="203"/>
        <v>0</v>
      </c>
      <c r="O1476" s="41">
        <f t="shared" si="204"/>
        <v>0</v>
      </c>
      <c r="P1476" s="13" t="str">
        <f t="shared" si="205"/>
        <v>NO</v>
      </c>
      <c r="Q1476" s="23">
        <f t="shared" si="206"/>
        <v>0</v>
      </c>
      <c r="R1476" s="12">
        <f t="shared" si="206"/>
        <v>0</v>
      </c>
    </row>
    <row r="1477" spans="2:18">
      <c r="B1477" t="str">
        <f t="shared" si="200"/>
        <v/>
      </c>
      <c r="C1477" s="110"/>
      <c r="D1477" s="121"/>
      <c r="E1477" s="111"/>
      <c r="F1477" s="111"/>
      <c r="G1477" s="122"/>
      <c r="H1477" s="122"/>
      <c r="I1477" s="112">
        <v>0</v>
      </c>
      <c r="J1477" s="112">
        <v>0</v>
      </c>
      <c r="K1477" s="23">
        <f t="shared" si="201"/>
        <v>0</v>
      </c>
      <c r="L1477" s="23">
        <f t="shared" si="202"/>
        <v>0</v>
      </c>
      <c r="M1477" s="12">
        <f t="shared" si="207"/>
        <v>0</v>
      </c>
      <c r="N1477" s="23">
        <f t="shared" si="203"/>
        <v>0</v>
      </c>
      <c r="O1477" s="41">
        <f t="shared" si="204"/>
        <v>0</v>
      </c>
      <c r="P1477" s="13" t="str">
        <f t="shared" si="205"/>
        <v>NO</v>
      </c>
      <c r="Q1477" s="23">
        <f t="shared" si="206"/>
        <v>0</v>
      </c>
      <c r="R1477" s="12">
        <f t="shared" si="206"/>
        <v>0</v>
      </c>
    </row>
    <row r="1478" spans="2:18">
      <c r="B1478" t="str">
        <f t="shared" si="200"/>
        <v/>
      </c>
      <c r="C1478" s="110"/>
      <c r="D1478" s="121"/>
      <c r="E1478" s="111"/>
      <c r="F1478" s="111"/>
      <c r="G1478" s="122"/>
      <c r="H1478" s="122"/>
      <c r="I1478" s="112">
        <v>0</v>
      </c>
      <c r="J1478" s="112">
        <v>0</v>
      </c>
      <c r="K1478" s="23">
        <f t="shared" si="201"/>
        <v>0</v>
      </c>
      <c r="L1478" s="23">
        <f t="shared" si="202"/>
        <v>0</v>
      </c>
      <c r="M1478" s="12">
        <f t="shared" si="207"/>
        <v>0</v>
      </c>
      <c r="N1478" s="23">
        <f t="shared" si="203"/>
        <v>0</v>
      </c>
      <c r="O1478" s="41">
        <f t="shared" si="204"/>
        <v>0</v>
      </c>
      <c r="P1478" s="13" t="str">
        <f t="shared" si="205"/>
        <v>NO</v>
      </c>
      <c r="Q1478" s="23">
        <f t="shared" si="206"/>
        <v>0</v>
      </c>
      <c r="R1478" s="12">
        <f t="shared" si="206"/>
        <v>0</v>
      </c>
    </row>
    <row r="1479" spans="2:18">
      <c r="B1479" t="str">
        <f t="shared" si="200"/>
        <v/>
      </c>
      <c r="C1479" s="110"/>
      <c r="D1479" s="121"/>
      <c r="E1479" s="111"/>
      <c r="F1479" s="111"/>
      <c r="G1479" s="122"/>
      <c r="H1479" s="122"/>
      <c r="I1479" s="112">
        <v>0</v>
      </c>
      <c r="J1479" s="112">
        <v>0</v>
      </c>
      <c r="K1479" s="23">
        <f t="shared" si="201"/>
        <v>0</v>
      </c>
      <c r="L1479" s="23">
        <f t="shared" si="202"/>
        <v>0</v>
      </c>
      <c r="M1479" s="12">
        <f t="shared" si="207"/>
        <v>0</v>
      </c>
      <c r="N1479" s="23">
        <f t="shared" si="203"/>
        <v>0</v>
      </c>
      <c r="O1479" s="41">
        <f t="shared" si="204"/>
        <v>0</v>
      </c>
      <c r="P1479" s="13" t="str">
        <f t="shared" si="205"/>
        <v>NO</v>
      </c>
      <c r="Q1479" s="23">
        <f t="shared" si="206"/>
        <v>0</v>
      </c>
      <c r="R1479" s="12">
        <f t="shared" si="206"/>
        <v>0</v>
      </c>
    </row>
    <row r="1480" spans="2:18">
      <c r="B1480" t="str">
        <f t="shared" si="200"/>
        <v/>
      </c>
      <c r="C1480" s="110"/>
      <c r="D1480" s="121"/>
      <c r="E1480" s="111"/>
      <c r="F1480" s="111"/>
      <c r="G1480" s="122"/>
      <c r="H1480" s="122"/>
      <c r="I1480" s="112">
        <v>0</v>
      </c>
      <c r="J1480" s="112">
        <v>0</v>
      </c>
      <c r="K1480" s="23">
        <f t="shared" si="201"/>
        <v>0</v>
      </c>
      <c r="L1480" s="23">
        <f t="shared" si="202"/>
        <v>0</v>
      </c>
      <c r="M1480" s="12">
        <f t="shared" si="207"/>
        <v>0</v>
      </c>
      <c r="N1480" s="23">
        <f t="shared" si="203"/>
        <v>0</v>
      </c>
      <c r="O1480" s="41">
        <f t="shared" si="204"/>
        <v>0</v>
      </c>
      <c r="P1480" s="13" t="str">
        <f t="shared" si="205"/>
        <v>NO</v>
      </c>
      <c r="Q1480" s="23">
        <f t="shared" si="206"/>
        <v>0</v>
      </c>
      <c r="R1480" s="12">
        <f t="shared" si="206"/>
        <v>0</v>
      </c>
    </row>
    <row r="1481" spans="2:18">
      <c r="B1481" t="str">
        <f t="shared" si="200"/>
        <v/>
      </c>
      <c r="C1481" s="110"/>
      <c r="D1481" s="121"/>
      <c r="E1481" s="111"/>
      <c r="F1481" s="111"/>
      <c r="G1481" s="122"/>
      <c r="H1481" s="122"/>
      <c r="I1481" s="112">
        <v>0</v>
      </c>
      <c r="J1481" s="112">
        <v>0</v>
      </c>
      <c r="K1481" s="23">
        <f t="shared" si="201"/>
        <v>0</v>
      </c>
      <c r="L1481" s="23">
        <f t="shared" si="202"/>
        <v>0</v>
      </c>
      <c r="M1481" s="12">
        <f t="shared" si="207"/>
        <v>0</v>
      </c>
      <c r="N1481" s="23">
        <f t="shared" si="203"/>
        <v>0</v>
      </c>
      <c r="O1481" s="41">
        <f t="shared" si="204"/>
        <v>0</v>
      </c>
      <c r="P1481" s="13" t="str">
        <f t="shared" si="205"/>
        <v>NO</v>
      </c>
      <c r="Q1481" s="23">
        <f t="shared" si="206"/>
        <v>0</v>
      </c>
      <c r="R1481" s="12">
        <f t="shared" si="206"/>
        <v>0</v>
      </c>
    </row>
    <row r="1482" spans="2:18">
      <c r="B1482" t="str">
        <f t="shared" si="200"/>
        <v/>
      </c>
      <c r="C1482" s="110"/>
      <c r="D1482" s="121"/>
      <c r="E1482" s="111"/>
      <c r="F1482" s="111"/>
      <c r="G1482" s="122"/>
      <c r="H1482" s="122"/>
      <c r="I1482" s="112">
        <v>0</v>
      </c>
      <c r="J1482" s="112">
        <v>0</v>
      </c>
      <c r="K1482" s="23">
        <f t="shared" si="201"/>
        <v>0</v>
      </c>
      <c r="L1482" s="23">
        <f t="shared" si="202"/>
        <v>0</v>
      </c>
      <c r="M1482" s="12">
        <f t="shared" si="207"/>
        <v>0</v>
      </c>
      <c r="N1482" s="23">
        <f t="shared" si="203"/>
        <v>0</v>
      </c>
      <c r="O1482" s="41">
        <f t="shared" si="204"/>
        <v>0</v>
      </c>
      <c r="P1482" s="13" t="str">
        <f t="shared" si="205"/>
        <v>NO</v>
      </c>
      <c r="Q1482" s="23">
        <f t="shared" si="206"/>
        <v>0</v>
      </c>
      <c r="R1482" s="12">
        <f t="shared" si="206"/>
        <v>0</v>
      </c>
    </row>
    <row r="1483" spans="2:18">
      <c r="B1483" t="str">
        <f t="shared" si="200"/>
        <v/>
      </c>
      <c r="C1483" s="110"/>
      <c r="D1483" s="121"/>
      <c r="E1483" s="111"/>
      <c r="F1483" s="111"/>
      <c r="G1483" s="122"/>
      <c r="H1483" s="122"/>
      <c r="I1483" s="112">
        <v>0</v>
      </c>
      <c r="J1483" s="112">
        <v>0</v>
      </c>
      <c r="K1483" s="23">
        <f t="shared" si="201"/>
        <v>0</v>
      </c>
      <c r="L1483" s="23">
        <f t="shared" si="202"/>
        <v>0</v>
      </c>
      <c r="M1483" s="12">
        <f t="shared" si="207"/>
        <v>0</v>
      </c>
      <c r="N1483" s="23">
        <f t="shared" si="203"/>
        <v>0</v>
      </c>
      <c r="O1483" s="41">
        <f t="shared" si="204"/>
        <v>0</v>
      </c>
      <c r="P1483" s="13" t="str">
        <f t="shared" si="205"/>
        <v>NO</v>
      </c>
      <c r="Q1483" s="23">
        <f t="shared" si="206"/>
        <v>0</v>
      </c>
      <c r="R1483" s="12">
        <f t="shared" si="206"/>
        <v>0</v>
      </c>
    </row>
    <row r="1484" spans="2:18">
      <c r="B1484" t="str">
        <f t="shared" si="200"/>
        <v/>
      </c>
      <c r="C1484" s="110"/>
      <c r="D1484" s="121"/>
      <c r="E1484" s="111"/>
      <c r="F1484" s="111"/>
      <c r="G1484" s="122"/>
      <c r="H1484" s="122"/>
      <c r="I1484" s="112">
        <v>0</v>
      </c>
      <c r="J1484" s="112">
        <v>0</v>
      </c>
      <c r="K1484" s="23">
        <f t="shared" si="201"/>
        <v>0</v>
      </c>
      <c r="L1484" s="23">
        <f t="shared" si="202"/>
        <v>0</v>
      </c>
      <c r="M1484" s="12">
        <f t="shared" si="207"/>
        <v>0</v>
      </c>
      <c r="N1484" s="23">
        <f t="shared" si="203"/>
        <v>0</v>
      </c>
      <c r="O1484" s="41">
        <f t="shared" si="204"/>
        <v>0</v>
      </c>
      <c r="P1484" s="13" t="str">
        <f t="shared" si="205"/>
        <v>NO</v>
      </c>
      <c r="Q1484" s="23">
        <f t="shared" si="206"/>
        <v>0</v>
      </c>
      <c r="R1484" s="12">
        <f t="shared" si="206"/>
        <v>0</v>
      </c>
    </row>
    <row r="1485" spans="2:18">
      <c r="B1485" t="str">
        <f t="shared" si="200"/>
        <v/>
      </c>
      <c r="C1485" s="110"/>
      <c r="D1485" s="121"/>
      <c r="E1485" s="111"/>
      <c r="F1485" s="111"/>
      <c r="G1485" s="122"/>
      <c r="H1485" s="122"/>
      <c r="I1485" s="112">
        <v>0</v>
      </c>
      <c r="J1485" s="112">
        <v>0</v>
      </c>
      <c r="K1485" s="23">
        <f t="shared" si="201"/>
        <v>0</v>
      </c>
      <c r="L1485" s="23">
        <f t="shared" si="202"/>
        <v>0</v>
      </c>
      <c r="M1485" s="12">
        <f t="shared" si="207"/>
        <v>0</v>
      </c>
      <c r="N1485" s="23">
        <f t="shared" si="203"/>
        <v>0</v>
      </c>
      <c r="O1485" s="41">
        <f t="shared" si="204"/>
        <v>0</v>
      </c>
      <c r="P1485" s="13" t="str">
        <f t="shared" si="205"/>
        <v>NO</v>
      </c>
      <c r="Q1485" s="23">
        <f t="shared" si="206"/>
        <v>0</v>
      </c>
      <c r="R1485" s="12">
        <f t="shared" si="206"/>
        <v>0</v>
      </c>
    </row>
    <row r="1486" spans="2:18">
      <c r="B1486" t="str">
        <f t="shared" si="200"/>
        <v/>
      </c>
      <c r="C1486" s="110"/>
      <c r="D1486" s="121"/>
      <c r="E1486" s="111"/>
      <c r="F1486" s="111"/>
      <c r="G1486" s="122"/>
      <c r="H1486" s="122"/>
      <c r="I1486" s="112">
        <v>0</v>
      </c>
      <c r="J1486" s="112">
        <v>0</v>
      </c>
      <c r="K1486" s="23">
        <f t="shared" si="201"/>
        <v>0</v>
      </c>
      <c r="L1486" s="23">
        <f t="shared" si="202"/>
        <v>0</v>
      </c>
      <c r="M1486" s="12">
        <f t="shared" si="207"/>
        <v>0</v>
      </c>
      <c r="N1486" s="23">
        <f t="shared" si="203"/>
        <v>0</v>
      </c>
      <c r="O1486" s="41">
        <f t="shared" si="204"/>
        <v>0</v>
      </c>
      <c r="P1486" s="13" t="str">
        <f t="shared" si="205"/>
        <v>NO</v>
      </c>
      <c r="Q1486" s="23">
        <f t="shared" si="206"/>
        <v>0</v>
      </c>
      <c r="R1486" s="12">
        <f t="shared" si="206"/>
        <v>0</v>
      </c>
    </row>
    <row r="1487" spans="2:18">
      <c r="B1487" t="str">
        <f t="shared" si="200"/>
        <v/>
      </c>
      <c r="C1487" s="110"/>
      <c r="D1487" s="121"/>
      <c r="E1487" s="111"/>
      <c r="F1487" s="111"/>
      <c r="G1487" s="122"/>
      <c r="H1487" s="122"/>
      <c r="I1487" s="112">
        <v>0</v>
      </c>
      <c r="J1487" s="112">
        <v>0</v>
      </c>
      <c r="K1487" s="23">
        <f t="shared" si="201"/>
        <v>0</v>
      </c>
      <c r="L1487" s="23">
        <f t="shared" si="202"/>
        <v>0</v>
      </c>
      <c r="M1487" s="12">
        <f t="shared" si="207"/>
        <v>0</v>
      </c>
      <c r="N1487" s="23">
        <f t="shared" si="203"/>
        <v>0</v>
      </c>
      <c r="O1487" s="41">
        <f t="shared" si="204"/>
        <v>0</v>
      </c>
      <c r="P1487" s="13" t="str">
        <f t="shared" si="205"/>
        <v>NO</v>
      </c>
      <c r="Q1487" s="23">
        <f t="shared" si="206"/>
        <v>0</v>
      </c>
      <c r="R1487" s="12">
        <f t="shared" si="206"/>
        <v>0</v>
      </c>
    </row>
    <row r="1488" spans="2:18">
      <c r="B1488" t="str">
        <f t="shared" si="200"/>
        <v/>
      </c>
      <c r="C1488" s="110"/>
      <c r="D1488" s="121"/>
      <c r="E1488" s="111"/>
      <c r="F1488" s="111"/>
      <c r="G1488" s="122"/>
      <c r="H1488" s="122"/>
      <c r="I1488" s="112">
        <v>0</v>
      </c>
      <c r="J1488" s="112">
        <v>0</v>
      </c>
      <c r="K1488" s="23">
        <f t="shared" si="201"/>
        <v>0</v>
      </c>
      <c r="L1488" s="23">
        <f t="shared" si="202"/>
        <v>0</v>
      </c>
      <c r="M1488" s="12">
        <f t="shared" si="207"/>
        <v>0</v>
      </c>
      <c r="N1488" s="23">
        <f t="shared" si="203"/>
        <v>0</v>
      </c>
      <c r="O1488" s="41">
        <f t="shared" si="204"/>
        <v>0</v>
      </c>
      <c r="P1488" s="13" t="str">
        <f t="shared" si="205"/>
        <v>NO</v>
      </c>
      <c r="Q1488" s="23">
        <f t="shared" si="206"/>
        <v>0</v>
      </c>
      <c r="R1488" s="12">
        <f t="shared" si="206"/>
        <v>0</v>
      </c>
    </row>
    <row r="1489" spans="2:18">
      <c r="B1489" t="str">
        <f t="shared" si="200"/>
        <v/>
      </c>
      <c r="C1489" s="110"/>
      <c r="D1489" s="121"/>
      <c r="E1489" s="111"/>
      <c r="F1489" s="111"/>
      <c r="G1489" s="122"/>
      <c r="H1489" s="122"/>
      <c r="I1489" s="112">
        <v>0</v>
      </c>
      <c r="J1489" s="112">
        <v>0</v>
      </c>
      <c r="K1489" s="23">
        <f t="shared" si="201"/>
        <v>0</v>
      </c>
      <c r="L1489" s="23">
        <f t="shared" si="202"/>
        <v>0</v>
      </c>
      <c r="M1489" s="12">
        <f t="shared" si="207"/>
        <v>0</v>
      </c>
      <c r="N1489" s="23">
        <f t="shared" si="203"/>
        <v>0</v>
      </c>
      <c r="O1489" s="41">
        <f t="shared" si="204"/>
        <v>0</v>
      </c>
      <c r="P1489" s="13" t="str">
        <f t="shared" si="205"/>
        <v>NO</v>
      </c>
      <c r="Q1489" s="23">
        <f t="shared" si="206"/>
        <v>0</v>
      </c>
      <c r="R1489" s="12">
        <f t="shared" si="206"/>
        <v>0</v>
      </c>
    </row>
    <row r="1490" spans="2:18">
      <c r="B1490" t="str">
        <f t="shared" si="200"/>
        <v/>
      </c>
      <c r="C1490" s="110"/>
      <c r="D1490" s="121"/>
      <c r="E1490" s="111"/>
      <c r="F1490" s="111"/>
      <c r="G1490" s="122"/>
      <c r="H1490" s="122"/>
      <c r="I1490" s="112">
        <v>0</v>
      </c>
      <c r="J1490" s="112">
        <v>0</v>
      </c>
      <c r="K1490" s="23">
        <f t="shared" si="201"/>
        <v>0</v>
      </c>
      <c r="L1490" s="23">
        <f t="shared" si="202"/>
        <v>0</v>
      </c>
      <c r="M1490" s="12">
        <f t="shared" si="207"/>
        <v>0</v>
      </c>
      <c r="N1490" s="23">
        <f t="shared" si="203"/>
        <v>0</v>
      </c>
      <c r="O1490" s="41">
        <f t="shared" si="204"/>
        <v>0</v>
      </c>
      <c r="P1490" s="13" t="str">
        <f t="shared" si="205"/>
        <v>NO</v>
      </c>
      <c r="Q1490" s="23">
        <f t="shared" si="206"/>
        <v>0</v>
      </c>
      <c r="R1490" s="12">
        <f t="shared" si="206"/>
        <v>0</v>
      </c>
    </row>
    <row r="1491" spans="2:18">
      <c r="B1491" t="str">
        <f t="shared" si="200"/>
        <v/>
      </c>
      <c r="C1491" s="110"/>
      <c r="D1491" s="121"/>
      <c r="E1491" s="111"/>
      <c r="F1491" s="111"/>
      <c r="G1491" s="122"/>
      <c r="H1491" s="122"/>
      <c r="I1491" s="112">
        <v>0</v>
      </c>
      <c r="J1491" s="112">
        <v>0</v>
      </c>
      <c r="K1491" s="23">
        <f t="shared" si="201"/>
        <v>0</v>
      </c>
      <c r="L1491" s="23">
        <f t="shared" si="202"/>
        <v>0</v>
      </c>
      <c r="M1491" s="12">
        <f t="shared" si="207"/>
        <v>0</v>
      </c>
      <c r="N1491" s="23">
        <f t="shared" si="203"/>
        <v>0</v>
      </c>
      <c r="O1491" s="41">
        <f t="shared" si="204"/>
        <v>0</v>
      </c>
      <c r="P1491" s="13" t="str">
        <f t="shared" si="205"/>
        <v>NO</v>
      </c>
      <c r="Q1491" s="23">
        <f t="shared" si="206"/>
        <v>0</v>
      </c>
      <c r="R1491" s="12">
        <f t="shared" si="206"/>
        <v>0</v>
      </c>
    </row>
    <row r="1492" spans="2:18">
      <c r="B1492" t="str">
        <f t="shared" si="200"/>
        <v/>
      </c>
      <c r="C1492" s="110"/>
      <c r="D1492" s="121"/>
      <c r="E1492" s="111"/>
      <c r="F1492" s="111"/>
      <c r="G1492" s="122"/>
      <c r="H1492" s="122"/>
      <c r="I1492" s="112">
        <v>0</v>
      </c>
      <c r="J1492" s="112">
        <v>0</v>
      </c>
      <c r="K1492" s="23">
        <f t="shared" si="201"/>
        <v>0</v>
      </c>
      <c r="L1492" s="23">
        <f t="shared" si="202"/>
        <v>0</v>
      </c>
      <c r="M1492" s="12">
        <f t="shared" si="207"/>
        <v>0</v>
      </c>
      <c r="N1492" s="23">
        <f t="shared" si="203"/>
        <v>0</v>
      </c>
      <c r="O1492" s="41">
        <f t="shared" si="204"/>
        <v>0</v>
      </c>
      <c r="P1492" s="13" t="str">
        <f t="shared" si="205"/>
        <v>NO</v>
      </c>
      <c r="Q1492" s="23">
        <f t="shared" si="206"/>
        <v>0</v>
      </c>
      <c r="R1492" s="12">
        <f t="shared" si="206"/>
        <v>0</v>
      </c>
    </row>
    <row r="1493" spans="2:18">
      <c r="B1493" t="str">
        <f t="shared" si="200"/>
        <v/>
      </c>
      <c r="C1493" s="110"/>
      <c r="D1493" s="121"/>
      <c r="E1493" s="111"/>
      <c r="F1493" s="111"/>
      <c r="G1493" s="122"/>
      <c r="H1493" s="122"/>
      <c r="I1493" s="112">
        <v>0</v>
      </c>
      <c r="J1493" s="112">
        <v>0</v>
      </c>
      <c r="K1493" s="23">
        <f t="shared" si="201"/>
        <v>0</v>
      </c>
      <c r="L1493" s="23">
        <f t="shared" si="202"/>
        <v>0</v>
      </c>
      <c r="M1493" s="12">
        <f t="shared" si="207"/>
        <v>0</v>
      </c>
      <c r="N1493" s="23">
        <f t="shared" si="203"/>
        <v>0</v>
      </c>
      <c r="O1493" s="41">
        <f t="shared" si="204"/>
        <v>0</v>
      </c>
      <c r="P1493" s="13" t="str">
        <f t="shared" si="205"/>
        <v>NO</v>
      </c>
      <c r="Q1493" s="23">
        <f t="shared" si="206"/>
        <v>0</v>
      </c>
      <c r="R1493" s="12">
        <f t="shared" si="206"/>
        <v>0</v>
      </c>
    </row>
    <row r="1494" spans="2:18">
      <c r="B1494" t="str">
        <f t="shared" si="200"/>
        <v/>
      </c>
      <c r="C1494" s="110"/>
      <c r="D1494" s="121"/>
      <c r="E1494" s="111"/>
      <c r="F1494" s="111"/>
      <c r="G1494" s="122"/>
      <c r="H1494" s="122"/>
      <c r="I1494" s="112">
        <v>0</v>
      </c>
      <c r="J1494" s="112">
        <v>0</v>
      </c>
      <c r="K1494" s="23">
        <f t="shared" si="201"/>
        <v>0</v>
      </c>
      <c r="L1494" s="23">
        <f t="shared" si="202"/>
        <v>0</v>
      </c>
      <c r="M1494" s="12">
        <f t="shared" si="207"/>
        <v>0</v>
      </c>
      <c r="N1494" s="23">
        <f t="shared" si="203"/>
        <v>0</v>
      </c>
      <c r="O1494" s="41">
        <f t="shared" si="204"/>
        <v>0</v>
      </c>
      <c r="P1494" s="13" t="str">
        <f t="shared" si="205"/>
        <v>NO</v>
      </c>
      <c r="Q1494" s="23">
        <f t="shared" si="206"/>
        <v>0</v>
      </c>
      <c r="R1494" s="12">
        <f t="shared" si="206"/>
        <v>0</v>
      </c>
    </row>
    <row r="1495" spans="2:18">
      <c r="B1495" t="str">
        <f t="shared" si="200"/>
        <v/>
      </c>
      <c r="C1495" s="110"/>
      <c r="D1495" s="121"/>
      <c r="E1495" s="111"/>
      <c r="F1495" s="111"/>
      <c r="G1495" s="122"/>
      <c r="H1495" s="122"/>
      <c r="I1495" s="112">
        <v>0</v>
      </c>
      <c r="J1495" s="112">
        <v>0</v>
      </c>
      <c r="K1495" s="23">
        <f t="shared" si="201"/>
        <v>0</v>
      </c>
      <c r="L1495" s="23">
        <f t="shared" si="202"/>
        <v>0</v>
      </c>
      <c r="M1495" s="12">
        <f t="shared" si="207"/>
        <v>0</v>
      </c>
      <c r="N1495" s="23">
        <f t="shared" si="203"/>
        <v>0</v>
      </c>
      <c r="O1495" s="41">
        <f t="shared" si="204"/>
        <v>0</v>
      </c>
      <c r="P1495" s="13" t="str">
        <f t="shared" si="205"/>
        <v>NO</v>
      </c>
      <c r="Q1495" s="23">
        <f t="shared" si="206"/>
        <v>0</v>
      </c>
      <c r="R1495" s="12">
        <f t="shared" si="206"/>
        <v>0</v>
      </c>
    </row>
    <row r="1496" spans="2:18">
      <c r="B1496" t="str">
        <f t="shared" si="200"/>
        <v/>
      </c>
      <c r="C1496" s="110"/>
      <c r="D1496" s="121"/>
      <c r="E1496" s="111"/>
      <c r="F1496" s="111"/>
      <c r="G1496" s="122"/>
      <c r="H1496" s="122"/>
      <c r="I1496" s="112">
        <v>0</v>
      </c>
      <c r="J1496" s="112">
        <v>0</v>
      </c>
      <c r="K1496" s="23">
        <f t="shared" si="201"/>
        <v>0</v>
      </c>
      <c r="L1496" s="23">
        <f t="shared" si="202"/>
        <v>0</v>
      </c>
      <c r="M1496" s="12">
        <f t="shared" si="207"/>
        <v>0</v>
      </c>
      <c r="N1496" s="23">
        <f t="shared" si="203"/>
        <v>0</v>
      </c>
      <c r="O1496" s="41">
        <f t="shared" si="204"/>
        <v>0</v>
      </c>
      <c r="P1496" s="13" t="str">
        <f t="shared" si="205"/>
        <v>NO</v>
      </c>
      <c r="Q1496" s="23">
        <f t="shared" si="206"/>
        <v>0</v>
      </c>
      <c r="R1496" s="12">
        <f t="shared" si="206"/>
        <v>0</v>
      </c>
    </row>
    <row r="1497" spans="2:18">
      <c r="B1497" t="str">
        <f t="shared" si="200"/>
        <v/>
      </c>
      <c r="C1497" s="110"/>
      <c r="D1497" s="121"/>
      <c r="E1497" s="111"/>
      <c r="F1497" s="111"/>
      <c r="G1497" s="122"/>
      <c r="H1497" s="122"/>
      <c r="I1497" s="112">
        <v>0</v>
      </c>
      <c r="J1497" s="112">
        <v>0</v>
      </c>
      <c r="K1497" s="23">
        <f t="shared" si="201"/>
        <v>0</v>
      </c>
      <c r="L1497" s="23">
        <f t="shared" si="202"/>
        <v>0</v>
      </c>
      <c r="M1497" s="12">
        <f t="shared" si="207"/>
        <v>0</v>
      </c>
      <c r="N1497" s="23">
        <f t="shared" si="203"/>
        <v>0</v>
      </c>
      <c r="O1497" s="41">
        <f t="shared" si="204"/>
        <v>0</v>
      </c>
      <c r="P1497" s="13" t="str">
        <f t="shared" si="205"/>
        <v>NO</v>
      </c>
      <c r="Q1497" s="23">
        <f t="shared" si="206"/>
        <v>0</v>
      </c>
      <c r="R1497" s="12">
        <f t="shared" si="206"/>
        <v>0</v>
      </c>
    </row>
    <row r="1498" spans="2:18">
      <c r="B1498" t="str">
        <f t="shared" si="200"/>
        <v/>
      </c>
      <c r="C1498" s="110"/>
      <c r="D1498" s="121"/>
      <c r="E1498" s="111"/>
      <c r="F1498" s="111"/>
      <c r="G1498" s="122"/>
      <c r="H1498" s="122"/>
      <c r="I1498" s="112">
        <v>0</v>
      </c>
      <c r="J1498" s="112">
        <v>0</v>
      </c>
      <c r="K1498" s="23">
        <f t="shared" si="201"/>
        <v>0</v>
      </c>
      <c r="L1498" s="23">
        <f t="shared" si="202"/>
        <v>0</v>
      </c>
      <c r="M1498" s="12">
        <f t="shared" si="207"/>
        <v>0</v>
      </c>
      <c r="N1498" s="23">
        <f t="shared" si="203"/>
        <v>0</v>
      </c>
      <c r="O1498" s="41">
        <f t="shared" si="204"/>
        <v>0</v>
      </c>
      <c r="P1498" s="13" t="str">
        <f t="shared" si="205"/>
        <v>NO</v>
      </c>
      <c r="Q1498" s="23">
        <f t="shared" si="206"/>
        <v>0</v>
      </c>
      <c r="R1498" s="12">
        <f t="shared" si="206"/>
        <v>0</v>
      </c>
    </row>
    <row r="1499" spans="2:18">
      <c r="B1499" t="str">
        <f t="shared" si="200"/>
        <v/>
      </c>
      <c r="C1499" s="110"/>
      <c r="D1499" s="121"/>
      <c r="E1499" s="111"/>
      <c r="F1499" s="111"/>
      <c r="G1499" s="122"/>
      <c r="H1499" s="122"/>
      <c r="I1499" s="112">
        <v>0</v>
      </c>
      <c r="J1499" s="112">
        <v>0</v>
      </c>
      <c r="K1499" s="23">
        <f t="shared" si="201"/>
        <v>0</v>
      </c>
      <c r="L1499" s="23">
        <f t="shared" si="202"/>
        <v>0</v>
      </c>
      <c r="M1499" s="12">
        <f t="shared" si="207"/>
        <v>0</v>
      </c>
      <c r="N1499" s="23">
        <f t="shared" si="203"/>
        <v>0</v>
      </c>
      <c r="O1499" s="41">
        <f t="shared" si="204"/>
        <v>0</v>
      </c>
      <c r="P1499" s="13" t="str">
        <f t="shared" si="205"/>
        <v>NO</v>
      </c>
      <c r="Q1499" s="23">
        <f t="shared" si="206"/>
        <v>0</v>
      </c>
      <c r="R1499" s="12">
        <f t="shared" si="206"/>
        <v>0</v>
      </c>
    </row>
    <row r="1500" spans="2:18">
      <c r="B1500" t="str">
        <f t="shared" si="200"/>
        <v/>
      </c>
      <c r="C1500" s="110"/>
      <c r="D1500" s="121"/>
      <c r="E1500" s="111"/>
      <c r="F1500" s="111"/>
      <c r="G1500" s="122"/>
      <c r="H1500" s="122"/>
      <c r="I1500" s="112">
        <v>0</v>
      </c>
      <c r="J1500" s="112">
        <v>0</v>
      </c>
      <c r="K1500" s="23">
        <f t="shared" si="201"/>
        <v>0</v>
      </c>
      <c r="L1500" s="23">
        <f t="shared" si="202"/>
        <v>0</v>
      </c>
      <c r="M1500" s="12">
        <f t="shared" si="207"/>
        <v>0</v>
      </c>
      <c r="N1500" s="23">
        <f t="shared" si="203"/>
        <v>0</v>
      </c>
      <c r="O1500" s="41">
        <f t="shared" si="204"/>
        <v>0</v>
      </c>
      <c r="P1500" s="13" t="str">
        <f t="shared" si="205"/>
        <v>NO</v>
      </c>
      <c r="Q1500" s="23">
        <f t="shared" si="206"/>
        <v>0</v>
      </c>
      <c r="R1500" s="12">
        <f t="shared" si="206"/>
        <v>0</v>
      </c>
    </row>
    <row r="1501" spans="2:18">
      <c r="B1501" t="str">
        <f t="shared" si="200"/>
        <v/>
      </c>
      <c r="D1501" s="121"/>
      <c r="G1501" s="122"/>
      <c r="H1501" s="122"/>
      <c r="I1501" s="112">
        <v>0</v>
      </c>
      <c r="J1501" s="112">
        <v>0</v>
      </c>
      <c r="K1501" s="23">
        <f t="shared" ref="K1501:K1564" si="208">+IFERROR(G1501,0)</f>
        <v>0</v>
      </c>
      <c r="L1501" s="23">
        <f t="shared" ref="L1501:L1564" si="209">+I1501</f>
        <v>0</v>
      </c>
      <c r="M1501" s="12">
        <f t="shared" ref="M1501:M1564" si="210">+IFERROR(MAX(K1501:L1501),0)</f>
        <v>0</v>
      </c>
      <c r="N1501" s="23">
        <f t="shared" ref="N1501:N1564" si="211">+H1501</f>
        <v>0</v>
      </c>
      <c r="O1501" s="41">
        <f t="shared" ref="O1501:O1564" si="212">+J1501</f>
        <v>0</v>
      </c>
      <c r="P1501" s="13" t="str">
        <f t="shared" ref="P1501:P1564" si="213">+IF(O1501&lt;N1501,"SI","NO")</f>
        <v>NO</v>
      </c>
      <c r="Q1501" s="23">
        <f t="shared" ref="Q1501:Q1564" si="214">+M1501</f>
        <v>0</v>
      </c>
      <c r="R1501" s="12">
        <f t="shared" ref="R1501:R1564" si="215">+N1501</f>
        <v>0</v>
      </c>
    </row>
    <row r="1502" spans="2:18">
      <c r="B1502" t="str">
        <f t="shared" si="200"/>
        <v/>
      </c>
      <c r="D1502" s="121"/>
      <c r="G1502" s="122"/>
      <c r="H1502" s="122"/>
      <c r="I1502" s="112">
        <v>0</v>
      </c>
      <c r="J1502" s="112">
        <v>0</v>
      </c>
      <c r="K1502" s="23">
        <f t="shared" si="208"/>
        <v>0</v>
      </c>
      <c r="L1502" s="23">
        <f t="shared" si="209"/>
        <v>0</v>
      </c>
      <c r="M1502" s="12">
        <f t="shared" si="210"/>
        <v>0</v>
      </c>
      <c r="N1502" s="23">
        <f t="shared" si="211"/>
        <v>0</v>
      </c>
      <c r="O1502" s="41">
        <f t="shared" si="212"/>
        <v>0</v>
      </c>
      <c r="P1502" s="13" t="str">
        <f t="shared" si="213"/>
        <v>NO</v>
      </c>
      <c r="Q1502" s="23">
        <f t="shared" si="214"/>
        <v>0</v>
      </c>
      <c r="R1502" s="12">
        <f t="shared" si="215"/>
        <v>0</v>
      </c>
    </row>
    <row r="1503" spans="2:18">
      <c r="B1503" t="str">
        <f t="shared" si="200"/>
        <v/>
      </c>
      <c r="D1503" s="121"/>
      <c r="G1503" s="122"/>
      <c r="H1503" s="122"/>
      <c r="I1503" s="112">
        <v>0</v>
      </c>
      <c r="J1503" s="112">
        <v>0</v>
      </c>
      <c r="K1503" s="23">
        <f t="shared" si="208"/>
        <v>0</v>
      </c>
      <c r="L1503" s="23">
        <f t="shared" si="209"/>
        <v>0</v>
      </c>
      <c r="M1503" s="12">
        <f t="shared" si="210"/>
        <v>0</v>
      </c>
      <c r="N1503" s="23">
        <f t="shared" si="211"/>
        <v>0</v>
      </c>
      <c r="O1503" s="41">
        <f t="shared" si="212"/>
        <v>0</v>
      </c>
      <c r="P1503" s="13" t="str">
        <f t="shared" si="213"/>
        <v>NO</v>
      </c>
      <c r="Q1503" s="23">
        <f t="shared" si="214"/>
        <v>0</v>
      </c>
      <c r="R1503" s="12">
        <f t="shared" si="215"/>
        <v>0</v>
      </c>
    </row>
    <row r="1504" spans="2:18">
      <c r="B1504" t="str">
        <f t="shared" si="200"/>
        <v/>
      </c>
      <c r="D1504" s="121"/>
      <c r="G1504" s="122"/>
      <c r="H1504" s="122"/>
      <c r="I1504" s="112">
        <v>0</v>
      </c>
      <c r="J1504" s="112">
        <v>0</v>
      </c>
      <c r="K1504" s="23">
        <f t="shared" si="208"/>
        <v>0</v>
      </c>
      <c r="L1504" s="23">
        <f t="shared" si="209"/>
        <v>0</v>
      </c>
      <c r="M1504" s="12">
        <f t="shared" si="210"/>
        <v>0</v>
      </c>
      <c r="N1504" s="23">
        <f t="shared" si="211"/>
        <v>0</v>
      </c>
      <c r="O1504" s="41">
        <f t="shared" si="212"/>
        <v>0</v>
      </c>
      <c r="P1504" s="13" t="str">
        <f t="shared" si="213"/>
        <v>NO</v>
      </c>
      <c r="Q1504" s="23">
        <f t="shared" si="214"/>
        <v>0</v>
      </c>
      <c r="R1504" s="12">
        <f t="shared" si="215"/>
        <v>0</v>
      </c>
    </row>
    <row r="1505" spans="2:18">
      <c r="B1505" t="str">
        <f t="shared" si="200"/>
        <v/>
      </c>
      <c r="D1505" s="121"/>
      <c r="G1505" s="122"/>
      <c r="H1505" s="122"/>
      <c r="I1505" s="112">
        <v>0</v>
      </c>
      <c r="J1505" s="112">
        <v>0</v>
      </c>
      <c r="K1505" s="23">
        <f t="shared" si="208"/>
        <v>0</v>
      </c>
      <c r="L1505" s="23">
        <f t="shared" si="209"/>
        <v>0</v>
      </c>
      <c r="M1505" s="12">
        <f t="shared" si="210"/>
        <v>0</v>
      </c>
      <c r="N1505" s="23">
        <f t="shared" si="211"/>
        <v>0</v>
      </c>
      <c r="O1505" s="41">
        <f t="shared" si="212"/>
        <v>0</v>
      </c>
      <c r="P1505" s="13" t="str">
        <f t="shared" si="213"/>
        <v>NO</v>
      </c>
      <c r="Q1505" s="23">
        <f t="shared" si="214"/>
        <v>0</v>
      </c>
      <c r="R1505" s="12">
        <f t="shared" si="215"/>
        <v>0</v>
      </c>
    </row>
    <row r="1506" spans="2:18">
      <c r="B1506" t="str">
        <f t="shared" si="200"/>
        <v/>
      </c>
      <c r="D1506" s="121"/>
      <c r="G1506" s="122"/>
      <c r="H1506" s="122"/>
      <c r="I1506" s="112">
        <v>0</v>
      </c>
      <c r="J1506" s="112">
        <v>0</v>
      </c>
      <c r="K1506" s="23">
        <f t="shared" si="208"/>
        <v>0</v>
      </c>
      <c r="L1506" s="23">
        <f t="shared" si="209"/>
        <v>0</v>
      </c>
      <c r="M1506" s="12">
        <f t="shared" si="210"/>
        <v>0</v>
      </c>
      <c r="N1506" s="23">
        <f t="shared" si="211"/>
        <v>0</v>
      </c>
      <c r="O1506" s="41">
        <f t="shared" si="212"/>
        <v>0</v>
      </c>
      <c r="P1506" s="13" t="str">
        <f t="shared" si="213"/>
        <v>NO</v>
      </c>
      <c r="Q1506" s="23">
        <f t="shared" si="214"/>
        <v>0</v>
      </c>
      <c r="R1506" s="12">
        <f t="shared" si="215"/>
        <v>0</v>
      </c>
    </row>
    <row r="1507" spans="2:18">
      <c r="B1507" t="str">
        <f t="shared" si="200"/>
        <v/>
      </c>
      <c r="D1507" s="121"/>
      <c r="G1507" s="122"/>
      <c r="H1507" s="122"/>
      <c r="I1507" s="112">
        <v>0</v>
      </c>
      <c r="J1507" s="112">
        <v>0</v>
      </c>
      <c r="K1507" s="23">
        <f t="shared" si="208"/>
        <v>0</v>
      </c>
      <c r="L1507" s="23">
        <f t="shared" si="209"/>
        <v>0</v>
      </c>
      <c r="M1507" s="12">
        <f t="shared" si="210"/>
        <v>0</v>
      </c>
      <c r="N1507" s="23">
        <f t="shared" si="211"/>
        <v>0</v>
      </c>
      <c r="O1507" s="41">
        <f t="shared" si="212"/>
        <v>0</v>
      </c>
      <c r="P1507" s="13" t="str">
        <f t="shared" si="213"/>
        <v>NO</v>
      </c>
      <c r="Q1507" s="23">
        <f t="shared" si="214"/>
        <v>0</v>
      </c>
      <c r="R1507" s="12">
        <f t="shared" si="215"/>
        <v>0</v>
      </c>
    </row>
    <row r="1508" spans="2:18">
      <c r="B1508" t="str">
        <f t="shared" si="200"/>
        <v/>
      </c>
      <c r="D1508" s="121"/>
      <c r="G1508" s="122"/>
      <c r="H1508" s="122"/>
      <c r="I1508" s="112">
        <v>0</v>
      </c>
      <c r="J1508" s="112">
        <v>0</v>
      </c>
      <c r="K1508" s="23">
        <f t="shared" si="208"/>
        <v>0</v>
      </c>
      <c r="L1508" s="23">
        <f t="shared" si="209"/>
        <v>0</v>
      </c>
      <c r="M1508" s="12">
        <f t="shared" si="210"/>
        <v>0</v>
      </c>
      <c r="N1508" s="23">
        <f t="shared" si="211"/>
        <v>0</v>
      </c>
      <c r="O1508" s="41">
        <f t="shared" si="212"/>
        <v>0</v>
      </c>
      <c r="P1508" s="13" t="str">
        <f t="shared" si="213"/>
        <v>NO</v>
      </c>
      <c r="Q1508" s="23">
        <f t="shared" si="214"/>
        <v>0</v>
      </c>
      <c r="R1508" s="12">
        <f t="shared" si="215"/>
        <v>0</v>
      </c>
    </row>
    <row r="1509" spans="2:18">
      <c r="B1509" t="str">
        <f t="shared" si="200"/>
        <v/>
      </c>
      <c r="D1509" s="121"/>
      <c r="G1509" s="122"/>
      <c r="H1509" s="122"/>
      <c r="I1509" s="112">
        <v>0</v>
      </c>
      <c r="J1509" s="112">
        <v>0</v>
      </c>
      <c r="K1509" s="23">
        <f t="shared" si="208"/>
        <v>0</v>
      </c>
      <c r="L1509" s="23">
        <f t="shared" si="209"/>
        <v>0</v>
      </c>
      <c r="M1509" s="12">
        <f t="shared" si="210"/>
        <v>0</v>
      </c>
      <c r="N1509" s="23">
        <f t="shared" si="211"/>
        <v>0</v>
      </c>
      <c r="O1509" s="41">
        <f t="shared" si="212"/>
        <v>0</v>
      </c>
      <c r="P1509" s="13" t="str">
        <f t="shared" si="213"/>
        <v>NO</v>
      </c>
      <c r="Q1509" s="23">
        <f t="shared" si="214"/>
        <v>0</v>
      </c>
      <c r="R1509" s="12">
        <f t="shared" si="215"/>
        <v>0</v>
      </c>
    </row>
    <row r="1510" spans="2:18">
      <c r="B1510" t="str">
        <f t="shared" si="200"/>
        <v/>
      </c>
      <c r="D1510" s="121"/>
      <c r="G1510" s="122"/>
      <c r="H1510" s="122"/>
      <c r="I1510" s="112">
        <v>0</v>
      </c>
      <c r="J1510" s="112">
        <v>0</v>
      </c>
      <c r="K1510" s="23">
        <f t="shared" si="208"/>
        <v>0</v>
      </c>
      <c r="L1510" s="23">
        <f t="shared" si="209"/>
        <v>0</v>
      </c>
      <c r="M1510" s="12">
        <f t="shared" si="210"/>
        <v>0</v>
      </c>
      <c r="N1510" s="23">
        <f t="shared" si="211"/>
        <v>0</v>
      </c>
      <c r="O1510" s="41">
        <f t="shared" si="212"/>
        <v>0</v>
      </c>
      <c r="P1510" s="13" t="str">
        <f t="shared" si="213"/>
        <v>NO</v>
      </c>
      <c r="Q1510" s="23">
        <f t="shared" si="214"/>
        <v>0</v>
      </c>
      <c r="R1510" s="12">
        <f t="shared" si="215"/>
        <v>0</v>
      </c>
    </row>
    <row r="1511" spans="2:18">
      <c r="B1511" t="str">
        <f t="shared" si="200"/>
        <v/>
      </c>
      <c r="D1511" s="121"/>
      <c r="G1511" s="122"/>
      <c r="H1511" s="122"/>
      <c r="I1511" s="112">
        <v>0</v>
      </c>
      <c r="J1511" s="112">
        <v>0</v>
      </c>
      <c r="K1511" s="23">
        <f t="shared" si="208"/>
        <v>0</v>
      </c>
      <c r="L1511" s="23">
        <f t="shared" si="209"/>
        <v>0</v>
      </c>
      <c r="M1511" s="12">
        <f t="shared" si="210"/>
        <v>0</v>
      </c>
      <c r="N1511" s="23">
        <f t="shared" si="211"/>
        <v>0</v>
      </c>
      <c r="O1511" s="41">
        <f t="shared" si="212"/>
        <v>0</v>
      </c>
      <c r="P1511" s="13" t="str">
        <f t="shared" si="213"/>
        <v>NO</v>
      </c>
      <c r="Q1511" s="23">
        <f t="shared" si="214"/>
        <v>0</v>
      </c>
      <c r="R1511" s="12">
        <f t="shared" si="215"/>
        <v>0</v>
      </c>
    </row>
    <row r="1512" spans="2:18">
      <c r="B1512" t="str">
        <f t="shared" si="200"/>
        <v/>
      </c>
      <c r="D1512" s="121"/>
      <c r="G1512" s="122"/>
      <c r="H1512" s="122"/>
      <c r="I1512" s="112">
        <v>0</v>
      </c>
      <c r="J1512" s="112">
        <v>0</v>
      </c>
      <c r="K1512" s="23">
        <f t="shared" si="208"/>
        <v>0</v>
      </c>
      <c r="L1512" s="23">
        <f t="shared" si="209"/>
        <v>0</v>
      </c>
      <c r="M1512" s="12">
        <f t="shared" si="210"/>
        <v>0</v>
      </c>
      <c r="N1512" s="23">
        <f t="shared" si="211"/>
        <v>0</v>
      </c>
      <c r="O1512" s="41">
        <f t="shared" si="212"/>
        <v>0</v>
      </c>
      <c r="P1512" s="13" t="str">
        <f t="shared" si="213"/>
        <v>NO</v>
      </c>
      <c r="Q1512" s="23">
        <f t="shared" si="214"/>
        <v>0</v>
      </c>
      <c r="R1512" s="12">
        <f t="shared" si="215"/>
        <v>0</v>
      </c>
    </row>
    <row r="1513" spans="2:18">
      <c r="B1513" t="str">
        <f t="shared" si="200"/>
        <v/>
      </c>
      <c r="D1513" s="121"/>
      <c r="G1513" s="122"/>
      <c r="H1513" s="122"/>
      <c r="I1513" s="112">
        <v>0</v>
      </c>
      <c r="J1513" s="112">
        <v>0</v>
      </c>
      <c r="K1513" s="23">
        <f t="shared" si="208"/>
        <v>0</v>
      </c>
      <c r="L1513" s="23">
        <f t="shared" si="209"/>
        <v>0</v>
      </c>
      <c r="M1513" s="12">
        <f t="shared" si="210"/>
        <v>0</v>
      </c>
      <c r="N1513" s="23">
        <f t="shared" si="211"/>
        <v>0</v>
      </c>
      <c r="O1513" s="41">
        <f t="shared" si="212"/>
        <v>0</v>
      </c>
      <c r="P1513" s="13" t="str">
        <f t="shared" si="213"/>
        <v>NO</v>
      </c>
      <c r="Q1513" s="23">
        <f t="shared" si="214"/>
        <v>0</v>
      </c>
      <c r="R1513" s="12">
        <f t="shared" si="215"/>
        <v>0</v>
      </c>
    </row>
    <row r="1514" spans="2:18">
      <c r="B1514" t="str">
        <f t="shared" si="200"/>
        <v/>
      </c>
      <c r="D1514" s="121"/>
      <c r="G1514" s="122"/>
      <c r="H1514" s="122"/>
      <c r="I1514" s="112">
        <v>0</v>
      </c>
      <c r="J1514" s="112">
        <v>0</v>
      </c>
      <c r="K1514" s="23">
        <f t="shared" si="208"/>
        <v>0</v>
      </c>
      <c r="L1514" s="23">
        <f t="shared" si="209"/>
        <v>0</v>
      </c>
      <c r="M1514" s="12">
        <f t="shared" si="210"/>
        <v>0</v>
      </c>
      <c r="N1514" s="23">
        <f t="shared" si="211"/>
        <v>0</v>
      </c>
      <c r="O1514" s="41">
        <f t="shared" si="212"/>
        <v>0</v>
      </c>
      <c r="P1514" s="13" t="str">
        <f t="shared" si="213"/>
        <v>NO</v>
      </c>
      <c r="Q1514" s="23">
        <f t="shared" si="214"/>
        <v>0</v>
      </c>
      <c r="R1514" s="12">
        <f t="shared" si="215"/>
        <v>0</v>
      </c>
    </row>
    <row r="1515" spans="2:18">
      <c r="B1515" t="str">
        <f t="shared" si="200"/>
        <v/>
      </c>
      <c r="D1515" s="121"/>
      <c r="G1515" s="122"/>
      <c r="H1515" s="122"/>
      <c r="I1515" s="112">
        <v>0</v>
      </c>
      <c r="J1515" s="112">
        <v>0</v>
      </c>
      <c r="K1515" s="23">
        <f t="shared" si="208"/>
        <v>0</v>
      </c>
      <c r="L1515" s="23">
        <f t="shared" si="209"/>
        <v>0</v>
      </c>
      <c r="M1515" s="12">
        <f t="shared" si="210"/>
        <v>0</v>
      </c>
      <c r="N1515" s="23">
        <f t="shared" si="211"/>
        <v>0</v>
      </c>
      <c r="O1515" s="41">
        <f t="shared" si="212"/>
        <v>0</v>
      </c>
      <c r="P1515" s="13" t="str">
        <f t="shared" si="213"/>
        <v>NO</v>
      </c>
      <c r="Q1515" s="23">
        <f t="shared" si="214"/>
        <v>0</v>
      </c>
      <c r="R1515" s="12">
        <f t="shared" si="215"/>
        <v>0</v>
      </c>
    </row>
    <row r="1516" spans="2:18">
      <c r="B1516" t="str">
        <f t="shared" si="200"/>
        <v/>
      </c>
      <c r="D1516" s="121"/>
      <c r="G1516" s="122"/>
      <c r="H1516" s="122"/>
      <c r="I1516" s="112">
        <v>0</v>
      </c>
      <c r="J1516" s="112">
        <v>0</v>
      </c>
      <c r="K1516" s="23">
        <f t="shared" si="208"/>
        <v>0</v>
      </c>
      <c r="L1516" s="23">
        <f t="shared" si="209"/>
        <v>0</v>
      </c>
      <c r="M1516" s="12">
        <f t="shared" si="210"/>
        <v>0</v>
      </c>
      <c r="N1516" s="23">
        <f t="shared" si="211"/>
        <v>0</v>
      </c>
      <c r="O1516" s="41">
        <f t="shared" si="212"/>
        <v>0</v>
      </c>
      <c r="P1516" s="13" t="str">
        <f t="shared" si="213"/>
        <v>NO</v>
      </c>
      <c r="Q1516" s="23">
        <f t="shared" si="214"/>
        <v>0</v>
      </c>
      <c r="R1516" s="12">
        <f t="shared" si="215"/>
        <v>0</v>
      </c>
    </row>
    <row r="1517" spans="2:18">
      <c r="B1517" t="str">
        <f t="shared" si="200"/>
        <v/>
      </c>
      <c r="D1517" s="121"/>
      <c r="G1517" s="122"/>
      <c r="H1517" s="122"/>
      <c r="I1517" s="112">
        <v>0</v>
      </c>
      <c r="J1517" s="112">
        <v>0</v>
      </c>
      <c r="K1517" s="23">
        <f t="shared" si="208"/>
        <v>0</v>
      </c>
      <c r="L1517" s="23">
        <f t="shared" si="209"/>
        <v>0</v>
      </c>
      <c r="M1517" s="12">
        <f t="shared" si="210"/>
        <v>0</v>
      </c>
      <c r="N1517" s="23">
        <f t="shared" si="211"/>
        <v>0</v>
      </c>
      <c r="O1517" s="41">
        <f t="shared" si="212"/>
        <v>0</v>
      </c>
      <c r="P1517" s="13" t="str">
        <f t="shared" si="213"/>
        <v>NO</v>
      </c>
      <c r="Q1517" s="23">
        <f t="shared" si="214"/>
        <v>0</v>
      </c>
      <c r="R1517" s="12">
        <f t="shared" si="215"/>
        <v>0</v>
      </c>
    </row>
    <row r="1518" spans="2:18">
      <c r="B1518" t="str">
        <f t="shared" si="200"/>
        <v/>
      </c>
      <c r="D1518" s="121"/>
      <c r="G1518" s="122"/>
      <c r="H1518" s="122"/>
      <c r="I1518" s="112">
        <v>0</v>
      </c>
      <c r="J1518" s="112">
        <v>0</v>
      </c>
      <c r="K1518" s="23">
        <f t="shared" si="208"/>
        <v>0</v>
      </c>
      <c r="L1518" s="23">
        <f t="shared" si="209"/>
        <v>0</v>
      </c>
      <c r="M1518" s="12">
        <f t="shared" si="210"/>
        <v>0</v>
      </c>
      <c r="N1518" s="23">
        <f t="shared" si="211"/>
        <v>0</v>
      </c>
      <c r="O1518" s="41">
        <f t="shared" si="212"/>
        <v>0</v>
      </c>
      <c r="P1518" s="13" t="str">
        <f t="shared" si="213"/>
        <v>NO</v>
      </c>
      <c r="Q1518" s="23">
        <f t="shared" si="214"/>
        <v>0</v>
      </c>
      <c r="R1518" s="12">
        <f t="shared" si="215"/>
        <v>0</v>
      </c>
    </row>
    <row r="1519" spans="2:18">
      <c r="B1519" t="str">
        <f t="shared" si="200"/>
        <v/>
      </c>
      <c r="D1519" s="121"/>
      <c r="G1519" s="122"/>
      <c r="H1519" s="122"/>
      <c r="I1519" s="112">
        <v>0</v>
      </c>
      <c r="J1519" s="112">
        <v>0</v>
      </c>
      <c r="K1519" s="23">
        <f t="shared" si="208"/>
        <v>0</v>
      </c>
      <c r="L1519" s="23">
        <f t="shared" si="209"/>
        <v>0</v>
      </c>
      <c r="M1519" s="12">
        <f t="shared" si="210"/>
        <v>0</v>
      </c>
      <c r="N1519" s="23">
        <f t="shared" si="211"/>
        <v>0</v>
      </c>
      <c r="O1519" s="41">
        <f t="shared" si="212"/>
        <v>0</v>
      </c>
      <c r="P1519" s="13" t="str">
        <f t="shared" si="213"/>
        <v>NO</v>
      </c>
      <c r="Q1519" s="23">
        <f t="shared" si="214"/>
        <v>0</v>
      </c>
      <c r="R1519" s="12">
        <f t="shared" si="215"/>
        <v>0</v>
      </c>
    </row>
    <row r="1520" spans="2:18">
      <c r="B1520" t="str">
        <f t="shared" si="200"/>
        <v/>
      </c>
      <c r="D1520" s="121"/>
      <c r="G1520" s="122"/>
      <c r="H1520" s="122"/>
      <c r="I1520" s="112">
        <v>0</v>
      </c>
      <c r="J1520" s="112">
        <v>0</v>
      </c>
      <c r="K1520" s="23">
        <f t="shared" si="208"/>
        <v>0</v>
      </c>
      <c r="L1520" s="23">
        <f t="shared" si="209"/>
        <v>0</v>
      </c>
      <c r="M1520" s="12">
        <f t="shared" si="210"/>
        <v>0</v>
      </c>
      <c r="N1520" s="23">
        <f t="shared" si="211"/>
        <v>0</v>
      </c>
      <c r="O1520" s="41">
        <f t="shared" si="212"/>
        <v>0</v>
      </c>
      <c r="P1520" s="13" t="str">
        <f t="shared" si="213"/>
        <v>NO</v>
      </c>
      <c r="Q1520" s="23">
        <f t="shared" si="214"/>
        <v>0</v>
      </c>
      <c r="R1520" s="12">
        <f t="shared" si="215"/>
        <v>0</v>
      </c>
    </row>
    <row r="1521" spans="2:18">
      <c r="B1521" t="str">
        <f t="shared" si="200"/>
        <v/>
      </c>
      <c r="D1521" s="121"/>
      <c r="G1521" s="122"/>
      <c r="H1521" s="122"/>
      <c r="I1521" s="112">
        <v>0</v>
      </c>
      <c r="J1521" s="112">
        <v>0</v>
      </c>
      <c r="K1521" s="23">
        <f t="shared" si="208"/>
        <v>0</v>
      </c>
      <c r="L1521" s="23">
        <f t="shared" si="209"/>
        <v>0</v>
      </c>
      <c r="M1521" s="12">
        <f t="shared" si="210"/>
        <v>0</v>
      </c>
      <c r="N1521" s="23">
        <f t="shared" si="211"/>
        <v>0</v>
      </c>
      <c r="O1521" s="41">
        <f t="shared" si="212"/>
        <v>0</v>
      </c>
      <c r="P1521" s="13" t="str">
        <f t="shared" si="213"/>
        <v>NO</v>
      </c>
      <c r="Q1521" s="23">
        <f t="shared" si="214"/>
        <v>0</v>
      </c>
      <c r="R1521" s="12">
        <f t="shared" si="215"/>
        <v>0</v>
      </c>
    </row>
    <row r="1522" spans="2:18">
      <c r="B1522" t="str">
        <f t="shared" si="200"/>
        <v/>
      </c>
      <c r="D1522" s="121"/>
      <c r="G1522" s="122"/>
      <c r="H1522" s="122"/>
      <c r="I1522" s="112">
        <v>0</v>
      </c>
      <c r="J1522" s="112">
        <v>0</v>
      </c>
      <c r="K1522" s="23">
        <f t="shared" si="208"/>
        <v>0</v>
      </c>
      <c r="L1522" s="23">
        <f t="shared" si="209"/>
        <v>0</v>
      </c>
      <c r="M1522" s="12">
        <f t="shared" si="210"/>
        <v>0</v>
      </c>
      <c r="N1522" s="23">
        <f t="shared" si="211"/>
        <v>0</v>
      </c>
      <c r="O1522" s="41">
        <f t="shared" si="212"/>
        <v>0</v>
      </c>
      <c r="P1522" s="13" t="str">
        <f t="shared" si="213"/>
        <v>NO</v>
      </c>
      <c r="Q1522" s="23">
        <f t="shared" si="214"/>
        <v>0</v>
      </c>
      <c r="R1522" s="12">
        <f t="shared" si="215"/>
        <v>0</v>
      </c>
    </row>
    <row r="1523" spans="2:18">
      <c r="B1523" t="str">
        <f t="shared" si="200"/>
        <v/>
      </c>
      <c r="D1523" s="121"/>
      <c r="G1523" s="122"/>
      <c r="H1523" s="122"/>
      <c r="I1523" s="112">
        <v>0</v>
      </c>
      <c r="J1523" s="112">
        <v>0</v>
      </c>
      <c r="K1523" s="23">
        <f t="shared" si="208"/>
        <v>0</v>
      </c>
      <c r="L1523" s="23">
        <f t="shared" si="209"/>
        <v>0</v>
      </c>
      <c r="M1523" s="12">
        <f t="shared" si="210"/>
        <v>0</v>
      </c>
      <c r="N1523" s="23">
        <f t="shared" si="211"/>
        <v>0</v>
      </c>
      <c r="O1523" s="41">
        <f t="shared" si="212"/>
        <v>0</v>
      </c>
      <c r="P1523" s="13" t="str">
        <f t="shared" si="213"/>
        <v>NO</v>
      </c>
      <c r="Q1523" s="23">
        <f t="shared" si="214"/>
        <v>0</v>
      </c>
      <c r="R1523" s="12">
        <f t="shared" si="215"/>
        <v>0</v>
      </c>
    </row>
    <row r="1524" spans="2:18">
      <c r="B1524" t="str">
        <f t="shared" si="200"/>
        <v/>
      </c>
      <c r="D1524" s="121"/>
      <c r="G1524" s="122"/>
      <c r="H1524" s="122"/>
      <c r="I1524" s="112">
        <v>0</v>
      </c>
      <c r="J1524" s="112">
        <v>0</v>
      </c>
      <c r="K1524" s="23">
        <f t="shared" si="208"/>
        <v>0</v>
      </c>
      <c r="L1524" s="23">
        <f t="shared" si="209"/>
        <v>0</v>
      </c>
      <c r="M1524" s="12">
        <f t="shared" si="210"/>
        <v>0</v>
      </c>
      <c r="N1524" s="23">
        <f t="shared" si="211"/>
        <v>0</v>
      </c>
      <c r="O1524" s="41">
        <f t="shared" si="212"/>
        <v>0</v>
      </c>
      <c r="P1524" s="13" t="str">
        <f t="shared" si="213"/>
        <v>NO</v>
      </c>
      <c r="Q1524" s="23">
        <f t="shared" si="214"/>
        <v>0</v>
      </c>
      <c r="R1524" s="12">
        <f t="shared" si="215"/>
        <v>0</v>
      </c>
    </row>
    <row r="1525" spans="2:18">
      <c r="B1525" t="str">
        <f t="shared" si="200"/>
        <v/>
      </c>
      <c r="D1525" s="121"/>
      <c r="G1525" s="122"/>
      <c r="H1525" s="122"/>
      <c r="I1525" s="112">
        <v>0</v>
      </c>
      <c r="J1525" s="112">
        <v>0</v>
      </c>
      <c r="K1525" s="23">
        <f t="shared" si="208"/>
        <v>0</v>
      </c>
      <c r="L1525" s="23">
        <f t="shared" si="209"/>
        <v>0</v>
      </c>
      <c r="M1525" s="12">
        <f t="shared" si="210"/>
        <v>0</v>
      </c>
      <c r="N1525" s="23">
        <f t="shared" si="211"/>
        <v>0</v>
      </c>
      <c r="O1525" s="41">
        <f t="shared" si="212"/>
        <v>0</v>
      </c>
      <c r="P1525" s="13" t="str">
        <f t="shared" si="213"/>
        <v>NO</v>
      </c>
      <c r="Q1525" s="23">
        <f t="shared" si="214"/>
        <v>0</v>
      </c>
      <c r="R1525" s="12">
        <f t="shared" si="215"/>
        <v>0</v>
      </c>
    </row>
    <row r="1526" spans="2:18">
      <c r="B1526" t="str">
        <f t="shared" si="200"/>
        <v/>
      </c>
      <c r="D1526" s="121"/>
      <c r="G1526" s="122"/>
      <c r="H1526" s="122"/>
      <c r="I1526" s="112">
        <v>0</v>
      </c>
      <c r="J1526" s="112">
        <v>0</v>
      </c>
      <c r="K1526" s="23">
        <f t="shared" si="208"/>
        <v>0</v>
      </c>
      <c r="L1526" s="23">
        <f t="shared" si="209"/>
        <v>0</v>
      </c>
      <c r="M1526" s="12">
        <f t="shared" si="210"/>
        <v>0</v>
      </c>
      <c r="N1526" s="23">
        <f t="shared" si="211"/>
        <v>0</v>
      </c>
      <c r="O1526" s="41">
        <f t="shared" si="212"/>
        <v>0</v>
      </c>
      <c r="P1526" s="13" t="str">
        <f t="shared" si="213"/>
        <v>NO</v>
      </c>
      <c r="Q1526" s="23">
        <f t="shared" si="214"/>
        <v>0</v>
      </c>
      <c r="R1526" s="12">
        <f t="shared" si="215"/>
        <v>0</v>
      </c>
    </row>
    <row r="1527" spans="2:18">
      <c r="B1527" t="str">
        <f t="shared" ref="B1527:B1584" si="216">+C1527&amp;D1527</f>
        <v/>
      </c>
      <c r="D1527" s="121"/>
      <c r="G1527" s="122"/>
      <c r="H1527" s="122"/>
      <c r="I1527" s="112">
        <v>0</v>
      </c>
      <c r="J1527" s="112">
        <v>0</v>
      </c>
      <c r="K1527" s="23">
        <f t="shared" si="208"/>
        <v>0</v>
      </c>
      <c r="L1527" s="23">
        <f t="shared" si="209"/>
        <v>0</v>
      </c>
      <c r="M1527" s="12">
        <f t="shared" si="210"/>
        <v>0</v>
      </c>
      <c r="N1527" s="23">
        <f t="shared" si="211"/>
        <v>0</v>
      </c>
      <c r="O1527" s="41">
        <f t="shared" si="212"/>
        <v>0</v>
      </c>
      <c r="P1527" s="13" t="str">
        <f t="shared" si="213"/>
        <v>NO</v>
      </c>
      <c r="Q1527" s="23">
        <f t="shared" si="214"/>
        <v>0</v>
      </c>
      <c r="R1527" s="12">
        <f t="shared" si="215"/>
        <v>0</v>
      </c>
    </row>
    <row r="1528" spans="2:18">
      <c r="B1528" t="str">
        <f t="shared" si="216"/>
        <v/>
      </c>
      <c r="D1528" s="121"/>
      <c r="G1528" s="122"/>
      <c r="H1528" s="122"/>
      <c r="I1528" s="112">
        <v>0</v>
      </c>
      <c r="J1528" s="112">
        <v>0</v>
      </c>
      <c r="K1528" s="23">
        <f t="shared" si="208"/>
        <v>0</v>
      </c>
      <c r="L1528" s="23">
        <f t="shared" si="209"/>
        <v>0</v>
      </c>
      <c r="M1528" s="12">
        <f t="shared" si="210"/>
        <v>0</v>
      </c>
      <c r="N1528" s="23">
        <f t="shared" si="211"/>
        <v>0</v>
      </c>
      <c r="O1528" s="41">
        <f t="shared" si="212"/>
        <v>0</v>
      </c>
      <c r="P1528" s="13" t="str">
        <f t="shared" si="213"/>
        <v>NO</v>
      </c>
      <c r="Q1528" s="23">
        <f t="shared" si="214"/>
        <v>0</v>
      </c>
      <c r="R1528" s="12">
        <f t="shared" si="215"/>
        <v>0</v>
      </c>
    </row>
    <row r="1529" spans="2:18">
      <c r="B1529" t="str">
        <f t="shared" si="216"/>
        <v/>
      </c>
      <c r="D1529" s="121"/>
      <c r="G1529" s="122"/>
      <c r="H1529" s="122"/>
      <c r="I1529" s="112">
        <v>0</v>
      </c>
      <c r="J1529" s="112">
        <v>0</v>
      </c>
      <c r="K1529" s="23">
        <f t="shared" si="208"/>
        <v>0</v>
      </c>
      <c r="L1529" s="23">
        <f t="shared" si="209"/>
        <v>0</v>
      </c>
      <c r="M1529" s="12">
        <f t="shared" si="210"/>
        <v>0</v>
      </c>
      <c r="N1529" s="23">
        <f t="shared" si="211"/>
        <v>0</v>
      </c>
      <c r="O1529" s="41">
        <f t="shared" si="212"/>
        <v>0</v>
      </c>
      <c r="P1529" s="13" t="str">
        <f t="shared" si="213"/>
        <v>NO</v>
      </c>
      <c r="Q1529" s="23">
        <f t="shared" si="214"/>
        <v>0</v>
      </c>
      <c r="R1529" s="12">
        <f t="shared" si="215"/>
        <v>0</v>
      </c>
    </row>
    <row r="1530" spans="2:18">
      <c r="B1530" t="str">
        <f t="shared" si="216"/>
        <v/>
      </c>
      <c r="D1530" s="121"/>
      <c r="G1530" s="122"/>
      <c r="H1530" s="122"/>
      <c r="I1530" s="112">
        <v>0</v>
      </c>
      <c r="J1530" s="112">
        <v>0</v>
      </c>
      <c r="K1530" s="23">
        <f t="shared" si="208"/>
        <v>0</v>
      </c>
      <c r="L1530" s="23">
        <f t="shared" si="209"/>
        <v>0</v>
      </c>
      <c r="M1530" s="12">
        <f t="shared" si="210"/>
        <v>0</v>
      </c>
      <c r="N1530" s="23">
        <f t="shared" si="211"/>
        <v>0</v>
      </c>
      <c r="O1530" s="41">
        <f t="shared" si="212"/>
        <v>0</v>
      </c>
      <c r="P1530" s="13" t="str">
        <f t="shared" si="213"/>
        <v>NO</v>
      </c>
      <c r="Q1530" s="23">
        <f t="shared" si="214"/>
        <v>0</v>
      </c>
      <c r="R1530" s="12">
        <f t="shared" si="215"/>
        <v>0</v>
      </c>
    </row>
    <row r="1531" spans="2:18">
      <c r="B1531" t="str">
        <f t="shared" si="216"/>
        <v/>
      </c>
      <c r="D1531" s="121"/>
      <c r="G1531" s="122"/>
      <c r="H1531" s="122"/>
      <c r="I1531" s="112">
        <v>0</v>
      </c>
      <c r="J1531" s="112">
        <v>0</v>
      </c>
      <c r="K1531" s="23">
        <f t="shared" si="208"/>
        <v>0</v>
      </c>
      <c r="L1531" s="23">
        <f t="shared" si="209"/>
        <v>0</v>
      </c>
      <c r="M1531" s="12">
        <f t="shared" si="210"/>
        <v>0</v>
      </c>
      <c r="N1531" s="23">
        <f t="shared" si="211"/>
        <v>0</v>
      </c>
      <c r="O1531" s="41">
        <f t="shared" si="212"/>
        <v>0</v>
      </c>
      <c r="P1531" s="13" t="str">
        <f t="shared" si="213"/>
        <v>NO</v>
      </c>
      <c r="Q1531" s="23">
        <f t="shared" si="214"/>
        <v>0</v>
      </c>
      <c r="R1531" s="12">
        <f t="shared" si="215"/>
        <v>0</v>
      </c>
    </row>
    <row r="1532" spans="2:18">
      <c r="B1532" t="str">
        <f t="shared" si="216"/>
        <v/>
      </c>
      <c r="D1532" s="121"/>
      <c r="G1532" s="122"/>
      <c r="H1532" s="122"/>
      <c r="I1532" s="112">
        <v>0</v>
      </c>
      <c r="J1532" s="112">
        <v>0</v>
      </c>
      <c r="K1532" s="23">
        <f t="shared" si="208"/>
        <v>0</v>
      </c>
      <c r="L1532" s="23">
        <f t="shared" si="209"/>
        <v>0</v>
      </c>
      <c r="M1532" s="12">
        <f t="shared" si="210"/>
        <v>0</v>
      </c>
      <c r="N1532" s="23">
        <f t="shared" si="211"/>
        <v>0</v>
      </c>
      <c r="O1532" s="41">
        <f t="shared" si="212"/>
        <v>0</v>
      </c>
      <c r="P1532" s="13" t="str">
        <f t="shared" si="213"/>
        <v>NO</v>
      </c>
      <c r="Q1532" s="23">
        <f t="shared" si="214"/>
        <v>0</v>
      </c>
      <c r="R1532" s="12">
        <f t="shared" si="215"/>
        <v>0</v>
      </c>
    </row>
    <row r="1533" spans="2:18">
      <c r="B1533" t="str">
        <f t="shared" si="216"/>
        <v/>
      </c>
      <c r="D1533" s="121"/>
      <c r="G1533" s="122"/>
      <c r="H1533" s="122"/>
      <c r="I1533" s="112">
        <v>0</v>
      </c>
      <c r="J1533" s="112">
        <v>0</v>
      </c>
      <c r="K1533" s="23">
        <f t="shared" si="208"/>
        <v>0</v>
      </c>
      <c r="L1533" s="23">
        <f t="shared" si="209"/>
        <v>0</v>
      </c>
      <c r="M1533" s="12">
        <f t="shared" si="210"/>
        <v>0</v>
      </c>
      <c r="N1533" s="23">
        <f t="shared" si="211"/>
        <v>0</v>
      </c>
      <c r="O1533" s="41">
        <f t="shared" si="212"/>
        <v>0</v>
      </c>
      <c r="P1533" s="13" t="str">
        <f t="shared" si="213"/>
        <v>NO</v>
      </c>
      <c r="Q1533" s="23">
        <f t="shared" si="214"/>
        <v>0</v>
      </c>
      <c r="R1533" s="12">
        <f t="shared" si="215"/>
        <v>0</v>
      </c>
    </row>
    <row r="1534" spans="2:18">
      <c r="B1534" t="str">
        <f t="shared" si="216"/>
        <v/>
      </c>
      <c r="D1534" s="121"/>
      <c r="G1534" s="122"/>
      <c r="H1534" s="122"/>
      <c r="I1534" s="112">
        <v>0</v>
      </c>
      <c r="J1534" s="112">
        <v>0</v>
      </c>
      <c r="K1534" s="23">
        <f t="shared" si="208"/>
        <v>0</v>
      </c>
      <c r="L1534" s="23">
        <f t="shared" si="209"/>
        <v>0</v>
      </c>
      <c r="M1534" s="12">
        <f t="shared" si="210"/>
        <v>0</v>
      </c>
      <c r="N1534" s="23">
        <f t="shared" si="211"/>
        <v>0</v>
      </c>
      <c r="O1534" s="41">
        <f t="shared" si="212"/>
        <v>0</v>
      </c>
      <c r="P1534" s="13" t="str">
        <f t="shared" si="213"/>
        <v>NO</v>
      </c>
      <c r="Q1534" s="23">
        <f t="shared" si="214"/>
        <v>0</v>
      </c>
      <c r="R1534" s="12">
        <f t="shared" si="215"/>
        <v>0</v>
      </c>
    </row>
    <row r="1535" spans="2:18">
      <c r="B1535" t="str">
        <f t="shared" si="216"/>
        <v/>
      </c>
      <c r="D1535" s="121"/>
      <c r="G1535" s="122"/>
      <c r="H1535" s="122"/>
      <c r="I1535" s="112">
        <v>0</v>
      </c>
      <c r="J1535" s="112">
        <v>0</v>
      </c>
      <c r="K1535" s="23">
        <f t="shared" si="208"/>
        <v>0</v>
      </c>
      <c r="L1535" s="23">
        <f t="shared" si="209"/>
        <v>0</v>
      </c>
      <c r="M1535" s="12">
        <f t="shared" si="210"/>
        <v>0</v>
      </c>
      <c r="N1535" s="23">
        <f t="shared" si="211"/>
        <v>0</v>
      </c>
      <c r="O1535" s="41">
        <f t="shared" si="212"/>
        <v>0</v>
      </c>
      <c r="P1535" s="13" t="str">
        <f t="shared" si="213"/>
        <v>NO</v>
      </c>
      <c r="Q1535" s="23">
        <f t="shared" si="214"/>
        <v>0</v>
      </c>
      <c r="R1535" s="12">
        <f t="shared" si="215"/>
        <v>0</v>
      </c>
    </row>
    <row r="1536" spans="2:18">
      <c r="B1536" t="str">
        <f t="shared" si="216"/>
        <v/>
      </c>
      <c r="D1536" s="121"/>
      <c r="G1536" s="122"/>
      <c r="H1536" s="122"/>
      <c r="I1536" s="112">
        <v>0</v>
      </c>
      <c r="J1536" s="112">
        <v>0</v>
      </c>
      <c r="K1536" s="23">
        <f t="shared" si="208"/>
        <v>0</v>
      </c>
      <c r="L1536" s="23">
        <f t="shared" si="209"/>
        <v>0</v>
      </c>
      <c r="M1536" s="12">
        <f t="shared" si="210"/>
        <v>0</v>
      </c>
      <c r="N1536" s="23">
        <f t="shared" si="211"/>
        <v>0</v>
      </c>
      <c r="O1536" s="41">
        <f t="shared" si="212"/>
        <v>0</v>
      </c>
      <c r="P1536" s="13" t="str">
        <f t="shared" si="213"/>
        <v>NO</v>
      </c>
      <c r="Q1536" s="23">
        <f t="shared" si="214"/>
        <v>0</v>
      </c>
      <c r="R1536" s="12">
        <f t="shared" si="215"/>
        <v>0</v>
      </c>
    </row>
    <row r="1537" spans="2:18">
      <c r="B1537" t="str">
        <f t="shared" si="216"/>
        <v/>
      </c>
      <c r="D1537" s="121"/>
      <c r="G1537" s="122"/>
      <c r="H1537" s="122"/>
      <c r="I1537" s="112">
        <v>0</v>
      </c>
      <c r="J1537" s="112">
        <v>0</v>
      </c>
      <c r="K1537" s="23">
        <f t="shared" si="208"/>
        <v>0</v>
      </c>
      <c r="L1537" s="23">
        <f t="shared" si="209"/>
        <v>0</v>
      </c>
      <c r="M1537" s="12">
        <f t="shared" si="210"/>
        <v>0</v>
      </c>
      <c r="N1537" s="23">
        <f t="shared" si="211"/>
        <v>0</v>
      </c>
      <c r="O1537" s="41">
        <f t="shared" si="212"/>
        <v>0</v>
      </c>
      <c r="P1537" s="13" t="str">
        <f t="shared" si="213"/>
        <v>NO</v>
      </c>
      <c r="Q1537" s="23">
        <f t="shared" si="214"/>
        <v>0</v>
      </c>
      <c r="R1537" s="12">
        <f t="shared" si="215"/>
        <v>0</v>
      </c>
    </row>
    <row r="1538" spans="2:18">
      <c r="B1538" t="str">
        <f t="shared" si="216"/>
        <v/>
      </c>
      <c r="D1538" s="121"/>
      <c r="G1538" s="122"/>
      <c r="H1538" s="122"/>
      <c r="I1538" s="112">
        <v>0</v>
      </c>
      <c r="J1538" s="112">
        <v>0</v>
      </c>
      <c r="K1538" s="23">
        <f t="shared" si="208"/>
        <v>0</v>
      </c>
      <c r="L1538" s="23">
        <f t="shared" si="209"/>
        <v>0</v>
      </c>
      <c r="M1538" s="12">
        <f t="shared" si="210"/>
        <v>0</v>
      </c>
      <c r="N1538" s="23">
        <f t="shared" si="211"/>
        <v>0</v>
      </c>
      <c r="O1538" s="41">
        <f t="shared" si="212"/>
        <v>0</v>
      </c>
      <c r="P1538" s="13" t="str">
        <f t="shared" si="213"/>
        <v>NO</v>
      </c>
      <c r="Q1538" s="23">
        <f t="shared" si="214"/>
        <v>0</v>
      </c>
      <c r="R1538" s="12">
        <f t="shared" si="215"/>
        <v>0</v>
      </c>
    </row>
    <row r="1539" spans="2:18">
      <c r="B1539" t="str">
        <f t="shared" si="216"/>
        <v/>
      </c>
      <c r="D1539" s="121"/>
      <c r="G1539" s="122"/>
      <c r="H1539" s="122"/>
      <c r="I1539" s="112">
        <v>0</v>
      </c>
      <c r="J1539" s="112">
        <v>0</v>
      </c>
      <c r="K1539" s="23">
        <f t="shared" si="208"/>
        <v>0</v>
      </c>
      <c r="L1539" s="23">
        <f t="shared" si="209"/>
        <v>0</v>
      </c>
      <c r="M1539" s="12">
        <f t="shared" si="210"/>
        <v>0</v>
      </c>
      <c r="N1539" s="23">
        <f t="shared" si="211"/>
        <v>0</v>
      </c>
      <c r="O1539" s="41">
        <f t="shared" si="212"/>
        <v>0</v>
      </c>
      <c r="P1539" s="13" t="str">
        <f t="shared" si="213"/>
        <v>NO</v>
      </c>
      <c r="Q1539" s="23">
        <f t="shared" si="214"/>
        <v>0</v>
      </c>
      <c r="R1539" s="12">
        <f t="shared" si="215"/>
        <v>0</v>
      </c>
    </row>
    <row r="1540" spans="2:18">
      <c r="B1540" t="str">
        <f t="shared" si="216"/>
        <v/>
      </c>
      <c r="D1540" s="121"/>
      <c r="G1540" s="122"/>
      <c r="H1540" s="122"/>
      <c r="I1540" s="112">
        <v>0</v>
      </c>
      <c r="J1540" s="112">
        <v>0</v>
      </c>
      <c r="K1540" s="23">
        <f t="shared" si="208"/>
        <v>0</v>
      </c>
      <c r="L1540" s="23">
        <f t="shared" si="209"/>
        <v>0</v>
      </c>
      <c r="M1540" s="12">
        <f t="shared" si="210"/>
        <v>0</v>
      </c>
      <c r="N1540" s="23">
        <f t="shared" si="211"/>
        <v>0</v>
      </c>
      <c r="O1540" s="41">
        <f t="shared" si="212"/>
        <v>0</v>
      </c>
      <c r="P1540" s="13" t="str">
        <f t="shared" si="213"/>
        <v>NO</v>
      </c>
      <c r="Q1540" s="23">
        <f t="shared" si="214"/>
        <v>0</v>
      </c>
      <c r="R1540" s="12">
        <f t="shared" si="215"/>
        <v>0</v>
      </c>
    </row>
    <row r="1541" spans="2:18">
      <c r="B1541" t="str">
        <f t="shared" si="216"/>
        <v/>
      </c>
      <c r="D1541" s="121"/>
      <c r="G1541" s="122"/>
      <c r="H1541" s="122"/>
      <c r="I1541" s="112">
        <v>0</v>
      </c>
      <c r="J1541" s="112">
        <v>0</v>
      </c>
      <c r="K1541" s="23">
        <f t="shared" si="208"/>
        <v>0</v>
      </c>
      <c r="L1541" s="23">
        <f t="shared" si="209"/>
        <v>0</v>
      </c>
      <c r="M1541" s="12">
        <f t="shared" si="210"/>
        <v>0</v>
      </c>
      <c r="N1541" s="23">
        <f t="shared" si="211"/>
        <v>0</v>
      </c>
      <c r="O1541" s="41">
        <f t="shared" si="212"/>
        <v>0</v>
      </c>
      <c r="P1541" s="13" t="str">
        <f t="shared" si="213"/>
        <v>NO</v>
      </c>
      <c r="Q1541" s="23">
        <f t="shared" si="214"/>
        <v>0</v>
      </c>
      <c r="R1541" s="12">
        <f t="shared" si="215"/>
        <v>0</v>
      </c>
    </row>
    <row r="1542" spans="2:18">
      <c r="B1542" t="str">
        <f t="shared" si="216"/>
        <v/>
      </c>
      <c r="D1542" s="121"/>
      <c r="G1542" s="122"/>
      <c r="H1542" s="122"/>
      <c r="I1542" s="112">
        <v>0</v>
      </c>
      <c r="J1542" s="112">
        <v>0</v>
      </c>
      <c r="K1542" s="23">
        <f t="shared" si="208"/>
        <v>0</v>
      </c>
      <c r="L1542" s="23">
        <f t="shared" si="209"/>
        <v>0</v>
      </c>
      <c r="M1542" s="12">
        <f t="shared" si="210"/>
        <v>0</v>
      </c>
      <c r="N1542" s="23">
        <f t="shared" si="211"/>
        <v>0</v>
      </c>
      <c r="O1542" s="41">
        <f t="shared" si="212"/>
        <v>0</v>
      </c>
      <c r="P1542" s="13" t="str">
        <f t="shared" si="213"/>
        <v>NO</v>
      </c>
      <c r="Q1542" s="23">
        <f t="shared" si="214"/>
        <v>0</v>
      </c>
      <c r="R1542" s="12">
        <f t="shared" si="215"/>
        <v>0</v>
      </c>
    </row>
    <row r="1543" spans="2:18">
      <c r="B1543" t="str">
        <f t="shared" si="216"/>
        <v/>
      </c>
      <c r="D1543" s="121"/>
      <c r="G1543" s="122"/>
      <c r="H1543" s="122"/>
      <c r="I1543" s="112">
        <v>0</v>
      </c>
      <c r="J1543" s="112">
        <v>0</v>
      </c>
      <c r="K1543" s="23">
        <f t="shared" si="208"/>
        <v>0</v>
      </c>
      <c r="L1543" s="23">
        <f t="shared" si="209"/>
        <v>0</v>
      </c>
      <c r="M1543" s="12">
        <f t="shared" si="210"/>
        <v>0</v>
      </c>
      <c r="N1543" s="23">
        <f t="shared" si="211"/>
        <v>0</v>
      </c>
      <c r="O1543" s="41">
        <f t="shared" si="212"/>
        <v>0</v>
      </c>
      <c r="P1543" s="13" t="str">
        <f t="shared" si="213"/>
        <v>NO</v>
      </c>
      <c r="Q1543" s="23">
        <f t="shared" si="214"/>
        <v>0</v>
      </c>
      <c r="R1543" s="12">
        <f t="shared" si="215"/>
        <v>0</v>
      </c>
    </row>
    <row r="1544" spans="2:18">
      <c r="B1544" t="str">
        <f t="shared" si="216"/>
        <v/>
      </c>
      <c r="D1544" s="121"/>
      <c r="G1544" s="122"/>
      <c r="H1544" s="122"/>
      <c r="I1544" s="112">
        <v>0</v>
      </c>
      <c r="J1544" s="112">
        <v>0</v>
      </c>
      <c r="K1544" s="23">
        <f t="shared" si="208"/>
        <v>0</v>
      </c>
      <c r="L1544" s="23">
        <f t="shared" si="209"/>
        <v>0</v>
      </c>
      <c r="M1544" s="12">
        <f t="shared" si="210"/>
        <v>0</v>
      </c>
      <c r="N1544" s="23">
        <f t="shared" si="211"/>
        <v>0</v>
      </c>
      <c r="O1544" s="41">
        <f t="shared" si="212"/>
        <v>0</v>
      </c>
      <c r="P1544" s="13" t="str">
        <f t="shared" si="213"/>
        <v>NO</v>
      </c>
      <c r="Q1544" s="23">
        <f t="shared" si="214"/>
        <v>0</v>
      </c>
      <c r="R1544" s="12">
        <f t="shared" si="215"/>
        <v>0</v>
      </c>
    </row>
    <row r="1545" spans="2:18">
      <c r="B1545" t="str">
        <f t="shared" si="216"/>
        <v/>
      </c>
      <c r="D1545" s="121"/>
      <c r="G1545" s="122"/>
      <c r="H1545" s="122"/>
      <c r="I1545" s="112">
        <v>0</v>
      </c>
      <c r="J1545" s="112">
        <v>0</v>
      </c>
      <c r="K1545" s="23">
        <f t="shared" si="208"/>
        <v>0</v>
      </c>
      <c r="L1545" s="23">
        <f t="shared" si="209"/>
        <v>0</v>
      </c>
      <c r="M1545" s="12">
        <f t="shared" si="210"/>
        <v>0</v>
      </c>
      <c r="N1545" s="23">
        <f t="shared" si="211"/>
        <v>0</v>
      </c>
      <c r="O1545" s="41">
        <f t="shared" si="212"/>
        <v>0</v>
      </c>
      <c r="P1545" s="13" t="str">
        <f t="shared" si="213"/>
        <v>NO</v>
      </c>
      <c r="Q1545" s="23">
        <f t="shared" si="214"/>
        <v>0</v>
      </c>
      <c r="R1545" s="12">
        <f t="shared" si="215"/>
        <v>0</v>
      </c>
    </row>
    <row r="1546" spans="2:18">
      <c r="B1546" t="str">
        <f t="shared" si="216"/>
        <v/>
      </c>
      <c r="D1546" s="121"/>
      <c r="G1546" s="122"/>
      <c r="H1546" s="122"/>
      <c r="I1546" s="112">
        <v>0</v>
      </c>
      <c r="J1546" s="112">
        <v>0</v>
      </c>
      <c r="K1546" s="23">
        <f t="shared" si="208"/>
        <v>0</v>
      </c>
      <c r="L1546" s="23">
        <f t="shared" si="209"/>
        <v>0</v>
      </c>
      <c r="M1546" s="12">
        <f t="shared" si="210"/>
        <v>0</v>
      </c>
      <c r="N1546" s="23">
        <f t="shared" si="211"/>
        <v>0</v>
      </c>
      <c r="O1546" s="41">
        <f t="shared" si="212"/>
        <v>0</v>
      </c>
      <c r="P1546" s="13" t="str">
        <f t="shared" si="213"/>
        <v>NO</v>
      </c>
      <c r="Q1546" s="23">
        <f t="shared" si="214"/>
        <v>0</v>
      </c>
      <c r="R1546" s="12">
        <f t="shared" si="215"/>
        <v>0</v>
      </c>
    </row>
    <row r="1547" spans="2:18">
      <c r="B1547" t="str">
        <f t="shared" si="216"/>
        <v/>
      </c>
      <c r="D1547" s="121"/>
      <c r="F1547" s="12"/>
      <c r="G1547" s="122"/>
      <c r="H1547" s="122"/>
      <c r="I1547" s="112">
        <v>0</v>
      </c>
      <c r="J1547" s="112">
        <v>0</v>
      </c>
      <c r="K1547" s="23">
        <f t="shared" si="208"/>
        <v>0</v>
      </c>
      <c r="L1547" s="23">
        <f t="shared" si="209"/>
        <v>0</v>
      </c>
      <c r="M1547" s="12">
        <f t="shared" si="210"/>
        <v>0</v>
      </c>
      <c r="N1547" s="23">
        <f t="shared" si="211"/>
        <v>0</v>
      </c>
      <c r="O1547" s="41">
        <f t="shared" si="212"/>
        <v>0</v>
      </c>
      <c r="P1547" s="13" t="str">
        <f t="shared" si="213"/>
        <v>NO</v>
      </c>
      <c r="Q1547" s="23">
        <f t="shared" si="214"/>
        <v>0</v>
      </c>
      <c r="R1547" s="12">
        <f t="shared" si="215"/>
        <v>0</v>
      </c>
    </row>
    <row r="1548" spans="2:18">
      <c r="B1548" t="str">
        <f t="shared" si="216"/>
        <v/>
      </c>
      <c r="D1548" s="121"/>
      <c r="F1548" s="12"/>
      <c r="G1548" s="122"/>
      <c r="H1548" s="122"/>
      <c r="I1548" s="112">
        <v>0</v>
      </c>
      <c r="J1548" s="112">
        <v>0</v>
      </c>
      <c r="K1548" s="23">
        <f t="shared" si="208"/>
        <v>0</v>
      </c>
      <c r="L1548" s="23">
        <f t="shared" si="209"/>
        <v>0</v>
      </c>
      <c r="M1548" s="12">
        <f t="shared" si="210"/>
        <v>0</v>
      </c>
      <c r="N1548" s="23">
        <f t="shared" si="211"/>
        <v>0</v>
      </c>
      <c r="O1548" s="41">
        <f t="shared" si="212"/>
        <v>0</v>
      </c>
      <c r="P1548" s="13" t="str">
        <f t="shared" si="213"/>
        <v>NO</v>
      </c>
      <c r="Q1548" s="23">
        <f t="shared" si="214"/>
        <v>0</v>
      </c>
      <c r="R1548" s="12">
        <f t="shared" si="215"/>
        <v>0</v>
      </c>
    </row>
    <row r="1549" spans="2:18">
      <c r="B1549" t="str">
        <f t="shared" si="216"/>
        <v/>
      </c>
      <c r="D1549" s="121"/>
      <c r="F1549" s="12"/>
      <c r="G1549" s="122"/>
      <c r="H1549" s="122"/>
      <c r="I1549" s="112">
        <v>0</v>
      </c>
      <c r="J1549" s="112">
        <v>0</v>
      </c>
      <c r="K1549" s="23">
        <f t="shared" si="208"/>
        <v>0</v>
      </c>
      <c r="L1549" s="23">
        <f t="shared" si="209"/>
        <v>0</v>
      </c>
      <c r="M1549" s="12">
        <f t="shared" si="210"/>
        <v>0</v>
      </c>
      <c r="N1549" s="23">
        <f t="shared" si="211"/>
        <v>0</v>
      </c>
      <c r="O1549" s="41">
        <f t="shared" si="212"/>
        <v>0</v>
      </c>
      <c r="P1549" s="13" t="str">
        <f t="shared" si="213"/>
        <v>NO</v>
      </c>
      <c r="Q1549" s="23">
        <f t="shared" si="214"/>
        <v>0</v>
      </c>
      <c r="R1549" s="12">
        <f t="shared" si="215"/>
        <v>0</v>
      </c>
    </row>
    <row r="1550" spans="2:18">
      <c r="B1550" t="str">
        <f t="shared" si="216"/>
        <v/>
      </c>
      <c r="D1550" s="121"/>
      <c r="F1550" s="12"/>
      <c r="G1550" s="122"/>
      <c r="H1550" s="122"/>
      <c r="I1550" s="112">
        <v>0</v>
      </c>
      <c r="J1550" s="112">
        <v>0</v>
      </c>
      <c r="K1550" s="23">
        <f t="shared" si="208"/>
        <v>0</v>
      </c>
      <c r="L1550" s="23">
        <f t="shared" si="209"/>
        <v>0</v>
      </c>
      <c r="M1550" s="12">
        <f t="shared" si="210"/>
        <v>0</v>
      </c>
      <c r="N1550" s="23">
        <f t="shared" si="211"/>
        <v>0</v>
      </c>
      <c r="O1550" s="41">
        <f t="shared" si="212"/>
        <v>0</v>
      </c>
      <c r="P1550" s="13" t="str">
        <f t="shared" si="213"/>
        <v>NO</v>
      </c>
      <c r="Q1550" s="23">
        <f t="shared" si="214"/>
        <v>0</v>
      </c>
      <c r="R1550" s="12">
        <f t="shared" si="215"/>
        <v>0</v>
      </c>
    </row>
    <row r="1551" spans="2:18">
      <c r="B1551" t="str">
        <f t="shared" si="216"/>
        <v/>
      </c>
      <c r="D1551" s="121"/>
      <c r="F1551" s="12"/>
      <c r="G1551" s="122"/>
      <c r="H1551" s="122"/>
      <c r="I1551" s="112">
        <v>0</v>
      </c>
      <c r="J1551" s="112">
        <v>0</v>
      </c>
      <c r="K1551" s="23">
        <f t="shared" si="208"/>
        <v>0</v>
      </c>
      <c r="L1551" s="23">
        <f t="shared" si="209"/>
        <v>0</v>
      </c>
      <c r="M1551" s="12">
        <f t="shared" si="210"/>
        <v>0</v>
      </c>
      <c r="N1551" s="23">
        <f t="shared" si="211"/>
        <v>0</v>
      </c>
      <c r="O1551" s="41">
        <f t="shared" si="212"/>
        <v>0</v>
      </c>
      <c r="P1551" s="13" t="str">
        <f t="shared" si="213"/>
        <v>NO</v>
      </c>
      <c r="Q1551" s="23">
        <f t="shared" si="214"/>
        <v>0</v>
      </c>
      <c r="R1551" s="12">
        <f t="shared" si="215"/>
        <v>0</v>
      </c>
    </row>
    <row r="1552" spans="2:18">
      <c r="B1552" t="str">
        <f t="shared" si="216"/>
        <v/>
      </c>
      <c r="D1552" s="121"/>
      <c r="G1552" s="122"/>
      <c r="H1552" s="122"/>
      <c r="I1552" s="112">
        <v>0</v>
      </c>
      <c r="J1552" s="112">
        <v>0</v>
      </c>
      <c r="K1552" s="23">
        <f t="shared" si="208"/>
        <v>0</v>
      </c>
      <c r="L1552" s="23">
        <f t="shared" si="209"/>
        <v>0</v>
      </c>
      <c r="M1552" s="12">
        <f t="shared" si="210"/>
        <v>0</v>
      </c>
      <c r="N1552" s="23">
        <f t="shared" si="211"/>
        <v>0</v>
      </c>
      <c r="O1552" s="41">
        <f t="shared" si="212"/>
        <v>0</v>
      </c>
      <c r="P1552" s="13" t="str">
        <f t="shared" si="213"/>
        <v>NO</v>
      </c>
      <c r="Q1552" s="23">
        <f t="shared" si="214"/>
        <v>0</v>
      </c>
      <c r="R1552" s="12">
        <f t="shared" si="215"/>
        <v>0</v>
      </c>
    </row>
    <row r="1553" spans="2:18">
      <c r="B1553" t="str">
        <f t="shared" si="216"/>
        <v/>
      </c>
      <c r="D1553" s="121"/>
      <c r="F1553" s="12"/>
      <c r="G1553" s="122"/>
      <c r="H1553" s="122"/>
      <c r="I1553" s="112">
        <v>0</v>
      </c>
      <c r="J1553" s="112">
        <v>0</v>
      </c>
      <c r="K1553" s="23">
        <f t="shared" si="208"/>
        <v>0</v>
      </c>
      <c r="L1553" s="23">
        <f t="shared" si="209"/>
        <v>0</v>
      </c>
      <c r="M1553" s="12">
        <f t="shared" si="210"/>
        <v>0</v>
      </c>
      <c r="N1553" s="23">
        <f t="shared" si="211"/>
        <v>0</v>
      </c>
      <c r="O1553" s="41">
        <f t="shared" si="212"/>
        <v>0</v>
      </c>
      <c r="P1553" s="13" t="str">
        <f t="shared" si="213"/>
        <v>NO</v>
      </c>
      <c r="Q1553" s="23">
        <f t="shared" si="214"/>
        <v>0</v>
      </c>
      <c r="R1553" s="12">
        <f t="shared" si="215"/>
        <v>0</v>
      </c>
    </row>
    <row r="1554" spans="2:18">
      <c r="B1554" t="str">
        <f t="shared" si="216"/>
        <v/>
      </c>
      <c r="D1554" s="121"/>
      <c r="G1554" s="122"/>
      <c r="H1554" s="122"/>
      <c r="I1554" s="112">
        <v>0</v>
      </c>
      <c r="J1554" s="112">
        <v>0</v>
      </c>
      <c r="K1554" s="23">
        <f t="shared" si="208"/>
        <v>0</v>
      </c>
      <c r="L1554" s="23">
        <f t="shared" si="209"/>
        <v>0</v>
      </c>
      <c r="M1554" s="12">
        <f t="shared" si="210"/>
        <v>0</v>
      </c>
      <c r="N1554" s="23">
        <f t="shared" si="211"/>
        <v>0</v>
      </c>
      <c r="O1554" s="41">
        <f t="shared" si="212"/>
        <v>0</v>
      </c>
      <c r="P1554" s="13" t="str">
        <f t="shared" si="213"/>
        <v>NO</v>
      </c>
      <c r="Q1554" s="23">
        <f t="shared" si="214"/>
        <v>0</v>
      </c>
      <c r="R1554" s="12">
        <f t="shared" si="215"/>
        <v>0</v>
      </c>
    </row>
    <row r="1555" spans="2:18">
      <c r="B1555" t="str">
        <f t="shared" si="216"/>
        <v/>
      </c>
      <c r="D1555" s="121"/>
      <c r="G1555" s="122"/>
      <c r="H1555" s="122"/>
      <c r="I1555" s="112">
        <v>0</v>
      </c>
      <c r="J1555" s="112">
        <v>0</v>
      </c>
      <c r="K1555" s="23">
        <f t="shared" si="208"/>
        <v>0</v>
      </c>
      <c r="L1555" s="23">
        <f t="shared" si="209"/>
        <v>0</v>
      </c>
      <c r="M1555" s="12">
        <f t="shared" si="210"/>
        <v>0</v>
      </c>
      <c r="N1555" s="23">
        <f t="shared" si="211"/>
        <v>0</v>
      </c>
      <c r="O1555" s="41">
        <f t="shared" si="212"/>
        <v>0</v>
      </c>
      <c r="P1555" s="13" t="str">
        <f t="shared" si="213"/>
        <v>NO</v>
      </c>
      <c r="Q1555" s="23">
        <f t="shared" si="214"/>
        <v>0</v>
      </c>
      <c r="R1555" s="12">
        <f t="shared" si="215"/>
        <v>0</v>
      </c>
    </row>
    <row r="1556" spans="2:18">
      <c r="B1556" t="str">
        <f t="shared" si="216"/>
        <v/>
      </c>
      <c r="D1556" s="121"/>
      <c r="G1556" s="122"/>
      <c r="H1556" s="122"/>
      <c r="I1556" s="112">
        <v>0</v>
      </c>
      <c r="J1556" s="112">
        <v>0</v>
      </c>
      <c r="K1556" s="23">
        <f t="shared" si="208"/>
        <v>0</v>
      </c>
      <c r="L1556" s="23">
        <f t="shared" si="209"/>
        <v>0</v>
      </c>
      <c r="M1556" s="12">
        <f t="shared" si="210"/>
        <v>0</v>
      </c>
      <c r="N1556" s="23">
        <f t="shared" si="211"/>
        <v>0</v>
      </c>
      <c r="O1556" s="41">
        <f t="shared" si="212"/>
        <v>0</v>
      </c>
      <c r="P1556" s="13" t="str">
        <f t="shared" si="213"/>
        <v>NO</v>
      </c>
      <c r="Q1556" s="23">
        <f t="shared" si="214"/>
        <v>0</v>
      </c>
      <c r="R1556" s="12">
        <f t="shared" si="215"/>
        <v>0</v>
      </c>
    </row>
    <row r="1557" spans="2:18">
      <c r="B1557" t="str">
        <f t="shared" si="216"/>
        <v/>
      </c>
      <c r="D1557" s="121"/>
      <c r="G1557" s="122"/>
      <c r="H1557" s="122"/>
      <c r="I1557" s="112">
        <v>0</v>
      </c>
      <c r="J1557" s="112">
        <v>0</v>
      </c>
      <c r="K1557" s="23">
        <f t="shared" si="208"/>
        <v>0</v>
      </c>
      <c r="L1557" s="23">
        <f t="shared" si="209"/>
        <v>0</v>
      </c>
      <c r="M1557" s="12">
        <f t="shared" si="210"/>
        <v>0</v>
      </c>
      <c r="N1557" s="23">
        <f t="shared" si="211"/>
        <v>0</v>
      </c>
      <c r="O1557" s="41">
        <f t="shared" si="212"/>
        <v>0</v>
      </c>
      <c r="P1557" s="13" t="str">
        <f t="shared" si="213"/>
        <v>NO</v>
      </c>
      <c r="Q1557" s="23">
        <f t="shared" si="214"/>
        <v>0</v>
      </c>
      <c r="R1557" s="12">
        <f t="shared" si="215"/>
        <v>0</v>
      </c>
    </row>
    <row r="1558" spans="2:18">
      <c r="B1558" t="str">
        <f t="shared" si="216"/>
        <v/>
      </c>
      <c r="D1558" s="121"/>
      <c r="G1558" s="122"/>
      <c r="H1558" s="122"/>
      <c r="I1558" s="112">
        <v>0</v>
      </c>
      <c r="J1558" s="112">
        <v>0</v>
      </c>
      <c r="K1558" s="23">
        <f t="shared" si="208"/>
        <v>0</v>
      </c>
      <c r="L1558" s="23">
        <f t="shared" si="209"/>
        <v>0</v>
      </c>
      <c r="M1558" s="12">
        <f t="shared" si="210"/>
        <v>0</v>
      </c>
      <c r="N1558" s="23">
        <f t="shared" si="211"/>
        <v>0</v>
      </c>
      <c r="O1558" s="41">
        <f t="shared" si="212"/>
        <v>0</v>
      </c>
      <c r="P1558" s="13" t="str">
        <f t="shared" si="213"/>
        <v>NO</v>
      </c>
      <c r="Q1558" s="23">
        <f t="shared" si="214"/>
        <v>0</v>
      </c>
      <c r="R1558" s="12">
        <f t="shared" si="215"/>
        <v>0</v>
      </c>
    </row>
    <row r="1559" spans="2:18">
      <c r="B1559" t="str">
        <f t="shared" si="216"/>
        <v/>
      </c>
      <c r="D1559" s="121"/>
      <c r="G1559" s="122"/>
      <c r="H1559" s="122"/>
      <c r="I1559" s="112">
        <v>0</v>
      </c>
      <c r="J1559" s="112">
        <v>0</v>
      </c>
      <c r="K1559" s="23">
        <f t="shared" si="208"/>
        <v>0</v>
      </c>
      <c r="L1559" s="23">
        <f t="shared" si="209"/>
        <v>0</v>
      </c>
      <c r="M1559" s="12">
        <f t="shared" si="210"/>
        <v>0</v>
      </c>
      <c r="N1559" s="23">
        <f t="shared" si="211"/>
        <v>0</v>
      </c>
      <c r="O1559" s="41">
        <f t="shared" si="212"/>
        <v>0</v>
      </c>
      <c r="P1559" s="13" t="str">
        <f t="shared" si="213"/>
        <v>NO</v>
      </c>
      <c r="Q1559" s="23">
        <f t="shared" si="214"/>
        <v>0</v>
      </c>
      <c r="R1559" s="12">
        <f t="shared" si="215"/>
        <v>0</v>
      </c>
    </row>
    <row r="1560" spans="2:18">
      <c r="B1560" t="str">
        <f t="shared" si="216"/>
        <v/>
      </c>
      <c r="D1560" s="121"/>
      <c r="F1560" s="12"/>
      <c r="G1560" s="122"/>
      <c r="H1560" s="122"/>
      <c r="I1560" s="112">
        <v>0</v>
      </c>
      <c r="J1560" s="112">
        <v>0</v>
      </c>
      <c r="K1560" s="23">
        <f t="shared" si="208"/>
        <v>0</v>
      </c>
      <c r="L1560" s="23">
        <f t="shared" si="209"/>
        <v>0</v>
      </c>
      <c r="M1560" s="12">
        <f t="shared" si="210"/>
        <v>0</v>
      </c>
      <c r="N1560" s="23">
        <f t="shared" si="211"/>
        <v>0</v>
      </c>
      <c r="O1560" s="41">
        <f t="shared" si="212"/>
        <v>0</v>
      </c>
      <c r="P1560" s="13" t="str">
        <f t="shared" si="213"/>
        <v>NO</v>
      </c>
      <c r="Q1560" s="23">
        <f t="shared" si="214"/>
        <v>0</v>
      </c>
      <c r="R1560" s="12">
        <f t="shared" si="215"/>
        <v>0</v>
      </c>
    </row>
    <row r="1561" spans="2:18">
      <c r="B1561" t="str">
        <f t="shared" si="216"/>
        <v/>
      </c>
      <c r="D1561" s="121"/>
      <c r="G1561" s="122"/>
      <c r="H1561" s="122"/>
      <c r="I1561" s="112">
        <v>0</v>
      </c>
      <c r="J1561" s="112">
        <v>0</v>
      </c>
      <c r="K1561" s="23">
        <f t="shared" si="208"/>
        <v>0</v>
      </c>
      <c r="L1561" s="23">
        <f t="shared" si="209"/>
        <v>0</v>
      </c>
      <c r="M1561" s="12">
        <f t="shared" si="210"/>
        <v>0</v>
      </c>
      <c r="N1561" s="23">
        <f t="shared" si="211"/>
        <v>0</v>
      </c>
      <c r="O1561" s="41">
        <f t="shared" si="212"/>
        <v>0</v>
      </c>
      <c r="P1561" s="13" t="str">
        <f t="shared" si="213"/>
        <v>NO</v>
      </c>
      <c r="Q1561" s="23">
        <f t="shared" si="214"/>
        <v>0</v>
      </c>
      <c r="R1561" s="12">
        <f t="shared" si="215"/>
        <v>0</v>
      </c>
    </row>
    <row r="1562" spans="2:18">
      <c r="B1562" t="str">
        <f t="shared" si="216"/>
        <v/>
      </c>
      <c r="D1562" s="121"/>
      <c r="G1562" s="122"/>
      <c r="H1562" s="122"/>
      <c r="I1562" s="112">
        <v>0</v>
      </c>
      <c r="J1562" s="112">
        <v>0</v>
      </c>
      <c r="K1562" s="23">
        <f t="shared" si="208"/>
        <v>0</v>
      </c>
      <c r="L1562" s="23">
        <f t="shared" si="209"/>
        <v>0</v>
      </c>
      <c r="M1562" s="12">
        <f t="shared" si="210"/>
        <v>0</v>
      </c>
      <c r="N1562" s="23">
        <f t="shared" si="211"/>
        <v>0</v>
      </c>
      <c r="O1562" s="41">
        <f t="shared" si="212"/>
        <v>0</v>
      </c>
      <c r="P1562" s="13" t="str">
        <f t="shared" si="213"/>
        <v>NO</v>
      </c>
      <c r="Q1562" s="23">
        <f t="shared" si="214"/>
        <v>0</v>
      </c>
      <c r="R1562" s="12">
        <f t="shared" si="215"/>
        <v>0</v>
      </c>
    </row>
    <row r="1563" spans="2:18">
      <c r="B1563" t="str">
        <f t="shared" si="216"/>
        <v/>
      </c>
      <c r="D1563" s="121"/>
      <c r="G1563" s="122"/>
      <c r="H1563" s="122"/>
      <c r="I1563" s="112">
        <v>0</v>
      </c>
      <c r="J1563" s="112">
        <v>0</v>
      </c>
      <c r="K1563" s="23">
        <f t="shared" si="208"/>
        <v>0</v>
      </c>
      <c r="L1563" s="23">
        <f t="shared" si="209"/>
        <v>0</v>
      </c>
      <c r="M1563" s="12">
        <f t="shared" si="210"/>
        <v>0</v>
      </c>
      <c r="N1563" s="23">
        <f t="shared" si="211"/>
        <v>0</v>
      </c>
      <c r="O1563" s="41">
        <f t="shared" si="212"/>
        <v>0</v>
      </c>
      <c r="P1563" s="13" t="str">
        <f t="shared" si="213"/>
        <v>NO</v>
      </c>
      <c r="Q1563" s="23">
        <f t="shared" si="214"/>
        <v>0</v>
      </c>
      <c r="R1563" s="12">
        <f t="shared" si="215"/>
        <v>0</v>
      </c>
    </row>
    <row r="1564" spans="2:18">
      <c r="B1564" t="str">
        <f t="shared" si="216"/>
        <v/>
      </c>
      <c r="D1564" s="121"/>
      <c r="G1564" s="122"/>
      <c r="H1564" s="122"/>
      <c r="I1564" s="112">
        <v>0</v>
      </c>
      <c r="J1564" s="112">
        <v>0</v>
      </c>
      <c r="K1564" s="23">
        <f t="shared" si="208"/>
        <v>0</v>
      </c>
      <c r="L1564" s="23">
        <f t="shared" si="209"/>
        <v>0</v>
      </c>
      <c r="M1564" s="12">
        <f t="shared" si="210"/>
        <v>0</v>
      </c>
      <c r="N1564" s="23">
        <f t="shared" si="211"/>
        <v>0</v>
      </c>
      <c r="O1564" s="41">
        <f t="shared" si="212"/>
        <v>0</v>
      </c>
      <c r="P1564" s="13" t="str">
        <f t="shared" si="213"/>
        <v>NO</v>
      </c>
      <c r="Q1564" s="23">
        <f t="shared" si="214"/>
        <v>0</v>
      </c>
      <c r="R1564" s="12">
        <f t="shared" si="215"/>
        <v>0</v>
      </c>
    </row>
    <row r="1565" spans="2:18">
      <c r="B1565" t="str">
        <f t="shared" si="216"/>
        <v/>
      </c>
      <c r="D1565" s="121"/>
      <c r="G1565" s="122"/>
      <c r="H1565" s="122"/>
      <c r="I1565" s="112">
        <v>0</v>
      </c>
      <c r="J1565" s="112">
        <v>0</v>
      </c>
      <c r="K1565" s="23">
        <f t="shared" ref="K1565:K1584" si="217">+IFERROR(G1565,0)</f>
        <v>0</v>
      </c>
      <c r="L1565" s="23">
        <f t="shared" ref="L1565:L1584" si="218">+I1565</f>
        <v>0</v>
      </c>
      <c r="M1565" s="12">
        <f t="shared" ref="M1565:M1584" si="219">+IFERROR(MAX(K1565:L1565),0)</f>
        <v>0</v>
      </c>
      <c r="N1565" s="23">
        <f t="shared" ref="N1565:N1584" si="220">+H1565</f>
        <v>0</v>
      </c>
      <c r="O1565" s="41">
        <f t="shared" ref="O1565:O1584" si="221">+J1565</f>
        <v>0</v>
      </c>
      <c r="P1565" s="13" t="str">
        <f t="shared" ref="P1565:P1584" si="222">+IF(O1565&lt;N1565,"SI","NO")</f>
        <v>NO</v>
      </c>
      <c r="Q1565" s="23">
        <f t="shared" ref="Q1565:Q1584" si="223">+M1565</f>
        <v>0</v>
      </c>
      <c r="R1565" s="12">
        <f t="shared" ref="R1565:R1584" si="224">+N1565</f>
        <v>0</v>
      </c>
    </row>
    <row r="1566" spans="2:18">
      <c r="B1566" t="str">
        <f t="shared" si="216"/>
        <v/>
      </c>
      <c r="D1566" s="121"/>
      <c r="G1566" s="122"/>
      <c r="H1566" s="122"/>
      <c r="I1566" s="112">
        <v>0</v>
      </c>
      <c r="J1566" s="112">
        <v>0</v>
      </c>
      <c r="K1566" s="23">
        <f t="shared" si="217"/>
        <v>0</v>
      </c>
      <c r="L1566" s="23">
        <f t="shared" si="218"/>
        <v>0</v>
      </c>
      <c r="M1566" s="12">
        <f t="shared" si="219"/>
        <v>0</v>
      </c>
      <c r="N1566" s="23">
        <f t="shared" si="220"/>
        <v>0</v>
      </c>
      <c r="O1566" s="41">
        <f t="shared" si="221"/>
        <v>0</v>
      </c>
      <c r="P1566" s="13" t="str">
        <f t="shared" si="222"/>
        <v>NO</v>
      </c>
      <c r="Q1566" s="23">
        <f t="shared" si="223"/>
        <v>0</v>
      </c>
      <c r="R1566" s="12">
        <f t="shared" si="224"/>
        <v>0</v>
      </c>
    </row>
    <row r="1567" spans="2:18">
      <c r="B1567" t="str">
        <f t="shared" si="216"/>
        <v/>
      </c>
      <c r="D1567" s="121"/>
      <c r="G1567" s="122"/>
      <c r="H1567" s="122"/>
      <c r="I1567" s="112">
        <v>0</v>
      </c>
      <c r="J1567" s="112">
        <v>0</v>
      </c>
      <c r="K1567" s="23">
        <f t="shared" si="217"/>
        <v>0</v>
      </c>
      <c r="L1567" s="23">
        <f t="shared" si="218"/>
        <v>0</v>
      </c>
      <c r="M1567" s="12">
        <f t="shared" si="219"/>
        <v>0</v>
      </c>
      <c r="N1567" s="23">
        <f t="shared" si="220"/>
        <v>0</v>
      </c>
      <c r="O1567" s="41">
        <f t="shared" si="221"/>
        <v>0</v>
      </c>
      <c r="P1567" s="13" t="str">
        <f t="shared" si="222"/>
        <v>NO</v>
      </c>
      <c r="Q1567" s="23">
        <f t="shared" si="223"/>
        <v>0</v>
      </c>
      <c r="R1567" s="12">
        <f t="shared" si="224"/>
        <v>0</v>
      </c>
    </row>
    <row r="1568" spans="2:18">
      <c r="B1568" t="str">
        <f t="shared" si="216"/>
        <v/>
      </c>
      <c r="D1568" s="121"/>
      <c r="G1568" s="122"/>
      <c r="H1568" s="122"/>
      <c r="I1568" s="112">
        <v>0</v>
      </c>
      <c r="J1568" s="112">
        <v>0</v>
      </c>
      <c r="K1568" s="23">
        <f t="shared" si="217"/>
        <v>0</v>
      </c>
      <c r="L1568" s="23">
        <f t="shared" si="218"/>
        <v>0</v>
      </c>
      <c r="M1568" s="12">
        <f t="shared" si="219"/>
        <v>0</v>
      </c>
      <c r="N1568" s="23">
        <f t="shared" si="220"/>
        <v>0</v>
      </c>
      <c r="O1568" s="41">
        <f t="shared" si="221"/>
        <v>0</v>
      </c>
      <c r="P1568" s="13" t="str">
        <f t="shared" si="222"/>
        <v>NO</v>
      </c>
      <c r="Q1568" s="23">
        <f t="shared" si="223"/>
        <v>0</v>
      </c>
      <c r="R1568" s="12">
        <f t="shared" si="224"/>
        <v>0</v>
      </c>
    </row>
    <row r="1569" spans="2:18">
      <c r="B1569" t="str">
        <f t="shared" si="216"/>
        <v/>
      </c>
      <c r="D1569" s="121"/>
      <c r="G1569" s="122"/>
      <c r="H1569" s="122"/>
      <c r="I1569" s="112">
        <v>0</v>
      </c>
      <c r="J1569" s="112">
        <v>0</v>
      </c>
      <c r="K1569" s="23">
        <f t="shared" si="217"/>
        <v>0</v>
      </c>
      <c r="L1569" s="23">
        <f t="shared" si="218"/>
        <v>0</v>
      </c>
      <c r="M1569" s="12">
        <f t="shared" si="219"/>
        <v>0</v>
      </c>
      <c r="N1569" s="23">
        <f t="shared" si="220"/>
        <v>0</v>
      </c>
      <c r="O1569" s="41">
        <f t="shared" si="221"/>
        <v>0</v>
      </c>
      <c r="P1569" s="13" t="str">
        <f t="shared" si="222"/>
        <v>NO</v>
      </c>
      <c r="Q1569" s="23">
        <f t="shared" si="223"/>
        <v>0</v>
      </c>
      <c r="R1569" s="12">
        <f t="shared" si="224"/>
        <v>0</v>
      </c>
    </row>
    <row r="1570" spans="2:18">
      <c r="B1570" t="str">
        <f t="shared" si="216"/>
        <v/>
      </c>
      <c r="D1570" s="121"/>
      <c r="G1570" s="122"/>
      <c r="H1570" s="122"/>
      <c r="I1570" s="112">
        <v>0</v>
      </c>
      <c r="J1570" s="112">
        <v>0</v>
      </c>
      <c r="K1570" s="23">
        <f t="shared" si="217"/>
        <v>0</v>
      </c>
      <c r="L1570" s="23">
        <f t="shared" si="218"/>
        <v>0</v>
      </c>
      <c r="M1570" s="12">
        <f t="shared" si="219"/>
        <v>0</v>
      </c>
      <c r="N1570" s="23">
        <f t="shared" si="220"/>
        <v>0</v>
      </c>
      <c r="O1570" s="41">
        <f t="shared" si="221"/>
        <v>0</v>
      </c>
      <c r="P1570" s="13" t="str">
        <f t="shared" si="222"/>
        <v>NO</v>
      </c>
      <c r="Q1570" s="23">
        <f t="shared" si="223"/>
        <v>0</v>
      </c>
      <c r="R1570" s="12">
        <f t="shared" si="224"/>
        <v>0</v>
      </c>
    </row>
    <row r="1571" spans="2:18">
      <c r="B1571" t="str">
        <f t="shared" si="216"/>
        <v/>
      </c>
      <c r="D1571" s="121"/>
      <c r="G1571" s="122"/>
      <c r="H1571" s="122"/>
      <c r="I1571" s="112">
        <v>0</v>
      </c>
      <c r="J1571" s="112">
        <v>0</v>
      </c>
      <c r="K1571" s="23">
        <f t="shared" si="217"/>
        <v>0</v>
      </c>
      <c r="L1571" s="23">
        <f t="shared" si="218"/>
        <v>0</v>
      </c>
      <c r="M1571" s="12">
        <f t="shared" si="219"/>
        <v>0</v>
      </c>
      <c r="N1571" s="23">
        <f t="shared" si="220"/>
        <v>0</v>
      </c>
      <c r="O1571" s="41">
        <f t="shared" si="221"/>
        <v>0</v>
      </c>
      <c r="P1571" s="13" t="str">
        <f t="shared" si="222"/>
        <v>NO</v>
      </c>
      <c r="Q1571" s="23">
        <f t="shared" si="223"/>
        <v>0</v>
      </c>
      <c r="R1571" s="12">
        <f t="shared" si="224"/>
        <v>0</v>
      </c>
    </row>
    <row r="1572" spans="2:18">
      <c r="B1572" t="str">
        <f t="shared" si="216"/>
        <v/>
      </c>
      <c r="D1572" s="121"/>
      <c r="G1572" s="122"/>
      <c r="H1572" s="122"/>
      <c r="I1572" s="112">
        <v>0</v>
      </c>
      <c r="J1572" s="112">
        <v>0</v>
      </c>
      <c r="K1572" s="23">
        <f t="shared" si="217"/>
        <v>0</v>
      </c>
      <c r="L1572" s="23">
        <f t="shared" si="218"/>
        <v>0</v>
      </c>
      <c r="M1572" s="12">
        <f t="shared" si="219"/>
        <v>0</v>
      </c>
      <c r="N1572" s="23">
        <f t="shared" si="220"/>
        <v>0</v>
      </c>
      <c r="O1572" s="41">
        <f t="shared" si="221"/>
        <v>0</v>
      </c>
      <c r="P1572" s="13" t="str">
        <f t="shared" si="222"/>
        <v>NO</v>
      </c>
      <c r="Q1572" s="23">
        <f t="shared" si="223"/>
        <v>0</v>
      </c>
      <c r="R1572" s="12">
        <f t="shared" si="224"/>
        <v>0</v>
      </c>
    </row>
    <row r="1573" spans="2:18">
      <c r="B1573" t="str">
        <f t="shared" si="216"/>
        <v/>
      </c>
      <c r="D1573" s="121"/>
      <c r="G1573" s="122"/>
      <c r="H1573" s="122"/>
      <c r="I1573" s="112">
        <v>0</v>
      </c>
      <c r="J1573" s="112">
        <v>0</v>
      </c>
      <c r="K1573" s="23">
        <f t="shared" si="217"/>
        <v>0</v>
      </c>
      <c r="L1573" s="23">
        <f t="shared" si="218"/>
        <v>0</v>
      </c>
      <c r="M1573" s="12">
        <f t="shared" si="219"/>
        <v>0</v>
      </c>
      <c r="N1573" s="23">
        <f t="shared" si="220"/>
        <v>0</v>
      </c>
      <c r="O1573" s="41">
        <f t="shared" si="221"/>
        <v>0</v>
      </c>
      <c r="P1573" s="13" t="str">
        <f t="shared" si="222"/>
        <v>NO</v>
      </c>
      <c r="Q1573" s="23">
        <f t="shared" si="223"/>
        <v>0</v>
      </c>
      <c r="R1573" s="12">
        <f t="shared" si="224"/>
        <v>0</v>
      </c>
    </row>
    <row r="1574" spans="2:18">
      <c r="B1574" t="str">
        <f t="shared" si="216"/>
        <v/>
      </c>
      <c r="D1574" s="121"/>
      <c r="G1574" s="122"/>
      <c r="H1574" s="122"/>
      <c r="I1574" s="112">
        <v>0</v>
      </c>
      <c r="J1574" s="112">
        <v>0</v>
      </c>
      <c r="K1574" s="23">
        <f t="shared" si="217"/>
        <v>0</v>
      </c>
      <c r="L1574" s="23">
        <f t="shared" si="218"/>
        <v>0</v>
      </c>
      <c r="M1574" s="12">
        <f t="shared" si="219"/>
        <v>0</v>
      </c>
      <c r="N1574" s="23">
        <f t="shared" si="220"/>
        <v>0</v>
      </c>
      <c r="O1574" s="41">
        <f t="shared" si="221"/>
        <v>0</v>
      </c>
      <c r="P1574" s="13" t="str">
        <f t="shared" si="222"/>
        <v>NO</v>
      </c>
      <c r="Q1574" s="23">
        <f t="shared" si="223"/>
        <v>0</v>
      </c>
      <c r="R1574" s="12">
        <f t="shared" si="224"/>
        <v>0</v>
      </c>
    </row>
    <row r="1575" spans="2:18">
      <c r="B1575" t="str">
        <f t="shared" si="216"/>
        <v/>
      </c>
      <c r="D1575" s="121"/>
      <c r="G1575" s="122"/>
      <c r="H1575" s="122"/>
      <c r="I1575" s="112">
        <v>0</v>
      </c>
      <c r="J1575" s="112">
        <v>0</v>
      </c>
      <c r="K1575" s="23">
        <f t="shared" si="217"/>
        <v>0</v>
      </c>
      <c r="L1575" s="23">
        <f t="shared" si="218"/>
        <v>0</v>
      </c>
      <c r="M1575" s="12">
        <f t="shared" si="219"/>
        <v>0</v>
      </c>
      <c r="N1575" s="23">
        <f t="shared" si="220"/>
        <v>0</v>
      </c>
      <c r="O1575" s="41">
        <f t="shared" si="221"/>
        <v>0</v>
      </c>
      <c r="P1575" s="13" t="str">
        <f t="shared" si="222"/>
        <v>NO</v>
      </c>
      <c r="Q1575" s="23">
        <f t="shared" si="223"/>
        <v>0</v>
      </c>
      <c r="R1575" s="12">
        <f t="shared" si="224"/>
        <v>0</v>
      </c>
    </row>
    <row r="1576" spans="2:18">
      <c r="B1576" t="str">
        <f t="shared" si="216"/>
        <v/>
      </c>
      <c r="D1576" s="121"/>
      <c r="G1576" s="122"/>
      <c r="H1576" s="122"/>
      <c r="I1576" s="112">
        <v>0</v>
      </c>
      <c r="J1576" s="112">
        <v>0</v>
      </c>
      <c r="K1576" s="23">
        <f t="shared" si="217"/>
        <v>0</v>
      </c>
      <c r="L1576" s="23">
        <f t="shared" si="218"/>
        <v>0</v>
      </c>
      <c r="M1576" s="12">
        <f t="shared" si="219"/>
        <v>0</v>
      </c>
      <c r="N1576" s="23">
        <f t="shared" si="220"/>
        <v>0</v>
      </c>
      <c r="O1576" s="41">
        <f t="shared" si="221"/>
        <v>0</v>
      </c>
      <c r="P1576" s="13" t="str">
        <f t="shared" si="222"/>
        <v>NO</v>
      </c>
      <c r="Q1576" s="23">
        <f t="shared" si="223"/>
        <v>0</v>
      </c>
      <c r="R1576" s="12">
        <f t="shared" si="224"/>
        <v>0</v>
      </c>
    </row>
    <row r="1577" spans="2:18">
      <c r="B1577" t="str">
        <f t="shared" si="216"/>
        <v/>
      </c>
      <c r="D1577" s="121"/>
      <c r="G1577" s="122"/>
      <c r="H1577" s="122"/>
      <c r="I1577" s="112">
        <v>0</v>
      </c>
      <c r="J1577" s="112">
        <v>0</v>
      </c>
      <c r="K1577" s="23">
        <f t="shared" si="217"/>
        <v>0</v>
      </c>
      <c r="L1577" s="23">
        <f t="shared" si="218"/>
        <v>0</v>
      </c>
      <c r="M1577" s="12">
        <f t="shared" si="219"/>
        <v>0</v>
      </c>
      <c r="N1577" s="23">
        <f t="shared" si="220"/>
        <v>0</v>
      </c>
      <c r="O1577" s="41">
        <f t="shared" si="221"/>
        <v>0</v>
      </c>
      <c r="P1577" s="13" t="str">
        <f t="shared" si="222"/>
        <v>NO</v>
      </c>
      <c r="Q1577" s="23">
        <f t="shared" si="223"/>
        <v>0</v>
      </c>
      <c r="R1577" s="12">
        <f t="shared" si="224"/>
        <v>0</v>
      </c>
    </row>
    <row r="1578" spans="2:18">
      <c r="B1578" t="str">
        <f t="shared" si="216"/>
        <v/>
      </c>
      <c r="D1578" s="121"/>
      <c r="G1578" s="122"/>
      <c r="H1578" s="122"/>
      <c r="I1578" s="112">
        <v>0</v>
      </c>
      <c r="J1578" s="112">
        <v>0</v>
      </c>
      <c r="K1578" s="23">
        <f t="shared" si="217"/>
        <v>0</v>
      </c>
      <c r="L1578" s="23">
        <f t="shared" si="218"/>
        <v>0</v>
      </c>
      <c r="M1578" s="12">
        <f t="shared" si="219"/>
        <v>0</v>
      </c>
      <c r="N1578" s="23">
        <f t="shared" si="220"/>
        <v>0</v>
      </c>
      <c r="O1578" s="41">
        <f t="shared" si="221"/>
        <v>0</v>
      </c>
      <c r="P1578" s="13" t="str">
        <f t="shared" si="222"/>
        <v>NO</v>
      </c>
      <c r="Q1578" s="23">
        <f t="shared" si="223"/>
        <v>0</v>
      </c>
      <c r="R1578" s="12">
        <f t="shared" si="224"/>
        <v>0</v>
      </c>
    </row>
    <row r="1579" spans="2:18">
      <c r="B1579" t="str">
        <f t="shared" si="216"/>
        <v/>
      </c>
      <c r="D1579" s="121"/>
      <c r="G1579" s="122"/>
      <c r="H1579" s="122"/>
      <c r="I1579" s="112">
        <v>0</v>
      </c>
      <c r="J1579" s="112">
        <v>0</v>
      </c>
      <c r="K1579" s="23">
        <f t="shared" si="217"/>
        <v>0</v>
      </c>
      <c r="L1579" s="23">
        <f t="shared" si="218"/>
        <v>0</v>
      </c>
      <c r="M1579" s="12">
        <f t="shared" si="219"/>
        <v>0</v>
      </c>
      <c r="N1579" s="23">
        <f t="shared" si="220"/>
        <v>0</v>
      </c>
      <c r="O1579" s="41">
        <f t="shared" si="221"/>
        <v>0</v>
      </c>
      <c r="P1579" s="13" t="str">
        <f t="shared" si="222"/>
        <v>NO</v>
      </c>
      <c r="Q1579" s="23">
        <f t="shared" si="223"/>
        <v>0</v>
      </c>
      <c r="R1579" s="12">
        <f t="shared" si="224"/>
        <v>0</v>
      </c>
    </row>
    <row r="1580" spans="2:18">
      <c r="B1580" t="str">
        <f t="shared" si="216"/>
        <v/>
      </c>
      <c r="D1580" s="121"/>
      <c r="G1580" s="122"/>
      <c r="H1580" s="122"/>
      <c r="I1580" s="112">
        <v>0</v>
      </c>
      <c r="J1580" s="112">
        <v>0</v>
      </c>
      <c r="K1580" s="23">
        <f t="shared" si="217"/>
        <v>0</v>
      </c>
      <c r="L1580" s="23">
        <f t="shared" si="218"/>
        <v>0</v>
      </c>
      <c r="M1580" s="12">
        <f t="shared" si="219"/>
        <v>0</v>
      </c>
      <c r="N1580" s="23">
        <f t="shared" si="220"/>
        <v>0</v>
      </c>
      <c r="O1580" s="41">
        <f t="shared" si="221"/>
        <v>0</v>
      </c>
      <c r="P1580" s="13" t="str">
        <f t="shared" si="222"/>
        <v>NO</v>
      </c>
      <c r="Q1580" s="23">
        <f t="shared" si="223"/>
        <v>0</v>
      </c>
      <c r="R1580" s="12">
        <f t="shared" si="224"/>
        <v>0</v>
      </c>
    </row>
    <row r="1581" spans="2:18">
      <c r="B1581" t="str">
        <f t="shared" si="216"/>
        <v/>
      </c>
      <c r="D1581" s="121"/>
      <c r="G1581" s="122"/>
      <c r="H1581" s="122"/>
      <c r="I1581" s="112">
        <v>0</v>
      </c>
      <c r="J1581" s="112">
        <v>0</v>
      </c>
      <c r="K1581" s="23">
        <f t="shared" si="217"/>
        <v>0</v>
      </c>
      <c r="L1581" s="23">
        <f t="shared" si="218"/>
        <v>0</v>
      </c>
      <c r="M1581" s="12">
        <f t="shared" si="219"/>
        <v>0</v>
      </c>
      <c r="N1581" s="23">
        <f t="shared" si="220"/>
        <v>0</v>
      </c>
      <c r="O1581" s="41">
        <f t="shared" si="221"/>
        <v>0</v>
      </c>
      <c r="P1581" s="13" t="str">
        <f t="shared" si="222"/>
        <v>NO</v>
      </c>
      <c r="Q1581" s="23">
        <f t="shared" si="223"/>
        <v>0</v>
      </c>
      <c r="R1581" s="12">
        <f t="shared" si="224"/>
        <v>0</v>
      </c>
    </row>
    <row r="1582" spans="2:18">
      <c r="B1582" t="str">
        <f t="shared" si="216"/>
        <v/>
      </c>
      <c r="D1582" s="121"/>
      <c r="F1582" s="12"/>
      <c r="G1582" s="122"/>
      <c r="H1582" s="122"/>
      <c r="I1582" s="112">
        <v>0</v>
      </c>
      <c r="J1582" s="112">
        <v>0</v>
      </c>
      <c r="K1582" s="23">
        <f t="shared" si="217"/>
        <v>0</v>
      </c>
      <c r="L1582" s="23">
        <f t="shared" si="218"/>
        <v>0</v>
      </c>
      <c r="M1582" s="12">
        <f t="shared" si="219"/>
        <v>0</v>
      </c>
      <c r="N1582" s="23">
        <f t="shared" si="220"/>
        <v>0</v>
      </c>
      <c r="O1582" s="41">
        <f t="shared" si="221"/>
        <v>0</v>
      </c>
      <c r="P1582" s="13" t="str">
        <f t="shared" si="222"/>
        <v>NO</v>
      </c>
      <c r="Q1582" s="23">
        <f t="shared" si="223"/>
        <v>0</v>
      </c>
      <c r="R1582" s="12">
        <f t="shared" si="224"/>
        <v>0</v>
      </c>
    </row>
    <row r="1583" spans="2:18">
      <c r="B1583" t="str">
        <f t="shared" si="216"/>
        <v/>
      </c>
      <c r="D1583" s="121"/>
      <c r="F1583" s="12"/>
      <c r="G1583" s="122"/>
      <c r="H1583" s="122"/>
      <c r="I1583" s="112">
        <v>0</v>
      </c>
      <c r="J1583" s="112">
        <v>0</v>
      </c>
      <c r="K1583" s="23">
        <f t="shared" si="217"/>
        <v>0</v>
      </c>
      <c r="L1583" s="23">
        <f t="shared" si="218"/>
        <v>0</v>
      </c>
      <c r="M1583" s="12">
        <f t="shared" si="219"/>
        <v>0</v>
      </c>
      <c r="N1583" s="23">
        <f t="shared" si="220"/>
        <v>0</v>
      </c>
      <c r="O1583" s="41">
        <f t="shared" si="221"/>
        <v>0</v>
      </c>
      <c r="P1583" s="13" t="str">
        <f t="shared" si="222"/>
        <v>NO</v>
      </c>
      <c r="Q1583" s="23">
        <f t="shared" si="223"/>
        <v>0</v>
      </c>
      <c r="R1583" s="12">
        <f t="shared" si="224"/>
        <v>0</v>
      </c>
    </row>
    <row r="1584" spans="2:18">
      <c r="B1584" t="str">
        <f t="shared" si="216"/>
        <v/>
      </c>
      <c r="D1584" s="121"/>
      <c r="F1584" s="12"/>
      <c r="G1584" s="122"/>
      <c r="H1584" s="122"/>
      <c r="I1584" s="112">
        <v>0</v>
      </c>
      <c r="J1584" s="112">
        <v>0</v>
      </c>
      <c r="K1584" s="23">
        <f t="shared" si="217"/>
        <v>0</v>
      </c>
      <c r="L1584" s="23">
        <f t="shared" si="218"/>
        <v>0</v>
      </c>
      <c r="M1584" s="12">
        <f t="shared" si="219"/>
        <v>0</v>
      </c>
      <c r="N1584" s="23">
        <f t="shared" si="220"/>
        <v>0</v>
      </c>
      <c r="O1584" s="41">
        <f t="shared" si="221"/>
        <v>0</v>
      </c>
      <c r="P1584" s="13" t="str">
        <f t="shared" si="222"/>
        <v>NO</v>
      </c>
      <c r="Q1584" s="23">
        <f t="shared" si="223"/>
        <v>0</v>
      </c>
      <c r="R1584" s="12">
        <f t="shared" si="224"/>
        <v>0</v>
      </c>
    </row>
    <row r="1585" spans="6:18">
      <c r="F1585" s="12"/>
      <c r="K1585" s="23"/>
      <c r="L1585" s="23"/>
      <c r="M1585" s="12"/>
      <c r="N1585" s="23"/>
      <c r="Q1585" s="23"/>
      <c r="R1585" s="12"/>
    </row>
    <row r="1586" spans="6:18">
      <c r="F1586" s="12"/>
      <c r="K1586" s="23"/>
      <c r="L1586" s="23"/>
      <c r="M1586" s="12"/>
      <c r="N1586" s="23"/>
      <c r="Q1586" s="23"/>
      <c r="R1586" s="12"/>
    </row>
    <row r="1587" spans="6:18">
      <c r="F1587" s="12"/>
      <c r="K1587" s="23"/>
      <c r="L1587" s="23"/>
      <c r="M1587" s="12"/>
      <c r="N1587" s="23"/>
      <c r="Q1587" s="23"/>
      <c r="R1587" s="12"/>
    </row>
    <row r="1588" spans="6:18">
      <c r="F1588" s="12"/>
      <c r="K1588" s="23"/>
      <c r="L1588" s="23"/>
      <c r="M1588" s="12"/>
      <c r="N1588" s="23"/>
      <c r="Q1588" s="23"/>
      <c r="R1588" s="12"/>
    </row>
    <row r="1589" spans="6:18">
      <c r="F1589" s="12"/>
      <c r="K1589" s="23"/>
      <c r="L1589" s="23"/>
      <c r="M1589" s="12"/>
      <c r="N1589" s="23"/>
      <c r="Q1589" s="23"/>
      <c r="R1589" s="12"/>
    </row>
    <row r="1590" spans="6:18">
      <c r="K1590" s="23"/>
      <c r="L1590" s="23"/>
      <c r="M1590" s="12"/>
      <c r="N1590" s="23"/>
      <c r="Q1590" s="23"/>
      <c r="R1590" s="12"/>
    </row>
    <row r="1591" spans="6:18">
      <c r="K1591" s="23"/>
      <c r="L1591" s="23"/>
      <c r="M1591" s="12"/>
      <c r="N1591" s="23"/>
      <c r="Q1591" s="23"/>
      <c r="R1591" s="12"/>
    </row>
    <row r="1592" spans="6:18">
      <c r="K1592" s="23"/>
      <c r="L1592" s="23"/>
      <c r="M1592" s="12"/>
      <c r="N1592" s="23"/>
      <c r="Q1592" s="23"/>
      <c r="R1592" s="12"/>
    </row>
    <row r="1593" spans="6:18">
      <c r="K1593" s="23"/>
      <c r="L1593" s="23"/>
      <c r="M1593" s="12"/>
      <c r="N1593" s="23"/>
      <c r="Q1593" s="23"/>
      <c r="R1593" s="12"/>
    </row>
    <row r="1594" spans="6:18">
      <c r="K1594" s="23"/>
      <c r="L1594" s="23"/>
      <c r="M1594" s="12"/>
      <c r="N1594" s="23"/>
      <c r="Q1594" s="23"/>
      <c r="R1594" s="12"/>
    </row>
    <row r="1595" spans="6:18">
      <c r="K1595" s="23"/>
      <c r="L1595" s="23"/>
      <c r="M1595" s="12"/>
      <c r="N1595" s="23"/>
      <c r="Q1595" s="23"/>
      <c r="R1595" s="12"/>
    </row>
    <row r="1596" spans="6:18">
      <c r="F1596" s="12"/>
      <c r="K1596" s="23"/>
      <c r="L1596" s="23"/>
      <c r="M1596" s="12"/>
      <c r="N1596" s="23"/>
      <c r="Q1596" s="23"/>
      <c r="R1596" s="12"/>
    </row>
    <row r="1597" spans="6:18">
      <c r="F1597" s="12"/>
      <c r="K1597" s="23"/>
      <c r="L1597" s="23"/>
      <c r="M1597" s="12"/>
      <c r="N1597" s="23"/>
      <c r="Q1597" s="23"/>
      <c r="R1597" s="12"/>
    </row>
    <row r="1598" spans="6:18">
      <c r="F1598" s="12"/>
      <c r="K1598" s="23"/>
      <c r="L1598" s="23"/>
      <c r="M1598" s="12"/>
      <c r="N1598" s="23"/>
      <c r="Q1598" s="23"/>
      <c r="R1598" s="12"/>
    </row>
    <row r="1599" spans="6:18">
      <c r="K1599" s="23"/>
      <c r="L1599" s="23"/>
      <c r="M1599" s="12"/>
      <c r="N1599" s="23"/>
      <c r="Q1599" s="23"/>
      <c r="R1599" s="12"/>
    </row>
    <row r="1600" spans="6:18">
      <c r="K1600" s="23"/>
      <c r="L1600" s="23"/>
      <c r="M1600" s="12"/>
      <c r="N1600" s="23"/>
      <c r="Q1600" s="23"/>
      <c r="R1600" s="12"/>
    </row>
    <row r="1601" spans="7:18">
      <c r="G1601" s="10"/>
      <c r="H1601" s="10"/>
      <c r="K1601" s="23"/>
      <c r="L1601" s="23"/>
      <c r="M1601" s="12"/>
      <c r="N1601" s="23"/>
      <c r="Q1601" s="23"/>
      <c r="R1601" s="12"/>
    </row>
    <row r="1602" spans="7:18">
      <c r="G1602" s="10"/>
      <c r="H1602" s="10"/>
      <c r="K1602" s="23"/>
      <c r="L1602" s="23"/>
      <c r="M1602" s="12"/>
      <c r="N1602" s="23"/>
      <c r="Q1602" s="23"/>
      <c r="R1602" s="12"/>
    </row>
    <row r="1603" spans="7:18">
      <c r="G1603" s="10"/>
      <c r="H1603" s="10"/>
      <c r="K1603" s="23"/>
      <c r="L1603" s="23"/>
      <c r="M1603" s="12"/>
      <c r="N1603" s="23"/>
      <c r="Q1603" s="23"/>
      <c r="R1603" s="12"/>
    </row>
    <row r="1604" spans="7:18">
      <c r="G1604" s="10"/>
      <c r="H1604" s="10"/>
      <c r="K1604" s="23"/>
      <c r="L1604" s="23"/>
      <c r="M1604" s="12"/>
      <c r="N1604" s="23"/>
      <c r="Q1604" s="23"/>
      <c r="R1604" s="12"/>
    </row>
    <row r="1605" spans="7:18">
      <c r="G1605"/>
      <c r="H1605"/>
      <c r="K1605" s="23"/>
      <c r="L1605" s="23"/>
      <c r="M1605" s="12"/>
      <c r="N1605" s="23"/>
      <c r="Q1605" s="23"/>
      <c r="R1605" s="12"/>
    </row>
    <row r="1606" spans="7:18">
      <c r="G1606"/>
      <c r="H1606"/>
      <c r="K1606" s="23"/>
      <c r="L1606" s="23"/>
      <c r="M1606" s="12"/>
      <c r="N1606" s="23"/>
      <c r="Q1606" s="23"/>
      <c r="R1606" s="12"/>
    </row>
    <row r="1607" spans="7:18">
      <c r="G1607"/>
      <c r="H1607"/>
      <c r="K1607" s="23"/>
      <c r="L1607" s="23"/>
      <c r="M1607" s="12"/>
      <c r="N1607" s="23"/>
      <c r="Q1607" s="23"/>
      <c r="R1607" s="12"/>
    </row>
    <row r="1608" spans="7:18">
      <c r="G1608" s="10"/>
      <c r="H1608" s="10"/>
      <c r="K1608" s="23"/>
      <c r="L1608" s="23"/>
      <c r="M1608" s="12"/>
      <c r="N1608" s="23"/>
      <c r="Q1608" s="23"/>
      <c r="R1608" s="12"/>
    </row>
    <row r="1609" spans="7:18">
      <c r="G1609" s="10"/>
      <c r="H1609" s="10"/>
      <c r="K1609" s="23"/>
      <c r="L1609" s="23"/>
      <c r="M1609" s="12"/>
      <c r="N1609" s="23"/>
      <c r="Q1609" s="23"/>
      <c r="R1609" s="12"/>
    </row>
    <row r="1610" spans="7:18">
      <c r="G1610" s="10"/>
      <c r="H1610" s="10"/>
      <c r="K1610" s="23"/>
      <c r="L1610" s="23"/>
      <c r="M1610" s="12"/>
      <c r="N1610" s="23"/>
      <c r="Q1610" s="23"/>
      <c r="R1610" s="12"/>
    </row>
    <row r="1611" spans="7:18">
      <c r="G1611" s="10"/>
      <c r="H1611" s="10"/>
      <c r="K1611" s="23"/>
      <c r="L1611" s="23"/>
      <c r="M1611" s="12"/>
      <c r="N1611" s="23"/>
      <c r="Q1611" s="23"/>
      <c r="R1611" s="12"/>
    </row>
    <row r="1612" spans="7:18">
      <c r="G1612" s="10"/>
      <c r="H1612" s="10"/>
      <c r="K1612" s="23"/>
      <c r="L1612" s="23"/>
      <c r="M1612" s="12"/>
      <c r="N1612" s="23"/>
      <c r="Q1612" s="23"/>
      <c r="R1612" s="12"/>
    </row>
    <row r="1613" spans="7:18">
      <c r="G1613" s="10"/>
      <c r="H1613" s="10"/>
      <c r="K1613" s="23"/>
      <c r="L1613" s="23"/>
      <c r="M1613" s="12"/>
      <c r="N1613" s="23"/>
      <c r="Q1613" s="23"/>
      <c r="R1613" s="12"/>
    </row>
    <row r="1614" spans="7:18">
      <c r="G1614"/>
      <c r="H1614"/>
      <c r="K1614" s="23"/>
      <c r="L1614" s="23"/>
      <c r="M1614" s="12"/>
      <c r="N1614" s="23"/>
      <c r="Q1614" s="23"/>
      <c r="R1614" s="12"/>
    </row>
    <row r="1615" spans="7:18">
      <c r="G1615"/>
      <c r="H1615"/>
      <c r="K1615" s="23"/>
      <c r="L1615" s="23"/>
      <c r="M1615" s="12"/>
      <c r="N1615" s="23"/>
      <c r="Q1615" s="23"/>
      <c r="R1615" s="12"/>
    </row>
    <row r="1616" spans="7:18">
      <c r="G1616"/>
      <c r="H1616"/>
      <c r="K1616" s="23"/>
      <c r="L1616" s="23"/>
      <c r="M1616" s="12"/>
      <c r="N1616" s="23"/>
      <c r="Q1616" s="23"/>
      <c r="R1616" s="12"/>
    </row>
    <row r="1617" spans="6:18">
      <c r="F1617" s="12"/>
      <c r="K1617" s="23"/>
      <c r="L1617" s="23"/>
      <c r="M1617" s="12"/>
      <c r="N1617" s="23"/>
      <c r="Q1617" s="23"/>
      <c r="R1617" s="12"/>
    </row>
    <row r="1618" spans="6:18">
      <c r="F1618" s="12"/>
      <c r="K1618" s="23"/>
      <c r="L1618" s="23"/>
      <c r="M1618" s="12"/>
      <c r="N1618" s="23"/>
      <c r="Q1618" s="23"/>
      <c r="R1618" s="12"/>
    </row>
    <row r="1619" spans="6:18">
      <c r="F1619" s="12"/>
      <c r="K1619" s="23"/>
      <c r="L1619" s="23"/>
      <c r="M1619" s="12"/>
      <c r="N1619" s="23"/>
      <c r="Q1619" s="23"/>
      <c r="R1619" s="12"/>
    </row>
    <row r="1620" spans="6:18">
      <c r="F1620" s="12"/>
      <c r="K1620" s="23"/>
      <c r="L1620" s="23"/>
      <c r="M1620" s="12"/>
      <c r="N1620" s="23"/>
      <c r="Q1620" s="23"/>
      <c r="R1620" s="12"/>
    </row>
    <row r="1621" spans="6:18">
      <c r="F1621" s="12"/>
      <c r="K1621" s="23"/>
      <c r="L1621" s="23"/>
      <c r="M1621" s="12"/>
      <c r="N1621" s="23"/>
      <c r="Q1621" s="23"/>
      <c r="R1621" s="12"/>
    </row>
    <row r="1622" spans="6:18">
      <c r="K1622" s="23"/>
      <c r="L1622" s="23"/>
      <c r="M1622" s="12"/>
      <c r="N1622" s="23"/>
      <c r="Q1622" s="23"/>
      <c r="R1622" s="12"/>
    </row>
    <row r="1623" spans="6:18">
      <c r="K1623" s="23"/>
      <c r="L1623" s="23"/>
      <c r="M1623" s="12"/>
      <c r="N1623" s="23"/>
      <c r="Q1623" s="23"/>
      <c r="R1623" s="12"/>
    </row>
    <row r="1624" spans="6:18">
      <c r="K1624" s="23"/>
      <c r="L1624" s="23"/>
      <c r="M1624" s="12"/>
      <c r="N1624" s="23"/>
      <c r="Q1624" s="23"/>
      <c r="R1624" s="12"/>
    </row>
    <row r="1625" spans="6:18">
      <c r="K1625" s="23"/>
      <c r="L1625" s="23"/>
      <c r="M1625" s="12"/>
      <c r="N1625" s="23"/>
      <c r="Q1625" s="23"/>
      <c r="R1625" s="12"/>
    </row>
    <row r="1626" spans="6:18">
      <c r="K1626" s="23"/>
      <c r="L1626" s="23"/>
      <c r="M1626" s="12"/>
      <c r="N1626" s="23"/>
      <c r="Q1626" s="23"/>
      <c r="R1626" s="12"/>
    </row>
    <row r="1627" spans="6:18">
      <c r="K1627" s="23"/>
      <c r="L1627" s="23"/>
      <c r="M1627" s="12"/>
      <c r="N1627" s="23"/>
      <c r="Q1627" s="23"/>
      <c r="R1627" s="12"/>
    </row>
    <row r="1628" spans="6:18">
      <c r="F1628" s="12"/>
      <c r="K1628" s="23"/>
      <c r="L1628" s="23"/>
      <c r="M1628" s="12"/>
      <c r="N1628" s="23"/>
      <c r="Q1628" s="23"/>
      <c r="R1628" s="12"/>
    </row>
    <row r="1629" spans="6:18">
      <c r="F1629" s="12"/>
      <c r="K1629" s="23"/>
      <c r="L1629" s="23"/>
      <c r="M1629" s="12"/>
      <c r="N1629" s="23"/>
      <c r="Q1629" s="23"/>
      <c r="R1629" s="12"/>
    </row>
    <row r="1630" spans="6:18">
      <c r="F1630" s="12"/>
      <c r="K1630" s="23"/>
      <c r="L1630" s="23"/>
      <c r="M1630" s="12"/>
      <c r="N1630" s="23"/>
      <c r="Q1630" s="23"/>
      <c r="R1630" s="12"/>
    </row>
    <row r="1631" spans="6:18">
      <c r="K1631" s="23"/>
      <c r="L1631" s="23"/>
      <c r="M1631" s="12"/>
      <c r="N1631" s="23"/>
      <c r="Q1631" s="23"/>
      <c r="R1631" s="12"/>
    </row>
    <row r="1632" spans="6:18">
      <c r="K1632" s="23"/>
      <c r="L1632" s="23"/>
      <c r="M1632" s="12"/>
      <c r="N1632" s="23"/>
      <c r="Q1632" s="23"/>
      <c r="R1632" s="12"/>
    </row>
    <row r="1633" spans="7:18">
      <c r="K1633" s="23"/>
      <c r="L1633" s="23"/>
      <c r="M1633" s="12"/>
      <c r="N1633" s="23"/>
      <c r="Q1633" s="23"/>
      <c r="R1633" s="12"/>
    </row>
    <row r="1634" spans="7:18">
      <c r="K1634" s="23"/>
      <c r="L1634" s="23"/>
      <c r="M1634" s="12"/>
      <c r="N1634" s="23"/>
      <c r="Q1634" s="23"/>
      <c r="R1634" s="12"/>
    </row>
    <row r="1635" spans="7:18">
      <c r="K1635" s="23"/>
      <c r="L1635" s="23"/>
      <c r="M1635" s="12"/>
      <c r="N1635" s="23"/>
      <c r="Q1635" s="23"/>
      <c r="R1635" s="12"/>
    </row>
    <row r="1636" spans="7:18">
      <c r="G1636" s="10"/>
      <c r="H1636" s="10"/>
      <c r="K1636" s="23"/>
      <c r="L1636" s="23"/>
      <c r="M1636" s="12"/>
      <c r="N1636" s="23"/>
      <c r="Q1636" s="23"/>
      <c r="R1636" s="12"/>
    </row>
    <row r="1637" spans="7:18">
      <c r="G1637"/>
      <c r="H1637"/>
      <c r="K1637" s="23"/>
      <c r="L1637" s="23"/>
      <c r="M1637" s="12"/>
      <c r="N1637" s="23"/>
      <c r="Q1637" s="23"/>
      <c r="R1637" s="12"/>
    </row>
    <row r="1638" spans="7:18">
      <c r="G1638"/>
      <c r="H1638"/>
      <c r="K1638" s="23"/>
      <c r="L1638" s="23"/>
      <c r="M1638" s="12"/>
      <c r="N1638" s="23"/>
      <c r="Q1638" s="23"/>
      <c r="R1638" s="12"/>
    </row>
    <row r="1639" spans="7:18">
      <c r="G1639"/>
      <c r="H1639"/>
      <c r="K1639" s="23"/>
      <c r="L1639" s="23"/>
      <c r="M1639" s="12"/>
      <c r="N1639" s="23"/>
      <c r="Q1639" s="23"/>
      <c r="R1639" s="12"/>
    </row>
    <row r="1640" spans="7:18">
      <c r="G1640" s="10"/>
      <c r="H1640" s="10"/>
      <c r="K1640" s="23"/>
      <c r="L1640" s="23"/>
      <c r="M1640" s="12"/>
      <c r="N1640" s="23"/>
      <c r="Q1640" s="23"/>
      <c r="R1640" s="12"/>
    </row>
    <row r="1641" spans="7:18">
      <c r="G1641" s="10"/>
      <c r="H1641" s="10"/>
      <c r="K1641" s="23"/>
      <c r="L1641" s="23"/>
      <c r="M1641" s="12"/>
      <c r="N1641" s="23"/>
      <c r="Q1641" s="23"/>
      <c r="R1641" s="12"/>
    </row>
    <row r="1642" spans="7:18">
      <c r="G1642" s="10"/>
      <c r="H1642" s="10"/>
      <c r="K1642" s="23"/>
      <c r="L1642" s="23"/>
      <c r="M1642" s="12"/>
      <c r="N1642" s="23"/>
      <c r="Q1642" s="23"/>
      <c r="R1642" s="12"/>
    </row>
    <row r="1643" spans="7:18">
      <c r="G1643" s="10"/>
      <c r="H1643" s="10"/>
      <c r="K1643" s="23"/>
      <c r="L1643" s="23"/>
      <c r="M1643" s="12"/>
      <c r="N1643" s="23"/>
      <c r="Q1643" s="23"/>
      <c r="R1643" s="12"/>
    </row>
    <row r="1644" spans="7:18">
      <c r="G1644" s="10"/>
      <c r="H1644" s="10"/>
      <c r="K1644" s="23"/>
      <c r="L1644" s="23"/>
      <c r="M1644" s="12"/>
      <c r="N1644" s="23"/>
      <c r="Q1644" s="23"/>
      <c r="R1644" s="12"/>
    </row>
    <row r="1645" spans="7:18">
      <c r="G1645" s="10"/>
      <c r="H1645" s="10"/>
      <c r="K1645" s="23"/>
      <c r="L1645" s="23"/>
      <c r="M1645" s="12"/>
      <c r="N1645" s="23"/>
      <c r="Q1645" s="23"/>
      <c r="R1645" s="12"/>
    </row>
    <row r="1646" spans="7:18">
      <c r="G1646"/>
      <c r="H1646"/>
      <c r="K1646" s="23"/>
      <c r="L1646" s="23"/>
      <c r="M1646" s="12"/>
      <c r="N1646" s="23"/>
      <c r="Q1646" s="23"/>
      <c r="R1646" s="12"/>
    </row>
    <row r="1647" spans="7:18">
      <c r="G1647"/>
      <c r="H1647"/>
      <c r="K1647" s="23"/>
      <c r="L1647" s="23"/>
      <c r="M1647" s="12"/>
      <c r="N1647" s="23"/>
      <c r="Q1647" s="23"/>
      <c r="R1647" s="12"/>
    </row>
    <row r="1648" spans="7:18">
      <c r="G1648"/>
      <c r="H1648"/>
      <c r="K1648" s="23"/>
      <c r="L1648" s="23"/>
      <c r="M1648" s="12"/>
      <c r="N1648" s="23"/>
      <c r="Q1648" s="23"/>
      <c r="R1648" s="12"/>
    </row>
    <row r="1649" spans="7:18">
      <c r="G1649" s="10"/>
      <c r="H1649" s="10"/>
      <c r="K1649" s="23"/>
      <c r="L1649" s="23"/>
      <c r="M1649" s="12"/>
      <c r="N1649" s="23"/>
      <c r="Q1649" s="23"/>
      <c r="R1649" s="12"/>
    </row>
    <row r="1650" spans="7:18">
      <c r="G1650" s="10"/>
      <c r="H1650" s="10"/>
      <c r="K1650" s="23"/>
      <c r="L1650" s="23"/>
      <c r="M1650" s="12"/>
      <c r="N1650" s="23"/>
      <c r="Q1650" s="23"/>
      <c r="R1650" s="12"/>
    </row>
    <row r="1651" spans="7:18">
      <c r="G1651" s="10"/>
      <c r="H1651" s="10"/>
      <c r="K1651" s="23"/>
      <c r="L1651" s="23"/>
      <c r="M1651" s="12"/>
      <c r="N1651" s="23"/>
      <c r="Q1651" s="23"/>
      <c r="R1651" s="12"/>
    </row>
    <row r="1652" spans="7:18">
      <c r="G1652" s="10"/>
      <c r="H1652" s="10"/>
      <c r="K1652" s="23"/>
      <c r="L1652" s="23"/>
      <c r="M1652" s="12"/>
      <c r="N1652" s="23"/>
      <c r="Q1652" s="23"/>
      <c r="R1652" s="12"/>
    </row>
    <row r="1653" spans="7:18">
      <c r="G1653" s="10"/>
      <c r="H1653" s="10"/>
      <c r="K1653" s="23"/>
      <c r="L1653" s="23"/>
      <c r="M1653" s="12"/>
      <c r="N1653" s="23"/>
      <c r="Q1653" s="23"/>
      <c r="R1653" s="12"/>
    </row>
    <row r="1654" spans="7:18">
      <c r="G1654" s="10"/>
      <c r="H1654" s="10"/>
      <c r="K1654" s="23"/>
      <c r="L1654" s="23"/>
      <c r="M1654" s="12"/>
      <c r="N1654" s="23"/>
      <c r="Q1654" s="23"/>
      <c r="R1654" s="12"/>
    </row>
    <row r="1655" spans="7:18">
      <c r="G1655" s="10"/>
      <c r="H1655" s="10"/>
      <c r="K1655" s="23"/>
      <c r="L1655" s="23"/>
      <c r="M1655" s="12"/>
      <c r="N1655" s="23"/>
      <c r="Q1655" s="23"/>
      <c r="R1655" s="12"/>
    </row>
    <row r="1656" spans="7:18">
      <c r="G1656"/>
      <c r="H1656"/>
      <c r="K1656" s="23"/>
      <c r="L1656" s="23"/>
      <c r="M1656" s="12"/>
      <c r="N1656" s="23"/>
      <c r="Q1656" s="23"/>
      <c r="R1656" s="12"/>
    </row>
    <row r="1657" spans="7:18">
      <c r="G1657"/>
      <c r="H1657"/>
      <c r="K1657" s="23"/>
      <c r="L1657" s="23"/>
      <c r="M1657" s="12"/>
      <c r="N1657" s="23"/>
      <c r="Q1657" s="23"/>
      <c r="R1657" s="12"/>
    </row>
    <row r="1658" spans="7:18">
      <c r="G1658"/>
      <c r="H1658"/>
      <c r="K1658" s="23"/>
      <c r="L1658" s="23"/>
      <c r="M1658" s="12"/>
      <c r="N1658" s="23"/>
      <c r="Q1658" s="23"/>
      <c r="R1658" s="12"/>
    </row>
    <row r="1659" spans="7:18">
      <c r="G1659" s="10"/>
      <c r="H1659" s="10"/>
      <c r="K1659" s="23"/>
      <c r="L1659" s="23"/>
      <c r="M1659" s="12"/>
      <c r="N1659" s="23"/>
      <c r="Q1659" s="23"/>
      <c r="R1659" s="12"/>
    </row>
    <row r="1660" spans="7:18">
      <c r="G1660" s="10"/>
      <c r="H1660" s="10"/>
      <c r="K1660" s="23"/>
      <c r="L1660" s="23"/>
      <c r="M1660" s="12"/>
      <c r="N1660" s="23"/>
      <c r="Q1660" s="23"/>
      <c r="R1660" s="12"/>
    </row>
    <row r="1661" spans="7:18">
      <c r="G1661" s="10"/>
      <c r="H1661" s="10"/>
      <c r="K1661" s="23"/>
      <c r="L1661" s="23"/>
      <c r="M1661" s="12"/>
      <c r="N1661" s="23"/>
      <c r="Q1661" s="23"/>
      <c r="R1661" s="12"/>
    </row>
    <row r="1662" spans="7:18">
      <c r="G1662" s="10"/>
      <c r="H1662" s="10"/>
      <c r="K1662" s="23"/>
      <c r="L1662" s="23"/>
      <c r="M1662" s="12"/>
      <c r="N1662" s="23"/>
      <c r="Q1662" s="23"/>
      <c r="R1662" s="12"/>
    </row>
    <row r="1663" spans="7:18">
      <c r="G1663" s="10"/>
      <c r="H1663" s="10"/>
      <c r="K1663" s="23"/>
      <c r="L1663" s="23"/>
      <c r="M1663" s="12"/>
      <c r="N1663" s="23"/>
      <c r="Q1663" s="23"/>
      <c r="R1663" s="12"/>
    </row>
    <row r="1664" spans="7:18">
      <c r="G1664" s="10"/>
      <c r="H1664" s="10"/>
      <c r="K1664" s="23"/>
      <c r="L1664" s="23"/>
      <c r="M1664" s="12"/>
      <c r="N1664" s="23"/>
      <c r="Q1664" s="23"/>
      <c r="R1664" s="12"/>
    </row>
    <row r="1665" spans="6:18">
      <c r="G1665"/>
      <c r="H1665"/>
      <c r="K1665" s="23"/>
      <c r="L1665" s="23"/>
      <c r="M1665" s="12"/>
      <c r="N1665" s="23"/>
      <c r="Q1665" s="23"/>
      <c r="R1665" s="12"/>
    </row>
    <row r="1666" spans="6:18">
      <c r="G1666"/>
      <c r="H1666"/>
      <c r="K1666" s="23"/>
      <c r="L1666" s="23"/>
      <c r="M1666" s="12"/>
      <c r="N1666" s="23"/>
      <c r="Q1666" s="23"/>
      <c r="R1666" s="12"/>
    </row>
    <row r="1667" spans="6:18">
      <c r="G1667"/>
      <c r="H1667"/>
      <c r="K1667" s="23"/>
      <c r="L1667" s="23"/>
      <c r="M1667" s="12"/>
      <c r="N1667" s="23"/>
      <c r="Q1667" s="23"/>
      <c r="R1667" s="12"/>
    </row>
    <row r="1668" spans="6:18">
      <c r="F1668" s="12"/>
      <c r="K1668" s="23"/>
      <c r="L1668" s="23"/>
      <c r="M1668" s="12"/>
      <c r="N1668" s="23"/>
      <c r="Q1668" s="23"/>
      <c r="R1668" s="12"/>
    </row>
    <row r="1669" spans="6:18">
      <c r="F1669" s="12"/>
      <c r="K1669" s="23"/>
      <c r="L1669" s="23"/>
      <c r="M1669" s="12"/>
      <c r="N1669" s="23"/>
      <c r="Q1669" s="23"/>
      <c r="R1669" s="12"/>
    </row>
    <row r="1670" spans="6:18">
      <c r="F1670" s="12"/>
      <c r="K1670" s="23"/>
      <c r="L1670" s="23"/>
      <c r="M1670" s="12"/>
      <c r="N1670" s="23"/>
      <c r="Q1670" s="23"/>
      <c r="R1670" s="12"/>
    </row>
    <row r="1671" spans="6:18">
      <c r="F1671" s="12"/>
      <c r="K1671" s="23"/>
      <c r="L1671" s="23"/>
      <c r="M1671" s="12"/>
      <c r="N1671" s="23"/>
      <c r="Q1671" s="23"/>
      <c r="R1671" s="12"/>
    </row>
    <row r="1672" spans="6:18">
      <c r="F1672" s="12"/>
      <c r="K1672" s="23"/>
      <c r="L1672" s="23"/>
      <c r="M1672" s="12"/>
      <c r="N1672" s="23"/>
      <c r="Q1672" s="23"/>
      <c r="R1672" s="12"/>
    </row>
    <row r="1673" spans="6:18">
      <c r="K1673" s="23"/>
      <c r="L1673" s="23"/>
      <c r="M1673" s="12"/>
      <c r="N1673" s="23"/>
      <c r="Q1673" s="23"/>
      <c r="R1673" s="12"/>
    </row>
    <row r="1674" spans="6:18">
      <c r="F1674" s="12"/>
      <c r="K1674" s="23"/>
      <c r="L1674" s="23"/>
      <c r="M1674" s="12"/>
      <c r="N1674" s="23"/>
      <c r="Q1674" s="23"/>
      <c r="R1674" s="12"/>
    </row>
    <row r="1675" spans="6:18">
      <c r="F1675" s="12"/>
      <c r="K1675" s="23"/>
      <c r="L1675" s="23"/>
      <c r="M1675" s="12"/>
      <c r="N1675" s="23"/>
      <c r="Q1675" s="23"/>
      <c r="R1675" s="12"/>
    </row>
    <row r="1676" spans="6:18">
      <c r="K1676" s="23"/>
      <c r="L1676" s="23"/>
      <c r="M1676" s="12"/>
      <c r="N1676" s="23"/>
      <c r="Q1676" s="23"/>
      <c r="R1676" s="12"/>
    </row>
    <row r="1677" spans="6:18">
      <c r="K1677" s="23"/>
      <c r="L1677" s="23"/>
      <c r="M1677" s="12"/>
      <c r="N1677" s="23"/>
      <c r="Q1677" s="23"/>
      <c r="R1677" s="12"/>
    </row>
    <row r="1678" spans="6:18">
      <c r="K1678" s="23"/>
      <c r="L1678" s="23"/>
      <c r="M1678" s="12"/>
      <c r="N1678" s="23"/>
      <c r="Q1678" s="23"/>
      <c r="R1678" s="12"/>
    </row>
    <row r="1679" spans="6:18">
      <c r="K1679" s="23"/>
      <c r="L1679" s="23"/>
      <c r="M1679" s="12"/>
      <c r="N1679" s="23"/>
      <c r="Q1679" s="23"/>
      <c r="R1679" s="12"/>
    </row>
    <row r="1680" spans="6:18">
      <c r="K1680" s="23"/>
      <c r="L1680" s="23"/>
      <c r="M1680" s="12"/>
      <c r="N1680" s="23"/>
      <c r="Q1680" s="23"/>
      <c r="R1680" s="12"/>
    </row>
    <row r="1681" spans="6:18">
      <c r="K1681" s="23"/>
      <c r="L1681" s="23"/>
      <c r="M1681" s="12"/>
      <c r="N1681" s="23"/>
      <c r="Q1681" s="23"/>
      <c r="R1681" s="12"/>
    </row>
    <row r="1682" spans="6:18">
      <c r="F1682" s="12"/>
      <c r="K1682" s="23"/>
      <c r="L1682" s="23"/>
      <c r="M1682" s="12"/>
      <c r="N1682" s="23"/>
      <c r="Q1682" s="23"/>
      <c r="R1682" s="12"/>
    </row>
    <row r="1683" spans="6:18">
      <c r="F1683" s="12"/>
      <c r="K1683" s="23"/>
      <c r="L1683" s="23"/>
      <c r="M1683" s="12"/>
      <c r="N1683" s="23"/>
      <c r="Q1683" s="23"/>
      <c r="R1683" s="12"/>
    </row>
    <row r="1684" spans="6:18">
      <c r="F1684" s="12"/>
      <c r="K1684" s="23"/>
      <c r="L1684" s="23"/>
      <c r="M1684" s="12"/>
      <c r="N1684" s="23"/>
      <c r="Q1684" s="23"/>
      <c r="R1684" s="12"/>
    </row>
    <row r="1685" spans="6:18">
      <c r="K1685" s="23"/>
      <c r="L1685" s="23"/>
      <c r="M1685" s="12"/>
      <c r="N1685" s="23"/>
      <c r="Q1685" s="23"/>
      <c r="R1685" s="12"/>
    </row>
    <row r="1686" spans="6:18">
      <c r="K1686" s="23"/>
      <c r="L1686" s="23"/>
      <c r="M1686" s="12"/>
      <c r="N1686" s="23"/>
      <c r="Q1686" s="23"/>
      <c r="R1686" s="12"/>
    </row>
    <row r="1687" spans="6:18">
      <c r="G1687" s="10"/>
      <c r="H1687"/>
      <c r="K1687" s="23"/>
      <c r="L1687" s="23"/>
      <c r="M1687" s="12"/>
      <c r="N1687" s="23"/>
      <c r="Q1687" s="23"/>
      <c r="R1687" s="12"/>
    </row>
    <row r="1688" spans="6:18">
      <c r="G1688" s="10"/>
      <c r="H1688"/>
      <c r="K1688" s="23"/>
      <c r="L1688" s="23"/>
      <c r="M1688" s="12"/>
      <c r="N1688" s="23"/>
      <c r="Q1688" s="23"/>
      <c r="R1688" s="12"/>
    </row>
    <row r="1689" spans="6:18">
      <c r="G1689" s="10"/>
      <c r="H1689" s="10"/>
      <c r="K1689" s="23"/>
      <c r="L1689" s="23"/>
      <c r="M1689" s="12"/>
      <c r="N1689" s="23"/>
      <c r="Q1689" s="23"/>
      <c r="R1689" s="12"/>
    </row>
    <row r="1690" spans="6:18">
      <c r="G1690" s="10"/>
      <c r="H1690"/>
      <c r="K1690" s="23"/>
      <c r="L1690" s="23"/>
      <c r="M1690" s="12"/>
      <c r="N1690" s="23"/>
      <c r="Q1690" s="23"/>
      <c r="R1690" s="12"/>
    </row>
    <row r="1691" spans="6:18">
      <c r="G1691"/>
      <c r="H1691"/>
      <c r="K1691" s="23"/>
      <c r="L1691" s="23"/>
      <c r="M1691" s="12"/>
      <c r="N1691" s="23"/>
      <c r="Q1691" s="23"/>
      <c r="R1691" s="12"/>
    </row>
    <row r="1692" spans="6:18">
      <c r="G1692"/>
      <c r="H1692"/>
      <c r="K1692" s="23"/>
      <c r="L1692" s="23"/>
      <c r="M1692" s="12"/>
      <c r="N1692" s="23"/>
      <c r="Q1692" s="23"/>
      <c r="R1692" s="12"/>
    </row>
    <row r="1693" spans="6:18">
      <c r="G1693"/>
      <c r="H1693"/>
      <c r="K1693" s="23"/>
      <c r="L1693" s="23"/>
      <c r="M1693" s="12"/>
      <c r="N1693" s="23"/>
      <c r="Q1693" s="23"/>
      <c r="R1693" s="12"/>
    </row>
    <row r="1694" spans="6:18">
      <c r="G1694" s="10"/>
      <c r="H1694" s="10"/>
      <c r="K1694" s="23"/>
      <c r="L1694" s="23"/>
      <c r="M1694" s="12"/>
      <c r="N1694" s="23"/>
      <c r="Q1694" s="23"/>
      <c r="R1694" s="12"/>
    </row>
    <row r="1695" spans="6:18">
      <c r="G1695" s="10"/>
      <c r="H1695" s="10"/>
      <c r="K1695" s="23"/>
      <c r="L1695" s="23"/>
      <c r="M1695" s="12"/>
      <c r="N1695" s="23"/>
      <c r="Q1695" s="23"/>
      <c r="R1695" s="12"/>
    </row>
    <row r="1696" spans="6:18">
      <c r="G1696" s="10"/>
      <c r="H1696" s="10"/>
      <c r="K1696" s="23"/>
      <c r="L1696" s="23"/>
      <c r="M1696" s="12"/>
      <c r="N1696" s="23"/>
      <c r="Q1696" s="23"/>
      <c r="R1696" s="12"/>
    </row>
    <row r="1697" spans="7:18">
      <c r="G1697" s="10"/>
      <c r="H1697" s="10"/>
      <c r="K1697" s="23"/>
      <c r="L1697" s="23"/>
      <c r="M1697" s="12"/>
      <c r="N1697" s="23"/>
      <c r="Q1697" s="23"/>
      <c r="R1697" s="12"/>
    </row>
    <row r="1698" spans="7:18">
      <c r="G1698" s="10"/>
      <c r="H1698" s="10"/>
      <c r="K1698" s="23"/>
      <c r="L1698" s="23"/>
      <c r="M1698" s="12"/>
      <c r="N1698" s="23"/>
      <c r="Q1698" s="23"/>
      <c r="R1698" s="12"/>
    </row>
    <row r="1699" spans="7:18">
      <c r="G1699" s="10"/>
      <c r="H1699" s="10"/>
      <c r="K1699" s="23"/>
      <c r="L1699" s="23"/>
      <c r="M1699" s="12"/>
      <c r="N1699" s="23"/>
      <c r="Q1699" s="23"/>
      <c r="R1699" s="12"/>
    </row>
    <row r="1700" spans="7:18">
      <c r="G1700"/>
      <c r="H1700"/>
      <c r="K1700" s="23"/>
      <c r="L1700" s="23"/>
      <c r="M1700" s="12"/>
      <c r="N1700" s="23"/>
      <c r="Q1700" s="23"/>
      <c r="R1700" s="12"/>
    </row>
    <row r="1701" spans="7:18">
      <c r="G1701"/>
      <c r="H1701"/>
      <c r="K1701" s="23"/>
      <c r="L1701" s="23"/>
      <c r="M1701" s="12"/>
      <c r="N1701" s="23"/>
      <c r="Q1701" s="23"/>
      <c r="R1701" s="12"/>
    </row>
    <row r="1702" spans="7:18">
      <c r="G1702"/>
      <c r="H1702"/>
      <c r="K1702" s="23"/>
      <c r="L1702" s="23"/>
      <c r="M1702" s="12"/>
      <c r="N1702" s="23"/>
      <c r="Q1702" s="23"/>
      <c r="R1702" s="12"/>
    </row>
    <row r="1703" spans="7:18">
      <c r="G1703" s="10"/>
      <c r="H1703"/>
      <c r="K1703" s="23"/>
      <c r="L1703" s="23"/>
      <c r="M1703" s="12"/>
      <c r="N1703" s="23"/>
      <c r="Q1703" s="23"/>
      <c r="R1703" s="12"/>
    </row>
    <row r="1704" spans="7:18">
      <c r="G1704" s="10"/>
      <c r="H1704"/>
      <c r="K1704" s="23"/>
      <c r="L1704" s="23"/>
      <c r="M1704" s="12"/>
      <c r="N1704" s="23"/>
      <c r="Q1704" s="23"/>
      <c r="R1704" s="12"/>
    </row>
    <row r="1705" spans="7:18">
      <c r="G1705" s="10"/>
      <c r="H1705" s="10"/>
      <c r="K1705" s="23"/>
      <c r="L1705" s="23"/>
      <c r="M1705" s="12"/>
      <c r="N1705" s="23"/>
      <c r="Q1705" s="23"/>
      <c r="R1705" s="12"/>
    </row>
    <row r="1706" spans="7:18">
      <c r="G1706" s="10"/>
      <c r="H1706"/>
      <c r="K1706" s="23"/>
      <c r="L1706" s="23"/>
      <c r="M1706" s="12"/>
      <c r="N1706" s="23"/>
      <c r="Q1706" s="23"/>
      <c r="R1706" s="12"/>
    </row>
    <row r="1707" spans="7:18">
      <c r="G1707"/>
      <c r="H1707"/>
      <c r="K1707" s="23"/>
      <c r="L1707" s="23"/>
      <c r="M1707" s="12"/>
      <c r="N1707" s="23"/>
      <c r="Q1707" s="23"/>
      <c r="R1707" s="12"/>
    </row>
    <row r="1708" spans="7:18">
      <c r="G1708"/>
      <c r="H1708"/>
      <c r="K1708" s="23"/>
      <c r="L1708" s="23"/>
      <c r="M1708" s="12"/>
      <c r="N1708" s="23"/>
      <c r="Q1708" s="23"/>
      <c r="R1708" s="12"/>
    </row>
    <row r="1709" spans="7:18">
      <c r="G1709"/>
      <c r="H1709"/>
      <c r="K1709" s="23"/>
      <c r="L1709" s="23"/>
      <c r="M1709" s="12"/>
      <c r="N1709" s="23"/>
      <c r="Q1709" s="23"/>
      <c r="R1709" s="12"/>
    </row>
    <row r="1710" spans="7:18">
      <c r="G1710" s="10"/>
      <c r="H1710" s="10"/>
      <c r="K1710" s="23"/>
      <c r="L1710" s="23"/>
      <c r="M1710" s="12"/>
      <c r="N1710" s="23"/>
      <c r="Q1710" s="23"/>
      <c r="R1710" s="12"/>
    </row>
    <row r="1711" spans="7:18">
      <c r="G1711" s="10"/>
      <c r="H1711" s="10"/>
      <c r="K1711" s="23"/>
      <c r="L1711" s="23"/>
      <c r="M1711" s="12"/>
      <c r="N1711" s="23"/>
      <c r="Q1711" s="23"/>
      <c r="R1711" s="12"/>
    </row>
    <row r="1712" spans="7:18">
      <c r="G1712" s="10"/>
      <c r="H1712" s="10"/>
      <c r="K1712" s="23"/>
      <c r="L1712" s="23"/>
      <c r="M1712" s="12"/>
      <c r="N1712" s="23"/>
      <c r="Q1712" s="23"/>
      <c r="R1712" s="12"/>
    </row>
    <row r="1713" spans="7:18">
      <c r="G1713" s="10"/>
      <c r="H1713" s="10"/>
      <c r="K1713" s="23"/>
      <c r="L1713" s="23"/>
      <c r="M1713" s="12"/>
      <c r="N1713" s="23"/>
      <c r="Q1713" s="23"/>
      <c r="R1713" s="12"/>
    </row>
    <row r="1714" spans="7:18">
      <c r="G1714" s="10"/>
      <c r="H1714" s="10"/>
      <c r="K1714" s="23"/>
      <c r="L1714" s="23"/>
      <c r="M1714" s="12"/>
      <c r="N1714" s="23"/>
      <c r="Q1714" s="23"/>
      <c r="R1714" s="12"/>
    </row>
    <row r="1715" spans="7:18">
      <c r="G1715" s="10"/>
      <c r="H1715" s="10"/>
      <c r="K1715" s="23"/>
      <c r="L1715" s="23"/>
      <c r="M1715" s="12"/>
      <c r="N1715" s="23"/>
      <c r="Q1715" s="23"/>
      <c r="R1715" s="12"/>
    </row>
    <row r="1716" spans="7:18">
      <c r="G1716"/>
      <c r="H1716"/>
      <c r="K1716" s="23"/>
      <c r="L1716" s="23"/>
      <c r="M1716" s="12"/>
      <c r="N1716" s="23"/>
      <c r="Q1716" s="23"/>
      <c r="R1716" s="12"/>
    </row>
    <row r="1717" spans="7:18">
      <c r="G1717"/>
      <c r="H1717"/>
      <c r="K1717" s="23"/>
      <c r="L1717" s="23"/>
      <c r="M1717" s="12"/>
      <c r="N1717" s="23"/>
      <c r="Q1717" s="23"/>
      <c r="R1717" s="12"/>
    </row>
    <row r="1718" spans="7:18">
      <c r="G1718"/>
      <c r="H1718"/>
      <c r="K1718" s="23"/>
      <c r="L1718" s="23"/>
      <c r="M1718" s="12"/>
      <c r="N1718" s="23"/>
      <c r="Q1718" s="23"/>
      <c r="R1718" s="12"/>
    </row>
    <row r="1719" spans="7:18">
      <c r="G1719" s="10"/>
      <c r="H1719" s="10"/>
      <c r="K1719" s="23"/>
      <c r="L1719" s="23"/>
      <c r="M1719" s="12"/>
      <c r="N1719" s="23"/>
      <c r="Q1719" s="23"/>
      <c r="R1719" s="12"/>
    </row>
    <row r="1720" spans="7:18">
      <c r="G1720" s="10"/>
      <c r="H1720" s="10"/>
      <c r="K1720" s="23"/>
      <c r="L1720" s="23"/>
      <c r="M1720" s="12"/>
      <c r="N1720" s="23"/>
      <c r="Q1720" s="23"/>
      <c r="R1720" s="12"/>
    </row>
    <row r="1721" spans="7:18">
      <c r="G1721" s="10"/>
      <c r="H1721" s="10"/>
      <c r="K1721" s="23"/>
      <c r="L1721" s="23"/>
      <c r="M1721" s="12"/>
      <c r="N1721" s="23"/>
      <c r="Q1721" s="23"/>
      <c r="R1721" s="12"/>
    </row>
    <row r="1722" spans="7:18">
      <c r="G1722" s="10"/>
      <c r="H1722" s="10"/>
      <c r="K1722" s="23"/>
      <c r="L1722" s="23"/>
      <c r="M1722" s="12"/>
      <c r="N1722" s="23"/>
      <c r="Q1722" s="23"/>
      <c r="R1722" s="12"/>
    </row>
    <row r="1723" spans="7:18">
      <c r="G1723"/>
      <c r="H1723"/>
      <c r="K1723" s="23"/>
      <c r="L1723" s="23"/>
      <c r="M1723" s="12"/>
      <c r="N1723" s="23"/>
      <c r="Q1723" s="23"/>
      <c r="R1723" s="12"/>
    </row>
    <row r="1724" spans="7:18">
      <c r="G1724"/>
      <c r="H1724"/>
      <c r="K1724" s="23"/>
      <c r="L1724" s="23"/>
      <c r="M1724" s="12"/>
      <c r="N1724" s="23"/>
      <c r="Q1724" s="23"/>
      <c r="R1724" s="12"/>
    </row>
    <row r="1725" spans="7:18">
      <c r="G1725"/>
      <c r="H1725"/>
      <c r="K1725" s="23"/>
      <c r="L1725" s="23"/>
      <c r="M1725" s="12"/>
      <c r="N1725" s="23"/>
      <c r="Q1725" s="23"/>
      <c r="R1725" s="12"/>
    </row>
    <row r="1726" spans="7:18">
      <c r="G1726" s="10"/>
      <c r="H1726" s="10"/>
      <c r="K1726" s="23"/>
      <c r="L1726" s="23"/>
      <c r="M1726" s="12"/>
      <c r="N1726" s="23"/>
      <c r="Q1726" s="23"/>
      <c r="R1726" s="12"/>
    </row>
    <row r="1727" spans="7:18">
      <c r="G1727" s="10"/>
      <c r="H1727" s="10"/>
      <c r="K1727" s="23"/>
      <c r="L1727" s="23"/>
      <c r="M1727" s="12"/>
      <c r="N1727" s="23"/>
      <c r="Q1727" s="23"/>
      <c r="R1727" s="12"/>
    </row>
    <row r="1728" spans="7:18">
      <c r="G1728" s="10"/>
      <c r="H1728" s="10"/>
      <c r="K1728" s="23"/>
      <c r="L1728" s="23"/>
      <c r="M1728" s="12"/>
      <c r="N1728" s="23"/>
      <c r="Q1728" s="23"/>
      <c r="R1728" s="12"/>
    </row>
    <row r="1729" spans="7:18">
      <c r="G1729"/>
      <c r="H1729"/>
      <c r="K1729" s="23"/>
      <c r="L1729" s="23"/>
      <c r="M1729" s="12"/>
      <c r="N1729" s="23"/>
      <c r="Q1729" s="23"/>
      <c r="R1729" s="12"/>
    </row>
    <row r="1730" spans="7:18">
      <c r="G1730" s="10"/>
      <c r="H1730" s="10"/>
      <c r="K1730" s="23"/>
      <c r="L1730" s="23"/>
      <c r="M1730" s="12"/>
      <c r="N1730" s="23"/>
      <c r="Q1730" s="23"/>
      <c r="R1730" s="12"/>
    </row>
    <row r="1731" spans="7:18">
      <c r="G1731" s="10"/>
      <c r="H1731" s="10"/>
      <c r="K1731" s="23"/>
      <c r="L1731" s="23"/>
      <c r="M1731" s="12"/>
      <c r="N1731" s="23"/>
      <c r="Q1731" s="23"/>
      <c r="R1731" s="12"/>
    </row>
    <row r="1732" spans="7:18">
      <c r="G1732" s="10"/>
      <c r="H1732" s="10"/>
      <c r="K1732" s="23"/>
      <c r="L1732" s="23"/>
      <c r="M1732" s="12"/>
      <c r="N1732" s="23"/>
      <c r="Q1732" s="23"/>
      <c r="R1732" s="12"/>
    </row>
    <row r="1733" spans="7:18">
      <c r="G1733" s="10"/>
      <c r="H1733" s="10"/>
      <c r="K1733" s="23"/>
      <c r="L1733" s="23"/>
      <c r="M1733" s="12"/>
      <c r="N1733" s="23"/>
      <c r="Q1733" s="23"/>
      <c r="R1733" s="12"/>
    </row>
    <row r="1734" spans="7:18">
      <c r="G1734" s="10"/>
      <c r="H1734" s="10"/>
      <c r="K1734" s="23"/>
      <c r="L1734" s="23"/>
      <c r="M1734" s="12"/>
      <c r="N1734" s="23"/>
      <c r="Q1734" s="23"/>
      <c r="R1734" s="12"/>
    </row>
    <row r="1735" spans="7:18">
      <c r="G1735" s="10"/>
      <c r="H1735" s="10"/>
      <c r="K1735" s="23"/>
      <c r="L1735" s="23"/>
      <c r="M1735" s="12"/>
      <c r="N1735" s="23"/>
      <c r="Q1735" s="23"/>
      <c r="R1735" s="12"/>
    </row>
    <row r="1736" spans="7:18">
      <c r="G1736"/>
      <c r="H1736"/>
      <c r="K1736" s="23"/>
      <c r="L1736" s="23"/>
      <c r="M1736" s="12"/>
      <c r="N1736" s="23"/>
      <c r="Q1736" s="23"/>
      <c r="R1736" s="12"/>
    </row>
    <row r="1737" spans="7:18">
      <c r="G1737" s="10"/>
      <c r="H1737" s="10"/>
      <c r="K1737" s="23"/>
      <c r="L1737" s="23"/>
      <c r="M1737" s="12"/>
      <c r="N1737" s="23"/>
      <c r="Q1737" s="23"/>
      <c r="R1737" s="12"/>
    </row>
    <row r="1738" spans="7:18">
      <c r="G1738" s="10"/>
      <c r="H1738" s="10"/>
      <c r="K1738" s="23"/>
      <c r="L1738" s="23"/>
      <c r="M1738" s="12"/>
      <c r="N1738" s="23"/>
      <c r="Q1738" s="23"/>
      <c r="R1738" s="12"/>
    </row>
    <row r="1739" spans="7:18">
      <c r="G1739" s="10"/>
      <c r="H1739" s="10"/>
      <c r="K1739" s="23"/>
      <c r="L1739" s="23"/>
      <c r="M1739" s="12"/>
      <c r="N1739" s="23"/>
      <c r="Q1739" s="23"/>
      <c r="R1739" s="12"/>
    </row>
    <row r="1740" spans="7:18">
      <c r="G1740" s="10"/>
      <c r="H1740" s="10"/>
      <c r="K1740" s="23"/>
      <c r="L1740" s="23"/>
      <c r="M1740" s="12"/>
      <c r="N1740" s="23"/>
      <c r="Q1740" s="23"/>
      <c r="R1740" s="12"/>
    </row>
    <row r="1741" spans="7:18">
      <c r="G1741" s="10"/>
      <c r="H1741" s="10"/>
      <c r="K1741" s="23"/>
      <c r="L1741" s="23"/>
      <c r="M1741" s="12"/>
      <c r="N1741" s="23"/>
      <c r="Q1741" s="23"/>
      <c r="R1741" s="12"/>
    </row>
    <row r="1742" spans="7:18">
      <c r="G1742" s="10"/>
      <c r="H1742" s="10"/>
      <c r="K1742" s="23"/>
      <c r="L1742" s="23"/>
      <c r="M1742" s="12"/>
      <c r="N1742" s="23"/>
      <c r="Q1742" s="23"/>
      <c r="R1742" s="12"/>
    </row>
    <row r="1743" spans="7:18">
      <c r="G1743"/>
      <c r="H1743"/>
      <c r="K1743" s="23"/>
      <c r="L1743" s="23"/>
      <c r="M1743" s="12"/>
      <c r="N1743" s="23"/>
      <c r="Q1743" s="23"/>
      <c r="R1743" s="12"/>
    </row>
    <row r="1744" spans="7:18">
      <c r="G1744" s="10"/>
      <c r="H1744" s="10"/>
      <c r="K1744" s="23"/>
      <c r="L1744" s="23"/>
      <c r="M1744" s="12"/>
      <c r="N1744" s="23"/>
      <c r="Q1744" s="23"/>
      <c r="R1744" s="12"/>
    </row>
    <row r="1745" spans="6:18">
      <c r="G1745"/>
      <c r="H1745"/>
      <c r="K1745" s="23"/>
      <c r="L1745" s="23"/>
      <c r="M1745" s="12"/>
      <c r="N1745" s="23"/>
      <c r="Q1745" s="23"/>
      <c r="R1745" s="12"/>
    </row>
    <row r="1746" spans="6:18">
      <c r="G1746" s="10"/>
      <c r="H1746" s="10"/>
      <c r="K1746" s="23"/>
      <c r="L1746" s="23"/>
      <c r="M1746" s="12"/>
      <c r="N1746" s="23"/>
      <c r="Q1746" s="23"/>
      <c r="R1746" s="12"/>
    </row>
    <row r="1747" spans="6:18">
      <c r="G1747" s="10"/>
      <c r="H1747" s="10"/>
      <c r="K1747" s="23"/>
      <c r="L1747" s="23"/>
      <c r="M1747" s="12"/>
      <c r="N1747" s="23"/>
      <c r="Q1747" s="23"/>
      <c r="R1747" s="12"/>
    </row>
    <row r="1748" spans="6:18">
      <c r="G1748" s="10"/>
      <c r="H1748" s="10"/>
      <c r="K1748" s="23"/>
      <c r="L1748" s="23"/>
      <c r="M1748" s="12"/>
      <c r="N1748" s="23"/>
      <c r="Q1748" s="23"/>
      <c r="R1748" s="12"/>
    </row>
    <row r="1749" spans="6:18">
      <c r="G1749" s="10"/>
      <c r="H1749" s="10"/>
      <c r="K1749" s="23"/>
      <c r="L1749" s="23"/>
      <c r="M1749" s="12"/>
      <c r="N1749" s="23"/>
      <c r="Q1749" s="23"/>
      <c r="R1749" s="12"/>
    </row>
    <row r="1750" spans="6:18">
      <c r="G1750" s="10"/>
      <c r="H1750" s="10"/>
      <c r="K1750" s="23"/>
      <c r="L1750" s="23"/>
      <c r="M1750" s="12"/>
      <c r="N1750" s="23"/>
      <c r="Q1750" s="23"/>
      <c r="R1750" s="12"/>
    </row>
    <row r="1751" spans="6:18">
      <c r="G1751" s="10"/>
      <c r="H1751" s="10"/>
      <c r="K1751" s="23"/>
      <c r="L1751" s="23"/>
      <c r="M1751" s="12"/>
      <c r="N1751" s="23"/>
      <c r="Q1751" s="23"/>
      <c r="R1751" s="12"/>
    </row>
    <row r="1752" spans="6:18">
      <c r="G1752"/>
      <c r="H1752"/>
      <c r="K1752" s="23"/>
      <c r="L1752" s="23"/>
      <c r="M1752" s="12"/>
      <c r="N1752" s="23"/>
      <c r="Q1752" s="23"/>
      <c r="R1752" s="12"/>
    </row>
    <row r="1753" spans="6:18">
      <c r="G1753" s="10"/>
      <c r="H1753" s="10"/>
      <c r="K1753" s="23"/>
      <c r="L1753" s="23"/>
      <c r="M1753" s="12"/>
      <c r="N1753" s="23"/>
      <c r="Q1753" s="23"/>
      <c r="R1753" s="12"/>
    </row>
    <row r="1754" spans="6:18">
      <c r="G1754" s="10"/>
      <c r="H1754" s="10"/>
      <c r="K1754" s="23"/>
      <c r="L1754" s="23"/>
      <c r="M1754" s="12"/>
      <c r="N1754" s="23"/>
      <c r="Q1754" s="23"/>
      <c r="R1754" s="12"/>
    </row>
    <row r="1755" spans="6:18">
      <c r="G1755" s="10"/>
      <c r="H1755" s="10"/>
      <c r="K1755" s="23"/>
      <c r="L1755" s="23"/>
      <c r="M1755" s="12"/>
      <c r="N1755" s="23"/>
      <c r="Q1755" s="23"/>
      <c r="R1755" s="12"/>
    </row>
    <row r="1756" spans="6:18">
      <c r="G1756" s="10"/>
      <c r="H1756" s="10"/>
      <c r="K1756" s="23"/>
      <c r="L1756" s="23"/>
      <c r="M1756" s="12"/>
      <c r="N1756" s="23"/>
      <c r="Q1756" s="23"/>
      <c r="R1756" s="12"/>
    </row>
    <row r="1757" spans="6:18">
      <c r="G1757" s="10"/>
      <c r="H1757" s="10"/>
      <c r="K1757" s="23"/>
      <c r="L1757" s="23"/>
      <c r="M1757" s="12"/>
      <c r="N1757" s="23"/>
      <c r="Q1757" s="23"/>
      <c r="R1757" s="12"/>
    </row>
    <row r="1758" spans="6:18">
      <c r="G1758" s="10"/>
      <c r="H1758" s="10"/>
      <c r="K1758" s="23"/>
      <c r="L1758" s="23"/>
      <c r="M1758" s="12"/>
      <c r="N1758" s="23"/>
      <c r="Q1758" s="23"/>
      <c r="R1758" s="12"/>
    </row>
    <row r="1759" spans="6:18">
      <c r="G1759"/>
      <c r="H1759"/>
      <c r="K1759" s="23"/>
      <c r="L1759" s="23"/>
      <c r="M1759" s="12"/>
      <c r="N1759" s="23"/>
      <c r="Q1759" s="23"/>
      <c r="R1759" s="12"/>
    </row>
    <row r="1760" spans="6:18">
      <c r="F1760" s="12"/>
      <c r="K1760" s="23"/>
      <c r="L1760" s="23"/>
      <c r="M1760" s="12"/>
      <c r="N1760" s="23"/>
      <c r="Q1760" s="23"/>
      <c r="R1760" s="12"/>
    </row>
    <row r="1761" spans="6:18">
      <c r="F1761" s="12"/>
      <c r="K1761" s="23"/>
      <c r="L1761" s="23"/>
      <c r="M1761" s="12"/>
      <c r="N1761" s="23"/>
      <c r="Q1761" s="23"/>
      <c r="R1761" s="12"/>
    </row>
    <row r="1762" spans="6:18">
      <c r="F1762" s="12"/>
      <c r="K1762" s="23"/>
      <c r="L1762" s="23"/>
      <c r="M1762" s="12"/>
      <c r="N1762" s="23"/>
      <c r="Q1762" s="23"/>
      <c r="R1762" s="12"/>
    </row>
    <row r="1763" spans="6:18">
      <c r="F1763" s="12"/>
      <c r="K1763" s="23"/>
      <c r="L1763" s="23"/>
      <c r="M1763" s="12"/>
      <c r="N1763" s="23"/>
      <c r="Q1763" s="23"/>
      <c r="R1763" s="12"/>
    </row>
    <row r="1764" spans="6:18">
      <c r="F1764" s="12"/>
      <c r="K1764" s="23"/>
      <c r="L1764" s="23"/>
      <c r="M1764" s="12"/>
      <c r="N1764" s="23"/>
      <c r="Q1764" s="23"/>
      <c r="R1764" s="12"/>
    </row>
    <row r="1765" spans="6:18">
      <c r="K1765" s="23"/>
      <c r="L1765" s="23"/>
      <c r="M1765" s="12"/>
      <c r="N1765" s="23"/>
      <c r="Q1765" s="23"/>
      <c r="R1765" s="12"/>
    </row>
    <row r="1766" spans="6:18">
      <c r="F1766" s="12"/>
      <c r="K1766" s="23"/>
      <c r="L1766" s="23"/>
      <c r="M1766" s="12"/>
      <c r="N1766" s="23"/>
      <c r="Q1766" s="23"/>
      <c r="R1766" s="12"/>
    </row>
    <row r="1767" spans="6:18">
      <c r="K1767" s="23"/>
      <c r="L1767" s="23"/>
      <c r="M1767" s="12"/>
      <c r="N1767" s="23"/>
      <c r="Q1767" s="23"/>
      <c r="R1767" s="12"/>
    </row>
    <row r="1768" spans="6:18">
      <c r="K1768" s="23"/>
      <c r="L1768" s="23"/>
      <c r="M1768" s="12"/>
      <c r="N1768" s="23"/>
      <c r="Q1768" s="23"/>
      <c r="R1768" s="12"/>
    </row>
    <row r="1769" spans="6:18">
      <c r="K1769" s="23"/>
      <c r="L1769" s="23"/>
      <c r="M1769" s="12"/>
      <c r="N1769" s="23"/>
      <c r="Q1769" s="23"/>
      <c r="R1769" s="12"/>
    </row>
    <row r="1770" spans="6:18">
      <c r="K1770" s="23"/>
      <c r="L1770" s="23"/>
      <c r="M1770" s="12"/>
      <c r="N1770" s="23"/>
      <c r="Q1770" s="23"/>
      <c r="R1770" s="12"/>
    </row>
    <row r="1771" spans="6:18">
      <c r="F1771" s="12"/>
      <c r="K1771" s="23"/>
      <c r="L1771" s="23"/>
      <c r="M1771" s="12"/>
      <c r="N1771" s="23"/>
      <c r="Q1771" s="23"/>
      <c r="R1771" s="12"/>
    </row>
    <row r="1772" spans="6:18">
      <c r="F1772" s="12"/>
      <c r="K1772" s="23"/>
      <c r="L1772" s="23"/>
      <c r="M1772" s="12"/>
      <c r="N1772" s="23"/>
      <c r="Q1772" s="23"/>
      <c r="R1772" s="12"/>
    </row>
    <row r="1773" spans="6:18">
      <c r="F1773" s="12"/>
      <c r="K1773" s="23"/>
      <c r="L1773" s="23"/>
      <c r="M1773" s="12"/>
      <c r="N1773" s="23"/>
      <c r="Q1773" s="23"/>
      <c r="R1773" s="12"/>
    </row>
    <row r="1774" spans="6:18">
      <c r="K1774" s="23"/>
      <c r="L1774" s="23"/>
      <c r="M1774" s="12"/>
      <c r="N1774" s="23"/>
      <c r="Q1774" s="23"/>
      <c r="R1774" s="12"/>
    </row>
    <row r="1775" spans="6:18">
      <c r="K1775" s="23"/>
      <c r="L1775" s="23"/>
      <c r="M1775" s="12"/>
      <c r="N1775" s="23"/>
      <c r="Q1775" s="23"/>
      <c r="R1775" s="12"/>
    </row>
    <row r="1776" spans="6:18">
      <c r="K1776" s="23"/>
      <c r="L1776" s="23"/>
      <c r="M1776" s="12"/>
      <c r="N1776" s="23"/>
      <c r="Q1776" s="23"/>
      <c r="R1776" s="12"/>
    </row>
    <row r="1777" spans="7:18">
      <c r="K1777" s="23"/>
      <c r="L1777" s="23"/>
      <c r="M1777" s="12"/>
      <c r="N1777" s="23"/>
      <c r="Q1777" s="23"/>
      <c r="R1777" s="12"/>
    </row>
    <row r="1778" spans="7:18">
      <c r="K1778" s="23"/>
      <c r="L1778" s="23"/>
      <c r="M1778" s="12"/>
      <c r="N1778" s="23"/>
      <c r="Q1778" s="23"/>
      <c r="R1778" s="12"/>
    </row>
    <row r="1779" spans="7:18">
      <c r="G1779" s="10"/>
      <c r="H1779" s="10"/>
      <c r="K1779" s="23"/>
      <c r="L1779" s="23"/>
      <c r="M1779" s="12"/>
      <c r="N1779" s="23"/>
      <c r="Q1779" s="23"/>
      <c r="R1779" s="12"/>
    </row>
    <row r="1780" spans="7:18">
      <c r="G1780"/>
      <c r="H1780"/>
      <c r="K1780" s="23"/>
      <c r="L1780" s="23"/>
      <c r="M1780" s="12"/>
      <c r="N1780" s="23"/>
      <c r="Q1780" s="23"/>
      <c r="R1780" s="12"/>
    </row>
    <row r="1781" spans="7:18">
      <c r="G1781"/>
      <c r="H1781"/>
      <c r="K1781" s="23"/>
      <c r="L1781" s="23"/>
      <c r="M1781" s="12"/>
      <c r="N1781" s="23"/>
      <c r="Q1781" s="23"/>
      <c r="R1781" s="12"/>
    </row>
    <row r="1782" spans="7:18">
      <c r="G1782"/>
      <c r="H1782"/>
      <c r="K1782" s="23"/>
      <c r="L1782" s="23"/>
      <c r="M1782" s="12"/>
      <c r="N1782" s="23"/>
      <c r="Q1782" s="23"/>
      <c r="R1782" s="12"/>
    </row>
    <row r="1783" spans="7:18">
      <c r="G1783" s="10"/>
      <c r="H1783" s="10"/>
      <c r="K1783" s="23"/>
      <c r="L1783" s="23"/>
      <c r="M1783" s="12"/>
      <c r="N1783" s="23"/>
      <c r="Q1783" s="23"/>
      <c r="R1783" s="12"/>
    </row>
    <row r="1784" spans="7:18">
      <c r="G1784" s="10"/>
      <c r="H1784" s="10"/>
      <c r="K1784" s="23"/>
      <c r="L1784" s="23"/>
      <c r="M1784" s="12"/>
      <c r="N1784" s="23"/>
      <c r="Q1784" s="23"/>
      <c r="R1784" s="12"/>
    </row>
    <row r="1785" spans="7:18">
      <c r="G1785" s="10"/>
      <c r="H1785" s="10"/>
      <c r="K1785" s="23"/>
      <c r="L1785" s="23"/>
      <c r="M1785" s="12"/>
      <c r="N1785" s="23"/>
      <c r="Q1785" s="23"/>
      <c r="R1785" s="12"/>
    </row>
    <row r="1786" spans="7:18">
      <c r="G1786" s="10"/>
      <c r="H1786" s="10"/>
      <c r="K1786" s="23"/>
      <c r="L1786" s="23"/>
      <c r="M1786" s="12"/>
      <c r="N1786" s="23"/>
      <c r="Q1786" s="23"/>
      <c r="R1786" s="12"/>
    </row>
    <row r="1787" spans="7:18">
      <c r="G1787" s="10"/>
      <c r="H1787" s="10"/>
      <c r="K1787" s="23"/>
      <c r="L1787" s="23"/>
      <c r="M1787" s="12"/>
      <c r="N1787" s="23"/>
      <c r="Q1787" s="23"/>
      <c r="R1787" s="12"/>
    </row>
    <row r="1788" spans="7:18">
      <c r="G1788" s="10"/>
      <c r="H1788" s="10"/>
      <c r="K1788" s="23"/>
      <c r="L1788" s="23"/>
      <c r="M1788" s="12"/>
      <c r="N1788" s="23"/>
      <c r="Q1788" s="23"/>
      <c r="R1788" s="12"/>
    </row>
    <row r="1789" spans="7:18">
      <c r="G1789"/>
      <c r="H1789"/>
      <c r="K1789" s="23"/>
      <c r="L1789" s="23"/>
      <c r="M1789" s="12"/>
      <c r="N1789" s="23"/>
      <c r="Q1789" s="23"/>
      <c r="R1789" s="12"/>
    </row>
    <row r="1790" spans="7:18">
      <c r="G1790"/>
      <c r="H1790"/>
      <c r="K1790" s="23"/>
      <c r="L1790" s="23"/>
      <c r="M1790" s="12"/>
      <c r="N1790" s="23"/>
      <c r="Q1790" s="23"/>
      <c r="R1790" s="12"/>
    </row>
    <row r="1791" spans="7:18">
      <c r="G1791"/>
      <c r="H1791"/>
      <c r="K1791" s="23"/>
      <c r="L1791" s="23"/>
      <c r="M1791" s="12"/>
      <c r="N1791" s="23"/>
      <c r="Q1791" s="23"/>
      <c r="R1791" s="12"/>
    </row>
    <row r="1792" spans="7:18">
      <c r="G1792" s="10"/>
      <c r="H1792" s="10"/>
      <c r="K1792" s="23"/>
      <c r="L1792" s="23"/>
      <c r="M1792" s="12"/>
      <c r="N1792" s="23"/>
      <c r="Q1792" s="23"/>
      <c r="R1792" s="12"/>
    </row>
    <row r="1793" spans="6:18">
      <c r="G1793" s="10"/>
      <c r="H1793" s="10"/>
      <c r="K1793" s="23"/>
      <c r="L1793" s="23"/>
      <c r="M1793" s="12"/>
      <c r="N1793" s="23"/>
      <c r="Q1793" s="23"/>
      <c r="R1793" s="12"/>
    </row>
    <row r="1794" spans="6:18">
      <c r="G1794" s="10"/>
      <c r="H1794" s="10"/>
      <c r="K1794" s="23"/>
      <c r="L1794" s="23"/>
      <c r="M1794" s="12"/>
      <c r="N1794" s="23"/>
      <c r="Q1794" s="23"/>
      <c r="R1794" s="12"/>
    </row>
    <row r="1795" spans="6:18">
      <c r="F1795" s="12"/>
      <c r="K1795" s="23"/>
      <c r="L1795" s="23"/>
      <c r="M1795" s="12"/>
      <c r="N1795" s="23"/>
      <c r="Q1795" s="23"/>
      <c r="R1795" s="12"/>
    </row>
    <row r="1796" spans="6:18">
      <c r="F1796" s="12"/>
      <c r="K1796" s="23"/>
      <c r="L1796" s="23"/>
      <c r="M1796" s="12"/>
      <c r="N1796" s="23"/>
      <c r="Q1796" s="23"/>
      <c r="R1796" s="12"/>
    </row>
    <row r="1797" spans="6:18">
      <c r="F1797" s="12"/>
      <c r="K1797" s="23"/>
      <c r="L1797" s="23"/>
      <c r="M1797" s="12"/>
      <c r="N1797" s="23"/>
      <c r="Q1797" s="23"/>
      <c r="R1797" s="12"/>
    </row>
    <row r="1798" spans="6:18">
      <c r="F1798" s="12"/>
      <c r="K1798" s="23"/>
      <c r="L1798" s="23"/>
      <c r="M1798" s="12"/>
      <c r="N1798" s="23"/>
      <c r="Q1798" s="23"/>
      <c r="R1798" s="12"/>
    </row>
    <row r="1799" spans="6:18">
      <c r="F1799" s="12"/>
      <c r="K1799" s="23"/>
      <c r="L1799" s="23"/>
      <c r="M1799" s="12"/>
      <c r="N1799" s="23"/>
      <c r="Q1799" s="23"/>
      <c r="R1799" s="12"/>
    </row>
    <row r="1800" spans="6:18">
      <c r="K1800" s="23"/>
      <c r="L1800" s="23"/>
      <c r="M1800" s="12"/>
      <c r="N1800" s="23"/>
      <c r="Q1800" s="23"/>
      <c r="R1800" s="12"/>
    </row>
    <row r="1801" spans="6:18">
      <c r="K1801" s="23"/>
      <c r="L1801" s="23"/>
      <c r="M1801" s="12"/>
      <c r="N1801" s="23"/>
      <c r="Q1801" s="23"/>
      <c r="R1801" s="12"/>
    </row>
    <row r="1802" spans="6:18">
      <c r="K1802" s="23"/>
      <c r="L1802" s="23"/>
      <c r="M1802" s="12"/>
      <c r="N1802" s="23"/>
      <c r="Q1802" s="23"/>
      <c r="R1802" s="12"/>
    </row>
    <row r="1803" spans="6:18">
      <c r="F1803" s="12"/>
      <c r="K1803" s="23"/>
      <c r="L1803" s="23"/>
      <c r="M1803" s="12"/>
      <c r="N1803" s="23"/>
      <c r="Q1803" s="23"/>
      <c r="R1803" s="12"/>
    </row>
    <row r="1804" spans="6:18">
      <c r="F1804" s="12"/>
      <c r="K1804" s="23"/>
      <c r="L1804" s="23"/>
      <c r="M1804" s="12"/>
      <c r="N1804" s="23"/>
      <c r="Q1804" s="23"/>
      <c r="R1804" s="12"/>
    </row>
    <row r="1805" spans="6:18">
      <c r="F1805" s="12"/>
      <c r="K1805" s="23"/>
      <c r="L1805" s="23"/>
      <c r="M1805" s="12"/>
      <c r="N1805" s="23"/>
      <c r="Q1805" s="23"/>
      <c r="R1805" s="12"/>
    </row>
    <row r="1806" spans="6:18">
      <c r="K1806" s="23"/>
      <c r="L1806" s="23"/>
      <c r="M1806" s="12"/>
      <c r="N1806" s="23"/>
      <c r="Q1806" s="23"/>
      <c r="R1806" s="12"/>
    </row>
    <row r="1807" spans="6:18">
      <c r="K1807" s="23"/>
      <c r="L1807" s="23"/>
      <c r="M1807" s="12"/>
      <c r="N1807" s="23"/>
      <c r="Q1807" s="23"/>
      <c r="R1807" s="12"/>
    </row>
    <row r="1808" spans="6:18">
      <c r="K1808" s="23"/>
      <c r="L1808" s="23"/>
      <c r="M1808" s="12"/>
      <c r="N1808" s="23"/>
      <c r="Q1808" s="23"/>
      <c r="R1808" s="12"/>
    </row>
    <row r="1809" spans="6:18">
      <c r="K1809" s="23"/>
      <c r="L1809" s="23"/>
      <c r="M1809" s="12"/>
      <c r="N1809" s="23"/>
      <c r="Q1809" s="23"/>
      <c r="R1809" s="12"/>
    </row>
    <row r="1810" spans="6:18">
      <c r="K1810" s="23"/>
      <c r="L1810" s="23"/>
      <c r="M1810" s="12"/>
      <c r="N1810" s="23"/>
      <c r="Q1810" s="23"/>
      <c r="R1810" s="12"/>
    </row>
    <row r="1811" spans="6:18">
      <c r="K1811" s="23"/>
      <c r="L1811" s="23"/>
      <c r="M1811" s="12"/>
      <c r="N1811" s="23"/>
      <c r="Q1811" s="23"/>
      <c r="R1811" s="12"/>
    </row>
    <row r="1812" spans="6:18">
      <c r="F1812" s="12"/>
      <c r="K1812" s="23"/>
      <c r="L1812" s="23"/>
      <c r="M1812" s="12"/>
      <c r="N1812" s="23"/>
      <c r="Q1812" s="23"/>
      <c r="R1812" s="12"/>
    </row>
    <row r="1813" spans="6:18">
      <c r="F1813" s="12"/>
      <c r="K1813" s="23"/>
      <c r="L1813" s="23"/>
      <c r="M1813" s="12"/>
      <c r="N1813" s="23"/>
      <c r="Q1813" s="23"/>
      <c r="R1813" s="12"/>
    </row>
    <row r="1814" spans="6:18">
      <c r="F1814" s="12"/>
      <c r="K1814" s="23"/>
      <c r="L1814" s="23"/>
      <c r="M1814" s="12"/>
      <c r="N1814" s="23"/>
      <c r="Q1814" s="23"/>
      <c r="R1814" s="12"/>
    </row>
    <row r="1815" spans="6:18">
      <c r="F1815" s="12"/>
      <c r="K1815" s="23"/>
      <c r="L1815" s="23"/>
      <c r="M1815" s="12"/>
      <c r="N1815" s="23"/>
      <c r="Q1815" s="23"/>
      <c r="R1815" s="12"/>
    </row>
    <row r="1816" spans="6:18">
      <c r="F1816" s="12"/>
      <c r="K1816" s="23"/>
      <c r="L1816" s="23"/>
      <c r="M1816" s="12"/>
      <c r="N1816" s="23"/>
      <c r="Q1816" s="23"/>
      <c r="R1816" s="12"/>
    </row>
    <row r="1817" spans="6:18">
      <c r="F1817" s="12"/>
      <c r="K1817" s="23"/>
      <c r="L1817" s="23"/>
      <c r="M1817" s="12"/>
      <c r="N1817" s="23"/>
      <c r="Q1817" s="23"/>
      <c r="R1817" s="12"/>
    </row>
    <row r="1818" spans="6:18">
      <c r="F1818" s="12"/>
      <c r="K1818" s="23"/>
      <c r="L1818" s="23"/>
      <c r="M1818" s="12"/>
      <c r="N1818" s="23"/>
      <c r="Q1818" s="23"/>
      <c r="R1818" s="12"/>
    </row>
    <row r="1819" spans="6:18">
      <c r="K1819" s="23"/>
      <c r="L1819" s="23"/>
      <c r="M1819" s="12"/>
      <c r="N1819" s="23"/>
      <c r="Q1819" s="23"/>
      <c r="R1819" s="12"/>
    </row>
    <row r="1820" spans="6:18">
      <c r="K1820" s="23"/>
      <c r="L1820" s="23"/>
      <c r="M1820" s="12"/>
      <c r="N1820" s="23"/>
      <c r="Q1820" s="23"/>
      <c r="R1820" s="12"/>
    </row>
    <row r="1821" spans="6:18">
      <c r="K1821" s="23"/>
      <c r="L1821" s="23"/>
      <c r="M1821" s="12"/>
      <c r="N1821" s="23"/>
      <c r="Q1821" s="23"/>
      <c r="R1821" s="12"/>
    </row>
    <row r="1822" spans="6:18">
      <c r="K1822" s="23"/>
      <c r="L1822" s="23"/>
      <c r="M1822" s="12"/>
      <c r="N1822" s="23"/>
      <c r="Q1822" s="23"/>
      <c r="R1822" s="12"/>
    </row>
    <row r="1823" spans="6:18">
      <c r="K1823" s="23"/>
      <c r="L1823" s="23"/>
      <c r="M1823" s="12"/>
      <c r="N1823" s="23"/>
      <c r="Q1823" s="23"/>
      <c r="R1823" s="12"/>
    </row>
    <row r="1824" spans="6:18">
      <c r="K1824" s="23"/>
      <c r="L1824" s="23"/>
      <c r="M1824" s="12"/>
      <c r="N1824" s="23"/>
      <c r="Q1824" s="23"/>
      <c r="R1824" s="12"/>
    </row>
    <row r="1825" spans="6:18">
      <c r="F1825" s="12"/>
      <c r="K1825" s="23"/>
      <c r="L1825" s="23"/>
      <c r="M1825" s="12"/>
      <c r="N1825" s="23"/>
      <c r="Q1825" s="23"/>
      <c r="R1825" s="12"/>
    </row>
    <row r="1826" spans="6:18">
      <c r="F1826" s="12"/>
      <c r="K1826" s="23"/>
      <c r="L1826" s="23"/>
      <c r="M1826" s="12"/>
      <c r="N1826" s="23"/>
      <c r="Q1826" s="23"/>
      <c r="R1826" s="12"/>
    </row>
    <row r="1827" spans="6:18">
      <c r="F1827" s="12"/>
      <c r="K1827" s="23"/>
      <c r="L1827" s="23"/>
      <c r="M1827" s="12"/>
      <c r="N1827" s="23"/>
      <c r="Q1827" s="23"/>
      <c r="R1827" s="12"/>
    </row>
    <row r="1828" spans="6:18">
      <c r="K1828" s="23"/>
      <c r="L1828" s="23"/>
      <c r="M1828" s="12"/>
      <c r="N1828" s="23"/>
      <c r="Q1828" s="23"/>
      <c r="R1828" s="12"/>
    </row>
    <row r="1829" spans="6:18">
      <c r="K1829" s="23"/>
      <c r="L1829" s="23"/>
      <c r="M1829" s="12"/>
      <c r="N1829" s="23"/>
      <c r="Q1829" s="23"/>
      <c r="R1829" s="12"/>
    </row>
    <row r="1830" spans="6:18">
      <c r="K1830" s="23"/>
      <c r="L1830" s="23"/>
      <c r="M1830" s="12"/>
      <c r="N1830" s="23"/>
      <c r="Q1830" s="23"/>
      <c r="R1830" s="12"/>
    </row>
    <row r="1831" spans="6:18">
      <c r="K1831" s="23"/>
      <c r="L1831" s="23"/>
      <c r="M1831" s="12"/>
      <c r="N1831" s="23"/>
      <c r="Q1831" s="23"/>
      <c r="R1831" s="12"/>
    </row>
    <row r="1832" spans="6:18">
      <c r="K1832" s="23"/>
      <c r="L1832" s="23"/>
      <c r="M1832" s="12"/>
      <c r="N1832" s="23"/>
      <c r="Q1832" s="23"/>
      <c r="R1832" s="12"/>
    </row>
    <row r="1833" spans="6:18">
      <c r="G1833" s="10"/>
      <c r="H1833" s="10"/>
      <c r="K1833" s="23"/>
      <c r="L1833" s="23"/>
      <c r="M1833" s="12"/>
      <c r="N1833" s="23"/>
      <c r="Q1833" s="23"/>
      <c r="R1833" s="12"/>
    </row>
    <row r="1834" spans="6:18">
      <c r="G1834"/>
      <c r="H1834"/>
      <c r="K1834" s="23"/>
      <c r="L1834" s="23"/>
      <c r="M1834" s="12"/>
      <c r="N1834" s="23"/>
      <c r="Q1834" s="23"/>
      <c r="R1834" s="12"/>
    </row>
    <row r="1835" spans="6:18">
      <c r="G1835"/>
      <c r="H1835"/>
      <c r="K1835" s="23"/>
      <c r="L1835" s="23"/>
      <c r="M1835" s="12"/>
      <c r="N1835" s="23"/>
      <c r="Q1835" s="23"/>
      <c r="R1835" s="12"/>
    </row>
    <row r="1836" spans="6:18">
      <c r="G1836"/>
      <c r="H1836"/>
      <c r="K1836" s="23"/>
      <c r="L1836" s="23"/>
      <c r="M1836" s="12"/>
      <c r="N1836" s="23"/>
      <c r="Q1836" s="23"/>
      <c r="R1836" s="12"/>
    </row>
    <row r="1837" spans="6:18">
      <c r="G1837" s="10"/>
      <c r="H1837" s="10"/>
      <c r="K1837" s="23"/>
      <c r="L1837" s="23"/>
      <c r="M1837" s="12"/>
      <c r="N1837" s="23"/>
      <c r="Q1837" s="23"/>
      <c r="R1837" s="12"/>
    </row>
    <row r="1838" spans="6:18">
      <c r="G1838" s="10"/>
      <c r="H1838" s="10"/>
      <c r="K1838" s="23"/>
      <c r="L1838" s="23"/>
      <c r="M1838" s="12"/>
      <c r="N1838" s="23"/>
      <c r="Q1838" s="23"/>
      <c r="R1838" s="12"/>
    </row>
    <row r="1839" spans="6:18">
      <c r="G1839" s="10"/>
      <c r="H1839" s="10"/>
      <c r="K1839" s="23"/>
      <c r="L1839" s="23"/>
      <c r="M1839" s="12"/>
      <c r="N1839" s="23"/>
      <c r="Q1839" s="23"/>
      <c r="R1839" s="12"/>
    </row>
    <row r="1840" spans="6:18">
      <c r="G1840" s="10"/>
      <c r="H1840" s="10"/>
      <c r="K1840" s="23"/>
      <c r="L1840" s="23"/>
      <c r="M1840" s="12"/>
      <c r="N1840" s="23"/>
      <c r="Q1840" s="23"/>
      <c r="R1840" s="12"/>
    </row>
    <row r="1841" spans="6:18">
      <c r="G1841" s="10"/>
      <c r="H1841" s="10"/>
      <c r="K1841" s="23"/>
      <c r="L1841" s="23"/>
      <c r="M1841" s="12"/>
      <c r="N1841" s="23"/>
      <c r="Q1841" s="23"/>
      <c r="R1841" s="12"/>
    </row>
    <row r="1842" spans="6:18">
      <c r="G1842" s="10"/>
      <c r="H1842" s="10"/>
      <c r="K1842" s="23"/>
      <c r="L1842" s="23"/>
      <c r="M1842" s="12"/>
      <c r="N1842" s="23"/>
      <c r="Q1842" s="23"/>
      <c r="R1842" s="12"/>
    </row>
    <row r="1843" spans="6:18">
      <c r="G1843"/>
      <c r="H1843"/>
      <c r="K1843" s="23"/>
      <c r="L1843" s="23"/>
      <c r="M1843" s="12"/>
      <c r="N1843" s="23"/>
      <c r="Q1843" s="23"/>
      <c r="R1843" s="12"/>
    </row>
    <row r="1844" spans="6:18">
      <c r="G1844"/>
      <c r="H1844"/>
      <c r="K1844" s="23"/>
      <c r="L1844" s="23"/>
      <c r="M1844" s="12"/>
      <c r="N1844" s="23"/>
      <c r="Q1844" s="23"/>
      <c r="R1844" s="12"/>
    </row>
    <row r="1845" spans="6:18">
      <c r="G1845"/>
      <c r="H1845"/>
      <c r="K1845" s="23"/>
      <c r="L1845" s="23"/>
      <c r="M1845" s="12"/>
      <c r="N1845" s="23"/>
      <c r="Q1845" s="23"/>
      <c r="R1845" s="12"/>
    </row>
    <row r="1846" spans="6:18">
      <c r="G1846" s="10"/>
      <c r="H1846" s="10"/>
      <c r="K1846" s="23"/>
      <c r="L1846" s="23"/>
      <c r="M1846" s="12"/>
      <c r="N1846" s="23"/>
      <c r="Q1846" s="23"/>
      <c r="R1846" s="12"/>
    </row>
    <row r="1847" spans="6:18">
      <c r="G1847" s="10"/>
      <c r="H1847" s="10"/>
      <c r="K1847" s="23"/>
      <c r="L1847" s="23"/>
      <c r="M1847" s="12"/>
      <c r="N1847" s="23"/>
      <c r="Q1847" s="23"/>
      <c r="R1847" s="12"/>
    </row>
    <row r="1848" spans="6:18">
      <c r="G1848" s="10"/>
      <c r="H1848" s="10"/>
      <c r="K1848" s="23"/>
      <c r="L1848" s="23"/>
      <c r="M1848" s="12"/>
      <c r="N1848" s="23"/>
      <c r="Q1848" s="23"/>
      <c r="R1848" s="12"/>
    </row>
    <row r="1849" spans="6:18">
      <c r="G1849" s="10"/>
      <c r="H1849" s="10"/>
      <c r="K1849" s="23"/>
      <c r="L1849" s="23"/>
      <c r="M1849" s="12"/>
      <c r="N1849" s="23"/>
      <c r="Q1849" s="23"/>
      <c r="R1849" s="12"/>
    </row>
    <row r="1850" spans="6:18">
      <c r="G1850" s="10"/>
      <c r="H1850" s="10"/>
      <c r="K1850" s="23"/>
      <c r="L1850" s="23"/>
      <c r="M1850" s="12"/>
      <c r="N1850" s="23"/>
      <c r="Q1850" s="23"/>
      <c r="R1850" s="12"/>
    </row>
    <row r="1851" spans="6:18">
      <c r="G1851" s="10"/>
      <c r="H1851" s="10"/>
      <c r="K1851" s="23"/>
      <c r="L1851" s="23"/>
      <c r="M1851" s="12"/>
      <c r="N1851" s="23"/>
      <c r="Q1851" s="23"/>
      <c r="R1851" s="12"/>
    </row>
    <row r="1852" spans="6:18">
      <c r="G1852" s="10"/>
      <c r="H1852" s="10"/>
      <c r="K1852" s="23"/>
      <c r="L1852" s="23"/>
      <c r="M1852" s="12"/>
      <c r="N1852" s="23"/>
      <c r="Q1852" s="23"/>
      <c r="R1852" s="12"/>
    </row>
    <row r="1853" spans="6:18">
      <c r="G1853" s="10"/>
      <c r="H1853" s="10"/>
      <c r="K1853" s="23"/>
      <c r="L1853" s="23"/>
      <c r="M1853" s="12"/>
      <c r="N1853" s="23"/>
      <c r="Q1853" s="23"/>
      <c r="R1853" s="12"/>
    </row>
    <row r="1854" spans="6:18">
      <c r="G1854" s="10"/>
      <c r="H1854" s="10"/>
      <c r="K1854" s="23"/>
      <c r="L1854" s="23"/>
      <c r="M1854" s="12"/>
      <c r="N1854" s="23"/>
      <c r="Q1854" s="23"/>
      <c r="R1854" s="12"/>
    </row>
    <row r="1855" spans="6:18">
      <c r="G1855"/>
      <c r="H1855"/>
      <c r="K1855" s="23"/>
      <c r="L1855" s="23"/>
      <c r="M1855" s="12"/>
      <c r="N1855" s="23"/>
      <c r="Q1855" s="23"/>
      <c r="R1855" s="12"/>
    </row>
    <row r="1856" spans="6:18">
      <c r="F1856" s="12"/>
      <c r="K1856" s="23"/>
      <c r="L1856" s="23"/>
      <c r="M1856" s="12"/>
      <c r="N1856" s="23"/>
      <c r="Q1856" s="23"/>
      <c r="R1856" s="12"/>
    </row>
    <row r="1857" spans="6:18">
      <c r="F1857" s="12"/>
      <c r="K1857" s="23"/>
      <c r="L1857" s="23"/>
      <c r="M1857" s="12"/>
      <c r="N1857" s="23"/>
      <c r="Q1857" s="23"/>
      <c r="R1857" s="12"/>
    </row>
    <row r="1858" spans="6:18">
      <c r="F1858" s="12"/>
      <c r="K1858" s="23"/>
      <c r="L1858" s="23"/>
      <c r="M1858" s="12"/>
      <c r="N1858" s="23"/>
      <c r="Q1858" s="23"/>
      <c r="R1858" s="12"/>
    </row>
    <row r="1859" spans="6:18">
      <c r="F1859" s="12"/>
      <c r="K1859" s="23"/>
      <c r="L1859" s="23"/>
      <c r="M1859" s="12"/>
      <c r="N1859" s="23"/>
      <c r="Q1859" s="23"/>
      <c r="R1859" s="12"/>
    </row>
    <row r="1860" spans="6:18">
      <c r="F1860" s="12"/>
      <c r="K1860" s="23"/>
      <c r="L1860" s="23"/>
      <c r="M1860" s="12"/>
      <c r="N1860" s="23"/>
      <c r="Q1860" s="23"/>
      <c r="R1860" s="12"/>
    </row>
    <row r="1861" spans="6:18">
      <c r="K1861" s="23"/>
      <c r="L1861" s="23"/>
      <c r="M1861" s="12"/>
      <c r="N1861" s="23"/>
      <c r="Q1861" s="23"/>
      <c r="R1861" s="12"/>
    </row>
    <row r="1862" spans="6:18">
      <c r="F1862" s="12"/>
      <c r="K1862" s="23"/>
      <c r="L1862" s="23"/>
      <c r="M1862" s="12"/>
      <c r="N1862" s="23"/>
      <c r="Q1862" s="23"/>
      <c r="R1862" s="12"/>
    </row>
    <row r="1863" spans="6:18">
      <c r="K1863" s="23"/>
      <c r="L1863" s="23"/>
      <c r="M1863" s="12"/>
      <c r="N1863" s="23"/>
      <c r="Q1863" s="23"/>
      <c r="R1863" s="12"/>
    </row>
    <row r="1864" spans="6:18">
      <c r="K1864" s="23"/>
      <c r="L1864" s="23"/>
      <c r="M1864" s="12"/>
      <c r="N1864" s="23"/>
      <c r="Q1864" s="23"/>
      <c r="R1864" s="12"/>
    </row>
    <row r="1865" spans="6:18">
      <c r="K1865" s="23"/>
      <c r="L1865" s="23"/>
      <c r="M1865" s="12"/>
      <c r="N1865" s="23"/>
      <c r="Q1865" s="23"/>
      <c r="R1865" s="12"/>
    </row>
    <row r="1866" spans="6:18">
      <c r="K1866" s="23"/>
      <c r="L1866" s="23"/>
      <c r="M1866" s="12"/>
      <c r="N1866" s="23"/>
      <c r="Q1866" s="23"/>
      <c r="R1866" s="12"/>
    </row>
    <row r="1867" spans="6:18">
      <c r="K1867" s="23"/>
      <c r="L1867" s="23"/>
      <c r="M1867" s="12"/>
      <c r="N1867" s="23"/>
      <c r="Q1867" s="23"/>
      <c r="R1867" s="12"/>
    </row>
    <row r="1868" spans="6:18">
      <c r="K1868" s="23"/>
      <c r="L1868" s="23"/>
      <c r="M1868" s="12"/>
      <c r="N1868" s="23"/>
      <c r="Q1868" s="23"/>
      <c r="R1868" s="12"/>
    </row>
    <row r="1869" spans="6:18">
      <c r="F1869" s="12"/>
      <c r="K1869" s="23"/>
      <c r="L1869" s="23"/>
      <c r="M1869" s="12"/>
      <c r="N1869" s="23"/>
      <c r="Q1869" s="23"/>
      <c r="R1869" s="12"/>
    </row>
    <row r="1870" spans="6:18">
      <c r="K1870" s="23"/>
      <c r="L1870" s="23"/>
      <c r="M1870" s="12"/>
      <c r="N1870" s="23"/>
      <c r="Q1870" s="23"/>
      <c r="R1870" s="12"/>
    </row>
    <row r="1871" spans="6:18">
      <c r="F1871" s="12"/>
      <c r="K1871" s="23"/>
      <c r="L1871" s="23"/>
      <c r="M1871" s="12"/>
      <c r="N1871" s="23"/>
      <c r="Q1871" s="23"/>
      <c r="R1871" s="12"/>
    </row>
    <row r="1872" spans="6:18">
      <c r="K1872" s="23"/>
      <c r="L1872" s="23"/>
      <c r="M1872" s="12"/>
      <c r="N1872" s="23"/>
      <c r="Q1872" s="23"/>
      <c r="R1872" s="12"/>
    </row>
    <row r="1873" spans="7:18">
      <c r="K1873" s="23"/>
      <c r="L1873" s="23"/>
      <c r="M1873" s="12"/>
      <c r="N1873" s="23"/>
      <c r="Q1873" s="23"/>
      <c r="R1873" s="12"/>
    </row>
    <row r="1874" spans="7:18">
      <c r="K1874" s="23"/>
      <c r="L1874" s="23"/>
      <c r="M1874" s="12"/>
      <c r="N1874" s="23"/>
      <c r="Q1874" s="23"/>
      <c r="R1874" s="12"/>
    </row>
    <row r="1875" spans="7:18">
      <c r="G1875" s="10"/>
      <c r="H1875" s="10"/>
      <c r="K1875" s="23"/>
      <c r="L1875" s="23"/>
      <c r="M1875" s="12"/>
      <c r="N1875" s="23"/>
      <c r="Q1875" s="23"/>
      <c r="R1875" s="12"/>
    </row>
    <row r="1876" spans="7:18">
      <c r="G1876" s="10"/>
      <c r="H1876" s="10"/>
      <c r="K1876" s="23"/>
      <c r="L1876" s="23"/>
      <c r="M1876" s="12"/>
      <c r="N1876" s="23"/>
      <c r="Q1876" s="23"/>
      <c r="R1876" s="12"/>
    </row>
    <row r="1877" spans="7:18">
      <c r="G1877" s="10"/>
      <c r="H1877" s="10"/>
      <c r="K1877" s="23"/>
      <c r="L1877" s="23"/>
      <c r="M1877" s="12"/>
      <c r="N1877" s="23"/>
      <c r="Q1877" s="23"/>
      <c r="R1877" s="12"/>
    </row>
    <row r="1878" spans="7:18">
      <c r="G1878" s="10"/>
      <c r="H1878" s="10"/>
      <c r="K1878" s="23"/>
      <c r="L1878" s="23"/>
      <c r="M1878" s="12"/>
      <c r="N1878" s="23"/>
      <c r="Q1878" s="23"/>
      <c r="R1878" s="12"/>
    </row>
    <row r="1879" spans="7:18">
      <c r="G1879" s="10"/>
      <c r="H1879" s="10"/>
      <c r="K1879" s="23"/>
      <c r="L1879" s="23"/>
      <c r="M1879" s="12"/>
      <c r="N1879" s="23"/>
      <c r="Q1879" s="23"/>
      <c r="R1879" s="12"/>
    </row>
    <row r="1880" spans="7:18">
      <c r="G1880" s="10"/>
      <c r="H1880" s="10"/>
      <c r="K1880" s="23"/>
      <c r="L1880" s="23"/>
      <c r="M1880" s="12"/>
      <c r="N1880" s="23"/>
      <c r="Q1880" s="23"/>
      <c r="R1880" s="12"/>
    </row>
    <row r="1881" spans="7:18">
      <c r="G1881" s="10"/>
      <c r="H1881" s="10"/>
      <c r="K1881" s="23"/>
      <c r="L1881" s="23"/>
      <c r="M1881" s="12"/>
      <c r="N1881" s="23"/>
      <c r="Q1881" s="23"/>
      <c r="R1881" s="12"/>
    </row>
    <row r="1882" spans="7:18">
      <c r="G1882" s="10"/>
      <c r="H1882" s="10"/>
      <c r="K1882" s="23"/>
      <c r="L1882" s="23"/>
      <c r="M1882" s="12"/>
      <c r="N1882" s="23"/>
      <c r="Q1882" s="23"/>
      <c r="R1882" s="12"/>
    </row>
    <row r="1883" spans="7:18">
      <c r="G1883"/>
      <c r="H1883"/>
      <c r="K1883" s="23"/>
      <c r="L1883" s="23"/>
      <c r="M1883" s="12"/>
      <c r="N1883" s="23"/>
      <c r="Q1883" s="23"/>
      <c r="R1883" s="12"/>
    </row>
    <row r="1884" spans="7:18">
      <c r="G1884" s="10"/>
      <c r="H1884" s="10"/>
      <c r="K1884" s="23"/>
      <c r="L1884" s="23"/>
      <c r="M1884" s="12"/>
      <c r="N1884" s="23"/>
      <c r="Q1884" s="23"/>
      <c r="R1884" s="12"/>
    </row>
    <row r="1885" spans="7:18">
      <c r="G1885"/>
      <c r="H1885"/>
      <c r="K1885" s="23"/>
      <c r="L1885" s="23"/>
      <c r="M1885" s="12"/>
      <c r="N1885" s="23"/>
      <c r="Q1885" s="23"/>
      <c r="R1885" s="12"/>
    </row>
    <row r="1886" spans="7:18">
      <c r="G1886" s="10"/>
      <c r="H1886" s="10"/>
      <c r="K1886" s="23"/>
      <c r="L1886" s="23"/>
      <c r="M1886" s="12"/>
      <c r="N1886" s="23"/>
      <c r="Q1886" s="23"/>
      <c r="R1886" s="12"/>
    </row>
    <row r="1887" spans="7:18">
      <c r="G1887" s="10"/>
      <c r="H1887" s="10"/>
      <c r="K1887" s="23"/>
      <c r="L1887" s="23"/>
      <c r="M1887" s="12"/>
      <c r="N1887" s="23"/>
      <c r="Q1887" s="23"/>
      <c r="R1887" s="12"/>
    </row>
    <row r="1888" spans="7:18">
      <c r="G1888" s="10"/>
      <c r="H1888" s="10"/>
      <c r="K1888" s="23"/>
      <c r="L1888" s="23"/>
      <c r="M1888" s="12"/>
      <c r="N1888" s="23"/>
      <c r="Q1888" s="23"/>
      <c r="R1888" s="12"/>
    </row>
    <row r="1889" spans="6:18">
      <c r="G1889" s="10"/>
      <c r="H1889" s="10"/>
      <c r="K1889" s="23"/>
      <c r="L1889" s="23"/>
      <c r="M1889" s="12"/>
      <c r="N1889" s="23"/>
      <c r="Q1889" s="23"/>
      <c r="R1889" s="12"/>
    </row>
    <row r="1890" spans="6:18">
      <c r="G1890" s="10"/>
      <c r="H1890" s="10"/>
      <c r="K1890" s="23"/>
      <c r="L1890" s="23"/>
      <c r="M1890" s="12"/>
      <c r="N1890" s="23"/>
      <c r="Q1890" s="23"/>
      <c r="R1890" s="12"/>
    </row>
    <row r="1891" spans="6:18">
      <c r="G1891" s="10"/>
      <c r="H1891" s="10"/>
      <c r="K1891" s="23"/>
      <c r="L1891" s="23"/>
      <c r="M1891" s="12"/>
      <c r="N1891" s="23"/>
      <c r="Q1891" s="23"/>
      <c r="R1891" s="12"/>
    </row>
    <row r="1892" spans="6:18">
      <c r="G1892"/>
      <c r="H1892"/>
      <c r="K1892" s="23"/>
      <c r="L1892" s="23"/>
      <c r="M1892" s="12"/>
      <c r="N1892" s="23"/>
      <c r="Q1892" s="23"/>
      <c r="R1892" s="12"/>
    </row>
    <row r="1893" spans="6:18">
      <c r="G1893" s="10"/>
      <c r="H1893" s="10"/>
      <c r="K1893" s="23"/>
      <c r="L1893" s="23"/>
      <c r="M1893" s="12"/>
      <c r="N1893" s="23"/>
      <c r="Q1893" s="23"/>
      <c r="R1893" s="12"/>
    </row>
    <row r="1894" spans="6:18">
      <c r="G1894" s="10"/>
      <c r="H1894" s="10"/>
      <c r="K1894" s="23"/>
      <c r="L1894" s="23"/>
      <c r="M1894" s="12"/>
      <c r="N1894" s="23"/>
      <c r="Q1894" s="23"/>
      <c r="R1894" s="12"/>
    </row>
    <row r="1895" spans="6:18">
      <c r="G1895" s="10"/>
      <c r="H1895" s="10"/>
      <c r="K1895" s="23"/>
      <c r="L1895" s="23"/>
      <c r="M1895" s="12"/>
      <c r="N1895" s="23"/>
      <c r="Q1895" s="23"/>
      <c r="R1895" s="12"/>
    </row>
    <row r="1896" spans="6:18">
      <c r="G1896" s="10"/>
      <c r="H1896" s="10"/>
      <c r="K1896" s="23"/>
      <c r="L1896" s="23"/>
      <c r="M1896" s="12"/>
      <c r="N1896" s="23"/>
      <c r="Q1896" s="23"/>
      <c r="R1896" s="12"/>
    </row>
    <row r="1897" spans="6:18">
      <c r="G1897" s="10"/>
      <c r="H1897" s="10"/>
      <c r="K1897" s="23"/>
      <c r="L1897" s="23"/>
      <c r="M1897" s="12"/>
      <c r="N1897" s="23"/>
      <c r="Q1897" s="23"/>
      <c r="R1897" s="12"/>
    </row>
    <row r="1898" spans="6:18">
      <c r="G1898" s="10"/>
      <c r="H1898" s="10"/>
      <c r="K1898" s="23"/>
      <c r="L1898" s="23"/>
      <c r="M1898" s="12"/>
      <c r="N1898" s="23"/>
      <c r="Q1898" s="23"/>
      <c r="R1898" s="12"/>
    </row>
    <row r="1899" spans="6:18">
      <c r="G1899"/>
      <c r="H1899"/>
      <c r="K1899" s="23"/>
      <c r="L1899" s="23"/>
      <c r="M1899" s="12"/>
      <c r="N1899" s="23"/>
      <c r="Q1899" s="23"/>
      <c r="R1899" s="12"/>
    </row>
    <row r="1900" spans="6:18">
      <c r="F1900" s="12"/>
      <c r="K1900" s="23"/>
      <c r="L1900" s="23"/>
      <c r="M1900" s="12"/>
      <c r="N1900" s="23"/>
      <c r="Q1900" s="23"/>
      <c r="R1900" s="12"/>
    </row>
    <row r="1901" spans="6:18">
      <c r="F1901" s="12"/>
      <c r="K1901" s="23"/>
      <c r="L1901" s="23"/>
      <c r="M1901" s="12"/>
      <c r="N1901" s="23"/>
      <c r="Q1901" s="23"/>
      <c r="R1901" s="12"/>
    </row>
    <row r="1902" spans="6:18">
      <c r="F1902" s="12"/>
      <c r="K1902" s="23"/>
      <c r="L1902" s="23"/>
      <c r="M1902" s="12"/>
      <c r="N1902" s="23"/>
      <c r="Q1902" s="23"/>
      <c r="R1902" s="12"/>
    </row>
    <row r="1903" spans="6:18">
      <c r="F1903" s="12"/>
      <c r="K1903" s="23"/>
      <c r="L1903" s="23"/>
      <c r="M1903" s="12"/>
      <c r="N1903" s="23"/>
      <c r="Q1903" s="23"/>
      <c r="R1903" s="12"/>
    </row>
    <row r="1904" spans="6:18">
      <c r="F1904" s="12"/>
      <c r="K1904" s="23"/>
      <c r="L1904" s="23"/>
      <c r="M1904" s="12"/>
      <c r="N1904" s="23"/>
      <c r="Q1904" s="23"/>
      <c r="R1904" s="12"/>
    </row>
    <row r="1905" spans="6:18">
      <c r="K1905" s="23"/>
      <c r="L1905" s="23"/>
      <c r="M1905" s="12"/>
      <c r="N1905" s="23"/>
      <c r="Q1905" s="23"/>
      <c r="R1905" s="12"/>
    </row>
    <row r="1906" spans="6:18">
      <c r="F1906" s="12"/>
      <c r="K1906" s="23"/>
      <c r="L1906" s="23"/>
      <c r="M1906" s="12"/>
      <c r="N1906" s="23"/>
      <c r="Q1906" s="23"/>
      <c r="R1906" s="12"/>
    </row>
    <row r="1907" spans="6:18">
      <c r="K1907" s="23"/>
      <c r="L1907" s="23"/>
      <c r="M1907" s="12"/>
      <c r="N1907" s="23"/>
      <c r="Q1907" s="23"/>
      <c r="R1907" s="12"/>
    </row>
    <row r="1908" spans="6:18">
      <c r="K1908" s="23"/>
      <c r="L1908" s="23"/>
      <c r="M1908" s="12"/>
      <c r="N1908" s="23"/>
      <c r="Q1908" s="23"/>
      <c r="R1908" s="12"/>
    </row>
    <row r="1909" spans="6:18">
      <c r="K1909" s="23"/>
      <c r="L1909" s="23"/>
      <c r="M1909" s="12"/>
      <c r="N1909" s="23"/>
      <c r="Q1909" s="23"/>
      <c r="R1909" s="12"/>
    </row>
    <row r="1910" spans="6:18">
      <c r="K1910" s="23"/>
      <c r="L1910" s="23"/>
      <c r="M1910" s="12"/>
      <c r="N1910" s="23"/>
      <c r="Q1910" s="23"/>
      <c r="R1910" s="12"/>
    </row>
    <row r="1911" spans="6:18">
      <c r="K1911" s="23"/>
      <c r="L1911" s="23"/>
      <c r="M1911" s="12"/>
      <c r="N1911" s="23"/>
      <c r="Q1911" s="23"/>
      <c r="R1911" s="12"/>
    </row>
    <row r="1912" spans="6:18">
      <c r="K1912" s="23"/>
      <c r="L1912" s="23"/>
      <c r="M1912" s="12"/>
      <c r="N1912" s="23"/>
      <c r="Q1912" s="23"/>
      <c r="R1912" s="12"/>
    </row>
    <row r="1913" spans="6:18">
      <c r="F1913" s="12"/>
      <c r="K1913" s="23"/>
      <c r="L1913" s="23"/>
      <c r="M1913" s="12"/>
      <c r="N1913" s="23"/>
      <c r="Q1913" s="23"/>
      <c r="R1913" s="12"/>
    </row>
    <row r="1914" spans="6:18">
      <c r="K1914" s="23"/>
      <c r="L1914" s="23"/>
      <c r="M1914" s="12"/>
      <c r="N1914" s="23"/>
      <c r="Q1914" s="23"/>
      <c r="R1914" s="12"/>
    </row>
    <row r="1915" spans="6:18">
      <c r="K1915" s="23"/>
      <c r="L1915" s="23"/>
      <c r="M1915" s="12"/>
      <c r="N1915" s="23"/>
      <c r="Q1915" s="23"/>
      <c r="R1915" s="12"/>
    </row>
    <row r="1916" spans="6:18">
      <c r="K1916" s="23"/>
      <c r="L1916" s="23"/>
      <c r="M1916" s="12"/>
      <c r="N1916" s="23"/>
      <c r="Q1916" s="23"/>
      <c r="R1916" s="12"/>
    </row>
    <row r="1917" spans="6:18">
      <c r="K1917" s="23"/>
      <c r="L1917" s="23"/>
      <c r="M1917" s="12"/>
      <c r="N1917" s="23"/>
      <c r="Q1917" s="23"/>
      <c r="R1917" s="12"/>
    </row>
    <row r="1918" spans="6:18">
      <c r="K1918" s="23"/>
      <c r="L1918" s="23"/>
      <c r="M1918" s="12"/>
      <c r="N1918" s="23"/>
      <c r="Q1918" s="23"/>
      <c r="R1918" s="12"/>
    </row>
    <row r="1919" spans="6:18">
      <c r="F1919" s="12"/>
      <c r="K1919" s="23"/>
      <c r="L1919" s="23"/>
      <c r="M1919" s="12"/>
      <c r="N1919" s="23"/>
      <c r="Q1919" s="23"/>
      <c r="R1919" s="12"/>
    </row>
    <row r="1920" spans="6:18">
      <c r="F1920" s="12"/>
      <c r="K1920" s="23"/>
      <c r="L1920" s="23"/>
      <c r="M1920" s="12"/>
      <c r="N1920" s="23"/>
      <c r="Q1920" s="23"/>
      <c r="R1920" s="12"/>
    </row>
    <row r="1921" spans="6:18">
      <c r="F1921" s="12"/>
      <c r="K1921" s="23"/>
      <c r="L1921" s="23"/>
      <c r="M1921" s="12"/>
      <c r="N1921" s="23"/>
      <c r="Q1921" s="23"/>
      <c r="R1921" s="12"/>
    </row>
    <row r="1922" spans="6:18">
      <c r="F1922" s="12"/>
      <c r="K1922" s="23"/>
      <c r="L1922" s="23"/>
      <c r="M1922" s="12"/>
      <c r="N1922" s="23"/>
      <c r="Q1922" s="23"/>
      <c r="R1922" s="12"/>
    </row>
    <row r="1923" spans="6:18">
      <c r="F1923" s="12"/>
      <c r="K1923" s="23"/>
      <c r="L1923" s="23"/>
      <c r="M1923" s="12"/>
      <c r="N1923" s="23"/>
      <c r="Q1923" s="23"/>
      <c r="R1923" s="12"/>
    </row>
    <row r="1924" spans="6:18">
      <c r="F1924" s="12"/>
      <c r="K1924" s="23"/>
      <c r="L1924" s="23"/>
      <c r="M1924" s="12"/>
      <c r="N1924" s="23"/>
      <c r="Q1924" s="23"/>
      <c r="R1924" s="12"/>
    </row>
    <row r="1925" spans="6:18">
      <c r="K1925" s="23"/>
      <c r="L1925" s="23"/>
      <c r="M1925" s="12"/>
      <c r="N1925" s="23"/>
      <c r="Q1925" s="23"/>
      <c r="R1925" s="12"/>
    </row>
    <row r="1926" spans="6:18">
      <c r="K1926" s="23"/>
      <c r="L1926" s="23"/>
      <c r="M1926" s="12"/>
      <c r="N1926" s="23"/>
      <c r="Q1926" s="23"/>
      <c r="R1926" s="12"/>
    </row>
    <row r="1927" spans="6:18">
      <c r="F1927" s="12"/>
      <c r="K1927" s="23"/>
      <c r="L1927" s="23"/>
      <c r="M1927" s="12"/>
      <c r="N1927" s="23"/>
      <c r="Q1927" s="23"/>
      <c r="R1927" s="12"/>
    </row>
    <row r="1928" spans="6:18">
      <c r="F1928" s="12"/>
      <c r="K1928" s="23"/>
      <c r="L1928" s="23"/>
      <c r="M1928" s="12"/>
      <c r="N1928" s="23"/>
      <c r="Q1928" s="23"/>
      <c r="R1928" s="12"/>
    </row>
    <row r="1929" spans="6:18">
      <c r="F1929" s="12"/>
      <c r="K1929" s="23"/>
      <c r="L1929" s="23"/>
      <c r="M1929" s="12"/>
      <c r="N1929" s="23"/>
      <c r="Q1929" s="23"/>
      <c r="R1929" s="12"/>
    </row>
    <row r="1930" spans="6:18">
      <c r="K1930" s="23"/>
      <c r="L1930" s="23"/>
      <c r="M1930" s="12"/>
      <c r="N1930" s="23"/>
      <c r="Q1930" s="23"/>
      <c r="R1930" s="12"/>
    </row>
    <row r="1931" spans="6:18">
      <c r="K1931" s="23"/>
      <c r="L1931" s="23"/>
      <c r="M1931" s="12"/>
      <c r="N1931" s="23"/>
      <c r="Q1931" s="23"/>
      <c r="R1931" s="12"/>
    </row>
    <row r="1932" spans="6:18">
      <c r="K1932" s="23"/>
      <c r="L1932" s="23"/>
      <c r="M1932" s="12"/>
      <c r="N1932" s="23"/>
      <c r="Q1932" s="23"/>
      <c r="R1932" s="12"/>
    </row>
    <row r="1933" spans="6:18">
      <c r="K1933" s="23"/>
      <c r="L1933" s="23"/>
      <c r="M1933" s="12"/>
      <c r="N1933" s="23"/>
      <c r="Q1933" s="23"/>
      <c r="R1933" s="12"/>
    </row>
    <row r="1934" spans="6:18">
      <c r="K1934" s="23"/>
      <c r="L1934" s="23"/>
      <c r="M1934" s="12"/>
      <c r="N1934" s="23"/>
      <c r="Q1934" s="23"/>
      <c r="R1934" s="12"/>
    </row>
    <row r="1935" spans="6:18">
      <c r="K1935" s="23"/>
      <c r="L1935" s="23"/>
      <c r="M1935" s="12"/>
      <c r="N1935" s="23"/>
      <c r="Q1935" s="23"/>
      <c r="R1935" s="12"/>
    </row>
    <row r="1936" spans="6:18">
      <c r="F1936" s="12"/>
      <c r="K1936" s="23"/>
      <c r="L1936" s="23"/>
      <c r="M1936" s="12"/>
      <c r="N1936" s="23"/>
      <c r="Q1936" s="23"/>
      <c r="R1936" s="12"/>
    </row>
    <row r="1937" spans="6:18">
      <c r="F1937" s="12"/>
      <c r="K1937" s="23"/>
      <c r="L1937" s="23"/>
      <c r="M1937" s="12"/>
      <c r="N1937" s="23"/>
      <c r="Q1937" s="23"/>
      <c r="R1937" s="12"/>
    </row>
    <row r="1938" spans="6:18">
      <c r="G1938"/>
      <c r="H1938"/>
      <c r="K1938" s="23"/>
      <c r="L1938" s="23"/>
      <c r="M1938" s="12"/>
      <c r="N1938" s="23"/>
      <c r="Q1938" s="23"/>
      <c r="R1938" s="12"/>
    </row>
    <row r="1939" spans="6:18">
      <c r="G1939" s="10"/>
      <c r="H1939" s="10"/>
      <c r="K1939" s="23"/>
      <c r="L1939" s="23"/>
      <c r="M1939" s="12"/>
      <c r="N1939" s="23"/>
      <c r="Q1939" s="23"/>
      <c r="R1939" s="12"/>
    </row>
    <row r="1940" spans="6:18">
      <c r="G1940" s="10"/>
      <c r="H1940" s="10"/>
      <c r="K1940" s="23"/>
      <c r="L1940" s="23"/>
      <c r="M1940" s="12"/>
      <c r="N1940" s="23"/>
      <c r="Q1940" s="23"/>
      <c r="R1940" s="12"/>
    </row>
    <row r="1941" spans="6:18">
      <c r="G1941" s="10"/>
      <c r="H1941" s="10"/>
      <c r="K1941" s="23"/>
      <c r="L1941" s="23"/>
      <c r="M1941" s="12"/>
      <c r="N1941" s="23"/>
      <c r="Q1941" s="23"/>
      <c r="R1941" s="12"/>
    </row>
    <row r="1942" spans="6:18">
      <c r="G1942" s="10"/>
      <c r="H1942" s="10"/>
      <c r="K1942" s="23"/>
      <c r="L1942" s="23"/>
      <c r="M1942" s="12"/>
      <c r="N1942" s="23"/>
      <c r="Q1942" s="23"/>
      <c r="R1942" s="12"/>
    </row>
    <row r="1943" spans="6:18">
      <c r="G1943" s="10"/>
      <c r="H1943" s="10"/>
      <c r="K1943" s="23"/>
      <c r="L1943" s="23"/>
      <c r="M1943" s="12"/>
      <c r="N1943" s="23"/>
      <c r="Q1943" s="23"/>
      <c r="R1943" s="12"/>
    </row>
    <row r="1944" spans="6:18">
      <c r="G1944" s="10"/>
      <c r="H1944" s="10"/>
      <c r="K1944" s="23"/>
      <c r="L1944" s="23"/>
      <c r="M1944" s="12"/>
      <c r="N1944" s="23"/>
      <c r="Q1944" s="23"/>
      <c r="R1944" s="12"/>
    </row>
    <row r="1945" spans="6:18">
      <c r="G1945"/>
      <c r="H1945"/>
      <c r="K1945" s="23"/>
      <c r="L1945" s="23"/>
      <c r="M1945" s="12"/>
      <c r="N1945" s="23"/>
      <c r="Q1945" s="23"/>
      <c r="R1945" s="12"/>
    </row>
    <row r="1946" spans="6:18">
      <c r="G1946"/>
      <c r="H1946"/>
      <c r="K1946" s="23"/>
      <c r="L1946" s="23"/>
      <c r="M1946" s="12"/>
      <c r="N1946" s="23"/>
      <c r="Q1946" s="23"/>
      <c r="R1946" s="12"/>
    </row>
    <row r="1947" spans="6:18">
      <c r="G1947"/>
      <c r="H1947"/>
      <c r="K1947" s="23"/>
      <c r="L1947" s="23"/>
      <c r="M1947" s="12"/>
      <c r="N1947" s="23"/>
      <c r="Q1947" s="23"/>
      <c r="R1947" s="12"/>
    </row>
    <row r="1948" spans="6:18">
      <c r="G1948" s="10"/>
      <c r="H1948" s="10"/>
      <c r="K1948" s="23"/>
      <c r="L1948" s="23"/>
      <c r="M1948" s="12"/>
      <c r="N1948" s="23"/>
      <c r="Q1948" s="23"/>
      <c r="R1948" s="12"/>
    </row>
    <row r="1949" spans="6:18">
      <c r="G1949" s="10"/>
      <c r="H1949" s="10"/>
      <c r="K1949" s="23"/>
      <c r="L1949" s="23"/>
      <c r="M1949" s="12"/>
      <c r="N1949" s="23"/>
      <c r="Q1949" s="23"/>
      <c r="R1949" s="12"/>
    </row>
    <row r="1950" spans="6:18">
      <c r="G1950" s="10"/>
      <c r="H1950" s="10"/>
      <c r="K1950" s="23"/>
      <c r="L1950" s="23"/>
      <c r="M1950" s="12"/>
      <c r="N1950" s="23"/>
      <c r="Q1950" s="23"/>
      <c r="R1950" s="12"/>
    </row>
    <row r="1951" spans="6:18">
      <c r="G1951" s="10"/>
      <c r="H1951" s="10"/>
      <c r="K1951" s="23"/>
      <c r="L1951" s="23"/>
      <c r="M1951" s="12"/>
      <c r="N1951" s="23"/>
      <c r="Q1951" s="23"/>
      <c r="R1951" s="12"/>
    </row>
    <row r="1952" spans="6:18">
      <c r="G1952" s="10"/>
      <c r="H1952" s="10"/>
      <c r="K1952" s="23"/>
      <c r="L1952" s="23"/>
      <c r="M1952" s="12"/>
      <c r="N1952" s="23"/>
      <c r="Q1952" s="23"/>
      <c r="R1952" s="12"/>
    </row>
    <row r="1953" spans="6:18">
      <c r="G1953" s="10"/>
      <c r="H1953" s="10"/>
      <c r="K1953" s="23"/>
      <c r="L1953" s="23"/>
      <c r="M1953" s="12"/>
      <c r="N1953" s="23"/>
      <c r="Q1953" s="23"/>
      <c r="R1953" s="12"/>
    </row>
    <row r="1954" spans="6:18">
      <c r="F1954" s="12"/>
      <c r="K1954" s="23"/>
      <c r="L1954" s="23"/>
      <c r="M1954" s="12"/>
      <c r="N1954" s="23"/>
      <c r="Q1954" s="23"/>
      <c r="R1954" s="12"/>
    </row>
    <row r="1955" spans="6:18">
      <c r="F1955" s="12"/>
      <c r="K1955" s="23"/>
      <c r="L1955" s="23"/>
      <c r="M1955" s="12"/>
      <c r="N1955" s="23"/>
      <c r="Q1955" s="23"/>
      <c r="R1955" s="12"/>
    </row>
    <row r="1956" spans="6:18">
      <c r="F1956" s="12"/>
      <c r="K1956" s="23"/>
      <c r="L1956" s="23"/>
      <c r="M1956" s="12"/>
      <c r="N1956" s="23"/>
      <c r="Q1956" s="23"/>
      <c r="R1956" s="12"/>
    </row>
    <row r="1957" spans="6:18">
      <c r="F1957" s="12"/>
      <c r="K1957" s="23"/>
      <c r="L1957" s="23"/>
      <c r="M1957" s="12"/>
      <c r="N1957" s="23"/>
      <c r="Q1957" s="23"/>
      <c r="R1957" s="12"/>
    </row>
    <row r="1958" spans="6:18">
      <c r="F1958" s="12"/>
      <c r="K1958" s="23"/>
      <c r="L1958" s="23"/>
      <c r="M1958" s="12"/>
      <c r="N1958" s="23"/>
      <c r="Q1958" s="23"/>
      <c r="R1958" s="12"/>
    </row>
    <row r="1959" spans="6:18">
      <c r="K1959" s="23"/>
      <c r="L1959" s="23"/>
      <c r="M1959" s="12"/>
      <c r="N1959" s="23"/>
      <c r="Q1959" s="23"/>
      <c r="R1959" s="12"/>
    </row>
    <row r="1960" spans="6:18">
      <c r="F1960" s="12"/>
      <c r="K1960" s="23"/>
      <c r="L1960" s="23"/>
      <c r="M1960" s="12"/>
      <c r="N1960" s="23"/>
      <c r="Q1960" s="23"/>
      <c r="R1960" s="12"/>
    </row>
    <row r="1961" spans="6:18">
      <c r="K1961" s="23"/>
      <c r="L1961" s="23"/>
      <c r="M1961" s="12"/>
      <c r="N1961" s="23"/>
      <c r="Q1961" s="23"/>
      <c r="R1961" s="12"/>
    </row>
    <row r="1962" spans="6:18">
      <c r="K1962" s="23"/>
      <c r="L1962" s="23"/>
      <c r="M1962" s="12"/>
      <c r="N1962" s="23"/>
      <c r="Q1962" s="23"/>
      <c r="R1962" s="12"/>
    </row>
    <row r="1963" spans="6:18">
      <c r="K1963" s="23"/>
      <c r="L1963" s="23"/>
      <c r="M1963" s="12"/>
      <c r="N1963" s="23"/>
      <c r="Q1963" s="23"/>
      <c r="R1963" s="12"/>
    </row>
    <row r="1964" spans="6:18">
      <c r="K1964" s="23"/>
      <c r="L1964" s="23"/>
      <c r="M1964" s="12"/>
      <c r="N1964" s="23"/>
      <c r="Q1964" s="23"/>
      <c r="R1964" s="12"/>
    </row>
    <row r="1965" spans="6:18">
      <c r="K1965" s="23"/>
      <c r="L1965" s="23"/>
      <c r="M1965" s="12"/>
      <c r="N1965" s="23"/>
      <c r="Q1965" s="23"/>
      <c r="R1965" s="12"/>
    </row>
    <row r="1966" spans="6:18">
      <c r="K1966" s="23"/>
      <c r="L1966" s="23"/>
      <c r="M1966" s="12"/>
      <c r="N1966" s="23"/>
      <c r="Q1966" s="23"/>
      <c r="R1966" s="12"/>
    </row>
    <row r="1967" spans="6:18">
      <c r="F1967" s="12"/>
      <c r="K1967" s="23"/>
      <c r="L1967" s="23"/>
      <c r="M1967" s="12"/>
      <c r="N1967" s="23"/>
      <c r="Q1967" s="23"/>
      <c r="R1967" s="12"/>
    </row>
    <row r="1968" spans="6:18">
      <c r="K1968" s="23"/>
      <c r="L1968" s="23"/>
      <c r="M1968" s="12"/>
      <c r="N1968" s="23"/>
      <c r="Q1968" s="23"/>
      <c r="R1968" s="12"/>
    </row>
    <row r="1969" spans="7:18">
      <c r="K1969" s="23"/>
      <c r="L1969" s="23"/>
      <c r="M1969" s="12"/>
      <c r="N1969" s="23"/>
      <c r="Q1969" s="23"/>
      <c r="R1969" s="12"/>
    </row>
    <row r="1970" spans="7:18">
      <c r="K1970" s="23"/>
      <c r="L1970" s="23"/>
      <c r="M1970" s="12"/>
      <c r="N1970" s="23"/>
      <c r="Q1970" s="23"/>
      <c r="R1970" s="12"/>
    </row>
    <row r="1971" spans="7:18">
      <c r="K1971" s="23"/>
      <c r="L1971" s="23"/>
      <c r="M1971" s="12"/>
      <c r="N1971" s="23"/>
      <c r="Q1971" s="23"/>
      <c r="R1971" s="12"/>
    </row>
    <row r="1972" spans="7:18">
      <c r="K1972" s="23"/>
      <c r="L1972" s="23"/>
      <c r="M1972" s="12"/>
      <c r="N1972" s="23"/>
      <c r="Q1972" s="23"/>
      <c r="R1972" s="12"/>
    </row>
    <row r="1973" spans="7:18">
      <c r="G1973" s="10"/>
      <c r="H1973" s="10"/>
      <c r="K1973" s="23"/>
      <c r="L1973" s="23"/>
      <c r="M1973" s="12"/>
      <c r="N1973" s="23"/>
      <c r="Q1973" s="23"/>
      <c r="R1973" s="12"/>
    </row>
    <row r="1974" spans="7:18">
      <c r="G1974"/>
      <c r="H1974"/>
      <c r="K1974" s="23"/>
      <c r="L1974" s="23"/>
      <c r="M1974" s="12"/>
      <c r="N1974" s="23"/>
      <c r="Q1974" s="23"/>
      <c r="R1974" s="12"/>
    </row>
    <row r="1975" spans="7:18">
      <c r="G1975" s="10"/>
      <c r="H1975" s="10"/>
      <c r="K1975" s="23"/>
      <c r="L1975" s="23"/>
      <c r="M1975" s="12"/>
      <c r="N1975" s="23"/>
      <c r="Q1975" s="23"/>
      <c r="R1975" s="12"/>
    </row>
    <row r="1976" spans="7:18">
      <c r="G1976" s="10"/>
      <c r="H1976" s="10"/>
      <c r="K1976" s="23"/>
      <c r="L1976" s="23"/>
      <c r="M1976" s="12"/>
      <c r="N1976" s="23"/>
      <c r="Q1976" s="23"/>
      <c r="R1976" s="12"/>
    </row>
    <row r="1977" spans="7:18">
      <c r="G1977" s="10"/>
      <c r="H1977" s="10"/>
      <c r="K1977" s="23"/>
      <c r="L1977" s="23"/>
      <c r="M1977" s="12"/>
      <c r="N1977" s="23"/>
      <c r="Q1977" s="23"/>
      <c r="R1977" s="12"/>
    </row>
    <row r="1978" spans="7:18">
      <c r="G1978" s="10"/>
      <c r="H1978" s="10"/>
      <c r="K1978" s="23"/>
      <c r="L1978" s="23"/>
      <c r="M1978" s="12"/>
      <c r="N1978" s="23"/>
      <c r="Q1978" s="23"/>
      <c r="R1978" s="12"/>
    </row>
    <row r="1979" spans="7:18">
      <c r="G1979" s="10"/>
      <c r="H1979" s="10"/>
      <c r="K1979" s="23"/>
      <c r="L1979" s="23"/>
      <c r="M1979" s="12"/>
      <c r="N1979" s="23"/>
      <c r="Q1979" s="23"/>
      <c r="R1979" s="12"/>
    </row>
    <row r="1980" spans="7:18">
      <c r="G1980" s="10"/>
      <c r="H1980" s="10"/>
      <c r="K1980" s="23"/>
      <c r="L1980" s="23"/>
      <c r="M1980" s="12"/>
      <c r="N1980" s="23"/>
      <c r="Q1980" s="23"/>
      <c r="R1980" s="12"/>
    </row>
    <row r="1981" spans="7:18">
      <c r="G1981"/>
      <c r="H1981"/>
      <c r="K1981" s="23"/>
      <c r="L1981" s="23"/>
      <c r="M1981" s="12"/>
      <c r="N1981" s="23"/>
      <c r="Q1981" s="23"/>
      <c r="R1981" s="12"/>
    </row>
    <row r="1982" spans="7:18">
      <c r="G1982" s="10"/>
      <c r="H1982" s="10"/>
      <c r="K1982" s="23"/>
      <c r="L1982" s="23"/>
      <c r="M1982" s="12"/>
      <c r="N1982" s="23"/>
      <c r="Q1982" s="23"/>
      <c r="R1982" s="12"/>
    </row>
    <row r="1983" spans="7:18">
      <c r="G1983" s="10"/>
      <c r="H1983" s="10"/>
      <c r="K1983" s="23"/>
      <c r="L1983" s="23"/>
      <c r="M1983" s="12"/>
      <c r="N1983" s="23"/>
      <c r="Q1983" s="23"/>
      <c r="R1983" s="12"/>
    </row>
    <row r="1984" spans="7:18">
      <c r="G1984" s="10"/>
      <c r="H1984" s="10"/>
      <c r="K1984" s="23"/>
      <c r="L1984" s="23"/>
      <c r="M1984" s="12"/>
      <c r="N1984" s="23"/>
      <c r="Q1984" s="23"/>
      <c r="R1984" s="12"/>
    </row>
    <row r="1985" spans="6:18">
      <c r="G1985" s="10"/>
      <c r="H1985" s="10"/>
      <c r="K1985" s="23"/>
      <c r="L1985" s="23"/>
      <c r="M1985" s="12"/>
      <c r="N1985" s="23"/>
      <c r="Q1985" s="23"/>
      <c r="R1985" s="12"/>
    </row>
    <row r="1986" spans="6:18">
      <c r="G1986" s="10"/>
      <c r="H1986" s="10"/>
      <c r="K1986" s="23"/>
      <c r="L1986" s="23"/>
      <c r="M1986" s="12"/>
      <c r="N1986" s="23"/>
      <c r="Q1986" s="23"/>
      <c r="R1986" s="12"/>
    </row>
    <row r="1987" spans="6:18">
      <c r="G1987" s="10"/>
      <c r="H1987" s="10"/>
      <c r="K1987" s="23"/>
      <c r="L1987" s="23"/>
      <c r="M1987" s="12"/>
      <c r="N1987" s="23"/>
      <c r="Q1987" s="23"/>
      <c r="R1987" s="12"/>
    </row>
    <row r="1988" spans="6:18">
      <c r="G1988"/>
      <c r="H1988"/>
      <c r="K1988" s="23"/>
      <c r="L1988" s="23"/>
      <c r="M1988" s="12"/>
      <c r="N1988" s="23"/>
      <c r="Q1988" s="23"/>
      <c r="R1988" s="12"/>
    </row>
    <row r="1989" spans="6:18">
      <c r="F1989" s="12"/>
      <c r="K1989" s="23"/>
      <c r="L1989" s="23"/>
      <c r="M1989" s="12"/>
      <c r="N1989" s="23"/>
      <c r="Q1989" s="23"/>
      <c r="R1989" s="12"/>
    </row>
    <row r="1990" spans="6:18">
      <c r="F1990" s="12"/>
      <c r="K1990" s="23"/>
      <c r="L1990" s="23"/>
      <c r="M1990" s="12"/>
      <c r="N1990" s="23"/>
      <c r="Q1990" s="23"/>
      <c r="R1990" s="12"/>
    </row>
    <row r="1991" spans="6:18">
      <c r="F1991" s="12"/>
      <c r="K1991" s="23"/>
      <c r="L1991" s="23"/>
      <c r="M1991" s="12"/>
      <c r="N1991" s="23"/>
      <c r="Q1991" s="23"/>
      <c r="R1991" s="12"/>
    </row>
    <row r="1992" spans="6:18">
      <c r="F1992" s="12"/>
      <c r="K1992" s="23"/>
      <c r="L1992" s="23"/>
      <c r="M1992" s="12"/>
      <c r="N1992" s="23"/>
      <c r="Q1992" s="23"/>
      <c r="R1992" s="12"/>
    </row>
    <row r="1993" spans="6:18">
      <c r="F1993" s="12"/>
      <c r="K1993" s="23"/>
      <c r="L1993" s="23"/>
      <c r="M1993" s="12"/>
      <c r="N1993" s="23"/>
      <c r="Q1993" s="23"/>
      <c r="R1993" s="12"/>
    </row>
    <row r="1994" spans="6:18">
      <c r="K1994" s="23"/>
      <c r="L1994" s="23"/>
      <c r="M1994" s="12"/>
      <c r="N1994" s="23"/>
      <c r="Q1994" s="23"/>
      <c r="R1994" s="12"/>
    </row>
    <row r="1995" spans="6:18">
      <c r="F1995" s="12"/>
      <c r="K1995" s="23"/>
      <c r="L1995" s="23"/>
      <c r="M1995" s="12"/>
      <c r="N1995" s="23"/>
      <c r="Q1995" s="23"/>
      <c r="R1995" s="12"/>
    </row>
    <row r="1996" spans="6:18">
      <c r="F1996" s="12"/>
      <c r="K1996" s="23"/>
      <c r="L1996" s="23"/>
      <c r="M1996" s="12"/>
      <c r="N1996" s="23"/>
      <c r="Q1996" s="23"/>
      <c r="R1996" s="12"/>
    </row>
    <row r="1997" spans="6:18">
      <c r="K1997" s="23"/>
      <c r="L1997" s="23"/>
      <c r="M1997" s="12"/>
      <c r="N1997" s="23"/>
      <c r="Q1997" s="23"/>
      <c r="R1997" s="12"/>
    </row>
    <row r="1998" spans="6:18">
      <c r="K1998" s="23"/>
      <c r="L1998" s="23"/>
      <c r="M1998" s="12"/>
      <c r="N1998" s="23"/>
      <c r="Q1998" s="23"/>
      <c r="R1998" s="12"/>
    </row>
    <row r="1999" spans="6:18">
      <c r="K1999" s="23"/>
      <c r="L1999" s="23"/>
      <c r="M1999" s="12"/>
      <c r="N1999" s="23"/>
      <c r="Q1999" s="23"/>
      <c r="R1999" s="12"/>
    </row>
    <row r="2000" spans="6:18">
      <c r="K2000" s="23"/>
      <c r="L2000" s="23"/>
      <c r="M2000" s="12"/>
      <c r="N2000" s="23"/>
      <c r="Q2000" s="23"/>
      <c r="R2000" s="12"/>
    </row>
    <row r="2001" spans="6:18">
      <c r="K2001" s="23"/>
      <c r="L2001" s="23"/>
      <c r="M2001" s="12"/>
      <c r="N2001" s="23"/>
      <c r="Q2001" s="23"/>
      <c r="R2001" s="12"/>
    </row>
    <row r="2002" spans="6:18">
      <c r="K2002" s="23"/>
      <c r="L2002" s="23"/>
      <c r="M2002" s="12"/>
      <c r="N2002" s="23"/>
      <c r="Q2002" s="23"/>
      <c r="R2002" s="12"/>
    </row>
    <row r="2003" spans="6:18">
      <c r="F2003" s="12"/>
      <c r="K2003" s="23"/>
      <c r="L2003" s="23"/>
      <c r="M2003" s="12"/>
      <c r="N2003" s="23"/>
      <c r="Q2003" s="23"/>
      <c r="R2003" s="12"/>
    </row>
    <row r="2004" spans="6:18">
      <c r="F2004" s="12"/>
      <c r="K2004" s="23"/>
      <c r="L2004" s="23"/>
      <c r="M2004" s="12"/>
      <c r="N2004" s="23"/>
      <c r="Q2004" s="23"/>
      <c r="R2004" s="12"/>
    </row>
    <row r="2005" spans="6:18">
      <c r="F2005" s="12"/>
      <c r="K2005" s="23"/>
      <c r="L2005" s="23"/>
      <c r="M2005" s="12"/>
      <c r="N2005" s="23"/>
      <c r="Q2005" s="23"/>
      <c r="R2005" s="12"/>
    </row>
    <row r="2006" spans="6:18">
      <c r="K2006" s="23"/>
      <c r="L2006" s="23"/>
      <c r="M2006" s="12"/>
      <c r="N2006" s="23"/>
      <c r="Q2006" s="23"/>
      <c r="R2006" s="12"/>
    </row>
    <row r="2007" spans="6:18">
      <c r="K2007" s="23"/>
      <c r="L2007" s="23"/>
      <c r="M2007" s="12"/>
      <c r="N2007" s="23"/>
      <c r="Q2007" s="23"/>
      <c r="R2007" s="12"/>
    </row>
    <row r="2008" spans="6:18">
      <c r="G2008" s="10"/>
      <c r="H2008"/>
      <c r="K2008" s="23"/>
      <c r="L2008" s="23"/>
      <c r="M2008" s="12"/>
      <c r="N2008" s="23"/>
      <c r="Q2008" s="23"/>
      <c r="R2008" s="12"/>
    </row>
    <row r="2009" spans="6:18">
      <c r="G2009" s="10"/>
      <c r="H2009"/>
      <c r="K2009" s="23"/>
      <c r="L2009" s="23"/>
      <c r="M2009" s="12"/>
      <c r="N2009" s="23"/>
      <c r="Q2009" s="23"/>
      <c r="R2009" s="12"/>
    </row>
    <row r="2010" spans="6:18">
      <c r="G2010" s="10"/>
      <c r="H2010" s="10"/>
      <c r="K2010" s="23"/>
      <c r="L2010" s="23"/>
      <c r="M2010" s="12"/>
      <c r="N2010" s="23"/>
      <c r="Q2010" s="23"/>
      <c r="R2010" s="12"/>
    </row>
    <row r="2011" spans="6:18">
      <c r="G2011" s="10"/>
      <c r="H2011"/>
      <c r="K2011" s="23"/>
      <c r="L2011" s="23"/>
      <c r="M2011" s="12"/>
      <c r="N2011" s="23"/>
      <c r="Q2011" s="23"/>
      <c r="R2011" s="12"/>
    </row>
    <row r="2012" spans="6:18">
      <c r="G2012"/>
      <c r="H2012"/>
      <c r="K2012" s="23"/>
      <c r="L2012" s="23"/>
      <c r="M2012" s="12"/>
      <c r="N2012" s="23"/>
      <c r="Q2012" s="23"/>
      <c r="R2012" s="12"/>
    </row>
    <row r="2013" spans="6:18">
      <c r="G2013"/>
      <c r="H2013"/>
      <c r="K2013" s="23"/>
      <c r="L2013" s="23"/>
      <c r="M2013" s="12"/>
      <c r="N2013" s="23"/>
      <c r="Q2013" s="23"/>
      <c r="R2013" s="12"/>
    </row>
    <row r="2014" spans="6:18">
      <c r="G2014"/>
      <c r="H2014"/>
      <c r="K2014" s="23"/>
      <c r="L2014" s="23"/>
      <c r="M2014" s="12"/>
      <c r="N2014" s="23"/>
      <c r="Q2014" s="23"/>
      <c r="R2014" s="12"/>
    </row>
    <row r="2015" spans="6:18">
      <c r="G2015" s="10"/>
      <c r="H2015" s="10"/>
      <c r="K2015" s="23"/>
      <c r="L2015" s="23"/>
      <c r="M2015" s="12"/>
      <c r="N2015" s="23"/>
      <c r="Q2015" s="23"/>
      <c r="R2015" s="12"/>
    </row>
    <row r="2016" spans="6:18">
      <c r="G2016" s="10"/>
      <c r="H2016" s="10"/>
      <c r="K2016" s="23"/>
      <c r="L2016" s="23"/>
      <c r="M2016" s="12"/>
      <c r="N2016" s="23"/>
      <c r="Q2016" s="23"/>
      <c r="R2016" s="12"/>
    </row>
    <row r="2017" spans="6:18">
      <c r="G2017" s="10"/>
      <c r="H2017" s="10"/>
      <c r="K2017" s="23"/>
      <c r="L2017" s="23"/>
      <c r="M2017" s="12"/>
      <c r="N2017" s="23"/>
      <c r="Q2017" s="23"/>
      <c r="R2017" s="12"/>
    </row>
    <row r="2018" spans="6:18">
      <c r="G2018" s="10"/>
      <c r="H2018" s="10"/>
      <c r="K2018" s="23"/>
      <c r="L2018" s="23"/>
      <c r="M2018" s="12"/>
      <c r="N2018" s="23"/>
      <c r="Q2018" s="23"/>
      <c r="R2018" s="12"/>
    </row>
    <row r="2019" spans="6:18">
      <c r="G2019" s="10"/>
      <c r="H2019" s="10"/>
      <c r="K2019" s="23"/>
      <c r="L2019" s="23"/>
      <c r="M2019" s="12"/>
      <c r="N2019" s="23"/>
      <c r="Q2019" s="23"/>
      <c r="R2019" s="12"/>
    </row>
    <row r="2020" spans="6:18">
      <c r="G2020" s="10"/>
      <c r="H2020" s="10"/>
      <c r="K2020" s="23"/>
      <c r="L2020" s="23"/>
      <c r="M2020" s="12"/>
      <c r="N2020" s="23"/>
      <c r="Q2020" s="23"/>
      <c r="R2020" s="12"/>
    </row>
    <row r="2021" spans="6:18">
      <c r="G2021"/>
      <c r="H2021"/>
      <c r="K2021" s="23"/>
      <c r="L2021" s="23"/>
      <c r="M2021" s="12"/>
      <c r="N2021" s="23"/>
      <c r="Q2021" s="23"/>
      <c r="R2021" s="12"/>
    </row>
    <row r="2022" spans="6:18">
      <c r="G2022"/>
      <c r="H2022"/>
      <c r="K2022" s="23"/>
      <c r="L2022" s="23"/>
      <c r="M2022" s="12"/>
      <c r="N2022" s="23"/>
      <c r="Q2022" s="23"/>
      <c r="R2022" s="12"/>
    </row>
    <row r="2023" spans="6:18">
      <c r="G2023"/>
      <c r="H2023"/>
      <c r="K2023" s="23"/>
      <c r="L2023" s="23"/>
      <c r="M2023" s="12"/>
      <c r="N2023" s="23"/>
      <c r="Q2023" s="23"/>
      <c r="R2023" s="12"/>
    </row>
    <row r="2024" spans="6:18">
      <c r="F2024" s="12"/>
      <c r="K2024" s="23"/>
      <c r="L2024" s="23"/>
      <c r="M2024" s="12"/>
      <c r="N2024" s="23"/>
      <c r="Q2024" s="23"/>
      <c r="R2024" s="12"/>
    </row>
    <row r="2025" spans="6:18">
      <c r="F2025" s="12"/>
      <c r="K2025" s="23"/>
      <c r="L2025" s="23"/>
      <c r="M2025" s="12"/>
      <c r="N2025" s="23"/>
      <c r="Q2025" s="23"/>
      <c r="R2025" s="12"/>
    </row>
    <row r="2026" spans="6:18">
      <c r="F2026" s="12"/>
      <c r="K2026" s="23"/>
      <c r="L2026" s="23"/>
      <c r="M2026" s="12"/>
      <c r="N2026" s="23"/>
      <c r="Q2026" s="23"/>
      <c r="R2026" s="12"/>
    </row>
    <row r="2027" spans="6:18">
      <c r="F2027" s="12"/>
      <c r="K2027" s="23"/>
      <c r="L2027" s="23"/>
      <c r="M2027" s="12"/>
      <c r="N2027" s="23"/>
      <c r="Q2027" s="23"/>
      <c r="R2027" s="12"/>
    </row>
    <row r="2028" spans="6:18">
      <c r="F2028" s="12"/>
      <c r="K2028" s="23"/>
      <c r="L2028" s="23"/>
      <c r="M2028" s="12"/>
      <c r="N2028" s="23"/>
      <c r="Q2028" s="23"/>
      <c r="R2028" s="12"/>
    </row>
    <row r="2029" spans="6:18">
      <c r="F2029" s="12"/>
      <c r="K2029" s="23"/>
      <c r="L2029" s="23"/>
      <c r="M2029" s="12"/>
      <c r="N2029" s="23"/>
      <c r="Q2029" s="23"/>
      <c r="R2029" s="12"/>
    </row>
    <row r="2030" spans="6:18">
      <c r="F2030" s="12"/>
      <c r="K2030" s="23"/>
      <c r="L2030" s="23"/>
      <c r="M2030" s="12"/>
      <c r="N2030" s="23"/>
      <c r="Q2030" s="23"/>
      <c r="R2030" s="12"/>
    </row>
    <row r="2031" spans="6:18">
      <c r="F2031" s="12"/>
      <c r="K2031" s="23"/>
      <c r="L2031" s="23"/>
      <c r="M2031" s="12"/>
      <c r="N2031" s="23"/>
      <c r="Q2031" s="23"/>
      <c r="R2031" s="12"/>
    </row>
    <row r="2032" spans="6:18">
      <c r="K2032" s="23"/>
      <c r="L2032" s="23"/>
      <c r="M2032" s="12"/>
      <c r="N2032" s="23"/>
      <c r="Q2032" s="23"/>
      <c r="R2032" s="12"/>
    </row>
    <row r="2033" spans="6:18">
      <c r="K2033" s="23"/>
      <c r="L2033" s="23"/>
      <c r="M2033" s="12"/>
      <c r="N2033" s="23"/>
      <c r="Q2033" s="23"/>
      <c r="R2033" s="12"/>
    </row>
    <row r="2034" spans="6:18">
      <c r="K2034" s="23"/>
      <c r="L2034" s="23"/>
      <c r="M2034" s="12"/>
      <c r="N2034" s="23"/>
      <c r="Q2034" s="23"/>
      <c r="R2034" s="12"/>
    </row>
    <row r="2035" spans="6:18">
      <c r="K2035" s="23"/>
      <c r="L2035" s="23"/>
      <c r="M2035" s="12"/>
      <c r="N2035" s="23"/>
      <c r="Q2035" s="23"/>
      <c r="R2035" s="12"/>
    </row>
    <row r="2036" spans="6:18">
      <c r="K2036" s="23"/>
      <c r="L2036" s="23"/>
      <c r="M2036" s="12"/>
      <c r="N2036" s="23"/>
      <c r="Q2036" s="23"/>
      <c r="R2036" s="12"/>
    </row>
    <row r="2037" spans="6:18">
      <c r="K2037" s="23"/>
      <c r="L2037" s="23"/>
      <c r="M2037" s="12"/>
      <c r="N2037" s="23"/>
      <c r="Q2037" s="23"/>
      <c r="R2037" s="12"/>
    </row>
    <row r="2038" spans="6:18">
      <c r="F2038" s="12"/>
      <c r="K2038" s="23"/>
      <c r="L2038" s="23"/>
      <c r="M2038" s="12"/>
      <c r="N2038" s="23"/>
      <c r="Q2038" s="23"/>
      <c r="R2038" s="12"/>
    </row>
    <row r="2039" spans="6:18">
      <c r="F2039" s="12"/>
      <c r="K2039" s="23"/>
      <c r="L2039" s="23"/>
      <c r="M2039" s="12"/>
      <c r="N2039" s="23"/>
      <c r="Q2039" s="23"/>
      <c r="R2039" s="12"/>
    </row>
    <row r="2040" spans="6:18">
      <c r="F2040" s="12"/>
      <c r="K2040" s="23"/>
      <c r="L2040" s="23"/>
      <c r="M2040" s="12"/>
      <c r="N2040" s="23"/>
      <c r="Q2040" s="23"/>
      <c r="R2040" s="12"/>
    </row>
    <row r="2041" spans="6:18">
      <c r="K2041" s="23"/>
      <c r="L2041" s="23"/>
      <c r="M2041" s="12"/>
      <c r="N2041" s="23"/>
      <c r="Q2041" s="23"/>
      <c r="R2041" s="12"/>
    </row>
    <row r="2042" spans="6:18">
      <c r="K2042" s="23"/>
      <c r="L2042" s="23"/>
      <c r="M2042" s="12"/>
      <c r="N2042" s="23"/>
      <c r="Q2042" s="23"/>
      <c r="R2042" s="12"/>
    </row>
    <row r="2043" spans="6:18">
      <c r="G2043" s="10"/>
      <c r="H2043"/>
      <c r="K2043" s="23"/>
      <c r="L2043" s="23"/>
      <c r="M2043" s="12"/>
      <c r="N2043" s="23"/>
      <c r="Q2043" s="23"/>
      <c r="R2043" s="12"/>
    </row>
    <row r="2044" spans="6:18">
      <c r="G2044" s="10"/>
      <c r="H2044"/>
      <c r="K2044" s="23"/>
      <c r="L2044" s="23"/>
      <c r="M2044" s="12"/>
      <c r="N2044" s="23"/>
      <c r="Q2044" s="23"/>
      <c r="R2044" s="12"/>
    </row>
    <row r="2045" spans="6:18">
      <c r="G2045" s="10"/>
      <c r="H2045" s="10"/>
      <c r="K2045" s="23"/>
      <c r="L2045" s="23"/>
      <c r="M2045" s="12"/>
      <c r="N2045" s="23"/>
      <c r="Q2045" s="23"/>
      <c r="R2045" s="12"/>
    </row>
    <row r="2046" spans="6:18">
      <c r="G2046" s="10"/>
      <c r="H2046" s="10"/>
      <c r="K2046" s="23"/>
      <c r="L2046" s="23"/>
      <c r="M2046" s="12"/>
      <c r="N2046" s="23"/>
      <c r="Q2046" s="23"/>
      <c r="R2046" s="12"/>
    </row>
    <row r="2047" spans="6:18">
      <c r="G2047"/>
      <c r="H2047"/>
      <c r="K2047" s="23"/>
      <c r="L2047" s="23"/>
      <c r="M2047" s="12"/>
      <c r="N2047" s="23"/>
      <c r="Q2047" s="23"/>
      <c r="R2047" s="12"/>
    </row>
    <row r="2048" spans="6:18">
      <c r="G2048"/>
      <c r="H2048"/>
      <c r="K2048" s="23"/>
      <c r="L2048" s="23"/>
      <c r="M2048" s="12"/>
      <c r="N2048" s="23"/>
      <c r="Q2048" s="23"/>
      <c r="R2048" s="12"/>
    </row>
    <row r="2049" spans="6:18">
      <c r="G2049"/>
      <c r="H2049"/>
      <c r="K2049" s="23"/>
      <c r="L2049" s="23"/>
      <c r="M2049" s="12"/>
      <c r="N2049" s="23"/>
      <c r="Q2049" s="23"/>
      <c r="R2049" s="12"/>
    </row>
    <row r="2050" spans="6:18">
      <c r="G2050" s="10"/>
      <c r="H2050" s="10"/>
      <c r="K2050" s="23"/>
      <c r="L2050" s="23"/>
      <c r="M2050" s="12"/>
      <c r="N2050" s="23"/>
      <c r="Q2050" s="23"/>
      <c r="R2050" s="12"/>
    </row>
    <row r="2051" spans="6:18">
      <c r="G2051" s="10"/>
      <c r="H2051" s="10"/>
      <c r="K2051" s="23"/>
      <c r="L2051" s="23"/>
      <c r="M2051" s="12"/>
      <c r="N2051" s="23"/>
      <c r="Q2051" s="23"/>
      <c r="R2051" s="12"/>
    </row>
    <row r="2052" spans="6:18">
      <c r="G2052" s="10"/>
      <c r="H2052" s="10"/>
      <c r="K2052" s="23"/>
      <c r="L2052" s="23"/>
      <c r="M2052" s="12"/>
      <c r="N2052" s="23"/>
      <c r="Q2052" s="23"/>
      <c r="R2052" s="12"/>
    </row>
    <row r="2053" spans="6:18">
      <c r="G2053" s="10"/>
      <c r="H2053" s="10"/>
      <c r="K2053" s="23"/>
      <c r="L2053" s="23"/>
      <c r="M2053" s="12"/>
      <c r="N2053" s="23"/>
      <c r="Q2053" s="23"/>
      <c r="R2053" s="12"/>
    </row>
    <row r="2054" spans="6:18">
      <c r="G2054" s="10"/>
      <c r="H2054" s="10"/>
      <c r="K2054" s="23"/>
      <c r="L2054" s="23"/>
      <c r="M2054" s="12"/>
      <c r="N2054" s="23"/>
      <c r="Q2054" s="23"/>
      <c r="R2054" s="12"/>
    </row>
    <row r="2055" spans="6:18">
      <c r="G2055" s="10"/>
      <c r="H2055" s="10"/>
      <c r="K2055" s="23"/>
      <c r="L2055" s="23"/>
      <c r="M2055" s="12"/>
      <c r="N2055" s="23"/>
      <c r="Q2055" s="23"/>
      <c r="R2055" s="12"/>
    </row>
    <row r="2056" spans="6:18">
      <c r="G2056"/>
      <c r="H2056"/>
      <c r="K2056" s="23"/>
      <c r="L2056" s="23"/>
      <c r="M2056" s="12"/>
      <c r="N2056" s="23"/>
      <c r="Q2056" s="23"/>
      <c r="R2056" s="12"/>
    </row>
    <row r="2057" spans="6:18">
      <c r="G2057"/>
      <c r="H2057"/>
      <c r="K2057" s="23"/>
      <c r="L2057" s="23"/>
      <c r="M2057" s="12"/>
      <c r="N2057" s="23"/>
      <c r="Q2057" s="23"/>
      <c r="R2057" s="12"/>
    </row>
    <row r="2058" spans="6:18">
      <c r="G2058"/>
      <c r="H2058"/>
      <c r="K2058" s="23"/>
      <c r="L2058" s="23"/>
      <c r="M2058" s="12"/>
      <c r="N2058" s="23"/>
      <c r="Q2058" s="23"/>
      <c r="R2058" s="12"/>
    </row>
    <row r="2059" spans="6:18">
      <c r="F2059" s="12"/>
      <c r="K2059" s="23"/>
      <c r="L2059" s="23"/>
      <c r="M2059" s="12"/>
      <c r="N2059" s="23"/>
      <c r="Q2059" s="23"/>
      <c r="R2059" s="12"/>
    </row>
    <row r="2060" spans="6:18">
      <c r="F2060" s="12"/>
      <c r="K2060" s="23"/>
      <c r="L2060" s="23"/>
      <c r="M2060" s="12"/>
      <c r="N2060" s="23"/>
      <c r="Q2060" s="23"/>
      <c r="R2060" s="12"/>
    </row>
    <row r="2061" spans="6:18">
      <c r="F2061" s="12"/>
      <c r="K2061" s="23"/>
      <c r="L2061" s="23"/>
      <c r="M2061" s="12"/>
      <c r="N2061" s="23"/>
      <c r="Q2061" s="23"/>
      <c r="R2061" s="12"/>
    </row>
    <row r="2062" spans="6:18">
      <c r="F2062" s="12"/>
      <c r="K2062" s="23"/>
      <c r="L2062" s="23"/>
      <c r="M2062" s="12"/>
      <c r="N2062" s="23"/>
      <c r="Q2062" s="23"/>
      <c r="R2062" s="12"/>
    </row>
    <row r="2063" spans="6:18">
      <c r="K2063" s="23"/>
      <c r="L2063" s="23"/>
      <c r="M2063" s="12"/>
      <c r="N2063" s="23"/>
      <c r="Q2063" s="23"/>
      <c r="R2063" s="12"/>
    </row>
    <row r="2064" spans="6:18">
      <c r="K2064" s="23"/>
      <c r="L2064" s="23"/>
      <c r="M2064" s="12"/>
      <c r="N2064" s="23"/>
      <c r="Q2064" s="23"/>
      <c r="R2064" s="12"/>
    </row>
    <row r="2065" spans="7:18">
      <c r="K2065" s="23"/>
      <c r="L2065" s="23"/>
      <c r="M2065" s="12"/>
      <c r="N2065" s="23"/>
      <c r="Q2065" s="23"/>
      <c r="R2065" s="12"/>
    </row>
    <row r="2066" spans="7:18">
      <c r="K2066" s="23"/>
      <c r="L2066" s="23"/>
      <c r="M2066" s="12"/>
      <c r="N2066" s="23"/>
      <c r="Q2066" s="23"/>
      <c r="R2066" s="12"/>
    </row>
    <row r="2067" spans="7:18">
      <c r="K2067" s="23"/>
      <c r="L2067" s="23"/>
      <c r="M2067" s="12"/>
      <c r="N2067" s="23"/>
      <c r="Q2067" s="23"/>
      <c r="R2067" s="12"/>
    </row>
    <row r="2068" spans="7:18">
      <c r="K2068" s="23"/>
      <c r="L2068" s="23"/>
      <c r="M2068" s="12"/>
      <c r="N2068" s="23"/>
      <c r="Q2068" s="23"/>
      <c r="R2068" s="12"/>
    </row>
    <row r="2069" spans="7:18">
      <c r="K2069" s="23"/>
      <c r="L2069" s="23"/>
      <c r="M2069" s="12"/>
      <c r="N2069" s="23"/>
      <c r="Q2069" s="23"/>
      <c r="R2069" s="12"/>
    </row>
    <row r="2070" spans="7:18">
      <c r="K2070" s="23"/>
      <c r="L2070" s="23"/>
      <c r="M2070" s="12"/>
      <c r="N2070" s="23"/>
      <c r="Q2070" s="23"/>
      <c r="R2070" s="12"/>
    </row>
    <row r="2071" spans="7:18">
      <c r="K2071" s="23"/>
      <c r="L2071" s="23"/>
      <c r="M2071" s="12"/>
      <c r="N2071" s="23"/>
      <c r="Q2071" s="23"/>
      <c r="R2071" s="12"/>
    </row>
    <row r="2072" spans="7:18">
      <c r="K2072" s="23"/>
      <c r="L2072" s="23"/>
      <c r="M2072" s="12"/>
      <c r="N2072" s="23"/>
      <c r="Q2072" s="23"/>
      <c r="R2072" s="12"/>
    </row>
    <row r="2073" spans="7:18">
      <c r="K2073" s="23"/>
      <c r="L2073" s="23"/>
      <c r="M2073" s="12"/>
      <c r="N2073" s="23"/>
      <c r="Q2073" s="23"/>
      <c r="R2073" s="12"/>
    </row>
    <row r="2074" spans="7:18">
      <c r="K2074" s="23"/>
      <c r="L2074" s="23"/>
      <c r="M2074" s="12"/>
      <c r="N2074" s="23"/>
      <c r="Q2074" s="23"/>
      <c r="R2074" s="12"/>
    </row>
    <row r="2075" spans="7:18">
      <c r="K2075" s="23"/>
      <c r="L2075" s="23"/>
      <c r="M2075" s="12"/>
      <c r="N2075" s="23"/>
      <c r="Q2075" s="23"/>
      <c r="R2075" s="12"/>
    </row>
    <row r="2076" spans="7:18">
      <c r="K2076" s="23"/>
      <c r="L2076" s="23"/>
      <c r="M2076" s="12"/>
      <c r="N2076" s="23"/>
      <c r="Q2076" s="23"/>
      <c r="R2076" s="12"/>
    </row>
    <row r="2077" spans="7:18">
      <c r="K2077" s="23"/>
      <c r="L2077" s="23"/>
      <c r="M2077" s="12"/>
      <c r="N2077" s="23"/>
      <c r="Q2077" s="23"/>
      <c r="R2077" s="12"/>
    </row>
    <row r="2078" spans="7:18">
      <c r="G2078" s="10"/>
      <c r="H2078" s="10"/>
      <c r="K2078" s="23"/>
      <c r="L2078" s="23"/>
      <c r="M2078" s="12"/>
      <c r="N2078" s="23"/>
      <c r="Q2078" s="23"/>
      <c r="R2078" s="12"/>
    </row>
    <row r="2079" spans="7:18">
      <c r="G2079" s="10"/>
      <c r="H2079" s="10"/>
      <c r="K2079" s="23"/>
      <c r="L2079" s="23"/>
      <c r="M2079" s="12"/>
      <c r="N2079" s="23"/>
      <c r="Q2079" s="23"/>
      <c r="R2079" s="12"/>
    </row>
    <row r="2080" spans="7:18">
      <c r="G2080" s="10"/>
      <c r="H2080" s="10"/>
      <c r="K2080" s="23"/>
      <c r="L2080" s="23"/>
      <c r="M2080" s="12"/>
      <c r="N2080" s="23"/>
      <c r="Q2080" s="23"/>
      <c r="R2080" s="12"/>
    </row>
    <row r="2081" spans="7:18">
      <c r="G2081" s="10"/>
      <c r="H2081" s="10"/>
      <c r="K2081" s="23"/>
      <c r="L2081" s="23"/>
      <c r="M2081" s="12"/>
      <c r="N2081" s="23"/>
      <c r="Q2081" s="23"/>
      <c r="R2081" s="12"/>
    </row>
    <row r="2082" spans="7:18">
      <c r="G2082"/>
      <c r="H2082"/>
      <c r="K2082" s="23"/>
      <c r="L2082" s="23"/>
      <c r="M2082" s="12"/>
      <c r="N2082" s="23"/>
      <c r="Q2082" s="23"/>
      <c r="R2082" s="12"/>
    </row>
    <row r="2083" spans="7:18">
      <c r="G2083"/>
      <c r="H2083"/>
      <c r="K2083" s="23"/>
      <c r="L2083" s="23"/>
      <c r="M2083" s="12"/>
      <c r="N2083" s="23"/>
      <c r="Q2083" s="23"/>
      <c r="R2083" s="12"/>
    </row>
    <row r="2084" spans="7:18">
      <c r="G2084"/>
      <c r="H2084"/>
      <c r="K2084" s="23"/>
      <c r="L2084" s="23"/>
      <c r="M2084" s="12"/>
      <c r="N2084" s="23"/>
      <c r="Q2084" s="23"/>
      <c r="R2084" s="12"/>
    </row>
    <row r="2085" spans="7:18">
      <c r="G2085" s="10"/>
      <c r="H2085" s="10"/>
      <c r="K2085" s="23"/>
      <c r="L2085" s="23"/>
      <c r="M2085" s="12"/>
      <c r="N2085" s="23"/>
      <c r="Q2085" s="23"/>
      <c r="R2085" s="12"/>
    </row>
    <row r="2086" spans="7:18">
      <c r="G2086" s="10"/>
      <c r="H2086" s="10"/>
      <c r="K2086" s="23"/>
      <c r="L2086" s="23"/>
      <c r="M2086" s="12"/>
      <c r="N2086" s="23"/>
      <c r="Q2086" s="23"/>
      <c r="R2086" s="12"/>
    </row>
    <row r="2087" spans="7:18">
      <c r="G2087"/>
      <c r="H2087"/>
      <c r="K2087" s="23"/>
      <c r="L2087" s="23"/>
      <c r="M2087" s="12"/>
      <c r="N2087" s="23"/>
      <c r="Q2087" s="23"/>
      <c r="R2087" s="12"/>
    </row>
    <row r="2088" spans="7:18">
      <c r="G2088" s="10"/>
      <c r="H2088" s="10"/>
      <c r="K2088" s="23"/>
      <c r="L2088" s="23"/>
      <c r="M2088" s="12"/>
      <c r="N2088" s="23"/>
      <c r="Q2088" s="23"/>
      <c r="R2088" s="12"/>
    </row>
    <row r="2089" spans="7:18">
      <c r="G2089" s="10"/>
      <c r="H2089" s="10"/>
      <c r="K2089" s="23"/>
      <c r="L2089" s="23"/>
      <c r="M2089" s="12"/>
      <c r="N2089" s="23"/>
      <c r="Q2089" s="23"/>
      <c r="R2089" s="12"/>
    </row>
    <row r="2090" spans="7:18">
      <c r="G2090" s="10"/>
      <c r="H2090" s="10"/>
      <c r="K2090" s="23"/>
      <c r="L2090" s="23"/>
      <c r="M2090" s="12"/>
      <c r="N2090" s="23"/>
      <c r="Q2090" s="23"/>
      <c r="R2090" s="12"/>
    </row>
    <row r="2091" spans="7:18">
      <c r="G2091" s="10"/>
      <c r="H2091" s="10"/>
      <c r="K2091" s="23"/>
      <c r="L2091" s="23"/>
      <c r="M2091" s="12"/>
      <c r="N2091" s="23"/>
      <c r="Q2091" s="23"/>
      <c r="R2091" s="12"/>
    </row>
    <row r="2092" spans="7:18">
      <c r="G2092" s="10"/>
      <c r="H2092" s="10"/>
      <c r="K2092" s="23"/>
      <c r="L2092" s="23"/>
      <c r="M2092" s="12"/>
      <c r="N2092" s="23"/>
      <c r="Q2092" s="23"/>
      <c r="R2092" s="12"/>
    </row>
    <row r="2093" spans="7:18">
      <c r="G2093" s="10"/>
      <c r="H2093" s="10"/>
      <c r="K2093" s="23"/>
      <c r="L2093" s="23"/>
      <c r="M2093" s="12"/>
      <c r="N2093" s="23"/>
      <c r="Q2093" s="23"/>
      <c r="R2093" s="12"/>
    </row>
    <row r="2098" spans="7:7">
      <c r="G2098" s="13"/>
    </row>
  </sheetData>
  <autoFilter ref="C2:R1584" xr:uid="{B5E7D27C-22F9-4375-A86A-40468672545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023FC-D8C5-4701-8E95-B61D9B4248C1}">
  <sheetPr>
    <tabColor rgb="FFFF0000"/>
  </sheetPr>
  <dimension ref="D1:D65"/>
  <sheetViews>
    <sheetView workbookViewId="0">
      <selection activeCell="D2" sqref="D2:D65"/>
    </sheetView>
  </sheetViews>
  <sheetFormatPr baseColWidth="10" defaultColWidth="8.85546875" defaultRowHeight="15"/>
  <cols>
    <col min="4" max="4" width="42.28515625" bestFit="1" customWidth="1"/>
  </cols>
  <sheetData>
    <row r="1" spans="4:4">
      <c r="D1" t="s">
        <v>110</v>
      </c>
    </row>
    <row r="2" spans="4:4">
      <c r="D2" s="110" t="s">
        <v>147</v>
      </c>
    </row>
    <row r="3" spans="4:4">
      <c r="D3" s="110" t="s">
        <v>148</v>
      </c>
    </row>
    <row r="4" spans="4:4">
      <c r="D4" s="110" t="s">
        <v>149</v>
      </c>
    </row>
    <row r="5" spans="4:4">
      <c r="D5" s="110" t="s">
        <v>150</v>
      </c>
    </row>
    <row r="6" spans="4:4">
      <c r="D6" s="110" t="s">
        <v>151</v>
      </c>
    </row>
    <row r="7" spans="4:4">
      <c r="D7" s="110" t="s">
        <v>152</v>
      </c>
    </row>
    <row r="8" spans="4:4">
      <c r="D8" s="110" t="s">
        <v>153</v>
      </c>
    </row>
    <row r="9" spans="4:4">
      <c r="D9" s="110" t="s">
        <v>154</v>
      </c>
    </row>
    <row r="10" spans="4:4">
      <c r="D10" s="110" t="s">
        <v>155</v>
      </c>
    </row>
    <row r="11" spans="4:4">
      <c r="D11" s="110" t="s">
        <v>156</v>
      </c>
    </row>
    <row r="12" spans="4:4">
      <c r="D12" s="110" t="s">
        <v>157</v>
      </c>
    </row>
    <row r="13" spans="4:4">
      <c r="D13" s="110" t="s">
        <v>158</v>
      </c>
    </row>
    <row r="14" spans="4:4">
      <c r="D14" s="110" t="s">
        <v>159</v>
      </c>
    </row>
    <row r="15" spans="4:4">
      <c r="D15" s="110" t="s">
        <v>160</v>
      </c>
    </row>
    <row r="16" spans="4:4">
      <c r="D16" s="110" t="s">
        <v>161</v>
      </c>
    </row>
    <row r="17" spans="4:4">
      <c r="D17" s="110" t="s">
        <v>162</v>
      </c>
    </row>
    <row r="18" spans="4:4">
      <c r="D18" s="110" t="s">
        <v>163</v>
      </c>
    </row>
    <row r="19" spans="4:4">
      <c r="D19" s="110" t="s">
        <v>164</v>
      </c>
    </row>
    <row r="20" spans="4:4">
      <c r="D20" s="110" t="s">
        <v>165</v>
      </c>
    </row>
    <row r="21" spans="4:4">
      <c r="D21" s="110" t="s">
        <v>166</v>
      </c>
    </row>
    <row r="22" spans="4:4">
      <c r="D22" s="110" t="s">
        <v>167</v>
      </c>
    </row>
    <row r="23" spans="4:4">
      <c r="D23" s="110" t="s">
        <v>168</v>
      </c>
    </row>
    <row r="24" spans="4:4">
      <c r="D24" s="110" t="s">
        <v>169</v>
      </c>
    </row>
    <row r="25" spans="4:4">
      <c r="D25" s="110" t="s">
        <v>170</v>
      </c>
    </row>
    <row r="26" spans="4:4">
      <c r="D26" s="110" t="s">
        <v>171</v>
      </c>
    </row>
    <row r="27" spans="4:4">
      <c r="D27" s="110" t="s">
        <v>172</v>
      </c>
    </row>
    <row r="28" spans="4:4">
      <c r="D28" s="110" t="s">
        <v>173</v>
      </c>
    </row>
    <row r="29" spans="4:4">
      <c r="D29" s="110" t="s">
        <v>174</v>
      </c>
    </row>
    <row r="30" spans="4:4">
      <c r="D30" s="110" t="s">
        <v>175</v>
      </c>
    </row>
    <row r="31" spans="4:4">
      <c r="D31" s="110" t="s">
        <v>176</v>
      </c>
    </row>
    <row r="32" spans="4:4">
      <c r="D32" s="110" t="s">
        <v>177</v>
      </c>
    </row>
    <row r="33" spans="4:4">
      <c r="D33" s="110" t="s">
        <v>178</v>
      </c>
    </row>
    <row r="34" spans="4:4">
      <c r="D34" s="110" t="s">
        <v>179</v>
      </c>
    </row>
    <row r="35" spans="4:4">
      <c r="D35" s="110" t="s">
        <v>180</v>
      </c>
    </row>
    <row r="36" spans="4:4">
      <c r="D36" s="110" t="s">
        <v>181</v>
      </c>
    </row>
    <row r="37" spans="4:4">
      <c r="D37" s="110" t="s">
        <v>182</v>
      </c>
    </row>
    <row r="38" spans="4:4">
      <c r="D38" s="110" t="s">
        <v>183</v>
      </c>
    </row>
    <row r="39" spans="4:4">
      <c r="D39" s="110" t="s">
        <v>184</v>
      </c>
    </row>
    <row r="40" spans="4:4">
      <c r="D40" s="110" t="s">
        <v>185</v>
      </c>
    </row>
    <row r="41" spans="4:4">
      <c r="D41" s="110" t="s">
        <v>186</v>
      </c>
    </row>
    <row r="42" spans="4:4">
      <c r="D42" s="110" t="s">
        <v>187</v>
      </c>
    </row>
    <row r="43" spans="4:4">
      <c r="D43" s="110" t="s">
        <v>188</v>
      </c>
    </row>
    <row r="44" spans="4:4">
      <c r="D44" s="110" t="s">
        <v>189</v>
      </c>
    </row>
    <row r="45" spans="4:4">
      <c r="D45" s="110" t="s">
        <v>190</v>
      </c>
    </row>
    <row r="46" spans="4:4">
      <c r="D46" s="110" t="s">
        <v>191</v>
      </c>
    </row>
    <row r="47" spans="4:4">
      <c r="D47" s="110" t="s">
        <v>192</v>
      </c>
    </row>
    <row r="48" spans="4:4">
      <c r="D48" s="110" t="s">
        <v>193</v>
      </c>
    </row>
    <row r="49" spans="4:4">
      <c r="D49" s="110" t="s">
        <v>194</v>
      </c>
    </row>
    <row r="50" spans="4:4">
      <c r="D50" s="110" t="s">
        <v>195</v>
      </c>
    </row>
    <row r="51" spans="4:4">
      <c r="D51" s="110" t="s">
        <v>196</v>
      </c>
    </row>
    <row r="52" spans="4:4">
      <c r="D52" s="110" t="s">
        <v>197</v>
      </c>
    </row>
    <row r="53" spans="4:4">
      <c r="D53" s="110" t="s">
        <v>198</v>
      </c>
    </row>
    <row r="54" spans="4:4">
      <c r="D54" s="110" t="s">
        <v>199</v>
      </c>
    </row>
    <row r="55" spans="4:4">
      <c r="D55" s="110" t="s">
        <v>200</v>
      </c>
    </row>
    <row r="56" spans="4:4">
      <c r="D56" s="110" t="s">
        <v>201</v>
      </c>
    </row>
    <row r="57" spans="4:4">
      <c r="D57" s="110" t="s">
        <v>202</v>
      </c>
    </row>
    <row r="58" spans="4:4">
      <c r="D58" s="110" t="s">
        <v>203</v>
      </c>
    </row>
    <row r="59" spans="4:4">
      <c r="D59" s="110" t="s">
        <v>204</v>
      </c>
    </row>
    <row r="60" spans="4:4">
      <c r="D60" s="110" t="s">
        <v>205</v>
      </c>
    </row>
    <row r="61" spans="4:4">
      <c r="D61" s="110" t="s">
        <v>206</v>
      </c>
    </row>
    <row r="62" spans="4:4">
      <c r="D62" s="110" t="s">
        <v>207</v>
      </c>
    </row>
    <row r="63" spans="4:4">
      <c r="D63" s="110" t="s">
        <v>208</v>
      </c>
    </row>
    <row r="64" spans="4:4">
      <c r="D64" s="110" t="s">
        <v>209</v>
      </c>
    </row>
    <row r="65" spans="4:4">
      <c r="D65" s="110" t="s">
        <v>210</v>
      </c>
    </row>
  </sheetData>
  <autoFilter ref="D1:D223" xr:uid="{E7E023FC-D8C5-4701-8E95-B61D9B4248C1}">
    <sortState xmlns:xlrd2="http://schemas.microsoft.com/office/spreadsheetml/2017/richdata2" ref="D2:D223">
      <sortCondition ref="D1:D22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CFAB-C75F-4F5C-AAEF-B3FCAC0E89D8}">
  <sheetPr>
    <tabColor rgb="FFFF0000"/>
  </sheetPr>
  <dimension ref="B2:L367"/>
  <sheetViews>
    <sheetView workbookViewId="0">
      <pane ySplit="2" topLeftCell="A87" activePane="bottomLeft" state="frozen"/>
      <selection activeCell="F25" sqref="F25"/>
      <selection pane="bottomLeft" activeCell="K212" sqref="K212"/>
    </sheetView>
  </sheetViews>
  <sheetFormatPr baseColWidth="10" defaultColWidth="11.5703125" defaultRowHeight="15"/>
  <cols>
    <col min="4" max="4" width="22.42578125" style="11" bestFit="1" customWidth="1"/>
  </cols>
  <sheetData>
    <row r="2" spans="2:12">
      <c r="B2" t="s">
        <v>47</v>
      </c>
      <c r="C2" t="s">
        <v>66</v>
      </c>
      <c r="D2" s="11" t="s">
        <v>23</v>
      </c>
      <c r="E2" t="s">
        <v>39</v>
      </c>
      <c r="F2" t="s">
        <v>70</v>
      </c>
      <c r="G2" t="s">
        <v>64</v>
      </c>
      <c r="H2" t="s">
        <v>146</v>
      </c>
      <c r="I2" t="s">
        <v>38</v>
      </c>
      <c r="J2" t="s">
        <v>85</v>
      </c>
      <c r="K2" t="s">
        <v>44</v>
      </c>
      <c r="L2" t="s">
        <v>69</v>
      </c>
    </row>
    <row r="3" spans="2:12">
      <c r="B3" t="str">
        <f t="shared" ref="B3:B66" si="0">+E3&amp;I3&amp;K3</f>
        <v>ENEROQui11</v>
      </c>
      <c r="C3" t="str">
        <f>+E3&amp;H3</f>
        <v>ENEROQui1</v>
      </c>
      <c r="D3" s="11">
        <v>46023</v>
      </c>
      <c r="E3" s="15" t="s">
        <v>73</v>
      </c>
      <c r="F3" s="16">
        <f>+DAY(D3)</f>
        <v>1</v>
      </c>
      <c r="G3" s="16" t="str">
        <f>+TEXT(D3,"Dddddd")</f>
        <v>jueves</v>
      </c>
      <c r="H3" s="16" t="s">
        <v>48</v>
      </c>
      <c r="I3" s="16" t="str">
        <f t="shared" ref="I3:I66" si="1">+"Qui"&amp;ROUNDUP(K3/2,0)</f>
        <v>Qui1</v>
      </c>
      <c r="J3" s="16" t="str">
        <f>+MID(I3,4,2)</f>
        <v>1</v>
      </c>
      <c r="K3" s="16">
        <f>+_xlfn.ISOWEEKNUM(D3)</f>
        <v>1</v>
      </c>
      <c r="L3" s="16">
        <v>2026</v>
      </c>
    </row>
    <row r="4" spans="2:12">
      <c r="B4" t="str">
        <f t="shared" si="0"/>
        <v>ENEROQui11</v>
      </c>
      <c r="C4" t="str">
        <f t="shared" ref="C4:C67" si="2">+E4&amp;H4</f>
        <v>ENEROQui1</v>
      </c>
      <c r="D4" s="11">
        <v>46024</v>
      </c>
      <c r="E4" s="17" t="s">
        <v>73</v>
      </c>
      <c r="F4">
        <f t="shared" ref="F4:F67" si="3">+DAY(D4)</f>
        <v>2</v>
      </c>
      <c r="G4" t="str">
        <f t="shared" ref="G4:G67" si="4">+TEXT(D4,"DDDDDD")</f>
        <v>viernes</v>
      </c>
      <c r="H4" t="s">
        <v>48</v>
      </c>
      <c r="I4" t="str">
        <f t="shared" si="1"/>
        <v>Qui1</v>
      </c>
      <c r="J4" t="str">
        <f t="shared" ref="J4:J67" si="5">+MID(I4,4,2)</f>
        <v>1</v>
      </c>
      <c r="K4">
        <f t="shared" ref="K4:K67" si="6">+_xlfn.ISOWEEKNUM(D4)</f>
        <v>1</v>
      </c>
      <c r="L4">
        <v>2026</v>
      </c>
    </row>
    <row r="5" spans="2:12">
      <c r="B5" t="str">
        <f t="shared" si="0"/>
        <v>ENEROQui11</v>
      </c>
      <c r="C5" t="str">
        <f t="shared" si="2"/>
        <v>ENEROQui1</v>
      </c>
      <c r="D5" s="11">
        <v>46025</v>
      </c>
      <c r="E5" s="17" t="s">
        <v>73</v>
      </c>
      <c r="F5">
        <f t="shared" si="3"/>
        <v>3</v>
      </c>
      <c r="G5" t="str">
        <f t="shared" si="4"/>
        <v>sábado</v>
      </c>
      <c r="H5" t="s">
        <v>48</v>
      </c>
      <c r="I5" t="str">
        <f t="shared" si="1"/>
        <v>Qui1</v>
      </c>
      <c r="J5" t="str">
        <f t="shared" si="5"/>
        <v>1</v>
      </c>
      <c r="K5">
        <f t="shared" si="6"/>
        <v>1</v>
      </c>
      <c r="L5">
        <v>2026</v>
      </c>
    </row>
    <row r="6" spans="2:12">
      <c r="B6" t="str">
        <f t="shared" si="0"/>
        <v>ENEROQui11</v>
      </c>
      <c r="C6" t="str">
        <f t="shared" si="2"/>
        <v>ENEROQui1</v>
      </c>
      <c r="D6" s="11">
        <v>46026</v>
      </c>
      <c r="E6" s="17" t="s">
        <v>73</v>
      </c>
      <c r="F6">
        <f t="shared" si="3"/>
        <v>4</v>
      </c>
      <c r="G6" t="str">
        <f t="shared" si="4"/>
        <v>domingo</v>
      </c>
      <c r="H6" t="s">
        <v>48</v>
      </c>
      <c r="I6" t="str">
        <f t="shared" si="1"/>
        <v>Qui1</v>
      </c>
      <c r="J6" t="str">
        <f t="shared" si="5"/>
        <v>1</v>
      </c>
      <c r="K6">
        <f t="shared" si="6"/>
        <v>1</v>
      </c>
      <c r="L6">
        <v>2026</v>
      </c>
    </row>
    <row r="7" spans="2:12">
      <c r="B7" t="str">
        <f t="shared" si="0"/>
        <v>ENEROQui12</v>
      </c>
      <c r="C7" t="str">
        <f t="shared" si="2"/>
        <v>ENEROQui1</v>
      </c>
      <c r="D7" s="11">
        <v>46027</v>
      </c>
      <c r="E7" s="17" t="s">
        <v>73</v>
      </c>
      <c r="F7">
        <f t="shared" si="3"/>
        <v>5</v>
      </c>
      <c r="G7" t="str">
        <f t="shared" si="4"/>
        <v>lunes</v>
      </c>
      <c r="H7" t="s">
        <v>48</v>
      </c>
      <c r="I7" t="str">
        <f t="shared" si="1"/>
        <v>Qui1</v>
      </c>
      <c r="J7" t="str">
        <f t="shared" si="5"/>
        <v>1</v>
      </c>
      <c r="K7">
        <f t="shared" si="6"/>
        <v>2</v>
      </c>
      <c r="L7">
        <v>2026</v>
      </c>
    </row>
    <row r="8" spans="2:12">
      <c r="B8" t="str">
        <f t="shared" si="0"/>
        <v>ENEROQui12</v>
      </c>
      <c r="C8" t="str">
        <f t="shared" si="2"/>
        <v>ENEROQui1</v>
      </c>
      <c r="D8" s="11">
        <v>46028</v>
      </c>
      <c r="E8" s="17" t="s">
        <v>73</v>
      </c>
      <c r="F8">
        <f t="shared" si="3"/>
        <v>6</v>
      </c>
      <c r="G8" t="str">
        <f t="shared" si="4"/>
        <v>martes</v>
      </c>
      <c r="H8" t="s">
        <v>48</v>
      </c>
      <c r="I8" t="str">
        <f t="shared" si="1"/>
        <v>Qui1</v>
      </c>
      <c r="J8" t="str">
        <f t="shared" si="5"/>
        <v>1</v>
      </c>
      <c r="K8">
        <f t="shared" si="6"/>
        <v>2</v>
      </c>
      <c r="L8">
        <v>2026</v>
      </c>
    </row>
    <row r="9" spans="2:12">
      <c r="B9" t="str">
        <f t="shared" si="0"/>
        <v>ENEROQui12</v>
      </c>
      <c r="C9" t="str">
        <f t="shared" si="2"/>
        <v>ENEROQui1</v>
      </c>
      <c r="D9" s="11">
        <v>46029</v>
      </c>
      <c r="E9" s="17" t="s">
        <v>73</v>
      </c>
      <c r="F9">
        <f t="shared" si="3"/>
        <v>7</v>
      </c>
      <c r="G9" t="str">
        <f t="shared" si="4"/>
        <v>miércoles</v>
      </c>
      <c r="H9" t="s">
        <v>48</v>
      </c>
      <c r="I9" t="str">
        <f t="shared" si="1"/>
        <v>Qui1</v>
      </c>
      <c r="J9" t="str">
        <f t="shared" si="5"/>
        <v>1</v>
      </c>
      <c r="K9">
        <f t="shared" si="6"/>
        <v>2</v>
      </c>
      <c r="L9">
        <v>2026</v>
      </c>
    </row>
    <row r="10" spans="2:12">
      <c r="B10" t="str">
        <f t="shared" si="0"/>
        <v>ENEROQui12</v>
      </c>
      <c r="C10" t="str">
        <f t="shared" si="2"/>
        <v>ENEROQui1</v>
      </c>
      <c r="D10" s="11">
        <v>46030</v>
      </c>
      <c r="E10" s="17" t="s">
        <v>73</v>
      </c>
      <c r="F10">
        <f t="shared" si="3"/>
        <v>8</v>
      </c>
      <c r="G10" t="str">
        <f t="shared" si="4"/>
        <v>jueves</v>
      </c>
      <c r="H10" t="s">
        <v>48</v>
      </c>
      <c r="I10" t="str">
        <f t="shared" si="1"/>
        <v>Qui1</v>
      </c>
      <c r="J10" t="str">
        <f t="shared" si="5"/>
        <v>1</v>
      </c>
      <c r="K10">
        <f t="shared" si="6"/>
        <v>2</v>
      </c>
      <c r="L10">
        <v>2026</v>
      </c>
    </row>
    <row r="11" spans="2:12">
      <c r="B11" t="str">
        <f t="shared" si="0"/>
        <v>ENEROQui12</v>
      </c>
      <c r="C11" t="str">
        <f t="shared" si="2"/>
        <v>ENEROQui1</v>
      </c>
      <c r="D11" s="11">
        <v>46031</v>
      </c>
      <c r="E11" s="17" t="s">
        <v>73</v>
      </c>
      <c r="F11">
        <f t="shared" si="3"/>
        <v>9</v>
      </c>
      <c r="G11" t="str">
        <f t="shared" si="4"/>
        <v>viernes</v>
      </c>
      <c r="H11" t="s">
        <v>48</v>
      </c>
      <c r="I11" t="str">
        <f t="shared" si="1"/>
        <v>Qui1</v>
      </c>
      <c r="J11" t="str">
        <f t="shared" si="5"/>
        <v>1</v>
      </c>
      <c r="K11">
        <f t="shared" si="6"/>
        <v>2</v>
      </c>
      <c r="L11">
        <v>2026</v>
      </c>
    </row>
    <row r="12" spans="2:12">
      <c r="B12" t="str">
        <f t="shared" si="0"/>
        <v>ENEROQui12</v>
      </c>
      <c r="C12" t="str">
        <f t="shared" si="2"/>
        <v>ENEROQui1</v>
      </c>
      <c r="D12" s="11">
        <v>46032</v>
      </c>
      <c r="E12" s="17" t="s">
        <v>73</v>
      </c>
      <c r="F12">
        <f t="shared" si="3"/>
        <v>10</v>
      </c>
      <c r="G12" t="str">
        <f t="shared" si="4"/>
        <v>sábado</v>
      </c>
      <c r="H12" t="s">
        <v>48</v>
      </c>
      <c r="I12" t="str">
        <f t="shared" si="1"/>
        <v>Qui1</v>
      </c>
      <c r="J12" t="str">
        <f t="shared" si="5"/>
        <v>1</v>
      </c>
      <c r="K12">
        <f t="shared" si="6"/>
        <v>2</v>
      </c>
      <c r="L12">
        <v>2026</v>
      </c>
    </row>
    <row r="13" spans="2:12">
      <c r="B13" t="str">
        <f t="shared" si="0"/>
        <v>ENEROQui12</v>
      </c>
      <c r="C13" t="str">
        <f t="shared" si="2"/>
        <v>ENEROQui1</v>
      </c>
      <c r="D13" s="11">
        <v>46033</v>
      </c>
      <c r="E13" s="17" t="s">
        <v>73</v>
      </c>
      <c r="F13">
        <f t="shared" si="3"/>
        <v>11</v>
      </c>
      <c r="G13" t="str">
        <f t="shared" si="4"/>
        <v>domingo</v>
      </c>
      <c r="H13" t="s">
        <v>48</v>
      </c>
      <c r="I13" t="str">
        <f t="shared" si="1"/>
        <v>Qui1</v>
      </c>
      <c r="J13" t="str">
        <f t="shared" si="5"/>
        <v>1</v>
      </c>
      <c r="K13">
        <f t="shared" si="6"/>
        <v>2</v>
      </c>
      <c r="L13">
        <v>2026</v>
      </c>
    </row>
    <row r="14" spans="2:12">
      <c r="B14" t="str">
        <f t="shared" si="0"/>
        <v>ENEROQui23</v>
      </c>
      <c r="C14" t="str">
        <f t="shared" si="2"/>
        <v>ENEROQui1</v>
      </c>
      <c r="D14" s="11">
        <v>46034</v>
      </c>
      <c r="E14" s="17" t="s">
        <v>73</v>
      </c>
      <c r="F14">
        <f t="shared" si="3"/>
        <v>12</v>
      </c>
      <c r="G14" t="str">
        <f t="shared" si="4"/>
        <v>lunes</v>
      </c>
      <c r="H14" t="s">
        <v>48</v>
      </c>
      <c r="I14" t="str">
        <f t="shared" si="1"/>
        <v>Qui2</v>
      </c>
      <c r="J14" t="str">
        <f t="shared" si="5"/>
        <v>2</v>
      </c>
      <c r="K14">
        <f t="shared" si="6"/>
        <v>3</v>
      </c>
      <c r="L14">
        <v>2026</v>
      </c>
    </row>
    <row r="15" spans="2:12">
      <c r="B15" t="str">
        <f t="shared" si="0"/>
        <v>ENEROQui23</v>
      </c>
      <c r="C15" t="str">
        <f t="shared" si="2"/>
        <v>ENEROQui1</v>
      </c>
      <c r="D15" s="11">
        <v>46035</v>
      </c>
      <c r="E15" s="17" t="s">
        <v>73</v>
      </c>
      <c r="F15">
        <f t="shared" si="3"/>
        <v>13</v>
      </c>
      <c r="G15" t="str">
        <f t="shared" si="4"/>
        <v>martes</v>
      </c>
      <c r="H15" t="s">
        <v>48</v>
      </c>
      <c r="I15" t="str">
        <f t="shared" si="1"/>
        <v>Qui2</v>
      </c>
      <c r="J15" t="str">
        <f t="shared" si="5"/>
        <v>2</v>
      </c>
      <c r="K15">
        <f t="shared" si="6"/>
        <v>3</v>
      </c>
      <c r="L15">
        <v>2026</v>
      </c>
    </row>
    <row r="16" spans="2:12">
      <c r="B16" t="str">
        <f t="shared" si="0"/>
        <v>ENEROQui23</v>
      </c>
      <c r="C16" t="str">
        <f t="shared" si="2"/>
        <v>ENEROQui1</v>
      </c>
      <c r="D16" s="11">
        <v>46036</v>
      </c>
      <c r="E16" s="17" t="s">
        <v>73</v>
      </c>
      <c r="F16">
        <f t="shared" si="3"/>
        <v>14</v>
      </c>
      <c r="G16" t="str">
        <f t="shared" si="4"/>
        <v>miércoles</v>
      </c>
      <c r="H16" t="s">
        <v>48</v>
      </c>
      <c r="I16" t="str">
        <f t="shared" si="1"/>
        <v>Qui2</v>
      </c>
      <c r="J16" t="str">
        <f t="shared" si="5"/>
        <v>2</v>
      </c>
      <c r="K16">
        <f t="shared" si="6"/>
        <v>3</v>
      </c>
      <c r="L16">
        <v>2026</v>
      </c>
    </row>
    <row r="17" spans="2:12">
      <c r="B17" t="str">
        <f t="shared" si="0"/>
        <v>ENEROQui23</v>
      </c>
      <c r="C17" t="str">
        <f t="shared" si="2"/>
        <v>ENEROQui1</v>
      </c>
      <c r="D17" s="11">
        <v>46037</v>
      </c>
      <c r="E17" s="17" t="s">
        <v>73</v>
      </c>
      <c r="F17">
        <f t="shared" si="3"/>
        <v>15</v>
      </c>
      <c r="G17" t="str">
        <f t="shared" si="4"/>
        <v>jueves</v>
      </c>
      <c r="H17" t="s">
        <v>48</v>
      </c>
      <c r="I17" t="str">
        <f t="shared" si="1"/>
        <v>Qui2</v>
      </c>
      <c r="J17" t="str">
        <f t="shared" si="5"/>
        <v>2</v>
      </c>
      <c r="K17">
        <f t="shared" si="6"/>
        <v>3</v>
      </c>
      <c r="L17">
        <v>2026</v>
      </c>
    </row>
    <row r="18" spans="2:12">
      <c r="B18" t="str">
        <f t="shared" si="0"/>
        <v>ENEROQui23</v>
      </c>
      <c r="C18" t="str">
        <f t="shared" si="2"/>
        <v>ENEROQui2</v>
      </c>
      <c r="D18" s="11">
        <v>46038</v>
      </c>
      <c r="E18" s="17" t="s">
        <v>73</v>
      </c>
      <c r="F18">
        <f t="shared" si="3"/>
        <v>16</v>
      </c>
      <c r="G18" t="str">
        <f t="shared" si="4"/>
        <v>viernes</v>
      </c>
      <c r="H18" t="s">
        <v>145</v>
      </c>
      <c r="I18" t="str">
        <f t="shared" si="1"/>
        <v>Qui2</v>
      </c>
      <c r="J18" t="str">
        <f t="shared" si="5"/>
        <v>2</v>
      </c>
      <c r="K18">
        <f t="shared" si="6"/>
        <v>3</v>
      </c>
      <c r="L18">
        <v>2026</v>
      </c>
    </row>
    <row r="19" spans="2:12">
      <c r="B19" t="str">
        <f t="shared" si="0"/>
        <v>ENEROQui23</v>
      </c>
      <c r="C19" t="str">
        <f t="shared" si="2"/>
        <v>ENEROQui2</v>
      </c>
      <c r="D19" s="11">
        <v>46039</v>
      </c>
      <c r="E19" s="17" t="s">
        <v>73</v>
      </c>
      <c r="F19">
        <f t="shared" si="3"/>
        <v>17</v>
      </c>
      <c r="G19" t="str">
        <f t="shared" si="4"/>
        <v>sábado</v>
      </c>
      <c r="H19" t="s">
        <v>145</v>
      </c>
      <c r="I19" t="str">
        <f t="shared" si="1"/>
        <v>Qui2</v>
      </c>
      <c r="J19" t="str">
        <f t="shared" si="5"/>
        <v>2</v>
      </c>
      <c r="K19">
        <f t="shared" si="6"/>
        <v>3</v>
      </c>
      <c r="L19">
        <v>2026</v>
      </c>
    </row>
    <row r="20" spans="2:12">
      <c r="B20" t="str">
        <f t="shared" si="0"/>
        <v>ENEROQui23</v>
      </c>
      <c r="C20" t="str">
        <f t="shared" si="2"/>
        <v>ENEROQui2</v>
      </c>
      <c r="D20" s="11">
        <v>46040</v>
      </c>
      <c r="E20" s="17" t="s">
        <v>73</v>
      </c>
      <c r="F20">
        <f t="shared" si="3"/>
        <v>18</v>
      </c>
      <c r="G20" t="str">
        <f t="shared" si="4"/>
        <v>domingo</v>
      </c>
      <c r="H20" t="s">
        <v>145</v>
      </c>
      <c r="I20" t="str">
        <f t="shared" si="1"/>
        <v>Qui2</v>
      </c>
      <c r="J20" t="str">
        <f t="shared" si="5"/>
        <v>2</v>
      </c>
      <c r="K20">
        <f t="shared" si="6"/>
        <v>3</v>
      </c>
      <c r="L20">
        <v>2026</v>
      </c>
    </row>
    <row r="21" spans="2:12">
      <c r="B21" t="str">
        <f t="shared" si="0"/>
        <v>ENEROQui24</v>
      </c>
      <c r="C21" t="str">
        <f t="shared" si="2"/>
        <v>ENEROQui2</v>
      </c>
      <c r="D21" s="11">
        <v>46041</v>
      </c>
      <c r="E21" s="17" t="s">
        <v>73</v>
      </c>
      <c r="F21">
        <f t="shared" si="3"/>
        <v>19</v>
      </c>
      <c r="G21" t="str">
        <f t="shared" si="4"/>
        <v>lunes</v>
      </c>
      <c r="H21" t="s">
        <v>145</v>
      </c>
      <c r="I21" t="str">
        <f t="shared" si="1"/>
        <v>Qui2</v>
      </c>
      <c r="J21" t="str">
        <f t="shared" si="5"/>
        <v>2</v>
      </c>
      <c r="K21">
        <f t="shared" si="6"/>
        <v>4</v>
      </c>
      <c r="L21">
        <v>2026</v>
      </c>
    </row>
    <row r="22" spans="2:12">
      <c r="B22" t="str">
        <f t="shared" si="0"/>
        <v>ENEROQui24</v>
      </c>
      <c r="C22" t="str">
        <f t="shared" si="2"/>
        <v>ENEROQui2</v>
      </c>
      <c r="D22" s="11">
        <v>46042</v>
      </c>
      <c r="E22" s="17" t="s">
        <v>73</v>
      </c>
      <c r="F22">
        <f t="shared" si="3"/>
        <v>20</v>
      </c>
      <c r="G22" t="str">
        <f t="shared" si="4"/>
        <v>martes</v>
      </c>
      <c r="H22" t="s">
        <v>145</v>
      </c>
      <c r="I22" t="str">
        <f t="shared" si="1"/>
        <v>Qui2</v>
      </c>
      <c r="J22" t="str">
        <f t="shared" si="5"/>
        <v>2</v>
      </c>
      <c r="K22">
        <f t="shared" si="6"/>
        <v>4</v>
      </c>
      <c r="L22">
        <v>2026</v>
      </c>
    </row>
    <row r="23" spans="2:12">
      <c r="B23" t="str">
        <f t="shared" si="0"/>
        <v>ENEROQui24</v>
      </c>
      <c r="C23" t="str">
        <f t="shared" si="2"/>
        <v>ENEROQui2</v>
      </c>
      <c r="D23" s="11">
        <v>46043</v>
      </c>
      <c r="E23" s="17" t="s">
        <v>73</v>
      </c>
      <c r="F23">
        <f t="shared" si="3"/>
        <v>21</v>
      </c>
      <c r="G23" t="str">
        <f t="shared" si="4"/>
        <v>miércoles</v>
      </c>
      <c r="H23" t="s">
        <v>145</v>
      </c>
      <c r="I23" t="str">
        <f t="shared" si="1"/>
        <v>Qui2</v>
      </c>
      <c r="J23" t="str">
        <f t="shared" si="5"/>
        <v>2</v>
      </c>
      <c r="K23">
        <f t="shared" si="6"/>
        <v>4</v>
      </c>
      <c r="L23">
        <v>2026</v>
      </c>
    </row>
    <row r="24" spans="2:12">
      <c r="B24" t="str">
        <f t="shared" si="0"/>
        <v>ENEROQui24</v>
      </c>
      <c r="C24" t="str">
        <f t="shared" si="2"/>
        <v>ENEROQui2</v>
      </c>
      <c r="D24" s="11">
        <v>46044</v>
      </c>
      <c r="E24" s="17" t="s">
        <v>73</v>
      </c>
      <c r="F24">
        <f t="shared" si="3"/>
        <v>22</v>
      </c>
      <c r="G24" t="str">
        <f t="shared" si="4"/>
        <v>jueves</v>
      </c>
      <c r="H24" t="s">
        <v>145</v>
      </c>
      <c r="I24" t="str">
        <f t="shared" si="1"/>
        <v>Qui2</v>
      </c>
      <c r="J24" t="str">
        <f t="shared" si="5"/>
        <v>2</v>
      </c>
      <c r="K24">
        <f t="shared" si="6"/>
        <v>4</v>
      </c>
      <c r="L24">
        <v>2026</v>
      </c>
    </row>
    <row r="25" spans="2:12">
      <c r="B25" t="str">
        <f t="shared" si="0"/>
        <v>ENEROQui24</v>
      </c>
      <c r="C25" t="str">
        <f t="shared" si="2"/>
        <v>ENEROQui2</v>
      </c>
      <c r="D25" s="11">
        <v>46045</v>
      </c>
      <c r="E25" s="17" t="s">
        <v>73</v>
      </c>
      <c r="F25">
        <f t="shared" si="3"/>
        <v>23</v>
      </c>
      <c r="G25" t="str">
        <f t="shared" si="4"/>
        <v>viernes</v>
      </c>
      <c r="H25" t="s">
        <v>145</v>
      </c>
      <c r="I25" t="str">
        <f t="shared" si="1"/>
        <v>Qui2</v>
      </c>
      <c r="J25" t="str">
        <f t="shared" si="5"/>
        <v>2</v>
      </c>
      <c r="K25">
        <f t="shared" si="6"/>
        <v>4</v>
      </c>
      <c r="L25">
        <v>2026</v>
      </c>
    </row>
    <row r="26" spans="2:12">
      <c r="B26" t="str">
        <f t="shared" si="0"/>
        <v>ENEROQui24</v>
      </c>
      <c r="C26" t="str">
        <f t="shared" si="2"/>
        <v>ENEROQui2</v>
      </c>
      <c r="D26" s="11">
        <v>46046</v>
      </c>
      <c r="E26" s="17" t="s">
        <v>73</v>
      </c>
      <c r="F26">
        <f t="shared" si="3"/>
        <v>24</v>
      </c>
      <c r="G26" t="str">
        <f t="shared" si="4"/>
        <v>sábado</v>
      </c>
      <c r="H26" t="s">
        <v>145</v>
      </c>
      <c r="I26" t="str">
        <f t="shared" si="1"/>
        <v>Qui2</v>
      </c>
      <c r="J26" t="str">
        <f t="shared" si="5"/>
        <v>2</v>
      </c>
      <c r="K26">
        <f t="shared" si="6"/>
        <v>4</v>
      </c>
      <c r="L26">
        <v>2026</v>
      </c>
    </row>
    <row r="27" spans="2:12">
      <c r="B27" t="str">
        <f t="shared" si="0"/>
        <v>ENEROQui24</v>
      </c>
      <c r="C27" t="str">
        <f t="shared" si="2"/>
        <v>ENEROQui2</v>
      </c>
      <c r="D27" s="11">
        <v>46047</v>
      </c>
      <c r="E27" s="17" t="s">
        <v>73</v>
      </c>
      <c r="F27">
        <f t="shared" si="3"/>
        <v>25</v>
      </c>
      <c r="G27" t="str">
        <f t="shared" si="4"/>
        <v>domingo</v>
      </c>
      <c r="H27" t="s">
        <v>145</v>
      </c>
      <c r="I27" t="str">
        <f t="shared" si="1"/>
        <v>Qui2</v>
      </c>
      <c r="J27" t="str">
        <f t="shared" si="5"/>
        <v>2</v>
      </c>
      <c r="K27">
        <f t="shared" si="6"/>
        <v>4</v>
      </c>
      <c r="L27">
        <v>2026</v>
      </c>
    </row>
    <row r="28" spans="2:12">
      <c r="B28" t="str">
        <f t="shared" si="0"/>
        <v>ENEROQui35</v>
      </c>
      <c r="C28" t="str">
        <f t="shared" si="2"/>
        <v>ENEROQui2</v>
      </c>
      <c r="D28" s="11">
        <v>46048</v>
      </c>
      <c r="E28" s="17" t="s">
        <v>73</v>
      </c>
      <c r="F28">
        <f t="shared" si="3"/>
        <v>26</v>
      </c>
      <c r="G28" t="str">
        <f t="shared" si="4"/>
        <v>lunes</v>
      </c>
      <c r="H28" t="s">
        <v>145</v>
      </c>
      <c r="I28" t="str">
        <f t="shared" si="1"/>
        <v>Qui3</v>
      </c>
      <c r="J28" t="str">
        <f t="shared" si="5"/>
        <v>3</v>
      </c>
      <c r="K28">
        <f t="shared" si="6"/>
        <v>5</v>
      </c>
      <c r="L28">
        <v>2026</v>
      </c>
    </row>
    <row r="29" spans="2:12">
      <c r="B29" t="str">
        <f t="shared" si="0"/>
        <v>ENEROQui35</v>
      </c>
      <c r="C29" t="str">
        <f t="shared" si="2"/>
        <v>ENEROQui2</v>
      </c>
      <c r="D29" s="11">
        <v>46049</v>
      </c>
      <c r="E29" s="17" t="s">
        <v>73</v>
      </c>
      <c r="F29">
        <f t="shared" si="3"/>
        <v>27</v>
      </c>
      <c r="G29" t="str">
        <f t="shared" si="4"/>
        <v>martes</v>
      </c>
      <c r="H29" t="s">
        <v>145</v>
      </c>
      <c r="I29" t="str">
        <f t="shared" si="1"/>
        <v>Qui3</v>
      </c>
      <c r="J29" t="str">
        <f t="shared" si="5"/>
        <v>3</v>
      </c>
      <c r="K29">
        <f t="shared" si="6"/>
        <v>5</v>
      </c>
      <c r="L29">
        <v>2026</v>
      </c>
    </row>
    <row r="30" spans="2:12">
      <c r="B30" t="str">
        <f t="shared" si="0"/>
        <v>ENEROQui35</v>
      </c>
      <c r="C30" t="str">
        <f t="shared" si="2"/>
        <v>ENEROQui2</v>
      </c>
      <c r="D30" s="11">
        <v>46050</v>
      </c>
      <c r="E30" s="17" t="s">
        <v>73</v>
      </c>
      <c r="F30">
        <f t="shared" si="3"/>
        <v>28</v>
      </c>
      <c r="G30" t="str">
        <f t="shared" si="4"/>
        <v>miércoles</v>
      </c>
      <c r="H30" t="s">
        <v>145</v>
      </c>
      <c r="I30" t="str">
        <f t="shared" si="1"/>
        <v>Qui3</v>
      </c>
      <c r="J30" t="str">
        <f t="shared" si="5"/>
        <v>3</v>
      </c>
      <c r="K30">
        <f t="shared" si="6"/>
        <v>5</v>
      </c>
      <c r="L30">
        <v>2026</v>
      </c>
    </row>
    <row r="31" spans="2:12">
      <c r="B31" t="str">
        <f t="shared" si="0"/>
        <v>ENEROQui35</v>
      </c>
      <c r="C31" t="str">
        <f t="shared" si="2"/>
        <v>ENEROQui2</v>
      </c>
      <c r="D31" s="11">
        <v>46051</v>
      </c>
      <c r="E31" s="17" t="s">
        <v>73</v>
      </c>
      <c r="F31">
        <f t="shared" si="3"/>
        <v>29</v>
      </c>
      <c r="G31" t="str">
        <f t="shared" si="4"/>
        <v>jueves</v>
      </c>
      <c r="H31" t="s">
        <v>145</v>
      </c>
      <c r="I31" t="str">
        <f t="shared" si="1"/>
        <v>Qui3</v>
      </c>
      <c r="J31" t="str">
        <f t="shared" si="5"/>
        <v>3</v>
      </c>
      <c r="K31">
        <f t="shared" si="6"/>
        <v>5</v>
      </c>
      <c r="L31">
        <v>2026</v>
      </c>
    </row>
    <row r="32" spans="2:12">
      <c r="B32" t="str">
        <f t="shared" si="0"/>
        <v>ENEROQui35</v>
      </c>
      <c r="C32" t="str">
        <f t="shared" si="2"/>
        <v>ENEROQui2</v>
      </c>
      <c r="D32" s="11">
        <v>46052</v>
      </c>
      <c r="E32" s="17" t="s">
        <v>73</v>
      </c>
      <c r="F32">
        <f t="shared" si="3"/>
        <v>30</v>
      </c>
      <c r="G32" t="str">
        <f t="shared" si="4"/>
        <v>viernes</v>
      </c>
      <c r="H32" t="s">
        <v>145</v>
      </c>
      <c r="I32" t="str">
        <f t="shared" si="1"/>
        <v>Qui3</v>
      </c>
      <c r="J32" t="str">
        <f t="shared" si="5"/>
        <v>3</v>
      </c>
      <c r="K32">
        <f t="shared" si="6"/>
        <v>5</v>
      </c>
      <c r="L32">
        <v>2026</v>
      </c>
    </row>
    <row r="33" spans="2:12">
      <c r="B33" t="str">
        <f t="shared" si="0"/>
        <v>ENEROQui35</v>
      </c>
      <c r="C33" t="str">
        <f t="shared" si="2"/>
        <v>ENEROQui2</v>
      </c>
      <c r="D33" s="11">
        <v>46053</v>
      </c>
      <c r="E33" s="18" t="s">
        <v>73</v>
      </c>
      <c r="F33" s="5">
        <f t="shared" si="3"/>
        <v>31</v>
      </c>
      <c r="G33" s="5" t="str">
        <f t="shared" si="4"/>
        <v>sábado</v>
      </c>
      <c r="H33" s="5" t="s">
        <v>145</v>
      </c>
      <c r="I33" s="5" t="str">
        <f t="shared" si="1"/>
        <v>Qui3</v>
      </c>
      <c r="J33" s="5" t="str">
        <f t="shared" si="5"/>
        <v>3</v>
      </c>
      <c r="K33" s="5">
        <f t="shared" si="6"/>
        <v>5</v>
      </c>
      <c r="L33" s="5">
        <v>2026</v>
      </c>
    </row>
    <row r="34" spans="2:12">
      <c r="B34" t="str">
        <f t="shared" si="0"/>
        <v>FEBREROQui35</v>
      </c>
      <c r="C34" t="str">
        <f t="shared" si="2"/>
        <v>FEBREROQui1</v>
      </c>
      <c r="D34" s="11">
        <v>46054</v>
      </c>
      <c r="E34" s="15" t="s">
        <v>74</v>
      </c>
      <c r="F34" s="16">
        <f t="shared" si="3"/>
        <v>1</v>
      </c>
      <c r="G34" s="16" t="str">
        <f t="shared" si="4"/>
        <v>domingo</v>
      </c>
      <c r="H34" s="16" t="s">
        <v>48</v>
      </c>
      <c r="I34" s="16" t="str">
        <f t="shared" si="1"/>
        <v>Qui3</v>
      </c>
      <c r="J34" s="16" t="str">
        <f t="shared" si="5"/>
        <v>3</v>
      </c>
      <c r="K34" s="16">
        <f t="shared" si="6"/>
        <v>5</v>
      </c>
      <c r="L34" s="16">
        <v>2026</v>
      </c>
    </row>
    <row r="35" spans="2:12">
      <c r="B35" t="str">
        <f t="shared" si="0"/>
        <v>FEBREROQui36</v>
      </c>
      <c r="C35" t="str">
        <f t="shared" si="2"/>
        <v>FEBREROQui1</v>
      </c>
      <c r="D35" s="11">
        <v>46055</v>
      </c>
      <c r="E35" s="17" t="s">
        <v>74</v>
      </c>
      <c r="F35">
        <f t="shared" si="3"/>
        <v>2</v>
      </c>
      <c r="G35" t="str">
        <f t="shared" si="4"/>
        <v>lunes</v>
      </c>
      <c r="H35" t="s">
        <v>48</v>
      </c>
      <c r="I35" t="str">
        <f t="shared" si="1"/>
        <v>Qui3</v>
      </c>
      <c r="J35" t="str">
        <f t="shared" si="5"/>
        <v>3</v>
      </c>
      <c r="K35">
        <f t="shared" si="6"/>
        <v>6</v>
      </c>
      <c r="L35">
        <v>2026</v>
      </c>
    </row>
    <row r="36" spans="2:12">
      <c r="B36" t="str">
        <f t="shared" si="0"/>
        <v>FEBREROQui36</v>
      </c>
      <c r="C36" t="str">
        <f t="shared" si="2"/>
        <v>FEBREROQui1</v>
      </c>
      <c r="D36" s="11">
        <v>46056</v>
      </c>
      <c r="E36" s="17" t="s">
        <v>74</v>
      </c>
      <c r="F36">
        <f t="shared" si="3"/>
        <v>3</v>
      </c>
      <c r="G36" t="str">
        <f t="shared" si="4"/>
        <v>martes</v>
      </c>
      <c r="H36" t="s">
        <v>48</v>
      </c>
      <c r="I36" t="str">
        <f t="shared" si="1"/>
        <v>Qui3</v>
      </c>
      <c r="J36" t="str">
        <f t="shared" si="5"/>
        <v>3</v>
      </c>
      <c r="K36">
        <f t="shared" si="6"/>
        <v>6</v>
      </c>
      <c r="L36">
        <v>2026</v>
      </c>
    </row>
    <row r="37" spans="2:12">
      <c r="B37" t="str">
        <f t="shared" si="0"/>
        <v>FEBREROQui36</v>
      </c>
      <c r="C37" t="str">
        <f t="shared" si="2"/>
        <v>FEBREROQui1</v>
      </c>
      <c r="D37" s="11">
        <v>46057</v>
      </c>
      <c r="E37" s="17" t="s">
        <v>74</v>
      </c>
      <c r="F37">
        <f t="shared" si="3"/>
        <v>4</v>
      </c>
      <c r="G37" t="str">
        <f t="shared" si="4"/>
        <v>miércoles</v>
      </c>
      <c r="H37" t="s">
        <v>48</v>
      </c>
      <c r="I37" t="str">
        <f t="shared" si="1"/>
        <v>Qui3</v>
      </c>
      <c r="J37" t="str">
        <f t="shared" si="5"/>
        <v>3</v>
      </c>
      <c r="K37">
        <f t="shared" si="6"/>
        <v>6</v>
      </c>
      <c r="L37">
        <v>2026</v>
      </c>
    </row>
    <row r="38" spans="2:12">
      <c r="B38" t="str">
        <f t="shared" si="0"/>
        <v>FEBREROQui36</v>
      </c>
      <c r="C38" t="str">
        <f t="shared" si="2"/>
        <v>FEBREROQui1</v>
      </c>
      <c r="D38" s="11">
        <v>46058</v>
      </c>
      <c r="E38" s="17" t="s">
        <v>74</v>
      </c>
      <c r="F38">
        <f t="shared" si="3"/>
        <v>5</v>
      </c>
      <c r="G38" t="str">
        <f t="shared" si="4"/>
        <v>jueves</v>
      </c>
      <c r="H38" t="s">
        <v>48</v>
      </c>
      <c r="I38" t="str">
        <f t="shared" si="1"/>
        <v>Qui3</v>
      </c>
      <c r="J38" t="str">
        <f t="shared" si="5"/>
        <v>3</v>
      </c>
      <c r="K38">
        <f t="shared" si="6"/>
        <v>6</v>
      </c>
      <c r="L38">
        <v>2026</v>
      </c>
    </row>
    <row r="39" spans="2:12">
      <c r="B39" t="str">
        <f t="shared" si="0"/>
        <v>FEBREROQui36</v>
      </c>
      <c r="C39" t="str">
        <f t="shared" si="2"/>
        <v>FEBREROQui1</v>
      </c>
      <c r="D39" s="11">
        <v>46059</v>
      </c>
      <c r="E39" s="17" t="s">
        <v>74</v>
      </c>
      <c r="F39">
        <f t="shared" si="3"/>
        <v>6</v>
      </c>
      <c r="G39" t="str">
        <f t="shared" si="4"/>
        <v>viernes</v>
      </c>
      <c r="H39" t="s">
        <v>48</v>
      </c>
      <c r="I39" t="str">
        <f t="shared" si="1"/>
        <v>Qui3</v>
      </c>
      <c r="J39" t="str">
        <f t="shared" si="5"/>
        <v>3</v>
      </c>
      <c r="K39">
        <f t="shared" si="6"/>
        <v>6</v>
      </c>
      <c r="L39">
        <v>2026</v>
      </c>
    </row>
    <row r="40" spans="2:12">
      <c r="B40" t="str">
        <f t="shared" si="0"/>
        <v>FEBREROQui36</v>
      </c>
      <c r="C40" t="str">
        <f t="shared" si="2"/>
        <v>FEBREROQui1</v>
      </c>
      <c r="D40" s="11">
        <v>46060</v>
      </c>
      <c r="E40" s="17" t="s">
        <v>74</v>
      </c>
      <c r="F40">
        <f t="shared" si="3"/>
        <v>7</v>
      </c>
      <c r="G40" t="str">
        <f t="shared" si="4"/>
        <v>sábado</v>
      </c>
      <c r="H40" t="s">
        <v>48</v>
      </c>
      <c r="I40" t="str">
        <f t="shared" si="1"/>
        <v>Qui3</v>
      </c>
      <c r="J40" t="str">
        <f t="shared" si="5"/>
        <v>3</v>
      </c>
      <c r="K40">
        <f t="shared" si="6"/>
        <v>6</v>
      </c>
      <c r="L40">
        <v>2026</v>
      </c>
    </row>
    <row r="41" spans="2:12">
      <c r="B41" t="str">
        <f t="shared" si="0"/>
        <v>FEBREROQui36</v>
      </c>
      <c r="C41" t="str">
        <f t="shared" si="2"/>
        <v>FEBREROQui1</v>
      </c>
      <c r="D41" s="11">
        <v>46061</v>
      </c>
      <c r="E41" s="17" t="s">
        <v>74</v>
      </c>
      <c r="F41">
        <f t="shared" si="3"/>
        <v>8</v>
      </c>
      <c r="G41" t="str">
        <f t="shared" si="4"/>
        <v>domingo</v>
      </c>
      <c r="H41" t="s">
        <v>48</v>
      </c>
      <c r="I41" t="str">
        <f t="shared" si="1"/>
        <v>Qui3</v>
      </c>
      <c r="J41" t="str">
        <f t="shared" si="5"/>
        <v>3</v>
      </c>
      <c r="K41">
        <f t="shared" si="6"/>
        <v>6</v>
      </c>
      <c r="L41">
        <v>2026</v>
      </c>
    </row>
    <row r="42" spans="2:12">
      <c r="B42" t="str">
        <f t="shared" si="0"/>
        <v>FEBREROQui47</v>
      </c>
      <c r="C42" t="str">
        <f t="shared" si="2"/>
        <v>FEBREROQui1</v>
      </c>
      <c r="D42" s="11">
        <v>46062</v>
      </c>
      <c r="E42" s="17" t="s">
        <v>74</v>
      </c>
      <c r="F42">
        <f t="shared" si="3"/>
        <v>9</v>
      </c>
      <c r="G42" t="str">
        <f t="shared" si="4"/>
        <v>lunes</v>
      </c>
      <c r="H42" t="s">
        <v>48</v>
      </c>
      <c r="I42" t="str">
        <f t="shared" si="1"/>
        <v>Qui4</v>
      </c>
      <c r="J42" t="str">
        <f t="shared" si="5"/>
        <v>4</v>
      </c>
      <c r="K42">
        <f t="shared" si="6"/>
        <v>7</v>
      </c>
      <c r="L42">
        <v>2026</v>
      </c>
    </row>
    <row r="43" spans="2:12">
      <c r="B43" t="str">
        <f t="shared" si="0"/>
        <v>FEBREROQui47</v>
      </c>
      <c r="C43" t="str">
        <f t="shared" si="2"/>
        <v>FEBREROQui1</v>
      </c>
      <c r="D43" s="11">
        <v>46063</v>
      </c>
      <c r="E43" s="17" t="s">
        <v>74</v>
      </c>
      <c r="F43">
        <f t="shared" si="3"/>
        <v>10</v>
      </c>
      <c r="G43" t="str">
        <f t="shared" si="4"/>
        <v>martes</v>
      </c>
      <c r="H43" t="s">
        <v>48</v>
      </c>
      <c r="I43" t="str">
        <f t="shared" si="1"/>
        <v>Qui4</v>
      </c>
      <c r="J43" t="str">
        <f t="shared" si="5"/>
        <v>4</v>
      </c>
      <c r="K43">
        <f t="shared" si="6"/>
        <v>7</v>
      </c>
      <c r="L43">
        <v>2026</v>
      </c>
    </row>
    <row r="44" spans="2:12">
      <c r="B44" t="str">
        <f t="shared" si="0"/>
        <v>FEBREROQui47</v>
      </c>
      <c r="C44" t="str">
        <f t="shared" si="2"/>
        <v>FEBREROQui1</v>
      </c>
      <c r="D44" s="11">
        <v>46064</v>
      </c>
      <c r="E44" s="17" t="s">
        <v>74</v>
      </c>
      <c r="F44">
        <f t="shared" si="3"/>
        <v>11</v>
      </c>
      <c r="G44" t="str">
        <f t="shared" si="4"/>
        <v>miércoles</v>
      </c>
      <c r="H44" t="s">
        <v>48</v>
      </c>
      <c r="I44" t="str">
        <f t="shared" si="1"/>
        <v>Qui4</v>
      </c>
      <c r="J44" t="str">
        <f t="shared" si="5"/>
        <v>4</v>
      </c>
      <c r="K44">
        <f t="shared" si="6"/>
        <v>7</v>
      </c>
      <c r="L44">
        <v>2026</v>
      </c>
    </row>
    <row r="45" spans="2:12">
      <c r="B45" t="str">
        <f t="shared" si="0"/>
        <v>FEBREROQui47</v>
      </c>
      <c r="C45" t="str">
        <f t="shared" si="2"/>
        <v>FEBREROQui1</v>
      </c>
      <c r="D45" s="11">
        <v>46065</v>
      </c>
      <c r="E45" s="17" t="s">
        <v>74</v>
      </c>
      <c r="F45">
        <f t="shared" si="3"/>
        <v>12</v>
      </c>
      <c r="G45" t="str">
        <f t="shared" si="4"/>
        <v>jueves</v>
      </c>
      <c r="H45" t="s">
        <v>48</v>
      </c>
      <c r="I45" t="str">
        <f t="shared" si="1"/>
        <v>Qui4</v>
      </c>
      <c r="J45" t="str">
        <f t="shared" si="5"/>
        <v>4</v>
      </c>
      <c r="K45">
        <f t="shared" si="6"/>
        <v>7</v>
      </c>
      <c r="L45">
        <v>2026</v>
      </c>
    </row>
    <row r="46" spans="2:12">
      <c r="B46" t="str">
        <f t="shared" si="0"/>
        <v>FEBREROQui47</v>
      </c>
      <c r="C46" t="str">
        <f t="shared" si="2"/>
        <v>FEBREROQui1</v>
      </c>
      <c r="D46" s="11">
        <v>46066</v>
      </c>
      <c r="E46" s="17" t="s">
        <v>74</v>
      </c>
      <c r="F46">
        <f t="shared" si="3"/>
        <v>13</v>
      </c>
      <c r="G46" t="str">
        <f t="shared" si="4"/>
        <v>viernes</v>
      </c>
      <c r="H46" t="s">
        <v>48</v>
      </c>
      <c r="I46" t="str">
        <f t="shared" si="1"/>
        <v>Qui4</v>
      </c>
      <c r="J46" t="str">
        <f t="shared" si="5"/>
        <v>4</v>
      </c>
      <c r="K46">
        <f t="shared" si="6"/>
        <v>7</v>
      </c>
      <c r="L46">
        <v>2026</v>
      </c>
    </row>
    <row r="47" spans="2:12">
      <c r="B47" t="str">
        <f t="shared" si="0"/>
        <v>FEBREROQui47</v>
      </c>
      <c r="C47" t="str">
        <f t="shared" si="2"/>
        <v>FEBREROQui1</v>
      </c>
      <c r="D47" s="11">
        <v>46067</v>
      </c>
      <c r="E47" s="17" t="s">
        <v>74</v>
      </c>
      <c r="F47">
        <f t="shared" si="3"/>
        <v>14</v>
      </c>
      <c r="G47" t="str">
        <f t="shared" si="4"/>
        <v>sábado</v>
      </c>
      <c r="H47" t="s">
        <v>48</v>
      </c>
      <c r="I47" t="str">
        <f t="shared" si="1"/>
        <v>Qui4</v>
      </c>
      <c r="J47" t="str">
        <f t="shared" si="5"/>
        <v>4</v>
      </c>
      <c r="K47">
        <f t="shared" si="6"/>
        <v>7</v>
      </c>
      <c r="L47">
        <v>2026</v>
      </c>
    </row>
    <row r="48" spans="2:12">
      <c r="B48" t="str">
        <f t="shared" si="0"/>
        <v>FEBREROQui47</v>
      </c>
      <c r="C48" t="str">
        <f t="shared" si="2"/>
        <v>FEBREROQui1</v>
      </c>
      <c r="D48" s="11">
        <v>46068</v>
      </c>
      <c r="E48" s="17" t="s">
        <v>74</v>
      </c>
      <c r="F48">
        <f t="shared" si="3"/>
        <v>15</v>
      </c>
      <c r="G48" t="str">
        <f t="shared" si="4"/>
        <v>domingo</v>
      </c>
      <c r="H48" t="s">
        <v>48</v>
      </c>
      <c r="I48" t="str">
        <f t="shared" si="1"/>
        <v>Qui4</v>
      </c>
      <c r="J48" t="str">
        <f t="shared" si="5"/>
        <v>4</v>
      </c>
      <c r="K48">
        <f t="shared" si="6"/>
        <v>7</v>
      </c>
      <c r="L48">
        <v>2026</v>
      </c>
    </row>
    <row r="49" spans="2:12">
      <c r="B49" t="str">
        <f t="shared" si="0"/>
        <v>FEBREROQui48</v>
      </c>
      <c r="C49" t="str">
        <f t="shared" si="2"/>
        <v>FEBREROQui2</v>
      </c>
      <c r="D49" s="11">
        <v>46069</v>
      </c>
      <c r="E49" s="17" t="s">
        <v>74</v>
      </c>
      <c r="F49">
        <f t="shared" si="3"/>
        <v>16</v>
      </c>
      <c r="G49" t="str">
        <f t="shared" si="4"/>
        <v>lunes</v>
      </c>
      <c r="H49" t="s">
        <v>145</v>
      </c>
      <c r="I49" t="str">
        <f t="shared" si="1"/>
        <v>Qui4</v>
      </c>
      <c r="J49" t="str">
        <f t="shared" si="5"/>
        <v>4</v>
      </c>
      <c r="K49">
        <f t="shared" si="6"/>
        <v>8</v>
      </c>
      <c r="L49">
        <v>2026</v>
      </c>
    </row>
    <row r="50" spans="2:12">
      <c r="B50" t="str">
        <f t="shared" si="0"/>
        <v>FEBREROQui48</v>
      </c>
      <c r="C50" t="str">
        <f t="shared" si="2"/>
        <v>FEBREROQui2</v>
      </c>
      <c r="D50" s="11">
        <v>46070</v>
      </c>
      <c r="E50" s="17" t="s">
        <v>74</v>
      </c>
      <c r="F50">
        <f t="shared" si="3"/>
        <v>17</v>
      </c>
      <c r="G50" t="str">
        <f t="shared" si="4"/>
        <v>martes</v>
      </c>
      <c r="H50" t="s">
        <v>145</v>
      </c>
      <c r="I50" t="str">
        <f t="shared" si="1"/>
        <v>Qui4</v>
      </c>
      <c r="J50" t="str">
        <f t="shared" si="5"/>
        <v>4</v>
      </c>
      <c r="K50">
        <f t="shared" si="6"/>
        <v>8</v>
      </c>
      <c r="L50">
        <v>2026</v>
      </c>
    </row>
    <row r="51" spans="2:12">
      <c r="B51" t="str">
        <f t="shared" si="0"/>
        <v>FEBREROQui48</v>
      </c>
      <c r="C51" t="str">
        <f t="shared" si="2"/>
        <v>FEBREROQui2</v>
      </c>
      <c r="D51" s="11">
        <v>46071</v>
      </c>
      <c r="E51" s="17" t="s">
        <v>74</v>
      </c>
      <c r="F51">
        <f t="shared" si="3"/>
        <v>18</v>
      </c>
      <c r="G51" t="str">
        <f t="shared" si="4"/>
        <v>miércoles</v>
      </c>
      <c r="H51" t="s">
        <v>145</v>
      </c>
      <c r="I51" t="str">
        <f t="shared" si="1"/>
        <v>Qui4</v>
      </c>
      <c r="J51" t="str">
        <f t="shared" si="5"/>
        <v>4</v>
      </c>
      <c r="K51">
        <f t="shared" si="6"/>
        <v>8</v>
      </c>
      <c r="L51">
        <v>2026</v>
      </c>
    </row>
    <row r="52" spans="2:12">
      <c r="B52" t="str">
        <f t="shared" si="0"/>
        <v>FEBREROQui48</v>
      </c>
      <c r="C52" t="str">
        <f t="shared" si="2"/>
        <v>FEBREROQui2</v>
      </c>
      <c r="D52" s="11">
        <v>46072</v>
      </c>
      <c r="E52" s="17" t="s">
        <v>74</v>
      </c>
      <c r="F52">
        <f t="shared" si="3"/>
        <v>19</v>
      </c>
      <c r="G52" t="str">
        <f t="shared" si="4"/>
        <v>jueves</v>
      </c>
      <c r="H52" t="s">
        <v>145</v>
      </c>
      <c r="I52" t="str">
        <f t="shared" si="1"/>
        <v>Qui4</v>
      </c>
      <c r="J52" t="str">
        <f t="shared" si="5"/>
        <v>4</v>
      </c>
      <c r="K52">
        <f t="shared" si="6"/>
        <v>8</v>
      </c>
      <c r="L52">
        <v>2026</v>
      </c>
    </row>
    <row r="53" spans="2:12">
      <c r="B53" t="str">
        <f t="shared" si="0"/>
        <v>FEBREROQui48</v>
      </c>
      <c r="C53" t="str">
        <f t="shared" si="2"/>
        <v>FEBREROQui2</v>
      </c>
      <c r="D53" s="11">
        <v>46073</v>
      </c>
      <c r="E53" s="17" t="s">
        <v>74</v>
      </c>
      <c r="F53">
        <f t="shared" si="3"/>
        <v>20</v>
      </c>
      <c r="G53" t="str">
        <f t="shared" si="4"/>
        <v>viernes</v>
      </c>
      <c r="H53" t="s">
        <v>145</v>
      </c>
      <c r="I53" t="str">
        <f t="shared" si="1"/>
        <v>Qui4</v>
      </c>
      <c r="J53" t="str">
        <f t="shared" si="5"/>
        <v>4</v>
      </c>
      <c r="K53">
        <f t="shared" si="6"/>
        <v>8</v>
      </c>
      <c r="L53">
        <v>2026</v>
      </c>
    </row>
    <row r="54" spans="2:12">
      <c r="B54" t="str">
        <f t="shared" si="0"/>
        <v>FEBREROQui48</v>
      </c>
      <c r="C54" t="str">
        <f t="shared" si="2"/>
        <v>FEBREROQui2</v>
      </c>
      <c r="D54" s="11">
        <v>46074</v>
      </c>
      <c r="E54" s="17" t="s">
        <v>74</v>
      </c>
      <c r="F54">
        <f t="shared" si="3"/>
        <v>21</v>
      </c>
      <c r="G54" t="str">
        <f t="shared" si="4"/>
        <v>sábado</v>
      </c>
      <c r="H54" t="s">
        <v>145</v>
      </c>
      <c r="I54" t="str">
        <f t="shared" si="1"/>
        <v>Qui4</v>
      </c>
      <c r="J54" t="str">
        <f t="shared" si="5"/>
        <v>4</v>
      </c>
      <c r="K54">
        <f t="shared" si="6"/>
        <v>8</v>
      </c>
      <c r="L54">
        <v>2026</v>
      </c>
    </row>
    <row r="55" spans="2:12">
      <c r="B55" t="str">
        <f t="shared" si="0"/>
        <v>FEBREROQui48</v>
      </c>
      <c r="C55" t="str">
        <f t="shared" si="2"/>
        <v>FEBREROQui2</v>
      </c>
      <c r="D55" s="11">
        <v>46075</v>
      </c>
      <c r="E55" s="17" t="s">
        <v>74</v>
      </c>
      <c r="F55">
        <f t="shared" si="3"/>
        <v>22</v>
      </c>
      <c r="G55" t="str">
        <f t="shared" si="4"/>
        <v>domingo</v>
      </c>
      <c r="H55" t="s">
        <v>145</v>
      </c>
      <c r="I55" t="str">
        <f t="shared" si="1"/>
        <v>Qui4</v>
      </c>
      <c r="J55" t="str">
        <f t="shared" si="5"/>
        <v>4</v>
      </c>
      <c r="K55">
        <f t="shared" si="6"/>
        <v>8</v>
      </c>
      <c r="L55">
        <v>2026</v>
      </c>
    </row>
    <row r="56" spans="2:12">
      <c r="B56" t="str">
        <f t="shared" si="0"/>
        <v>FEBREROQui59</v>
      </c>
      <c r="C56" t="str">
        <f t="shared" si="2"/>
        <v>FEBREROQui2</v>
      </c>
      <c r="D56" s="11">
        <v>46076</v>
      </c>
      <c r="E56" s="17" t="s">
        <v>74</v>
      </c>
      <c r="F56">
        <f t="shared" si="3"/>
        <v>23</v>
      </c>
      <c r="G56" t="str">
        <f t="shared" si="4"/>
        <v>lunes</v>
      </c>
      <c r="H56" t="s">
        <v>145</v>
      </c>
      <c r="I56" t="str">
        <f t="shared" si="1"/>
        <v>Qui5</v>
      </c>
      <c r="J56" t="str">
        <f t="shared" si="5"/>
        <v>5</v>
      </c>
      <c r="K56">
        <f t="shared" si="6"/>
        <v>9</v>
      </c>
      <c r="L56">
        <v>2026</v>
      </c>
    </row>
    <row r="57" spans="2:12">
      <c r="B57" t="str">
        <f t="shared" si="0"/>
        <v>FEBREROQui59</v>
      </c>
      <c r="C57" t="str">
        <f t="shared" si="2"/>
        <v>FEBREROQui2</v>
      </c>
      <c r="D57" s="11">
        <v>46077</v>
      </c>
      <c r="E57" s="17" t="s">
        <v>74</v>
      </c>
      <c r="F57">
        <f t="shared" si="3"/>
        <v>24</v>
      </c>
      <c r="G57" t="str">
        <f t="shared" si="4"/>
        <v>martes</v>
      </c>
      <c r="H57" t="s">
        <v>145</v>
      </c>
      <c r="I57" t="str">
        <f t="shared" si="1"/>
        <v>Qui5</v>
      </c>
      <c r="J57" t="str">
        <f t="shared" si="5"/>
        <v>5</v>
      </c>
      <c r="K57">
        <f t="shared" si="6"/>
        <v>9</v>
      </c>
      <c r="L57">
        <v>2026</v>
      </c>
    </row>
    <row r="58" spans="2:12">
      <c r="B58" t="str">
        <f t="shared" si="0"/>
        <v>FEBREROQui59</v>
      </c>
      <c r="C58" t="str">
        <f t="shared" si="2"/>
        <v>FEBREROQui2</v>
      </c>
      <c r="D58" s="11">
        <v>46078</v>
      </c>
      <c r="E58" s="17" t="s">
        <v>74</v>
      </c>
      <c r="F58">
        <f t="shared" si="3"/>
        <v>25</v>
      </c>
      <c r="G58" t="str">
        <f t="shared" si="4"/>
        <v>miércoles</v>
      </c>
      <c r="H58" t="s">
        <v>145</v>
      </c>
      <c r="I58" t="str">
        <f t="shared" si="1"/>
        <v>Qui5</v>
      </c>
      <c r="J58" t="str">
        <f t="shared" si="5"/>
        <v>5</v>
      </c>
      <c r="K58">
        <f t="shared" si="6"/>
        <v>9</v>
      </c>
      <c r="L58">
        <v>2026</v>
      </c>
    </row>
    <row r="59" spans="2:12">
      <c r="B59" t="str">
        <f t="shared" si="0"/>
        <v>FEBREROQui59</v>
      </c>
      <c r="C59" t="str">
        <f t="shared" si="2"/>
        <v>FEBREROQui2</v>
      </c>
      <c r="D59" s="11">
        <v>46079</v>
      </c>
      <c r="E59" s="17" t="s">
        <v>74</v>
      </c>
      <c r="F59">
        <f t="shared" si="3"/>
        <v>26</v>
      </c>
      <c r="G59" t="str">
        <f t="shared" si="4"/>
        <v>jueves</v>
      </c>
      <c r="H59" t="s">
        <v>145</v>
      </c>
      <c r="I59" t="str">
        <f t="shared" si="1"/>
        <v>Qui5</v>
      </c>
      <c r="J59" t="str">
        <f t="shared" si="5"/>
        <v>5</v>
      </c>
      <c r="K59">
        <f t="shared" si="6"/>
        <v>9</v>
      </c>
      <c r="L59">
        <v>2026</v>
      </c>
    </row>
    <row r="60" spans="2:12">
      <c r="B60" t="str">
        <f t="shared" si="0"/>
        <v>FEBREROQui59</v>
      </c>
      <c r="C60" t="str">
        <f t="shared" si="2"/>
        <v>FEBREROQui2</v>
      </c>
      <c r="D60" s="11">
        <v>46080</v>
      </c>
      <c r="E60" s="17" t="s">
        <v>74</v>
      </c>
      <c r="F60">
        <f t="shared" si="3"/>
        <v>27</v>
      </c>
      <c r="G60" t="str">
        <f t="shared" si="4"/>
        <v>viernes</v>
      </c>
      <c r="H60" t="s">
        <v>145</v>
      </c>
      <c r="I60" t="str">
        <f t="shared" si="1"/>
        <v>Qui5</v>
      </c>
      <c r="J60" t="str">
        <f t="shared" si="5"/>
        <v>5</v>
      </c>
      <c r="K60">
        <f t="shared" si="6"/>
        <v>9</v>
      </c>
      <c r="L60">
        <v>2026</v>
      </c>
    </row>
    <row r="61" spans="2:12">
      <c r="B61" t="str">
        <f t="shared" si="0"/>
        <v>FEBREROQui59</v>
      </c>
      <c r="C61" t="str">
        <f t="shared" si="2"/>
        <v>FEBREROQui2</v>
      </c>
      <c r="D61" s="11">
        <v>46081</v>
      </c>
      <c r="E61" s="18" t="s">
        <v>74</v>
      </c>
      <c r="F61" s="5">
        <f t="shared" si="3"/>
        <v>28</v>
      </c>
      <c r="G61" s="5" t="str">
        <f t="shared" si="4"/>
        <v>sábado</v>
      </c>
      <c r="H61" s="5" t="s">
        <v>145</v>
      </c>
      <c r="I61" s="5" t="str">
        <f t="shared" si="1"/>
        <v>Qui5</v>
      </c>
      <c r="J61" s="5" t="str">
        <f t="shared" si="5"/>
        <v>5</v>
      </c>
      <c r="K61" s="5">
        <f t="shared" si="6"/>
        <v>9</v>
      </c>
      <c r="L61" s="5">
        <v>2026</v>
      </c>
    </row>
    <row r="62" spans="2:12">
      <c r="B62" t="str">
        <f t="shared" si="0"/>
        <v>MARZOQui59</v>
      </c>
      <c r="C62" t="str">
        <f t="shared" si="2"/>
        <v>MARZOQui1</v>
      </c>
      <c r="D62" s="11">
        <v>46082</v>
      </c>
      <c r="E62" s="15" t="s">
        <v>75</v>
      </c>
      <c r="F62" s="16">
        <f t="shared" si="3"/>
        <v>1</v>
      </c>
      <c r="G62" s="16" t="str">
        <f t="shared" si="4"/>
        <v>domingo</v>
      </c>
      <c r="H62" s="16" t="s">
        <v>48</v>
      </c>
      <c r="I62" s="16" t="str">
        <f t="shared" si="1"/>
        <v>Qui5</v>
      </c>
      <c r="J62" s="16" t="str">
        <f t="shared" si="5"/>
        <v>5</v>
      </c>
      <c r="K62" s="16">
        <f t="shared" si="6"/>
        <v>9</v>
      </c>
      <c r="L62" s="16">
        <v>2026</v>
      </c>
    </row>
    <row r="63" spans="2:12">
      <c r="B63" t="str">
        <f t="shared" si="0"/>
        <v>MARZOQui510</v>
      </c>
      <c r="C63" t="str">
        <f t="shared" si="2"/>
        <v>MARZOQui1</v>
      </c>
      <c r="D63" s="11">
        <v>46083</v>
      </c>
      <c r="E63" s="17" t="s">
        <v>75</v>
      </c>
      <c r="F63">
        <f t="shared" si="3"/>
        <v>2</v>
      </c>
      <c r="G63" t="str">
        <f t="shared" si="4"/>
        <v>lunes</v>
      </c>
      <c r="H63" t="s">
        <v>48</v>
      </c>
      <c r="I63" t="str">
        <f t="shared" si="1"/>
        <v>Qui5</v>
      </c>
      <c r="J63" t="str">
        <f t="shared" si="5"/>
        <v>5</v>
      </c>
      <c r="K63">
        <f t="shared" si="6"/>
        <v>10</v>
      </c>
      <c r="L63">
        <v>2026</v>
      </c>
    </row>
    <row r="64" spans="2:12">
      <c r="B64" t="str">
        <f t="shared" si="0"/>
        <v>MARZOQui510</v>
      </c>
      <c r="C64" t="str">
        <f t="shared" si="2"/>
        <v>MARZOQui1</v>
      </c>
      <c r="D64" s="11">
        <v>46084</v>
      </c>
      <c r="E64" s="17" t="s">
        <v>75</v>
      </c>
      <c r="F64">
        <f t="shared" si="3"/>
        <v>3</v>
      </c>
      <c r="G64" t="str">
        <f t="shared" si="4"/>
        <v>martes</v>
      </c>
      <c r="H64" t="s">
        <v>48</v>
      </c>
      <c r="I64" t="str">
        <f t="shared" si="1"/>
        <v>Qui5</v>
      </c>
      <c r="J64" t="str">
        <f t="shared" si="5"/>
        <v>5</v>
      </c>
      <c r="K64">
        <f t="shared" si="6"/>
        <v>10</v>
      </c>
      <c r="L64">
        <v>2026</v>
      </c>
    </row>
    <row r="65" spans="2:12">
      <c r="B65" t="str">
        <f t="shared" si="0"/>
        <v>MARZOQui510</v>
      </c>
      <c r="C65" t="str">
        <f t="shared" si="2"/>
        <v>MARZOQui1</v>
      </c>
      <c r="D65" s="11">
        <v>46085</v>
      </c>
      <c r="E65" s="17" t="s">
        <v>75</v>
      </c>
      <c r="F65">
        <f t="shared" si="3"/>
        <v>4</v>
      </c>
      <c r="G65" t="str">
        <f t="shared" si="4"/>
        <v>miércoles</v>
      </c>
      <c r="H65" t="s">
        <v>48</v>
      </c>
      <c r="I65" t="str">
        <f t="shared" si="1"/>
        <v>Qui5</v>
      </c>
      <c r="J65" t="str">
        <f t="shared" si="5"/>
        <v>5</v>
      </c>
      <c r="K65">
        <f t="shared" si="6"/>
        <v>10</v>
      </c>
      <c r="L65">
        <v>2026</v>
      </c>
    </row>
    <row r="66" spans="2:12">
      <c r="B66" t="str">
        <f t="shared" si="0"/>
        <v>MARZOQui510</v>
      </c>
      <c r="C66" t="str">
        <f t="shared" si="2"/>
        <v>MARZOQui1</v>
      </c>
      <c r="D66" s="11">
        <v>46086</v>
      </c>
      <c r="E66" s="17" t="s">
        <v>75</v>
      </c>
      <c r="F66">
        <f t="shared" si="3"/>
        <v>5</v>
      </c>
      <c r="G66" t="str">
        <f t="shared" si="4"/>
        <v>jueves</v>
      </c>
      <c r="H66" t="s">
        <v>48</v>
      </c>
      <c r="I66" t="str">
        <f t="shared" si="1"/>
        <v>Qui5</v>
      </c>
      <c r="J66" t="str">
        <f t="shared" si="5"/>
        <v>5</v>
      </c>
      <c r="K66">
        <f t="shared" si="6"/>
        <v>10</v>
      </c>
      <c r="L66">
        <v>2026</v>
      </c>
    </row>
    <row r="67" spans="2:12">
      <c r="B67" t="str">
        <f t="shared" ref="B67:B130" si="7">+E67&amp;I67&amp;K67</f>
        <v>MARZOQui510</v>
      </c>
      <c r="C67" t="str">
        <f t="shared" si="2"/>
        <v>MARZOQui1</v>
      </c>
      <c r="D67" s="11">
        <v>46087</v>
      </c>
      <c r="E67" s="17" t="s">
        <v>75</v>
      </c>
      <c r="F67">
        <f t="shared" si="3"/>
        <v>6</v>
      </c>
      <c r="G67" t="str">
        <f t="shared" si="4"/>
        <v>viernes</v>
      </c>
      <c r="H67" t="s">
        <v>48</v>
      </c>
      <c r="I67" t="str">
        <f t="shared" ref="I67:I130" si="8">+"Qui"&amp;ROUNDUP(K67/2,0)</f>
        <v>Qui5</v>
      </c>
      <c r="J67" t="str">
        <f t="shared" si="5"/>
        <v>5</v>
      </c>
      <c r="K67">
        <f t="shared" si="6"/>
        <v>10</v>
      </c>
      <c r="L67">
        <v>2026</v>
      </c>
    </row>
    <row r="68" spans="2:12">
      <c r="B68" t="str">
        <f t="shared" si="7"/>
        <v>MARZOQui510</v>
      </c>
      <c r="C68" t="str">
        <f t="shared" ref="C68:C131" si="9">+E68&amp;H68</f>
        <v>MARZOQui1</v>
      </c>
      <c r="D68" s="11">
        <v>46088</v>
      </c>
      <c r="E68" s="17" t="s">
        <v>75</v>
      </c>
      <c r="F68">
        <f t="shared" ref="F68:F131" si="10">+DAY(D68)</f>
        <v>7</v>
      </c>
      <c r="G68" t="str">
        <f t="shared" ref="G68:G131" si="11">+TEXT(D68,"DDDDDD")</f>
        <v>sábado</v>
      </c>
      <c r="H68" t="s">
        <v>48</v>
      </c>
      <c r="I68" t="str">
        <f t="shared" si="8"/>
        <v>Qui5</v>
      </c>
      <c r="J68" t="str">
        <f t="shared" ref="J68:J131" si="12">+MID(I68,4,2)</f>
        <v>5</v>
      </c>
      <c r="K68">
        <f t="shared" ref="K68:K131" si="13">+_xlfn.ISOWEEKNUM(D68)</f>
        <v>10</v>
      </c>
      <c r="L68">
        <v>2026</v>
      </c>
    </row>
    <row r="69" spans="2:12">
      <c r="B69" t="str">
        <f t="shared" si="7"/>
        <v>MARZOQui510</v>
      </c>
      <c r="C69" t="str">
        <f t="shared" si="9"/>
        <v>MARZOQui1</v>
      </c>
      <c r="D69" s="11">
        <v>46089</v>
      </c>
      <c r="E69" s="17" t="s">
        <v>75</v>
      </c>
      <c r="F69">
        <f t="shared" si="10"/>
        <v>8</v>
      </c>
      <c r="G69" t="str">
        <f t="shared" si="11"/>
        <v>domingo</v>
      </c>
      <c r="H69" t="s">
        <v>48</v>
      </c>
      <c r="I69" t="str">
        <f t="shared" si="8"/>
        <v>Qui5</v>
      </c>
      <c r="J69" t="str">
        <f t="shared" si="12"/>
        <v>5</v>
      </c>
      <c r="K69">
        <f t="shared" si="13"/>
        <v>10</v>
      </c>
      <c r="L69">
        <v>2026</v>
      </c>
    </row>
    <row r="70" spans="2:12">
      <c r="B70" t="str">
        <f t="shared" si="7"/>
        <v>MARZOQui611</v>
      </c>
      <c r="C70" t="str">
        <f t="shared" si="9"/>
        <v>MARZOQui1</v>
      </c>
      <c r="D70" s="11">
        <v>46090</v>
      </c>
      <c r="E70" s="17" t="s">
        <v>75</v>
      </c>
      <c r="F70">
        <f t="shared" si="10"/>
        <v>9</v>
      </c>
      <c r="G70" t="str">
        <f t="shared" si="11"/>
        <v>lunes</v>
      </c>
      <c r="H70" t="s">
        <v>48</v>
      </c>
      <c r="I70" t="str">
        <f t="shared" si="8"/>
        <v>Qui6</v>
      </c>
      <c r="J70" t="str">
        <f t="shared" si="12"/>
        <v>6</v>
      </c>
      <c r="K70">
        <f t="shared" si="13"/>
        <v>11</v>
      </c>
      <c r="L70">
        <v>2026</v>
      </c>
    </row>
    <row r="71" spans="2:12">
      <c r="B71" t="str">
        <f t="shared" si="7"/>
        <v>MARZOQui611</v>
      </c>
      <c r="C71" t="str">
        <f t="shared" si="9"/>
        <v>MARZOQui1</v>
      </c>
      <c r="D71" s="11">
        <v>46091</v>
      </c>
      <c r="E71" s="17" t="s">
        <v>75</v>
      </c>
      <c r="F71">
        <f t="shared" si="10"/>
        <v>10</v>
      </c>
      <c r="G71" t="str">
        <f t="shared" si="11"/>
        <v>martes</v>
      </c>
      <c r="H71" t="s">
        <v>48</v>
      </c>
      <c r="I71" t="str">
        <f t="shared" si="8"/>
        <v>Qui6</v>
      </c>
      <c r="J71" t="str">
        <f t="shared" si="12"/>
        <v>6</v>
      </c>
      <c r="K71">
        <f t="shared" si="13"/>
        <v>11</v>
      </c>
      <c r="L71">
        <v>2026</v>
      </c>
    </row>
    <row r="72" spans="2:12">
      <c r="B72" t="str">
        <f t="shared" si="7"/>
        <v>MARZOQui611</v>
      </c>
      <c r="C72" t="str">
        <f t="shared" si="9"/>
        <v>MARZOQui1</v>
      </c>
      <c r="D72" s="11">
        <v>46092</v>
      </c>
      <c r="E72" s="17" t="s">
        <v>75</v>
      </c>
      <c r="F72">
        <f t="shared" si="10"/>
        <v>11</v>
      </c>
      <c r="G72" t="str">
        <f t="shared" si="11"/>
        <v>miércoles</v>
      </c>
      <c r="H72" t="s">
        <v>48</v>
      </c>
      <c r="I72" t="str">
        <f t="shared" si="8"/>
        <v>Qui6</v>
      </c>
      <c r="J72" t="str">
        <f t="shared" si="12"/>
        <v>6</v>
      </c>
      <c r="K72">
        <f t="shared" si="13"/>
        <v>11</v>
      </c>
      <c r="L72">
        <v>2026</v>
      </c>
    </row>
    <row r="73" spans="2:12">
      <c r="B73" t="str">
        <f t="shared" si="7"/>
        <v>MARZOQui611</v>
      </c>
      <c r="C73" t="str">
        <f t="shared" si="9"/>
        <v>MARZOQui1</v>
      </c>
      <c r="D73" s="11">
        <v>46093</v>
      </c>
      <c r="E73" s="17" t="s">
        <v>75</v>
      </c>
      <c r="F73">
        <f t="shared" si="10"/>
        <v>12</v>
      </c>
      <c r="G73" t="str">
        <f t="shared" si="11"/>
        <v>jueves</v>
      </c>
      <c r="H73" t="s">
        <v>48</v>
      </c>
      <c r="I73" t="str">
        <f t="shared" si="8"/>
        <v>Qui6</v>
      </c>
      <c r="J73" t="str">
        <f t="shared" si="12"/>
        <v>6</v>
      </c>
      <c r="K73">
        <f t="shared" si="13"/>
        <v>11</v>
      </c>
      <c r="L73">
        <v>2026</v>
      </c>
    </row>
    <row r="74" spans="2:12">
      <c r="B74" t="str">
        <f t="shared" si="7"/>
        <v>MARZOQui611</v>
      </c>
      <c r="C74" t="str">
        <f t="shared" si="9"/>
        <v>MARZOQui1</v>
      </c>
      <c r="D74" s="11">
        <v>46094</v>
      </c>
      <c r="E74" s="17" t="s">
        <v>75</v>
      </c>
      <c r="F74">
        <f t="shared" si="10"/>
        <v>13</v>
      </c>
      <c r="G74" t="str">
        <f t="shared" si="11"/>
        <v>viernes</v>
      </c>
      <c r="H74" t="s">
        <v>48</v>
      </c>
      <c r="I74" t="str">
        <f t="shared" si="8"/>
        <v>Qui6</v>
      </c>
      <c r="J74" t="str">
        <f t="shared" si="12"/>
        <v>6</v>
      </c>
      <c r="K74">
        <f t="shared" si="13"/>
        <v>11</v>
      </c>
      <c r="L74">
        <v>2026</v>
      </c>
    </row>
    <row r="75" spans="2:12">
      <c r="B75" t="str">
        <f t="shared" si="7"/>
        <v>MARZOQui611</v>
      </c>
      <c r="C75" t="str">
        <f t="shared" si="9"/>
        <v>MARZOQui1</v>
      </c>
      <c r="D75" s="11">
        <v>46095</v>
      </c>
      <c r="E75" s="17" t="s">
        <v>75</v>
      </c>
      <c r="F75">
        <f t="shared" si="10"/>
        <v>14</v>
      </c>
      <c r="G75" t="str">
        <f t="shared" si="11"/>
        <v>sábado</v>
      </c>
      <c r="H75" t="s">
        <v>48</v>
      </c>
      <c r="I75" t="str">
        <f t="shared" si="8"/>
        <v>Qui6</v>
      </c>
      <c r="J75" t="str">
        <f t="shared" si="12"/>
        <v>6</v>
      </c>
      <c r="K75">
        <f t="shared" si="13"/>
        <v>11</v>
      </c>
      <c r="L75">
        <v>2026</v>
      </c>
    </row>
    <row r="76" spans="2:12">
      <c r="B76" t="str">
        <f t="shared" si="7"/>
        <v>MARZOQui611</v>
      </c>
      <c r="C76" t="str">
        <f t="shared" si="9"/>
        <v>MARZOQui1</v>
      </c>
      <c r="D76" s="11">
        <v>46096</v>
      </c>
      <c r="E76" s="17" t="s">
        <v>75</v>
      </c>
      <c r="F76">
        <f t="shared" si="10"/>
        <v>15</v>
      </c>
      <c r="G76" t="str">
        <f t="shared" si="11"/>
        <v>domingo</v>
      </c>
      <c r="H76" t="s">
        <v>48</v>
      </c>
      <c r="I76" t="str">
        <f t="shared" si="8"/>
        <v>Qui6</v>
      </c>
      <c r="J76" t="str">
        <f t="shared" si="12"/>
        <v>6</v>
      </c>
      <c r="K76">
        <f t="shared" si="13"/>
        <v>11</v>
      </c>
      <c r="L76">
        <v>2026</v>
      </c>
    </row>
    <row r="77" spans="2:12">
      <c r="B77" t="str">
        <f t="shared" si="7"/>
        <v>MARZOQui612</v>
      </c>
      <c r="C77" t="str">
        <f t="shared" si="9"/>
        <v>MARZOQui2</v>
      </c>
      <c r="D77" s="11">
        <v>46097</v>
      </c>
      <c r="E77" s="17" t="s">
        <v>75</v>
      </c>
      <c r="F77">
        <f t="shared" si="10"/>
        <v>16</v>
      </c>
      <c r="G77" t="str">
        <f t="shared" si="11"/>
        <v>lunes</v>
      </c>
      <c r="H77" t="s">
        <v>145</v>
      </c>
      <c r="I77" t="str">
        <f t="shared" si="8"/>
        <v>Qui6</v>
      </c>
      <c r="J77" t="str">
        <f t="shared" si="12"/>
        <v>6</v>
      </c>
      <c r="K77">
        <f t="shared" si="13"/>
        <v>12</v>
      </c>
      <c r="L77">
        <v>2026</v>
      </c>
    </row>
    <row r="78" spans="2:12">
      <c r="B78" t="str">
        <f t="shared" si="7"/>
        <v>MARZOQui612</v>
      </c>
      <c r="C78" t="str">
        <f t="shared" si="9"/>
        <v>MARZOQui2</v>
      </c>
      <c r="D78" s="11">
        <v>46098</v>
      </c>
      <c r="E78" s="17" t="s">
        <v>75</v>
      </c>
      <c r="F78">
        <f t="shared" si="10"/>
        <v>17</v>
      </c>
      <c r="G78" t="str">
        <f t="shared" si="11"/>
        <v>martes</v>
      </c>
      <c r="H78" t="s">
        <v>145</v>
      </c>
      <c r="I78" t="str">
        <f t="shared" si="8"/>
        <v>Qui6</v>
      </c>
      <c r="J78" t="str">
        <f t="shared" si="12"/>
        <v>6</v>
      </c>
      <c r="K78">
        <f t="shared" si="13"/>
        <v>12</v>
      </c>
      <c r="L78">
        <v>2026</v>
      </c>
    </row>
    <row r="79" spans="2:12">
      <c r="B79" t="str">
        <f t="shared" si="7"/>
        <v>MARZOQui612</v>
      </c>
      <c r="C79" t="str">
        <f t="shared" si="9"/>
        <v>MARZOQui2</v>
      </c>
      <c r="D79" s="11">
        <v>46099</v>
      </c>
      <c r="E79" s="17" t="s">
        <v>75</v>
      </c>
      <c r="F79">
        <f t="shared" si="10"/>
        <v>18</v>
      </c>
      <c r="G79" t="str">
        <f t="shared" si="11"/>
        <v>miércoles</v>
      </c>
      <c r="H79" t="s">
        <v>145</v>
      </c>
      <c r="I79" t="str">
        <f t="shared" si="8"/>
        <v>Qui6</v>
      </c>
      <c r="J79" t="str">
        <f t="shared" si="12"/>
        <v>6</v>
      </c>
      <c r="K79">
        <f t="shared" si="13"/>
        <v>12</v>
      </c>
      <c r="L79">
        <v>2026</v>
      </c>
    </row>
    <row r="80" spans="2:12">
      <c r="B80" t="str">
        <f t="shared" si="7"/>
        <v>MARZOQui612</v>
      </c>
      <c r="C80" t="str">
        <f t="shared" si="9"/>
        <v>MARZOQui2</v>
      </c>
      <c r="D80" s="11">
        <v>46100</v>
      </c>
      <c r="E80" s="17" t="s">
        <v>75</v>
      </c>
      <c r="F80">
        <f t="shared" si="10"/>
        <v>19</v>
      </c>
      <c r="G80" t="str">
        <f t="shared" si="11"/>
        <v>jueves</v>
      </c>
      <c r="H80" t="s">
        <v>145</v>
      </c>
      <c r="I80" t="str">
        <f t="shared" si="8"/>
        <v>Qui6</v>
      </c>
      <c r="J80" t="str">
        <f t="shared" si="12"/>
        <v>6</v>
      </c>
      <c r="K80">
        <f t="shared" si="13"/>
        <v>12</v>
      </c>
      <c r="L80">
        <v>2026</v>
      </c>
    </row>
    <row r="81" spans="2:12">
      <c r="B81" t="str">
        <f t="shared" si="7"/>
        <v>MARZOQui612</v>
      </c>
      <c r="C81" t="str">
        <f t="shared" si="9"/>
        <v>MARZOQui2</v>
      </c>
      <c r="D81" s="11">
        <v>46101</v>
      </c>
      <c r="E81" s="17" t="s">
        <v>75</v>
      </c>
      <c r="F81">
        <f t="shared" si="10"/>
        <v>20</v>
      </c>
      <c r="G81" t="str">
        <f t="shared" si="11"/>
        <v>viernes</v>
      </c>
      <c r="H81" t="s">
        <v>145</v>
      </c>
      <c r="I81" t="str">
        <f t="shared" si="8"/>
        <v>Qui6</v>
      </c>
      <c r="J81" t="str">
        <f t="shared" si="12"/>
        <v>6</v>
      </c>
      <c r="K81">
        <f t="shared" si="13"/>
        <v>12</v>
      </c>
      <c r="L81">
        <v>2026</v>
      </c>
    </row>
    <row r="82" spans="2:12">
      <c r="B82" t="str">
        <f t="shared" si="7"/>
        <v>MARZOQui612</v>
      </c>
      <c r="C82" t="str">
        <f t="shared" si="9"/>
        <v>MARZOQui2</v>
      </c>
      <c r="D82" s="11">
        <v>46102</v>
      </c>
      <c r="E82" s="17" t="s">
        <v>75</v>
      </c>
      <c r="F82">
        <f t="shared" si="10"/>
        <v>21</v>
      </c>
      <c r="G82" t="str">
        <f t="shared" si="11"/>
        <v>sábado</v>
      </c>
      <c r="H82" t="s">
        <v>145</v>
      </c>
      <c r="I82" t="str">
        <f t="shared" si="8"/>
        <v>Qui6</v>
      </c>
      <c r="J82" t="str">
        <f t="shared" si="12"/>
        <v>6</v>
      </c>
      <c r="K82">
        <f t="shared" si="13"/>
        <v>12</v>
      </c>
      <c r="L82">
        <v>2026</v>
      </c>
    </row>
    <row r="83" spans="2:12">
      <c r="B83" t="str">
        <f t="shared" si="7"/>
        <v>MARZOQui612</v>
      </c>
      <c r="C83" t="str">
        <f t="shared" si="9"/>
        <v>MARZOQui2</v>
      </c>
      <c r="D83" s="11">
        <v>46103</v>
      </c>
      <c r="E83" s="17" t="s">
        <v>75</v>
      </c>
      <c r="F83">
        <f t="shared" si="10"/>
        <v>22</v>
      </c>
      <c r="G83" t="str">
        <f t="shared" si="11"/>
        <v>domingo</v>
      </c>
      <c r="H83" t="s">
        <v>145</v>
      </c>
      <c r="I83" t="str">
        <f t="shared" si="8"/>
        <v>Qui6</v>
      </c>
      <c r="J83" t="str">
        <f t="shared" si="12"/>
        <v>6</v>
      </c>
      <c r="K83">
        <f t="shared" si="13"/>
        <v>12</v>
      </c>
      <c r="L83">
        <v>2026</v>
      </c>
    </row>
    <row r="84" spans="2:12">
      <c r="B84" t="str">
        <f t="shared" si="7"/>
        <v>MARZOQui713</v>
      </c>
      <c r="C84" t="str">
        <f t="shared" si="9"/>
        <v>MARZOQui2</v>
      </c>
      <c r="D84" s="11">
        <v>46104</v>
      </c>
      <c r="E84" s="17" t="s">
        <v>75</v>
      </c>
      <c r="F84">
        <f t="shared" si="10"/>
        <v>23</v>
      </c>
      <c r="G84" t="str">
        <f t="shared" si="11"/>
        <v>lunes</v>
      </c>
      <c r="H84" t="s">
        <v>145</v>
      </c>
      <c r="I84" t="str">
        <f t="shared" si="8"/>
        <v>Qui7</v>
      </c>
      <c r="J84" t="str">
        <f t="shared" si="12"/>
        <v>7</v>
      </c>
      <c r="K84">
        <f t="shared" si="13"/>
        <v>13</v>
      </c>
      <c r="L84">
        <v>2026</v>
      </c>
    </row>
    <row r="85" spans="2:12">
      <c r="B85" t="str">
        <f t="shared" si="7"/>
        <v>MARZOQui713</v>
      </c>
      <c r="C85" t="str">
        <f t="shared" si="9"/>
        <v>MARZOQui2</v>
      </c>
      <c r="D85" s="11">
        <v>46105</v>
      </c>
      <c r="E85" s="17" t="s">
        <v>75</v>
      </c>
      <c r="F85">
        <f t="shared" si="10"/>
        <v>24</v>
      </c>
      <c r="G85" t="str">
        <f t="shared" si="11"/>
        <v>martes</v>
      </c>
      <c r="H85" t="s">
        <v>145</v>
      </c>
      <c r="I85" t="str">
        <f t="shared" si="8"/>
        <v>Qui7</v>
      </c>
      <c r="J85" t="str">
        <f t="shared" si="12"/>
        <v>7</v>
      </c>
      <c r="K85">
        <f t="shared" si="13"/>
        <v>13</v>
      </c>
      <c r="L85">
        <v>2026</v>
      </c>
    </row>
    <row r="86" spans="2:12">
      <c r="B86" t="str">
        <f t="shared" si="7"/>
        <v>MARZOQui713</v>
      </c>
      <c r="C86" t="str">
        <f t="shared" si="9"/>
        <v>MARZOQui2</v>
      </c>
      <c r="D86" s="11">
        <v>46106</v>
      </c>
      <c r="E86" s="17" t="s">
        <v>75</v>
      </c>
      <c r="F86">
        <f t="shared" si="10"/>
        <v>25</v>
      </c>
      <c r="G86" t="str">
        <f t="shared" si="11"/>
        <v>miércoles</v>
      </c>
      <c r="H86" t="s">
        <v>145</v>
      </c>
      <c r="I86" t="str">
        <f t="shared" si="8"/>
        <v>Qui7</v>
      </c>
      <c r="J86" t="str">
        <f t="shared" si="12"/>
        <v>7</v>
      </c>
      <c r="K86">
        <f t="shared" si="13"/>
        <v>13</v>
      </c>
      <c r="L86">
        <v>2026</v>
      </c>
    </row>
    <row r="87" spans="2:12">
      <c r="B87" t="str">
        <f t="shared" si="7"/>
        <v>MARZOQui713</v>
      </c>
      <c r="C87" t="str">
        <f t="shared" si="9"/>
        <v>MARZOQui2</v>
      </c>
      <c r="D87" s="11">
        <v>46107</v>
      </c>
      <c r="E87" s="17" t="s">
        <v>75</v>
      </c>
      <c r="F87">
        <f t="shared" si="10"/>
        <v>26</v>
      </c>
      <c r="G87" t="str">
        <f t="shared" si="11"/>
        <v>jueves</v>
      </c>
      <c r="H87" t="s">
        <v>145</v>
      </c>
      <c r="I87" t="str">
        <f t="shared" si="8"/>
        <v>Qui7</v>
      </c>
      <c r="J87" t="str">
        <f t="shared" si="12"/>
        <v>7</v>
      </c>
      <c r="K87">
        <f t="shared" si="13"/>
        <v>13</v>
      </c>
      <c r="L87">
        <v>2026</v>
      </c>
    </row>
    <row r="88" spans="2:12">
      <c r="B88" t="str">
        <f t="shared" si="7"/>
        <v>MARZOQui713</v>
      </c>
      <c r="C88" t="str">
        <f t="shared" si="9"/>
        <v>MARZOQui2</v>
      </c>
      <c r="D88" s="11">
        <v>46108</v>
      </c>
      <c r="E88" s="17" t="s">
        <v>75</v>
      </c>
      <c r="F88">
        <f t="shared" si="10"/>
        <v>27</v>
      </c>
      <c r="G88" t="str">
        <f t="shared" si="11"/>
        <v>viernes</v>
      </c>
      <c r="H88" t="s">
        <v>145</v>
      </c>
      <c r="I88" t="str">
        <f t="shared" si="8"/>
        <v>Qui7</v>
      </c>
      <c r="J88" t="str">
        <f t="shared" si="12"/>
        <v>7</v>
      </c>
      <c r="K88">
        <f t="shared" si="13"/>
        <v>13</v>
      </c>
      <c r="L88">
        <v>2026</v>
      </c>
    </row>
    <row r="89" spans="2:12">
      <c r="B89" t="str">
        <f t="shared" si="7"/>
        <v>MARZOQui713</v>
      </c>
      <c r="C89" t="str">
        <f t="shared" si="9"/>
        <v>MARZOQui2</v>
      </c>
      <c r="D89" s="11">
        <v>46109</v>
      </c>
      <c r="E89" s="17" t="s">
        <v>75</v>
      </c>
      <c r="F89">
        <f t="shared" si="10"/>
        <v>28</v>
      </c>
      <c r="G89" t="str">
        <f t="shared" si="11"/>
        <v>sábado</v>
      </c>
      <c r="H89" t="s">
        <v>145</v>
      </c>
      <c r="I89" t="str">
        <f t="shared" si="8"/>
        <v>Qui7</v>
      </c>
      <c r="J89" t="str">
        <f t="shared" si="12"/>
        <v>7</v>
      </c>
      <c r="K89">
        <f t="shared" si="13"/>
        <v>13</v>
      </c>
      <c r="L89">
        <v>2026</v>
      </c>
    </row>
    <row r="90" spans="2:12">
      <c r="B90" t="str">
        <f t="shared" si="7"/>
        <v>MARZOQui713</v>
      </c>
      <c r="C90" t="str">
        <f t="shared" si="9"/>
        <v>MARZOQui2</v>
      </c>
      <c r="D90" s="11">
        <v>46110</v>
      </c>
      <c r="E90" s="17" t="s">
        <v>75</v>
      </c>
      <c r="F90">
        <f t="shared" si="10"/>
        <v>29</v>
      </c>
      <c r="G90" t="str">
        <f t="shared" si="11"/>
        <v>domingo</v>
      </c>
      <c r="H90" t="s">
        <v>145</v>
      </c>
      <c r="I90" t="str">
        <f t="shared" si="8"/>
        <v>Qui7</v>
      </c>
      <c r="J90" t="str">
        <f t="shared" si="12"/>
        <v>7</v>
      </c>
      <c r="K90">
        <f t="shared" si="13"/>
        <v>13</v>
      </c>
      <c r="L90">
        <v>2026</v>
      </c>
    </row>
    <row r="91" spans="2:12">
      <c r="B91" t="str">
        <f t="shared" si="7"/>
        <v>MARZOQui714</v>
      </c>
      <c r="C91" t="str">
        <f t="shared" si="9"/>
        <v>MARZOQui2</v>
      </c>
      <c r="D91" s="11">
        <v>46111</v>
      </c>
      <c r="E91" s="17" t="s">
        <v>75</v>
      </c>
      <c r="F91">
        <f t="shared" si="10"/>
        <v>30</v>
      </c>
      <c r="G91" t="str">
        <f t="shared" si="11"/>
        <v>lunes</v>
      </c>
      <c r="H91" t="s">
        <v>145</v>
      </c>
      <c r="I91" t="str">
        <f t="shared" si="8"/>
        <v>Qui7</v>
      </c>
      <c r="J91" t="str">
        <f t="shared" si="12"/>
        <v>7</v>
      </c>
      <c r="K91">
        <f t="shared" si="13"/>
        <v>14</v>
      </c>
      <c r="L91">
        <v>2026</v>
      </c>
    </row>
    <row r="92" spans="2:12">
      <c r="B92" t="str">
        <f t="shared" si="7"/>
        <v>MARZOQui714</v>
      </c>
      <c r="C92" t="str">
        <f t="shared" si="9"/>
        <v>MARZOQui2</v>
      </c>
      <c r="D92" s="11">
        <v>46112</v>
      </c>
      <c r="E92" s="18" t="s">
        <v>75</v>
      </c>
      <c r="F92" s="5">
        <f t="shared" si="10"/>
        <v>31</v>
      </c>
      <c r="G92" s="5" t="str">
        <f t="shared" si="11"/>
        <v>martes</v>
      </c>
      <c r="H92" s="5" t="s">
        <v>145</v>
      </c>
      <c r="I92" s="5" t="str">
        <f t="shared" si="8"/>
        <v>Qui7</v>
      </c>
      <c r="J92" s="5" t="str">
        <f t="shared" si="12"/>
        <v>7</v>
      </c>
      <c r="K92" s="5">
        <f t="shared" si="13"/>
        <v>14</v>
      </c>
      <c r="L92" s="5">
        <v>2026</v>
      </c>
    </row>
    <row r="93" spans="2:12">
      <c r="B93" t="str">
        <f t="shared" si="7"/>
        <v>ABRILQui714</v>
      </c>
      <c r="C93" t="str">
        <f t="shared" si="9"/>
        <v>ABRILQui1</v>
      </c>
      <c r="D93" s="11">
        <v>46113</v>
      </c>
      <c r="E93" s="15" t="s">
        <v>76</v>
      </c>
      <c r="F93" s="16">
        <f t="shared" si="10"/>
        <v>1</v>
      </c>
      <c r="G93" s="16" t="str">
        <f t="shared" si="11"/>
        <v>miércoles</v>
      </c>
      <c r="H93" s="16" t="s">
        <v>48</v>
      </c>
      <c r="I93" s="16" t="str">
        <f t="shared" si="8"/>
        <v>Qui7</v>
      </c>
      <c r="J93" s="16" t="str">
        <f t="shared" si="12"/>
        <v>7</v>
      </c>
      <c r="K93" s="16">
        <f t="shared" si="13"/>
        <v>14</v>
      </c>
      <c r="L93" s="16">
        <v>2026</v>
      </c>
    </row>
    <row r="94" spans="2:12">
      <c r="B94" t="str">
        <f t="shared" si="7"/>
        <v>ABRILQui714</v>
      </c>
      <c r="C94" t="str">
        <f t="shared" si="9"/>
        <v>ABRILQui1</v>
      </c>
      <c r="D94" s="11">
        <v>46114</v>
      </c>
      <c r="E94" s="17" t="s">
        <v>76</v>
      </c>
      <c r="F94">
        <f t="shared" si="10"/>
        <v>2</v>
      </c>
      <c r="G94" t="str">
        <f t="shared" si="11"/>
        <v>jueves</v>
      </c>
      <c r="H94" t="s">
        <v>48</v>
      </c>
      <c r="I94" t="str">
        <f t="shared" si="8"/>
        <v>Qui7</v>
      </c>
      <c r="J94" t="str">
        <f t="shared" si="12"/>
        <v>7</v>
      </c>
      <c r="K94">
        <f t="shared" si="13"/>
        <v>14</v>
      </c>
      <c r="L94">
        <v>2026</v>
      </c>
    </row>
    <row r="95" spans="2:12">
      <c r="B95" t="str">
        <f t="shared" si="7"/>
        <v>ABRILQui714</v>
      </c>
      <c r="C95" t="str">
        <f t="shared" si="9"/>
        <v>ABRILQui1</v>
      </c>
      <c r="D95" s="11">
        <v>46115</v>
      </c>
      <c r="E95" s="17" t="s">
        <v>76</v>
      </c>
      <c r="F95">
        <f t="shared" si="10"/>
        <v>3</v>
      </c>
      <c r="G95" t="str">
        <f t="shared" si="11"/>
        <v>viernes</v>
      </c>
      <c r="H95" t="s">
        <v>48</v>
      </c>
      <c r="I95" t="str">
        <f t="shared" si="8"/>
        <v>Qui7</v>
      </c>
      <c r="J95" t="str">
        <f t="shared" si="12"/>
        <v>7</v>
      </c>
      <c r="K95">
        <f t="shared" si="13"/>
        <v>14</v>
      </c>
      <c r="L95">
        <v>2026</v>
      </c>
    </row>
    <row r="96" spans="2:12">
      <c r="B96" t="str">
        <f t="shared" si="7"/>
        <v>ABRILQui714</v>
      </c>
      <c r="C96" t="str">
        <f t="shared" si="9"/>
        <v>ABRILQui1</v>
      </c>
      <c r="D96" s="11">
        <v>46116</v>
      </c>
      <c r="E96" s="17" t="s">
        <v>76</v>
      </c>
      <c r="F96">
        <f t="shared" si="10"/>
        <v>4</v>
      </c>
      <c r="G96" t="str">
        <f t="shared" si="11"/>
        <v>sábado</v>
      </c>
      <c r="H96" t="s">
        <v>48</v>
      </c>
      <c r="I96" t="str">
        <f t="shared" si="8"/>
        <v>Qui7</v>
      </c>
      <c r="J96" t="str">
        <f t="shared" si="12"/>
        <v>7</v>
      </c>
      <c r="K96">
        <f t="shared" si="13"/>
        <v>14</v>
      </c>
      <c r="L96">
        <v>2026</v>
      </c>
    </row>
    <row r="97" spans="2:12">
      <c r="B97" t="str">
        <f t="shared" si="7"/>
        <v>ABRILQui714</v>
      </c>
      <c r="C97" t="str">
        <f t="shared" si="9"/>
        <v>ABRILQui1</v>
      </c>
      <c r="D97" s="11">
        <v>46117</v>
      </c>
      <c r="E97" s="17" t="s">
        <v>76</v>
      </c>
      <c r="F97">
        <f t="shared" si="10"/>
        <v>5</v>
      </c>
      <c r="G97" t="str">
        <f t="shared" si="11"/>
        <v>domingo</v>
      </c>
      <c r="H97" t="s">
        <v>48</v>
      </c>
      <c r="I97" t="str">
        <f t="shared" si="8"/>
        <v>Qui7</v>
      </c>
      <c r="J97" t="str">
        <f t="shared" si="12"/>
        <v>7</v>
      </c>
      <c r="K97">
        <f t="shared" si="13"/>
        <v>14</v>
      </c>
      <c r="L97">
        <v>2026</v>
      </c>
    </row>
    <row r="98" spans="2:12">
      <c r="B98" t="str">
        <f t="shared" si="7"/>
        <v>ABRILQui815</v>
      </c>
      <c r="C98" t="str">
        <f t="shared" si="9"/>
        <v>ABRILQui1</v>
      </c>
      <c r="D98" s="11">
        <v>46118</v>
      </c>
      <c r="E98" s="17" t="s">
        <v>76</v>
      </c>
      <c r="F98">
        <f t="shared" si="10"/>
        <v>6</v>
      </c>
      <c r="G98" t="str">
        <f t="shared" si="11"/>
        <v>lunes</v>
      </c>
      <c r="H98" t="s">
        <v>48</v>
      </c>
      <c r="I98" t="str">
        <f t="shared" si="8"/>
        <v>Qui8</v>
      </c>
      <c r="J98" t="str">
        <f t="shared" si="12"/>
        <v>8</v>
      </c>
      <c r="K98">
        <f t="shared" si="13"/>
        <v>15</v>
      </c>
      <c r="L98">
        <v>2026</v>
      </c>
    </row>
    <row r="99" spans="2:12">
      <c r="B99" t="str">
        <f t="shared" si="7"/>
        <v>ABRILQui815</v>
      </c>
      <c r="C99" t="str">
        <f t="shared" si="9"/>
        <v>ABRILQui1</v>
      </c>
      <c r="D99" s="11">
        <v>46119</v>
      </c>
      <c r="E99" s="17" t="s">
        <v>76</v>
      </c>
      <c r="F99">
        <f t="shared" si="10"/>
        <v>7</v>
      </c>
      <c r="G99" t="str">
        <f t="shared" si="11"/>
        <v>martes</v>
      </c>
      <c r="H99" t="s">
        <v>48</v>
      </c>
      <c r="I99" t="str">
        <f t="shared" si="8"/>
        <v>Qui8</v>
      </c>
      <c r="J99" t="str">
        <f t="shared" si="12"/>
        <v>8</v>
      </c>
      <c r="K99">
        <f t="shared" si="13"/>
        <v>15</v>
      </c>
      <c r="L99">
        <v>2026</v>
      </c>
    </row>
    <row r="100" spans="2:12">
      <c r="B100" t="str">
        <f t="shared" si="7"/>
        <v>ABRILQui815</v>
      </c>
      <c r="C100" t="str">
        <f t="shared" si="9"/>
        <v>ABRILQui1</v>
      </c>
      <c r="D100" s="11">
        <v>46120</v>
      </c>
      <c r="E100" s="17" t="s">
        <v>76</v>
      </c>
      <c r="F100">
        <f t="shared" si="10"/>
        <v>8</v>
      </c>
      <c r="G100" t="str">
        <f t="shared" si="11"/>
        <v>miércoles</v>
      </c>
      <c r="H100" t="s">
        <v>48</v>
      </c>
      <c r="I100" t="str">
        <f t="shared" si="8"/>
        <v>Qui8</v>
      </c>
      <c r="J100" t="str">
        <f t="shared" si="12"/>
        <v>8</v>
      </c>
      <c r="K100">
        <f t="shared" si="13"/>
        <v>15</v>
      </c>
      <c r="L100">
        <v>2026</v>
      </c>
    </row>
    <row r="101" spans="2:12">
      <c r="B101" t="str">
        <f t="shared" si="7"/>
        <v>ABRILQui815</v>
      </c>
      <c r="C101" t="str">
        <f t="shared" si="9"/>
        <v>ABRILQui1</v>
      </c>
      <c r="D101" s="11">
        <v>46121</v>
      </c>
      <c r="E101" s="17" t="s">
        <v>76</v>
      </c>
      <c r="F101">
        <f t="shared" si="10"/>
        <v>9</v>
      </c>
      <c r="G101" t="str">
        <f t="shared" si="11"/>
        <v>jueves</v>
      </c>
      <c r="H101" t="s">
        <v>48</v>
      </c>
      <c r="I101" t="str">
        <f t="shared" si="8"/>
        <v>Qui8</v>
      </c>
      <c r="J101" t="str">
        <f t="shared" si="12"/>
        <v>8</v>
      </c>
      <c r="K101">
        <f t="shared" si="13"/>
        <v>15</v>
      </c>
      <c r="L101">
        <v>2026</v>
      </c>
    </row>
    <row r="102" spans="2:12">
      <c r="B102" t="str">
        <f t="shared" si="7"/>
        <v>ABRILQui815</v>
      </c>
      <c r="C102" t="str">
        <f t="shared" si="9"/>
        <v>ABRILQui1</v>
      </c>
      <c r="D102" s="11">
        <v>46122</v>
      </c>
      <c r="E102" s="17" t="s">
        <v>76</v>
      </c>
      <c r="F102">
        <f t="shared" si="10"/>
        <v>10</v>
      </c>
      <c r="G102" t="str">
        <f t="shared" si="11"/>
        <v>viernes</v>
      </c>
      <c r="H102" t="s">
        <v>48</v>
      </c>
      <c r="I102" t="str">
        <f t="shared" si="8"/>
        <v>Qui8</v>
      </c>
      <c r="J102" t="str">
        <f t="shared" si="12"/>
        <v>8</v>
      </c>
      <c r="K102">
        <f t="shared" si="13"/>
        <v>15</v>
      </c>
      <c r="L102">
        <v>2026</v>
      </c>
    </row>
    <row r="103" spans="2:12">
      <c r="B103" t="str">
        <f t="shared" si="7"/>
        <v>ABRILQui815</v>
      </c>
      <c r="C103" t="str">
        <f t="shared" si="9"/>
        <v>ABRILQui1</v>
      </c>
      <c r="D103" s="11">
        <v>46123</v>
      </c>
      <c r="E103" s="17" t="s">
        <v>76</v>
      </c>
      <c r="F103">
        <f t="shared" si="10"/>
        <v>11</v>
      </c>
      <c r="G103" t="str">
        <f t="shared" si="11"/>
        <v>sábado</v>
      </c>
      <c r="H103" t="s">
        <v>48</v>
      </c>
      <c r="I103" t="str">
        <f t="shared" si="8"/>
        <v>Qui8</v>
      </c>
      <c r="J103" t="str">
        <f t="shared" si="12"/>
        <v>8</v>
      </c>
      <c r="K103">
        <f t="shared" si="13"/>
        <v>15</v>
      </c>
      <c r="L103">
        <v>2026</v>
      </c>
    </row>
    <row r="104" spans="2:12">
      <c r="B104" t="str">
        <f t="shared" si="7"/>
        <v>ABRILQui815</v>
      </c>
      <c r="C104" t="str">
        <f t="shared" si="9"/>
        <v>ABRILQui1</v>
      </c>
      <c r="D104" s="11">
        <v>46124</v>
      </c>
      <c r="E104" s="17" t="s">
        <v>76</v>
      </c>
      <c r="F104">
        <f t="shared" si="10"/>
        <v>12</v>
      </c>
      <c r="G104" t="str">
        <f t="shared" si="11"/>
        <v>domingo</v>
      </c>
      <c r="H104" t="s">
        <v>48</v>
      </c>
      <c r="I104" t="str">
        <f t="shared" si="8"/>
        <v>Qui8</v>
      </c>
      <c r="J104" t="str">
        <f t="shared" si="12"/>
        <v>8</v>
      </c>
      <c r="K104">
        <f t="shared" si="13"/>
        <v>15</v>
      </c>
      <c r="L104">
        <v>2026</v>
      </c>
    </row>
    <row r="105" spans="2:12">
      <c r="B105" t="str">
        <f t="shared" si="7"/>
        <v>ABRILQui816</v>
      </c>
      <c r="C105" t="str">
        <f t="shared" si="9"/>
        <v>ABRILQui1</v>
      </c>
      <c r="D105" s="11">
        <v>46125</v>
      </c>
      <c r="E105" s="17" t="s">
        <v>76</v>
      </c>
      <c r="F105">
        <f t="shared" si="10"/>
        <v>13</v>
      </c>
      <c r="G105" t="str">
        <f t="shared" si="11"/>
        <v>lunes</v>
      </c>
      <c r="H105" t="s">
        <v>48</v>
      </c>
      <c r="I105" t="str">
        <f t="shared" si="8"/>
        <v>Qui8</v>
      </c>
      <c r="J105" t="str">
        <f t="shared" si="12"/>
        <v>8</v>
      </c>
      <c r="K105">
        <f t="shared" si="13"/>
        <v>16</v>
      </c>
      <c r="L105">
        <v>2026</v>
      </c>
    </row>
    <row r="106" spans="2:12">
      <c r="B106" t="str">
        <f t="shared" si="7"/>
        <v>ABRILQui816</v>
      </c>
      <c r="C106" t="str">
        <f t="shared" si="9"/>
        <v>ABRILQui1</v>
      </c>
      <c r="D106" s="11">
        <v>46126</v>
      </c>
      <c r="E106" s="17" t="s">
        <v>76</v>
      </c>
      <c r="F106">
        <f t="shared" si="10"/>
        <v>14</v>
      </c>
      <c r="G106" t="str">
        <f t="shared" si="11"/>
        <v>martes</v>
      </c>
      <c r="H106" t="s">
        <v>48</v>
      </c>
      <c r="I106" t="str">
        <f t="shared" si="8"/>
        <v>Qui8</v>
      </c>
      <c r="J106" t="str">
        <f t="shared" si="12"/>
        <v>8</v>
      </c>
      <c r="K106">
        <f t="shared" si="13"/>
        <v>16</v>
      </c>
      <c r="L106">
        <v>2026</v>
      </c>
    </row>
    <row r="107" spans="2:12">
      <c r="B107" t="str">
        <f t="shared" si="7"/>
        <v>ABRILQui816</v>
      </c>
      <c r="C107" t="str">
        <f t="shared" si="9"/>
        <v>ABRILQui1</v>
      </c>
      <c r="D107" s="11">
        <v>46127</v>
      </c>
      <c r="E107" s="17" t="s">
        <v>76</v>
      </c>
      <c r="F107">
        <f t="shared" si="10"/>
        <v>15</v>
      </c>
      <c r="G107" t="str">
        <f t="shared" si="11"/>
        <v>miércoles</v>
      </c>
      <c r="H107" t="s">
        <v>48</v>
      </c>
      <c r="I107" t="str">
        <f t="shared" si="8"/>
        <v>Qui8</v>
      </c>
      <c r="J107" t="str">
        <f t="shared" si="12"/>
        <v>8</v>
      </c>
      <c r="K107">
        <f t="shared" si="13"/>
        <v>16</v>
      </c>
      <c r="L107">
        <v>2026</v>
      </c>
    </row>
    <row r="108" spans="2:12">
      <c r="B108" t="str">
        <f t="shared" si="7"/>
        <v>ABRILQui816</v>
      </c>
      <c r="C108" t="str">
        <f t="shared" si="9"/>
        <v>ABRILQui2</v>
      </c>
      <c r="D108" s="11">
        <v>46128</v>
      </c>
      <c r="E108" s="17" t="s">
        <v>76</v>
      </c>
      <c r="F108">
        <f t="shared" si="10"/>
        <v>16</v>
      </c>
      <c r="G108" t="str">
        <f t="shared" si="11"/>
        <v>jueves</v>
      </c>
      <c r="H108" t="s">
        <v>145</v>
      </c>
      <c r="I108" t="str">
        <f t="shared" si="8"/>
        <v>Qui8</v>
      </c>
      <c r="J108" t="str">
        <f t="shared" si="12"/>
        <v>8</v>
      </c>
      <c r="K108">
        <f t="shared" si="13"/>
        <v>16</v>
      </c>
      <c r="L108">
        <v>2026</v>
      </c>
    </row>
    <row r="109" spans="2:12">
      <c r="B109" t="str">
        <f t="shared" si="7"/>
        <v>ABRILQui816</v>
      </c>
      <c r="C109" t="str">
        <f t="shared" si="9"/>
        <v>ABRILQui2</v>
      </c>
      <c r="D109" s="11">
        <v>46129</v>
      </c>
      <c r="E109" s="17" t="s">
        <v>76</v>
      </c>
      <c r="F109">
        <f t="shared" si="10"/>
        <v>17</v>
      </c>
      <c r="G109" t="str">
        <f t="shared" si="11"/>
        <v>viernes</v>
      </c>
      <c r="H109" t="s">
        <v>145</v>
      </c>
      <c r="I109" t="str">
        <f t="shared" si="8"/>
        <v>Qui8</v>
      </c>
      <c r="J109" t="str">
        <f t="shared" si="12"/>
        <v>8</v>
      </c>
      <c r="K109">
        <f t="shared" si="13"/>
        <v>16</v>
      </c>
      <c r="L109">
        <v>2026</v>
      </c>
    </row>
    <row r="110" spans="2:12">
      <c r="B110" t="str">
        <f t="shared" si="7"/>
        <v>ABRILQui816</v>
      </c>
      <c r="C110" t="str">
        <f t="shared" si="9"/>
        <v>ABRILQui2</v>
      </c>
      <c r="D110" s="11">
        <v>46130</v>
      </c>
      <c r="E110" s="17" t="s">
        <v>76</v>
      </c>
      <c r="F110">
        <f t="shared" si="10"/>
        <v>18</v>
      </c>
      <c r="G110" t="str">
        <f t="shared" si="11"/>
        <v>sábado</v>
      </c>
      <c r="H110" t="s">
        <v>145</v>
      </c>
      <c r="I110" t="str">
        <f t="shared" si="8"/>
        <v>Qui8</v>
      </c>
      <c r="J110" t="str">
        <f t="shared" si="12"/>
        <v>8</v>
      </c>
      <c r="K110">
        <f t="shared" si="13"/>
        <v>16</v>
      </c>
      <c r="L110">
        <v>2026</v>
      </c>
    </row>
    <row r="111" spans="2:12">
      <c r="B111" t="str">
        <f t="shared" si="7"/>
        <v>ABRILQui816</v>
      </c>
      <c r="C111" t="str">
        <f t="shared" si="9"/>
        <v>ABRILQui2</v>
      </c>
      <c r="D111" s="11">
        <v>46131</v>
      </c>
      <c r="E111" s="17" t="s">
        <v>76</v>
      </c>
      <c r="F111">
        <f t="shared" si="10"/>
        <v>19</v>
      </c>
      <c r="G111" t="str">
        <f t="shared" si="11"/>
        <v>domingo</v>
      </c>
      <c r="H111" t="s">
        <v>145</v>
      </c>
      <c r="I111" t="str">
        <f t="shared" si="8"/>
        <v>Qui8</v>
      </c>
      <c r="J111" t="str">
        <f t="shared" si="12"/>
        <v>8</v>
      </c>
      <c r="K111">
        <f t="shared" si="13"/>
        <v>16</v>
      </c>
      <c r="L111">
        <v>2026</v>
      </c>
    </row>
    <row r="112" spans="2:12">
      <c r="B112" t="str">
        <f t="shared" si="7"/>
        <v>ABRILQui917</v>
      </c>
      <c r="C112" t="str">
        <f t="shared" si="9"/>
        <v>ABRILQui2</v>
      </c>
      <c r="D112" s="11">
        <v>46132</v>
      </c>
      <c r="E112" s="17" t="s">
        <v>76</v>
      </c>
      <c r="F112">
        <f t="shared" si="10"/>
        <v>20</v>
      </c>
      <c r="G112" t="str">
        <f t="shared" si="11"/>
        <v>lunes</v>
      </c>
      <c r="H112" t="s">
        <v>145</v>
      </c>
      <c r="I112" t="str">
        <f t="shared" si="8"/>
        <v>Qui9</v>
      </c>
      <c r="J112" t="str">
        <f t="shared" si="12"/>
        <v>9</v>
      </c>
      <c r="K112">
        <f t="shared" si="13"/>
        <v>17</v>
      </c>
      <c r="L112">
        <v>2026</v>
      </c>
    </row>
    <row r="113" spans="2:12">
      <c r="B113" t="str">
        <f t="shared" si="7"/>
        <v>ABRILQui917</v>
      </c>
      <c r="C113" t="str">
        <f t="shared" si="9"/>
        <v>ABRILQui2</v>
      </c>
      <c r="D113" s="11">
        <v>46133</v>
      </c>
      <c r="E113" s="17" t="s">
        <v>76</v>
      </c>
      <c r="F113">
        <f t="shared" si="10"/>
        <v>21</v>
      </c>
      <c r="G113" t="str">
        <f t="shared" si="11"/>
        <v>martes</v>
      </c>
      <c r="H113" t="s">
        <v>145</v>
      </c>
      <c r="I113" t="str">
        <f t="shared" si="8"/>
        <v>Qui9</v>
      </c>
      <c r="J113" t="str">
        <f t="shared" si="12"/>
        <v>9</v>
      </c>
      <c r="K113">
        <f t="shared" si="13"/>
        <v>17</v>
      </c>
      <c r="L113">
        <v>2026</v>
      </c>
    </row>
    <row r="114" spans="2:12">
      <c r="B114" t="str">
        <f t="shared" si="7"/>
        <v>ABRILQui917</v>
      </c>
      <c r="C114" t="str">
        <f t="shared" si="9"/>
        <v>ABRILQui2</v>
      </c>
      <c r="D114" s="11">
        <v>46134</v>
      </c>
      <c r="E114" s="17" t="s">
        <v>76</v>
      </c>
      <c r="F114">
        <f t="shared" si="10"/>
        <v>22</v>
      </c>
      <c r="G114" t="str">
        <f t="shared" si="11"/>
        <v>miércoles</v>
      </c>
      <c r="H114" t="s">
        <v>145</v>
      </c>
      <c r="I114" t="str">
        <f t="shared" si="8"/>
        <v>Qui9</v>
      </c>
      <c r="J114" t="str">
        <f t="shared" si="12"/>
        <v>9</v>
      </c>
      <c r="K114">
        <f t="shared" si="13"/>
        <v>17</v>
      </c>
      <c r="L114">
        <v>2026</v>
      </c>
    </row>
    <row r="115" spans="2:12">
      <c r="B115" t="str">
        <f t="shared" si="7"/>
        <v>ABRILQui917</v>
      </c>
      <c r="C115" t="str">
        <f t="shared" si="9"/>
        <v>ABRILQui2</v>
      </c>
      <c r="D115" s="11">
        <v>46135</v>
      </c>
      <c r="E115" s="17" t="s">
        <v>76</v>
      </c>
      <c r="F115">
        <f t="shared" si="10"/>
        <v>23</v>
      </c>
      <c r="G115" t="str">
        <f t="shared" si="11"/>
        <v>jueves</v>
      </c>
      <c r="H115" t="s">
        <v>145</v>
      </c>
      <c r="I115" t="str">
        <f t="shared" si="8"/>
        <v>Qui9</v>
      </c>
      <c r="J115" t="str">
        <f t="shared" si="12"/>
        <v>9</v>
      </c>
      <c r="K115">
        <f t="shared" si="13"/>
        <v>17</v>
      </c>
      <c r="L115">
        <v>2026</v>
      </c>
    </row>
    <row r="116" spans="2:12">
      <c r="B116" t="str">
        <f t="shared" si="7"/>
        <v>ABRILQui917</v>
      </c>
      <c r="C116" t="str">
        <f t="shared" si="9"/>
        <v>ABRILQui2</v>
      </c>
      <c r="D116" s="11">
        <v>46136</v>
      </c>
      <c r="E116" s="17" t="s">
        <v>76</v>
      </c>
      <c r="F116">
        <f t="shared" si="10"/>
        <v>24</v>
      </c>
      <c r="G116" t="str">
        <f t="shared" si="11"/>
        <v>viernes</v>
      </c>
      <c r="H116" t="s">
        <v>145</v>
      </c>
      <c r="I116" t="str">
        <f t="shared" si="8"/>
        <v>Qui9</v>
      </c>
      <c r="J116" t="str">
        <f t="shared" si="12"/>
        <v>9</v>
      </c>
      <c r="K116">
        <f t="shared" si="13"/>
        <v>17</v>
      </c>
      <c r="L116">
        <v>2026</v>
      </c>
    </row>
    <row r="117" spans="2:12">
      <c r="B117" t="str">
        <f t="shared" si="7"/>
        <v>ABRILQui917</v>
      </c>
      <c r="C117" t="str">
        <f t="shared" si="9"/>
        <v>ABRILQui2</v>
      </c>
      <c r="D117" s="11">
        <v>46137</v>
      </c>
      <c r="E117" s="17" t="s">
        <v>76</v>
      </c>
      <c r="F117">
        <f t="shared" si="10"/>
        <v>25</v>
      </c>
      <c r="G117" t="str">
        <f t="shared" si="11"/>
        <v>sábado</v>
      </c>
      <c r="H117" t="s">
        <v>145</v>
      </c>
      <c r="I117" t="str">
        <f t="shared" si="8"/>
        <v>Qui9</v>
      </c>
      <c r="J117" t="str">
        <f t="shared" si="12"/>
        <v>9</v>
      </c>
      <c r="K117">
        <f t="shared" si="13"/>
        <v>17</v>
      </c>
      <c r="L117">
        <v>2026</v>
      </c>
    </row>
    <row r="118" spans="2:12">
      <c r="B118" t="str">
        <f t="shared" si="7"/>
        <v>ABRILQui917</v>
      </c>
      <c r="C118" t="str">
        <f t="shared" si="9"/>
        <v>ABRILQui2</v>
      </c>
      <c r="D118" s="11">
        <v>46138</v>
      </c>
      <c r="E118" s="17" t="s">
        <v>76</v>
      </c>
      <c r="F118">
        <f t="shared" si="10"/>
        <v>26</v>
      </c>
      <c r="G118" t="str">
        <f t="shared" si="11"/>
        <v>domingo</v>
      </c>
      <c r="H118" t="s">
        <v>145</v>
      </c>
      <c r="I118" t="str">
        <f t="shared" si="8"/>
        <v>Qui9</v>
      </c>
      <c r="J118" t="str">
        <f t="shared" si="12"/>
        <v>9</v>
      </c>
      <c r="K118">
        <f t="shared" si="13"/>
        <v>17</v>
      </c>
      <c r="L118">
        <v>2026</v>
      </c>
    </row>
    <row r="119" spans="2:12">
      <c r="B119" t="str">
        <f t="shared" si="7"/>
        <v>ABRILQui918</v>
      </c>
      <c r="C119" t="str">
        <f t="shared" si="9"/>
        <v>ABRILQui2</v>
      </c>
      <c r="D119" s="11">
        <v>46139</v>
      </c>
      <c r="E119" s="17" t="s">
        <v>76</v>
      </c>
      <c r="F119">
        <f t="shared" si="10"/>
        <v>27</v>
      </c>
      <c r="G119" t="str">
        <f t="shared" si="11"/>
        <v>lunes</v>
      </c>
      <c r="H119" t="s">
        <v>145</v>
      </c>
      <c r="I119" t="str">
        <f t="shared" si="8"/>
        <v>Qui9</v>
      </c>
      <c r="J119" t="str">
        <f t="shared" si="12"/>
        <v>9</v>
      </c>
      <c r="K119">
        <f t="shared" si="13"/>
        <v>18</v>
      </c>
      <c r="L119">
        <v>2026</v>
      </c>
    </row>
    <row r="120" spans="2:12">
      <c r="B120" t="str">
        <f t="shared" si="7"/>
        <v>ABRILQui918</v>
      </c>
      <c r="C120" t="str">
        <f t="shared" si="9"/>
        <v>ABRILQui2</v>
      </c>
      <c r="D120" s="11">
        <v>46140</v>
      </c>
      <c r="E120" s="17" t="s">
        <v>76</v>
      </c>
      <c r="F120">
        <f t="shared" si="10"/>
        <v>28</v>
      </c>
      <c r="G120" t="str">
        <f t="shared" si="11"/>
        <v>martes</v>
      </c>
      <c r="H120" t="s">
        <v>145</v>
      </c>
      <c r="I120" t="str">
        <f t="shared" si="8"/>
        <v>Qui9</v>
      </c>
      <c r="J120" t="str">
        <f t="shared" si="12"/>
        <v>9</v>
      </c>
      <c r="K120">
        <f t="shared" si="13"/>
        <v>18</v>
      </c>
      <c r="L120">
        <v>2026</v>
      </c>
    </row>
    <row r="121" spans="2:12">
      <c r="B121" t="str">
        <f t="shared" si="7"/>
        <v>ABRILQui918</v>
      </c>
      <c r="C121" t="str">
        <f t="shared" si="9"/>
        <v>ABRILQui2</v>
      </c>
      <c r="D121" s="11">
        <v>46141</v>
      </c>
      <c r="E121" s="17" t="s">
        <v>76</v>
      </c>
      <c r="F121">
        <f t="shared" si="10"/>
        <v>29</v>
      </c>
      <c r="G121" t="str">
        <f t="shared" si="11"/>
        <v>miércoles</v>
      </c>
      <c r="H121" t="s">
        <v>145</v>
      </c>
      <c r="I121" t="str">
        <f t="shared" si="8"/>
        <v>Qui9</v>
      </c>
      <c r="J121" t="str">
        <f t="shared" si="12"/>
        <v>9</v>
      </c>
      <c r="K121">
        <f t="shared" si="13"/>
        <v>18</v>
      </c>
      <c r="L121">
        <v>2026</v>
      </c>
    </row>
    <row r="122" spans="2:12">
      <c r="B122" t="str">
        <f t="shared" si="7"/>
        <v>ABRILQui918</v>
      </c>
      <c r="C122" t="str">
        <f t="shared" si="9"/>
        <v>ABRILQui2</v>
      </c>
      <c r="D122" s="11">
        <v>46142</v>
      </c>
      <c r="E122" s="18" t="s">
        <v>76</v>
      </c>
      <c r="F122" s="5">
        <f t="shared" si="10"/>
        <v>30</v>
      </c>
      <c r="G122" s="5" t="str">
        <f t="shared" si="11"/>
        <v>jueves</v>
      </c>
      <c r="H122" s="5" t="s">
        <v>145</v>
      </c>
      <c r="I122" s="5" t="str">
        <f t="shared" si="8"/>
        <v>Qui9</v>
      </c>
      <c r="J122" s="5" t="str">
        <f t="shared" si="12"/>
        <v>9</v>
      </c>
      <c r="K122" s="5">
        <f t="shared" si="13"/>
        <v>18</v>
      </c>
      <c r="L122" s="5">
        <v>2026</v>
      </c>
    </row>
    <row r="123" spans="2:12">
      <c r="B123" t="str">
        <f t="shared" si="7"/>
        <v>MAYOQui918</v>
      </c>
      <c r="C123" t="str">
        <f t="shared" si="9"/>
        <v>MAYOQui1</v>
      </c>
      <c r="D123" s="11">
        <v>46143</v>
      </c>
      <c r="E123" s="15" t="s">
        <v>77</v>
      </c>
      <c r="F123" s="16">
        <f t="shared" si="10"/>
        <v>1</v>
      </c>
      <c r="G123" s="16" t="str">
        <f t="shared" si="11"/>
        <v>viernes</v>
      </c>
      <c r="H123" s="16" t="s">
        <v>48</v>
      </c>
      <c r="I123" s="16" t="str">
        <f t="shared" si="8"/>
        <v>Qui9</v>
      </c>
      <c r="J123" s="16" t="str">
        <f t="shared" si="12"/>
        <v>9</v>
      </c>
      <c r="K123" s="16">
        <f t="shared" si="13"/>
        <v>18</v>
      </c>
      <c r="L123" s="16">
        <v>2026</v>
      </c>
    </row>
    <row r="124" spans="2:12">
      <c r="B124" t="str">
        <f t="shared" si="7"/>
        <v>MAYOQui918</v>
      </c>
      <c r="C124" t="str">
        <f t="shared" si="9"/>
        <v>MAYOQui1</v>
      </c>
      <c r="D124" s="11">
        <v>46144</v>
      </c>
      <c r="E124" s="17" t="s">
        <v>77</v>
      </c>
      <c r="F124">
        <f t="shared" si="10"/>
        <v>2</v>
      </c>
      <c r="G124" t="str">
        <f t="shared" si="11"/>
        <v>sábado</v>
      </c>
      <c r="H124" t="s">
        <v>48</v>
      </c>
      <c r="I124" t="str">
        <f t="shared" si="8"/>
        <v>Qui9</v>
      </c>
      <c r="J124" t="str">
        <f t="shared" si="12"/>
        <v>9</v>
      </c>
      <c r="K124">
        <f t="shared" si="13"/>
        <v>18</v>
      </c>
      <c r="L124">
        <v>2026</v>
      </c>
    </row>
    <row r="125" spans="2:12">
      <c r="B125" t="str">
        <f t="shared" si="7"/>
        <v>MAYOQui918</v>
      </c>
      <c r="C125" t="str">
        <f t="shared" si="9"/>
        <v>MAYOQui1</v>
      </c>
      <c r="D125" s="11">
        <v>46145</v>
      </c>
      <c r="E125" s="17" t="s">
        <v>77</v>
      </c>
      <c r="F125">
        <f t="shared" si="10"/>
        <v>3</v>
      </c>
      <c r="G125" t="str">
        <f t="shared" si="11"/>
        <v>domingo</v>
      </c>
      <c r="H125" t="s">
        <v>48</v>
      </c>
      <c r="I125" t="str">
        <f t="shared" si="8"/>
        <v>Qui9</v>
      </c>
      <c r="J125" t="str">
        <f t="shared" si="12"/>
        <v>9</v>
      </c>
      <c r="K125">
        <f t="shared" si="13"/>
        <v>18</v>
      </c>
      <c r="L125">
        <v>2026</v>
      </c>
    </row>
    <row r="126" spans="2:12">
      <c r="B126" t="str">
        <f t="shared" si="7"/>
        <v>MAYOQui1019</v>
      </c>
      <c r="C126" t="str">
        <f t="shared" si="9"/>
        <v>MAYOQui1</v>
      </c>
      <c r="D126" s="11">
        <v>46146</v>
      </c>
      <c r="E126" s="17" t="s">
        <v>77</v>
      </c>
      <c r="F126">
        <f t="shared" si="10"/>
        <v>4</v>
      </c>
      <c r="G126" t="str">
        <f t="shared" si="11"/>
        <v>lunes</v>
      </c>
      <c r="H126" t="s">
        <v>48</v>
      </c>
      <c r="I126" t="str">
        <f t="shared" si="8"/>
        <v>Qui10</v>
      </c>
      <c r="J126" t="str">
        <f t="shared" si="12"/>
        <v>10</v>
      </c>
      <c r="K126">
        <f t="shared" si="13"/>
        <v>19</v>
      </c>
      <c r="L126">
        <v>2026</v>
      </c>
    </row>
    <row r="127" spans="2:12">
      <c r="B127" t="str">
        <f t="shared" si="7"/>
        <v>MAYOQui1019</v>
      </c>
      <c r="C127" t="str">
        <f t="shared" si="9"/>
        <v>MAYOQui1</v>
      </c>
      <c r="D127" s="11">
        <v>46147</v>
      </c>
      <c r="E127" s="17" t="s">
        <v>77</v>
      </c>
      <c r="F127">
        <f t="shared" si="10"/>
        <v>5</v>
      </c>
      <c r="G127" t="str">
        <f t="shared" si="11"/>
        <v>martes</v>
      </c>
      <c r="H127" t="s">
        <v>48</v>
      </c>
      <c r="I127" t="str">
        <f t="shared" si="8"/>
        <v>Qui10</v>
      </c>
      <c r="J127" t="str">
        <f t="shared" si="12"/>
        <v>10</v>
      </c>
      <c r="K127">
        <f t="shared" si="13"/>
        <v>19</v>
      </c>
      <c r="L127">
        <v>2026</v>
      </c>
    </row>
    <row r="128" spans="2:12">
      <c r="B128" t="str">
        <f t="shared" si="7"/>
        <v>MAYOQui1019</v>
      </c>
      <c r="C128" t="str">
        <f t="shared" si="9"/>
        <v>MAYOQui1</v>
      </c>
      <c r="D128" s="11">
        <v>46148</v>
      </c>
      <c r="E128" s="17" t="s">
        <v>77</v>
      </c>
      <c r="F128">
        <f t="shared" si="10"/>
        <v>6</v>
      </c>
      <c r="G128" t="str">
        <f t="shared" si="11"/>
        <v>miércoles</v>
      </c>
      <c r="H128" t="s">
        <v>48</v>
      </c>
      <c r="I128" t="str">
        <f t="shared" si="8"/>
        <v>Qui10</v>
      </c>
      <c r="J128" t="str">
        <f t="shared" si="12"/>
        <v>10</v>
      </c>
      <c r="K128">
        <f t="shared" si="13"/>
        <v>19</v>
      </c>
      <c r="L128">
        <v>2026</v>
      </c>
    </row>
    <row r="129" spans="2:12">
      <c r="B129" t="str">
        <f t="shared" si="7"/>
        <v>MAYOQui1019</v>
      </c>
      <c r="C129" t="str">
        <f t="shared" si="9"/>
        <v>MAYOQui1</v>
      </c>
      <c r="D129" s="11">
        <v>46149</v>
      </c>
      <c r="E129" s="17" t="s">
        <v>77</v>
      </c>
      <c r="F129">
        <f t="shared" si="10"/>
        <v>7</v>
      </c>
      <c r="G129" t="str">
        <f t="shared" si="11"/>
        <v>jueves</v>
      </c>
      <c r="H129" t="s">
        <v>48</v>
      </c>
      <c r="I129" t="str">
        <f t="shared" si="8"/>
        <v>Qui10</v>
      </c>
      <c r="J129" t="str">
        <f t="shared" si="12"/>
        <v>10</v>
      </c>
      <c r="K129">
        <f t="shared" si="13"/>
        <v>19</v>
      </c>
      <c r="L129">
        <v>2026</v>
      </c>
    </row>
    <row r="130" spans="2:12">
      <c r="B130" t="str">
        <f t="shared" si="7"/>
        <v>MAYOQui1019</v>
      </c>
      <c r="C130" t="str">
        <f t="shared" si="9"/>
        <v>MAYOQui1</v>
      </c>
      <c r="D130" s="11">
        <v>46150</v>
      </c>
      <c r="E130" s="17" t="s">
        <v>77</v>
      </c>
      <c r="F130">
        <f t="shared" si="10"/>
        <v>8</v>
      </c>
      <c r="G130" t="str">
        <f t="shared" si="11"/>
        <v>viernes</v>
      </c>
      <c r="H130" t="s">
        <v>48</v>
      </c>
      <c r="I130" t="str">
        <f t="shared" si="8"/>
        <v>Qui10</v>
      </c>
      <c r="J130" t="str">
        <f t="shared" si="12"/>
        <v>10</v>
      </c>
      <c r="K130">
        <f t="shared" si="13"/>
        <v>19</v>
      </c>
      <c r="L130">
        <v>2026</v>
      </c>
    </row>
    <row r="131" spans="2:12">
      <c r="B131" t="str">
        <f t="shared" ref="B131:B194" si="14">+E131&amp;I131&amp;K131</f>
        <v>MAYOQui1019</v>
      </c>
      <c r="C131" t="str">
        <f t="shared" si="9"/>
        <v>MAYOQui1</v>
      </c>
      <c r="D131" s="11">
        <v>46151</v>
      </c>
      <c r="E131" s="17" t="s">
        <v>77</v>
      </c>
      <c r="F131">
        <f t="shared" si="10"/>
        <v>9</v>
      </c>
      <c r="G131" t="str">
        <f t="shared" si="11"/>
        <v>sábado</v>
      </c>
      <c r="H131" t="s">
        <v>48</v>
      </c>
      <c r="I131" t="str">
        <f t="shared" ref="I131:I194" si="15">+"Qui"&amp;ROUNDUP(K131/2,0)</f>
        <v>Qui10</v>
      </c>
      <c r="J131" t="str">
        <f t="shared" si="12"/>
        <v>10</v>
      </c>
      <c r="K131">
        <f t="shared" si="13"/>
        <v>19</v>
      </c>
      <c r="L131">
        <v>2026</v>
      </c>
    </row>
    <row r="132" spans="2:12">
      <c r="B132" t="str">
        <f t="shared" si="14"/>
        <v>MAYOQui1019</v>
      </c>
      <c r="C132" t="str">
        <f t="shared" ref="C132:C195" si="16">+E132&amp;H132</f>
        <v>MAYOQui1</v>
      </c>
      <c r="D132" s="11">
        <v>46152</v>
      </c>
      <c r="E132" s="17" t="s">
        <v>77</v>
      </c>
      <c r="F132">
        <f t="shared" ref="F132:F195" si="17">+DAY(D132)</f>
        <v>10</v>
      </c>
      <c r="G132" t="str">
        <f t="shared" ref="G132:G195" si="18">+TEXT(D132,"DDDDDD")</f>
        <v>domingo</v>
      </c>
      <c r="H132" t="s">
        <v>48</v>
      </c>
      <c r="I132" t="str">
        <f t="shared" si="15"/>
        <v>Qui10</v>
      </c>
      <c r="J132" t="str">
        <f t="shared" ref="J132:J195" si="19">+MID(I132,4,2)</f>
        <v>10</v>
      </c>
      <c r="K132">
        <f t="shared" ref="K132:K195" si="20">+_xlfn.ISOWEEKNUM(D132)</f>
        <v>19</v>
      </c>
      <c r="L132">
        <v>2026</v>
      </c>
    </row>
    <row r="133" spans="2:12">
      <c r="B133" t="str">
        <f t="shared" si="14"/>
        <v>MAYOQui1020</v>
      </c>
      <c r="C133" t="str">
        <f t="shared" si="16"/>
        <v>MAYOQui1</v>
      </c>
      <c r="D133" s="11">
        <v>46153</v>
      </c>
      <c r="E133" s="17" t="s">
        <v>77</v>
      </c>
      <c r="F133">
        <f t="shared" si="17"/>
        <v>11</v>
      </c>
      <c r="G133" t="str">
        <f t="shared" si="18"/>
        <v>lunes</v>
      </c>
      <c r="H133" t="s">
        <v>48</v>
      </c>
      <c r="I133" t="str">
        <f t="shared" si="15"/>
        <v>Qui10</v>
      </c>
      <c r="J133" t="str">
        <f t="shared" si="19"/>
        <v>10</v>
      </c>
      <c r="K133">
        <f t="shared" si="20"/>
        <v>20</v>
      </c>
      <c r="L133">
        <v>2026</v>
      </c>
    </row>
    <row r="134" spans="2:12">
      <c r="B134" t="str">
        <f t="shared" si="14"/>
        <v>MAYOQui1020</v>
      </c>
      <c r="C134" t="str">
        <f t="shared" si="16"/>
        <v>MAYOQui1</v>
      </c>
      <c r="D134" s="11">
        <v>46154</v>
      </c>
      <c r="E134" s="17" t="s">
        <v>77</v>
      </c>
      <c r="F134">
        <f t="shared" si="17"/>
        <v>12</v>
      </c>
      <c r="G134" t="str">
        <f t="shared" si="18"/>
        <v>martes</v>
      </c>
      <c r="H134" t="s">
        <v>48</v>
      </c>
      <c r="I134" t="str">
        <f t="shared" si="15"/>
        <v>Qui10</v>
      </c>
      <c r="J134" t="str">
        <f t="shared" si="19"/>
        <v>10</v>
      </c>
      <c r="K134">
        <f t="shared" si="20"/>
        <v>20</v>
      </c>
      <c r="L134">
        <v>2026</v>
      </c>
    </row>
    <row r="135" spans="2:12">
      <c r="B135" t="str">
        <f t="shared" si="14"/>
        <v>MAYOQui1020</v>
      </c>
      <c r="C135" t="str">
        <f t="shared" si="16"/>
        <v>MAYOQui1</v>
      </c>
      <c r="D135" s="11">
        <v>46155</v>
      </c>
      <c r="E135" s="17" t="s">
        <v>77</v>
      </c>
      <c r="F135">
        <f t="shared" si="17"/>
        <v>13</v>
      </c>
      <c r="G135" t="str">
        <f t="shared" si="18"/>
        <v>miércoles</v>
      </c>
      <c r="H135" t="s">
        <v>48</v>
      </c>
      <c r="I135" t="str">
        <f t="shared" si="15"/>
        <v>Qui10</v>
      </c>
      <c r="J135" t="str">
        <f t="shared" si="19"/>
        <v>10</v>
      </c>
      <c r="K135">
        <f t="shared" si="20"/>
        <v>20</v>
      </c>
      <c r="L135">
        <v>2026</v>
      </c>
    </row>
    <row r="136" spans="2:12">
      <c r="B136" t="str">
        <f t="shared" si="14"/>
        <v>MAYOQui1020</v>
      </c>
      <c r="C136" t="str">
        <f t="shared" si="16"/>
        <v>MAYOQui1</v>
      </c>
      <c r="D136" s="11">
        <v>46156</v>
      </c>
      <c r="E136" s="17" t="s">
        <v>77</v>
      </c>
      <c r="F136">
        <f t="shared" si="17"/>
        <v>14</v>
      </c>
      <c r="G136" t="str">
        <f t="shared" si="18"/>
        <v>jueves</v>
      </c>
      <c r="H136" t="s">
        <v>48</v>
      </c>
      <c r="I136" t="str">
        <f t="shared" si="15"/>
        <v>Qui10</v>
      </c>
      <c r="J136" t="str">
        <f t="shared" si="19"/>
        <v>10</v>
      </c>
      <c r="K136">
        <f t="shared" si="20"/>
        <v>20</v>
      </c>
      <c r="L136">
        <v>2026</v>
      </c>
    </row>
    <row r="137" spans="2:12">
      <c r="B137" t="str">
        <f t="shared" si="14"/>
        <v>MAYOQui1020</v>
      </c>
      <c r="C137" t="str">
        <f t="shared" si="16"/>
        <v>MAYOQui1</v>
      </c>
      <c r="D137" s="11">
        <v>46157</v>
      </c>
      <c r="E137" s="17" t="s">
        <v>77</v>
      </c>
      <c r="F137">
        <f t="shared" si="17"/>
        <v>15</v>
      </c>
      <c r="G137" t="str">
        <f t="shared" si="18"/>
        <v>viernes</v>
      </c>
      <c r="H137" t="s">
        <v>48</v>
      </c>
      <c r="I137" t="str">
        <f t="shared" si="15"/>
        <v>Qui10</v>
      </c>
      <c r="J137" t="str">
        <f t="shared" si="19"/>
        <v>10</v>
      </c>
      <c r="K137">
        <f t="shared" si="20"/>
        <v>20</v>
      </c>
      <c r="L137">
        <v>2026</v>
      </c>
    </row>
    <row r="138" spans="2:12">
      <c r="B138" t="str">
        <f t="shared" si="14"/>
        <v>MAYOQui1020</v>
      </c>
      <c r="C138" t="str">
        <f t="shared" si="16"/>
        <v>MAYOQui2</v>
      </c>
      <c r="D138" s="11">
        <v>46158</v>
      </c>
      <c r="E138" s="17" t="s">
        <v>77</v>
      </c>
      <c r="F138">
        <f t="shared" si="17"/>
        <v>16</v>
      </c>
      <c r="G138" t="str">
        <f t="shared" si="18"/>
        <v>sábado</v>
      </c>
      <c r="H138" t="s">
        <v>145</v>
      </c>
      <c r="I138" t="str">
        <f t="shared" si="15"/>
        <v>Qui10</v>
      </c>
      <c r="J138" t="str">
        <f t="shared" si="19"/>
        <v>10</v>
      </c>
      <c r="K138">
        <f t="shared" si="20"/>
        <v>20</v>
      </c>
      <c r="L138">
        <v>2026</v>
      </c>
    </row>
    <row r="139" spans="2:12">
      <c r="B139" t="str">
        <f t="shared" si="14"/>
        <v>MAYOQui1020</v>
      </c>
      <c r="C139" t="str">
        <f t="shared" si="16"/>
        <v>MAYOQui2</v>
      </c>
      <c r="D139" s="11">
        <v>46159</v>
      </c>
      <c r="E139" s="17" t="s">
        <v>77</v>
      </c>
      <c r="F139">
        <f t="shared" si="17"/>
        <v>17</v>
      </c>
      <c r="G139" t="str">
        <f t="shared" si="18"/>
        <v>domingo</v>
      </c>
      <c r="H139" t="s">
        <v>145</v>
      </c>
      <c r="I139" t="str">
        <f t="shared" si="15"/>
        <v>Qui10</v>
      </c>
      <c r="J139" t="str">
        <f t="shared" si="19"/>
        <v>10</v>
      </c>
      <c r="K139">
        <f t="shared" si="20"/>
        <v>20</v>
      </c>
      <c r="L139">
        <v>2026</v>
      </c>
    </row>
    <row r="140" spans="2:12">
      <c r="B140" t="str">
        <f t="shared" si="14"/>
        <v>MAYOQui1121</v>
      </c>
      <c r="C140" t="str">
        <f t="shared" si="16"/>
        <v>MAYOQui2</v>
      </c>
      <c r="D140" s="11">
        <v>46160</v>
      </c>
      <c r="E140" s="17" t="s">
        <v>77</v>
      </c>
      <c r="F140">
        <f t="shared" si="17"/>
        <v>18</v>
      </c>
      <c r="G140" t="str">
        <f t="shared" si="18"/>
        <v>lunes</v>
      </c>
      <c r="H140" t="s">
        <v>145</v>
      </c>
      <c r="I140" t="str">
        <f t="shared" si="15"/>
        <v>Qui11</v>
      </c>
      <c r="J140" t="str">
        <f t="shared" si="19"/>
        <v>11</v>
      </c>
      <c r="K140">
        <f t="shared" si="20"/>
        <v>21</v>
      </c>
      <c r="L140">
        <v>2026</v>
      </c>
    </row>
    <row r="141" spans="2:12">
      <c r="B141" t="str">
        <f t="shared" si="14"/>
        <v>MAYOQui1121</v>
      </c>
      <c r="C141" t="str">
        <f t="shared" si="16"/>
        <v>MAYOQui2</v>
      </c>
      <c r="D141" s="11">
        <v>46161</v>
      </c>
      <c r="E141" s="17" t="s">
        <v>77</v>
      </c>
      <c r="F141">
        <f t="shared" si="17"/>
        <v>19</v>
      </c>
      <c r="G141" t="str">
        <f t="shared" si="18"/>
        <v>martes</v>
      </c>
      <c r="H141" t="s">
        <v>145</v>
      </c>
      <c r="I141" t="str">
        <f t="shared" si="15"/>
        <v>Qui11</v>
      </c>
      <c r="J141" t="str">
        <f t="shared" si="19"/>
        <v>11</v>
      </c>
      <c r="K141">
        <f t="shared" si="20"/>
        <v>21</v>
      </c>
      <c r="L141">
        <v>2026</v>
      </c>
    </row>
    <row r="142" spans="2:12">
      <c r="B142" t="str">
        <f t="shared" si="14"/>
        <v>MAYOQui1121</v>
      </c>
      <c r="C142" t="str">
        <f t="shared" si="16"/>
        <v>MAYOQui2</v>
      </c>
      <c r="D142" s="11">
        <v>46162</v>
      </c>
      <c r="E142" s="17" t="s">
        <v>77</v>
      </c>
      <c r="F142">
        <f t="shared" si="17"/>
        <v>20</v>
      </c>
      <c r="G142" t="str">
        <f t="shared" si="18"/>
        <v>miércoles</v>
      </c>
      <c r="H142" t="s">
        <v>145</v>
      </c>
      <c r="I142" t="str">
        <f t="shared" si="15"/>
        <v>Qui11</v>
      </c>
      <c r="J142" t="str">
        <f t="shared" si="19"/>
        <v>11</v>
      </c>
      <c r="K142">
        <f t="shared" si="20"/>
        <v>21</v>
      </c>
      <c r="L142">
        <v>2026</v>
      </c>
    </row>
    <row r="143" spans="2:12">
      <c r="B143" t="str">
        <f t="shared" si="14"/>
        <v>MAYOQui1121</v>
      </c>
      <c r="C143" t="str">
        <f t="shared" si="16"/>
        <v>MAYOQui2</v>
      </c>
      <c r="D143" s="11">
        <v>46163</v>
      </c>
      <c r="E143" s="17" t="s">
        <v>77</v>
      </c>
      <c r="F143">
        <f t="shared" si="17"/>
        <v>21</v>
      </c>
      <c r="G143" t="str">
        <f t="shared" si="18"/>
        <v>jueves</v>
      </c>
      <c r="H143" t="s">
        <v>145</v>
      </c>
      <c r="I143" t="str">
        <f t="shared" si="15"/>
        <v>Qui11</v>
      </c>
      <c r="J143" t="str">
        <f t="shared" si="19"/>
        <v>11</v>
      </c>
      <c r="K143">
        <f t="shared" si="20"/>
        <v>21</v>
      </c>
      <c r="L143">
        <v>2026</v>
      </c>
    </row>
    <row r="144" spans="2:12">
      <c r="B144" t="str">
        <f t="shared" si="14"/>
        <v>MAYOQui1121</v>
      </c>
      <c r="C144" t="str">
        <f t="shared" si="16"/>
        <v>MAYOQui2</v>
      </c>
      <c r="D144" s="11">
        <v>46164</v>
      </c>
      <c r="E144" s="17" t="s">
        <v>77</v>
      </c>
      <c r="F144">
        <f t="shared" si="17"/>
        <v>22</v>
      </c>
      <c r="G144" t="str">
        <f t="shared" si="18"/>
        <v>viernes</v>
      </c>
      <c r="H144" t="s">
        <v>145</v>
      </c>
      <c r="I144" t="str">
        <f t="shared" si="15"/>
        <v>Qui11</v>
      </c>
      <c r="J144" t="str">
        <f t="shared" si="19"/>
        <v>11</v>
      </c>
      <c r="K144">
        <f t="shared" si="20"/>
        <v>21</v>
      </c>
      <c r="L144">
        <v>2026</v>
      </c>
    </row>
    <row r="145" spans="2:12">
      <c r="B145" t="str">
        <f t="shared" si="14"/>
        <v>MAYOQui1121</v>
      </c>
      <c r="C145" t="str">
        <f t="shared" si="16"/>
        <v>MAYOQui2</v>
      </c>
      <c r="D145" s="11">
        <v>46165</v>
      </c>
      <c r="E145" s="17" t="s">
        <v>77</v>
      </c>
      <c r="F145">
        <f t="shared" si="17"/>
        <v>23</v>
      </c>
      <c r="G145" t="str">
        <f t="shared" si="18"/>
        <v>sábado</v>
      </c>
      <c r="H145" t="s">
        <v>145</v>
      </c>
      <c r="I145" t="str">
        <f t="shared" si="15"/>
        <v>Qui11</v>
      </c>
      <c r="J145" t="str">
        <f t="shared" si="19"/>
        <v>11</v>
      </c>
      <c r="K145">
        <f t="shared" si="20"/>
        <v>21</v>
      </c>
      <c r="L145">
        <v>2026</v>
      </c>
    </row>
    <row r="146" spans="2:12">
      <c r="B146" t="str">
        <f t="shared" si="14"/>
        <v>MAYOQui1121</v>
      </c>
      <c r="C146" t="str">
        <f t="shared" si="16"/>
        <v>MAYOQui2</v>
      </c>
      <c r="D146" s="11">
        <v>46166</v>
      </c>
      <c r="E146" s="17" t="s">
        <v>77</v>
      </c>
      <c r="F146">
        <f t="shared" si="17"/>
        <v>24</v>
      </c>
      <c r="G146" t="str">
        <f t="shared" si="18"/>
        <v>domingo</v>
      </c>
      <c r="H146" t="s">
        <v>145</v>
      </c>
      <c r="I146" t="str">
        <f t="shared" si="15"/>
        <v>Qui11</v>
      </c>
      <c r="J146" t="str">
        <f t="shared" si="19"/>
        <v>11</v>
      </c>
      <c r="K146">
        <f t="shared" si="20"/>
        <v>21</v>
      </c>
      <c r="L146">
        <v>2026</v>
      </c>
    </row>
    <row r="147" spans="2:12">
      <c r="B147" t="str">
        <f t="shared" si="14"/>
        <v>MAYOQui1122</v>
      </c>
      <c r="C147" t="str">
        <f t="shared" si="16"/>
        <v>MAYOQui2</v>
      </c>
      <c r="D147" s="11">
        <v>46167</v>
      </c>
      <c r="E147" s="17" t="s">
        <v>77</v>
      </c>
      <c r="F147">
        <f t="shared" si="17"/>
        <v>25</v>
      </c>
      <c r="G147" t="str">
        <f t="shared" si="18"/>
        <v>lunes</v>
      </c>
      <c r="H147" t="s">
        <v>145</v>
      </c>
      <c r="I147" t="str">
        <f t="shared" si="15"/>
        <v>Qui11</v>
      </c>
      <c r="J147" t="str">
        <f t="shared" si="19"/>
        <v>11</v>
      </c>
      <c r="K147">
        <f t="shared" si="20"/>
        <v>22</v>
      </c>
      <c r="L147">
        <v>2026</v>
      </c>
    </row>
    <row r="148" spans="2:12">
      <c r="B148" t="str">
        <f t="shared" si="14"/>
        <v>MAYOQui1122</v>
      </c>
      <c r="C148" t="str">
        <f t="shared" si="16"/>
        <v>MAYOQui2</v>
      </c>
      <c r="D148" s="11">
        <v>46168</v>
      </c>
      <c r="E148" s="17" t="s">
        <v>77</v>
      </c>
      <c r="F148">
        <f t="shared" si="17"/>
        <v>26</v>
      </c>
      <c r="G148" t="str">
        <f t="shared" si="18"/>
        <v>martes</v>
      </c>
      <c r="H148" t="s">
        <v>145</v>
      </c>
      <c r="I148" t="str">
        <f t="shared" si="15"/>
        <v>Qui11</v>
      </c>
      <c r="J148" t="str">
        <f t="shared" si="19"/>
        <v>11</v>
      </c>
      <c r="K148">
        <f t="shared" si="20"/>
        <v>22</v>
      </c>
      <c r="L148">
        <v>2026</v>
      </c>
    </row>
    <row r="149" spans="2:12">
      <c r="B149" t="str">
        <f t="shared" si="14"/>
        <v>MAYOQui1122</v>
      </c>
      <c r="C149" t="str">
        <f t="shared" si="16"/>
        <v>MAYOQui2</v>
      </c>
      <c r="D149" s="11">
        <v>46169</v>
      </c>
      <c r="E149" s="17" t="s">
        <v>77</v>
      </c>
      <c r="F149">
        <f t="shared" si="17"/>
        <v>27</v>
      </c>
      <c r="G149" t="str">
        <f t="shared" si="18"/>
        <v>miércoles</v>
      </c>
      <c r="H149" t="s">
        <v>145</v>
      </c>
      <c r="I149" t="str">
        <f t="shared" si="15"/>
        <v>Qui11</v>
      </c>
      <c r="J149" t="str">
        <f t="shared" si="19"/>
        <v>11</v>
      </c>
      <c r="K149">
        <f t="shared" si="20"/>
        <v>22</v>
      </c>
      <c r="L149">
        <v>2026</v>
      </c>
    </row>
    <row r="150" spans="2:12">
      <c r="B150" t="str">
        <f t="shared" si="14"/>
        <v>MAYOQui1122</v>
      </c>
      <c r="C150" t="str">
        <f t="shared" si="16"/>
        <v>MAYOQui2</v>
      </c>
      <c r="D150" s="11">
        <v>46170</v>
      </c>
      <c r="E150" s="17" t="s">
        <v>77</v>
      </c>
      <c r="F150">
        <f t="shared" si="17"/>
        <v>28</v>
      </c>
      <c r="G150" t="str">
        <f t="shared" si="18"/>
        <v>jueves</v>
      </c>
      <c r="H150" t="s">
        <v>145</v>
      </c>
      <c r="I150" t="str">
        <f t="shared" si="15"/>
        <v>Qui11</v>
      </c>
      <c r="J150" t="str">
        <f t="shared" si="19"/>
        <v>11</v>
      </c>
      <c r="K150">
        <f t="shared" si="20"/>
        <v>22</v>
      </c>
      <c r="L150">
        <v>2026</v>
      </c>
    </row>
    <row r="151" spans="2:12">
      <c r="B151" t="str">
        <f t="shared" si="14"/>
        <v>MAYOQui1122</v>
      </c>
      <c r="C151" t="str">
        <f t="shared" si="16"/>
        <v>MAYOQui2</v>
      </c>
      <c r="D151" s="11">
        <v>46171</v>
      </c>
      <c r="E151" s="17" t="s">
        <v>77</v>
      </c>
      <c r="F151">
        <f t="shared" si="17"/>
        <v>29</v>
      </c>
      <c r="G151" t="str">
        <f t="shared" si="18"/>
        <v>viernes</v>
      </c>
      <c r="H151" t="s">
        <v>145</v>
      </c>
      <c r="I151" t="str">
        <f t="shared" si="15"/>
        <v>Qui11</v>
      </c>
      <c r="J151" t="str">
        <f t="shared" si="19"/>
        <v>11</v>
      </c>
      <c r="K151">
        <f t="shared" si="20"/>
        <v>22</v>
      </c>
      <c r="L151">
        <v>2026</v>
      </c>
    </row>
    <row r="152" spans="2:12">
      <c r="B152" t="str">
        <f t="shared" si="14"/>
        <v>MAYOQui1122</v>
      </c>
      <c r="C152" t="str">
        <f t="shared" si="16"/>
        <v>MAYOQui2</v>
      </c>
      <c r="D152" s="11">
        <v>46172</v>
      </c>
      <c r="E152" s="17" t="s">
        <v>77</v>
      </c>
      <c r="F152">
        <f t="shared" si="17"/>
        <v>30</v>
      </c>
      <c r="G152" t="str">
        <f t="shared" si="18"/>
        <v>sábado</v>
      </c>
      <c r="H152" t="s">
        <v>145</v>
      </c>
      <c r="I152" t="str">
        <f t="shared" si="15"/>
        <v>Qui11</v>
      </c>
      <c r="J152" t="str">
        <f t="shared" si="19"/>
        <v>11</v>
      </c>
      <c r="K152">
        <f t="shared" si="20"/>
        <v>22</v>
      </c>
      <c r="L152">
        <v>2026</v>
      </c>
    </row>
    <row r="153" spans="2:12">
      <c r="B153" t="str">
        <f t="shared" si="14"/>
        <v>MAYOQui1122</v>
      </c>
      <c r="C153" t="str">
        <f t="shared" si="16"/>
        <v>MAYOQui2</v>
      </c>
      <c r="D153" s="11">
        <v>46173</v>
      </c>
      <c r="E153" s="18" t="s">
        <v>77</v>
      </c>
      <c r="F153" s="5">
        <f t="shared" si="17"/>
        <v>31</v>
      </c>
      <c r="G153" s="5" t="str">
        <f t="shared" si="18"/>
        <v>domingo</v>
      </c>
      <c r="H153" s="5" t="s">
        <v>145</v>
      </c>
      <c r="I153" s="5" t="str">
        <f t="shared" si="15"/>
        <v>Qui11</v>
      </c>
      <c r="J153" s="5" t="str">
        <f t="shared" si="19"/>
        <v>11</v>
      </c>
      <c r="K153" s="5">
        <f t="shared" si="20"/>
        <v>22</v>
      </c>
      <c r="L153" s="5">
        <v>2026</v>
      </c>
    </row>
    <row r="154" spans="2:12">
      <c r="B154" t="str">
        <f t="shared" si="14"/>
        <v>JUNIOQui1223</v>
      </c>
      <c r="C154" t="str">
        <f t="shared" si="16"/>
        <v>JUNIOQui1</v>
      </c>
      <c r="D154" s="11">
        <v>46174</v>
      </c>
      <c r="E154" s="15" t="s">
        <v>78</v>
      </c>
      <c r="F154" s="16">
        <f t="shared" si="17"/>
        <v>1</v>
      </c>
      <c r="G154" s="16" t="str">
        <f t="shared" si="18"/>
        <v>lunes</v>
      </c>
      <c r="H154" s="16" t="s">
        <v>48</v>
      </c>
      <c r="I154" s="16" t="str">
        <f t="shared" si="15"/>
        <v>Qui12</v>
      </c>
      <c r="J154" s="16" t="str">
        <f t="shared" si="19"/>
        <v>12</v>
      </c>
      <c r="K154" s="16">
        <f t="shared" si="20"/>
        <v>23</v>
      </c>
      <c r="L154" s="16">
        <v>2026</v>
      </c>
    </row>
    <row r="155" spans="2:12">
      <c r="B155" t="str">
        <f t="shared" si="14"/>
        <v>JUNIOQui1223</v>
      </c>
      <c r="C155" t="str">
        <f t="shared" si="16"/>
        <v>JUNIOQui1</v>
      </c>
      <c r="D155" s="11">
        <v>46175</v>
      </c>
      <c r="E155" s="17" t="s">
        <v>78</v>
      </c>
      <c r="F155">
        <f t="shared" si="17"/>
        <v>2</v>
      </c>
      <c r="G155" t="str">
        <f t="shared" si="18"/>
        <v>martes</v>
      </c>
      <c r="H155" t="s">
        <v>48</v>
      </c>
      <c r="I155" t="str">
        <f t="shared" si="15"/>
        <v>Qui12</v>
      </c>
      <c r="J155" t="str">
        <f t="shared" si="19"/>
        <v>12</v>
      </c>
      <c r="K155">
        <f t="shared" si="20"/>
        <v>23</v>
      </c>
      <c r="L155">
        <v>2026</v>
      </c>
    </row>
    <row r="156" spans="2:12">
      <c r="B156" t="str">
        <f t="shared" si="14"/>
        <v>JUNIOQui1223</v>
      </c>
      <c r="C156" t="str">
        <f t="shared" si="16"/>
        <v>JUNIOQui1</v>
      </c>
      <c r="D156" s="11">
        <v>46176</v>
      </c>
      <c r="E156" s="17" t="s">
        <v>78</v>
      </c>
      <c r="F156">
        <f t="shared" si="17"/>
        <v>3</v>
      </c>
      <c r="G156" t="str">
        <f t="shared" si="18"/>
        <v>miércoles</v>
      </c>
      <c r="H156" t="s">
        <v>48</v>
      </c>
      <c r="I156" t="str">
        <f t="shared" si="15"/>
        <v>Qui12</v>
      </c>
      <c r="J156" t="str">
        <f t="shared" si="19"/>
        <v>12</v>
      </c>
      <c r="K156">
        <f t="shared" si="20"/>
        <v>23</v>
      </c>
      <c r="L156">
        <v>2026</v>
      </c>
    </row>
    <row r="157" spans="2:12">
      <c r="B157" t="str">
        <f t="shared" si="14"/>
        <v>JUNIOQui1223</v>
      </c>
      <c r="C157" t="str">
        <f t="shared" si="16"/>
        <v>JUNIOQui1</v>
      </c>
      <c r="D157" s="11">
        <v>46177</v>
      </c>
      <c r="E157" s="17" t="s">
        <v>78</v>
      </c>
      <c r="F157">
        <f t="shared" si="17"/>
        <v>4</v>
      </c>
      <c r="G157" t="str">
        <f t="shared" si="18"/>
        <v>jueves</v>
      </c>
      <c r="H157" t="s">
        <v>48</v>
      </c>
      <c r="I157" t="str">
        <f t="shared" si="15"/>
        <v>Qui12</v>
      </c>
      <c r="J157" t="str">
        <f t="shared" si="19"/>
        <v>12</v>
      </c>
      <c r="K157">
        <f t="shared" si="20"/>
        <v>23</v>
      </c>
      <c r="L157">
        <v>2026</v>
      </c>
    </row>
    <row r="158" spans="2:12">
      <c r="B158" t="str">
        <f t="shared" si="14"/>
        <v>JUNIOQui1223</v>
      </c>
      <c r="C158" t="str">
        <f t="shared" si="16"/>
        <v>JUNIOQui1</v>
      </c>
      <c r="D158" s="11">
        <v>46178</v>
      </c>
      <c r="E158" s="17" t="s">
        <v>78</v>
      </c>
      <c r="F158">
        <f t="shared" si="17"/>
        <v>5</v>
      </c>
      <c r="G158" t="str">
        <f t="shared" si="18"/>
        <v>viernes</v>
      </c>
      <c r="H158" t="s">
        <v>48</v>
      </c>
      <c r="I158" t="str">
        <f t="shared" si="15"/>
        <v>Qui12</v>
      </c>
      <c r="J158" t="str">
        <f t="shared" si="19"/>
        <v>12</v>
      </c>
      <c r="K158">
        <f t="shared" si="20"/>
        <v>23</v>
      </c>
      <c r="L158">
        <v>2026</v>
      </c>
    </row>
    <row r="159" spans="2:12">
      <c r="B159" t="str">
        <f t="shared" si="14"/>
        <v>JUNIOQui1223</v>
      </c>
      <c r="C159" t="str">
        <f t="shared" si="16"/>
        <v>JUNIOQui1</v>
      </c>
      <c r="D159" s="11">
        <v>46179</v>
      </c>
      <c r="E159" s="17" t="s">
        <v>78</v>
      </c>
      <c r="F159">
        <f t="shared" si="17"/>
        <v>6</v>
      </c>
      <c r="G159" t="str">
        <f t="shared" si="18"/>
        <v>sábado</v>
      </c>
      <c r="H159" t="s">
        <v>48</v>
      </c>
      <c r="I159" t="str">
        <f t="shared" si="15"/>
        <v>Qui12</v>
      </c>
      <c r="J159" t="str">
        <f t="shared" si="19"/>
        <v>12</v>
      </c>
      <c r="K159">
        <f t="shared" si="20"/>
        <v>23</v>
      </c>
      <c r="L159">
        <v>2026</v>
      </c>
    </row>
    <row r="160" spans="2:12">
      <c r="B160" t="str">
        <f t="shared" si="14"/>
        <v>JUNIOQui1223</v>
      </c>
      <c r="C160" t="str">
        <f t="shared" si="16"/>
        <v>JUNIOQui1</v>
      </c>
      <c r="D160" s="11">
        <v>46180</v>
      </c>
      <c r="E160" s="17" t="s">
        <v>78</v>
      </c>
      <c r="F160">
        <f t="shared" si="17"/>
        <v>7</v>
      </c>
      <c r="G160" t="str">
        <f t="shared" si="18"/>
        <v>domingo</v>
      </c>
      <c r="H160" t="s">
        <v>48</v>
      </c>
      <c r="I160" t="str">
        <f t="shared" si="15"/>
        <v>Qui12</v>
      </c>
      <c r="J160" t="str">
        <f t="shared" si="19"/>
        <v>12</v>
      </c>
      <c r="K160">
        <f t="shared" si="20"/>
        <v>23</v>
      </c>
      <c r="L160">
        <v>2026</v>
      </c>
    </row>
    <row r="161" spans="2:12">
      <c r="B161" t="str">
        <f t="shared" si="14"/>
        <v>JUNIOQui1224</v>
      </c>
      <c r="C161" t="str">
        <f t="shared" si="16"/>
        <v>JUNIOQui1</v>
      </c>
      <c r="D161" s="11">
        <v>46181</v>
      </c>
      <c r="E161" s="17" t="s">
        <v>78</v>
      </c>
      <c r="F161">
        <f t="shared" si="17"/>
        <v>8</v>
      </c>
      <c r="G161" t="str">
        <f t="shared" si="18"/>
        <v>lunes</v>
      </c>
      <c r="H161" t="s">
        <v>48</v>
      </c>
      <c r="I161" t="str">
        <f t="shared" si="15"/>
        <v>Qui12</v>
      </c>
      <c r="J161" t="str">
        <f t="shared" si="19"/>
        <v>12</v>
      </c>
      <c r="K161">
        <f t="shared" si="20"/>
        <v>24</v>
      </c>
      <c r="L161">
        <v>2026</v>
      </c>
    </row>
    <row r="162" spans="2:12">
      <c r="B162" t="str">
        <f t="shared" si="14"/>
        <v>JUNIOQui1224</v>
      </c>
      <c r="C162" t="str">
        <f t="shared" si="16"/>
        <v>JUNIOQui1</v>
      </c>
      <c r="D162" s="11">
        <v>46182</v>
      </c>
      <c r="E162" s="17" t="s">
        <v>78</v>
      </c>
      <c r="F162">
        <f t="shared" si="17"/>
        <v>9</v>
      </c>
      <c r="G162" t="str">
        <f t="shared" si="18"/>
        <v>martes</v>
      </c>
      <c r="H162" t="s">
        <v>48</v>
      </c>
      <c r="I162" t="str">
        <f t="shared" si="15"/>
        <v>Qui12</v>
      </c>
      <c r="J162" t="str">
        <f t="shared" si="19"/>
        <v>12</v>
      </c>
      <c r="K162">
        <f t="shared" si="20"/>
        <v>24</v>
      </c>
      <c r="L162">
        <v>2026</v>
      </c>
    </row>
    <row r="163" spans="2:12">
      <c r="B163" t="str">
        <f t="shared" si="14"/>
        <v>JUNIOQui1224</v>
      </c>
      <c r="C163" t="str">
        <f t="shared" si="16"/>
        <v>JUNIOQui1</v>
      </c>
      <c r="D163" s="11">
        <v>46183</v>
      </c>
      <c r="E163" s="17" t="s">
        <v>78</v>
      </c>
      <c r="F163">
        <f t="shared" si="17"/>
        <v>10</v>
      </c>
      <c r="G163" t="str">
        <f t="shared" si="18"/>
        <v>miércoles</v>
      </c>
      <c r="H163" t="s">
        <v>48</v>
      </c>
      <c r="I163" t="str">
        <f t="shared" si="15"/>
        <v>Qui12</v>
      </c>
      <c r="J163" t="str">
        <f t="shared" si="19"/>
        <v>12</v>
      </c>
      <c r="K163">
        <f t="shared" si="20"/>
        <v>24</v>
      </c>
      <c r="L163">
        <v>2026</v>
      </c>
    </row>
    <row r="164" spans="2:12">
      <c r="B164" t="str">
        <f t="shared" si="14"/>
        <v>JUNIOQui1224</v>
      </c>
      <c r="C164" t="str">
        <f t="shared" si="16"/>
        <v>JUNIOQui1</v>
      </c>
      <c r="D164" s="11">
        <v>46184</v>
      </c>
      <c r="E164" s="17" t="s">
        <v>78</v>
      </c>
      <c r="F164">
        <f t="shared" si="17"/>
        <v>11</v>
      </c>
      <c r="G164" t="str">
        <f t="shared" si="18"/>
        <v>jueves</v>
      </c>
      <c r="H164" t="s">
        <v>48</v>
      </c>
      <c r="I164" t="str">
        <f t="shared" si="15"/>
        <v>Qui12</v>
      </c>
      <c r="J164" t="str">
        <f t="shared" si="19"/>
        <v>12</v>
      </c>
      <c r="K164">
        <f t="shared" si="20"/>
        <v>24</v>
      </c>
      <c r="L164">
        <v>2026</v>
      </c>
    </row>
    <row r="165" spans="2:12">
      <c r="B165" t="str">
        <f t="shared" si="14"/>
        <v>JUNIOQui1224</v>
      </c>
      <c r="C165" t="str">
        <f t="shared" si="16"/>
        <v>JUNIOQui1</v>
      </c>
      <c r="D165" s="11">
        <v>46185</v>
      </c>
      <c r="E165" s="17" t="s">
        <v>78</v>
      </c>
      <c r="F165">
        <f t="shared" si="17"/>
        <v>12</v>
      </c>
      <c r="G165" t="str">
        <f t="shared" si="18"/>
        <v>viernes</v>
      </c>
      <c r="H165" t="s">
        <v>48</v>
      </c>
      <c r="I165" t="str">
        <f t="shared" si="15"/>
        <v>Qui12</v>
      </c>
      <c r="J165" t="str">
        <f t="shared" si="19"/>
        <v>12</v>
      </c>
      <c r="K165">
        <f t="shared" si="20"/>
        <v>24</v>
      </c>
      <c r="L165">
        <v>2026</v>
      </c>
    </row>
    <row r="166" spans="2:12">
      <c r="B166" t="str">
        <f t="shared" si="14"/>
        <v>JUNIOQui1224</v>
      </c>
      <c r="C166" t="str">
        <f t="shared" si="16"/>
        <v>JUNIOQui1</v>
      </c>
      <c r="D166" s="11">
        <v>46186</v>
      </c>
      <c r="E166" s="17" t="s">
        <v>78</v>
      </c>
      <c r="F166">
        <f t="shared" si="17"/>
        <v>13</v>
      </c>
      <c r="G166" t="str">
        <f t="shared" si="18"/>
        <v>sábado</v>
      </c>
      <c r="H166" t="s">
        <v>48</v>
      </c>
      <c r="I166" t="str">
        <f t="shared" si="15"/>
        <v>Qui12</v>
      </c>
      <c r="J166" t="str">
        <f t="shared" si="19"/>
        <v>12</v>
      </c>
      <c r="K166">
        <f t="shared" si="20"/>
        <v>24</v>
      </c>
      <c r="L166">
        <v>2026</v>
      </c>
    </row>
    <row r="167" spans="2:12">
      <c r="B167" t="str">
        <f t="shared" si="14"/>
        <v>JUNIOQui1224</v>
      </c>
      <c r="C167" t="str">
        <f t="shared" si="16"/>
        <v>JUNIOQui1</v>
      </c>
      <c r="D167" s="11">
        <v>46187</v>
      </c>
      <c r="E167" s="17" t="s">
        <v>78</v>
      </c>
      <c r="F167">
        <f t="shared" si="17"/>
        <v>14</v>
      </c>
      <c r="G167" t="str">
        <f t="shared" si="18"/>
        <v>domingo</v>
      </c>
      <c r="H167" t="s">
        <v>48</v>
      </c>
      <c r="I167" t="str">
        <f t="shared" si="15"/>
        <v>Qui12</v>
      </c>
      <c r="J167" t="str">
        <f t="shared" si="19"/>
        <v>12</v>
      </c>
      <c r="K167">
        <f t="shared" si="20"/>
        <v>24</v>
      </c>
      <c r="L167">
        <v>2026</v>
      </c>
    </row>
    <row r="168" spans="2:12">
      <c r="B168" t="str">
        <f t="shared" si="14"/>
        <v>JUNIOQui1325</v>
      </c>
      <c r="C168" t="str">
        <f t="shared" si="16"/>
        <v>JUNIOQui1</v>
      </c>
      <c r="D168" s="11">
        <v>46188</v>
      </c>
      <c r="E168" s="17" t="s">
        <v>78</v>
      </c>
      <c r="F168">
        <f t="shared" si="17"/>
        <v>15</v>
      </c>
      <c r="G168" t="str">
        <f t="shared" si="18"/>
        <v>lunes</v>
      </c>
      <c r="H168" t="s">
        <v>48</v>
      </c>
      <c r="I168" t="str">
        <f t="shared" si="15"/>
        <v>Qui13</v>
      </c>
      <c r="J168" t="str">
        <f t="shared" si="19"/>
        <v>13</v>
      </c>
      <c r="K168">
        <f t="shared" si="20"/>
        <v>25</v>
      </c>
      <c r="L168">
        <v>2026</v>
      </c>
    </row>
    <row r="169" spans="2:12">
      <c r="B169" t="str">
        <f t="shared" si="14"/>
        <v>JUNIOQui1325</v>
      </c>
      <c r="C169" t="str">
        <f t="shared" si="16"/>
        <v>JUNIOQui2</v>
      </c>
      <c r="D169" s="11">
        <v>46189</v>
      </c>
      <c r="E169" s="17" t="s">
        <v>78</v>
      </c>
      <c r="F169">
        <f t="shared" si="17"/>
        <v>16</v>
      </c>
      <c r="G169" t="str">
        <f t="shared" si="18"/>
        <v>martes</v>
      </c>
      <c r="H169" t="s">
        <v>145</v>
      </c>
      <c r="I169" t="str">
        <f t="shared" si="15"/>
        <v>Qui13</v>
      </c>
      <c r="J169" t="str">
        <f t="shared" si="19"/>
        <v>13</v>
      </c>
      <c r="K169">
        <f t="shared" si="20"/>
        <v>25</v>
      </c>
      <c r="L169">
        <v>2026</v>
      </c>
    </row>
    <row r="170" spans="2:12">
      <c r="B170" t="str">
        <f t="shared" si="14"/>
        <v>JUNIOQui1325</v>
      </c>
      <c r="C170" t="str">
        <f t="shared" si="16"/>
        <v>JUNIOQui2</v>
      </c>
      <c r="D170" s="11">
        <v>46190</v>
      </c>
      <c r="E170" s="17" t="s">
        <v>78</v>
      </c>
      <c r="F170">
        <f t="shared" si="17"/>
        <v>17</v>
      </c>
      <c r="G170" t="str">
        <f t="shared" si="18"/>
        <v>miércoles</v>
      </c>
      <c r="H170" t="s">
        <v>145</v>
      </c>
      <c r="I170" t="str">
        <f t="shared" si="15"/>
        <v>Qui13</v>
      </c>
      <c r="J170" t="str">
        <f t="shared" si="19"/>
        <v>13</v>
      </c>
      <c r="K170">
        <f t="shared" si="20"/>
        <v>25</v>
      </c>
      <c r="L170">
        <v>2026</v>
      </c>
    </row>
    <row r="171" spans="2:12">
      <c r="B171" t="str">
        <f t="shared" si="14"/>
        <v>JUNIOQui1325</v>
      </c>
      <c r="C171" t="str">
        <f t="shared" si="16"/>
        <v>JUNIOQui2</v>
      </c>
      <c r="D171" s="11">
        <v>46191</v>
      </c>
      <c r="E171" s="17" t="s">
        <v>78</v>
      </c>
      <c r="F171">
        <f t="shared" si="17"/>
        <v>18</v>
      </c>
      <c r="G171" t="str">
        <f t="shared" si="18"/>
        <v>jueves</v>
      </c>
      <c r="H171" t="s">
        <v>145</v>
      </c>
      <c r="I171" t="str">
        <f t="shared" si="15"/>
        <v>Qui13</v>
      </c>
      <c r="J171" t="str">
        <f t="shared" si="19"/>
        <v>13</v>
      </c>
      <c r="K171">
        <f t="shared" si="20"/>
        <v>25</v>
      </c>
      <c r="L171">
        <v>2026</v>
      </c>
    </row>
    <row r="172" spans="2:12">
      <c r="B172" t="str">
        <f t="shared" si="14"/>
        <v>JUNIOQui1325</v>
      </c>
      <c r="C172" t="str">
        <f t="shared" si="16"/>
        <v>JUNIOQui2</v>
      </c>
      <c r="D172" s="11">
        <v>46192</v>
      </c>
      <c r="E172" s="17" t="s">
        <v>78</v>
      </c>
      <c r="F172">
        <f t="shared" si="17"/>
        <v>19</v>
      </c>
      <c r="G172" t="str">
        <f t="shared" si="18"/>
        <v>viernes</v>
      </c>
      <c r="H172" t="s">
        <v>145</v>
      </c>
      <c r="I172" t="str">
        <f t="shared" si="15"/>
        <v>Qui13</v>
      </c>
      <c r="J172" t="str">
        <f t="shared" si="19"/>
        <v>13</v>
      </c>
      <c r="K172">
        <f t="shared" si="20"/>
        <v>25</v>
      </c>
      <c r="L172">
        <v>2026</v>
      </c>
    </row>
    <row r="173" spans="2:12">
      <c r="B173" t="str">
        <f t="shared" si="14"/>
        <v>JUNIOQui1325</v>
      </c>
      <c r="C173" t="str">
        <f t="shared" si="16"/>
        <v>JUNIOQui2</v>
      </c>
      <c r="D173" s="11">
        <v>46193</v>
      </c>
      <c r="E173" s="17" t="s">
        <v>78</v>
      </c>
      <c r="F173">
        <f t="shared" si="17"/>
        <v>20</v>
      </c>
      <c r="G173" t="str">
        <f t="shared" si="18"/>
        <v>sábado</v>
      </c>
      <c r="H173" t="s">
        <v>145</v>
      </c>
      <c r="I173" t="str">
        <f t="shared" si="15"/>
        <v>Qui13</v>
      </c>
      <c r="J173" t="str">
        <f t="shared" si="19"/>
        <v>13</v>
      </c>
      <c r="K173">
        <f t="shared" si="20"/>
        <v>25</v>
      </c>
      <c r="L173">
        <v>2026</v>
      </c>
    </row>
    <row r="174" spans="2:12">
      <c r="B174" t="str">
        <f t="shared" si="14"/>
        <v>JUNIOQui1325</v>
      </c>
      <c r="C174" t="str">
        <f t="shared" si="16"/>
        <v>JUNIOQui2</v>
      </c>
      <c r="D174" s="11">
        <v>46194</v>
      </c>
      <c r="E174" s="17" t="s">
        <v>78</v>
      </c>
      <c r="F174">
        <f t="shared" si="17"/>
        <v>21</v>
      </c>
      <c r="G174" t="str">
        <f t="shared" si="18"/>
        <v>domingo</v>
      </c>
      <c r="H174" t="s">
        <v>145</v>
      </c>
      <c r="I174" t="str">
        <f t="shared" si="15"/>
        <v>Qui13</v>
      </c>
      <c r="J174" t="str">
        <f t="shared" si="19"/>
        <v>13</v>
      </c>
      <c r="K174">
        <f t="shared" si="20"/>
        <v>25</v>
      </c>
      <c r="L174">
        <v>2026</v>
      </c>
    </row>
    <row r="175" spans="2:12">
      <c r="B175" t="str">
        <f t="shared" si="14"/>
        <v>JUNIOQui1326</v>
      </c>
      <c r="C175" t="str">
        <f t="shared" si="16"/>
        <v>JUNIOQui2</v>
      </c>
      <c r="D175" s="11">
        <v>46195</v>
      </c>
      <c r="E175" s="17" t="s">
        <v>78</v>
      </c>
      <c r="F175">
        <f t="shared" si="17"/>
        <v>22</v>
      </c>
      <c r="G175" t="str">
        <f t="shared" si="18"/>
        <v>lunes</v>
      </c>
      <c r="H175" t="s">
        <v>145</v>
      </c>
      <c r="I175" t="str">
        <f t="shared" si="15"/>
        <v>Qui13</v>
      </c>
      <c r="J175" t="str">
        <f t="shared" si="19"/>
        <v>13</v>
      </c>
      <c r="K175">
        <f t="shared" si="20"/>
        <v>26</v>
      </c>
      <c r="L175">
        <v>2026</v>
      </c>
    </row>
    <row r="176" spans="2:12">
      <c r="B176" t="str">
        <f t="shared" si="14"/>
        <v>JUNIOQui1326</v>
      </c>
      <c r="C176" t="str">
        <f t="shared" si="16"/>
        <v>JUNIOQui2</v>
      </c>
      <c r="D176" s="11">
        <v>46196</v>
      </c>
      <c r="E176" s="17" t="s">
        <v>78</v>
      </c>
      <c r="F176">
        <f t="shared" si="17"/>
        <v>23</v>
      </c>
      <c r="G176" t="str">
        <f t="shared" si="18"/>
        <v>martes</v>
      </c>
      <c r="H176" t="s">
        <v>145</v>
      </c>
      <c r="I176" t="str">
        <f t="shared" si="15"/>
        <v>Qui13</v>
      </c>
      <c r="J176" t="str">
        <f t="shared" si="19"/>
        <v>13</v>
      </c>
      <c r="K176">
        <f t="shared" si="20"/>
        <v>26</v>
      </c>
      <c r="L176">
        <v>2026</v>
      </c>
    </row>
    <row r="177" spans="2:12">
      <c r="B177" t="str">
        <f t="shared" si="14"/>
        <v>JUNIOQui1326</v>
      </c>
      <c r="C177" t="str">
        <f t="shared" si="16"/>
        <v>JUNIOQui2</v>
      </c>
      <c r="D177" s="11">
        <v>46197</v>
      </c>
      <c r="E177" s="17" t="s">
        <v>78</v>
      </c>
      <c r="F177">
        <f t="shared" si="17"/>
        <v>24</v>
      </c>
      <c r="G177" t="str">
        <f t="shared" si="18"/>
        <v>miércoles</v>
      </c>
      <c r="H177" t="s">
        <v>145</v>
      </c>
      <c r="I177" t="str">
        <f t="shared" si="15"/>
        <v>Qui13</v>
      </c>
      <c r="J177" t="str">
        <f t="shared" si="19"/>
        <v>13</v>
      </c>
      <c r="K177">
        <f t="shared" si="20"/>
        <v>26</v>
      </c>
      <c r="L177">
        <v>2026</v>
      </c>
    </row>
    <row r="178" spans="2:12">
      <c r="B178" t="str">
        <f t="shared" si="14"/>
        <v>JUNIOQui1326</v>
      </c>
      <c r="C178" t="str">
        <f t="shared" si="16"/>
        <v>JUNIOQui2</v>
      </c>
      <c r="D178" s="11">
        <v>46198</v>
      </c>
      <c r="E178" s="17" t="s">
        <v>78</v>
      </c>
      <c r="F178">
        <f t="shared" si="17"/>
        <v>25</v>
      </c>
      <c r="G178" t="str">
        <f t="shared" si="18"/>
        <v>jueves</v>
      </c>
      <c r="H178" t="s">
        <v>145</v>
      </c>
      <c r="I178" t="str">
        <f t="shared" si="15"/>
        <v>Qui13</v>
      </c>
      <c r="J178" t="str">
        <f t="shared" si="19"/>
        <v>13</v>
      </c>
      <c r="K178">
        <f t="shared" si="20"/>
        <v>26</v>
      </c>
      <c r="L178">
        <v>2026</v>
      </c>
    </row>
    <row r="179" spans="2:12">
      <c r="B179" t="str">
        <f t="shared" si="14"/>
        <v>JUNIOQui1326</v>
      </c>
      <c r="C179" t="str">
        <f t="shared" si="16"/>
        <v>JUNIOQui2</v>
      </c>
      <c r="D179" s="11">
        <v>46199</v>
      </c>
      <c r="E179" s="17" t="s">
        <v>78</v>
      </c>
      <c r="F179">
        <f t="shared" si="17"/>
        <v>26</v>
      </c>
      <c r="G179" t="str">
        <f t="shared" si="18"/>
        <v>viernes</v>
      </c>
      <c r="H179" t="s">
        <v>145</v>
      </c>
      <c r="I179" t="str">
        <f t="shared" si="15"/>
        <v>Qui13</v>
      </c>
      <c r="J179" t="str">
        <f t="shared" si="19"/>
        <v>13</v>
      </c>
      <c r="K179">
        <f t="shared" si="20"/>
        <v>26</v>
      </c>
      <c r="L179">
        <v>2026</v>
      </c>
    </row>
    <row r="180" spans="2:12">
      <c r="B180" t="str">
        <f t="shared" si="14"/>
        <v>JUNIOQui1326</v>
      </c>
      <c r="C180" t="str">
        <f t="shared" si="16"/>
        <v>JUNIOQui2</v>
      </c>
      <c r="D180" s="11">
        <v>46200</v>
      </c>
      <c r="E180" s="17" t="s">
        <v>78</v>
      </c>
      <c r="F180">
        <f t="shared" si="17"/>
        <v>27</v>
      </c>
      <c r="G180" t="str">
        <f t="shared" si="18"/>
        <v>sábado</v>
      </c>
      <c r="H180" t="s">
        <v>145</v>
      </c>
      <c r="I180" t="str">
        <f t="shared" si="15"/>
        <v>Qui13</v>
      </c>
      <c r="J180" t="str">
        <f t="shared" si="19"/>
        <v>13</v>
      </c>
      <c r="K180">
        <f t="shared" si="20"/>
        <v>26</v>
      </c>
      <c r="L180">
        <v>2026</v>
      </c>
    </row>
    <row r="181" spans="2:12">
      <c r="B181" t="str">
        <f t="shared" si="14"/>
        <v>JUNIOQui1326</v>
      </c>
      <c r="C181" t="str">
        <f t="shared" si="16"/>
        <v>JUNIOQui2</v>
      </c>
      <c r="D181" s="11">
        <v>46201</v>
      </c>
      <c r="E181" s="17" t="s">
        <v>78</v>
      </c>
      <c r="F181">
        <f t="shared" si="17"/>
        <v>28</v>
      </c>
      <c r="G181" t="str">
        <f t="shared" si="18"/>
        <v>domingo</v>
      </c>
      <c r="H181" t="s">
        <v>145</v>
      </c>
      <c r="I181" t="str">
        <f t="shared" si="15"/>
        <v>Qui13</v>
      </c>
      <c r="J181" t="str">
        <f t="shared" si="19"/>
        <v>13</v>
      </c>
      <c r="K181">
        <f t="shared" si="20"/>
        <v>26</v>
      </c>
      <c r="L181">
        <v>2026</v>
      </c>
    </row>
    <row r="182" spans="2:12">
      <c r="B182" t="str">
        <f t="shared" si="14"/>
        <v>JUNIOQui1427</v>
      </c>
      <c r="C182" t="str">
        <f t="shared" si="16"/>
        <v>JUNIOQui2</v>
      </c>
      <c r="D182" s="11">
        <v>46202</v>
      </c>
      <c r="E182" s="17" t="s">
        <v>78</v>
      </c>
      <c r="F182">
        <f t="shared" si="17"/>
        <v>29</v>
      </c>
      <c r="G182" t="str">
        <f t="shared" si="18"/>
        <v>lunes</v>
      </c>
      <c r="H182" t="s">
        <v>145</v>
      </c>
      <c r="I182" t="str">
        <f t="shared" si="15"/>
        <v>Qui14</v>
      </c>
      <c r="J182" t="str">
        <f t="shared" si="19"/>
        <v>14</v>
      </c>
      <c r="K182">
        <f t="shared" si="20"/>
        <v>27</v>
      </c>
      <c r="L182">
        <v>2026</v>
      </c>
    </row>
    <row r="183" spans="2:12">
      <c r="B183" t="str">
        <f t="shared" si="14"/>
        <v>JUNIOQui1427</v>
      </c>
      <c r="C183" t="str">
        <f t="shared" si="16"/>
        <v>JUNIOQui2</v>
      </c>
      <c r="D183" s="11">
        <v>46203</v>
      </c>
      <c r="E183" s="18" t="s">
        <v>78</v>
      </c>
      <c r="F183" s="5">
        <f t="shared" si="17"/>
        <v>30</v>
      </c>
      <c r="G183" s="5" t="str">
        <f t="shared" si="18"/>
        <v>martes</v>
      </c>
      <c r="H183" s="5" t="s">
        <v>145</v>
      </c>
      <c r="I183" s="5" t="str">
        <f t="shared" si="15"/>
        <v>Qui14</v>
      </c>
      <c r="J183" s="5" t="str">
        <f t="shared" si="19"/>
        <v>14</v>
      </c>
      <c r="K183" s="5">
        <f t="shared" si="20"/>
        <v>27</v>
      </c>
      <c r="L183" s="5">
        <v>2026</v>
      </c>
    </row>
    <row r="184" spans="2:12">
      <c r="B184" t="str">
        <f t="shared" si="14"/>
        <v>JULIOQui1427</v>
      </c>
      <c r="C184" t="str">
        <f t="shared" si="16"/>
        <v>JULIOQui1</v>
      </c>
      <c r="D184" s="11">
        <v>46204</v>
      </c>
      <c r="E184" s="15" t="s">
        <v>79</v>
      </c>
      <c r="F184" s="16">
        <f t="shared" si="17"/>
        <v>1</v>
      </c>
      <c r="G184" s="16" t="str">
        <f t="shared" si="18"/>
        <v>miércoles</v>
      </c>
      <c r="H184" s="16" t="s">
        <v>48</v>
      </c>
      <c r="I184" s="16" t="str">
        <f t="shared" si="15"/>
        <v>Qui14</v>
      </c>
      <c r="J184" s="16" t="str">
        <f t="shared" si="19"/>
        <v>14</v>
      </c>
      <c r="K184" s="16">
        <f t="shared" si="20"/>
        <v>27</v>
      </c>
      <c r="L184" s="16">
        <v>2026</v>
      </c>
    </row>
    <row r="185" spans="2:12">
      <c r="B185" t="str">
        <f t="shared" si="14"/>
        <v>JULIOQui1427</v>
      </c>
      <c r="C185" t="str">
        <f t="shared" si="16"/>
        <v>JULIOQui1</v>
      </c>
      <c r="D185" s="11">
        <v>46205</v>
      </c>
      <c r="E185" s="17" t="s">
        <v>79</v>
      </c>
      <c r="F185">
        <f t="shared" si="17"/>
        <v>2</v>
      </c>
      <c r="G185" t="str">
        <f t="shared" si="18"/>
        <v>jueves</v>
      </c>
      <c r="H185" t="s">
        <v>48</v>
      </c>
      <c r="I185" t="str">
        <f t="shared" si="15"/>
        <v>Qui14</v>
      </c>
      <c r="J185" t="str">
        <f t="shared" si="19"/>
        <v>14</v>
      </c>
      <c r="K185">
        <f t="shared" si="20"/>
        <v>27</v>
      </c>
      <c r="L185">
        <v>2026</v>
      </c>
    </row>
    <row r="186" spans="2:12">
      <c r="B186" t="str">
        <f t="shared" si="14"/>
        <v>JULIOQui1427</v>
      </c>
      <c r="C186" t="str">
        <f t="shared" si="16"/>
        <v>JULIOQui1</v>
      </c>
      <c r="D186" s="11">
        <v>46206</v>
      </c>
      <c r="E186" s="17" t="s">
        <v>79</v>
      </c>
      <c r="F186">
        <f t="shared" si="17"/>
        <v>3</v>
      </c>
      <c r="G186" t="str">
        <f t="shared" si="18"/>
        <v>viernes</v>
      </c>
      <c r="H186" t="s">
        <v>48</v>
      </c>
      <c r="I186" t="str">
        <f t="shared" si="15"/>
        <v>Qui14</v>
      </c>
      <c r="J186" t="str">
        <f t="shared" si="19"/>
        <v>14</v>
      </c>
      <c r="K186">
        <f t="shared" si="20"/>
        <v>27</v>
      </c>
      <c r="L186">
        <v>2026</v>
      </c>
    </row>
    <row r="187" spans="2:12">
      <c r="B187" t="str">
        <f t="shared" si="14"/>
        <v>JULIOQui1427</v>
      </c>
      <c r="C187" t="str">
        <f t="shared" si="16"/>
        <v>JULIOQui1</v>
      </c>
      <c r="D187" s="11">
        <v>46207</v>
      </c>
      <c r="E187" s="17" t="s">
        <v>79</v>
      </c>
      <c r="F187">
        <f t="shared" si="17"/>
        <v>4</v>
      </c>
      <c r="G187" t="str">
        <f t="shared" si="18"/>
        <v>sábado</v>
      </c>
      <c r="H187" t="s">
        <v>48</v>
      </c>
      <c r="I187" t="str">
        <f t="shared" si="15"/>
        <v>Qui14</v>
      </c>
      <c r="J187" t="str">
        <f t="shared" si="19"/>
        <v>14</v>
      </c>
      <c r="K187">
        <f t="shared" si="20"/>
        <v>27</v>
      </c>
      <c r="L187">
        <v>2026</v>
      </c>
    </row>
    <row r="188" spans="2:12">
      <c r="B188" t="str">
        <f t="shared" si="14"/>
        <v>JULIOQui1427</v>
      </c>
      <c r="C188" t="str">
        <f t="shared" si="16"/>
        <v>JULIOQui1</v>
      </c>
      <c r="D188" s="11">
        <v>46208</v>
      </c>
      <c r="E188" s="17" t="s">
        <v>79</v>
      </c>
      <c r="F188">
        <f t="shared" si="17"/>
        <v>5</v>
      </c>
      <c r="G188" t="str">
        <f t="shared" si="18"/>
        <v>domingo</v>
      </c>
      <c r="H188" t="s">
        <v>48</v>
      </c>
      <c r="I188" t="str">
        <f t="shared" si="15"/>
        <v>Qui14</v>
      </c>
      <c r="J188" t="str">
        <f t="shared" si="19"/>
        <v>14</v>
      </c>
      <c r="K188">
        <f t="shared" si="20"/>
        <v>27</v>
      </c>
      <c r="L188">
        <v>2026</v>
      </c>
    </row>
    <row r="189" spans="2:12">
      <c r="B189" t="str">
        <f t="shared" si="14"/>
        <v>JULIOQui1428</v>
      </c>
      <c r="C189" t="str">
        <f t="shared" si="16"/>
        <v>JULIOQui1</v>
      </c>
      <c r="D189" s="11">
        <v>46209</v>
      </c>
      <c r="E189" s="17" t="s">
        <v>79</v>
      </c>
      <c r="F189">
        <f t="shared" si="17"/>
        <v>6</v>
      </c>
      <c r="G189" t="str">
        <f t="shared" si="18"/>
        <v>lunes</v>
      </c>
      <c r="H189" t="s">
        <v>48</v>
      </c>
      <c r="I189" t="str">
        <f t="shared" si="15"/>
        <v>Qui14</v>
      </c>
      <c r="J189" t="str">
        <f t="shared" si="19"/>
        <v>14</v>
      </c>
      <c r="K189">
        <f t="shared" si="20"/>
        <v>28</v>
      </c>
      <c r="L189">
        <v>2026</v>
      </c>
    </row>
    <row r="190" spans="2:12">
      <c r="B190" t="str">
        <f t="shared" si="14"/>
        <v>JULIOQui1428</v>
      </c>
      <c r="C190" t="str">
        <f t="shared" si="16"/>
        <v>JULIOQui1</v>
      </c>
      <c r="D190" s="11">
        <v>46210</v>
      </c>
      <c r="E190" s="17" t="s">
        <v>79</v>
      </c>
      <c r="F190">
        <f t="shared" si="17"/>
        <v>7</v>
      </c>
      <c r="G190" t="str">
        <f t="shared" si="18"/>
        <v>martes</v>
      </c>
      <c r="H190" t="s">
        <v>48</v>
      </c>
      <c r="I190" t="str">
        <f t="shared" si="15"/>
        <v>Qui14</v>
      </c>
      <c r="J190" t="str">
        <f t="shared" si="19"/>
        <v>14</v>
      </c>
      <c r="K190">
        <f t="shared" si="20"/>
        <v>28</v>
      </c>
      <c r="L190">
        <v>2026</v>
      </c>
    </row>
    <row r="191" spans="2:12">
      <c r="B191" t="str">
        <f t="shared" si="14"/>
        <v>JULIOQui1428</v>
      </c>
      <c r="C191" t="str">
        <f t="shared" si="16"/>
        <v>JULIOQui1</v>
      </c>
      <c r="D191" s="11">
        <v>46211</v>
      </c>
      <c r="E191" s="17" t="s">
        <v>79</v>
      </c>
      <c r="F191">
        <f t="shared" si="17"/>
        <v>8</v>
      </c>
      <c r="G191" t="str">
        <f t="shared" si="18"/>
        <v>miércoles</v>
      </c>
      <c r="H191" t="s">
        <v>48</v>
      </c>
      <c r="I191" t="str">
        <f t="shared" si="15"/>
        <v>Qui14</v>
      </c>
      <c r="J191" t="str">
        <f t="shared" si="19"/>
        <v>14</v>
      </c>
      <c r="K191">
        <f t="shared" si="20"/>
        <v>28</v>
      </c>
      <c r="L191">
        <v>2026</v>
      </c>
    </row>
    <row r="192" spans="2:12">
      <c r="B192" t="str">
        <f t="shared" si="14"/>
        <v>JULIOQui1428</v>
      </c>
      <c r="C192" t="str">
        <f t="shared" si="16"/>
        <v>JULIOQui1</v>
      </c>
      <c r="D192" s="11">
        <v>46212</v>
      </c>
      <c r="E192" s="17" t="s">
        <v>79</v>
      </c>
      <c r="F192">
        <f t="shared" si="17"/>
        <v>9</v>
      </c>
      <c r="G192" t="str">
        <f t="shared" si="18"/>
        <v>jueves</v>
      </c>
      <c r="H192" t="s">
        <v>48</v>
      </c>
      <c r="I192" t="str">
        <f t="shared" si="15"/>
        <v>Qui14</v>
      </c>
      <c r="J192" t="str">
        <f t="shared" si="19"/>
        <v>14</v>
      </c>
      <c r="K192">
        <f t="shared" si="20"/>
        <v>28</v>
      </c>
      <c r="L192">
        <v>2026</v>
      </c>
    </row>
    <row r="193" spans="2:12">
      <c r="B193" t="str">
        <f t="shared" si="14"/>
        <v>JULIOQui1428</v>
      </c>
      <c r="C193" t="str">
        <f t="shared" si="16"/>
        <v>JULIOQui1</v>
      </c>
      <c r="D193" s="11">
        <v>46213</v>
      </c>
      <c r="E193" s="17" t="s">
        <v>79</v>
      </c>
      <c r="F193">
        <f t="shared" si="17"/>
        <v>10</v>
      </c>
      <c r="G193" t="str">
        <f t="shared" si="18"/>
        <v>viernes</v>
      </c>
      <c r="H193" t="s">
        <v>48</v>
      </c>
      <c r="I193" t="str">
        <f t="shared" si="15"/>
        <v>Qui14</v>
      </c>
      <c r="J193" t="str">
        <f t="shared" si="19"/>
        <v>14</v>
      </c>
      <c r="K193">
        <f t="shared" si="20"/>
        <v>28</v>
      </c>
      <c r="L193">
        <v>2026</v>
      </c>
    </row>
    <row r="194" spans="2:12">
      <c r="B194" t="str">
        <f t="shared" si="14"/>
        <v>JULIOQui1428</v>
      </c>
      <c r="C194" t="str">
        <f t="shared" si="16"/>
        <v>JULIOQui1</v>
      </c>
      <c r="D194" s="11">
        <v>46214</v>
      </c>
      <c r="E194" s="17" t="s">
        <v>79</v>
      </c>
      <c r="F194">
        <f t="shared" si="17"/>
        <v>11</v>
      </c>
      <c r="G194" t="str">
        <f t="shared" si="18"/>
        <v>sábado</v>
      </c>
      <c r="H194" t="s">
        <v>48</v>
      </c>
      <c r="I194" t="str">
        <f t="shared" si="15"/>
        <v>Qui14</v>
      </c>
      <c r="J194" t="str">
        <f t="shared" si="19"/>
        <v>14</v>
      </c>
      <c r="K194">
        <f t="shared" si="20"/>
        <v>28</v>
      </c>
      <c r="L194">
        <v>2026</v>
      </c>
    </row>
    <row r="195" spans="2:12">
      <c r="B195" t="str">
        <f t="shared" ref="B195:B258" si="21">+E195&amp;I195&amp;K195</f>
        <v>JULIOQui1428</v>
      </c>
      <c r="C195" t="str">
        <f t="shared" si="16"/>
        <v>JULIOQui1</v>
      </c>
      <c r="D195" s="11">
        <v>46215</v>
      </c>
      <c r="E195" s="17" t="s">
        <v>79</v>
      </c>
      <c r="F195">
        <f t="shared" si="17"/>
        <v>12</v>
      </c>
      <c r="G195" t="str">
        <f t="shared" si="18"/>
        <v>domingo</v>
      </c>
      <c r="H195" t="s">
        <v>48</v>
      </c>
      <c r="I195" t="str">
        <f t="shared" ref="I195:I258" si="22">+"Qui"&amp;ROUNDUP(K195/2,0)</f>
        <v>Qui14</v>
      </c>
      <c r="J195" t="str">
        <f t="shared" si="19"/>
        <v>14</v>
      </c>
      <c r="K195">
        <f t="shared" si="20"/>
        <v>28</v>
      </c>
      <c r="L195">
        <v>2026</v>
      </c>
    </row>
    <row r="196" spans="2:12">
      <c r="B196" t="str">
        <f t="shared" si="21"/>
        <v>JULIOQui1529</v>
      </c>
      <c r="C196" t="str">
        <f t="shared" ref="C196:C259" si="23">+E196&amp;H196</f>
        <v>JULIOQui1</v>
      </c>
      <c r="D196" s="11">
        <v>46216</v>
      </c>
      <c r="E196" s="17" t="s">
        <v>79</v>
      </c>
      <c r="F196">
        <f t="shared" ref="F196:F259" si="24">+DAY(D196)</f>
        <v>13</v>
      </c>
      <c r="G196" t="str">
        <f t="shared" ref="G196:G259" si="25">+TEXT(D196,"DDDDDD")</f>
        <v>lunes</v>
      </c>
      <c r="H196" t="s">
        <v>48</v>
      </c>
      <c r="I196" t="str">
        <f t="shared" si="22"/>
        <v>Qui15</v>
      </c>
      <c r="J196" t="str">
        <f t="shared" ref="J196:J259" si="26">+MID(I196,4,2)</f>
        <v>15</v>
      </c>
      <c r="K196">
        <f t="shared" ref="K196:K259" si="27">+_xlfn.ISOWEEKNUM(D196)</f>
        <v>29</v>
      </c>
      <c r="L196">
        <v>2026</v>
      </c>
    </row>
    <row r="197" spans="2:12">
      <c r="B197" t="str">
        <f t="shared" si="21"/>
        <v>JULIOQui1529</v>
      </c>
      <c r="C197" t="str">
        <f t="shared" si="23"/>
        <v>JULIOQui1</v>
      </c>
      <c r="D197" s="11">
        <v>46217</v>
      </c>
      <c r="E197" s="17" t="s">
        <v>79</v>
      </c>
      <c r="F197">
        <f t="shared" si="24"/>
        <v>14</v>
      </c>
      <c r="G197" t="str">
        <f t="shared" si="25"/>
        <v>martes</v>
      </c>
      <c r="H197" t="s">
        <v>48</v>
      </c>
      <c r="I197" t="str">
        <f t="shared" si="22"/>
        <v>Qui15</v>
      </c>
      <c r="J197" t="str">
        <f t="shared" si="26"/>
        <v>15</v>
      </c>
      <c r="K197">
        <f t="shared" si="27"/>
        <v>29</v>
      </c>
      <c r="L197">
        <v>2026</v>
      </c>
    </row>
    <row r="198" spans="2:12">
      <c r="B198" t="str">
        <f t="shared" si="21"/>
        <v>JULIOQui1529</v>
      </c>
      <c r="C198" t="str">
        <f t="shared" si="23"/>
        <v>JULIOQui1</v>
      </c>
      <c r="D198" s="11">
        <v>46218</v>
      </c>
      <c r="E198" s="17" t="s">
        <v>79</v>
      </c>
      <c r="F198">
        <f t="shared" si="24"/>
        <v>15</v>
      </c>
      <c r="G198" t="str">
        <f t="shared" si="25"/>
        <v>miércoles</v>
      </c>
      <c r="H198" t="s">
        <v>48</v>
      </c>
      <c r="I198" t="str">
        <f t="shared" si="22"/>
        <v>Qui15</v>
      </c>
      <c r="J198" t="str">
        <f t="shared" si="26"/>
        <v>15</v>
      </c>
      <c r="K198">
        <f t="shared" si="27"/>
        <v>29</v>
      </c>
      <c r="L198">
        <v>2026</v>
      </c>
    </row>
    <row r="199" spans="2:12">
      <c r="B199" t="str">
        <f t="shared" si="21"/>
        <v>JULIOQui1529</v>
      </c>
      <c r="C199" t="str">
        <f t="shared" si="23"/>
        <v>JULIOQui2</v>
      </c>
      <c r="D199" s="11">
        <v>46219</v>
      </c>
      <c r="E199" s="17" t="s">
        <v>79</v>
      </c>
      <c r="F199">
        <f t="shared" si="24"/>
        <v>16</v>
      </c>
      <c r="G199" t="str">
        <f t="shared" si="25"/>
        <v>jueves</v>
      </c>
      <c r="H199" t="s">
        <v>145</v>
      </c>
      <c r="I199" t="str">
        <f t="shared" si="22"/>
        <v>Qui15</v>
      </c>
      <c r="J199" t="str">
        <f t="shared" si="26"/>
        <v>15</v>
      </c>
      <c r="K199">
        <f t="shared" si="27"/>
        <v>29</v>
      </c>
      <c r="L199">
        <v>2026</v>
      </c>
    </row>
    <row r="200" spans="2:12">
      <c r="B200" t="str">
        <f t="shared" si="21"/>
        <v>JULIOQui1529</v>
      </c>
      <c r="C200" t="str">
        <f t="shared" si="23"/>
        <v>JULIOQui2</v>
      </c>
      <c r="D200" s="11">
        <v>46220</v>
      </c>
      <c r="E200" s="17" t="s">
        <v>79</v>
      </c>
      <c r="F200">
        <f t="shared" si="24"/>
        <v>17</v>
      </c>
      <c r="G200" t="str">
        <f t="shared" si="25"/>
        <v>viernes</v>
      </c>
      <c r="H200" t="s">
        <v>145</v>
      </c>
      <c r="I200" t="str">
        <f t="shared" si="22"/>
        <v>Qui15</v>
      </c>
      <c r="J200" t="str">
        <f t="shared" si="26"/>
        <v>15</v>
      </c>
      <c r="K200">
        <f t="shared" si="27"/>
        <v>29</v>
      </c>
      <c r="L200">
        <v>2026</v>
      </c>
    </row>
    <row r="201" spans="2:12">
      <c r="B201" t="str">
        <f t="shared" si="21"/>
        <v>JULIOQui1529</v>
      </c>
      <c r="C201" t="str">
        <f t="shared" si="23"/>
        <v>JULIOQui2</v>
      </c>
      <c r="D201" s="11">
        <v>46221</v>
      </c>
      <c r="E201" s="17" t="s">
        <v>79</v>
      </c>
      <c r="F201">
        <f t="shared" si="24"/>
        <v>18</v>
      </c>
      <c r="G201" t="str">
        <f t="shared" si="25"/>
        <v>sábado</v>
      </c>
      <c r="H201" t="s">
        <v>145</v>
      </c>
      <c r="I201" t="str">
        <f t="shared" si="22"/>
        <v>Qui15</v>
      </c>
      <c r="J201" t="str">
        <f t="shared" si="26"/>
        <v>15</v>
      </c>
      <c r="K201">
        <f t="shared" si="27"/>
        <v>29</v>
      </c>
      <c r="L201">
        <v>2026</v>
      </c>
    </row>
    <row r="202" spans="2:12">
      <c r="B202" t="str">
        <f t="shared" si="21"/>
        <v>JULIOQui1529</v>
      </c>
      <c r="C202" t="str">
        <f t="shared" si="23"/>
        <v>JULIOQui2</v>
      </c>
      <c r="D202" s="11">
        <v>46222</v>
      </c>
      <c r="E202" s="17" t="s">
        <v>79</v>
      </c>
      <c r="F202">
        <f t="shared" si="24"/>
        <v>19</v>
      </c>
      <c r="G202" t="str">
        <f t="shared" si="25"/>
        <v>domingo</v>
      </c>
      <c r="H202" t="s">
        <v>145</v>
      </c>
      <c r="I202" t="str">
        <f t="shared" si="22"/>
        <v>Qui15</v>
      </c>
      <c r="J202" t="str">
        <f t="shared" si="26"/>
        <v>15</v>
      </c>
      <c r="K202">
        <f t="shared" si="27"/>
        <v>29</v>
      </c>
      <c r="L202">
        <v>2026</v>
      </c>
    </row>
    <row r="203" spans="2:12">
      <c r="B203" t="str">
        <f t="shared" si="21"/>
        <v>JULIOQui1530</v>
      </c>
      <c r="C203" t="str">
        <f t="shared" si="23"/>
        <v>JULIOQui2</v>
      </c>
      <c r="D203" s="11">
        <v>46223</v>
      </c>
      <c r="E203" s="17" t="s">
        <v>79</v>
      </c>
      <c r="F203">
        <f t="shared" si="24"/>
        <v>20</v>
      </c>
      <c r="G203" t="str">
        <f t="shared" si="25"/>
        <v>lunes</v>
      </c>
      <c r="H203" t="s">
        <v>145</v>
      </c>
      <c r="I203" t="str">
        <f t="shared" si="22"/>
        <v>Qui15</v>
      </c>
      <c r="J203" t="str">
        <f t="shared" si="26"/>
        <v>15</v>
      </c>
      <c r="K203">
        <f t="shared" si="27"/>
        <v>30</v>
      </c>
      <c r="L203">
        <v>2026</v>
      </c>
    </row>
    <row r="204" spans="2:12">
      <c r="B204" t="str">
        <f t="shared" si="21"/>
        <v>JULIOQui1530</v>
      </c>
      <c r="C204" t="str">
        <f t="shared" si="23"/>
        <v>JULIOQui2</v>
      </c>
      <c r="D204" s="11">
        <v>46224</v>
      </c>
      <c r="E204" s="17" t="s">
        <v>79</v>
      </c>
      <c r="F204">
        <f t="shared" si="24"/>
        <v>21</v>
      </c>
      <c r="G204" t="str">
        <f t="shared" si="25"/>
        <v>martes</v>
      </c>
      <c r="H204" t="s">
        <v>145</v>
      </c>
      <c r="I204" t="str">
        <f t="shared" si="22"/>
        <v>Qui15</v>
      </c>
      <c r="J204" t="str">
        <f t="shared" si="26"/>
        <v>15</v>
      </c>
      <c r="K204">
        <f t="shared" si="27"/>
        <v>30</v>
      </c>
      <c r="L204">
        <v>2026</v>
      </c>
    </row>
    <row r="205" spans="2:12">
      <c r="B205" t="str">
        <f t="shared" si="21"/>
        <v>JULIOQui1530</v>
      </c>
      <c r="C205" t="str">
        <f t="shared" si="23"/>
        <v>JULIOQui2</v>
      </c>
      <c r="D205" s="11">
        <v>46225</v>
      </c>
      <c r="E205" s="17" t="s">
        <v>79</v>
      </c>
      <c r="F205">
        <f t="shared" si="24"/>
        <v>22</v>
      </c>
      <c r="G205" t="str">
        <f t="shared" si="25"/>
        <v>miércoles</v>
      </c>
      <c r="H205" t="s">
        <v>145</v>
      </c>
      <c r="I205" t="str">
        <f t="shared" si="22"/>
        <v>Qui15</v>
      </c>
      <c r="J205" t="str">
        <f t="shared" si="26"/>
        <v>15</v>
      </c>
      <c r="K205">
        <f t="shared" si="27"/>
        <v>30</v>
      </c>
      <c r="L205">
        <v>2026</v>
      </c>
    </row>
    <row r="206" spans="2:12">
      <c r="B206" t="str">
        <f t="shared" si="21"/>
        <v>JULIOQui1530</v>
      </c>
      <c r="C206" t="str">
        <f t="shared" si="23"/>
        <v>JULIOQui2</v>
      </c>
      <c r="D206" s="11">
        <v>46226</v>
      </c>
      <c r="E206" s="17" t="s">
        <v>79</v>
      </c>
      <c r="F206">
        <f t="shared" si="24"/>
        <v>23</v>
      </c>
      <c r="G206" t="str">
        <f t="shared" si="25"/>
        <v>jueves</v>
      </c>
      <c r="H206" t="s">
        <v>145</v>
      </c>
      <c r="I206" t="str">
        <f t="shared" si="22"/>
        <v>Qui15</v>
      </c>
      <c r="J206" t="str">
        <f t="shared" si="26"/>
        <v>15</v>
      </c>
      <c r="K206">
        <f t="shared" si="27"/>
        <v>30</v>
      </c>
      <c r="L206">
        <v>2026</v>
      </c>
    </row>
    <row r="207" spans="2:12">
      <c r="B207" t="str">
        <f t="shared" si="21"/>
        <v>JULIOQui1530</v>
      </c>
      <c r="C207" t="str">
        <f t="shared" si="23"/>
        <v>JULIOQui2</v>
      </c>
      <c r="D207" s="11">
        <v>46227</v>
      </c>
      <c r="E207" s="17" t="s">
        <v>79</v>
      </c>
      <c r="F207">
        <f t="shared" si="24"/>
        <v>24</v>
      </c>
      <c r="G207" t="str">
        <f t="shared" si="25"/>
        <v>viernes</v>
      </c>
      <c r="H207" t="s">
        <v>145</v>
      </c>
      <c r="I207" t="str">
        <f t="shared" si="22"/>
        <v>Qui15</v>
      </c>
      <c r="J207" t="str">
        <f t="shared" si="26"/>
        <v>15</v>
      </c>
      <c r="K207">
        <f t="shared" si="27"/>
        <v>30</v>
      </c>
      <c r="L207">
        <v>2026</v>
      </c>
    </row>
    <row r="208" spans="2:12">
      <c r="B208" t="str">
        <f t="shared" si="21"/>
        <v>JULIOQui1530</v>
      </c>
      <c r="C208" t="str">
        <f t="shared" si="23"/>
        <v>JULIOQui2</v>
      </c>
      <c r="D208" s="11">
        <v>46228</v>
      </c>
      <c r="E208" s="17" t="s">
        <v>79</v>
      </c>
      <c r="F208">
        <f t="shared" si="24"/>
        <v>25</v>
      </c>
      <c r="G208" t="str">
        <f t="shared" si="25"/>
        <v>sábado</v>
      </c>
      <c r="H208" t="s">
        <v>145</v>
      </c>
      <c r="I208" t="str">
        <f t="shared" si="22"/>
        <v>Qui15</v>
      </c>
      <c r="J208" t="str">
        <f t="shared" si="26"/>
        <v>15</v>
      </c>
      <c r="K208">
        <f t="shared" si="27"/>
        <v>30</v>
      </c>
      <c r="L208">
        <v>2026</v>
      </c>
    </row>
    <row r="209" spans="2:12">
      <c r="B209" t="str">
        <f t="shared" si="21"/>
        <v>JULIOQui1530</v>
      </c>
      <c r="C209" t="str">
        <f t="shared" si="23"/>
        <v>JULIOQui2</v>
      </c>
      <c r="D209" s="11">
        <v>46229</v>
      </c>
      <c r="E209" s="17" t="s">
        <v>79</v>
      </c>
      <c r="F209">
        <f t="shared" si="24"/>
        <v>26</v>
      </c>
      <c r="G209" t="str">
        <f t="shared" si="25"/>
        <v>domingo</v>
      </c>
      <c r="H209" t="s">
        <v>145</v>
      </c>
      <c r="I209" t="str">
        <f t="shared" si="22"/>
        <v>Qui15</v>
      </c>
      <c r="J209" t="str">
        <f t="shared" si="26"/>
        <v>15</v>
      </c>
      <c r="K209">
        <f t="shared" si="27"/>
        <v>30</v>
      </c>
      <c r="L209">
        <v>2026</v>
      </c>
    </row>
    <row r="210" spans="2:12">
      <c r="B210" t="str">
        <f t="shared" si="21"/>
        <v>JULIOQui1631</v>
      </c>
      <c r="C210" t="str">
        <f t="shared" si="23"/>
        <v>JULIOQui2</v>
      </c>
      <c r="D210" s="11">
        <v>46230</v>
      </c>
      <c r="E210" s="17" t="s">
        <v>79</v>
      </c>
      <c r="F210">
        <f t="shared" si="24"/>
        <v>27</v>
      </c>
      <c r="G210" t="str">
        <f t="shared" si="25"/>
        <v>lunes</v>
      </c>
      <c r="H210" t="s">
        <v>145</v>
      </c>
      <c r="I210" t="str">
        <f t="shared" si="22"/>
        <v>Qui16</v>
      </c>
      <c r="J210" t="str">
        <f t="shared" si="26"/>
        <v>16</v>
      </c>
      <c r="K210">
        <f t="shared" si="27"/>
        <v>31</v>
      </c>
      <c r="L210">
        <v>2026</v>
      </c>
    </row>
    <row r="211" spans="2:12">
      <c r="B211" t="str">
        <f t="shared" si="21"/>
        <v>JULIOQui1631</v>
      </c>
      <c r="C211" t="str">
        <f t="shared" si="23"/>
        <v>JULIOQui2</v>
      </c>
      <c r="D211" s="11">
        <v>46231</v>
      </c>
      <c r="E211" s="17" t="s">
        <v>79</v>
      </c>
      <c r="F211">
        <f t="shared" si="24"/>
        <v>28</v>
      </c>
      <c r="G211" t="str">
        <f t="shared" si="25"/>
        <v>martes</v>
      </c>
      <c r="H211" t="s">
        <v>145</v>
      </c>
      <c r="I211" t="str">
        <f t="shared" si="22"/>
        <v>Qui16</v>
      </c>
      <c r="J211" t="str">
        <f t="shared" si="26"/>
        <v>16</v>
      </c>
      <c r="K211">
        <f t="shared" si="27"/>
        <v>31</v>
      </c>
      <c r="L211">
        <v>2026</v>
      </c>
    </row>
    <row r="212" spans="2:12">
      <c r="B212" t="str">
        <f t="shared" si="21"/>
        <v>JULIOQui1631</v>
      </c>
      <c r="C212" t="str">
        <f t="shared" si="23"/>
        <v>JULIOQui2</v>
      </c>
      <c r="D212" s="11">
        <v>46232</v>
      </c>
      <c r="E212" s="17" t="s">
        <v>79</v>
      </c>
      <c r="F212">
        <f t="shared" si="24"/>
        <v>29</v>
      </c>
      <c r="G212" t="str">
        <f t="shared" si="25"/>
        <v>miércoles</v>
      </c>
      <c r="H212" t="s">
        <v>145</v>
      </c>
      <c r="I212" t="str">
        <f t="shared" si="22"/>
        <v>Qui16</v>
      </c>
      <c r="J212" t="str">
        <f t="shared" si="26"/>
        <v>16</v>
      </c>
      <c r="K212">
        <f t="shared" si="27"/>
        <v>31</v>
      </c>
      <c r="L212">
        <v>2026</v>
      </c>
    </row>
    <row r="213" spans="2:12">
      <c r="B213" t="str">
        <f t="shared" si="21"/>
        <v>JULIOQui1631</v>
      </c>
      <c r="C213" t="str">
        <f t="shared" si="23"/>
        <v>JULIOQui2</v>
      </c>
      <c r="D213" s="11">
        <v>46233</v>
      </c>
      <c r="E213" s="17" t="s">
        <v>79</v>
      </c>
      <c r="F213">
        <f t="shared" si="24"/>
        <v>30</v>
      </c>
      <c r="G213" t="str">
        <f t="shared" si="25"/>
        <v>jueves</v>
      </c>
      <c r="H213" t="s">
        <v>145</v>
      </c>
      <c r="I213" t="str">
        <f t="shared" si="22"/>
        <v>Qui16</v>
      </c>
      <c r="J213" t="str">
        <f t="shared" si="26"/>
        <v>16</v>
      </c>
      <c r="K213">
        <f t="shared" si="27"/>
        <v>31</v>
      </c>
      <c r="L213">
        <v>2026</v>
      </c>
    </row>
    <row r="214" spans="2:12">
      <c r="B214" t="str">
        <f t="shared" si="21"/>
        <v>JULIOQui1631</v>
      </c>
      <c r="C214" t="str">
        <f t="shared" si="23"/>
        <v>JULIOQui2</v>
      </c>
      <c r="D214" s="11">
        <v>46234</v>
      </c>
      <c r="E214" s="18" t="s">
        <v>79</v>
      </c>
      <c r="F214" s="5">
        <f t="shared" si="24"/>
        <v>31</v>
      </c>
      <c r="G214" s="5" t="str">
        <f t="shared" si="25"/>
        <v>viernes</v>
      </c>
      <c r="H214" s="5" t="s">
        <v>145</v>
      </c>
      <c r="I214" s="5" t="str">
        <f t="shared" si="22"/>
        <v>Qui16</v>
      </c>
      <c r="J214" s="5" t="str">
        <f t="shared" si="26"/>
        <v>16</v>
      </c>
      <c r="K214" s="5">
        <f t="shared" si="27"/>
        <v>31</v>
      </c>
      <c r="L214" s="5">
        <v>2026</v>
      </c>
    </row>
    <row r="215" spans="2:12">
      <c r="B215" t="str">
        <f t="shared" si="21"/>
        <v>AGOSTOQui1631</v>
      </c>
      <c r="C215" t="str">
        <f t="shared" si="23"/>
        <v>AGOSTOQui1</v>
      </c>
      <c r="D215" s="11">
        <v>46235</v>
      </c>
      <c r="E215" s="15" t="s">
        <v>80</v>
      </c>
      <c r="F215" s="16">
        <f t="shared" si="24"/>
        <v>1</v>
      </c>
      <c r="G215" s="16" t="str">
        <f t="shared" si="25"/>
        <v>sábado</v>
      </c>
      <c r="H215" s="16" t="s">
        <v>48</v>
      </c>
      <c r="I215" s="16" t="str">
        <f t="shared" si="22"/>
        <v>Qui16</v>
      </c>
      <c r="J215" s="16" t="str">
        <f t="shared" si="26"/>
        <v>16</v>
      </c>
      <c r="K215" s="16">
        <f t="shared" si="27"/>
        <v>31</v>
      </c>
      <c r="L215" s="16">
        <v>2026</v>
      </c>
    </row>
    <row r="216" spans="2:12">
      <c r="B216" t="str">
        <f t="shared" si="21"/>
        <v>AGOSTOQui1631</v>
      </c>
      <c r="C216" t="str">
        <f t="shared" si="23"/>
        <v>AGOSTOQui1</v>
      </c>
      <c r="D216" s="11">
        <v>46236</v>
      </c>
      <c r="E216" s="17" t="s">
        <v>80</v>
      </c>
      <c r="F216">
        <f t="shared" si="24"/>
        <v>2</v>
      </c>
      <c r="G216" t="str">
        <f t="shared" si="25"/>
        <v>domingo</v>
      </c>
      <c r="H216" t="s">
        <v>48</v>
      </c>
      <c r="I216" t="str">
        <f t="shared" si="22"/>
        <v>Qui16</v>
      </c>
      <c r="J216" t="str">
        <f t="shared" si="26"/>
        <v>16</v>
      </c>
      <c r="K216">
        <f t="shared" si="27"/>
        <v>31</v>
      </c>
      <c r="L216">
        <v>2026</v>
      </c>
    </row>
    <row r="217" spans="2:12">
      <c r="B217" t="str">
        <f t="shared" si="21"/>
        <v>AGOSTOQui1632</v>
      </c>
      <c r="C217" t="str">
        <f t="shared" si="23"/>
        <v>AGOSTOQui1</v>
      </c>
      <c r="D217" s="11">
        <v>46237</v>
      </c>
      <c r="E217" s="17" t="s">
        <v>80</v>
      </c>
      <c r="F217">
        <f t="shared" si="24"/>
        <v>3</v>
      </c>
      <c r="G217" t="str">
        <f t="shared" si="25"/>
        <v>lunes</v>
      </c>
      <c r="H217" t="s">
        <v>48</v>
      </c>
      <c r="I217" t="str">
        <f t="shared" si="22"/>
        <v>Qui16</v>
      </c>
      <c r="J217" t="str">
        <f t="shared" si="26"/>
        <v>16</v>
      </c>
      <c r="K217">
        <f t="shared" si="27"/>
        <v>32</v>
      </c>
      <c r="L217">
        <v>2026</v>
      </c>
    </row>
    <row r="218" spans="2:12">
      <c r="B218" t="str">
        <f t="shared" si="21"/>
        <v>AGOSTOQui1632</v>
      </c>
      <c r="C218" t="str">
        <f t="shared" si="23"/>
        <v>AGOSTOQui1</v>
      </c>
      <c r="D218" s="11">
        <v>46238</v>
      </c>
      <c r="E218" s="17" t="s">
        <v>80</v>
      </c>
      <c r="F218">
        <f t="shared" si="24"/>
        <v>4</v>
      </c>
      <c r="G218" t="str">
        <f t="shared" si="25"/>
        <v>martes</v>
      </c>
      <c r="H218" t="s">
        <v>48</v>
      </c>
      <c r="I218" t="str">
        <f t="shared" si="22"/>
        <v>Qui16</v>
      </c>
      <c r="J218" t="str">
        <f t="shared" si="26"/>
        <v>16</v>
      </c>
      <c r="K218">
        <f t="shared" si="27"/>
        <v>32</v>
      </c>
      <c r="L218">
        <v>2026</v>
      </c>
    </row>
    <row r="219" spans="2:12">
      <c r="B219" t="str">
        <f t="shared" si="21"/>
        <v>AGOSTOQui1632</v>
      </c>
      <c r="C219" t="str">
        <f t="shared" si="23"/>
        <v>AGOSTOQui1</v>
      </c>
      <c r="D219" s="11">
        <v>46239</v>
      </c>
      <c r="E219" s="17" t="s">
        <v>80</v>
      </c>
      <c r="F219">
        <f t="shared" si="24"/>
        <v>5</v>
      </c>
      <c r="G219" t="str">
        <f t="shared" si="25"/>
        <v>miércoles</v>
      </c>
      <c r="H219" t="s">
        <v>48</v>
      </c>
      <c r="I219" t="str">
        <f t="shared" si="22"/>
        <v>Qui16</v>
      </c>
      <c r="J219" t="str">
        <f t="shared" si="26"/>
        <v>16</v>
      </c>
      <c r="K219">
        <f t="shared" si="27"/>
        <v>32</v>
      </c>
      <c r="L219">
        <v>2026</v>
      </c>
    </row>
    <row r="220" spans="2:12">
      <c r="B220" t="str">
        <f t="shared" si="21"/>
        <v>AGOSTOQui1632</v>
      </c>
      <c r="C220" t="str">
        <f t="shared" si="23"/>
        <v>AGOSTOQui1</v>
      </c>
      <c r="D220" s="11">
        <v>46240</v>
      </c>
      <c r="E220" s="17" t="s">
        <v>80</v>
      </c>
      <c r="F220">
        <f t="shared" si="24"/>
        <v>6</v>
      </c>
      <c r="G220" t="str">
        <f t="shared" si="25"/>
        <v>jueves</v>
      </c>
      <c r="H220" t="s">
        <v>48</v>
      </c>
      <c r="I220" t="str">
        <f t="shared" si="22"/>
        <v>Qui16</v>
      </c>
      <c r="J220" t="str">
        <f t="shared" si="26"/>
        <v>16</v>
      </c>
      <c r="K220">
        <f t="shared" si="27"/>
        <v>32</v>
      </c>
      <c r="L220">
        <v>2026</v>
      </c>
    </row>
    <row r="221" spans="2:12">
      <c r="B221" t="str">
        <f t="shared" si="21"/>
        <v>AGOSTOQui1632</v>
      </c>
      <c r="C221" t="str">
        <f t="shared" si="23"/>
        <v>AGOSTOQui1</v>
      </c>
      <c r="D221" s="11">
        <v>46241</v>
      </c>
      <c r="E221" s="17" t="s">
        <v>80</v>
      </c>
      <c r="F221">
        <f t="shared" si="24"/>
        <v>7</v>
      </c>
      <c r="G221" t="str">
        <f t="shared" si="25"/>
        <v>viernes</v>
      </c>
      <c r="H221" t="s">
        <v>48</v>
      </c>
      <c r="I221" t="str">
        <f t="shared" si="22"/>
        <v>Qui16</v>
      </c>
      <c r="J221" t="str">
        <f t="shared" si="26"/>
        <v>16</v>
      </c>
      <c r="K221">
        <f t="shared" si="27"/>
        <v>32</v>
      </c>
      <c r="L221">
        <v>2026</v>
      </c>
    </row>
    <row r="222" spans="2:12">
      <c r="B222" t="str">
        <f t="shared" si="21"/>
        <v>AGOSTOQui1632</v>
      </c>
      <c r="C222" t="str">
        <f t="shared" si="23"/>
        <v>AGOSTOQui1</v>
      </c>
      <c r="D222" s="11">
        <v>46242</v>
      </c>
      <c r="E222" s="17" t="s">
        <v>80</v>
      </c>
      <c r="F222">
        <f t="shared" si="24"/>
        <v>8</v>
      </c>
      <c r="G222" t="str">
        <f t="shared" si="25"/>
        <v>sábado</v>
      </c>
      <c r="H222" t="s">
        <v>48</v>
      </c>
      <c r="I222" t="str">
        <f t="shared" si="22"/>
        <v>Qui16</v>
      </c>
      <c r="J222" t="str">
        <f t="shared" si="26"/>
        <v>16</v>
      </c>
      <c r="K222">
        <f t="shared" si="27"/>
        <v>32</v>
      </c>
      <c r="L222">
        <v>2026</v>
      </c>
    </row>
    <row r="223" spans="2:12">
      <c r="B223" t="str">
        <f t="shared" si="21"/>
        <v>AGOSTOQui1632</v>
      </c>
      <c r="C223" t="str">
        <f t="shared" si="23"/>
        <v>AGOSTOQui1</v>
      </c>
      <c r="D223" s="11">
        <v>46243</v>
      </c>
      <c r="E223" s="17" t="s">
        <v>80</v>
      </c>
      <c r="F223">
        <f t="shared" si="24"/>
        <v>9</v>
      </c>
      <c r="G223" t="str">
        <f t="shared" si="25"/>
        <v>domingo</v>
      </c>
      <c r="H223" t="s">
        <v>48</v>
      </c>
      <c r="I223" t="str">
        <f t="shared" si="22"/>
        <v>Qui16</v>
      </c>
      <c r="J223" t="str">
        <f t="shared" si="26"/>
        <v>16</v>
      </c>
      <c r="K223">
        <f t="shared" si="27"/>
        <v>32</v>
      </c>
      <c r="L223">
        <v>2026</v>
      </c>
    </row>
    <row r="224" spans="2:12">
      <c r="B224" t="str">
        <f t="shared" si="21"/>
        <v>AGOSTOQui1733</v>
      </c>
      <c r="C224" t="str">
        <f t="shared" si="23"/>
        <v>AGOSTOQui1</v>
      </c>
      <c r="D224" s="11">
        <v>46244</v>
      </c>
      <c r="E224" s="17" t="s">
        <v>80</v>
      </c>
      <c r="F224">
        <f t="shared" si="24"/>
        <v>10</v>
      </c>
      <c r="G224" t="str">
        <f t="shared" si="25"/>
        <v>lunes</v>
      </c>
      <c r="H224" t="s">
        <v>48</v>
      </c>
      <c r="I224" t="str">
        <f t="shared" si="22"/>
        <v>Qui17</v>
      </c>
      <c r="J224" t="str">
        <f t="shared" si="26"/>
        <v>17</v>
      </c>
      <c r="K224">
        <f t="shared" si="27"/>
        <v>33</v>
      </c>
      <c r="L224">
        <v>2026</v>
      </c>
    </row>
    <row r="225" spans="2:12">
      <c r="B225" t="str">
        <f t="shared" si="21"/>
        <v>AGOSTOQui1733</v>
      </c>
      <c r="C225" t="str">
        <f t="shared" si="23"/>
        <v>AGOSTOQui1</v>
      </c>
      <c r="D225" s="11">
        <v>46245</v>
      </c>
      <c r="E225" s="17" t="s">
        <v>80</v>
      </c>
      <c r="F225">
        <f t="shared" si="24"/>
        <v>11</v>
      </c>
      <c r="G225" t="str">
        <f t="shared" si="25"/>
        <v>martes</v>
      </c>
      <c r="H225" t="s">
        <v>48</v>
      </c>
      <c r="I225" t="str">
        <f t="shared" si="22"/>
        <v>Qui17</v>
      </c>
      <c r="J225" t="str">
        <f t="shared" si="26"/>
        <v>17</v>
      </c>
      <c r="K225">
        <f t="shared" si="27"/>
        <v>33</v>
      </c>
      <c r="L225">
        <v>2026</v>
      </c>
    </row>
    <row r="226" spans="2:12">
      <c r="B226" t="str">
        <f t="shared" si="21"/>
        <v>AGOSTOQui1733</v>
      </c>
      <c r="C226" t="str">
        <f t="shared" si="23"/>
        <v>AGOSTOQui1</v>
      </c>
      <c r="D226" s="11">
        <v>46246</v>
      </c>
      <c r="E226" s="17" t="s">
        <v>80</v>
      </c>
      <c r="F226">
        <f t="shared" si="24"/>
        <v>12</v>
      </c>
      <c r="G226" t="str">
        <f t="shared" si="25"/>
        <v>miércoles</v>
      </c>
      <c r="H226" t="s">
        <v>48</v>
      </c>
      <c r="I226" t="str">
        <f t="shared" si="22"/>
        <v>Qui17</v>
      </c>
      <c r="J226" t="str">
        <f t="shared" si="26"/>
        <v>17</v>
      </c>
      <c r="K226">
        <f t="shared" si="27"/>
        <v>33</v>
      </c>
      <c r="L226">
        <v>2026</v>
      </c>
    </row>
    <row r="227" spans="2:12">
      <c r="B227" t="str">
        <f t="shared" si="21"/>
        <v>AGOSTOQui1733</v>
      </c>
      <c r="C227" t="str">
        <f t="shared" si="23"/>
        <v>AGOSTOQui1</v>
      </c>
      <c r="D227" s="11">
        <v>46247</v>
      </c>
      <c r="E227" s="17" t="s">
        <v>80</v>
      </c>
      <c r="F227">
        <f t="shared" si="24"/>
        <v>13</v>
      </c>
      <c r="G227" t="str">
        <f t="shared" si="25"/>
        <v>jueves</v>
      </c>
      <c r="H227" t="s">
        <v>48</v>
      </c>
      <c r="I227" t="str">
        <f t="shared" si="22"/>
        <v>Qui17</v>
      </c>
      <c r="J227" t="str">
        <f t="shared" si="26"/>
        <v>17</v>
      </c>
      <c r="K227">
        <f t="shared" si="27"/>
        <v>33</v>
      </c>
      <c r="L227">
        <v>2026</v>
      </c>
    </row>
    <row r="228" spans="2:12">
      <c r="B228" t="str">
        <f t="shared" si="21"/>
        <v>AGOSTOQui1733</v>
      </c>
      <c r="C228" t="str">
        <f t="shared" si="23"/>
        <v>AGOSTOQui1</v>
      </c>
      <c r="D228" s="11">
        <v>46248</v>
      </c>
      <c r="E228" s="17" t="s">
        <v>80</v>
      </c>
      <c r="F228">
        <f t="shared" si="24"/>
        <v>14</v>
      </c>
      <c r="G228" t="str">
        <f t="shared" si="25"/>
        <v>viernes</v>
      </c>
      <c r="H228" t="s">
        <v>48</v>
      </c>
      <c r="I228" t="str">
        <f t="shared" si="22"/>
        <v>Qui17</v>
      </c>
      <c r="J228" t="str">
        <f t="shared" si="26"/>
        <v>17</v>
      </c>
      <c r="K228">
        <f t="shared" si="27"/>
        <v>33</v>
      </c>
      <c r="L228">
        <v>2026</v>
      </c>
    </row>
    <row r="229" spans="2:12">
      <c r="B229" t="str">
        <f t="shared" si="21"/>
        <v>AGOSTOQui1733</v>
      </c>
      <c r="C229" t="str">
        <f t="shared" si="23"/>
        <v>AGOSTOQui1</v>
      </c>
      <c r="D229" s="11">
        <v>46249</v>
      </c>
      <c r="E229" s="17" t="s">
        <v>80</v>
      </c>
      <c r="F229">
        <f t="shared" si="24"/>
        <v>15</v>
      </c>
      <c r="G229" t="str">
        <f t="shared" si="25"/>
        <v>sábado</v>
      </c>
      <c r="H229" t="s">
        <v>48</v>
      </c>
      <c r="I229" t="str">
        <f t="shared" si="22"/>
        <v>Qui17</v>
      </c>
      <c r="J229" t="str">
        <f t="shared" si="26"/>
        <v>17</v>
      </c>
      <c r="K229">
        <f t="shared" si="27"/>
        <v>33</v>
      </c>
      <c r="L229">
        <v>2026</v>
      </c>
    </row>
    <row r="230" spans="2:12">
      <c r="B230" t="str">
        <f t="shared" si="21"/>
        <v>AGOSTOQui1733</v>
      </c>
      <c r="C230" t="str">
        <f t="shared" si="23"/>
        <v>AGOSTOQui2</v>
      </c>
      <c r="D230" s="11">
        <v>46250</v>
      </c>
      <c r="E230" s="17" t="s">
        <v>80</v>
      </c>
      <c r="F230">
        <f t="shared" si="24"/>
        <v>16</v>
      </c>
      <c r="G230" t="str">
        <f t="shared" si="25"/>
        <v>domingo</v>
      </c>
      <c r="H230" t="s">
        <v>145</v>
      </c>
      <c r="I230" t="str">
        <f t="shared" si="22"/>
        <v>Qui17</v>
      </c>
      <c r="J230" t="str">
        <f t="shared" si="26"/>
        <v>17</v>
      </c>
      <c r="K230">
        <f t="shared" si="27"/>
        <v>33</v>
      </c>
      <c r="L230">
        <v>2026</v>
      </c>
    </row>
    <row r="231" spans="2:12">
      <c r="B231" t="str">
        <f t="shared" si="21"/>
        <v>AGOSTOQui1734</v>
      </c>
      <c r="C231" t="str">
        <f t="shared" si="23"/>
        <v>AGOSTOQui2</v>
      </c>
      <c r="D231" s="11">
        <v>46251</v>
      </c>
      <c r="E231" s="17" t="s">
        <v>80</v>
      </c>
      <c r="F231">
        <f t="shared" si="24"/>
        <v>17</v>
      </c>
      <c r="G231" t="str">
        <f t="shared" si="25"/>
        <v>lunes</v>
      </c>
      <c r="H231" t="s">
        <v>145</v>
      </c>
      <c r="I231" t="str">
        <f t="shared" si="22"/>
        <v>Qui17</v>
      </c>
      <c r="J231" t="str">
        <f t="shared" si="26"/>
        <v>17</v>
      </c>
      <c r="K231">
        <f t="shared" si="27"/>
        <v>34</v>
      </c>
      <c r="L231">
        <v>2026</v>
      </c>
    </row>
    <row r="232" spans="2:12">
      <c r="B232" t="str">
        <f t="shared" si="21"/>
        <v>AGOSTOQui1734</v>
      </c>
      <c r="C232" t="str">
        <f t="shared" si="23"/>
        <v>AGOSTOQui2</v>
      </c>
      <c r="D232" s="11">
        <v>46252</v>
      </c>
      <c r="E232" s="17" t="s">
        <v>80</v>
      </c>
      <c r="F232">
        <f t="shared" si="24"/>
        <v>18</v>
      </c>
      <c r="G232" t="str">
        <f t="shared" si="25"/>
        <v>martes</v>
      </c>
      <c r="H232" t="s">
        <v>145</v>
      </c>
      <c r="I232" t="str">
        <f t="shared" si="22"/>
        <v>Qui17</v>
      </c>
      <c r="J232" t="str">
        <f t="shared" si="26"/>
        <v>17</v>
      </c>
      <c r="K232">
        <f t="shared" si="27"/>
        <v>34</v>
      </c>
      <c r="L232">
        <v>2026</v>
      </c>
    </row>
    <row r="233" spans="2:12">
      <c r="B233" t="str">
        <f t="shared" si="21"/>
        <v>AGOSTOQui1734</v>
      </c>
      <c r="C233" t="str">
        <f t="shared" si="23"/>
        <v>AGOSTOQui2</v>
      </c>
      <c r="D233" s="11">
        <v>46253</v>
      </c>
      <c r="E233" s="17" t="s">
        <v>80</v>
      </c>
      <c r="F233">
        <f t="shared" si="24"/>
        <v>19</v>
      </c>
      <c r="G233" t="str">
        <f t="shared" si="25"/>
        <v>miércoles</v>
      </c>
      <c r="H233" t="s">
        <v>145</v>
      </c>
      <c r="I233" t="str">
        <f t="shared" si="22"/>
        <v>Qui17</v>
      </c>
      <c r="J233" t="str">
        <f t="shared" si="26"/>
        <v>17</v>
      </c>
      <c r="K233">
        <f t="shared" si="27"/>
        <v>34</v>
      </c>
      <c r="L233">
        <v>2026</v>
      </c>
    </row>
    <row r="234" spans="2:12">
      <c r="B234" t="str">
        <f t="shared" si="21"/>
        <v>AGOSTOQui1734</v>
      </c>
      <c r="C234" t="str">
        <f t="shared" si="23"/>
        <v>AGOSTOQui2</v>
      </c>
      <c r="D234" s="11">
        <v>46254</v>
      </c>
      <c r="E234" s="17" t="s">
        <v>80</v>
      </c>
      <c r="F234">
        <f t="shared" si="24"/>
        <v>20</v>
      </c>
      <c r="G234" t="str">
        <f t="shared" si="25"/>
        <v>jueves</v>
      </c>
      <c r="H234" t="s">
        <v>145</v>
      </c>
      <c r="I234" t="str">
        <f t="shared" si="22"/>
        <v>Qui17</v>
      </c>
      <c r="J234" t="str">
        <f t="shared" si="26"/>
        <v>17</v>
      </c>
      <c r="K234">
        <f t="shared" si="27"/>
        <v>34</v>
      </c>
      <c r="L234">
        <v>2026</v>
      </c>
    </row>
    <row r="235" spans="2:12">
      <c r="B235" t="str">
        <f t="shared" si="21"/>
        <v>AGOSTOQui1734</v>
      </c>
      <c r="C235" t="str">
        <f t="shared" si="23"/>
        <v>AGOSTOQui2</v>
      </c>
      <c r="D235" s="11">
        <v>46255</v>
      </c>
      <c r="E235" s="17" t="s">
        <v>80</v>
      </c>
      <c r="F235">
        <f t="shared" si="24"/>
        <v>21</v>
      </c>
      <c r="G235" t="str">
        <f t="shared" si="25"/>
        <v>viernes</v>
      </c>
      <c r="H235" t="s">
        <v>145</v>
      </c>
      <c r="I235" t="str">
        <f t="shared" si="22"/>
        <v>Qui17</v>
      </c>
      <c r="J235" t="str">
        <f t="shared" si="26"/>
        <v>17</v>
      </c>
      <c r="K235">
        <f t="shared" si="27"/>
        <v>34</v>
      </c>
      <c r="L235">
        <v>2026</v>
      </c>
    </row>
    <row r="236" spans="2:12">
      <c r="B236" t="str">
        <f t="shared" si="21"/>
        <v>AGOSTOQui1734</v>
      </c>
      <c r="C236" t="str">
        <f t="shared" si="23"/>
        <v>AGOSTOQui2</v>
      </c>
      <c r="D236" s="11">
        <v>46256</v>
      </c>
      <c r="E236" s="17" t="s">
        <v>80</v>
      </c>
      <c r="F236">
        <f t="shared" si="24"/>
        <v>22</v>
      </c>
      <c r="G236" t="str">
        <f t="shared" si="25"/>
        <v>sábado</v>
      </c>
      <c r="H236" t="s">
        <v>145</v>
      </c>
      <c r="I236" t="str">
        <f t="shared" si="22"/>
        <v>Qui17</v>
      </c>
      <c r="J236" t="str">
        <f t="shared" si="26"/>
        <v>17</v>
      </c>
      <c r="K236">
        <f t="shared" si="27"/>
        <v>34</v>
      </c>
      <c r="L236">
        <v>2026</v>
      </c>
    </row>
    <row r="237" spans="2:12">
      <c r="B237" t="str">
        <f t="shared" si="21"/>
        <v>AGOSTOQui1734</v>
      </c>
      <c r="C237" t="str">
        <f t="shared" si="23"/>
        <v>AGOSTOQui2</v>
      </c>
      <c r="D237" s="11">
        <v>46257</v>
      </c>
      <c r="E237" s="17" t="s">
        <v>80</v>
      </c>
      <c r="F237">
        <f t="shared" si="24"/>
        <v>23</v>
      </c>
      <c r="G237" t="str">
        <f t="shared" si="25"/>
        <v>domingo</v>
      </c>
      <c r="H237" t="s">
        <v>145</v>
      </c>
      <c r="I237" t="str">
        <f t="shared" si="22"/>
        <v>Qui17</v>
      </c>
      <c r="J237" t="str">
        <f t="shared" si="26"/>
        <v>17</v>
      </c>
      <c r="K237">
        <f t="shared" si="27"/>
        <v>34</v>
      </c>
      <c r="L237">
        <v>2026</v>
      </c>
    </row>
    <row r="238" spans="2:12">
      <c r="B238" t="str">
        <f t="shared" si="21"/>
        <v>AGOSTOQui1835</v>
      </c>
      <c r="C238" t="str">
        <f t="shared" si="23"/>
        <v>AGOSTOQui2</v>
      </c>
      <c r="D238" s="11">
        <v>46258</v>
      </c>
      <c r="E238" s="17" t="s">
        <v>80</v>
      </c>
      <c r="F238">
        <f t="shared" si="24"/>
        <v>24</v>
      </c>
      <c r="G238" t="str">
        <f t="shared" si="25"/>
        <v>lunes</v>
      </c>
      <c r="H238" t="s">
        <v>145</v>
      </c>
      <c r="I238" t="str">
        <f t="shared" si="22"/>
        <v>Qui18</v>
      </c>
      <c r="J238" t="str">
        <f t="shared" si="26"/>
        <v>18</v>
      </c>
      <c r="K238">
        <f t="shared" si="27"/>
        <v>35</v>
      </c>
      <c r="L238">
        <v>2026</v>
      </c>
    </row>
    <row r="239" spans="2:12">
      <c r="B239" t="str">
        <f t="shared" si="21"/>
        <v>AGOSTOQui1835</v>
      </c>
      <c r="C239" t="str">
        <f t="shared" si="23"/>
        <v>AGOSTOQui2</v>
      </c>
      <c r="D239" s="11">
        <v>46259</v>
      </c>
      <c r="E239" s="17" t="s">
        <v>80</v>
      </c>
      <c r="F239">
        <f t="shared" si="24"/>
        <v>25</v>
      </c>
      <c r="G239" t="str">
        <f t="shared" si="25"/>
        <v>martes</v>
      </c>
      <c r="H239" t="s">
        <v>145</v>
      </c>
      <c r="I239" t="str">
        <f t="shared" si="22"/>
        <v>Qui18</v>
      </c>
      <c r="J239" t="str">
        <f t="shared" si="26"/>
        <v>18</v>
      </c>
      <c r="K239">
        <f t="shared" si="27"/>
        <v>35</v>
      </c>
      <c r="L239">
        <v>2026</v>
      </c>
    </row>
    <row r="240" spans="2:12">
      <c r="B240" t="str">
        <f t="shared" si="21"/>
        <v>AGOSTOQui1835</v>
      </c>
      <c r="C240" t="str">
        <f t="shared" si="23"/>
        <v>AGOSTOQui2</v>
      </c>
      <c r="D240" s="11">
        <v>46260</v>
      </c>
      <c r="E240" s="17" t="s">
        <v>80</v>
      </c>
      <c r="F240">
        <f t="shared" si="24"/>
        <v>26</v>
      </c>
      <c r="G240" t="str">
        <f t="shared" si="25"/>
        <v>miércoles</v>
      </c>
      <c r="H240" t="s">
        <v>145</v>
      </c>
      <c r="I240" t="str">
        <f t="shared" si="22"/>
        <v>Qui18</v>
      </c>
      <c r="J240" t="str">
        <f t="shared" si="26"/>
        <v>18</v>
      </c>
      <c r="K240">
        <f t="shared" si="27"/>
        <v>35</v>
      </c>
      <c r="L240">
        <v>2026</v>
      </c>
    </row>
    <row r="241" spans="2:12">
      <c r="B241" t="str">
        <f t="shared" si="21"/>
        <v>AGOSTOQui1835</v>
      </c>
      <c r="C241" t="str">
        <f t="shared" si="23"/>
        <v>AGOSTOQui2</v>
      </c>
      <c r="D241" s="11">
        <v>46261</v>
      </c>
      <c r="E241" s="17" t="s">
        <v>80</v>
      </c>
      <c r="F241">
        <f t="shared" si="24"/>
        <v>27</v>
      </c>
      <c r="G241" t="str">
        <f t="shared" si="25"/>
        <v>jueves</v>
      </c>
      <c r="H241" t="s">
        <v>145</v>
      </c>
      <c r="I241" t="str">
        <f t="shared" si="22"/>
        <v>Qui18</v>
      </c>
      <c r="J241" t="str">
        <f t="shared" si="26"/>
        <v>18</v>
      </c>
      <c r="K241">
        <f t="shared" si="27"/>
        <v>35</v>
      </c>
      <c r="L241">
        <v>2026</v>
      </c>
    </row>
    <row r="242" spans="2:12">
      <c r="B242" t="str">
        <f t="shared" si="21"/>
        <v>AGOSTOQui1835</v>
      </c>
      <c r="C242" t="str">
        <f t="shared" si="23"/>
        <v>AGOSTOQui2</v>
      </c>
      <c r="D242" s="11">
        <v>46262</v>
      </c>
      <c r="E242" s="17" t="s">
        <v>80</v>
      </c>
      <c r="F242">
        <f t="shared" si="24"/>
        <v>28</v>
      </c>
      <c r="G242" t="str">
        <f t="shared" si="25"/>
        <v>viernes</v>
      </c>
      <c r="H242" t="s">
        <v>145</v>
      </c>
      <c r="I242" t="str">
        <f t="shared" si="22"/>
        <v>Qui18</v>
      </c>
      <c r="J242" t="str">
        <f t="shared" si="26"/>
        <v>18</v>
      </c>
      <c r="K242">
        <f t="shared" si="27"/>
        <v>35</v>
      </c>
      <c r="L242">
        <v>2026</v>
      </c>
    </row>
    <row r="243" spans="2:12">
      <c r="B243" t="str">
        <f t="shared" si="21"/>
        <v>AGOSTOQui1835</v>
      </c>
      <c r="C243" t="str">
        <f t="shared" si="23"/>
        <v>AGOSTOQui2</v>
      </c>
      <c r="D243" s="11">
        <v>46263</v>
      </c>
      <c r="E243" s="17" t="s">
        <v>80</v>
      </c>
      <c r="F243">
        <f t="shared" si="24"/>
        <v>29</v>
      </c>
      <c r="G243" t="str">
        <f t="shared" si="25"/>
        <v>sábado</v>
      </c>
      <c r="H243" t="s">
        <v>145</v>
      </c>
      <c r="I243" t="str">
        <f t="shared" si="22"/>
        <v>Qui18</v>
      </c>
      <c r="J243" t="str">
        <f t="shared" si="26"/>
        <v>18</v>
      </c>
      <c r="K243">
        <f t="shared" si="27"/>
        <v>35</v>
      </c>
      <c r="L243">
        <v>2026</v>
      </c>
    </row>
    <row r="244" spans="2:12">
      <c r="B244" t="str">
        <f t="shared" si="21"/>
        <v>AGOSTOQui1835</v>
      </c>
      <c r="C244" t="str">
        <f t="shared" si="23"/>
        <v>AGOSTOQui2</v>
      </c>
      <c r="D244" s="11">
        <v>46264</v>
      </c>
      <c r="E244" s="17" t="s">
        <v>80</v>
      </c>
      <c r="F244">
        <f t="shared" si="24"/>
        <v>30</v>
      </c>
      <c r="G244" t="str">
        <f t="shared" si="25"/>
        <v>domingo</v>
      </c>
      <c r="H244" t="s">
        <v>145</v>
      </c>
      <c r="I244" t="str">
        <f t="shared" si="22"/>
        <v>Qui18</v>
      </c>
      <c r="J244" t="str">
        <f t="shared" si="26"/>
        <v>18</v>
      </c>
      <c r="K244">
        <f t="shared" si="27"/>
        <v>35</v>
      </c>
      <c r="L244">
        <v>2026</v>
      </c>
    </row>
    <row r="245" spans="2:12">
      <c r="B245" t="str">
        <f t="shared" si="21"/>
        <v>AGOSTOQui1836</v>
      </c>
      <c r="C245" t="str">
        <f t="shared" si="23"/>
        <v>AGOSTOQui2</v>
      </c>
      <c r="D245" s="11">
        <v>46265</v>
      </c>
      <c r="E245" s="18" t="s">
        <v>80</v>
      </c>
      <c r="F245" s="5">
        <f t="shared" si="24"/>
        <v>31</v>
      </c>
      <c r="G245" s="5" t="str">
        <f t="shared" si="25"/>
        <v>lunes</v>
      </c>
      <c r="H245" s="5" t="s">
        <v>145</v>
      </c>
      <c r="I245" s="5" t="str">
        <f t="shared" si="22"/>
        <v>Qui18</v>
      </c>
      <c r="J245" s="5" t="str">
        <f t="shared" si="26"/>
        <v>18</v>
      </c>
      <c r="K245" s="5">
        <f t="shared" si="27"/>
        <v>36</v>
      </c>
      <c r="L245" s="5">
        <v>2026</v>
      </c>
    </row>
    <row r="246" spans="2:12">
      <c r="B246" t="str">
        <f t="shared" si="21"/>
        <v>SEPTIEMBREQui1836</v>
      </c>
      <c r="C246" t="str">
        <f t="shared" si="23"/>
        <v>SEPTIEMBREQui1</v>
      </c>
      <c r="D246" s="11">
        <v>46266</v>
      </c>
      <c r="E246" s="15" t="s">
        <v>81</v>
      </c>
      <c r="F246" s="16">
        <f t="shared" si="24"/>
        <v>1</v>
      </c>
      <c r="G246" s="16" t="str">
        <f t="shared" si="25"/>
        <v>martes</v>
      </c>
      <c r="H246" s="16" t="s">
        <v>48</v>
      </c>
      <c r="I246" s="16" t="str">
        <f t="shared" si="22"/>
        <v>Qui18</v>
      </c>
      <c r="J246" s="16" t="str">
        <f t="shared" si="26"/>
        <v>18</v>
      </c>
      <c r="K246" s="16">
        <f t="shared" si="27"/>
        <v>36</v>
      </c>
      <c r="L246" s="16">
        <v>2026</v>
      </c>
    </row>
    <row r="247" spans="2:12">
      <c r="B247" t="str">
        <f t="shared" si="21"/>
        <v>SEPTIEMBREQui1836</v>
      </c>
      <c r="C247" t="str">
        <f t="shared" si="23"/>
        <v>SEPTIEMBREQui1</v>
      </c>
      <c r="D247" s="11">
        <v>46267</v>
      </c>
      <c r="E247" s="17" t="s">
        <v>81</v>
      </c>
      <c r="F247">
        <f t="shared" si="24"/>
        <v>2</v>
      </c>
      <c r="G247" t="str">
        <f t="shared" si="25"/>
        <v>miércoles</v>
      </c>
      <c r="H247" t="s">
        <v>48</v>
      </c>
      <c r="I247" t="str">
        <f t="shared" si="22"/>
        <v>Qui18</v>
      </c>
      <c r="J247" t="str">
        <f t="shared" si="26"/>
        <v>18</v>
      </c>
      <c r="K247">
        <f t="shared" si="27"/>
        <v>36</v>
      </c>
      <c r="L247">
        <v>2026</v>
      </c>
    </row>
    <row r="248" spans="2:12">
      <c r="B248" t="str">
        <f t="shared" si="21"/>
        <v>SEPTIEMBREQui1836</v>
      </c>
      <c r="C248" t="str">
        <f t="shared" si="23"/>
        <v>SEPTIEMBREQui1</v>
      </c>
      <c r="D248" s="11">
        <v>46268</v>
      </c>
      <c r="E248" s="17" t="s">
        <v>81</v>
      </c>
      <c r="F248">
        <f t="shared" si="24"/>
        <v>3</v>
      </c>
      <c r="G248" t="str">
        <f t="shared" si="25"/>
        <v>jueves</v>
      </c>
      <c r="H248" t="s">
        <v>48</v>
      </c>
      <c r="I248" t="str">
        <f t="shared" si="22"/>
        <v>Qui18</v>
      </c>
      <c r="J248" t="str">
        <f t="shared" si="26"/>
        <v>18</v>
      </c>
      <c r="K248">
        <f t="shared" si="27"/>
        <v>36</v>
      </c>
      <c r="L248">
        <v>2026</v>
      </c>
    </row>
    <row r="249" spans="2:12">
      <c r="B249" t="str">
        <f t="shared" si="21"/>
        <v>SEPTIEMBREQui1836</v>
      </c>
      <c r="C249" t="str">
        <f t="shared" si="23"/>
        <v>SEPTIEMBREQui1</v>
      </c>
      <c r="D249" s="11">
        <v>46269</v>
      </c>
      <c r="E249" s="17" t="s">
        <v>81</v>
      </c>
      <c r="F249">
        <f t="shared" si="24"/>
        <v>4</v>
      </c>
      <c r="G249" t="str">
        <f t="shared" si="25"/>
        <v>viernes</v>
      </c>
      <c r="H249" t="s">
        <v>48</v>
      </c>
      <c r="I249" t="str">
        <f t="shared" si="22"/>
        <v>Qui18</v>
      </c>
      <c r="J249" t="str">
        <f t="shared" si="26"/>
        <v>18</v>
      </c>
      <c r="K249">
        <f t="shared" si="27"/>
        <v>36</v>
      </c>
      <c r="L249">
        <v>2026</v>
      </c>
    </row>
    <row r="250" spans="2:12">
      <c r="B250" t="str">
        <f t="shared" si="21"/>
        <v>SEPTIEMBREQui1836</v>
      </c>
      <c r="C250" t="str">
        <f t="shared" si="23"/>
        <v>SEPTIEMBREQui1</v>
      </c>
      <c r="D250" s="11">
        <v>46270</v>
      </c>
      <c r="E250" s="17" t="s">
        <v>81</v>
      </c>
      <c r="F250">
        <f t="shared" si="24"/>
        <v>5</v>
      </c>
      <c r="G250" t="str">
        <f t="shared" si="25"/>
        <v>sábado</v>
      </c>
      <c r="H250" t="s">
        <v>48</v>
      </c>
      <c r="I250" t="str">
        <f t="shared" si="22"/>
        <v>Qui18</v>
      </c>
      <c r="J250" t="str">
        <f t="shared" si="26"/>
        <v>18</v>
      </c>
      <c r="K250">
        <f t="shared" si="27"/>
        <v>36</v>
      </c>
      <c r="L250">
        <v>2026</v>
      </c>
    </row>
    <row r="251" spans="2:12">
      <c r="B251" t="str">
        <f t="shared" si="21"/>
        <v>SEPTIEMBREQui1836</v>
      </c>
      <c r="C251" t="str">
        <f t="shared" si="23"/>
        <v>SEPTIEMBREQui1</v>
      </c>
      <c r="D251" s="11">
        <v>46271</v>
      </c>
      <c r="E251" s="17" t="s">
        <v>81</v>
      </c>
      <c r="F251">
        <f t="shared" si="24"/>
        <v>6</v>
      </c>
      <c r="G251" t="str">
        <f t="shared" si="25"/>
        <v>domingo</v>
      </c>
      <c r="H251" t="s">
        <v>48</v>
      </c>
      <c r="I251" t="str">
        <f t="shared" si="22"/>
        <v>Qui18</v>
      </c>
      <c r="J251" t="str">
        <f t="shared" si="26"/>
        <v>18</v>
      </c>
      <c r="K251">
        <f t="shared" si="27"/>
        <v>36</v>
      </c>
      <c r="L251">
        <v>2026</v>
      </c>
    </row>
    <row r="252" spans="2:12">
      <c r="B252" t="str">
        <f t="shared" si="21"/>
        <v>SEPTIEMBREQui1937</v>
      </c>
      <c r="C252" t="str">
        <f t="shared" si="23"/>
        <v>SEPTIEMBREQui1</v>
      </c>
      <c r="D252" s="11">
        <v>46272</v>
      </c>
      <c r="E252" s="17" t="s">
        <v>81</v>
      </c>
      <c r="F252">
        <f t="shared" si="24"/>
        <v>7</v>
      </c>
      <c r="G252" t="str">
        <f t="shared" si="25"/>
        <v>lunes</v>
      </c>
      <c r="H252" t="s">
        <v>48</v>
      </c>
      <c r="I252" t="str">
        <f t="shared" si="22"/>
        <v>Qui19</v>
      </c>
      <c r="J252" t="str">
        <f t="shared" si="26"/>
        <v>19</v>
      </c>
      <c r="K252">
        <f t="shared" si="27"/>
        <v>37</v>
      </c>
      <c r="L252">
        <v>2026</v>
      </c>
    </row>
    <row r="253" spans="2:12">
      <c r="B253" t="str">
        <f t="shared" si="21"/>
        <v>SEPTIEMBREQui1937</v>
      </c>
      <c r="C253" t="str">
        <f t="shared" si="23"/>
        <v>SEPTIEMBREQui1</v>
      </c>
      <c r="D253" s="11">
        <v>46273</v>
      </c>
      <c r="E253" s="17" t="s">
        <v>81</v>
      </c>
      <c r="F253">
        <f t="shared" si="24"/>
        <v>8</v>
      </c>
      <c r="G253" t="str">
        <f t="shared" si="25"/>
        <v>martes</v>
      </c>
      <c r="H253" t="s">
        <v>48</v>
      </c>
      <c r="I253" t="str">
        <f t="shared" si="22"/>
        <v>Qui19</v>
      </c>
      <c r="J253" t="str">
        <f t="shared" si="26"/>
        <v>19</v>
      </c>
      <c r="K253">
        <f t="shared" si="27"/>
        <v>37</v>
      </c>
      <c r="L253">
        <v>2026</v>
      </c>
    </row>
    <row r="254" spans="2:12">
      <c r="B254" t="str">
        <f t="shared" si="21"/>
        <v>SEPTIEMBREQui1937</v>
      </c>
      <c r="C254" t="str">
        <f t="shared" si="23"/>
        <v>SEPTIEMBREQui1</v>
      </c>
      <c r="D254" s="11">
        <v>46274</v>
      </c>
      <c r="E254" s="17" t="s">
        <v>81</v>
      </c>
      <c r="F254">
        <f t="shared" si="24"/>
        <v>9</v>
      </c>
      <c r="G254" t="str">
        <f t="shared" si="25"/>
        <v>miércoles</v>
      </c>
      <c r="H254" t="s">
        <v>48</v>
      </c>
      <c r="I254" t="str">
        <f t="shared" si="22"/>
        <v>Qui19</v>
      </c>
      <c r="J254" t="str">
        <f t="shared" si="26"/>
        <v>19</v>
      </c>
      <c r="K254">
        <f t="shared" si="27"/>
        <v>37</v>
      </c>
      <c r="L254">
        <v>2026</v>
      </c>
    </row>
    <row r="255" spans="2:12">
      <c r="B255" t="str">
        <f t="shared" si="21"/>
        <v>SEPTIEMBREQui1937</v>
      </c>
      <c r="C255" t="str">
        <f t="shared" si="23"/>
        <v>SEPTIEMBREQui1</v>
      </c>
      <c r="D255" s="11">
        <v>46275</v>
      </c>
      <c r="E255" s="17" t="s">
        <v>81</v>
      </c>
      <c r="F255">
        <f t="shared" si="24"/>
        <v>10</v>
      </c>
      <c r="G255" t="str">
        <f t="shared" si="25"/>
        <v>jueves</v>
      </c>
      <c r="H255" t="s">
        <v>48</v>
      </c>
      <c r="I255" t="str">
        <f t="shared" si="22"/>
        <v>Qui19</v>
      </c>
      <c r="J255" t="str">
        <f t="shared" si="26"/>
        <v>19</v>
      </c>
      <c r="K255">
        <f t="shared" si="27"/>
        <v>37</v>
      </c>
      <c r="L255">
        <v>2026</v>
      </c>
    </row>
    <row r="256" spans="2:12">
      <c r="B256" t="str">
        <f t="shared" si="21"/>
        <v>SEPTIEMBREQui1937</v>
      </c>
      <c r="C256" t="str">
        <f t="shared" si="23"/>
        <v>SEPTIEMBREQui1</v>
      </c>
      <c r="D256" s="11">
        <v>46276</v>
      </c>
      <c r="E256" s="17" t="s">
        <v>81</v>
      </c>
      <c r="F256">
        <f t="shared" si="24"/>
        <v>11</v>
      </c>
      <c r="G256" t="str">
        <f t="shared" si="25"/>
        <v>viernes</v>
      </c>
      <c r="H256" t="s">
        <v>48</v>
      </c>
      <c r="I256" t="str">
        <f t="shared" si="22"/>
        <v>Qui19</v>
      </c>
      <c r="J256" t="str">
        <f t="shared" si="26"/>
        <v>19</v>
      </c>
      <c r="K256">
        <f t="shared" si="27"/>
        <v>37</v>
      </c>
      <c r="L256">
        <v>2026</v>
      </c>
    </row>
    <row r="257" spans="2:12">
      <c r="B257" t="str">
        <f t="shared" si="21"/>
        <v>SEPTIEMBREQui1937</v>
      </c>
      <c r="C257" t="str">
        <f t="shared" si="23"/>
        <v>SEPTIEMBREQui1</v>
      </c>
      <c r="D257" s="11">
        <v>46277</v>
      </c>
      <c r="E257" s="17" t="s">
        <v>81</v>
      </c>
      <c r="F257">
        <f t="shared" si="24"/>
        <v>12</v>
      </c>
      <c r="G257" t="str">
        <f t="shared" si="25"/>
        <v>sábado</v>
      </c>
      <c r="H257" t="s">
        <v>48</v>
      </c>
      <c r="I257" t="str">
        <f t="shared" si="22"/>
        <v>Qui19</v>
      </c>
      <c r="J257" t="str">
        <f t="shared" si="26"/>
        <v>19</v>
      </c>
      <c r="K257">
        <f t="shared" si="27"/>
        <v>37</v>
      </c>
      <c r="L257">
        <v>2026</v>
      </c>
    </row>
    <row r="258" spans="2:12">
      <c r="B258" t="str">
        <f t="shared" si="21"/>
        <v>SEPTIEMBREQui1937</v>
      </c>
      <c r="C258" t="str">
        <f t="shared" si="23"/>
        <v>SEPTIEMBREQui1</v>
      </c>
      <c r="D258" s="11">
        <v>46278</v>
      </c>
      <c r="E258" s="17" t="s">
        <v>81</v>
      </c>
      <c r="F258">
        <f t="shared" si="24"/>
        <v>13</v>
      </c>
      <c r="G258" t="str">
        <f t="shared" si="25"/>
        <v>domingo</v>
      </c>
      <c r="H258" t="s">
        <v>48</v>
      </c>
      <c r="I258" t="str">
        <f t="shared" si="22"/>
        <v>Qui19</v>
      </c>
      <c r="J258" t="str">
        <f t="shared" si="26"/>
        <v>19</v>
      </c>
      <c r="K258">
        <f t="shared" si="27"/>
        <v>37</v>
      </c>
      <c r="L258">
        <v>2026</v>
      </c>
    </row>
    <row r="259" spans="2:12">
      <c r="B259" t="str">
        <f t="shared" ref="B259:B322" si="28">+E259&amp;I259&amp;K259</f>
        <v>SEPTIEMBREQui1938</v>
      </c>
      <c r="C259" t="str">
        <f t="shared" si="23"/>
        <v>SEPTIEMBREQui1</v>
      </c>
      <c r="D259" s="11">
        <v>46279</v>
      </c>
      <c r="E259" s="17" t="s">
        <v>81</v>
      </c>
      <c r="F259">
        <f t="shared" si="24"/>
        <v>14</v>
      </c>
      <c r="G259" t="str">
        <f t="shared" si="25"/>
        <v>lunes</v>
      </c>
      <c r="H259" t="s">
        <v>48</v>
      </c>
      <c r="I259" t="str">
        <f t="shared" ref="I259:I322" si="29">+"Qui"&amp;ROUNDUP(K259/2,0)</f>
        <v>Qui19</v>
      </c>
      <c r="J259" t="str">
        <f t="shared" si="26"/>
        <v>19</v>
      </c>
      <c r="K259">
        <f t="shared" si="27"/>
        <v>38</v>
      </c>
      <c r="L259">
        <v>2026</v>
      </c>
    </row>
    <row r="260" spans="2:12">
      <c r="B260" t="str">
        <f t="shared" si="28"/>
        <v>SEPTIEMBREQui1938</v>
      </c>
      <c r="C260" t="str">
        <f t="shared" ref="C260:C323" si="30">+E260&amp;H260</f>
        <v>SEPTIEMBREQui1</v>
      </c>
      <c r="D260" s="11">
        <v>46280</v>
      </c>
      <c r="E260" s="17" t="s">
        <v>81</v>
      </c>
      <c r="F260">
        <f t="shared" ref="F260:F323" si="31">+DAY(D260)</f>
        <v>15</v>
      </c>
      <c r="G260" t="str">
        <f t="shared" ref="G260:G323" si="32">+TEXT(D260,"DDDDDD")</f>
        <v>martes</v>
      </c>
      <c r="H260" t="s">
        <v>48</v>
      </c>
      <c r="I260" t="str">
        <f t="shared" si="29"/>
        <v>Qui19</v>
      </c>
      <c r="J260" t="str">
        <f t="shared" ref="J260:J323" si="33">+MID(I260,4,2)</f>
        <v>19</v>
      </c>
      <c r="K260">
        <f t="shared" ref="K260:K323" si="34">+_xlfn.ISOWEEKNUM(D260)</f>
        <v>38</v>
      </c>
      <c r="L260">
        <v>2026</v>
      </c>
    </row>
    <row r="261" spans="2:12">
      <c r="B261" t="str">
        <f t="shared" si="28"/>
        <v>SEPTIEMBREQui1938</v>
      </c>
      <c r="C261" t="str">
        <f t="shared" si="30"/>
        <v>SEPTIEMBREQui2</v>
      </c>
      <c r="D261" s="11">
        <v>46281</v>
      </c>
      <c r="E261" s="17" t="s">
        <v>81</v>
      </c>
      <c r="F261">
        <f t="shared" si="31"/>
        <v>16</v>
      </c>
      <c r="G261" t="str">
        <f t="shared" si="32"/>
        <v>miércoles</v>
      </c>
      <c r="H261" t="s">
        <v>145</v>
      </c>
      <c r="I261" t="str">
        <f t="shared" si="29"/>
        <v>Qui19</v>
      </c>
      <c r="J261" t="str">
        <f t="shared" si="33"/>
        <v>19</v>
      </c>
      <c r="K261">
        <f t="shared" si="34"/>
        <v>38</v>
      </c>
      <c r="L261">
        <v>2026</v>
      </c>
    </row>
    <row r="262" spans="2:12">
      <c r="B262" t="str">
        <f t="shared" si="28"/>
        <v>SEPTIEMBREQui1938</v>
      </c>
      <c r="C262" t="str">
        <f t="shared" si="30"/>
        <v>SEPTIEMBREQui2</v>
      </c>
      <c r="D262" s="11">
        <v>46282</v>
      </c>
      <c r="E262" s="17" t="s">
        <v>81</v>
      </c>
      <c r="F262">
        <f t="shared" si="31"/>
        <v>17</v>
      </c>
      <c r="G262" t="str">
        <f t="shared" si="32"/>
        <v>jueves</v>
      </c>
      <c r="H262" t="s">
        <v>145</v>
      </c>
      <c r="I262" t="str">
        <f t="shared" si="29"/>
        <v>Qui19</v>
      </c>
      <c r="J262" t="str">
        <f t="shared" si="33"/>
        <v>19</v>
      </c>
      <c r="K262">
        <f t="shared" si="34"/>
        <v>38</v>
      </c>
      <c r="L262">
        <v>2026</v>
      </c>
    </row>
    <row r="263" spans="2:12">
      <c r="B263" t="str">
        <f t="shared" si="28"/>
        <v>SEPTIEMBREQui1938</v>
      </c>
      <c r="C263" t="str">
        <f t="shared" si="30"/>
        <v>SEPTIEMBREQui2</v>
      </c>
      <c r="D263" s="11">
        <v>46283</v>
      </c>
      <c r="E263" s="17" t="s">
        <v>81</v>
      </c>
      <c r="F263">
        <f t="shared" si="31"/>
        <v>18</v>
      </c>
      <c r="G263" t="str">
        <f t="shared" si="32"/>
        <v>viernes</v>
      </c>
      <c r="H263" t="s">
        <v>145</v>
      </c>
      <c r="I263" t="str">
        <f t="shared" si="29"/>
        <v>Qui19</v>
      </c>
      <c r="J263" t="str">
        <f t="shared" si="33"/>
        <v>19</v>
      </c>
      <c r="K263">
        <f t="shared" si="34"/>
        <v>38</v>
      </c>
      <c r="L263">
        <v>2026</v>
      </c>
    </row>
    <row r="264" spans="2:12">
      <c r="B264" t="str">
        <f t="shared" si="28"/>
        <v>SEPTIEMBREQui1938</v>
      </c>
      <c r="C264" t="str">
        <f t="shared" si="30"/>
        <v>SEPTIEMBREQui2</v>
      </c>
      <c r="D264" s="11">
        <v>46284</v>
      </c>
      <c r="E264" s="17" t="s">
        <v>81</v>
      </c>
      <c r="F264">
        <f t="shared" si="31"/>
        <v>19</v>
      </c>
      <c r="G264" t="str">
        <f t="shared" si="32"/>
        <v>sábado</v>
      </c>
      <c r="H264" t="s">
        <v>145</v>
      </c>
      <c r="I264" t="str">
        <f t="shared" si="29"/>
        <v>Qui19</v>
      </c>
      <c r="J264" t="str">
        <f t="shared" si="33"/>
        <v>19</v>
      </c>
      <c r="K264">
        <f t="shared" si="34"/>
        <v>38</v>
      </c>
      <c r="L264">
        <v>2026</v>
      </c>
    </row>
    <row r="265" spans="2:12">
      <c r="B265" t="str">
        <f t="shared" si="28"/>
        <v>SEPTIEMBREQui1938</v>
      </c>
      <c r="C265" t="str">
        <f t="shared" si="30"/>
        <v>SEPTIEMBREQui2</v>
      </c>
      <c r="D265" s="11">
        <v>46285</v>
      </c>
      <c r="E265" s="17" t="s">
        <v>81</v>
      </c>
      <c r="F265">
        <f t="shared" si="31"/>
        <v>20</v>
      </c>
      <c r="G265" t="str">
        <f t="shared" si="32"/>
        <v>domingo</v>
      </c>
      <c r="H265" t="s">
        <v>145</v>
      </c>
      <c r="I265" t="str">
        <f t="shared" si="29"/>
        <v>Qui19</v>
      </c>
      <c r="J265" t="str">
        <f t="shared" si="33"/>
        <v>19</v>
      </c>
      <c r="K265">
        <f t="shared" si="34"/>
        <v>38</v>
      </c>
      <c r="L265">
        <v>2026</v>
      </c>
    </row>
    <row r="266" spans="2:12">
      <c r="B266" t="str">
        <f t="shared" si="28"/>
        <v>SEPTIEMBREQui2039</v>
      </c>
      <c r="C266" t="str">
        <f t="shared" si="30"/>
        <v>SEPTIEMBREQui2</v>
      </c>
      <c r="D266" s="11">
        <v>46286</v>
      </c>
      <c r="E266" s="17" t="s">
        <v>81</v>
      </c>
      <c r="F266">
        <f t="shared" si="31"/>
        <v>21</v>
      </c>
      <c r="G266" t="str">
        <f t="shared" si="32"/>
        <v>lunes</v>
      </c>
      <c r="H266" t="s">
        <v>145</v>
      </c>
      <c r="I266" t="str">
        <f t="shared" si="29"/>
        <v>Qui20</v>
      </c>
      <c r="J266" t="str">
        <f t="shared" si="33"/>
        <v>20</v>
      </c>
      <c r="K266">
        <f t="shared" si="34"/>
        <v>39</v>
      </c>
      <c r="L266">
        <v>2026</v>
      </c>
    </row>
    <row r="267" spans="2:12">
      <c r="B267" t="str">
        <f t="shared" si="28"/>
        <v>SEPTIEMBREQui2039</v>
      </c>
      <c r="C267" t="str">
        <f t="shared" si="30"/>
        <v>SEPTIEMBREQui2</v>
      </c>
      <c r="D267" s="11">
        <v>46287</v>
      </c>
      <c r="E267" s="17" t="s">
        <v>81</v>
      </c>
      <c r="F267">
        <f t="shared" si="31"/>
        <v>22</v>
      </c>
      <c r="G267" t="str">
        <f t="shared" si="32"/>
        <v>martes</v>
      </c>
      <c r="H267" t="s">
        <v>145</v>
      </c>
      <c r="I267" t="str">
        <f t="shared" si="29"/>
        <v>Qui20</v>
      </c>
      <c r="J267" t="str">
        <f t="shared" si="33"/>
        <v>20</v>
      </c>
      <c r="K267">
        <f t="shared" si="34"/>
        <v>39</v>
      </c>
      <c r="L267">
        <v>2026</v>
      </c>
    </row>
    <row r="268" spans="2:12">
      <c r="B268" t="str">
        <f t="shared" si="28"/>
        <v>SEPTIEMBREQui2039</v>
      </c>
      <c r="C268" t="str">
        <f t="shared" si="30"/>
        <v>SEPTIEMBREQui2</v>
      </c>
      <c r="D268" s="11">
        <v>46288</v>
      </c>
      <c r="E268" s="17" t="s">
        <v>81</v>
      </c>
      <c r="F268">
        <f t="shared" si="31"/>
        <v>23</v>
      </c>
      <c r="G268" t="str">
        <f t="shared" si="32"/>
        <v>miércoles</v>
      </c>
      <c r="H268" t="s">
        <v>145</v>
      </c>
      <c r="I268" t="str">
        <f t="shared" si="29"/>
        <v>Qui20</v>
      </c>
      <c r="J268" t="str">
        <f t="shared" si="33"/>
        <v>20</v>
      </c>
      <c r="K268">
        <f t="shared" si="34"/>
        <v>39</v>
      </c>
      <c r="L268">
        <v>2026</v>
      </c>
    </row>
    <row r="269" spans="2:12">
      <c r="B269" t="str">
        <f t="shared" si="28"/>
        <v>SEPTIEMBREQui2039</v>
      </c>
      <c r="C269" t="str">
        <f t="shared" si="30"/>
        <v>SEPTIEMBREQui2</v>
      </c>
      <c r="D269" s="11">
        <v>46289</v>
      </c>
      <c r="E269" s="17" t="s">
        <v>81</v>
      </c>
      <c r="F269">
        <f t="shared" si="31"/>
        <v>24</v>
      </c>
      <c r="G269" t="str">
        <f t="shared" si="32"/>
        <v>jueves</v>
      </c>
      <c r="H269" t="s">
        <v>145</v>
      </c>
      <c r="I269" t="str">
        <f t="shared" si="29"/>
        <v>Qui20</v>
      </c>
      <c r="J269" t="str">
        <f t="shared" si="33"/>
        <v>20</v>
      </c>
      <c r="K269">
        <f t="shared" si="34"/>
        <v>39</v>
      </c>
      <c r="L269">
        <v>2026</v>
      </c>
    </row>
    <row r="270" spans="2:12">
      <c r="B270" t="str">
        <f t="shared" si="28"/>
        <v>SEPTIEMBREQui2039</v>
      </c>
      <c r="C270" t="str">
        <f t="shared" si="30"/>
        <v>SEPTIEMBREQui2</v>
      </c>
      <c r="D270" s="11">
        <v>46290</v>
      </c>
      <c r="E270" s="17" t="s">
        <v>81</v>
      </c>
      <c r="F270">
        <f t="shared" si="31"/>
        <v>25</v>
      </c>
      <c r="G270" t="str">
        <f t="shared" si="32"/>
        <v>viernes</v>
      </c>
      <c r="H270" t="s">
        <v>145</v>
      </c>
      <c r="I270" t="str">
        <f t="shared" si="29"/>
        <v>Qui20</v>
      </c>
      <c r="J270" t="str">
        <f t="shared" si="33"/>
        <v>20</v>
      </c>
      <c r="K270">
        <f t="shared" si="34"/>
        <v>39</v>
      </c>
      <c r="L270">
        <v>2026</v>
      </c>
    </row>
    <row r="271" spans="2:12">
      <c r="B271" t="str">
        <f t="shared" si="28"/>
        <v>SEPTIEMBREQui2039</v>
      </c>
      <c r="C271" t="str">
        <f t="shared" si="30"/>
        <v>SEPTIEMBREQui2</v>
      </c>
      <c r="D271" s="11">
        <v>46291</v>
      </c>
      <c r="E271" s="17" t="s">
        <v>81</v>
      </c>
      <c r="F271">
        <f t="shared" si="31"/>
        <v>26</v>
      </c>
      <c r="G271" t="str">
        <f t="shared" si="32"/>
        <v>sábado</v>
      </c>
      <c r="H271" t="s">
        <v>145</v>
      </c>
      <c r="I271" t="str">
        <f t="shared" si="29"/>
        <v>Qui20</v>
      </c>
      <c r="J271" t="str">
        <f t="shared" si="33"/>
        <v>20</v>
      </c>
      <c r="K271">
        <f t="shared" si="34"/>
        <v>39</v>
      </c>
      <c r="L271">
        <v>2026</v>
      </c>
    </row>
    <row r="272" spans="2:12">
      <c r="B272" t="str">
        <f t="shared" si="28"/>
        <v>SEPTIEMBREQui2039</v>
      </c>
      <c r="C272" t="str">
        <f t="shared" si="30"/>
        <v>SEPTIEMBREQui2</v>
      </c>
      <c r="D272" s="11">
        <v>46292</v>
      </c>
      <c r="E272" s="17" t="s">
        <v>81</v>
      </c>
      <c r="F272">
        <f t="shared" si="31"/>
        <v>27</v>
      </c>
      <c r="G272" t="str">
        <f t="shared" si="32"/>
        <v>domingo</v>
      </c>
      <c r="H272" t="s">
        <v>145</v>
      </c>
      <c r="I272" t="str">
        <f t="shared" si="29"/>
        <v>Qui20</v>
      </c>
      <c r="J272" t="str">
        <f t="shared" si="33"/>
        <v>20</v>
      </c>
      <c r="K272">
        <f t="shared" si="34"/>
        <v>39</v>
      </c>
      <c r="L272">
        <v>2026</v>
      </c>
    </row>
    <row r="273" spans="2:12">
      <c r="B273" t="str">
        <f t="shared" si="28"/>
        <v>SEPTIEMBREQui2040</v>
      </c>
      <c r="C273" t="str">
        <f t="shared" si="30"/>
        <v>SEPTIEMBREQui2</v>
      </c>
      <c r="D273" s="11">
        <v>46293</v>
      </c>
      <c r="E273" s="17" t="s">
        <v>81</v>
      </c>
      <c r="F273">
        <f t="shared" si="31"/>
        <v>28</v>
      </c>
      <c r="G273" t="str">
        <f t="shared" si="32"/>
        <v>lunes</v>
      </c>
      <c r="H273" t="s">
        <v>145</v>
      </c>
      <c r="I273" t="str">
        <f t="shared" si="29"/>
        <v>Qui20</v>
      </c>
      <c r="J273" t="str">
        <f t="shared" si="33"/>
        <v>20</v>
      </c>
      <c r="K273">
        <f t="shared" si="34"/>
        <v>40</v>
      </c>
      <c r="L273">
        <v>2026</v>
      </c>
    </row>
    <row r="274" spans="2:12">
      <c r="B274" t="str">
        <f t="shared" si="28"/>
        <v>SEPTIEMBREQui2040</v>
      </c>
      <c r="C274" t="str">
        <f t="shared" si="30"/>
        <v>SEPTIEMBREQui2</v>
      </c>
      <c r="D274" s="11">
        <v>46294</v>
      </c>
      <c r="E274" s="17" t="s">
        <v>81</v>
      </c>
      <c r="F274">
        <f t="shared" si="31"/>
        <v>29</v>
      </c>
      <c r="G274" t="str">
        <f t="shared" si="32"/>
        <v>martes</v>
      </c>
      <c r="H274" t="s">
        <v>145</v>
      </c>
      <c r="I274" t="str">
        <f t="shared" si="29"/>
        <v>Qui20</v>
      </c>
      <c r="J274" t="str">
        <f t="shared" si="33"/>
        <v>20</v>
      </c>
      <c r="K274">
        <f t="shared" si="34"/>
        <v>40</v>
      </c>
      <c r="L274">
        <v>2026</v>
      </c>
    </row>
    <row r="275" spans="2:12">
      <c r="B275" t="str">
        <f t="shared" si="28"/>
        <v>SEPTIEMBREQui2040</v>
      </c>
      <c r="C275" t="str">
        <f t="shared" si="30"/>
        <v>SEPTIEMBREQui2</v>
      </c>
      <c r="D275" s="11">
        <v>46295</v>
      </c>
      <c r="E275" s="18" t="s">
        <v>81</v>
      </c>
      <c r="F275" s="5">
        <f t="shared" si="31"/>
        <v>30</v>
      </c>
      <c r="G275" s="5" t="str">
        <f t="shared" si="32"/>
        <v>miércoles</v>
      </c>
      <c r="H275" s="5" t="s">
        <v>145</v>
      </c>
      <c r="I275" s="5" t="str">
        <f t="shared" si="29"/>
        <v>Qui20</v>
      </c>
      <c r="J275" s="5" t="str">
        <f t="shared" si="33"/>
        <v>20</v>
      </c>
      <c r="K275" s="5">
        <f t="shared" si="34"/>
        <v>40</v>
      </c>
      <c r="L275" s="5">
        <v>2026</v>
      </c>
    </row>
    <row r="276" spans="2:12">
      <c r="B276" t="str">
        <f t="shared" si="28"/>
        <v>OCTUBREQui2040</v>
      </c>
      <c r="C276" t="str">
        <f t="shared" si="30"/>
        <v>OCTUBREQui1</v>
      </c>
      <c r="D276" s="11">
        <v>46296</v>
      </c>
      <c r="E276" s="15" t="s">
        <v>82</v>
      </c>
      <c r="F276" s="16">
        <f t="shared" si="31"/>
        <v>1</v>
      </c>
      <c r="G276" s="16" t="str">
        <f t="shared" si="32"/>
        <v>jueves</v>
      </c>
      <c r="H276" s="16" t="s">
        <v>48</v>
      </c>
      <c r="I276" s="16" t="str">
        <f t="shared" si="29"/>
        <v>Qui20</v>
      </c>
      <c r="J276" s="16" t="str">
        <f t="shared" si="33"/>
        <v>20</v>
      </c>
      <c r="K276" s="16">
        <f t="shared" si="34"/>
        <v>40</v>
      </c>
      <c r="L276" s="16">
        <v>2026</v>
      </c>
    </row>
    <row r="277" spans="2:12">
      <c r="B277" t="str">
        <f t="shared" si="28"/>
        <v>OCTUBREQui2040</v>
      </c>
      <c r="C277" t="str">
        <f t="shared" si="30"/>
        <v>OCTUBREQui1</v>
      </c>
      <c r="D277" s="11">
        <v>46297</v>
      </c>
      <c r="E277" s="17" t="s">
        <v>82</v>
      </c>
      <c r="F277">
        <f t="shared" si="31"/>
        <v>2</v>
      </c>
      <c r="G277" t="str">
        <f t="shared" si="32"/>
        <v>viernes</v>
      </c>
      <c r="H277" t="s">
        <v>48</v>
      </c>
      <c r="I277" t="str">
        <f t="shared" si="29"/>
        <v>Qui20</v>
      </c>
      <c r="J277" t="str">
        <f t="shared" si="33"/>
        <v>20</v>
      </c>
      <c r="K277">
        <f t="shared" si="34"/>
        <v>40</v>
      </c>
      <c r="L277">
        <v>2026</v>
      </c>
    </row>
    <row r="278" spans="2:12">
      <c r="B278" t="str">
        <f t="shared" si="28"/>
        <v>OCTUBREQui2040</v>
      </c>
      <c r="C278" t="str">
        <f t="shared" si="30"/>
        <v>OCTUBREQui1</v>
      </c>
      <c r="D278" s="11">
        <v>46298</v>
      </c>
      <c r="E278" s="17" t="s">
        <v>82</v>
      </c>
      <c r="F278">
        <f t="shared" si="31"/>
        <v>3</v>
      </c>
      <c r="G278" t="str">
        <f t="shared" si="32"/>
        <v>sábado</v>
      </c>
      <c r="H278" t="s">
        <v>48</v>
      </c>
      <c r="I278" t="str">
        <f t="shared" si="29"/>
        <v>Qui20</v>
      </c>
      <c r="J278" t="str">
        <f t="shared" si="33"/>
        <v>20</v>
      </c>
      <c r="K278">
        <f t="shared" si="34"/>
        <v>40</v>
      </c>
      <c r="L278">
        <v>2026</v>
      </c>
    </row>
    <row r="279" spans="2:12">
      <c r="B279" t="str">
        <f t="shared" si="28"/>
        <v>OCTUBREQui2040</v>
      </c>
      <c r="C279" t="str">
        <f t="shared" si="30"/>
        <v>OCTUBREQui1</v>
      </c>
      <c r="D279" s="11">
        <v>46299</v>
      </c>
      <c r="E279" s="17" t="s">
        <v>82</v>
      </c>
      <c r="F279">
        <f t="shared" si="31"/>
        <v>4</v>
      </c>
      <c r="G279" t="str">
        <f t="shared" si="32"/>
        <v>domingo</v>
      </c>
      <c r="H279" t="s">
        <v>48</v>
      </c>
      <c r="I279" t="str">
        <f t="shared" si="29"/>
        <v>Qui20</v>
      </c>
      <c r="J279" t="str">
        <f t="shared" si="33"/>
        <v>20</v>
      </c>
      <c r="K279">
        <f t="shared" si="34"/>
        <v>40</v>
      </c>
      <c r="L279">
        <v>2026</v>
      </c>
    </row>
    <row r="280" spans="2:12">
      <c r="B280" t="str">
        <f t="shared" si="28"/>
        <v>OCTUBREQui2141</v>
      </c>
      <c r="C280" t="str">
        <f t="shared" si="30"/>
        <v>OCTUBREQui1</v>
      </c>
      <c r="D280" s="11">
        <v>46300</v>
      </c>
      <c r="E280" s="17" t="s">
        <v>82</v>
      </c>
      <c r="F280">
        <f t="shared" si="31"/>
        <v>5</v>
      </c>
      <c r="G280" t="str">
        <f t="shared" si="32"/>
        <v>lunes</v>
      </c>
      <c r="H280" t="s">
        <v>48</v>
      </c>
      <c r="I280" t="str">
        <f t="shared" si="29"/>
        <v>Qui21</v>
      </c>
      <c r="J280" t="str">
        <f t="shared" si="33"/>
        <v>21</v>
      </c>
      <c r="K280">
        <f t="shared" si="34"/>
        <v>41</v>
      </c>
      <c r="L280">
        <v>2026</v>
      </c>
    </row>
    <row r="281" spans="2:12">
      <c r="B281" t="str">
        <f t="shared" si="28"/>
        <v>OCTUBREQui2141</v>
      </c>
      <c r="C281" t="str">
        <f t="shared" si="30"/>
        <v>OCTUBREQui1</v>
      </c>
      <c r="D281" s="11">
        <v>46301</v>
      </c>
      <c r="E281" s="17" t="s">
        <v>82</v>
      </c>
      <c r="F281">
        <f t="shared" si="31"/>
        <v>6</v>
      </c>
      <c r="G281" t="str">
        <f t="shared" si="32"/>
        <v>martes</v>
      </c>
      <c r="H281" t="s">
        <v>48</v>
      </c>
      <c r="I281" t="str">
        <f t="shared" si="29"/>
        <v>Qui21</v>
      </c>
      <c r="J281" t="str">
        <f t="shared" si="33"/>
        <v>21</v>
      </c>
      <c r="K281">
        <f t="shared" si="34"/>
        <v>41</v>
      </c>
      <c r="L281">
        <v>2026</v>
      </c>
    </row>
    <row r="282" spans="2:12">
      <c r="B282" t="str">
        <f t="shared" si="28"/>
        <v>OCTUBREQui2141</v>
      </c>
      <c r="C282" t="str">
        <f t="shared" si="30"/>
        <v>OCTUBREQui1</v>
      </c>
      <c r="D282" s="11">
        <v>46302</v>
      </c>
      <c r="E282" s="17" t="s">
        <v>82</v>
      </c>
      <c r="F282">
        <f t="shared" si="31"/>
        <v>7</v>
      </c>
      <c r="G282" t="str">
        <f t="shared" si="32"/>
        <v>miércoles</v>
      </c>
      <c r="H282" t="s">
        <v>48</v>
      </c>
      <c r="I282" t="str">
        <f t="shared" si="29"/>
        <v>Qui21</v>
      </c>
      <c r="J282" t="str">
        <f t="shared" si="33"/>
        <v>21</v>
      </c>
      <c r="K282">
        <f t="shared" si="34"/>
        <v>41</v>
      </c>
      <c r="L282">
        <v>2026</v>
      </c>
    </row>
    <row r="283" spans="2:12">
      <c r="B283" t="str">
        <f t="shared" si="28"/>
        <v>OCTUBREQui2141</v>
      </c>
      <c r="C283" t="str">
        <f t="shared" si="30"/>
        <v>OCTUBREQui1</v>
      </c>
      <c r="D283" s="11">
        <v>46303</v>
      </c>
      <c r="E283" s="17" t="s">
        <v>82</v>
      </c>
      <c r="F283">
        <f t="shared" si="31"/>
        <v>8</v>
      </c>
      <c r="G283" t="str">
        <f t="shared" si="32"/>
        <v>jueves</v>
      </c>
      <c r="H283" t="s">
        <v>48</v>
      </c>
      <c r="I283" t="str">
        <f t="shared" si="29"/>
        <v>Qui21</v>
      </c>
      <c r="J283" t="str">
        <f t="shared" si="33"/>
        <v>21</v>
      </c>
      <c r="K283">
        <f t="shared" si="34"/>
        <v>41</v>
      </c>
      <c r="L283">
        <v>2026</v>
      </c>
    </row>
    <row r="284" spans="2:12">
      <c r="B284" t="str">
        <f t="shared" si="28"/>
        <v>OCTUBREQui2141</v>
      </c>
      <c r="C284" t="str">
        <f t="shared" si="30"/>
        <v>OCTUBREQui1</v>
      </c>
      <c r="D284" s="11">
        <v>46304</v>
      </c>
      <c r="E284" s="17" t="s">
        <v>82</v>
      </c>
      <c r="F284">
        <f t="shared" si="31"/>
        <v>9</v>
      </c>
      <c r="G284" t="str">
        <f t="shared" si="32"/>
        <v>viernes</v>
      </c>
      <c r="H284" t="s">
        <v>48</v>
      </c>
      <c r="I284" t="str">
        <f t="shared" si="29"/>
        <v>Qui21</v>
      </c>
      <c r="J284" t="str">
        <f t="shared" si="33"/>
        <v>21</v>
      </c>
      <c r="K284">
        <f t="shared" si="34"/>
        <v>41</v>
      </c>
      <c r="L284">
        <v>2026</v>
      </c>
    </row>
    <row r="285" spans="2:12">
      <c r="B285" t="str">
        <f t="shared" si="28"/>
        <v>OCTUBREQui2141</v>
      </c>
      <c r="C285" t="str">
        <f t="shared" si="30"/>
        <v>OCTUBREQui1</v>
      </c>
      <c r="D285" s="11">
        <v>46305</v>
      </c>
      <c r="E285" s="17" t="s">
        <v>82</v>
      </c>
      <c r="F285">
        <f t="shared" si="31"/>
        <v>10</v>
      </c>
      <c r="G285" t="str">
        <f t="shared" si="32"/>
        <v>sábado</v>
      </c>
      <c r="H285" t="s">
        <v>48</v>
      </c>
      <c r="I285" t="str">
        <f t="shared" si="29"/>
        <v>Qui21</v>
      </c>
      <c r="J285" t="str">
        <f t="shared" si="33"/>
        <v>21</v>
      </c>
      <c r="K285">
        <f t="shared" si="34"/>
        <v>41</v>
      </c>
      <c r="L285">
        <v>2026</v>
      </c>
    </row>
    <row r="286" spans="2:12">
      <c r="B286" t="str">
        <f t="shared" si="28"/>
        <v>OCTUBREQui2141</v>
      </c>
      <c r="C286" t="str">
        <f t="shared" si="30"/>
        <v>OCTUBREQui1</v>
      </c>
      <c r="D286" s="11">
        <v>46306</v>
      </c>
      <c r="E286" s="17" t="s">
        <v>82</v>
      </c>
      <c r="F286">
        <f t="shared" si="31"/>
        <v>11</v>
      </c>
      <c r="G286" t="str">
        <f t="shared" si="32"/>
        <v>domingo</v>
      </c>
      <c r="H286" t="s">
        <v>48</v>
      </c>
      <c r="I286" t="str">
        <f t="shared" si="29"/>
        <v>Qui21</v>
      </c>
      <c r="J286" t="str">
        <f t="shared" si="33"/>
        <v>21</v>
      </c>
      <c r="K286">
        <f t="shared" si="34"/>
        <v>41</v>
      </c>
      <c r="L286">
        <v>2026</v>
      </c>
    </row>
    <row r="287" spans="2:12">
      <c r="B287" t="str">
        <f t="shared" si="28"/>
        <v>OCTUBREQui2142</v>
      </c>
      <c r="C287" t="str">
        <f t="shared" si="30"/>
        <v>OCTUBREQui1</v>
      </c>
      <c r="D287" s="11">
        <v>46307</v>
      </c>
      <c r="E287" s="17" t="s">
        <v>82</v>
      </c>
      <c r="F287">
        <f t="shared" si="31"/>
        <v>12</v>
      </c>
      <c r="G287" t="str">
        <f t="shared" si="32"/>
        <v>lunes</v>
      </c>
      <c r="H287" t="s">
        <v>48</v>
      </c>
      <c r="I287" t="str">
        <f t="shared" si="29"/>
        <v>Qui21</v>
      </c>
      <c r="J287" t="str">
        <f t="shared" si="33"/>
        <v>21</v>
      </c>
      <c r="K287">
        <f t="shared" si="34"/>
        <v>42</v>
      </c>
      <c r="L287">
        <v>2026</v>
      </c>
    </row>
    <row r="288" spans="2:12">
      <c r="B288" t="str">
        <f t="shared" si="28"/>
        <v>OCTUBREQui2142</v>
      </c>
      <c r="C288" t="str">
        <f t="shared" si="30"/>
        <v>OCTUBREQui1</v>
      </c>
      <c r="D288" s="11">
        <v>46308</v>
      </c>
      <c r="E288" s="17" t="s">
        <v>82</v>
      </c>
      <c r="F288">
        <f t="shared" si="31"/>
        <v>13</v>
      </c>
      <c r="G288" t="str">
        <f t="shared" si="32"/>
        <v>martes</v>
      </c>
      <c r="H288" t="s">
        <v>48</v>
      </c>
      <c r="I288" t="str">
        <f t="shared" si="29"/>
        <v>Qui21</v>
      </c>
      <c r="J288" t="str">
        <f t="shared" si="33"/>
        <v>21</v>
      </c>
      <c r="K288">
        <f t="shared" si="34"/>
        <v>42</v>
      </c>
      <c r="L288">
        <v>2026</v>
      </c>
    </row>
    <row r="289" spans="2:12">
      <c r="B289" t="str">
        <f t="shared" si="28"/>
        <v>OCTUBREQui2142</v>
      </c>
      <c r="C289" t="str">
        <f t="shared" si="30"/>
        <v>OCTUBREQui1</v>
      </c>
      <c r="D289" s="11">
        <v>46309</v>
      </c>
      <c r="E289" s="17" t="s">
        <v>82</v>
      </c>
      <c r="F289">
        <f t="shared" si="31"/>
        <v>14</v>
      </c>
      <c r="G289" t="str">
        <f t="shared" si="32"/>
        <v>miércoles</v>
      </c>
      <c r="H289" t="s">
        <v>48</v>
      </c>
      <c r="I289" t="str">
        <f t="shared" si="29"/>
        <v>Qui21</v>
      </c>
      <c r="J289" t="str">
        <f t="shared" si="33"/>
        <v>21</v>
      </c>
      <c r="K289">
        <f t="shared" si="34"/>
        <v>42</v>
      </c>
      <c r="L289">
        <v>2026</v>
      </c>
    </row>
    <row r="290" spans="2:12">
      <c r="B290" t="str">
        <f t="shared" si="28"/>
        <v>OCTUBREQui2142</v>
      </c>
      <c r="C290" t="str">
        <f t="shared" si="30"/>
        <v>OCTUBREQui1</v>
      </c>
      <c r="D290" s="11">
        <v>46310</v>
      </c>
      <c r="E290" s="17" t="s">
        <v>82</v>
      </c>
      <c r="F290">
        <f t="shared" si="31"/>
        <v>15</v>
      </c>
      <c r="G290" t="str">
        <f t="shared" si="32"/>
        <v>jueves</v>
      </c>
      <c r="H290" t="s">
        <v>48</v>
      </c>
      <c r="I290" t="str">
        <f t="shared" si="29"/>
        <v>Qui21</v>
      </c>
      <c r="J290" t="str">
        <f t="shared" si="33"/>
        <v>21</v>
      </c>
      <c r="K290">
        <f t="shared" si="34"/>
        <v>42</v>
      </c>
      <c r="L290">
        <v>2026</v>
      </c>
    </row>
    <row r="291" spans="2:12">
      <c r="B291" t="str">
        <f t="shared" si="28"/>
        <v>OCTUBREQui2142</v>
      </c>
      <c r="C291" t="str">
        <f t="shared" si="30"/>
        <v>OCTUBREQui2</v>
      </c>
      <c r="D291" s="11">
        <v>46311</v>
      </c>
      <c r="E291" s="17" t="s">
        <v>82</v>
      </c>
      <c r="F291">
        <f t="shared" si="31"/>
        <v>16</v>
      </c>
      <c r="G291" t="str">
        <f t="shared" si="32"/>
        <v>viernes</v>
      </c>
      <c r="H291" t="s">
        <v>145</v>
      </c>
      <c r="I291" t="str">
        <f t="shared" si="29"/>
        <v>Qui21</v>
      </c>
      <c r="J291" t="str">
        <f t="shared" si="33"/>
        <v>21</v>
      </c>
      <c r="K291">
        <f t="shared" si="34"/>
        <v>42</v>
      </c>
      <c r="L291">
        <v>2026</v>
      </c>
    </row>
    <row r="292" spans="2:12">
      <c r="B292" t="str">
        <f t="shared" si="28"/>
        <v>OCTUBREQui2142</v>
      </c>
      <c r="C292" t="str">
        <f t="shared" si="30"/>
        <v>OCTUBREQui2</v>
      </c>
      <c r="D292" s="11">
        <v>46312</v>
      </c>
      <c r="E292" s="17" t="s">
        <v>82</v>
      </c>
      <c r="F292">
        <f t="shared" si="31"/>
        <v>17</v>
      </c>
      <c r="G292" t="str">
        <f t="shared" si="32"/>
        <v>sábado</v>
      </c>
      <c r="H292" t="s">
        <v>145</v>
      </c>
      <c r="I292" t="str">
        <f t="shared" si="29"/>
        <v>Qui21</v>
      </c>
      <c r="J292" t="str">
        <f t="shared" si="33"/>
        <v>21</v>
      </c>
      <c r="K292">
        <f t="shared" si="34"/>
        <v>42</v>
      </c>
      <c r="L292">
        <v>2026</v>
      </c>
    </row>
    <row r="293" spans="2:12">
      <c r="B293" t="str">
        <f t="shared" si="28"/>
        <v>OCTUBREQui2142</v>
      </c>
      <c r="C293" t="str">
        <f t="shared" si="30"/>
        <v>OCTUBREQui2</v>
      </c>
      <c r="D293" s="11">
        <v>46313</v>
      </c>
      <c r="E293" s="17" t="s">
        <v>82</v>
      </c>
      <c r="F293">
        <f t="shared" si="31"/>
        <v>18</v>
      </c>
      <c r="G293" t="str">
        <f t="shared" si="32"/>
        <v>domingo</v>
      </c>
      <c r="H293" t="s">
        <v>145</v>
      </c>
      <c r="I293" t="str">
        <f t="shared" si="29"/>
        <v>Qui21</v>
      </c>
      <c r="J293" t="str">
        <f t="shared" si="33"/>
        <v>21</v>
      </c>
      <c r="K293">
        <f t="shared" si="34"/>
        <v>42</v>
      </c>
      <c r="L293">
        <v>2026</v>
      </c>
    </row>
    <row r="294" spans="2:12">
      <c r="B294" t="str">
        <f t="shared" si="28"/>
        <v>OCTUBREQui2243</v>
      </c>
      <c r="C294" t="str">
        <f t="shared" si="30"/>
        <v>OCTUBREQui2</v>
      </c>
      <c r="D294" s="11">
        <v>46314</v>
      </c>
      <c r="E294" s="17" t="s">
        <v>82</v>
      </c>
      <c r="F294">
        <f t="shared" si="31"/>
        <v>19</v>
      </c>
      <c r="G294" t="str">
        <f t="shared" si="32"/>
        <v>lunes</v>
      </c>
      <c r="H294" t="s">
        <v>145</v>
      </c>
      <c r="I294" t="str">
        <f t="shared" si="29"/>
        <v>Qui22</v>
      </c>
      <c r="J294" t="str">
        <f t="shared" si="33"/>
        <v>22</v>
      </c>
      <c r="K294">
        <f t="shared" si="34"/>
        <v>43</v>
      </c>
      <c r="L294">
        <v>2026</v>
      </c>
    </row>
    <row r="295" spans="2:12">
      <c r="B295" t="str">
        <f t="shared" si="28"/>
        <v>OCTUBREQui2243</v>
      </c>
      <c r="C295" t="str">
        <f t="shared" si="30"/>
        <v>OCTUBREQui2</v>
      </c>
      <c r="D295" s="11">
        <v>46315</v>
      </c>
      <c r="E295" s="17" t="s">
        <v>82</v>
      </c>
      <c r="F295">
        <f t="shared" si="31"/>
        <v>20</v>
      </c>
      <c r="G295" t="str">
        <f t="shared" si="32"/>
        <v>martes</v>
      </c>
      <c r="H295" t="s">
        <v>145</v>
      </c>
      <c r="I295" t="str">
        <f t="shared" si="29"/>
        <v>Qui22</v>
      </c>
      <c r="J295" t="str">
        <f t="shared" si="33"/>
        <v>22</v>
      </c>
      <c r="K295">
        <f t="shared" si="34"/>
        <v>43</v>
      </c>
      <c r="L295">
        <v>2026</v>
      </c>
    </row>
    <row r="296" spans="2:12">
      <c r="B296" t="str">
        <f t="shared" si="28"/>
        <v>OCTUBREQui2243</v>
      </c>
      <c r="C296" t="str">
        <f t="shared" si="30"/>
        <v>OCTUBREQui2</v>
      </c>
      <c r="D296" s="11">
        <v>46316</v>
      </c>
      <c r="E296" s="17" t="s">
        <v>82</v>
      </c>
      <c r="F296">
        <f t="shared" si="31"/>
        <v>21</v>
      </c>
      <c r="G296" t="str">
        <f t="shared" si="32"/>
        <v>miércoles</v>
      </c>
      <c r="H296" t="s">
        <v>145</v>
      </c>
      <c r="I296" t="str">
        <f t="shared" si="29"/>
        <v>Qui22</v>
      </c>
      <c r="J296" t="str">
        <f t="shared" si="33"/>
        <v>22</v>
      </c>
      <c r="K296">
        <f t="shared" si="34"/>
        <v>43</v>
      </c>
      <c r="L296">
        <v>2026</v>
      </c>
    </row>
    <row r="297" spans="2:12">
      <c r="B297" t="str">
        <f t="shared" si="28"/>
        <v>OCTUBREQui2243</v>
      </c>
      <c r="C297" t="str">
        <f t="shared" si="30"/>
        <v>OCTUBREQui2</v>
      </c>
      <c r="D297" s="11">
        <v>46317</v>
      </c>
      <c r="E297" s="17" t="s">
        <v>82</v>
      </c>
      <c r="F297">
        <f t="shared" si="31"/>
        <v>22</v>
      </c>
      <c r="G297" t="str">
        <f t="shared" si="32"/>
        <v>jueves</v>
      </c>
      <c r="H297" t="s">
        <v>145</v>
      </c>
      <c r="I297" t="str">
        <f t="shared" si="29"/>
        <v>Qui22</v>
      </c>
      <c r="J297" t="str">
        <f t="shared" si="33"/>
        <v>22</v>
      </c>
      <c r="K297">
        <f t="shared" si="34"/>
        <v>43</v>
      </c>
      <c r="L297">
        <v>2026</v>
      </c>
    </row>
    <row r="298" spans="2:12">
      <c r="B298" t="str">
        <f t="shared" si="28"/>
        <v>OCTUBREQui2243</v>
      </c>
      <c r="C298" t="str">
        <f t="shared" si="30"/>
        <v>OCTUBREQui2</v>
      </c>
      <c r="D298" s="11">
        <v>46318</v>
      </c>
      <c r="E298" s="17" t="s">
        <v>82</v>
      </c>
      <c r="F298">
        <f t="shared" si="31"/>
        <v>23</v>
      </c>
      <c r="G298" t="str">
        <f t="shared" si="32"/>
        <v>viernes</v>
      </c>
      <c r="H298" t="s">
        <v>145</v>
      </c>
      <c r="I298" t="str">
        <f t="shared" si="29"/>
        <v>Qui22</v>
      </c>
      <c r="J298" t="str">
        <f t="shared" si="33"/>
        <v>22</v>
      </c>
      <c r="K298">
        <f t="shared" si="34"/>
        <v>43</v>
      </c>
      <c r="L298">
        <v>2026</v>
      </c>
    </row>
    <row r="299" spans="2:12">
      <c r="B299" t="str">
        <f t="shared" si="28"/>
        <v>OCTUBREQui2243</v>
      </c>
      <c r="C299" t="str">
        <f t="shared" si="30"/>
        <v>OCTUBREQui2</v>
      </c>
      <c r="D299" s="11">
        <v>46319</v>
      </c>
      <c r="E299" s="17" t="s">
        <v>82</v>
      </c>
      <c r="F299">
        <f t="shared" si="31"/>
        <v>24</v>
      </c>
      <c r="G299" t="str">
        <f t="shared" si="32"/>
        <v>sábado</v>
      </c>
      <c r="H299" t="s">
        <v>145</v>
      </c>
      <c r="I299" t="str">
        <f t="shared" si="29"/>
        <v>Qui22</v>
      </c>
      <c r="J299" t="str">
        <f t="shared" si="33"/>
        <v>22</v>
      </c>
      <c r="K299">
        <f t="shared" si="34"/>
        <v>43</v>
      </c>
      <c r="L299">
        <v>2026</v>
      </c>
    </row>
    <row r="300" spans="2:12">
      <c r="B300" t="str">
        <f t="shared" si="28"/>
        <v>OCTUBREQui2243</v>
      </c>
      <c r="C300" t="str">
        <f t="shared" si="30"/>
        <v>OCTUBREQui2</v>
      </c>
      <c r="D300" s="11">
        <v>46320</v>
      </c>
      <c r="E300" s="17" t="s">
        <v>82</v>
      </c>
      <c r="F300">
        <f t="shared" si="31"/>
        <v>25</v>
      </c>
      <c r="G300" t="str">
        <f t="shared" si="32"/>
        <v>domingo</v>
      </c>
      <c r="H300" t="s">
        <v>145</v>
      </c>
      <c r="I300" t="str">
        <f t="shared" si="29"/>
        <v>Qui22</v>
      </c>
      <c r="J300" t="str">
        <f t="shared" si="33"/>
        <v>22</v>
      </c>
      <c r="K300">
        <f t="shared" si="34"/>
        <v>43</v>
      </c>
      <c r="L300">
        <v>2026</v>
      </c>
    </row>
    <row r="301" spans="2:12">
      <c r="B301" t="str">
        <f t="shared" si="28"/>
        <v>OCTUBREQui2244</v>
      </c>
      <c r="C301" t="str">
        <f t="shared" si="30"/>
        <v>OCTUBREQui2</v>
      </c>
      <c r="D301" s="11">
        <v>46321</v>
      </c>
      <c r="E301" s="17" t="s">
        <v>82</v>
      </c>
      <c r="F301">
        <f t="shared" si="31"/>
        <v>26</v>
      </c>
      <c r="G301" t="str">
        <f t="shared" si="32"/>
        <v>lunes</v>
      </c>
      <c r="H301" t="s">
        <v>145</v>
      </c>
      <c r="I301" t="str">
        <f t="shared" si="29"/>
        <v>Qui22</v>
      </c>
      <c r="J301" t="str">
        <f t="shared" si="33"/>
        <v>22</v>
      </c>
      <c r="K301">
        <f t="shared" si="34"/>
        <v>44</v>
      </c>
      <c r="L301">
        <v>2026</v>
      </c>
    </row>
    <row r="302" spans="2:12">
      <c r="B302" t="str">
        <f t="shared" si="28"/>
        <v>OCTUBREQui2244</v>
      </c>
      <c r="C302" t="str">
        <f t="shared" si="30"/>
        <v>OCTUBREQui2</v>
      </c>
      <c r="D302" s="11">
        <v>46322</v>
      </c>
      <c r="E302" s="17" t="s">
        <v>82</v>
      </c>
      <c r="F302">
        <f t="shared" si="31"/>
        <v>27</v>
      </c>
      <c r="G302" t="str">
        <f t="shared" si="32"/>
        <v>martes</v>
      </c>
      <c r="H302" t="s">
        <v>145</v>
      </c>
      <c r="I302" t="str">
        <f t="shared" si="29"/>
        <v>Qui22</v>
      </c>
      <c r="J302" t="str">
        <f t="shared" si="33"/>
        <v>22</v>
      </c>
      <c r="K302">
        <f t="shared" si="34"/>
        <v>44</v>
      </c>
      <c r="L302">
        <v>2026</v>
      </c>
    </row>
    <row r="303" spans="2:12">
      <c r="B303" t="str">
        <f t="shared" si="28"/>
        <v>OCTUBREQui2244</v>
      </c>
      <c r="C303" t="str">
        <f t="shared" si="30"/>
        <v>OCTUBREQui2</v>
      </c>
      <c r="D303" s="11">
        <v>46323</v>
      </c>
      <c r="E303" s="17" t="s">
        <v>82</v>
      </c>
      <c r="F303">
        <f t="shared" si="31"/>
        <v>28</v>
      </c>
      <c r="G303" t="str">
        <f t="shared" si="32"/>
        <v>miércoles</v>
      </c>
      <c r="H303" t="s">
        <v>145</v>
      </c>
      <c r="I303" t="str">
        <f t="shared" si="29"/>
        <v>Qui22</v>
      </c>
      <c r="J303" t="str">
        <f t="shared" si="33"/>
        <v>22</v>
      </c>
      <c r="K303">
        <f t="shared" si="34"/>
        <v>44</v>
      </c>
      <c r="L303">
        <v>2026</v>
      </c>
    </row>
    <row r="304" spans="2:12">
      <c r="B304" t="str">
        <f t="shared" si="28"/>
        <v>OCTUBREQui2244</v>
      </c>
      <c r="C304" t="str">
        <f t="shared" si="30"/>
        <v>OCTUBREQui2</v>
      </c>
      <c r="D304" s="11">
        <v>46324</v>
      </c>
      <c r="E304" s="17" t="s">
        <v>82</v>
      </c>
      <c r="F304">
        <f t="shared" si="31"/>
        <v>29</v>
      </c>
      <c r="G304" t="str">
        <f t="shared" si="32"/>
        <v>jueves</v>
      </c>
      <c r="H304" t="s">
        <v>145</v>
      </c>
      <c r="I304" t="str">
        <f t="shared" si="29"/>
        <v>Qui22</v>
      </c>
      <c r="J304" t="str">
        <f t="shared" si="33"/>
        <v>22</v>
      </c>
      <c r="K304">
        <f t="shared" si="34"/>
        <v>44</v>
      </c>
      <c r="L304">
        <v>2026</v>
      </c>
    </row>
    <row r="305" spans="2:12">
      <c r="B305" t="str">
        <f t="shared" si="28"/>
        <v>OCTUBREQui2244</v>
      </c>
      <c r="C305" t="str">
        <f t="shared" si="30"/>
        <v>OCTUBREQui2</v>
      </c>
      <c r="D305" s="11">
        <v>46325</v>
      </c>
      <c r="E305" s="17" t="s">
        <v>82</v>
      </c>
      <c r="F305">
        <f t="shared" si="31"/>
        <v>30</v>
      </c>
      <c r="G305" t="str">
        <f t="shared" si="32"/>
        <v>viernes</v>
      </c>
      <c r="H305" t="s">
        <v>145</v>
      </c>
      <c r="I305" t="str">
        <f t="shared" si="29"/>
        <v>Qui22</v>
      </c>
      <c r="J305" t="str">
        <f t="shared" si="33"/>
        <v>22</v>
      </c>
      <c r="K305">
        <f t="shared" si="34"/>
        <v>44</v>
      </c>
      <c r="L305">
        <v>2026</v>
      </c>
    </row>
    <row r="306" spans="2:12">
      <c r="B306" t="str">
        <f t="shared" si="28"/>
        <v>OCTUBREQui2244</v>
      </c>
      <c r="C306" t="str">
        <f t="shared" si="30"/>
        <v>OCTUBREQui2</v>
      </c>
      <c r="D306" s="11">
        <v>46326</v>
      </c>
      <c r="E306" s="18" t="s">
        <v>82</v>
      </c>
      <c r="F306" s="5">
        <f t="shared" si="31"/>
        <v>31</v>
      </c>
      <c r="G306" s="5" t="str">
        <f t="shared" si="32"/>
        <v>sábado</v>
      </c>
      <c r="H306" s="5" t="s">
        <v>145</v>
      </c>
      <c r="I306" s="5" t="str">
        <f t="shared" si="29"/>
        <v>Qui22</v>
      </c>
      <c r="J306" s="5" t="str">
        <f t="shared" si="33"/>
        <v>22</v>
      </c>
      <c r="K306" s="5">
        <f t="shared" si="34"/>
        <v>44</v>
      </c>
      <c r="L306" s="5">
        <v>2026</v>
      </c>
    </row>
    <row r="307" spans="2:12">
      <c r="B307" t="str">
        <f t="shared" si="28"/>
        <v>NOVIEMBREQui2244</v>
      </c>
      <c r="C307" t="str">
        <f t="shared" si="30"/>
        <v>NOVIEMBREQui1</v>
      </c>
      <c r="D307" s="11">
        <v>46327</v>
      </c>
      <c r="E307" s="15" t="s">
        <v>83</v>
      </c>
      <c r="F307" s="16">
        <f t="shared" si="31"/>
        <v>1</v>
      </c>
      <c r="G307" s="16" t="str">
        <f t="shared" si="32"/>
        <v>domingo</v>
      </c>
      <c r="H307" s="16" t="s">
        <v>48</v>
      </c>
      <c r="I307" s="16" t="str">
        <f t="shared" si="29"/>
        <v>Qui22</v>
      </c>
      <c r="J307" s="16" t="str">
        <f t="shared" si="33"/>
        <v>22</v>
      </c>
      <c r="K307" s="16">
        <f t="shared" si="34"/>
        <v>44</v>
      </c>
      <c r="L307" s="16">
        <v>2026</v>
      </c>
    </row>
    <row r="308" spans="2:12">
      <c r="B308" t="str">
        <f t="shared" si="28"/>
        <v>NOVIEMBREQui2345</v>
      </c>
      <c r="C308" t="str">
        <f t="shared" si="30"/>
        <v>NOVIEMBREQui1</v>
      </c>
      <c r="D308" s="11">
        <v>46328</v>
      </c>
      <c r="E308" s="17" t="s">
        <v>83</v>
      </c>
      <c r="F308">
        <f t="shared" si="31"/>
        <v>2</v>
      </c>
      <c r="G308" t="str">
        <f t="shared" si="32"/>
        <v>lunes</v>
      </c>
      <c r="H308" t="s">
        <v>48</v>
      </c>
      <c r="I308" t="str">
        <f t="shared" si="29"/>
        <v>Qui23</v>
      </c>
      <c r="J308" t="str">
        <f t="shared" si="33"/>
        <v>23</v>
      </c>
      <c r="K308">
        <f t="shared" si="34"/>
        <v>45</v>
      </c>
      <c r="L308">
        <v>2026</v>
      </c>
    </row>
    <row r="309" spans="2:12">
      <c r="B309" t="str">
        <f t="shared" si="28"/>
        <v>NOVIEMBREQui2345</v>
      </c>
      <c r="C309" t="str">
        <f t="shared" si="30"/>
        <v>NOVIEMBREQui1</v>
      </c>
      <c r="D309" s="11">
        <v>46329</v>
      </c>
      <c r="E309" s="17" t="s">
        <v>83</v>
      </c>
      <c r="F309">
        <f t="shared" si="31"/>
        <v>3</v>
      </c>
      <c r="G309" t="str">
        <f t="shared" si="32"/>
        <v>martes</v>
      </c>
      <c r="H309" t="s">
        <v>48</v>
      </c>
      <c r="I309" t="str">
        <f t="shared" si="29"/>
        <v>Qui23</v>
      </c>
      <c r="J309" t="str">
        <f t="shared" si="33"/>
        <v>23</v>
      </c>
      <c r="K309">
        <f t="shared" si="34"/>
        <v>45</v>
      </c>
      <c r="L309">
        <v>2026</v>
      </c>
    </row>
    <row r="310" spans="2:12">
      <c r="B310" t="str">
        <f t="shared" si="28"/>
        <v>NOVIEMBREQui2345</v>
      </c>
      <c r="C310" t="str">
        <f t="shared" si="30"/>
        <v>NOVIEMBREQui1</v>
      </c>
      <c r="D310" s="11">
        <v>46330</v>
      </c>
      <c r="E310" s="17" t="s">
        <v>83</v>
      </c>
      <c r="F310">
        <f t="shared" si="31"/>
        <v>4</v>
      </c>
      <c r="G310" t="str">
        <f t="shared" si="32"/>
        <v>miércoles</v>
      </c>
      <c r="H310" t="s">
        <v>48</v>
      </c>
      <c r="I310" t="str">
        <f t="shared" si="29"/>
        <v>Qui23</v>
      </c>
      <c r="J310" t="str">
        <f t="shared" si="33"/>
        <v>23</v>
      </c>
      <c r="K310">
        <f t="shared" si="34"/>
        <v>45</v>
      </c>
      <c r="L310">
        <v>2026</v>
      </c>
    </row>
    <row r="311" spans="2:12">
      <c r="B311" t="str">
        <f t="shared" si="28"/>
        <v>NOVIEMBREQui2345</v>
      </c>
      <c r="C311" t="str">
        <f t="shared" si="30"/>
        <v>NOVIEMBREQui1</v>
      </c>
      <c r="D311" s="11">
        <v>46331</v>
      </c>
      <c r="E311" s="17" t="s">
        <v>83</v>
      </c>
      <c r="F311">
        <f t="shared" si="31"/>
        <v>5</v>
      </c>
      <c r="G311" t="str">
        <f t="shared" si="32"/>
        <v>jueves</v>
      </c>
      <c r="H311" t="s">
        <v>48</v>
      </c>
      <c r="I311" t="str">
        <f t="shared" si="29"/>
        <v>Qui23</v>
      </c>
      <c r="J311" t="str">
        <f t="shared" si="33"/>
        <v>23</v>
      </c>
      <c r="K311">
        <f t="shared" si="34"/>
        <v>45</v>
      </c>
      <c r="L311">
        <v>2026</v>
      </c>
    </row>
    <row r="312" spans="2:12">
      <c r="B312" t="str">
        <f t="shared" si="28"/>
        <v>NOVIEMBREQui2345</v>
      </c>
      <c r="C312" t="str">
        <f t="shared" si="30"/>
        <v>NOVIEMBREQui1</v>
      </c>
      <c r="D312" s="11">
        <v>46332</v>
      </c>
      <c r="E312" s="17" t="s">
        <v>83</v>
      </c>
      <c r="F312">
        <f t="shared" si="31"/>
        <v>6</v>
      </c>
      <c r="G312" t="str">
        <f t="shared" si="32"/>
        <v>viernes</v>
      </c>
      <c r="H312" t="s">
        <v>48</v>
      </c>
      <c r="I312" t="str">
        <f t="shared" si="29"/>
        <v>Qui23</v>
      </c>
      <c r="J312" t="str">
        <f t="shared" si="33"/>
        <v>23</v>
      </c>
      <c r="K312">
        <f t="shared" si="34"/>
        <v>45</v>
      </c>
      <c r="L312">
        <v>2026</v>
      </c>
    </row>
    <row r="313" spans="2:12">
      <c r="B313" t="str">
        <f t="shared" si="28"/>
        <v>NOVIEMBREQui2345</v>
      </c>
      <c r="C313" t="str">
        <f t="shared" si="30"/>
        <v>NOVIEMBREQui1</v>
      </c>
      <c r="D313" s="11">
        <v>46333</v>
      </c>
      <c r="E313" s="17" t="s">
        <v>83</v>
      </c>
      <c r="F313">
        <f t="shared" si="31"/>
        <v>7</v>
      </c>
      <c r="G313" t="str">
        <f t="shared" si="32"/>
        <v>sábado</v>
      </c>
      <c r="H313" t="s">
        <v>48</v>
      </c>
      <c r="I313" t="str">
        <f t="shared" si="29"/>
        <v>Qui23</v>
      </c>
      <c r="J313" t="str">
        <f t="shared" si="33"/>
        <v>23</v>
      </c>
      <c r="K313">
        <f t="shared" si="34"/>
        <v>45</v>
      </c>
      <c r="L313">
        <v>2026</v>
      </c>
    </row>
    <row r="314" spans="2:12">
      <c r="B314" t="str">
        <f t="shared" si="28"/>
        <v>NOVIEMBREQui2345</v>
      </c>
      <c r="C314" t="str">
        <f t="shared" si="30"/>
        <v>NOVIEMBREQui1</v>
      </c>
      <c r="D314" s="11">
        <v>46334</v>
      </c>
      <c r="E314" s="17" t="s">
        <v>83</v>
      </c>
      <c r="F314">
        <f t="shared" si="31"/>
        <v>8</v>
      </c>
      <c r="G314" t="str">
        <f t="shared" si="32"/>
        <v>domingo</v>
      </c>
      <c r="H314" t="s">
        <v>48</v>
      </c>
      <c r="I314" t="str">
        <f t="shared" si="29"/>
        <v>Qui23</v>
      </c>
      <c r="J314" t="str">
        <f t="shared" si="33"/>
        <v>23</v>
      </c>
      <c r="K314">
        <f t="shared" si="34"/>
        <v>45</v>
      </c>
      <c r="L314">
        <v>2026</v>
      </c>
    </row>
    <row r="315" spans="2:12">
      <c r="B315" t="str">
        <f t="shared" si="28"/>
        <v>NOVIEMBREQui2346</v>
      </c>
      <c r="C315" t="str">
        <f t="shared" si="30"/>
        <v>NOVIEMBREQui1</v>
      </c>
      <c r="D315" s="11">
        <v>46335</v>
      </c>
      <c r="E315" s="17" t="s">
        <v>83</v>
      </c>
      <c r="F315">
        <f t="shared" si="31"/>
        <v>9</v>
      </c>
      <c r="G315" t="str">
        <f t="shared" si="32"/>
        <v>lunes</v>
      </c>
      <c r="H315" t="s">
        <v>48</v>
      </c>
      <c r="I315" t="str">
        <f t="shared" si="29"/>
        <v>Qui23</v>
      </c>
      <c r="J315" t="str">
        <f t="shared" si="33"/>
        <v>23</v>
      </c>
      <c r="K315">
        <f t="shared" si="34"/>
        <v>46</v>
      </c>
      <c r="L315">
        <v>2026</v>
      </c>
    </row>
    <row r="316" spans="2:12">
      <c r="B316" t="str">
        <f t="shared" si="28"/>
        <v>NOVIEMBREQui2346</v>
      </c>
      <c r="C316" t="str">
        <f t="shared" si="30"/>
        <v>NOVIEMBREQui1</v>
      </c>
      <c r="D316" s="11">
        <v>46336</v>
      </c>
      <c r="E316" s="17" t="s">
        <v>83</v>
      </c>
      <c r="F316">
        <f t="shared" si="31"/>
        <v>10</v>
      </c>
      <c r="G316" t="str">
        <f t="shared" si="32"/>
        <v>martes</v>
      </c>
      <c r="H316" t="s">
        <v>48</v>
      </c>
      <c r="I316" t="str">
        <f t="shared" si="29"/>
        <v>Qui23</v>
      </c>
      <c r="J316" t="str">
        <f t="shared" si="33"/>
        <v>23</v>
      </c>
      <c r="K316">
        <f t="shared" si="34"/>
        <v>46</v>
      </c>
      <c r="L316">
        <v>2026</v>
      </c>
    </row>
    <row r="317" spans="2:12">
      <c r="B317" t="str">
        <f t="shared" si="28"/>
        <v>NOVIEMBREQui2346</v>
      </c>
      <c r="C317" t="str">
        <f t="shared" si="30"/>
        <v>NOVIEMBREQui1</v>
      </c>
      <c r="D317" s="11">
        <v>46337</v>
      </c>
      <c r="E317" s="17" t="s">
        <v>83</v>
      </c>
      <c r="F317">
        <f t="shared" si="31"/>
        <v>11</v>
      </c>
      <c r="G317" t="str">
        <f t="shared" si="32"/>
        <v>miércoles</v>
      </c>
      <c r="H317" t="s">
        <v>48</v>
      </c>
      <c r="I317" t="str">
        <f t="shared" si="29"/>
        <v>Qui23</v>
      </c>
      <c r="J317" t="str">
        <f t="shared" si="33"/>
        <v>23</v>
      </c>
      <c r="K317">
        <f t="shared" si="34"/>
        <v>46</v>
      </c>
      <c r="L317">
        <v>2026</v>
      </c>
    </row>
    <row r="318" spans="2:12">
      <c r="B318" t="str">
        <f t="shared" si="28"/>
        <v>NOVIEMBREQui2346</v>
      </c>
      <c r="C318" t="str">
        <f t="shared" si="30"/>
        <v>NOVIEMBREQui1</v>
      </c>
      <c r="D318" s="11">
        <v>46338</v>
      </c>
      <c r="E318" s="17" t="s">
        <v>83</v>
      </c>
      <c r="F318">
        <f t="shared" si="31"/>
        <v>12</v>
      </c>
      <c r="G318" t="str">
        <f t="shared" si="32"/>
        <v>jueves</v>
      </c>
      <c r="H318" t="s">
        <v>48</v>
      </c>
      <c r="I318" t="str">
        <f t="shared" si="29"/>
        <v>Qui23</v>
      </c>
      <c r="J318" t="str">
        <f t="shared" si="33"/>
        <v>23</v>
      </c>
      <c r="K318">
        <f t="shared" si="34"/>
        <v>46</v>
      </c>
      <c r="L318">
        <v>2026</v>
      </c>
    </row>
    <row r="319" spans="2:12">
      <c r="B319" t="str">
        <f t="shared" si="28"/>
        <v>NOVIEMBREQui2346</v>
      </c>
      <c r="C319" t="str">
        <f t="shared" si="30"/>
        <v>NOVIEMBREQui1</v>
      </c>
      <c r="D319" s="11">
        <v>46339</v>
      </c>
      <c r="E319" s="17" t="s">
        <v>83</v>
      </c>
      <c r="F319">
        <f t="shared" si="31"/>
        <v>13</v>
      </c>
      <c r="G319" t="str">
        <f t="shared" si="32"/>
        <v>viernes</v>
      </c>
      <c r="H319" t="s">
        <v>48</v>
      </c>
      <c r="I319" t="str">
        <f t="shared" si="29"/>
        <v>Qui23</v>
      </c>
      <c r="J319" t="str">
        <f t="shared" si="33"/>
        <v>23</v>
      </c>
      <c r="K319">
        <f t="shared" si="34"/>
        <v>46</v>
      </c>
      <c r="L319">
        <v>2026</v>
      </c>
    </row>
    <row r="320" spans="2:12">
      <c r="B320" t="str">
        <f t="shared" si="28"/>
        <v>NOVIEMBREQui2346</v>
      </c>
      <c r="C320" t="str">
        <f t="shared" si="30"/>
        <v>NOVIEMBREQui1</v>
      </c>
      <c r="D320" s="11">
        <v>46340</v>
      </c>
      <c r="E320" s="17" t="s">
        <v>83</v>
      </c>
      <c r="F320">
        <f t="shared" si="31"/>
        <v>14</v>
      </c>
      <c r="G320" t="str">
        <f t="shared" si="32"/>
        <v>sábado</v>
      </c>
      <c r="H320" t="s">
        <v>48</v>
      </c>
      <c r="I320" t="str">
        <f t="shared" si="29"/>
        <v>Qui23</v>
      </c>
      <c r="J320" t="str">
        <f t="shared" si="33"/>
        <v>23</v>
      </c>
      <c r="K320">
        <f t="shared" si="34"/>
        <v>46</v>
      </c>
      <c r="L320">
        <v>2026</v>
      </c>
    </row>
    <row r="321" spans="2:12">
      <c r="B321" t="str">
        <f t="shared" si="28"/>
        <v>NOVIEMBREQui2346</v>
      </c>
      <c r="C321" t="str">
        <f t="shared" si="30"/>
        <v>NOVIEMBREQui1</v>
      </c>
      <c r="D321" s="11">
        <v>46341</v>
      </c>
      <c r="E321" s="17" t="s">
        <v>83</v>
      </c>
      <c r="F321">
        <f t="shared" si="31"/>
        <v>15</v>
      </c>
      <c r="G321" t="str">
        <f t="shared" si="32"/>
        <v>domingo</v>
      </c>
      <c r="H321" t="s">
        <v>48</v>
      </c>
      <c r="I321" t="str">
        <f t="shared" si="29"/>
        <v>Qui23</v>
      </c>
      <c r="J321" t="str">
        <f t="shared" si="33"/>
        <v>23</v>
      </c>
      <c r="K321">
        <f t="shared" si="34"/>
        <v>46</v>
      </c>
      <c r="L321">
        <v>2026</v>
      </c>
    </row>
    <row r="322" spans="2:12">
      <c r="B322" t="str">
        <f t="shared" si="28"/>
        <v>NOVIEMBREQui2447</v>
      </c>
      <c r="C322" t="str">
        <f t="shared" si="30"/>
        <v>NOVIEMBREQui2</v>
      </c>
      <c r="D322" s="11">
        <v>46342</v>
      </c>
      <c r="E322" s="17" t="s">
        <v>83</v>
      </c>
      <c r="F322">
        <f t="shared" si="31"/>
        <v>16</v>
      </c>
      <c r="G322" t="str">
        <f t="shared" si="32"/>
        <v>lunes</v>
      </c>
      <c r="H322" t="s">
        <v>145</v>
      </c>
      <c r="I322" t="str">
        <f t="shared" si="29"/>
        <v>Qui24</v>
      </c>
      <c r="J322" t="str">
        <f t="shared" si="33"/>
        <v>24</v>
      </c>
      <c r="K322">
        <f t="shared" si="34"/>
        <v>47</v>
      </c>
      <c r="L322">
        <v>2026</v>
      </c>
    </row>
    <row r="323" spans="2:12">
      <c r="B323" t="str">
        <f t="shared" ref="B323:B367" si="35">+E323&amp;I323&amp;K323</f>
        <v>NOVIEMBREQui2447</v>
      </c>
      <c r="C323" t="str">
        <f t="shared" si="30"/>
        <v>NOVIEMBREQui2</v>
      </c>
      <c r="D323" s="11">
        <v>46343</v>
      </c>
      <c r="E323" s="17" t="s">
        <v>83</v>
      </c>
      <c r="F323">
        <f t="shared" si="31"/>
        <v>17</v>
      </c>
      <c r="G323" t="str">
        <f t="shared" si="32"/>
        <v>martes</v>
      </c>
      <c r="H323" t="s">
        <v>145</v>
      </c>
      <c r="I323" t="str">
        <f t="shared" ref="I323:I367" si="36">+"Qui"&amp;ROUNDUP(K323/2,0)</f>
        <v>Qui24</v>
      </c>
      <c r="J323" t="str">
        <f t="shared" si="33"/>
        <v>24</v>
      </c>
      <c r="K323">
        <f t="shared" si="34"/>
        <v>47</v>
      </c>
      <c r="L323">
        <v>2026</v>
      </c>
    </row>
    <row r="324" spans="2:12">
      <c r="B324" t="str">
        <f t="shared" si="35"/>
        <v>NOVIEMBREQui2447</v>
      </c>
      <c r="C324" t="str">
        <f t="shared" ref="C324:C367" si="37">+E324&amp;H324</f>
        <v>NOVIEMBREQui2</v>
      </c>
      <c r="D324" s="11">
        <v>46344</v>
      </c>
      <c r="E324" s="17" t="s">
        <v>83</v>
      </c>
      <c r="F324">
        <f t="shared" ref="F324:F367" si="38">+DAY(D324)</f>
        <v>18</v>
      </c>
      <c r="G324" t="str">
        <f t="shared" ref="G324:G367" si="39">+TEXT(D324,"DDDDDD")</f>
        <v>miércoles</v>
      </c>
      <c r="H324" t="s">
        <v>145</v>
      </c>
      <c r="I324" t="str">
        <f t="shared" si="36"/>
        <v>Qui24</v>
      </c>
      <c r="J324" t="str">
        <f t="shared" ref="J324:J367" si="40">+MID(I324,4,2)</f>
        <v>24</v>
      </c>
      <c r="K324">
        <f t="shared" ref="K324:K367" si="41">+_xlfn.ISOWEEKNUM(D324)</f>
        <v>47</v>
      </c>
      <c r="L324">
        <v>2026</v>
      </c>
    </row>
    <row r="325" spans="2:12">
      <c r="B325" t="str">
        <f t="shared" si="35"/>
        <v>NOVIEMBREQui2447</v>
      </c>
      <c r="C325" t="str">
        <f t="shared" si="37"/>
        <v>NOVIEMBREQui2</v>
      </c>
      <c r="D325" s="11">
        <v>46345</v>
      </c>
      <c r="E325" s="17" t="s">
        <v>83</v>
      </c>
      <c r="F325">
        <f t="shared" si="38"/>
        <v>19</v>
      </c>
      <c r="G325" t="str">
        <f t="shared" si="39"/>
        <v>jueves</v>
      </c>
      <c r="H325" t="s">
        <v>145</v>
      </c>
      <c r="I325" t="str">
        <f t="shared" si="36"/>
        <v>Qui24</v>
      </c>
      <c r="J325" t="str">
        <f t="shared" si="40"/>
        <v>24</v>
      </c>
      <c r="K325">
        <f t="shared" si="41"/>
        <v>47</v>
      </c>
      <c r="L325">
        <v>2026</v>
      </c>
    </row>
    <row r="326" spans="2:12">
      <c r="B326" t="str">
        <f t="shared" si="35"/>
        <v>NOVIEMBREQui2447</v>
      </c>
      <c r="C326" t="str">
        <f t="shared" si="37"/>
        <v>NOVIEMBREQui2</v>
      </c>
      <c r="D326" s="11">
        <v>46346</v>
      </c>
      <c r="E326" s="17" t="s">
        <v>83</v>
      </c>
      <c r="F326">
        <f t="shared" si="38"/>
        <v>20</v>
      </c>
      <c r="G326" t="str">
        <f t="shared" si="39"/>
        <v>viernes</v>
      </c>
      <c r="H326" t="s">
        <v>145</v>
      </c>
      <c r="I326" t="str">
        <f t="shared" si="36"/>
        <v>Qui24</v>
      </c>
      <c r="J326" t="str">
        <f t="shared" si="40"/>
        <v>24</v>
      </c>
      <c r="K326">
        <f t="shared" si="41"/>
        <v>47</v>
      </c>
      <c r="L326">
        <v>2026</v>
      </c>
    </row>
    <row r="327" spans="2:12">
      <c r="B327" t="str">
        <f t="shared" si="35"/>
        <v>NOVIEMBREQui2447</v>
      </c>
      <c r="C327" t="str">
        <f t="shared" si="37"/>
        <v>NOVIEMBREQui2</v>
      </c>
      <c r="D327" s="11">
        <v>46347</v>
      </c>
      <c r="E327" s="17" t="s">
        <v>83</v>
      </c>
      <c r="F327">
        <f t="shared" si="38"/>
        <v>21</v>
      </c>
      <c r="G327" t="str">
        <f t="shared" si="39"/>
        <v>sábado</v>
      </c>
      <c r="H327" t="s">
        <v>145</v>
      </c>
      <c r="I327" t="str">
        <f t="shared" si="36"/>
        <v>Qui24</v>
      </c>
      <c r="J327" t="str">
        <f t="shared" si="40"/>
        <v>24</v>
      </c>
      <c r="K327">
        <f t="shared" si="41"/>
        <v>47</v>
      </c>
      <c r="L327">
        <v>2026</v>
      </c>
    </row>
    <row r="328" spans="2:12">
      <c r="B328" t="str">
        <f t="shared" si="35"/>
        <v>NOVIEMBREQui2447</v>
      </c>
      <c r="C328" t="str">
        <f t="shared" si="37"/>
        <v>NOVIEMBREQui2</v>
      </c>
      <c r="D328" s="11">
        <v>46348</v>
      </c>
      <c r="E328" s="17" t="s">
        <v>83</v>
      </c>
      <c r="F328">
        <f t="shared" si="38"/>
        <v>22</v>
      </c>
      <c r="G328" t="str">
        <f t="shared" si="39"/>
        <v>domingo</v>
      </c>
      <c r="H328" t="s">
        <v>145</v>
      </c>
      <c r="I328" t="str">
        <f t="shared" si="36"/>
        <v>Qui24</v>
      </c>
      <c r="J328" t="str">
        <f t="shared" si="40"/>
        <v>24</v>
      </c>
      <c r="K328">
        <f t="shared" si="41"/>
        <v>47</v>
      </c>
      <c r="L328">
        <v>2026</v>
      </c>
    </row>
    <row r="329" spans="2:12">
      <c r="B329" t="str">
        <f t="shared" si="35"/>
        <v>NOVIEMBREQui2448</v>
      </c>
      <c r="C329" t="str">
        <f t="shared" si="37"/>
        <v>NOVIEMBREQui2</v>
      </c>
      <c r="D329" s="11">
        <v>46349</v>
      </c>
      <c r="E329" s="17" t="s">
        <v>83</v>
      </c>
      <c r="F329">
        <f t="shared" si="38"/>
        <v>23</v>
      </c>
      <c r="G329" t="str">
        <f t="shared" si="39"/>
        <v>lunes</v>
      </c>
      <c r="H329" t="s">
        <v>145</v>
      </c>
      <c r="I329" t="str">
        <f t="shared" si="36"/>
        <v>Qui24</v>
      </c>
      <c r="J329" t="str">
        <f t="shared" si="40"/>
        <v>24</v>
      </c>
      <c r="K329">
        <f t="shared" si="41"/>
        <v>48</v>
      </c>
      <c r="L329">
        <v>2026</v>
      </c>
    </row>
    <row r="330" spans="2:12">
      <c r="B330" t="str">
        <f t="shared" si="35"/>
        <v>NOVIEMBREQui2448</v>
      </c>
      <c r="C330" t="str">
        <f t="shared" si="37"/>
        <v>NOVIEMBREQui2</v>
      </c>
      <c r="D330" s="11">
        <v>46350</v>
      </c>
      <c r="E330" s="17" t="s">
        <v>83</v>
      </c>
      <c r="F330">
        <f t="shared" si="38"/>
        <v>24</v>
      </c>
      <c r="G330" t="str">
        <f t="shared" si="39"/>
        <v>martes</v>
      </c>
      <c r="H330" t="s">
        <v>145</v>
      </c>
      <c r="I330" t="str">
        <f t="shared" si="36"/>
        <v>Qui24</v>
      </c>
      <c r="J330" t="str">
        <f t="shared" si="40"/>
        <v>24</v>
      </c>
      <c r="K330">
        <f t="shared" si="41"/>
        <v>48</v>
      </c>
      <c r="L330">
        <v>2026</v>
      </c>
    </row>
    <row r="331" spans="2:12">
      <c r="B331" t="str">
        <f t="shared" si="35"/>
        <v>NOVIEMBREQui2448</v>
      </c>
      <c r="C331" t="str">
        <f t="shared" si="37"/>
        <v>NOVIEMBREQui2</v>
      </c>
      <c r="D331" s="11">
        <v>46351</v>
      </c>
      <c r="E331" s="17" t="s">
        <v>83</v>
      </c>
      <c r="F331">
        <f t="shared" si="38"/>
        <v>25</v>
      </c>
      <c r="G331" t="str">
        <f t="shared" si="39"/>
        <v>miércoles</v>
      </c>
      <c r="H331" t="s">
        <v>145</v>
      </c>
      <c r="I331" t="str">
        <f t="shared" si="36"/>
        <v>Qui24</v>
      </c>
      <c r="J331" t="str">
        <f t="shared" si="40"/>
        <v>24</v>
      </c>
      <c r="K331">
        <f t="shared" si="41"/>
        <v>48</v>
      </c>
      <c r="L331">
        <v>2026</v>
      </c>
    </row>
    <row r="332" spans="2:12">
      <c r="B332" t="str">
        <f t="shared" si="35"/>
        <v>NOVIEMBREQui2448</v>
      </c>
      <c r="C332" t="str">
        <f t="shared" si="37"/>
        <v>NOVIEMBREQui2</v>
      </c>
      <c r="D332" s="11">
        <v>46352</v>
      </c>
      <c r="E332" s="17" t="s">
        <v>83</v>
      </c>
      <c r="F332">
        <f t="shared" si="38"/>
        <v>26</v>
      </c>
      <c r="G332" t="str">
        <f t="shared" si="39"/>
        <v>jueves</v>
      </c>
      <c r="H332" t="s">
        <v>145</v>
      </c>
      <c r="I332" t="str">
        <f t="shared" si="36"/>
        <v>Qui24</v>
      </c>
      <c r="J332" t="str">
        <f t="shared" si="40"/>
        <v>24</v>
      </c>
      <c r="K332">
        <f t="shared" si="41"/>
        <v>48</v>
      </c>
      <c r="L332">
        <v>2026</v>
      </c>
    </row>
    <row r="333" spans="2:12">
      <c r="B333" t="str">
        <f t="shared" si="35"/>
        <v>NOVIEMBREQui2448</v>
      </c>
      <c r="C333" t="str">
        <f t="shared" si="37"/>
        <v>NOVIEMBREQui2</v>
      </c>
      <c r="D333" s="11">
        <v>46353</v>
      </c>
      <c r="E333" s="17" t="s">
        <v>83</v>
      </c>
      <c r="F333">
        <f t="shared" si="38"/>
        <v>27</v>
      </c>
      <c r="G333" t="str">
        <f t="shared" si="39"/>
        <v>viernes</v>
      </c>
      <c r="H333" t="s">
        <v>145</v>
      </c>
      <c r="I333" t="str">
        <f t="shared" si="36"/>
        <v>Qui24</v>
      </c>
      <c r="J333" t="str">
        <f t="shared" si="40"/>
        <v>24</v>
      </c>
      <c r="K333">
        <f t="shared" si="41"/>
        <v>48</v>
      </c>
      <c r="L333">
        <v>2026</v>
      </c>
    </row>
    <row r="334" spans="2:12">
      <c r="B334" t="str">
        <f t="shared" si="35"/>
        <v>NOVIEMBREQui2448</v>
      </c>
      <c r="C334" t="str">
        <f t="shared" si="37"/>
        <v>NOVIEMBREQui2</v>
      </c>
      <c r="D334" s="11">
        <v>46354</v>
      </c>
      <c r="E334" s="17" t="s">
        <v>83</v>
      </c>
      <c r="F334">
        <f t="shared" si="38"/>
        <v>28</v>
      </c>
      <c r="G334" t="str">
        <f t="shared" si="39"/>
        <v>sábado</v>
      </c>
      <c r="H334" t="s">
        <v>145</v>
      </c>
      <c r="I334" t="str">
        <f t="shared" si="36"/>
        <v>Qui24</v>
      </c>
      <c r="J334" t="str">
        <f t="shared" si="40"/>
        <v>24</v>
      </c>
      <c r="K334">
        <f t="shared" si="41"/>
        <v>48</v>
      </c>
      <c r="L334">
        <v>2026</v>
      </c>
    </row>
    <row r="335" spans="2:12">
      <c r="B335" t="str">
        <f t="shared" si="35"/>
        <v>NOVIEMBREQui2448</v>
      </c>
      <c r="C335" t="str">
        <f t="shared" si="37"/>
        <v>NOVIEMBREQui2</v>
      </c>
      <c r="D335" s="11">
        <v>46355</v>
      </c>
      <c r="E335" s="17" t="s">
        <v>83</v>
      </c>
      <c r="F335">
        <f t="shared" si="38"/>
        <v>29</v>
      </c>
      <c r="G335" t="str">
        <f t="shared" si="39"/>
        <v>domingo</v>
      </c>
      <c r="H335" t="s">
        <v>145</v>
      </c>
      <c r="I335" t="str">
        <f t="shared" si="36"/>
        <v>Qui24</v>
      </c>
      <c r="J335" t="str">
        <f t="shared" si="40"/>
        <v>24</v>
      </c>
      <c r="K335">
        <f t="shared" si="41"/>
        <v>48</v>
      </c>
      <c r="L335">
        <v>2026</v>
      </c>
    </row>
    <row r="336" spans="2:12">
      <c r="B336" t="str">
        <f t="shared" si="35"/>
        <v>NOVIEMBREQui2549</v>
      </c>
      <c r="C336" t="str">
        <f t="shared" si="37"/>
        <v>NOVIEMBREQui2</v>
      </c>
      <c r="D336" s="11">
        <v>46356</v>
      </c>
      <c r="E336" s="18" t="s">
        <v>83</v>
      </c>
      <c r="F336" s="5">
        <f t="shared" si="38"/>
        <v>30</v>
      </c>
      <c r="G336" s="5" t="str">
        <f t="shared" si="39"/>
        <v>lunes</v>
      </c>
      <c r="H336" s="5" t="s">
        <v>145</v>
      </c>
      <c r="I336" s="5" t="str">
        <f t="shared" si="36"/>
        <v>Qui25</v>
      </c>
      <c r="J336" s="5" t="str">
        <f t="shared" si="40"/>
        <v>25</v>
      </c>
      <c r="K336" s="5">
        <f t="shared" si="41"/>
        <v>49</v>
      </c>
      <c r="L336" s="5">
        <v>2026</v>
      </c>
    </row>
    <row r="337" spans="2:12">
      <c r="B337" t="str">
        <f t="shared" si="35"/>
        <v>DICIEMBREQui2549</v>
      </c>
      <c r="C337" t="str">
        <f t="shared" si="37"/>
        <v>DICIEMBREQui1</v>
      </c>
      <c r="D337" s="11">
        <v>46357</v>
      </c>
      <c r="E337" s="15" t="s">
        <v>84</v>
      </c>
      <c r="F337" s="16">
        <f t="shared" si="38"/>
        <v>1</v>
      </c>
      <c r="G337" s="16" t="str">
        <f t="shared" si="39"/>
        <v>martes</v>
      </c>
      <c r="H337" s="16" t="s">
        <v>48</v>
      </c>
      <c r="I337" s="16" t="str">
        <f t="shared" si="36"/>
        <v>Qui25</v>
      </c>
      <c r="J337" s="16" t="str">
        <f t="shared" si="40"/>
        <v>25</v>
      </c>
      <c r="K337" s="16">
        <f t="shared" si="41"/>
        <v>49</v>
      </c>
      <c r="L337" s="16">
        <v>2026</v>
      </c>
    </row>
    <row r="338" spans="2:12">
      <c r="B338" t="str">
        <f t="shared" si="35"/>
        <v>DICIEMBREQui2549</v>
      </c>
      <c r="C338" t="str">
        <f t="shared" si="37"/>
        <v>DICIEMBREQui1</v>
      </c>
      <c r="D338" s="11">
        <v>46358</v>
      </c>
      <c r="E338" s="17" t="s">
        <v>84</v>
      </c>
      <c r="F338">
        <f t="shared" si="38"/>
        <v>2</v>
      </c>
      <c r="G338" t="str">
        <f t="shared" si="39"/>
        <v>miércoles</v>
      </c>
      <c r="H338" t="s">
        <v>48</v>
      </c>
      <c r="I338" t="str">
        <f t="shared" si="36"/>
        <v>Qui25</v>
      </c>
      <c r="J338" t="str">
        <f t="shared" si="40"/>
        <v>25</v>
      </c>
      <c r="K338">
        <f t="shared" si="41"/>
        <v>49</v>
      </c>
      <c r="L338">
        <v>2026</v>
      </c>
    </row>
    <row r="339" spans="2:12">
      <c r="B339" t="str">
        <f t="shared" si="35"/>
        <v>DICIEMBREQui2549</v>
      </c>
      <c r="C339" t="str">
        <f t="shared" si="37"/>
        <v>DICIEMBREQui1</v>
      </c>
      <c r="D339" s="11">
        <v>46359</v>
      </c>
      <c r="E339" s="17" t="s">
        <v>84</v>
      </c>
      <c r="F339">
        <f t="shared" si="38"/>
        <v>3</v>
      </c>
      <c r="G339" t="str">
        <f t="shared" si="39"/>
        <v>jueves</v>
      </c>
      <c r="H339" t="s">
        <v>48</v>
      </c>
      <c r="I339" t="str">
        <f t="shared" si="36"/>
        <v>Qui25</v>
      </c>
      <c r="J339" t="str">
        <f t="shared" si="40"/>
        <v>25</v>
      </c>
      <c r="K339">
        <f t="shared" si="41"/>
        <v>49</v>
      </c>
      <c r="L339">
        <v>2026</v>
      </c>
    </row>
    <row r="340" spans="2:12">
      <c r="B340" t="str">
        <f t="shared" si="35"/>
        <v>DICIEMBREQui2549</v>
      </c>
      <c r="C340" t="str">
        <f t="shared" si="37"/>
        <v>DICIEMBREQui1</v>
      </c>
      <c r="D340" s="11">
        <v>46360</v>
      </c>
      <c r="E340" s="17" t="s">
        <v>84</v>
      </c>
      <c r="F340">
        <f t="shared" si="38"/>
        <v>4</v>
      </c>
      <c r="G340" t="str">
        <f t="shared" si="39"/>
        <v>viernes</v>
      </c>
      <c r="H340" t="s">
        <v>48</v>
      </c>
      <c r="I340" t="str">
        <f t="shared" si="36"/>
        <v>Qui25</v>
      </c>
      <c r="J340" t="str">
        <f t="shared" si="40"/>
        <v>25</v>
      </c>
      <c r="K340">
        <f t="shared" si="41"/>
        <v>49</v>
      </c>
      <c r="L340">
        <v>2026</v>
      </c>
    </row>
    <row r="341" spans="2:12">
      <c r="B341" t="str">
        <f t="shared" si="35"/>
        <v>DICIEMBREQui2549</v>
      </c>
      <c r="C341" t="str">
        <f t="shared" si="37"/>
        <v>DICIEMBREQui1</v>
      </c>
      <c r="D341" s="11">
        <v>46361</v>
      </c>
      <c r="E341" s="17" t="s">
        <v>84</v>
      </c>
      <c r="F341">
        <f t="shared" si="38"/>
        <v>5</v>
      </c>
      <c r="G341" t="str">
        <f t="shared" si="39"/>
        <v>sábado</v>
      </c>
      <c r="H341" t="s">
        <v>48</v>
      </c>
      <c r="I341" t="str">
        <f t="shared" si="36"/>
        <v>Qui25</v>
      </c>
      <c r="J341" t="str">
        <f t="shared" si="40"/>
        <v>25</v>
      </c>
      <c r="K341">
        <f t="shared" si="41"/>
        <v>49</v>
      </c>
      <c r="L341">
        <v>2026</v>
      </c>
    </row>
    <row r="342" spans="2:12">
      <c r="B342" t="str">
        <f t="shared" si="35"/>
        <v>DICIEMBREQui2549</v>
      </c>
      <c r="C342" t="str">
        <f t="shared" si="37"/>
        <v>DICIEMBREQui1</v>
      </c>
      <c r="D342" s="11">
        <v>46362</v>
      </c>
      <c r="E342" s="17" t="s">
        <v>84</v>
      </c>
      <c r="F342">
        <f t="shared" si="38"/>
        <v>6</v>
      </c>
      <c r="G342" t="str">
        <f t="shared" si="39"/>
        <v>domingo</v>
      </c>
      <c r="H342" t="s">
        <v>48</v>
      </c>
      <c r="I342" t="str">
        <f t="shared" si="36"/>
        <v>Qui25</v>
      </c>
      <c r="J342" t="str">
        <f t="shared" si="40"/>
        <v>25</v>
      </c>
      <c r="K342">
        <f t="shared" si="41"/>
        <v>49</v>
      </c>
      <c r="L342">
        <v>2026</v>
      </c>
    </row>
    <row r="343" spans="2:12">
      <c r="B343" t="str">
        <f t="shared" si="35"/>
        <v>DICIEMBREQui2550</v>
      </c>
      <c r="C343" t="str">
        <f t="shared" si="37"/>
        <v>DICIEMBREQui1</v>
      </c>
      <c r="D343" s="11">
        <v>46363</v>
      </c>
      <c r="E343" s="17" t="s">
        <v>84</v>
      </c>
      <c r="F343">
        <f t="shared" si="38"/>
        <v>7</v>
      </c>
      <c r="G343" t="str">
        <f t="shared" si="39"/>
        <v>lunes</v>
      </c>
      <c r="H343" t="s">
        <v>48</v>
      </c>
      <c r="I343" t="str">
        <f t="shared" si="36"/>
        <v>Qui25</v>
      </c>
      <c r="J343" t="str">
        <f t="shared" si="40"/>
        <v>25</v>
      </c>
      <c r="K343">
        <f t="shared" si="41"/>
        <v>50</v>
      </c>
      <c r="L343">
        <v>2026</v>
      </c>
    </row>
    <row r="344" spans="2:12">
      <c r="B344" t="str">
        <f t="shared" si="35"/>
        <v>DICIEMBREQui2550</v>
      </c>
      <c r="C344" t="str">
        <f t="shared" si="37"/>
        <v>DICIEMBREQui1</v>
      </c>
      <c r="D344" s="11">
        <v>46364</v>
      </c>
      <c r="E344" s="17" t="s">
        <v>84</v>
      </c>
      <c r="F344">
        <f t="shared" si="38"/>
        <v>8</v>
      </c>
      <c r="G344" t="str">
        <f t="shared" si="39"/>
        <v>martes</v>
      </c>
      <c r="H344" t="s">
        <v>48</v>
      </c>
      <c r="I344" t="str">
        <f t="shared" si="36"/>
        <v>Qui25</v>
      </c>
      <c r="J344" t="str">
        <f t="shared" si="40"/>
        <v>25</v>
      </c>
      <c r="K344">
        <f t="shared" si="41"/>
        <v>50</v>
      </c>
      <c r="L344">
        <v>2026</v>
      </c>
    </row>
    <row r="345" spans="2:12">
      <c r="B345" t="str">
        <f t="shared" si="35"/>
        <v>DICIEMBREQui2550</v>
      </c>
      <c r="C345" t="str">
        <f t="shared" si="37"/>
        <v>DICIEMBREQui1</v>
      </c>
      <c r="D345" s="11">
        <v>46365</v>
      </c>
      <c r="E345" s="17" t="s">
        <v>84</v>
      </c>
      <c r="F345">
        <f t="shared" si="38"/>
        <v>9</v>
      </c>
      <c r="G345" t="str">
        <f t="shared" si="39"/>
        <v>miércoles</v>
      </c>
      <c r="H345" t="s">
        <v>48</v>
      </c>
      <c r="I345" t="str">
        <f t="shared" si="36"/>
        <v>Qui25</v>
      </c>
      <c r="J345" t="str">
        <f t="shared" si="40"/>
        <v>25</v>
      </c>
      <c r="K345">
        <f t="shared" si="41"/>
        <v>50</v>
      </c>
      <c r="L345">
        <v>2026</v>
      </c>
    </row>
    <row r="346" spans="2:12">
      <c r="B346" t="str">
        <f t="shared" si="35"/>
        <v>DICIEMBREQui2550</v>
      </c>
      <c r="C346" t="str">
        <f t="shared" si="37"/>
        <v>DICIEMBREQui1</v>
      </c>
      <c r="D346" s="11">
        <v>46366</v>
      </c>
      <c r="E346" s="17" t="s">
        <v>84</v>
      </c>
      <c r="F346">
        <f t="shared" si="38"/>
        <v>10</v>
      </c>
      <c r="G346" t="str">
        <f t="shared" si="39"/>
        <v>jueves</v>
      </c>
      <c r="H346" t="s">
        <v>48</v>
      </c>
      <c r="I346" t="str">
        <f t="shared" si="36"/>
        <v>Qui25</v>
      </c>
      <c r="J346" t="str">
        <f t="shared" si="40"/>
        <v>25</v>
      </c>
      <c r="K346">
        <f t="shared" si="41"/>
        <v>50</v>
      </c>
      <c r="L346">
        <v>2026</v>
      </c>
    </row>
    <row r="347" spans="2:12">
      <c r="B347" t="str">
        <f t="shared" si="35"/>
        <v>DICIEMBREQui2550</v>
      </c>
      <c r="C347" t="str">
        <f t="shared" si="37"/>
        <v>DICIEMBREQui1</v>
      </c>
      <c r="D347" s="11">
        <v>46367</v>
      </c>
      <c r="E347" s="17" t="s">
        <v>84</v>
      </c>
      <c r="F347">
        <f t="shared" si="38"/>
        <v>11</v>
      </c>
      <c r="G347" t="str">
        <f t="shared" si="39"/>
        <v>viernes</v>
      </c>
      <c r="H347" t="s">
        <v>48</v>
      </c>
      <c r="I347" t="str">
        <f t="shared" si="36"/>
        <v>Qui25</v>
      </c>
      <c r="J347" t="str">
        <f t="shared" si="40"/>
        <v>25</v>
      </c>
      <c r="K347">
        <f t="shared" si="41"/>
        <v>50</v>
      </c>
      <c r="L347">
        <v>2026</v>
      </c>
    </row>
    <row r="348" spans="2:12">
      <c r="B348" t="str">
        <f t="shared" si="35"/>
        <v>DICIEMBREQui2550</v>
      </c>
      <c r="C348" t="str">
        <f t="shared" si="37"/>
        <v>DICIEMBREQui1</v>
      </c>
      <c r="D348" s="11">
        <v>46368</v>
      </c>
      <c r="E348" s="17" t="s">
        <v>84</v>
      </c>
      <c r="F348">
        <f t="shared" si="38"/>
        <v>12</v>
      </c>
      <c r="G348" t="str">
        <f t="shared" si="39"/>
        <v>sábado</v>
      </c>
      <c r="H348" t="s">
        <v>48</v>
      </c>
      <c r="I348" t="str">
        <f t="shared" si="36"/>
        <v>Qui25</v>
      </c>
      <c r="J348" t="str">
        <f t="shared" si="40"/>
        <v>25</v>
      </c>
      <c r="K348">
        <f t="shared" si="41"/>
        <v>50</v>
      </c>
      <c r="L348">
        <v>2026</v>
      </c>
    </row>
    <row r="349" spans="2:12">
      <c r="B349" t="str">
        <f t="shared" si="35"/>
        <v>DICIEMBREQui2550</v>
      </c>
      <c r="C349" t="str">
        <f t="shared" si="37"/>
        <v>DICIEMBREQui1</v>
      </c>
      <c r="D349" s="11">
        <v>46369</v>
      </c>
      <c r="E349" s="17" t="s">
        <v>84</v>
      </c>
      <c r="F349">
        <f t="shared" si="38"/>
        <v>13</v>
      </c>
      <c r="G349" t="str">
        <f t="shared" si="39"/>
        <v>domingo</v>
      </c>
      <c r="H349" t="s">
        <v>48</v>
      </c>
      <c r="I349" t="str">
        <f t="shared" si="36"/>
        <v>Qui25</v>
      </c>
      <c r="J349" t="str">
        <f t="shared" si="40"/>
        <v>25</v>
      </c>
      <c r="K349">
        <f t="shared" si="41"/>
        <v>50</v>
      </c>
      <c r="L349">
        <v>2026</v>
      </c>
    </row>
    <row r="350" spans="2:12">
      <c r="B350" t="str">
        <f t="shared" si="35"/>
        <v>DICIEMBREQui2651</v>
      </c>
      <c r="C350" t="str">
        <f t="shared" si="37"/>
        <v>DICIEMBREQui1</v>
      </c>
      <c r="D350" s="11">
        <v>46370</v>
      </c>
      <c r="E350" s="17" t="s">
        <v>84</v>
      </c>
      <c r="F350">
        <f t="shared" si="38"/>
        <v>14</v>
      </c>
      <c r="G350" t="str">
        <f t="shared" si="39"/>
        <v>lunes</v>
      </c>
      <c r="H350" t="s">
        <v>48</v>
      </c>
      <c r="I350" t="str">
        <f t="shared" si="36"/>
        <v>Qui26</v>
      </c>
      <c r="J350" t="str">
        <f t="shared" si="40"/>
        <v>26</v>
      </c>
      <c r="K350">
        <f t="shared" si="41"/>
        <v>51</v>
      </c>
      <c r="L350">
        <v>2026</v>
      </c>
    </row>
    <row r="351" spans="2:12">
      <c r="B351" t="str">
        <f t="shared" si="35"/>
        <v>DICIEMBREQui2651</v>
      </c>
      <c r="C351" t="str">
        <f t="shared" si="37"/>
        <v>DICIEMBREQui1</v>
      </c>
      <c r="D351" s="11">
        <v>46371</v>
      </c>
      <c r="E351" s="17" t="s">
        <v>84</v>
      </c>
      <c r="F351">
        <f t="shared" si="38"/>
        <v>15</v>
      </c>
      <c r="G351" t="str">
        <f t="shared" si="39"/>
        <v>martes</v>
      </c>
      <c r="H351" t="s">
        <v>48</v>
      </c>
      <c r="I351" t="str">
        <f t="shared" si="36"/>
        <v>Qui26</v>
      </c>
      <c r="J351" t="str">
        <f t="shared" si="40"/>
        <v>26</v>
      </c>
      <c r="K351">
        <f t="shared" si="41"/>
        <v>51</v>
      </c>
      <c r="L351">
        <v>2026</v>
      </c>
    </row>
    <row r="352" spans="2:12">
      <c r="B352" t="str">
        <f t="shared" si="35"/>
        <v>DICIEMBREQui2651</v>
      </c>
      <c r="C352" t="str">
        <f t="shared" si="37"/>
        <v>DICIEMBREQui2</v>
      </c>
      <c r="D352" s="11">
        <v>46372</v>
      </c>
      <c r="E352" s="17" t="s">
        <v>84</v>
      </c>
      <c r="F352">
        <f t="shared" si="38"/>
        <v>16</v>
      </c>
      <c r="G352" t="str">
        <f t="shared" si="39"/>
        <v>miércoles</v>
      </c>
      <c r="H352" t="s">
        <v>145</v>
      </c>
      <c r="I352" t="str">
        <f t="shared" si="36"/>
        <v>Qui26</v>
      </c>
      <c r="J352" t="str">
        <f t="shared" si="40"/>
        <v>26</v>
      </c>
      <c r="K352">
        <f t="shared" si="41"/>
        <v>51</v>
      </c>
      <c r="L352">
        <v>2026</v>
      </c>
    </row>
    <row r="353" spans="2:12">
      <c r="B353" t="str">
        <f t="shared" si="35"/>
        <v>DICIEMBREQui2651</v>
      </c>
      <c r="C353" t="str">
        <f t="shared" si="37"/>
        <v>DICIEMBREQui2</v>
      </c>
      <c r="D353" s="11">
        <v>46373</v>
      </c>
      <c r="E353" s="17" t="s">
        <v>84</v>
      </c>
      <c r="F353">
        <f t="shared" si="38"/>
        <v>17</v>
      </c>
      <c r="G353" t="str">
        <f t="shared" si="39"/>
        <v>jueves</v>
      </c>
      <c r="H353" t="s">
        <v>145</v>
      </c>
      <c r="I353" t="str">
        <f t="shared" si="36"/>
        <v>Qui26</v>
      </c>
      <c r="J353" t="str">
        <f t="shared" si="40"/>
        <v>26</v>
      </c>
      <c r="K353">
        <f t="shared" si="41"/>
        <v>51</v>
      </c>
      <c r="L353">
        <v>2026</v>
      </c>
    </row>
    <row r="354" spans="2:12">
      <c r="B354" t="str">
        <f t="shared" si="35"/>
        <v>DICIEMBREQui2651</v>
      </c>
      <c r="C354" t="str">
        <f t="shared" si="37"/>
        <v>DICIEMBREQui2</v>
      </c>
      <c r="D354" s="11">
        <v>46374</v>
      </c>
      <c r="E354" s="17" t="s">
        <v>84</v>
      </c>
      <c r="F354">
        <f t="shared" si="38"/>
        <v>18</v>
      </c>
      <c r="G354" t="str">
        <f t="shared" si="39"/>
        <v>viernes</v>
      </c>
      <c r="H354" t="s">
        <v>145</v>
      </c>
      <c r="I354" t="str">
        <f t="shared" si="36"/>
        <v>Qui26</v>
      </c>
      <c r="J354" t="str">
        <f t="shared" si="40"/>
        <v>26</v>
      </c>
      <c r="K354">
        <f t="shared" si="41"/>
        <v>51</v>
      </c>
      <c r="L354">
        <v>2026</v>
      </c>
    </row>
    <row r="355" spans="2:12">
      <c r="B355" t="str">
        <f t="shared" si="35"/>
        <v>DICIEMBREQui2651</v>
      </c>
      <c r="C355" t="str">
        <f t="shared" si="37"/>
        <v>DICIEMBREQui2</v>
      </c>
      <c r="D355" s="11">
        <v>46375</v>
      </c>
      <c r="E355" s="17" t="s">
        <v>84</v>
      </c>
      <c r="F355">
        <f t="shared" si="38"/>
        <v>19</v>
      </c>
      <c r="G355" t="str">
        <f t="shared" si="39"/>
        <v>sábado</v>
      </c>
      <c r="H355" t="s">
        <v>145</v>
      </c>
      <c r="I355" t="str">
        <f t="shared" si="36"/>
        <v>Qui26</v>
      </c>
      <c r="J355" t="str">
        <f t="shared" si="40"/>
        <v>26</v>
      </c>
      <c r="K355">
        <f t="shared" si="41"/>
        <v>51</v>
      </c>
      <c r="L355">
        <v>2026</v>
      </c>
    </row>
    <row r="356" spans="2:12">
      <c r="B356" t="str">
        <f t="shared" si="35"/>
        <v>DICIEMBREQui2651</v>
      </c>
      <c r="C356" t="str">
        <f t="shared" si="37"/>
        <v>DICIEMBREQui2</v>
      </c>
      <c r="D356" s="11">
        <v>46376</v>
      </c>
      <c r="E356" s="17" t="s">
        <v>84</v>
      </c>
      <c r="F356">
        <f t="shared" si="38"/>
        <v>20</v>
      </c>
      <c r="G356" t="str">
        <f t="shared" si="39"/>
        <v>domingo</v>
      </c>
      <c r="H356" t="s">
        <v>145</v>
      </c>
      <c r="I356" t="str">
        <f t="shared" si="36"/>
        <v>Qui26</v>
      </c>
      <c r="J356" t="str">
        <f t="shared" si="40"/>
        <v>26</v>
      </c>
      <c r="K356">
        <f t="shared" si="41"/>
        <v>51</v>
      </c>
      <c r="L356">
        <v>2026</v>
      </c>
    </row>
    <row r="357" spans="2:12">
      <c r="B357" t="str">
        <f t="shared" si="35"/>
        <v>DICIEMBREQui2652</v>
      </c>
      <c r="C357" t="str">
        <f t="shared" si="37"/>
        <v>DICIEMBREQui2</v>
      </c>
      <c r="D357" s="11">
        <v>46377</v>
      </c>
      <c r="E357" s="17" t="s">
        <v>84</v>
      </c>
      <c r="F357">
        <f t="shared" si="38"/>
        <v>21</v>
      </c>
      <c r="G357" t="str">
        <f t="shared" si="39"/>
        <v>lunes</v>
      </c>
      <c r="H357" t="s">
        <v>145</v>
      </c>
      <c r="I357" t="str">
        <f t="shared" si="36"/>
        <v>Qui26</v>
      </c>
      <c r="J357" t="str">
        <f t="shared" si="40"/>
        <v>26</v>
      </c>
      <c r="K357">
        <f t="shared" si="41"/>
        <v>52</v>
      </c>
      <c r="L357">
        <v>2026</v>
      </c>
    </row>
    <row r="358" spans="2:12">
      <c r="B358" t="str">
        <f t="shared" si="35"/>
        <v>DICIEMBREQui2652</v>
      </c>
      <c r="C358" t="str">
        <f t="shared" si="37"/>
        <v>DICIEMBREQui2</v>
      </c>
      <c r="D358" s="11">
        <v>46378</v>
      </c>
      <c r="E358" s="17" t="s">
        <v>84</v>
      </c>
      <c r="F358">
        <f t="shared" si="38"/>
        <v>22</v>
      </c>
      <c r="G358" t="str">
        <f t="shared" si="39"/>
        <v>martes</v>
      </c>
      <c r="H358" t="s">
        <v>145</v>
      </c>
      <c r="I358" t="str">
        <f t="shared" si="36"/>
        <v>Qui26</v>
      </c>
      <c r="J358" t="str">
        <f t="shared" si="40"/>
        <v>26</v>
      </c>
      <c r="K358">
        <f t="shared" si="41"/>
        <v>52</v>
      </c>
      <c r="L358">
        <v>2026</v>
      </c>
    </row>
    <row r="359" spans="2:12">
      <c r="B359" t="str">
        <f t="shared" si="35"/>
        <v>DICIEMBREQui2652</v>
      </c>
      <c r="C359" t="str">
        <f t="shared" si="37"/>
        <v>DICIEMBREQui2</v>
      </c>
      <c r="D359" s="11">
        <v>46379</v>
      </c>
      <c r="E359" s="17" t="s">
        <v>84</v>
      </c>
      <c r="F359">
        <f t="shared" si="38"/>
        <v>23</v>
      </c>
      <c r="G359" t="str">
        <f t="shared" si="39"/>
        <v>miércoles</v>
      </c>
      <c r="H359" t="s">
        <v>145</v>
      </c>
      <c r="I359" t="str">
        <f t="shared" si="36"/>
        <v>Qui26</v>
      </c>
      <c r="J359" t="str">
        <f t="shared" si="40"/>
        <v>26</v>
      </c>
      <c r="K359">
        <f t="shared" si="41"/>
        <v>52</v>
      </c>
      <c r="L359">
        <v>2026</v>
      </c>
    </row>
    <row r="360" spans="2:12">
      <c r="B360" t="str">
        <f t="shared" si="35"/>
        <v>DICIEMBREQui2652</v>
      </c>
      <c r="C360" t="str">
        <f t="shared" si="37"/>
        <v>DICIEMBREQui2</v>
      </c>
      <c r="D360" s="11">
        <v>46380</v>
      </c>
      <c r="E360" s="17" t="s">
        <v>84</v>
      </c>
      <c r="F360">
        <f t="shared" si="38"/>
        <v>24</v>
      </c>
      <c r="G360" t="str">
        <f t="shared" si="39"/>
        <v>jueves</v>
      </c>
      <c r="H360" t="s">
        <v>145</v>
      </c>
      <c r="I360" t="str">
        <f t="shared" si="36"/>
        <v>Qui26</v>
      </c>
      <c r="J360" t="str">
        <f t="shared" si="40"/>
        <v>26</v>
      </c>
      <c r="K360">
        <f t="shared" si="41"/>
        <v>52</v>
      </c>
      <c r="L360">
        <v>2026</v>
      </c>
    </row>
    <row r="361" spans="2:12">
      <c r="B361" t="str">
        <f t="shared" si="35"/>
        <v>DICIEMBREQui2652</v>
      </c>
      <c r="C361" t="str">
        <f t="shared" si="37"/>
        <v>DICIEMBREQui2</v>
      </c>
      <c r="D361" s="11">
        <v>46381</v>
      </c>
      <c r="E361" s="17" t="s">
        <v>84</v>
      </c>
      <c r="F361">
        <f t="shared" si="38"/>
        <v>25</v>
      </c>
      <c r="G361" t="str">
        <f t="shared" si="39"/>
        <v>viernes</v>
      </c>
      <c r="H361" t="s">
        <v>145</v>
      </c>
      <c r="I361" t="str">
        <f t="shared" si="36"/>
        <v>Qui26</v>
      </c>
      <c r="J361" t="str">
        <f t="shared" si="40"/>
        <v>26</v>
      </c>
      <c r="K361">
        <f t="shared" si="41"/>
        <v>52</v>
      </c>
      <c r="L361">
        <v>2026</v>
      </c>
    </row>
    <row r="362" spans="2:12">
      <c r="B362" t="str">
        <f t="shared" si="35"/>
        <v>DICIEMBREQui2652</v>
      </c>
      <c r="C362" t="str">
        <f t="shared" si="37"/>
        <v>DICIEMBREQui2</v>
      </c>
      <c r="D362" s="11">
        <v>46382</v>
      </c>
      <c r="E362" s="17" t="s">
        <v>84</v>
      </c>
      <c r="F362">
        <f t="shared" si="38"/>
        <v>26</v>
      </c>
      <c r="G362" t="str">
        <f t="shared" si="39"/>
        <v>sábado</v>
      </c>
      <c r="H362" t="s">
        <v>145</v>
      </c>
      <c r="I362" t="str">
        <f t="shared" si="36"/>
        <v>Qui26</v>
      </c>
      <c r="J362" t="str">
        <f t="shared" si="40"/>
        <v>26</v>
      </c>
      <c r="K362">
        <f t="shared" si="41"/>
        <v>52</v>
      </c>
      <c r="L362">
        <v>2026</v>
      </c>
    </row>
    <row r="363" spans="2:12">
      <c r="B363" t="str">
        <f t="shared" si="35"/>
        <v>DICIEMBREQui2652</v>
      </c>
      <c r="C363" t="str">
        <f t="shared" si="37"/>
        <v>DICIEMBREQui2</v>
      </c>
      <c r="D363" s="11">
        <v>46383</v>
      </c>
      <c r="E363" s="17" t="s">
        <v>84</v>
      </c>
      <c r="F363">
        <f t="shared" si="38"/>
        <v>27</v>
      </c>
      <c r="G363" t="str">
        <f t="shared" si="39"/>
        <v>domingo</v>
      </c>
      <c r="H363" t="s">
        <v>145</v>
      </c>
      <c r="I363" t="str">
        <f t="shared" si="36"/>
        <v>Qui26</v>
      </c>
      <c r="J363" t="str">
        <f t="shared" si="40"/>
        <v>26</v>
      </c>
      <c r="K363">
        <f t="shared" si="41"/>
        <v>52</v>
      </c>
      <c r="L363">
        <v>2026</v>
      </c>
    </row>
    <row r="364" spans="2:12">
      <c r="B364" t="str">
        <f t="shared" si="35"/>
        <v>DICIEMBREQui2753</v>
      </c>
      <c r="C364" t="str">
        <f t="shared" si="37"/>
        <v>DICIEMBREQui2</v>
      </c>
      <c r="D364" s="11">
        <v>46384</v>
      </c>
      <c r="E364" s="17" t="s">
        <v>84</v>
      </c>
      <c r="F364">
        <f t="shared" si="38"/>
        <v>28</v>
      </c>
      <c r="G364" t="str">
        <f t="shared" si="39"/>
        <v>lunes</v>
      </c>
      <c r="H364" t="s">
        <v>145</v>
      </c>
      <c r="I364" t="str">
        <f t="shared" si="36"/>
        <v>Qui27</v>
      </c>
      <c r="J364" t="str">
        <f t="shared" si="40"/>
        <v>27</v>
      </c>
      <c r="K364">
        <f t="shared" si="41"/>
        <v>53</v>
      </c>
      <c r="L364">
        <v>2026</v>
      </c>
    </row>
    <row r="365" spans="2:12">
      <c r="B365" t="str">
        <f t="shared" si="35"/>
        <v>DICIEMBREQui2753</v>
      </c>
      <c r="C365" t="str">
        <f t="shared" si="37"/>
        <v>DICIEMBREQui2</v>
      </c>
      <c r="D365" s="11">
        <v>46385</v>
      </c>
      <c r="E365" s="17" t="s">
        <v>84</v>
      </c>
      <c r="F365">
        <f t="shared" si="38"/>
        <v>29</v>
      </c>
      <c r="G365" t="str">
        <f t="shared" si="39"/>
        <v>martes</v>
      </c>
      <c r="H365" t="s">
        <v>145</v>
      </c>
      <c r="I365" t="str">
        <f t="shared" si="36"/>
        <v>Qui27</v>
      </c>
      <c r="J365" t="str">
        <f t="shared" si="40"/>
        <v>27</v>
      </c>
      <c r="K365">
        <f t="shared" si="41"/>
        <v>53</v>
      </c>
      <c r="L365">
        <v>2026</v>
      </c>
    </row>
    <row r="366" spans="2:12">
      <c r="B366" t="str">
        <f t="shared" si="35"/>
        <v>DICIEMBREQui2753</v>
      </c>
      <c r="C366" t="str">
        <f t="shared" si="37"/>
        <v>DICIEMBREQui2</v>
      </c>
      <c r="D366" s="11">
        <v>46386</v>
      </c>
      <c r="E366" s="17" t="s">
        <v>84</v>
      </c>
      <c r="F366">
        <f t="shared" si="38"/>
        <v>30</v>
      </c>
      <c r="G366" t="str">
        <f t="shared" si="39"/>
        <v>miércoles</v>
      </c>
      <c r="H366" t="s">
        <v>145</v>
      </c>
      <c r="I366" t="str">
        <f t="shared" si="36"/>
        <v>Qui27</v>
      </c>
      <c r="J366" t="str">
        <f t="shared" si="40"/>
        <v>27</v>
      </c>
      <c r="K366">
        <f t="shared" si="41"/>
        <v>53</v>
      </c>
      <c r="L366">
        <v>2026</v>
      </c>
    </row>
    <row r="367" spans="2:12">
      <c r="B367" t="str">
        <f t="shared" si="35"/>
        <v>DICIEMBREQui2753</v>
      </c>
      <c r="C367" t="str">
        <f t="shared" si="37"/>
        <v>DICIEMBREQui2</v>
      </c>
      <c r="D367" s="11">
        <v>46387</v>
      </c>
      <c r="E367" s="18" t="s">
        <v>84</v>
      </c>
      <c r="F367" s="5">
        <f t="shared" si="38"/>
        <v>31</v>
      </c>
      <c r="G367" s="5" t="str">
        <f t="shared" si="39"/>
        <v>jueves</v>
      </c>
      <c r="H367" s="5" t="s">
        <v>145</v>
      </c>
      <c r="I367" s="5" t="str">
        <f t="shared" si="36"/>
        <v>Qui27</v>
      </c>
      <c r="J367" s="5" t="str">
        <f t="shared" si="40"/>
        <v>27</v>
      </c>
      <c r="K367" s="5">
        <f t="shared" si="41"/>
        <v>53</v>
      </c>
      <c r="L367" s="5">
        <v>2026</v>
      </c>
    </row>
  </sheetData>
  <autoFilter ref="D2:L367" xr:uid="{D74ECFAB-C75F-4F5C-AAEF-B3FCAC0E89D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 v2</vt:lpstr>
      <vt:lpstr>DetalleCalculos</vt:lpstr>
      <vt:lpstr>Horarios y Sistemas</vt:lpstr>
      <vt:lpstr>BASEDATOS</vt:lpstr>
      <vt:lpstr>NOMBRESLIMPIO</vt:lpstr>
      <vt:lpstr>Año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Frederick Maldonado Quist</dc:creator>
  <cp:lastModifiedBy>Steven Velasquez</cp:lastModifiedBy>
  <dcterms:created xsi:type="dcterms:W3CDTF">2026-05-28T14:21:49Z</dcterms:created>
  <dcterms:modified xsi:type="dcterms:W3CDTF">2026-10-13T23:35:15Z</dcterms:modified>
</cp:coreProperties>
</file>